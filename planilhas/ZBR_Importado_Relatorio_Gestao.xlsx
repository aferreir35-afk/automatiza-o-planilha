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NU" sheetId="1" state="visible" r:id="rId3"/>
    <sheet name="1 Dashboard" sheetId="2" state="visible" r:id="rId4"/>
    <sheet name="2 Resumo Gerencial" sheetId="3" state="visible" r:id="rId5"/>
    <sheet name="3 Base Entrada 2008" sheetId="4" state="visible" r:id="rId6"/>
    <sheet name="3 Base Saídas" sheetId="5" state="visible" r:id="rId7"/>
    <sheet name="3 Base Estoque Físico" sheetId="6" state="visible" r:id="rId8"/>
    <sheet name="3 Base Saldo Inicial 08-09" sheetId="7" state="visible" r:id="rId9"/>
    <sheet name="3 Base Movimentos" sheetId="8" state="visible" r:id="rId10"/>
    <sheet name="4 Análise ZBR" sheetId="9" state="visible" r:id="rId11"/>
    <sheet name="4 Análise Depósito 2008" sheetId="10" state="visible" r:id="rId12"/>
    <sheet name="5 Conciliação" sheetId="11" state="visible" r:id="rId13"/>
    <sheet name="6 Plano de Ação" sheetId="12" state="visible" r:id="rId14"/>
    <sheet name="7 Dicionário de Dados" sheetId="13" state="visible" r:id="rId15"/>
    <sheet name="8 Atualizar Dados" sheetId="14" state="visible" r:id="rId16"/>
    <sheet name="Parâmetros" sheetId="15" state="visible" r:id="rId17"/>
    <sheet name="aux Conciliação Material" sheetId="16" state="hidden" r:id="rId18"/>
    <sheet name="aux Conciliação Lote" sheetId="17" state="hidden" r:id="rId19"/>
  </sheets>
  <definedNames>
    <definedName function="false" hidden="false" localSheetId="1" name="_xlnm.Print_Area" vbProcedure="false">'1 Dashboard'!$A$1:$P$90</definedName>
    <definedName function="false" hidden="false" localSheetId="3" name="_xlnm.Print_Titles" vbProcedure="false">'3 Base Entrada 2008'!$1:$1</definedName>
    <definedName function="false" hidden="false" localSheetId="5" name="_xlnm.Print_Titles" vbProcedure="false">'3 Base Estoque Físico'!$1:$1</definedName>
    <definedName function="false" hidden="false" localSheetId="7" name="_xlnm.Print_Titles" vbProcedure="false">'3 Base Movimentos'!$1:$1</definedName>
    <definedName function="false" hidden="false" localSheetId="4" name="_xlnm.Print_Titles" vbProcedure="false">'3 Base Saídas'!$1:$1</definedName>
    <definedName function="false" hidden="false" localSheetId="6" name="_xlnm.Print_Titles" vbProcedure="false">'3 Base Saldo Inicial 08-09'!$1:$1</definedName>
    <definedName function="false" hidden="false" localSheetId="9" name="_xlnm.Print_Titles" vbProcedure="false">'4 Análise Depósito 2008'!$13:$13</definedName>
    <definedName function="false" hidden="true" localSheetId="9" name="_xlnm._FilterDatabase" vbProcedure="false">'4 Análise Depósito 2008'!$A$13:$N$107</definedName>
    <definedName function="false" hidden="false" localSheetId="8" name="_xlnm.Print_Area" vbProcedure="false">'4 Análise ZBR'!$A$1:$O$110</definedName>
    <definedName function="false" hidden="false" localSheetId="8" name="_xlnm.Print_Titles" vbProcedure="false">'4 Análise ZBR'!$13:$13</definedName>
    <definedName function="false" hidden="true" localSheetId="8" name="_xlnm._FilterDatabase" vbProcedure="false">'4 Análise ZBR'!$A$13:$O$107</definedName>
    <definedName function="false" hidden="false" localSheetId="10" name="_xlnm.Print_Titles" vbProcedure="false">'5 Conciliação'!$13:$13</definedName>
    <definedName function="false" hidden="true" localSheetId="10" name="_xlnm._FilterDatabase" vbProcedure="false">'5 Conciliação'!$A$13:$U$107</definedName>
    <definedName function="false" hidden="false" localSheetId="11" name="_xlnm.Print_Titles" vbProcedure="false">'6 Plano de Ação'!$7:$7</definedName>
    <definedName function="false" hidden="true" localSheetId="16" name="_xlnm._FilterDatabase" vbProcedure="false">'aux Conciliação Lote'!$A$4:$L$98</definedName>
    <definedName function="false" hidden="true" localSheetId="15" name="_xlnm._FilterDatabase" vbProcedure="false">'aux Conciliação Material'!$A$4:$K$54</definedName>
    <definedName function="false" hidden="false" name="CaminhoSAP" vbProcedure="false">Parâmetros!$K$13</definedName>
    <definedName function="false" hidden="false" name="DataLimiteRecebimento" vbProcedure="false">Parâmetros!$C$6</definedName>
    <definedName function="false" hidden="false" name="ListaDatas" vbProcedure="false">'4 Análise ZBR'!$AU$1:$AU$23</definedName>
    <definedName function="false" hidden="false" name="ListaLotes" vbProcedure="false">OFFSET('4 Análise ZBR'!$AV$1,0,0,1+MAX('4 Análise ZBR'!$AY$1:$AY$94),1)</definedName>
    <definedName function="false" hidden="false" name="ListaLotes2008" vbProcedure="false">OFFSET('4 Análise Depósito 2008'!$AV$1,0,0,1+MAX('4 Análise Depósito 2008'!$AY$1:$AY$94),1)</definedName>
    <definedName function="false" hidden="false" name="ListaMovimentacao" vbProcedure="false">'4 Análise ZBR'!$BA$1:$BA$5</definedName>
    <definedName function="false" hidden="false" name="ListaProdutos" vbProcedure="false">'4 Análise ZBR'!$AS$1:$AS$51</definedName>
    <definedName function="false" hidden="false" name="ListaSituacao2008" vbProcedure="false">'4 Análise Depósito 2008'!$AZ$1:$AZ$4</definedName>
    <definedName function="false" hidden="false" name="ListaSKU2008" vbProcedure="false">'4 Análise Depósito 2008'!$AT$1:$AT$51</definedName>
    <definedName function="false" hidden="false" name="ListaStatus" vbProcedure="false">'4 Análise ZBR'!$BG$1:$BG$4</definedName>
    <definedName function="false" hidden="false" name="ListaUnidades" vbProcedure="false">'4 Análise ZBR'!$AZ$1:$AZ$3</definedName>
  </definedNames>
  <calcPr iterateCount="100" refMode="A1" iterate="false" iterateDelta="0.0001"/>
  <extLst>
    <ext xmlns:loext="http://schemas.libreoffice.org/" uri="{7626C862-2A13-11E5-B345-FEFF819CDC9F}">
      <loext:extCalcPr stringRefSyntax="ExcelA1"/>
    </ext>
  </extLst>
</workbook>
</file>

<file path=xl/comments15.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Lançamentos POSITIVOS no depósito 2008 até esta data são tratados como chegada da importação (ficam no 2008, não entram no ZBR). Positivos depois desta data são estornos de transferência. Premissa inferida dos dados (todos os positivos até 15/09 são recebimentos em lote; os posteriores anulam transferências).</t>
        </r>
      </text>
    </comment>
  </commentList>
</comments>
</file>

<file path=xl/sharedStrings.xml><?xml version="1.0" encoding="utf-8"?>
<sst xmlns="http://schemas.openxmlformats.org/spreadsheetml/2006/main" count="16360" uniqueCount="2162">
  <si>
    <t xml:space="preserve">ZBR IMPORTADO</t>
  </si>
  <si>
    <t xml:space="preserve">Relatório de Gestão de Estoque</t>
  </si>
  <si>
    <t xml:space="preserve">Entradas, saídas, estoque físico, conciliação e plano de ação · Centro BR01</t>
  </si>
  <si>
    <t xml:space="preserve">Fonte dos dados</t>
  </si>
  <si>
    <t xml:space="preserve">Exportação SAP "Analise_ZBR_importado.XLSX" (abas Entrada, Saida, Estoque atual)</t>
  </si>
  <si>
    <t xml:space="preserve">Período dos movimentos</t>
  </si>
  <si>
    <t xml:space="preserve">09/09/2026 a 01/10/2026</t>
  </si>
  <si>
    <t xml:space="preserve">Gerado em</t>
  </si>
  <si>
    <t xml:space="preserve">RESULTADO EM 1 MINUTO</t>
  </si>
  <si>
    <t xml:space="preserve">NAVEGAÇÃO</t>
  </si>
  <si>
    <t xml:space="preserve">ABA</t>
  </si>
  <si>
    <t xml:space="preserve">PARA QUE SERVE</t>
  </si>
  <si>
    <t xml:space="preserve">ABRIR</t>
  </si>
  <si>
    <t xml:space="preserve">1 Dashboard</t>
  </si>
  <si>
    <t xml:space="preserve">Visão executiva: indicadores, gráficos e filtros</t>
  </si>
  <si>
    <t xml:space="preserve">Abrir →</t>
  </si>
  <si>
    <t xml:space="preserve">2 Resumo Gerencial</t>
  </si>
  <si>
    <t xml:space="preserve">O que aconteceu, em poucas linhas e números</t>
  </si>
  <si>
    <t xml:space="preserve">3 Base Entrada 2008</t>
  </si>
  <si>
    <t xml:space="preserve">Dados do SAP: movimentos do depósito 2008</t>
  </si>
  <si>
    <t xml:space="preserve">3 Base Saídas</t>
  </si>
  <si>
    <t xml:space="preserve">Dados do SAP: saídas 601</t>
  </si>
  <si>
    <t xml:space="preserve">3 Base Estoque Físico</t>
  </si>
  <si>
    <t xml:space="preserve">Dados do SAP: posições de estoque</t>
  </si>
  <si>
    <t xml:space="preserve">3 Base Saldo Inicial 08-09</t>
  </si>
  <si>
    <t xml:space="preserve">Estoque de 08/09 (preencher) — melhora a precisão das diferenças</t>
  </si>
  <si>
    <t xml:space="preserve">3 Base Movimentos</t>
  </si>
  <si>
    <t xml:space="preserve">Entradas e saídas juntas, para consulta</t>
  </si>
  <si>
    <t xml:space="preserve">4 Análise ZBR</t>
  </si>
  <si>
    <t xml:space="preserve">Por SKU·lote: deveria ter × tem, diferença, motivo e solução</t>
  </si>
  <si>
    <t xml:space="preserve">4 Análise Depósito 2008</t>
  </si>
  <si>
    <t xml:space="preserve">Importação recebida, transferida e parada no 2008</t>
  </si>
  <si>
    <t xml:space="preserve">5 Conciliação</t>
  </si>
  <si>
    <t xml:space="preserve">Todas as diferenças com motivo, categoria e criticidade</t>
  </si>
  <si>
    <t xml:space="preserve">6 Plano de Ação</t>
  </si>
  <si>
    <t xml:space="preserve">O que fazer, quem, até quando e status</t>
  </si>
  <si>
    <t xml:space="preserve">7 Dicionário de Dados</t>
  </si>
  <si>
    <t xml:space="preserve">Como cada número é calculado</t>
  </si>
  <si>
    <t xml:space="preserve">8 Atualizar Dados</t>
  </si>
  <si>
    <t xml:space="preserve">Importar nova extração do SAP pelo Power Query</t>
  </si>
  <si>
    <t xml:space="preserve">Parâmetros</t>
  </si>
  <si>
    <t xml:space="preserve">Datas, tolerância, limites e caminho do arquivo SAP</t>
  </si>
  <si>
    <t xml:space="preserve">COMO USAR</t>
  </si>
  <si>
    <t xml:space="preserve">1. Leia o "Resultado em 1 minuto" acima.</t>
  </si>
  <si>
    <t xml:space="preserve">2. No 1 Dashboard, escolha período, SKU, lote, unidade e status nas células azul-claras (seta ▼).</t>
  </si>
  <si>
    <t xml:space="preserve">3. Para saber o porquê de uma diferença, veja Motivo e Solução no 4 Análise ZBR.</t>
  </si>
  <si>
    <t xml:space="preserve">4. Registre responsável, prazo e status no 6 Plano de Ação.</t>
  </si>
  <si>
    <t xml:space="preserve">5. Nova extração do SAP: aba 8 Atualizar Dados (Power Query) — inclua o saldo de 08/09.</t>
  </si>
  <si>
    <t xml:space="preserve">CORES</t>
  </si>
  <si>
    <t xml:space="preserve">Verde: confere / concluído</t>
  </si>
  <si>
    <t xml:space="preserve">Amarelo: atenção / em andamento</t>
  </si>
  <si>
    <t xml:space="preserve">Vermelho: crítico / vencido / faltando</t>
  </si>
  <si>
    <t xml:space="preserve">Cinza: não iniciado / sem informação</t>
  </si>
  <si>
    <t xml:space="preserve">Azul-claro: célula para escolher ou preencher</t>
  </si>
  <si>
    <t xml:space="preserve">Dashboard Executivo — ZBR Importado</t>
  </si>
  <si>
    <t xml:space="preserve">◄ MENU</t>
  </si>
  <si>
    <t xml:space="preserve">Centro BR01 · movimentos de 09/09 a 01/10/2026 · fonte: exportação SAP "Analise_ZBR_importado.XLSX" · relatório gerado em 02/10/2026</t>
  </si>
  <si>
    <t xml:space="preserve">DATA INICIAL</t>
  </si>
  <si>
    <t xml:space="preserve">DATA FINAL</t>
  </si>
  <si>
    <t xml:space="preserve">SKU (CATEGORIA)</t>
  </si>
  <si>
    <t xml:space="preserve">LOTE</t>
  </si>
  <si>
    <t xml:space="preserve">UNIDADE</t>
  </si>
  <si>
    <t xml:space="preserve">TIPO DE MOVIMENTAÇÃO</t>
  </si>
  <si>
    <t xml:space="preserve">STATUS (SITUAÇÃO)</t>
  </si>
  <si>
    <t xml:space="preserve">Todos</t>
  </si>
  <si>
    <t xml:space="preserve">KG</t>
  </si>
  <si>
    <t xml:space="preserve">Todas</t>
  </si>
  <si>
    <t xml:space="preserve">Clique numa célula azul-clara e use a seta ▼. Os filtros valem para todas as análises.</t>
  </si>
  <si>
    <t xml:space="preserve">INDICADORES PRINCIPAIS</t>
  </si>
  <si>
    <t xml:space="preserve">SKU·LOTE ANALISADOS</t>
  </si>
  <si>
    <t xml:space="preserve">MOVIMENTAÇÕES</t>
  </si>
  <si>
    <t xml:space="preserve">DIVERGÊNCIAS</t>
  </si>
  <si>
    <t xml:space="preserve">% CONFORMIDADE</t>
  </si>
  <si>
    <t xml:space="preserve">PENDÊNCIAS EM ABERTO</t>
  </si>
  <si>
    <t xml:space="preserve">OCORRÊNCIAS CRÍTICAS</t>
  </si>
  <si>
    <t xml:space="preserve">% CONCLUSÃO DAS AÇÕES</t>
  </si>
  <si>
    <t xml:space="preserve">entrou + saiu no ZBR</t>
  </si>
  <si>
    <t xml:space="preserve">registros no filtro</t>
  </si>
  <si>
    <t xml:space="preserve">lançamentos no filtro</t>
  </si>
  <si>
    <t xml:space="preserve">SKU·lote com diferença</t>
  </si>
  <si>
    <t xml:space="preserve">SKU·lote que conferem</t>
  </si>
  <si>
    <t xml:space="preserve">ações do plano (geral)</t>
  </si>
  <si>
    <t xml:space="preserve">criticidade proposta</t>
  </si>
  <si>
    <t xml:space="preserve">plano de ação (geral)</t>
  </si>
  <si>
    <t xml:space="preserve">ENTROU NO ZBR</t>
  </si>
  <si>
    <t xml:space="preserve">SAIU</t>
  </si>
  <si>
    <t xml:space="preserve">DEVERIA TER</t>
  </si>
  <si>
    <t xml:space="preserve">ESTOQUE FÍSICO</t>
  </si>
  <si>
    <t xml:space="preserve">DIFERENÇA</t>
  </si>
  <si>
    <t xml:space="preserve">AGUARDANDO NO 2008</t>
  </si>
  <si>
    <t xml:space="preserve">transferido do 2008</t>
  </si>
  <si>
    <t xml:space="preserve">vendas e entregas (601)</t>
  </si>
  <si>
    <t xml:space="preserve">saldo inicial + entrou − saiu</t>
  </si>
  <si>
    <t xml:space="preserve">posição atual no depósito</t>
  </si>
  <si>
    <t xml:space="preserve">físico − deveria ter</t>
  </si>
  <si>
    <t xml:space="preserve">importação não transferida</t>
  </si>
  <si>
    <t xml:space="preserve">GRÁFICOS GERENCIAIS</t>
  </si>
  <si>
    <t xml:space="preserve">Categoria da causa</t>
  </si>
  <si>
    <t xml:space="preserve">Ocorrências</t>
  </si>
  <si>
    <t xml:space="preserve">Falta sem explicação</t>
  </si>
  <si>
    <t xml:space="preserve">Não localizado no estoque</t>
  </si>
  <si>
    <t xml:space="preserve">Saída sem baixa no estoque</t>
  </si>
  <si>
    <t xml:space="preserve">Doca/transferência pendente</t>
  </si>
  <si>
    <t xml:space="preserve">Estoque anterior a 09/09</t>
  </si>
  <si>
    <t xml:space="preserve">Troca de lote</t>
  </si>
  <si>
    <t xml:space="preserve">Sobra parcialmente explicada</t>
  </si>
  <si>
    <t xml:space="preserve">Sobra sem explicação</t>
  </si>
  <si>
    <t xml:space="preserve">Situação</t>
  </si>
  <si>
    <t xml:space="preserve">SKU·lote</t>
  </si>
  <si>
    <t xml:space="preserve">Confere</t>
  </si>
  <si>
    <t xml:space="preserve">Sobrando</t>
  </si>
  <si>
    <t xml:space="preserve">Faltando</t>
  </si>
  <si>
    <t xml:space="preserve">Criticidade</t>
  </si>
  <si>
    <t xml:space="preserve">Crítica</t>
  </si>
  <si>
    <t xml:space="preserve">Alta</t>
  </si>
  <si>
    <t xml:space="preserve">Média</t>
  </si>
  <si>
    <t xml:space="preserve">Baixa</t>
  </si>
  <si>
    <t xml:space="preserve">Status do plano</t>
  </si>
  <si>
    <t xml:space="preserve">Ações</t>
  </si>
  <si>
    <t xml:space="preserve">Não iniciado</t>
  </si>
  <si>
    <t xml:space="preserve">Em andamento</t>
  </si>
  <si>
    <t xml:space="preserve">Concluído</t>
  </si>
  <si>
    <t xml:space="preserve">Cancelado</t>
  </si>
  <si>
    <t xml:space="preserve">Leitura rápida</t>
  </si>
  <si>
    <t xml:space="preserve">• Azul = entrou no ZBR · azul-claro = saiu. Verde = regular · amarelo = atenção · vermelho = crítico.</t>
  </si>
  <si>
    <t xml:space="preserve">• Todos os números seguem os filtros do topo, exceto Pendências e % Conclusão (plano de ação geral).</t>
  </si>
  <si>
    <t xml:space="preserve">• Detalhe por SKU·lote: abas "4 Análise ZBR" e "5 Conciliação". Ações: aba "6 Plano de Ação".</t>
  </si>
  <si>
    <t xml:space="preserve">• Critérios de cálculo de cada indicador: aba "7 Dicionário de Dados".</t>
  </si>
  <si>
    <t xml:space="preserve">Resumo Gerencial</t>
  </si>
  <si>
    <t xml:space="preserve">Síntese das análises, principais ocorrências e conclusões · visão geral (sem filtros)</t>
  </si>
  <si>
    <t xml:space="preserve">1. Escopo da análise</t>
  </si>
  <si>
    <t xml:space="preserve">Item</t>
  </si>
  <si>
    <t xml:space="preserve">Valor</t>
  </si>
  <si>
    <t xml:space="preserve">Primeira data de movimento</t>
  </si>
  <si>
    <t xml:space="preserve">Última data de movimento</t>
  </si>
  <si>
    <t xml:space="preserve">SKU·lote conciliados</t>
  </si>
  <si>
    <t xml:space="preserve">Lançamentos no depósito 2008 (base Entrada)</t>
  </si>
  <si>
    <t xml:space="preserve">Lançamentos de saída 601 (base Saídas)</t>
  </si>
  <si>
    <t xml:space="preserve">Posições de estoque físico (base Estoque)</t>
  </si>
  <si>
    <t xml:space="preserve">2. Resultado da conciliação por unidade de medida</t>
  </si>
  <si>
    <t xml:space="preserve">Unidade</t>
  </si>
  <si>
    <t xml:space="preserve">Conferem</t>
  </si>
  <si>
    <t xml:space="preserve">Divergentes</t>
  </si>
  <si>
    <t xml:space="preserve">% conformidade</t>
  </si>
  <si>
    <t xml:space="preserve">Diferença líquida</t>
  </si>
  <si>
    <t xml:space="preserve">Sem explicação</t>
  </si>
  <si>
    <t xml:space="preserve">UN</t>
  </si>
  <si>
    <t xml:space="preserve">CX</t>
  </si>
  <si>
    <t xml:space="preserve">Total</t>
  </si>
  <si>
    <t xml:space="preserve">3. Divergências por categoria de causa</t>
  </si>
  <si>
    <t xml:space="preserve">Categoria</t>
  </si>
  <si>
    <t xml:space="preserve">Diferença (KG)</t>
  </si>
  <si>
    <t xml:space="preserve">4. Ocorrências por criticidade (proposta para validação)</t>
  </si>
  <si>
    <t xml:space="preserve">Critério</t>
  </si>
  <si>
    <t xml:space="preserve">Sobra com parte sem explicação abaixo do limite</t>
  </si>
  <si>
    <t xml:space="preserve">Diferença totalmente explicada pelos dados</t>
  </si>
  <si>
    <t xml:space="preserve">5. Cinco maiores ocorrências (diferença sem explicação)</t>
  </si>
  <si>
    <t xml:space="preserve">SKU</t>
  </si>
  <si>
    <t xml:space="preserve">Lote</t>
  </si>
  <si>
    <t xml:space="preserve">UM</t>
  </si>
  <si>
    <t xml:space="preserve">Diferença</t>
  </si>
  <si>
    <t xml:space="preserve">6. Depósito 2008 (importação) · KG</t>
  </si>
  <si>
    <t xml:space="preserve">Indicador</t>
  </si>
  <si>
    <t xml:space="preserve">Recebido no 2008</t>
  </si>
  <si>
    <t xml:space="preserve">Transferido ao ZBR</t>
  </si>
  <si>
    <t xml:space="preserve">Estornos (voltou ao 2008)</t>
  </si>
  <si>
    <t xml:space="preserve">Saldo do período no 2008</t>
  </si>
  <si>
    <t xml:space="preserve">Lotes aguardando transferência (todas as unidades)</t>
  </si>
  <si>
    <t xml:space="preserve">Volume aguardando transferência (KG)</t>
  </si>
  <si>
    <t xml:space="preserve">7. Plano de ação</t>
  </si>
  <si>
    <t xml:space="preserve">Ocorrências no plano</t>
  </si>
  <si>
    <t xml:space="preserve">Não iniciadas</t>
  </si>
  <si>
    <t xml:space="preserve">Concluídas</t>
  </si>
  <si>
    <t xml:space="preserve">% concluído</t>
  </si>
  <si>
    <t xml:space="preserve">Vencidas</t>
  </si>
  <si>
    <t xml:space="preserve">Sem responsável definido</t>
  </si>
  <si>
    <t xml:space="preserve">8. Conclusões (geradas a partir dos números acima)</t>
  </si>
  <si>
    <t xml:space="preserve">DOC.MATERIAL</t>
  </si>
  <si>
    <t xml:space="preserve">DEPÓSITO</t>
  </si>
  <si>
    <t xml:space="preserve">CENTRO</t>
  </si>
  <si>
    <t xml:space="preserve">DATA DE LANÇAMENTO</t>
  </si>
  <si>
    <t xml:space="preserve">QUANTIDADE</t>
  </si>
  <si>
    <t xml:space="preserve">DATA DE ENTRADA</t>
  </si>
  <si>
    <t xml:space="preserve">HORA DO REGISTRO</t>
  </si>
  <si>
    <t xml:space="preserve">MOVIMENTAÇÃO</t>
  </si>
  <si>
    <t xml:space="preserve">4904083265</t>
  </si>
  <si>
    <t xml:space="preserve">2665-E4-U71</t>
  </si>
  <si>
    <t xml:space="preserve">252800202</t>
  </si>
  <si>
    <t xml:space="preserve">2008</t>
  </si>
  <si>
    <t xml:space="preserve">BR01</t>
  </si>
  <si>
    <t xml:space="preserve">4904083324</t>
  </si>
  <si>
    <t xml:space="preserve">4904153691</t>
  </si>
  <si>
    <t xml:space="preserve">70-30-38-BR-25A</t>
  </si>
  <si>
    <t xml:space="preserve">260370301</t>
  </si>
  <si>
    <t xml:space="preserve">4904053448</t>
  </si>
  <si>
    <t xml:space="preserve">260070301</t>
  </si>
  <si>
    <t xml:space="preserve">4904053657</t>
  </si>
  <si>
    <t xml:space="preserve">4904053653</t>
  </si>
  <si>
    <t xml:space="preserve">70-30-38-BR-D94</t>
  </si>
  <si>
    <t xml:space="preserve">253213449</t>
  </si>
  <si>
    <t xml:space="preserve">4904151607</t>
  </si>
  <si>
    <t xml:space="preserve">805-BR-D94</t>
  </si>
  <si>
    <t xml:space="preserve">251633359</t>
  </si>
  <si>
    <t xml:space="preserve">260130779</t>
  </si>
  <si>
    <t xml:space="preserve">4904175204</t>
  </si>
  <si>
    <t xml:space="preserve">811-BR-25A</t>
  </si>
  <si>
    <t xml:space="preserve">252450301</t>
  </si>
  <si>
    <t xml:space="preserve">4904153935</t>
  </si>
  <si>
    <t xml:space="preserve">4903881852</t>
  </si>
  <si>
    <t xml:space="preserve">250880301</t>
  </si>
  <si>
    <t xml:space="preserve">4904134767</t>
  </si>
  <si>
    <t xml:space="preserve">811NV-132</t>
  </si>
  <si>
    <t xml:space="preserve">253280301</t>
  </si>
  <si>
    <t xml:space="preserve">4904080361</t>
  </si>
  <si>
    <t xml:space="preserve">252510301</t>
  </si>
  <si>
    <t xml:space="preserve">4904080055</t>
  </si>
  <si>
    <t xml:space="preserve">4904079952</t>
  </si>
  <si>
    <t xml:space="preserve">4904079821</t>
  </si>
  <si>
    <t xml:space="preserve">811NV-595</t>
  </si>
  <si>
    <t xml:space="preserve">261146102</t>
  </si>
  <si>
    <t xml:space="preserve">823-BR-25A</t>
  </si>
  <si>
    <t xml:space="preserve">252900303</t>
  </si>
  <si>
    <t xml:space="preserve">4904084255</t>
  </si>
  <si>
    <t xml:space="preserve">252100301</t>
  </si>
  <si>
    <t xml:space="preserve">252940301</t>
  </si>
  <si>
    <t xml:space="preserve">823NV-132</t>
  </si>
  <si>
    <t xml:space="preserve">260880201</t>
  </si>
  <si>
    <t xml:space="preserve">823NV-595</t>
  </si>
  <si>
    <t xml:space="preserve">260416102</t>
  </si>
  <si>
    <t xml:space="preserve">4904080277</t>
  </si>
  <si>
    <t xml:space="preserve">261376101</t>
  </si>
  <si>
    <t xml:space="preserve">4904154931</t>
  </si>
  <si>
    <t xml:space="preserve">CHD-BB-308BY-357</t>
  </si>
  <si>
    <t xml:space="preserve">2529778000</t>
  </si>
  <si>
    <t xml:space="preserve">4904151560</t>
  </si>
  <si>
    <t xml:space="preserve">2609078000</t>
  </si>
  <si>
    <t xml:space="preserve">4904152483</t>
  </si>
  <si>
    <t xml:space="preserve">2611378000</t>
  </si>
  <si>
    <t xml:space="preserve">4904152481</t>
  </si>
  <si>
    <t xml:space="preserve">250827800</t>
  </si>
  <si>
    <t xml:space="preserve">4904152385</t>
  </si>
  <si>
    <t xml:space="preserve">2529678000</t>
  </si>
  <si>
    <t xml:space="preserve">4904053574</t>
  </si>
  <si>
    <t xml:space="preserve">CHD-DR-75Y5-E1-U68</t>
  </si>
  <si>
    <t xml:space="preserve">252810301</t>
  </si>
  <si>
    <t xml:space="preserve">CHD-SP-9Z4-BR-U73</t>
  </si>
  <si>
    <t xml:space="preserve">250500301</t>
  </si>
  <si>
    <t xml:space="preserve">CHK-R30GOLD-BR-25A</t>
  </si>
  <si>
    <t xml:space="preserve">261130301</t>
  </si>
  <si>
    <t xml:space="preserve">4904151671</t>
  </si>
  <si>
    <t xml:space="preserve">CHK-R30GOLD-E0-D94</t>
  </si>
  <si>
    <t xml:space="preserve">260720939</t>
  </si>
  <si>
    <t xml:space="preserve">CHM-BS-9U15-E0-07B</t>
  </si>
  <si>
    <t xml:space="preserve">260701069</t>
  </si>
  <si>
    <t xml:space="preserve">4904081232</t>
  </si>
  <si>
    <t xml:space="preserve">4904081141</t>
  </si>
  <si>
    <t xml:space="preserve">4904080364</t>
  </si>
  <si>
    <t xml:space="preserve">CHM-SP-Z3L-BR-U73</t>
  </si>
  <si>
    <t xml:space="preserve">251880301</t>
  </si>
  <si>
    <t xml:space="preserve">4904080366</t>
  </si>
  <si>
    <t xml:space="preserve">CHM-TS-22351E0-999</t>
  </si>
  <si>
    <t xml:space="preserve">2522444420</t>
  </si>
  <si>
    <t xml:space="preserve">4904053733</t>
  </si>
  <si>
    <t xml:space="preserve">CHM-TS-P23-E0-999</t>
  </si>
  <si>
    <t xml:space="preserve">2605567696</t>
  </si>
  <si>
    <t xml:space="preserve">4904151600</t>
  </si>
  <si>
    <t xml:space="preserve">CHM-VR-Z3S-E0-U68</t>
  </si>
  <si>
    <t xml:space="preserve">260400301</t>
  </si>
  <si>
    <t xml:space="preserve">4904027499</t>
  </si>
  <si>
    <t xml:space="preserve">CHP-20SICHP-760</t>
  </si>
  <si>
    <t xml:space="preserve">252843369</t>
  </si>
  <si>
    <t xml:space="preserve">CHR-Q37RB2-2B-U75</t>
  </si>
  <si>
    <t xml:space="preserve">261320202</t>
  </si>
  <si>
    <t xml:space="preserve">261320203</t>
  </si>
  <si>
    <t xml:space="preserve">4904080368</t>
  </si>
  <si>
    <t xml:space="preserve">4904084209</t>
  </si>
  <si>
    <t xml:space="preserve">CW2-BR-25A</t>
  </si>
  <si>
    <t xml:space="preserve">252350301</t>
  </si>
  <si>
    <t xml:space="preserve">252650301</t>
  </si>
  <si>
    <t xml:space="preserve">4904053543</t>
  </si>
  <si>
    <t xml:space="preserve">261070301</t>
  </si>
  <si>
    <t xml:space="preserve">DCP-10BONOI-89B</t>
  </si>
  <si>
    <t xml:space="preserve">260778132</t>
  </si>
  <si>
    <t xml:space="preserve">4904053620</t>
  </si>
  <si>
    <t xml:space="preserve">MALCHOC-D-123</t>
  </si>
  <si>
    <t xml:space="preserve">261060203</t>
  </si>
  <si>
    <t xml:space="preserve">NIBS-S502-X47</t>
  </si>
  <si>
    <t xml:space="preserve">260691479</t>
  </si>
  <si>
    <t xml:space="preserve">4904151609</t>
  </si>
  <si>
    <t xml:space="preserve">4904151338</t>
  </si>
  <si>
    <t xml:space="preserve">252643099</t>
  </si>
  <si>
    <t xml:space="preserve">252683099</t>
  </si>
  <si>
    <t xml:space="preserve">4904151335</t>
  </si>
  <si>
    <t xml:space="preserve">4904084202</t>
  </si>
  <si>
    <t xml:space="preserve">253490619</t>
  </si>
  <si>
    <t xml:space="preserve">4904084201</t>
  </si>
  <si>
    <t xml:space="preserve">4904084200</t>
  </si>
  <si>
    <t xml:space="preserve">4904083269</t>
  </si>
  <si>
    <t xml:space="preserve">4904083550</t>
  </si>
  <si>
    <t xml:space="preserve">242643099</t>
  </si>
  <si>
    <t xml:space="preserve">4904175189</t>
  </si>
  <si>
    <t xml:space="preserve">PNP-T14</t>
  </si>
  <si>
    <t xml:space="preserve">2613495951</t>
  </si>
  <si>
    <t xml:space="preserve">4904153175</t>
  </si>
  <si>
    <t xml:space="preserve">4904152897</t>
  </si>
  <si>
    <t xml:space="preserve">PRA-T14</t>
  </si>
  <si>
    <t xml:space="preserve">2611895339</t>
  </si>
  <si>
    <t xml:space="preserve">SPLIT-4-M-413</t>
  </si>
  <si>
    <t xml:space="preserve">261596201</t>
  </si>
  <si>
    <t xml:space="preserve">W3-BR-25A</t>
  </si>
  <si>
    <t xml:space="preserve">261080301</t>
  </si>
  <si>
    <t xml:space="preserve">4904081337</t>
  </si>
  <si>
    <t xml:space="preserve">4903864964</t>
  </si>
  <si>
    <t xml:space="preserve">4904108923</t>
  </si>
  <si>
    <t xml:space="preserve">811-BR-D94</t>
  </si>
  <si>
    <t xml:space="preserve">251643289</t>
  </si>
  <si>
    <t xml:space="preserve">4903880733</t>
  </si>
  <si>
    <t xml:space="preserve">260900702</t>
  </si>
  <si>
    <t xml:space="preserve">260920702</t>
  </si>
  <si>
    <t xml:space="preserve">261146101</t>
  </si>
  <si>
    <t xml:space="preserve">4903865743</t>
  </si>
  <si>
    <t xml:space="preserve">4904108927</t>
  </si>
  <si>
    <t xml:space="preserve">823-BR-D94</t>
  </si>
  <si>
    <t xml:space="preserve">252103049</t>
  </si>
  <si>
    <t xml:space="preserve">4903867530</t>
  </si>
  <si>
    <t xml:space="preserve">4903867183</t>
  </si>
  <si>
    <t xml:space="preserve">4904110821</t>
  </si>
  <si>
    <t xml:space="preserve">BIG-PF-1BO-401</t>
  </si>
  <si>
    <t xml:space="preserve">26093039</t>
  </si>
  <si>
    <t xml:space="preserve">26044019</t>
  </si>
  <si>
    <t xml:space="preserve">26126039</t>
  </si>
  <si>
    <t xml:space="preserve">4903866106</t>
  </si>
  <si>
    <t xml:space="preserve">4903863360</t>
  </si>
  <si>
    <t xml:space="preserve">4904110891</t>
  </si>
  <si>
    <t xml:space="preserve">2609178000</t>
  </si>
  <si>
    <t xml:space="preserve">4904108848</t>
  </si>
  <si>
    <t xml:space="preserve">CHD-SP-1M-2B-U77</t>
  </si>
  <si>
    <t xml:space="preserve">260880101</t>
  </si>
  <si>
    <t xml:space="preserve">CHD-SP-1M-BR-U73</t>
  </si>
  <si>
    <t xml:space="preserve">260880301</t>
  </si>
  <si>
    <t xml:space="preserve">260310301</t>
  </si>
  <si>
    <t xml:space="preserve">CHD-TS-22350E0-999</t>
  </si>
  <si>
    <t xml:space="preserve">2520443650</t>
  </si>
  <si>
    <t xml:space="preserve">CHD-VR-Z2S-E0-U68</t>
  </si>
  <si>
    <t xml:space="preserve">261160301</t>
  </si>
  <si>
    <t xml:space="preserve">4903938740</t>
  </si>
  <si>
    <t xml:space="preserve">CHK-D-413</t>
  </si>
  <si>
    <t xml:space="preserve">261756201</t>
  </si>
  <si>
    <t xml:space="preserve">253620301</t>
  </si>
  <si>
    <t xml:space="preserve">4904108108</t>
  </si>
  <si>
    <t xml:space="preserve">252750301</t>
  </si>
  <si>
    <t xml:space="preserve">CHK-W-413</t>
  </si>
  <si>
    <t xml:space="preserve">260536201</t>
  </si>
  <si>
    <t xml:space="preserve">4903864617</t>
  </si>
  <si>
    <t xml:space="preserve">CHM-CU-7X80-E5-U70</t>
  </si>
  <si>
    <t xml:space="preserve">2528749307</t>
  </si>
  <si>
    <t xml:space="preserve">CHM-Q41ALUN-2B-U73</t>
  </si>
  <si>
    <t xml:space="preserve">260660303</t>
  </si>
  <si>
    <t xml:space="preserve">CHM-SP-Z3L-E0-U72</t>
  </si>
  <si>
    <t xml:space="preserve">260580101</t>
  </si>
  <si>
    <t xml:space="preserve">253100102</t>
  </si>
  <si>
    <t xml:space="preserve">4903843886</t>
  </si>
  <si>
    <t xml:space="preserve">2525950306</t>
  </si>
  <si>
    <t xml:space="preserve">2526050307</t>
  </si>
  <si>
    <t xml:space="preserve">CHM-VR-Z3S-E0-U72</t>
  </si>
  <si>
    <t xml:space="preserve">260600103</t>
  </si>
  <si>
    <t xml:space="preserve">4904108062</t>
  </si>
  <si>
    <t xml:space="preserve">4904111409</t>
  </si>
  <si>
    <t xml:space="preserve">CHR-Q37RB2-E0-D94</t>
  </si>
  <si>
    <t xml:space="preserve">261301539</t>
  </si>
  <si>
    <t xml:space="preserve">253470301</t>
  </si>
  <si>
    <t xml:space="preserve">252590301</t>
  </si>
  <si>
    <t xml:space="preserve">CW2NV-595</t>
  </si>
  <si>
    <t xml:space="preserve">260850602</t>
  </si>
  <si>
    <t xml:space="preserve">261070601</t>
  </si>
  <si>
    <t xml:space="preserve">DCP-20BODEC-89B</t>
  </si>
  <si>
    <t xml:space="preserve">261388131</t>
  </si>
  <si>
    <t xml:space="preserve">DCP-22ZEPLA-89B</t>
  </si>
  <si>
    <t xml:space="preserve">260348131</t>
  </si>
  <si>
    <t xml:space="preserve">260358131</t>
  </si>
  <si>
    <t xml:space="preserve">GIA-145</t>
  </si>
  <si>
    <t xml:space="preserve">2518442009</t>
  </si>
  <si>
    <t xml:space="preserve">260341149</t>
  </si>
  <si>
    <t xml:space="preserve">260611429</t>
  </si>
  <si>
    <t xml:space="preserve">4904108211</t>
  </si>
  <si>
    <t xml:space="preserve">2608294084</t>
  </si>
  <si>
    <t xml:space="preserve">2611295089</t>
  </si>
  <si>
    <t xml:space="preserve">SPLIT-4-D-413</t>
  </si>
  <si>
    <t xml:space="preserve">261826201</t>
  </si>
  <si>
    <t xml:space="preserve">W2-BR-D94</t>
  </si>
  <si>
    <t xml:space="preserve">252232739</t>
  </si>
  <si>
    <t xml:space="preserve">260700919</t>
  </si>
  <si>
    <t xml:space="preserve">261391599</t>
  </si>
  <si>
    <t xml:space="preserve">261181599</t>
  </si>
  <si>
    <t xml:space="preserve">261131599</t>
  </si>
  <si>
    <t xml:space="preserve">253540301</t>
  </si>
  <si>
    <t xml:space="preserve">DESCRIÇÃO</t>
  </si>
  <si>
    <t xml:space="preserve">TIPO DE MOVIMENTO</t>
  </si>
  <si>
    <t xml:space="preserve">MOTIVO DO MOVIMENTO</t>
  </si>
  <si>
    <t xml:space="preserve">NOME DO USUÁRIO</t>
  </si>
  <si>
    <t xml:space="preserve">REFERÊNCIA</t>
  </si>
  <si>
    <t xml:space="preserve">CLIENTE</t>
  </si>
  <si>
    <t xml:space="preserve">NOME 1</t>
  </si>
  <si>
    <t xml:space="preserve">4904167047</t>
  </si>
  <si>
    <t xml:space="preserve">CA MOEDAS 2,01KG/UC 10UC/CX 30CX/PAL</t>
  </si>
  <si>
    <t xml:space="preserve">9999</t>
  </si>
  <si>
    <t xml:space="preserve">601</t>
  </si>
  <si>
    <t xml:space="preserve">BC140676</t>
  </si>
  <si>
    <t xml:space="preserve">0017883533</t>
  </si>
  <si>
    <t xml:space="preserve">50643</t>
  </si>
  <si>
    <t xml:space="preserve">PRODUPAN - PRODUTOS PARA PANIFICACA</t>
  </si>
  <si>
    <t xml:space="preserve">4904165495</t>
  </si>
  <si>
    <t xml:space="preserve">0017883681</t>
  </si>
  <si>
    <t xml:space="preserve">218096</t>
  </si>
  <si>
    <t xml:space="preserve">T &amp; F ALIMENTOS LTDA</t>
  </si>
  <si>
    <t xml:space="preserve">4904175148</t>
  </si>
  <si>
    <t xml:space="preserve">0355</t>
  </si>
  <si>
    <t xml:space="preserve">BC025150</t>
  </si>
  <si>
    <t xml:space="preserve">0017883735</t>
  </si>
  <si>
    <t xml:space="preserve">218814</t>
  </si>
  <si>
    <t xml:space="preserve">ANGELA PRATI FAVARO . LTDA</t>
  </si>
  <si>
    <t xml:space="preserve">4904159986</t>
  </si>
  <si>
    <t xml:space="preserve">0017884035</t>
  </si>
  <si>
    <t xml:space="preserve">50588</t>
  </si>
  <si>
    <t xml:space="preserve">DISTRIBUIDORA E IMPORTADORA IRMAOS</t>
  </si>
  <si>
    <t xml:space="preserve">4904134037</t>
  </si>
  <si>
    <t xml:space="preserve">BC025148</t>
  </si>
  <si>
    <t xml:space="preserve">0017878206</t>
  </si>
  <si>
    <t xml:space="preserve">78892</t>
  </si>
  <si>
    <t xml:space="preserve">TANGARA DESENV IMOBIL</t>
  </si>
  <si>
    <t xml:space="preserve">4904119924</t>
  </si>
  <si>
    <t xml:space="preserve">BC147417</t>
  </si>
  <si>
    <t xml:space="preserve">0017871992</t>
  </si>
  <si>
    <t xml:space="preserve">73161</t>
  </si>
  <si>
    <t xml:space="preserve">LARGO DO CONFEITEIRO</t>
  </si>
  <si>
    <t xml:space="preserve">4904118269</t>
  </si>
  <si>
    <t xml:space="preserve">0017883375</t>
  </si>
  <si>
    <t xml:space="preserve">91915</t>
  </si>
  <si>
    <t xml:space="preserve">CHOCOLANDIA SOBELA LTDA</t>
  </si>
  <si>
    <t xml:space="preserve">4904119956</t>
  </si>
  <si>
    <t xml:space="preserve">0017878161</t>
  </si>
  <si>
    <t xml:space="preserve">99526</t>
  </si>
  <si>
    <t xml:space="preserve">BRUNO MENEGATTE COMERCIO LTDA</t>
  </si>
  <si>
    <t xml:space="preserve">4904122562</t>
  </si>
  <si>
    <t xml:space="preserve">BC116065</t>
  </si>
  <si>
    <t xml:space="preserve">0017871957</t>
  </si>
  <si>
    <t xml:space="preserve">68094</t>
  </si>
  <si>
    <t xml:space="preserve">NOVA GERACAO COMESTIVEIS LTDA </t>
  </si>
  <si>
    <t xml:space="preserve">4904119981</t>
  </si>
  <si>
    <t xml:space="preserve">0017881061</t>
  </si>
  <si>
    <t xml:space="preserve">218044</t>
  </si>
  <si>
    <t xml:space="preserve">GELATERIA PIEMONTE LTDA</t>
  </si>
  <si>
    <t xml:space="preserve">4904119985</t>
  </si>
  <si>
    <t xml:space="preserve">0017881065</t>
  </si>
  <si>
    <t xml:space="preserve">216990</t>
  </si>
  <si>
    <t xml:space="preserve">PANIFICACAO IPANEMA LTDA</t>
  </si>
  <si>
    <t xml:space="preserve">4904119988</t>
  </si>
  <si>
    <t xml:space="preserve">0017881171</t>
  </si>
  <si>
    <t xml:space="preserve">218068</t>
  </si>
  <si>
    <t xml:space="preserve">ABSURDINHA CONFEITARIA LTDA</t>
  </si>
  <si>
    <t xml:space="preserve">4904107186</t>
  </si>
  <si>
    <t xml:space="preserve">0017878743</t>
  </si>
  <si>
    <t xml:space="preserve">4904113553</t>
  </si>
  <si>
    <t xml:space="preserve">0017881276</t>
  </si>
  <si>
    <t xml:space="preserve">93285</t>
  </si>
  <si>
    <t xml:space="preserve">LA GUAPA EMPORIO E EMPANADAS S.A.</t>
  </si>
  <si>
    <t xml:space="preserve">4904105326</t>
  </si>
  <si>
    <t xml:space="preserve">0017872248</t>
  </si>
  <si>
    <t xml:space="preserve">49620</t>
  </si>
  <si>
    <t xml:space="preserve">SPAN VALE COMERCIO DE PRODUTOS</t>
  </si>
  <si>
    <t xml:space="preserve">4904113476</t>
  </si>
  <si>
    <t xml:space="preserve">0017878830</t>
  </si>
  <si>
    <t xml:space="preserve">87803</t>
  </si>
  <si>
    <t xml:space="preserve">COMERCIAL IMP.EXP.METAPUNTO LTDA</t>
  </si>
  <si>
    <t xml:space="preserve">4904105323</t>
  </si>
  <si>
    <t xml:space="preserve">0017864028</t>
  </si>
  <si>
    <t xml:space="preserve">4904107260</t>
  </si>
  <si>
    <t xml:space="preserve">0017878878</t>
  </si>
  <si>
    <t xml:space="preserve">99234</t>
  </si>
  <si>
    <t xml:space="preserve">CHOKDOCE COMÉRCIO DE</t>
  </si>
  <si>
    <t xml:space="preserve">4904098101</t>
  </si>
  <si>
    <t xml:space="preserve">BC130327</t>
  </si>
  <si>
    <t xml:space="preserve">0017878733</t>
  </si>
  <si>
    <t xml:space="preserve">203044</t>
  </si>
  <si>
    <t xml:space="preserve">RCL COMERCIO DE PRODUTOS</t>
  </si>
  <si>
    <t xml:space="preserve">4904090414</t>
  </si>
  <si>
    <t xml:space="preserve">0017867768</t>
  </si>
  <si>
    <t xml:space="preserve">47108</t>
  </si>
  <si>
    <t xml:space="preserve">RIBERFOODS IMPORTADORA</t>
  </si>
  <si>
    <t xml:space="preserve">4904078806</t>
  </si>
  <si>
    <t xml:space="preserve">0017874626</t>
  </si>
  <si>
    <t xml:space="preserve">42925</t>
  </si>
  <si>
    <t xml:space="preserve">MORUMBY HOTEIS LTDA</t>
  </si>
  <si>
    <t xml:space="preserve">4904078678</t>
  </si>
  <si>
    <t xml:space="preserve">0017874813</t>
  </si>
  <si>
    <t xml:space="preserve">220675</t>
  </si>
  <si>
    <t xml:space="preserve">DOCE OPIUM PREMIUM NUTS LTDA</t>
  </si>
  <si>
    <t xml:space="preserve">4903976196</t>
  </si>
  <si>
    <t xml:space="preserve">0017863879</t>
  </si>
  <si>
    <t xml:space="preserve">97134</t>
  </si>
  <si>
    <t xml:space="preserve">BARBOSA E WAGEMAKER COM DE ALIM</t>
  </si>
  <si>
    <t xml:space="preserve">4903976262</t>
  </si>
  <si>
    <t xml:space="preserve">0017863888</t>
  </si>
  <si>
    <t xml:space="preserve">81180</t>
  </si>
  <si>
    <t xml:space="preserve">HTL SP PARTICIPACOES S/A</t>
  </si>
  <si>
    <t xml:space="preserve">4903941321</t>
  </si>
  <si>
    <t xml:space="preserve">0017856410</t>
  </si>
  <si>
    <t xml:space="preserve">217167</t>
  </si>
  <si>
    <t xml:space="preserve">BRASIL CAFE COMERCIO E SERVICOS</t>
  </si>
  <si>
    <t xml:space="preserve">4903941343</t>
  </si>
  <si>
    <t xml:space="preserve">0017860824</t>
  </si>
  <si>
    <t xml:space="preserve">99000</t>
  </si>
  <si>
    <t xml:space="preserve">BM EMPREEND E PARTICIP S.A.</t>
  </si>
  <si>
    <t xml:space="preserve">4903941347</t>
  </si>
  <si>
    <t xml:space="preserve">0017863795</t>
  </si>
  <si>
    <t xml:space="preserve">4903867283</t>
  </si>
  <si>
    <t xml:space="preserve">0017854263</t>
  </si>
  <si>
    <t xml:space="preserve">4903867234</t>
  </si>
  <si>
    <t xml:space="preserve">0017854239</t>
  </si>
  <si>
    <t xml:space="preserve">94669</t>
  </si>
  <si>
    <t xml:space="preserve">ARTISANO GELATO LTDA</t>
  </si>
  <si>
    <t xml:space="preserve">4904184887</t>
  </si>
  <si>
    <t xml:space="preserve">CA MOEDAS 0,4KG/UC 7UC/CX 144CX/PAL</t>
  </si>
  <si>
    <t xml:space="preserve">BC101483</t>
  </si>
  <si>
    <t xml:space="preserve">0017882990</t>
  </si>
  <si>
    <t xml:space="preserve">215356</t>
  </si>
  <si>
    <t xml:space="preserve">WMB SUPERMERCADOS DO BRASIL</t>
  </si>
  <si>
    <t xml:space="preserve">4904180982</t>
  </si>
  <si>
    <t xml:space="preserve">0017883827</t>
  </si>
  <si>
    <t xml:space="preserve">94663</t>
  </si>
  <si>
    <t xml:space="preserve">HAPPS CHOCOLATE</t>
  </si>
  <si>
    <t xml:space="preserve">4904165492</t>
  </si>
  <si>
    <t xml:space="preserve">0017881011</t>
  </si>
  <si>
    <t xml:space="preserve">78444</t>
  </si>
  <si>
    <t xml:space="preserve">MIX PRODUTOS PARA FESTAS LTDA</t>
  </si>
  <si>
    <t xml:space="preserve">4904179863</t>
  </si>
  <si>
    <t xml:space="preserve">0017888290</t>
  </si>
  <si>
    <t xml:space="preserve">86760</t>
  </si>
  <si>
    <t xml:space="preserve">CASA SANTA LUZIA IMPORT LTDA</t>
  </si>
  <si>
    <t xml:space="preserve">4904165514</t>
  </si>
  <si>
    <t xml:space="preserve">0017884103</t>
  </si>
  <si>
    <t xml:space="preserve">209546</t>
  </si>
  <si>
    <t xml:space="preserve">EBEYBE STORE LTDA</t>
  </si>
  <si>
    <t xml:space="preserve">4904165516</t>
  </si>
  <si>
    <t xml:space="preserve">0017884105</t>
  </si>
  <si>
    <t xml:space="preserve">208083</t>
  </si>
  <si>
    <t xml:space="preserve">PRIME PRODUTOS PARA FESTAS LTDA</t>
  </si>
  <si>
    <t xml:space="preserve">4904145405</t>
  </si>
  <si>
    <t xml:space="preserve">0017884096</t>
  </si>
  <si>
    <t xml:space="preserve">48470</t>
  </si>
  <si>
    <t xml:space="preserve">MARIA CHOCOLATE LTDA</t>
  </si>
  <si>
    <t xml:space="preserve">4904159998</t>
  </si>
  <si>
    <t xml:space="preserve">0017885841</t>
  </si>
  <si>
    <t xml:space="preserve">66369</t>
  </si>
  <si>
    <t xml:space="preserve">DISCAMP VALINHOS DISTRIBUIDORA LTDA</t>
  </si>
  <si>
    <t xml:space="preserve">4904159958</t>
  </si>
  <si>
    <t xml:space="preserve">0017881275</t>
  </si>
  <si>
    <t xml:space="preserve">206193</t>
  </si>
  <si>
    <t xml:space="preserve">SUPERMERCADOS MAMBO LTDA.</t>
  </si>
  <si>
    <t xml:space="preserve">4904117860</t>
  </si>
  <si>
    <t xml:space="preserve">0017883625</t>
  </si>
  <si>
    <t xml:space="preserve">50848</t>
  </si>
  <si>
    <t xml:space="preserve">SHOPPING DAS PADARIAS LTDA</t>
  </si>
  <si>
    <t xml:space="preserve">4904117864</t>
  </si>
  <si>
    <t xml:space="preserve">0017883692</t>
  </si>
  <si>
    <t xml:space="preserve">80395</t>
  </si>
  <si>
    <t xml:space="preserve">MIO DOCES LTDA</t>
  </si>
  <si>
    <t xml:space="preserve">4904120015</t>
  </si>
  <si>
    <t xml:space="preserve">0017883432</t>
  </si>
  <si>
    <t xml:space="preserve">48664</t>
  </si>
  <si>
    <t xml:space="preserve">ORGANIZACOES FARINHA PURA LTDA</t>
  </si>
  <si>
    <t xml:space="preserve">4904118767</t>
  </si>
  <si>
    <t xml:space="preserve">0017883378</t>
  </si>
  <si>
    <t xml:space="preserve">77684</t>
  </si>
  <si>
    <t xml:space="preserve">CENTER COMERCIO DE EMBALAGENS</t>
  </si>
  <si>
    <t xml:space="preserve">4904120010</t>
  </si>
  <si>
    <t xml:space="preserve">0017883368</t>
  </si>
  <si>
    <t xml:space="preserve">50523</t>
  </si>
  <si>
    <t xml:space="preserve">CAKE ART COMERCIO DE ARTIGOS PARA C</t>
  </si>
  <si>
    <t xml:space="preserve">4904118754</t>
  </si>
  <si>
    <t xml:space="preserve">0017878762</t>
  </si>
  <si>
    <t xml:space="preserve">51157</t>
  </si>
  <si>
    <t xml:space="preserve">GILBERTO KAJEVSKI &amp; CIA LTDA ME</t>
  </si>
  <si>
    <t xml:space="preserve">4904113545</t>
  </si>
  <si>
    <t xml:space="preserve">0017880707</t>
  </si>
  <si>
    <t xml:space="preserve">53125</t>
  </si>
  <si>
    <t xml:space="preserve">FUNCHAL IND E COM DE PAPEIS LTDA -</t>
  </si>
  <si>
    <t xml:space="preserve">4904113548</t>
  </si>
  <si>
    <t xml:space="preserve">0017880824</t>
  </si>
  <si>
    <t xml:space="preserve">209996</t>
  </si>
  <si>
    <t xml:space="preserve">LOJAS BARATAO EMBALAGENS LTDA</t>
  </si>
  <si>
    <t xml:space="preserve">4904113504</t>
  </si>
  <si>
    <t xml:space="preserve">0017880624</t>
  </si>
  <si>
    <t xml:space="preserve">219760</t>
  </si>
  <si>
    <t xml:space="preserve">64.216.627 PATRICIA DE BIANCHI</t>
  </si>
  <si>
    <t xml:space="preserve">4904113497</t>
  </si>
  <si>
    <t xml:space="preserve">0017880613</t>
  </si>
  <si>
    <t xml:space="preserve">4904099167</t>
  </si>
  <si>
    <t xml:space="preserve">0017878761</t>
  </si>
  <si>
    <t xml:space="preserve">51219</t>
  </si>
  <si>
    <t xml:space="preserve">COMERCIAL DISKPAN LTDA</t>
  </si>
  <si>
    <t xml:space="preserve">4904083667</t>
  </si>
  <si>
    <t xml:space="preserve">0017878735</t>
  </si>
  <si>
    <t xml:space="preserve">203766</t>
  </si>
  <si>
    <t xml:space="preserve">INDUSTRIAL E COMERCIAL ALMEIDA LTDA</t>
  </si>
  <si>
    <t xml:space="preserve">4904078534</t>
  </si>
  <si>
    <t xml:space="preserve">0017874276</t>
  </si>
  <si>
    <t xml:space="preserve">91343</t>
  </si>
  <si>
    <t xml:space="preserve">CABRAL &amp; SOUSA LTDA</t>
  </si>
  <si>
    <t xml:space="preserve">4904048855</t>
  </si>
  <si>
    <t xml:space="preserve">0017870195</t>
  </si>
  <si>
    <t xml:space="preserve">43229</t>
  </si>
  <si>
    <t xml:space="preserve">VIMEG COMERCIO DE CHOCOLATES LTDA</t>
  </si>
  <si>
    <t xml:space="preserve">4903867892</t>
  </si>
  <si>
    <t xml:space="preserve">0017854629</t>
  </si>
  <si>
    <t xml:space="preserve">4904150995</t>
  </si>
  <si>
    <t xml:space="preserve">0017884043</t>
  </si>
  <si>
    <t xml:space="preserve">49673</t>
  </si>
  <si>
    <t xml:space="preserve">OLIVEIRA &amp; BIANCHI COMERCIAL LTDA</t>
  </si>
  <si>
    <t xml:space="preserve">4904151006</t>
  </si>
  <si>
    <t xml:space="preserve">0017884072</t>
  </si>
  <si>
    <t xml:space="preserve">52131</t>
  </si>
  <si>
    <t xml:space="preserve">ARROBA EMBALAGENS LTDA</t>
  </si>
  <si>
    <t xml:space="preserve">4904097929</t>
  </si>
  <si>
    <t xml:space="preserve">0017879032</t>
  </si>
  <si>
    <t xml:space="preserve">202171</t>
  </si>
  <si>
    <t xml:space="preserve">LOJA DOCE LTDA</t>
  </si>
  <si>
    <t xml:space="preserve">4904096363</t>
  </si>
  <si>
    <t xml:space="preserve">0017876646</t>
  </si>
  <si>
    <t xml:space="preserve">4904076521</t>
  </si>
  <si>
    <t xml:space="preserve">0017874529</t>
  </si>
  <si>
    <t xml:space="preserve">53632</t>
  </si>
  <si>
    <t xml:space="preserve">COMERC LUZIA MEIRE DE GEN ALIM</t>
  </si>
  <si>
    <t xml:space="preserve">4904053772</t>
  </si>
  <si>
    <t xml:space="preserve">0017863733</t>
  </si>
  <si>
    <t xml:space="preserve">220661</t>
  </si>
  <si>
    <t xml:space="preserve">E. S. NEVES DISTRIBUIDORA DE</t>
  </si>
  <si>
    <t xml:space="preserve">4904020951</t>
  </si>
  <si>
    <t xml:space="preserve">0017872214</t>
  </si>
  <si>
    <t xml:space="preserve">84482</t>
  </si>
  <si>
    <t xml:space="preserve">DISTRIBUIDORA DOCE SABOR</t>
  </si>
  <si>
    <t xml:space="preserve">4904021567</t>
  </si>
  <si>
    <t xml:space="preserve">0017867733</t>
  </si>
  <si>
    <t xml:space="preserve">4904014031</t>
  </si>
  <si>
    <t xml:space="preserve">0017863716</t>
  </si>
  <si>
    <t xml:space="preserve">52367</t>
  </si>
  <si>
    <t xml:space="preserve">CENTRAL OSASCO DIST DE ALIM</t>
  </si>
  <si>
    <t xml:space="preserve">4904013363</t>
  </si>
  <si>
    <t xml:space="preserve">0017863724</t>
  </si>
  <si>
    <t xml:space="preserve">54289</t>
  </si>
  <si>
    <t xml:space="preserve">FLAMAR EMB LTDA EPP</t>
  </si>
  <si>
    <t xml:space="preserve">4904007669</t>
  </si>
  <si>
    <t xml:space="preserve">0017855107</t>
  </si>
  <si>
    <t xml:space="preserve">51222</t>
  </si>
  <si>
    <t xml:space="preserve">EMBALEME COM. DE EMBALAGENS DESCART</t>
  </si>
  <si>
    <t xml:space="preserve">4904003552</t>
  </si>
  <si>
    <t xml:space="preserve">0017865878</t>
  </si>
  <si>
    <t xml:space="preserve">97865</t>
  </si>
  <si>
    <t xml:space="preserve">R. BRUNETTO COMERCIO VAREJISTA DE</t>
  </si>
  <si>
    <t xml:space="preserve">4903997982</t>
  </si>
  <si>
    <t xml:space="preserve">0017857196</t>
  </si>
  <si>
    <t xml:space="preserve">4903997124</t>
  </si>
  <si>
    <t xml:space="preserve">0017857219</t>
  </si>
  <si>
    <t xml:space="preserve">47808</t>
  </si>
  <si>
    <t xml:space="preserve">DISCAMPBAMBA DISTRIBUIDORA LTDA</t>
  </si>
  <si>
    <t xml:space="preserve">4903955920</t>
  </si>
  <si>
    <t xml:space="preserve">0017863840</t>
  </si>
  <si>
    <t xml:space="preserve">74842</t>
  </si>
  <si>
    <t xml:space="preserve">TUDO EM FESTAS COMERCIO</t>
  </si>
  <si>
    <t xml:space="preserve">4903960491</t>
  </si>
  <si>
    <t xml:space="preserve">0017865793</t>
  </si>
  <si>
    <t xml:space="preserve">92076</t>
  </si>
  <si>
    <t xml:space="preserve">DISTRIBUIDORA DE ALIMENTOS</t>
  </si>
  <si>
    <t xml:space="preserve">4903932874</t>
  </si>
  <si>
    <t xml:space="preserve">0017854739</t>
  </si>
  <si>
    <t xml:space="preserve">93151</t>
  </si>
  <si>
    <t xml:space="preserve">CENTRAL DO CONFEITEIRO PRODUTOS</t>
  </si>
  <si>
    <t xml:space="preserve">4903916921</t>
  </si>
  <si>
    <t xml:space="preserve">0017861121</t>
  </si>
  <si>
    <t xml:space="preserve">92235</t>
  </si>
  <si>
    <t xml:space="preserve">FERMISUL FERMENTOS E PRODUTOS</t>
  </si>
  <si>
    <t xml:space="preserve">4903924349</t>
  </si>
  <si>
    <t xml:space="preserve">0017859359</t>
  </si>
  <si>
    <t xml:space="preserve">4903903473</t>
  </si>
  <si>
    <t xml:space="preserve">0017857388</t>
  </si>
  <si>
    <t xml:space="preserve">4903905036</t>
  </si>
  <si>
    <t xml:space="preserve">0017858731</t>
  </si>
  <si>
    <t xml:space="preserve">93527</t>
  </si>
  <si>
    <t xml:space="preserve">BRIGADEIRIA E ALGO MAIS LTDA - ME</t>
  </si>
  <si>
    <t xml:space="preserve">4903906285</t>
  </si>
  <si>
    <t xml:space="preserve">0017854329</t>
  </si>
  <si>
    <t xml:space="preserve">4903906286</t>
  </si>
  <si>
    <t xml:space="preserve">0017860861</t>
  </si>
  <si>
    <t xml:space="preserve">4903838325</t>
  </si>
  <si>
    <t xml:space="preserve">0017854397</t>
  </si>
  <si>
    <t xml:space="preserve">51879</t>
  </si>
  <si>
    <t xml:space="preserve">TRANSELPE LTDA. - EPP</t>
  </si>
  <si>
    <t xml:space="preserve">4904165133</t>
  </si>
  <si>
    <t xml:space="preserve">0017885692</t>
  </si>
  <si>
    <t xml:space="preserve">93762</t>
  </si>
  <si>
    <t xml:space="preserve">COM LUZIA MEIRE DE GENEROS</t>
  </si>
  <si>
    <t xml:space="preserve">4904053705</t>
  </si>
  <si>
    <t xml:space="preserve">0017863759</t>
  </si>
  <si>
    <t xml:space="preserve">50626</t>
  </si>
  <si>
    <t xml:space="preserve">CRISTINA ZUNTINI SANTOS EPP</t>
  </si>
  <si>
    <t xml:space="preserve">4904029456</t>
  </si>
  <si>
    <t xml:space="preserve">0017866799</t>
  </si>
  <si>
    <t xml:space="preserve">98914</t>
  </si>
  <si>
    <t xml:space="preserve">TALHO DELICATESSEN PAD E CONF LTDA</t>
  </si>
  <si>
    <t xml:space="preserve">4904014034</t>
  </si>
  <si>
    <t xml:space="preserve">0017865293</t>
  </si>
  <si>
    <t xml:space="preserve">91448</t>
  </si>
  <si>
    <t xml:space="preserve">STOQ V &amp; V ALIMENTOS LTDA</t>
  </si>
  <si>
    <t xml:space="preserve">4903955908</t>
  </si>
  <si>
    <t xml:space="preserve">0017863765</t>
  </si>
  <si>
    <t xml:space="preserve">206653</t>
  </si>
  <si>
    <t xml:space="preserve">BAUDELAIRE COOKIES LTDA</t>
  </si>
  <si>
    <t xml:space="preserve">4904181103</t>
  </si>
  <si>
    <t xml:space="preserve">0017888406</t>
  </si>
  <si>
    <t xml:space="preserve">83752</t>
  </si>
  <si>
    <t xml:space="preserve">DISTRIBUIDORA DE FRIOS HASI LTDA</t>
  </si>
  <si>
    <t xml:space="preserve">4904031155</t>
  </si>
  <si>
    <t xml:space="preserve">0017867864</t>
  </si>
  <si>
    <t xml:space="preserve">70915</t>
  </si>
  <si>
    <t xml:space="preserve">UNIVERSO DOS TRIGOS COMERCIO</t>
  </si>
  <si>
    <t xml:space="preserve">4904019430</t>
  </si>
  <si>
    <t xml:space="preserve">0017872208</t>
  </si>
  <si>
    <t xml:space="preserve">4904025164</t>
  </si>
  <si>
    <t xml:space="preserve">0017867732</t>
  </si>
  <si>
    <t xml:space="preserve">4904004938</t>
  </si>
  <si>
    <t xml:space="preserve">0017869931</t>
  </si>
  <si>
    <t xml:space="preserve">4904004922</t>
  </si>
  <si>
    <t xml:space="preserve">0017867700</t>
  </si>
  <si>
    <t xml:space="preserve">4904004848</t>
  </si>
  <si>
    <t xml:space="preserve">0017865809</t>
  </si>
  <si>
    <t xml:space="preserve">71363</t>
  </si>
  <si>
    <t xml:space="preserve">PADEIRITO COMERCIO E</t>
  </si>
  <si>
    <t xml:space="preserve">4904000697</t>
  </si>
  <si>
    <t xml:space="preserve">0017867450</t>
  </si>
  <si>
    <t xml:space="preserve">4904159968</t>
  </si>
  <si>
    <t xml:space="preserve">96_FU:811NV-50C_CA BLOCKS 5KG/UC 5UC</t>
  </si>
  <si>
    <t xml:space="preserve">0017883331</t>
  </si>
  <si>
    <t xml:space="preserve">4904159967</t>
  </si>
  <si>
    <t xml:space="preserve">0017883327</t>
  </si>
  <si>
    <t xml:space="preserve">47306</t>
  </si>
  <si>
    <t xml:space="preserve">COMERCIAL LUZIA MEIRE DE GENEROS AL</t>
  </si>
  <si>
    <t xml:space="preserve">4904113567</t>
  </si>
  <si>
    <t xml:space="preserve">0017883207</t>
  </si>
  <si>
    <t xml:space="preserve">4904100797</t>
  </si>
  <si>
    <t xml:space="preserve">BR106885</t>
  </si>
  <si>
    <t xml:space="preserve">0017881244</t>
  </si>
  <si>
    <t xml:space="preserve">212392</t>
  </si>
  <si>
    <t xml:space="preserve">MILANO COMERCIO VAREJISTA</t>
  </si>
  <si>
    <t xml:space="preserve">4904100798</t>
  </si>
  <si>
    <t xml:space="preserve">0017881247</t>
  </si>
  <si>
    <t xml:space="preserve">4904181173</t>
  </si>
  <si>
    <t xml:space="preserve">CA CALLETS 10KG/UC 2UC/BOX 30BOX/PAL</t>
  </si>
  <si>
    <t xml:space="preserve">0017887727</t>
  </si>
  <si>
    <t xml:space="preserve">85762</t>
  </si>
  <si>
    <t xml:space="preserve">ROBERTA COLOMBO ZOGBI DOCES</t>
  </si>
  <si>
    <t xml:space="preserve">4904150992</t>
  </si>
  <si>
    <t xml:space="preserve">0017884009</t>
  </si>
  <si>
    <t xml:space="preserve">43025</t>
  </si>
  <si>
    <t xml:space="preserve">MOTHER S PRODUTOS ALIMENTICIOS LTDA</t>
  </si>
  <si>
    <t xml:space="preserve">4904119936</t>
  </si>
  <si>
    <t xml:space="preserve">0017874834</t>
  </si>
  <si>
    <t xml:space="preserve">221099</t>
  </si>
  <si>
    <t xml:space="preserve">ALMENDRA - BAR E RESTAURANTE LTDA</t>
  </si>
  <si>
    <t xml:space="preserve">4904119940</t>
  </si>
  <si>
    <t xml:space="preserve">0017874851</t>
  </si>
  <si>
    <t xml:space="preserve">209175</t>
  </si>
  <si>
    <t xml:space="preserve">QUE DOCE CONFEITARIA ARTESANAL LTDA</t>
  </si>
  <si>
    <t xml:space="preserve">4904120021</t>
  </si>
  <si>
    <t xml:space="preserve">0017883613</t>
  </si>
  <si>
    <t xml:space="preserve">82514</t>
  </si>
  <si>
    <t xml:space="preserve">JEB GASTRONOMIA LTDA</t>
  </si>
  <si>
    <t xml:space="preserve">4904119976</t>
  </si>
  <si>
    <t xml:space="preserve">0017878888</t>
  </si>
  <si>
    <t xml:space="preserve">88430</t>
  </si>
  <si>
    <t xml:space="preserve">PASSIONE PER GELATO</t>
  </si>
  <si>
    <t xml:space="preserve">4904100503</t>
  </si>
  <si>
    <t xml:space="preserve">0017874876</t>
  </si>
  <si>
    <t xml:space="preserve">4904100506</t>
  </si>
  <si>
    <t xml:space="preserve">0017874873</t>
  </si>
  <si>
    <t xml:space="preserve">4904165512</t>
  </si>
  <si>
    <t xml:space="preserve">0017884101</t>
  </si>
  <si>
    <t xml:space="preserve">58541</t>
  </si>
  <si>
    <t xml:space="preserve">J. ROQUE COMERCIO DE ARTIGOS</t>
  </si>
  <si>
    <t xml:space="preserve">4904120026</t>
  </si>
  <si>
    <t xml:space="preserve">0017883695</t>
  </si>
  <si>
    <t xml:space="preserve">4904111223</t>
  </si>
  <si>
    <t xml:space="preserve">0017883416</t>
  </si>
  <si>
    <t xml:space="preserve">54480</t>
  </si>
  <si>
    <t xml:space="preserve">BARRY CALLEBAUT BRASIL INDUSTRIA E</t>
  </si>
  <si>
    <t xml:space="preserve">4904113563</t>
  </si>
  <si>
    <t xml:space="preserve">0017882922</t>
  </si>
  <si>
    <t xml:space="preserve">4904102999</t>
  </si>
  <si>
    <t xml:space="preserve">0017874707</t>
  </si>
  <si>
    <t xml:space="preserve">4903897767</t>
  </si>
  <si>
    <t xml:space="preserve">0017860325</t>
  </si>
  <si>
    <t xml:space="preserve">4903897880</t>
  </si>
  <si>
    <t xml:space="preserve">0017858925</t>
  </si>
  <si>
    <t xml:space="preserve">218057</t>
  </si>
  <si>
    <t xml:space="preserve">GELATO ARTESANAL AMERICANA LTDA</t>
  </si>
  <si>
    <t xml:space="preserve">4904184448</t>
  </si>
  <si>
    <t xml:space="preserve">0017888457</t>
  </si>
  <si>
    <t xml:space="preserve">55885</t>
  </si>
  <si>
    <t xml:space="preserve">PADEIRAO COMERCIO DE PRODUTOS</t>
  </si>
  <si>
    <t xml:space="preserve">4904184883</t>
  </si>
  <si>
    <t xml:space="preserve">0017876706</t>
  </si>
  <si>
    <t xml:space="preserve">4904181101</t>
  </si>
  <si>
    <t xml:space="preserve">0017888380</t>
  </si>
  <si>
    <t xml:space="preserve">76385</t>
  </si>
  <si>
    <t xml:space="preserve">SORVETES E FESTAS COM. ALIM.</t>
  </si>
  <si>
    <t xml:space="preserve">4904166953</t>
  </si>
  <si>
    <t xml:space="preserve">0017886489</t>
  </si>
  <si>
    <t xml:space="preserve">56938</t>
  </si>
  <si>
    <t xml:space="preserve">CUNHAPAN DISTRIBUIDORA DE</t>
  </si>
  <si>
    <t xml:space="preserve">4904144985</t>
  </si>
  <si>
    <t xml:space="preserve">0017885702</t>
  </si>
  <si>
    <t xml:space="preserve">219330</t>
  </si>
  <si>
    <t xml:space="preserve">ORGANIZACOES BRAZALMEIDA COMERCIO</t>
  </si>
  <si>
    <t xml:space="preserve">4904118758</t>
  </si>
  <si>
    <t xml:space="preserve">0017880530</t>
  </si>
  <si>
    <t xml:space="preserve">201007</t>
  </si>
  <si>
    <t xml:space="preserve">AMENDOEIRA CHOCOLATERIE LTDA</t>
  </si>
  <si>
    <t xml:space="preserve">4904113448</t>
  </si>
  <si>
    <t xml:space="preserve">0017874710</t>
  </si>
  <si>
    <t xml:space="preserve">4904088757</t>
  </si>
  <si>
    <t xml:space="preserve">0017870146</t>
  </si>
  <si>
    <t xml:space="preserve">215975</t>
  </si>
  <si>
    <t xml:space="preserve">R. C. F. ALBUQUERQUE LTDA</t>
  </si>
  <si>
    <t xml:space="preserve">4904091531</t>
  </si>
  <si>
    <t xml:space="preserve">0017876020</t>
  </si>
  <si>
    <t xml:space="preserve">82681</t>
  </si>
  <si>
    <t xml:space="preserve">COMERCIAL ELOI CHAVES LTDA</t>
  </si>
  <si>
    <t xml:space="preserve">4904082979</t>
  </si>
  <si>
    <t xml:space="preserve">0017870139</t>
  </si>
  <si>
    <t xml:space="preserve">206720</t>
  </si>
  <si>
    <t xml:space="preserve">ARTPAN COMERC DE ALIMENT LTDA</t>
  </si>
  <si>
    <t xml:space="preserve">4904082971</t>
  </si>
  <si>
    <t xml:space="preserve">0017874160</t>
  </si>
  <si>
    <t xml:space="preserve">98282</t>
  </si>
  <si>
    <t xml:space="preserve">BLUE ATACADISTA E DISTRIBUIDORA</t>
  </si>
  <si>
    <t xml:space="preserve">4904054024</t>
  </si>
  <si>
    <t xml:space="preserve">0017874669</t>
  </si>
  <si>
    <t xml:space="preserve">4904035618</t>
  </si>
  <si>
    <t xml:space="preserve">0017863082</t>
  </si>
  <si>
    <t xml:space="preserve">201055</t>
  </si>
  <si>
    <t xml:space="preserve">OESA COMERCIO E</t>
  </si>
  <si>
    <t xml:space="preserve">4904001348</t>
  </si>
  <si>
    <t xml:space="preserve">0017867355</t>
  </si>
  <si>
    <t xml:space="preserve">209001</t>
  </si>
  <si>
    <t xml:space="preserve">A COMERCIAL PAIVA LTDA</t>
  </si>
  <si>
    <t xml:space="preserve">4904004911</t>
  </si>
  <si>
    <t xml:space="preserve">0017865964</t>
  </si>
  <si>
    <t xml:space="preserve">96536</t>
  </si>
  <si>
    <t xml:space="preserve">DO ALLE DOCES E EMBALAGENS EIRELI</t>
  </si>
  <si>
    <t xml:space="preserve">4904004901</t>
  </si>
  <si>
    <t xml:space="preserve">0017865877</t>
  </si>
  <si>
    <t xml:space="preserve">86365</t>
  </si>
  <si>
    <t xml:space="preserve">ADOCE ATACADO E VAREJO</t>
  </si>
  <si>
    <t xml:space="preserve">4903996209</t>
  </si>
  <si>
    <t xml:space="preserve">0017859367</t>
  </si>
  <si>
    <t xml:space="preserve">71246</t>
  </si>
  <si>
    <t xml:space="preserve">SHOP FEST E DECORAÇÃO LTDA</t>
  </si>
  <si>
    <t xml:space="preserve">4903963513</t>
  </si>
  <si>
    <t xml:space="preserve">0017865450</t>
  </si>
  <si>
    <t xml:space="preserve">50007</t>
  </si>
  <si>
    <t xml:space="preserve">FERGA ALIMENTOS LTDA</t>
  </si>
  <si>
    <t xml:space="preserve">4903974986</t>
  </si>
  <si>
    <t xml:space="preserve">0017855132</t>
  </si>
  <si>
    <t xml:space="preserve">67391</t>
  </si>
  <si>
    <t xml:space="preserve">SERRA DOURADA ARTIGOS PARA FESTA</t>
  </si>
  <si>
    <t xml:space="preserve">4903975779</t>
  </si>
  <si>
    <t xml:space="preserve">0017855055</t>
  </si>
  <si>
    <t xml:space="preserve">71899</t>
  </si>
  <si>
    <t xml:space="preserve">JUDA PRDODUTOS</t>
  </si>
  <si>
    <t xml:space="preserve">4903975002</t>
  </si>
  <si>
    <t xml:space="preserve">0017867532</t>
  </si>
  <si>
    <t xml:space="preserve">4903914000</t>
  </si>
  <si>
    <t xml:space="preserve">0017857322</t>
  </si>
  <si>
    <t xml:space="preserve">99191</t>
  </si>
  <si>
    <t xml:space="preserve">HERMÍNIA MARLENE VIVIANE M.E.</t>
  </si>
  <si>
    <t xml:space="preserve">4903916923</t>
  </si>
  <si>
    <t xml:space="preserve">0017859381</t>
  </si>
  <si>
    <t xml:space="preserve">88585</t>
  </si>
  <si>
    <t xml:space="preserve">HJM DISTRIBUICAO DE FRIOS LTDA</t>
  </si>
  <si>
    <t xml:space="preserve">4903899689</t>
  </si>
  <si>
    <t xml:space="preserve">0017854726</t>
  </si>
  <si>
    <t xml:space="preserve">4903897716</t>
  </si>
  <si>
    <t xml:space="preserve">0017856810</t>
  </si>
  <si>
    <t xml:space="preserve">220705</t>
  </si>
  <si>
    <t xml:space="preserve">CLUBE DO CONFEITEIRO LTDA</t>
  </si>
  <si>
    <t xml:space="preserve">4903872001</t>
  </si>
  <si>
    <t xml:space="preserve">0017855003</t>
  </si>
  <si>
    <t xml:space="preserve">208132</t>
  </si>
  <si>
    <t xml:space="preserve">CASA DO SORVETEIRO CIDADE NOVA LTDA</t>
  </si>
  <si>
    <t xml:space="preserve">4903872462</t>
  </si>
  <si>
    <t xml:space="preserve">0017854446</t>
  </si>
  <si>
    <t xml:space="preserve">204826</t>
  </si>
  <si>
    <t xml:space="preserve">OESTE PRODUTOS PARA FESTAS LTDA</t>
  </si>
  <si>
    <t xml:space="preserve">4903872484</t>
  </si>
  <si>
    <t xml:space="preserve">0017855000</t>
  </si>
  <si>
    <t xml:space="preserve">52011</t>
  </si>
  <si>
    <t xml:space="preserve">CHOCOMEL DOCES E BOMBONIERES LTDA E</t>
  </si>
  <si>
    <t xml:space="preserve">4903869423</t>
  </si>
  <si>
    <t xml:space="preserve">0017854808</t>
  </si>
  <si>
    <t xml:space="preserve">4904181172</t>
  </si>
  <si>
    <t xml:space="preserve">0017883452</t>
  </si>
  <si>
    <t xml:space="preserve">4904150998</t>
  </si>
  <si>
    <t xml:space="preserve">0017884051</t>
  </si>
  <si>
    <t xml:space="preserve">213196</t>
  </si>
  <si>
    <t xml:space="preserve">OMEGA YK FABRICA DE ALIMENTOS LTDA</t>
  </si>
  <si>
    <t xml:space="preserve">4904119949</t>
  </si>
  <si>
    <t xml:space="preserve">0017876670</t>
  </si>
  <si>
    <t xml:space="preserve">211116</t>
  </si>
  <si>
    <t xml:space="preserve">PECAN CONFEITARIA LTDA</t>
  </si>
  <si>
    <t xml:space="preserve">4904119939</t>
  </si>
  <si>
    <t xml:space="preserve">0017874848</t>
  </si>
  <si>
    <t xml:space="preserve">56337</t>
  </si>
  <si>
    <t xml:space="preserve">COMPANHIA PALMARES HOTEIS E TURISMO</t>
  </si>
  <si>
    <t xml:space="preserve">4903881998</t>
  </si>
  <si>
    <t xml:space="preserve">BC105440</t>
  </si>
  <si>
    <t xml:space="preserve">0017861090</t>
  </si>
  <si>
    <t xml:space="preserve">4904181050</t>
  </si>
  <si>
    <t xml:space="preserve">CB PAILLETÉ FEUILLETINE 2.5KG/UC 4UC/BOX</t>
  </si>
  <si>
    <t xml:space="preserve">0017884081</t>
  </si>
  <si>
    <t xml:space="preserve">42779</t>
  </si>
  <si>
    <t xml:space="preserve">COMERCIO DE PRODs ALIMENTICIOS SLM</t>
  </si>
  <si>
    <t xml:space="preserve">4904181176</t>
  </si>
  <si>
    <t xml:space="preserve">0017888408</t>
  </si>
  <si>
    <t xml:space="preserve">220615</t>
  </si>
  <si>
    <t xml:space="preserve">PETITE FLEUR PATISSERIE LTDA</t>
  </si>
  <si>
    <t xml:space="preserve">4903859705</t>
  </si>
  <si>
    <t xml:space="preserve">0017854547</t>
  </si>
  <si>
    <t xml:space="preserve">90486</t>
  </si>
  <si>
    <t xml:space="preserve">GI CARVALHO DOCERIA UBERABA LTDA</t>
  </si>
  <si>
    <t xml:space="preserve">4904180985</t>
  </si>
  <si>
    <t xml:space="preserve">CB EXTRUDED 8CM STICKS 1.6KG/UC 15UC/BOX</t>
  </si>
  <si>
    <t xml:space="preserve">0017884012</t>
  </si>
  <si>
    <t xml:space="preserve">85555</t>
  </si>
  <si>
    <t xml:space="preserve">SABOR DE FRANCE PANIFICADORA LTDA</t>
  </si>
  <si>
    <t xml:space="preserve">4904180986</t>
  </si>
  <si>
    <t xml:space="preserve">0017884013</t>
  </si>
  <si>
    <t xml:space="preserve">4904167048</t>
  </si>
  <si>
    <t xml:space="preserve">0017884038</t>
  </si>
  <si>
    <t xml:space="preserve">4904165557</t>
  </si>
  <si>
    <t xml:space="preserve">0017886205</t>
  </si>
  <si>
    <t xml:space="preserve">202408</t>
  </si>
  <si>
    <t xml:space="preserve">MD PRODUTOS ALIMENTICIOS LTDAEPP</t>
  </si>
  <si>
    <t xml:space="preserve">4904165552</t>
  </si>
  <si>
    <t xml:space="preserve">0017885575</t>
  </si>
  <si>
    <t xml:space="preserve">50202</t>
  </si>
  <si>
    <t xml:space="preserve">STA - DISTRIBUIDORA DE ALIMENTOS LT</t>
  </si>
  <si>
    <t xml:space="preserve">4904165511</t>
  </si>
  <si>
    <t xml:space="preserve">0017884099</t>
  </si>
  <si>
    <t xml:space="preserve">4904165515</t>
  </si>
  <si>
    <t xml:space="preserve">0017884104</t>
  </si>
  <si>
    <t xml:space="preserve">77156</t>
  </si>
  <si>
    <t xml:space="preserve">MIX TUDO COMERCIO E SERVIÇOS EIRELI</t>
  </si>
  <si>
    <t xml:space="preserve">4904165551</t>
  </si>
  <si>
    <t xml:space="preserve">0017885567</t>
  </si>
  <si>
    <t xml:space="preserve">4904165513</t>
  </si>
  <si>
    <t xml:space="preserve">0017884102</t>
  </si>
  <si>
    <t xml:space="preserve">89257</t>
  </si>
  <si>
    <t xml:space="preserve">ROQUE LIMA COMERCIO PARA</t>
  </si>
  <si>
    <t xml:space="preserve">4904159993</t>
  </si>
  <si>
    <t xml:space="preserve">0017884135</t>
  </si>
  <si>
    <t xml:space="preserve">4904146767</t>
  </si>
  <si>
    <t xml:space="preserve">0017884025</t>
  </si>
  <si>
    <t xml:space="preserve">214346</t>
  </si>
  <si>
    <t xml:space="preserve">DISTRIBUIDORA NORDESTINA DE</t>
  </si>
  <si>
    <t xml:space="preserve">4904159995</t>
  </si>
  <si>
    <t xml:space="preserve">0017884142</t>
  </si>
  <si>
    <t xml:space="preserve">50981</t>
  </si>
  <si>
    <t xml:space="preserve">DOCES DOCELANDIA &amp; VAZ LTDA</t>
  </si>
  <si>
    <t xml:space="preserve">4904144961</t>
  </si>
  <si>
    <t xml:space="preserve">0017884093</t>
  </si>
  <si>
    <t xml:space="preserve">213466</t>
  </si>
  <si>
    <t xml:space="preserve">DU PAIN &amp; C.A. COMERCIO DE</t>
  </si>
  <si>
    <t xml:space="preserve">4904151005</t>
  </si>
  <si>
    <t xml:space="preserve">0017884066</t>
  </si>
  <si>
    <t xml:space="preserve">4904118766</t>
  </si>
  <si>
    <t xml:space="preserve">0017883372</t>
  </si>
  <si>
    <t xml:space="preserve">4904120004</t>
  </si>
  <si>
    <t xml:space="preserve">0017882952</t>
  </si>
  <si>
    <t xml:space="preserve">200231</t>
  </si>
  <si>
    <t xml:space="preserve">TALHO CAFE LTDA</t>
  </si>
  <si>
    <t xml:space="preserve">4904120005</t>
  </si>
  <si>
    <t xml:space="preserve">0017882953</t>
  </si>
  <si>
    <t xml:space="preserve">4904119953</t>
  </si>
  <si>
    <t xml:space="preserve">0017878041</t>
  </si>
  <si>
    <t xml:space="preserve">211975</t>
  </si>
  <si>
    <t xml:space="preserve">PADARIA ARAUCARIA LTDA</t>
  </si>
  <si>
    <t xml:space="preserve">4904119959</t>
  </si>
  <si>
    <t xml:space="preserve">0017878189</t>
  </si>
  <si>
    <t xml:space="preserve">4904118786</t>
  </si>
  <si>
    <t xml:space="preserve">0017883580</t>
  </si>
  <si>
    <t xml:space="preserve">207166</t>
  </si>
  <si>
    <t xml:space="preserve">PRESTINARIA IND. E COM. DE</t>
  </si>
  <si>
    <t xml:space="preserve">4904120003</t>
  </si>
  <si>
    <t xml:space="preserve">0017882951</t>
  </si>
  <si>
    <t xml:space="preserve">68780</t>
  </si>
  <si>
    <t xml:space="preserve">RIO JV PARTNERS PARTICIPACOES LTDA.</t>
  </si>
  <si>
    <t xml:space="preserve">4904120002</t>
  </si>
  <si>
    <t xml:space="preserve">0017882950</t>
  </si>
  <si>
    <t xml:space="preserve">84579</t>
  </si>
  <si>
    <t xml:space="preserve">PITITI COMERCIO DE PRODUTOS</t>
  </si>
  <si>
    <t xml:space="preserve">4904119958</t>
  </si>
  <si>
    <t xml:space="preserve">0017878188</t>
  </si>
  <si>
    <t xml:space="preserve">90699</t>
  </si>
  <si>
    <t xml:space="preserve">BOULANGERIE COMERCIO</t>
  </si>
  <si>
    <t xml:space="preserve">4904120007</t>
  </si>
  <si>
    <t xml:space="preserve">0017882957</t>
  </si>
  <si>
    <t xml:space="preserve">42816</t>
  </si>
  <si>
    <t xml:space="preserve">COMPANHIA HOTEIS PALACE</t>
  </si>
  <si>
    <t xml:space="preserve">4904120009</t>
  </si>
  <si>
    <t xml:space="preserve">0017883367</t>
  </si>
  <si>
    <t xml:space="preserve">4904117847</t>
  </si>
  <si>
    <t xml:space="preserve">0017883433</t>
  </si>
  <si>
    <t xml:space="preserve">4904118292</t>
  </si>
  <si>
    <t xml:space="preserve">0017883582</t>
  </si>
  <si>
    <t xml:space="preserve">4904118268</t>
  </si>
  <si>
    <t xml:space="preserve">0017883373</t>
  </si>
  <si>
    <t xml:space="preserve">50342</t>
  </si>
  <si>
    <t xml:space="preserve">COMERCIO DE DOCES APARECIDA LTDA</t>
  </si>
  <si>
    <t xml:space="preserve">4904117853</t>
  </si>
  <si>
    <t xml:space="preserve">0017883555</t>
  </si>
  <si>
    <t xml:space="preserve">82511</t>
  </si>
  <si>
    <t xml:space="preserve">CONFEITAR COMERCIO DE GENEROS</t>
  </si>
  <si>
    <t xml:space="preserve">4904099149</t>
  </si>
  <si>
    <t xml:space="preserve">0017876606</t>
  </si>
  <si>
    <t xml:space="preserve">4904099147</t>
  </si>
  <si>
    <t xml:space="preserve">0017876597</t>
  </si>
  <si>
    <t xml:space="preserve">220476</t>
  </si>
  <si>
    <t xml:space="preserve">FARINHA E AGUA LTDA</t>
  </si>
  <si>
    <t xml:space="preserve">4904099148</t>
  </si>
  <si>
    <t xml:space="preserve">0017876598</t>
  </si>
  <si>
    <t xml:space="preserve">4904026577</t>
  </si>
  <si>
    <t xml:space="preserve">0017866797</t>
  </si>
  <si>
    <t xml:space="preserve">202431</t>
  </si>
  <si>
    <t xml:space="preserve">SANTU PANIFICACAO LTDA</t>
  </si>
  <si>
    <t xml:space="preserve">4903955186</t>
  </si>
  <si>
    <t xml:space="preserve">0017858564</t>
  </si>
  <si>
    <t xml:space="preserve">201887</t>
  </si>
  <si>
    <t xml:space="preserve">FUTURO REFEITORIO LTDA</t>
  </si>
  <si>
    <t xml:space="preserve">4903941329</t>
  </si>
  <si>
    <t xml:space="preserve">0017859505</t>
  </si>
  <si>
    <t xml:space="preserve">51836</t>
  </si>
  <si>
    <t xml:space="preserve">DAMA COMERCIO DE ALIMENTOS E PROMOC</t>
  </si>
  <si>
    <t xml:space="preserve">4904159988</t>
  </si>
  <si>
    <t xml:space="preserve">CB CHIPS 7500CT/KG 1KG/UC 6UC/CX</t>
  </si>
  <si>
    <t xml:space="preserve">0017884061</t>
  </si>
  <si>
    <t xml:space="preserve">4904119970</t>
  </si>
  <si>
    <t xml:space="preserve">0017878193</t>
  </si>
  <si>
    <t xml:space="preserve">4904117711</t>
  </si>
  <si>
    <t xml:space="preserve">0017880703</t>
  </si>
  <si>
    <t xml:space="preserve">4904119971</t>
  </si>
  <si>
    <t xml:space="preserve">0017878194</t>
  </si>
  <si>
    <t xml:space="preserve">58678</t>
  </si>
  <si>
    <t xml:space="preserve">TALHO CAPIXABA LTDA</t>
  </si>
  <si>
    <t xml:space="preserve">4903912817</t>
  </si>
  <si>
    <t xml:space="preserve">96_FU:CHD-SP-1L-BR-U73</t>
  </si>
  <si>
    <t xml:space="preserve">0017859228</t>
  </si>
  <si>
    <t xml:space="preserve">87628</t>
  </si>
  <si>
    <t xml:space="preserve">FC DISTRIBUIDORA</t>
  </si>
  <si>
    <t xml:space="preserve">4904182367</t>
  </si>
  <si>
    <t xml:space="preserve">0017886424</t>
  </si>
  <si>
    <t xml:space="preserve">217128</t>
  </si>
  <si>
    <t xml:space="preserve">DOCE AHAV PARTICIPACOES S.A</t>
  </si>
  <si>
    <t xml:space="preserve">4904179853</t>
  </si>
  <si>
    <t xml:space="preserve">0017887861</t>
  </si>
  <si>
    <t xml:space="preserve">50331</t>
  </si>
  <si>
    <t xml:space="preserve">RENAISSANCE DO BRASIL HOTELARIA</t>
  </si>
  <si>
    <t xml:space="preserve">4904179854</t>
  </si>
  <si>
    <t xml:space="preserve">0017887862</t>
  </si>
  <si>
    <t xml:space="preserve">4904179855</t>
  </si>
  <si>
    <t xml:space="preserve">0017887863</t>
  </si>
  <si>
    <t xml:space="preserve">49308</t>
  </si>
  <si>
    <t xml:space="preserve">GRAN SABOR BUFFET LTDA, EPP</t>
  </si>
  <si>
    <t xml:space="preserve">4904179857</t>
  </si>
  <si>
    <t xml:space="preserve">0017887865</t>
  </si>
  <si>
    <t xml:space="preserve">217511</t>
  </si>
  <si>
    <t xml:space="preserve">FECCHIO CAMARGO PANIFICACAO</t>
  </si>
  <si>
    <t xml:space="preserve">4904181102</t>
  </si>
  <si>
    <t xml:space="preserve">0017888383</t>
  </si>
  <si>
    <t xml:space="preserve">4904181175</t>
  </si>
  <si>
    <t xml:space="preserve">0017888132</t>
  </si>
  <si>
    <t xml:space="preserve">4904179858</t>
  </si>
  <si>
    <t xml:space="preserve">0017887867</t>
  </si>
  <si>
    <t xml:space="preserve">220868</t>
  </si>
  <si>
    <t xml:space="preserve">M FOODS LTDA</t>
  </si>
  <si>
    <t xml:space="preserve">4904159989</t>
  </si>
  <si>
    <t xml:space="preserve">0017884068</t>
  </si>
  <si>
    <t xml:space="preserve">4904144944</t>
  </si>
  <si>
    <t xml:space="preserve">0017881427</t>
  </si>
  <si>
    <t xml:space="preserve">94517</t>
  </si>
  <si>
    <t xml:space="preserve">JANE'S APPLE FACTORY LTDA</t>
  </si>
  <si>
    <t xml:space="preserve">4904118265</t>
  </si>
  <si>
    <t xml:space="preserve">0017881423</t>
  </si>
  <si>
    <t xml:space="preserve">66066</t>
  </si>
  <si>
    <t xml:space="preserve">DEVORATA INDUSTRIA E COMERCIO DE</t>
  </si>
  <si>
    <t xml:space="preserve">4904134038</t>
  </si>
  <si>
    <t xml:space="preserve">CA CALLETS 0.4KG/UC 7UC/BOX 144BOX/PAL</t>
  </si>
  <si>
    <t xml:space="preserve">0017878207</t>
  </si>
  <si>
    <t xml:space="preserve">4904134044</t>
  </si>
  <si>
    <t xml:space="preserve">0017878221</t>
  </si>
  <si>
    <t xml:space="preserve">96675</t>
  </si>
  <si>
    <t xml:space="preserve">BEAUBON CONFEITARIA LTDA</t>
  </si>
  <si>
    <t xml:space="preserve">4903976308</t>
  </si>
  <si>
    <t xml:space="preserve">0017864944</t>
  </si>
  <si>
    <t xml:space="preserve">4904182380</t>
  </si>
  <si>
    <t xml:space="preserve">CA MILK BLOSSOMS BLOSSOMS 1KG/UC 4UC/BOX</t>
  </si>
  <si>
    <t xml:space="preserve">0017888374</t>
  </si>
  <si>
    <t xml:space="preserve">211027</t>
  </si>
  <si>
    <t xml:space="preserve">COMERCIAL MARTINI-ALIMENTOS E</t>
  </si>
  <si>
    <t xml:space="preserve">4904144963</t>
  </si>
  <si>
    <t xml:space="preserve">0017884095</t>
  </si>
  <si>
    <t xml:space="preserve">4904111194</t>
  </si>
  <si>
    <t xml:space="preserve">0017880810</t>
  </si>
  <si>
    <t xml:space="preserve">47807</t>
  </si>
  <si>
    <t xml:space="preserve">DISCAMPCHOC COMERCIO DE</t>
  </si>
  <si>
    <t xml:space="preserve">4904102995</t>
  </si>
  <si>
    <t xml:space="preserve">0017874273</t>
  </si>
  <si>
    <t xml:space="preserve">4904058131</t>
  </si>
  <si>
    <t xml:space="preserve">0017865461</t>
  </si>
  <si>
    <t xml:space="preserve">54789</t>
  </si>
  <si>
    <t xml:space="preserve">CASA DA PANIFICACAO COM E REP DE PR</t>
  </si>
  <si>
    <t xml:space="preserve">4904004926</t>
  </si>
  <si>
    <t xml:space="preserve">0017867898</t>
  </si>
  <si>
    <t xml:space="preserve">94088</t>
  </si>
  <si>
    <t xml:space="preserve">CATARINA FERREIRA</t>
  </si>
  <si>
    <t xml:space="preserve">4903994676</t>
  </si>
  <si>
    <t xml:space="preserve">0017862924</t>
  </si>
  <si>
    <t xml:space="preserve">204282</t>
  </si>
  <si>
    <t xml:space="preserve">DISPAN DISTRIBUIDORA DE</t>
  </si>
  <si>
    <t xml:space="preserve">4903922283</t>
  </si>
  <si>
    <t xml:space="preserve">BC129357</t>
  </si>
  <si>
    <t xml:space="preserve">0017854647</t>
  </si>
  <si>
    <t xml:space="preserve">4903909774</t>
  </si>
  <si>
    <t xml:space="preserve">0017857318</t>
  </si>
  <si>
    <t xml:space="preserve">206327</t>
  </si>
  <si>
    <t xml:space="preserve">PAPELAN LTDA</t>
  </si>
  <si>
    <t xml:space="preserve">4903887109</t>
  </si>
  <si>
    <t xml:space="preserve">0017854576</t>
  </si>
  <si>
    <t xml:space="preserve">4904175197</t>
  </si>
  <si>
    <t xml:space="preserve">CA CHOCOCUBES CHUNKS 700CT/KG 2.5KG/UC</t>
  </si>
  <si>
    <t xml:space="preserve">0017881185</t>
  </si>
  <si>
    <t xml:space="preserve">220862</t>
  </si>
  <si>
    <t xml:space="preserve">NICO COOKIES LTDA</t>
  </si>
  <si>
    <t xml:space="preserve">4904134052</t>
  </si>
  <si>
    <t xml:space="preserve">CA MILK LARGE FLAKES SPLITTERS 1KG/UC</t>
  </si>
  <si>
    <t xml:space="preserve">0017885617</t>
  </si>
  <si>
    <t xml:space="preserve">4904117712</t>
  </si>
  <si>
    <t xml:space="preserve">0017872245</t>
  </si>
  <si>
    <t xml:space="preserve">201411</t>
  </si>
  <si>
    <t xml:space="preserve">PLATLOG IMP LOG E DISTR LTDA</t>
  </si>
  <si>
    <t xml:space="preserve">4904079414</t>
  </si>
  <si>
    <t xml:space="preserve">0017871812</t>
  </si>
  <si>
    <t xml:space="preserve">81064</t>
  </si>
  <si>
    <t xml:space="preserve">ORGANIZAÇÃO VERDEMAR LTDA</t>
  </si>
  <si>
    <t xml:space="preserve">4904079094</t>
  </si>
  <si>
    <t xml:space="preserve">0360</t>
  </si>
  <si>
    <t xml:space="preserve">0017876683</t>
  </si>
  <si>
    <t xml:space="preserve">42759</t>
  </si>
  <si>
    <t xml:space="preserve">BB DOCES LTDA - ME</t>
  </si>
  <si>
    <t xml:space="preserve">4904023539</t>
  </si>
  <si>
    <t xml:space="preserve">0017870098</t>
  </si>
  <si>
    <t xml:space="preserve">4904019106</t>
  </si>
  <si>
    <t xml:space="preserve">0017870066</t>
  </si>
  <si>
    <t xml:space="preserve">73049</t>
  </si>
  <si>
    <t xml:space="preserve">POLIANE DE MATOS</t>
  </si>
  <si>
    <t xml:space="preserve">4904013777</t>
  </si>
  <si>
    <t xml:space="preserve">0017867737</t>
  </si>
  <si>
    <t xml:space="preserve">74675</t>
  </si>
  <si>
    <t xml:space="preserve">MEIRE ELOISE TREVISAN</t>
  </si>
  <si>
    <t xml:space="preserve">4904013571</t>
  </si>
  <si>
    <t xml:space="preserve">0017863384</t>
  </si>
  <si>
    <t xml:space="preserve">54681</t>
  </si>
  <si>
    <t xml:space="preserve">PLINIO FERREIRA JUNIOR &amp; CIA LTDA</t>
  </si>
  <si>
    <t xml:space="preserve">4904010797</t>
  </si>
  <si>
    <t xml:space="preserve">0017859353</t>
  </si>
  <si>
    <t xml:space="preserve">4903974269</t>
  </si>
  <si>
    <t xml:space="preserve">0017860948</t>
  </si>
  <si>
    <t xml:space="preserve">4903963516</t>
  </si>
  <si>
    <t xml:space="preserve">0017865794</t>
  </si>
  <si>
    <t xml:space="preserve">97562</t>
  </si>
  <si>
    <t xml:space="preserve">LO CONFEITEIRA LTDA</t>
  </si>
  <si>
    <t xml:space="preserve">4903960762</t>
  </si>
  <si>
    <t xml:space="preserve">0017865791</t>
  </si>
  <si>
    <t xml:space="preserve">4903940761</t>
  </si>
  <si>
    <t xml:space="preserve">0017856411</t>
  </si>
  <si>
    <t xml:space="preserve">97991</t>
  </si>
  <si>
    <t xml:space="preserve">ATELIER LU CHOCOLATES LTDA</t>
  </si>
  <si>
    <t xml:space="preserve">4903922328</t>
  </si>
  <si>
    <t xml:space="preserve">0017858767</t>
  </si>
  <si>
    <t xml:space="preserve">4903899082</t>
  </si>
  <si>
    <t xml:space="preserve">0017861195</t>
  </si>
  <si>
    <t xml:space="preserve">95872</t>
  </si>
  <si>
    <t xml:space="preserve">QUALIDADE RIO CLARO COMERCIO</t>
  </si>
  <si>
    <t xml:space="preserve">4903897760</t>
  </si>
  <si>
    <t xml:space="preserve">0017860823</t>
  </si>
  <si>
    <t xml:space="preserve">221221</t>
  </si>
  <si>
    <t xml:space="preserve">SWEET HOUSE CHOCOLATEIRA</t>
  </si>
  <si>
    <t xml:space="preserve">4904159918</t>
  </si>
  <si>
    <t xml:space="preserve">CA SILKY CHOCO POWDER POWDER 1KG/UC</t>
  </si>
  <si>
    <t xml:space="preserve">0017859322</t>
  </si>
  <si>
    <t xml:space="preserve">53780</t>
  </si>
  <si>
    <t xml:space="preserve">VIEL VIEL &amp; CIA LTDA</t>
  </si>
  <si>
    <t xml:space="preserve">4904053779</t>
  </si>
  <si>
    <t xml:space="preserve">0017859284</t>
  </si>
  <si>
    <t xml:space="preserve">4904048852</t>
  </si>
  <si>
    <t xml:space="preserve">0017869172</t>
  </si>
  <si>
    <t xml:space="preserve">71703</t>
  </si>
  <si>
    <t xml:space="preserve">ELAINE CRISTINA BARRUECO ME</t>
  </si>
  <si>
    <t xml:space="preserve">4903941344</t>
  </si>
  <si>
    <t xml:space="preserve">0017860828</t>
  </si>
  <si>
    <t xml:space="preserve">84573</t>
  </si>
  <si>
    <t xml:space="preserve">MADALENA BRIGADEIROS</t>
  </si>
  <si>
    <t xml:space="preserve">4903915879</t>
  </si>
  <si>
    <t xml:space="preserve">0017859227</t>
  </si>
  <si>
    <t xml:space="preserve">86342</t>
  </si>
  <si>
    <t xml:space="preserve">FC DISTRIBUIDORA DE .</t>
  </si>
  <si>
    <t xml:space="preserve">4904165498</t>
  </si>
  <si>
    <t xml:space="preserve">CA RUBY CALLETS 2.5KG/UC 4UC/BOX</t>
  </si>
  <si>
    <t xml:space="preserve">0017884021</t>
  </si>
  <si>
    <t xml:space="preserve">4904180988</t>
  </si>
  <si>
    <t xml:space="preserve">0017884023</t>
  </si>
  <si>
    <t xml:space="preserve">4904180987</t>
  </si>
  <si>
    <t xml:space="preserve">0017884014</t>
  </si>
  <si>
    <t xml:space="preserve">71419</t>
  </si>
  <si>
    <t xml:space="preserve">ZANON &amp; DE BORTOLI LTDA ME</t>
  </si>
  <si>
    <t xml:space="preserve">4904180989</t>
  </si>
  <si>
    <t xml:space="preserve">0017884030</t>
  </si>
  <si>
    <t xml:space="preserve">4904165510</t>
  </si>
  <si>
    <t xml:space="preserve">0017884037</t>
  </si>
  <si>
    <t xml:space="preserve">4904159985</t>
  </si>
  <si>
    <t xml:space="preserve">0017884032</t>
  </si>
  <si>
    <t xml:space="preserve">4904159969</t>
  </si>
  <si>
    <t xml:space="preserve">0017883332</t>
  </si>
  <si>
    <t xml:space="preserve">4904159964</t>
  </si>
  <si>
    <t xml:space="preserve">0017882928</t>
  </si>
  <si>
    <t xml:space="preserve">4904159960</t>
  </si>
  <si>
    <t xml:space="preserve">0017882905</t>
  </si>
  <si>
    <t xml:space="preserve">64120</t>
  </si>
  <si>
    <t xml:space="preserve">DISCAMP FOODS COMERCIO</t>
  </si>
  <si>
    <t xml:space="preserve">4904159959</t>
  </si>
  <si>
    <t xml:space="preserve">0017882904</t>
  </si>
  <si>
    <t xml:space="preserve">4904146769</t>
  </si>
  <si>
    <t xml:space="preserve">0017884034</t>
  </si>
  <si>
    <t xml:space="preserve">205225</t>
  </si>
  <si>
    <t xml:space="preserve">COMERCIAL DE ALIMENTOS</t>
  </si>
  <si>
    <t xml:space="preserve">4904151004</t>
  </si>
  <si>
    <t xml:space="preserve">0017884065</t>
  </si>
  <si>
    <t xml:space="preserve">4904119998</t>
  </si>
  <si>
    <t xml:space="preserve">0017881229</t>
  </si>
  <si>
    <t xml:space="preserve">96831</t>
  </si>
  <si>
    <t xml:space="preserve">CHEZ BONBON COMERCIO DE</t>
  </si>
  <si>
    <t xml:space="preserve">4904119984</t>
  </si>
  <si>
    <t xml:space="preserve">0017881064</t>
  </si>
  <si>
    <t xml:space="preserve">203619</t>
  </si>
  <si>
    <t xml:space="preserve">CASAL GARCIA BOLOS LTDA - ME</t>
  </si>
  <si>
    <t xml:space="preserve">4904118763</t>
  </si>
  <si>
    <t xml:space="preserve">0017880946</t>
  </si>
  <si>
    <t xml:space="preserve">211381</t>
  </si>
  <si>
    <t xml:space="preserve">MARIA DANIELE MENEZES SILVA</t>
  </si>
  <si>
    <t xml:space="preserve">4904119997</t>
  </si>
  <si>
    <t xml:space="preserve">0017881228</t>
  </si>
  <si>
    <t xml:space="preserve">43218</t>
  </si>
  <si>
    <t xml:space="preserve">TONTTULAKKI COMÉRCIO DE CHOCOLATES</t>
  </si>
  <si>
    <t xml:space="preserve">4904118282</t>
  </si>
  <si>
    <t xml:space="preserve">0017883440</t>
  </si>
  <si>
    <t xml:space="preserve">54560</t>
  </si>
  <si>
    <t xml:space="preserve">OFELIA M MACHADO &amp; CIA LTDA</t>
  </si>
  <si>
    <t xml:space="preserve">4904118266</t>
  </si>
  <si>
    <t xml:space="preserve">0017882944</t>
  </si>
  <si>
    <t xml:space="preserve">219716</t>
  </si>
  <si>
    <t xml:space="preserve">VIAREGGIO INDUSTRIA &amp; COMERCIO DE</t>
  </si>
  <si>
    <t xml:space="preserve">4904118264</t>
  </si>
  <si>
    <t xml:space="preserve">0017881402</t>
  </si>
  <si>
    <t xml:space="preserve">50583</t>
  </si>
  <si>
    <t xml:space="preserve">CONFEITARIA ZUCHI LTDA ME</t>
  </si>
  <si>
    <t xml:space="preserve">4904118263</t>
  </si>
  <si>
    <t xml:space="preserve">0017880942</t>
  </si>
  <si>
    <t xml:space="preserve">67581</t>
  </si>
  <si>
    <t xml:space="preserve">RIBERPAN COMERCIO DE ALIMENTOS LTDA</t>
  </si>
  <si>
    <t xml:space="preserve">4904113552</t>
  </si>
  <si>
    <t xml:space="preserve">0017881274</t>
  </si>
  <si>
    <t xml:space="preserve">207381</t>
  </si>
  <si>
    <t xml:space="preserve">DIO MIO COM DE SORVETES LTDA</t>
  </si>
  <si>
    <t xml:space="preserve">4904113568</t>
  </si>
  <si>
    <t xml:space="preserve">0017883323</t>
  </si>
  <si>
    <t xml:space="preserve">4904113571</t>
  </si>
  <si>
    <t xml:space="preserve">0017883338</t>
  </si>
  <si>
    <t xml:space="preserve">54379</t>
  </si>
  <si>
    <t xml:space="preserve">DOCE FESTA DOCERRANO LTDA</t>
  </si>
  <si>
    <t xml:space="preserve">4904146910</t>
  </si>
  <si>
    <t xml:space="preserve">0017884097</t>
  </si>
  <si>
    <t xml:space="preserve">4904134047</t>
  </si>
  <si>
    <t xml:space="preserve">0017881067</t>
  </si>
  <si>
    <t xml:space="preserve">4904117664</t>
  </si>
  <si>
    <t xml:space="preserve">0017878454</t>
  </si>
  <si>
    <t xml:space="preserve">4904118284</t>
  </si>
  <si>
    <t xml:space="preserve">0017883468</t>
  </si>
  <si>
    <t xml:space="preserve">4904075935</t>
  </si>
  <si>
    <t xml:space="preserve">0017871552</t>
  </si>
  <si>
    <t xml:space="preserve">220174</t>
  </si>
  <si>
    <t xml:space="preserve">E49 COMERCIO DE EMBALAGENS E</t>
  </si>
  <si>
    <t xml:space="preserve">4904026661</t>
  </si>
  <si>
    <t xml:space="preserve">0017867095</t>
  </si>
  <si>
    <t xml:space="preserve">4904007660</t>
  </si>
  <si>
    <t xml:space="preserve">0017854715</t>
  </si>
  <si>
    <t xml:space="preserve">4904010793</t>
  </si>
  <si>
    <t xml:space="preserve">0017859352</t>
  </si>
  <si>
    <t xml:space="preserve">85686</t>
  </si>
  <si>
    <t xml:space="preserve">LA PASTA PLACE BAR E REST EIRELLI</t>
  </si>
  <si>
    <t xml:space="preserve">4903976267</t>
  </si>
  <si>
    <t xml:space="preserve">0017864955</t>
  </si>
  <si>
    <t xml:space="preserve">51880</t>
  </si>
  <si>
    <t xml:space="preserve">PADARIA E CONVENIENCIA SILVEIRA LTD</t>
  </si>
  <si>
    <t xml:space="preserve">4903976264</t>
  </si>
  <si>
    <t xml:space="preserve">0017864883</t>
  </si>
  <si>
    <t xml:space="preserve">4903976195</t>
  </si>
  <si>
    <t xml:space="preserve">0017863874</t>
  </si>
  <si>
    <t xml:space="preserve">220241</t>
  </si>
  <si>
    <t xml:space="preserve">FABRIQUE - PAES ARTESANAIS LTDA</t>
  </si>
  <si>
    <t xml:space="preserve">4903897766</t>
  </si>
  <si>
    <t xml:space="preserve">0017858928</t>
  </si>
  <si>
    <t xml:space="preserve">4903883571</t>
  </si>
  <si>
    <t xml:space="preserve">0017859512</t>
  </si>
  <si>
    <t xml:space="preserve">219957</t>
  </si>
  <si>
    <t xml:space="preserve">BRUXELAS DOCES LTDA</t>
  </si>
  <si>
    <t xml:space="preserve">4903868815</t>
  </si>
  <si>
    <t xml:space="preserve">0017856483</t>
  </si>
  <si>
    <t xml:space="preserve">94605</t>
  </si>
  <si>
    <t xml:space="preserve">BAKERY LTDA</t>
  </si>
  <si>
    <t xml:space="preserve">4903867802</t>
  </si>
  <si>
    <t xml:space="preserve">0017854247</t>
  </si>
  <si>
    <t xml:space="preserve">4903867287</t>
  </si>
  <si>
    <t xml:space="preserve">0017854275</t>
  </si>
  <si>
    <t xml:space="preserve">75158</t>
  </si>
  <si>
    <t xml:space="preserve">ATELIE MJ COMERCIO</t>
  </si>
  <si>
    <t xml:space="preserve">4904184884</t>
  </si>
  <si>
    <t xml:space="preserve">CA BOTANICAL NOIR INTENSE 1KG/UC 6UC/BOX</t>
  </si>
  <si>
    <t xml:space="preserve">0017886224</t>
  </si>
  <si>
    <t xml:space="preserve">213773</t>
  </si>
  <si>
    <t xml:space="preserve">BRG SUPLEMENTOS NUTRICIONAIS LTDA</t>
  </si>
  <si>
    <t xml:space="preserve">4904181059</t>
  </si>
  <si>
    <t xml:space="preserve">CA BLOCKS 5KG/UC 5UC/BOX 40BOX/PAL</t>
  </si>
  <si>
    <t xml:space="preserve">0017884092</t>
  </si>
  <si>
    <t xml:space="preserve">66360</t>
  </si>
  <si>
    <t xml:space="preserve">CIMARA BRANDELLI RASIA ME</t>
  </si>
  <si>
    <t xml:space="preserve">4904180983</t>
  </si>
  <si>
    <t xml:space="preserve">CA NIBS S 0.8KG/UC 4UC/BOX 120BOX/PAL</t>
  </si>
  <si>
    <t xml:space="preserve">0017884004</t>
  </si>
  <si>
    <t xml:space="preserve">53798</t>
  </si>
  <si>
    <t xml:space="preserve">HART S - ALIMENTOS NATURAIS LTDA -</t>
  </si>
  <si>
    <t xml:space="preserve">4904182368</t>
  </si>
  <si>
    <t xml:space="preserve">0017888534</t>
  </si>
  <si>
    <t xml:space="preserve">52182</t>
  </si>
  <si>
    <t xml:space="preserve">CRM INDUSTRIA E COMERCIO DE</t>
  </si>
  <si>
    <t xml:space="preserve">4904180984</t>
  </si>
  <si>
    <t xml:space="preserve">0017884005</t>
  </si>
  <si>
    <t xml:space="preserve">85800</t>
  </si>
  <si>
    <t xml:space="preserve">MMC INDÚSTRIA DE NUTRACEUTICOS LTDA</t>
  </si>
  <si>
    <t xml:space="preserve">4904151002</t>
  </si>
  <si>
    <t xml:space="preserve">0017884062</t>
  </si>
  <si>
    <t xml:space="preserve">4904151029</t>
  </si>
  <si>
    <t xml:space="preserve">0017885740</t>
  </si>
  <si>
    <t xml:space="preserve">202972</t>
  </si>
  <si>
    <t xml:space="preserve">ALTHAIA S.A. INDUSTRIA FARMACEUTICA</t>
  </si>
  <si>
    <t xml:space="preserve">4904117845</t>
  </si>
  <si>
    <t xml:space="preserve">0017882946</t>
  </si>
  <si>
    <t xml:space="preserve">4904119999</t>
  </si>
  <si>
    <t xml:space="preserve">0017881231</t>
  </si>
  <si>
    <t xml:space="preserve">4904144948</t>
  </si>
  <si>
    <t xml:space="preserve">CA 5KG/UC 2UC/BOX 50BOX/PAL</t>
  </si>
  <si>
    <t xml:space="preserve">0017883990</t>
  </si>
  <si>
    <t xml:space="preserve">99917</t>
  </si>
  <si>
    <t xml:space="preserve">R F DE PAULA ALIMENTOS LTDA</t>
  </si>
  <si>
    <t xml:space="preserve">4904144947</t>
  </si>
  <si>
    <t xml:space="preserve">0017883989</t>
  </si>
  <si>
    <t xml:space="preserve">4904165499</t>
  </si>
  <si>
    <t xml:space="preserve">0017884026</t>
  </si>
  <si>
    <t xml:space="preserve">4904159980</t>
  </si>
  <si>
    <t xml:space="preserve">0017883336</t>
  </si>
  <si>
    <t xml:space="preserve">4904119992</t>
  </si>
  <si>
    <t xml:space="preserve">0017881218</t>
  </si>
  <si>
    <t xml:space="preserve">99319</t>
  </si>
  <si>
    <t xml:space="preserve">SAWA SWEETS COM DE DOCES LTDA</t>
  </si>
  <si>
    <t xml:space="preserve">4904119993</t>
  </si>
  <si>
    <t xml:space="preserve">0017881220</t>
  </si>
  <si>
    <t xml:space="preserve">56369</t>
  </si>
  <si>
    <t xml:space="preserve">EMPORIO JARDIM ALIMENTOS LTDA - ME</t>
  </si>
  <si>
    <t xml:space="preserve">4904119994</t>
  </si>
  <si>
    <t xml:space="preserve">0017881221</t>
  </si>
  <si>
    <t xml:space="preserve">72032</t>
  </si>
  <si>
    <t xml:space="preserve">EMPORIO JARDIM RESTAURANTE E</t>
  </si>
  <si>
    <t xml:space="preserve">4904119995</t>
  </si>
  <si>
    <t xml:space="preserve">0017881225</t>
  </si>
  <si>
    <t xml:space="preserve">204781</t>
  </si>
  <si>
    <t xml:space="preserve">VR-2 RESTAURANTE LTDA</t>
  </si>
  <si>
    <t xml:space="preserve">4904119996</t>
  </si>
  <si>
    <t xml:space="preserve">0017881226</t>
  </si>
  <si>
    <t xml:space="preserve">4904113570</t>
  </si>
  <si>
    <t xml:space="preserve">0017883334</t>
  </si>
  <si>
    <t xml:space="preserve">4904113559</t>
  </si>
  <si>
    <t xml:space="preserve">0017882912</t>
  </si>
  <si>
    <t xml:space="preserve">4904144962</t>
  </si>
  <si>
    <t xml:space="preserve">0017884094</t>
  </si>
  <si>
    <t xml:space="preserve">4904150997</t>
  </si>
  <si>
    <t xml:space="preserve">0017884045</t>
  </si>
  <si>
    <t xml:space="preserve">4904117851</t>
  </si>
  <si>
    <t xml:space="preserve">0017883546</t>
  </si>
  <si>
    <t xml:space="preserve">4904120000</t>
  </si>
  <si>
    <t xml:space="preserve">0017881235</t>
  </si>
  <si>
    <t xml:space="preserve">4904120001</t>
  </si>
  <si>
    <t xml:space="preserve">0017881236</t>
  </si>
  <si>
    <t xml:space="preserve">4904120013</t>
  </si>
  <si>
    <t xml:space="preserve">0017883371</t>
  </si>
  <si>
    <t xml:space="preserve">4904113562</t>
  </si>
  <si>
    <t xml:space="preserve">0017882918</t>
  </si>
  <si>
    <t xml:space="preserve">4904107177</t>
  </si>
  <si>
    <t xml:space="preserve">0017876595</t>
  </si>
  <si>
    <t xml:space="preserve">4903940816</t>
  </si>
  <si>
    <t xml:space="preserve">0017859117</t>
  </si>
  <si>
    <t xml:space="preserve">43213</t>
  </si>
  <si>
    <t xml:space="preserve">UNIQUE - SERVICOS DE HOTELARIA E AL</t>
  </si>
  <si>
    <t xml:space="preserve">4903941345</t>
  </si>
  <si>
    <t xml:space="preserve">0017860907</t>
  </si>
  <si>
    <t xml:space="preserve">218812</t>
  </si>
  <si>
    <t xml:space="preserve">LB CASA DE PAES LTDA</t>
  </si>
  <si>
    <t xml:space="preserve">4903921025</t>
  </si>
  <si>
    <t xml:space="preserve">0017854639</t>
  </si>
  <si>
    <t xml:space="preserve">4903902650</t>
  </si>
  <si>
    <t xml:space="preserve">0017854532</t>
  </si>
  <si>
    <t xml:space="preserve">4903902668</t>
  </si>
  <si>
    <t xml:space="preserve">0017858381</t>
  </si>
  <si>
    <t xml:space="preserve">4903903474</t>
  </si>
  <si>
    <t xml:space="preserve">0017858546</t>
  </si>
  <si>
    <t xml:space="preserve">91111</t>
  </si>
  <si>
    <t xml:space="preserve">MERCEARIA 1928 ALIMENTOS</t>
  </si>
  <si>
    <t xml:space="preserve">4903868311</t>
  </si>
  <si>
    <t xml:space="preserve">0017854245</t>
  </si>
  <si>
    <t xml:space="preserve">207971</t>
  </si>
  <si>
    <t xml:space="preserve">ALICE DE ANDRADE COUTINHO</t>
  </si>
  <si>
    <t xml:space="preserve">4903867293</t>
  </si>
  <si>
    <t xml:space="preserve">0017854619</t>
  </si>
  <si>
    <t xml:space="preserve">217745</t>
  </si>
  <si>
    <t xml:space="preserve">HBR 66 - INVESTIMENTOS IMOBILIARIOS</t>
  </si>
  <si>
    <t xml:space="preserve">4903864174</t>
  </si>
  <si>
    <t xml:space="preserve">0017854540</t>
  </si>
  <si>
    <t xml:space="preserve">TIPO DE DEPÓSITO</t>
  </si>
  <si>
    <t xml:space="preserve">POSIÇÃO NO DEPÓSITO</t>
  </si>
  <si>
    <t xml:space="preserve">Nº DE QUANTOS</t>
  </si>
  <si>
    <t xml:space="preserve">TIPO DE ESTOQUE</t>
  </si>
  <si>
    <t xml:space="preserve">UNIDADE DE DEPÓSITO</t>
  </si>
  <si>
    <t xml:space="preserve">ESTOQUE DISPONÍVEL</t>
  </si>
  <si>
    <t xml:space="preserve">ÚLTIMO MOVIMENTO</t>
  </si>
  <si>
    <t xml:space="preserve">DURAÇÃO</t>
  </si>
  <si>
    <t xml:space="preserve">DATA DO VENCIMENTO</t>
  </si>
  <si>
    <t xml:space="preserve">922</t>
  </si>
  <si>
    <t xml:space="preserve">TR-ZONE</t>
  </si>
  <si>
    <t xml:space="preserve">3</t>
  </si>
  <si>
    <t xml:space="preserve">0</t>
  </si>
  <si>
    <t xml:space="preserve">U-ZONE</t>
  </si>
  <si>
    <t xml:space="preserve">54</t>
  </si>
  <si>
    <t xml:space="preserve">DCK</t>
  </si>
  <si>
    <t xml:space="preserve">17</t>
  </si>
  <si>
    <t xml:space="preserve">0017871931</t>
  </si>
  <si>
    <t xml:space="preserve">9</t>
  </si>
  <si>
    <t xml:space="preserve">0017882892</t>
  </si>
  <si>
    <t xml:space="preserve">5</t>
  </si>
  <si>
    <t xml:space="preserve">0017883414</t>
  </si>
  <si>
    <t xml:space="preserve">DIF</t>
  </si>
  <si>
    <t xml:space="preserve">PICKLINE</t>
  </si>
  <si>
    <t xml:space="preserve">2</t>
  </si>
  <si>
    <t xml:space="preserve">FGF</t>
  </si>
  <si>
    <t xml:space="preserve">06-18-E</t>
  </si>
  <si>
    <t xml:space="preserve">06-20-E</t>
  </si>
  <si>
    <t xml:space="preserve">06-87-E</t>
  </si>
  <si>
    <t xml:space="preserve">07-107-E</t>
  </si>
  <si>
    <t xml:space="preserve">8</t>
  </si>
  <si>
    <t xml:space="preserve">07-78-C</t>
  </si>
  <si>
    <t xml:space="preserve">07-85-E</t>
  </si>
  <si>
    <t xml:space="preserve">FLR</t>
  </si>
  <si>
    <t xml:space="preserve">0007939602</t>
  </si>
  <si>
    <t xml:space="preserve">7</t>
  </si>
  <si>
    <t xml:space="preserve">0007940118</t>
  </si>
  <si>
    <t xml:space="preserve">0007950573</t>
  </si>
  <si>
    <t xml:space="preserve">0007950576</t>
  </si>
  <si>
    <t xml:space="preserve">0007950581</t>
  </si>
  <si>
    <t xml:space="preserve">0007950649</t>
  </si>
  <si>
    <t xml:space="preserve">0007950692</t>
  </si>
  <si>
    <t xml:space="preserve">0007953793</t>
  </si>
  <si>
    <t xml:space="preserve">1</t>
  </si>
  <si>
    <t xml:space="preserve">0007953794</t>
  </si>
  <si>
    <t xml:space="preserve">0007953795</t>
  </si>
  <si>
    <t xml:space="preserve">0007954407</t>
  </si>
  <si>
    <t xml:space="preserve">AREA</t>
  </si>
  <si>
    <t xml:space="preserve">S</t>
  </si>
  <si>
    <t xml:space="preserve">20</t>
  </si>
  <si>
    <t xml:space="preserve">Q</t>
  </si>
  <si>
    <t xml:space="preserve">22</t>
  </si>
  <si>
    <t xml:space="preserve">D2</t>
  </si>
  <si>
    <t xml:space="preserve">R</t>
  </si>
  <si>
    <t xml:space="preserve">10</t>
  </si>
  <si>
    <t xml:space="preserve">DESCARTE</t>
  </si>
  <si>
    <t xml:space="preserve">56</t>
  </si>
  <si>
    <t xml:space="preserve">DEVOLUÇÃO</t>
  </si>
  <si>
    <t xml:space="preserve">55</t>
  </si>
  <si>
    <t xml:space="preserve">FM1</t>
  </si>
  <si>
    <t xml:space="preserve">10-002-F</t>
  </si>
  <si>
    <t xml:space="preserve">10-031-B</t>
  </si>
  <si>
    <t xml:space="preserve">26</t>
  </si>
  <si>
    <t xml:space="preserve">10-036-G</t>
  </si>
  <si>
    <t xml:space="preserve">10-038-G</t>
  </si>
  <si>
    <t xml:space="preserve">10-042-G</t>
  </si>
  <si>
    <t xml:space="preserve">10-051-B</t>
  </si>
  <si>
    <t xml:space="preserve">10-060-B</t>
  </si>
  <si>
    <t xml:space="preserve">10-065-C</t>
  </si>
  <si>
    <t xml:space="preserve">57</t>
  </si>
  <si>
    <t xml:space="preserve">10-065-D</t>
  </si>
  <si>
    <t xml:space="preserve">10-074-C</t>
  </si>
  <si>
    <t xml:space="preserve">10-078-D</t>
  </si>
  <si>
    <t xml:space="preserve">10-080-B</t>
  </si>
  <si>
    <t xml:space="preserve">10-080-C</t>
  </si>
  <si>
    <t xml:space="preserve">10-082-E</t>
  </si>
  <si>
    <t xml:space="preserve">10-088-B</t>
  </si>
  <si>
    <t xml:space="preserve">10-090-C</t>
  </si>
  <si>
    <t xml:space="preserve">10-094-B</t>
  </si>
  <si>
    <t xml:space="preserve">10-098-B</t>
  </si>
  <si>
    <t xml:space="preserve">10-098-C</t>
  </si>
  <si>
    <t xml:space="preserve">10-100-B</t>
  </si>
  <si>
    <t xml:space="preserve">10-100-C</t>
  </si>
  <si>
    <t xml:space="preserve">10-106-B</t>
  </si>
  <si>
    <t xml:space="preserve">10-108-B</t>
  </si>
  <si>
    <t xml:space="preserve">10-110-B</t>
  </si>
  <si>
    <t xml:space="preserve">10-112-B</t>
  </si>
  <si>
    <t xml:space="preserve">10-112-G</t>
  </si>
  <si>
    <t xml:space="preserve">415</t>
  </si>
  <si>
    <t xml:space="preserve">10-118-B</t>
  </si>
  <si>
    <t xml:space="preserve">10-120-B</t>
  </si>
  <si>
    <t xml:space="preserve">11-006-C</t>
  </si>
  <si>
    <t xml:space="preserve">11-018-C</t>
  </si>
  <si>
    <t xml:space="preserve">11-084-B</t>
  </si>
  <si>
    <t xml:space="preserve">61</t>
  </si>
  <si>
    <t xml:space="preserve">12-059-D</t>
  </si>
  <si>
    <t xml:space="preserve">113</t>
  </si>
  <si>
    <t xml:space="preserve">12-072-B</t>
  </si>
  <si>
    <t xml:space="preserve">12-100-C</t>
  </si>
  <si>
    <t xml:space="preserve">12-102-C</t>
  </si>
  <si>
    <t xml:space="preserve">12-104-C</t>
  </si>
  <si>
    <t xml:space="preserve">12-106-C</t>
  </si>
  <si>
    <t xml:space="preserve">13-00E-C</t>
  </si>
  <si>
    <t xml:space="preserve">13-020-B</t>
  </si>
  <si>
    <t xml:space="preserve">13-020-F</t>
  </si>
  <si>
    <t xml:space="preserve">13-022-G</t>
  </si>
  <si>
    <t xml:space="preserve">127</t>
  </si>
  <si>
    <t xml:space="preserve">13-032-C</t>
  </si>
  <si>
    <t xml:space="preserve">13-032-E</t>
  </si>
  <si>
    <t xml:space="preserve">13-034-G</t>
  </si>
  <si>
    <t xml:space="preserve">13-036-D</t>
  </si>
  <si>
    <t xml:space="preserve">13-061-F</t>
  </si>
  <si>
    <t xml:space="preserve">13-066-C</t>
  </si>
  <si>
    <t xml:space="preserve">13-067-B</t>
  </si>
  <si>
    <t xml:space="preserve">13-072-C</t>
  </si>
  <si>
    <t xml:space="preserve">13-074-G</t>
  </si>
  <si>
    <t xml:space="preserve">60</t>
  </si>
  <si>
    <t xml:space="preserve">13-075-B</t>
  </si>
  <si>
    <t xml:space="preserve">13-083-F</t>
  </si>
  <si>
    <t xml:space="preserve">95</t>
  </si>
  <si>
    <t xml:space="preserve">13-085-E</t>
  </si>
  <si>
    <t xml:space="preserve">13-086-D</t>
  </si>
  <si>
    <t xml:space="preserve">13-088-G</t>
  </si>
  <si>
    <t xml:space="preserve">201</t>
  </si>
  <si>
    <t xml:space="preserve">13-093-E</t>
  </si>
  <si>
    <t xml:space="preserve">13-097-C</t>
  </si>
  <si>
    <t xml:space="preserve">13-098-F</t>
  </si>
  <si>
    <t xml:space="preserve">123</t>
  </si>
  <si>
    <t xml:space="preserve">13-099-D</t>
  </si>
  <si>
    <t xml:space="preserve">13-101-D</t>
  </si>
  <si>
    <t xml:space="preserve">13-103-C</t>
  </si>
  <si>
    <t xml:space="preserve">13-103-D</t>
  </si>
  <si>
    <t xml:space="preserve">13-120-B</t>
  </si>
  <si>
    <t xml:space="preserve">126</t>
  </si>
  <si>
    <t xml:space="preserve">13-123-B</t>
  </si>
  <si>
    <t xml:space="preserve">13-123-D</t>
  </si>
  <si>
    <t xml:space="preserve">14-031-D</t>
  </si>
  <si>
    <t xml:space="preserve">14-035-B</t>
  </si>
  <si>
    <t xml:space="preserve">14-036-D</t>
  </si>
  <si>
    <t xml:space="preserve">14-055-G</t>
  </si>
  <si>
    <t xml:space="preserve">14-057-G</t>
  </si>
  <si>
    <t xml:space="preserve">14-059-B</t>
  </si>
  <si>
    <t xml:space="preserve">14-061-F</t>
  </si>
  <si>
    <t xml:space="preserve">14-061-G</t>
  </si>
  <si>
    <t xml:space="preserve">14-063-G</t>
  </si>
  <si>
    <t xml:space="preserve">14-065-G</t>
  </si>
  <si>
    <t xml:space="preserve">14-067-E</t>
  </si>
  <si>
    <t xml:space="preserve">14-069-E</t>
  </si>
  <si>
    <t xml:space="preserve">71</t>
  </si>
  <si>
    <t xml:space="preserve">14-069-F</t>
  </si>
  <si>
    <t xml:space="preserve">14-069-G</t>
  </si>
  <si>
    <t xml:space="preserve">14-070-E</t>
  </si>
  <si>
    <t xml:space="preserve">14-071-G</t>
  </si>
  <si>
    <t xml:space="preserve">14-072-E</t>
  </si>
  <si>
    <t xml:space="preserve">14-073-F</t>
  </si>
  <si>
    <t xml:space="preserve">14-073-G</t>
  </si>
  <si>
    <t xml:space="preserve">14-074-E</t>
  </si>
  <si>
    <t xml:space="preserve">14-075-F</t>
  </si>
  <si>
    <t xml:space="preserve">14-077-G</t>
  </si>
  <si>
    <t xml:space="preserve">14-079-C</t>
  </si>
  <si>
    <t xml:space="preserve">14-079-E</t>
  </si>
  <si>
    <t xml:space="preserve">14-080-B</t>
  </si>
  <si>
    <t xml:space="preserve">14-083-E</t>
  </si>
  <si>
    <t xml:space="preserve">14-086-C</t>
  </si>
  <si>
    <t xml:space="preserve">14-087-B</t>
  </si>
  <si>
    <t xml:space="preserve">14-089-B</t>
  </si>
  <si>
    <t xml:space="preserve">14-089-C</t>
  </si>
  <si>
    <t xml:space="preserve">14-090-B</t>
  </si>
  <si>
    <t xml:space="preserve">6</t>
  </si>
  <si>
    <t xml:space="preserve">14-090-C</t>
  </si>
  <si>
    <t xml:space="preserve">14-090-D</t>
  </si>
  <si>
    <t xml:space="preserve">14-092-C</t>
  </si>
  <si>
    <t xml:space="preserve">14-094-B</t>
  </si>
  <si>
    <t xml:space="preserve">14-094-D</t>
  </si>
  <si>
    <t xml:space="preserve">14-096-B</t>
  </si>
  <si>
    <t xml:space="preserve">14-096-E</t>
  </si>
  <si>
    <t xml:space="preserve">14-097-B</t>
  </si>
  <si>
    <t xml:space="preserve">14-100-D</t>
  </si>
  <si>
    <t xml:space="preserve">14-101-B</t>
  </si>
  <si>
    <t xml:space="preserve">14-103-B</t>
  </si>
  <si>
    <t xml:space="preserve">14-104-B</t>
  </si>
  <si>
    <t xml:space="preserve">14-108-B</t>
  </si>
  <si>
    <t xml:space="preserve">14-109-B</t>
  </si>
  <si>
    <t xml:space="preserve">14-110-B</t>
  </si>
  <si>
    <t xml:space="preserve">14-110-C</t>
  </si>
  <si>
    <t xml:space="preserve">14-112-B</t>
  </si>
  <si>
    <t xml:space="preserve">14-114-B</t>
  </si>
  <si>
    <t xml:space="preserve">14-115-G</t>
  </si>
  <si>
    <t xml:space="preserve">14-118-B</t>
  </si>
  <si>
    <t xml:space="preserve">14-120-B</t>
  </si>
  <si>
    <t xml:space="preserve">14-122-B</t>
  </si>
  <si>
    <t xml:space="preserve">14-124-B</t>
  </si>
  <si>
    <t xml:space="preserve">15-003-G</t>
  </si>
  <si>
    <t xml:space="preserve">15-00X-C</t>
  </si>
  <si>
    <t xml:space="preserve">66</t>
  </si>
  <si>
    <t xml:space="preserve">15-011-G</t>
  </si>
  <si>
    <t xml:space="preserve">15-013-G</t>
  </si>
  <si>
    <t xml:space="preserve">15-025-G</t>
  </si>
  <si>
    <t xml:space="preserve">15-029-G</t>
  </si>
  <si>
    <t xml:space="preserve">15-033-F</t>
  </si>
  <si>
    <t xml:space="preserve">15-037-G</t>
  </si>
  <si>
    <t xml:space="preserve">15-040-E</t>
  </si>
  <si>
    <t xml:space="preserve">15-070-E</t>
  </si>
  <si>
    <t xml:space="preserve">15-079-C</t>
  </si>
  <si>
    <t xml:space="preserve">131</t>
  </si>
  <si>
    <t xml:space="preserve">15-100-E</t>
  </si>
  <si>
    <t xml:space="preserve">15-111-E</t>
  </si>
  <si>
    <t xml:space="preserve">15-113-G</t>
  </si>
  <si>
    <t xml:space="preserve">PK1</t>
  </si>
  <si>
    <t xml:space="preserve">04-10-A</t>
  </si>
  <si>
    <t xml:space="preserve">52</t>
  </si>
  <si>
    <t xml:space="preserve">04-54-A</t>
  </si>
  <si>
    <t xml:space="preserve">98</t>
  </si>
  <si>
    <t xml:space="preserve">05-009-A</t>
  </si>
  <si>
    <t xml:space="preserve">24</t>
  </si>
  <si>
    <t xml:space="preserve">05-010-A</t>
  </si>
  <si>
    <t xml:space="preserve">05-020-A</t>
  </si>
  <si>
    <t xml:space="preserve">05-040-A</t>
  </si>
  <si>
    <t xml:space="preserve">05-050-A</t>
  </si>
  <si>
    <t xml:space="preserve">05-096-A</t>
  </si>
  <si>
    <t xml:space="preserve">05-106-A</t>
  </si>
  <si>
    <t xml:space="preserve">41</t>
  </si>
  <si>
    <t xml:space="preserve">05-107-A</t>
  </si>
  <si>
    <t xml:space="preserve">05-114-A</t>
  </si>
  <si>
    <t xml:space="preserve">14</t>
  </si>
  <si>
    <t xml:space="preserve">05-118-A</t>
  </si>
  <si>
    <t xml:space="preserve">05-120-A</t>
  </si>
  <si>
    <t xml:space="preserve">06-044-A</t>
  </si>
  <si>
    <t xml:space="preserve">06-046-A</t>
  </si>
  <si>
    <t xml:space="preserve">21</t>
  </si>
  <si>
    <t xml:space="preserve">06-047-A</t>
  </si>
  <si>
    <t xml:space="preserve">06-054-A</t>
  </si>
  <si>
    <t xml:space="preserve">06-073-A</t>
  </si>
  <si>
    <t xml:space="preserve">4</t>
  </si>
  <si>
    <t xml:space="preserve">9991</t>
  </si>
  <si>
    <t xml:space="preserve">06-080-A</t>
  </si>
  <si>
    <t xml:space="preserve">39</t>
  </si>
  <si>
    <t xml:space="preserve">06-094-A</t>
  </si>
  <si>
    <t xml:space="preserve">06-117-A</t>
  </si>
  <si>
    <t xml:space="preserve">06-123-A</t>
  </si>
  <si>
    <t xml:space="preserve">06-124-A</t>
  </si>
  <si>
    <t xml:space="preserve">06-39-A</t>
  </si>
  <si>
    <t xml:space="preserve">06-84-A</t>
  </si>
  <si>
    <t xml:space="preserve">07-015-A</t>
  </si>
  <si>
    <t xml:space="preserve">07-025-A</t>
  </si>
  <si>
    <t xml:space="preserve">117</t>
  </si>
  <si>
    <t xml:space="preserve">07-033-A</t>
  </si>
  <si>
    <t xml:space="preserve">07-045-A</t>
  </si>
  <si>
    <t xml:space="preserve">07-047-A</t>
  </si>
  <si>
    <t xml:space="preserve">07-061-A</t>
  </si>
  <si>
    <t xml:space="preserve">07-092-A</t>
  </si>
  <si>
    <t xml:space="preserve">PK2</t>
  </si>
  <si>
    <t xml:space="preserve">04-103-A</t>
  </si>
  <si>
    <t xml:space="preserve">219</t>
  </si>
  <si>
    <t xml:space="preserve">442</t>
  </si>
  <si>
    <t xml:space="preserve">37</t>
  </si>
  <si>
    <t xml:space="preserve">35</t>
  </si>
  <si>
    <t xml:space="preserve">04-105-A</t>
  </si>
  <si>
    <t xml:space="preserve">399</t>
  </si>
  <si>
    <t xml:space="preserve">96</t>
  </si>
  <si>
    <t xml:space="preserve">04-107-A</t>
  </si>
  <si>
    <t xml:space="preserve">397</t>
  </si>
  <si>
    <t xml:space="preserve">04-111-A</t>
  </si>
  <si>
    <t xml:space="preserve">TRF</t>
  </si>
  <si>
    <t xml:space="preserve">TRANSFER</t>
  </si>
  <si>
    <t xml:space="preserve">38</t>
  </si>
  <si>
    <t xml:space="preserve">OBSERVAÇÃO</t>
  </si>
  <si>
    <t xml:space="preserve">COMO PREENCHER</t>
  </si>
  <si>
    <t xml:space="preserve">Cole aqui o estoque de cada SKU + lote + depósito em 08/09/2026 (dia anterior ao primeiro movimento).</t>
  </si>
  <si>
    <t xml:space="preserve">Fonte sugerida no SAP: estoque por data (ex.: MB5B) por material, lote e depósito, ou carregue pela consulta qSaldoInicial (aba 8 Atualizar Dados).</t>
  </si>
  <si>
    <t xml:space="preserve">Depósito 2008 → entra no saldo do 4 Análise Depósito 2008. Demais depósitos (9999, 0355…) → entram no Deveria ter do ZBR.</t>
  </si>
  <si>
    <t xml:space="preserve">Enquanto estiver vazia, a análise funciona como antes (sem saldo inicial).</t>
  </si>
  <si>
    <t xml:space="preserve">DATA</t>
  </si>
  <si>
    <t xml:space="preserve">QTD NO SAP</t>
  </si>
  <si>
    <t xml:space="preserve">ENTROU</t>
  </si>
  <si>
    <t xml:space="preserve">SALDO (±)</t>
  </si>
  <si>
    <t xml:space="preserve">DOCUMENTO</t>
  </si>
  <si>
    <t xml:space="preserve">CÓD. CLIENTE</t>
  </si>
  <si>
    <t xml:space="preserve">USUÁRIO</t>
  </si>
  <si>
    <t xml:space="preserve">Saída</t>
  </si>
  <si>
    <t xml:space="preserve">Análise ZBR — por SKU e lote</t>
  </si>
  <si>
    <t xml:space="preserve">Entradas, saídas, estoque físico, diferença, motivo e solução por SKU e lote · filtros definidos no Dashboard</t>
  </si>
  <si>
    <t xml:space="preserve">Entrada</t>
  </si>
  <si>
    <t xml:space="preserve">Estorno</t>
  </si>
  <si>
    <t xml:space="preserve">Filtros definidos no Dashboard (fonte única para todas as análises). Para filtrar só esta tabela, use as setas do cabeçalho.</t>
  </si>
  <si>
    <t xml:space="preserve">Indicadores e gráficos: aba Dashboard →</t>
  </si>
  <si>
    <t xml:space="preserve">transferido do 2008 para o ZBR</t>
  </si>
  <si>
    <t xml:space="preserve">vendas e entregas</t>
  </si>
  <si>
    <t xml:space="preserve">o que tem no depósito hoje</t>
  </si>
  <si>
    <t xml:space="preserve">SALDO INICIAL 08/09</t>
  </si>
  <si>
    <t xml:space="preserve">SITUAÇÃO</t>
  </si>
  <si>
    <t xml:space="preserve">LANÇAMENTOS</t>
  </si>
  <si>
    <t xml:space="preserve">1º LANÇAMENTO</t>
  </si>
  <si>
    <t xml:space="preserve">ÚLTIMO LANÇAMENTO</t>
  </si>
  <si>
    <t xml:space="preserve">MOTIVO DA DIFERENÇA</t>
  </si>
  <si>
    <t xml:space="preserve">SOLUÇÃO DE AJUSTE (SUGESTÃO)</t>
  </si>
  <si>
    <t xml:space="preserve">SKU · lote</t>
  </si>
  <si>
    <t xml:space="preserve">Entrou no ZBR</t>
  </si>
  <si>
    <t xml:space="preserve">Saiu</t>
  </si>
  <si>
    <t xml:space="preserve">Saldo acumulado (entrou − saiu)</t>
  </si>
  <si>
    <t xml:space="preserve">09/09</t>
  </si>
  <si>
    <t xml:space="preserve">10/09</t>
  </si>
  <si>
    <t xml:space="preserve">11/09</t>
  </si>
  <si>
    <t xml:space="preserve">12/09</t>
  </si>
  <si>
    <t xml:space="preserve">13/09</t>
  </si>
  <si>
    <t xml:space="preserve">14/09</t>
  </si>
  <si>
    <t xml:space="preserve">15/09</t>
  </si>
  <si>
    <t xml:space="preserve">16/09</t>
  </si>
  <si>
    <t xml:space="preserve">17/09</t>
  </si>
  <si>
    <t xml:space="preserve">18/09</t>
  </si>
  <si>
    <t xml:space="preserve">19/09</t>
  </si>
  <si>
    <t xml:space="preserve">20/09</t>
  </si>
  <si>
    <t xml:space="preserve">21/09</t>
  </si>
  <si>
    <t xml:space="preserve">22/09</t>
  </si>
  <si>
    <t xml:space="preserve">23/09</t>
  </si>
  <si>
    <t xml:space="preserve">24/09</t>
  </si>
  <si>
    <t xml:space="preserve">25/09</t>
  </si>
  <si>
    <t xml:space="preserve">26/09</t>
  </si>
  <si>
    <t xml:space="preserve">27/09</t>
  </si>
  <si>
    <t xml:space="preserve">28/09</t>
  </si>
  <si>
    <t xml:space="preserve">29/09</t>
  </si>
  <si>
    <t xml:space="preserve">30/09</t>
  </si>
  <si>
    <t xml:space="preserve">01/10</t>
  </si>
  <si>
    <t xml:space="preserve">Entrou = transferido do depósito 2008 para o ZBR (estornos já descontados). Saiu = vendas e entregas. Recebido no 2008 = importação que chegou e ainda não foi transferida.</t>
  </si>
  <si>
    <t xml:space="preserve">Motivo e solução: calculados para o período completo (09/09 a 01/10). As soluções são sugestões; confirme no SAP antes de lançar qualquer ajuste.</t>
  </si>
  <si>
    <t xml:space="preserve">Depósito 2008 — importação</t>
  </si>
  <si>
    <t xml:space="preserve">Tudo o que entrou e saiu do depósito 2008: recebimento da importação, transferências para o ZBR e estornos · movimentos de 09/09 a 30/09/2026</t>
  </si>
  <si>
    <t xml:space="preserve">Aguardando transferência</t>
  </si>
  <si>
    <t xml:space="preserve">Transferido 100%</t>
  </si>
  <si>
    <t xml:space="preserve">Saiu saldo anterior a 09/09</t>
  </si>
  <si>
    <t xml:space="preserve">SKU, lote, datas e unidade vêm do Dashboard (fonte única). A situação ▼ é filtrada aqui mesmo.</t>
  </si>
  <si>
    <t xml:space="preserve">Gráficos do 2008: abaixo da tabela ↓</t>
  </si>
  <si>
    <t xml:space="preserve">chegada da importação</t>
  </si>
  <si>
    <t xml:space="preserve">saiu do 2008 para venda</t>
  </si>
  <si>
    <t xml:space="preserve">voltou para o 2008</t>
  </si>
  <si>
    <t xml:space="preserve">saldo inicial + recebido − transferido + estornos</t>
  </si>
  <si>
    <t xml:space="preserve">movimentos no 2008</t>
  </si>
  <si>
    <t xml:space="preserve">RECEBIDO NO 2008</t>
  </si>
  <si>
    <t xml:space="preserve">TRANSFERIDO AO ZBR</t>
  </si>
  <si>
    <t xml:space="preserve">ESTORNOS</t>
  </si>
  <si>
    <t xml:space="preserve">SALDO NO 2008</t>
  </si>
  <si>
    <t xml:space="preserve">% TRANSFERIDO</t>
  </si>
  <si>
    <t xml:space="preserve">1º MOVIMENTO</t>
  </si>
  <si>
    <t xml:space="preserve">PRÓXIMO PASSO</t>
  </si>
  <si>
    <t xml:space="preserve">Aguardando no 2008</t>
  </si>
  <si>
    <t xml:space="preserve">Transferido ao ZBR (líquido)</t>
  </si>
  <si>
    <t xml:space="preserve">Saldo no 2008 é calculado pelo movimento do período (o arquivo não traz a foto do estoque do 2008). Saldo negativo = transferiu mercadoria que já estava no 2008 antes de 09/09.</t>
  </si>
  <si>
    <t xml:space="preserve">Cada lançamento do 2008 (documento, data e hora) está na aba "Entrada": filtre por SKU e lote.</t>
  </si>
  <si>
    <t xml:space="preserve">Gráficos do depósito 2008</t>
  </si>
  <si>
    <t xml:space="preserve">Seguem os mesmos filtros desta aba.</t>
  </si>
  <si>
    <t xml:space="preserve">Situação (SKU·lote)</t>
  </si>
  <si>
    <t xml:space="preserve">Qtd</t>
  </si>
  <si>
    <t xml:space="preserve">Estornos</t>
  </si>
  <si>
    <t xml:space="preserve">Saldo no 2008</t>
  </si>
  <si>
    <t xml:space="preserve">Cruzamento por SKU e lote</t>
  </si>
  <si>
    <t xml:space="preserve">Uma linha para cada SKU + lote · movimentos de 09/09 a 01/10/2026</t>
  </si>
  <si>
    <t xml:space="preserve">COMO LER</t>
  </si>
  <si>
    <t xml:space="preserve">ENTROU − SAIU = DEVERIA TER.  Depois compare com o ESTOQUE FÍSICO (o que tem no depósito hoje).</t>
  </si>
  <si>
    <t xml:space="preserve">DIFERENÇA = Estoque físico − Deveria ter.   0 = Confere  ·  positivo = Sobrando  ·  negativo = Faltando.</t>
  </si>
  <si>
    <t xml:space="preserve">MOTIVO = explicação calculada pelos dados: estoque antigo (posições sem movimento desde antes de 09/09), doca/transferência, troca de lote ou saída não lançada.</t>
  </si>
  <si>
    <t xml:space="preserve">SKU·LOTE CONFEREM</t>
  </si>
  <si>
    <t xml:space="preserve">SKU·LOTE SOBRANDO</t>
  </si>
  <si>
    <t xml:space="preserve">SKU·LOTE FALTANDO</t>
  </si>
  <si>
    <t xml:space="preserve">Visão simples: colunas técnicas (estoque antigo, doca, sem explicação, saídas 0355) ficam recolhidas — clique no "+" acima das colunas para ver.</t>
  </si>
  <si>
    <t xml:space="preserve">DEVERIA TER (INICIAL + ENTROU − SAIU)</t>
  </si>
  <si>
    <t xml:space="preserve">ESTOQUE ANTIGO (ANTES DE 09/09, ALÉM DO SALDO INICIAL)</t>
  </si>
  <si>
    <t xml:space="preserve">EM DOCA / CHÃO / TRANSFERÊNCIA</t>
  </si>
  <si>
    <t xml:space="preserve">DIFERENÇA SEM EXPLICAÇÃO</t>
  </si>
  <si>
    <t xml:space="preserve">SAÍDAS PELO DEPÓSITO 0355</t>
  </si>
  <si>
    <t xml:space="preserve">CATEGORIA DA CAUSA</t>
  </si>
  <si>
    <t xml:space="preserve">CRITICIDADE (PROPOSTA)</t>
  </si>
  <si>
    <t xml:space="preserve">CHAVE SKU|LOTE</t>
  </si>
  <si>
    <t xml:space="preserve">RANKING</t>
  </si>
  <si>
    <t xml:space="preserve">SALDO INICIAL 08/09 (ZBR)</t>
  </si>
  <si>
    <t xml:space="preserve">Ordem: primeiro FALTANDO, depois SOBRANDO (do maior para o menor) e por último CONFERE. Use as setas do cabeçalho para filtrar por SKU ou lote.</t>
  </si>
  <si>
    <t xml:space="preserve">Para ver cada movimento de um SKU/lote, use a aba "Lançamentos". Abas cinza = dados originais do SAP.</t>
  </si>
  <si>
    <t xml:space="preserve">Plano de Ação Gerencial</t>
  </si>
  <si>
    <t xml:space="preserve">Uma linha por ocorrência: divergências da conciliação e importação parada no depósito 2008</t>
  </si>
  <si>
    <t xml:space="preserve">Como usar: preencha somente as colunas azul-claras (Responsável, Prazo, Conclusão, Status e Evidência). As demais são fórmulas ligadas à conciliação e às bases, e se atualizam sozinhas.</t>
  </si>
  <si>
    <t xml:space="preserve">Nada foi inventado: responsáveis, prazos e evidências estão como "Pendente de preenchimento". A prioridade é a criticidade proposta (ver Dicionário de Dados) e deve ser validada.</t>
  </si>
  <si>
    <t xml:space="preserve">Nº</t>
  </si>
  <si>
    <t xml:space="preserve">ORIGEM</t>
  </si>
  <si>
    <t xml:space="preserve">DESCRIÇÃO DO PROBLEMA</t>
  </si>
  <si>
    <t xml:space="preserve">CAUSA IDENTIFICADA (CALCULADA)</t>
  </si>
  <si>
    <t xml:space="preserve">AÇÃO PROPOSTA (SUGESTÃO)</t>
  </si>
  <si>
    <t xml:space="preserve">PRIORIDADE</t>
  </si>
  <si>
    <t xml:space="preserve">RESPONSÁVEL</t>
  </si>
  <si>
    <t xml:space="preserve">DATA DE ABERTURA</t>
  </si>
  <si>
    <t xml:space="preserve">PRAZO PREVISTO</t>
  </si>
  <si>
    <t xml:space="preserve">DATA DE CONCLUSÃO</t>
  </si>
  <si>
    <t xml:space="preserve">STATUS</t>
  </si>
  <si>
    <t xml:space="preserve">SITUAÇÃO DO PRAZO</t>
  </si>
  <si>
    <t xml:space="preserve">EVIDÊNCIA DA CONCLUSÃO</t>
  </si>
  <si>
    <t xml:space="preserve">OC-001</t>
  </si>
  <si>
    <t xml:space="preserve">Conciliação ZBR</t>
  </si>
  <si>
    <t xml:space="preserve">Pendente de preenchimento</t>
  </si>
  <si>
    <t xml:space="preserve">OC-002</t>
  </si>
  <si>
    <t xml:space="preserve">OC-003</t>
  </si>
  <si>
    <t xml:space="preserve">OC-004</t>
  </si>
  <si>
    <t xml:space="preserve">OC-005</t>
  </si>
  <si>
    <t xml:space="preserve">OC-006</t>
  </si>
  <si>
    <t xml:space="preserve">OC-007</t>
  </si>
  <si>
    <t xml:space="preserve">OC-008</t>
  </si>
  <si>
    <t xml:space="preserve">OC-009</t>
  </si>
  <si>
    <t xml:space="preserve">OC-010</t>
  </si>
  <si>
    <t xml:space="preserve">OC-011</t>
  </si>
  <si>
    <t xml:space="preserve">OC-012</t>
  </si>
  <si>
    <t xml:space="preserve">OC-013</t>
  </si>
  <si>
    <t xml:space="preserve">OC-014</t>
  </si>
  <si>
    <t xml:space="preserve">OC-015</t>
  </si>
  <si>
    <t xml:space="preserve">OC-016</t>
  </si>
  <si>
    <t xml:space="preserve">OC-017</t>
  </si>
  <si>
    <t xml:space="preserve">OC-018</t>
  </si>
  <si>
    <t xml:space="preserve">OC-019</t>
  </si>
  <si>
    <t xml:space="preserve">OC-020</t>
  </si>
  <si>
    <t xml:space="preserve">OC-021</t>
  </si>
  <si>
    <t xml:space="preserve">OC-022</t>
  </si>
  <si>
    <t xml:space="preserve">OC-023</t>
  </si>
  <si>
    <t xml:space="preserve">OC-024</t>
  </si>
  <si>
    <t xml:space="preserve">OC-025</t>
  </si>
  <si>
    <t xml:space="preserve">OC-026</t>
  </si>
  <si>
    <t xml:space="preserve">OC-027</t>
  </si>
  <si>
    <t xml:space="preserve">OC-028</t>
  </si>
  <si>
    <t xml:space="preserve">OC-029</t>
  </si>
  <si>
    <t xml:space="preserve">Depósito 2008</t>
  </si>
  <si>
    <t xml:space="preserve">Recebido no depósito 2008 e ainda não transferido para o ZBR (saldo pelo movimento do período)</t>
  </si>
  <si>
    <t xml:space="preserve">OC-030</t>
  </si>
  <si>
    <t xml:space="preserve">OC-031</t>
  </si>
  <si>
    <t xml:space="preserve">OC-032</t>
  </si>
  <si>
    <t xml:space="preserve">OC-033</t>
  </si>
  <si>
    <t xml:space="preserve">OC-034</t>
  </si>
  <si>
    <t xml:space="preserve">OC-035</t>
  </si>
  <si>
    <t xml:space="preserve">OC-036</t>
  </si>
  <si>
    <t xml:space="preserve">OC-037</t>
  </si>
  <si>
    <t xml:space="preserve">OC-038</t>
  </si>
  <si>
    <t xml:space="preserve">OC-039</t>
  </si>
  <si>
    <t xml:space="preserve">OC-040</t>
  </si>
  <si>
    <t xml:space="preserve">OC-041</t>
  </si>
  <si>
    <t xml:space="preserve">OC-042</t>
  </si>
  <si>
    <t xml:space="preserve">OC-043</t>
  </si>
  <si>
    <t xml:space="preserve">OC-044</t>
  </si>
  <si>
    <t xml:space="preserve">OC-045</t>
  </si>
  <si>
    <t xml:space="preserve">OC-046</t>
  </si>
  <si>
    <t xml:space="preserve">OC-047</t>
  </si>
  <si>
    <t xml:space="preserve">OC-048</t>
  </si>
  <si>
    <t xml:space="preserve">OC-049</t>
  </si>
  <si>
    <t xml:space="preserve">OC-050</t>
  </si>
  <si>
    <t xml:space="preserve">OC-051</t>
  </si>
  <si>
    <t xml:space="preserve">OC-052</t>
  </si>
  <si>
    <t xml:space="preserve">OC-053</t>
  </si>
  <si>
    <t xml:space="preserve">OC-054</t>
  </si>
  <si>
    <t xml:space="preserve">OC-055</t>
  </si>
  <si>
    <t xml:space="preserve">OC-056</t>
  </si>
  <si>
    <t xml:space="preserve">OC-057</t>
  </si>
  <si>
    <t xml:space="preserve">OC-058</t>
  </si>
  <si>
    <t xml:space="preserve">OC-059</t>
  </si>
  <si>
    <t xml:space="preserve">OC-060</t>
  </si>
  <si>
    <t xml:space="preserve">OC-061</t>
  </si>
  <si>
    <t xml:space="preserve">Dicionário de Dados</t>
  </si>
  <si>
    <t xml:space="preserve">Abas, campos, regras de negócio, critérios de cálculo, atualização e limitações</t>
  </si>
  <si>
    <t xml:space="preserve">1. Mapa das abas</t>
  </si>
  <si>
    <t xml:space="preserve">Aba</t>
  </si>
  <si>
    <t xml:space="preserve">Finalidade</t>
  </si>
  <si>
    <t xml:space="preserve">Origem dos dados</t>
  </si>
  <si>
    <t xml:space="preserve">MENU</t>
  </si>
  <si>
    <t xml:space="preserve">Página inicial: identificação do relatório e navegação.</t>
  </si>
  <si>
    <t xml:space="preserve">—</t>
  </si>
  <si>
    <t xml:space="preserve">Indicadores principais, gráficos gerenciais e FILTROS ÚNICOS (período, SKU, lote, unidade, tipo de movimentação, status).</t>
  </si>
  <si>
    <t xml:space="preserve">Fórmulas sobre 4 Análise ZBR, 4 Análise Depósito 2008 e 6 Plano de Ação</t>
  </si>
  <si>
    <t xml:space="preserve">Síntese geral (sem filtros): conciliação por unidade, causas, criticidade, top 5, depósito 2008, plano e conclusões.</t>
  </si>
  <si>
    <t xml:space="preserve">Fórmulas sobre 5 Conciliação, bases e plano</t>
  </si>
  <si>
    <t xml:space="preserve">Movimentos do depósito 2008 exportados do SAP (tabela tbEntrada2008) + Movimentação e Entrou no ZBR calculados.</t>
  </si>
  <si>
    <t xml:space="preserve">Aba "Entrada" do arquivo SAP</t>
  </si>
  <si>
    <t xml:space="preserve">Saídas 601 exportadas do SAP (tabela tbSaidas) + coluna Saiu. Linhas de total do rodapé original removidas.</t>
  </si>
  <si>
    <t xml:space="preserve">Aba "Saida" do arquivo SAP</t>
  </si>
  <si>
    <t xml:space="preserve">Posição de estoque por posição de depósito (tabela tbEstoque). Coluna 100% vazia "Inventário ativo" removida.</t>
  </si>
  <si>
    <t xml:space="preserve">Aba "Estoque atual" do arquivo SAP</t>
  </si>
  <si>
    <t xml:space="preserve">Visão consolidada de entradas e saídas (tabela tbMovimentos), uma linha por lançamento.</t>
  </si>
  <si>
    <t xml:space="preserve">Fórmulas sobre 3 Base Entrada 2008 e 3 Base Saídas</t>
  </si>
  <si>
    <t xml:space="preserve">Tabela por SKU + lote segundo os filtros do Dashboard: entrou, saiu, deveria ter, estoque físico, diferença, motivo e solução.</t>
  </si>
  <si>
    <t xml:space="preserve">Bases + 5 Conciliação</t>
  </si>
  <si>
    <t xml:space="preserve">Recebido, transferido, estornos e saldo do 2008 por SKU + lote, situação e próximo passo; gráficos do 2008 abaixo da tabela.</t>
  </si>
  <si>
    <t xml:space="preserve">Conciliação do período completo por SKU + lote: diferença, motivo, solução, componentes da explicação, categoria e criticidade.</t>
  </si>
  <si>
    <t xml:space="preserve">Bases (via abas auxiliares ocultas)</t>
  </si>
  <si>
    <t xml:space="preserve">Ocorrências com causa, ação, prioridade, responsável, prazos, status e alertas de vencimento.</t>
  </si>
  <si>
    <t xml:space="preserve">5 Conciliação + 3 Base Entrada 2008 + preenchimento manual</t>
  </si>
  <si>
    <t xml:space="preserve">Estoque de 08/09 por SKU + lote + depósito (tabela tbSaldoInicial). Vazia até ser preenchida; quando preenchida entra no Deveria ter (ZBR) e no saldo do 2008.</t>
  </si>
  <si>
    <t xml:space="preserve">Extração SAP de estoque por data (ex.: MB5B) ou consulta qSaldoInicial</t>
  </si>
  <si>
    <t xml:space="preserve">Este documento.</t>
  </si>
  <si>
    <t xml:space="preserve">Passo a passo e código das consultas Power Query para importar a extração SAP com Dados &gt; Atualizar Tudo.</t>
  </si>
  <si>
    <t xml:space="preserve">Pasta powerquery/ do repositório</t>
  </si>
  <si>
    <t xml:space="preserve">Data-limite de recebimento, tolerância, limites de criticidade, data do relatório e data de referência. Conferência de totais.</t>
  </si>
  <si>
    <t xml:space="preserve">Edição manual</t>
  </si>
  <si>
    <t xml:space="preserve">aux Conciliação Material / aux Conciliação Lote (ocultas)</t>
  </si>
  <si>
    <t xml:space="preserve">Cálculos intermediários da conciliação (SUMIFS direto nas bases).</t>
  </si>
  <si>
    <t xml:space="preserve">Bases</t>
  </si>
  <si>
    <t xml:space="preserve">2. Campos e cálculos</t>
  </si>
  <si>
    <t xml:space="preserve">Campo</t>
  </si>
  <si>
    <t xml:space="preserve">Descrição</t>
  </si>
  <si>
    <t xml:space="preserve">Regra / cálculo</t>
  </si>
  <si>
    <t xml:space="preserve">Código do material no SAP (campo "Material" da exportação).</t>
  </si>
  <si>
    <t xml:space="preserve">Texto, mantido como na origem</t>
  </si>
  <si>
    <t xml:space="preserve">Lote SAP. Mantido como texto para preservar zeros e não virar número.</t>
  </si>
  <si>
    <t xml:space="preserve">Texto (intencional)</t>
  </si>
  <si>
    <t xml:space="preserve">Depósito / Doc.material / Cliente / Referência</t>
  </si>
  <si>
    <t xml:space="preserve">Códigos SAP mantidos como texto (ex.: depósito 0355).</t>
  </si>
  <si>
    <t xml:space="preserve">Movimentação</t>
  </si>
  <si>
    <t xml:space="preserve">Recebido no 2008 (positivo até a data-limite), Entrada (negativo = transferência para o ZBR) ou Estorno (positivo após a data-limite).</t>
  </si>
  <si>
    <t xml:space="preserve">Fórmula; data-limite em Parâmetros!C6</t>
  </si>
  <si>
    <t xml:space="preserve">Quantidade que entrou no ZBR: −Quantidade, exceto recebimentos (0). Estornos entram negativos.</t>
  </si>
  <si>
    <t xml:space="preserve">Fórmula</t>
  </si>
  <si>
    <t xml:space="preserve">Quantidade positiva da saída 601 (−Quantidade).</t>
  </si>
  <si>
    <t xml:space="preserve">4 Análise ZBR / 5 Conciliação</t>
  </si>
  <si>
    <t xml:space="preserve">Entrou / Saiu / Deveria ter</t>
  </si>
  <si>
    <t xml:space="preserve">Entrou no ZBR, saídas 601 e Deveria ter = Saldo inicial 08/09 (ZBR) + Entrou − Saiu.</t>
  </si>
  <si>
    <t xml:space="preserve">SUMIFS nas bases</t>
  </si>
  <si>
    <t xml:space="preserve">Saldo inicial 08/09</t>
  </si>
  <si>
    <t xml:space="preserve">Estoque de 08/09 nos depósitos do ZBR (todos menos o 2008), da aba 3 Base Saldo Inicial.</t>
  </si>
  <si>
    <t xml:space="preserve">SUMIFS; zero enquanto a base estiver vazia</t>
  </si>
  <si>
    <t xml:space="preserve">Estoque físico</t>
  </si>
  <si>
    <t xml:space="preserve">Soma do estoque total das posições do SKU + lote (inclui doca e transferência).</t>
  </si>
  <si>
    <t xml:space="preserve">SUMIFS na base de estoque</t>
  </si>
  <si>
    <t xml:space="preserve">Estoque físico − Deveria ter. Zero (± tolerância) = Confere; positivo = Sobrando; negativo = Faltando.</t>
  </si>
  <si>
    <t xml:space="preserve">Tolerância em Parâmetros!C7</t>
  </si>
  <si>
    <t xml:space="preserve">Estoque antigo (antes de 09/09)</t>
  </si>
  <si>
    <t xml:space="preserve">Estoque em posições cujo último movimento é anterior a 09/09/2026.</t>
  </si>
  <si>
    <t xml:space="preserve">SUMIFS por data do último movimento</t>
  </si>
  <si>
    <t xml:space="preserve">Em doca / chão / transferência</t>
  </si>
  <si>
    <t xml:space="preserve">Estoque em posições DCK, TRF, 922, FLR ou DIF movimentadas a partir de 09/09.</t>
  </si>
  <si>
    <t xml:space="preserve">SUMPRODUCT por tipo de depósito</t>
  </si>
  <si>
    <t xml:space="preserve">Motivo da diferença</t>
  </si>
  <si>
    <t xml:space="preserve">Primeira regra que explica a diferença (ver seção 3).</t>
  </si>
  <si>
    <t xml:space="preserve">Diferença sem explicação</t>
  </si>
  <si>
    <t xml:space="preserve">Parte da diferença que nenhuma regra explica.</t>
  </si>
  <si>
    <t xml:space="preserve">Agrupamento do motivo em 8 categorias para gráficos e resumo.</t>
  </si>
  <si>
    <t xml:space="preserve">Criticidade (proposta)</t>
  </si>
  <si>
    <t xml:space="preserve">Classificação proposta para validação (seção 4).</t>
  </si>
  <si>
    <t xml:space="preserve">Fórmula + limites em Parâmetros</t>
  </si>
  <si>
    <t xml:space="preserve">Recebido − transferido + estornos no período. Negativo = saiu estoque que já estava no 2008 antes de 09/09.</t>
  </si>
  <si>
    <t xml:space="preserve">SUMIFS na base Entrada</t>
  </si>
  <si>
    <t xml:space="preserve">Situação do prazo</t>
  </si>
  <si>
    <t xml:space="preserve">Concluída / Cancelada / Sem prazo definido / Vencida / Vence em breve / No prazo, comparando o prazo com Parâmetros!K10 (hoje).</t>
  </si>
  <si>
    <t xml:space="preserve">Volume analisado</t>
  </si>
  <si>
    <t xml:space="preserve">Entrou + Saiu no ZBR no filtro (unidade escolhida).</t>
  </si>
  <si>
    <t xml:space="preserve">SUMPRODUCT na 4 Análise ZBR</t>
  </si>
  <si>
    <t xml:space="preserve">SKU·lote que conferem ÷ SKU·lote analisados no filtro.</t>
  </si>
  <si>
    <t xml:space="preserve">COUNTIFS</t>
  </si>
  <si>
    <t xml:space="preserve">Pendências em aberto / % conclusão</t>
  </si>
  <si>
    <t xml:space="preserve">Ações do plano com status diferente de Concluído/Cancelado; concluídas ÷ total.</t>
  </si>
  <si>
    <t xml:space="preserve">COUNTIFS no plano (sem filtro)</t>
  </si>
  <si>
    <t xml:space="preserve">3. Regras de negócio</t>
  </si>
  <si>
    <t xml:space="preserve">Regra</t>
  </si>
  <si>
    <t xml:space="preserve">Observação</t>
  </si>
  <si>
    <t xml:space="preserve">O arquivo traz os movimentos do depósito 2008. Negativo = transferência para o ZBR (depósitos 9999/0355).</t>
  </si>
  <si>
    <t xml:space="preserve">Inferido dos dados: 66 de 94 SKU·lote fecham exatamente com essa regra.</t>
  </si>
  <si>
    <t xml:space="preserve">Recebimento x estorno</t>
  </si>
  <si>
    <t xml:space="preserve">Positivos no 2008 até 15/09 são chegada da importação; depois, estornos de transferência.</t>
  </si>
  <si>
    <t xml:space="preserve">Data-limite editável em Parâmetros!C6.</t>
  </si>
  <si>
    <t xml:space="preserve">Ordem do motivo</t>
  </si>
  <si>
    <t xml:space="preserve">1 Troca de lote · 2 Não localizado · 3 Falta · 4 Estoque antigo · 5 Saídas sem baixa · 6 Doca/transferência · 7 Combinações · 8 Explica em parte · 9 Saiu mais que entrou · 10 Acima do esperado.</t>
  </si>
  <si>
    <t xml:space="preserve">A primeira regra verdadeira define o motivo.</t>
  </si>
  <si>
    <t xml:space="preserve">Período</t>
  </si>
  <si>
    <t xml:space="preserve">Os motivos e a conciliação usam o período completo do arquivo; os filtros de data afetam só as análises filtradas.</t>
  </si>
  <si>
    <t xml:space="preserve">O estoque físico é sempre a posição atual.</t>
  </si>
  <si>
    <t xml:space="preserve">4. Critérios de criticidade (proposta para validação)</t>
  </si>
  <si>
    <t xml:space="preserve">Nível</t>
  </si>
  <si>
    <t xml:space="preserve">Parâmetro</t>
  </si>
  <si>
    <t xml:space="preserve">Status</t>
  </si>
  <si>
    <t xml:space="preserve">Mercadoria que entrou no ZBR e não está no estoque, ou falta sem explicação ≥ limite crítico.</t>
  </si>
  <si>
    <t xml:space="preserve">Parâmetros!K6 (padrão 200, na unidade do SKU)</t>
  </si>
  <si>
    <t xml:space="preserve">PROPOSTA — validar com a gestão</t>
  </si>
  <si>
    <t xml:space="preserve">Demais faltas sem explicação, ou sobra sem explicação ≥ limite alto. No 2008: saldo ≥ Parâmetros!K8.</t>
  </si>
  <si>
    <t xml:space="preserve">Parâmetros!K7 (padrão 500) e K8 (padrão 2.000)</t>
  </si>
  <si>
    <t xml:space="preserve">Sobra com parte sem explicação abaixo do limite alto; no 2008, saldo aguardando abaixo do limite.</t>
  </si>
  <si>
    <t xml:space="preserve">Diferença totalmente explicada pelos dados (ex.: troca de lote, estoque antigo, doca).</t>
  </si>
  <si>
    <t xml:space="preserve">5. Como atualizar a base</t>
  </si>
  <si>
    <t xml:space="preserve">Passo</t>
  </si>
  <si>
    <t xml:space="preserve">O que fazer</t>
  </si>
  <si>
    <t xml:space="preserve">Recomendado: Power Query. Siga a aba 8 Atualizar Dados (uma vez); depois, a cada extração, Dados &gt; Atualizar Tudo.</t>
  </si>
  <si>
    <t xml:space="preserve">Código em powerquery/*.pq</t>
  </si>
  <si>
    <t xml:space="preserve">Inclua na extração do SAP a aba "Saldo inicial" com o estoque de 08/09 por material, lote e depósito.</t>
  </si>
  <si>
    <t xml:space="preserve">Sem ela, a análise funciona, mas sobras podem ser saldo inicial.</t>
  </si>
  <si>
    <t xml:space="preserve">Sem Power Query: cole os dados nas abas 3 Base a partir da linha 2, mesma ordem de colunas, e copie as fórmulas das colunas calculadas.</t>
  </si>
  <si>
    <t xml:space="preserve">As fórmulas cobrem até a linha 5.000.</t>
  </si>
  <si>
    <t xml:space="preserve">Indicadores, conciliação e plano se recalculam sozinhos para os SKU·lote existentes.</t>
  </si>
  <si>
    <t xml:space="preserve">SKU·lote novos entram nas análises ao gerar o relatório de novo: python scripts/gerar_relatorio.py arquivo_sap.xlsx saida.xlsx</t>
  </si>
  <si>
    <t xml:space="preserve">6. Limitações e recomendações</t>
  </si>
  <si>
    <t xml:space="preserve">Tema</t>
  </si>
  <si>
    <t xml:space="preserve">Recomendação</t>
  </si>
  <si>
    <t xml:space="preserve">Saldo inicial</t>
  </si>
  <si>
    <t xml:space="preserve">A extração atual não traz o estoque de 08/09. A aba 3 Base Saldo Inicial 08-09 já está pronta e integrada aos cálculos; falta preenchê-la.</t>
  </si>
  <si>
    <t xml:space="preserve">Incluir a aba "Saldo inicial" na próxima extração do SAP (consulta qSaldoInicial).</t>
  </si>
  <si>
    <t xml:space="preserve">Linhas de análise</t>
  </si>
  <si>
    <t xml:space="preserve">As listas de SKU·lote das análises são geradas pelo script. Novos SKU·lote exigem gerar o relatório de novo.</t>
  </si>
  <si>
    <t xml:space="preserve">A importação já tem consultas Power Query prontas (aba 8 Atualizar Dados).</t>
  </si>
  <si>
    <t xml:space="preserve">Power Query</t>
  </si>
  <si>
    <t xml:space="preserve">As consultas foram escritas e revisadas, mas não puderam ser executadas aqui (o Power Query só roda no Excel). Teste na primeira carga.</t>
  </si>
  <si>
    <t xml:space="preserve">Tabela/Gráfico Dinâmico</t>
  </si>
  <si>
    <t xml:space="preserve">Não foram usados Tabelas Dinâmicas nem segmentações (slicers): a geração automática não as suporta de forma confiável. Os filtros são listas suspensas ligadas a fórmulas.</t>
  </si>
  <si>
    <t xml:space="preserve">Os gráficos acompanham os filtros do Dashboard.</t>
  </si>
  <si>
    <t xml:space="preserve">Responsável</t>
  </si>
  <si>
    <t xml:space="preserve">O filtro por responsável está disponível no cabeçalho da tabela do Plano de Ação (não há responsável nos dados do SAP).</t>
  </si>
  <si>
    <t xml:space="preserve">Armazém</t>
  </si>
  <si>
    <t xml:space="preserve">A análise considera o centro BR01 e os depósitos ZBR (9999/0355) juntos; não há filtro por depósito.</t>
  </si>
  <si>
    <t xml:space="preserve">Data de atualização</t>
  </si>
  <si>
    <t xml:space="preserve">A data exibida é a da geração do relatório (Parâmetros!K9). A hora da extração SAP não está no arquivo.</t>
  </si>
  <si>
    <t xml:space="preserve">Funções</t>
  </si>
  <si>
    <t xml:space="preserve">Usa MINIFS/MAXIFS (Excel 2019/365). Em versões anteriores essas duas colunas de data mostram erro.</t>
  </si>
  <si>
    <t xml:space="preserve">Atualizar Dados (Power Query)</t>
  </si>
  <si>
    <t xml:space="preserve">Importação da extração do SAP com 1 clique: Dados &gt; Atualizar Tudo</t>
  </si>
  <si>
    <t xml:space="preserve">PASSO A PASSO (fazer uma vez)</t>
  </si>
  <si>
    <t xml:space="preserve">1. Na aba Parâmetros, cole em K13 o caminho completo do arquivo exportado do SAP (ex.: pasta de rede + nome do arquivo .xlsx).</t>
  </si>
  <si>
    <t xml:space="preserve">2. O arquivo SAP deve ter as abas "Entrada " (com espaço no fim, como hoje), "Saida", "Estoque atual" e, se houver, "Saldo inicial" (estoque de 08/09).</t>
  </si>
  <si>
    <t xml:space="preserve">3. Excel: Dados &gt; Obter Dados &gt; De Outras Fontes &gt; Consulta Nula. Na consulta: Página Inicial &gt; Editor Avançado &gt; apague tudo e cole o código abaixo.</t>
  </si>
  <si>
    <t xml:space="preserve">4. Dê à consulta o nome indicado (ex.: qEntrada2008) e clique em Fechar e Carregar Para… &gt; Tabela &gt; Planilha existente &gt; célula A1 da aba indicada.</t>
  </si>
  <si>
    <t xml:space="preserve">   Antes de carregar, limpe o conteúdo da tabela antiga da aba (selecione as células e tecle Delete; não exclua colunas).</t>
  </si>
  <si>
    <t xml:space="preserve">5. Repita para as 4 consultas. Depois, a cada nova extração: substitua o arquivo SAP e clique em Dados &gt; Atualizar Tudo.</t>
  </si>
  <si>
    <t xml:space="preserve">OBSERVAÇÕES</t>
  </si>
  <si>
    <t xml:space="preserve">• As colunas calculadas (Movimentação, Entrou no ZBR, Saiu) já saem prontas da consulta; a ordem das colunas é a mesma das abas atuais, então todas as fórmulas continuam valendo.</t>
  </si>
  <si>
    <t xml:space="preserve">• Valores de SKU·lote já existentes se atualizam sozinhos. SKU·lote novos aparecem nas bases, mas entram nas abas de análise ao gerar o relatório de novo (scripts/gerar_relatorio.py).</t>
  </si>
  <si>
    <t xml:space="preserve">• Os códigos também estão no repositório, pasta powerquery/. Foram escritos para o Excel 365/2019 e devem ser testados na primeira carga.</t>
  </si>
  <si>
    <t xml:space="preserve">Consulta qEntrada2008  →  carregar em "3 Base Entrada 2008"!A1   (aba do arquivo SAP: "Entrada ")</t>
  </si>
  <si>
    <t xml:space="preserve">let</t>
  </si>
  <si>
    <t xml:space="preserve">    Caminho = Excel.CurrentWorkbook(){[Name = "CaminhoSAP"]}[Content]{0}[Column1],</t>
  </si>
  <si>
    <t xml:space="preserve">    Fonte = Excel.Workbook(File.Contents(Caminho), null, true),</t>
  </si>
  <si>
    <t xml:space="preserve">    DataLimite = Date.From(Excel.CurrentWorkbook(){[Name = "DataLimiteRecebimento"]}[Content]{0}[Column1]),</t>
  </si>
  <si>
    <t xml:space="preserve">    Aba = Fonte{[Item = "Entrada ", Kind = "Sheet"]}[Data],</t>
  </si>
  <si>
    <t xml:space="preserve">    Cabecalho = Table.PromoteHeaders(Aba, [PromoteAllScalars = true]),</t>
  </si>
  <si>
    <t xml:space="preserve">    Tipos = Table.TransformColumnTypes(Cabecalho, {{"Doc.material", type text}, {"Material", type text}, {"Lote", type text}, {"Depósito", type text}, {"Centro", type text}, {"Data de lançamento", type date}, {"Quantidade", type number}, {"UM básica", type text}, {"Data de entrada", type date}, {"Hora do registro", type time}}),</t>
  </si>
  <si>
    <t xml:space="preserve">    SemTotais = Table.SelectRows(Tipos, each [Material] &lt;&gt; null and [Material] &lt;&gt; ""),</t>
  </si>
  <si>
    <t xml:space="preserve">    Movimentacao = Table.AddColumn(SemTotais, "Movimentação", each if [Quantidade] &gt; 0 and [Data de lançamento] &lt;= DataLimite then "Recebido no 2008" else if [Quantidade] &lt; 0 then "Entrada" else "Estorno", type text),</t>
  </si>
  <si>
    <t xml:space="preserve">    EntrouZBR = Table.AddColumn(Movimentacao, "Entrou no ZBR", each if [Movimentação] = "Recebido no 2008" then 0 else -[Quantidade], type number),</t>
  </si>
  <si>
    <t xml:space="preserve">    Final = Table.RenameColumns(EntrouZBR, {{"Material", "SKU"}, {"UM básica", "UM"}})</t>
  </si>
  <si>
    <t xml:space="preserve">in</t>
  </si>
  <si>
    <t xml:space="preserve">    Final</t>
  </si>
  <si>
    <t xml:space="preserve">Consulta qSaidas  →  carregar em "3 Base Saídas"!A1   (aba do arquivo SAP: "Saida")</t>
  </si>
  <si>
    <t xml:space="preserve">    Aba = Fonte{[Item = "Saida", Kind = "Sheet"]}[Data],</t>
  </si>
  <si>
    <t xml:space="preserve">    Tipos = Table.TransformColumnTypes(Cabecalho, {{"Doc.material", type text}, {"Material", type text}, {"Lote", type text}, {"Depósito", type text}, {"Centro", type text}, {"Data de lançamento", type date}, {"Quantidade", type number}, {"Data de entrada", type date}, {"Tipo de movimento", type text}, {"Referência", type text}, {"Cliente", type text}}),</t>
  </si>
  <si>
    <t xml:space="preserve">    Saiu = Table.AddColumn(SemTotais, "Saiu", each -[Quantidade], type number),</t>
  </si>
  <si>
    <t xml:space="preserve">    Final = Table.RenameColumns(Saiu, {{"Material", "SKU"}, {"Texto breve de material", "Descrição"}, {"UM básica", "UM"}})</t>
  </si>
  <si>
    <t xml:space="preserve">Consulta qEstoque  →  carregar em "3 Base Estoque Físico"!A1   (aba do arquivo SAP: "Estoque atual")</t>
  </si>
  <si>
    <t xml:space="preserve">    Aba = Fonte{[Item = "Estoque atual", Kind = "Sheet"]}[Data],</t>
  </si>
  <si>
    <t xml:space="preserve">    Tipos = Table.TransformColumnTypes(Cabecalho, {{"Material", type text}, {"Lote", type text}, {"Tipo de depósito", type text}, {"Posição no depósito", type text}, {"Estoque total", type number}, {"Último movimento", type date}, {"Depósito", type text}, {"Data do vencimento", type date}}),</t>
  </si>
  <si>
    <t xml:space="preserve">    SemVazia = Table.RemoveColumns(Tipos, {"Inventário ativo"}, MissingField.Ignore),</t>
  </si>
  <si>
    <t xml:space="preserve">    Primeiras = {"Material", "Lote", "Tipo de depósito", "Posição no depósito"},</t>
  </si>
  <si>
    <t xml:space="preserve">    Ordenado = Table.ReorderColumns(SemVazia, Primeiras &amp; List.RemoveItems(Table.ColumnNames(SemVazia), Primeiras)),</t>
  </si>
  <si>
    <t xml:space="preserve">    Final = Table.RenameColumns(Ordenado, {{"Material", "SKU"}, {"Estoque total", "Estoque físico"}, {"UM básica", "UM"}})</t>
  </si>
  <si>
    <t xml:space="preserve">Consulta qSaldoInicial  →  carregar em "3 Base Saldo Inicial 08-09"!A1   (aba do arquivo SAP: "Saldo inicial")</t>
  </si>
  <si>
    <t xml:space="preserve">    Aba = Fonte{[Item = "Saldo inicial", Kind = "Sheet"]}[Data],</t>
  </si>
  <si>
    <t xml:space="preserve">    Colunas = Table.SelectColumns(Cabecalho, {"Material", "Lote", "Depósito", "UM básica", "Quantidade"}),</t>
  </si>
  <si>
    <t xml:space="preserve">    Tipos = Table.TransformColumnTypes(Colunas, {{"Material", type text}, {"Lote", type text}, {"Depósito", type text}, {"UM básica", type text}, {"Quantidade", type number}}),</t>
  </si>
  <si>
    <t xml:space="preserve">    SemVazias = Table.SelectRows(Tipos, each [Material] &lt;&gt; null and [Material] &lt;&gt; ""),</t>
  </si>
  <si>
    <t xml:space="preserve">    Obs = Table.AddColumn(SemVazias, "Observação", each "SAP 08/09", type text),</t>
  </si>
  <si>
    <t xml:space="preserve">    Final = Table.RenameColumns(Obs, {{"Material", "SKU"}, {"UM básica", "UM"}})</t>
  </si>
  <si>
    <t xml:space="preserve">Parâmetros e conferência de totais</t>
  </si>
  <si>
    <t xml:space="preserve">Fonte: arquivo Analise_ZBR_importado.XLSX (abas Entrada, Saida e Estoque atual), período 09/09/2026 a 01/10/2026, centro BR01.</t>
  </si>
  <si>
    <t xml:space="preserve">Parâmetros (células azul-claras, editáveis)</t>
  </si>
  <si>
    <t xml:space="preserve">Parâmetros de classificação e prazo (editáveis)</t>
  </si>
  <si>
    <t xml:space="preserve">Data limite dos recebimentos de importação no 2008</t>
  </si>
  <si>
    <t xml:space="preserve">Falta a partir da qual a ocorrência é Crítica (na unidade do SKU)</t>
  </si>
  <si>
    <t xml:space="preserve">Tolerância para considerar diferença OK</t>
  </si>
  <si>
    <t xml:space="preserve">Sobra sem explicação a partir da qual a prioridade é Alta</t>
  </si>
  <si>
    <t xml:space="preserve">Saldo no 2008 a partir do qual a prioridade é Alta</t>
  </si>
  <si>
    <t xml:space="preserve">Situação dos cruzamentos</t>
  </si>
  <si>
    <t xml:space="preserve">Data de geração do relatório</t>
  </si>
  <si>
    <t xml:space="preserve">Visão</t>
  </si>
  <si>
    <t xml:space="preserve">OK</t>
  </si>
  <si>
    <t xml:space="preserve">Sobra no estoque</t>
  </si>
  <si>
    <t xml:space="preserve">Falta no estoque</t>
  </si>
  <si>
    <t xml:space="preserve">% OK</t>
  </si>
  <si>
    <t xml:space="preserve">Data de referência para prazos (hoje)</t>
  </si>
  <si>
    <t xml:space="preserve">Material + Lote</t>
  </si>
  <si>
    <t xml:space="preserve">Dias para alerta "vence em breve"</t>
  </si>
  <si>
    <t xml:space="preserve">Material</t>
  </si>
  <si>
    <t xml:space="preserve">K10 usa HOJE() e é a única fórmula volátil da planilha (necessária para os alertas de prazo).</t>
  </si>
  <si>
    <t xml:space="preserve">Caminho completo do arquivo SAP (usado pelo Power Query)</t>
  </si>
  <si>
    <t xml:space="preserve">COLE AQUI O CAMINHO DO ARQUIVO SAP</t>
  </si>
  <si>
    <t xml:space="preserve">Totais por unidade de medida</t>
  </si>
  <si>
    <t xml:space="preserve">Entradas ZBR</t>
  </si>
  <si>
    <t xml:space="preserve">Saídas (601)</t>
  </si>
  <si>
    <t xml:space="preserve">Saldo calculado</t>
  </si>
  <si>
    <t xml:space="preserve">Estoque atual</t>
  </si>
  <si>
    <t xml:space="preserve">Movimentação das abas de origem</t>
  </si>
  <si>
    <t xml:space="preserve">Linhas</t>
  </si>
  <si>
    <t xml:space="preserve">Quantidade</t>
  </si>
  <si>
    <t xml:space="preserve">Recebimentos de importação no 2008</t>
  </si>
  <si>
    <t xml:space="preserve">Transferências 2008 → ZBR</t>
  </si>
  <si>
    <t xml:space="preserve">Estornos de transferência</t>
  </si>
  <si>
    <t xml:space="preserve">Posições em estoque</t>
  </si>
  <si>
    <t xml:space="preserve">Quantidades somam KG, UN e CX juntos — use a tabela por UM para comparar.</t>
  </si>
  <si>
    <t xml:space="preserve">Como ler</t>
  </si>
  <si>
    <t xml:space="preserve">• Depósito 2008 = recebimento da importação. Valores NEGATIVOS no 2008 são transferências para o ZBR (depósitos 9999/0355) e entram aqui como Entradas.</t>
  </si>
  <si>
    <t xml:space="preserve">• Valores POSITIVOS no 2008 até a data-limite (C6) são chegadas da importação; depois dela, estornos que abatem as Entradas.</t>
  </si>
  <si>
    <t xml:space="preserve">• Saldo calculado = Entradas ZBR − Saídas (601). Diferença = Estoque atual − Saldo calculado.</t>
  </si>
  <si>
    <t xml:space="preserve">• Sobra no estoque: há mais estoque que o movimento explica (provável saldo anterior a 09/09 ou entrada não listada). Falta no estoque: há menos estoque que o esperado (saída, ajuste ou transferência não listada).</t>
  </si>
  <si>
    <t xml:space="preserve">• Saldo em 2008: quantidade recebida da importação que ainda não foi transferida para o ZBR no período.</t>
  </si>
  <si>
    <t xml:space="preserve">• As linhas de total do rodapé da aba Saida original foram removidas para não duplicar quantidades.</t>
  </si>
  <si>
    <t xml:space="preserve">Cruzamento Entrada × Saída × Estoque — por Material</t>
  </si>
  <si>
    <t xml:space="preserve">Entradas = transferências do depósito 2008 para o ZBR (sinal invertido, estornos já abatidos). Saídas = movimento 601. Diferença ≠ 0 indica estoque inicial anterior ao período ou movimento não contido nas abas.</t>
  </si>
  <si>
    <t xml:space="preserve">RECEBIDO IMPORTAÇÃO (2008)</t>
  </si>
  <si>
    <t xml:space="preserve">ENTRADAS ZBR (2008 → ZBR)</t>
  </si>
  <si>
    <t xml:space="preserve">SAÍDAS (601)</t>
  </si>
  <si>
    <t xml:space="preserve">SALDO CALCULADO (SALDO INICIAL + ENTRADAS − SAÍDAS)</t>
  </si>
  <si>
    <t xml:space="preserve">ESTOQUE ATUAL</t>
  </si>
  <si>
    <t xml:space="preserve">DIFERENÇA (ESTOQUE − CALCULADO)</t>
  </si>
  <si>
    <t xml:space="preserve">POSSÍVEL CAUSA</t>
  </si>
  <si>
    <t xml:space="preserve">RECEBIDO NO 2008 AINDA NÃO TRANSFERIDO (RECEBIDO − ENTRADAS ZBR)</t>
  </si>
  <si>
    <t xml:space="preserve">TOTAL (unidades mistas – ver Resumo por UM)</t>
  </si>
  <si>
    <t xml:space="preserve">Cruzamento Entrada × Saída × Estoque — por Material e Lote</t>
  </si>
</sst>
</file>

<file path=xl/styles.xml><?xml version="1.0" encoding="utf-8"?>
<styleSheet xmlns="http://schemas.openxmlformats.org/spreadsheetml/2006/main">
  <numFmts count="16">
    <numFmt numFmtId="164" formatCode="General"/>
    <numFmt numFmtId="165" formatCode="dd/mm/yyyy"/>
    <numFmt numFmtId="166" formatCode="dd/mm/yyyy&quot; ▼&quot;"/>
    <numFmt numFmtId="167" formatCode="@&quot;   ▼&quot;"/>
    <numFmt numFmtId="168" formatCode="@&quot; ▼&quot;"/>
    <numFmt numFmtId="169" formatCode="#,##0.0;\-#,##0.0;0"/>
    <numFmt numFmtId="170" formatCode="#,##0"/>
    <numFmt numFmtId="171" formatCode="0.0%"/>
    <numFmt numFmtId="172" formatCode="\+#,##0.0;\-#,##0.0;0"/>
    <numFmt numFmtId="173" formatCode="#,##0.0"/>
    <numFmt numFmtId="174" formatCode="hh:mm:ss"/>
    <numFmt numFmtId="175" formatCode="yyyy\-mm\-dd\ h:mm:ss"/>
    <numFmt numFmtId="176" formatCode="0.00"/>
    <numFmt numFmtId="177" formatCode="General"/>
    <numFmt numFmtId="178" formatCode="0"/>
    <numFmt numFmtId="179" formatCode="0%"/>
  </numFmts>
  <fonts count="49">
    <font>
      <sz val="11"/>
      <color theme="1"/>
      <name val="Calibri"/>
      <family val="2"/>
      <charset val="1"/>
    </font>
    <font>
      <sz val="10"/>
      <name val="Arial"/>
      <family val="0"/>
    </font>
    <font>
      <sz val="10"/>
      <name val="Arial"/>
      <family val="0"/>
    </font>
    <font>
      <sz val="10"/>
      <name val="Arial"/>
      <family val="0"/>
    </font>
    <font>
      <b val="true"/>
      <sz val="11"/>
      <color rgb="FF9DC3E6"/>
      <name val="Calibri"/>
      <family val="0"/>
      <charset val="1"/>
    </font>
    <font>
      <b val="true"/>
      <sz val="24"/>
      <color rgb="FFFFFFFF"/>
      <name val="Calibri"/>
      <family val="0"/>
      <charset val="1"/>
    </font>
    <font>
      <sz val="11"/>
      <color rgb="FFD9EAF7"/>
      <name val="Calibri"/>
      <family val="0"/>
      <charset val="1"/>
    </font>
    <font>
      <b val="true"/>
      <sz val="10"/>
      <color rgb="FF6B7480"/>
      <name val="Calibri"/>
      <family val="0"/>
      <charset val="1"/>
    </font>
    <font>
      <sz val="10"/>
      <color rgb="FF404854"/>
      <name val="Calibri"/>
      <family val="0"/>
      <charset val="1"/>
    </font>
    <font>
      <b val="true"/>
      <sz val="13"/>
      <color rgb="FF245A81"/>
      <name val="Calibri"/>
      <family val="0"/>
      <charset val="1"/>
    </font>
    <font>
      <b val="true"/>
      <sz val="11"/>
      <color rgb="FF375623"/>
      <name val="Calibri"/>
      <family val="0"/>
      <charset val="1"/>
    </font>
    <font>
      <b val="true"/>
      <sz val="11"/>
      <color rgb="FFC00000"/>
      <name val="Calibri"/>
      <family val="0"/>
      <charset val="1"/>
    </font>
    <font>
      <b val="true"/>
      <sz val="11"/>
      <color rgb="FF7F6000"/>
      <name val="Calibri"/>
      <family val="0"/>
      <charset val="1"/>
    </font>
    <font>
      <b val="true"/>
      <sz val="11"/>
      <color rgb="FF245A81"/>
      <name val="Calibri"/>
      <family val="0"/>
      <charset val="1"/>
    </font>
    <font>
      <b val="true"/>
      <sz val="11"/>
      <color rgb="FF404854"/>
      <name val="Calibri"/>
      <family val="0"/>
      <charset val="1"/>
    </font>
    <font>
      <b val="true"/>
      <sz val="10"/>
      <color rgb="FFFFFFFF"/>
      <name val="Calibri"/>
      <family val="0"/>
      <charset val="1"/>
    </font>
    <font>
      <b val="true"/>
      <sz val="10"/>
      <color rgb="FF17365D"/>
      <name val="Calibri"/>
      <family val="0"/>
      <charset val="1"/>
    </font>
    <font>
      <b val="true"/>
      <sz val="10"/>
      <color rgb="FF245A81"/>
      <name val="Calibri"/>
      <family val="0"/>
      <charset val="1"/>
    </font>
    <font>
      <b val="true"/>
      <sz val="10"/>
      <color rgb="FF375623"/>
      <name val="Calibri"/>
      <family val="0"/>
      <charset val="1"/>
    </font>
    <font>
      <b val="true"/>
      <sz val="10"/>
      <color rgb="FF7F6000"/>
      <name val="Calibri"/>
      <family val="0"/>
      <charset val="1"/>
    </font>
    <font>
      <b val="true"/>
      <sz val="10"/>
      <color rgb="FFC00000"/>
      <name val="Calibri"/>
      <family val="0"/>
      <charset val="1"/>
    </font>
    <font>
      <b val="true"/>
      <sz val="22"/>
      <color rgb="FF17365D"/>
      <name val="Calibri"/>
      <family val="0"/>
      <charset val="1"/>
    </font>
    <font>
      <sz val="10"/>
      <color rgb="FF6B7480"/>
      <name val="Calibri"/>
      <family val="0"/>
      <charset val="1"/>
    </font>
    <font>
      <b val="true"/>
      <sz val="8"/>
      <color rgb="FF6B7480"/>
      <name val="Calibri"/>
      <family val="0"/>
      <charset val="1"/>
    </font>
    <font>
      <b val="true"/>
      <sz val="11"/>
      <color rgb="FF17365D"/>
      <name val="Calibri"/>
      <family val="0"/>
      <charset val="1"/>
    </font>
    <font>
      <b val="true"/>
      <sz val="9"/>
      <color rgb="FF404854"/>
      <name val="Calibri"/>
      <family val="0"/>
      <charset val="1"/>
    </font>
    <font>
      <sz val="8"/>
      <color rgb="FF6B7480"/>
      <name val="Calibri"/>
      <family val="0"/>
      <charset val="1"/>
    </font>
    <font>
      <b val="true"/>
      <sz val="22"/>
      <color rgb="FFC00000"/>
      <name val="Calibri"/>
      <family val="0"/>
      <charset val="1"/>
    </font>
    <font>
      <sz val="9"/>
      <color rgb="FF404854"/>
      <name val="Calibri"/>
      <family val="0"/>
      <charset val="1"/>
    </font>
    <font>
      <b val="true"/>
      <sz val="12"/>
      <color rgb="FF17365D"/>
      <name val="Calibri"/>
      <family val="2"/>
    </font>
    <font>
      <sz val="10"/>
      <color rgb="FF000000"/>
      <name val="Calibri"/>
      <family val="2"/>
    </font>
    <font>
      <b val="true"/>
      <sz val="10"/>
      <color rgb="FF404854"/>
      <name val="Calibri"/>
      <family val="0"/>
      <charset val="1"/>
    </font>
    <font>
      <sz val="10"/>
      <color rgb="FF245A81"/>
      <name val="Calibri"/>
      <family val="0"/>
      <charset val="1"/>
    </font>
    <font>
      <sz val="9"/>
      <color rgb="FF6B7480"/>
      <name val="Calibri"/>
      <family val="0"/>
      <charset val="1"/>
    </font>
    <font>
      <b val="true"/>
      <sz val="8"/>
      <color rgb="FF245A81"/>
      <name val="Calibri"/>
      <family val="0"/>
      <charset val="1"/>
    </font>
    <font>
      <b val="true"/>
      <sz val="8"/>
      <color rgb="FF9DB9D6"/>
      <name val="Calibri"/>
      <family val="0"/>
      <charset val="1"/>
    </font>
    <font>
      <b val="true"/>
      <sz val="9"/>
      <color rgb="FF17365D"/>
      <name val="Calibri"/>
      <family val="0"/>
      <charset val="1"/>
    </font>
    <font>
      <b val="true"/>
      <sz val="24"/>
      <color rgb="FF404854"/>
      <name val="Calibri"/>
      <family val="0"/>
      <charset val="1"/>
    </font>
    <font>
      <b val="true"/>
      <sz val="8"/>
      <color rgb="FF17365D"/>
      <name val="Calibri"/>
      <family val="0"/>
      <charset val="1"/>
    </font>
    <font>
      <b val="true"/>
      <sz val="9"/>
      <color rgb="FF7F6000"/>
      <name val="Calibri"/>
      <family val="0"/>
      <charset val="1"/>
    </font>
    <font>
      <b val="true"/>
      <sz val="9"/>
      <color rgb="FF375623"/>
      <name val="Calibri"/>
      <family val="0"/>
      <charset val="1"/>
    </font>
    <font>
      <b val="true"/>
      <sz val="8"/>
      <color rgb="FF404854"/>
      <name val="Calibri"/>
      <family val="0"/>
      <charset val="1"/>
    </font>
    <font>
      <b val="true"/>
      <sz val="24"/>
      <color rgb="FF375623"/>
      <name val="Calibri"/>
      <family val="0"/>
      <charset val="1"/>
    </font>
    <font>
      <b val="true"/>
      <sz val="24"/>
      <color rgb="FF7F6000"/>
      <name val="Calibri"/>
      <family val="0"/>
      <charset val="1"/>
    </font>
    <font>
      <b val="true"/>
      <sz val="24"/>
      <color rgb="FFC00000"/>
      <name val="Calibri"/>
      <family val="0"/>
      <charset val="1"/>
    </font>
    <font>
      <i val="true"/>
      <sz val="9"/>
      <color rgb="FF6B7480"/>
      <name val="Calibri"/>
      <family val="0"/>
      <charset val="1"/>
    </font>
    <font>
      <b val="true"/>
      <sz val="11"/>
      <color rgb="FFFFFFFF"/>
      <name val="Calibri"/>
      <family val="0"/>
      <charset val="1"/>
    </font>
    <font>
      <sz val="9"/>
      <color rgb="FF404854"/>
      <name val="Consolas"/>
      <family val="0"/>
      <charset val="1"/>
    </font>
    <font>
      <sz val="10"/>
      <name val="Arial"/>
      <family val="2"/>
    </font>
  </fonts>
  <fills count="12">
    <fill>
      <patternFill patternType="none"/>
    </fill>
    <fill>
      <patternFill patternType="gray125"/>
    </fill>
    <fill>
      <patternFill patternType="solid">
        <fgColor rgb="FFFFFFFF"/>
        <bgColor rgb="FFFCFCFB"/>
      </patternFill>
    </fill>
    <fill>
      <patternFill patternType="solid">
        <fgColor rgb="FF17365D"/>
        <bgColor rgb="FF404854"/>
      </patternFill>
    </fill>
    <fill>
      <patternFill patternType="solid">
        <fgColor rgb="FFE2EFDA"/>
        <bgColor rgb="FFE3E8EF"/>
      </patternFill>
    </fill>
    <fill>
      <patternFill patternType="solid">
        <fgColor rgb="FFF8DADA"/>
        <bgColor rgb="FFD9D9D9"/>
      </patternFill>
    </fill>
    <fill>
      <patternFill patternType="solid">
        <fgColor rgb="FFFFF2CC"/>
        <bgColor rgb="FFF2F4F7"/>
      </patternFill>
    </fill>
    <fill>
      <patternFill patternType="solid">
        <fgColor rgb="FFD9EAF7"/>
        <bgColor rgb="FFE3E8EF"/>
      </patternFill>
    </fill>
    <fill>
      <patternFill patternType="solid">
        <fgColor rgb="FFF2F4F7"/>
        <bgColor rgb="FFEEF5FB"/>
      </patternFill>
    </fill>
    <fill>
      <patternFill patternType="solid">
        <fgColor rgb="FFFCFCFB"/>
        <bgColor rgb="FFFFFFFF"/>
      </patternFill>
    </fill>
    <fill>
      <patternFill patternType="solid">
        <fgColor rgb="FF245A81"/>
        <bgColor rgb="FF404854"/>
      </patternFill>
    </fill>
    <fill>
      <patternFill patternType="solid">
        <fgColor rgb="FFEEF5FB"/>
        <bgColor rgb="FFF2F4F7"/>
      </patternFill>
    </fill>
  </fills>
  <borders count="33">
    <border diagonalUp="false" diagonalDown="false">
      <left/>
      <right/>
      <top/>
      <bottom/>
      <diagonal/>
    </border>
    <border diagonalUp="false" diagonalDown="false">
      <left/>
      <right/>
      <top/>
      <bottom style="medium">
        <color rgb="FF245A81"/>
      </bottom>
      <diagonal/>
    </border>
    <border diagonalUp="false" diagonalDown="false">
      <left/>
      <right/>
      <top/>
      <bottom style="thin">
        <color rgb="FFE3E8EF"/>
      </bottom>
      <diagonal/>
    </border>
    <border diagonalUp="false" diagonalDown="false">
      <left/>
      <right/>
      <top style="medium">
        <color rgb="FF17365D"/>
      </top>
      <bottom/>
      <diagonal/>
    </border>
    <border diagonalUp="false" diagonalDown="false">
      <left style="thin">
        <color rgb="FF245A81"/>
      </left>
      <right style="thin">
        <color rgb="FF245A81"/>
      </right>
      <top style="thin">
        <color rgb="FF245A81"/>
      </top>
      <bottom style="thin">
        <color rgb="FF245A81"/>
      </bottom>
      <diagonal/>
    </border>
    <border diagonalUp="false" diagonalDown="false">
      <left style="thick">
        <color rgb="FF245A81"/>
      </left>
      <right style="thin">
        <color rgb="FFC9D3DE"/>
      </right>
      <top style="thin">
        <color rgb="FFC9D3DE"/>
      </top>
      <bottom/>
      <diagonal/>
    </border>
    <border diagonalUp="false" diagonalDown="false">
      <left style="thick">
        <color rgb="FFFFC000"/>
      </left>
      <right style="thin">
        <color rgb="FFC9D3DE"/>
      </right>
      <top style="thin">
        <color rgb="FFC9D3DE"/>
      </top>
      <bottom/>
      <diagonal/>
    </border>
    <border diagonalUp="false" diagonalDown="false">
      <left style="thick">
        <color rgb="FF70AD47"/>
      </left>
      <right style="thin">
        <color rgb="FFC9D3DE"/>
      </right>
      <top style="thin">
        <color rgb="FFC9D3DE"/>
      </top>
      <bottom/>
      <diagonal/>
    </border>
    <border diagonalUp="false" diagonalDown="false">
      <left style="thick">
        <color rgb="FFC00000"/>
      </left>
      <right style="thin">
        <color rgb="FFC9D3DE"/>
      </right>
      <top style="thin">
        <color rgb="FFC9D3DE"/>
      </top>
      <bottom/>
      <diagonal/>
    </border>
    <border diagonalUp="false" diagonalDown="false">
      <left style="thick">
        <color rgb="FF245A81"/>
      </left>
      <right style="thin">
        <color rgb="FFC9D3DE"/>
      </right>
      <top/>
      <bottom/>
      <diagonal/>
    </border>
    <border diagonalUp="false" diagonalDown="false">
      <left style="thick">
        <color rgb="FFFFC000"/>
      </left>
      <right style="thin">
        <color rgb="FFC9D3DE"/>
      </right>
      <top/>
      <bottom/>
      <diagonal/>
    </border>
    <border diagonalUp="false" diagonalDown="false">
      <left style="thick">
        <color rgb="FF70AD47"/>
      </left>
      <right style="thin">
        <color rgb="FFC9D3DE"/>
      </right>
      <top/>
      <bottom/>
      <diagonal/>
    </border>
    <border diagonalUp="false" diagonalDown="false">
      <left style="thick">
        <color rgb="FFC00000"/>
      </left>
      <right style="thin">
        <color rgb="FFC9D3DE"/>
      </right>
      <top/>
      <bottom/>
      <diagonal/>
    </border>
    <border diagonalUp="false" diagonalDown="false">
      <left style="thick">
        <color rgb="FF245A81"/>
      </left>
      <right style="thin">
        <color rgb="FFC9D3DE"/>
      </right>
      <top/>
      <bottom style="thin">
        <color rgb="FFC9D3DE"/>
      </bottom>
      <diagonal/>
    </border>
    <border diagonalUp="false" diagonalDown="false">
      <left style="thick">
        <color rgb="FFFFC000"/>
      </left>
      <right style="thin">
        <color rgb="FFC9D3DE"/>
      </right>
      <top/>
      <bottom style="thin">
        <color rgb="FFC9D3DE"/>
      </bottom>
      <diagonal/>
    </border>
    <border diagonalUp="false" diagonalDown="false">
      <left style="thick">
        <color rgb="FF70AD47"/>
      </left>
      <right style="thin">
        <color rgb="FFC9D3DE"/>
      </right>
      <top/>
      <bottom style="thin">
        <color rgb="FFC9D3DE"/>
      </bottom>
      <diagonal/>
    </border>
    <border diagonalUp="false" diagonalDown="false">
      <left style="thick">
        <color rgb="FFC00000"/>
      </left>
      <right style="thin">
        <color rgb="FFC9D3DE"/>
      </right>
      <top/>
      <bottom style="thin">
        <color rgb="FFC9D3DE"/>
      </bottom>
      <diagonal/>
    </border>
    <border diagonalUp="false" diagonalDown="false">
      <left/>
      <right/>
      <top/>
      <bottom style="thin">
        <color rgb="FF245A81"/>
      </bottom>
      <diagonal/>
    </border>
    <border diagonalUp="false" diagonalDown="false">
      <left style="thin">
        <color rgb="FFC9D3DE"/>
      </left>
      <right/>
      <top style="thin">
        <color rgb="FFC9D3DE"/>
      </top>
      <bottom/>
      <diagonal/>
    </border>
    <border diagonalUp="false" diagonalDown="false">
      <left/>
      <right/>
      <top style="thin">
        <color rgb="FFC9D3DE"/>
      </top>
      <bottom/>
      <diagonal/>
    </border>
    <border diagonalUp="false" diagonalDown="false">
      <left/>
      <right style="thin">
        <color rgb="FFC9D3DE"/>
      </right>
      <top style="thin">
        <color rgb="FFC9D3DE"/>
      </top>
      <bottom/>
      <diagonal/>
    </border>
    <border diagonalUp="false" diagonalDown="false">
      <left/>
      <right style="thin">
        <color rgb="FFC9D3DE"/>
      </right>
      <top/>
      <bottom/>
      <diagonal/>
    </border>
    <border diagonalUp="false" diagonalDown="false">
      <left style="thin">
        <color rgb="FFC9D3DE"/>
      </left>
      <right/>
      <top/>
      <bottom/>
      <diagonal/>
    </border>
    <border diagonalUp="false" diagonalDown="false">
      <left style="thin">
        <color rgb="FFC9D3DE"/>
      </left>
      <right/>
      <top/>
      <bottom style="thin">
        <color rgb="FFC9D3DE"/>
      </bottom>
      <diagonal/>
    </border>
    <border diagonalUp="false" diagonalDown="false">
      <left/>
      <right/>
      <top/>
      <bottom style="thin">
        <color rgb="FFC9D3DE"/>
      </bottom>
      <diagonal/>
    </border>
    <border diagonalUp="false" diagonalDown="false">
      <left/>
      <right style="thin">
        <color rgb="FFC9D3DE"/>
      </right>
      <top/>
      <bottom style="thin">
        <color rgb="FFC9D3DE"/>
      </bottom>
      <diagonal/>
    </border>
    <border diagonalUp="false" diagonalDown="false">
      <left style="thin">
        <color rgb="FFC9D3DE"/>
      </left>
      <right style="thin">
        <color rgb="FFC9D3DE"/>
      </right>
      <top style="thin">
        <color rgb="FFC9D3DE"/>
      </top>
      <bottom/>
      <diagonal/>
    </border>
    <border diagonalUp="false" diagonalDown="false">
      <left style="medium">
        <color rgb="FF17365D"/>
      </left>
      <right style="medium">
        <color rgb="FF17365D"/>
      </right>
      <top style="medium">
        <color rgb="FF17365D"/>
      </top>
      <bottom/>
      <diagonal/>
    </border>
    <border diagonalUp="false" diagonalDown="false">
      <left style="thin">
        <color rgb="FFC9D3DE"/>
      </left>
      <right style="thin">
        <color rgb="FFC9D3DE"/>
      </right>
      <top/>
      <bottom/>
      <diagonal/>
    </border>
    <border diagonalUp="false" diagonalDown="false">
      <left style="medium">
        <color rgb="FF17365D"/>
      </left>
      <right style="medium">
        <color rgb="FF17365D"/>
      </right>
      <top/>
      <bottom/>
      <diagonal/>
    </border>
    <border diagonalUp="false" diagonalDown="false">
      <left style="thin">
        <color rgb="FFC9D3DE"/>
      </left>
      <right style="thin">
        <color rgb="FFC9D3DE"/>
      </right>
      <top/>
      <bottom style="thin">
        <color rgb="FFC9D3DE"/>
      </bottom>
      <diagonal/>
    </border>
    <border diagonalUp="false" diagonalDown="false">
      <left style="medium">
        <color rgb="FF17365D"/>
      </left>
      <right style="medium">
        <color rgb="FF17365D"/>
      </right>
      <top/>
      <bottom style="medium">
        <color rgb="FF17365D"/>
      </bottom>
      <diagonal/>
    </border>
    <border diagonalUp="false" diagonalDown="false">
      <left/>
      <right/>
      <top/>
      <bottom style="thin">
        <color rgb="FFF2F4F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3" fillId="7" borderId="0" xfId="0" applyFont="true" applyBorder="true" applyAlignment="false" applyProtection="false">
      <alignment horizontal="general" vertical="bottom" textRotation="0" wrapText="false" indent="0" shrinkToFit="false"/>
      <protection locked="true" hidden="false"/>
    </xf>
    <xf numFmtId="164" fontId="14" fillId="8" borderId="0"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6" fillId="8" borderId="2" xfId="0" applyFont="true" applyBorder="true" applyAlignment="false" applyProtection="false">
      <alignment horizontal="general" vertical="bottom" textRotation="0" wrapText="false" indent="0" shrinkToFit="false"/>
      <protection locked="true" hidden="false"/>
    </xf>
    <xf numFmtId="164" fontId="8" fillId="8" borderId="2" xfId="0" applyFont="true" applyBorder="true" applyAlignment="false" applyProtection="false">
      <alignment horizontal="general" vertical="bottom" textRotation="0" wrapText="false" indent="0" shrinkToFit="false"/>
      <protection locked="true" hidden="false"/>
    </xf>
    <xf numFmtId="164" fontId="17" fillId="8" borderId="2" xfId="0" applyFont="true" applyBorder="true" applyAlignment="true" applyProtection="false">
      <alignment horizontal="center" vertical="center" textRotation="0" wrapText="false" indent="0" shrinkToFit="false"/>
      <protection locked="true" hidden="false"/>
    </xf>
    <xf numFmtId="164" fontId="16" fillId="2"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19" fillId="6"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6" fontId="24" fillId="7" borderId="4" xfId="0" applyFont="true" applyBorder="true" applyAlignment="true" applyProtection="false">
      <alignment horizontal="left" vertical="center" textRotation="0" wrapText="false" indent="1" shrinkToFit="false"/>
      <protection locked="true" hidden="false"/>
    </xf>
    <xf numFmtId="167" fontId="24" fillId="7" borderId="4" xfId="0" applyFont="true" applyBorder="true" applyAlignment="true" applyProtection="false">
      <alignment horizontal="left" vertical="center" textRotation="0" wrapText="false" indent="1" shrinkToFit="false"/>
      <protection locked="true" hidden="false"/>
    </xf>
    <xf numFmtId="168" fontId="24" fillId="7" borderId="4" xfId="0" applyFont="true" applyBorder="true" applyAlignment="true" applyProtection="false">
      <alignment horizontal="left" vertical="center" textRotation="0" wrapText="false" indent="1"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23" fillId="2" borderId="5" xfId="0" applyFont="true" applyBorder="true" applyAlignment="true" applyProtection="false">
      <alignment horizontal="left" vertical="center" textRotation="0" wrapText="false" indent="1" shrinkToFit="false"/>
      <protection locked="true" hidden="false"/>
    </xf>
    <xf numFmtId="164" fontId="23" fillId="2" borderId="6" xfId="0" applyFont="true" applyBorder="true" applyAlignment="true" applyProtection="false">
      <alignment horizontal="left" vertical="center" textRotation="0" wrapText="false" indent="1" shrinkToFit="false"/>
      <protection locked="true" hidden="false"/>
    </xf>
    <xf numFmtId="164" fontId="23" fillId="2" borderId="7" xfId="0" applyFont="true" applyBorder="true" applyAlignment="true" applyProtection="false">
      <alignment horizontal="left" vertical="center" textRotation="0" wrapText="false" indent="1" shrinkToFit="false"/>
      <protection locked="true" hidden="false"/>
    </xf>
    <xf numFmtId="164" fontId="23" fillId="2" borderId="8" xfId="0" applyFont="true" applyBorder="true" applyAlignment="true" applyProtection="false">
      <alignment horizontal="left" vertical="center" textRotation="0" wrapText="false" indent="1" shrinkToFit="false"/>
      <protection locked="true" hidden="false"/>
    </xf>
    <xf numFmtId="169" fontId="21" fillId="2" borderId="9" xfId="0" applyFont="true" applyBorder="true" applyAlignment="true" applyProtection="false">
      <alignment horizontal="left" vertical="center" textRotation="0" wrapText="false" indent="1" shrinkToFit="false"/>
      <protection locked="true" hidden="false"/>
    </xf>
    <xf numFmtId="170" fontId="21" fillId="2" borderId="9" xfId="0" applyFont="true" applyBorder="true" applyAlignment="true" applyProtection="false">
      <alignment horizontal="left" vertical="center" textRotation="0" wrapText="false" indent="1" shrinkToFit="false"/>
      <protection locked="true" hidden="false"/>
    </xf>
    <xf numFmtId="170" fontId="21" fillId="2" borderId="10" xfId="0" applyFont="true" applyBorder="true" applyAlignment="true" applyProtection="false">
      <alignment horizontal="left" vertical="center" textRotation="0" wrapText="false" indent="1" shrinkToFit="false"/>
      <protection locked="true" hidden="false"/>
    </xf>
    <xf numFmtId="171" fontId="21" fillId="2" borderId="11" xfId="0" applyFont="true" applyBorder="true" applyAlignment="true" applyProtection="false">
      <alignment horizontal="left" vertical="center" textRotation="0" wrapText="false" indent="1" shrinkToFit="false"/>
      <protection locked="true" hidden="false"/>
    </xf>
    <xf numFmtId="170" fontId="27" fillId="2" borderId="12" xfId="0" applyFont="true" applyBorder="true" applyAlignment="true" applyProtection="false">
      <alignment horizontal="left" vertical="center" textRotation="0" wrapText="false" indent="1" shrinkToFit="false"/>
      <protection locked="true" hidden="false"/>
    </xf>
    <xf numFmtId="164" fontId="26" fillId="2" borderId="13" xfId="0" applyFont="true" applyBorder="true" applyAlignment="true" applyProtection="false">
      <alignment horizontal="left" vertical="center" textRotation="0" wrapText="false" indent="1" shrinkToFit="false"/>
      <protection locked="true" hidden="false"/>
    </xf>
    <xf numFmtId="164" fontId="26" fillId="2" borderId="14" xfId="0" applyFont="true" applyBorder="true" applyAlignment="true" applyProtection="false">
      <alignment horizontal="left" vertical="center" textRotation="0" wrapText="false" indent="1" shrinkToFit="false"/>
      <protection locked="true" hidden="false"/>
    </xf>
    <xf numFmtId="164" fontId="26" fillId="2" borderId="15" xfId="0" applyFont="true" applyBorder="true" applyAlignment="true" applyProtection="false">
      <alignment horizontal="left" vertical="center" textRotation="0" wrapText="false" indent="1" shrinkToFit="false"/>
      <protection locked="true" hidden="false"/>
    </xf>
    <xf numFmtId="164" fontId="26" fillId="2" borderId="16" xfId="0" applyFont="true" applyBorder="true" applyAlignment="true" applyProtection="false">
      <alignment horizontal="left" vertical="center" textRotation="0" wrapText="false" indent="1" shrinkToFit="false"/>
      <protection locked="true" hidden="false"/>
    </xf>
    <xf numFmtId="172" fontId="21" fillId="2" borderId="10" xfId="0" applyFont="true" applyBorder="true" applyAlignment="true" applyProtection="false">
      <alignment horizontal="left" vertical="center" textRotation="0" wrapText="false" indent="1" shrinkToFit="false"/>
      <protection locked="true" hidden="false"/>
    </xf>
    <xf numFmtId="169" fontId="21" fillId="2" borderId="10" xfId="0" applyFont="true" applyBorder="true" applyAlignment="true" applyProtection="false">
      <alignment horizontal="left" vertical="center" textRotation="0" wrapText="false" indent="1"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right" vertical="center" textRotation="0" wrapText="true" indent="0" shrinkToFit="false"/>
      <protection locked="true" hidden="false"/>
    </xf>
    <xf numFmtId="164" fontId="31"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true" applyProtection="false">
      <alignment horizontal="right" vertical="bottom" textRotation="0" wrapText="false" indent="0" shrinkToFit="false"/>
      <protection locked="true" hidden="false"/>
    </xf>
    <xf numFmtId="170" fontId="8" fillId="0" borderId="2" xfId="0" applyFont="true" applyBorder="true" applyAlignment="true" applyProtection="false">
      <alignment horizontal="right" vertical="bottom" textRotation="0" wrapText="false" indent="0" shrinkToFit="false"/>
      <protection locked="true" hidden="false"/>
    </xf>
    <xf numFmtId="171" fontId="8" fillId="0" borderId="2" xfId="0" applyFont="true" applyBorder="true" applyAlignment="true" applyProtection="false">
      <alignment horizontal="right" vertical="bottom" textRotation="0" wrapText="false" indent="0" shrinkToFit="false"/>
      <protection locked="true" hidden="false"/>
    </xf>
    <xf numFmtId="172" fontId="8" fillId="0" borderId="2" xfId="0" applyFont="true" applyBorder="true" applyAlignment="true" applyProtection="false">
      <alignment horizontal="right"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0" fontId="31" fillId="0" borderId="0" xfId="0" applyFont="true" applyBorder="false" applyAlignment="true" applyProtection="false">
      <alignment horizontal="right" vertical="center" textRotation="0" wrapText="false" indent="0" shrinkToFit="false"/>
      <protection locked="true" hidden="false"/>
    </xf>
    <xf numFmtId="171" fontId="31" fillId="0" borderId="0" xfId="0" applyFont="true" applyBorder="fals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bottom" textRotation="0" wrapText="false" indent="0" shrinkToFit="false"/>
      <protection locked="true" hidden="false"/>
    </xf>
    <xf numFmtId="164" fontId="8" fillId="0" borderId="2" xfId="0" applyFont="true" applyBorder="true" applyAlignment="true" applyProtection="false">
      <alignment horizontal="right" vertical="bottom" textRotation="0" wrapText="false" indent="0" shrinkToFit="false"/>
      <protection locked="true" hidden="false"/>
    </xf>
    <xf numFmtId="173" fontId="8" fillId="0" borderId="2"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75" fontId="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23" fillId="9" borderId="18" xfId="0" applyFont="true" applyBorder="true" applyAlignment="false" applyProtection="false">
      <alignment horizontal="general" vertical="bottom" textRotation="0" wrapText="false" indent="0" shrinkToFit="false"/>
      <protection locked="true" hidden="false"/>
    </xf>
    <xf numFmtId="164" fontId="0" fillId="9" borderId="19" xfId="0" applyFont="false" applyBorder="true" applyAlignment="false" applyProtection="false">
      <alignment horizontal="general" vertical="bottom" textRotation="0" wrapText="false" indent="0" shrinkToFit="false"/>
      <protection locked="true" hidden="false"/>
    </xf>
    <xf numFmtId="164" fontId="23" fillId="9" borderId="19" xfId="0" applyFont="true" applyBorder="true" applyAlignment="false" applyProtection="false">
      <alignment horizontal="general" vertical="bottom" textRotation="0" wrapText="false" indent="0" shrinkToFit="false"/>
      <protection locked="true" hidden="false"/>
    </xf>
    <xf numFmtId="164" fontId="0" fillId="9" borderId="20" xfId="0" applyFont="false" applyBorder="true" applyAlignment="false" applyProtection="false">
      <alignment horizontal="general" vertical="bottom" textRotation="0" wrapText="false" indent="0" shrinkToFit="false"/>
      <protection locked="true" hidden="false"/>
    </xf>
    <xf numFmtId="164" fontId="14" fillId="8" borderId="4" xfId="0" applyFont="true" applyBorder="true" applyAlignment="true" applyProtection="false">
      <alignment horizontal="left" vertical="center" textRotation="0" wrapText="false" indent="1" shrinkToFit="false"/>
      <protection locked="true" hidden="false"/>
    </xf>
    <xf numFmtId="165" fontId="14" fillId="8" borderId="4" xfId="0" applyFont="true" applyBorder="true" applyAlignment="true" applyProtection="false">
      <alignment horizontal="left" vertical="center" textRotation="0" wrapText="false" indent="1"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0" fillId="9" borderId="21" xfId="0" applyFont="false" applyBorder="tru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4" fontId="33" fillId="9" borderId="22" xfId="0" applyFont="true" applyBorder="true" applyAlignment="false" applyProtection="false">
      <alignment horizontal="general" vertical="bottom" textRotation="0" wrapText="false" indent="0" shrinkToFit="false"/>
      <protection locked="true" hidden="false"/>
    </xf>
    <xf numFmtId="164" fontId="25" fillId="9" borderId="23" xfId="0" applyFont="true" applyBorder="true" applyAlignment="false" applyProtection="false">
      <alignment horizontal="general" vertical="bottom" textRotation="0" wrapText="false" indent="0" shrinkToFit="false"/>
      <protection locked="true" hidden="false"/>
    </xf>
    <xf numFmtId="164" fontId="0" fillId="9" borderId="24" xfId="0" applyFont="false" applyBorder="true" applyAlignment="false" applyProtection="false">
      <alignment horizontal="general" vertical="bottom" textRotation="0" wrapText="false" indent="0" shrinkToFit="false"/>
      <protection locked="true" hidden="false"/>
    </xf>
    <xf numFmtId="164" fontId="0" fillId="9" borderId="25" xfId="0" applyFont="false" applyBorder="true" applyAlignment="false" applyProtection="false">
      <alignment horizontal="general" vertical="bottom" textRotation="0" wrapText="false" indent="0" shrinkToFit="false"/>
      <protection locked="true" hidden="false"/>
    </xf>
    <xf numFmtId="164" fontId="34" fillId="9" borderId="26" xfId="0" applyFont="true" applyBorder="true" applyAlignment="true" applyProtection="false">
      <alignment horizontal="left" vertical="center" textRotation="0" wrapText="false" indent="1" shrinkToFit="false"/>
      <protection locked="true" hidden="false"/>
    </xf>
    <xf numFmtId="164" fontId="35" fillId="9" borderId="26" xfId="0" applyFont="true" applyBorder="true" applyAlignment="true" applyProtection="false">
      <alignment horizontal="left" vertical="center" textRotation="0" wrapText="false" indent="1" shrinkToFit="false"/>
      <protection locked="true" hidden="false"/>
    </xf>
    <xf numFmtId="164" fontId="23" fillId="9" borderId="26" xfId="0" applyFont="true" applyBorder="true" applyAlignment="true" applyProtection="false">
      <alignment horizontal="left" vertical="center" textRotation="0" wrapText="false" indent="1" shrinkToFit="false"/>
      <protection locked="true" hidden="false"/>
    </xf>
    <xf numFmtId="164" fontId="23" fillId="9" borderId="27" xfId="0" applyFont="true" applyBorder="true" applyAlignment="true" applyProtection="false">
      <alignment horizontal="left" vertical="center" textRotation="0" wrapText="false" indent="1" shrinkToFit="false"/>
      <protection locked="true" hidden="false"/>
    </xf>
    <xf numFmtId="164" fontId="18" fillId="4" borderId="0" xfId="0" applyFont="true" applyBorder="true" applyAlignment="true" applyProtection="false">
      <alignment horizontal="general" vertical="center" textRotation="0" wrapText="false" indent="1" shrinkToFit="false"/>
      <protection locked="true" hidden="false"/>
    </xf>
    <xf numFmtId="164" fontId="36" fillId="2" borderId="0" xfId="0" applyFont="true" applyBorder="false" applyAlignment="false" applyProtection="false">
      <alignment horizontal="general" vertical="bottom" textRotation="0" wrapText="false" indent="0" shrinkToFit="false"/>
      <protection locked="true" hidden="false"/>
    </xf>
    <xf numFmtId="169" fontId="37" fillId="9" borderId="28" xfId="0" applyFont="true" applyBorder="true" applyAlignment="true" applyProtection="false">
      <alignment horizontal="left" vertical="center" textRotation="0" wrapText="false" indent="1" shrinkToFit="false"/>
      <protection locked="true" hidden="false"/>
    </xf>
    <xf numFmtId="172" fontId="37" fillId="9" borderId="29" xfId="0" applyFont="true" applyBorder="true" applyAlignment="true" applyProtection="false">
      <alignment horizontal="left" vertical="center" textRotation="0" wrapText="false" indent="1" shrinkToFit="false"/>
      <protection locked="true" hidden="false"/>
    </xf>
    <xf numFmtId="164" fontId="19" fillId="6" borderId="0" xfId="0" applyFont="true" applyBorder="true" applyAlignment="true" applyProtection="false">
      <alignment horizontal="general" vertical="center" textRotation="0" wrapText="false" indent="1" shrinkToFit="false"/>
      <protection locked="true" hidden="false"/>
    </xf>
    <xf numFmtId="164" fontId="33" fillId="9" borderId="30" xfId="0" applyFont="true" applyBorder="true" applyAlignment="true" applyProtection="false">
      <alignment horizontal="left" vertical="center" textRotation="0" wrapText="false" indent="1" shrinkToFit="false"/>
      <protection locked="true" hidden="false"/>
    </xf>
    <xf numFmtId="164" fontId="33" fillId="9" borderId="31" xfId="0" applyFont="true" applyBorder="true" applyAlignment="true" applyProtection="false">
      <alignment horizontal="left" vertical="center" textRotation="0" wrapText="false" indent="1" shrinkToFit="false"/>
      <protection locked="true" hidden="false"/>
    </xf>
    <xf numFmtId="164" fontId="20" fillId="5" borderId="0" xfId="0" applyFont="true" applyBorder="true" applyAlignment="true" applyProtection="false">
      <alignment horizontal="general" vertical="center" textRotation="0" wrapText="false" indent="1" shrinkToFit="false"/>
      <protection locked="true" hidden="false"/>
    </xf>
    <xf numFmtId="164" fontId="15" fillId="3" borderId="1" xfId="0" applyFont="true" applyBorder="true" applyAlignment="true" applyProtection="false">
      <alignment horizontal="left" vertical="center" textRotation="0" wrapText="true" indent="1" shrinkToFit="false"/>
      <protection locked="true" hidden="false"/>
    </xf>
    <xf numFmtId="164" fontId="31" fillId="2" borderId="32" xfId="0" applyFont="true" applyBorder="true" applyAlignment="false" applyProtection="false">
      <alignment horizontal="general" vertical="bottom" textRotation="0" wrapText="false" indent="0" shrinkToFit="false"/>
      <protection locked="true" hidden="false"/>
    </xf>
    <xf numFmtId="164" fontId="8" fillId="2" borderId="32" xfId="0" applyFont="true" applyBorder="true" applyAlignment="false" applyProtection="false">
      <alignment horizontal="general" vertical="bottom" textRotation="0" wrapText="false" indent="0" shrinkToFit="false"/>
      <protection locked="true" hidden="false"/>
    </xf>
    <xf numFmtId="169" fontId="8" fillId="2" borderId="32" xfId="0" applyFont="true" applyBorder="true" applyAlignment="false" applyProtection="false">
      <alignment horizontal="general" vertical="bottom" textRotation="0" wrapText="false" indent="0" shrinkToFit="false"/>
      <protection locked="true" hidden="false"/>
    </xf>
    <xf numFmtId="172" fontId="31" fillId="2" borderId="32" xfId="0" applyFont="true" applyBorder="true" applyAlignment="false" applyProtection="false">
      <alignment horizontal="general" vertical="bottom" textRotation="0" wrapText="false" indent="0" shrinkToFit="false"/>
      <protection locked="true" hidden="false"/>
    </xf>
    <xf numFmtId="164" fontId="8" fillId="2" borderId="32" xfId="0" applyFont="true" applyBorder="true" applyAlignment="true" applyProtection="false">
      <alignment horizontal="center" vertical="center" textRotation="0" wrapText="false" indent="0" shrinkToFit="false"/>
      <protection locked="true" hidden="false"/>
    </xf>
    <xf numFmtId="177" fontId="8" fillId="2" borderId="32" xfId="0" applyFont="true" applyBorder="true" applyAlignment="true" applyProtection="false">
      <alignment horizontal="center" vertical="center" textRotation="0" wrapText="false" indent="0" shrinkToFit="false"/>
      <protection locked="true" hidden="false"/>
    </xf>
    <xf numFmtId="165" fontId="8" fillId="2" borderId="32" xfId="0" applyFont="true" applyBorder="true" applyAlignment="true" applyProtection="false">
      <alignment horizontal="center" vertical="center" textRotation="0" wrapText="false" indent="0" shrinkToFit="false"/>
      <protection locked="true" hidden="false"/>
    </xf>
    <xf numFmtId="164" fontId="25" fillId="2" borderId="32" xfId="0" applyFont="true" applyBorder="true" applyAlignment="true" applyProtection="false">
      <alignment horizontal="general" vertical="center" textRotation="0" wrapText="false" indent="1" shrinkToFit="false"/>
      <protection locked="true" hidden="false"/>
    </xf>
    <xf numFmtId="164" fontId="28" fillId="2" borderId="32" xfId="0" applyFont="true" applyBorder="true" applyAlignment="true" applyProtection="false">
      <alignment horizontal="general" vertical="center" textRotation="0" wrapText="false" indent="1"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33" fillId="2" borderId="0" xfId="0" applyFont="true" applyBorder="false" applyAlignment="false" applyProtection="false">
      <alignment horizontal="general" vertical="bottom" textRotation="0" wrapText="false" indent="0" shrinkToFit="false"/>
      <protection locked="true" hidden="false"/>
    </xf>
    <xf numFmtId="164" fontId="23" fillId="2" borderId="18" xfId="0" applyFont="true" applyBorder="true" applyAlignment="false" applyProtection="false">
      <alignment horizontal="general" vertical="bottom" textRotation="0" wrapText="false" indent="0" shrinkToFit="false"/>
      <protection locked="true" hidden="false"/>
    </xf>
    <xf numFmtId="164" fontId="0" fillId="2" borderId="19" xfId="0" applyFont="false" applyBorder="true" applyAlignment="false" applyProtection="false">
      <alignment horizontal="general" vertical="bottom" textRotation="0" wrapText="false" indent="0" shrinkToFit="false"/>
      <protection locked="true" hidden="false"/>
    </xf>
    <xf numFmtId="164" fontId="23" fillId="2" borderId="19" xfId="0" applyFont="true" applyBorder="true" applyAlignment="false" applyProtection="false">
      <alignment horizontal="general" vertical="bottom" textRotation="0" wrapText="false" indent="0" shrinkToFit="false"/>
      <protection locked="true" hidden="false"/>
    </xf>
    <xf numFmtId="164" fontId="0" fillId="2" borderId="20" xfId="0" applyFont="false" applyBorder="true" applyAlignment="false" applyProtection="false">
      <alignment horizontal="general" vertical="bottom" textRotation="0" wrapText="false" indent="0" shrinkToFit="false"/>
      <protection locked="true" hidden="false"/>
    </xf>
    <xf numFmtId="167" fontId="14" fillId="7" borderId="4" xfId="0" applyFont="true" applyBorder="true" applyAlignment="true" applyProtection="false">
      <alignment horizontal="left" vertical="center" textRotation="0" wrapText="false" indent="1"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2" borderId="21" xfId="0" applyFont="false" applyBorder="true" applyAlignment="false" applyProtection="false">
      <alignment horizontal="general" vertical="bottom" textRotation="0" wrapText="false" indent="0" shrinkToFit="false"/>
      <protection locked="true" hidden="false"/>
    </xf>
    <xf numFmtId="164" fontId="33" fillId="2" borderId="22" xfId="0" applyFont="true" applyBorder="true" applyAlignment="false" applyProtection="false">
      <alignment horizontal="general" vertical="bottom" textRotation="0" wrapText="false" indent="0" shrinkToFit="false"/>
      <protection locked="true" hidden="false"/>
    </xf>
    <xf numFmtId="164" fontId="25" fillId="2" borderId="23" xfId="0" applyFont="true" applyBorder="true" applyAlignment="false" applyProtection="false">
      <alignment horizontal="general" vertical="bottom" textRotation="0" wrapText="false" indent="0" shrinkToFit="false"/>
      <protection locked="true" hidden="false"/>
    </xf>
    <xf numFmtId="164" fontId="0" fillId="2" borderId="24" xfId="0" applyFont="false" applyBorder="true" applyAlignment="false" applyProtection="false">
      <alignment horizontal="general" vertical="bottom" textRotation="0" wrapText="false" indent="0" shrinkToFit="false"/>
      <protection locked="true" hidden="false"/>
    </xf>
    <xf numFmtId="164" fontId="0" fillId="2" borderId="25" xfId="0" applyFont="false" applyBorder="true" applyAlignment="false" applyProtection="false">
      <alignment horizontal="general" vertical="bottom" textRotation="0" wrapText="false" indent="0" shrinkToFit="false"/>
      <protection locked="true" hidden="false"/>
    </xf>
    <xf numFmtId="164" fontId="38" fillId="2" borderId="26" xfId="0" applyFont="true" applyBorder="true" applyAlignment="true" applyProtection="false">
      <alignment horizontal="left" vertical="center" textRotation="0" wrapText="false" indent="1" shrinkToFit="false"/>
      <protection locked="true" hidden="false"/>
    </xf>
    <xf numFmtId="164" fontId="34" fillId="2" borderId="26" xfId="0" applyFont="true" applyBorder="true" applyAlignment="true" applyProtection="false">
      <alignment horizontal="left" vertical="center" textRotation="0" wrapText="false" indent="1" shrinkToFit="false"/>
      <protection locked="true" hidden="false"/>
    </xf>
    <xf numFmtId="164" fontId="23" fillId="2" borderId="26" xfId="0" applyFont="true" applyBorder="true" applyAlignment="true" applyProtection="false">
      <alignment horizontal="left" vertical="center" textRotation="0" wrapText="false" indent="1" shrinkToFit="false"/>
      <protection locked="true" hidden="false"/>
    </xf>
    <xf numFmtId="164" fontId="23" fillId="2" borderId="27" xfId="0" applyFont="true" applyBorder="true" applyAlignment="true" applyProtection="false">
      <alignment horizontal="left" vertical="center" textRotation="0" wrapText="false" indent="1" shrinkToFit="false"/>
      <protection locked="true" hidden="false"/>
    </xf>
    <xf numFmtId="164" fontId="39" fillId="6" borderId="0" xfId="0" applyFont="true" applyBorder="true" applyAlignment="true" applyProtection="false">
      <alignment horizontal="general" vertical="center" textRotation="0" wrapText="false" indent="1" shrinkToFit="false"/>
      <protection locked="true" hidden="false"/>
    </xf>
    <xf numFmtId="169" fontId="37" fillId="2" borderId="28" xfId="0" applyFont="true" applyBorder="true" applyAlignment="true" applyProtection="false">
      <alignment horizontal="left" vertical="center" textRotation="0" wrapText="false" indent="1" shrinkToFit="false"/>
      <protection locked="true" hidden="false"/>
    </xf>
    <xf numFmtId="172" fontId="37" fillId="2" borderId="29" xfId="0" applyFont="true" applyBorder="true" applyAlignment="true" applyProtection="false">
      <alignment horizontal="left" vertical="center" textRotation="0" wrapText="false" indent="1" shrinkToFit="false"/>
      <protection locked="true" hidden="false"/>
    </xf>
    <xf numFmtId="178" fontId="37" fillId="2" borderId="28" xfId="0" applyFont="true" applyBorder="true" applyAlignment="true" applyProtection="false">
      <alignment horizontal="left" vertical="center" textRotation="0" wrapText="false" indent="1" shrinkToFit="false"/>
      <protection locked="true" hidden="false"/>
    </xf>
    <xf numFmtId="164" fontId="40" fillId="4" borderId="0" xfId="0" applyFont="true" applyBorder="true" applyAlignment="true" applyProtection="false">
      <alignment horizontal="general" vertical="center" textRotation="0" wrapText="false" indent="1" shrinkToFit="false"/>
      <protection locked="true" hidden="false"/>
    </xf>
    <xf numFmtId="164" fontId="33" fillId="2" borderId="30" xfId="0" applyFont="true" applyBorder="true" applyAlignment="true" applyProtection="false">
      <alignment horizontal="left" vertical="center" textRotation="0" wrapText="false" indent="1" shrinkToFit="false"/>
      <protection locked="true" hidden="false"/>
    </xf>
    <xf numFmtId="164" fontId="33" fillId="2" borderId="31" xfId="0" applyFont="true" applyBorder="true" applyAlignment="true" applyProtection="false">
      <alignment horizontal="left" vertical="center" textRotation="0" wrapText="false" indent="1" shrinkToFit="false"/>
      <protection locked="true" hidden="false"/>
    </xf>
    <xf numFmtId="164" fontId="25" fillId="7" borderId="0" xfId="0" applyFont="true" applyBorder="true" applyAlignment="true" applyProtection="false">
      <alignment horizontal="general" vertical="center" textRotation="0" wrapText="false" indent="1" shrinkToFit="false"/>
      <protection locked="true" hidden="false"/>
    </xf>
    <xf numFmtId="179" fontId="8" fillId="2" borderId="32" xfId="0" applyFont="true" applyBorder="tru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4" fontId="41" fillId="4" borderId="0" xfId="0" applyFont="true" applyBorder="true" applyAlignment="true" applyProtection="false">
      <alignment horizontal="left" vertical="center" textRotation="0" wrapText="false" indent="1" shrinkToFit="false"/>
      <protection locked="true" hidden="false"/>
    </xf>
    <xf numFmtId="164" fontId="41" fillId="6" borderId="0" xfId="0" applyFont="true" applyBorder="true" applyAlignment="true" applyProtection="false">
      <alignment horizontal="left" vertical="center" textRotation="0" wrapText="false" indent="1" shrinkToFit="false"/>
      <protection locked="true" hidden="false"/>
    </xf>
    <xf numFmtId="164" fontId="41" fillId="5" borderId="0" xfId="0" applyFont="true" applyBorder="true" applyAlignment="true" applyProtection="false">
      <alignment horizontal="left" vertical="center" textRotation="0" wrapText="false" indent="1" shrinkToFit="false"/>
      <protection locked="true" hidden="false"/>
    </xf>
    <xf numFmtId="177" fontId="42" fillId="4" borderId="0" xfId="0" applyFont="true" applyBorder="true" applyAlignment="true" applyProtection="false">
      <alignment horizontal="left" vertical="center" textRotation="0" wrapText="false" indent="1" shrinkToFit="false"/>
      <protection locked="true" hidden="false"/>
    </xf>
    <xf numFmtId="177" fontId="43" fillId="6" borderId="0" xfId="0" applyFont="true" applyBorder="true" applyAlignment="true" applyProtection="false">
      <alignment horizontal="left" vertical="center" textRotation="0" wrapText="false" indent="1" shrinkToFit="false"/>
      <protection locked="true" hidden="false"/>
    </xf>
    <xf numFmtId="177" fontId="44" fillId="5" borderId="0" xfId="0" applyFont="true" applyBorder="true" applyAlignment="true" applyProtection="false">
      <alignment horizontal="left" vertical="center" textRotation="0" wrapText="false" indent="1"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31" fillId="0" borderId="32" xfId="0" applyFont="true" applyBorder="true" applyAlignment="false" applyProtection="false">
      <alignment horizontal="general" vertical="bottom" textRotation="0" wrapText="false" indent="0" shrinkToFit="false"/>
      <protection locked="true" hidden="false"/>
    </xf>
    <xf numFmtId="164" fontId="28" fillId="0" borderId="32" xfId="0" applyFont="true" applyBorder="true" applyAlignment="false" applyProtection="false">
      <alignment horizontal="general" vertical="bottom" textRotation="0" wrapText="false" indent="0" shrinkToFit="false"/>
      <protection locked="true" hidden="false"/>
    </xf>
    <xf numFmtId="164" fontId="8" fillId="0" borderId="32" xfId="0" applyFont="true" applyBorder="true" applyAlignment="false" applyProtection="false">
      <alignment horizontal="general" vertical="bottom" textRotation="0" wrapText="false" indent="0" shrinkToFit="false"/>
      <protection locked="true" hidden="false"/>
    </xf>
    <xf numFmtId="169" fontId="8" fillId="0" borderId="32" xfId="0" applyFont="true" applyBorder="true" applyAlignment="false" applyProtection="false">
      <alignment horizontal="general" vertical="bottom" textRotation="0" wrapText="false" indent="0" shrinkToFit="false"/>
      <protection locked="true" hidden="false"/>
    </xf>
    <xf numFmtId="172" fontId="31" fillId="0" borderId="32" xfId="0" applyFont="true" applyBorder="true" applyAlignment="false" applyProtection="false">
      <alignment horizontal="general" vertical="bottom" textRotation="0" wrapText="false" indent="0" shrinkToFit="false"/>
      <protection locked="true" hidden="false"/>
    </xf>
    <xf numFmtId="164" fontId="8" fillId="0" borderId="32" xfId="0" applyFont="true" applyBorder="true" applyAlignment="true" applyProtection="false">
      <alignment horizontal="center" vertical="bottom" textRotation="0" wrapText="false" indent="0" shrinkToFit="false"/>
      <protection locked="true" hidden="false"/>
    </xf>
    <xf numFmtId="172" fontId="8" fillId="0" borderId="32" xfId="0" applyFont="true" applyBorder="true" applyAlignment="false" applyProtection="false">
      <alignment horizontal="general" vertical="bottom" textRotation="0" wrapText="false" indent="0" shrinkToFit="false"/>
      <protection locked="true" hidden="false"/>
    </xf>
    <xf numFmtId="164" fontId="31" fillId="0" borderId="32" xfId="0" applyFont="true" applyBorder="true" applyAlignment="true" applyProtection="false">
      <alignment horizontal="center"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31" fillId="0" borderId="2"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center" vertical="center" textRotation="0" wrapText="false" indent="0" shrinkToFit="false"/>
      <protection locked="true" hidden="false"/>
    </xf>
    <xf numFmtId="164" fontId="28" fillId="0" borderId="2" xfId="0" applyFont="true" applyBorder="true" applyAlignment="true" applyProtection="false">
      <alignment horizontal="general" vertical="center" textRotation="0" wrapText="false" indent="0" shrinkToFit="false"/>
      <protection locked="true" hidden="false"/>
    </xf>
    <xf numFmtId="172" fontId="8" fillId="0" borderId="2" xfId="0" applyFont="true" applyBorder="true" applyAlignment="true" applyProtection="false">
      <alignment horizontal="general" vertical="center" textRotation="0" wrapText="false" indent="0" shrinkToFit="false"/>
      <protection locked="true" hidden="false"/>
    </xf>
    <xf numFmtId="164" fontId="8" fillId="11" borderId="2" xfId="0" applyFont="true" applyBorder="true" applyAlignment="true" applyProtection="false">
      <alignment horizontal="general" vertical="center" textRotation="0" wrapText="false" indent="0" shrinkToFit="false"/>
      <protection locked="true" hidden="false"/>
    </xf>
    <xf numFmtId="165" fontId="8" fillId="0" borderId="2" xfId="0" applyFont="true" applyBorder="true" applyAlignment="true" applyProtection="false">
      <alignment horizontal="center" vertical="center" textRotation="0" wrapText="false" indent="0" shrinkToFit="false"/>
      <protection locked="true" hidden="false"/>
    </xf>
    <xf numFmtId="165" fontId="8" fillId="11" borderId="2" xfId="0" applyFont="true" applyBorder="true" applyAlignment="true" applyProtection="false">
      <alignment horizontal="center" vertical="center" textRotation="0" wrapText="false" indent="0" shrinkToFit="false"/>
      <protection locked="true" hidden="false"/>
    </xf>
    <xf numFmtId="164" fontId="8" fillId="11" borderId="2"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31"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31" fillId="8" borderId="2" xfId="0" applyFont="true" applyBorder="true" applyAlignment="true" applyProtection="false">
      <alignment horizontal="general" vertical="top" textRotation="0" wrapText="true" indent="0" shrinkToFit="false"/>
      <protection locked="true" hidden="false"/>
    </xf>
    <xf numFmtId="164" fontId="8" fillId="8" borderId="2" xfId="0" applyFont="true" applyBorder="true" applyAlignment="true" applyProtection="false">
      <alignment horizontal="general" vertical="top" textRotation="0" wrapText="true" indent="0" shrinkToFit="false"/>
      <protection locked="true" hidden="false"/>
    </xf>
    <xf numFmtId="164" fontId="46" fillId="3" borderId="0" xfId="0" applyFont="true" applyBorder="false" applyAlignment="false" applyProtection="false">
      <alignment horizontal="general" vertical="bottom" textRotation="0" wrapText="false" indent="0" shrinkToFit="false"/>
      <protection locked="true" hidden="false"/>
    </xf>
    <xf numFmtId="164" fontId="47" fillId="8" borderId="0" xfId="0" applyFont="true" applyBorder="false" applyAlignment="false" applyProtection="false">
      <alignment horizontal="general" vertical="bottom" textRotation="0" wrapText="false" indent="0" shrinkToFit="false"/>
      <protection locked="true" hidden="false"/>
    </xf>
    <xf numFmtId="165" fontId="16" fillId="7" borderId="4" xfId="0" applyFont="true" applyBorder="true" applyAlignment="false" applyProtection="false">
      <alignment horizontal="general" vertical="bottom" textRotation="0" wrapText="false" indent="0" shrinkToFit="false"/>
      <protection locked="true" hidden="false"/>
    </xf>
    <xf numFmtId="169" fontId="17" fillId="7" borderId="4" xfId="0" applyFont="true" applyBorder="true" applyAlignment="false" applyProtection="false">
      <alignment horizontal="general" vertical="bottom" textRotation="0" wrapText="false" indent="0" shrinkToFit="false"/>
      <protection locked="true" hidden="false"/>
    </xf>
    <xf numFmtId="176" fontId="16" fillId="7" borderId="4" xfId="0" applyFont="true" applyBorder="true" applyAlignment="false" applyProtection="false">
      <alignment horizontal="general" vertical="bottom" textRotation="0" wrapText="false" indent="0" shrinkToFit="false"/>
      <protection locked="true" hidden="false"/>
    </xf>
    <xf numFmtId="165" fontId="17" fillId="7" borderId="4" xfId="0" applyFont="true" applyBorder="true" applyAlignment="false" applyProtection="false">
      <alignment horizontal="general" vertical="bottom" textRotation="0" wrapText="false" indent="0" shrinkToFit="false"/>
      <protection locked="true" hidden="false"/>
    </xf>
    <xf numFmtId="164" fontId="15" fillId="3" borderId="32" xfId="0" applyFont="true" applyBorder="true" applyAlignment="true" applyProtection="false">
      <alignment horizontal="center" vertical="bottom" textRotation="0" wrapText="false" indent="0" shrinkToFit="false"/>
      <protection locked="true" hidden="false"/>
    </xf>
    <xf numFmtId="165" fontId="17" fillId="8" borderId="4" xfId="0" applyFont="true" applyBorder="true" applyAlignment="false" applyProtection="false">
      <alignment horizontal="general" vertical="bottom" textRotation="0" wrapText="false" indent="0" shrinkToFit="false"/>
      <protection locked="true" hidden="false"/>
    </xf>
    <xf numFmtId="171" fontId="8" fillId="0" borderId="32" xfId="0" applyFont="true" applyBorder="true" applyAlignment="false" applyProtection="false">
      <alignment horizontal="general" vertical="bottom" textRotation="0" wrapText="false" indent="0" shrinkToFit="false"/>
      <protection locked="true" hidden="false"/>
    </xf>
    <xf numFmtId="178" fontId="17" fillId="7" borderId="4" xfId="0" applyFont="true" applyBorder="true" applyAlignment="false" applyProtection="false">
      <alignment horizontal="general" vertical="bottom" textRotation="0" wrapText="false" indent="0" shrinkToFit="false"/>
      <protection locked="true" hidden="false"/>
    </xf>
    <xf numFmtId="164" fontId="17" fillId="7" borderId="4" xfId="0" applyFont="true" applyBorder="true" applyAlignment="false" applyProtection="false">
      <alignment horizontal="general" vertical="bottom" textRotation="0" wrapText="false" indent="0" shrinkToFit="false"/>
      <protection locked="true" hidden="false"/>
    </xf>
    <xf numFmtId="164" fontId="15" fillId="3" borderId="32" xfId="0" applyFont="true" applyBorder="true" applyAlignment="false" applyProtection="false">
      <alignment horizontal="general" vertical="bottom" textRotation="0" wrapText="false" indent="0" shrinkToFit="false"/>
      <protection locked="true" hidden="false"/>
    </xf>
    <xf numFmtId="169" fontId="31" fillId="0" borderId="3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4">
    <dxf>
      <font>
        <color rgb="FF70AD47"/>
      </font>
    </dxf>
    <dxf>
      <font>
        <color rgb="FFBF8F00"/>
      </font>
    </dxf>
    <dxf>
      <font>
        <color rgb="FFC00000"/>
      </font>
    </dxf>
    <dxf>
      <fill>
        <patternFill patternType="solid">
          <fgColor rgb="FF17365D"/>
          <bgColor rgb="FF000000"/>
        </patternFill>
      </fill>
    </dxf>
    <dxf>
      <fill>
        <patternFill patternType="solid">
          <fgColor rgb="FFF2F4F7"/>
          <bgColor rgb="FF000000"/>
        </patternFill>
      </fill>
    </dxf>
    <dxf>
      <fill>
        <patternFill patternType="solid">
          <bgColor rgb="FF000000"/>
        </patternFill>
      </fill>
    </dxf>
    <dxf>
      <fill>
        <patternFill patternType="solid">
          <fgColor rgb="FF404854"/>
          <bgColor rgb="FF000000"/>
        </patternFill>
      </fill>
    </dxf>
    <dxf>
      <fill>
        <patternFill patternType="solid">
          <fgColor rgb="FFFFFFFF"/>
          <bgColor rgb="FF000000"/>
        </patternFill>
      </fill>
    </dxf>
    <dxf>
      <fill>
        <patternFill patternType="solid">
          <fgColor rgb="FF245A81"/>
          <bgColor rgb="FF000000"/>
        </patternFill>
      </fill>
    </dxf>
    <dxf>
      <fill>
        <patternFill>
          <bgColor rgb="FFF2F4F7"/>
        </patternFill>
      </fill>
    </dxf>
    <dxf>
      <fill>
        <patternFill patternType="solid">
          <fgColor rgb="FFC00000"/>
          <bgColor rgb="FF000000"/>
        </patternFill>
      </fill>
    </dxf>
    <dxf>
      <fill>
        <patternFill patternType="solid">
          <fgColor rgb="FFE2EFDA"/>
          <bgColor rgb="FF000000"/>
        </patternFill>
      </fill>
    </dxf>
    <dxf>
      <fill>
        <patternFill patternType="solid">
          <fgColor rgb="FFF8DADA"/>
          <bgColor rgb="FF000000"/>
        </patternFill>
      </fill>
    </dxf>
    <dxf>
      <fill>
        <patternFill patternType="solid">
          <fgColor rgb="FFFFF2CC"/>
          <bgColor rgb="FF000000"/>
        </patternFill>
      </fill>
    </dxf>
    <dxf>
      <fill>
        <patternFill patternType="solid">
          <fgColor rgb="FF375623"/>
          <bgColor rgb="FF000000"/>
        </patternFill>
      </fill>
    </dxf>
    <dxf>
      <fill>
        <patternFill patternType="solid">
          <fgColor rgb="FF7F6000"/>
          <bgColor rgb="FF000000"/>
        </patternFill>
      </fill>
    </dxf>
    <dxf>
      <font>
        <color rgb="FF7F6000"/>
      </font>
    </dxf>
    <dxf>
      <font>
        <color rgb="FF375623"/>
      </font>
    </dxf>
    <dxf>
      <font>
        <b val="1"/>
        <color rgb="FF375623"/>
      </font>
      <fill>
        <patternFill>
          <bgColor rgb="FFE2EFDA"/>
        </patternFill>
      </fill>
    </dxf>
    <dxf>
      <font>
        <b val="1"/>
        <color rgb="FF7F6000"/>
      </font>
      <fill>
        <patternFill>
          <bgColor rgb="FFFFF2CC"/>
        </patternFill>
      </fill>
    </dxf>
    <dxf>
      <font>
        <b val="1"/>
        <color rgb="FFC00000"/>
      </font>
      <fill>
        <patternFill>
          <bgColor rgb="FFF8DADA"/>
        </patternFill>
      </fill>
    </dxf>
    <dxf>
      <font>
        <b val="1"/>
        <color rgb="FFC00000"/>
      </font>
    </dxf>
    <dxf>
      <fill>
        <patternFill>
          <bgColor rgb="FFFFFFFF"/>
        </patternFill>
      </fill>
    </dxf>
    <dxf>
      <fill>
        <patternFill patternType="solid">
          <fgColor rgb="FFD9EAF7"/>
          <bgColor rgb="FF000000"/>
        </patternFill>
      </fill>
    </dxf>
    <dxf>
      <font>
        <b val="1"/>
        <color rgb="FF404854"/>
      </font>
      <fill>
        <patternFill>
          <bgColor rgb="FFD9EAF7"/>
        </patternFill>
      </fill>
    </dxf>
    <dxf>
      <font>
        <b val="1"/>
        <color rgb="FF245A81"/>
      </font>
      <fill>
        <patternFill>
          <bgColor rgb="FFD9EAF7"/>
        </patternFill>
      </fill>
    </dxf>
    <dxf>
      <font>
        <b val="1"/>
        <color rgb="FF404854"/>
      </font>
      <fill>
        <patternFill>
          <bgColor rgb="FFF2F4F7"/>
        </patternFill>
      </fill>
    </dxf>
    <dxf>
      <fill>
        <patternFill patternType="solid">
          <fgColor rgb="FFEEF5FB"/>
          <bgColor rgb="FF000000"/>
        </patternFill>
      </fill>
    </dxf>
    <dxf>
      <fill>
        <patternFill patternType="solid">
          <fgColor rgb="FF6B7480"/>
          <bgColor rgb="FF000000"/>
        </patternFill>
      </fill>
    </dxf>
    <dxf>
      <font>
        <b val="1"/>
        <color rgb="FF6B7480"/>
      </font>
      <fill>
        <patternFill>
          <bgColor rgb="FFF2F4F7"/>
        </patternFill>
      </fill>
    </dxf>
    <dxf>
      <font>
        <i val="1"/>
        <color rgb="FF6B7480"/>
      </font>
    </dxf>
    <dxf>
      <font>
        <color rgb="FFC00000"/>
      </font>
      <fill>
        <patternFill>
          <bgColor rgb="FFF8DADA"/>
        </patternFill>
      </fill>
    </dxf>
    <dxf>
      <font>
        <color rgb="FF7F6000"/>
      </font>
      <fill>
        <patternFill>
          <bgColor rgb="FFFFF2CC"/>
        </patternFill>
      </fill>
    </dxf>
    <dxf>
      <font>
        <color rgb="FF375623"/>
      </font>
      <fill>
        <patternFill>
          <bgColor rgb="FFE2EFDA"/>
        </patternFill>
      </fill>
    </dxf>
  </dxfs>
  <colors>
    <indexedColors>
      <rgbColor rgb="FF000000"/>
      <rgbColor rgb="FFFFFFFF"/>
      <rgbColor rgb="FFC00000"/>
      <rgbColor rgb="FF00FF00"/>
      <rgbColor rgb="FF0000FF"/>
      <rgbColor rgb="FFF2F4F7"/>
      <rgbColor rgb="FFFF00FF"/>
      <rgbColor rgb="FF00FFFF"/>
      <rgbColor rgb="FF800000"/>
      <rgbColor rgb="FF008000"/>
      <rgbColor rgb="FF000080"/>
      <rgbColor rgb="FF7F6000"/>
      <rgbColor rgb="FF800080"/>
      <rgbColor rgb="FF008080"/>
      <rgbColor rgb="FF9DB9D6"/>
      <rgbColor rgb="FF878787"/>
      <rgbColor rgb="FF9999FF"/>
      <rgbColor rgb="FF993366"/>
      <rgbColor rgb="FFFFF2CC"/>
      <rgbColor rgb="FFD9EAF7"/>
      <rgbColor rgb="FF660066"/>
      <rgbColor rgb="FFFF8080"/>
      <rgbColor rgb="FF0066CC"/>
      <rgbColor rgb="FFC9D3DE"/>
      <rgbColor rgb="FF000080"/>
      <rgbColor rgb="FFFF00FF"/>
      <rgbColor rgb="FFFFFF00"/>
      <rgbColor rgb="FF00FFFF"/>
      <rgbColor rgb="FF800080"/>
      <rgbColor rgb="FF800000"/>
      <rgbColor rgb="FF008080"/>
      <rgbColor rgb="FF0000FF"/>
      <rgbColor rgb="FF00CCFF"/>
      <rgbColor rgb="FFEEF5FB"/>
      <rgbColor rgb="FFE2EFDA"/>
      <rgbColor rgb="FFFCFCFB"/>
      <rgbColor rgb="FF9DC3E6"/>
      <rgbColor rgb="FFE3E8EF"/>
      <rgbColor rgb="FFD9D9D9"/>
      <rgbColor rgb="FFF8DADA"/>
      <rgbColor rgb="FF4F81BD"/>
      <rgbColor rgb="FF33CCCC"/>
      <rgbColor rgb="FF99CC00"/>
      <rgbColor rgb="FFFFC000"/>
      <rgbColor rgb="FFBF8F00"/>
      <rgbColor rgb="FFFF6600"/>
      <rgbColor rgb="FF6B7480"/>
      <rgbColor rgb="FFA6A6A6"/>
      <rgbColor rgb="FF17365D"/>
      <rgbColor rgb="FF70AD47"/>
      <rgbColor rgb="FF003300"/>
      <rgbColor rgb="FF375623"/>
      <rgbColor rgb="FF993300"/>
      <rgbColor rgb="FF993366"/>
      <rgbColor rgb="FF245A81"/>
      <rgbColor rgb="FF4048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Movimentações por período (entrou × saiu por dia)</a:t>
            </a:r>
          </a:p>
        </c:rich>
      </c:tx>
      <c:overlay val="0"/>
      <c:spPr>
        <a:noFill/>
        <a:ln w="0">
          <a:noFill/>
        </a:ln>
      </c:spPr>
    </c:title>
    <c:autoTitleDeleted val="0"/>
    <c:plotArea>
      <c:barChart>
        <c:barDir val="col"/>
        <c:grouping val="clustered"/>
        <c:varyColors val="0"/>
        <c:ser>
          <c:idx val="0"/>
          <c:order val="0"/>
          <c:tx>
            <c:strRef>
              <c:f>'4 Análise ZBR'!AP39</c:f>
              <c:strCache>
                <c:ptCount val="1"/>
                <c:pt idx="0">
                  <c:v>Entrou no ZBR</c:v>
                </c:pt>
              </c:strCache>
            </c:strRef>
          </c:tx>
          <c:spPr>
            <a:solidFill>
              <a:srgbClr val="245a8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ZBR'!$AN$40:$AN$62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'4 Análise ZBR'!$AP$40:$AP$62</c:f>
              <c:numCache>
                <c:formatCode>General</c:formatCode>
                <c:ptCount val="23"/>
                <c:pt idx="0">
                  <c:v>490.96</c:v>
                </c:pt>
                <c:pt idx="1">
                  <c:v>0</c:v>
                </c:pt>
                <c:pt idx="2">
                  <c:v>6720.9</c:v>
                </c:pt>
                <c:pt idx="3">
                  <c:v>0</c:v>
                </c:pt>
                <c:pt idx="4">
                  <c:v>0</c:v>
                </c:pt>
                <c:pt idx="5">
                  <c:v>0</c:v>
                </c:pt>
                <c:pt idx="6">
                  <c:v>0</c:v>
                </c:pt>
                <c:pt idx="7">
                  <c:v>0</c:v>
                </c:pt>
                <c:pt idx="8">
                  <c:v>0</c:v>
                </c:pt>
                <c:pt idx="9">
                  <c:v>0</c:v>
                </c:pt>
                <c:pt idx="10">
                  <c:v>0</c:v>
                </c:pt>
                <c:pt idx="11">
                  <c:v>0</c:v>
                </c:pt>
                <c:pt idx="12">
                  <c:v>918</c:v>
                </c:pt>
                <c:pt idx="13">
                  <c:v>0</c:v>
                </c:pt>
                <c:pt idx="14">
                  <c:v>6467.92</c:v>
                </c:pt>
                <c:pt idx="15">
                  <c:v>17483.8</c:v>
                </c:pt>
                <c:pt idx="16">
                  <c:v>0</c:v>
                </c:pt>
                <c:pt idx="17">
                  <c:v>9865.5</c:v>
                </c:pt>
                <c:pt idx="18">
                  <c:v>0</c:v>
                </c:pt>
                <c:pt idx="19">
                  <c:v>7172.8</c:v>
                </c:pt>
                <c:pt idx="20">
                  <c:v>15789.3</c:v>
                </c:pt>
                <c:pt idx="21">
                  <c:v>1021.1</c:v>
                </c:pt>
                <c:pt idx="22">
                  <c:v>0</c:v>
                </c:pt>
              </c:numCache>
            </c:numRef>
          </c:val>
        </c:ser>
        <c:ser>
          <c:idx val="1"/>
          <c:order val="1"/>
          <c:tx>
            <c:strRef>
              <c:f>'4 Análise ZBR'!AQ39</c:f>
              <c:strCache>
                <c:ptCount val="1"/>
                <c:pt idx="0">
                  <c:v>Saiu</c:v>
                </c:pt>
              </c:strCache>
            </c:strRef>
          </c:tx>
          <c:spPr>
            <a:solidFill>
              <a:srgbClr val="9db9d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ZBR'!$AN$40:$AN$62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'4 Análise ZBR'!$AQ$40:$AQ$62</c:f>
              <c:numCache>
                <c:formatCode>General</c:formatCode>
                <c:ptCount val="23"/>
                <c:pt idx="0">
                  <c:v>-11.2</c:v>
                </c:pt>
                <c:pt idx="1">
                  <c:v>-559.4</c:v>
                </c:pt>
                <c:pt idx="2">
                  <c:v>-2836.4</c:v>
                </c:pt>
                <c:pt idx="3">
                  <c:v>-173.1</c:v>
                </c:pt>
                <c:pt idx="4">
                  <c:v>-410.8</c:v>
                </c:pt>
                <c:pt idx="5">
                  <c:v>-163</c:v>
                </c:pt>
                <c:pt idx="6">
                  <c:v>-340</c:v>
                </c:pt>
                <c:pt idx="7">
                  <c:v>-94.6</c:v>
                </c:pt>
                <c:pt idx="8">
                  <c:v>-337.5</c:v>
                </c:pt>
                <c:pt idx="9">
                  <c:v>-10.8</c:v>
                </c:pt>
                <c:pt idx="10">
                  <c:v>-195</c:v>
                </c:pt>
                <c:pt idx="11">
                  <c:v>-302.7</c:v>
                </c:pt>
                <c:pt idx="12">
                  <c:v>-278.5</c:v>
                </c:pt>
                <c:pt idx="13">
                  <c:v>-120.1</c:v>
                </c:pt>
                <c:pt idx="14">
                  <c:v>-134.5</c:v>
                </c:pt>
                <c:pt idx="15">
                  <c:v>-310.1</c:v>
                </c:pt>
                <c:pt idx="16">
                  <c:v>-4832.1</c:v>
                </c:pt>
                <c:pt idx="17">
                  <c:v>-3904.2</c:v>
                </c:pt>
                <c:pt idx="18">
                  <c:v>-2188.2</c:v>
                </c:pt>
                <c:pt idx="19">
                  <c:v>-179.6</c:v>
                </c:pt>
                <c:pt idx="20">
                  <c:v>-2433.6</c:v>
                </c:pt>
                <c:pt idx="21">
                  <c:v>-5962.6</c:v>
                </c:pt>
                <c:pt idx="22">
                  <c:v>-490.8</c:v>
                </c:pt>
              </c:numCache>
            </c:numRef>
          </c:val>
        </c:ser>
        <c:gapWidth val="40"/>
        <c:overlap val="100"/>
        <c:axId val="73063813"/>
        <c:axId val="96450838"/>
      </c:barChart>
      <c:catAx>
        <c:axId val="7306381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6450838"/>
        <c:crosses val="autoZero"/>
        <c:auto val="1"/>
        <c:lblAlgn val="ctr"/>
        <c:lblOffset val="100"/>
        <c:noMultiLvlLbl val="0"/>
      </c:catAx>
      <c:valAx>
        <c:axId val="96450838"/>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06381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Evolução do saldo acumulado no ZBR</a:t>
            </a:r>
          </a:p>
        </c:rich>
      </c:tx>
      <c:overlay val="0"/>
      <c:spPr>
        <a:noFill/>
        <a:ln w="0">
          <a:noFill/>
        </a:ln>
      </c:spPr>
    </c:title>
    <c:autoTitleDeleted val="0"/>
    <c:plotArea>
      <c:lineChart>
        <c:grouping val="standard"/>
        <c:varyColors val="0"/>
        <c:ser>
          <c:idx val="0"/>
          <c:order val="0"/>
          <c:tx>
            <c:strRef>
              <c:f>'4 Análise ZBR'!AR39</c:f>
              <c:strCache>
                <c:ptCount val="1"/>
                <c:pt idx="0">
                  <c:v>Saldo acumulado (entrou − saiu)</c:v>
                </c:pt>
              </c:strCache>
            </c:strRef>
          </c:tx>
          <c:spPr>
            <a:solidFill>
              <a:srgbClr val="17365d"/>
            </a:solidFill>
            <a:ln w="28080">
              <a:solidFill>
                <a:srgbClr val="17365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ZBR'!$AN$40:$AN$62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'4 Análise ZBR'!$AR$40:$AR$62</c:f>
              <c:numCache>
                <c:formatCode>General</c:formatCode>
                <c:ptCount val="23"/>
                <c:pt idx="0">
                  <c:v>479.76</c:v>
                </c:pt>
                <c:pt idx="1">
                  <c:v>-79.64</c:v>
                </c:pt>
                <c:pt idx="2">
                  <c:v>3804.86</c:v>
                </c:pt>
                <c:pt idx="3">
                  <c:v>3631.76</c:v>
                </c:pt>
                <c:pt idx="4">
                  <c:v>3220.96</c:v>
                </c:pt>
                <c:pt idx="5">
                  <c:v>3057.96</c:v>
                </c:pt>
                <c:pt idx="6">
                  <c:v>2717.96</c:v>
                </c:pt>
                <c:pt idx="7">
                  <c:v>2623.36</c:v>
                </c:pt>
                <c:pt idx="8">
                  <c:v>2285.86</c:v>
                </c:pt>
                <c:pt idx="9">
                  <c:v>2275.06</c:v>
                </c:pt>
                <c:pt idx="10">
                  <c:v>2080.06</c:v>
                </c:pt>
                <c:pt idx="11">
                  <c:v>1777.36</c:v>
                </c:pt>
                <c:pt idx="12">
                  <c:v>2416.86</c:v>
                </c:pt>
                <c:pt idx="13">
                  <c:v>2296.76</c:v>
                </c:pt>
                <c:pt idx="14">
                  <c:v>8630.18</c:v>
                </c:pt>
                <c:pt idx="15">
                  <c:v>25803.88</c:v>
                </c:pt>
                <c:pt idx="16">
                  <c:v>20971.78</c:v>
                </c:pt>
                <c:pt idx="17">
                  <c:v>26933.08</c:v>
                </c:pt>
                <c:pt idx="18">
                  <c:v>24744.88</c:v>
                </c:pt>
                <c:pt idx="19">
                  <c:v>31738.08</c:v>
                </c:pt>
                <c:pt idx="20">
                  <c:v>45093.78</c:v>
                </c:pt>
                <c:pt idx="21">
                  <c:v>40152.28</c:v>
                </c:pt>
                <c:pt idx="22">
                  <c:v>39661.48</c:v>
                </c:pt>
              </c:numCache>
            </c:numRef>
          </c:val>
          <c:smooth val="0"/>
        </c:ser>
        <c:hiLowLines>
          <c:spPr>
            <a:ln w="0">
              <a:noFill/>
            </a:ln>
          </c:spPr>
        </c:hiLowLines>
        <c:marker val="0"/>
        <c:axId val="9567319"/>
        <c:axId val="26289065"/>
      </c:lineChart>
      <c:catAx>
        <c:axId val="95673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289065"/>
        <c:crosses val="autoZero"/>
        <c:auto val="1"/>
        <c:lblAlgn val="ctr"/>
        <c:lblOffset val="100"/>
        <c:noMultiLvlLbl val="0"/>
      </c:catAx>
      <c:valAx>
        <c:axId val="26289065"/>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67319"/>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Divergências por categoria de causa</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Pt>
            <c:idx val="0"/>
            <c:invertIfNegative val="0"/>
            <c:spPr>
              <a:solidFill>
                <a:srgbClr val="c00000"/>
              </a:solidFill>
              <a:ln w="0">
                <a:noFill/>
              </a:ln>
            </c:spPr>
          </c:dPt>
          <c:dPt>
            <c:idx val="1"/>
            <c:invertIfNegative val="0"/>
            <c:spPr>
              <a:solidFill>
                <a:srgbClr val="c00000"/>
              </a:solidFill>
              <a:ln w="0">
                <a:noFill/>
              </a:ln>
            </c:spPr>
          </c:dPt>
          <c:dPt>
            <c:idx val="2"/>
            <c:invertIfNegative val="0"/>
            <c:spPr>
              <a:solidFill>
                <a:srgbClr val="ffc000"/>
              </a:solidFill>
              <a:ln w="0">
                <a:noFill/>
              </a:ln>
            </c:spPr>
          </c:dPt>
          <c:dPt>
            <c:idx val="3"/>
            <c:invertIfNegative val="0"/>
            <c:spPr>
              <a:solidFill>
                <a:srgbClr val="ffc000"/>
              </a:solidFill>
              <a:ln w="0">
                <a:noFill/>
              </a:ln>
            </c:spPr>
          </c:dPt>
          <c:dPt>
            <c:idx val="4"/>
            <c:invertIfNegative val="0"/>
            <c:spPr>
              <a:solidFill>
                <a:srgbClr val="245a81"/>
              </a:solidFill>
              <a:ln w="0">
                <a:noFill/>
              </a:ln>
            </c:spPr>
          </c:dPt>
          <c:dPt>
            <c:idx val="5"/>
            <c:invertIfNegative val="0"/>
            <c:spPr>
              <a:solidFill>
                <a:srgbClr val="a6a6a6"/>
              </a:solidFill>
              <a:ln w="0">
                <a:noFill/>
              </a:ln>
            </c:spPr>
          </c:dPt>
          <c:dPt>
            <c:idx val="6"/>
            <c:invertIfNegative val="0"/>
            <c:spPr>
              <a:solidFill>
                <a:srgbClr val="245a81"/>
              </a:solidFill>
              <a:ln w="0">
                <a:noFill/>
              </a:ln>
            </c:spPr>
          </c:dPt>
          <c:dPt>
            <c:idx val="7"/>
            <c:invertIfNegative val="0"/>
            <c:spPr>
              <a:solidFill>
                <a:srgbClr val="ffc000"/>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5"/>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6"/>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7"/>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'1 Dashboard'!$T$20:$T$27</c:f>
              <c:strCache>
                <c:ptCount val="8"/>
                <c:pt idx="0">
                  <c:v>Falta sem explicação</c:v>
                </c:pt>
                <c:pt idx="1">
                  <c:v>Não localizado no estoque</c:v>
                </c:pt>
                <c:pt idx="2">
                  <c:v>Saída sem baixa no estoque</c:v>
                </c:pt>
                <c:pt idx="3">
                  <c:v>Doca/transferência pendente</c:v>
                </c:pt>
                <c:pt idx="4">
                  <c:v>Estoque anterior a 09/09</c:v>
                </c:pt>
                <c:pt idx="5">
                  <c:v>Troca de lote</c:v>
                </c:pt>
                <c:pt idx="6">
                  <c:v>Sobra parcialmente explicada</c:v>
                </c:pt>
                <c:pt idx="7">
                  <c:v>Sobra sem explicação</c:v>
                </c:pt>
              </c:strCache>
            </c:strRef>
          </c:cat>
          <c:val>
            <c:numRef>
              <c:f>'1 Dashboard'!$U$20:$U$27</c:f>
              <c:numCache>
                <c:formatCode>General</c:formatCode>
                <c:ptCount val="8"/>
                <c:pt idx="0">
                  <c:v>2</c:v>
                </c:pt>
                <c:pt idx="1">
                  <c:v>1</c:v>
                </c:pt>
                <c:pt idx="2">
                  <c:v>8</c:v>
                </c:pt>
                <c:pt idx="3">
                  <c:v>1</c:v>
                </c:pt>
                <c:pt idx="4">
                  <c:v>3</c:v>
                </c:pt>
                <c:pt idx="5">
                  <c:v>0</c:v>
                </c:pt>
                <c:pt idx="6">
                  <c:v>7</c:v>
                </c:pt>
                <c:pt idx="7">
                  <c:v>1</c:v>
                </c:pt>
              </c:numCache>
            </c:numRef>
          </c:val>
        </c:ser>
        <c:gapWidth val="60"/>
        <c:overlap val="0"/>
        <c:axId val="44748218"/>
        <c:axId val="2964209"/>
      </c:barChart>
      <c:catAx>
        <c:axId val="4474821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64209"/>
        <c:crosses val="autoZero"/>
        <c:auto val="1"/>
        <c:lblAlgn val="ctr"/>
        <c:lblOffset val="100"/>
        <c:noMultiLvlLbl val="0"/>
      </c:catAx>
      <c:valAx>
        <c:axId val="2964209"/>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748218"/>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Regular × irregular (SKU·lote)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70ad47"/>
              </a:solidFill>
              <a:ln w="0">
                <a:noFill/>
              </a:ln>
            </c:spPr>
          </c:dPt>
          <c:dPt>
            <c:idx val="1"/>
            <c:invertIfNegative val="0"/>
            <c:spPr>
              <a:solidFill>
                <a:srgbClr val="ffc000"/>
              </a:solidFill>
              <a:ln w="0">
                <a:noFill/>
              </a:ln>
            </c:spPr>
          </c:dPt>
          <c:dPt>
            <c:idx val="2"/>
            <c:invertIfNegative val="0"/>
            <c:spPr>
              <a:solidFill>
                <a:srgbClr val="c00000"/>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'1 Dashboard'!$T$31:$T$33</c:f>
              <c:strCache>
                <c:ptCount val="3"/>
                <c:pt idx="0">
                  <c:v>Confere</c:v>
                </c:pt>
                <c:pt idx="1">
                  <c:v>Sobrando</c:v>
                </c:pt>
                <c:pt idx="2">
                  <c:v>Faltando</c:v>
                </c:pt>
              </c:strCache>
            </c:strRef>
          </c:cat>
          <c:val>
            <c:numRef>
              <c:f>'1 Dashboard'!$U$31:$U$33</c:f>
              <c:numCache>
                <c:formatCode>General</c:formatCode>
                <c:ptCount val="3"/>
                <c:pt idx="0">
                  <c:v>58</c:v>
                </c:pt>
                <c:pt idx="1">
                  <c:v>20</c:v>
                </c:pt>
                <c:pt idx="2">
                  <c:v>3</c:v>
                </c:pt>
              </c:numCache>
            </c:numRef>
          </c:val>
        </c:ser>
        <c:gapWidth val="60"/>
        <c:overlap val="0"/>
        <c:axId val="64170576"/>
        <c:axId val="37692164"/>
      </c:barChart>
      <c:catAx>
        <c:axId val="641705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692164"/>
        <c:crosses val="autoZero"/>
        <c:auto val="1"/>
        <c:lblAlgn val="ctr"/>
        <c:lblOffset val="100"/>
        <c:noMultiLvlLbl val="0"/>
      </c:catAx>
      <c:valAx>
        <c:axId val="37692164"/>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70576"/>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Ranking: maiores diferenças por SKU · lote</a:t>
            </a:r>
          </a:p>
        </c:rich>
      </c:tx>
      <c:overlay val="0"/>
      <c:spPr>
        <a:noFill/>
        <a:ln w="0">
          <a:noFill/>
        </a:ln>
      </c:spPr>
    </c:title>
    <c:autoTitleDeleted val="0"/>
    <c:plotArea>
      <c:barChart>
        <c:barDir val="bar"/>
        <c:grouping val="clustered"/>
        <c:varyColors val="0"/>
        <c:ser>
          <c:idx val="0"/>
          <c:order val="0"/>
          <c:tx>
            <c:strRef>
              <c:f>'4 Análise ZBR'!AK39</c:f>
              <c:strCache>
                <c:ptCount val="1"/>
                <c:pt idx="0">
                  <c:v>Sobrando</c:v>
                </c:pt>
              </c:strCache>
            </c:strRef>
          </c:tx>
          <c:spPr>
            <a:solidFill>
              <a:srgbClr val="ffc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ZBR'!$AJ$40:$AJ$51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'4 Análise ZBR'!$AK$40:$AK$51</c:f>
              <c:numCache>
                <c:formatCode>General</c:formatCode>
                <c:ptCount val="12"/>
                <c:pt idx="0">
                  <c:v>5737.2</c:v>
                </c:pt>
                <c:pt idx="1">
                  <c:v>3694.998</c:v>
                </c:pt>
                <c:pt idx="2">
                  <c:v>3198</c:v>
                </c:pt>
                <c:pt idx="3">
                  <c:v>2528.4</c:v>
                </c:pt>
                <c:pt idx="4">
                  <c:v>1268.4</c:v>
                </c:pt>
                <c:pt idx="5">
                  <c:v>1083.39</c:v>
                </c:pt>
                <c:pt idx="6">
                  <c:v>924.6</c:v>
                </c:pt>
                <c:pt idx="7">
                  <c:v>540</c:v>
                </c:pt>
                <c:pt idx="8">
                  <c:v>0</c:v>
                </c:pt>
                <c:pt idx="9">
                  <c:v>341.7</c:v>
                </c:pt>
                <c:pt idx="10">
                  <c:v>273.36</c:v>
                </c:pt>
                <c:pt idx="11">
                  <c:v>0</c:v>
                </c:pt>
              </c:numCache>
            </c:numRef>
          </c:val>
        </c:ser>
        <c:ser>
          <c:idx val="1"/>
          <c:order val="1"/>
          <c:tx>
            <c:strRef>
              <c:f>'4 Análise ZBR'!AL39</c:f>
              <c:strCache>
                <c:ptCount val="1"/>
                <c:pt idx="0">
                  <c:v>Faltando</c:v>
                </c:pt>
              </c:strCache>
            </c:strRef>
          </c:tx>
          <c:spPr>
            <a:solidFill>
              <a:srgbClr val="c000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ZBR'!$AJ$40:$AJ$51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'4 Análise ZBR'!$AL$40:$AL$51</c:f>
              <c:numCache>
                <c:formatCode>General</c:formatCode>
                <c:ptCount val="12"/>
                <c:pt idx="0">
                  <c:v>0</c:v>
                </c:pt>
                <c:pt idx="1">
                  <c:v>0</c:v>
                </c:pt>
                <c:pt idx="2">
                  <c:v>0</c:v>
                </c:pt>
                <c:pt idx="3">
                  <c:v>0</c:v>
                </c:pt>
                <c:pt idx="4">
                  <c:v>0</c:v>
                </c:pt>
                <c:pt idx="5">
                  <c:v>0</c:v>
                </c:pt>
                <c:pt idx="6">
                  <c:v>0</c:v>
                </c:pt>
                <c:pt idx="7">
                  <c:v>0</c:v>
                </c:pt>
                <c:pt idx="8">
                  <c:v>-442.2</c:v>
                </c:pt>
                <c:pt idx="9">
                  <c:v>0</c:v>
                </c:pt>
                <c:pt idx="10">
                  <c:v>0</c:v>
                </c:pt>
                <c:pt idx="11">
                  <c:v>-261.12</c:v>
                </c:pt>
              </c:numCache>
            </c:numRef>
          </c:val>
        </c:ser>
        <c:gapWidth val="50"/>
        <c:overlap val="100"/>
        <c:axId val="35310729"/>
        <c:axId val="77596655"/>
      </c:barChart>
      <c:catAx>
        <c:axId val="35310729"/>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77596655"/>
        <c:crosses val="autoZero"/>
        <c:auto val="1"/>
        <c:lblAlgn val="ctr"/>
        <c:lblOffset val="100"/>
        <c:noMultiLvlLbl val="0"/>
      </c:catAx>
      <c:valAx>
        <c:axId val="77596655"/>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3107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Distribuição por criticidade (proposta)</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c00000"/>
              </a:solidFill>
              <a:ln w="0">
                <a:noFill/>
              </a:ln>
            </c:spPr>
          </c:dPt>
          <c:dPt>
            <c:idx val="1"/>
            <c:invertIfNegative val="0"/>
            <c:spPr>
              <a:solidFill>
                <a:srgbClr val="ffc000"/>
              </a:solidFill>
              <a:ln w="0">
                <a:noFill/>
              </a:ln>
            </c:spPr>
          </c:dPt>
          <c:dPt>
            <c:idx val="2"/>
            <c:invertIfNegative val="0"/>
            <c:spPr>
              <a:solidFill>
                <a:srgbClr val="245a81"/>
              </a:solidFill>
              <a:ln w="0">
                <a:noFill/>
              </a:ln>
            </c:spPr>
          </c:dPt>
          <c:dPt>
            <c:idx val="3"/>
            <c:invertIfNegative val="0"/>
            <c:spPr>
              <a:solidFill>
                <a:srgbClr val="a6a6a6"/>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'1 Dashboard'!$T$37:$T$40</c:f>
              <c:strCache>
                <c:ptCount val="4"/>
                <c:pt idx="0">
                  <c:v>Crítica</c:v>
                </c:pt>
                <c:pt idx="1">
                  <c:v>Alta</c:v>
                </c:pt>
                <c:pt idx="2">
                  <c:v>Média</c:v>
                </c:pt>
                <c:pt idx="3">
                  <c:v>Baixa</c:v>
                </c:pt>
              </c:strCache>
            </c:strRef>
          </c:cat>
          <c:val>
            <c:numRef>
              <c:f>'1 Dashboard'!$U$37:$U$40</c:f>
              <c:numCache>
                <c:formatCode>General</c:formatCode>
                <c:ptCount val="4"/>
                <c:pt idx="0">
                  <c:v>3</c:v>
                </c:pt>
                <c:pt idx="1">
                  <c:v>4</c:v>
                </c:pt>
                <c:pt idx="2">
                  <c:v>4</c:v>
                </c:pt>
                <c:pt idx="3">
                  <c:v>12</c:v>
                </c:pt>
              </c:numCache>
            </c:numRef>
          </c:val>
        </c:ser>
        <c:gapWidth val="60"/>
        <c:overlap val="0"/>
        <c:axId val="74249677"/>
        <c:axId val="84722243"/>
      </c:barChart>
      <c:catAx>
        <c:axId val="742496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722243"/>
        <c:crosses val="autoZero"/>
        <c:auto val="1"/>
        <c:lblAlgn val="ctr"/>
        <c:lblOffset val="100"/>
        <c:noMultiLvlLbl val="0"/>
      </c:catAx>
      <c:valAx>
        <c:axId val="84722243"/>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49677"/>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Plano de ação: ocorrências por status</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a6a6a6"/>
              </a:solidFill>
              <a:ln w="0">
                <a:noFill/>
              </a:ln>
            </c:spPr>
          </c:dPt>
          <c:dPt>
            <c:idx val="1"/>
            <c:invertIfNegative val="0"/>
            <c:spPr>
              <a:solidFill>
                <a:srgbClr val="ffc000"/>
              </a:solidFill>
              <a:ln w="0">
                <a:noFill/>
              </a:ln>
            </c:spPr>
          </c:dPt>
          <c:dPt>
            <c:idx val="2"/>
            <c:invertIfNegative val="0"/>
            <c:spPr>
              <a:solidFill>
                <a:srgbClr val="70ad47"/>
              </a:solidFill>
              <a:ln w="0">
                <a:noFill/>
              </a:ln>
            </c:spPr>
          </c:dPt>
          <c:dPt>
            <c:idx val="3"/>
            <c:invertIfNegative val="0"/>
            <c:spPr>
              <a:solidFill>
                <a:srgbClr val="404854"/>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'1 Dashboard'!$T$44:$T$47</c:f>
              <c:strCache>
                <c:ptCount val="4"/>
                <c:pt idx="0">
                  <c:v>Não iniciado</c:v>
                </c:pt>
                <c:pt idx="1">
                  <c:v>Em andamento</c:v>
                </c:pt>
                <c:pt idx="2">
                  <c:v>Concluído</c:v>
                </c:pt>
                <c:pt idx="3">
                  <c:v>Cancelado</c:v>
                </c:pt>
              </c:strCache>
            </c:strRef>
          </c:cat>
          <c:val>
            <c:numRef>
              <c:f>'1 Dashboard'!$U$44:$U$47</c:f>
              <c:numCache>
                <c:formatCode>General</c:formatCode>
                <c:ptCount val="4"/>
                <c:pt idx="0">
                  <c:v>61</c:v>
                </c:pt>
                <c:pt idx="1">
                  <c:v>0</c:v>
                </c:pt>
                <c:pt idx="2">
                  <c:v>0</c:v>
                </c:pt>
                <c:pt idx="3">
                  <c:v>0</c:v>
                </c:pt>
              </c:numCache>
            </c:numRef>
          </c:val>
        </c:ser>
        <c:gapWidth val="60"/>
        <c:overlap val="0"/>
        <c:axId val="29384101"/>
        <c:axId val="46256483"/>
      </c:barChart>
      <c:catAx>
        <c:axId val="293841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256483"/>
        <c:crosses val="autoZero"/>
        <c:auto val="1"/>
        <c:lblAlgn val="ctr"/>
        <c:lblOffset val="100"/>
        <c:noMultiLvlLbl val="0"/>
      </c:catAx>
      <c:valAx>
        <c:axId val="46256483"/>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384101"/>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Recebido, transferido e saldo no 2008</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17365d"/>
              </a:solidFill>
              <a:ln w="0">
                <a:noFill/>
              </a:ln>
            </c:spPr>
          </c:dPt>
          <c:dPt>
            <c:idx val="1"/>
            <c:invertIfNegative val="0"/>
            <c:spPr>
              <a:solidFill>
                <a:srgbClr val="245a81"/>
              </a:solidFill>
              <a:ln w="0">
                <a:noFill/>
              </a:ln>
            </c:spPr>
          </c:dPt>
          <c:dPt>
            <c:idx val="2"/>
            <c:invertIfNegative val="0"/>
            <c:spPr>
              <a:solidFill>
                <a:srgbClr val="a6a6a6"/>
              </a:solidFill>
              <a:ln w="0">
                <a:noFill/>
              </a:ln>
            </c:spPr>
          </c:dPt>
          <c:dPt>
            <c:idx val="3"/>
            <c:invertIfNegative val="0"/>
            <c:spPr>
              <a:solidFill>
                <a:srgbClr val="245a81"/>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'4 Análise Depósito 2008'!$A$114:$A$117</c:f>
              <c:strCache>
                <c:ptCount val="4"/>
                <c:pt idx="0">
                  <c:v>Recebido no 2008</c:v>
                </c:pt>
                <c:pt idx="1">
                  <c:v>Transferido ao ZBR</c:v>
                </c:pt>
                <c:pt idx="2">
                  <c:v>Estornos</c:v>
                </c:pt>
                <c:pt idx="3">
                  <c:v>Saldo no 2008</c:v>
                </c:pt>
              </c:strCache>
            </c:strRef>
          </c:cat>
          <c:val>
            <c:numRef>
              <c:f>'4 Análise Depósito 2008'!$B$114:$B$117</c:f>
              <c:numCache>
                <c:formatCode>#,##0.0;\-#,##0.0;0</c:formatCode>
                <c:ptCount val="4"/>
                <c:pt idx="0">
                  <c:v>77159.5</c:v>
                </c:pt>
                <c:pt idx="1">
                  <c:v>67865.28</c:v>
                </c:pt>
                <c:pt idx="2">
                  <c:v>1935</c:v>
                </c:pt>
                <c:pt idx="3">
                  <c:v>11229.22</c:v>
                </c:pt>
              </c:numCache>
            </c:numRef>
          </c:val>
        </c:ser>
        <c:gapWidth val="60"/>
        <c:overlap val="0"/>
        <c:axId val="43013622"/>
        <c:axId val="96526270"/>
      </c:barChart>
      <c:catAx>
        <c:axId val="4301362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26270"/>
        <c:crosses val="autoZero"/>
        <c:auto val="1"/>
        <c:lblAlgn val="ctr"/>
        <c:lblOffset val="100"/>
        <c:noMultiLvlLbl val="0"/>
      </c:catAx>
      <c:valAx>
        <c:axId val="96526270"/>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013622"/>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Situação dos SKU·lote no 2008</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ffc000"/>
              </a:solidFill>
              <a:ln w="0">
                <a:noFill/>
              </a:ln>
            </c:spPr>
          </c:dPt>
          <c:dPt>
            <c:idx val="1"/>
            <c:invertIfNegative val="0"/>
            <c:spPr>
              <a:solidFill>
                <a:srgbClr val="70ad47"/>
              </a:solidFill>
              <a:ln w="0">
                <a:noFill/>
              </a:ln>
            </c:spPr>
          </c:dPt>
          <c:dPt>
            <c:idx val="2"/>
            <c:invertIfNegative val="0"/>
            <c:spPr>
              <a:solidFill>
                <a:srgbClr val="a6a6a6"/>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'4 Análise Depósito 2008'!$D$114:$D$116</c:f>
              <c:strCache>
                <c:ptCount val="3"/>
                <c:pt idx="0">
                  <c:v>Aguardando transferência</c:v>
                </c:pt>
                <c:pt idx="1">
                  <c:v>Transferido 100%</c:v>
                </c:pt>
                <c:pt idx="2">
                  <c:v>Saiu saldo anterior a 09/09</c:v>
                </c:pt>
              </c:strCache>
            </c:strRef>
          </c:cat>
          <c:val>
            <c:numRef>
              <c:f>'4 Análise Depósito 2008'!$E$114:$E$116</c:f>
              <c:numCache>
                <c:formatCode>General</c:formatCode>
                <c:ptCount val="3"/>
                <c:pt idx="0">
                  <c:v>30</c:v>
                </c:pt>
                <c:pt idx="1">
                  <c:v>1</c:v>
                </c:pt>
                <c:pt idx="2">
                  <c:v>50</c:v>
                </c:pt>
              </c:numCache>
            </c:numRef>
          </c:val>
        </c:ser>
        <c:gapWidth val="60"/>
        <c:overlap val="0"/>
        <c:axId val="1679334"/>
        <c:axId val="93047895"/>
      </c:barChart>
      <c:catAx>
        <c:axId val="16793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047895"/>
        <c:crosses val="autoZero"/>
        <c:auto val="1"/>
        <c:lblAlgn val="ctr"/>
        <c:lblOffset val="100"/>
        <c:noMultiLvlLbl val="0"/>
      </c:catAx>
      <c:valAx>
        <c:axId val="93047895"/>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79334"/>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Top 10 aguardando transferência no 2008</a:t>
            </a:r>
          </a:p>
        </c:rich>
      </c:tx>
      <c:overlay val="0"/>
      <c:spPr>
        <a:noFill/>
        <a:ln w="0">
          <a:noFill/>
        </a:ln>
      </c:spPr>
    </c:title>
    <c:autoTitleDeleted val="0"/>
    <c:plotArea>
      <c:barChart>
        <c:barDir val="bar"/>
        <c:grouping val="clustered"/>
        <c:varyColors val="0"/>
        <c:ser>
          <c:idx val="0"/>
          <c:order val="0"/>
          <c:tx>
            <c:strRef>
              <c:f>'4 Análise Depósito 2008'!AM39</c:f>
              <c:strCache>
                <c:ptCount val="1"/>
                <c:pt idx="0">
                  <c:v>Aguardando no 2008</c:v>
                </c:pt>
              </c:strCache>
            </c:strRef>
          </c:tx>
          <c:spPr>
            <a:solidFill>
              <a:srgbClr val="ffc000"/>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'4 Análise Depósito 2008'!$AL$40:$AL$49</c:f>
              <c:strCache>
                <c:ptCount val="10"/>
                <c:pt idx="0">
                  <c:v>DCP-22ZEPLA-89B · 260358131</c:v>
                </c:pt>
                <c:pt idx="1">
                  <c:v>70-30-38-BR-25A · 260370301</c:v>
                </c:pt>
                <c:pt idx="2">
                  <c:v>DCP-22ZEPLA-89B · 260348131</c:v>
                </c:pt>
                <c:pt idx="3">
                  <c:v>811NV-595 · 261146102</c:v>
                </c:pt>
                <c:pt idx="4">
                  <c:v>811NV-595 · 261146101</c:v>
                </c:pt>
                <c:pt idx="5">
                  <c:v>CHM-SP-Z3L-E0-U72 · 260580101</c:v>
                </c:pt>
                <c:pt idx="6">
                  <c:v>SPLIT-4-M-413 · 261596201</c:v>
                </c:pt>
                <c:pt idx="7">
                  <c:v>BIG-PF-1BO-401 · 26126039</c:v>
                </c:pt>
                <c:pt idx="8">
                  <c:v>CW2NV-595 · 261070601</c:v>
                </c:pt>
                <c:pt idx="9">
                  <c:v>CHD-SP-1M-2B-U77 · 260880101</c:v>
                </c:pt>
              </c:strCache>
            </c:strRef>
          </c:cat>
          <c:val>
            <c:numRef>
              <c:f>'4 Análise Depósito 2008'!$AM$40:$AM$49</c:f>
              <c:numCache>
                <c:formatCode>General</c:formatCode>
                <c:ptCount val="10"/>
                <c:pt idx="0">
                  <c:v>6912</c:v>
                </c:pt>
                <c:pt idx="1">
                  <c:v>6030</c:v>
                </c:pt>
                <c:pt idx="2">
                  <c:v>4296</c:v>
                </c:pt>
                <c:pt idx="3">
                  <c:v>3580</c:v>
                </c:pt>
                <c:pt idx="4">
                  <c:v>3180</c:v>
                </c:pt>
                <c:pt idx="5">
                  <c:v>2900</c:v>
                </c:pt>
                <c:pt idx="6">
                  <c:v>2840</c:v>
                </c:pt>
                <c:pt idx="7">
                  <c:v>2840</c:v>
                </c:pt>
                <c:pt idx="8">
                  <c:v>2400</c:v>
                </c:pt>
                <c:pt idx="9">
                  <c:v>2400</c:v>
                </c:pt>
              </c:numCache>
            </c:numRef>
          </c:val>
        </c:ser>
        <c:gapWidth val="50"/>
        <c:overlap val="0"/>
        <c:axId val="56732835"/>
        <c:axId val="63041630"/>
      </c:barChart>
      <c:catAx>
        <c:axId val="5673283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041630"/>
        <c:crosses val="autoZero"/>
        <c:auto val="1"/>
        <c:lblAlgn val="ctr"/>
        <c:lblOffset val="100"/>
        <c:noMultiLvlLbl val="0"/>
      </c:catAx>
      <c:valAx>
        <c:axId val="63041630"/>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732835"/>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200" spc="-1" strike="noStrike">
                <a:solidFill>
                  <a:srgbClr val="17365d"/>
                </a:solidFill>
                <a:latin typeface="Calibri"/>
              </a:defRPr>
            </a:pPr>
            <a:r>
              <a:rPr b="1" sz="1200" spc="-1" strike="noStrike">
                <a:solidFill>
                  <a:srgbClr val="17365d"/>
                </a:solidFill>
                <a:latin typeface="Calibri"/>
              </a:rPr>
              <a:t>Movimento por dia no 2008 (recebido acima, transferido abaixo)</a:t>
            </a:r>
          </a:p>
        </c:rich>
      </c:tx>
      <c:overlay val="0"/>
      <c:spPr>
        <a:noFill/>
        <a:ln w="0">
          <a:noFill/>
        </a:ln>
      </c:spPr>
    </c:title>
    <c:autoTitleDeleted val="0"/>
    <c:plotArea>
      <c:barChart>
        <c:barDir val="col"/>
        <c:grouping val="clustered"/>
        <c:varyColors val="0"/>
        <c:ser>
          <c:idx val="0"/>
          <c:order val="0"/>
          <c:tx>
            <c:strRef>
              <c:f>'4 Análise Depósito 2008'!AQ39</c:f>
              <c:strCache>
                <c:ptCount val="1"/>
                <c:pt idx="0">
                  <c:v>Recebido no 2008</c:v>
                </c:pt>
              </c:strCache>
            </c:strRef>
          </c:tx>
          <c:spPr>
            <a:solidFill>
              <a:srgbClr val="17365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Depósito 2008'!$AO$40:$AO$62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'4 Análise Depósito 2008'!$AQ$40:$AQ$62</c:f>
              <c:numCache>
                <c:formatCode>General</c:formatCode>
                <c:ptCount val="23"/>
                <c:pt idx="0">
                  <c:v>0</c:v>
                </c:pt>
                <c:pt idx="1">
                  <c:v>64079.5</c:v>
                </c:pt>
                <c:pt idx="2">
                  <c:v>0</c:v>
                </c:pt>
                <c:pt idx="3">
                  <c:v>0</c:v>
                </c:pt>
                <c:pt idx="4">
                  <c:v>0</c:v>
                </c:pt>
                <c:pt idx="5">
                  <c:v>0</c:v>
                </c:pt>
                <c:pt idx="6">
                  <c:v>13080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
          <c:order val="1"/>
          <c:tx>
            <c:strRef>
              <c:f>'4 Análise Depósito 2008'!AR39</c:f>
              <c:strCache>
                <c:ptCount val="1"/>
                <c:pt idx="0">
                  <c:v>Transferido ao ZBR (líquido)</c:v>
                </c:pt>
              </c:strCache>
            </c:strRef>
          </c:tx>
          <c:spPr>
            <a:solidFill>
              <a:srgbClr val="245a8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'4 Análise Depósito 2008'!$AO$40:$AO$62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'4 Análise Depósito 2008'!$AR$40:$AR$62</c:f>
              <c:numCache>
                <c:formatCode>General</c:formatCode>
                <c:ptCount val="23"/>
                <c:pt idx="0">
                  <c:v>-490.96</c:v>
                </c:pt>
                <c:pt idx="1">
                  <c:v>0</c:v>
                </c:pt>
                <c:pt idx="2">
                  <c:v>-6720.9</c:v>
                </c:pt>
                <c:pt idx="3">
                  <c:v>0</c:v>
                </c:pt>
                <c:pt idx="4">
                  <c:v>0</c:v>
                </c:pt>
                <c:pt idx="5">
                  <c:v>0</c:v>
                </c:pt>
                <c:pt idx="6">
                  <c:v>0</c:v>
                </c:pt>
                <c:pt idx="7">
                  <c:v>0</c:v>
                </c:pt>
                <c:pt idx="8">
                  <c:v>0</c:v>
                </c:pt>
                <c:pt idx="9">
                  <c:v>0</c:v>
                </c:pt>
                <c:pt idx="10">
                  <c:v>0</c:v>
                </c:pt>
                <c:pt idx="11">
                  <c:v>0</c:v>
                </c:pt>
                <c:pt idx="12">
                  <c:v>-918</c:v>
                </c:pt>
                <c:pt idx="13">
                  <c:v>0</c:v>
                </c:pt>
                <c:pt idx="14">
                  <c:v>-6467.92</c:v>
                </c:pt>
                <c:pt idx="15">
                  <c:v>-17483.8</c:v>
                </c:pt>
                <c:pt idx="16">
                  <c:v>0</c:v>
                </c:pt>
                <c:pt idx="17">
                  <c:v>-9865.5</c:v>
                </c:pt>
                <c:pt idx="18">
                  <c:v>0</c:v>
                </c:pt>
                <c:pt idx="19">
                  <c:v>-7172.8</c:v>
                </c:pt>
                <c:pt idx="20">
                  <c:v>-15789.3</c:v>
                </c:pt>
                <c:pt idx="21">
                  <c:v>-1021.1</c:v>
                </c:pt>
                <c:pt idx="22">
                  <c:v>0</c:v>
                </c:pt>
              </c:numCache>
            </c:numRef>
          </c:val>
        </c:ser>
        <c:gapWidth val="40"/>
        <c:overlap val="100"/>
        <c:axId val="3466407"/>
        <c:axId val="11879637"/>
      </c:barChart>
      <c:catAx>
        <c:axId val="346640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1879637"/>
        <c:crosses val="autoZero"/>
        <c:auto val="1"/>
        <c:lblAlgn val="ctr"/>
        <c:lblOffset val="100"/>
        <c:noMultiLvlLbl val="0"/>
      </c:catAx>
      <c:valAx>
        <c:axId val="11879637"/>
        <c:scaling>
          <c:orientation val="minMax"/>
        </c:scaling>
        <c:delete val="0"/>
        <c:axPos val="l"/>
        <c:majorGridlines>
          <c:spPr>
            <a:ln w="9360">
              <a:solidFill>
                <a:srgbClr val="e3e8ef"/>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6640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0"/>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_rels/drawing3.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79920</xdr:rowOff>
    </xdr:from>
    <xdr:to>
      <xdr:col>5</xdr:col>
      <xdr:colOff>779400</xdr:colOff>
      <xdr:row>31</xdr:row>
      <xdr:rowOff>127440</xdr:rowOff>
    </xdr:to>
    <xdr:graphicFrame>
      <xdr:nvGraphicFramePr>
        <xdr:cNvPr id="0" name="Chart 1"/>
        <xdr:cNvGraphicFramePr/>
      </xdr:nvGraphicFramePr>
      <xdr:xfrm>
        <a:off x="0" y="3562200"/>
        <a:ext cx="6335640" cy="309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15</xdr:row>
      <xdr:rowOff>79920</xdr:rowOff>
    </xdr:from>
    <xdr:to>
      <xdr:col>13</xdr:col>
      <xdr:colOff>779400</xdr:colOff>
      <xdr:row>31</xdr:row>
      <xdr:rowOff>127440</xdr:rowOff>
    </xdr:to>
    <xdr:graphicFrame>
      <xdr:nvGraphicFramePr>
        <xdr:cNvPr id="1" name="Chart 2"/>
        <xdr:cNvGraphicFramePr/>
      </xdr:nvGraphicFramePr>
      <xdr:xfrm>
        <a:off x="8889840" y="3562200"/>
        <a:ext cx="6335640" cy="309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79920</xdr:rowOff>
    </xdr:from>
    <xdr:to>
      <xdr:col>5</xdr:col>
      <xdr:colOff>779400</xdr:colOff>
      <xdr:row>49</xdr:row>
      <xdr:rowOff>127440</xdr:rowOff>
    </xdr:to>
    <xdr:graphicFrame>
      <xdr:nvGraphicFramePr>
        <xdr:cNvPr id="2" name="Chart 3"/>
        <xdr:cNvGraphicFramePr/>
      </xdr:nvGraphicFramePr>
      <xdr:xfrm>
        <a:off x="0" y="6991200"/>
        <a:ext cx="6335640" cy="309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33</xdr:row>
      <xdr:rowOff>79920</xdr:rowOff>
    </xdr:from>
    <xdr:to>
      <xdr:col>13</xdr:col>
      <xdr:colOff>779400</xdr:colOff>
      <xdr:row>49</xdr:row>
      <xdr:rowOff>127440</xdr:rowOff>
    </xdr:to>
    <xdr:graphicFrame>
      <xdr:nvGraphicFramePr>
        <xdr:cNvPr id="3" name="Chart 4"/>
        <xdr:cNvGraphicFramePr/>
      </xdr:nvGraphicFramePr>
      <xdr:xfrm>
        <a:off x="8889840" y="6991200"/>
        <a:ext cx="6335640" cy="309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51</xdr:row>
      <xdr:rowOff>79920</xdr:rowOff>
    </xdr:from>
    <xdr:to>
      <xdr:col>5</xdr:col>
      <xdr:colOff>779400</xdr:colOff>
      <xdr:row>67</xdr:row>
      <xdr:rowOff>127440</xdr:rowOff>
    </xdr:to>
    <xdr:graphicFrame>
      <xdr:nvGraphicFramePr>
        <xdr:cNvPr id="4" name="Chart 5"/>
        <xdr:cNvGraphicFramePr/>
      </xdr:nvGraphicFramePr>
      <xdr:xfrm>
        <a:off x="0" y="10420200"/>
        <a:ext cx="6335640" cy="309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51</xdr:row>
      <xdr:rowOff>79920</xdr:rowOff>
    </xdr:from>
    <xdr:to>
      <xdr:col>13</xdr:col>
      <xdr:colOff>779400</xdr:colOff>
      <xdr:row>67</xdr:row>
      <xdr:rowOff>127440</xdr:rowOff>
    </xdr:to>
    <xdr:graphicFrame>
      <xdr:nvGraphicFramePr>
        <xdr:cNvPr id="5" name="Chart 6"/>
        <xdr:cNvGraphicFramePr/>
      </xdr:nvGraphicFramePr>
      <xdr:xfrm>
        <a:off x="8889840" y="10420200"/>
        <a:ext cx="6335640" cy="309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69</xdr:row>
      <xdr:rowOff>79920</xdr:rowOff>
    </xdr:from>
    <xdr:to>
      <xdr:col>5</xdr:col>
      <xdr:colOff>779400</xdr:colOff>
      <xdr:row>85</xdr:row>
      <xdr:rowOff>127440</xdr:rowOff>
    </xdr:to>
    <xdr:graphicFrame>
      <xdr:nvGraphicFramePr>
        <xdr:cNvPr id="6" name="Chart 7"/>
        <xdr:cNvGraphicFramePr/>
      </xdr:nvGraphicFramePr>
      <xdr:xfrm>
        <a:off x="0" y="13849200"/>
        <a:ext cx="6335640" cy="3095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117</xdr:row>
      <xdr:rowOff>175680</xdr:rowOff>
    </xdr:from>
    <xdr:to>
      <xdr:col>4</xdr:col>
      <xdr:colOff>1047960</xdr:colOff>
      <xdr:row>133</xdr:row>
      <xdr:rowOff>187560</xdr:rowOff>
    </xdr:to>
    <xdr:graphicFrame>
      <xdr:nvGraphicFramePr>
        <xdr:cNvPr id="7" name="Chart 1"/>
        <xdr:cNvGraphicFramePr/>
      </xdr:nvGraphicFramePr>
      <xdr:xfrm>
        <a:off x="0" y="2338380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117</xdr:row>
      <xdr:rowOff>175680</xdr:rowOff>
    </xdr:from>
    <xdr:to>
      <xdr:col>10</xdr:col>
      <xdr:colOff>1039320</xdr:colOff>
      <xdr:row>133</xdr:row>
      <xdr:rowOff>187560</xdr:rowOff>
    </xdr:to>
    <xdr:graphicFrame>
      <xdr:nvGraphicFramePr>
        <xdr:cNvPr id="8" name="Chart 2"/>
        <xdr:cNvGraphicFramePr/>
      </xdr:nvGraphicFramePr>
      <xdr:xfrm>
        <a:off x="8089920" y="23383800"/>
        <a:ext cx="503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135</xdr:row>
      <xdr:rowOff>175680</xdr:rowOff>
    </xdr:from>
    <xdr:to>
      <xdr:col>8</xdr:col>
      <xdr:colOff>1643040</xdr:colOff>
      <xdr:row>153</xdr:row>
      <xdr:rowOff>166320</xdr:rowOff>
    </xdr:to>
    <xdr:graphicFrame>
      <xdr:nvGraphicFramePr>
        <xdr:cNvPr id="9" name="Chart 3"/>
        <xdr:cNvGraphicFramePr/>
      </xdr:nvGraphicFramePr>
      <xdr:xfrm>
        <a:off x="0" y="26812800"/>
        <a:ext cx="1079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155</xdr:row>
      <xdr:rowOff>176040</xdr:rowOff>
    </xdr:from>
    <xdr:to>
      <xdr:col>8</xdr:col>
      <xdr:colOff>1643040</xdr:colOff>
      <xdr:row>171</xdr:row>
      <xdr:rowOff>187560</xdr:rowOff>
    </xdr:to>
    <xdr:graphicFrame>
      <xdr:nvGraphicFramePr>
        <xdr:cNvPr id="10" name="Chart 4"/>
        <xdr:cNvGraphicFramePr/>
      </xdr:nvGraphicFramePr>
      <xdr:xfrm>
        <a:off x="0" y="30623040"/>
        <a:ext cx="1079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bEntrada2008" displayName="tbEntrada2008" ref="A1:L202" headerRowCount="1" totalsRowCount="0" totalsRowShown="0">
  <autoFilter ref="A1:L202"/>
  <tableColumns count="12">
    <tableColumn id="1" name="DOC.MATERIAL"/>
    <tableColumn id="2" name="SKU"/>
    <tableColumn id="3" name="LOTE"/>
    <tableColumn id="4" name="DEPÓSITO"/>
    <tableColumn id="5" name="CENTRO"/>
    <tableColumn id="6" name="DATA DE LANÇAMENTO"/>
    <tableColumn id="7" name="QUANTIDADE"/>
    <tableColumn id="8" name="UM"/>
    <tableColumn id="9" name="DATA DE ENTRADA"/>
    <tableColumn id="10" name="HORA DO REGISTRO"/>
    <tableColumn id="11" name="MOVIMENTAÇÃO"/>
    <tableColumn id="12" name="ENTROU NO ZBR"/>
  </tableColumns>
</table>
</file>

<file path=xl/tables/table2.xml><?xml version="1.0" encoding="utf-8"?>
<table xmlns="http://schemas.openxmlformats.org/spreadsheetml/2006/main" id="2" name="tbEstoque" displayName="tbEstoque" ref="A1:O229" headerRowCount="1" totalsRowCount="0" totalsRowShown="0">
  <autoFilter ref="A1:O229"/>
  <tableColumns count="15">
    <tableColumn id="1" name="SKU"/>
    <tableColumn id="2" name="LOTE"/>
    <tableColumn id="3" name="TIPO DE DEPÓSITO"/>
    <tableColumn id="4" name="POSIÇÃO NO DEPÓSITO"/>
    <tableColumn id="5" name="Nº DE QUANTOS"/>
    <tableColumn id="6" name="TIPO DE ESTOQUE"/>
    <tableColumn id="7" name="UNIDADE DE DEPÓSITO"/>
    <tableColumn id="8" name="ESTOQUE DISPONÍVEL"/>
    <tableColumn id="9" name="ÚLTIMO MOVIMENTO"/>
    <tableColumn id="10" name="ESTOQUE FÍSICO"/>
    <tableColumn id="11" name="UM"/>
    <tableColumn id="12" name="DURAÇÃO"/>
    <tableColumn id="13" name="DEPÓSITO"/>
    <tableColumn id="14" name="DATA DO VENCIMENTO"/>
    <tableColumn id="15" name="CENTRO"/>
  </tableColumns>
</table>
</file>

<file path=xl/tables/table3.xml><?xml version="1.0" encoding="utf-8"?>
<table xmlns="http://schemas.openxmlformats.org/spreadsheetml/2006/main" id="3" name="tbMovimentos" displayName="tbMovimentos" ref="A1:O607" headerRowCount="1" totalsRowCount="0" totalsRowShown="0">
  <autoFilter ref="A1:O607"/>
  <tableColumns count="15">
    <tableColumn id="1" name="DATA"/>
    <tableColumn id="2" name="MOVIMENTAÇÃO"/>
    <tableColumn id="3" name="SKU"/>
    <tableColumn id="4" name="LOTE"/>
    <tableColumn id="5" name="DESCRIÇÃO"/>
    <tableColumn id="6" name="DEPÓSITO"/>
    <tableColumn id="7" name="UM"/>
    <tableColumn id="8" name="QTD NO SAP"/>
    <tableColumn id="9" name="ENTROU"/>
    <tableColumn id="10" name="SAIU"/>
    <tableColumn id="11" name="SALDO (±)"/>
    <tableColumn id="12" name="DOCUMENTO"/>
    <tableColumn id="13" name="CÓD. CLIENTE"/>
    <tableColumn id="14" name="CLIENTE"/>
    <tableColumn id="15" name="USUÁRIO"/>
  </tableColumns>
</table>
</file>

<file path=xl/tables/table4.xml><?xml version="1.0" encoding="utf-8"?>
<table xmlns="http://schemas.openxmlformats.org/spreadsheetml/2006/main" id="4" name="tbPlanoAcao" displayName="tbPlanoAcao" ref="A7:Q68" headerRowCount="1" totalsRowCount="0" totalsRowShown="0">
  <autoFilter ref="A7:Q68"/>
  <tableColumns count="17">
    <tableColumn id="1" name="Nº"/>
    <tableColumn id="2" name="ORIGEM"/>
    <tableColumn id="3" name="SKU"/>
    <tableColumn id="4" name="LOTE"/>
    <tableColumn id="5" name="UM"/>
    <tableColumn id="6" name="DESCRIÇÃO DO PROBLEMA"/>
    <tableColumn id="7" name="CAUSA IDENTIFICADA (CALCULADA)"/>
    <tableColumn id="8" name="AÇÃO PROPOSTA (SUGESTÃO)"/>
    <tableColumn id="9" name="QUANTIDADE"/>
    <tableColumn id="10" name="PRIORIDADE"/>
    <tableColumn id="11" name="RESPONSÁVEL"/>
    <tableColumn id="12" name="DATA DE ABERTURA"/>
    <tableColumn id="13" name="PRAZO PREVISTO"/>
    <tableColumn id="14" name="DATA DE CONCLUSÃO"/>
    <tableColumn id="15" name="STATUS"/>
    <tableColumn id="16" name="SITUAÇÃO DO PRAZO"/>
    <tableColumn id="17" name="EVIDÊNCIA DA CONCLUSÃO"/>
  </tableColumns>
</table>
</file>

<file path=xl/tables/table5.xml><?xml version="1.0" encoding="utf-8"?>
<table xmlns="http://schemas.openxmlformats.org/spreadsheetml/2006/main" id="5" name="tbSaidas" displayName="tbSaidas" ref="A1:R406" headerRowCount="1" totalsRowCount="0" totalsRowShown="0">
  <autoFilter ref="A1:R406"/>
  <tableColumns count="18">
    <tableColumn id="1" name="DOC.MATERIAL"/>
    <tableColumn id="2" name="SKU"/>
    <tableColumn id="3" name="LOTE"/>
    <tableColumn id="4" name="DESCRIÇÃO"/>
    <tableColumn id="5" name="DEPÓSITO"/>
    <tableColumn id="6" name="CENTRO"/>
    <tableColumn id="7" name="DATA DE LANÇAMENTO"/>
    <tableColumn id="8" name="QUANTIDADE"/>
    <tableColumn id="9" name="UM"/>
    <tableColumn id="10" name="DATA DE ENTRADA"/>
    <tableColumn id="11" name="TIPO DE MOVIMENTO"/>
    <tableColumn id="12" name="MOTIVO DO MOVIMENTO"/>
    <tableColumn id="13" name="HORA DO REGISTRO"/>
    <tableColumn id="14" name="NOME DO USUÁRIO"/>
    <tableColumn id="15" name="REFERÊNCIA"/>
    <tableColumn id="16" name="CLIENTE"/>
    <tableColumn id="17" name="NOME 1"/>
    <tableColumn id="18" name="SAIU"/>
  </tableColumns>
</table>
</file>

<file path=xl/tables/table6.xml><?xml version="1.0" encoding="utf-8"?>
<table xmlns="http://schemas.openxmlformats.org/spreadsheetml/2006/main" id="6" name="tbSaldoInicial" displayName="tbSaldoInicial" ref="A1:F2" headerRowCount="1" totalsRowCount="0" totalsRowShown="0">
  <autoFilter ref="A1:F2"/>
  <tableColumns count="6">
    <tableColumn id="1" name="SKU"/>
    <tableColumn id="2" name="LOTE"/>
    <tableColumn id="3" name="DEPÓSITO"/>
    <tableColumn id="4" name="UM"/>
    <tableColumn id="5" name="QUANTIDADE"/>
    <tableColumn id="6" name="OBSERVAÇÃ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hyperlink" Target="ZBR_Importado_Relatorio_Gestao.xlsx" TargetMode="External"/><Relationship Id="rId3" Type="http://schemas.openxmlformats.org/officeDocument/2006/relationships/hyperlink" Target="ZBR_Importado_Relatorio_Gestao.xlsx" TargetMode="External"/><Relationship Id="rId4" Type="http://schemas.openxmlformats.org/officeDocument/2006/relationships/hyperlink" Target="ZBR_Importado_Relatorio_Gestao.xlsx" TargetMode="External"/><Relationship Id="rId5" Type="http://schemas.openxmlformats.org/officeDocument/2006/relationships/hyperlink" Target="ZBR_Importado_Relatorio_Gestao.xlsx" TargetMode="External"/><Relationship Id="rId6" Type="http://schemas.openxmlformats.org/officeDocument/2006/relationships/hyperlink" Target="ZBR_Importado_Relatorio_Gestao.xlsx" TargetMode="External"/><Relationship Id="rId7" Type="http://schemas.openxmlformats.org/officeDocument/2006/relationships/hyperlink" Target="ZBR_Importado_Relatorio_Gestao.xlsx" TargetMode="External"/><Relationship Id="rId8" Type="http://schemas.openxmlformats.org/officeDocument/2006/relationships/hyperlink" Target="ZBR_Importado_Relatorio_Gestao.xlsx" TargetMode="External"/><Relationship Id="rId9" Type="http://schemas.openxmlformats.org/officeDocument/2006/relationships/hyperlink" Target="ZBR_Importado_Relatorio_Gestao.xlsx" TargetMode="External"/><Relationship Id="rId10" Type="http://schemas.openxmlformats.org/officeDocument/2006/relationships/hyperlink" Target="ZBR_Importado_Relatorio_Gestao.xlsx" TargetMode="External"/><Relationship Id="rId11" Type="http://schemas.openxmlformats.org/officeDocument/2006/relationships/hyperlink" Target="ZBR_Importado_Relatorio_Gestao.xlsx" TargetMode="External"/><Relationship Id="rId12" Type="http://schemas.openxmlformats.org/officeDocument/2006/relationships/hyperlink" Target="ZBR_Importado_Relatorio_Gestao.xlsx" TargetMode="External"/><Relationship Id="rId13" Type="http://schemas.openxmlformats.org/officeDocument/2006/relationships/hyperlink" Target="ZBR_Importado_Relatorio_Gestao.xlsx" TargetMode="External"/><Relationship Id="rId14" Type="http://schemas.openxmlformats.org/officeDocument/2006/relationships/hyperlink" Target="ZBR_Importado_Relatorio_Gestao.xlsx" TargetMode="External"/>
</Relationships>
</file>

<file path=xl/worksheets/_rels/sheet2.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ZBR_Importado_Relatorio_Gestao.xlsx" TargetMode="Externa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hyperlink" Target="ZBR_Importado_Relatorio_Gestao.xlsx" TargetMode="External"/><Relationship Id="rId3" Type="http://schemas.openxmlformats.org/officeDocument/2006/relationships/hyperlink" Target="ZBR_Importado_Relatorio_Gestao.xlsx" TargetMode="External"/><Relationship Id="rId4"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hyperlink" Target="ZBR_Importado_Relatorio_Gestao.xlsx" TargetMode="External"/><Relationship Id="rId3" Type="http://schemas.openxmlformats.org/officeDocument/2006/relationships/hyperlink" Target="ZBR_Importado_Relatorio_Gestao.xlsx" TargetMode="External"/><Relationship Id="rId4"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hyperlink" Target="ZBR_Importado_Relatorio_Gestao.xlsx" TargetMode="External"/><Relationship Id="rId2" Type="http://schemas.openxmlformats.org/officeDocument/2006/relationships/table" Target="../tables/table4.xml"/>
</Relationships>
</file>

<file path=xl/worksheets/_rels/sheet13.xml.rels><?xml version="1.0" encoding="UTF-8"?>
<Relationships xmlns="http://schemas.openxmlformats.org/package/2006/relationships"><Relationship Id="rId1" Type="http://schemas.openxmlformats.org/officeDocument/2006/relationships/hyperlink" Target="ZBR_Importado_Relatorio_Gestao.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ZBR_Importado_Relatorio_Gestao.xlsx" TargetMode="Externa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ZBR_Importado_Relatorio_Gestao.xlsx" TargetMode="External"/><Relationship Id="rId3" Type="http://schemas.openxmlformats.org/officeDocument/2006/relationships/vmlDrawing" Target="../drawings/vmlDrawing1.v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true"/>
  </sheetPr>
  <dimension ref="A1:E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80"/>
    <col collapsed="false" customWidth="true" hidden="false" outlineLevel="0" max="4" min="4" style="0" width="14"/>
    <col collapsed="false" customWidth="true" hidden="false" outlineLevel="0" max="5" min="5" style="0" width="3"/>
  </cols>
  <sheetData>
    <row r="1" customFormat="false" ht="15" hidden="false" customHeight="false" outlineLevel="0" collapsed="false">
      <c r="A1" s="1"/>
      <c r="B1" s="1"/>
      <c r="C1" s="1"/>
      <c r="D1" s="1"/>
      <c r="E1" s="1"/>
    </row>
    <row r="2" customFormat="false" ht="15" hidden="false" customHeight="false" outlineLevel="0" collapsed="false">
      <c r="A2" s="1"/>
      <c r="B2" s="2" t="s">
        <v>0</v>
      </c>
      <c r="C2" s="3"/>
      <c r="D2" s="3"/>
      <c r="E2" s="1"/>
    </row>
    <row r="3" customFormat="false" ht="36" hidden="false" customHeight="true" outlineLevel="0" collapsed="false">
      <c r="A3" s="1"/>
      <c r="B3" s="4" t="s">
        <v>1</v>
      </c>
      <c r="C3" s="3"/>
      <c r="D3" s="3"/>
      <c r="E3" s="1"/>
    </row>
    <row r="4" customFormat="false" ht="15" hidden="false" customHeight="false" outlineLevel="0" collapsed="false">
      <c r="A4" s="1"/>
      <c r="B4" s="5" t="s">
        <v>2</v>
      </c>
      <c r="C4" s="3"/>
      <c r="D4" s="3"/>
      <c r="E4" s="1"/>
    </row>
    <row r="5" customFormat="false" ht="15" hidden="false" customHeight="false" outlineLevel="0" collapsed="false">
      <c r="A5" s="1"/>
      <c r="B5" s="3"/>
      <c r="C5" s="3"/>
      <c r="D5" s="3"/>
      <c r="E5" s="1"/>
    </row>
    <row r="6" customFormat="false" ht="15" hidden="false" customHeight="false" outlineLevel="0" collapsed="false">
      <c r="A6" s="1"/>
      <c r="B6" s="1"/>
      <c r="C6" s="1"/>
      <c r="D6" s="1"/>
      <c r="E6" s="1"/>
    </row>
    <row r="7" customFormat="false" ht="15" hidden="false" customHeight="false" outlineLevel="0" collapsed="false">
      <c r="A7" s="1"/>
      <c r="B7" s="6" t="s">
        <v>3</v>
      </c>
      <c r="C7" s="7" t="s">
        <v>4</v>
      </c>
      <c r="D7" s="1"/>
      <c r="E7" s="1"/>
    </row>
    <row r="8" customFormat="false" ht="15" hidden="false" customHeight="false" outlineLevel="0" collapsed="false">
      <c r="A8" s="1"/>
      <c r="B8" s="6" t="s">
        <v>5</v>
      </c>
      <c r="C8" s="7" t="s">
        <v>6</v>
      </c>
      <c r="D8" s="1"/>
      <c r="E8" s="1"/>
    </row>
    <row r="9" customFormat="false" ht="15" hidden="false" customHeight="false" outlineLevel="0" collapsed="false">
      <c r="A9" s="1"/>
      <c r="B9" s="6" t="s">
        <v>7</v>
      </c>
      <c r="C9" s="8" t="n">
        <f aca="false">Parâmetros!K9</f>
        <v>46297</v>
      </c>
      <c r="D9" s="1"/>
      <c r="E9" s="1"/>
    </row>
    <row r="10" customFormat="false" ht="15" hidden="false" customHeight="false" outlineLevel="0" collapsed="false">
      <c r="A10" s="1"/>
      <c r="B10" s="1"/>
      <c r="C10" s="1"/>
      <c r="D10" s="1"/>
      <c r="E10" s="1"/>
    </row>
    <row r="11" customFormat="false" ht="16.15" hidden="false" customHeight="false" outlineLevel="0" collapsed="false">
      <c r="A11" s="1"/>
      <c r="B11" s="9" t="s">
        <v>8</v>
      </c>
      <c r="C11" s="1"/>
      <c r="D11" s="1"/>
      <c r="E11" s="1"/>
    </row>
    <row r="12" customFormat="false" ht="19.5" hidden="false" customHeight="true" outlineLevel="0" collapsed="false">
      <c r="A12" s="1"/>
      <c r="B12" s="10" t="str">
        <f aca="false">"Conferem: "&amp;'2 Resumo Gerencial'!D19&amp;" de "&amp;'2 Resumo Gerencial'!C19&amp;" SKU·lote ("&amp;FIXED('2 Resumo Gerencial'!F19*100,1)&amp;"%)."</f>
        <v>Conferem: 66 de 94 SKU·lote (70.2%).</v>
      </c>
      <c r="C12" s="10"/>
      <c r="D12" s="10"/>
      <c r="E12" s="1"/>
    </row>
    <row r="13" customFormat="false" ht="19.5" hidden="false" customHeight="true" outlineLevel="0" collapsed="false">
      <c r="A13" s="1"/>
      <c r="B13" s="11" t="str">
        <f aca="false">"Com diferença: "&amp;'2 Resumo Gerencial'!E19&amp;" SKU·lote — "&amp;'2 Resumo Gerencial'!C34&amp;" críticos, tratar primeiro (ver 6 Plano de Ação)."</f>
        <v>Com diferença: 28 SKU·lote — 3 críticos, tratar primeiro (ver 6 Plano de Ação).</v>
      </c>
      <c r="C13" s="11"/>
      <c r="D13" s="11"/>
      <c r="E13" s="1"/>
    </row>
    <row r="14" customFormat="false" ht="19.5" hidden="false" customHeight="true" outlineLevel="0" collapsed="false">
      <c r="A14" s="1"/>
      <c r="B14" s="12" t="str">
        <f aca="false">"Parado no depósito 2008: "&amp;FIXED('2 Resumo Gerencial'!C54,1)&amp;" KG de importação em "&amp;'2 Resumo Gerencial'!C53&amp;" lotes, aguardando transferência."</f>
        <v>Parado no depósito 2008: 54,295.8 KG de importação em 33 lotes, aguardando transferência.</v>
      </c>
      <c r="C14" s="12"/>
      <c r="D14" s="12"/>
      <c r="E14" s="1"/>
    </row>
    <row r="15" customFormat="false" ht="19.5" hidden="false" customHeight="true" outlineLevel="0" collapsed="false">
      <c r="A15" s="1"/>
      <c r="B15" s="13" t="str">
        <f aca="false">IF(SUM('3 Base Saldo Inicial 08-09'!$E$2:$E$5000)=0,"Saldo inicial de 08/09: ainda não informado — preencha a aba 3 Base Saldo Inicial (ou use o Power Query).","Saldo inicial de 08/09: informado e já considerado nas diferenças.")</f>
        <v>Saldo inicial de 08/09: ainda não informado — preencha a aba 3 Base Saldo Inicial (ou use o Power Query).</v>
      </c>
      <c r="C15" s="13"/>
      <c r="D15" s="13"/>
      <c r="E15" s="1"/>
    </row>
    <row r="16" customFormat="false" ht="19.5" hidden="false" customHeight="true" outlineLevel="0" collapsed="false">
      <c r="A16" s="1"/>
      <c r="B16" s="14" t="str">
        <f aca="false">"Plano de ação: "&amp;('2 Resumo Gerencial'!C58-'2 Resumo Gerencial'!C61)&amp;" ações em aberto, "&amp;'2 Resumo Gerencial'!C64&amp;" sem responsável."</f>
        <v>Plano de ação: 61 ações em aberto, 61 sem responsável.</v>
      </c>
      <c r="C16" s="14"/>
      <c r="D16" s="14"/>
      <c r="E16" s="1"/>
    </row>
    <row r="17" customFormat="false" ht="15" hidden="false" customHeight="false" outlineLevel="0" collapsed="false">
      <c r="A17" s="1"/>
      <c r="B17" s="1"/>
      <c r="C17" s="1"/>
      <c r="D17" s="1"/>
      <c r="E17" s="1"/>
    </row>
    <row r="18" customFormat="false" ht="16.15" hidden="false" customHeight="false" outlineLevel="0" collapsed="false">
      <c r="A18" s="1"/>
      <c r="B18" s="9" t="s">
        <v>9</v>
      </c>
      <c r="C18" s="1"/>
      <c r="D18" s="1"/>
      <c r="E18" s="1"/>
    </row>
    <row r="19" customFormat="false" ht="15" hidden="false" customHeight="false" outlineLevel="0" collapsed="false">
      <c r="A19" s="1"/>
      <c r="B19" s="15" t="s">
        <v>10</v>
      </c>
      <c r="C19" s="15" t="s">
        <v>11</v>
      </c>
      <c r="D19" s="16" t="s">
        <v>12</v>
      </c>
      <c r="E19" s="1"/>
    </row>
    <row r="20" customFormat="false" ht="15" hidden="false" customHeight="false" outlineLevel="0" collapsed="false">
      <c r="A20" s="1"/>
      <c r="B20" s="17" t="s">
        <v>13</v>
      </c>
      <c r="C20" s="18" t="s">
        <v>14</v>
      </c>
      <c r="D20" s="19" t="s">
        <v>15</v>
      </c>
      <c r="E20" s="1"/>
    </row>
    <row r="21" customFormat="false" ht="15" hidden="false" customHeight="false" outlineLevel="0" collapsed="false">
      <c r="A21" s="1"/>
      <c r="B21" s="20" t="s">
        <v>16</v>
      </c>
      <c r="C21" s="21" t="s">
        <v>17</v>
      </c>
      <c r="D21" s="22" t="s">
        <v>15</v>
      </c>
      <c r="E21" s="1"/>
    </row>
    <row r="22" customFormat="false" ht="15" hidden="false" customHeight="false" outlineLevel="0" collapsed="false">
      <c r="A22" s="1"/>
      <c r="B22" s="17" t="s">
        <v>18</v>
      </c>
      <c r="C22" s="18" t="s">
        <v>19</v>
      </c>
      <c r="D22" s="19" t="s">
        <v>15</v>
      </c>
      <c r="E22" s="1"/>
    </row>
    <row r="23" customFormat="false" ht="15" hidden="false" customHeight="false" outlineLevel="0" collapsed="false">
      <c r="A23" s="1"/>
      <c r="B23" s="20" t="s">
        <v>20</v>
      </c>
      <c r="C23" s="21" t="s">
        <v>21</v>
      </c>
      <c r="D23" s="22" t="s">
        <v>15</v>
      </c>
      <c r="E23" s="1"/>
    </row>
    <row r="24" customFormat="false" ht="15" hidden="false" customHeight="false" outlineLevel="0" collapsed="false">
      <c r="A24" s="1"/>
      <c r="B24" s="17" t="s">
        <v>22</v>
      </c>
      <c r="C24" s="18" t="s">
        <v>23</v>
      </c>
      <c r="D24" s="19" t="s">
        <v>15</v>
      </c>
      <c r="E24" s="1"/>
    </row>
    <row r="25" customFormat="false" ht="15" hidden="false" customHeight="false" outlineLevel="0" collapsed="false">
      <c r="A25" s="1"/>
      <c r="B25" s="20" t="s">
        <v>24</v>
      </c>
      <c r="C25" s="21" t="s">
        <v>25</v>
      </c>
      <c r="D25" s="22" t="s">
        <v>15</v>
      </c>
      <c r="E25" s="1"/>
    </row>
    <row r="26" customFormat="false" ht="15" hidden="false" customHeight="false" outlineLevel="0" collapsed="false">
      <c r="A26" s="1"/>
      <c r="B26" s="17" t="s">
        <v>26</v>
      </c>
      <c r="C26" s="18" t="s">
        <v>27</v>
      </c>
      <c r="D26" s="19" t="s">
        <v>15</v>
      </c>
      <c r="E26" s="1"/>
    </row>
    <row r="27" customFormat="false" ht="15" hidden="false" customHeight="false" outlineLevel="0" collapsed="false">
      <c r="A27" s="1"/>
      <c r="B27" s="20" t="s">
        <v>28</v>
      </c>
      <c r="C27" s="21" t="s">
        <v>29</v>
      </c>
      <c r="D27" s="22" t="s">
        <v>15</v>
      </c>
      <c r="E27" s="1"/>
    </row>
    <row r="28" customFormat="false" ht="15" hidden="false" customHeight="false" outlineLevel="0" collapsed="false">
      <c r="A28" s="1"/>
      <c r="B28" s="17" t="s">
        <v>30</v>
      </c>
      <c r="C28" s="18" t="s">
        <v>31</v>
      </c>
      <c r="D28" s="19" t="s">
        <v>15</v>
      </c>
      <c r="E28" s="1"/>
    </row>
    <row r="29" customFormat="false" ht="15" hidden="false" customHeight="false" outlineLevel="0" collapsed="false">
      <c r="A29" s="1"/>
      <c r="B29" s="20" t="s">
        <v>32</v>
      </c>
      <c r="C29" s="21" t="s">
        <v>33</v>
      </c>
      <c r="D29" s="22" t="s">
        <v>15</v>
      </c>
      <c r="E29" s="1"/>
    </row>
    <row r="30" customFormat="false" ht="15" hidden="false" customHeight="false" outlineLevel="0" collapsed="false">
      <c r="A30" s="1"/>
      <c r="B30" s="17" t="s">
        <v>34</v>
      </c>
      <c r="C30" s="18" t="s">
        <v>35</v>
      </c>
      <c r="D30" s="19" t="s">
        <v>15</v>
      </c>
      <c r="E30" s="1"/>
    </row>
    <row r="31" customFormat="false" ht="15" hidden="false" customHeight="false" outlineLevel="0" collapsed="false">
      <c r="A31" s="1"/>
      <c r="B31" s="20" t="s">
        <v>36</v>
      </c>
      <c r="C31" s="21" t="s">
        <v>37</v>
      </c>
      <c r="D31" s="22" t="s">
        <v>15</v>
      </c>
      <c r="E31" s="1"/>
    </row>
    <row r="32" customFormat="false" ht="15" hidden="false" customHeight="false" outlineLevel="0" collapsed="false">
      <c r="A32" s="1"/>
      <c r="B32" s="17" t="s">
        <v>38</v>
      </c>
      <c r="C32" s="18" t="s">
        <v>39</v>
      </c>
      <c r="D32" s="19" t="s">
        <v>15</v>
      </c>
      <c r="E32" s="1"/>
    </row>
    <row r="33" customFormat="false" ht="15" hidden="false" customHeight="false" outlineLevel="0" collapsed="false">
      <c r="A33" s="1"/>
      <c r="B33" s="20" t="s">
        <v>40</v>
      </c>
      <c r="C33" s="21" t="s">
        <v>41</v>
      </c>
      <c r="D33" s="22" t="s">
        <v>15</v>
      </c>
      <c r="E33" s="1"/>
    </row>
    <row r="34" customFormat="false" ht="15" hidden="false" customHeight="false" outlineLevel="0" collapsed="false">
      <c r="A34" s="1"/>
      <c r="B34" s="1"/>
      <c r="C34" s="1"/>
      <c r="D34" s="1"/>
      <c r="E34" s="1"/>
    </row>
    <row r="35" customFormat="false" ht="16.15" hidden="false" customHeight="false" outlineLevel="0" collapsed="false">
      <c r="A35" s="1"/>
      <c r="B35" s="9" t="s">
        <v>42</v>
      </c>
      <c r="C35" s="1"/>
      <c r="D35" s="1"/>
      <c r="E35" s="1"/>
    </row>
    <row r="36" customFormat="false" ht="15" hidden="false" customHeight="false" outlineLevel="0" collapsed="false">
      <c r="A36" s="1"/>
      <c r="B36" s="23" t="s">
        <v>43</v>
      </c>
      <c r="C36" s="23"/>
      <c r="D36" s="23"/>
      <c r="E36" s="1"/>
    </row>
    <row r="37" customFormat="false" ht="15" hidden="false" customHeight="false" outlineLevel="0" collapsed="false">
      <c r="A37" s="1"/>
      <c r="B37" s="23" t="s">
        <v>44</v>
      </c>
      <c r="C37" s="23"/>
      <c r="D37" s="23"/>
      <c r="E37" s="1"/>
    </row>
    <row r="38" customFormat="false" ht="15" hidden="false" customHeight="false" outlineLevel="0" collapsed="false">
      <c r="A38" s="1"/>
      <c r="B38" s="23" t="s">
        <v>45</v>
      </c>
      <c r="C38" s="23"/>
      <c r="D38" s="23"/>
      <c r="E38" s="1"/>
    </row>
    <row r="39" customFormat="false" ht="15" hidden="false" customHeight="false" outlineLevel="0" collapsed="false">
      <c r="A39" s="1"/>
      <c r="B39" s="23" t="s">
        <v>46</v>
      </c>
      <c r="C39" s="23"/>
      <c r="D39" s="23"/>
      <c r="E39" s="1"/>
    </row>
    <row r="40" customFormat="false" ht="15" hidden="false" customHeight="false" outlineLevel="0" collapsed="false">
      <c r="A40" s="1"/>
      <c r="B40" s="23" t="s">
        <v>47</v>
      </c>
      <c r="C40" s="23"/>
      <c r="D40" s="23"/>
      <c r="E40" s="1"/>
    </row>
    <row r="41" customFormat="false" ht="15" hidden="false" customHeight="false" outlineLevel="0" collapsed="false">
      <c r="A41" s="1"/>
      <c r="B41" s="1"/>
      <c r="C41" s="1"/>
      <c r="D41" s="1"/>
      <c r="E41" s="1"/>
    </row>
    <row r="42" customFormat="false" ht="16.15" hidden="false" customHeight="false" outlineLevel="0" collapsed="false">
      <c r="A42" s="1"/>
      <c r="B42" s="9" t="s">
        <v>48</v>
      </c>
      <c r="C42" s="1"/>
      <c r="D42" s="1"/>
      <c r="E42" s="1"/>
    </row>
    <row r="43" customFormat="false" ht="15" hidden="false" customHeight="false" outlineLevel="0" collapsed="false">
      <c r="A43" s="1"/>
      <c r="B43" s="24" t="s">
        <v>49</v>
      </c>
      <c r="C43" s="1"/>
      <c r="D43" s="1"/>
      <c r="E43" s="1"/>
    </row>
    <row r="44" customFormat="false" ht="15" hidden="false" customHeight="false" outlineLevel="0" collapsed="false">
      <c r="A44" s="1"/>
      <c r="B44" s="25" t="s">
        <v>50</v>
      </c>
      <c r="C44" s="1"/>
      <c r="D44" s="1"/>
      <c r="E44" s="1"/>
    </row>
    <row r="45" customFormat="false" ht="15" hidden="false" customHeight="false" outlineLevel="0" collapsed="false">
      <c r="A45" s="1"/>
      <c r="B45" s="26" t="s">
        <v>51</v>
      </c>
      <c r="C45" s="1"/>
      <c r="D45" s="1"/>
      <c r="E45" s="1"/>
    </row>
    <row r="46" customFormat="false" ht="15" hidden="false" customHeight="false" outlineLevel="0" collapsed="false">
      <c r="A46" s="1"/>
      <c r="B46" s="27" t="s">
        <v>52</v>
      </c>
      <c r="C46" s="1"/>
      <c r="D46" s="1"/>
      <c r="E46" s="1"/>
    </row>
    <row r="47" customFormat="false" ht="15" hidden="false" customHeight="false" outlineLevel="0" collapsed="false">
      <c r="A47" s="1"/>
      <c r="B47" s="28" t="s">
        <v>53</v>
      </c>
      <c r="C47" s="1"/>
      <c r="D47" s="1"/>
      <c r="E47" s="1"/>
    </row>
    <row r="48" customFormat="false" ht="15" hidden="false" customHeight="false" outlineLevel="0" collapsed="false">
      <c r="A48" s="1"/>
      <c r="B48" s="1"/>
      <c r="C48" s="1"/>
      <c r="D48" s="1"/>
      <c r="E48" s="1"/>
    </row>
    <row r="49" customFormat="false" ht="15" hidden="false" customHeight="false" outlineLevel="0" collapsed="false">
      <c r="A49" s="1"/>
      <c r="B49" s="1"/>
      <c r="C49" s="1"/>
      <c r="D49" s="1"/>
      <c r="E49" s="1"/>
    </row>
    <row r="50" customFormat="false" ht="15" hidden="false" customHeight="false" outlineLevel="0" collapsed="false">
      <c r="A50" s="1"/>
      <c r="B50" s="1"/>
      <c r="C50" s="1"/>
      <c r="D50" s="1"/>
      <c r="E50" s="1"/>
    </row>
    <row r="51" customFormat="false" ht="15" hidden="false" customHeight="false" outlineLevel="0" collapsed="false">
      <c r="A51" s="1"/>
      <c r="B51" s="1"/>
      <c r="C51" s="1"/>
      <c r="D51" s="1"/>
      <c r="E51" s="1"/>
    </row>
    <row r="52" customFormat="false" ht="15" hidden="false" customHeight="false" outlineLevel="0" collapsed="false">
      <c r="A52" s="1"/>
      <c r="B52" s="1"/>
      <c r="C52" s="1"/>
      <c r="D52" s="1"/>
      <c r="E52" s="1"/>
    </row>
    <row r="53" customFormat="false" ht="15" hidden="false" customHeight="false" outlineLevel="0" collapsed="false">
      <c r="A53" s="1"/>
      <c r="B53" s="1"/>
      <c r="C53" s="1"/>
      <c r="D53" s="1"/>
      <c r="E53" s="1"/>
    </row>
    <row r="54" customFormat="false" ht="15" hidden="false" customHeight="false" outlineLevel="0" collapsed="false">
      <c r="A54" s="1"/>
      <c r="B54" s="1"/>
      <c r="C54" s="1"/>
      <c r="D54" s="1"/>
      <c r="E54" s="1"/>
    </row>
    <row r="55" customFormat="false" ht="15" hidden="false" customHeight="false" outlineLevel="0" collapsed="false">
      <c r="A55" s="1"/>
      <c r="B55" s="1"/>
      <c r="C55" s="1"/>
      <c r="D55" s="1"/>
      <c r="E55" s="1"/>
    </row>
    <row r="56" customFormat="false" ht="15" hidden="false" customHeight="false" outlineLevel="0" collapsed="false">
      <c r="A56" s="1"/>
      <c r="B56" s="1"/>
      <c r="C56" s="1"/>
      <c r="D56" s="1"/>
      <c r="E56" s="1"/>
    </row>
    <row r="57" customFormat="false" ht="15" hidden="false" customHeight="false" outlineLevel="0" collapsed="false">
      <c r="A57" s="1"/>
      <c r="B57" s="1"/>
      <c r="C57" s="1"/>
      <c r="D57" s="1"/>
      <c r="E57" s="1"/>
    </row>
    <row r="58" customFormat="false" ht="15" hidden="false" customHeight="false" outlineLevel="0" collapsed="false">
      <c r="A58" s="1"/>
      <c r="B58" s="1"/>
      <c r="C58" s="1"/>
      <c r="D58" s="1"/>
      <c r="E58" s="1"/>
    </row>
    <row r="59" customFormat="false" ht="15" hidden="false" customHeight="false" outlineLevel="0" collapsed="false">
      <c r="A59" s="1"/>
      <c r="B59" s="1"/>
      <c r="C59" s="1"/>
      <c r="D59" s="1"/>
      <c r="E59" s="1"/>
    </row>
  </sheetData>
  <mergeCells count="10">
    <mergeCell ref="B12:D12"/>
    <mergeCell ref="B13:D13"/>
    <mergeCell ref="B14:D14"/>
    <mergeCell ref="B15:D15"/>
    <mergeCell ref="B16:D16"/>
    <mergeCell ref="B36:D36"/>
    <mergeCell ref="B37:D37"/>
    <mergeCell ref="B38:D38"/>
    <mergeCell ref="B39:D39"/>
    <mergeCell ref="B40:D40"/>
  </mergeCells>
  <hyperlinks>
    <hyperlink ref="D20" r:id="rId1" location="'1%20Dashboard'!A1" display="Abrir →"/>
    <hyperlink ref="D21" r:id="rId2" location="'2%20Resumo%20Gerencial'!A1" display="Abrir →"/>
    <hyperlink ref="D22" r:id="rId3" location="'3%20Base%20Entrada%202008'!A1" display="Abrir →"/>
    <hyperlink ref="D23" r:id="rId4" location="'3%20Base%20Saídas'!A1" display="Abrir →"/>
    <hyperlink ref="D24" r:id="rId5" location="'3%20Base%20Estoque%20Físico'!A1" display="Abrir →"/>
    <hyperlink ref="D25" r:id="rId6" location="'3%20Base%20Saldo%20Inicial%2008-09'!A1" display="Abrir →"/>
    <hyperlink ref="D26" r:id="rId7" location="'3%20Base%20Movimentos'!A1" display="Abrir →"/>
    <hyperlink ref="D27" r:id="rId8" location="'4%20Análise%20ZBR'!A1" display="Abrir →"/>
    <hyperlink ref="D28" r:id="rId9" location="'4%20Análise%20Depósito%202008'!A1" display="Abrir →"/>
    <hyperlink ref="D29" r:id="rId10" location="'5%20Conciliação'!A1" display="Abrir →"/>
    <hyperlink ref="D30" r:id="rId11" location="'6%20Plano%20de%20Ação'!A1" display="Abrir →"/>
    <hyperlink ref="D31" r:id="rId12" location="'7%20Dicionário%20de%20Dados'!A1" display="Abrir →"/>
    <hyperlink ref="D32" r:id="rId13" location="'8%20Atualizar%20Dados'!A1" display="Abrir →"/>
    <hyperlink ref="D33" r:id="rId14" location="'Parâmetros'!A1" display="Abrir →"/>
  </hyperlinks>
  <printOptions headings="false" gridLines="false" gridLinesSet="true" horizontalCentered="true" verticalCentered="false"/>
  <pageMargins left="0.4" right="0.4" top="0.6" bottom="0.6" header="0.25" footer="0.25"/>
  <pageSetup paperSize="9" scale="100" fitToWidth="1" fitToHeight="0" pageOrder="downThenOver" orientation="portrait"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true"/>
  </sheetPr>
  <dimension ref="A1:U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6" min="1" style="0" width="12.5"/>
    <col collapsed="false" customWidth="true" hidden="true" outlineLevel="0" max="23" min="20" style="0" width="13"/>
  </cols>
  <sheetData>
    <row r="1" customFormat="false" ht="31.5" hidden="false" customHeight="true" outlineLevel="0" collapsed="false">
      <c r="A1" s="29" t="s">
        <v>54</v>
      </c>
      <c r="P1" s="30" t="s">
        <v>55</v>
      </c>
    </row>
    <row r="2" customFormat="false" ht="15" hidden="false" customHeight="false" outlineLevel="0" collapsed="false">
      <c r="A2" s="31" t="s">
        <v>56</v>
      </c>
    </row>
    <row r="3" customFormat="false" ht="15" hidden="false" customHeight="false" outlineLevel="0" collapsed="false">
      <c r="A3" s="32"/>
      <c r="B3" s="32"/>
      <c r="C3" s="32"/>
      <c r="D3" s="32"/>
      <c r="E3" s="32"/>
      <c r="F3" s="32"/>
      <c r="G3" s="32"/>
      <c r="H3" s="32"/>
      <c r="I3" s="32"/>
      <c r="J3" s="32"/>
      <c r="K3" s="32"/>
      <c r="L3" s="32"/>
      <c r="M3" s="32"/>
      <c r="N3" s="32"/>
      <c r="O3" s="32"/>
      <c r="P3" s="32"/>
    </row>
    <row r="4" customFormat="false" ht="15" hidden="false" customHeight="false" outlineLevel="0" collapsed="false">
      <c r="A4" s="33" t="s">
        <v>57</v>
      </c>
      <c r="C4" s="33" t="s">
        <v>58</v>
      </c>
      <c r="E4" s="33" t="s">
        <v>59</v>
      </c>
      <c r="H4" s="33" t="s">
        <v>60</v>
      </c>
      <c r="J4" s="33" t="s">
        <v>61</v>
      </c>
      <c r="K4" s="33" t="s">
        <v>62</v>
      </c>
      <c r="N4" s="33" t="s">
        <v>63</v>
      </c>
    </row>
    <row r="5" customFormat="false" ht="24" hidden="false" customHeight="true" outlineLevel="0" collapsed="false">
      <c r="A5" s="34" t="n">
        <v>46274</v>
      </c>
      <c r="B5" s="34"/>
      <c r="C5" s="34" t="n">
        <v>46296</v>
      </c>
      <c r="D5" s="34"/>
      <c r="E5" s="35" t="s">
        <v>64</v>
      </c>
      <c r="F5" s="35"/>
      <c r="G5" s="35"/>
      <c r="H5" s="35" t="s">
        <v>64</v>
      </c>
      <c r="I5" s="35"/>
      <c r="J5" s="36" t="s">
        <v>65</v>
      </c>
      <c r="K5" s="35" t="s">
        <v>66</v>
      </c>
      <c r="L5" s="35"/>
      <c r="M5" s="35"/>
      <c r="N5" s="35" t="s">
        <v>64</v>
      </c>
      <c r="O5" s="35"/>
      <c r="P5" s="35"/>
    </row>
    <row r="6" customFormat="false" ht="15" hidden="false" customHeight="false" outlineLevel="0" collapsed="false">
      <c r="A6" s="37" t="str">
        <f aca="false">'4 Análise ZBR'!A7&amp;IF(N5="Todos",""," · status "&amp;N5)</f>
        <v>Mostrando: todos os SKUs · 9/9/2026 a 1/10/2026 · unidade KG</v>
      </c>
      <c r="K6" s="38" t="s">
        <v>67</v>
      </c>
    </row>
    <row r="7" customFormat="false" ht="15" hidden="false" customHeight="false" outlineLevel="0" collapsed="false">
      <c r="A7" s="39" t="s">
        <v>68</v>
      </c>
    </row>
    <row r="8" customFormat="false" ht="15" hidden="false" customHeight="false" outlineLevel="0" collapsed="false">
      <c r="A8" s="40" t="str">
        <f aca="false">"VOLUME ANALISADO · "&amp;'4 Análise ZBR'!$R$3</f>
        <v>VOLUME ANALISADO · KG</v>
      </c>
      <c r="B8" s="40"/>
      <c r="C8" s="40" t="s">
        <v>69</v>
      </c>
      <c r="D8" s="40"/>
      <c r="E8" s="40" t="s">
        <v>70</v>
      </c>
      <c r="F8" s="40"/>
      <c r="G8" s="41" t="s">
        <v>71</v>
      </c>
      <c r="H8" s="41"/>
      <c r="I8" s="42" t="s">
        <v>72</v>
      </c>
      <c r="J8" s="42"/>
      <c r="K8" s="41" t="s">
        <v>73</v>
      </c>
      <c r="L8" s="41"/>
      <c r="M8" s="43" t="s">
        <v>74</v>
      </c>
      <c r="N8" s="43"/>
      <c r="O8" s="42" t="s">
        <v>75</v>
      </c>
      <c r="P8" s="42"/>
    </row>
    <row r="9" customFormat="false" ht="26.85" hidden="false" customHeight="false" outlineLevel="0" collapsed="false">
      <c r="A9" s="44" t="n">
        <f aca="false">SUMPRODUCT('4 Análise ZBR'!$AA$40:$AA$133,'4 Análise ZBR'!$W$40:$W$133)+SUMPRODUCT('4 Análise ZBR'!$AA$40:$AA$133,'4 Análise ZBR'!$X$40:$X$133)</f>
        <v>92199.08</v>
      </c>
      <c r="B9" s="44"/>
      <c r="C9" s="45" t="n">
        <f aca="false">SUM('4 Análise ZBR'!$AA$40:$AA$133)</f>
        <v>81</v>
      </c>
      <c r="D9" s="45"/>
      <c r="E9" s="45" t="n">
        <f aca="false">SUMPRODUCT('4 Análise ZBR'!$AA$40:$AA$133,'4 Análise ZBR'!$AD$40:$AD$133)</f>
        <v>526</v>
      </c>
      <c r="F9" s="45"/>
      <c r="G9" s="46" t="n">
        <f aca="false">COUNTIFS('4 Análise ZBR'!$AA$40:$AA$133,1,'4 Análise ZBR'!$AC$40:$AC$133,"&lt;&gt;Confere")</f>
        <v>23</v>
      </c>
      <c r="H9" s="46"/>
      <c r="I9" s="47" t="n">
        <f aca="false">IF(SUM('4 Análise ZBR'!$AA$40:$AA$133)=0,0,COUNTIFS('4 Análise ZBR'!$AA$40:$AA$133,1,'4 Análise ZBR'!$AC$40:$AC$133,"Confere")/SUM('4 Análise ZBR'!$AA$40:$AA$133))</f>
        <v>0.716049382716049</v>
      </c>
      <c r="J9" s="47"/>
      <c r="K9" s="46" t="n">
        <f aca="false">COUNTIFS('6 Plano de Ação'!$A$8:$A$507,"OC-*",'6 Plano de Ação'!$O$8:$O$507,"&lt;&gt;Concluído",'6 Plano de Ação'!$O$8:$O$507,"&lt;&gt;Cancelado")</f>
        <v>61</v>
      </c>
      <c r="L9" s="46"/>
      <c r="M9" s="48" t="n">
        <f aca="false">COUNTIFS('4 Análise ZBR'!$AA$40:$AA$133,1,'4 Análise ZBR'!$BF$40:$BF$133,"Crítica")</f>
        <v>3</v>
      </c>
      <c r="N9" s="48"/>
      <c r="O9" s="47" t="n">
        <f aca="false">IF(COUNTIF('6 Plano de Ação'!$A$8:$A$507,"OC-*")=0,0,COUNTIF('6 Plano de Ação'!$O$8:$O$507,"Concluído")/COUNTIF('6 Plano de Ação'!$A$8:$A$507,"OC-*"))</f>
        <v>0</v>
      </c>
      <c r="P9" s="47"/>
    </row>
    <row r="10" customFormat="false" ht="15" hidden="false" customHeight="false" outlineLevel="0" collapsed="false">
      <c r="A10" s="49" t="s">
        <v>76</v>
      </c>
      <c r="B10" s="49"/>
      <c r="C10" s="49" t="s">
        <v>77</v>
      </c>
      <c r="D10" s="49"/>
      <c r="E10" s="49" t="s">
        <v>78</v>
      </c>
      <c r="F10" s="49"/>
      <c r="G10" s="50" t="s">
        <v>79</v>
      </c>
      <c r="H10" s="50"/>
      <c r="I10" s="51" t="s">
        <v>80</v>
      </c>
      <c r="J10" s="51"/>
      <c r="K10" s="50" t="s">
        <v>81</v>
      </c>
      <c r="L10" s="50"/>
      <c r="M10" s="52" t="s">
        <v>82</v>
      </c>
      <c r="N10" s="52"/>
      <c r="O10" s="51" t="s">
        <v>83</v>
      </c>
      <c r="P10" s="51"/>
    </row>
    <row r="12" customFormat="false" ht="15" hidden="false" customHeight="false" outlineLevel="0" collapsed="false">
      <c r="A12" s="39" t="str">
        <f aca="false">"QUANTIDADES · "&amp;'4 Análise ZBR'!$R$3</f>
        <v>QUANTIDADES · KG</v>
      </c>
    </row>
    <row r="13" customFormat="false" ht="15" hidden="false" customHeight="false" outlineLevel="0" collapsed="false">
      <c r="A13" s="40" t="s">
        <v>84</v>
      </c>
      <c r="B13" s="40"/>
      <c r="C13" s="40"/>
      <c r="D13" s="40" t="s">
        <v>85</v>
      </c>
      <c r="E13" s="40"/>
      <c r="F13" s="40"/>
      <c r="G13" s="40" t="s">
        <v>86</v>
      </c>
      <c r="H13" s="40"/>
      <c r="I13" s="40"/>
      <c r="J13" s="40" t="s">
        <v>87</v>
      </c>
      <c r="K13" s="40"/>
      <c r="L13" s="40"/>
      <c r="M13" s="41" t="s">
        <v>88</v>
      </c>
      <c r="N13" s="41"/>
      <c r="O13" s="41" t="s">
        <v>89</v>
      </c>
      <c r="P13" s="41"/>
    </row>
    <row r="14" customFormat="false" ht="26.85" hidden="false" customHeight="false" outlineLevel="0" collapsed="false">
      <c r="A14" s="44" t="n">
        <f aca="false">SUMPRODUCT('4 Análise ZBR'!$AA$40:$AA$133,'4 Análise ZBR'!$W$40:$W$133)</f>
        <v>65930.28</v>
      </c>
      <c r="B14" s="44"/>
      <c r="C14" s="44"/>
      <c r="D14" s="44" t="n">
        <f aca="false">SUMPRODUCT('4 Análise ZBR'!$AA$40:$AA$133,'4 Análise ZBR'!$X$40:$X$133)</f>
        <v>26268.8</v>
      </c>
      <c r="E14" s="44"/>
      <c r="F14" s="44"/>
      <c r="G14" s="44" t="n">
        <f aca="false">SUMPRODUCT('4 Análise ZBR'!$AA$40:$AA$133,'4 Análise ZBR'!$BH$40:$BH$133)+A14-D14</f>
        <v>39661.48</v>
      </c>
      <c r="H14" s="44"/>
      <c r="I14" s="44"/>
      <c r="J14" s="44" t="n">
        <f aca="false">SUMPRODUCT('4 Análise ZBR'!$AA$40:$AA$133,'4 Análise ZBR'!$Y$40:$Y$133)</f>
        <v>59270.487</v>
      </c>
      <c r="K14" s="44"/>
      <c r="L14" s="44"/>
      <c r="M14" s="53" t="n">
        <f aca="false">ROUND(J14-G14,3)</f>
        <v>19609.007</v>
      </c>
      <c r="N14" s="53"/>
      <c r="O14" s="54" t="n">
        <f aca="false">SUMPRODUCT('4 Análise Depósito 2008'!$Z$40:$Z$133*('4 Análise Depósito 2008'!$Y$40:$Y$133&gt;0)*'4 Análise Depósito 2008'!$Y$40:$Y$133)</f>
        <v>54295.8</v>
      </c>
      <c r="P14" s="54"/>
    </row>
    <row r="15" customFormat="false" ht="15" hidden="false" customHeight="false" outlineLevel="0" collapsed="false">
      <c r="A15" s="49" t="s">
        <v>90</v>
      </c>
      <c r="B15" s="49"/>
      <c r="C15" s="49"/>
      <c r="D15" s="49" t="s">
        <v>91</v>
      </c>
      <c r="E15" s="49"/>
      <c r="F15" s="49"/>
      <c r="G15" s="49" t="s">
        <v>92</v>
      </c>
      <c r="H15" s="49"/>
      <c r="I15" s="49"/>
      <c r="J15" s="49" t="s">
        <v>93</v>
      </c>
      <c r="K15" s="49"/>
      <c r="L15" s="49"/>
      <c r="M15" s="50" t="s">
        <v>94</v>
      </c>
      <c r="N15" s="50"/>
      <c r="O15" s="50" t="s">
        <v>95</v>
      </c>
      <c r="P15" s="50"/>
    </row>
    <row r="17" customFormat="false" ht="15" hidden="false" customHeight="false" outlineLevel="0" collapsed="false">
      <c r="A17" s="39" t="s">
        <v>96</v>
      </c>
    </row>
    <row r="19" customFormat="false" ht="15" hidden="false" customHeight="false" outlineLevel="0" collapsed="false">
      <c r="T19" s="0" t="s">
        <v>97</v>
      </c>
      <c r="U19" s="0" t="s">
        <v>98</v>
      </c>
    </row>
    <row r="20" customFormat="false" ht="15" hidden="false" customHeight="false" outlineLevel="0" collapsed="false">
      <c r="T20" s="0" t="s">
        <v>99</v>
      </c>
      <c r="U20" s="0" t="n">
        <f aca="false">COUNTIFS('4 Análise ZBR'!$AA$40:$AA$133,1,'4 Análise ZBR'!$BE$40:$BE$133,T20)</f>
        <v>2</v>
      </c>
    </row>
    <row r="21" customFormat="false" ht="15" hidden="false" customHeight="false" outlineLevel="0" collapsed="false">
      <c r="T21" s="0" t="s">
        <v>100</v>
      </c>
      <c r="U21" s="0" t="n">
        <f aca="false">COUNTIFS('4 Análise ZBR'!$AA$40:$AA$133,1,'4 Análise ZBR'!$BE$40:$BE$133,T21)</f>
        <v>1</v>
      </c>
    </row>
    <row r="22" customFormat="false" ht="15" hidden="false" customHeight="false" outlineLevel="0" collapsed="false">
      <c r="T22" s="0" t="s">
        <v>101</v>
      </c>
      <c r="U22" s="0" t="n">
        <f aca="false">COUNTIFS('4 Análise ZBR'!$AA$40:$AA$133,1,'4 Análise ZBR'!$BE$40:$BE$133,T22)</f>
        <v>8</v>
      </c>
    </row>
    <row r="23" customFormat="false" ht="15" hidden="false" customHeight="false" outlineLevel="0" collapsed="false">
      <c r="T23" s="0" t="s">
        <v>102</v>
      </c>
      <c r="U23" s="0" t="n">
        <f aca="false">COUNTIFS('4 Análise ZBR'!$AA$40:$AA$133,1,'4 Análise ZBR'!$BE$40:$BE$133,T23)</f>
        <v>1</v>
      </c>
    </row>
    <row r="24" customFormat="false" ht="15" hidden="false" customHeight="false" outlineLevel="0" collapsed="false">
      <c r="T24" s="0" t="s">
        <v>103</v>
      </c>
      <c r="U24" s="0" t="n">
        <f aca="false">COUNTIFS('4 Análise ZBR'!$AA$40:$AA$133,1,'4 Análise ZBR'!$BE$40:$BE$133,T24)</f>
        <v>3</v>
      </c>
    </row>
    <row r="25" customFormat="false" ht="15" hidden="false" customHeight="false" outlineLevel="0" collapsed="false">
      <c r="T25" s="0" t="s">
        <v>104</v>
      </c>
      <c r="U25" s="0" t="n">
        <f aca="false">COUNTIFS('4 Análise ZBR'!$AA$40:$AA$133,1,'4 Análise ZBR'!$BE$40:$BE$133,T25)</f>
        <v>0</v>
      </c>
    </row>
    <row r="26" customFormat="false" ht="15" hidden="false" customHeight="false" outlineLevel="0" collapsed="false">
      <c r="T26" s="0" t="s">
        <v>105</v>
      </c>
      <c r="U26" s="0" t="n">
        <f aca="false">COUNTIFS('4 Análise ZBR'!$AA$40:$AA$133,1,'4 Análise ZBR'!$BE$40:$BE$133,T26)</f>
        <v>7</v>
      </c>
    </row>
    <row r="27" customFormat="false" ht="15" hidden="false" customHeight="false" outlineLevel="0" collapsed="false">
      <c r="T27" s="0" t="s">
        <v>106</v>
      </c>
      <c r="U27" s="0" t="n">
        <f aca="false">COUNTIFS('4 Análise ZBR'!$AA$40:$AA$133,1,'4 Análise ZBR'!$BE$40:$BE$133,T27)</f>
        <v>1</v>
      </c>
    </row>
    <row r="30" customFormat="false" ht="15" hidden="false" customHeight="false" outlineLevel="0" collapsed="false">
      <c r="T30" s="0" t="s">
        <v>107</v>
      </c>
      <c r="U30" s="0" t="s">
        <v>108</v>
      </c>
    </row>
    <row r="31" customFormat="false" ht="15" hidden="false" customHeight="false" outlineLevel="0" collapsed="false">
      <c r="T31" s="0" t="s">
        <v>109</v>
      </c>
      <c r="U31" s="0" t="n">
        <f aca="false">COUNTIFS('4 Análise ZBR'!$AA$40:$AA$133,1,'4 Análise ZBR'!$AC$40:$AC$133,T31)</f>
        <v>58</v>
      </c>
    </row>
    <row r="32" customFormat="false" ht="15" hidden="false" customHeight="false" outlineLevel="0" collapsed="false">
      <c r="T32" s="0" t="s">
        <v>110</v>
      </c>
      <c r="U32" s="0" t="n">
        <f aca="false">COUNTIFS('4 Análise ZBR'!$AA$40:$AA$133,1,'4 Análise ZBR'!$AC$40:$AC$133,T32)</f>
        <v>20</v>
      </c>
    </row>
    <row r="33" customFormat="false" ht="15" hidden="false" customHeight="false" outlineLevel="0" collapsed="false">
      <c r="T33" s="0" t="s">
        <v>111</v>
      </c>
      <c r="U33" s="0" t="n">
        <f aca="false">COUNTIFS('4 Análise ZBR'!$AA$40:$AA$133,1,'4 Análise ZBR'!$AC$40:$AC$133,T33)</f>
        <v>3</v>
      </c>
    </row>
    <row r="36" customFormat="false" ht="15" hidden="false" customHeight="false" outlineLevel="0" collapsed="false">
      <c r="T36" s="0" t="s">
        <v>112</v>
      </c>
      <c r="U36" s="0" t="s">
        <v>98</v>
      </c>
    </row>
    <row r="37" customFormat="false" ht="15" hidden="false" customHeight="false" outlineLevel="0" collapsed="false">
      <c r="T37" s="0" t="s">
        <v>113</v>
      </c>
      <c r="U37" s="0" t="n">
        <f aca="false">COUNTIFS('4 Análise ZBR'!$AA$40:$AA$133,1,'4 Análise ZBR'!$BF$40:$BF$133,T37)</f>
        <v>3</v>
      </c>
    </row>
    <row r="38" customFormat="false" ht="15" hidden="false" customHeight="false" outlineLevel="0" collapsed="false">
      <c r="T38" s="0" t="s">
        <v>114</v>
      </c>
      <c r="U38" s="0" t="n">
        <f aca="false">COUNTIFS('4 Análise ZBR'!$AA$40:$AA$133,1,'4 Análise ZBR'!$BF$40:$BF$133,T38)</f>
        <v>4</v>
      </c>
    </row>
    <row r="39" customFormat="false" ht="15" hidden="false" customHeight="false" outlineLevel="0" collapsed="false">
      <c r="T39" s="0" t="s">
        <v>115</v>
      </c>
      <c r="U39" s="0" t="n">
        <f aca="false">COUNTIFS('4 Análise ZBR'!$AA$40:$AA$133,1,'4 Análise ZBR'!$BF$40:$BF$133,T39)</f>
        <v>4</v>
      </c>
    </row>
    <row r="40" customFormat="false" ht="15" hidden="false" customHeight="false" outlineLevel="0" collapsed="false">
      <c r="T40" s="0" t="s">
        <v>116</v>
      </c>
      <c r="U40" s="0" t="n">
        <f aca="false">COUNTIFS('4 Análise ZBR'!$AA$40:$AA$133,1,'4 Análise ZBR'!$BF$40:$BF$133,T40)</f>
        <v>12</v>
      </c>
    </row>
    <row r="43" customFormat="false" ht="15" hidden="false" customHeight="false" outlineLevel="0" collapsed="false">
      <c r="T43" s="0" t="s">
        <v>117</v>
      </c>
      <c r="U43" s="0" t="s">
        <v>118</v>
      </c>
    </row>
    <row r="44" customFormat="false" ht="15" hidden="false" customHeight="false" outlineLevel="0" collapsed="false">
      <c r="T44" s="0" t="s">
        <v>119</v>
      </c>
      <c r="U44" s="0" t="n">
        <f aca="false">COUNTIF('6 Plano de Ação'!$O$8:$O$507,T44)</f>
        <v>61</v>
      </c>
    </row>
    <row r="45" customFormat="false" ht="15" hidden="false" customHeight="false" outlineLevel="0" collapsed="false">
      <c r="T45" s="0" t="s">
        <v>120</v>
      </c>
      <c r="U45" s="0" t="n">
        <f aca="false">COUNTIF('6 Plano de Ação'!$O$8:$O$507,T45)</f>
        <v>0</v>
      </c>
    </row>
    <row r="46" customFormat="false" ht="15" hidden="false" customHeight="false" outlineLevel="0" collapsed="false">
      <c r="T46" s="0" t="s">
        <v>121</v>
      </c>
      <c r="U46" s="0" t="n">
        <f aca="false">COUNTIF('6 Plano de Ação'!$O$8:$O$507,T46)</f>
        <v>0</v>
      </c>
    </row>
    <row r="47" customFormat="false" ht="15" hidden="false" customHeight="false" outlineLevel="0" collapsed="false">
      <c r="T47" s="0" t="s">
        <v>122</v>
      </c>
      <c r="U47" s="0" t="n">
        <f aca="false">COUNTIF('6 Plano de Ação'!$O$8:$O$507,T47)</f>
        <v>0</v>
      </c>
    </row>
    <row r="73" customFormat="false" ht="15" hidden="false" customHeight="false" outlineLevel="0" collapsed="false">
      <c r="I73" s="39" t="s">
        <v>123</v>
      </c>
    </row>
    <row r="74" customFormat="false" ht="15" hidden="false" customHeight="false" outlineLevel="0" collapsed="false">
      <c r="I74" s="55" t="s">
        <v>124</v>
      </c>
    </row>
    <row r="75" customFormat="false" ht="15" hidden="false" customHeight="false" outlineLevel="0" collapsed="false">
      <c r="I75" s="55" t="s">
        <v>125</v>
      </c>
    </row>
    <row r="76" customFormat="false" ht="15" hidden="false" customHeight="false" outlineLevel="0" collapsed="false">
      <c r="I76" s="55" t="s">
        <v>126</v>
      </c>
    </row>
    <row r="77" customFormat="false" ht="15" hidden="false" customHeight="false" outlineLevel="0" collapsed="false">
      <c r="I77" s="55" t="s">
        <v>127</v>
      </c>
    </row>
  </sheetData>
  <mergeCells count="48">
    <mergeCell ref="A5:B5"/>
    <mergeCell ref="C5:D5"/>
    <mergeCell ref="E5:G5"/>
    <mergeCell ref="H5:I5"/>
    <mergeCell ref="K5:M5"/>
    <mergeCell ref="N5:P5"/>
    <mergeCell ref="A8:B8"/>
    <mergeCell ref="C8:D8"/>
    <mergeCell ref="E8:F8"/>
    <mergeCell ref="G8:H8"/>
    <mergeCell ref="I8:J8"/>
    <mergeCell ref="K8:L8"/>
    <mergeCell ref="M8:N8"/>
    <mergeCell ref="O8:P8"/>
    <mergeCell ref="A9:B9"/>
    <mergeCell ref="C9:D9"/>
    <mergeCell ref="E9:F9"/>
    <mergeCell ref="G9:H9"/>
    <mergeCell ref="I9:J9"/>
    <mergeCell ref="K9:L9"/>
    <mergeCell ref="M9:N9"/>
    <mergeCell ref="O9:P9"/>
    <mergeCell ref="A10:B10"/>
    <mergeCell ref="C10:D10"/>
    <mergeCell ref="E10:F10"/>
    <mergeCell ref="G10:H10"/>
    <mergeCell ref="I10:J10"/>
    <mergeCell ref="K10:L10"/>
    <mergeCell ref="M10:N10"/>
    <mergeCell ref="O10:P10"/>
    <mergeCell ref="A13:C13"/>
    <mergeCell ref="D13:F13"/>
    <mergeCell ref="G13:I13"/>
    <mergeCell ref="J13:L13"/>
    <mergeCell ref="M13:N13"/>
    <mergeCell ref="O13:P13"/>
    <mergeCell ref="A14:C14"/>
    <mergeCell ref="D14:F14"/>
    <mergeCell ref="G14:I14"/>
    <mergeCell ref="J14:L14"/>
    <mergeCell ref="M14:N14"/>
    <mergeCell ref="O14:P14"/>
    <mergeCell ref="A15:C15"/>
    <mergeCell ref="D15:F15"/>
    <mergeCell ref="G15:I15"/>
    <mergeCell ref="J15:L15"/>
    <mergeCell ref="M15:N15"/>
    <mergeCell ref="O15:P15"/>
  </mergeCells>
  <conditionalFormatting sqref="I9">
    <cfRule type="expression" priority="2" aboveAverage="0" equalAverage="0" bottom="0" percent="0" rank="0" text="" dxfId="0">
      <formula>$I$9&gt;=0.9</formula>
    </cfRule>
    <cfRule type="expression" priority="3" aboveAverage="0" equalAverage="0" bottom="0" percent="0" rank="0" text="" dxfId="1">
      <formula>AND($I$9&gt;=0.7,$I$9&lt;0.9)</formula>
    </cfRule>
    <cfRule type="expression" priority="4" aboveAverage="0" equalAverage="0" bottom="0" percent="0" rank="0" text="" dxfId="2">
      <formula>$I$9&lt;0.7</formula>
    </cfRule>
  </conditionalFormatting>
  <conditionalFormatting sqref="M14">
    <cfRule type="expression" priority="5" aboveAverage="0" equalAverage="0" bottom="0" percent="0" rank="0" text="" dxfId="0">
      <formula>ABS($M$14)&lt;=Parâmetros!$C$7</formula>
    </cfRule>
    <cfRule type="expression" priority="6" aboveAverage="0" equalAverage="0" bottom="0" percent="0" rank="0" text="" dxfId="2">
      <formula>$M$14&lt;-Parâmetros!$C$7</formula>
    </cfRule>
    <cfRule type="expression" priority="7" aboveAverage="0" equalAverage="0" bottom="0" percent="0" rank="0" text="" dxfId="1">
      <formula>$M$14&gt;Parâmetros!$C$7</formula>
    </cfRule>
  </conditionalFormatting>
  <dataValidations count="7">
    <dataValidation allowBlank="false" error="Escolha um item da lista." errorStyle="stop" errorTitle="Valor inválido" operator="between" prompt="Clique na seta ▼ e escolha o SKU (ou Todos)." promptTitle="Filtro" showDropDown="false" showErrorMessage="true" showInputMessage="true" sqref="E5:G5" type="list">
      <formula1>ListaProdutos</formula1>
      <formula2>0</formula2>
    </dataValidation>
    <dataValidation allowBlank="false" error="Escolha um item da lista." errorStyle="stop" errorTitle="Valor inválido" operator="between" prompt="Mostra só os lotes do SKU escolhido. Escolha Todos para ver todos." promptTitle="Filtro" showDropDown="false" showErrorMessage="true" showInputMessage="true" sqref="H5:I5" type="list">
      <formula1>ListaLotes</formula1>
      <formula2>0</formula2>
    </dataValidation>
    <dataValidation allowBlank="false" error="Escolha um item da lista." errorStyle="stop" errorTitle="Valor inválido" operator="between" prompt="Escolha a data inicial." promptTitle="Filtro" showDropDown="false" showErrorMessage="true" showInputMessage="true" sqref="A5:B5" type="list">
      <formula1>ListaDatas</formula1>
      <formula2>0</formula2>
    </dataValidation>
    <dataValidation allowBlank="false" error="Escolha um item da lista." errorStyle="stop" errorTitle="Valor inválido" operator="between" prompt="Escolha a data final." promptTitle="Filtro" showDropDown="false" showErrorMessage="true" showInputMessage="true" sqref="C5:D5" type="list">
      <formula1>ListaDatas</formula1>
      <formula2>0</formula2>
    </dataValidation>
    <dataValidation allowBlank="false" error="Escolha um item da lista." errorStyle="stop" errorTitle="Valor inválido" operator="between" prompt="KG, UN ou CX. Com um SKU escolhido, vale a unidade dele." promptTitle="Filtro" showDropDown="false" showErrorMessage="true" showInputMessage="true" sqref="J5" type="list">
      <formula1>ListaUnidades</formula1>
      <formula2>0</formula2>
    </dataValidation>
    <dataValidation allowBlank="false" error="Escolha um item da lista." errorStyle="stop" errorTitle="Valor inválido" operator="between" prompt="Filtra o gráfico por dia e a coluna Lançamentos." promptTitle="Filtro" showDropDown="false" showErrorMessage="true" showInputMessage="true" sqref="K5:M5" type="list">
      <formula1>ListaMovimentacao</formula1>
      <formula2>0</formula2>
    </dataValidation>
    <dataValidation allowBlank="false" error="Escolha um item da lista." errorStyle="stop" errorTitle="Valor inválido" operator="between" prompt="Confere, Sobrando ou Faltando (situação do SKU·lote)." promptTitle="Filtro" showDropDown="false" showErrorMessage="true" showInputMessage="true" sqref="N5:P5" type="list">
      <formula1>ListaStatus</formula1>
      <formula2>0</formula2>
    </dataValidation>
  </dataValidations>
  <hyperlinks>
    <hyperlink ref="P1" r:id="rId1" location="'MENU'!A1" display="◄ MENU"/>
  </hyperlinks>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rowBreaks count="2" manualBreakCount="2">
    <brk id="34" man="true" max="16383" min="0"/>
    <brk id="71" man="true" max="16383" min="0"/>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A81"/>
    <pageSetUpPr fitToPage="true"/>
  </sheetPr>
  <dimension ref="A1:I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6" min="3" style="0" width="16"/>
    <col collapsed="false" customWidth="true" hidden="false" outlineLevel="0" max="9" min="7" style="0" width="18"/>
  </cols>
  <sheetData>
    <row r="1" customFormat="false" ht="31.5" hidden="false" customHeight="true" outlineLevel="0" collapsed="false">
      <c r="A1" s="29" t="s">
        <v>128</v>
      </c>
      <c r="I1" s="30" t="s">
        <v>55</v>
      </c>
    </row>
    <row r="2" customFormat="false" ht="15" hidden="false" customHeight="false" outlineLevel="0" collapsed="false">
      <c r="A2" s="31" t="s">
        <v>129</v>
      </c>
    </row>
    <row r="3" customFormat="false" ht="15" hidden="false" customHeight="false" outlineLevel="0" collapsed="false">
      <c r="A3" s="32"/>
      <c r="B3" s="32"/>
      <c r="C3" s="32"/>
      <c r="D3" s="32"/>
      <c r="E3" s="32"/>
      <c r="F3" s="32"/>
      <c r="G3" s="32"/>
      <c r="H3" s="32"/>
      <c r="I3" s="32"/>
    </row>
    <row r="5" customFormat="false" ht="16.15" hidden="false" customHeight="false" outlineLevel="0" collapsed="false">
      <c r="B5" s="56" t="s">
        <v>130</v>
      </c>
    </row>
    <row r="6" customFormat="false" ht="15" hidden="false" customHeight="false" outlineLevel="0" collapsed="false">
      <c r="B6" s="15" t="s">
        <v>131</v>
      </c>
      <c r="C6" s="57" t="s">
        <v>132</v>
      </c>
    </row>
    <row r="7" customFormat="false" ht="15" hidden="false" customHeight="false" outlineLevel="0" collapsed="false">
      <c r="B7" s="58" t="s">
        <v>133</v>
      </c>
      <c r="C7" s="59" t="n">
        <f aca="false">MIN(MIN('3 Base Entrada 2008'!$F$2:$F$5000),MIN('3 Base Saídas'!$G$2:$G$5000))</f>
        <v>46274</v>
      </c>
    </row>
    <row r="8" customFormat="false" ht="15" hidden="false" customHeight="false" outlineLevel="0" collapsed="false">
      <c r="B8" s="58" t="s">
        <v>134</v>
      </c>
      <c r="C8" s="59" t="n">
        <f aca="false">MAX(MAX('3 Base Entrada 2008'!$F$2:$F$5000),MAX('3 Base Saídas'!$G$2:$G$5000))</f>
        <v>46296</v>
      </c>
    </row>
    <row r="9" customFormat="false" ht="15" hidden="false" customHeight="false" outlineLevel="0" collapsed="false">
      <c r="B9" s="58" t="s">
        <v>135</v>
      </c>
      <c r="C9" s="60" t="n">
        <f aca="false">COUNTA('5 Conciliação'!$A$14:$A$107)</f>
        <v>94</v>
      </c>
    </row>
    <row r="10" customFormat="false" ht="15" hidden="false" customHeight="false" outlineLevel="0" collapsed="false">
      <c r="B10" s="58" t="s">
        <v>136</v>
      </c>
      <c r="C10" s="60" t="n">
        <f aca="false">COUNTA('3 Base Entrada 2008'!$A$2:$A$5000)</f>
        <v>201</v>
      </c>
    </row>
    <row r="11" customFormat="false" ht="15" hidden="false" customHeight="false" outlineLevel="0" collapsed="false">
      <c r="B11" s="58" t="s">
        <v>137</v>
      </c>
      <c r="C11" s="60" t="n">
        <f aca="false">COUNTA('3 Base Saídas'!$A$2:$A$5000)</f>
        <v>405</v>
      </c>
    </row>
    <row r="12" customFormat="false" ht="15" hidden="false" customHeight="false" outlineLevel="0" collapsed="false">
      <c r="B12" s="58" t="s">
        <v>138</v>
      </c>
      <c r="C12" s="60" t="n">
        <f aca="false">COUNTA('3 Base Estoque Físico'!$A$2:$A$5000)</f>
        <v>228</v>
      </c>
    </row>
    <row r="14" customFormat="false" ht="16.15" hidden="false" customHeight="false" outlineLevel="0" collapsed="false">
      <c r="B14" s="56" t="s">
        <v>139</v>
      </c>
    </row>
    <row r="15" customFormat="false" ht="15" hidden="false" customHeight="false" outlineLevel="0" collapsed="false">
      <c r="B15" s="15" t="s">
        <v>140</v>
      </c>
      <c r="C15" s="57" t="s">
        <v>108</v>
      </c>
      <c r="D15" s="57" t="s">
        <v>141</v>
      </c>
      <c r="E15" s="57" t="s">
        <v>142</v>
      </c>
      <c r="F15" s="57" t="s">
        <v>143</v>
      </c>
      <c r="G15" s="57" t="s">
        <v>144</v>
      </c>
      <c r="H15" s="57" t="s">
        <v>145</v>
      </c>
    </row>
    <row r="16" customFormat="false" ht="15" hidden="false" customHeight="false" outlineLevel="0" collapsed="false">
      <c r="B16" s="58" t="s">
        <v>65</v>
      </c>
      <c r="C16" s="60" t="n">
        <f aca="false">COUNTIFS('5 Conciliação'!$D$14:$D$107,"KG")</f>
        <v>81</v>
      </c>
      <c r="D16" s="60" t="n">
        <f aca="false">COUNTIFS('5 Conciliação'!$D$14:$D$107,"KG",'5 Conciliação'!$J$14:$J$107,"Confere")</f>
        <v>58</v>
      </c>
      <c r="E16" s="60" t="n">
        <f aca="false">C16-D16</f>
        <v>23</v>
      </c>
      <c r="F16" s="61" t="n">
        <f aca="false">IF(C16=0,0,D16/C16)</f>
        <v>0.716049382716049</v>
      </c>
      <c r="G16" s="62" t="n">
        <f aca="false">SUMIFS('5 Conciliação'!$I$14:$I$107,'5 Conciliação'!$D$14:$D$107,"KG")</f>
        <v>19609.01</v>
      </c>
      <c r="H16" s="62" t="n">
        <f aca="false">SUMIFS('5 Conciliação'!$O$14:$O$107,'5 Conciliação'!$D$14:$D$107,"KG")</f>
        <v>4630.78</v>
      </c>
    </row>
    <row r="17" customFormat="false" ht="15" hidden="false" customHeight="false" outlineLevel="0" collapsed="false">
      <c r="B17" s="58" t="s">
        <v>146</v>
      </c>
      <c r="C17" s="60" t="n">
        <f aca="false">COUNTIFS('5 Conciliação'!$D$14:$D$107,"UN")</f>
        <v>6</v>
      </c>
      <c r="D17" s="60" t="n">
        <f aca="false">COUNTIFS('5 Conciliação'!$D$14:$D$107,"UN",'5 Conciliação'!$J$14:$J$107,"Confere")</f>
        <v>3</v>
      </c>
      <c r="E17" s="60" t="n">
        <f aca="false">C17-D17</f>
        <v>3</v>
      </c>
      <c r="F17" s="61" t="n">
        <f aca="false">IF(C17=0,0,D17/C17)</f>
        <v>0.5</v>
      </c>
      <c r="G17" s="62" t="n">
        <f aca="false">SUMIFS('5 Conciliação'!$I$14:$I$107,'5 Conciliação'!$D$14:$D$107,"UN")</f>
        <v>64.22</v>
      </c>
      <c r="H17" s="62" t="n">
        <f aca="false">SUMIFS('5 Conciliação'!$O$14:$O$107,'5 Conciliação'!$D$14:$D$107,"UN")</f>
        <v>4.22</v>
      </c>
    </row>
    <row r="18" customFormat="false" ht="15" hidden="false" customHeight="false" outlineLevel="0" collapsed="false">
      <c r="B18" s="58" t="s">
        <v>147</v>
      </c>
      <c r="C18" s="60" t="n">
        <f aca="false">COUNTIFS('5 Conciliação'!$D$14:$D$107,"CX")</f>
        <v>7</v>
      </c>
      <c r="D18" s="60" t="n">
        <f aca="false">COUNTIFS('5 Conciliação'!$D$14:$D$107,"CX",'5 Conciliação'!$J$14:$J$107,"Confere")</f>
        <v>5</v>
      </c>
      <c r="E18" s="60" t="n">
        <f aca="false">C18-D18</f>
        <v>2</v>
      </c>
      <c r="F18" s="61" t="n">
        <f aca="false">IF(C18=0,0,D18/C18)</f>
        <v>0.714285714285714</v>
      </c>
      <c r="G18" s="62" t="n">
        <f aca="false">SUMIFS('5 Conciliação'!$I$14:$I$107,'5 Conciliação'!$D$14:$D$107,"CX")</f>
        <v>0</v>
      </c>
      <c r="H18" s="62" t="n">
        <f aca="false">SUMIFS('5 Conciliação'!$O$14:$O$107,'5 Conciliação'!$D$14:$D$107,"CX")</f>
        <v>0</v>
      </c>
    </row>
    <row r="19" customFormat="false" ht="15" hidden="false" customHeight="false" outlineLevel="0" collapsed="false">
      <c r="B19" s="63" t="s">
        <v>148</v>
      </c>
      <c r="C19" s="64" t="n">
        <f aca="false">SUM(C16:C18)</f>
        <v>94</v>
      </c>
      <c r="D19" s="64" t="n">
        <f aca="false">SUM(D16:D18)</f>
        <v>66</v>
      </c>
      <c r="E19" s="64" t="n">
        <f aca="false">SUM(E16:E18)</f>
        <v>28</v>
      </c>
      <c r="F19" s="65" t="n">
        <f aca="false">IF(C19=0,0,D19/C19)</f>
        <v>0.702127659574468</v>
      </c>
    </row>
    <row r="21" customFormat="false" ht="16.15" hidden="false" customHeight="false" outlineLevel="0" collapsed="false">
      <c r="B21" s="56" t="s">
        <v>149</v>
      </c>
    </row>
    <row r="22" customFormat="false" ht="15" hidden="false" customHeight="false" outlineLevel="0" collapsed="false">
      <c r="B22" s="15" t="s">
        <v>150</v>
      </c>
      <c r="C22" s="57" t="s">
        <v>98</v>
      </c>
      <c r="D22" s="57" t="s">
        <v>151</v>
      </c>
    </row>
    <row r="23" customFormat="false" ht="15" hidden="false" customHeight="false" outlineLevel="0" collapsed="false">
      <c r="B23" s="58" t="s">
        <v>99</v>
      </c>
      <c r="C23" s="60" t="n">
        <f aca="false">COUNTIFS('5 Conciliação'!$Q$14:$Q$107,B23)</f>
        <v>3</v>
      </c>
      <c r="D23" s="62" t="n">
        <f aca="false">SUMIFS('5 Conciliação'!$I$14:$I$107,'5 Conciliação'!$Q$14:$Q$107,B23,'5 Conciliação'!$D$14:$D$107,"KG")</f>
        <v>-652.2</v>
      </c>
    </row>
    <row r="24" customFormat="false" ht="15" hidden="false" customHeight="false" outlineLevel="0" collapsed="false">
      <c r="B24" s="58" t="s">
        <v>100</v>
      </c>
      <c r="C24" s="60" t="n">
        <f aca="false">COUNTIFS('5 Conciliação'!$Q$14:$Q$107,B24)</f>
        <v>1</v>
      </c>
      <c r="D24" s="62" t="n">
        <f aca="false">SUMIFS('5 Conciliação'!$I$14:$I$107,'5 Conciliação'!$Q$14:$Q$107,B24,'5 Conciliação'!$D$14:$D$107,"KG")</f>
        <v>-261.12</v>
      </c>
    </row>
    <row r="25" customFormat="false" ht="15" hidden="false" customHeight="false" outlineLevel="0" collapsed="false">
      <c r="B25" s="58" t="s">
        <v>101</v>
      </c>
      <c r="C25" s="60" t="n">
        <f aca="false">COUNTIFS('5 Conciliação'!$Q$14:$Q$107,B25)</f>
        <v>9</v>
      </c>
      <c r="D25" s="62" t="n">
        <f aca="false">SUMIFS('5 Conciliação'!$I$14:$I$107,'5 Conciliação'!$Q$14:$Q$107,B25,'5 Conciliação'!$D$14:$D$107,"KG")</f>
        <v>2941.6</v>
      </c>
    </row>
    <row r="26" customFormat="false" ht="15" hidden="false" customHeight="false" outlineLevel="0" collapsed="false">
      <c r="B26" s="58" t="s">
        <v>102</v>
      </c>
      <c r="C26" s="60" t="n">
        <f aca="false">COUNTIFS('5 Conciliação'!$Q$14:$Q$107,B26)</f>
        <v>1</v>
      </c>
      <c r="D26" s="62" t="n">
        <f aca="false">SUMIFS('5 Conciliação'!$I$14:$I$107,'5 Conciliação'!$Q$14:$Q$107,B26,'5 Conciliação'!$D$14:$D$107,"KG")</f>
        <v>20.1</v>
      </c>
    </row>
    <row r="27" customFormat="false" ht="15" hidden="false" customHeight="false" outlineLevel="0" collapsed="false">
      <c r="B27" s="58" t="s">
        <v>103</v>
      </c>
      <c r="C27" s="60" t="n">
        <f aca="false">COUNTIFS('5 Conciliação'!$Q$14:$Q$107,B27)</f>
        <v>3</v>
      </c>
      <c r="D27" s="62" t="n">
        <f aca="false">SUMIFS('5 Conciliação'!$I$14:$I$107,'5 Conciliação'!$Q$14:$Q$107,B27,'5 Conciliação'!$D$14:$D$107,"KG")</f>
        <v>410.04</v>
      </c>
    </row>
    <row r="28" customFormat="false" ht="15" hidden="false" customHeight="false" outlineLevel="0" collapsed="false">
      <c r="B28" s="58" t="s">
        <v>104</v>
      </c>
      <c r="C28" s="60" t="n">
        <f aca="false">COUNTIFS('5 Conciliação'!$Q$14:$Q$107,B28)</f>
        <v>2</v>
      </c>
      <c r="D28" s="62" t="n">
        <f aca="false">SUMIFS('5 Conciliação'!$I$14:$I$107,'5 Conciliação'!$Q$14:$Q$107,B28,'5 Conciliação'!$D$14:$D$107,"KG")</f>
        <v>0</v>
      </c>
    </row>
    <row r="29" customFormat="false" ht="15" hidden="false" customHeight="false" outlineLevel="0" collapsed="false">
      <c r="B29" s="58" t="s">
        <v>105</v>
      </c>
      <c r="C29" s="60" t="n">
        <f aca="false">COUNTIFS('5 Conciliação'!$Q$14:$Q$107,B29)</f>
        <v>7</v>
      </c>
      <c r="D29" s="62" t="n">
        <f aca="false">SUMIFS('5 Conciliação'!$I$14:$I$107,'5 Conciliação'!$Q$14:$Q$107,B29,'5 Conciliação'!$D$14:$D$107,"KG")</f>
        <v>16902.59</v>
      </c>
    </row>
    <row r="30" customFormat="false" ht="15" hidden="false" customHeight="false" outlineLevel="0" collapsed="false">
      <c r="B30" s="58" t="s">
        <v>106</v>
      </c>
      <c r="C30" s="60" t="n">
        <f aca="false">COUNTIFS('5 Conciliação'!$Q$14:$Q$107,B30)</f>
        <v>2</v>
      </c>
      <c r="D30" s="62" t="n">
        <f aca="false">SUMIFS('5 Conciliação'!$I$14:$I$107,'5 Conciliação'!$Q$14:$Q$107,B30,'5 Conciliação'!$D$14:$D$107,"KG")</f>
        <v>248</v>
      </c>
    </row>
    <row r="32" customFormat="false" ht="16.15" hidden="false" customHeight="false" outlineLevel="0" collapsed="false">
      <c r="B32" s="56" t="s">
        <v>152</v>
      </c>
    </row>
    <row r="33" customFormat="false" ht="15" hidden="false" customHeight="false" outlineLevel="0" collapsed="false">
      <c r="B33" s="15" t="s">
        <v>112</v>
      </c>
      <c r="C33" s="57" t="s">
        <v>98</v>
      </c>
      <c r="D33" s="57" t="s">
        <v>153</v>
      </c>
    </row>
    <row r="34" customFormat="false" ht="15" hidden="false" customHeight="false" outlineLevel="0" collapsed="false">
      <c r="B34" s="58" t="s">
        <v>113</v>
      </c>
      <c r="C34" s="60" t="n">
        <f aca="false">COUNTIF('5 Conciliação'!$R$14:$R$107,"Crítica")</f>
        <v>3</v>
      </c>
      <c r="D34" s="66" t="str">
        <f aca="false">"Não localizado no estoque, ou falta sem explicação ≥ "&amp;Parâmetros!$K$6</f>
        <v>Não localizado no estoque, ou falta sem explicação ≥ 200</v>
      </c>
    </row>
    <row r="35" customFormat="false" ht="15" hidden="false" customHeight="false" outlineLevel="0" collapsed="false">
      <c r="B35" s="58" t="s">
        <v>114</v>
      </c>
      <c r="C35" s="60" t="n">
        <f aca="false">COUNTIF('5 Conciliação'!$R$14:$R$107,"Alta")</f>
        <v>5</v>
      </c>
      <c r="D35" s="66" t="str">
        <f aca="false">"Outras faltas sem explicação, ou sobra sem explicação ≥ "&amp;Parâmetros!$K$7</f>
        <v>Outras faltas sem explicação, ou sobra sem explicação ≥ 500</v>
      </c>
    </row>
    <row r="36" customFormat="false" ht="15" hidden="false" customHeight="false" outlineLevel="0" collapsed="false">
      <c r="B36" s="58" t="s">
        <v>115</v>
      </c>
      <c r="C36" s="60" t="n">
        <f aca="false">COUNTIF('5 Conciliação'!$R$14:$R$107,"Média")</f>
        <v>5</v>
      </c>
      <c r="D36" s="66" t="s">
        <v>154</v>
      </c>
    </row>
    <row r="37" customFormat="false" ht="15" hidden="false" customHeight="false" outlineLevel="0" collapsed="false">
      <c r="B37" s="58" t="s">
        <v>116</v>
      </c>
      <c r="C37" s="60" t="n">
        <f aca="false">COUNTIF('5 Conciliação'!$R$14:$R$107,"Baixa")</f>
        <v>15</v>
      </c>
      <c r="D37" s="66" t="s">
        <v>155</v>
      </c>
    </row>
    <row r="39" customFormat="false" ht="16.15" hidden="false" customHeight="false" outlineLevel="0" collapsed="false">
      <c r="B39" s="56" t="s">
        <v>156</v>
      </c>
    </row>
    <row r="40" customFormat="false" ht="15" hidden="false" customHeight="false" outlineLevel="0" collapsed="false">
      <c r="B40" s="15" t="s">
        <v>157</v>
      </c>
      <c r="C40" s="57" t="s">
        <v>158</v>
      </c>
      <c r="D40" s="57" t="s">
        <v>159</v>
      </c>
      <c r="E40" s="57" t="s">
        <v>160</v>
      </c>
      <c r="F40" s="57" t="s">
        <v>145</v>
      </c>
      <c r="G40" s="57" t="s">
        <v>150</v>
      </c>
      <c r="H40" s="57" t="s">
        <v>112</v>
      </c>
    </row>
    <row r="41" customFormat="false" ht="15" hidden="false" customHeight="false" outlineLevel="0" collapsed="false">
      <c r="B41" s="58" t="str">
        <f aca="false">IFERROR(INDEX('5 Conciliação'!$A$14:$A$107,MATCH(LARGE('5 Conciliação'!$T$14:$T$107,1),'5 Conciliação'!$T$14:$T$107,0)),"")</f>
        <v>CHM-SP-Z3L-BR-U73</v>
      </c>
      <c r="C41" s="67" t="str">
        <f aca="false">IFERROR(INDEX('5 Conciliação'!$B$14:$B$107,MATCH(LARGE('5 Conciliação'!$T$14:$T$107,1),'5 Conciliação'!$T$14:$T$107,0)),"")</f>
        <v>251880301</v>
      </c>
      <c r="D41" s="67" t="str">
        <f aca="false">IFERROR(INDEX('5 Conciliação'!$D$14:$D$107,MATCH(LARGE('5 Conciliação'!$T$14:$T$107,1),'5 Conciliação'!$T$14:$T$107,0)),"")</f>
        <v>KG</v>
      </c>
      <c r="E41" s="62" t="n">
        <f aca="false">IFERROR(INDEX('5 Conciliação'!$I$14:$I$107,MATCH(LARGE('5 Conciliação'!$T$14:$T$107,1),'5 Conciliação'!$T$14:$T$107,0)),"")</f>
        <v>3695</v>
      </c>
      <c r="F41" s="62" t="n">
        <f aca="false">IFERROR(INDEX('5 Conciliação'!$O$14:$O$107,MATCH(LARGE('5 Conciliação'!$T$14:$T$107,1),'5 Conciliação'!$T$14:$T$107,0)),"")</f>
        <v>2148</v>
      </c>
      <c r="G41" s="67" t="str">
        <f aca="false">IFERROR(INDEX('5 Conciliação'!$Q$14:$Q$107,MATCH(LARGE('5 Conciliação'!$T$14:$T$107,1),'5 Conciliação'!$T$14:$T$107,0)),"")</f>
        <v>Sobra parcialmente explicada</v>
      </c>
      <c r="H41" s="67" t="str">
        <f aca="false">IFERROR(INDEX('5 Conciliação'!$R$14:$R$107,MATCH(LARGE('5 Conciliação'!$T$14:$T$107,1),'5 Conciliação'!$T$14:$T$107,0)),"")</f>
        <v>Alta</v>
      </c>
    </row>
    <row r="42" customFormat="false" ht="15" hidden="false" customHeight="false" outlineLevel="0" collapsed="false">
      <c r="B42" s="58" t="str">
        <f aca="false">IFERROR(INDEX('5 Conciliação'!$A$14:$A$107,MATCH(LARGE('5 Conciliação'!$T$14:$T$107,2),'5 Conciliação'!$T$14:$T$107,0)),"")</f>
        <v>823-BR-D94</v>
      </c>
      <c r="C42" s="67" t="str">
        <f aca="false">IFERROR(INDEX('5 Conciliação'!$B$14:$B$107,MATCH(LARGE('5 Conciliação'!$T$14:$T$107,2),'5 Conciliação'!$T$14:$T$107,0)),"")</f>
        <v>252103049</v>
      </c>
      <c r="D42" s="67" t="str">
        <f aca="false">IFERROR(INDEX('5 Conciliação'!$D$14:$D$107,MATCH(LARGE('5 Conciliação'!$T$14:$T$107,2),'5 Conciliação'!$T$14:$T$107,0)),"")</f>
        <v>KG</v>
      </c>
      <c r="E42" s="62" t="n">
        <f aca="false">IFERROR(INDEX('5 Conciliação'!$I$14:$I$107,MATCH(LARGE('5 Conciliação'!$T$14:$T$107,2),'5 Conciliação'!$T$14:$T$107,0)),"")</f>
        <v>2528.4</v>
      </c>
      <c r="F42" s="62" t="n">
        <f aca="false">IFERROR(INDEX('5 Conciliação'!$O$14:$O$107,MATCH(LARGE('5 Conciliação'!$T$14:$T$107,2),'5 Conciliação'!$T$14:$T$107,0)),"")</f>
        <v>1260</v>
      </c>
      <c r="G42" s="67" t="str">
        <f aca="false">IFERROR(INDEX('5 Conciliação'!$Q$14:$Q$107,MATCH(LARGE('5 Conciliação'!$T$14:$T$107,2),'5 Conciliação'!$T$14:$T$107,0)),"")</f>
        <v>Sobra parcialmente explicada</v>
      </c>
      <c r="H42" s="67" t="str">
        <f aca="false">IFERROR(INDEX('5 Conciliação'!$R$14:$R$107,MATCH(LARGE('5 Conciliação'!$T$14:$T$107,2),'5 Conciliação'!$T$14:$T$107,0)),"")</f>
        <v>Alta</v>
      </c>
    </row>
    <row r="43" customFormat="false" ht="15" hidden="false" customHeight="false" outlineLevel="0" collapsed="false">
      <c r="B43" s="58" t="str">
        <f aca="false">IFERROR(INDEX('5 Conciliação'!$A$14:$A$107,MATCH(LARGE('5 Conciliação'!$T$14:$T$107,3),'5 Conciliação'!$T$14:$T$107,0)),"")</f>
        <v>W3-BR-25A</v>
      </c>
      <c r="C43" s="67" t="str">
        <f aca="false">IFERROR(INDEX('5 Conciliação'!$B$14:$B$107,MATCH(LARGE('5 Conciliação'!$T$14:$T$107,3),'5 Conciliação'!$T$14:$T$107,0)),"")</f>
        <v>253540301</v>
      </c>
      <c r="D43" s="67" t="str">
        <f aca="false">IFERROR(INDEX('5 Conciliação'!$D$14:$D$107,MATCH(LARGE('5 Conciliação'!$T$14:$T$107,3),'5 Conciliação'!$T$14:$T$107,0)),"")</f>
        <v>KG</v>
      </c>
      <c r="E43" s="62" t="n">
        <f aca="false">IFERROR(INDEX('5 Conciliação'!$I$14:$I$107,MATCH(LARGE('5 Conciliação'!$T$14:$T$107,3),'5 Conciliação'!$T$14:$T$107,0)),"")</f>
        <v>1083.39</v>
      </c>
      <c r="F43" s="62" t="n">
        <f aca="false">IFERROR(INDEX('5 Conciliação'!$O$14:$O$107,MATCH(LARGE('5 Conciliação'!$T$14:$T$107,3),'5 Conciliação'!$T$14:$T$107,0)),"")</f>
        <v>562.8</v>
      </c>
      <c r="G43" s="67" t="str">
        <f aca="false">IFERROR(INDEX('5 Conciliação'!$Q$14:$Q$107,MATCH(LARGE('5 Conciliação'!$T$14:$T$107,3),'5 Conciliação'!$T$14:$T$107,0)),"")</f>
        <v>Sobra parcialmente explicada</v>
      </c>
      <c r="H43" s="67" t="str">
        <f aca="false">IFERROR(INDEX('5 Conciliação'!$R$14:$R$107,MATCH(LARGE('5 Conciliação'!$T$14:$T$107,3),'5 Conciliação'!$T$14:$T$107,0)),"")</f>
        <v>Alta</v>
      </c>
    </row>
    <row r="44" customFormat="false" ht="15" hidden="false" customHeight="false" outlineLevel="0" collapsed="false">
      <c r="B44" s="58" t="str">
        <f aca="false">IFERROR(INDEX('5 Conciliação'!$A$14:$A$107,MATCH(LARGE('5 Conciliação'!$T$14:$T$107,4),'5 Conciliação'!$T$14:$T$107,0)),"")</f>
        <v>CHP-20SICHP-760</v>
      </c>
      <c r="C44" s="67" t="str">
        <f aca="false">IFERROR(INDEX('5 Conciliação'!$B$14:$B$107,MATCH(LARGE('5 Conciliação'!$T$14:$T$107,4),'5 Conciliação'!$T$14:$T$107,0)),"")</f>
        <v>252843369</v>
      </c>
      <c r="D44" s="67" t="str">
        <f aca="false">IFERROR(INDEX('5 Conciliação'!$D$14:$D$107,MATCH(LARGE('5 Conciliação'!$T$14:$T$107,4),'5 Conciliação'!$T$14:$T$107,0)),"")</f>
        <v>KG</v>
      </c>
      <c r="E44" s="62" t="n">
        <f aca="false">IFERROR(INDEX('5 Conciliação'!$I$14:$I$107,MATCH(LARGE('5 Conciliação'!$T$14:$T$107,4),'5 Conciliação'!$T$14:$T$107,0)),"")</f>
        <v>540</v>
      </c>
      <c r="F44" s="62" t="n">
        <f aca="false">IFERROR(INDEX('5 Conciliação'!$O$14:$O$107,MATCH(LARGE('5 Conciliação'!$T$14:$T$107,4),'5 Conciliação'!$T$14:$T$107,0)),"")</f>
        <v>516</v>
      </c>
      <c r="G44" s="67" t="str">
        <f aca="false">IFERROR(INDEX('5 Conciliação'!$Q$14:$Q$107,MATCH(LARGE('5 Conciliação'!$T$14:$T$107,4),'5 Conciliação'!$T$14:$T$107,0)),"")</f>
        <v>Sobra parcialmente explicada</v>
      </c>
      <c r="H44" s="67" t="str">
        <f aca="false">IFERROR(INDEX('5 Conciliação'!$R$14:$R$107,MATCH(LARGE('5 Conciliação'!$T$14:$T$107,4),'5 Conciliação'!$T$14:$T$107,0)),"")</f>
        <v>Alta</v>
      </c>
    </row>
    <row r="45" customFormat="false" ht="15" hidden="false" customHeight="false" outlineLevel="0" collapsed="false">
      <c r="B45" s="58" t="str">
        <f aca="false">IFERROR(INDEX('5 Conciliação'!$A$14:$A$107,MATCH(LARGE('5 Conciliação'!$T$14:$T$107,5),'5 Conciliação'!$T$14:$T$107,0)),"")</f>
        <v>CHK-R30GOLD-BR-25A</v>
      </c>
      <c r="C45" s="67" t="str">
        <f aca="false">IFERROR(INDEX('5 Conciliação'!$B$14:$B$107,MATCH(LARGE('5 Conciliação'!$T$14:$T$107,5),'5 Conciliação'!$T$14:$T$107,0)),"")</f>
        <v>261130301</v>
      </c>
      <c r="D45" s="67" t="str">
        <f aca="false">IFERROR(INDEX('5 Conciliação'!$D$14:$D$107,MATCH(LARGE('5 Conciliação'!$T$14:$T$107,5),'5 Conciliação'!$T$14:$T$107,0)),"")</f>
        <v>KG</v>
      </c>
      <c r="E45" s="62" t="n">
        <f aca="false">IFERROR(INDEX('5 Conciliação'!$I$14:$I$107,MATCH(LARGE('5 Conciliação'!$T$14:$T$107,5),'5 Conciliação'!$T$14:$T$107,0)),"")</f>
        <v>-442.2</v>
      </c>
      <c r="F45" s="62" t="n">
        <f aca="false">IFERROR(INDEX('5 Conciliação'!$O$14:$O$107,MATCH(LARGE('5 Conciliação'!$T$14:$T$107,5),'5 Conciliação'!$T$14:$T$107,0)),"")</f>
        <v>-442.2</v>
      </c>
      <c r="G45" s="67" t="str">
        <f aca="false">IFERROR(INDEX('5 Conciliação'!$Q$14:$Q$107,MATCH(LARGE('5 Conciliação'!$T$14:$T$107,5),'5 Conciliação'!$T$14:$T$107,0)),"")</f>
        <v>Falta sem explicação</v>
      </c>
      <c r="H45" s="67" t="str">
        <f aca="false">IFERROR(INDEX('5 Conciliação'!$R$14:$R$107,MATCH(LARGE('5 Conciliação'!$T$14:$T$107,5),'5 Conciliação'!$T$14:$T$107,0)),"")</f>
        <v>Crítica</v>
      </c>
    </row>
    <row r="47" customFormat="false" ht="16.15" hidden="false" customHeight="false" outlineLevel="0" collapsed="false">
      <c r="B47" s="56" t="s">
        <v>161</v>
      </c>
    </row>
    <row r="48" customFormat="false" ht="15" hidden="false" customHeight="false" outlineLevel="0" collapsed="false">
      <c r="B48" s="15" t="s">
        <v>162</v>
      </c>
      <c r="C48" s="57" t="s">
        <v>132</v>
      </c>
    </row>
    <row r="49" customFormat="false" ht="15" hidden="false" customHeight="false" outlineLevel="0" collapsed="false">
      <c r="B49" s="58" t="s">
        <v>163</v>
      </c>
      <c r="C49" s="68" t="n">
        <f aca="false">SUMIFS('3 Base Entrada 2008'!$G$2:$G$5000,'3 Base Entrada 2008'!$K$2:$K$5000,"Recebido no 2008",'3 Base Entrada 2008'!$H$2:$H$5000,"KG")</f>
        <v>77159.5</v>
      </c>
    </row>
    <row r="50" customFormat="false" ht="15" hidden="false" customHeight="false" outlineLevel="0" collapsed="false">
      <c r="B50" s="58" t="s">
        <v>164</v>
      </c>
      <c r="C50" s="68" t="n">
        <f aca="false">-SUMIFS('3 Base Entrada 2008'!$G$2:$G$5000,'3 Base Entrada 2008'!$K$2:$K$5000,"Entrada",'3 Base Entrada 2008'!$H$2:$H$5000,"KG")</f>
        <v>67865.28</v>
      </c>
    </row>
    <row r="51" customFormat="false" ht="15" hidden="false" customHeight="false" outlineLevel="0" collapsed="false">
      <c r="B51" s="58" t="s">
        <v>165</v>
      </c>
      <c r="C51" s="68" t="n">
        <f aca="false">SUMIFS('3 Base Entrada 2008'!$G$2:$G$5000,'3 Base Entrada 2008'!$K$2:$K$5000,"Estorno",'3 Base Entrada 2008'!$H$2:$H$5000,"KG")</f>
        <v>1935</v>
      </c>
    </row>
    <row r="52" customFormat="false" ht="15" hidden="false" customHeight="false" outlineLevel="0" collapsed="false">
      <c r="B52" s="58" t="s">
        <v>166</v>
      </c>
      <c r="C52" s="68" t="n">
        <f aca="false">C49-C50+C51</f>
        <v>11229.22</v>
      </c>
    </row>
    <row r="53" customFormat="false" ht="15" hidden="false" customHeight="false" outlineLevel="0" collapsed="false">
      <c r="B53" s="58" t="s">
        <v>167</v>
      </c>
      <c r="C53" s="68" t="n">
        <f aca="false">COUNTIF('6 Plano de Ação'!$B$8:$B$507,"Depósito 2008")</f>
        <v>33</v>
      </c>
    </row>
    <row r="54" customFormat="false" ht="15" hidden="false" customHeight="false" outlineLevel="0" collapsed="false">
      <c r="B54" s="58" t="s">
        <v>168</v>
      </c>
      <c r="C54" s="68" t="n">
        <f aca="false">SUMIFS('6 Plano de Ação'!$I$8:$I$507,'6 Plano de Ação'!$B$8:$B$507,"Depósito 2008",'6 Plano de Ação'!$E$8:$E$507,"KG")</f>
        <v>54295.8</v>
      </c>
    </row>
    <row r="56" customFormat="false" ht="16.15" hidden="false" customHeight="false" outlineLevel="0" collapsed="false">
      <c r="B56" s="56" t="s">
        <v>169</v>
      </c>
    </row>
    <row r="57" customFormat="false" ht="15" hidden="false" customHeight="false" outlineLevel="0" collapsed="false">
      <c r="B57" s="15" t="s">
        <v>162</v>
      </c>
      <c r="C57" s="57" t="s">
        <v>132</v>
      </c>
    </row>
    <row r="58" customFormat="false" ht="15" hidden="false" customHeight="false" outlineLevel="0" collapsed="false">
      <c r="B58" s="58" t="s">
        <v>170</v>
      </c>
      <c r="C58" s="60" t="n">
        <f aca="false">COUNTIF('6 Plano de Ação'!$A$8:$A$507,"OC-*")</f>
        <v>61</v>
      </c>
    </row>
    <row r="59" customFormat="false" ht="15" hidden="false" customHeight="false" outlineLevel="0" collapsed="false">
      <c r="B59" s="58" t="s">
        <v>171</v>
      </c>
      <c r="C59" s="60" t="n">
        <f aca="false">COUNTIF('6 Plano de Ação'!$O$8:$O$507,"Não iniciado")</f>
        <v>61</v>
      </c>
    </row>
    <row r="60" customFormat="false" ht="15" hidden="false" customHeight="false" outlineLevel="0" collapsed="false">
      <c r="B60" s="58" t="s">
        <v>120</v>
      </c>
      <c r="C60" s="60" t="n">
        <f aca="false">COUNTIF('6 Plano de Ação'!$O$8:$O$507,"Em andamento")</f>
        <v>0</v>
      </c>
    </row>
    <row r="61" customFormat="false" ht="15" hidden="false" customHeight="false" outlineLevel="0" collapsed="false">
      <c r="B61" s="58" t="s">
        <v>172</v>
      </c>
      <c r="C61" s="60" t="n">
        <f aca="false">COUNTIF('6 Plano de Ação'!$O$8:$O$507,"Concluído")</f>
        <v>0</v>
      </c>
    </row>
    <row r="62" customFormat="false" ht="15" hidden="false" customHeight="false" outlineLevel="0" collapsed="false">
      <c r="B62" s="58" t="s">
        <v>173</v>
      </c>
      <c r="C62" s="61" t="n">
        <f aca="false">IF(C58=0,0,C61/C58)</f>
        <v>0</v>
      </c>
    </row>
    <row r="63" customFormat="false" ht="15" hidden="false" customHeight="false" outlineLevel="0" collapsed="false">
      <c r="B63" s="58" t="s">
        <v>174</v>
      </c>
      <c r="C63" s="60" t="n">
        <f aca="false">COUNTIF('6 Plano de Ação'!$P$8:$P$507,"Vencida")</f>
        <v>0</v>
      </c>
    </row>
    <row r="64" customFormat="false" ht="15" hidden="false" customHeight="false" outlineLevel="0" collapsed="false">
      <c r="B64" s="58" t="s">
        <v>175</v>
      </c>
      <c r="C64" s="60" t="n">
        <f aca="false">COUNTIF('6 Plano de Ação'!$K$8:$K$507,"Pendente de preenchimento")</f>
        <v>61</v>
      </c>
    </row>
    <row r="66" customFormat="false" ht="16.15" hidden="false" customHeight="false" outlineLevel="0" collapsed="false">
      <c r="B66" s="56" t="s">
        <v>176</v>
      </c>
    </row>
    <row r="67" customFormat="false" ht="18" hidden="false" customHeight="true" outlineLevel="0" collapsed="false">
      <c r="B67" s="69" t="str">
        <f aca="false">"Conformidade: "&amp;D19&amp;" de "&amp;C19&amp;" SKU·lote conferem ("&amp;FIXED(F19*100,1)&amp;"%); "&amp;E19&amp;" apresentam diferença."</f>
        <v>Conformidade: 66 de 94 SKU·lote conferem (70.2%); 28 apresentam diferença.</v>
      </c>
      <c r="C67" s="69"/>
      <c r="D67" s="69"/>
      <c r="E67" s="69"/>
      <c r="F67" s="69"/>
      <c r="G67" s="69"/>
      <c r="H67" s="69"/>
      <c r="I67" s="69"/>
    </row>
    <row r="68" customFormat="false" ht="18" hidden="false" customHeight="true" outlineLevel="0" collapsed="false">
      <c r="B68" s="69" t="str">
        <f aca="false">"Principal causa: "&amp;INDEX(B23:B30,MATCH(MAX(C23:C30),C23:C30,0))&amp;" ("&amp;MAX(C23:C30)&amp;" ocorrências)."</f>
        <v>Principal causa: Saída sem baixa no estoque (9 ocorrências).</v>
      </c>
      <c r="C68" s="69"/>
      <c r="D68" s="69"/>
      <c r="E68" s="69"/>
      <c r="F68" s="69"/>
      <c r="G68" s="69"/>
      <c r="H68" s="69"/>
      <c r="I68" s="69"/>
    </row>
    <row r="69" customFormat="false" ht="18" hidden="false" customHeight="true" outlineLevel="0" collapsed="false">
      <c r="B69" s="69" t="str">
        <f aca="false">"Ocorrências críticas: "&amp;C34&amp;" (faltas relevantes ou mercadoria não localizada) — tratar antes das sobras."</f>
        <v>Ocorrências críticas: 3 (faltas relevantes ou mercadoria não localizada) — tratar antes das sobras.</v>
      </c>
      <c r="C69" s="69"/>
      <c r="D69" s="69"/>
      <c r="E69" s="69"/>
      <c r="F69" s="69"/>
      <c r="G69" s="69"/>
      <c r="H69" s="69"/>
      <c r="I69" s="69"/>
    </row>
    <row r="70" customFormat="false" ht="18" hidden="false" customHeight="true" outlineLevel="0" collapsed="false">
      <c r="B70" s="69" t="str">
        <f aca="false">"Maior ocorrência: SKU "&amp;B41&amp;" lote "&amp;C41&amp;", "&amp;FIXED(F41,1)&amp;" "&amp;D41&amp;" sem explicação ("&amp;G41&amp;")."</f>
        <v>Maior ocorrência: SKU CHM-SP-Z3L-BR-U73 lote 251880301, 2,148.0 KG sem explicação (Sobra parcialmente explicada).</v>
      </c>
      <c r="C70" s="69"/>
      <c r="D70" s="69"/>
      <c r="E70" s="69"/>
      <c r="F70" s="69"/>
      <c r="G70" s="69"/>
      <c r="H70" s="69"/>
      <c r="I70" s="69"/>
    </row>
    <row r="71" customFormat="false" ht="18" hidden="false" customHeight="true" outlineLevel="0" collapsed="false">
      <c r="B71" s="69" t="str">
        <f aca="false">"Depósito 2008: "&amp;FIXED(C54,1)&amp;" KG de importação aguardam transferência para o ZBR em "&amp;C53&amp;" lotes."</f>
        <v>Depósito 2008: 54,295.8 KG de importação aguardam transferência para o ZBR em 33 lotes.</v>
      </c>
      <c r="C71" s="69"/>
      <c r="D71" s="69"/>
      <c r="E71" s="69"/>
      <c r="F71" s="69"/>
      <c r="G71" s="69"/>
      <c r="H71" s="69"/>
      <c r="I71" s="69"/>
    </row>
    <row r="72" customFormat="false" ht="18" hidden="false" customHeight="true" outlineLevel="0" collapsed="false">
      <c r="B72" s="69" t="str">
        <f aca="false">"Plano de ação: "&amp;(C58-C61)&amp;" ações em aberto; "&amp;C64&amp;" sem responsável definido."</f>
        <v>Plano de ação: 61 ações em aberto; 61 sem responsável definido.</v>
      </c>
      <c r="C72" s="69"/>
      <c r="D72" s="69"/>
      <c r="E72" s="69"/>
      <c r="F72" s="69"/>
      <c r="G72" s="69"/>
      <c r="H72" s="69"/>
      <c r="I72" s="69"/>
    </row>
    <row r="73" customFormat="false" ht="18" hidden="false" customHeight="true" outlineLevel="0" collapsed="false">
      <c r="B73" s="69" t="str">
        <f aca="false">IF(SUM('3 Base Saldo Inicial 08-09'!$E$2:$E$5000)=0,"Saldo inicial de 08/09 ainda não informado: as sobras podem ser estoque anterior a 09/09. Preencha a aba 3 Base Saldo Inicial 08-09 (ou carregue pelo Power Query) para refinar as diferenças.","Saldo inicial de 08/09 informado ("&amp;FIXED(SUM('3 Base Saldo Inicial 08-09'!$E$2:$E$5000),1)&amp;") e já considerado no Deveria ter.")</f>
        <v>Saldo inicial de 08/09 ainda não informado: as sobras podem ser estoque anterior a 09/09. Preencha a aba 3 Base Saldo Inicial 08-09 (ou carregue pelo Power Query) para refinar as diferenças.</v>
      </c>
      <c r="C73" s="69"/>
      <c r="D73" s="69"/>
      <c r="E73" s="69"/>
      <c r="F73" s="69"/>
      <c r="G73" s="69"/>
      <c r="H73" s="69"/>
      <c r="I73" s="69"/>
    </row>
  </sheetData>
  <mergeCells count="7">
    <mergeCell ref="B67:I67"/>
    <mergeCell ref="B68:I68"/>
    <mergeCell ref="B69:I69"/>
    <mergeCell ref="B70:I70"/>
    <mergeCell ref="B71:I71"/>
    <mergeCell ref="B72:I72"/>
    <mergeCell ref="B73:I73"/>
  </mergeCells>
  <hyperlinks>
    <hyperlink ref="I1" r:id="rId1" location="'MENU'!A1" display="◄ MENU"/>
  </hyperlinks>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true"/>
  </sheetPr>
  <dimension ref="A1:L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2"/>
    <col collapsed="false" customWidth="true" hidden="false" outlineLevel="0" max="5" min="4" style="0" width="10"/>
    <col collapsed="false" customWidth="true" hidden="false" outlineLevel="0" max="6" min="6" style="0" width="21"/>
    <col collapsed="false" customWidth="true" hidden="false" outlineLevel="0" max="7" min="7" style="0" width="12"/>
    <col collapsed="false" customWidth="true" hidden="false" outlineLevel="0" max="8" min="8" style="0" width="10"/>
    <col collapsed="false" customWidth="true" hidden="false" outlineLevel="0" max="9" min="9" style="0" width="21"/>
    <col collapsed="false" customWidth="true" hidden="false" outlineLevel="0" max="10" min="10" style="0" width="18"/>
    <col collapsed="false" customWidth="true" hidden="false" outlineLevel="0" max="11" min="11" style="0" width="48"/>
    <col collapsed="false" customWidth="true" hidden="false" outlineLevel="0" max="12" min="12" style="0" width="38"/>
  </cols>
  <sheetData>
    <row r="1" customFormat="false" ht="30" hidden="false" customHeight="true" outlineLevel="0" collapsed="false">
      <c r="A1" s="15" t="s">
        <v>177</v>
      </c>
      <c r="B1" s="15" t="s">
        <v>157</v>
      </c>
      <c r="C1" s="15" t="s">
        <v>60</v>
      </c>
      <c r="D1" s="15" t="s">
        <v>178</v>
      </c>
      <c r="E1" s="15" t="s">
        <v>179</v>
      </c>
      <c r="F1" s="15" t="s">
        <v>180</v>
      </c>
      <c r="G1" s="15" t="s">
        <v>181</v>
      </c>
      <c r="H1" s="15" t="s">
        <v>159</v>
      </c>
      <c r="I1" s="15" t="s">
        <v>182</v>
      </c>
      <c r="J1" s="15" t="s">
        <v>183</v>
      </c>
      <c r="K1" s="15" t="s">
        <v>184</v>
      </c>
      <c r="L1" s="15" t="s">
        <v>84</v>
      </c>
    </row>
    <row r="2" customFormat="false" ht="15" hidden="false" customHeight="false" outlineLevel="0" collapsed="false">
      <c r="A2" s="70" t="s">
        <v>185</v>
      </c>
      <c r="B2" s="70" t="s">
        <v>186</v>
      </c>
      <c r="C2" s="70" t="s">
        <v>187</v>
      </c>
      <c r="D2" s="70" t="s">
        <v>188</v>
      </c>
      <c r="E2" s="70" t="s">
        <v>189</v>
      </c>
      <c r="F2" s="71" t="n">
        <v>46289</v>
      </c>
      <c r="G2" s="72" t="n">
        <v>-600</v>
      </c>
      <c r="H2" s="70" t="s">
        <v>65</v>
      </c>
      <c r="I2" s="71" t="n">
        <v>46289</v>
      </c>
      <c r="J2" s="73" t="n">
        <v>0.878275462962963</v>
      </c>
      <c r="K2" s="74" t="str">
        <f aca="false">IF(AND(G2&gt;0,F2&lt;=Parâmetros!$C$6),"Recebido no 2008",IF(G2&lt;0,"Entrada","Estorno"))</f>
        <v>Entrada</v>
      </c>
      <c r="L2" s="75" t="n">
        <f aca="false">IF(K2="Recebido no 2008",0,-G2)</f>
        <v>600</v>
      </c>
    </row>
    <row r="3" customFormat="false" ht="15" hidden="false" customHeight="false" outlineLevel="0" collapsed="false">
      <c r="A3" s="70" t="s">
        <v>190</v>
      </c>
      <c r="B3" s="70" t="s">
        <v>186</v>
      </c>
      <c r="C3" s="70" t="s">
        <v>187</v>
      </c>
      <c r="D3" s="70" t="s">
        <v>188</v>
      </c>
      <c r="E3" s="70" t="s">
        <v>189</v>
      </c>
      <c r="F3" s="71" t="n">
        <v>46289</v>
      </c>
      <c r="G3" s="72" t="n">
        <v>-600</v>
      </c>
      <c r="H3" s="70" t="s">
        <v>65</v>
      </c>
      <c r="I3" s="71" t="n">
        <v>46289</v>
      </c>
      <c r="J3" s="73" t="n">
        <v>0.882037037037037</v>
      </c>
      <c r="K3" s="74" t="str">
        <f aca="false">IF(AND(G3&gt;0,F3&lt;=Parâmetros!$C$6),"Recebido no 2008",IF(G3&lt;0,"Entrada","Estorno"))</f>
        <v>Entrada</v>
      </c>
      <c r="L3" s="75" t="n">
        <f aca="false">IF(K3="Recebido no 2008",0,-G3)</f>
        <v>600</v>
      </c>
    </row>
    <row r="4" customFormat="false" ht="15" hidden="false" customHeight="false" outlineLevel="0" collapsed="false">
      <c r="A4" s="70" t="s">
        <v>191</v>
      </c>
      <c r="B4" s="70" t="s">
        <v>192</v>
      </c>
      <c r="C4" s="70" t="s">
        <v>193</v>
      </c>
      <c r="D4" s="70" t="s">
        <v>188</v>
      </c>
      <c r="E4" s="70" t="s">
        <v>189</v>
      </c>
      <c r="F4" s="71" t="n">
        <v>46294</v>
      </c>
      <c r="G4" s="72" t="n">
        <v>-603</v>
      </c>
      <c r="H4" s="70" t="s">
        <v>65</v>
      </c>
      <c r="I4" s="71" t="n">
        <v>46294</v>
      </c>
      <c r="J4" s="73" t="n">
        <v>0.685798611111111</v>
      </c>
      <c r="K4" s="74" t="str">
        <f aca="false">IF(AND(G4&gt;0,F4&lt;=Parâmetros!$C$6),"Recebido no 2008",IF(G4&lt;0,"Entrada","Estorno"))</f>
        <v>Entrada</v>
      </c>
      <c r="L4" s="75" t="n">
        <f aca="false">IF(K4="Recebido no 2008",0,-G4)</f>
        <v>603</v>
      </c>
    </row>
    <row r="5" customFormat="false" ht="15" hidden="false" customHeight="false" outlineLevel="0" collapsed="false">
      <c r="A5" s="70" t="s">
        <v>194</v>
      </c>
      <c r="B5" s="70" t="s">
        <v>192</v>
      </c>
      <c r="C5" s="70" t="s">
        <v>195</v>
      </c>
      <c r="D5" s="70" t="s">
        <v>188</v>
      </c>
      <c r="E5" s="70" t="s">
        <v>189</v>
      </c>
      <c r="F5" s="71" t="n">
        <v>46288</v>
      </c>
      <c r="G5" s="72" t="n">
        <v>-2412</v>
      </c>
      <c r="H5" s="70" t="s">
        <v>65</v>
      </c>
      <c r="I5" s="71" t="n">
        <v>46288</v>
      </c>
      <c r="J5" s="73" t="n">
        <v>0.260289351851852</v>
      </c>
      <c r="K5" s="74" t="str">
        <f aca="false">IF(AND(G5&gt;0,F5&lt;=Parâmetros!$C$6),"Recebido no 2008",IF(G5&lt;0,"Entrada","Estorno"))</f>
        <v>Entrada</v>
      </c>
      <c r="L5" s="75" t="n">
        <f aca="false">IF(K5="Recebido no 2008",0,-G5)</f>
        <v>2412</v>
      </c>
    </row>
    <row r="6" customFormat="false" ht="15" hidden="false" customHeight="false" outlineLevel="0" collapsed="false">
      <c r="A6" s="70" t="s">
        <v>196</v>
      </c>
      <c r="B6" s="70" t="s">
        <v>192</v>
      </c>
      <c r="C6" s="70" t="s">
        <v>195</v>
      </c>
      <c r="D6" s="70" t="s">
        <v>188</v>
      </c>
      <c r="E6" s="70" t="s">
        <v>189</v>
      </c>
      <c r="F6" s="71" t="n">
        <v>46288</v>
      </c>
      <c r="G6" s="72" t="n">
        <v>-603</v>
      </c>
      <c r="H6" s="70" t="s">
        <v>65</v>
      </c>
      <c r="I6" s="71" t="n">
        <v>46288</v>
      </c>
      <c r="J6" s="73" t="n">
        <v>0.270486111111111</v>
      </c>
      <c r="K6" s="74" t="str">
        <f aca="false">IF(AND(G6&gt;0,F6&lt;=Parâmetros!$C$6),"Recebido no 2008",IF(G6&lt;0,"Entrada","Estorno"))</f>
        <v>Entrada</v>
      </c>
      <c r="L6" s="75" t="n">
        <f aca="false">IF(K6="Recebido no 2008",0,-G6)</f>
        <v>603</v>
      </c>
    </row>
    <row r="7" customFormat="false" ht="15" hidden="false" customHeight="false" outlineLevel="0" collapsed="false">
      <c r="A7" s="70" t="s">
        <v>197</v>
      </c>
      <c r="B7" s="70" t="s">
        <v>198</v>
      </c>
      <c r="C7" s="70" t="s">
        <v>199</v>
      </c>
      <c r="D7" s="70" t="s">
        <v>188</v>
      </c>
      <c r="E7" s="70" t="s">
        <v>189</v>
      </c>
      <c r="F7" s="71" t="n">
        <v>46288</v>
      </c>
      <c r="G7" s="72" t="n">
        <v>-940.8</v>
      </c>
      <c r="H7" s="70" t="s">
        <v>65</v>
      </c>
      <c r="I7" s="71" t="n">
        <v>46288</v>
      </c>
      <c r="J7" s="73" t="n">
        <v>0.268969907407407</v>
      </c>
      <c r="K7" s="74" t="str">
        <f aca="false">IF(AND(G7&gt;0,F7&lt;=Parâmetros!$C$6),"Recebido no 2008",IF(G7&lt;0,"Entrada","Estorno"))</f>
        <v>Entrada</v>
      </c>
      <c r="L7" s="75" t="n">
        <f aca="false">IF(K7="Recebido no 2008",0,-G7)</f>
        <v>940.8</v>
      </c>
    </row>
    <row r="8" customFormat="false" ht="15" hidden="false" customHeight="false" outlineLevel="0" collapsed="false">
      <c r="A8" s="70" t="s">
        <v>200</v>
      </c>
      <c r="B8" s="70" t="s">
        <v>201</v>
      </c>
      <c r="C8" s="70" t="s">
        <v>202</v>
      </c>
      <c r="D8" s="70" t="s">
        <v>188</v>
      </c>
      <c r="E8" s="70" t="s">
        <v>189</v>
      </c>
      <c r="F8" s="71" t="n">
        <v>46294</v>
      </c>
      <c r="G8" s="72" t="n">
        <v>-313.6</v>
      </c>
      <c r="H8" s="70" t="s">
        <v>65</v>
      </c>
      <c r="I8" s="71" t="n">
        <v>46294</v>
      </c>
      <c r="J8" s="73" t="n">
        <v>0.611377314814815</v>
      </c>
      <c r="K8" s="74" t="str">
        <f aca="false">IF(AND(G8&gt;0,F8&lt;=Parâmetros!$C$6),"Recebido no 2008",IF(G8&lt;0,"Entrada","Estorno"))</f>
        <v>Entrada</v>
      </c>
      <c r="L8" s="75" t="n">
        <f aca="false">IF(K8="Recebido no 2008",0,-G8)</f>
        <v>313.6</v>
      </c>
    </row>
    <row r="9" customFormat="false" ht="15" hidden="false" customHeight="false" outlineLevel="0" collapsed="false">
      <c r="A9" s="70" t="s">
        <v>200</v>
      </c>
      <c r="B9" s="70" t="s">
        <v>201</v>
      </c>
      <c r="C9" s="70" t="s">
        <v>203</v>
      </c>
      <c r="D9" s="70" t="s">
        <v>188</v>
      </c>
      <c r="E9" s="70" t="s">
        <v>189</v>
      </c>
      <c r="F9" s="71" t="n">
        <v>46294</v>
      </c>
      <c r="G9" s="72" t="n">
        <v>-142.8</v>
      </c>
      <c r="H9" s="70" t="s">
        <v>65</v>
      </c>
      <c r="I9" s="71" t="n">
        <v>46294</v>
      </c>
      <c r="J9" s="73" t="n">
        <v>0.611377314814815</v>
      </c>
      <c r="K9" s="74" t="str">
        <f aca="false">IF(AND(G9&gt;0,F9&lt;=Parâmetros!$C$6),"Recebido no 2008",IF(G9&lt;0,"Entrada","Estorno"))</f>
        <v>Entrada</v>
      </c>
      <c r="L9" s="75" t="n">
        <f aca="false">IF(K9="Recebido no 2008",0,-G9)</f>
        <v>142.8</v>
      </c>
    </row>
    <row r="10" customFormat="false" ht="15" hidden="false" customHeight="false" outlineLevel="0" collapsed="false">
      <c r="A10" s="70" t="s">
        <v>204</v>
      </c>
      <c r="B10" s="70" t="s">
        <v>205</v>
      </c>
      <c r="C10" s="70" t="s">
        <v>206</v>
      </c>
      <c r="D10" s="70" t="s">
        <v>188</v>
      </c>
      <c r="E10" s="70" t="s">
        <v>189</v>
      </c>
      <c r="F10" s="71" t="n">
        <v>46295</v>
      </c>
      <c r="G10" s="72" t="n">
        <v>-221.1</v>
      </c>
      <c r="H10" s="70" t="s">
        <v>65</v>
      </c>
      <c r="I10" s="71" t="n">
        <v>46295</v>
      </c>
      <c r="J10" s="73" t="n">
        <v>0.748159722222222</v>
      </c>
      <c r="K10" s="74" t="str">
        <f aca="false">IF(AND(G10&gt;0,F10&lt;=Parâmetros!$C$6),"Recebido no 2008",IF(G10&lt;0,"Entrada","Estorno"))</f>
        <v>Entrada</v>
      </c>
      <c r="L10" s="75" t="n">
        <f aca="false">IF(K10="Recebido no 2008",0,-G10)</f>
        <v>221.1</v>
      </c>
    </row>
    <row r="11" customFormat="false" ht="15" hidden="false" customHeight="false" outlineLevel="0" collapsed="false">
      <c r="A11" s="70" t="s">
        <v>207</v>
      </c>
      <c r="B11" s="70" t="s">
        <v>205</v>
      </c>
      <c r="C11" s="70" t="s">
        <v>206</v>
      </c>
      <c r="D11" s="70" t="s">
        <v>188</v>
      </c>
      <c r="E11" s="70" t="s">
        <v>189</v>
      </c>
      <c r="F11" s="71" t="n">
        <v>46294</v>
      </c>
      <c r="G11" s="72" t="n">
        <v>-482.4</v>
      </c>
      <c r="H11" s="70" t="s">
        <v>65</v>
      </c>
      <c r="I11" s="71" t="n">
        <v>46294</v>
      </c>
      <c r="J11" s="73" t="n">
        <v>0.693738425925926</v>
      </c>
      <c r="K11" s="74" t="str">
        <f aca="false">IF(AND(G11&gt;0,F11&lt;=Parâmetros!$C$6),"Recebido no 2008",IF(G11&lt;0,"Entrada","Estorno"))</f>
        <v>Entrada</v>
      </c>
      <c r="L11" s="75" t="n">
        <f aca="false">IF(K11="Recebido no 2008",0,-G11)</f>
        <v>482.4</v>
      </c>
    </row>
    <row r="12" customFormat="false" ht="15" hidden="false" customHeight="false" outlineLevel="0" collapsed="false">
      <c r="A12" s="70" t="s">
        <v>207</v>
      </c>
      <c r="B12" s="70" t="s">
        <v>205</v>
      </c>
      <c r="C12" s="70" t="s">
        <v>206</v>
      </c>
      <c r="D12" s="70" t="s">
        <v>188</v>
      </c>
      <c r="E12" s="70" t="s">
        <v>189</v>
      </c>
      <c r="F12" s="71" t="n">
        <v>46294</v>
      </c>
      <c r="G12" s="72" t="n">
        <v>-221.1</v>
      </c>
      <c r="H12" s="70" t="s">
        <v>65</v>
      </c>
      <c r="I12" s="71" t="n">
        <v>46294</v>
      </c>
      <c r="J12" s="73" t="n">
        <v>0.693738425925926</v>
      </c>
      <c r="K12" s="74" t="str">
        <f aca="false">IF(AND(G12&gt;0,F12&lt;=Parâmetros!$C$6),"Recebido no 2008",IF(G12&lt;0,"Entrada","Estorno"))</f>
        <v>Entrada</v>
      </c>
      <c r="L12" s="75" t="n">
        <f aca="false">IF(K12="Recebido no 2008",0,-G12)</f>
        <v>221.1</v>
      </c>
    </row>
    <row r="13" customFormat="false" ht="15" hidden="false" customHeight="false" outlineLevel="0" collapsed="false">
      <c r="A13" s="70" t="s">
        <v>207</v>
      </c>
      <c r="B13" s="70" t="s">
        <v>205</v>
      </c>
      <c r="C13" s="70" t="s">
        <v>206</v>
      </c>
      <c r="D13" s="70" t="s">
        <v>188</v>
      </c>
      <c r="E13" s="70" t="s">
        <v>189</v>
      </c>
      <c r="F13" s="71" t="n">
        <v>46294</v>
      </c>
      <c r="G13" s="72" t="n">
        <v>-603</v>
      </c>
      <c r="H13" s="70" t="s">
        <v>65</v>
      </c>
      <c r="I13" s="71" t="n">
        <v>46294</v>
      </c>
      <c r="J13" s="73" t="n">
        <v>0.693738425925926</v>
      </c>
      <c r="K13" s="74" t="str">
        <f aca="false">IF(AND(G13&gt;0,F13&lt;=Parâmetros!$C$6),"Recebido no 2008",IF(G13&lt;0,"Entrada","Estorno"))</f>
        <v>Entrada</v>
      </c>
      <c r="L13" s="75" t="n">
        <f aca="false">IF(K13="Recebido no 2008",0,-G13)</f>
        <v>603</v>
      </c>
    </row>
    <row r="14" customFormat="false" ht="15" hidden="false" customHeight="false" outlineLevel="0" collapsed="false">
      <c r="A14" s="70" t="s">
        <v>207</v>
      </c>
      <c r="B14" s="70" t="s">
        <v>205</v>
      </c>
      <c r="C14" s="70" t="s">
        <v>206</v>
      </c>
      <c r="D14" s="70" t="s">
        <v>188</v>
      </c>
      <c r="E14" s="70" t="s">
        <v>189</v>
      </c>
      <c r="F14" s="71" t="n">
        <v>46294</v>
      </c>
      <c r="G14" s="72" t="n">
        <v>-603</v>
      </c>
      <c r="H14" s="70" t="s">
        <v>65</v>
      </c>
      <c r="I14" s="71" t="n">
        <v>46294</v>
      </c>
      <c r="J14" s="73" t="n">
        <v>0.693738425925926</v>
      </c>
      <c r="K14" s="74" t="str">
        <f aca="false">IF(AND(G14&gt;0,F14&lt;=Parâmetros!$C$6),"Recebido no 2008",IF(G14&lt;0,"Entrada","Estorno"))</f>
        <v>Entrada</v>
      </c>
      <c r="L14" s="75" t="n">
        <f aca="false">IF(K14="Recebido no 2008",0,-G14)</f>
        <v>603</v>
      </c>
    </row>
    <row r="15" customFormat="false" ht="15" hidden="false" customHeight="false" outlineLevel="0" collapsed="false">
      <c r="A15" s="70" t="s">
        <v>207</v>
      </c>
      <c r="B15" s="70" t="s">
        <v>205</v>
      </c>
      <c r="C15" s="70" t="s">
        <v>206</v>
      </c>
      <c r="D15" s="70" t="s">
        <v>188</v>
      </c>
      <c r="E15" s="70" t="s">
        <v>189</v>
      </c>
      <c r="F15" s="71" t="n">
        <v>46294</v>
      </c>
      <c r="G15" s="72" t="n">
        <v>-603</v>
      </c>
      <c r="H15" s="70" t="s">
        <v>65</v>
      </c>
      <c r="I15" s="71" t="n">
        <v>46294</v>
      </c>
      <c r="J15" s="73" t="n">
        <v>0.693738425925926</v>
      </c>
      <c r="K15" s="74" t="str">
        <f aca="false">IF(AND(G15&gt;0,F15&lt;=Parâmetros!$C$6),"Recebido no 2008",IF(G15&lt;0,"Entrada","Estorno"))</f>
        <v>Entrada</v>
      </c>
      <c r="L15" s="75" t="n">
        <f aca="false">IF(K15="Recebido no 2008",0,-G15)</f>
        <v>603</v>
      </c>
    </row>
    <row r="16" customFormat="false" ht="15" hidden="false" customHeight="false" outlineLevel="0" collapsed="false">
      <c r="A16" s="70" t="s">
        <v>208</v>
      </c>
      <c r="B16" s="70" t="s">
        <v>205</v>
      </c>
      <c r="C16" s="70" t="s">
        <v>209</v>
      </c>
      <c r="D16" s="70" t="s">
        <v>188</v>
      </c>
      <c r="E16" s="70" t="s">
        <v>189</v>
      </c>
      <c r="F16" s="71" t="n">
        <v>46276</v>
      </c>
      <c r="G16" s="72" t="n">
        <v>-180.9</v>
      </c>
      <c r="H16" s="70" t="s">
        <v>65</v>
      </c>
      <c r="I16" s="71" t="n">
        <v>46276</v>
      </c>
      <c r="J16" s="73" t="n">
        <v>0.752997685185185</v>
      </c>
      <c r="K16" s="74" t="str">
        <f aca="false">IF(AND(G16&gt;0,F16&lt;=Parâmetros!$C$6),"Recebido no 2008",IF(G16&lt;0,"Entrada","Estorno"))</f>
        <v>Entrada</v>
      </c>
      <c r="L16" s="75" t="n">
        <f aca="false">IF(K16="Recebido no 2008",0,-G16)</f>
        <v>180.9</v>
      </c>
    </row>
    <row r="17" customFormat="false" ht="15" hidden="false" customHeight="false" outlineLevel="0" collapsed="false">
      <c r="A17" s="70" t="s">
        <v>210</v>
      </c>
      <c r="B17" s="70" t="s">
        <v>211</v>
      </c>
      <c r="C17" s="70" t="s">
        <v>212</v>
      </c>
      <c r="D17" s="70" t="s">
        <v>188</v>
      </c>
      <c r="E17" s="70" t="s">
        <v>189</v>
      </c>
      <c r="F17" s="71" t="n">
        <v>46293</v>
      </c>
      <c r="G17" s="72" t="n">
        <v>-1000</v>
      </c>
      <c r="H17" s="70" t="s">
        <v>65</v>
      </c>
      <c r="I17" s="71" t="n">
        <v>46293</v>
      </c>
      <c r="J17" s="73" t="n">
        <v>0.717893518518519</v>
      </c>
      <c r="K17" s="74" t="str">
        <f aca="false">IF(AND(G17&gt;0,F17&lt;=Parâmetros!$C$6),"Recebido no 2008",IF(G17&lt;0,"Entrada","Estorno"))</f>
        <v>Entrada</v>
      </c>
      <c r="L17" s="75" t="n">
        <f aca="false">IF(K17="Recebido no 2008",0,-G17)</f>
        <v>1000</v>
      </c>
    </row>
    <row r="18" customFormat="false" ht="15" hidden="false" customHeight="false" outlineLevel="0" collapsed="false">
      <c r="A18" s="70" t="s">
        <v>213</v>
      </c>
      <c r="B18" s="70" t="s">
        <v>211</v>
      </c>
      <c r="C18" s="70" t="s">
        <v>214</v>
      </c>
      <c r="D18" s="70" t="s">
        <v>188</v>
      </c>
      <c r="E18" s="70" t="s">
        <v>189</v>
      </c>
      <c r="F18" s="71" t="n">
        <v>46289</v>
      </c>
      <c r="G18" s="72" t="n">
        <v>-750</v>
      </c>
      <c r="H18" s="70" t="s">
        <v>65</v>
      </c>
      <c r="I18" s="71" t="n">
        <v>46289</v>
      </c>
      <c r="J18" s="73" t="n">
        <v>0.709375</v>
      </c>
      <c r="K18" s="74" t="str">
        <f aca="false">IF(AND(G18&gt;0,F18&lt;=Parâmetros!$C$6),"Recebido no 2008",IF(G18&lt;0,"Entrada","Estorno"))</f>
        <v>Entrada</v>
      </c>
      <c r="L18" s="75" t="n">
        <f aca="false">IF(K18="Recebido no 2008",0,-G18)</f>
        <v>750</v>
      </c>
    </row>
    <row r="19" customFormat="false" ht="15" hidden="false" customHeight="false" outlineLevel="0" collapsed="false">
      <c r="A19" s="70" t="s">
        <v>215</v>
      </c>
      <c r="B19" s="70" t="s">
        <v>211</v>
      </c>
      <c r="C19" s="70" t="s">
        <v>214</v>
      </c>
      <c r="D19" s="70" t="s">
        <v>188</v>
      </c>
      <c r="E19" s="70" t="s">
        <v>189</v>
      </c>
      <c r="F19" s="71" t="n">
        <v>46289</v>
      </c>
      <c r="G19" s="72" t="n">
        <v>-750</v>
      </c>
      <c r="H19" s="70" t="s">
        <v>65</v>
      </c>
      <c r="I19" s="71" t="n">
        <v>46289</v>
      </c>
      <c r="J19" s="73" t="n">
        <v>0.694560185185185</v>
      </c>
      <c r="K19" s="74" t="str">
        <f aca="false">IF(AND(G19&gt;0,F19&lt;=Parâmetros!$C$6),"Recebido no 2008",IF(G19&lt;0,"Entrada","Estorno"))</f>
        <v>Entrada</v>
      </c>
      <c r="L19" s="75" t="n">
        <f aca="false">IF(K19="Recebido no 2008",0,-G19)</f>
        <v>750</v>
      </c>
    </row>
    <row r="20" customFormat="false" ht="15" hidden="false" customHeight="false" outlineLevel="0" collapsed="false">
      <c r="A20" s="70" t="s">
        <v>216</v>
      </c>
      <c r="B20" s="70" t="s">
        <v>211</v>
      </c>
      <c r="C20" s="70" t="s">
        <v>212</v>
      </c>
      <c r="D20" s="70" t="s">
        <v>188</v>
      </c>
      <c r="E20" s="70" t="s">
        <v>189</v>
      </c>
      <c r="F20" s="71" t="n">
        <v>46289</v>
      </c>
      <c r="G20" s="72" t="n">
        <v>30</v>
      </c>
      <c r="H20" s="70" t="s">
        <v>65</v>
      </c>
      <c r="I20" s="71" t="n">
        <v>46289</v>
      </c>
      <c r="J20" s="73" t="n">
        <v>0.692581018518519</v>
      </c>
      <c r="K20" s="74" t="str">
        <f aca="false">IF(AND(G20&gt;0,F20&lt;=Parâmetros!$C$6),"Recebido no 2008",IF(G20&lt;0,"Entrada","Estorno"))</f>
        <v>Estorno</v>
      </c>
      <c r="L20" s="75" t="n">
        <f aca="false">IF(K20="Recebido no 2008",0,-G20)</f>
        <v>-30</v>
      </c>
    </row>
    <row r="21" customFormat="false" ht="15" hidden="false" customHeight="false" outlineLevel="0" collapsed="false">
      <c r="A21" s="70" t="s">
        <v>217</v>
      </c>
      <c r="B21" s="70" t="s">
        <v>211</v>
      </c>
      <c r="C21" s="70" t="s">
        <v>214</v>
      </c>
      <c r="D21" s="70" t="s">
        <v>188</v>
      </c>
      <c r="E21" s="70" t="s">
        <v>189</v>
      </c>
      <c r="F21" s="71" t="n">
        <v>46289</v>
      </c>
      <c r="G21" s="72" t="n">
        <v>-30</v>
      </c>
      <c r="H21" s="70" t="s">
        <v>65</v>
      </c>
      <c r="I21" s="71" t="n">
        <v>46289</v>
      </c>
      <c r="J21" s="73" t="n">
        <v>0.686759259259259</v>
      </c>
      <c r="K21" s="74" t="str">
        <f aca="false">IF(AND(G21&gt;0,F21&lt;=Parâmetros!$C$6),"Recebido no 2008",IF(G21&lt;0,"Entrada","Estorno"))</f>
        <v>Entrada</v>
      </c>
      <c r="L21" s="75" t="n">
        <f aca="false">IF(K21="Recebido no 2008",0,-G21)</f>
        <v>30</v>
      </c>
    </row>
    <row r="22" customFormat="false" ht="15" hidden="false" customHeight="false" outlineLevel="0" collapsed="false">
      <c r="A22" s="70" t="s">
        <v>216</v>
      </c>
      <c r="B22" s="70" t="s">
        <v>211</v>
      </c>
      <c r="C22" s="70" t="s">
        <v>214</v>
      </c>
      <c r="D22" s="70" t="s">
        <v>188</v>
      </c>
      <c r="E22" s="70" t="s">
        <v>189</v>
      </c>
      <c r="F22" s="71" t="n">
        <v>46289</v>
      </c>
      <c r="G22" s="72" t="n">
        <v>30</v>
      </c>
      <c r="H22" s="70" t="s">
        <v>65</v>
      </c>
      <c r="I22" s="71" t="n">
        <v>46289</v>
      </c>
      <c r="J22" s="73" t="n">
        <v>0.692581018518519</v>
      </c>
      <c r="K22" s="74" t="str">
        <f aca="false">IF(AND(G22&gt;0,F22&lt;=Parâmetros!$C$6),"Recebido no 2008",IF(G22&lt;0,"Entrada","Estorno"))</f>
        <v>Estorno</v>
      </c>
      <c r="L22" s="75" t="n">
        <f aca="false">IF(K22="Recebido no 2008",0,-G22)</f>
        <v>-30</v>
      </c>
    </row>
    <row r="23" customFormat="false" ht="15" hidden="false" customHeight="false" outlineLevel="0" collapsed="false">
      <c r="A23" s="70" t="s">
        <v>215</v>
      </c>
      <c r="B23" s="70" t="s">
        <v>211</v>
      </c>
      <c r="C23" s="70" t="s">
        <v>212</v>
      </c>
      <c r="D23" s="70" t="s">
        <v>188</v>
      </c>
      <c r="E23" s="70" t="s">
        <v>189</v>
      </c>
      <c r="F23" s="71" t="n">
        <v>46289</v>
      </c>
      <c r="G23" s="72" t="n">
        <v>-750</v>
      </c>
      <c r="H23" s="70" t="s">
        <v>65</v>
      </c>
      <c r="I23" s="71" t="n">
        <v>46289</v>
      </c>
      <c r="J23" s="73" t="n">
        <v>0.694560185185185</v>
      </c>
      <c r="K23" s="74" t="str">
        <f aca="false">IF(AND(G23&gt;0,F23&lt;=Parâmetros!$C$6),"Recebido no 2008",IF(G23&lt;0,"Entrada","Estorno"))</f>
        <v>Entrada</v>
      </c>
      <c r="L23" s="75" t="n">
        <f aca="false">IF(K23="Recebido no 2008",0,-G23)</f>
        <v>750</v>
      </c>
    </row>
    <row r="24" customFormat="false" ht="15" hidden="false" customHeight="false" outlineLevel="0" collapsed="false">
      <c r="A24" s="70" t="s">
        <v>217</v>
      </c>
      <c r="B24" s="70" t="s">
        <v>211</v>
      </c>
      <c r="C24" s="70" t="s">
        <v>212</v>
      </c>
      <c r="D24" s="70" t="s">
        <v>188</v>
      </c>
      <c r="E24" s="70" t="s">
        <v>189</v>
      </c>
      <c r="F24" s="71" t="n">
        <v>46289</v>
      </c>
      <c r="G24" s="72" t="n">
        <v>-30</v>
      </c>
      <c r="H24" s="70" t="s">
        <v>65</v>
      </c>
      <c r="I24" s="71" t="n">
        <v>46289</v>
      </c>
      <c r="J24" s="73" t="n">
        <v>0.686759259259259</v>
      </c>
      <c r="K24" s="74" t="str">
        <f aca="false">IF(AND(G24&gt;0,F24&lt;=Parâmetros!$C$6),"Recebido no 2008",IF(G24&lt;0,"Entrada","Estorno"))</f>
        <v>Entrada</v>
      </c>
      <c r="L24" s="75" t="n">
        <f aca="false">IF(K24="Recebido no 2008",0,-G24)</f>
        <v>30</v>
      </c>
    </row>
    <row r="25" customFormat="false" ht="15" hidden="false" customHeight="false" outlineLevel="0" collapsed="false">
      <c r="A25" s="70" t="s">
        <v>207</v>
      </c>
      <c r="B25" s="70" t="s">
        <v>218</v>
      </c>
      <c r="C25" s="70" t="s">
        <v>219</v>
      </c>
      <c r="D25" s="70" t="s">
        <v>188</v>
      </c>
      <c r="E25" s="70" t="s">
        <v>189</v>
      </c>
      <c r="F25" s="71" t="n">
        <v>46294</v>
      </c>
      <c r="G25" s="72" t="n">
        <v>-540</v>
      </c>
      <c r="H25" s="70" t="s">
        <v>65</v>
      </c>
      <c r="I25" s="71" t="n">
        <v>46294</v>
      </c>
      <c r="J25" s="73" t="n">
        <v>0.693738425925926</v>
      </c>
      <c r="K25" s="74" t="str">
        <f aca="false">IF(AND(G25&gt;0,F25&lt;=Parâmetros!$C$6),"Recebido no 2008",IF(G25&lt;0,"Entrada","Estorno"))</f>
        <v>Entrada</v>
      </c>
      <c r="L25" s="75" t="n">
        <f aca="false">IF(K25="Recebido no 2008",0,-G25)</f>
        <v>540</v>
      </c>
    </row>
    <row r="26" customFormat="false" ht="15" hidden="false" customHeight="false" outlineLevel="0" collapsed="false">
      <c r="A26" s="70" t="s">
        <v>207</v>
      </c>
      <c r="B26" s="70" t="s">
        <v>218</v>
      </c>
      <c r="C26" s="70" t="s">
        <v>219</v>
      </c>
      <c r="D26" s="70" t="s">
        <v>188</v>
      </c>
      <c r="E26" s="70" t="s">
        <v>189</v>
      </c>
      <c r="F26" s="71" t="n">
        <v>46294</v>
      </c>
      <c r="G26" s="72" t="n">
        <v>-600</v>
      </c>
      <c r="H26" s="70" t="s">
        <v>65</v>
      </c>
      <c r="I26" s="71" t="n">
        <v>46294</v>
      </c>
      <c r="J26" s="73" t="n">
        <v>0.693738425925926</v>
      </c>
      <c r="K26" s="74" t="str">
        <f aca="false">IF(AND(G26&gt;0,F26&lt;=Parâmetros!$C$6),"Recebido no 2008",IF(G26&lt;0,"Entrada","Estorno"))</f>
        <v>Entrada</v>
      </c>
      <c r="L26" s="75" t="n">
        <f aca="false">IF(K26="Recebido no 2008",0,-G26)</f>
        <v>600</v>
      </c>
    </row>
    <row r="27" customFormat="false" ht="15" hidden="false" customHeight="false" outlineLevel="0" collapsed="false">
      <c r="A27" s="70" t="s">
        <v>191</v>
      </c>
      <c r="B27" s="70" t="s">
        <v>220</v>
      </c>
      <c r="C27" s="70" t="s">
        <v>221</v>
      </c>
      <c r="D27" s="70" t="s">
        <v>188</v>
      </c>
      <c r="E27" s="70" t="s">
        <v>189</v>
      </c>
      <c r="F27" s="71" t="n">
        <v>46294</v>
      </c>
      <c r="G27" s="72" t="n">
        <v>-603</v>
      </c>
      <c r="H27" s="70" t="s">
        <v>65</v>
      </c>
      <c r="I27" s="71" t="n">
        <v>46294</v>
      </c>
      <c r="J27" s="73" t="n">
        <v>0.685798611111111</v>
      </c>
      <c r="K27" s="74" t="str">
        <f aca="false">IF(AND(G27&gt;0,F27&lt;=Parâmetros!$C$6),"Recebido no 2008",IF(G27&lt;0,"Entrada","Estorno"))</f>
        <v>Entrada</v>
      </c>
      <c r="L27" s="75" t="n">
        <f aca="false">IF(K27="Recebido no 2008",0,-G27)</f>
        <v>603</v>
      </c>
    </row>
    <row r="28" customFormat="false" ht="15" hidden="false" customHeight="false" outlineLevel="0" collapsed="false">
      <c r="A28" s="70" t="s">
        <v>191</v>
      </c>
      <c r="B28" s="70" t="s">
        <v>220</v>
      </c>
      <c r="C28" s="70" t="s">
        <v>221</v>
      </c>
      <c r="D28" s="70" t="s">
        <v>188</v>
      </c>
      <c r="E28" s="70" t="s">
        <v>189</v>
      </c>
      <c r="F28" s="71" t="n">
        <v>46294</v>
      </c>
      <c r="G28" s="72" t="n">
        <v>-603</v>
      </c>
      <c r="H28" s="70" t="s">
        <v>65</v>
      </c>
      <c r="I28" s="71" t="n">
        <v>46294</v>
      </c>
      <c r="J28" s="73" t="n">
        <v>0.685798611111111</v>
      </c>
      <c r="K28" s="74" t="str">
        <f aca="false">IF(AND(G28&gt;0,F28&lt;=Parâmetros!$C$6),"Recebido no 2008",IF(G28&lt;0,"Entrada","Estorno"))</f>
        <v>Entrada</v>
      </c>
      <c r="L28" s="75" t="n">
        <f aca="false">IF(K28="Recebido no 2008",0,-G28)</f>
        <v>603</v>
      </c>
    </row>
    <row r="29" customFormat="false" ht="15" hidden="false" customHeight="false" outlineLevel="0" collapsed="false">
      <c r="A29" s="70" t="s">
        <v>191</v>
      </c>
      <c r="B29" s="70" t="s">
        <v>220</v>
      </c>
      <c r="C29" s="70" t="s">
        <v>221</v>
      </c>
      <c r="D29" s="70" t="s">
        <v>188</v>
      </c>
      <c r="E29" s="70" t="s">
        <v>189</v>
      </c>
      <c r="F29" s="71" t="n">
        <v>46294</v>
      </c>
      <c r="G29" s="72" t="n">
        <v>-603</v>
      </c>
      <c r="H29" s="70" t="s">
        <v>65</v>
      </c>
      <c r="I29" s="71" t="n">
        <v>46294</v>
      </c>
      <c r="J29" s="73" t="n">
        <v>0.685798611111111</v>
      </c>
      <c r="K29" s="74" t="str">
        <f aca="false">IF(AND(G29&gt;0,F29&lt;=Parâmetros!$C$6),"Recebido no 2008",IF(G29&lt;0,"Entrada","Estorno"))</f>
        <v>Entrada</v>
      </c>
      <c r="L29" s="75" t="n">
        <f aca="false">IF(K29="Recebido no 2008",0,-G29)</f>
        <v>603</v>
      </c>
    </row>
    <row r="30" customFormat="false" ht="15" hidden="false" customHeight="false" outlineLevel="0" collapsed="false">
      <c r="A30" s="70" t="s">
        <v>191</v>
      </c>
      <c r="B30" s="70" t="s">
        <v>220</v>
      </c>
      <c r="C30" s="70" t="s">
        <v>221</v>
      </c>
      <c r="D30" s="70" t="s">
        <v>188</v>
      </c>
      <c r="E30" s="70" t="s">
        <v>189</v>
      </c>
      <c r="F30" s="71" t="n">
        <v>46294</v>
      </c>
      <c r="G30" s="72" t="n">
        <v>-120.6</v>
      </c>
      <c r="H30" s="70" t="s">
        <v>65</v>
      </c>
      <c r="I30" s="71" t="n">
        <v>46294</v>
      </c>
      <c r="J30" s="73" t="n">
        <v>0.685798611111111</v>
      </c>
      <c r="K30" s="74" t="str">
        <f aca="false">IF(AND(G30&gt;0,F30&lt;=Parâmetros!$C$6),"Recebido no 2008",IF(G30&lt;0,"Entrada","Estorno"))</f>
        <v>Entrada</v>
      </c>
      <c r="L30" s="75" t="n">
        <f aca="false">IF(K30="Recebido no 2008",0,-G30)</f>
        <v>120.6</v>
      </c>
    </row>
    <row r="31" customFormat="false" ht="15" hidden="false" customHeight="false" outlineLevel="0" collapsed="false">
      <c r="A31" s="70" t="s">
        <v>191</v>
      </c>
      <c r="B31" s="70" t="s">
        <v>220</v>
      </c>
      <c r="C31" s="70" t="s">
        <v>221</v>
      </c>
      <c r="D31" s="70" t="s">
        <v>188</v>
      </c>
      <c r="E31" s="70" t="s">
        <v>189</v>
      </c>
      <c r="F31" s="71" t="n">
        <v>46294</v>
      </c>
      <c r="G31" s="72" t="n">
        <v>-482.4</v>
      </c>
      <c r="H31" s="70" t="s">
        <v>65</v>
      </c>
      <c r="I31" s="71" t="n">
        <v>46294</v>
      </c>
      <c r="J31" s="73" t="n">
        <v>0.685798611111111</v>
      </c>
      <c r="K31" s="74" t="str">
        <f aca="false">IF(AND(G31&gt;0,F31&lt;=Parâmetros!$C$6),"Recebido no 2008",IF(G31&lt;0,"Entrada","Estorno"))</f>
        <v>Entrada</v>
      </c>
      <c r="L31" s="75" t="n">
        <f aca="false">IF(K31="Recebido no 2008",0,-G31)</f>
        <v>482.4</v>
      </c>
    </row>
    <row r="32" customFormat="false" ht="15" hidden="false" customHeight="false" outlineLevel="0" collapsed="false">
      <c r="A32" s="70" t="s">
        <v>210</v>
      </c>
      <c r="B32" s="70" t="s">
        <v>220</v>
      </c>
      <c r="C32" s="70" t="s">
        <v>221</v>
      </c>
      <c r="D32" s="70" t="s">
        <v>188</v>
      </c>
      <c r="E32" s="70" t="s">
        <v>189</v>
      </c>
      <c r="F32" s="71" t="n">
        <v>46293</v>
      </c>
      <c r="G32" s="72" t="n">
        <v>-1200</v>
      </c>
      <c r="H32" s="70" t="s">
        <v>65</v>
      </c>
      <c r="I32" s="71" t="n">
        <v>46293</v>
      </c>
      <c r="J32" s="73" t="n">
        <v>0.717893518518519</v>
      </c>
      <c r="K32" s="74" t="str">
        <f aca="false">IF(AND(G32&gt;0,F32&lt;=Parâmetros!$C$6),"Recebido no 2008",IF(G32&lt;0,"Entrada","Estorno"))</f>
        <v>Entrada</v>
      </c>
      <c r="L32" s="75" t="n">
        <f aca="false">IF(K32="Recebido no 2008",0,-G32)</f>
        <v>1200</v>
      </c>
    </row>
    <row r="33" customFormat="false" ht="15" hidden="false" customHeight="false" outlineLevel="0" collapsed="false">
      <c r="A33" s="70" t="s">
        <v>222</v>
      </c>
      <c r="B33" s="70" t="s">
        <v>220</v>
      </c>
      <c r="C33" s="70" t="s">
        <v>223</v>
      </c>
      <c r="D33" s="70" t="s">
        <v>188</v>
      </c>
      <c r="E33" s="70" t="s">
        <v>189</v>
      </c>
      <c r="F33" s="71" t="n">
        <v>46289</v>
      </c>
      <c r="G33" s="72" t="n">
        <v>-461.9</v>
      </c>
      <c r="H33" s="70" t="s">
        <v>65</v>
      </c>
      <c r="I33" s="71" t="n">
        <v>46289</v>
      </c>
      <c r="J33" s="73" t="n">
        <v>0.929027777777778</v>
      </c>
      <c r="K33" s="74" t="str">
        <f aca="false">IF(AND(G33&gt;0,F33&lt;=Parâmetros!$C$6),"Recebido no 2008",IF(G33&lt;0,"Entrada","Estorno"))</f>
        <v>Entrada</v>
      </c>
      <c r="L33" s="75" t="n">
        <f aca="false">IF(K33="Recebido no 2008",0,-G33)</f>
        <v>461.9</v>
      </c>
    </row>
    <row r="34" customFormat="false" ht="15" hidden="false" customHeight="false" outlineLevel="0" collapsed="false">
      <c r="A34" s="70" t="s">
        <v>185</v>
      </c>
      <c r="B34" s="70" t="s">
        <v>220</v>
      </c>
      <c r="C34" s="70" t="s">
        <v>224</v>
      </c>
      <c r="D34" s="70" t="s">
        <v>188</v>
      </c>
      <c r="E34" s="70" t="s">
        <v>189</v>
      </c>
      <c r="F34" s="71" t="n">
        <v>46289</v>
      </c>
      <c r="G34" s="72" t="n">
        <v>-1206</v>
      </c>
      <c r="H34" s="70" t="s">
        <v>65</v>
      </c>
      <c r="I34" s="71" t="n">
        <v>46289</v>
      </c>
      <c r="J34" s="73" t="n">
        <v>0.878275462962963</v>
      </c>
      <c r="K34" s="74" t="str">
        <f aca="false">IF(AND(G34&gt;0,F34&lt;=Parâmetros!$C$6),"Recebido no 2008",IF(G34&lt;0,"Entrada","Estorno"))</f>
        <v>Entrada</v>
      </c>
      <c r="L34" s="75" t="n">
        <f aca="false">IF(K34="Recebido no 2008",0,-G34)</f>
        <v>1206</v>
      </c>
    </row>
    <row r="35" customFormat="false" ht="15" hidden="false" customHeight="false" outlineLevel="0" collapsed="false">
      <c r="A35" s="70" t="s">
        <v>200</v>
      </c>
      <c r="B35" s="70" t="s">
        <v>225</v>
      </c>
      <c r="C35" s="70" t="s">
        <v>226</v>
      </c>
      <c r="D35" s="70" t="s">
        <v>188</v>
      </c>
      <c r="E35" s="70" t="s">
        <v>189</v>
      </c>
      <c r="F35" s="71" t="n">
        <v>46294</v>
      </c>
      <c r="G35" s="72" t="n">
        <v>-1000</v>
      </c>
      <c r="H35" s="70" t="s">
        <v>65</v>
      </c>
      <c r="I35" s="71" t="n">
        <v>46294</v>
      </c>
      <c r="J35" s="73" t="n">
        <v>0.611377314814815</v>
      </c>
      <c r="K35" s="74" t="str">
        <f aca="false">IF(AND(G35&gt;0,F35&lt;=Parâmetros!$C$6),"Recebido no 2008",IF(G35&lt;0,"Entrada","Estorno"))</f>
        <v>Entrada</v>
      </c>
      <c r="L35" s="75" t="n">
        <f aca="false">IF(K35="Recebido no 2008",0,-G35)</f>
        <v>1000</v>
      </c>
    </row>
    <row r="36" customFormat="false" ht="15" hidden="false" customHeight="false" outlineLevel="0" collapsed="false">
      <c r="A36" s="70" t="s">
        <v>210</v>
      </c>
      <c r="B36" s="70" t="s">
        <v>227</v>
      </c>
      <c r="C36" s="70" t="s">
        <v>228</v>
      </c>
      <c r="D36" s="70" t="s">
        <v>188</v>
      </c>
      <c r="E36" s="70" t="s">
        <v>189</v>
      </c>
      <c r="F36" s="71" t="n">
        <v>46293</v>
      </c>
      <c r="G36" s="72" t="n">
        <v>-1800</v>
      </c>
      <c r="H36" s="70" t="s">
        <v>65</v>
      </c>
      <c r="I36" s="71" t="n">
        <v>46293</v>
      </c>
      <c r="J36" s="73" t="n">
        <v>0.717893518518519</v>
      </c>
      <c r="K36" s="74" t="str">
        <f aca="false">IF(AND(G36&gt;0,F36&lt;=Parâmetros!$C$6),"Recebido no 2008",IF(G36&lt;0,"Entrada","Estorno"))</f>
        <v>Entrada</v>
      </c>
      <c r="L36" s="75" t="n">
        <f aca="false">IF(K36="Recebido no 2008",0,-G36)</f>
        <v>1800</v>
      </c>
    </row>
    <row r="37" customFormat="false" ht="15" hidden="false" customHeight="false" outlineLevel="0" collapsed="false">
      <c r="A37" s="70" t="s">
        <v>229</v>
      </c>
      <c r="B37" s="70" t="s">
        <v>227</v>
      </c>
      <c r="C37" s="70" t="s">
        <v>230</v>
      </c>
      <c r="D37" s="70" t="s">
        <v>188</v>
      </c>
      <c r="E37" s="70" t="s">
        <v>189</v>
      </c>
      <c r="F37" s="71" t="n">
        <v>46289</v>
      </c>
      <c r="G37" s="72" t="n">
        <v>-3540</v>
      </c>
      <c r="H37" s="70" t="s">
        <v>65</v>
      </c>
      <c r="I37" s="71" t="n">
        <v>46289</v>
      </c>
      <c r="J37" s="73" t="n">
        <v>0.708125</v>
      </c>
      <c r="K37" s="74" t="str">
        <f aca="false">IF(AND(G37&gt;0,F37&lt;=Parâmetros!$C$6),"Recebido no 2008",IF(G37&lt;0,"Entrada","Estorno"))</f>
        <v>Entrada</v>
      </c>
      <c r="L37" s="75" t="n">
        <f aca="false">IF(K37="Recebido no 2008",0,-G37)</f>
        <v>3540</v>
      </c>
    </row>
    <row r="38" customFormat="false" ht="15" hidden="false" customHeight="false" outlineLevel="0" collapsed="false">
      <c r="A38" s="70" t="s">
        <v>217</v>
      </c>
      <c r="B38" s="70" t="s">
        <v>227</v>
      </c>
      <c r="C38" s="70" t="s">
        <v>230</v>
      </c>
      <c r="D38" s="70" t="s">
        <v>188</v>
      </c>
      <c r="E38" s="70" t="s">
        <v>189</v>
      </c>
      <c r="F38" s="71" t="n">
        <v>46289</v>
      </c>
      <c r="G38" s="72" t="n">
        <v>-205</v>
      </c>
      <c r="H38" s="70" t="s">
        <v>65</v>
      </c>
      <c r="I38" s="71" t="n">
        <v>46289</v>
      </c>
      <c r="J38" s="73" t="n">
        <v>0.686759259259259</v>
      </c>
      <c r="K38" s="74" t="str">
        <f aca="false">IF(AND(G38&gt;0,F38&lt;=Parâmetros!$C$6),"Recebido no 2008",IF(G38&lt;0,"Entrada","Estorno"))</f>
        <v>Entrada</v>
      </c>
      <c r="L38" s="75" t="n">
        <f aca="false">IF(K38="Recebido no 2008",0,-G38)</f>
        <v>205</v>
      </c>
    </row>
    <row r="39" customFormat="false" ht="15" hidden="false" customHeight="false" outlineLevel="0" collapsed="false">
      <c r="A39" s="70" t="s">
        <v>216</v>
      </c>
      <c r="B39" s="70" t="s">
        <v>227</v>
      </c>
      <c r="C39" s="70" t="s">
        <v>230</v>
      </c>
      <c r="D39" s="70" t="s">
        <v>188</v>
      </c>
      <c r="E39" s="70" t="s">
        <v>189</v>
      </c>
      <c r="F39" s="71" t="n">
        <v>46289</v>
      </c>
      <c r="G39" s="72" t="n">
        <v>205</v>
      </c>
      <c r="H39" s="70" t="s">
        <v>65</v>
      </c>
      <c r="I39" s="71" t="n">
        <v>46289</v>
      </c>
      <c r="J39" s="73" t="n">
        <v>0.692581018518519</v>
      </c>
      <c r="K39" s="74" t="str">
        <f aca="false">IF(AND(G39&gt;0,F39&lt;=Parâmetros!$C$6),"Recebido no 2008",IF(G39&lt;0,"Entrada","Estorno"))</f>
        <v>Estorno</v>
      </c>
      <c r="L39" s="75" t="n">
        <f aca="false">IF(K39="Recebido no 2008",0,-G39)</f>
        <v>-205</v>
      </c>
    </row>
    <row r="40" customFormat="false" ht="15" hidden="false" customHeight="false" outlineLevel="0" collapsed="false">
      <c r="A40" s="70" t="s">
        <v>231</v>
      </c>
      <c r="B40" s="70" t="s">
        <v>232</v>
      </c>
      <c r="C40" s="70" t="s">
        <v>233</v>
      </c>
      <c r="D40" s="70" t="s">
        <v>188</v>
      </c>
      <c r="E40" s="70" t="s">
        <v>189</v>
      </c>
      <c r="F40" s="71" t="n">
        <v>46294</v>
      </c>
      <c r="G40" s="72" t="n">
        <v>-450</v>
      </c>
      <c r="H40" s="70" t="s">
        <v>146</v>
      </c>
      <c r="I40" s="71" t="n">
        <v>46294</v>
      </c>
      <c r="J40" s="73" t="n">
        <v>0.737974537037037</v>
      </c>
      <c r="K40" s="74" t="str">
        <f aca="false">IF(AND(G40&gt;0,F40&lt;=Parâmetros!$C$6),"Recebido no 2008",IF(G40&lt;0,"Entrada","Estorno"))</f>
        <v>Entrada</v>
      </c>
      <c r="L40" s="75" t="n">
        <f aca="false">IF(K40="Recebido no 2008",0,-G40)</f>
        <v>450</v>
      </c>
    </row>
    <row r="41" customFormat="false" ht="15" hidden="false" customHeight="false" outlineLevel="0" collapsed="false">
      <c r="A41" s="70" t="s">
        <v>234</v>
      </c>
      <c r="B41" s="70" t="s">
        <v>232</v>
      </c>
      <c r="C41" s="70" t="s">
        <v>235</v>
      </c>
      <c r="D41" s="70" t="s">
        <v>188</v>
      </c>
      <c r="E41" s="70" t="s">
        <v>189</v>
      </c>
      <c r="F41" s="71" t="n">
        <v>46294</v>
      </c>
      <c r="G41" s="72" t="n">
        <v>-450</v>
      </c>
      <c r="H41" s="70" t="s">
        <v>146</v>
      </c>
      <c r="I41" s="71" t="n">
        <v>46294</v>
      </c>
      <c r="J41" s="73" t="n">
        <v>0.609502314814815</v>
      </c>
      <c r="K41" s="74" t="str">
        <f aca="false">IF(AND(G41&gt;0,F41&lt;=Parâmetros!$C$6),"Recebido no 2008",IF(G41&lt;0,"Entrada","Estorno"))</f>
        <v>Entrada</v>
      </c>
      <c r="L41" s="75" t="n">
        <f aca="false">IF(K41="Recebido no 2008",0,-G41)</f>
        <v>450</v>
      </c>
    </row>
    <row r="42" customFormat="false" ht="15" hidden="false" customHeight="false" outlineLevel="0" collapsed="false">
      <c r="A42" s="70" t="s">
        <v>236</v>
      </c>
      <c r="B42" s="70" t="s">
        <v>232</v>
      </c>
      <c r="C42" s="70" t="s">
        <v>237</v>
      </c>
      <c r="D42" s="70" t="s">
        <v>188</v>
      </c>
      <c r="E42" s="70" t="s">
        <v>189</v>
      </c>
      <c r="F42" s="71" t="n">
        <v>46294</v>
      </c>
      <c r="G42" s="72" t="n">
        <v>-30</v>
      </c>
      <c r="H42" s="70" t="s">
        <v>146</v>
      </c>
      <c r="I42" s="71" t="n">
        <v>46294</v>
      </c>
      <c r="J42" s="73" t="n">
        <v>0.643587962962963</v>
      </c>
      <c r="K42" s="74" t="str">
        <f aca="false">IF(AND(G42&gt;0,F42&lt;=Parâmetros!$C$6),"Recebido no 2008",IF(G42&lt;0,"Entrada","Estorno"))</f>
        <v>Entrada</v>
      </c>
      <c r="L42" s="75" t="n">
        <f aca="false">IF(K42="Recebido no 2008",0,-G42)</f>
        <v>30</v>
      </c>
    </row>
    <row r="43" customFormat="false" ht="15" hidden="false" customHeight="false" outlineLevel="0" collapsed="false">
      <c r="A43" s="70" t="s">
        <v>238</v>
      </c>
      <c r="B43" s="70" t="s">
        <v>232</v>
      </c>
      <c r="C43" s="70" t="s">
        <v>237</v>
      </c>
      <c r="D43" s="70" t="s">
        <v>188</v>
      </c>
      <c r="E43" s="70" t="s">
        <v>189</v>
      </c>
      <c r="F43" s="71" t="n">
        <v>46294</v>
      </c>
      <c r="G43" s="72" t="n">
        <v>30</v>
      </c>
      <c r="H43" s="70" t="s">
        <v>146</v>
      </c>
      <c r="I43" s="71" t="n">
        <v>46294</v>
      </c>
      <c r="J43" s="73" t="n">
        <v>0.643206018518519</v>
      </c>
      <c r="K43" s="74" t="str">
        <f aca="false">IF(AND(G43&gt;0,F43&lt;=Parâmetros!$C$6),"Recebido no 2008",IF(G43&lt;0,"Entrada","Estorno"))</f>
        <v>Estorno</v>
      </c>
      <c r="L43" s="75" t="n">
        <f aca="false">IF(K43="Recebido no 2008",0,-G43)</f>
        <v>-30</v>
      </c>
    </row>
    <row r="44" customFormat="false" ht="15" hidden="false" customHeight="false" outlineLevel="0" collapsed="false">
      <c r="A44" s="70" t="s">
        <v>238</v>
      </c>
      <c r="B44" s="70" t="s">
        <v>232</v>
      </c>
      <c r="C44" s="70" t="s">
        <v>239</v>
      </c>
      <c r="D44" s="70" t="s">
        <v>188</v>
      </c>
      <c r="E44" s="70" t="s">
        <v>189</v>
      </c>
      <c r="F44" s="71" t="n">
        <v>46294</v>
      </c>
      <c r="G44" s="72" t="n">
        <v>-30</v>
      </c>
      <c r="H44" s="70" t="s">
        <v>146</v>
      </c>
      <c r="I44" s="71" t="n">
        <v>46294</v>
      </c>
      <c r="J44" s="73" t="n">
        <v>0.643206018518519</v>
      </c>
      <c r="K44" s="74" t="str">
        <f aca="false">IF(AND(G44&gt;0,F44&lt;=Parâmetros!$C$6),"Recebido no 2008",IF(G44&lt;0,"Entrada","Estorno"))</f>
        <v>Entrada</v>
      </c>
      <c r="L44" s="75" t="n">
        <f aca="false">IF(K44="Recebido no 2008",0,-G44)</f>
        <v>30</v>
      </c>
    </row>
    <row r="45" customFormat="false" ht="15" hidden="false" customHeight="false" outlineLevel="0" collapsed="false">
      <c r="A45" s="70" t="s">
        <v>240</v>
      </c>
      <c r="B45" s="70" t="s">
        <v>232</v>
      </c>
      <c r="C45" s="70" t="s">
        <v>237</v>
      </c>
      <c r="D45" s="70" t="s">
        <v>188</v>
      </c>
      <c r="E45" s="70" t="s">
        <v>189</v>
      </c>
      <c r="F45" s="71" t="n">
        <v>46294</v>
      </c>
      <c r="G45" s="72" t="n">
        <v>-495</v>
      </c>
      <c r="H45" s="70" t="s">
        <v>146</v>
      </c>
      <c r="I45" s="71" t="n">
        <v>46294</v>
      </c>
      <c r="J45" s="73" t="n">
        <v>0.641354166666667</v>
      </c>
      <c r="K45" s="74" t="str">
        <f aca="false">IF(AND(G45&gt;0,F45&lt;=Parâmetros!$C$6),"Recebido no 2008",IF(G45&lt;0,"Entrada","Estorno"))</f>
        <v>Entrada</v>
      </c>
      <c r="L45" s="75" t="n">
        <f aca="false">IF(K45="Recebido no 2008",0,-G45)</f>
        <v>495</v>
      </c>
    </row>
    <row r="46" customFormat="false" ht="15" hidden="false" customHeight="false" outlineLevel="0" collapsed="false">
      <c r="A46" s="70" t="s">
        <v>210</v>
      </c>
      <c r="B46" s="70" t="s">
        <v>232</v>
      </c>
      <c r="C46" s="70" t="s">
        <v>237</v>
      </c>
      <c r="D46" s="70" t="s">
        <v>188</v>
      </c>
      <c r="E46" s="70" t="s">
        <v>189</v>
      </c>
      <c r="F46" s="71" t="n">
        <v>46293</v>
      </c>
      <c r="G46" s="72" t="n">
        <v>-825</v>
      </c>
      <c r="H46" s="70" t="s">
        <v>146</v>
      </c>
      <c r="I46" s="71" t="n">
        <v>46293</v>
      </c>
      <c r="J46" s="73" t="n">
        <v>0.717893518518519</v>
      </c>
      <c r="K46" s="74" t="str">
        <f aca="false">IF(AND(G46&gt;0,F46&lt;=Parâmetros!$C$6),"Recebido no 2008",IF(G46&lt;0,"Entrada","Estorno"))</f>
        <v>Entrada</v>
      </c>
      <c r="L46" s="75" t="n">
        <f aca="false">IF(K46="Recebido no 2008",0,-G46)</f>
        <v>825</v>
      </c>
    </row>
    <row r="47" customFormat="false" ht="15" hidden="false" customHeight="false" outlineLevel="0" collapsed="false">
      <c r="A47" s="70" t="s">
        <v>210</v>
      </c>
      <c r="B47" s="70" t="s">
        <v>232</v>
      </c>
      <c r="C47" s="70" t="s">
        <v>233</v>
      </c>
      <c r="D47" s="70" t="s">
        <v>188</v>
      </c>
      <c r="E47" s="70" t="s">
        <v>189</v>
      </c>
      <c r="F47" s="71" t="n">
        <v>46293</v>
      </c>
      <c r="G47" s="72" t="n">
        <v>-900</v>
      </c>
      <c r="H47" s="70" t="s">
        <v>146</v>
      </c>
      <c r="I47" s="71" t="n">
        <v>46293</v>
      </c>
      <c r="J47" s="73" t="n">
        <v>0.717893518518519</v>
      </c>
      <c r="K47" s="74" t="str">
        <f aca="false">IF(AND(G47&gt;0,F47&lt;=Parâmetros!$C$6),"Recebido no 2008",IF(G47&lt;0,"Entrada","Estorno"))</f>
        <v>Entrada</v>
      </c>
      <c r="L47" s="75" t="n">
        <f aca="false">IF(K47="Recebido no 2008",0,-G47)</f>
        <v>900</v>
      </c>
    </row>
    <row r="48" customFormat="false" ht="15" hidden="false" customHeight="false" outlineLevel="0" collapsed="false">
      <c r="A48" s="70" t="s">
        <v>185</v>
      </c>
      <c r="B48" s="70" t="s">
        <v>232</v>
      </c>
      <c r="C48" s="70" t="s">
        <v>241</v>
      </c>
      <c r="D48" s="70" t="s">
        <v>188</v>
      </c>
      <c r="E48" s="70" t="s">
        <v>189</v>
      </c>
      <c r="F48" s="71" t="n">
        <v>46289</v>
      </c>
      <c r="G48" s="72" t="n">
        <v>-450</v>
      </c>
      <c r="H48" s="70" t="s">
        <v>146</v>
      </c>
      <c r="I48" s="71" t="n">
        <v>46289</v>
      </c>
      <c r="J48" s="73" t="n">
        <v>0.878275462962963</v>
      </c>
      <c r="K48" s="74" t="str">
        <f aca="false">IF(AND(G48&gt;0,F48&lt;=Parâmetros!$C$6),"Recebido no 2008",IF(G48&lt;0,"Entrada","Estorno"))</f>
        <v>Entrada</v>
      </c>
      <c r="L48" s="75" t="n">
        <f aca="false">IF(K48="Recebido no 2008",0,-G48)</f>
        <v>450</v>
      </c>
    </row>
    <row r="49" customFormat="false" ht="15" hidden="false" customHeight="false" outlineLevel="0" collapsed="false">
      <c r="A49" s="70" t="s">
        <v>185</v>
      </c>
      <c r="B49" s="70" t="s">
        <v>232</v>
      </c>
      <c r="C49" s="70" t="s">
        <v>233</v>
      </c>
      <c r="D49" s="70" t="s">
        <v>188</v>
      </c>
      <c r="E49" s="70" t="s">
        <v>189</v>
      </c>
      <c r="F49" s="71" t="n">
        <v>46289</v>
      </c>
      <c r="G49" s="72" t="n">
        <v>-450</v>
      </c>
      <c r="H49" s="70" t="s">
        <v>146</v>
      </c>
      <c r="I49" s="71" t="n">
        <v>46289</v>
      </c>
      <c r="J49" s="73" t="n">
        <v>0.878275462962963</v>
      </c>
      <c r="K49" s="74" t="str">
        <f aca="false">IF(AND(G49&gt;0,F49&lt;=Parâmetros!$C$6),"Recebido no 2008",IF(G49&lt;0,"Entrada","Estorno"))</f>
        <v>Entrada</v>
      </c>
      <c r="L49" s="75" t="n">
        <f aca="false">IF(K49="Recebido no 2008",0,-G49)</f>
        <v>450</v>
      </c>
    </row>
    <row r="50" customFormat="false" ht="15" hidden="false" customHeight="false" outlineLevel="0" collapsed="false">
      <c r="A50" s="70" t="s">
        <v>242</v>
      </c>
      <c r="B50" s="70" t="s">
        <v>243</v>
      </c>
      <c r="C50" s="70" t="s">
        <v>244</v>
      </c>
      <c r="D50" s="70" t="s">
        <v>188</v>
      </c>
      <c r="E50" s="70" t="s">
        <v>189</v>
      </c>
      <c r="F50" s="71" t="n">
        <v>46288</v>
      </c>
      <c r="G50" s="72" t="n">
        <v>-648</v>
      </c>
      <c r="H50" s="70" t="s">
        <v>65</v>
      </c>
      <c r="I50" s="71" t="n">
        <v>46288</v>
      </c>
      <c r="J50" s="73" t="n">
        <v>0.265335648148148</v>
      </c>
      <c r="K50" s="74" t="str">
        <f aca="false">IF(AND(G50&gt;0,F50&lt;=Parâmetros!$C$6),"Recebido no 2008",IF(G50&lt;0,"Entrada","Estorno"))</f>
        <v>Entrada</v>
      </c>
      <c r="L50" s="75" t="n">
        <f aca="false">IF(K50="Recebido no 2008",0,-G50)</f>
        <v>648</v>
      </c>
    </row>
    <row r="51" customFormat="false" ht="15" hidden="false" customHeight="false" outlineLevel="0" collapsed="false">
      <c r="A51" s="70" t="s">
        <v>234</v>
      </c>
      <c r="B51" s="70" t="s">
        <v>245</v>
      </c>
      <c r="C51" s="70" t="s">
        <v>246</v>
      </c>
      <c r="D51" s="70" t="s">
        <v>188</v>
      </c>
      <c r="E51" s="70" t="s">
        <v>189</v>
      </c>
      <c r="F51" s="71" t="n">
        <v>46294</v>
      </c>
      <c r="G51" s="72" t="n">
        <v>-240</v>
      </c>
      <c r="H51" s="70" t="s">
        <v>65</v>
      </c>
      <c r="I51" s="71" t="n">
        <v>46294</v>
      </c>
      <c r="J51" s="73" t="n">
        <v>0.609502314814815</v>
      </c>
      <c r="K51" s="74" t="str">
        <f aca="false">IF(AND(G51&gt;0,F51&lt;=Parâmetros!$C$6),"Recebido no 2008",IF(G51&lt;0,"Entrada","Estorno"))</f>
        <v>Entrada</v>
      </c>
      <c r="L51" s="75" t="n">
        <f aca="false">IF(K51="Recebido no 2008",0,-G51)</f>
        <v>240</v>
      </c>
    </row>
    <row r="52" customFormat="false" ht="15" hidden="false" customHeight="false" outlineLevel="0" collapsed="false">
      <c r="A52" s="70" t="s">
        <v>231</v>
      </c>
      <c r="B52" s="70" t="s">
        <v>247</v>
      </c>
      <c r="C52" s="70" t="s">
        <v>248</v>
      </c>
      <c r="D52" s="70" t="s">
        <v>188</v>
      </c>
      <c r="E52" s="70" t="s">
        <v>189</v>
      </c>
      <c r="F52" s="71" t="n">
        <v>46294</v>
      </c>
      <c r="G52" s="72" t="n">
        <v>-603</v>
      </c>
      <c r="H52" s="70" t="s">
        <v>65</v>
      </c>
      <c r="I52" s="71" t="n">
        <v>46294</v>
      </c>
      <c r="J52" s="73" t="n">
        <v>0.737974537037037</v>
      </c>
      <c r="K52" s="74" t="str">
        <f aca="false">IF(AND(G52&gt;0,F52&lt;=Parâmetros!$C$6),"Recebido no 2008",IF(G52&lt;0,"Entrada","Estorno"))</f>
        <v>Entrada</v>
      </c>
      <c r="L52" s="75" t="n">
        <f aca="false">IF(K52="Recebido no 2008",0,-G52)</f>
        <v>603</v>
      </c>
    </row>
    <row r="53" customFormat="false" ht="15" hidden="false" customHeight="false" outlineLevel="0" collapsed="false">
      <c r="A53" s="70" t="s">
        <v>231</v>
      </c>
      <c r="B53" s="70" t="s">
        <v>247</v>
      </c>
      <c r="C53" s="70" t="s">
        <v>248</v>
      </c>
      <c r="D53" s="70" t="s">
        <v>188</v>
      </c>
      <c r="E53" s="70" t="s">
        <v>189</v>
      </c>
      <c r="F53" s="71" t="n">
        <v>46294</v>
      </c>
      <c r="G53" s="72" t="n">
        <v>-321.6</v>
      </c>
      <c r="H53" s="70" t="s">
        <v>65</v>
      </c>
      <c r="I53" s="71" t="n">
        <v>46294</v>
      </c>
      <c r="J53" s="73" t="n">
        <v>0.737974537037037</v>
      </c>
      <c r="K53" s="74" t="str">
        <f aca="false">IF(AND(G53&gt;0,F53&lt;=Parâmetros!$C$6),"Recebido no 2008",IF(G53&lt;0,"Entrada","Estorno"))</f>
        <v>Entrada</v>
      </c>
      <c r="L53" s="75" t="n">
        <f aca="false">IF(K53="Recebido no 2008",0,-G53)</f>
        <v>321.6</v>
      </c>
    </row>
    <row r="54" customFormat="false" ht="15" hidden="false" customHeight="false" outlineLevel="0" collapsed="false">
      <c r="A54" s="70" t="s">
        <v>185</v>
      </c>
      <c r="B54" s="70" t="s">
        <v>247</v>
      </c>
      <c r="C54" s="70" t="s">
        <v>248</v>
      </c>
      <c r="D54" s="70" t="s">
        <v>188</v>
      </c>
      <c r="E54" s="70" t="s">
        <v>189</v>
      </c>
      <c r="F54" s="71" t="n">
        <v>46289</v>
      </c>
      <c r="G54" s="72" t="n">
        <v>-603</v>
      </c>
      <c r="H54" s="70" t="s">
        <v>65</v>
      </c>
      <c r="I54" s="71" t="n">
        <v>46289</v>
      </c>
      <c r="J54" s="73" t="n">
        <v>0.878275462962963</v>
      </c>
      <c r="K54" s="74" t="str">
        <f aca="false">IF(AND(G54&gt;0,F54&lt;=Parâmetros!$C$6),"Recebido no 2008",IF(G54&lt;0,"Entrada","Estorno"))</f>
        <v>Entrada</v>
      </c>
      <c r="L54" s="75" t="n">
        <f aca="false">IF(K54="Recebido no 2008",0,-G54)</f>
        <v>603</v>
      </c>
    </row>
    <row r="55" customFormat="false" ht="15" hidden="false" customHeight="false" outlineLevel="0" collapsed="false">
      <c r="A55" s="70" t="s">
        <v>185</v>
      </c>
      <c r="B55" s="70" t="s">
        <v>247</v>
      </c>
      <c r="C55" s="70" t="s">
        <v>248</v>
      </c>
      <c r="D55" s="70" t="s">
        <v>188</v>
      </c>
      <c r="E55" s="70" t="s">
        <v>189</v>
      </c>
      <c r="F55" s="71" t="n">
        <v>46289</v>
      </c>
      <c r="G55" s="72" t="n">
        <v>-542.7</v>
      </c>
      <c r="H55" s="70" t="s">
        <v>65</v>
      </c>
      <c r="I55" s="71" t="n">
        <v>46289</v>
      </c>
      <c r="J55" s="73" t="n">
        <v>0.878275462962963</v>
      </c>
      <c r="K55" s="74" t="str">
        <f aca="false">IF(AND(G55&gt;0,F55&lt;=Parâmetros!$C$6),"Recebido no 2008",IF(G55&lt;0,"Entrada","Estorno"))</f>
        <v>Entrada</v>
      </c>
      <c r="L55" s="75" t="n">
        <f aca="false">IF(K55="Recebido no 2008",0,-G55)</f>
        <v>542.7</v>
      </c>
    </row>
    <row r="56" customFormat="false" ht="15" hidden="false" customHeight="false" outlineLevel="0" collapsed="false">
      <c r="A56" s="70" t="s">
        <v>249</v>
      </c>
      <c r="B56" s="70" t="s">
        <v>250</v>
      </c>
      <c r="C56" s="70" t="s">
        <v>251</v>
      </c>
      <c r="D56" s="70" t="s">
        <v>188</v>
      </c>
      <c r="E56" s="70" t="s">
        <v>189</v>
      </c>
      <c r="F56" s="71" t="n">
        <v>46294</v>
      </c>
      <c r="G56" s="72" t="n">
        <v>-179.2</v>
      </c>
      <c r="H56" s="70" t="s">
        <v>65</v>
      </c>
      <c r="I56" s="71" t="n">
        <v>46294</v>
      </c>
      <c r="J56" s="73" t="n">
        <v>0.612326388888889</v>
      </c>
      <c r="K56" s="74" t="str">
        <f aca="false">IF(AND(G56&gt;0,F56&lt;=Parâmetros!$C$6),"Recebido no 2008",IF(G56&lt;0,"Entrada","Estorno"))</f>
        <v>Entrada</v>
      </c>
      <c r="L56" s="75" t="n">
        <f aca="false">IF(K56="Recebido no 2008",0,-G56)</f>
        <v>179.2</v>
      </c>
    </row>
    <row r="57" customFormat="false" ht="15" hidden="false" customHeight="false" outlineLevel="0" collapsed="false">
      <c r="A57" s="70" t="s">
        <v>249</v>
      </c>
      <c r="B57" s="70" t="s">
        <v>250</v>
      </c>
      <c r="C57" s="70" t="s">
        <v>251</v>
      </c>
      <c r="D57" s="70" t="s">
        <v>188</v>
      </c>
      <c r="E57" s="70" t="s">
        <v>189</v>
      </c>
      <c r="F57" s="71" t="n">
        <v>46294</v>
      </c>
      <c r="G57" s="72" t="n">
        <v>-313.6</v>
      </c>
      <c r="H57" s="70" t="s">
        <v>65</v>
      </c>
      <c r="I57" s="71" t="n">
        <v>46294</v>
      </c>
      <c r="J57" s="73" t="n">
        <v>0.612326388888889</v>
      </c>
      <c r="K57" s="74" t="str">
        <f aca="false">IF(AND(G57&gt;0,F57&lt;=Parâmetros!$C$6),"Recebido no 2008",IF(G57&lt;0,"Entrada","Estorno"))</f>
        <v>Entrada</v>
      </c>
      <c r="L57" s="75" t="n">
        <f aca="false">IF(K57="Recebido no 2008",0,-G57)</f>
        <v>313.6</v>
      </c>
    </row>
    <row r="58" customFormat="false" ht="15" hidden="false" customHeight="false" outlineLevel="0" collapsed="false">
      <c r="A58" s="70" t="s">
        <v>249</v>
      </c>
      <c r="B58" s="70" t="s">
        <v>250</v>
      </c>
      <c r="C58" s="70" t="s">
        <v>251</v>
      </c>
      <c r="D58" s="70" t="s">
        <v>188</v>
      </c>
      <c r="E58" s="70" t="s">
        <v>189</v>
      </c>
      <c r="F58" s="71" t="n">
        <v>46294</v>
      </c>
      <c r="G58" s="72" t="n">
        <v>-313.6</v>
      </c>
      <c r="H58" s="70" t="s">
        <v>65</v>
      </c>
      <c r="I58" s="71" t="n">
        <v>46294</v>
      </c>
      <c r="J58" s="73" t="n">
        <v>0.612326388888889</v>
      </c>
      <c r="K58" s="74" t="str">
        <f aca="false">IF(AND(G58&gt;0,F58&lt;=Parâmetros!$C$6),"Recebido no 2008",IF(G58&lt;0,"Entrada","Estorno"))</f>
        <v>Entrada</v>
      </c>
      <c r="L58" s="75" t="n">
        <f aca="false">IF(K58="Recebido no 2008",0,-G58)</f>
        <v>313.6</v>
      </c>
    </row>
    <row r="59" customFormat="false" ht="15" hidden="false" customHeight="false" outlineLevel="0" collapsed="false">
      <c r="A59" s="70" t="s">
        <v>217</v>
      </c>
      <c r="B59" s="70" t="s">
        <v>252</v>
      </c>
      <c r="C59" s="70" t="s">
        <v>253</v>
      </c>
      <c r="D59" s="70" t="s">
        <v>188</v>
      </c>
      <c r="E59" s="70" t="s">
        <v>189</v>
      </c>
      <c r="F59" s="71" t="n">
        <v>46289</v>
      </c>
      <c r="G59" s="72" t="n">
        <v>-240</v>
      </c>
      <c r="H59" s="70" t="s">
        <v>65</v>
      </c>
      <c r="I59" s="71" t="n">
        <v>46289</v>
      </c>
      <c r="J59" s="73" t="n">
        <v>0.686759259259259</v>
      </c>
      <c r="K59" s="74" t="str">
        <f aca="false">IF(AND(G59&gt;0,F59&lt;=Parâmetros!$C$6),"Recebido no 2008",IF(G59&lt;0,"Entrada","Estorno"))</f>
        <v>Entrada</v>
      </c>
      <c r="L59" s="75" t="n">
        <f aca="false">IF(K59="Recebido no 2008",0,-G59)</f>
        <v>240</v>
      </c>
    </row>
    <row r="60" customFormat="false" ht="15" hidden="false" customHeight="false" outlineLevel="0" collapsed="false">
      <c r="A60" s="70" t="s">
        <v>215</v>
      </c>
      <c r="B60" s="70" t="s">
        <v>252</v>
      </c>
      <c r="C60" s="70" t="s">
        <v>253</v>
      </c>
      <c r="D60" s="70" t="s">
        <v>188</v>
      </c>
      <c r="E60" s="70" t="s">
        <v>189</v>
      </c>
      <c r="F60" s="71" t="n">
        <v>46289</v>
      </c>
      <c r="G60" s="72" t="n">
        <v>-960</v>
      </c>
      <c r="H60" s="70" t="s">
        <v>65</v>
      </c>
      <c r="I60" s="71" t="n">
        <v>46289</v>
      </c>
      <c r="J60" s="73" t="n">
        <v>0.694560185185185</v>
      </c>
      <c r="K60" s="74" t="str">
        <f aca="false">IF(AND(G60&gt;0,F60&lt;=Parâmetros!$C$6),"Recebido no 2008",IF(G60&lt;0,"Entrada","Estorno"))</f>
        <v>Entrada</v>
      </c>
      <c r="L60" s="75" t="n">
        <f aca="false">IF(K60="Recebido no 2008",0,-G60)</f>
        <v>960</v>
      </c>
    </row>
    <row r="61" customFormat="false" ht="15" hidden="false" customHeight="false" outlineLevel="0" collapsed="false">
      <c r="A61" s="70" t="s">
        <v>254</v>
      </c>
      <c r="B61" s="70" t="s">
        <v>252</v>
      </c>
      <c r="C61" s="70" t="s">
        <v>253</v>
      </c>
      <c r="D61" s="70" t="s">
        <v>188</v>
      </c>
      <c r="E61" s="70" t="s">
        <v>189</v>
      </c>
      <c r="F61" s="71" t="n">
        <v>46289</v>
      </c>
      <c r="G61" s="72" t="n">
        <v>480</v>
      </c>
      <c r="H61" s="70" t="s">
        <v>65</v>
      </c>
      <c r="I61" s="71" t="n">
        <v>46289</v>
      </c>
      <c r="J61" s="73" t="n">
        <v>0.761574074074074</v>
      </c>
      <c r="K61" s="74" t="str">
        <f aca="false">IF(AND(G61&gt;0,F61&lt;=Parâmetros!$C$6),"Recebido no 2008",IF(G61&lt;0,"Entrada","Estorno"))</f>
        <v>Estorno</v>
      </c>
      <c r="L61" s="75" t="n">
        <f aca="false">IF(K61="Recebido no 2008",0,-G61)</f>
        <v>-480</v>
      </c>
    </row>
    <row r="62" customFormat="false" ht="15" hidden="false" customHeight="false" outlineLevel="0" collapsed="false">
      <c r="A62" s="70" t="s">
        <v>255</v>
      </c>
      <c r="B62" s="70" t="s">
        <v>252</v>
      </c>
      <c r="C62" s="70" t="s">
        <v>253</v>
      </c>
      <c r="D62" s="70" t="s">
        <v>188</v>
      </c>
      <c r="E62" s="70" t="s">
        <v>189</v>
      </c>
      <c r="F62" s="71" t="n">
        <v>46289</v>
      </c>
      <c r="G62" s="72" t="n">
        <v>480</v>
      </c>
      <c r="H62" s="70" t="s">
        <v>65</v>
      </c>
      <c r="I62" s="71" t="n">
        <v>46289</v>
      </c>
      <c r="J62" s="73" t="n">
        <v>0.756041666666667</v>
      </c>
      <c r="K62" s="74" t="str">
        <f aca="false">IF(AND(G62&gt;0,F62&lt;=Parâmetros!$C$6),"Recebido no 2008",IF(G62&lt;0,"Entrada","Estorno"))</f>
        <v>Estorno</v>
      </c>
      <c r="L62" s="75" t="n">
        <f aca="false">IF(K62="Recebido no 2008",0,-G62)</f>
        <v>-480</v>
      </c>
    </row>
    <row r="63" customFormat="false" ht="15" hidden="false" customHeight="false" outlineLevel="0" collapsed="false">
      <c r="A63" s="70" t="s">
        <v>216</v>
      </c>
      <c r="B63" s="70" t="s">
        <v>252</v>
      </c>
      <c r="C63" s="70" t="s">
        <v>253</v>
      </c>
      <c r="D63" s="70" t="s">
        <v>188</v>
      </c>
      <c r="E63" s="70" t="s">
        <v>189</v>
      </c>
      <c r="F63" s="71" t="n">
        <v>46289</v>
      </c>
      <c r="G63" s="72" t="n">
        <v>240</v>
      </c>
      <c r="H63" s="70" t="s">
        <v>65</v>
      </c>
      <c r="I63" s="71" t="n">
        <v>46289</v>
      </c>
      <c r="J63" s="73" t="n">
        <v>0.692581018518519</v>
      </c>
      <c r="K63" s="74" t="str">
        <f aca="false">IF(AND(G63&gt;0,F63&lt;=Parâmetros!$C$6),"Recebido no 2008",IF(G63&lt;0,"Entrada","Estorno"))</f>
        <v>Estorno</v>
      </c>
      <c r="L63" s="75" t="n">
        <f aca="false">IF(K63="Recebido no 2008",0,-G63)</f>
        <v>-240</v>
      </c>
    </row>
    <row r="64" customFormat="false" ht="15" hidden="false" customHeight="false" outlineLevel="0" collapsed="false">
      <c r="A64" s="70" t="s">
        <v>256</v>
      </c>
      <c r="B64" s="70" t="s">
        <v>252</v>
      </c>
      <c r="C64" s="70" t="s">
        <v>253</v>
      </c>
      <c r="D64" s="70" t="s">
        <v>188</v>
      </c>
      <c r="E64" s="70" t="s">
        <v>189</v>
      </c>
      <c r="F64" s="71" t="n">
        <v>46289</v>
      </c>
      <c r="G64" s="72" t="n">
        <v>-960</v>
      </c>
      <c r="H64" s="70" t="s">
        <v>65</v>
      </c>
      <c r="I64" s="71" t="n">
        <v>46289</v>
      </c>
      <c r="J64" s="73" t="n">
        <v>0.709930555555556</v>
      </c>
      <c r="K64" s="74" t="str">
        <f aca="false">IF(AND(G64&gt;0,F64&lt;=Parâmetros!$C$6),"Recebido no 2008",IF(G64&lt;0,"Entrada","Estorno"))</f>
        <v>Entrada</v>
      </c>
      <c r="L64" s="75" t="n">
        <f aca="false">IF(K64="Recebido no 2008",0,-G64)</f>
        <v>960</v>
      </c>
    </row>
    <row r="65" customFormat="false" ht="15" hidden="false" customHeight="false" outlineLevel="0" collapsed="false">
      <c r="A65" s="70" t="s">
        <v>216</v>
      </c>
      <c r="B65" s="70" t="s">
        <v>257</v>
      </c>
      <c r="C65" s="70" t="s">
        <v>258</v>
      </c>
      <c r="D65" s="70" t="s">
        <v>188</v>
      </c>
      <c r="E65" s="70" t="s">
        <v>189</v>
      </c>
      <c r="F65" s="71" t="n">
        <v>46289</v>
      </c>
      <c r="G65" s="72" t="n">
        <v>64</v>
      </c>
      <c r="H65" s="70" t="s">
        <v>65</v>
      </c>
      <c r="I65" s="71" t="n">
        <v>46289</v>
      </c>
      <c r="J65" s="73" t="n">
        <v>0.692581018518519</v>
      </c>
      <c r="K65" s="74" t="str">
        <f aca="false">IF(AND(G65&gt;0,F65&lt;=Parâmetros!$C$6),"Recebido no 2008",IF(G65&lt;0,"Entrada","Estorno"))</f>
        <v>Estorno</v>
      </c>
      <c r="L65" s="75" t="n">
        <f aca="false">IF(K65="Recebido no 2008",0,-G65)</f>
        <v>-64</v>
      </c>
    </row>
    <row r="66" customFormat="false" ht="15" hidden="false" customHeight="false" outlineLevel="0" collapsed="false">
      <c r="A66" s="70" t="s">
        <v>217</v>
      </c>
      <c r="B66" s="70" t="s">
        <v>257</v>
      </c>
      <c r="C66" s="70" t="s">
        <v>258</v>
      </c>
      <c r="D66" s="70" t="s">
        <v>188</v>
      </c>
      <c r="E66" s="70" t="s">
        <v>189</v>
      </c>
      <c r="F66" s="71" t="n">
        <v>46289</v>
      </c>
      <c r="G66" s="72" t="n">
        <v>-64</v>
      </c>
      <c r="H66" s="70" t="s">
        <v>65</v>
      </c>
      <c r="I66" s="71" t="n">
        <v>46289</v>
      </c>
      <c r="J66" s="73" t="n">
        <v>0.686759259259259</v>
      </c>
      <c r="K66" s="74" t="str">
        <f aca="false">IF(AND(G66&gt;0,F66&lt;=Parâmetros!$C$6),"Recebido no 2008",IF(G66&lt;0,"Entrada","Estorno"))</f>
        <v>Entrada</v>
      </c>
      <c r="L66" s="75" t="n">
        <f aca="false">IF(K66="Recebido no 2008",0,-G66)</f>
        <v>64</v>
      </c>
    </row>
    <row r="67" customFormat="false" ht="15" hidden="false" customHeight="false" outlineLevel="0" collapsed="false">
      <c r="A67" s="70" t="s">
        <v>215</v>
      </c>
      <c r="B67" s="70" t="s">
        <v>257</v>
      </c>
      <c r="C67" s="70" t="s">
        <v>258</v>
      </c>
      <c r="D67" s="70" t="s">
        <v>188</v>
      </c>
      <c r="E67" s="70" t="s">
        <v>189</v>
      </c>
      <c r="F67" s="71" t="n">
        <v>46289</v>
      </c>
      <c r="G67" s="72" t="n">
        <v>-384</v>
      </c>
      <c r="H67" s="70" t="s">
        <v>65</v>
      </c>
      <c r="I67" s="71" t="n">
        <v>46289</v>
      </c>
      <c r="J67" s="73" t="n">
        <v>0.694560185185185</v>
      </c>
      <c r="K67" s="74" t="str">
        <f aca="false">IF(AND(G67&gt;0,F67&lt;=Parâmetros!$C$6),"Recebido no 2008",IF(G67&lt;0,"Entrada","Estorno"))</f>
        <v>Entrada</v>
      </c>
      <c r="L67" s="75" t="n">
        <f aca="false">IF(K67="Recebido no 2008",0,-G67)</f>
        <v>384</v>
      </c>
    </row>
    <row r="68" customFormat="false" ht="15" hidden="false" customHeight="false" outlineLevel="0" collapsed="false">
      <c r="A68" s="70" t="s">
        <v>259</v>
      </c>
      <c r="B68" s="70" t="s">
        <v>257</v>
      </c>
      <c r="C68" s="70" t="s">
        <v>258</v>
      </c>
      <c r="D68" s="70" t="s">
        <v>188</v>
      </c>
      <c r="E68" s="70" t="s">
        <v>189</v>
      </c>
      <c r="F68" s="71" t="n">
        <v>46289</v>
      </c>
      <c r="G68" s="72" t="n">
        <v>-384</v>
      </c>
      <c r="H68" s="70" t="s">
        <v>65</v>
      </c>
      <c r="I68" s="71" t="n">
        <v>46289</v>
      </c>
      <c r="J68" s="73" t="n">
        <v>0.7103125</v>
      </c>
      <c r="K68" s="74" t="str">
        <f aca="false">IF(AND(G68&gt;0,F68&lt;=Parâmetros!$C$6),"Recebido no 2008",IF(G68&lt;0,"Entrada","Estorno"))</f>
        <v>Entrada</v>
      </c>
      <c r="L68" s="75" t="n">
        <f aca="false">IF(K68="Recebido no 2008",0,-G68)</f>
        <v>384</v>
      </c>
    </row>
    <row r="69" customFormat="false" ht="15" hidden="false" customHeight="false" outlineLevel="0" collapsed="false">
      <c r="A69" s="70" t="s">
        <v>210</v>
      </c>
      <c r="B69" s="70" t="s">
        <v>260</v>
      </c>
      <c r="C69" s="70" t="s">
        <v>261</v>
      </c>
      <c r="D69" s="70" t="s">
        <v>188</v>
      </c>
      <c r="E69" s="70" t="s">
        <v>189</v>
      </c>
      <c r="F69" s="71" t="n">
        <v>46293</v>
      </c>
      <c r="G69" s="72" t="n">
        <v>-108.8</v>
      </c>
      <c r="H69" s="70" t="s">
        <v>65</v>
      </c>
      <c r="I69" s="71" t="n">
        <v>46293</v>
      </c>
      <c r="J69" s="73" t="n">
        <v>0.717893518518519</v>
      </c>
      <c r="K69" s="74" t="str">
        <f aca="false">IF(AND(G69&gt;0,F69&lt;=Parâmetros!$C$6),"Recebido no 2008",IF(G69&lt;0,"Entrada","Estorno"))</f>
        <v>Entrada</v>
      </c>
      <c r="L69" s="75" t="n">
        <f aca="false">IF(K69="Recebido no 2008",0,-G69)</f>
        <v>108.8</v>
      </c>
    </row>
    <row r="70" customFormat="false" ht="15" hidden="false" customHeight="false" outlineLevel="0" collapsed="false">
      <c r="A70" s="70" t="s">
        <v>262</v>
      </c>
      <c r="B70" s="70" t="s">
        <v>263</v>
      </c>
      <c r="C70" s="70" t="s">
        <v>264</v>
      </c>
      <c r="D70" s="70" t="s">
        <v>188</v>
      </c>
      <c r="E70" s="70" t="s">
        <v>189</v>
      </c>
      <c r="F70" s="71" t="n">
        <v>46288</v>
      </c>
      <c r="G70" s="72" t="n">
        <v>-261.12</v>
      </c>
      <c r="H70" s="70" t="s">
        <v>65</v>
      </c>
      <c r="I70" s="71" t="n">
        <v>46288</v>
      </c>
      <c r="J70" s="73" t="n">
        <v>0.275023148148148</v>
      </c>
      <c r="K70" s="74" t="str">
        <f aca="false">IF(AND(G70&gt;0,F70&lt;=Parâmetros!$C$6),"Recebido no 2008",IF(G70&lt;0,"Entrada","Estorno"))</f>
        <v>Entrada</v>
      </c>
      <c r="L70" s="75" t="n">
        <f aca="false">IF(K70="Recebido no 2008",0,-G70)</f>
        <v>261.12</v>
      </c>
    </row>
    <row r="71" customFormat="false" ht="15" hidden="false" customHeight="false" outlineLevel="0" collapsed="false">
      <c r="A71" s="70" t="s">
        <v>265</v>
      </c>
      <c r="B71" s="70" t="s">
        <v>266</v>
      </c>
      <c r="C71" s="70" t="s">
        <v>267</v>
      </c>
      <c r="D71" s="70" t="s">
        <v>188</v>
      </c>
      <c r="E71" s="70" t="s">
        <v>189</v>
      </c>
      <c r="F71" s="71" t="n">
        <v>46294</v>
      </c>
      <c r="G71" s="72" t="n">
        <v>-432</v>
      </c>
      <c r="H71" s="70" t="s">
        <v>65</v>
      </c>
      <c r="I71" s="71" t="n">
        <v>46294</v>
      </c>
      <c r="J71" s="73" t="n">
        <v>0.610439814814815</v>
      </c>
      <c r="K71" s="74" t="str">
        <f aca="false">IF(AND(G71&gt;0,F71&lt;=Parâmetros!$C$6),"Recebido no 2008",IF(G71&lt;0,"Entrada","Estorno"))</f>
        <v>Entrada</v>
      </c>
      <c r="L71" s="75" t="n">
        <f aca="false">IF(K71="Recebido no 2008",0,-G71)</f>
        <v>432</v>
      </c>
    </row>
    <row r="72" customFormat="false" ht="15" hidden="false" customHeight="false" outlineLevel="0" collapsed="false">
      <c r="A72" s="70" t="s">
        <v>268</v>
      </c>
      <c r="B72" s="70" t="s">
        <v>269</v>
      </c>
      <c r="C72" s="70" t="s">
        <v>270</v>
      </c>
      <c r="D72" s="70" t="s">
        <v>188</v>
      </c>
      <c r="E72" s="70" t="s">
        <v>189</v>
      </c>
      <c r="F72" s="71" t="n">
        <v>46286</v>
      </c>
      <c r="G72" s="72" t="n">
        <v>-54</v>
      </c>
      <c r="H72" s="70" t="s">
        <v>65</v>
      </c>
      <c r="I72" s="71" t="n">
        <v>46286</v>
      </c>
      <c r="J72" s="73" t="n">
        <v>0.758668981481481</v>
      </c>
      <c r="K72" s="74" t="str">
        <f aca="false">IF(AND(G72&gt;0,F72&lt;=Parâmetros!$C$6),"Recebido no 2008",IF(G72&lt;0,"Entrada","Estorno"))</f>
        <v>Entrada</v>
      </c>
      <c r="L72" s="75" t="n">
        <f aca="false">IF(K72="Recebido no 2008",0,-G72)</f>
        <v>54</v>
      </c>
    </row>
    <row r="73" customFormat="false" ht="15" hidden="false" customHeight="false" outlineLevel="0" collapsed="false">
      <c r="A73" s="70" t="s">
        <v>268</v>
      </c>
      <c r="B73" s="70" t="s">
        <v>269</v>
      </c>
      <c r="C73" s="70" t="s">
        <v>270</v>
      </c>
      <c r="D73" s="70" t="s">
        <v>188</v>
      </c>
      <c r="E73" s="70" t="s">
        <v>189</v>
      </c>
      <c r="F73" s="71" t="n">
        <v>46286</v>
      </c>
      <c r="G73" s="72" t="n">
        <v>-432</v>
      </c>
      <c r="H73" s="70" t="s">
        <v>65</v>
      </c>
      <c r="I73" s="71" t="n">
        <v>46286</v>
      </c>
      <c r="J73" s="73" t="n">
        <v>0.758668981481481</v>
      </c>
      <c r="K73" s="74" t="str">
        <f aca="false">IF(AND(G73&gt;0,F73&lt;=Parâmetros!$C$6),"Recebido no 2008",IF(G73&lt;0,"Entrada","Estorno"))</f>
        <v>Entrada</v>
      </c>
      <c r="L73" s="75" t="n">
        <f aca="false">IF(K73="Recebido no 2008",0,-G73)</f>
        <v>432</v>
      </c>
    </row>
    <row r="74" customFormat="false" ht="15" hidden="false" customHeight="false" outlineLevel="0" collapsed="false">
      <c r="A74" s="70" t="s">
        <v>268</v>
      </c>
      <c r="B74" s="70" t="s">
        <v>269</v>
      </c>
      <c r="C74" s="70" t="s">
        <v>270</v>
      </c>
      <c r="D74" s="70" t="s">
        <v>188</v>
      </c>
      <c r="E74" s="70" t="s">
        <v>189</v>
      </c>
      <c r="F74" s="71" t="n">
        <v>46286</v>
      </c>
      <c r="G74" s="72" t="n">
        <v>-432</v>
      </c>
      <c r="H74" s="70" t="s">
        <v>65</v>
      </c>
      <c r="I74" s="71" t="n">
        <v>46286</v>
      </c>
      <c r="J74" s="73" t="n">
        <v>0.758668981481481</v>
      </c>
      <c r="K74" s="74" t="str">
        <f aca="false">IF(AND(G74&gt;0,F74&lt;=Parâmetros!$C$6),"Recebido no 2008",IF(G74&lt;0,"Entrada","Estorno"))</f>
        <v>Entrada</v>
      </c>
      <c r="L74" s="75" t="n">
        <f aca="false">IF(K74="Recebido no 2008",0,-G74)</f>
        <v>432</v>
      </c>
    </row>
    <row r="75" customFormat="false" ht="15" hidden="false" customHeight="false" outlineLevel="0" collapsed="false">
      <c r="A75" s="70" t="s">
        <v>204</v>
      </c>
      <c r="B75" s="70" t="s">
        <v>271</v>
      </c>
      <c r="C75" s="70" t="s">
        <v>272</v>
      </c>
      <c r="D75" s="70" t="s">
        <v>188</v>
      </c>
      <c r="E75" s="70" t="s">
        <v>189</v>
      </c>
      <c r="F75" s="71" t="n">
        <v>46295</v>
      </c>
      <c r="G75" s="72" t="n">
        <v>-300</v>
      </c>
      <c r="H75" s="70" t="s">
        <v>65</v>
      </c>
      <c r="I75" s="71" t="n">
        <v>46295</v>
      </c>
      <c r="J75" s="73" t="n">
        <v>0.748159722222222</v>
      </c>
      <c r="K75" s="74" t="str">
        <f aca="false">IF(AND(G75&gt;0,F75&lt;=Parâmetros!$C$6),"Recebido no 2008",IF(G75&lt;0,"Entrada","Estorno"))</f>
        <v>Entrada</v>
      </c>
      <c r="L75" s="75" t="n">
        <f aca="false">IF(K75="Recebido no 2008",0,-G75)</f>
        <v>300</v>
      </c>
    </row>
    <row r="76" customFormat="false" ht="15" hidden="false" customHeight="false" outlineLevel="0" collapsed="false">
      <c r="A76" s="70" t="s">
        <v>210</v>
      </c>
      <c r="B76" s="70" t="s">
        <v>271</v>
      </c>
      <c r="C76" s="70" t="s">
        <v>273</v>
      </c>
      <c r="D76" s="70" t="s">
        <v>188</v>
      </c>
      <c r="E76" s="70" t="s">
        <v>189</v>
      </c>
      <c r="F76" s="71" t="n">
        <v>46293</v>
      </c>
      <c r="G76" s="72" t="n">
        <v>-1200</v>
      </c>
      <c r="H76" s="70" t="s">
        <v>65</v>
      </c>
      <c r="I76" s="71" t="n">
        <v>46293</v>
      </c>
      <c r="J76" s="73" t="n">
        <v>0.717893518518519</v>
      </c>
      <c r="K76" s="74" t="str">
        <f aca="false">IF(AND(G76&gt;0,F76&lt;=Parâmetros!$C$6),"Recebido no 2008",IF(G76&lt;0,"Entrada","Estorno"))</f>
        <v>Entrada</v>
      </c>
      <c r="L76" s="75" t="n">
        <f aca="false">IF(K76="Recebido no 2008",0,-G76)</f>
        <v>1200</v>
      </c>
    </row>
    <row r="77" customFormat="false" ht="15" hidden="false" customHeight="false" outlineLevel="0" collapsed="false">
      <c r="A77" s="70" t="s">
        <v>274</v>
      </c>
      <c r="B77" s="70" t="s">
        <v>271</v>
      </c>
      <c r="C77" s="70" t="s">
        <v>272</v>
      </c>
      <c r="D77" s="70" t="s">
        <v>188</v>
      </c>
      <c r="E77" s="70" t="s">
        <v>189</v>
      </c>
      <c r="F77" s="71" t="n">
        <v>46289</v>
      </c>
      <c r="G77" s="72" t="n">
        <v>-600</v>
      </c>
      <c r="H77" s="70" t="s">
        <v>65</v>
      </c>
      <c r="I77" s="71" t="n">
        <v>46289</v>
      </c>
      <c r="J77" s="73" t="n">
        <v>0.710798611111111</v>
      </c>
      <c r="K77" s="74" t="str">
        <f aca="false">IF(AND(G77&gt;0,F77&lt;=Parâmetros!$C$6),"Recebido no 2008",IF(G77&lt;0,"Entrada","Estorno"))</f>
        <v>Entrada</v>
      </c>
      <c r="L77" s="75" t="n">
        <f aca="false">IF(K77="Recebido no 2008",0,-G77)</f>
        <v>600</v>
      </c>
    </row>
    <row r="78" customFormat="false" ht="15" hidden="false" customHeight="false" outlineLevel="0" collapsed="false">
      <c r="A78" s="70" t="s">
        <v>217</v>
      </c>
      <c r="B78" s="70" t="s">
        <v>271</v>
      </c>
      <c r="C78" s="70" t="s">
        <v>272</v>
      </c>
      <c r="D78" s="70" t="s">
        <v>188</v>
      </c>
      <c r="E78" s="70" t="s">
        <v>189</v>
      </c>
      <c r="F78" s="71" t="n">
        <v>46289</v>
      </c>
      <c r="G78" s="72" t="n">
        <v>-60</v>
      </c>
      <c r="H78" s="70" t="s">
        <v>65</v>
      </c>
      <c r="I78" s="71" t="n">
        <v>46289</v>
      </c>
      <c r="J78" s="73" t="n">
        <v>0.686759259259259</v>
      </c>
      <c r="K78" s="74" t="str">
        <f aca="false">IF(AND(G78&gt;0,F78&lt;=Parâmetros!$C$6),"Recebido no 2008",IF(G78&lt;0,"Entrada","Estorno"))</f>
        <v>Entrada</v>
      </c>
      <c r="L78" s="75" t="n">
        <f aca="false">IF(K78="Recebido no 2008",0,-G78)</f>
        <v>60</v>
      </c>
    </row>
    <row r="79" customFormat="false" ht="15" hidden="false" customHeight="false" outlineLevel="0" collapsed="false">
      <c r="A79" s="70" t="s">
        <v>215</v>
      </c>
      <c r="B79" s="70" t="s">
        <v>271</v>
      </c>
      <c r="C79" s="70" t="s">
        <v>272</v>
      </c>
      <c r="D79" s="70" t="s">
        <v>188</v>
      </c>
      <c r="E79" s="70" t="s">
        <v>189</v>
      </c>
      <c r="F79" s="71" t="n">
        <v>46289</v>
      </c>
      <c r="G79" s="72" t="n">
        <v>-600</v>
      </c>
      <c r="H79" s="70" t="s">
        <v>65</v>
      </c>
      <c r="I79" s="71" t="n">
        <v>46289</v>
      </c>
      <c r="J79" s="73" t="n">
        <v>0.694560185185185</v>
      </c>
      <c r="K79" s="74" t="str">
        <f aca="false">IF(AND(G79&gt;0,F79&lt;=Parâmetros!$C$6),"Recebido no 2008",IF(G79&lt;0,"Entrada","Estorno"))</f>
        <v>Entrada</v>
      </c>
      <c r="L79" s="75" t="n">
        <f aca="false">IF(K79="Recebido no 2008",0,-G79)</f>
        <v>600</v>
      </c>
    </row>
    <row r="80" customFormat="false" ht="15" hidden="false" customHeight="false" outlineLevel="0" collapsed="false">
      <c r="A80" s="70" t="s">
        <v>216</v>
      </c>
      <c r="B80" s="70" t="s">
        <v>271</v>
      </c>
      <c r="C80" s="70" t="s">
        <v>272</v>
      </c>
      <c r="D80" s="70" t="s">
        <v>188</v>
      </c>
      <c r="E80" s="70" t="s">
        <v>189</v>
      </c>
      <c r="F80" s="71" t="n">
        <v>46289</v>
      </c>
      <c r="G80" s="72" t="n">
        <v>60</v>
      </c>
      <c r="H80" s="70" t="s">
        <v>65</v>
      </c>
      <c r="I80" s="71" t="n">
        <v>46289</v>
      </c>
      <c r="J80" s="73" t="n">
        <v>0.692581018518519</v>
      </c>
      <c r="K80" s="74" t="str">
        <f aca="false">IF(AND(G80&gt;0,F80&lt;=Parâmetros!$C$6),"Recebido no 2008",IF(G80&lt;0,"Entrada","Estorno"))</f>
        <v>Estorno</v>
      </c>
      <c r="L80" s="75" t="n">
        <f aca="false">IF(K80="Recebido no 2008",0,-G80)</f>
        <v>-60</v>
      </c>
    </row>
    <row r="81" customFormat="false" ht="15" hidden="false" customHeight="false" outlineLevel="0" collapsed="false">
      <c r="A81" s="70" t="s">
        <v>275</v>
      </c>
      <c r="B81" s="70" t="s">
        <v>276</v>
      </c>
      <c r="C81" s="70" t="s">
        <v>277</v>
      </c>
      <c r="D81" s="70" t="s">
        <v>188</v>
      </c>
      <c r="E81" s="70" t="s">
        <v>189</v>
      </c>
      <c r="F81" s="71" t="n">
        <v>46289</v>
      </c>
      <c r="G81" s="72" t="n">
        <v>-602.9</v>
      </c>
      <c r="H81" s="70" t="s">
        <v>65</v>
      </c>
      <c r="I81" s="71" t="n">
        <v>46289</v>
      </c>
      <c r="J81" s="73" t="n">
        <v>0.925601851851852</v>
      </c>
      <c r="K81" s="74" t="str">
        <f aca="false">IF(AND(G81&gt;0,F81&lt;=Parâmetros!$C$6),"Recebido no 2008",IF(G81&lt;0,"Entrada","Estorno"))</f>
        <v>Entrada</v>
      </c>
      <c r="L81" s="75" t="n">
        <f aca="false">IF(K81="Recebido no 2008",0,-G81)</f>
        <v>602.9</v>
      </c>
    </row>
    <row r="82" customFormat="false" ht="15" hidden="false" customHeight="false" outlineLevel="0" collapsed="false">
      <c r="A82" s="70" t="s">
        <v>185</v>
      </c>
      <c r="B82" s="70" t="s">
        <v>276</v>
      </c>
      <c r="C82" s="70" t="s">
        <v>278</v>
      </c>
      <c r="D82" s="70" t="s">
        <v>188</v>
      </c>
      <c r="E82" s="70" t="s">
        <v>189</v>
      </c>
      <c r="F82" s="71" t="n">
        <v>46289</v>
      </c>
      <c r="G82" s="72" t="n">
        <v>-1206</v>
      </c>
      <c r="H82" s="70" t="s">
        <v>65</v>
      </c>
      <c r="I82" s="71" t="n">
        <v>46289</v>
      </c>
      <c r="J82" s="73" t="n">
        <v>0.878275462962963</v>
      </c>
      <c r="K82" s="74" t="str">
        <f aca="false">IF(AND(G82&gt;0,F82&lt;=Parâmetros!$C$6),"Recebido no 2008",IF(G82&lt;0,"Entrada","Estorno"))</f>
        <v>Entrada</v>
      </c>
      <c r="L82" s="75" t="n">
        <f aca="false">IF(K82="Recebido no 2008",0,-G82)</f>
        <v>1206</v>
      </c>
    </row>
    <row r="83" customFormat="false" ht="15" hidden="false" customHeight="false" outlineLevel="0" collapsed="false">
      <c r="A83" s="70" t="s">
        <v>279</v>
      </c>
      <c r="B83" s="70" t="s">
        <v>276</v>
      </c>
      <c r="C83" s="70" t="s">
        <v>280</v>
      </c>
      <c r="D83" s="70" t="s">
        <v>188</v>
      </c>
      <c r="E83" s="70" t="s">
        <v>189</v>
      </c>
      <c r="F83" s="71" t="n">
        <v>46288</v>
      </c>
      <c r="G83" s="72" t="n">
        <v>-603</v>
      </c>
      <c r="H83" s="70" t="s">
        <v>65</v>
      </c>
      <c r="I83" s="71" t="n">
        <v>46288</v>
      </c>
      <c r="J83" s="73" t="n">
        <v>0.262141203703704</v>
      </c>
      <c r="K83" s="74" t="str">
        <f aca="false">IF(AND(G83&gt;0,F83&lt;=Parâmetros!$C$6),"Recebido no 2008",IF(G83&lt;0,"Entrada","Estorno"))</f>
        <v>Entrada</v>
      </c>
      <c r="L83" s="75" t="n">
        <f aca="false">IF(K83="Recebido no 2008",0,-G83)</f>
        <v>603</v>
      </c>
    </row>
    <row r="84" customFormat="false" ht="15" hidden="false" customHeight="false" outlineLevel="0" collapsed="false">
      <c r="A84" s="70" t="s">
        <v>210</v>
      </c>
      <c r="B84" s="70" t="s">
        <v>281</v>
      </c>
      <c r="C84" s="70" t="s">
        <v>282</v>
      </c>
      <c r="D84" s="70" t="s">
        <v>188</v>
      </c>
      <c r="E84" s="70" t="s">
        <v>189</v>
      </c>
      <c r="F84" s="71" t="n">
        <v>46293</v>
      </c>
      <c r="G84" s="72" t="n">
        <v>-864</v>
      </c>
      <c r="H84" s="70" t="s">
        <v>65</v>
      </c>
      <c r="I84" s="71" t="n">
        <v>46293</v>
      </c>
      <c r="J84" s="73" t="n">
        <v>0.717893518518519</v>
      </c>
      <c r="K84" s="74" t="str">
        <f aca="false">IF(AND(G84&gt;0,F84&lt;=Parâmetros!$C$6),"Recebido no 2008",IF(G84&lt;0,"Entrada","Estorno"))</f>
        <v>Entrada</v>
      </c>
      <c r="L84" s="75" t="n">
        <f aca="false">IF(K84="Recebido no 2008",0,-G84)</f>
        <v>864</v>
      </c>
    </row>
    <row r="85" customFormat="false" ht="15" hidden="false" customHeight="false" outlineLevel="0" collapsed="false">
      <c r="A85" s="70" t="s">
        <v>283</v>
      </c>
      <c r="B85" s="70" t="s">
        <v>284</v>
      </c>
      <c r="C85" s="70" t="s">
        <v>285</v>
      </c>
      <c r="D85" s="70" t="s">
        <v>188</v>
      </c>
      <c r="E85" s="70" t="s">
        <v>189</v>
      </c>
      <c r="F85" s="71" t="n">
        <v>46288</v>
      </c>
      <c r="G85" s="72" t="n">
        <v>-1000</v>
      </c>
      <c r="H85" s="70" t="s">
        <v>65</v>
      </c>
      <c r="I85" s="71" t="n">
        <v>46288</v>
      </c>
      <c r="J85" s="73" t="n">
        <v>0.267523148148148</v>
      </c>
      <c r="K85" s="74" t="str">
        <f aca="false">IF(AND(G85&gt;0,F85&lt;=Parâmetros!$C$6),"Recebido no 2008",IF(G85&lt;0,"Entrada","Estorno"))</f>
        <v>Entrada</v>
      </c>
      <c r="L85" s="75" t="n">
        <f aca="false">IF(K85="Recebido no 2008",0,-G85)</f>
        <v>1000</v>
      </c>
    </row>
    <row r="86" customFormat="false" ht="15" hidden="false" customHeight="false" outlineLevel="0" collapsed="false">
      <c r="A86" s="70" t="s">
        <v>249</v>
      </c>
      <c r="B86" s="70" t="s">
        <v>286</v>
      </c>
      <c r="C86" s="70" t="s">
        <v>287</v>
      </c>
      <c r="D86" s="70" t="s">
        <v>188</v>
      </c>
      <c r="E86" s="70" t="s">
        <v>189</v>
      </c>
      <c r="F86" s="71" t="n">
        <v>46294</v>
      </c>
      <c r="G86" s="72" t="n">
        <v>-120</v>
      </c>
      <c r="H86" s="70" t="s">
        <v>147</v>
      </c>
      <c r="I86" s="71" t="n">
        <v>46294</v>
      </c>
      <c r="J86" s="73" t="n">
        <v>0.612326388888889</v>
      </c>
      <c r="K86" s="74" t="str">
        <f aca="false">IF(AND(G86&gt;0,F86&lt;=Parâmetros!$C$6),"Recebido no 2008",IF(G86&lt;0,"Entrada","Estorno"))</f>
        <v>Entrada</v>
      </c>
      <c r="L86" s="75" t="n">
        <f aca="false">IF(K86="Recebido no 2008",0,-G86)</f>
        <v>120</v>
      </c>
    </row>
    <row r="87" customFormat="false" ht="15" hidden="false" customHeight="false" outlineLevel="0" collapsed="false">
      <c r="A87" s="70" t="s">
        <v>288</v>
      </c>
      <c r="B87" s="70" t="s">
        <v>286</v>
      </c>
      <c r="C87" s="70" t="s">
        <v>287</v>
      </c>
      <c r="D87" s="70" t="s">
        <v>188</v>
      </c>
      <c r="E87" s="70" t="s">
        <v>189</v>
      </c>
      <c r="F87" s="71" t="n">
        <v>46294</v>
      </c>
      <c r="G87" s="72" t="n">
        <v>-120</v>
      </c>
      <c r="H87" s="70" t="s">
        <v>147</v>
      </c>
      <c r="I87" s="71" t="n">
        <v>46294</v>
      </c>
      <c r="J87" s="73" t="n">
        <v>0.611863425925926</v>
      </c>
      <c r="K87" s="74" t="str">
        <f aca="false">IF(AND(G87&gt;0,F87&lt;=Parâmetros!$C$6),"Recebido no 2008",IF(G87&lt;0,"Entrada","Estorno"))</f>
        <v>Entrada</v>
      </c>
      <c r="L87" s="75" t="n">
        <f aca="false">IF(K87="Recebido no 2008",0,-G87)</f>
        <v>120</v>
      </c>
    </row>
    <row r="88" customFormat="false" ht="15" hidden="false" customHeight="false" outlineLevel="0" collapsed="false">
      <c r="A88" s="70" t="s">
        <v>289</v>
      </c>
      <c r="B88" s="70" t="s">
        <v>286</v>
      </c>
      <c r="C88" s="70" t="s">
        <v>290</v>
      </c>
      <c r="D88" s="70" t="s">
        <v>188</v>
      </c>
      <c r="E88" s="70" t="s">
        <v>189</v>
      </c>
      <c r="F88" s="71" t="n">
        <v>46294</v>
      </c>
      <c r="G88" s="72" t="n">
        <v>-120</v>
      </c>
      <c r="H88" s="70" t="s">
        <v>147</v>
      </c>
      <c r="I88" s="71" t="n">
        <v>46294</v>
      </c>
      <c r="J88" s="73" t="n">
        <v>0.601747685185185</v>
      </c>
      <c r="K88" s="74" t="str">
        <f aca="false">IF(AND(G88&gt;0,F88&lt;=Parâmetros!$C$6),"Recebido no 2008",IF(G88&lt;0,"Entrada","Estorno"))</f>
        <v>Entrada</v>
      </c>
      <c r="L88" s="75" t="n">
        <f aca="false">IF(K88="Recebido no 2008",0,-G88)</f>
        <v>120</v>
      </c>
    </row>
    <row r="89" customFormat="false" ht="15" hidden="false" customHeight="false" outlineLevel="0" collapsed="false">
      <c r="A89" s="70" t="s">
        <v>289</v>
      </c>
      <c r="B89" s="70" t="s">
        <v>286</v>
      </c>
      <c r="C89" s="70" t="s">
        <v>291</v>
      </c>
      <c r="D89" s="70" t="s">
        <v>188</v>
      </c>
      <c r="E89" s="70" t="s">
        <v>189</v>
      </c>
      <c r="F89" s="71" t="n">
        <v>46294</v>
      </c>
      <c r="G89" s="72" t="n">
        <v>-120</v>
      </c>
      <c r="H89" s="70" t="s">
        <v>147</v>
      </c>
      <c r="I89" s="71" t="n">
        <v>46294</v>
      </c>
      <c r="J89" s="73" t="n">
        <v>0.601747685185185</v>
      </c>
      <c r="K89" s="74" t="str">
        <f aca="false">IF(AND(G89&gt;0,F89&lt;=Parâmetros!$C$6),"Recebido no 2008",IF(G89&lt;0,"Entrada","Estorno"))</f>
        <v>Entrada</v>
      </c>
      <c r="L89" s="75" t="n">
        <f aca="false">IF(K89="Recebido no 2008",0,-G89)</f>
        <v>120</v>
      </c>
    </row>
    <row r="90" customFormat="false" ht="15" hidden="false" customHeight="false" outlineLevel="0" collapsed="false">
      <c r="A90" s="70" t="s">
        <v>292</v>
      </c>
      <c r="B90" s="70" t="s">
        <v>286</v>
      </c>
      <c r="C90" s="70" t="s">
        <v>291</v>
      </c>
      <c r="D90" s="70" t="s">
        <v>188</v>
      </c>
      <c r="E90" s="70" t="s">
        <v>189</v>
      </c>
      <c r="F90" s="71" t="n">
        <v>46294</v>
      </c>
      <c r="G90" s="72" t="n">
        <v>-120</v>
      </c>
      <c r="H90" s="70" t="s">
        <v>147</v>
      </c>
      <c r="I90" s="71" t="n">
        <v>46294</v>
      </c>
      <c r="J90" s="73" t="n">
        <v>0.600717592592593</v>
      </c>
      <c r="K90" s="74" t="str">
        <f aca="false">IF(AND(G90&gt;0,F90&lt;=Parâmetros!$C$6),"Recebido no 2008",IF(G90&lt;0,"Entrada","Estorno"))</f>
        <v>Entrada</v>
      </c>
      <c r="L90" s="75" t="n">
        <f aca="false">IF(K90="Recebido no 2008",0,-G90)</f>
        <v>120</v>
      </c>
    </row>
    <row r="91" customFormat="false" ht="15" hidden="false" customHeight="false" outlineLevel="0" collapsed="false">
      <c r="A91" s="70" t="s">
        <v>293</v>
      </c>
      <c r="B91" s="70" t="s">
        <v>286</v>
      </c>
      <c r="C91" s="70" t="s">
        <v>294</v>
      </c>
      <c r="D91" s="70" t="s">
        <v>188</v>
      </c>
      <c r="E91" s="70" t="s">
        <v>189</v>
      </c>
      <c r="F91" s="71" t="n">
        <v>46289</v>
      </c>
      <c r="G91" s="72" t="n">
        <v>-7</v>
      </c>
      <c r="H91" s="70" t="s">
        <v>147</v>
      </c>
      <c r="I91" s="71" t="n">
        <v>46289</v>
      </c>
      <c r="J91" s="73" t="n">
        <v>0.922997685185185</v>
      </c>
      <c r="K91" s="74" t="str">
        <f aca="false">IF(AND(G91&gt;0,F91&lt;=Parâmetros!$C$6),"Recebido no 2008",IF(G91&lt;0,"Entrada","Estorno"))</f>
        <v>Entrada</v>
      </c>
      <c r="L91" s="75" t="n">
        <f aca="false">IF(K91="Recebido no 2008",0,-G91)</f>
        <v>7</v>
      </c>
    </row>
    <row r="92" customFormat="false" ht="15" hidden="false" customHeight="false" outlineLevel="0" collapsed="false">
      <c r="A92" s="70" t="s">
        <v>295</v>
      </c>
      <c r="B92" s="70" t="s">
        <v>286</v>
      </c>
      <c r="C92" s="70" t="s">
        <v>290</v>
      </c>
      <c r="D92" s="70" t="s">
        <v>188</v>
      </c>
      <c r="E92" s="70" t="s">
        <v>189</v>
      </c>
      <c r="F92" s="71" t="n">
        <v>46289</v>
      </c>
      <c r="G92" s="72" t="n">
        <v>-120</v>
      </c>
      <c r="H92" s="70" t="s">
        <v>147</v>
      </c>
      <c r="I92" s="71" t="n">
        <v>46289</v>
      </c>
      <c r="J92" s="73" t="n">
        <v>0.922662037037037</v>
      </c>
      <c r="K92" s="74" t="str">
        <f aca="false">IF(AND(G92&gt;0,F92&lt;=Parâmetros!$C$6),"Recebido no 2008",IF(G92&lt;0,"Entrada","Estorno"))</f>
        <v>Entrada</v>
      </c>
      <c r="L92" s="75" t="n">
        <f aca="false">IF(K92="Recebido no 2008",0,-G92)</f>
        <v>120</v>
      </c>
    </row>
    <row r="93" customFormat="false" ht="15" hidden="false" customHeight="false" outlineLevel="0" collapsed="false">
      <c r="A93" s="70" t="s">
        <v>296</v>
      </c>
      <c r="B93" s="70" t="s">
        <v>286</v>
      </c>
      <c r="C93" s="70" t="s">
        <v>294</v>
      </c>
      <c r="D93" s="70" t="s">
        <v>188</v>
      </c>
      <c r="E93" s="70" t="s">
        <v>189</v>
      </c>
      <c r="F93" s="71" t="n">
        <v>46289</v>
      </c>
      <c r="G93" s="72" t="n">
        <v>-120</v>
      </c>
      <c r="H93" s="70" t="s">
        <v>147</v>
      </c>
      <c r="I93" s="71" t="n">
        <v>46289</v>
      </c>
      <c r="J93" s="73" t="n">
        <v>0.922210648148148</v>
      </c>
      <c r="K93" s="74" t="str">
        <f aca="false">IF(AND(G93&gt;0,F93&lt;=Parâmetros!$C$6),"Recebido no 2008",IF(G93&lt;0,"Entrada","Estorno"))</f>
        <v>Entrada</v>
      </c>
      <c r="L93" s="75" t="n">
        <f aca="false">IF(K93="Recebido no 2008",0,-G93)</f>
        <v>120</v>
      </c>
    </row>
    <row r="94" customFormat="false" ht="15" hidden="false" customHeight="false" outlineLevel="0" collapsed="false">
      <c r="A94" s="70" t="s">
        <v>297</v>
      </c>
      <c r="B94" s="70" t="s">
        <v>286</v>
      </c>
      <c r="C94" s="70" t="s">
        <v>294</v>
      </c>
      <c r="D94" s="70" t="s">
        <v>188</v>
      </c>
      <c r="E94" s="70" t="s">
        <v>189</v>
      </c>
      <c r="F94" s="71" t="n">
        <v>46289</v>
      </c>
      <c r="G94" s="72" t="n">
        <v>-120</v>
      </c>
      <c r="H94" s="70" t="s">
        <v>147</v>
      </c>
      <c r="I94" s="71" t="n">
        <v>46289</v>
      </c>
      <c r="J94" s="73" t="n">
        <v>0.879814814814815</v>
      </c>
      <c r="K94" s="74" t="str">
        <f aca="false">IF(AND(G94&gt;0,F94&lt;=Parâmetros!$C$6),"Recebido no 2008",IF(G94&lt;0,"Entrada","Estorno"))</f>
        <v>Entrada</v>
      </c>
      <c r="L94" s="75" t="n">
        <f aca="false">IF(K94="Recebido no 2008",0,-G94)</f>
        <v>120</v>
      </c>
    </row>
    <row r="95" customFormat="false" ht="15" hidden="false" customHeight="false" outlineLevel="0" collapsed="false">
      <c r="A95" s="70" t="s">
        <v>215</v>
      </c>
      <c r="B95" s="70" t="s">
        <v>286</v>
      </c>
      <c r="C95" s="70" t="s">
        <v>291</v>
      </c>
      <c r="D95" s="70" t="s">
        <v>188</v>
      </c>
      <c r="E95" s="70" t="s">
        <v>189</v>
      </c>
      <c r="F95" s="71" t="n">
        <v>46289</v>
      </c>
      <c r="G95" s="72" t="n">
        <v>-119.75</v>
      </c>
      <c r="H95" s="70" t="s">
        <v>147</v>
      </c>
      <c r="I95" s="71" t="n">
        <v>46289</v>
      </c>
      <c r="J95" s="73" t="n">
        <v>0.694560185185185</v>
      </c>
      <c r="K95" s="74" t="str">
        <f aca="false">IF(AND(G95&gt;0,F95&lt;=Parâmetros!$C$6),"Recebido no 2008",IF(G95&lt;0,"Entrada","Estorno"))</f>
        <v>Entrada</v>
      </c>
      <c r="L95" s="75" t="n">
        <f aca="false">IF(K95="Recebido no 2008",0,-G95)</f>
        <v>119.75</v>
      </c>
    </row>
    <row r="96" customFormat="false" ht="15" hidden="false" customHeight="false" outlineLevel="0" collapsed="false">
      <c r="A96" s="70" t="s">
        <v>298</v>
      </c>
      <c r="B96" s="70" t="s">
        <v>286</v>
      </c>
      <c r="C96" s="70" t="s">
        <v>299</v>
      </c>
      <c r="D96" s="70" t="s">
        <v>188</v>
      </c>
      <c r="E96" s="70" t="s">
        <v>189</v>
      </c>
      <c r="F96" s="71" t="n">
        <v>46289</v>
      </c>
      <c r="G96" s="72" t="n">
        <v>120</v>
      </c>
      <c r="H96" s="70" t="s">
        <v>147</v>
      </c>
      <c r="I96" s="71" t="n">
        <v>46289</v>
      </c>
      <c r="J96" s="73" t="n">
        <v>0.894085648148148</v>
      </c>
      <c r="K96" s="74" t="str">
        <f aca="false">IF(AND(G96&gt;0,F96&lt;=Parâmetros!$C$6),"Recebido no 2008",IF(G96&lt;0,"Entrada","Estorno"))</f>
        <v>Estorno</v>
      </c>
      <c r="L96" s="75" t="n">
        <f aca="false">IF(K96="Recebido no 2008",0,-G96)</f>
        <v>-120</v>
      </c>
    </row>
    <row r="97" customFormat="false" ht="15" hidden="false" customHeight="false" outlineLevel="0" collapsed="false">
      <c r="A97" s="70" t="s">
        <v>300</v>
      </c>
      <c r="B97" s="70" t="s">
        <v>301</v>
      </c>
      <c r="C97" s="70" t="s">
        <v>302</v>
      </c>
      <c r="D97" s="70" t="s">
        <v>188</v>
      </c>
      <c r="E97" s="70" t="s">
        <v>189</v>
      </c>
      <c r="F97" s="71" t="n">
        <v>46295</v>
      </c>
      <c r="G97" s="72" t="n">
        <v>-500</v>
      </c>
      <c r="H97" s="70" t="s">
        <v>65</v>
      </c>
      <c r="I97" s="71" t="n">
        <v>46295</v>
      </c>
      <c r="J97" s="73" t="n">
        <v>0.746724537037037</v>
      </c>
      <c r="K97" s="74" t="str">
        <f aca="false">IF(AND(G97&gt;0,F97&lt;=Parâmetros!$C$6),"Recebido no 2008",IF(G97&lt;0,"Entrada","Estorno"))</f>
        <v>Entrada</v>
      </c>
      <c r="L97" s="75" t="n">
        <f aca="false">IF(K97="Recebido no 2008",0,-G97)</f>
        <v>500</v>
      </c>
    </row>
    <row r="98" customFormat="false" ht="15" hidden="false" customHeight="false" outlineLevel="0" collapsed="false">
      <c r="A98" s="70" t="s">
        <v>303</v>
      </c>
      <c r="B98" s="70" t="s">
        <v>301</v>
      </c>
      <c r="C98" s="70" t="s">
        <v>302</v>
      </c>
      <c r="D98" s="70" t="s">
        <v>188</v>
      </c>
      <c r="E98" s="70" t="s">
        <v>189</v>
      </c>
      <c r="F98" s="71" t="n">
        <v>46294</v>
      </c>
      <c r="G98" s="72" t="n">
        <v>-100</v>
      </c>
      <c r="H98" s="70" t="s">
        <v>65</v>
      </c>
      <c r="I98" s="71" t="n">
        <v>46294</v>
      </c>
      <c r="J98" s="73" t="n">
        <v>0.671377314814815</v>
      </c>
      <c r="K98" s="74" t="str">
        <f aca="false">IF(AND(G98&gt;0,F98&lt;=Parâmetros!$C$6),"Recebido no 2008",IF(G98&lt;0,"Entrada","Estorno"))</f>
        <v>Entrada</v>
      </c>
      <c r="L98" s="75" t="n">
        <f aca="false">IF(K98="Recebido no 2008",0,-G98)</f>
        <v>100</v>
      </c>
    </row>
    <row r="99" customFormat="false" ht="15" hidden="false" customHeight="false" outlineLevel="0" collapsed="false">
      <c r="A99" s="70" t="s">
        <v>303</v>
      </c>
      <c r="B99" s="70" t="s">
        <v>301</v>
      </c>
      <c r="C99" s="70" t="s">
        <v>302</v>
      </c>
      <c r="D99" s="70" t="s">
        <v>188</v>
      </c>
      <c r="E99" s="70" t="s">
        <v>189</v>
      </c>
      <c r="F99" s="71" t="n">
        <v>46294</v>
      </c>
      <c r="G99" s="72" t="n">
        <v>-500</v>
      </c>
      <c r="H99" s="70" t="s">
        <v>65</v>
      </c>
      <c r="I99" s="71" t="n">
        <v>46294</v>
      </c>
      <c r="J99" s="73" t="n">
        <v>0.671377314814815</v>
      </c>
      <c r="K99" s="74" t="str">
        <f aca="false">IF(AND(G99&gt;0,F99&lt;=Parâmetros!$C$6),"Recebido no 2008",IF(G99&lt;0,"Entrada","Estorno"))</f>
        <v>Entrada</v>
      </c>
      <c r="L99" s="75" t="n">
        <f aca="false">IF(K99="Recebido no 2008",0,-G99)</f>
        <v>500</v>
      </c>
    </row>
    <row r="100" customFormat="false" ht="15" hidden="false" customHeight="false" outlineLevel="0" collapsed="false">
      <c r="A100" s="70" t="s">
        <v>304</v>
      </c>
      <c r="B100" s="70" t="s">
        <v>301</v>
      </c>
      <c r="C100" s="70" t="s">
        <v>302</v>
      </c>
      <c r="D100" s="70" t="s">
        <v>188</v>
      </c>
      <c r="E100" s="70" t="s">
        <v>189</v>
      </c>
      <c r="F100" s="71" t="n">
        <v>46294</v>
      </c>
      <c r="G100" s="72" t="n">
        <v>-500</v>
      </c>
      <c r="H100" s="70" t="s">
        <v>65</v>
      </c>
      <c r="I100" s="71" t="n">
        <v>46294</v>
      </c>
      <c r="J100" s="73" t="n">
        <v>0.66287037037037</v>
      </c>
      <c r="K100" s="74" t="str">
        <f aca="false">IF(AND(G100&gt;0,F100&lt;=Parâmetros!$C$6),"Recebido no 2008",IF(G100&lt;0,"Entrada","Estorno"))</f>
        <v>Entrada</v>
      </c>
      <c r="L100" s="75" t="n">
        <f aca="false">IF(K100="Recebido no 2008",0,-G100)</f>
        <v>500</v>
      </c>
    </row>
    <row r="101" customFormat="false" ht="15" hidden="false" customHeight="false" outlineLevel="0" collapsed="false">
      <c r="A101" s="70" t="s">
        <v>304</v>
      </c>
      <c r="B101" s="70" t="s">
        <v>301</v>
      </c>
      <c r="C101" s="70" t="s">
        <v>302</v>
      </c>
      <c r="D101" s="70" t="s">
        <v>188</v>
      </c>
      <c r="E101" s="70" t="s">
        <v>189</v>
      </c>
      <c r="F101" s="71" t="n">
        <v>46294</v>
      </c>
      <c r="G101" s="72" t="n">
        <v>-500</v>
      </c>
      <c r="H101" s="70" t="s">
        <v>65</v>
      </c>
      <c r="I101" s="71" t="n">
        <v>46294</v>
      </c>
      <c r="J101" s="73" t="n">
        <v>0.66287037037037</v>
      </c>
      <c r="K101" s="74" t="str">
        <f aca="false">IF(AND(G101&gt;0,F101&lt;=Parâmetros!$C$6),"Recebido no 2008",IF(G101&lt;0,"Entrada","Estorno"))</f>
        <v>Entrada</v>
      </c>
      <c r="L101" s="75" t="n">
        <f aca="false">IF(K101="Recebido no 2008",0,-G101)</f>
        <v>500</v>
      </c>
    </row>
    <row r="102" customFormat="false" ht="15" hidden="false" customHeight="false" outlineLevel="0" collapsed="false">
      <c r="A102" s="70" t="s">
        <v>304</v>
      </c>
      <c r="B102" s="70" t="s">
        <v>301</v>
      </c>
      <c r="C102" s="70" t="s">
        <v>302</v>
      </c>
      <c r="D102" s="70" t="s">
        <v>188</v>
      </c>
      <c r="E102" s="70" t="s">
        <v>189</v>
      </c>
      <c r="F102" s="71" t="n">
        <v>46294</v>
      </c>
      <c r="G102" s="72" t="n">
        <v>-500</v>
      </c>
      <c r="H102" s="70" t="s">
        <v>65</v>
      </c>
      <c r="I102" s="71" t="n">
        <v>46294</v>
      </c>
      <c r="J102" s="73" t="n">
        <v>0.66287037037037</v>
      </c>
      <c r="K102" s="74" t="str">
        <f aca="false">IF(AND(G102&gt;0,F102&lt;=Parâmetros!$C$6),"Recebido no 2008",IF(G102&lt;0,"Entrada","Estorno"))</f>
        <v>Entrada</v>
      </c>
      <c r="L102" s="75" t="n">
        <f aca="false">IF(K102="Recebido no 2008",0,-G102)</f>
        <v>500</v>
      </c>
    </row>
    <row r="103" customFormat="false" ht="15" hidden="false" customHeight="false" outlineLevel="0" collapsed="false">
      <c r="A103" s="70" t="s">
        <v>304</v>
      </c>
      <c r="B103" s="70" t="s">
        <v>301</v>
      </c>
      <c r="C103" s="70" t="s">
        <v>302</v>
      </c>
      <c r="D103" s="70" t="s">
        <v>188</v>
      </c>
      <c r="E103" s="70" t="s">
        <v>189</v>
      </c>
      <c r="F103" s="71" t="n">
        <v>46294</v>
      </c>
      <c r="G103" s="72" t="n">
        <v>-500</v>
      </c>
      <c r="H103" s="70" t="s">
        <v>65</v>
      </c>
      <c r="I103" s="71" t="n">
        <v>46294</v>
      </c>
      <c r="J103" s="73" t="n">
        <v>0.66287037037037</v>
      </c>
      <c r="K103" s="74" t="str">
        <f aca="false">IF(AND(G103&gt;0,F103&lt;=Parâmetros!$C$6),"Recebido no 2008",IF(G103&lt;0,"Entrada","Estorno"))</f>
        <v>Entrada</v>
      </c>
      <c r="L103" s="75" t="n">
        <f aca="false">IF(K103="Recebido no 2008",0,-G103)</f>
        <v>500</v>
      </c>
    </row>
    <row r="104" customFormat="false" ht="15" hidden="false" customHeight="false" outlineLevel="0" collapsed="false">
      <c r="A104" s="70" t="s">
        <v>304</v>
      </c>
      <c r="B104" s="70" t="s">
        <v>301</v>
      </c>
      <c r="C104" s="70" t="s">
        <v>302</v>
      </c>
      <c r="D104" s="70" t="s">
        <v>188</v>
      </c>
      <c r="E104" s="70" t="s">
        <v>189</v>
      </c>
      <c r="F104" s="71" t="n">
        <v>46294</v>
      </c>
      <c r="G104" s="72" t="n">
        <v>-500</v>
      </c>
      <c r="H104" s="70" t="s">
        <v>65</v>
      </c>
      <c r="I104" s="71" t="n">
        <v>46294</v>
      </c>
      <c r="J104" s="73" t="n">
        <v>0.66287037037037</v>
      </c>
      <c r="K104" s="74" t="str">
        <f aca="false">IF(AND(G104&gt;0,F104&lt;=Parâmetros!$C$6),"Recebido no 2008",IF(G104&lt;0,"Entrada","Estorno"))</f>
        <v>Entrada</v>
      </c>
      <c r="L104" s="75" t="n">
        <f aca="false">IF(K104="Recebido no 2008",0,-G104)</f>
        <v>500</v>
      </c>
    </row>
    <row r="105" customFormat="false" ht="15" hidden="false" customHeight="false" outlineLevel="0" collapsed="false">
      <c r="A105" s="70" t="s">
        <v>304</v>
      </c>
      <c r="B105" s="70" t="s">
        <v>301</v>
      </c>
      <c r="C105" s="70" t="s">
        <v>302</v>
      </c>
      <c r="D105" s="70" t="s">
        <v>188</v>
      </c>
      <c r="E105" s="70" t="s">
        <v>189</v>
      </c>
      <c r="F105" s="71" t="n">
        <v>46294</v>
      </c>
      <c r="G105" s="72" t="n">
        <v>-480</v>
      </c>
      <c r="H105" s="70" t="s">
        <v>65</v>
      </c>
      <c r="I105" s="71" t="n">
        <v>46294</v>
      </c>
      <c r="J105" s="73" t="n">
        <v>0.66287037037037</v>
      </c>
      <c r="K105" s="74" t="str">
        <f aca="false">IF(AND(G105&gt;0,F105&lt;=Parâmetros!$C$6),"Recebido no 2008",IF(G105&lt;0,"Entrada","Estorno"))</f>
        <v>Entrada</v>
      </c>
      <c r="L105" s="75" t="n">
        <f aca="false">IF(K105="Recebido no 2008",0,-G105)</f>
        <v>480</v>
      </c>
    </row>
    <row r="106" customFormat="false" ht="15" hidden="false" customHeight="false" outlineLevel="0" collapsed="false">
      <c r="A106" s="70" t="s">
        <v>304</v>
      </c>
      <c r="B106" s="70" t="s">
        <v>301</v>
      </c>
      <c r="C106" s="70" t="s">
        <v>302</v>
      </c>
      <c r="D106" s="70" t="s">
        <v>188</v>
      </c>
      <c r="E106" s="70" t="s">
        <v>189</v>
      </c>
      <c r="F106" s="71" t="n">
        <v>46294</v>
      </c>
      <c r="G106" s="72" t="n">
        <v>-200</v>
      </c>
      <c r="H106" s="70" t="s">
        <v>65</v>
      </c>
      <c r="I106" s="71" t="n">
        <v>46294</v>
      </c>
      <c r="J106" s="73" t="n">
        <v>0.66287037037037</v>
      </c>
      <c r="K106" s="74" t="str">
        <f aca="false">IF(AND(G106&gt;0,F106&lt;=Parâmetros!$C$6),"Recebido no 2008",IF(G106&lt;0,"Entrada","Estorno"))</f>
        <v>Entrada</v>
      </c>
      <c r="L106" s="75" t="n">
        <f aca="false">IF(K106="Recebido no 2008",0,-G106)</f>
        <v>200</v>
      </c>
    </row>
    <row r="107" customFormat="false" ht="15" hidden="false" customHeight="false" outlineLevel="0" collapsed="false">
      <c r="A107" s="70" t="s">
        <v>304</v>
      </c>
      <c r="B107" s="70" t="s">
        <v>301</v>
      </c>
      <c r="C107" s="70" t="s">
        <v>302</v>
      </c>
      <c r="D107" s="70" t="s">
        <v>188</v>
      </c>
      <c r="E107" s="70" t="s">
        <v>189</v>
      </c>
      <c r="F107" s="71" t="n">
        <v>46294</v>
      </c>
      <c r="G107" s="72" t="n">
        <v>-500</v>
      </c>
      <c r="H107" s="70" t="s">
        <v>65</v>
      </c>
      <c r="I107" s="71" t="n">
        <v>46294</v>
      </c>
      <c r="J107" s="73" t="n">
        <v>0.66287037037037</v>
      </c>
      <c r="K107" s="74" t="str">
        <f aca="false">IF(AND(G107&gt;0,F107&lt;=Parâmetros!$C$6),"Recebido no 2008",IF(G107&lt;0,"Entrada","Estorno"))</f>
        <v>Entrada</v>
      </c>
      <c r="L107" s="75" t="n">
        <f aca="false">IF(K107="Recebido no 2008",0,-G107)</f>
        <v>500</v>
      </c>
    </row>
    <row r="108" customFormat="false" ht="15" hidden="false" customHeight="false" outlineLevel="0" collapsed="false">
      <c r="A108" s="70" t="s">
        <v>304</v>
      </c>
      <c r="B108" s="70" t="s">
        <v>301</v>
      </c>
      <c r="C108" s="70" t="s">
        <v>302</v>
      </c>
      <c r="D108" s="70" t="s">
        <v>188</v>
      </c>
      <c r="E108" s="70" t="s">
        <v>189</v>
      </c>
      <c r="F108" s="71" t="n">
        <v>46294</v>
      </c>
      <c r="G108" s="72" t="n">
        <v>-500</v>
      </c>
      <c r="H108" s="70" t="s">
        <v>65</v>
      </c>
      <c r="I108" s="71" t="n">
        <v>46294</v>
      </c>
      <c r="J108" s="73" t="n">
        <v>0.66287037037037</v>
      </c>
      <c r="K108" s="74" t="str">
        <f aca="false">IF(AND(G108&gt;0,F108&lt;=Parâmetros!$C$6),"Recebido no 2008",IF(G108&lt;0,"Entrada","Estorno"))</f>
        <v>Entrada</v>
      </c>
      <c r="L108" s="75" t="n">
        <f aca="false">IF(K108="Recebido no 2008",0,-G108)</f>
        <v>500</v>
      </c>
    </row>
    <row r="109" customFormat="false" ht="15" hidden="false" customHeight="false" outlineLevel="0" collapsed="false">
      <c r="A109" s="70" t="s">
        <v>215</v>
      </c>
      <c r="B109" s="70" t="s">
        <v>305</v>
      </c>
      <c r="C109" s="70" t="s">
        <v>306</v>
      </c>
      <c r="D109" s="70" t="s">
        <v>188</v>
      </c>
      <c r="E109" s="70" t="s">
        <v>189</v>
      </c>
      <c r="F109" s="71" t="n">
        <v>46289</v>
      </c>
      <c r="G109" s="72" t="n">
        <v>-400</v>
      </c>
      <c r="H109" s="70" t="s">
        <v>65</v>
      </c>
      <c r="I109" s="71" t="n">
        <v>46289</v>
      </c>
      <c r="J109" s="73" t="n">
        <v>0.694560185185185</v>
      </c>
      <c r="K109" s="74" t="str">
        <f aca="false">IF(AND(G109&gt;0,F109&lt;=Parâmetros!$C$6),"Recebido no 2008",IF(G109&lt;0,"Entrada","Estorno"))</f>
        <v>Entrada</v>
      </c>
      <c r="L109" s="75" t="n">
        <f aca="false">IF(K109="Recebido no 2008",0,-G109)</f>
        <v>400</v>
      </c>
    </row>
    <row r="110" customFormat="false" ht="15" hidden="false" customHeight="false" outlineLevel="0" collapsed="false">
      <c r="A110" s="70" t="s">
        <v>216</v>
      </c>
      <c r="B110" s="70" t="s">
        <v>305</v>
      </c>
      <c r="C110" s="70" t="s">
        <v>306</v>
      </c>
      <c r="D110" s="70" t="s">
        <v>188</v>
      </c>
      <c r="E110" s="70" t="s">
        <v>189</v>
      </c>
      <c r="F110" s="71" t="n">
        <v>46289</v>
      </c>
      <c r="G110" s="72" t="n">
        <v>40</v>
      </c>
      <c r="H110" s="70" t="s">
        <v>65</v>
      </c>
      <c r="I110" s="71" t="n">
        <v>46289</v>
      </c>
      <c r="J110" s="73" t="n">
        <v>0.692581018518519</v>
      </c>
      <c r="K110" s="74" t="str">
        <f aca="false">IF(AND(G110&gt;0,F110&lt;=Parâmetros!$C$6),"Recebido no 2008",IF(G110&lt;0,"Entrada","Estorno"))</f>
        <v>Estorno</v>
      </c>
      <c r="L110" s="75" t="n">
        <f aca="false">IF(K110="Recebido no 2008",0,-G110)</f>
        <v>-40</v>
      </c>
    </row>
    <row r="111" customFormat="false" ht="15" hidden="false" customHeight="false" outlineLevel="0" collapsed="false">
      <c r="A111" s="70" t="s">
        <v>217</v>
      </c>
      <c r="B111" s="70" t="s">
        <v>305</v>
      </c>
      <c r="C111" s="70" t="s">
        <v>306</v>
      </c>
      <c r="D111" s="70" t="s">
        <v>188</v>
      </c>
      <c r="E111" s="70" t="s">
        <v>189</v>
      </c>
      <c r="F111" s="71" t="n">
        <v>46289</v>
      </c>
      <c r="G111" s="72" t="n">
        <v>-40</v>
      </c>
      <c r="H111" s="70" t="s">
        <v>65</v>
      </c>
      <c r="I111" s="71" t="n">
        <v>46289</v>
      </c>
      <c r="J111" s="73" t="n">
        <v>0.686759259259259</v>
      </c>
      <c r="K111" s="74" t="str">
        <f aca="false">IF(AND(G111&gt;0,F111&lt;=Parâmetros!$C$6),"Recebido no 2008",IF(G111&lt;0,"Entrada","Estorno"))</f>
        <v>Entrada</v>
      </c>
      <c r="L111" s="75" t="n">
        <f aca="false">IF(K111="Recebido no 2008",0,-G111)</f>
        <v>40</v>
      </c>
    </row>
    <row r="112" customFormat="false" ht="15" hidden="false" customHeight="false" outlineLevel="0" collapsed="false">
      <c r="A112" s="70" t="s">
        <v>210</v>
      </c>
      <c r="B112" s="70" t="s">
        <v>307</v>
      </c>
      <c r="C112" s="70" t="s">
        <v>308</v>
      </c>
      <c r="D112" s="70" t="s">
        <v>188</v>
      </c>
      <c r="E112" s="70" t="s">
        <v>189</v>
      </c>
      <c r="F112" s="71" t="n">
        <v>46293</v>
      </c>
      <c r="G112" s="72" t="n">
        <v>-1000</v>
      </c>
      <c r="H112" s="70" t="s">
        <v>65</v>
      </c>
      <c r="I112" s="71" t="n">
        <v>46293</v>
      </c>
      <c r="J112" s="73" t="n">
        <v>0.717893518518519</v>
      </c>
      <c r="K112" s="74" t="str">
        <f aca="false">IF(AND(G112&gt;0,F112&lt;=Parâmetros!$C$6),"Recebido no 2008",IF(G112&lt;0,"Entrada","Estorno"))</f>
        <v>Entrada</v>
      </c>
      <c r="L112" s="75" t="n">
        <f aca="false">IF(K112="Recebido no 2008",0,-G112)</f>
        <v>1000</v>
      </c>
    </row>
    <row r="113" customFormat="false" ht="15" hidden="false" customHeight="false" outlineLevel="0" collapsed="false">
      <c r="A113" s="70" t="s">
        <v>249</v>
      </c>
      <c r="B113" s="70" t="s">
        <v>309</v>
      </c>
      <c r="C113" s="70" t="s">
        <v>310</v>
      </c>
      <c r="D113" s="70" t="s">
        <v>188</v>
      </c>
      <c r="E113" s="70" t="s">
        <v>189</v>
      </c>
      <c r="F113" s="71" t="n">
        <v>46294</v>
      </c>
      <c r="G113" s="72" t="n">
        <v>-482.4</v>
      </c>
      <c r="H113" s="70" t="s">
        <v>65</v>
      </c>
      <c r="I113" s="71" t="n">
        <v>46294</v>
      </c>
      <c r="J113" s="73" t="n">
        <v>0.612326388888889</v>
      </c>
      <c r="K113" s="74" t="str">
        <f aca="false">IF(AND(G113&gt;0,F113&lt;=Parâmetros!$C$6),"Recebido no 2008",IF(G113&lt;0,"Entrada","Estorno"))</f>
        <v>Entrada</v>
      </c>
      <c r="L113" s="75" t="n">
        <f aca="false">IF(K113="Recebido no 2008",0,-G113)</f>
        <v>482.4</v>
      </c>
    </row>
    <row r="114" customFormat="false" ht="15" hidden="false" customHeight="false" outlineLevel="0" collapsed="false">
      <c r="A114" s="70" t="s">
        <v>216</v>
      </c>
      <c r="B114" s="70" t="s">
        <v>309</v>
      </c>
      <c r="C114" s="70" t="s">
        <v>310</v>
      </c>
      <c r="D114" s="70" t="s">
        <v>188</v>
      </c>
      <c r="E114" s="70" t="s">
        <v>189</v>
      </c>
      <c r="F114" s="71" t="n">
        <v>46289</v>
      </c>
      <c r="G114" s="72" t="n">
        <v>186</v>
      </c>
      <c r="H114" s="70" t="s">
        <v>65</v>
      </c>
      <c r="I114" s="71" t="n">
        <v>46289</v>
      </c>
      <c r="J114" s="73" t="n">
        <v>0.692581018518519</v>
      </c>
      <c r="K114" s="74" t="str">
        <f aca="false">IF(AND(G114&gt;0,F114&lt;=Parâmetros!$C$6),"Recebido no 2008",IF(G114&lt;0,"Entrada","Estorno"))</f>
        <v>Estorno</v>
      </c>
      <c r="L114" s="75" t="n">
        <f aca="false">IF(K114="Recebido no 2008",0,-G114)</f>
        <v>-186</v>
      </c>
    </row>
    <row r="115" customFormat="false" ht="15" hidden="false" customHeight="false" outlineLevel="0" collapsed="false">
      <c r="A115" s="70" t="s">
        <v>217</v>
      </c>
      <c r="B115" s="70" t="s">
        <v>309</v>
      </c>
      <c r="C115" s="70" t="s">
        <v>310</v>
      </c>
      <c r="D115" s="70" t="s">
        <v>188</v>
      </c>
      <c r="E115" s="70" t="s">
        <v>189</v>
      </c>
      <c r="F115" s="71" t="n">
        <v>46289</v>
      </c>
      <c r="G115" s="72" t="n">
        <v>-186</v>
      </c>
      <c r="H115" s="70" t="s">
        <v>65</v>
      </c>
      <c r="I115" s="71" t="n">
        <v>46289</v>
      </c>
      <c r="J115" s="73" t="n">
        <v>0.686759259259259</v>
      </c>
      <c r="K115" s="74" t="str">
        <f aca="false">IF(AND(G115&gt;0,F115&lt;=Parâmetros!$C$6),"Recebido no 2008",IF(G115&lt;0,"Entrada","Estorno"))</f>
        <v>Entrada</v>
      </c>
      <c r="L115" s="75" t="n">
        <f aca="false">IF(K115="Recebido no 2008",0,-G115)</f>
        <v>186</v>
      </c>
    </row>
    <row r="116" customFormat="false" ht="15" hidden="false" customHeight="false" outlineLevel="0" collapsed="false">
      <c r="A116" s="70" t="s">
        <v>311</v>
      </c>
      <c r="B116" s="70" t="s">
        <v>309</v>
      </c>
      <c r="C116" s="70" t="s">
        <v>310</v>
      </c>
      <c r="D116" s="70" t="s">
        <v>188</v>
      </c>
      <c r="E116" s="70" t="s">
        <v>189</v>
      </c>
      <c r="F116" s="71" t="n">
        <v>46289</v>
      </c>
      <c r="G116" s="72" t="n">
        <v>-2543.3</v>
      </c>
      <c r="H116" s="70" t="s">
        <v>65</v>
      </c>
      <c r="I116" s="71" t="n">
        <v>46289</v>
      </c>
      <c r="J116" s="73" t="n">
        <v>0.768275462962963</v>
      </c>
      <c r="K116" s="74" t="str">
        <f aca="false">IF(AND(G116&gt;0,F116&lt;=Parâmetros!$C$6),"Recebido no 2008",IF(G116&lt;0,"Entrada","Estorno"))</f>
        <v>Entrada</v>
      </c>
      <c r="L116" s="75" t="n">
        <f aca="false">IF(K116="Recebido no 2008",0,-G116)</f>
        <v>2543.3</v>
      </c>
    </row>
    <row r="117" customFormat="false" ht="15" hidden="false" customHeight="false" outlineLevel="0" collapsed="false">
      <c r="A117" s="70" t="s">
        <v>312</v>
      </c>
      <c r="B117" s="70" t="s">
        <v>192</v>
      </c>
      <c r="C117" s="70" t="s">
        <v>193</v>
      </c>
      <c r="D117" s="70" t="s">
        <v>188</v>
      </c>
      <c r="E117" s="70" t="s">
        <v>189</v>
      </c>
      <c r="F117" s="71" t="n">
        <v>46275</v>
      </c>
      <c r="G117" s="72" t="n">
        <v>6633</v>
      </c>
      <c r="H117" s="70" t="s">
        <v>65</v>
      </c>
      <c r="I117" s="71" t="n">
        <v>46275</v>
      </c>
      <c r="J117" s="73" t="n">
        <v>0.790555555555556</v>
      </c>
      <c r="K117" s="74" t="str">
        <f aca="false">IF(AND(G117&gt;0,F117&lt;=Parâmetros!$C$6),"Recebido no 2008",IF(G117&lt;0,"Entrada","Estorno"))</f>
        <v>Recebido no 2008</v>
      </c>
      <c r="L117" s="75" t="n">
        <f aca="false">IF(K117="Recebido no 2008",0,-G117)</f>
        <v>0</v>
      </c>
    </row>
    <row r="118" customFormat="false" ht="15" hidden="false" customHeight="false" outlineLevel="0" collapsed="false">
      <c r="A118" s="70" t="s">
        <v>313</v>
      </c>
      <c r="B118" s="70" t="s">
        <v>314</v>
      </c>
      <c r="C118" s="70" t="s">
        <v>315</v>
      </c>
      <c r="D118" s="70" t="s">
        <v>188</v>
      </c>
      <c r="E118" s="70" t="s">
        <v>189</v>
      </c>
      <c r="F118" s="71" t="n">
        <v>46291</v>
      </c>
      <c r="G118" s="72" t="n">
        <v>-2.8</v>
      </c>
      <c r="H118" s="70" t="s">
        <v>65</v>
      </c>
      <c r="I118" s="71" t="n">
        <v>46291</v>
      </c>
      <c r="J118" s="73" t="n">
        <v>0.672928240740741</v>
      </c>
      <c r="K118" s="74" t="str">
        <f aca="false">IF(AND(G118&gt;0,F118&lt;=Parâmetros!$C$6),"Recebido no 2008",IF(G118&lt;0,"Entrada","Estorno"))</f>
        <v>Entrada</v>
      </c>
      <c r="L118" s="75" t="n">
        <f aca="false">IF(K118="Recebido no 2008",0,-G118)</f>
        <v>2.8</v>
      </c>
    </row>
    <row r="119" customFormat="false" ht="15" hidden="false" customHeight="false" outlineLevel="0" collapsed="false">
      <c r="A119" s="70" t="s">
        <v>316</v>
      </c>
      <c r="B119" s="70" t="s">
        <v>218</v>
      </c>
      <c r="C119" s="70" t="s">
        <v>317</v>
      </c>
      <c r="D119" s="70" t="s">
        <v>188</v>
      </c>
      <c r="E119" s="70" t="s">
        <v>189</v>
      </c>
      <c r="F119" s="71" t="n">
        <v>46276</v>
      </c>
      <c r="G119" s="72" t="n">
        <v>-1800</v>
      </c>
      <c r="H119" s="70" t="s">
        <v>65</v>
      </c>
      <c r="I119" s="71" t="n">
        <v>46276</v>
      </c>
      <c r="J119" s="73" t="n">
        <v>0.696342592592593</v>
      </c>
      <c r="K119" s="74" t="str">
        <f aca="false">IF(AND(G119&gt;0,F119&lt;=Parâmetros!$C$6),"Recebido no 2008",IF(G119&lt;0,"Entrada","Estorno"))</f>
        <v>Entrada</v>
      </c>
      <c r="L119" s="75" t="n">
        <f aca="false">IF(K119="Recebido no 2008",0,-G119)</f>
        <v>1800</v>
      </c>
    </row>
    <row r="120" customFormat="false" ht="15" hidden="false" customHeight="false" outlineLevel="0" collapsed="false">
      <c r="A120" s="70" t="s">
        <v>316</v>
      </c>
      <c r="B120" s="70" t="s">
        <v>218</v>
      </c>
      <c r="C120" s="70" t="s">
        <v>318</v>
      </c>
      <c r="D120" s="70" t="s">
        <v>188</v>
      </c>
      <c r="E120" s="70" t="s">
        <v>189</v>
      </c>
      <c r="F120" s="71" t="n">
        <v>46276</v>
      </c>
      <c r="G120" s="72" t="n">
        <v>-600</v>
      </c>
      <c r="H120" s="70" t="s">
        <v>65</v>
      </c>
      <c r="I120" s="71" t="n">
        <v>46276</v>
      </c>
      <c r="J120" s="73" t="n">
        <v>0.696342592592593</v>
      </c>
      <c r="K120" s="74" t="str">
        <f aca="false">IF(AND(G120&gt;0,F120&lt;=Parâmetros!$C$6),"Recebido no 2008",IF(G120&lt;0,"Entrada","Estorno"))</f>
        <v>Entrada</v>
      </c>
      <c r="L120" s="75" t="n">
        <f aca="false">IF(K120="Recebido no 2008",0,-G120)</f>
        <v>600</v>
      </c>
    </row>
    <row r="121" customFormat="false" ht="15" hidden="false" customHeight="false" outlineLevel="0" collapsed="false">
      <c r="A121" s="70" t="s">
        <v>316</v>
      </c>
      <c r="B121" s="70" t="s">
        <v>218</v>
      </c>
      <c r="C121" s="70" t="s">
        <v>219</v>
      </c>
      <c r="D121" s="70" t="s">
        <v>188</v>
      </c>
      <c r="E121" s="70" t="s">
        <v>189</v>
      </c>
      <c r="F121" s="71" t="n">
        <v>46276</v>
      </c>
      <c r="G121" s="72" t="n">
        <v>-520</v>
      </c>
      <c r="H121" s="70" t="s">
        <v>65</v>
      </c>
      <c r="I121" s="71" t="n">
        <v>46276</v>
      </c>
      <c r="J121" s="73" t="n">
        <v>0.696342592592593</v>
      </c>
      <c r="K121" s="74" t="str">
        <f aca="false">IF(AND(G121&gt;0,F121&lt;=Parâmetros!$C$6),"Recebido no 2008",IF(G121&lt;0,"Entrada","Estorno"))</f>
        <v>Entrada</v>
      </c>
      <c r="L121" s="75" t="n">
        <f aca="false">IF(K121="Recebido no 2008",0,-G121)</f>
        <v>520</v>
      </c>
    </row>
    <row r="122" customFormat="false" ht="15" hidden="false" customHeight="false" outlineLevel="0" collapsed="false">
      <c r="A122" s="70" t="s">
        <v>316</v>
      </c>
      <c r="B122" s="70" t="s">
        <v>218</v>
      </c>
      <c r="C122" s="70" t="s">
        <v>319</v>
      </c>
      <c r="D122" s="70" t="s">
        <v>188</v>
      </c>
      <c r="E122" s="70" t="s">
        <v>189</v>
      </c>
      <c r="F122" s="71" t="n">
        <v>46276</v>
      </c>
      <c r="G122" s="72" t="n">
        <v>-1180</v>
      </c>
      <c r="H122" s="70" t="s">
        <v>65</v>
      </c>
      <c r="I122" s="71" t="n">
        <v>46276</v>
      </c>
      <c r="J122" s="73" t="n">
        <v>0.696342592592593</v>
      </c>
      <c r="K122" s="74" t="str">
        <f aca="false">IF(AND(G122&gt;0,F122&lt;=Parâmetros!$C$6),"Recebido no 2008",IF(G122&lt;0,"Entrada","Estorno"))</f>
        <v>Entrada</v>
      </c>
      <c r="L122" s="75" t="n">
        <f aca="false">IF(K122="Recebido no 2008",0,-G122)</f>
        <v>1180</v>
      </c>
    </row>
    <row r="123" customFormat="false" ht="15" hidden="false" customHeight="false" outlineLevel="0" collapsed="false">
      <c r="A123" s="70" t="s">
        <v>320</v>
      </c>
      <c r="B123" s="70" t="s">
        <v>218</v>
      </c>
      <c r="C123" s="70" t="s">
        <v>219</v>
      </c>
      <c r="D123" s="70" t="s">
        <v>188</v>
      </c>
      <c r="E123" s="70" t="s">
        <v>189</v>
      </c>
      <c r="F123" s="71" t="n">
        <v>46275</v>
      </c>
      <c r="G123" s="72" t="n">
        <v>5240</v>
      </c>
      <c r="H123" s="70" t="s">
        <v>65</v>
      </c>
      <c r="I123" s="71" t="n">
        <v>46275</v>
      </c>
      <c r="J123" s="73" t="n">
        <v>0.823101851851852</v>
      </c>
      <c r="K123" s="74" t="str">
        <f aca="false">IF(AND(G123&gt;0,F123&lt;=Parâmetros!$C$6),"Recebido no 2008",IF(G123&lt;0,"Entrada","Estorno"))</f>
        <v>Recebido no 2008</v>
      </c>
      <c r="L123" s="75" t="n">
        <f aca="false">IF(K123="Recebido no 2008",0,-G123)</f>
        <v>0</v>
      </c>
    </row>
    <row r="124" customFormat="false" ht="15" hidden="false" customHeight="false" outlineLevel="0" collapsed="false">
      <c r="A124" s="70" t="s">
        <v>320</v>
      </c>
      <c r="B124" s="70" t="s">
        <v>218</v>
      </c>
      <c r="C124" s="70" t="s">
        <v>319</v>
      </c>
      <c r="D124" s="70" t="s">
        <v>188</v>
      </c>
      <c r="E124" s="70" t="s">
        <v>189</v>
      </c>
      <c r="F124" s="71" t="n">
        <v>46275</v>
      </c>
      <c r="G124" s="72" t="n">
        <v>4360</v>
      </c>
      <c r="H124" s="70" t="s">
        <v>65</v>
      </c>
      <c r="I124" s="71" t="n">
        <v>46275</v>
      </c>
      <c r="J124" s="73" t="n">
        <v>0.823101851851852</v>
      </c>
      <c r="K124" s="74" t="str">
        <f aca="false">IF(AND(G124&gt;0,F124&lt;=Parâmetros!$C$6),"Recebido no 2008",IF(G124&lt;0,"Entrada","Estorno"))</f>
        <v>Recebido no 2008</v>
      </c>
      <c r="L124" s="75" t="n">
        <f aca="false">IF(K124="Recebido no 2008",0,-G124)</f>
        <v>0</v>
      </c>
    </row>
    <row r="125" customFormat="false" ht="15" hidden="false" customHeight="false" outlineLevel="0" collapsed="false">
      <c r="A125" s="70" t="s">
        <v>313</v>
      </c>
      <c r="B125" s="70" t="s">
        <v>220</v>
      </c>
      <c r="C125" s="70" t="s">
        <v>224</v>
      </c>
      <c r="D125" s="70" t="s">
        <v>188</v>
      </c>
      <c r="E125" s="70" t="s">
        <v>189</v>
      </c>
      <c r="F125" s="71" t="n">
        <v>46291</v>
      </c>
      <c r="G125" s="72" t="n">
        <v>-603</v>
      </c>
      <c r="H125" s="70" t="s">
        <v>65</v>
      </c>
      <c r="I125" s="71" t="n">
        <v>46291</v>
      </c>
      <c r="J125" s="73" t="n">
        <v>0.672928240740741</v>
      </c>
      <c r="K125" s="74" t="str">
        <f aca="false">IF(AND(G125&gt;0,F125&lt;=Parâmetros!$C$6),"Recebido no 2008",IF(G125&lt;0,"Entrada","Estorno"))</f>
        <v>Entrada</v>
      </c>
      <c r="L125" s="75" t="n">
        <f aca="false">IF(K125="Recebido no 2008",0,-G125)</f>
        <v>603</v>
      </c>
    </row>
    <row r="126" customFormat="false" ht="15" hidden="false" customHeight="false" outlineLevel="0" collapsed="false">
      <c r="A126" s="70" t="s">
        <v>321</v>
      </c>
      <c r="B126" s="70" t="s">
        <v>322</v>
      </c>
      <c r="C126" s="70" t="s">
        <v>323</v>
      </c>
      <c r="D126" s="70" t="s">
        <v>188</v>
      </c>
      <c r="E126" s="70" t="s">
        <v>189</v>
      </c>
      <c r="F126" s="71" t="n">
        <v>46291</v>
      </c>
      <c r="G126" s="72" t="n">
        <v>-2.8</v>
      </c>
      <c r="H126" s="70" t="s">
        <v>65</v>
      </c>
      <c r="I126" s="71" t="n">
        <v>46291</v>
      </c>
      <c r="J126" s="73" t="n">
        <v>0.679537037037037</v>
      </c>
      <c r="K126" s="74" t="str">
        <f aca="false">IF(AND(G126&gt;0,F126&lt;=Parâmetros!$C$6),"Recebido no 2008",IF(G126&lt;0,"Entrada","Estorno"))</f>
        <v>Entrada</v>
      </c>
      <c r="L126" s="75" t="n">
        <f aca="false">IF(K126="Recebido no 2008",0,-G126)</f>
        <v>2.8</v>
      </c>
    </row>
    <row r="127" customFormat="false" ht="15" hidden="false" customHeight="false" outlineLevel="0" collapsed="false">
      <c r="A127" s="70" t="s">
        <v>316</v>
      </c>
      <c r="B127" s="70" t="s">
        <v>227</v>
      </c>
      <c r="C127" s="70" t="s">
        <v>230</v>
      </c>
      <c r="D127" s="70" t="s">
        <v>188</v>
      </c>
      <c r="E127" s="70" t="s">
        <v>189</v>
      </c>
      <c r="F127" s="71" t="n">
        <v>46276</v>
      </c>
      <c r="G127" s="72" t="n">
        <v>-2400</v>
      </c>
      <c r="H127" s="70" t="s">
        <v>65</v>
      </c>
      <c r="I127" s="71" t="n">
        <v>46276</v>
      </c>
      <c r="J127" s="73" t="n">
        <v>0.696342592592593</v>
      </c>
      <c r="K127" s="74" t="str">
        <f aca="false">IF(AND(G127&gt;0,F127&lt;=Parâmetros!$C$6),"Recebido no 2008",IF(G127&lt;0,"Entrada","Estorno"))</f>
        <v>Entrada</v>
      </c>
      <c r="L127" s="75" t="n">
        <f aca="false">IF(K127="Recebido no 2008",0,-G127)</f>
        <v>2400</v>
      </c>
    </row>
    <row r="128" customFormat="false" ht="15" hidden="false" customHeight="false" outlineLevel="0" collapsed="false">
      <c r="A128" s="70" t="s">
        <v>324</v>
      </c>
      <c r="B128" s="70" t="s">
        <v>227</v>
      </c>
      <c r="C128" s="70" t="s">
        <v>230</v>
      </c>
      <c r="D128" s="70" t="s">
        <v>188</v>
      </c>
      <c r="E128" s="70" t="s">
        <v>189</v>
      </c>
      <c r="F128" s="71" t="n">
        <v>46275</v>
      </c>
      <c r="G128" s="72" t="n">
        <v>2400</v>
      </c>
      <c r="H128" s="70" t="s">
        <v>65</v>
      </c>
      <c r="I128" s="71" t="n">
        <v>46275</v>
      </c>
      <c r="J128" s="73" t="n">
        <v>0.929918981481481</v>
      </c>
      <c r="K128" s="74" t="str">
        <f aca="false">IF(AND(G128&gt;0,F128&lt;=Parâmetros!$C$6),"Recebido no 2008",IF(G128&lt;0,"Entrada","Estorno"))</f>
        <v>Recebido no 2008</v>
      </c>
      <c r="L128" s="75" t="n">
        <f aca="false">IF(K128="Recebido no 2008",0,-G128)</f>
        <v>0</v>
      </c>
    </row>
    <row r="129" customFormat="false" ht="15" hidden="false" customHeight="false" outlineLevel="0" collapsed="false">
      <c r="A129" s="70" t="s">
        <v>325</v>
      </c>
      <c r="B129" s="70" t="s">
        <v>227</v>
      </c>
      <c r="C129" s="70" t="s">
        <v>230</v>
      </c>
      <c r="D129" s="70" t="s">
        <v>188</v>
      </c>
      <c r="E129" s="70" t="s">
        <v>189</v>
      </c>
      <c r="F129" s="71" t="n">
        <v>46275</v>
      </c>
      <c r="G129" s="72" t="n">
        <v>3600</v>
      </c>
      <c r="H129" s="70" t="s">
        <v>65</v>
      </c>
      <c r="I129" s="71" t="n">
        <v>46275</v>
      </c>
      <c r="J129" s="73" t="n">
        <v>0.906979166666667</v>
      </c>
      <c r="K129" s="74" t="str">
        <f aca="false">IF(AND(G129&gt;0,F129&lt;=Parâmetros!$C$6),"Recebido no 2008",IF(G129&lt;0,"Entrada","Estorno"))</f>
        <v>Recebido no 2008</v>
      </c>
      <c r="L129" s="75" t="n">
        <f aca="false">IF(K129="Recebido no 2008",0,-G129)</f>
        <v>0</v>
      </c>
    </row>
    <row r="130" customFormat="false" ht="15" hidden="false" customHeight="false" outlineLevel="0" collapsed="false">
      <c r="A130" s="70" t="s">
        <v>326</v>
      </c>
      <c r="B130" s="70" t="s">
        <v>327</v>
      </c>
      <c r="C130" s="70" t="s">
        <v>328</v>
      </c>
      <c r="D130" s="70" t="s">
        <v>188</v>
      </c>
      <c r="E130" s="70" t="s">
        <v>189</v>
      </c>
      <c r="F130" s="71" t="n">
        <v>46291</v>
      </c>
      <c r="G130" s="72" t="n">
        <v>-720</v>
      </c>
      <c r="H130" s="70" t="s">
        <v>65</v>
      </c>
      <c r="I130" s="71" t="n">
        <v>46291</v>
      </c>
      <c r="J130" s="73" t="n">
        <v>0.768680555555556</v>
      </c>
      <c r="K130" s="74" t="str">
        <f aca="false">IF(AND(G130&gt;0,F130&lt;=Parâmetros!$C$6),"Recebido no 2008",IF(G130&lt;0,"Entrada","Estorno"))</f>
        <v>Entrada</v>
      </c>
      <c r="L130" s="75" t="n">
        <f aca="false">IF(K130="Recebido no 2008",0,-G130)</f>
        <v>720</v>
      </c>
    </row>
    <row r="131" customFormat="false" ht="15" hidden="false" customHeight="false" outlineLevel="0" collapsed="false">
      <c r="A131" s="70" t="s">
        <v>326</v>
      </c>
      <c r="B131" s="70" t="s">
        <v>327</v>
      </c>
      <c r="C131" s="70" t="s">
        <v>329</v>
      </c>
      <c r="D131" s="70" t="s">
        <v>188</v>
      </c>
      <c r="E131" s="70" t="s">
        <v>189</v>
      </c>
      <c r="F131" s="71" t="n">
        <v>46291</v>
      </c>
      <c r="G131" s="72" t="n">
        <v>-480</v>
      </c>
      <c r="H131" s="70" t="s">
        <v>65</v>
      </c>
      <c r="I131" s="71" t="n">
        <v>46291</v>
      </c>
      <c r="J131" s="73" t="n">
        <v>0.768680555555556</v>
      </c>
      <c r="K131" s="74" t="str">
        <f aca="false">IF(AND(G131&gt;0,F131&lt;=Parâmetros!$C$6),"Recebido no 2008",IF(G131&lt;0,"Entrada","Estorno"))</f>
        <v>Entrada</v>
      </c>
      <c r="L131" s="75" t="n">
        <f aca="false">IF(K131="Recebido no 2008",0,-G131)</f>
        <v>480</v>
      </c>
    </row>
    <row r="132" customFormat="false" ht="15" hidden="false" customHeight="false" outlineLevel="0" collapsed="false">
      <c r="A132" s="70" t="s">
        <v>316</v>
      </c>
      <c r="B132" s="70" t="s">
        <v>327</v>
      </c>
      <c r="C132" s="70" t="s">
        <v>330</v>
      </c>
      <c r="D132" s="70" t="s">
        <v>188</v>
      </c>
      <c r="E132" s="70" t="s">
        <v>189</v>
      </c>
      <c r="F132" s="71" t="n">
        <v>46276</v>
      </c>
      <c r="G132" s="72" t="n">
        <v>-40</v>
      </c>
      <c r="H132" s="70" t="s">
        <v>65</v>
      </c>
      <c r="I132" s="71" t="n">
        <v>46276</v>
      </c>
      <c r="J132" s="73" t="n">
        <v>0.696342592592593</v>
      </c>
      <c r="K132" s="74" t="str">
        <f aca="false">IF(AND(G132&gt;0,F132&lt;=Parâmetros!$C$6),"Recebido no 2008",IF(G132&lt;0,"Entrada","Estorno"))</f>
        <v>Entrada</v>
      </c>
      <c r="L132" s="75" t="n">
        <f aca="false">IF(K132="Recebido no 2008",0,-G132)</f>
        <v>40</v>
      </c>
    </row>
    <row r="133" customFormat="false" ht="15" hidden="false" customHeight="false" outlineLevel="0" collapsed="false">
      <c r="A133" s="70" t="s">
        <v>331</v>
      </c>
      <c r="B133" s="70" t="s">
        <v>327</v>
      </c>
      <c r="C133" s="70" t="s">
        <v>330</v>
      </c>
      <c r="D133" s="70" t="s">
        <v>188</v>
      </c>
      <c r="E133" s="70" t="s">
        <v>189</v>
      </c>
      <c r="F133" s="71" t="n">
        <v>46275</v>
      </c>
      <c r="G133" s="72" t="n">
        <v>960</v>
      </c>
      <c r="H133" s="70" t="s">
        <v>65</v>
      </c>
      <c r="I133" s="71" t="n">
        <v>46275</v>
      </c>
      <c r="J133" s="73" t="n">
        <v>0.840451388888889</v>
      </c>
      <c r="K133" s="74" t="str">
        <f aca="false">IF(AND(G133&gt;0,F133&lt;=Parâmetros!$C$6),"Recebido no 2008",IF(G133&lt;0,"Entrada","Estorno"))</f>
        <v>Recebido no 2008</v>
      </c>
      <c r="L133" s="75" t="n">
        <f aca="false">IF(K133="Recebido no 2008",0,-G133)</f>
        <v>0</v>
      </c>
    </row>
    <row r="134" customFormat="false" ht="15" hidden="false" customHeight="false" outlineLevel="0" collapsed="false">
      <c r="A134" s="70" t="s">
        <v>332</v>
      </c>
      <c r="B134" s="70" t="s">
        <v>327</v>
      </c>
      <c r="C134" s="70" t="s">
        <v>330</v>
      </c>
      <c r="D134" s="70" t="s">
        <v>188</v>
      </c>
      <c r="E134" s="70" t="s">
        <v>189</v>
      </c>
      <c r="F134" s="71" t="n">
        <v>46275</v>
      </c>
      <c r="G134" s="72" t="n">
        <v>1920</v>
      </c>
      <c r="H134" s="70" t="s">
        <v>65</v>
      </c>
      <c r="I134" s="71" t="n">
        <v>46275</v>
      </c>
      <c r="J134" s="73" t="n">
        <v>0.70130787037037</v>
      </c>
      <c r="K134" s="74" t="str">
        <f aca="false">IF(AND(G134&gt;0,F134&lt;=Parâmetros!$C$6),"Recebido no 2008",IF(G134&lt;0,"Entrada","Estorno"))</f>
        <v>Recebido no 2008</v>
      </c>
      <c r="L134" s="75" t="n">
        <f aca="false">IF(K134="Recebido no 2008",0,-G134)</f>
        <v>0</v>
      </c>
    </row>
    <row r="135" customFormat="false" ht="15" hidden="false" customHeight="false" outlineLevel="0" collapsed="false">
      <c r="A135" s="70" t="s">
        <v>333</v>
      </c>
      <c r="B135" s="70" t="s">
        <v>232</v>
      </c>
      <c r="C135" s="70" t="s">
        <v>334</v>
      </c>
      <c r="D135" s="70" t="s">
        <v>188</v>
      </c>
      <c r="E135" s="70" t="s">
        <v>189</v>
      </c>
      <c r="F135" s="71" t="n">
        <v>46291</v>
      </c>
      <c r="G135" s="72" t="n">
        <v>-900</v>
      </c>
      <c r="H135" s="70" t="s">
        <v>146</v>
      </c>
      <c r="I135" s="71" t="n">
        <v>46291</v>
      </c>
      <c r="J135" s="73" t="n">
        <v>0.778101851851852</v>
      </c>
      <c r="K135" s="74" t="str">
        <f aca="false">IF(AND(G135&gt;0,F135&lt;=Parâmetros!$C$6),"Recebido no 2008",IF(G135&lt;0,"Entrada","Estorno"))</f>
        <v>Entrada</v>
      </c>
      <c r="L135" s="75" t="n">
        <f aca="false">IF(K135="Recebido no 2008",0,-G135)</f>
        <v>900</v>
      </c>
    </row>
    <row r="136" customFormat="false" ht="15" hidden="false" customHeight="false" outlineLevel="0" collapsed="false">
      <c r="A136" s="70" t="s">
        <v>335</v>
      </c>
      <c r="B136" s="70" t="s">
        <v>232</v>
      </c>
      <c r="C136" s="70" t="s">
        <v>233</v>
      </c>
      <c r="D136" s="70" t="s">
        <v>188</v>
      </c>
      <c r="E136" s="70" t="s">
        <v>189</v>
      </c>
      <c r="F136" s="71" t="n">
        <v>46291</v>
      </c>
      <c r="G136" s="72" t="n">
        <v>-450</v>
      </c>
      <c r="H136" s="70" t="s">
        <v>146</v>
      </c>
      <c r="I136" s="71" t="n">
        <v>46291</v>
      </c>
      <c r="J136" s="73" t="n">
        <v>0.665636574074074</v>
      </c>
      <c r="K136" s="74" t="str">
        <f aca="false">IF(AND(G136&gt;0,F136&lt;=Parâmetros!$C$6),"Recebido no 2008",IF(G136&lt;0,"Entrada","Estorno"))</f>
        <v>Entrada</v>
      </c>
      <c r="L136" s="75" t="n">
        <f aca="false">IF(K136="Recebido no 2008",0,-G136)</f>
        <v>450</v>
      </c>
    </row>
    <row r="137" customFormat="false" ht="15" hidden="false" customHeight="false" outlineLevel="0" collapsed="false">
      <c r="A137" s="70" t="s">
        <v>312</v>
      </c>
      <c r="B137" s="70" t="s">
        <v>336</v>
      </c>
      <c r="C137" s="70" t="s">
        <v>337</v>
      </c>
      <c r="D137" s="70" t="s">
        <v>188</v>
      </c>
      <c r="E137" s="70" t="s">
        <v>189</v>
      </c>
      <c r="F137" s="71" t="n">
        <v>46275</v>
      </c>
      <c r="G137" s="72" t="n">
        <v>600</v>
      </c>
      <c r="H137" s="70" t="s">
        <v>65</v>
      </c>
      <c r="I137" s="71" t="n">
        <v>46275</v>
      </c>
      <c r="J137" s="73" t="n">
        <v>0.790555555555556</v>
      </c>
      <c r="K137" s="74" t="str">
        <f aca="false">IF(AND(G137&gt;0,F137&lt;=Parâmetros!$C$6),"Recebido no 2008",IF(G137&lt;0,"Entrada","Estorno"))</f>
        <v>Recebido no 2008</v>
      </c>
      <c r="L137" s="75" t="n">
        <f aca="false">IF(K137="Recebido no 2008",0,-G137)</f>
        <v>0</v>
      </c>
    </row>
    <row r="138" customFormat="false" ht="15" hidden="false" customHeight="false" outlineLevel="0" collapsed="false">
      <c r="A138" s="70" t="s">
        <v>332</v>
      </c>
      <c r="B138" s="70" t="s">
        <v>336</v>
      </c>
      <c r="C138" s="70" t="s">
        <v>337</v>
      </c>
      <c r="D138" s="70" t="s">
        <v>188</v>
      </c>
      <c r="E138" s="70" t="s">
        <v>189</v>
      </c>
      <c r="F138" s="71" t="n">
        <v>46275</v>
      </c>
      <c r="G138" s="72" t="n">
        <v>1800</v>
      </c>
      <c r="H138" s="70" t="s">
        <v>65</v>
      </c>
      <c r="I138" s="71" t="n">
        <v>46275</v>
      </c>
      <c r="J138" s="73" t="n">
        <v>0.70130787037037</v>
      </c>
      <c r="K138" s="74" t="str">
        <f aca="false">IF(AND(G138&gt;0,F138&lt;=Parâmetros!$C$6),"Recebido no 2008",IF(G138&lt;0,"Entrada","Estorno"))</f>
        <v>Recebido no 2008</v>
      </c>
      <c r="L138" s="75" t="n">
        <f aca="false">IF(K138="Recebido no 2008",0,-G138)</f>
        <v>0</v>
      </c>
    </row>
    <row r="139" customFormat="false" ht="15" hidden="false" customHeight="false" outlineLevel="0" collapsed="false">
      <c r="A139" s="70" t="s">
        <v>312</v>
      </c>
      <c r="B139" s="70" t="s">
        <v>338</v>
      </c>
      <c r="C139" s="70" t="s">
        <v>339</v>
      </c>
      <c r="D139" s="70" t="s">
        <v>188</v>
      </c>
      <c r="E139" s="70" t="s">
        <v>189</v>
      </c>
      <c r="F139" s="71" t="n">
        <v>46275</v>
      </c>
      <c r="G139" s="72" t="n">
        <v>1122</v>
      </c>
      <c r="H139" s="70" t="s">
        <v>65</v>
      </c>
      <c r="I139" s="71" t="n">
        <v>46275</v>
      </c>
      <c r="J139" s="73" t="n">
        <v>0.790555555555556</v>
      </c>
      <c r="K139" s="74" t="str">
        <f aca="false">IF(AND(G139&gt;0,F139&lt;=Parâmetros!$C$6),"Recebido no 2008",IF(G139&lt;0,"Entrada","Estorno"))</f>
        <v>Recebido no 2008</v>
      </c>
      <c r="L139" s="75" t="n">
        <f aca="false">IF(K139="Recebido no 2008",0,-G139)</f>
        <v>0</v>
      </c>
    </row>
    <row r="140" customFormat="false" ht="15" hidden="false" customHeight="false" outlineLevel="0" collapsed="false">
      <c r="A140" s="70" t="s">
        <v>312</v>
      </c>
      <c r="B140" s="70" t="s">
        <v>338</v>
      </c>
      <c r="C140" s="70" t="s">
        <v>340</v>
      </c>
      <c r="D140" s="70" t="s">
        <v>188</v>
      </c>
      <c r="E140" s="70" t="s">
        <v>189</v>
      </c>
      <c r="F140" s="71" t="n">
        <v>46275</v>
      </c>
      <c r="G140" s="72" t="n">
        <v>798</v>
      </c>
      <c r="H140" s="70" t="s">
        <v>65</v>
      </c>
      <c r="I140" s="71" t="n">
        <v>46275</v>
      </c>
      <c r="J140" s="73" t="n">
        <v>0.790555555555556</v>
      </c>
      <c r="K140" s="74" t="str">
        <f aca="false">IF(AND(G140&gt;0,F140&lt;=Parâmetros!$C$6),"Recebido no 2008",IF(G140&lt;0,"Entrada","Estorno"))</f>
        <v>Recebido no 2008</v>
      </c>
      <c r="L140" s="75" t="n">
        <f aca="false">IF(K140="Recebido no 2008",0,-G140)</f>
        <v>0</v>
      </c>
    </row>
    <row r="141" customFormat="false" ht="15" hidden="false" customHeight="false" outlineLevel="0" collapsed="false">
      <c r="A141" s="70" t="s">
        <v>326</v>
      </c>
      <c r="B141" s="70" t="s">
        <v>341</v>
      </c>
      <c r="C141" s="70" t="s">
        <v>342</v>
      </c>
      <c r="D141" s="70" t="s">
        <v>188</v>
      </c>
      <c r="E141" s="70" t="s">
        <v>189</v>
      </c>
      <c r="F141" s="71" t="n">
        <v>46291</v>
      </c>
      <c r="G141" s="72" t="n">
        <v>-81.6</v>
      </c>
      <c r="H141" s="70" t="s">
        <v>65</v>
      </c>
      <c r="I141" s="71" t="n">
        <v>46291</v>
      </c>
      <c r="J141" s="73" t="n">
        <v>0.768680555555556</v>
      </c>
      <c r="K141" s="74" t="str">
        <f aca="false">IF(AND(G141&gt;0,F141&lt;=Parâmetros!$C$6),"Recebido no 2008",IF(G141&lt;0,"Entrada","Estorno"))</f>
        <v>Entrada</v>
      </c>
      <c r="L141" s="75" t="n">
        <f aca="false">IF(K141="Recebido no 2008",0,-G141)</f>
        <v>81.6</v>
      </c>
    </row>
    <row r="142" customFormat="false" ht="15" hidden="false" customHeight="false" outlineLevel="0" collapsed="false">
      <c r="A142" s="70" t="s">
        <v>332</v>
      </c>
      <c r="B142" s="70" t="s">
        <v>343</v>
      </c>
      <c r="C142" s="70" t="s">
        <v>344</v>
      </c>
      <c r="D142" s="70" t="s">
        <v>188</v>
      </c>
      <c r="E142" s="70" t="s">
        <v>189</v>
      </c>
      <c r="F142" s="71" t="n">
        <v>46275</v>
      </c>
      <c r="G142" s="72" t="n">
        <v>1296</v>
      </c>
      <c r="H142" s="70" t="s">
        <v>65</v>
      </c>
      <c r="I142" s="71" t="n">
        <v>46275</v>
      </c>
      <c r="J142" s="73" t="n">
        <v>0.70130787037037</v>
      </c>
      <c r="K142" s="74" t="str">
        <f aca="false">IF(AND(G142&gt;0,F142&lt;=Parâmetros!$C$6),"Recebido no 2008",IF(G142&lt;0,"Entrada","Estorno"))</f>
        <v>Recebido no 2008</v>
      </c>
      <c r="L142" s="75" t="n">
        <f aca="false">IF(K142="Recebido no 2008",0,-G142)</f>
        <v>0</v>
      </c>
    </row>
    <row r="143" customFormat="false" ht="15" hidden="false" customHeight="false" outlineLevel="0" collapsed="false">
      <c r="A143" s="70" t="s">
        <v>345</v>
      </c>
      <c r="B143" s="70" t="s">
        <v>346</v>
      </c>
      <c r="C143" s="70" t="s">
        <v>347</v>
      </c>
      <c r="D143" s="70" t="s">
        <v>188</v>
      </c>
      <c r="E143" s="70" t="s">
        <v>189</v>
      </c>
      <c r="F143" s="71" t="n">
        <v>46280</v>
      </c>
      <c r="G143" s="72" t="n">
        <v>1280</v>
      </c>
      <c r="H143" s="70" t="s">
        <v>65</v>
      </c>
      <c r="I143" s="71" t="n">
        <v>46280</v>
      </c>
      <c r="J143" s="73" t="n">
        <v>0.80443287037037</v>
      </c>
      <c r="K143" s="74" t="str">
        <f aca="false">IF(AND(G143&gt;0,F143&lt;=Parâmetros!$C$6),"Recebido no 2008",IF(G143&lt;0,"Entrada","Estorno"))</f>
        <v>Recebido no 2008</v>
      </c>
      <c r="L143" s="75" t="n">
        <f aca="false">IF(K143="Recebido no 2008",0,-G143)</f>
        <v>0</v>
      </c>
    </row>
    <row r="144" customFormat="false" ht="15" hidden="false" customHeight="false" outlineLevel="0" collapsed="false">
      <c r="A144" s="70" t="s">
        <v>321</v>
      </c>
      <c r="B144" s="70" t="s">
        <v>247</v>
      </c>
      <c r="C144" s="70" t="s">
        <v>348</v>
      </c>
      <c r="D144" s="70" t="s">
        <v>188</v>
      </c>
      <c r="E144" s="70" t="s">
        <v>189</v>
      </c>
      <c r="F144" s="71" t="n">
        <v>46291</v>
      </c>
      <c r="G144" s="72" t="n">
        <v>-40.2</v>
      </c>
      <c r="H144" s="70" t="s">
        <v>65</v>
      </c>
      <c r="I144" s="71" t="n">
        <v>46291</v>
      </c>
      <c r="J144" s="73" t="n">
        <v>0.679537037037037</v>
      </c>
      <c r="K144" s="74" t="str">
        <f aca="false">IF(AND(G144&gt;0,F144&lt;=Parâmetros!$C$6),"Recebido no 2008",IF(G144&lt;0,"Entrada","Estorno"))</f>
        <v>Entrada</v>
      </c>
      <c r="L144" s="75" t="n">
        <f aca="false">IF(K144="Recebido no 2008",0,-G144)</f>
        <v>40.2</v>
      </c>
    </row>
    <row r="145" customFormat="false" ht="15" hidden="false" customHeight="false" outlineLevel="0" collapsed="false">
      <c r="A145" s="70" t="s">
        <v>349</v>
      </c>
      <c r="B145" s="70" t="s">
        <v>247</v>
      </c>
      <c r="C145" s="70" t="s">
        <v>248</v>
      </c>
      <c r="D145" s="70" t="s">
        <v>188</v>
      </c>
      <c r="E145" s="70" t="s">
        <v>189</v>
      </c>
      <c r="F145" s="71" t="n">
        <v>46291</v>
      </c>
      <c r="G145" s="72" t="n">
        <v>-603</v>
      </c>
      <c r="H145" s="70" t="s">
        <v>65</v>
      </c>
      <c r="I145" s="71" t="n">
        <v>46291</v>
      </c>
      <c r="J145" s="73" t="n">
        <v>0.598726851851852</v>
      </c>
      <c r="K145" s="74" t="str">
        <f aca="false">IF(AND(G145&gt;0,F145&lt;=Parâmetros!$C$6),"Recebido no 2008",IF(G145&lt;0,"Entrada","Estorno"))</f>
        <v>Entrada</v>
      </c>
      <c r="L145" s="75" t="n">
        <f aca="false">IF(K145="Recebido no 2008",0,-G145)</f>
        <v>603</v>
      </c>
    </row>
    <row r="146" customFormat="false" ht="15" hidden="false" customHeight="false" outlineLevel="0" collapsed="false">
      <c r="A146" s="70" t="s">
        <v>320</v>
      </c>
      <c r="B146" s="70" t="s">
        <v>247</v>
      </c>
      <c r="C146" s="70" t="s">
        <v>350</v>
      </c>
      <c r="D146" s="70" t="s">
        <v>188</v>
      </c>
      <c r="E146" s="70" t="s">
        <v>189</v>
      </c>
      <c r="F146" s="71" t="n">
        <v>46275</v>
      </c>
      <c r="G146" s="72" t="n">
        <v>160.8</v>
      </c>
      <c r="H146" s="70" t="s">
        <v>65</v>
      </c>
      <c r="I146" s="71" t="n">
        <v>46275</v>
      </c>
      <c r="J146" s="73" t="n">
        <v>0.823101851851852</v>
      </c>
      <c r="K146" s="74" t="str">
        <f aca="false">IF(AND(G146&gt;0,F146&lt;=Parâmetros!$C$6),"Recebido no 2008",IF(G146&lt;0,"Entrada","Estorno"))</f>
        <v>Recebido no 2008</v>
      </c>
      <c r="L146" s="75" t="n">
        <f aca="false">IF(K146="Recebido no 2008",0,-G146)</f>
        <v>0</v>
      </c>
    </row>
    <row r="147" customFormat="false" ht="15" hidden="false" customHeight="false" outlineLevel="0" collapsed="false">
      <c r="A147" s="70" t="s">
        <v>320</v>
      </c>
      <c r="B147" s="70" t="s">
        <v>247</v>
      </c>
      <c r="C147" s="70" t="s">
        <v>248</v>
      </c>
      <c r="D147" s="70" t="s">
        <v>188</v>
      </c>
      <c r="E147" s="70" t="s">
        <v>189</v>
      </c>
      <c r="F147" s="71" t="n">
        <v>46275</v>
      </c>
      <c r="G147" s="72" t="n">
        <v>1025.1</v>
      </c>
      <c r="H147" s="70" t="s">
        <v>65</v>
      </c>
      <c r="I147" s="71" t="n">
        <v>46275</v>
      </c>
      <c r="J147" s="73" t="n">
        <v>0.823101851851852</v>
      </c>
      <c r="K147" s="74" t="str">
        <f aca="false">IF(AND(G147&gt;0,F147&lt;=Parâmetros!$C$6),"Recebido no 2008",IF(G147&lt;0,"Entrada","Estorno"))</f>
        <v>Recebido no 2008</v>
      </c>
      <c r="L147" s="75" t="n">
        <f aca="false">IF(K147="Recebido no 2008",0,-G147)</f>
        <v>0</v>
      </c>
    </row>
    <row r="148" customFormat="false" ht="15" hidden="false" customHeight="false" outlineLevel="0" collapsed="false">
      <c r="A148" s="70" t="s">
        <v>345</v>
      </c>
      <c r="B148" s="70" t="s">
        <v>351</v>
      </c>
      <c r="C148" s="70" t="s">
        <v>352</v>
      </c>
      <c r="D148" s="70" t="s">
        <v>188</v>
      </c>
      <c r="E148" s="70" t="s">
        <v>189</v>
      </c>
      <c r="F148" s="71" t="n">
        <v>46280</v>
      </c>
      <c r="G148" s="72" t="n">
        <v>640</v>
      </c>
      <c r="H148" s="70" t="s">
        <v>65</v>
      </c>
      <c r="I148" s="71" t="n">
        <v>46280</v>
      </c>
      <c r="J148" s="73" t="n">
        <v>0.80443287037037</v>
      </c>
      <c r="K148" s="74" t="str">
        <f aca="false">IF(AND(G148&gt;0,F148&lt;=Parâmetros!$C$6),"Recebido no 2008",IF(G148&lt;0,"Entrada","Estorno"))</f>
        <v>Recebido no 2008</v>
      </c>
      <c r="L148" s="75" t="n">
        <f aca="false">IF(K148="Recebido no 2008",0,-G148)</f>
        <v>0</v>
      </c>
    </row>
    <row r="149" customFormat="false" ht="15" hidden="false" customHeight="false" outlineLevel="0" collapsed="false">
      <c r="A149" s="70" t="s">
        <v>353</v>
      </c>
      <c r="B149" s="70" t="s">
        <v>252</v>
      </c>
      <c r="C149" s="70" t="s">
        <v>253</v>
      </c>
      <c r="D149" s="70" t="s">
        <v>188</v>
      </c>
      <c r="E149" s="70" t="s">
        <v>189</v>
      </c>
      <c r="F149" s="71" t="n">
        <v>46275</v>
      </c>
      <c r="G149" s="72" t="n">
        <v>1920</v>
      </c>
      <c r="H149" s="70" t="s">
        <v>65</v>
      </c>
      <c r="I149" s="71" t="n">
        <v>46275</v>
      </c>
      <c r="J149" s="73" t="n">
        <v>0.768738425925926</v>
      </c>
      <c r="K149" s="74" t="str">
        <f aca="false">IF(AND(G149&gt;0,F149&lt;=Parâmetros!$C$6),"Recebido no 2008",IF(G149&lt;0,"Entrada","Estorno"))</f>
        <v>Recebido no 2008</v>
      </c>
      <c r="L149" s="75" t="n">
        <f aca="false">IF(K149="Recebido no 2008",0,-G149)</f>
        <v>0</v>
      </c>
    </row>
    <row r="150" customFormat="false" ht="15" hidden="false" customHeight="false" outlineLevel="0" collapsed="false">
      <c r="A150" s="70" t="s">
        <v>313</v>
      </c>
      <c r="B150" s="70" t="s">
        <v>354</v>
      </c>
      <c r="C150" s="70" t="s">
        <v>355</v>
      </c>
      <c r="D150" s="70" t="s">
        <v>188</v>
      </c>
      <c r="E150" s="70" t="s">
        <v>189</v>
      </c>
      <c r="F150" s="71" t="n">
        <v>46291</v>
      </c>
      <c r="G150" s="72" t="n">
        <v>-10</v>
      </c>
      <c r="H150" s="70" t="s">
        <v>65</v>
      </c>
      <c r="I150" s="71" t="n">
        <v>46291</v>
      </c>
      <c r="J150" s="73" t="n">
        <v>0.672928240740741</v>
      </c>
      <c r="K150" s="74" t="str">
        <f aca="false">IF(AND(G150&gt;0,F150&lt;=Parâmetros!$C$6),"Recebido no 2008",IF(G150&lt;0,"Entrada","Estorno"))</f>
        <v>Entrada</v>
      </c>
      <c r="L150" s="75" t="n">
        <f aca="false">IF(K150="Recebido no 2008",0,-G150)</f>
        <v>10</v>
      </c>
    </row>
    <row r="151" customFormat="false" ht="15" hidden="false" customHeight="false" outlineLevel="0" collapsed="false">
      <c r="A151" s="70" t="s">
        <v>312</v>
      </c>
      <c r="B151" s="70" t="s">
        <v>356</v>
      </c>
      <c r="C151" s="70" t="s">
        <v>357</v>
      </c>
      <c r="D151" s="70" t="s">
        <v>188</v>
      </c>
      <c r="E151" s="70" t="s">
        <v>189</v>
      </c>
      <c r="F151" s="71" t="n">
        <v>46275</v>
      </c>
      <c r="G151" s="72" t="n">
        <v>384</v>
      </c>
      <c r="H151" s="70" t="s">
        <v>65</v>
      </c>
      <c r="I151" s="71" t="n">
        <v>46275</v>
      </c>
      <c r="J151" s="73" t="n">
        <v>0.790555555555556</v>
      </c>
      <c r="K151" s="74" t="str">
        <f aca="false">IF(AND(G151&gt;0,F151&lt;=Parâmetros!$C$6),"Recebido no 2008",IF(G151&lt;0,"Entrada","Estorno"))</f>
        <v>Recebido no 2008</v>
      </c>
      <c r="L151" s="75" t="n">
        <f aca="false">IF(K151="Recebido no 2008",0,-G151)</f>
        <v>0</v>
      </c>
    </row>
    <row r="152" customFormat="false" ht="15" hidden="false" customHeight="false" outlineLevel="0" collapsed="false">
      <c r="A152" s="70" t="s">
        <v>321</v>
      </c>
      <c r="B152" s="70" t="s">
        <v>257</v>
      </c>
      <c r="C152" s="70" t="s">
        <v>209</v>
      </c>
      <c r="D152" s="70" t="s">
        <v>188</v>
      </c>
      <c r="E152" s="70" t="s">
        <v>189</v>
      </c>
      <c r="F152" s="71" t="n">
        <v>46291</v>
      </c>
      <c r="G152" s="72" t="n">
        <v>-288</v>
      </c>
      <c r="H152" s="70" t="s">
        <v>65</v>
      </c>
      <c r="I152" s="71" t="n">
        <v>46291</v>
      </c>
      <c r="J152" s="73" t="n">
        <v>0.679537037037037</v>
      </c>
      <c r="K152" s="74" t="str">
        <f aca="false">IF(AND(G152&gt;0,F152&lt;=Parâmetros!$C$6),"Recebido no 2008",IF(G152&lt;0,"Entrada","Estorno"))</f>
        <v>Entrada</v>
      </c>
      <c r="L152" s="75" t="n">
        <f aca="false">IF(K152="Recebido no 2008",0,-G152)</f>
        <v>288</v>
      </c>
    </row>
    <row r="153" customFormat="false" ht="15" hidden="false" customHeight="false" outlineLevel="0" collapsed="false">
      <c r="A153" s="70" t="s">
        <v>333</v>
      </c>
      <c r="B153" s="70" t="s">
        <v>257</v>
      </c>
      <c r="C153" s="70" t="s">
        <v>258</v>
      </c>
      <c r="D153" s="70" t="s">
        <v>188</v>
      </c>
      <c r="E153" s="70" t="s">
        <v>189</v>
      </c>
      <c r="F153" s="71" t="n">
        <v>46291</v>
      </c>
      <c r="G153" s="72" t="n">
        <v>-198</v>
      </c>
      <c r="H153" s="70" t="s">
        <v>65</v>
      </c>
      <c r="I153" s="71" t="n">
        <v>46291</v>
      </c>
      <c r="J153" s="73" t="n">
        <v>0.778101851851852</v>
      </c>
      <c r="K153" s="74" t="str">
        <f aca="false">IF(AND(G153&gt;0,F153&lt;=Parâmetros!$C$6),"Recebido no 2008",IF(G153&lt;0,"Entrada","Estorno"))</f>
        <v>Entrada</v>
      </c>
      <c r="L153" s="75" t="n">
        <f aca="false">IF(K153="Recebido no 2008",0,-G153)</f>
        <v>198</v>
      </c>
    </row>
    <row r="154" customFormat="false" ht="15" hidden="false" customHeight="false" outlineLevel="0" collapsed="false">
      <c r="A154" s="70" t="s">
        <v>345</v>
      </c>
      <c r="B154" s="70" t="s">
        <v>358</v>
      </c>
      <c r="C154" s="70" t="s">
        <v>359</v>
      </c>
      <c r="D154" s="70" t="s">
        <v>188</v>
      </c>
      <c r="E154" s="70" t="s">
        <v>189</v>
      </c>
      <c r="F154" s="71" t="n">
        <v>46280</v>
      </c>
      <c r="G154" s="72" t="n">
        <v>2900</v>
      </c>
      <c r="H154" s="70" t="s">
        <v>65</v>
      </c>
      <c r="I154" s="71" t="n">
        <v>46280</v>
      </c>
      <c r="J154" s="73" t="n">
        <v>0.80443287037037</v>
      </c>
      <c r="K154" s="74" t="str">
        <f aca="false">IF(AND(G154&gt;0,F154&lt;=Parâmetros!$C$6),"Recebido no 2008",IF(G154&lt;0,"Entrada","Estorno"))</f>
        <v>Recebido no 2008</v>
      </c>
      <c r="L154" s="75" t="n">
        <f aca="false">IF(K154="Recebido no 2008",0,-G154)</f>
        <v>0</v>
      </c>
    </row>
    <row r="155" customFormat="false" ht="15" hidden="false" customHeight="false" outlineLevel="0" collapsed="false">
      <c r="A155" s="70" t="s">
        <v>345</v>
      </c>
      <c r="B155" s="70" t="s">
        <v>358</v>
      </c>
      <c r="C155" s="70" t="s">
        <v>360</v>
      </c>
      <c r="D155" s="70" t="s">
        <v>188</v>
      </c>
      <c r="E155" s="70" t="s">
        <v>189</v>
      </c>
      <c r="F155" s="71" t="n">
        <v>46280</v>
      </c>
      <c r="G155" s="72" t="n">
        <v>1300</v>
      </c>
      <c r="H155" s="70" t="s">
        <v>65</v>
      </c>
      <c r="I155" s="71" t="n">
        <v>46280</v>
      </c>
      <c r="J155" s="73" t="n">
        <v>0.80443287037037</v>
      </c>
      <c r="K155" s="74" t="str">
        <f aca="false">IF(AND(G155&gt;0,F155&lt;=Parâmetros!$C$6),"Recebido no 2008",IF(G155&lt;0,"Entrada","Estorno"))</f>
        <v>Recebido no 2008</v>
      </c>
      <c r="L155" s="75" t="n">
        <f aca="false">IF(K155="Recebido no 2008",0,-G155)</f>
        <v>0</v>
      </c>
    </row>
    <row r="156" customFormat="false" ht="15" hidden="false" customHeight="false" outlineLevel="0" collapsed="false">
      <c r="A156" s="70" t="s">
        <v>361</v>
      </c>
      <c r="B156" s="70" t="s">
        <v>260</v>
      </c>
      <c r="C156" s="70" t="s">
        <v>362</v>
      </c>
      <c r="D156" s="70" t="s">
        <v>188</v>
      </c>
      <c r="E156" s="70" t="s">
        <v>189</v>
      </c>
      <c r="F156" s="71" t="n">
        <v>46274</v>
      </c>
      <c r="G156" s="72" t="n">
        <v>-195.84</v>
      </c>
      <c r="H156" s="70" t="s">
        <v>65</v>
      </c>
      <c r="I156" s="71" t="n">
        <v>46274</v>
      </c>
      <c r="J156" s="73" t="n">
        <v>0.6428125</v>
      </c>
      <c r="K156" s="74" t="str">
        <f aca="false">IF(AND(G156&gt;0,F156&lt;=Parâmetros!$C$6),"Recebido no 2008",IF(G156&lt;0,"Entrada","Estorno"))</f>
        <v>Entrada</v>
      </c>
      <c r="L156" s="75" t="n">
        <f aca="false">IF(K156="Recebido no 2008",0,-G156)</f>
        <v>195.84</v>
      </c>
    </row>
    <row r="157" customFormat="false" ht="15" hidden="false" customHeight="false" outlineLevel="0" collapsed="false">
      <c r="A157" s="70" t="s">
        <v>361</v>
      </c>
      <c r="B157" s="70" t="s">
        <v>260</v>
      </c>
      <c r="C157" s="70" t="s">
        <v>363</v>
      </c>
      <c r="D157" s="70" t="s">
        <v>188</v>
      </c>
      <c r="E157" s="70" t="s">
        <v>189</v>
      </c>
      <c r="F157" s="71" t="n">
        <v>46274</v>
      </c>
      <c r="G157" s="72" t="n">
        <v>-295.12</v>
      </c>
      <c r="H157" s="70" t="s">
        <v>65</v>
      </c>
      <c r="I157" s="71" t="n">
        <v>46274</v>
      </c>
      <c r="J157" s="73" t="n">
        <v>0.6428125</v>
      </c>
      <c r="K157" s="74" t="str">
        <f aca="false">IF(AND(G157&gt;0,F157&lt;=Parâmetros!$C$6),"Recebido no 2008",IF(G157&lt;0,"Entrada","Estorno"))</f>
        <v>Entrada</v>
      </c>
      <c r="L157" s="75" t="n">
        <f aca="false">IF(K157="Recebido no 2008",0,-G157)</f>
        <v>295.12</v>
      </c>
    </row>
    <row r="158" customFormat="false" ht="15" hidden="false" customHeight="false" outlineLevel="0" collapsed="false">
      <c r="A158" s="70" t="s">
        <v>345</v>
      </c>
      <c r="B158" s="70" t="s">
        <v>364</v>
      </c>
      <c r="C158" s="70" t="s">
        <v>365</v>
      </c>
      <c r="D158" s="70" t="s">
        <v>188</v>
      </c>
      <c r="E158" s="70" t="s">
        <v>189</v>
      </c>
      <c r="F158" s="71" t="n">
        <v>46280</v>
      </c>
      <c r="G158" s="72" t="n">
        <v>1200</v>
      </c>
      <c r="H158" s="70" t="s">
        <v>65</v>
      </c>
      <c r="I158" s="71" t="n">
        <v>46280</v>
      </c>
      <c r="J158" s="73" t="n">
        <v>0.80443287037037</v>
      </c>
      <c r="K158" s="74" t="str">
        <f aca="false">IF(AND(G158&gt;0,F158&lt;=Parâmetros!$C$6),"Recebido no 2008",IF(G158&lt;0,"Entrada","Estorno"))</f>
        <v>Recebido no 2008</v>
      </c>
      <c r="L158" s="75" t="n">
        <f aca="false">IF(K158="Recebido no 2008",0,-G158)</f>
        <v>0</v>
      </c>
    </row>
    <row r="159" customFormat="false" ht="15" hidden="false" customHeight="false" outlineLevel="0" collapsed="false">
      <c r="A159" s="70" t="s">
        <v>366</v>
      </c>
      <c r="B159" s="70" t="s">
        <v>271</v>
      </c>
      <c r="C159" s="70" t="s">
        <v>272</v>
      </c>
      <c r="D159" s="70" t="s">
        <v>188</v>
      </c>
      <c r="E159" s="70" t="s">
        <v>189</v>
      </c>
      <c r="F159" s="71" t="n">
        <v>46291</v>
      </c>
      <c r="G159" s="72" t="n">
        <v>-480</v>
      </c>
      <c r="H159" s="70" t="s">
        <v>65</v>
      </c>
      <c r="I159" s="71" t="n">
        <v>46291</v>
      </c>
      <c r="J159" s="73" t="n">
        <v>0.592152777777778</v>
      </c>
      <c r="K159" s="74" t="str">
        <f aca="false">IF(AND(G159&gt;0,F159&lt;=Parâmetros!$C$6),"Recebido no 2008",IF(G159&lt;0,"Entrada","Estorno"))</f>
        <v>Entrada</v>
      </c>
      <c r="L159" s="75" t="n">
        <f aca="false">IF(K159="Recebido no 2008",0,-G159)</f>
        <v>480</v>
      </c>
    </row>
    <row r="160" customFormat="false" ht="15" hidden="false" customHeight="false" outlineLevel="0" collapsed="false">
      <c r="A160" s="70" t="s">
        <v>367</v>
      </c>
      <c r="B160" s="70" t="s">
        <v>271</v>
      </c>
      <c r="C160" s="70" t="s">
        <v>272</v>
      </c>
      <c r="D160" s="70" t="s">
        <v>188</v>
      </c>
      <c r="E160" s="70" t="s">
        <v>189</v>
      </c>
      <c r="F160" s="71" t="n">
        <v>46291</v>
      </c>
      <c r="G160" s="72" t="n">
        <v>120</v>
      </c>
      <c r="H160" s="70" t="s">
        <v>65</v>
      </c>
      <c r="I160" s="71" t="n">
        <v>46291</v>
      </c>
      <c r="J160" s="73" t="n">
        <v>0.836284722222222</v>
      </c>
      <c r="K160" s="74" t="str">
        <f aca="false">IF(AND(G160&gt;0,F160&lt;=Parâmetros!$C$6),"Recebido no 2008",IF(G160&lt;0,"Entrada","Estorno"))</f>
        <v>Estorno</v>
      </c>
      <c r="L160" s="75" t="n">
        <f aca="false">IF(K160="Recebido no 2008",0,-G160)</f>
        <v>-120</v>
      </c>
    </row>
    <row r="161" customFormat="false" ht="15" hidden="false" customHeight="false" outlineLevel="0" collapsed="false">
      <c r="A161" s="70" t="s">
        <v>332</v>
      </c>
      <c r="B161" s="70" t="s">
        <v>271</v>
      </c>
      <c r="C161" s="70" t="s">
        <v>273</v>
      </c>
      <c r="D161" s="70" t="s">
        <v>188</v>
      </c>
      <c r="E161" s="70" t="s">
        <v>189</v>
      </c>
      <c r="F161" s="71" t="n">
        <v>46275</v>
      </c>
      <c r="G161" s="72" t="n">
        <v>840</v>
      </c>
      <c r="H161" s="70" t="s">
        <v>65</v>
      </c>
      <c r="I161" s="71" t="n">
        <v>46275</v>
      </c>
      <c r="J161" s="73" t="n">
        <v>0.70130787037037</v>
      </c>
      <c r="K161" s="74" t="str">
        <f aca="false">IF(AND(G161&gt;0,F161&lt;=Parâmetros!$C$6),"Recebido no 2008",IF(G161&lt;0,"Entrada","Estorno"))</f>
        <v>Recebido no 2008</v>
      </c>
      <c r="L161" s="75" t="n">
        <f aca="false">IF(K161="Recebido no 2008",0,-G161)</f>
        <v>0</v>
      </c>
    </row>
    <row r="162" customFormat="false" ht="15" hidden="false" customHeight="false" outlineLevel="0" collapsed="false">
      <c r="A162" s="70" t="s">
        <v>326</v>
      </c>
      <c r="B162" s="70" t="s">
        <v>368</v>
      </c>
      <c r="C162" s="70" t="s">
        <v>369</v>
      </c>
      <c r="D162" s="70" t="s">
        <v>188</v>
      </c>
      <c r="E162" s="70" t="s">
        <v>189</v>
      </c>
      <c r="F162" s="71" t="n">
        <v>46291</v>
      </c>
      <c r="G162" s="72" t="n">
        <v>-313.6</v>
      </c>
      <c r="H162" s="70" t="s">
        <v>65</v>
      </c>
      <c r="I162" s="71" t="n">
        <v>46291</v>
      </c>
      <c r="J162" s="73" t="n">
        <v>0.768680555555556</v>
      </c>
      <c r="K162" s="74" t="str">
        <f aca="false">IF(AND(G162&gt;0,F162&lt;=Parâmetros!$C$6),"Recebido no 2008",IF(G162&lt;0,"Entrada","Estorno"))</f>
        <v>Entrada</v>
      </c>
      <c r="L162" s="75" t="n">
        <f aca="false">IF(K162="Recebido no 2008",0,-G162)</f>
        <v>313.6</v>
      </c>
    </row>
    <row r="163" customFormat="false" ht="15" hidden="false" customHeight="false" outlineLevel="0" collapsed="false">
      <c r="A163" s="70" t="s">
        <v>332</v>
      </c>
      <c r="B163" s="70" t="s">
        <v>368</v>
      </c>
      <c r="C163" s="70" t="s">
        <v>369</v>
      </c>
      <c r="D163" s="70" t="s">
        <v>188</v>
      </c>
      <c r="E163" s="70" t="s">
        <v>189</v>
      </c>
      <c r="F163" s="71" t="n">
        <v>46275</v>
      </c>
      <c r="G163" s="72" t="n">
        <v>940.8</v>
      </c>
      <c r="H163" s="70" t="s">
        <v>65</v>
      </c>
      <c r="I163" s="71" t="n">
        <v>46275</v>
      </c>
      <c r="J163" s="73" t="n">
        <v>0.70130787037037</v>
      </c>
      <c r="K163" s="74" t="str">
        <f aca="false">IF(AND(G163&gt;0,F163&lt;=Parâmetros!$C$6),"Recebido no 2008",IF(G163&lt;0,"Entrada","Estorno"))</f>
        <v>Recebido no 2008</v>
      </c>
      <c r="L163" s="75" t="n">
        <f aca="false">IF(K163="Recebido no 2008",0,-G163)</f>
        <v>0</v>
      </c>
    </row>
    <row r="164" customFormat="false" ht="15" hidden="false" customHeight="false" outlineLevel="0" collapsed="false">
      <c r="A164" s="70" t="s">
        <v>324</v>
      </c>
      <c r="B164" s="70" t="s">
        <v>368</v>
      </c>
      <c r="C164" s="70" t="s">
        <v>369</v>
      </c>
      <c r="D164" s="70" t="s">
        <v>188</v>
      </c>
      <c r="E164" s="70" t="s">
        <v>189</v>
      </c>
      <c r="F164" s="71" t="n">
        <v>46275</v>
      </c>
      <c r="G164" s="72" t="n">
        <v>932.4</v>
      </c>
      <c r="H164" s="70" t="s">
        <v>65</v>
      </c>
      <c r="I164" s="71" t="n">
        <v>46275</v>
      </c>
      <c r="J164" s="73" t="n">
        <v>0.929918981481481</v>
      </c>
      <c r="K164" s="74" t="str">
        <f aca="false">IF(AND(G164&gt;0,F164&lt;=Parâmetros!$C$6),"Recebido no 2008",IF(G164&lt;0,"Entrada","Estorno"))</f>
        <v>Recebido no 2008</v>
      </c>
      <c r="L164" s="75" t="n">
        <f aca="false">IF(K164="Recebido no 2008",0,-G164)</f>
        <v>0</v>
      </c>
    </row>
    <row r="165" customFormat="false" ht="15" hidden="false" customHeight="false" outlineLevel="0" collapsed="false">
      <c r="A165" s="70" t="s">
        <v>335</v>
      </c>
      <c r="B165" s="70" t="s">
        <v>276</v>
      </c>
      <c r="C165" s="70" t="s">
        <v>278</v>
      </c>
      <c r="D165" s="70" t="s">
        <v>188</v>
      </c>
      <c r="E165" s="70" t="s">
        <v>189</v>
      </c>
      <c r="F165" s="71" t="n">
        <v>46291</v>
      </c>
      <c r="G165" s="72" t="n">
        <v>-20.3</v>
      </c>
      <c r="H165" s="70" t="s">
        <v>65</v>
      </c>
      <c r="I165" s="71" t="n">
        <v>46291</v>
      </c>
      <c r="J165" s="73" t="n">
        <v>0.665636574074074</v>
      </c>
      <c r="K165" s="74" t="str">
        <f aca="false">IF(AND(G165&gt;0,F165&lt;=Parâmetros!$C$6),"Recebido no 2008",IF(G165&lt;0,"Entrada","Estorno"))</f>
        <v>Entrada</v>
      </c>
      <c r="L165" s="75" t="n">
        <f aca="false">IF(K165="Recebido no 2008",0,-G165)</f>
        <v>20.3</v>
      </c>
    </row>
    <row r="166" customFormat="false" ht="15" hidden="false" customHeight="false" outlineLevel="0" collapsed="false">
      <c r="A166" s="70" t="s">
        <v>335</v>
      </c>
      <c r="B166" s="70" t="s">
        <v>276</v>
      </c>
      <c r="C166" s="70" t="s">
        <v>278</v>
      </c>
      <c r="D166" s="70" t="s">
        <v>188</v>
      </c>
      <c r="E166" s="70" t="s">
        <v>189</v>
      </c>
      <c r="F166" s="71" t="n">
        <v>46291</v>
      </c>
      <c r="G166" s="72" t="n">
        <v>-1045</v>
      </c>
      <c r="H166" s="70" t="s">
        <v>65</v>
      </c>
      <c r="I166" s="71" t="n">
        <v>46291</v>
      </c>
      <c r="J166" s="73" t="n">
        <v>0.665636574074074</v>
      </c>
      <c r="K166" s="74" t="str">
        <f aca="false">IF(AND(G166&gt;0,F166&lt;=Parâmetros!$C$6),"Recebido no 2008",IF(G166&lt;0,"Entrada","Estorno"))</f>
        <v>Entrada</v>
      </c>
      <c r="L166" s="75" t="n">
        <f aca="false">IF(K166="Recebido no 2008",0,-G166)</f>
        <v>1045</v>
      </c>
    </row>
    <row r="167" customFormat="false" ht="15" hidden="false" customHeight="false" outlineLevel="0" collapsed="false">
      <c r="A167" s="70" t="s">
        <v>335</v>
      </c>
      <c r="B167" s="70" t="s">
        <v>276</v>
      </c>
      <c r="C167" s="70" t="s">
        <v>370</v>
      </c>
      <c r="D167" s="70" t="s">
        <v>188</v>
      </c>
      <c r="E167" s="70" t="s">
        <v>189</v>
      </c>
      <c r="F167" s="71" t="n">
        <v>46291</v>
      </c>
      <c r="G167" s="72" t="n">
        <v>-763.8</v>
      </c>
      <c r="H167" s="70" t="s">
        <v>65</v>
      </c>
      <c r="I167" s="71" t="n">
        <v>46291</v>
      </c>
      <c r="J167" s="73" t="n">
        <v>0.665636574074074</v>
      </c>
      <c r="K167" s="74" t="str">
        <f aca="false">IF(AND(G167&gt;0,F167&lt;=Parâmetros!$C$6),"Recebido no 2008",IF(G167&lt;0,"Entrada","Estorno"))</f>
        <v>Entrada</v>
      </c>
      <c r="L167" s="75" t="n">
        <f aca="false">IF(K167="Recebido no 2008",0,-G167)</f>
        <v>763.8</v>
      </c>
    </row>
    <row r="168" customFormat="false" ht="15" hidden="false" customHeight="false" outlineLevel="0" collapsed="false">
      <c r="A168" s="70" t="s">
        <v>335</v>
      </c>
      <c r="B168" s="70" t="s">
        <v>276</v>
      </c>
      <c r="C168" s="70" t="s">
        <v>371</v>
      </c>
      <c r="D168" s="70" t="s">
        <v>188</v>
      </c>
      <c r="E168" s="70" t="s">
        <v>189</v>
      </c>
      <c r="F168" s="71" t="n">
        <v>46291</v>
      </c>
      <c r="G168" s="72" t="n">
        <v>-603</v>
      </c>
      <c r="H168" s="70" t="s">
        <v>65</v>
      </c>
      <c r="I168" s="71" t="n">
        <v>46291</v>
      </c>
      <c r="J168" s="73" t="n">
        <v>0.665636574074074</v>
      </c>
      <c r="K168" s="74" t="str">
        <f aca="false">IF(AND(G168&gt;0,F168&lt;=Parâmetros!$C$6),"Recebido no 2008",IF(G168&lt;0,"Entrada","Estorno"))</f>
        <v>Entrada</v>
      </c>
      <c r="L168" s="75" t="n">
        <f aca="false">IF(K168="Recebido no 2008",0,-G168)</f>
        <v>603</v>
      </c>
    </row>
    <row r="169" customFormat="false" ht="15" hidden="false" customHeight="false" outlineLevel="0" collapsed="false">
      <c r="A169" s="70" t="s">
        <v>312</v>
      </c>
      <c r="B169" s="70" t="s">
        <v>276</v>
      </c>
      <c r="C169" s="70" t="s">
        <v>280</v>
      </c>
      <c r="D169" s="70" t="s">
        <v>188</v>
      </c>
      <c r="E169" s="70" t="s">
        <v>189</v>
      </c>
      <c r="F169" s="71" t="n">
        <v>46275</v>
      </c>
      <c r="G169" s="72" t="n">
        <v>1166</v>
      </c>
      <c r="H169" s="70" t="s">
        <v>65</v>
      </c>
      <c r="I169" s="71" t="n">
        <v>46275</v>
      </c>
      <c r="J169" s="73" t="n">
        <v>0.790555555555556</v>
      </c>
      <c r="K169" s="74" t="str">
        <f aca="false">IF(AND(G169&gt;0,F169&lt;=Parâmetros!$C$6),"Recebido no 2008",IF(G169&lt;0,"Entrada","Estorno"))</f>
        <v>Recebido no 2008</v>
      </c>
      <c r="L169" s="75" t="n">
        <f aca="false">IF(K169="Recebido no 2008",0,-G169)</f>
        <v>0</v>
      </c>
    </row>
    <row r="170" customFormat="false" ht="15" hidden="false" customHeight="false" outlineLevel="0" collapsed="false">
      <c r="A170" s="70" t="s">
        <v>312</v>
      </c>
      <c r="B170" s="70" t="s">
        <v>276</v>
      </c>
      <c r="C170" s="70" t="s">
        <v>278</v>
      </c>
      <c r="D170" s="70" t="s">
        <v>188</v>
      </c>
      <c r="E170" s="70" t="s">
        <v>189</v>
      </c>
      <c r="F170" s="71" t="n">
        <v>46275</v>
      </c>
      <c r="G170" s="72" t="n">
        <v>40</v>
      </c>
      <c r="H170" s="70" t="s">
        <v>65</v>
      </c>
      <c r="I170" s="71" t="n">
        <v>46275</v>
      </c>
      <c r="J170" s="73" t="n">
        <v>0.790555555555556</v>
      </c>
      <c r="K170" s="74" t="str">
        <f aca="false">IF(AND(G170&gt;0,F170&lt;=Parâmetros!$C$6),"Recebido no 2008",IF(G170&lt;0,"Entrada","Estorno"))</f>
        <v>Recebido no 2008</v>
      </c>
      <c r="L170" s="75" t="n">
        <f aca="false">IF(K170="Recebido no 2008",0,-G170)</f>
        <v>0</v>
      </c>
    </row>
    <row r="171" customFormat="false" ht="15" hidden="false" customHeight="false" outlineLevel="0" collapsed="false">
      <c r="A171" s="70" t="s">
        <v>366</v>
      </c>
      <c r="B171" s="70" t="s">
        <v>372</v>
      </c>
      <c r="C171" s="70" t="s">
        <v>373</v>
      </c>
      <c r="D171" s="70" t="s">
        <v>188</v>
      </c>
      <c r="E171" s="70" t="s">
        <v>189</v>
      </c>
      <c r="F171" s="71" t="n">
        <v>46291</v>
      </c>
      <c r="G171" s="72" t="n">
        <v>-1200</v>
      </c>
      <c r="H171" s="70" t="s">
        <v>65</v>
      </c>
      <c r="I171" s="71" t="n">
        <v>46291</v>
      </c>
      <c r="J171" s="73" t="n">
        <v>0.592152777777778</v>
      </c>
      <c r="K171" s="74" t="str">
        <f aca="false">IF(AND(G171&gt;0,F171&lt;=Parâmetros!$C$6),"Recebido no 2008",IF(G171&lt;0,"Entrada","Estorno"))</f>
        <v>Entrada</v>
      </c>
      <c r="L171" s="75" t="n">
        <f aca="false">IF(K171="Recebido no 2008",0,-G171)</f>
        <v>1200</v>
      </c>
    </row>
    <row r="172" customFormat="false" ht="15" hidden="false" customHeight="false" outlineLevel="0" collapsed="false">
      <c r="A172" s="70" t="s">
        <v>312</v>
      </c>
      <c r="B172" s="70" t="s">
        <v>372</v>
      </c>
      <c r="C172" s="70" t="s">
        <v>374</v>
      </c>
      <c r="D172" s="70" t="s">
        <v>188</v>
      </c>
      <c r="E172" s="70" t="s">
        <v>189</v>
      </c>
      <c r="F172" s="71" t="n">
        <v>46275</v>
      </c>
      <c r="G172" s="72" t="n">
        <v>600</v>
      </c>
      <c r="H172" s="70" t="s">
        <v>65</v>
      </c>
      <c r="I172" s="71" t="n">
        <v>46275</v>
      </c>
      <c r="J172" s="73" t="n">
        <v>0.790555555555556</v>
      </c>
      <c r="K172" s="74" t="str">
        <f aca="false">IF(AND(G172&gt;0,F172&lt;=Parâmetros!$C$6),"Recebido no 2008",IF(G172&lt;0,"Entrada","Estorno"))</f>
        <v>Recebido no 2008</v>
      </c>
      <c r="L172" s="75" t="n">
        <f aca="false">IF(K172="Recebido no 2008",0,-G172)</f>
        <v>0</v>
      </c>
    </row>
    <row r="173" customFormat="false" ht="15" hidden="false" customHeight="false" outlineLevel="0" collapsed="false">
      <c r="A173" s="70" t="s">
        <v>353</v>
      </c>
      <c r="B173" s="70" t="s">
        <v>372</v>
      </c>
      <c r="C173" s="70" t="s">
        <v>374</v>
      </c>
      <c r="D173" s="70" t="s">
        <v>188</v>
      </c>
      <c r="E173" s="70" t="s">
        <v>189</v>
      </c>
      <c r="F173" s="71" t="n">
        <v>46275</v>
      </c>
      <c r="G173" s="72" t="n">
        <v>1800</v>
      </c>
      <c r="H173" s="70" t="s">
        <v>65</v>
      </c>
      <c r="I173" s="71" t="n">
        <v>46275</v>
      </c>
      <c r="J173" s="73" t="n">
        <v>0.768738425925926</v>
      </c>
      <c r="K173" s="74" t="str">
        <f aca="false">IF(AND(G173&gt;0,F173&lt;=Parâmetros!$C$6),"Recebido no 2008",IF(G173&lt;0,"Entrada","Estorno"))</f>
        <v>Recebido no 2008</v>
      </c>
      <c r="L173" s="75" t="n">
        <f aca="false">IF(K173="Recebido no 2008",0,-G173)</f>
        <v>0</v>
      </c>
    </row>
    <row r="174" customFormat="false" ht="15" hidden="false" customHeight="false" outlineLevel="0" collapsed="false">
      <c r="A174" s="70" t="s">
        <v>324</v>
      </c>
      <c r="B174" s="70" t="s">
        <v>281</v>
      </c>
      <c r="C174" s="70" t="s">
        <v>282</v>
      </c>
      <c r="D174" s="70" t="s">
        <v>188</v>
      </c>
      <c r="E174" s="70" t="s">
        <v>189</v>
      </c>
      <c r="F174" s="71" t="n">
        <v>46275</v>
      </c>
      <c r="G174" s="72" t="n">
        <v>864</v>
      </c>
      <c r="H174" s="70" t="s">
        <v>65</v>
      </c>
      <c r="I174" s="71" t="n">
        <v>46275</v>
      </c>
      <c r="J174" s="73" t="n">
        <v>0.929918981481481</v>
      </c>
      <c r="K174" s="74" t="str">
        <f aca="false">IF(AND(G174&gt;0,F174&lt;=Parâmetros!$C$6),"Recebido no 2008",IF(G174&lt;0,"Entrada","Estorno"))</f>
        <v>Recebido no 2008</v>
      </c>
      <c r="L174" s="75" t="n">
        <f aca="false">IF(K174="Recebido no 2008",0,-G174)</f>
        <v>0</v>
      </c>
    </row>
    <row r="175" customFormat="false" ht="15" hidden="false" customHeight="false" outlineLevel="0" collapsed="false">
      <c r="A175" s="70" t="s">
        <v>332</v>
      </c>
      <c r="B175" s="70" t="s">
        <v>375</v>
      </c>
      <c r="C175" s="70" t="s">
        <v>376</v>
      </c>
      <c r="D175" s="70" t="s">
        <v>188</v>
      </c>
      <c r="E175" s="70" t="s">
        <v>189</v>
      </c>
      <c r="F175" s="71" t="n">
        <v>46275</v>
      </c>
      <c r="G175" s="72" t="n">
        <v>432</v>
      </c>
      <c r="H175" s="70" t="s">
        <v>65</v>
      </c>
      <c r="I175" s="71" t="n">
        <v>46275</v>
      </c>
      <c r="J175" s="73" t="n">
        <v>0.70130787037037</v>
      </c>
      <c r="K175" s="74" t="str">
        <f aca="false">IF(AND(G175&gt;0,F175&lt;=Parâmetros!$C$6),"Recebido no 2008",IF(G175&lt;0,"Entrada","Estorno"))</f>
        <v>Recebido no 2008</v>
      </c>
      <c r="L175" s="75" t="n">
        <f aca="false">IF(K175="Recebido no 2008",0,-G175)</f>
        <v>0</v>
      </c>
    </row>
    <row r="176" customFormat="false" ht="15" hidden="false" customHeight="false" outlineLevel="0" collapsed="false">
      <c r="A176" s="70" t="s">
        <v>353</v>
      </c>
      <c r="B176" s="70" t="s">
        <v>377</v>
      </c>
      <c r="C176" s="70" t="s">
        <v>378</v>
      </c>
      <c r="D176" s="70" t="s">
        <v>188</v>
      </c>
      <c r="E176" s="70" t="s">
        <v>189</v>
      </c>
      <c r="F176" s="71" t="n">
        <v>46275</v>
      </c>
      <c r="G176" s="72" t="n">
        <v>4296</v>
      </c>
      <c r="H176" s="70" t="s">
        <v>65</v>
      </c>
      <c r="I176" s="71" t="n">
        <v>46275</v>
      </c>
      <c r="J176" s="73" t="n">
        <v>0.768738425925926</v>
      </c>
      <c r="K176" s="74" t="str">
        <f aca="false">IF(AND(G176&gt;0,F176&lt;=Parâmetros!$C$6),"Recebido no 2008",IF(G176&lt;0,"Entrada","Estorno"))</f>
        <v>Recebido no 2008</v>
      </c>
      <c r="L176" s="75" t="n">
        <f aca="false">IF(K176="Recebido no 2008",0,-G176)</f>
        <v>0</v>
      </c>
    </row>
    <row r="177" customFormat="false" ht="15" hidden="false" customHeight="false" outlineLevel="0" collapsed="false">
      <c r="A177" s="70" t="s">
        <v>331</v>
      </c>
      <c r="B177" s="70" t="s">
        <v>377</v>
      </c>
      <c r="C177" s="70" t="s">
        <v>379</v>
      </c>
      <c r="D177" s="70" t="s">
        <v>188</v>
      </c>
      <c r="E177" s="70" t="s">
        <v>189</v>
      </c>
      <c r="F177" s="71" t="n">
        <v>46275</v>
      </c>
      <c r="G177" s="72" t="n">
        <v>5592</v>
      </c>
      <c r="H177" s="70" t="s">
        <v>65</v>
      </c>
      <c r="I177" s="71" t="n">
        <v>46275</v>
      </c>
      <c r="J177" s="73" t="n">
        <v>0.840451388888889</v>
      </c>
      <c r="K177" s="74" t="str">
        <f aca="false">IF(AND(G177&gt;0,F177&lt;=Parâmetros!$C$6),"Recebido no 2008",IF(G177&lt;0,"Entrada","Estorno"))</f>
        <v>Recebido no 2008</v>
      </c>
      <c r="L177" s="75" t="n">
        <f aca="false">IF(K177="Recebido no 2008",0,-G177)</f>
        <v>0</v>
      </c>
    </row>
    <row r="178" customFormat="false" ht="15" hidden="false" customHeight="false" outlineLevel="0" collapsed="false">
      <c r="A178" s="70" t="s">
        <v>353</v>
      </c>
      <c r="B178" s="70" t="s">
        <v>377</v>
      </c>
      <c r="C178" s="70" t="s">
        <v>379</v>
      </c>
      <c r="D178" s="70" t="s">
        <v>188</v>
      </c>
      <c r="E178" s="70" t="s">
        <v>189</v>
      </c>
      <c r="F178" s="71" t="n">
        <v>46275</v>
      </c>
      <c r="G178" s="72" t="n">
        <v>1320</v>
      </c>
      <c r="H178" s="70" t="s">
        <v>65</v>
      </c>
      <c r="I178" s="71" t="n">
        <v>46275</v>
      </c>
      <c r="J178" s="73" t="n">
        <v>0.768738425925926</v>
      </c>
      <c r="K178" s="74" t="str">
        <f aca="false">IF(AND(G178&gt;0,F178&lt;=Parâmetros!$C$6),"Recebido no 2008",IF(G178&lt;0,"Entrada","Estorno"))</f>
        <v>Recebido no 2008</v>
      </c>
      <c r="L178" s="75" t="n">
        <f aca="false">IF(K178="Recebido no 2008",0,-G178)</f>
        <v>0</v>
      </c>
    </row>
    <row r="179" customFormat="false" ht="15" hidden="false" customHeight="false" outlineLevel="0" collapsed="false">
      <c r="A179" s="70" t="s">
        <v>326</v>
      </c>
      <c r="B179" s="70" t="s">
        <v>380</v>
      </c>
      <c r="C179" s="70" t="s">
        <v>381</v>
      </c>
      <c r="D179" s="70" t="s">
        <v>188</v>
      </c>
      <c r="E179" s="70" t="s">
        <v>189</v>
      </c>
      <c r="F179" s="71" t="n">
        <v>46291</v>
      </c>
      <c r="G179" s="72" t="n">
        <v>-850</v>
      </c>
      <c r="H179" s="70" t="s">
        <v>65</v>
      </c>
      <c r="I179" s="71" t="n">
        <v>46291</v>
      </c>
      <c r="J179" s="73" t="n">
        <v>0.768680555555556</v>
      </c>
      <c r="K179" s="74" t="str">
        <f aca="false">IF(AND(G179&gt;0,F179&lt;=Parâmetros!$C$6),"Recebido no 2008",IF(G179&lt;0,"Entrada","Estorno"))</f>
        <v>Entrada</v>
      </c>
      <c r="L179" s="75" t="n">
        <f aca="false">IF(K179="Recebido no 2008",0,-G179)</f>
        <v>850</v>
      </c>
    </row>
    <row r="180" customFormat="false" ht="15" hidden="false" customHeight="false" outlineLevel="0" collapsed="false">
      <c r="A180" s="70" t="s">
        <v>333</v>
      </c>
      <c r="B180" s="70" t="s">
        <v>286</v>
      </c>
      <c r="C180" s="70" t="s">
        <v>294</v>
      </c>
      <c r="D180" s="70" t="s">
        <v>188</v>
      </c>
      <c r="E180" s="70" t="s">
        <v>189</v>
      </c>
      <c r="F180" s="71" t="n">
        <v>46291</v>
      </c>
      <c r="G180" s="72" t="n">
        <v>-240</v>
      </c>
      <c r="H180" s="70" t="s">
        <v>147</v>
      </c>
      <c r="I180" s="71" t="n">
        <v>46291</v>
      </c>
      <c r="J180" s="73" t="n">
        <v>0.778101851851852</v>
      </c>
      <c r="K180" s="74" t="str">
        <f aca="false">IF(AND(G180&gt;0,F180&lt;=Parâmetros!$C$6),"Recebido no 2008",IF(G180&lt;0,"Entrada","Estorno"))</f>
        <v>Entrada</v>
      </c>
      <c r="L180" s="75" t="n">
        <f aca="false">IF(K180="Recebido no 2008",0,-G180)</f>
        <v>240</v>
      </c>
    </row>
    <row r="181" customFormat="false" ht="15" hidden="false" customHeight="false" outlineLevel="0" collapsed="false">
      <c r="A181" s="70" t="s">
        <v>335</v>
      </c>
      <c r="B181" s="70" t="s">
        <v>286</v>
      </c>
      <c r="C181" s="70" t="s">
        <v>290</v>
      </c>
      <c r="D181" s="70" t="s">
        <v>188</v>
      </c>
      <c r="E181" s="70" t="s">
        <v>189</v>
      </c>
      <c r="F181" s="71" t="n">
        <v>46291</v>
      </c>
      <c r="G181" s="72" t="n">
        <v>-120</v>
      </c>
      <c r="H181" s="70" t="s">
        <v>147</v>
      </c>
      <c r="I181" s="71" t="n">
        <v>46291</v>
      </c>
      <c r="J181" s="73" t="n">
        <v>0.665636574074074</v>
      </c>
      <c r="K181" s="74" t="str">
        <f aca="false">IF(AND(G181&gt;0,F181&lt;=Parâmetros!$C$6),"Recebido no 2008",IF(G181&lt;0,"Entrada","Estorno"))</f>
        <v>Entrada</v>
      </c>
      <c r="L181" s="75" t="n">
        <f aca="false">IF(K181="Recebido no 2008",0,-G181)</f>
        <v>120</v>
      </c>
    </row>
    <row r="182" customFormat="false" ht="15" hidden="false" customHeight="false" outlineLevel="0" collapsed="false">
      <c r="A182" s="70" t="s">
        <v>349</v>
      </c>
      <c r="B182" s="70" t="s">
        <v>286</v>
      </c>
      <c r="C182" s="70" t="s">
        <v>290</v>
      </c>
      <c r="D182" s="70" t="s">
        <v>188</v>
      </c>
      <c r="E182" s="70" t="s">
        <v>189</v>
      </c>
      <c r="F182" s="71" t="n">
        <v>46291</v>
      </c>
      <c r="G182" s="72" t="n">
        <v>-146</v>
      </c>
      <c r="H182" s="70" t="s">
        <v>147</v>
      </c>
      <c r="I182" s="71" t="n">
        <v>46291</v>
      </c>
      <c r="J182" s="73" t="n">
        <v>0.598726851851852</v>
      </c>
      <c r="K182" s="74" t="str">
        <f aca="false">IF(AND(G182&gt;0,F182&lt;=Parâmetros!$C$6),"Recebido no 2008",IF(G182&lt;0,"Entrada","Estorno"))</f>
        <v>Entrada</v>
      </c>
      <c r="L182" s="75" t="n">
        <f aca="false">IF(K182="Recebido no 2008",0,-G182)</f>
        <v>146</v>
      </c>
    </row>
    <row r="183" customFormat="false" ht="15" hidden="false" customHeight="false" outlineLevel="0" collapsed="false">
      <c r="A183" s="70" t="s">
        <v>349</v>
      </c>
      <c r="B183" s="70" t="s">
        <v>286</v>
      </c>
      <c r="C183" s="70" t="s">
        <v>291</v>
      </c>
      <c r="D183" s="70" t="s">
        <v>188</v>
      </c>
      <c r="E183" s="70" t="s">
        <v>189</v>
      </c>
      <c r="F183" s="71" t="n">
        <v>46291</v>
      </c>
      <c r="G183" s="72" t="n">
        <v>-165</v>
      </c>
      <c r="H183" s="70" t="s">
        <v>147</v>
      </c>
      <c r="I183" s="71" t="n">
        <v>46291</v>
      </c>
      <c r="J183" s="73" t="n">
        <v>0.598726851851852</v>
      </c>
      <c r="K183" s="74" t="str">
        <f aca="false">IF(AND(G183&gt;0,F183&lt;=Parâmetros!$C$6),"Recebido no 2008",IF(G183&lt;0,"Entrada","Estorno"))</f>
        <v>Entrada</v>
      </c>
      <c r="L183" s="75" t="n">
        <f aca="false">IF(K183="Recebido no 2008",0,-G183)</f>
        <v>165</v>
      </c>
    </row>
    <row r="184" customFormat="false" ht="15" hidden="false" customHeight="false" outlineLevel="0" collapsed="false">
      <c r="A184" s="70" t="s">
        <v>325</v>
      </c>
      <c r="B184" s="70" t="s">
        <v>286</v>
      </c>
      <c r="C184" s="70" t="s">
        <v>382</v>
      </c>
      <c r="D184" s="70" t="s">
        <v>188</v>
      </c>
      <c r="E184" s="70" t="s">
        <v>189</v>
      </c>
      <c r="F184" s="71" t="n">
        <v>46275</v>
      </c>
      <c r="G184" s="72" t="n">
        <v>600</v>
      </c>
      <c r="H184" s="70" t="s">
        <v>147</v>
      </c>
      <c r="I184" s="71" t="n">
        <v>46275</v>
      </c>
      <c r="J184" s="73" t="n">
        <v>0.906979166666667</v>
      </c>
      <c r="K184" s="74" t="str">
        <f aca="false">IF(AND(G184&gt;0,F184&lt;=Parâmetros!$C$6),"Recebido no 2008",IF(G184&lt;0,"Entrada","Estorno"))</f>
        <v>Recebido no 2008</v>
      </c>
      <c r="L184" s="75" t="n">
        <f aca="false">IF(K184="Recebido no 2008",0,-G184)</f>
        <v>0</v>
      </c>
    </row>
    <row r="185" customFormat="false" ht="15" hidden="false" customHeight="false" outlineLevel="0" collapsed="false">
      <c r="A185" s="70" t="s">
        <v>324</v>
      </c>
      <c r="B185" s="70" t="s">
        <v>286</v>
      </c>
      <c r="C185" s="70" t="s">
        <v>382</v>
      </c>
      <c r="D185" s="70" t="s">
        <v>188</v>
      </c>
      <c r="E185" s="70" t="s">
        <v>189</v>
      </c>
      <c r="F185" s="71" t="n">
        <v>46275</v>
      </c>
      <c r="G185" s="72" t="n">
        <v>300</v>
      </c>
      <c r="H185" s="70" t="s">
        <v>147</v>
      </c>
      <c r="I185" s="71" t="n">
        <v>46275</v>
      </c>
      <c r="J185" s="73" t="n">
        <v>0.929918981481481</v>
      </c>
      <c r="K185" s="74" t="str">
        <f aca="false">IF(AND(G185&gt;0,F185&lt;=Parâmetros!$C$6),"Recebido no 2008",IF(G185&lt;0,"Entrada","Estorno"))</f>
        <v>Recebido no 2008</v>
      </c>
      <c r="L185" s="75" t="n">
        <f aca="false">IF(K185="Recebido no 2008",0,-G185)</f>
        <v>0</v>
      </c>
    </row>
    <row r="186" customFormat="false" ht="15" hidden="false" customHeight="false" outlineLevel="0" collapsed="false">
      <c r="A186" s="70" t="s">
        <v>324</v>
      </c>
      <c r="B186" s="70" t="s">
        <v>286</v>
      </c>
      <c r="C186" s="70" t="s">
        <v>383</v>
      </c>
      <c r="D186" s="70" t="s">
        <v>188</v>
      </c>
      <c r="E186" s="70" t="s">
        <v>189</v>
      </c>
      <c r="F186" s="71" t="n">
        <v>46275</v>
      </c>
      <c r="G186" s="72" t="n">
        <v>300</v>
      </c>
      <c r="H186" s="70" t="s">
        <v>147</v>
      </c>
      <c r="I186" s="71" t="n">
        <v>46275</v>
      </c>
      <c r="J186" s="73" t="n">
        <v>0.929918981481481</v>
      </c>
      <c r="K186" s="74" t="str">
        <f aca="false">IF(AND(G186&gt;0,F186&lt;=Parâmetros!$C$6),"Recebido no 2008",IF(G186&lt;0,"Entrada","Estorno"))</f>
        <v>Recebido no 2008</v>
      </c>
      <c r="L186" s="75" t="n">
        <f aca="false">IF(K186="Recebido no 2008",0,-G186)</f>
        <v>0</v>
      </c>
    </row>
    <row r="187" customFormat="false" ht="15" hidden="false" customHeight="false" outlineLevel="0" collapsed="false">
      <c r="A187" s="70" t="s">
        <v>331</v>
      </c>
      <c r="B187" s="70" t="s">
        <v>286</v>
      </c>
      <c r="C187" s="70" t="s">
        <v>287</v>
      </c>
      <c r="D187" s="70" t="s">
        <v>188</v>
      </c>
      <c r="E187" s="70" t="s">
        <v>189</v>
      </c>
      <c r="F187" s="71" t="n">
        <v>46275</v>
      </c>
      <c r="G187" s="72" t="n">
        <v>240</v>
      </c>
      <c r="H187" s="70" t="s">
        <v>147</v>
      </c>
      <c r="I187" s="71" t="n">
        <v>46275</v>
      </c>
      <c r="J187" s="73" t="n">
        <v>0.840451388888889</v>
      </c>
      <c r="K187" s="74" t="str">
        <f aca="false">IF(AND(G187&gt;0,F187&lt;=Parâmetros!$C$6),"Recebido no 2008",IF(G187&lt;0,"Entrada","Estorno"))</f>
        <v>Recebido no 2008</v>
      </c>
      <c r="L187" s="75" t="n">
        <f aca="false">IF(K187="Recebido no 2008",0,-G187)</f>
        <v>0</v>
      </c>
    </row>
    <row r="188" customFormat="false" ht="15" hidden="false" customHeight="false" outlineLevel="0" collapsed="false">
      <c r="A188" s="70" t="s">
        <v>384</v>
      </c>
      <c r="B188" s="70" t="s">
        <v>301</v>
      </c>
      <c r="C188" s="70" t="s">
        <v>385</v>
      </c>
      <c r="D188" s="70" t="s">
        <v>188</v>
      </c>
      <c r="E188" s="70" t="s">
        <v>189</v>
      </c>
      <c r="F188" s="71" t="n">
        <v>46291</v>
      </c>
      <c r="G188" s="72" t="n">
        <v>-1000</v>
      </c>
      <c r="H188" s="70" t="s">
        <v>65</v>
      </c>
      <c r="I188" s="71" t="n">
        <v>46291</v>
      </c>
      <c r="J188" s="73" t="n">
        <v>0.603981481481482</v>
      </c>
      <c r="K188" s="74" t="str">
        <f aca="false">IF(AND(G188&gt;0,F188&lt;=Parâmetros!$C$6),"Recebido no 2008",IF(G188&lt;0,"Entrada","Estorno"))</f>
        <v>Entrada</v>
      </c>
      <c r="L188" s="75" t="n">
        <f aca="false">IF(K188="Recebido no 2008",0,-G188)</f>
        <v>1000</v>
      </c>
    </row>
    <row r="189" customFormat="false" ht="15" hidden="false" customHeight="false" outlineLevel="0" collapsed="false">
      <c r="A189" s="70" t="s">
        <v>325</v>
      </c>
      <c r="B189" s="70" t="s">
        <v>301</v>
      </c>
      <c r="C189" s="70" t="s">
        <v>302</v>
      </c>
      <c r="D189" s="70" t="s">
        <v>188</v>
      </c>
      <c r="E189" s="70" t="s">
        <v>189</v>
      </c>
      <c r="F189" s="71" t="n">
        <v>46275</v>
      </c>
      <c r="G189" s="72" t="n">
        <v>4000</v>
      </c>
      <c r="H189" s="70" t="s">
        <v>65</v>
      </c>
      <c r="I189" s="71" t="n">
        <v>46275</v>
      </c>
      <c r="J189" s="73" t="n">
        <v>0.906979166666667</v>
      </c>
      <c r="K189" s="74" t="str">
        <f aca="false">IF(AND(G189&gt;0,F189&lt;=Parâmetros!$C$6),"Recebido no 2008",IF(G189&lt;0,"Entrada","Estorno"))</f>
        <v>Recebido no 2008</v>
      </c>
      <c r="L189" s="75" t="n">
        <f aca="false">IF(K189="Recebido no 2008",0,-G189)</f>
        <v>0</v>
      </c>
    </row>
    <row r="190" customFormat="false" ht="15" hidden="false" customHeight="false" outlineLevel="0" collapsed="false">
      <c r="A190" s="70" t="s">
        <v>332</v>
      </c>
      <c r="B190" s="70" t="s">
        <v>301</v>
      </c>
      <c r="C190" s="70" t="s">
        <v>302</v>
      </c>
      <c r="D190" s="70" t="s">
        <v>188</v>
      </c>
      <c r="E190" s="70" t="s">
        <v>189</v>
      </c>
      <c r="F190" s="71" t="n">
        <v>46275</v>
      </c>
      <c r="G190" s="72" t="n">
        <v>800</v>
      </c>
      <c r="H190" s="70" t="s">
        <v>65</v>
      </c>
      <c r="I190" s="71" t="n">
        <v>46275</v>
      </c>
      <c r="J190" s="73" t="n">
        <v>0.70130787037037</v>
      </c>
      <c r="K190" s="74" t="str">
        <f aca="false">IF(AND(G190&gt;0,F190&lt;=Parâmetros!$C$6),"Recebido no 2008",IF(G190&lt;0,"Entrada","Estorno"))</f>
        <v>Recebido no 2008</v>
      </c>
      <c r="L190" s="75" t="n">
        <f aca="false">IF(K190="Recebido no 2008",0,-G190)</f>
        <v>0</v>
      </c>
    </row>
    <row r="191" customFormat="false" ht="15" hidden="false" customHeight="false" outlineLevel="0" collapsed="false">
      <c r="A191" s="70" t="s">
        <v>332</v>
      </c>
      <c r="B191" s="70" t="s">
        <v>305</v>
      </c>
      <c r="C191" s="70" t="s">
        <v>386</v>
      </c>
      <c r="D191" s="70" t="s">
        <v>188</v>
      </c>
      <c r="E191" s="70" t="s">
        <v>189</v>
      </c>
      <c r="F191" s="71" t="n">
        <v>46275</v>
      </c>
      <c r="G191" s="72" t="n">
        <v>400</v>
      </c>
      <c r="H191" s="70" t="s">
        <v>65</v>
      </c>
      <c r="I191" s="71" t="n">
        <v>46275</v>
      </c>
      <c r="J191" s="73" t="n">
        <v>0.70130787037037</v>
      </c>
      <c r="K191" s="74" t="str">
        <f aca="false">IF(AND(G191&gt;0,F191&lt;=Parâmetros!$C$6),"Recebido no 2008",IF(G191&lt;0,"Entrada","Estorno"))</f>
        <v>Recebido no 2008</v>
      </c>
      <c r="L191" s="75" t="n">
        <f aca="false">IF(K191="Recebido no 2008",0,-G191)</f>
        <v>0</v>
      </c>
    </row>
    <row r="192" customFormat="false" ht="15" hidden="false" customHeight="false" outlineLevel="0" collapsed="false">
      <c r="A192" s="70" t="s">
        <v>345</v>
      </c>
      <c r="B192" s="70" t="s">
        <v>387</v>
      </c>
      <c r="C192" s="70" t="s">
        <v>388</v>
      </c>
      <c r="D192" s="70" t="s">
        <v>188</v>
      </c>
      <c r="E192" s="70" t="s">
        <v>189</v>
      </c>
      <c r="F192" s="71" t="n">
        <v>46280</v>
      </c>
      <c r="G192" s="72" t="n">
        <v>1920</v>
      </c>
      <c r="H192" s="70" t="s">
        <v>65</v>
      </c>
      <c r="I192" s="71" t="n">
        <v>46280</v>
      </c>
      <c r="J192" s="73" t="n">
        <v>0.80443287037037</v>
      </c>
      <c r="K192" s="74" t="str">
        <f aca="false">IF(AND(G192&gt;0,F192&lt;=Parâmetros!$C$6),"Recebido no 2008",IF(G192&lt;0,"Entrada","Estorno"))</f>
        <v>Recebido no 2008</v>
      </c>
      <c r="L192" s="75" t="n">
        <f aca="false">IF(K192="Recebido no 2008",0,-G192)</f>
        <v>0</v>
      </c>
    </row>
    <row r="193" customFormat="false" ht="15" hidden="false" customHeight="false" outlineLevel="0" collapsed="false">
      <c r="A193" s="70" t="s">
        <v>345</v>
      </c>
      <c r="B193" s="70" t="s">
        <v>307</v>
      </c>
      <c r="C193" s="70" t="s">
        <v>308</v>
      </c>
      <c r="D193" s="70" t="s">
        <v>188</v>
      </c>
      <c r="E193" s="70" t="s">
        <v>189</v>
      </c>
      <c r="F193" s="71" t="n">
        <v>46280</v>
      </c>
      <c r="G193" s="72" t="n">
        <v>3840</v>
      </c>
      <c r="H193" s="70" t="s">
        <v>65</v>
      </c>
      <c r="I193" s="71" t="n">
        <v>46280</v>
      </c>
      <c r="J193" s="73" t="n">
        <v>0.80443287037037</v>
      </c>
      <c r="K193" s="74" t="str">
        <f aca="false">IF(AND(G193&gt;0,F193&lt;=Parâmetros!$C$6),"Recebido no 2008",IF(G193&lt;0,"Entrada","Estorno"))</f>
        <v>Recebido no 2008</v>
      </c>
      <c r="L193" s="75" t="n">
        <f aca="false">IF(K193="Recebido no 2008",0,-G193)</f>
        <v>0</v>
      </c>
    </row>
    <row r="194" customFormat="false" ht="15" hidden="false" customHeight="false" outlineLevel="0" collapsed="false">
      <c r="A194" s="70" t="s">
        <v>333</v>
      </c>
      <c r="B194" s="70" t="s">
        <v>389</v>
      </c>
      <c r="C194" s="70" t="s">
        <v>390</v>
      </c>
      <c r="D194" s="70" t="s">
        <v>188</v>
      </c>
      <c r="E194" s="70" t="s">
        <v>189</v>
      </c>
      <c r="F194" s="71" t="n">
        <v>46291</v>
      </c>
      <c r="G194" s="72" t="n">
        <v>-53.2</v>
      </c>
      <c r="H194" s="70" t="s">
        <v>65</v>
      </c>
      <c r="I194" s="71" t="n">
        <v>46291</v>
      </c>
      <c r="J194" s="73" t="n">
        <v>0.778101851851852</v>
      </c>
      <c r="K194" s="74" t="str">
        <f aca="false">IF(AND(G194&gt;0,F194&lt;=Parâmetros!$C$6),"Recebido no 2008",IF(G194&lt;0,"Entrada","Estorno"))</f>
        <v>Entrada</v>
      </c>
      <c r="L194" s="75" t="n">
        <f aca="false">IF(K194="Recebido no 2008",0,-G194)</f>
        <v>53.2</v>
      </c>
    </row>
    <row r="195" customFormat="false" ht="15" hidden="false" customHeight="false" outlineLevel="0" collapsed="false">
      <c r="A195" s="70" t="s">
        <v>384</v>
      </c>
      <c r="B195" s="70" t="s">
        <v>389</v>
      </c>
      <c r="C195" s="70" t="s">
        <v>391</v>
      </c>
      <c r="D195" s="70" t="s">
        <v>188</v>
      </c>
      <c r="E195" s="70" t="s">
        <v>189</v>
      </c>
      <c r="F195" s="71" t="n">
        <v>46291</v>
      </c>
      <c r="G195" s="72" t="n">
        <v>-627.2</v>
      </c>
      <c r="H195" s="70" t="s">
        <v>65</v>
      </c>
      <c r="I195" s="71" t="n">
        <v>46291</v>
      </c>
      <c r="J195" s="73" t="n">
        <v>0.603981481481482</v>
      </c>
      <c r="K195" s="74" t="str">
        <f aca="false">IF(AND(G195&gt;0,F195&lt;=Parâmetros!$C$6),"Recebido no 2008",IF(G195&lt;0,"Entrada","Estorno"))</f>
        <v>Entrada</v>
      </c>
      <c r="L195" s="75" t="n">
        <f aca="false">IF(K195="Recebido no 2008",0,-G195)</f>
        <v>627.2</v>
      </c>
    </row>
    <row r="196" customFormat="false" ht="15" hidden="false" customHeight="false" outlineLevel="0" collapsed="false">
      <c r="A196" s="70" t="s">
        <v>320</v>
      </c>
      <c r="B196" s="70" t="s">
        <v>389</v>
      </c>
      <c r="C196" s="70" t="s">
        <v>392</v>
      </c>
      <c r="D196" s="70" t="s">
        <v>188</v>
      </c>
      <c r="E196" s="70" t="s">
        <v>189</v>
      </c>
      <c r="F196" s="71" t="n">
        <v>46275</v>
      </c>
      <c r="G196" s="72" t="n">
        <v>725.2</v>
      </c>
      <c r="H196" s="70" t="s">
        <v>65</v>
      </c>
      <c r="I196" s="71" t="n">
        <v>46275</v>
      </c>
      <c r="J196" s="73" t="n">
        <v>0.823101851851852</v>
      </c>
      <c r="K196" s="74" t="str">
        <f aca="false">IF(AND(G196&gt;0,F196&lt;=Parâmetros!$C$6),"Recebido no 2008",IF(G196&lt;0,"Entrada","Estorno"))</f>
        <v>Recebido no 2008</v>
      </c>
      <c r="L196" s="75" t="n">
        <f aca="false">IF(K196="Recebido no 2008",0,-G196)</f>
        <v>0</v>
      </c>
    </row>
    <row r="197" customFormat="false" ht="15" hidden="false" customHeight="false" outlineLevel="0" collapsed="false">
      <c r="A197" s="70" t="s">
        <v>331</v>
      </c>
      <c r="B197" s="70" t="s">
        <v>389</v>
      </c>
      <c r="C197" s="70" t="s">
        <v>392</v>
      </c>
      <c r="D197" s="70" t="s">
        <v>188</v>
      </c>
      <c r="E197" s="70" t="s">
        <v>189</v>
      </c>
      <c r="F197" s="71" t="n">
        <v>46275</v>
      </c>
      <c r="G197" s="72" t="n">
        <v>1254.4</v>
      </c>
      <c r="H197" s="70" t="s">
        <v>65</v>
      </c>
      <c r="I197" s="71" t="n">
        <v>46275</v>
      </c>
      <c r="J197" s="73" t="n">
        <v>0.840451388888889</v>
      </c>
      <c r="K197" s="74" t="str">
        <f aca="false">IF(AND(G197&gt;0,F197&lt;=Parâmetros!$C$6),"Recebido no 2008",IF(G197&lt;0,"Entrada","Estorno"))</f>
        <v>Recebido no 2008</v>
      </c>
      <c r="L197" s="75" t="n">
        <f aca="false">IF(K197="Recebido no 2008",0,-G197)</f>
        <v>0</v>
      </c>
    </row>
    <row r="198" customFormat="false" ht="15" hidden="false" customHeight="false" outlineLevel="0" collapsed="false">
      <c r="A198" s="70" t="s">
        <v>332</v>
      </c>
      <c r="B198" s="70" t="s">
        <v>389</v>
      </c>
      <c r="C198" s="70" t="s">
        <v>393</v>
      </c>
      <c r="D198" s="70" t="s">
        <v>188</v>
      </c>
      <c r="E198" s="70" t="s">
        <v>189</v>
      </c>
      <c r="F198" s="71" t="n">
        <v>46275</v>
      </c>
      <c r="G198" s="72" t="n">
        <v>109.2</v>
      </c>
      <c r="H198" s="70" t="s">
        <v>65</v>
      </c>
      <c r="I198" s="71" t="n">
        <v>46275</v>
      </c>
      <c r="J198" s="73" t="n">
        <v>0.70130787037037</v>
      </c>
      <c r="K198" s="74" t="str">
        <f aca="false">IF(AND(G198&gt;0,F198&lt;=Parâmetros!$C$6),"Recebido no 2008",IF(G198&lt;0,"Entrada","Estorno"))</f>
        <v>Recebido no 2008</v>
      </c>
      <c r="L198" s="75" t="n">
        <f aca="false">IF(K198="Recebido no 2008",0,-G198)</f>
        <v>0</v>
      </c>
    </row>
    <row r="199" customFormat="false" ht="15" hidden="false" customHeight="false" outlineLevel="0" collapsed="false">
      <c r="A199" s="70" t="s">
        <v>332</v>
      </c>
      <c r="B199" s="70" t="s">
        <v>389</v>
      </c>
      <c r="C199" s="70" t="s">
        <v>394</v>
      </c>
      <c r="D199" s="70" t="s">
        <v>188</v>
      </c>
      <c r="E199" s="70" t="s">
        <v>189</v>
      </c>
      <c r="F199" s="71" t="n">
        <v>46275</v>
      </c>
      <c r="G199" s="72" t="n">
        <v>204.4</v>
      </c>
      <c r="H199" s="70" t="s">
        <v>65</v>
      </c>
      <c r="I199" s="71" t="n">
        <v>46275</v>
      </c>
      <c r="J199" s="73" t="n">
        <v>0.70130787037037</v>
      </c>
      <c r="K199" s="74" t="str">
        <f aca="false">IF(AND(G199&gt;0,F199&lt;=Parâmetros!$C$6),"Recebido no 2008",IF(G199&lt;0,"Entrada","Estorno"))</f>
        <v>Recebido no 2008</v>
      </c>
      <c r="L199" s="75" t="n">
        <f aca="false">IF(K199="Recebido no 2008",0,-G199)</f>
        <v>0</v>
      </c>
    </row>
    <row r="200" customFormat="false" ht="15" hidden="false" customHeight="false" outlineLevel="0" collapsed="false">
      <c r="A200" s="70" t="s">
        <v>320</v>
      </c>
      <c r="B200" s="70" t="s">
        <v>389</v>
      </c>
      <c r="C200" s="70" t="s">
        <v>393</v>
      </c>
      <c r="D200" s="70" t="s">
        <v>188</v>
      </c>
      <c r="E200" s="70" t="s">
        <v>189</v>
      </c>
      <c r="F200" s="71" t="n">
        <v>46275</v>
      </c>
      <c r="G200" s="72" t="n">
        <v>529.2</v>
      </c>
      <c r="H200" s="70" t="s">
        <v>65</v>
      </c>
      <c r="I200" s="71" t="n">
        <v>46275</v>
      </c>
      <c r="J200" s="73" t="n">
        <v>0.823101851851852</v>
      </c>
      <c r="K200" s="74" t="str">
        <f aca="false">IF(AND(G200&gt;0,F200&lt;=Parâmetros!$C$6),"Recebido no 2008",IF(G200&lt;0,"Entrada","Estorno"))</f>
        <v>Recebido no 2008</v>
      </c>
      <c r="L200" s="75" t="n">
        <f aca="false">IF(K200="Recebido no 2008",0,-G200)</f>
        <v>0</v>
      </c>
    </row>
    <row r="201" customFormat="false" ht="15" hidden="false" customHeight="false" outlineLevel="0" collapsed="false">
      <c r="A201" s="70" t="s">
        <v>312</v>
      </c>
      <c r="B201" s="70" t="s">
        <v>309</v>
      </c>
      <c r="C201" s="70" t="s">
        <v>395</v>
      </c>
      <c r="D201" s="70" t="s">
        <v>188</v>
      </c>
      <c r="E201" s="70" t="s">
        <v>189</v>
      </c>
      <c r="F201" s="71" t="n">
        <v>46275</v>
      </c>
      <c r="G201" s="72" t="n">
        <v>20</v>
      </c>
      <c r="H201" s="70" t="s">
        <v>65</v>
      </c>
      <c r="I201" s="71" t="n">
        <v>46275</v>
      </c>
      <c r="J201" s="73" t="n">
        <v>0.790555555555556</v>
      </c>
      <c r="K201" s="74" t="str">
        <f aca="false">IF(AND(G201&gt;0,F201&lt;=Parâmetros!$C$6),"Recebido no 2008",IF(G201&lt;0,"Entrada","Estorno"))</f>
        <v>Recebido no 2008</v>
      </c>
      <c r="L201" s="75" t="n">
        <f aca="false">IF(K201="Recebido no 2008",0,-G201)</f>
        <v>0</v>
      </c>
    </row>
    <row r="202" customFormat="false" ht="15" hidden="false" customHeight="false" outlineLevel="0" collapsed="false">
      <c r="A202" s="70" t="s">
        <v>312</v>
      </c>
      <c r="B202" s="70" t="s">
        <v>309</v>
      </c>
      <c r="C202" s="70" t="s">
        <v>310</v>
      </c>
      <c r="D202" s="70" t="s">
        <v>188</v>
      </c>
      <c r="E202" s="70" t="s">
        <v>189</v>
      </c>
      <c r="F202" s="71" t="n">
        <v>46275</v>
      </c>
      <c r="G202" s="72" t="n">
        <v>2995</v>
      </c>
      <c r="H202" s="70" t="s">
        <v>65</v>
      </c>
      <c r="I202" s="71" t="n">
        <v>46275</v>
      </c>
      <c r="J202" s="73" t="n">
        <v>0.790555555555556</v>
      </c>
      <c r="K202" s="74" t="str">
        <f aca="false">IF(AND(G202&gt;0,F202&lt;=Parâmetros!$C$6),"Recebido no 2008",IF(G202&lt;0,"Entrada","Estorno"))</f>
        <v>Recebido no 2008</v>
      </c>
      <c r="L202" s="75" t="n">
        <f aca="false">IF(K202="Recebido no 2008",0,-G202)</f>
        <v>0</v>
      </c>
    </row>
  </sheetData>
  <conditionalFormatting sqref="A2:L202">
    <cfRule type="expression" priority="2" aboveAverage="0" equalAverage="0" bottom="0" percent="0" rank="0" text="" dxfId="9">
      <formula>MOD(ROW(),2)=0</formula>
    </cfRule>
  </conditionalFormatting>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true"/>
  </sheetPr>
  <dimension ref="A1:R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2"/>
    <col collapsed="false" customWidth="true" hidden="false" outlineLevel="0" max="4" min="4" style="0" width="42"/>
    <col collapsed="false" customWidth="true" hidden="false" outlineLevel="0" max="6" min="5" style="0" width="10"/>
    <col collapsed="false" customWidth="true" hidden="false" outlineLevel="0" max="7" min="7" style="0" width="21"/>
    <col collapsed="false" customWidth="true" hidden="false" outlineLevel="0" max="8" min="8" style="0" width="12"/>
    <col collapsed="false" customWidth="true" hidden="false" outlineLevel="0" max="9" min="9" style="0" width="10"/>
    <col collapsed="false" customWidth="true" hidden="false" outlineLevel="0" max="10" min="10" style="0" width="21"/>
    <col collapsed="false" customWidth="true" hidden="false" outlineLevel="0" max="11" min="11" style="0" width="19"/>
    <col collapsed="false" customWidth="true" hidden="false" outlineLevel="0" max="12" min="12" style="0" width="21"/>
    <col collapsed="false" customWidth="true" hidden="false" outlineLevel="0" max="13" min="13" style="0" width="18"/>
    <col collapsed="false" customWidth="true" hidden="false" outlineLevel="0" max="14" min="14" style="0" width="17"/>
    <col collapsed="false" customWidth="true" hidden="false" outlineLevel="0" max="15" min="15" style="0" width="12"/>
    <col collapsed="false" customWidth="true" hidden="false" outlineLevel="0" max="16" min="16" style="0" width="10"/>
    <col collapsed="false" customWidth="true" hidden="false" outlineLevel="0" max="17" min="17" style="0" width="37"/>
    <col collapsed="false" customWidth="true" hidden="false" outlineLevel="0" max="18" min="18" style="0" width="10"/>
  </cols>
  <sheetData>
    <row r="1" customFormat="false" ht="30" hidden="false" customHeight="true" outlineLevel="0" collapsed="false">
      <c r="A1" s="15" t="s">
        <v>177</v>
      </c>
      <c r="B1" s="15" t="s">
        <v>157</v>
      </c>
      <c r="C1" s="15" t="s">
        <v>60</v>
      </c>
      <c r="D1" s="15" t="s">
        <v>396</v>
      </c>
      <c r="E1" s="15" t="s">
        <v>178</v>
      </c>
      <c r="F1" s="15" t="s">
        <v>179</v>
      </c>
      <c r="G1" s="15" t="s">
        <v>180</v>
      </c>
      <c r="H1" s="15" t="s">
        <v>181</v>
      </c>
      <c r="I1" s="15" t="s">
        <v>159</v>
      </c>
      <c r="J1" s="15" t="s">
        <v>182</v>
      </c>
      <c r="K1" s="15" t="s">
        <v>397</v>
      </c>
      <c r="L1" s="15" t="s">
        <v>398</v>
      </c>
      <c r="M1" s="15" t="s">
        <v>183</v>
      </c>
      <c r="N1" s="15" t="s">
        <v>399</v>
      </c>
      <c r="O1" s="15" t="s">
        <v>400</v>
      </c>
      <c r="P1" s="15" t="s">
        <v>401</v>
      </c>
      <c r="Q1" s="15" t="s">
        <v>402</v>
      </c>
      <c r="R1" s="15" t="s">
        <v>85</v>
      </c>
    </row>
    <row r="2" customFormat="false" ht="15" hidden="false" customHeight="false" outlineLevel="0" collapsed="false">
      <c r="A2" s="70" t="s">
        <v>403</v>
      </c>
      <c r="B2" s="70" t="s">
        <v>192</v>
      </c>
      <c r="C2" s="70" t="s">
        <v>195</v>
      </c>
      <c r="D2" s="70" t="s">
        <v>404</v>
      </c>
      <c r="E2" s="70" t="s">
        <v>405</v>
      </c>
      <c r="F2" s="70" t="s">
        <v>189</v>
      </c>
      <c r="G2" s="71" t="n">
        <v>46295</v>
      </c>
      <c r="H2" s="72" t="n">
        <v>-40.2</v>
      </c>
      <c r="I2" s="70" t="s">
        <v>65</v>
      </c>
      <c r="J2" s="71" t="n">
        <v>46295</v>
      </c>
      <c r="K2" s="70" t="s">
        <v>406</v>
      </c>
      <c r="L2" s="72" t="n">
        <v>0</v>
      </c>
      <c r="M2" s="73" t="n">
        <v>0.430717592592593</v>
      </c>
      <c r="N2" s="70" t="s">
        <v>407</v>
      </c>
      <c r="O2" s="70" t="s">
        <v>408</v>
      </c>
      <c r="P2" s="70" t="s">
        <v>409</v>
      </c>
      <c r="Q2" s="70" t="s">
        <v>410</v>
      </c>
      <c r="R2" s="75" t="n">
        <f aca="false">-H2</f>
        <v>40.2</v>
      </c>
    </row>
    <row r="3" customFormat="false" ht="15" hidden="false" customHeight="false" outlineLevel="0" collapsed="false">
      <c r="A3" s="70" t="s">
        <v>411</v>
      </c>
      <c r="B3" s="70" t="s">
        <v>192</v>
      </c>
      <c r="C3" s="70" t="s">
        <v>195</v>
      </c>
      <c r="D3" s="70" t="s">
        <v>404</v>
      </c>
      <c r="E3" s="70" t="s">
        <v>405</v>
      </c>
      <c r="F3" s="70" t="s">
        <v>189</v>
      </c>
      <c r="G3" s="71" t="n">
        <v>46295</v>
      </c>
      <c r="H3" s="72" t="n">
        <v>-60.3</v>
      </c>
      <c r="I3" s="70" t="s">
        <v>65</v>
      </c>
      <c r="J3" s="71" t="n">
        <v>46295</v>
      </c>
      <c r="K3" s="70" t="s">
        <v>406</v>
      </c>
      <c r="L3" s="72" t="n">
        <v>0</v>
      </c>
      <c r="M3" s="73" t="n">
        <v>0.355983796296296</v>
      </c>
      <c r="N3" s="70" t="s">
        <v>407</v>
      </c>
      <c r="O3" s="70" t="s">
        <v>412</v>
      </c>
      <c r="P3" s="70" t="s">
        <v>413</v>
      </c>
      <c r="Q3" s="70" t="s">
        <v>414</v>
      </c>
      <c r="R3" s="75" t="n">
        <f aca="false">-H3</f>
        <v>60.3</v>
      </c>
    </row>
    <row r="4" customFormat="false" ht="15" hidden="false" customHeight="false" outlineLevel="0" collapsed="false">
      <c r="A4" s="70" t="s">
        <v>415</v>
      </c>
      <c r="B4" s="70" t="s">
        <v>192</v>
      </c>
      <c r="C4" s="70" t="s">
        <v>193</v>
      </c>
      <c r="D4" s="70" t="s">
        <v>404</v>
      </c>
      <c r="E4" s="70" t="s">
        <v>416</v>
      </c>
      <c r="F4" s="70" t="s">
        <v>189</v>
      </c>
      <c r="G4" s="71" t="n">
        <v>46295</v>
      </c>
      <c r="H4" s="72" t="n">
        <v>-20.1</v>
      </c>
      <c r="I4" s="70" t="s">
        <v>65</v>
      </c>
      <c r="J4" s="71" t="n">
        <v>46295</v>
      </c>
      <c r="K4" s="70" t="s">
        <v>406</v>
      </c>
      <c r="L4" s="72" t="n">
        <v>0</v>
      </c>
      <c r="M4" s="73" t="n">
        <v>0.745011574074074</v>
      </c>
      <c r="N4" s="70" t="s">
        <v>417</v>
      </c>
      <c r="O4" s="70" t="s">
        <v>418</v>
      </c>
      <c r="P4" s="70" t="s">
        <v>419</v>
      </c>
      <c r="Q4" s="70" t="s">
        <v>420</v>
      </c>
      <c r="R4" s="75" t="n">
        <f aca="false">-H4</f>
        <v>20.1</v>
      </c>
    </row>
    <row r="5" customFormat="false" ht="15" hidden="false" customHeight="false" outlineLevel="0" collapsed="false">
      <c r="A5" s="70" t="s">
        <v>421</v>
      </c>
      <c r="B5" s="70" t="s">
        <v>192</v>
      </c>
      <c r="C5" s="70" t="s">
        <v>195</v>
      </c>
      <c r="D5" s="70" t="s">
        <v>404</v>
      </c>
      <c r="E5" s="70" t="s">
        <v>405</v>
      </c>
      <c r="F5" s="70" t="s">
        <v>189</v>
      </c>
      <c r="G5" s="71" t="n">
        <v>46294</v>
      </c>
      <c r="H5" s="72" t="n">
        <v>-80.4</v>
      </c>
      <c r="I5" s="70" t="s">
        <v>65</v>
      </c>
      <c r="J5" s="71" t="n">
        <v>46295</v>
      </c>
      <c r="K5" s="70" t="s">
        <v>406</v>
      </c>
      <c r="L5" s="72" t="n">
        <v>0</v>
      </c>
      <c r="M5" s="73" t="n">
        <v>0.00539351851851852</v>
      </c>
      <c r="N5" s="70" t="s">
        <v>407</v>
      </c>
      <c r="O5" s="70" t="s">
        <v>422</v>
      </c>
      <c r="P5" s="70" t="s">
        <v>423</v>
      </c>
      <c r="Q5" s="70" t="s">
        <v>424</v>
      </c>
      <c r="R5" s="75" t="n">
        <f aca="false">-H5</f>
        <v>80.4</v>
      </c>
    </row>
    <row r="6" customFormat="false" ht="15" hidden="false" customHeight="false" outlineLevel="0" collapsed="false">
      <c r="A6" s="70" t="s">
        <v>425</v>
      </c>
      <c r="B6" s="70" t="s">
        <v>192</v>
      </c>
      <c r="C6" s="70" t="s">
        <v>193</v>
      </c>
      <c r="D6" s="70" t="s">
        <v>404</v>
      </c>
      <c r="E6" s="70" t="s">
        <v>416</v>
      </c>
      <c r="F6" s="70" t="s">
        <v>189</v>
      </c>
      <c r="G6" s="71" t="n">
        <v>46293</v>
      </c>
      <c r="H6" s="72" t="n">
        <v>-20.1</v>
      </c>
      <c r="I6" s="70" t="s">
        <v>65</v>
      </c>
      <c r="J6" s="71" t="n">
        <v>46293</v>
      </c>
      <c r="K6" s="70" t="s">
        <v>406</v>
      </c>
      <c r="L6" s="72" t="n">
        <v>0</v>
      </c>
      <c r="M6" s="73" t="n">
        <v>0.683634259259259</v>
      </c>
      <c r="N6" s="70" t="s">
        <v>426</v>
      </c>
      <c r="O6" s="70" t="s">
        <v>427</v>
      </c>
      <c r="P6" s="70" t="s">
        <v>428</v>
      </c>
      <c r="Q6" s="70" t="s">
        <v>429</v>
      </c>
      <c r="R6" s="75" t="n">
        <f aca="false">-H6</f>
        <v>20.1</v>
      </c>
    </row>
    <row r="7" customFormat="false" ht="15" hidden="false" customHeight="false" outlineLevel="0" collapsed="false">
      <c r="A7" s="70" t="s">
        <v>430</v>
      </c>
      <c r="B7" s="70" t="s">
        <v>192</v>
      </c>
      <c r="C7" s="70" t="s">
        <v>195</v>
      </c>
      <c r="D7" s="70" t="s">
        <v>404</v>
      </c>
      <c r="E7" s="70" t="s">
        <v>405</v>
      </c>
      <c r="F7" s="70" t="s">
        <v>189</v>
      </c>
      <c r="G7" s="71" t="n">
        <v>46292</v>
      </c>
      <c r="H7" s="72" t="n">
        <v>-201</v>
      </c>
      <c r="I7" s="70" t="s">
        <v>65</v>
      </c>
      <c r="J7" s="71" t="n">
        <v>46292</v>
      </c>
      <c r="K7" s="70" t="s">
        <v>406</v>
      </c>
      <c r="L7" s="72" t="n">
        <v>0</v>
      </c>
      <c r="M7" s="73" t="n">
        <v>0.824525462962963</v>
      </c>
      <c r="N7" s="70" t="s">
        <v>431</v>
      </c>
      <c r="O7" s="70" t="s">
        <v>432</v>
      </c>
      <c r="P7" s="70" t="s">
        <v>433</v>
      </c>
      <c r="Q7" s="70" t="s">
        <v>434</v>
      </c>
      <c r="R7" s="75" t="n">
        <f aca="false">-H7</f>
        <v>201</v>
      </c>
    </row>
    <row r="8" customFormat="false" ht="15" hidden="false" customHeight="false" outlineLevel="0" collapsed="false">
      <c r="A8" s="70" t="s">
        <v>435</v>
      </c>
      <c r="B8" s="70" t="s">
        <v>192</v>
      </c>
      <c r="C8" s="70" t="s">
        <v>195</v>
      </c>
      <c r="D8" s="70" t="s">
        <v>404</v>
      </c>
      <c r="E8" s="70" t="s">
        <v>405</v>
      </c>
      <c r="F8" s="70" t="s">
        <v>189</v>
      </c>
      <c r="G8" s="71" t="n">
        <v>46292</v>
      </c>
      <c r="H8" s="72" t="n">
        <v>-20.1</v>
      </c>
      <c r="I8" s="70" t="s">
        <v>65</v>
      </c>
      <c r="J8" s="71" t="n">
        <v>46292</v>
      </c>
      <c r="K8" s="70" t="s">
        <v>406</v>
      </c>
      <c r="L8" s="72" t="n">
        <v>0</v>
      </c>
      <c r="M8" s="73" t="n">
        <v>0.631296296296296</v>
      </c>
      <c r="N8" s="70" t="s">
        <v>431</v>
      </c>
      <c r="O8" s="70" t="s">
        <v>436</v>
      </c>
      <c r="P8" s="70" t="s">
        <v>437</v>
      </c>
      <c r="Q8" s="70" t="s">
        <v>438</v>
      </c>
      <c r="R8" s="75" t="n">
        <f aca="false">-H8</f>
        <v>20.1</v>
      </c>
    </row>
    <row r="9" customFormat="false" ht="15" hidden="false" customHeight="false" outlineLevel="0" collapsed="false">
      <c r="A9" s="70" t="s">
        <v>439</v>
      </c>
      <c r="B9" s="70" t="s">
        <v>192</v>
      </c>
      <c r="C9" s="70" t="s">
        <v>195</v>
      </c>
      <c r="D9" s="70" t="s">
        <v>404</v>
      </c>
      <c r="E9" s="70" t="s">
        <v>405</v>
      </c>
      <c r="F9" s="70" t="s">
        <v>189</v>
      </c>
      <c r="G9" s="71" t="n">
        <v>46292</v>
      </c>
      <c r="H9" s="72" t="n">
        <v>-40.2</v>
      </c>
      <c r="I9" s="70" t="s">
        <v>65</v>
      </c>
      <c r="J9" s="71" t="n">
        <v>46292</v>
      </c>
      <c r="K9" s="70" t="s">
        <v>406</v>
      </c>
      <c r="L9" s="72" t="n">
        <v>0</v>
      </c>
      <c r="M9" s="73" t="n">
        <v>0.82537037037037</v>
      </c>
      <c r="N9" s="70" t="s">
        <v>431</v>
      </c>
      <c r="O9" s="70" t="s">
        <v>440</v>
      </c>
      <c r="P9" s="70" t="s">
        <v>441</v>
      </c>
      <c r="Q9" s="70" t="s">
        <v>442</v>
      </c>
      <c r="R9" s="75" t="n">
        <f aca="false">-H9</f>
        <v>40.2</v>
      </c>
    </row>
    <row r="10" customFormat="false" ht="15" hidden="false" customHeight="false" outlineLevel="0" collapsed="false">
      <c r="A10" s="70" t="s">
        <v>443</v>
      </c>
      <c r="B10" s="70" t="s">
        <v>192</v>
      </c>
      <c r="C10" s="70" t="s">
        <v>195</v>
      </c>
      <c r="D10" s="70" t="s">
        <v>404</v>
      </c>
      <c r="E10" s="70" t="s">
        <v>405</v>
      </c>
      <c r="F10" s="70" t="s">
        <v>189</v>
      </c>
      <c r="G10" s="71" t="n">
        <v>46292</v>
      </c>
      <c r="H10" s="72" t="n">
        <v>-261.3</v>
      </c>
      <c r="I10" s="70" t="s">
        <v>65</v>
      </c>
      <c r="J10" s="71" t="n">
        <v>46293</v>
      </c>
      <c r="K10" s="70" t="s">
        <v>406</v>
      </c>
      <c r="L10" s="72" t="n">
        <v>0</v>
      </c>
      <c r="M10" s="73" t="n">
        <v>0.121898148148148</v>
      </c>
      <c r="N10" s="70" t="s">
        <v>444</v>
      </c>
      <c r="O10" s="70" t="s">
        <v>445</v>
      </c>
      <c r="P10" s="70" t="s">
        <v>446</v>
      </c>
      <c r="Q10" s="70" t="s">
        <v>447</v>
      </c>
      <c r="R10" s="75" t="n">
        <f aca="false">-H10</f>
        <v>261.3</v>
      </c>
    </row>
    <row r="11" customFormat="false" ht="15" hidden="false" customHeight="false" outlineLevel="0" collapsed="false">
      <c r="A11" s="70" t="s">
        <v>448</v>
      </c>
      <c r="B11" s="70" t="s">
        <v>192</v>
      </c>
      <c r="C11" s="70" t="s">
        <v>195</v>
      </c>
      <c r="D11" s="70" t="s">
        <v>404</v>
      </c>
      <c r="E11" s="70" t="s">
        <v>405</v>
      </c>
      <c r="F11" s="70" t="s">
        <v>189</v>
      </c>
      <c r="G11" s="71" t="n">
        <v>46292</v>
      </c>
      <c r="H11" s="72" t="n">
        <v>-40.2</v>
      </c>
      <c r="I11" s="70" t="s">
        <v>65</v>
      </c>
      <c r="J11" s="71" t="n">
        <v>46292</v>
      </c>
      <c r="K11" s="70" t="s">
        <v>406</v>
      </c>
      <c r="L11" s="72" t="n">
        <v>0</v>
      </c>
      <c r="M11" s="73" t="n">
        <v>0.825775462962963</v>
      </c>
      <c r="N11" s="70" t="s">
        <v>431</v>
      </c>
      <c r="O11" s="70" t="s">
        <v>449</v>
      </c>
      <c r="P11" s="70" t="s">
        <v>450</v>
      </c>
      <c r="Q11" s="70" t="s">
        <v>451</v>
      </c>
      <c r="R11" s="75" t="n">
        <f aca="false">-H11</f>
        <v>40.2</v>
      </c>
    </row>
    <row r="12" customFormat="false" ht="15" hidden="false" customHeight="false" outlineLevel="0" collapsed="false">
      <c r="A12" s="70" t="s">
        <v>452</v>
      </c>
      <c r="B12" s="70" t="s">
        <v>192</v>
      </c>
      <c r="C12" s="70" t="s">
        <v>195</v>
      </c>
      <c r="D12" s="70" t="s">
        <v>404</v>
      </c>
      <c r="E12" s="70" t="s">
        <v>405</v>
      </c>
      <c r="F12" s="70" t="s">
        <v>189</v>
      </c>
      <c r="G12" s="71" t="n">
        <v>46292</v>
      </c>
      <c r="H12" s="72" t="n">
        <v>-20.1</v>
      </c>
      <c r="I12" s="70" t="s">
        <v>65</v>
      </c>
      <c r="J12" s="71" t="n">
        <v>46292</v>
      </c>
      <c r="K12" s="70" t="s">
        <v>406</v>
      </c>
      <c r="L12" s="72" t="n">
        <v>0</v>
      </c>
      <c r="M12" s="73" t="n">
        <v>0.825833333333333</v>
      </c>
      <c r="N12" s="70" t="s">
        <v>431</v>
      </c>
      <c r="O12" s="70" t="s">
        <v>453</v>
      </c>
      <c r="P12" s="70" t="s">
        <v>454</v>
      </c>
      <c r="Q12" s="70" t="s">
        <v>455</v>
      </c>
      <c r="R12" s="75" t="n">
        <f aca="false">-H12</f>
        <v>20.1</v>
      </c>
    </row>
    <row r="13" customFormat="false" ht="15" hidden="false" customHeight="false" outlineLevel="0" collapsed="false">
      <c r="A13" s="70" t="s">
        <v>456</v>
      </c>
      <c r="B13" s="70" t="s">
        <v>192</v>
      </c>
      <c r="C13" s="70" t="s">
        <v>195</v>
      </c>
      <c r="D13" s="70" t="s">
        <v>404</v>
      </c>
      <c r="E13" s="70" t="s">
        <v>405</v>
      </c>
      <c r="F13" s="70" t="s">
        <v>189</v>
      </c>
      <c r="G13" s="71" t="n">
        <v>46292</v>
      </c>
      <c r="H13" s="72" t="n">
        <v>-40.2</v>
      </c>
      <c r="I13" s="70" t="s">
        <v>65</v>
      </c>
      <c r="J13" s="71" t="n">
        <v>46292</v>
      </c>
      <c r="K13" s="70" t="s">
        <v>406</v>
      </c>
      <c r="L13" s="72" t="n">
        <v>0</v>
      </c>
      <c r="M13" s="73" t="n">
        <v>0.825902777777778</v>
      </c>
      <c r="N13" s="70" t="s">
        <v>431</v>
      </c>
      <c r="O13" s="70" t="s">
        <v>457</v>
      </c>
      <c r="P13" s="70" t="s">
        <v>458</v>
      </c>
      <c r="Q13" s="70" t="s">
        <v>459</v>
      </c>
      <c r="R13" s="75" t="n">
        <f aca="false">-H13</f>
        <v>40.2</v>
      </c>
    </row>
    <row r="14" customFormat="false" ht="15" hidden="false" customHeight="false" outlineLevel="0" collapsed="false">
      <c r="A14" s="70" t="s">
        <v>460</v>
      </c>
      <c r="B14" s="70" t="s">
        <v>192</v>
      </c>
      <c r="C14" s="70" t="s">
        <v>195</v>
      </c>
      <c r="D14" s="70" t="s">
        <v>404</v>
      </c>
      <c r="E14" s="70" t="s">
        <v>405</v>
      </c>
      <c r="F14" s="70" t="s">
        <v>189</v>
      </c>
      <c r="G14" s="71" t="n">
        <v>46291</v>
      </c>
      <c r="H14" s="72" t="n">
        <v>-522.6</v>
      </c>
      <c r="I14" s="70" t="s">
        <v>65</v>
      </c>
      <c r="J14" s="71" t="n">
        <v>46291</v>
      </c>
      <c r="K14" s="70" t="s">
        <v>406</v>
      </c>
      <c r="L14" s="72" t="n">
        <v>0</v>
      </c>
      <c r="M14" s="73" t="n">
        <v>0.518101851851852</v>
      </c>
      <c r="N14" s="70" t="s">
        <v>431</v>
      </c>
      <c r="O14" s="70" t="s">
        <v>461</v>
      </c>
      <c r="P14" s="70" t="s">
        <v>423</v>
      </c>
      <c r="Q14" s="70" t="s">
        <v>424</v>
      </c>
      <c r="R14" s="75" t="n">
        <f aca="false">-H14</f>
        <v>522.6</v>
      </c>
    </row>
    <row r="15" customFormat="false" ht="15" hidden="false" customHeight="false" outlineLevel="0" collapsed="false">
      <c r="A15" s="70" t="s">
        <v>462</v>
      </c>
      <c r="B15" s="70" t="s">
        <v>192</v>
      </c>
      <c r="C15" s="70" t="s">
        <v>195</v>
      </c>
      <c r="D15" s="70" t="s">
        <v>404</v>
      </c>
      <c r="E15" s="70" t="s">
        <v>405</v>
      </c>
      <c r="F15" s="70" t="s">
        <v>189</v>
      </c>
      <c r="G15" s="71" t="n">
        <v>46291</v>
      </c>
      <c r="H15" s="72" t="n">
        <v>-80.4</v>
      </c>
      <c r="I15" s="70" t="s">
        <v>65</v>
      </c>
      <c r="J15" s="71" t="n">
        <v>46292</v>
      </c>
      <c r="K15" s="70" t="s">
        <v>406</v>
      </c>
      <c r="L15" s="72" t="n">
        <v>0</v>
      </c>
      <c r="M15" s="73" t="n">
        <v>0.0319907407407407</v>
      </c>
      <c r="N15" s="70" t="s">
        <v>444</v>
      </c>
      <c r="O15" s="70" t="s">
        <v>463</v>
      </c>
      <c r="P15" s="70" t="s">
        <v>464</v>
      </c>
      <c r="Q15" s="70" t="s">
        <v>465</v>
      </c>
      <c r="R15" s="75" t="n">
        <f aca="false">-H15</f>
        <v>80.4</v>
      </c>
    </row>
    <row r="16" customFormat="false" ht="15" hidden="false" customHeight="false" outlineLevel="0" collapsed="false">
      <c r="A16" s="70" t="s">
        <v>466</v>
      </c>
      <c r="B16" s="70" t="s">
        <v>192</v>
      </c>
      <c r="C16" s="70" t="s">
        <v>195</v>
      </c>
      <c r="D16" s="70" t="s">
        <v>404</v>
      </c>
      <c r="E16" s="70" t="s">
        <v>405</v>
      </c>
      <c r="F16" s="70" t="s">
        <v>189</v>
      </c>
      <c r="G16" s="71" t="n">
        <v>46291</v>
      </c>
      <c r="H16" s="72" t="n">
        <v>-40.2</v>
      </c>
      <c r="I16" s="70" t="s">
        <v>65</v>
      </c>
      <c r="J16" s="71" t="n">
        <v>46291</v>
      </c>
      <c r="K16" s="70" t="s">
        <v>406</v>
      </c>
      <c r="L16" s="72" t="n">
        <v>0</v>
      </c>
      <c r="M16" s="73" t="n">
        <v>0.339259259259259</v>
      </c>
      <c r="N16" s="70" t="s">
        <v>407</v>
      </c>
      <c r="O16" s="70" t="s">
        <v>467</v>
      </c>
      <c r="P16" s="70" t="s">
        <v>468</v>
      </c>
      <c r="Q16" s="70" t="s">
        <v>469</v>
      </c>
      <c r="R16" s="75" t="n">
        <f aca="false">-H16</f>
        <v>40.2</v>
      </c>
    </row>
    <row r="17" customFormat="false" ht="15" hidden="false" customHeight="false" outlineLevel="0" collapsed="false">
      <c r="A17" s="70" t="s">
        <v>470</v>
      </c>
      <c r="B17" s="70" t="s">
        <v>192</v>
      </c>
      <c r="C17" s="70" t="s">
        <v>195</v>
      </c>
      <c r="D17" s="70" t="s">
        <v>404</v>
      </c>
      <c r="E17" s="70" t="s">
        <v>405</v>
      </c>
      <c r="F17" s="70" t="s">
        <v>189</v>
      </c>
      <c r="G17" s="71" t="n">
        <v>46291</v>
      </c>
      <c r="H17" s="72" t="n">
        <v>-402</v>
      </c>
      <c r="I17" s="70" t="s">
        <v>65</v>
      </c>
      <c r="J17" s="71" t="n">
        <v>46292</v>
      </c>
      <c r="K17" s="70" t="s">
        <v>406</v>
      </c>
      <c r="L17" s="72" t="n">
        <v>0</v>
      </c>
      <c r="M17" s="73" t="n">
        <v>0.030625</v>
      </c>
      <c r="N17" s="70" t="s">
        <v>444</v>
      </c>
      <c r="O17" s="70" t="s">
        <v>471</v>
      </c>
      <c r="P17" s="70" t="s">
        <v>472</v>
      </c>
      <c r="Q17" s="70" t="s">
        <v>473</v>
      </c>
      <c r="R17" s="75" t="n">
        <f aca="false">-H17</f>
        <v>402</v>
      </c>
    </row>
    <row r="18" customFormat="false" ht="15" hidden="false" customHeight="false" outlineLevel="0" collapsed="false">
      <c r="A18" s="70" t="s">
        <v>474</v>
      </c>
      <c r="B18" s="70" t="s">
        <v>192</v>
      </c>
      <c r="C18" s="70" t="s">
        <v>195</v>
      </c>
      <c r="D18" s="70" t="s">
        <v>404</v>
      </c>
      <c r="E18" s="70" t="s">
        <v>405</v>
      </c>
      <c r="F18" s="70" t="s">
        <v>189</v>
      </c>
      <c r="G18" s="71" t="n">
        <v>46291</v>
      </c>
      <c r="H18" s="72" t="n">
        <v>-40.2</v>
      </c>
      <c r="I18" s="70" t="s">
        <v>65</v>
      </c>
      <c r="J18" s="71" t="n">
        <v>46291</v>
      </c>
      <c r="K18" s="70" t="s">
        <v>406</v>
      </c>
      <c r="L18" s="72" t="n">
        <v>0</v>
      </c>
      <c r="M18" s="73" t="n">
        <v>0.339166666666667</v>
      </c>
      <c r="N18" s="70" t="s">
        <v>407</v>
      </c>
      <c r="O18" s="70" t="s">
        <v>475</v>
      </c>
      <c r="P18" s="70" t="s">
        <v>468</v>
      </c>
      <c r="Q18" s="70" t="s">
        <v>469</v>
      </c>
      <c r="R18" s="75" t="n">
        <f aca="false">-H18</f>
        <v>40.2</v>
      </c>
    </row>
    <row r="19" customFormat="false" ht="15" hidden="false" customHeight="false" outlineLevel="0" collapsed="false">
      <c r="A19" s="70" t="s">
        <v>476</v>
      </c>
      <c r="B19" s="70" t="s">
        <v>192</v>
      </c>
      <c r="C19" s="70" t="s">
        <v>195</v>
      </c>
      <c r="D19" s="70" t="s">
        <v>404</v>
      </c>
      <c r="E19" s="70" t="s">
        <v>405</v>
      </c>
      <c r="F19" s="70" t="s">
        <v>189</v>
      </c>
      <c r="G19" s="71" t="n">
        <v>46291</v>
      </c>
      <c r="H19" s="72" t="n">
        <v>-160.8</v>
      </c>
      <c r="I19" s="70" t="s">
        <v>65</v>
      </c>
      <c r="J19" s="71" t="n">
        <v>46291</v>
      </c>
      <c r="K19" s="70" t="s">
        <v>406</v>
      </c>
      <c r="L19" s="72" t="n">
        <v>0</v>
      </c>
      <c r="M19" s="73" t="n">
        <v>0.520636574074074</v>
      </c>
      <c r="N19" s="70" t="s">
        <v>431</v>
      </c>
      <c r="O19" s="70" t="s">
        <v>477</v>
      </c>
      <c r="P19" s="70" t="s">
        <v>478</v>
      </c>
      <c r="Q19" s="70" t="s">
        <v>479</v>
      </c>
      <c r="R19" s="75" t="n">
        <f aca="false">-H19</f>
        <v>160.8</v>
      </c>
    </row>
    <row r="20" customFormat="false" ht="15" hidden="false" customHeight="false" outlineLevel="0" collapsed="false">
      <c r="A20" s="70" t="s">
        <v>480</v>
      </c>
      <c r="B20" s="70" t="s">
        <v>192</v>
      </c>
      <c r="C20" s="70" t="s">
        <v>195</v>
      </c>
      <c r="D20" s="70" t="s">
        <v>404</v>
      </c>
      <c r="E20" s="70" t="s">
        <v>405</v>
      </c>
      <c r="F20" s="70" t="s">
        <v>189</v>
      </c>
      <c r="G20" s="71" t="n">
        <v>46290</v>
      </c>
      <c r="H20" s="72" t="n">
        <v>-20.1</v>
      </c>
      <c r="I20" s="70" t="s">
        <v>65</v>
      </c>
      <c r="J20" s="71" t="n">
        <v>46290</v>
      </c>
      <c r="K20" s="70" t="s">
        <v>406</v>
      </c>
      <c r="L20" s="72" t="n">
        <v>0</v>
      </c>
      <c r="M20" s="73" t="n">
        <v>0.749340277777778</v>
      </c>
      <c r="N20" s="70" t="s">
        <v>481</v>
      </c>
      <c r="O20" s="70" t="s">
        <v>482</v>
      </c>
      <c r="P20" s="70" t="s">
        <v>483</v>
      </c>
      <c r="Q20" s="70" t="s">
        <v>484</v>
      </c>
      <c r="R20" s="75" t="n">
        <f aca="false">-H20</f>
        <v>20.1</v>
      </c>
    </row>
    <row r="21" customFormat="false" ht="15" hidden="false" customHeight="false" outlineLevel="0" collapsed="false">
      <c r="A21" s="70" t="s">
        <v>485</v>
      </c>
      <c r="B21" s="70" t="s">
        <v>192</v>
      </c>
      <c r="C21" s="70" t="s">
        <v>195</v>
      </c>
      <c r="D21" s="70" t="s">
        <v>404</v>
      </c>
      <c r="E21" s="70" t="s">
        <v>405</v>
      </c>
      <c r="F21" s="70" t="s">
        <v>189</v>
      </c>
      <c r="G21" s="71" t="n">
        <v>46290</v>
      </c>
      <c r="H21" s="72" t="n">
        <v>-603</v>
      </c>
      <c r="I21" s="70" t="s">
        <v>65</v>
      </c>
      <c r="J21" s="71" t="n">
        <v>46290</v>
      </c>
      <c r="K21" s="70" t="s">
        <v>406</v>
      </c>
      <c r="L21" s="72" t="n">
        <v>0</v>
      </c>
      <c r="M21" s="73" t="n">
        <v>0.383680555555556</v>
      </c>
      <c r="N21" s="70" t="s">
        <v>407</v>
      </c>
      <c r="O21" s="70" t="s">
        <v>486</v>
      </c>
      <c r="P21" s="70" t="s">
        <v>487</v>
      </c>
      <c r="Q21" s="70" t="s">
        <v>488</v>
      </c>
      <c r="R21" s="75" t="n">
        <f aca="false">-H21</f>
        <v>603</v>
      </c>
    </row>
    <row r="22" customFormat="false" ht="15" hidden="false" customHeight="false" outlineLevel="0" collapsed="false">
      <c r="A22" s="70" t="s">
        <v>489</v>
      </c>
      <c r="B22" s="70" t="s">
        <v>192</v>
      </c>
      <c r="C22" s="70" t="s">
        <v>193</v>
      </c>
      <c r="D22" s="70" t="s">
        <v>404</v>
      </c>
      <c r="E22" s="70" t="s">
        <v>416</v>
      </c>
      <c r="F22" s="70" t="s">
        <v>189</v>
      </c>
      <c r="G22" s="71" t="n">
        <v>46289</v>
      </c>
      <c r="H22" s="72" t="n">
        <v>-60.3</v>
      </c>
      <c r="I22" s="70" t="s">
        <v>65</v>
      </c>
      <c r="J22" s="71" t="n">
        <v>46289</v>
      </c>
      <c r="K22" s="70" t="s">
        <v>406</v>
      </c>
      <c r="L22" s="72" t="n">
        <v>0</v>
      </c>
      <c r="M22" s="73" t="n">
        <v>0.645798611111111</v>
      </c>
      <c r="N22" s="70" t="s">
        <v>417</v>
      </c>
      <c r="O22" s="70" t="s">
        <v>490</v>
      </c>
      <c r="P22" s="70" t="s">
        <v>491</v>
      </c>
      <c r="Q22" s="70" t="s">
        <v>492</v>
      </c>
      <c r="R22" s="75" t="n">
        <f aca="false">-H22</f>
        <v>60.3</v>
      </c>
    </row>
    <row r="23" customFormat="false" ht="15" hidden="false" customHeight="false" outlineLevel="0" collapsed="false">
      <c r="A23" s="70" t="s">
        <v>493</v>
      </c>
      <c r="B23" s="70" t="s">
        <v>192</v>
      </c>
      <c r="C23" s="70" t="s">
        <v>193</v>
      </c>
      <c r="D23" s="70" t="s">
        <v>404</v>
      </c>
      <c r="E23" s="70" t="s">
        <v>416</v>
      </c>
      <c r="F23" s="70" t="s">
        <v>189</v>
      </c>
      <c r="G23" s="71" t="n">
        <v>46289</v>
      </c>
      <c r="H23" s="72" t="n">
        <v>-20.1</v>
      </c>
      <c r="I23" s="70" t="s">
        <v>65</v>
      </c>
      <c r="J23" s="71" t="n">
        <v>46289</v>
      </c>
      <c r="K23" s="70" t="s">
        <v>406</v>
      </c>
      <c r="L23" s="72" t="n">
        <v>0</v>
      </c>
      <c r="M23" s="73" t="n">
        <v>0.640335648148148</v>
      </c>
      <c r="N23" s="70" t="s">
        <v>417</v>
      </c>
      <c r="O23" s="70" t="s">
        <v>494</v>
      </c>
      <c r="P23" s="70" t="s">
        <v>495</v>
      </c>
      <c r="Q23" s="70" t="s">
        <v>496</v>
      </c>
      <c r="R23" s="75" t="n">
        <f aca="false">-H23</f>
        <v>20.1</v>
      </c>
    </row>
    <row r="24" customFormat="false" ht="15" hidden="false" customHeight="false" outlineLevel="0" collapsed="false">
      <c r="A24" s="70" t="s">
        <v>497</v>
      </c>
      <c r="B24" s="70" t="s">
        <v>192</v>
      </c>
      <c r="C24" s="70" t="s">
        <v>193</v>
      </c>
      <c r="D24" s="70" t="s">
        <v>404</v>
      </c>
      <c r="E24" s="70" t="s">
        <v>416</v>
      </c>
      <c r="F24" s="70" t="s">
        <v>189</v>
      </c>
      <c r="G24" s="71" t="n">
        <v>46282</v>
      </c>
      <c r="H24" s="72" t="n">
        <v>-40.2</v>
      </c>
      <c r="I24" s="70" t="s">
        <v>65</v>
      </c>
      <c r="J24" s="71" t="n">
        <v>46282</v>
      </c>
      <c r="K24" s="70" t="s">
        <v>406</v>
      </c>
      <c r="L24" s="72" t="n">
        <v>0</v>
      </c>
      <c r="M24" s="73" t="n">
        <v>0.945289351851852</v>
      </c>
      <c r="N24" s="70" t="s">
        <v>426</v>
      </c>
      <c r="O24" s="70" t="s">
        <v>498</v>
      </c>
      <c r="P24" s="70" t="s">
        <v>499</v>
      </c>
      <c r="Q24" s="70" t="s">
        <v>500</v>
      </c>
      <c r="R24" s="75" t="n">
        <f aca="false">-H24</f>
        <v>40.2</v>
      </c>
    </row>
    <row r="25" customFormat="false" ht="15" hidden="false" customHeight="false" outlineLevel="0" collapsed="false">
      <c r="A25" s="70" t="s">
        <v>501</v>
      </c>
      <c r="B25" s="70" t="s">
        <v>192</v>
      </c>
      <c r="C25" s="70" t="s">
        <v>193</v>
      </c>
      <c r="D25" s="70" t="s">
        <v>404</v>
      </c>
      <c r="E25" s="70" t="s">
        <v>416</v>
      </c>
      <c r="F25" s="70" t="s">
        <v>189</v>
      </c>
      <c r="G25" s="71" t="n">
        <v>46282</v>
      </c>
      <c r="H25" s="72" t="n">
        <v>-20.1</v>
      </c>
      <c r="I25" s="70" t="s">
        <v>65</v>
      </c>
      <c r="J25" s="71" t="n">
        <v>46282</v>
      </c>
      <c r="K25" s="70" t="s">
        <v>406</v>
      </c>
      <c r="L25" s="72" t="n">
        <v>0</v>
      </c>
      <c r="M25" s="73" t="n">
        <v>0.945428240740741</v>
      </c>
      <c r="N25" s="70" t="s">
        <v>426</v>
      </c>
      <c r="O25" s="70" t="s">
        <v>502</v>
      </c>
      <c r="P25" s="70" t="s">
        <v>503</v>
      </c>
      <c r="Q25" s="70" t="s">
        <v>504</v>
      </c>
      <c r="R25" s="75" t="n">
        <f aca="false">-H25</f>
        <v>20.1</v>
      </c>
    </row>
    <row r="26" customFormat="false" ht="15" hidden="false" customHeight="false" outlineLevel="0" collapsed="false">
      <c r="A26" s="70" t="s">
        <v>505</v>
      </c>
      <c r="B26" s="70" t="s">
        <v>192</v>
      </c>
      <c r="C26" s="70" t="s">
        <v>193</v>
      </c>
      <c r="D26" s="70" t="s">
        <v>404</v>
      </c>
      <c r="E26" s="70" t="s">
        <v>416</v>
      </c>
      <c r="F26" s="70" t="s">
        <v>189</v>
      </c>
      <c r="G26" s="71" t="n">
        <v>46280</v>
      </c>
      <c r="H26" s="72" t="n">
        <v>-20.1</v>
      </c>
      <c r="I26" s="70" t="s">
        <v>65</v>
      </c>
      <c r="J26" s="71" t="n">
        <v>46280</v>
      </c>
      <c r="K26" s="70" t="s">
        <v>406</v>
      </c>
      <c r="L26" s="72" t="n">
        <v>0</v>
      </c>
      <c r="M26" s="73" t="n">
        <v>0.945092592592593</v>
      </c>
      <c r="N26" s="70" t="s">
        <v>426</v>
      </c>
      <c r="O26" s="70" t="s">
        <v>506</v>
      </c>
      <c r="P26" s="70" t="s">
        <v>507</v>
      </c>
      <c r="Q26" s="70" t="s">
        <v>508</v>
      </c>
      <c r="R26" s="75" t="n">
        <f aca="false">-H26</f>
        <v>20.1</v>
      </c>
    </row>
    <row r="27" customFormat="false" ht="15" hidden="false" customHeight="false" outlineLevel="0" collapsed="false">
      <c r="A27" s="70" t="s">
        <v>509</v>
      </c>
      <c r="B27" s="70" t="s">
        <v>192</v>
      </c>
      <c r="C27" s="70" t="s">
        <v>193</v>
      </c>
      <c r="D27" s="70" t="s">
        <v>404</v>
      </c>
      <c r="E27" s="70" t="s">
        <v>416</v>
      </c>
      <c r="F27" s="70" t="s">
        <v>189</v>
      </c>
      <c r="G27" s="71" t="n">
        <v>46280</v>
      </c>
      <c r="H27" s="72" t="n">
        <v>-40.2</v>
      </c>
      <c r="I27" s="70" t="s">
        <v>65</v>
      </c>
      <c r="J27" s="71" t="n">
        <v>46280</v>
      </c>
      <c r="K27" s="70" t="s">
        <v>406</v>
      </c>
      <c r="L27" s="72" t="n">
        <v>0</v>
      </c>
      <c r="M27" s="73" t="n">
        <v>0.945347222222222</v>
      </c>
      <c r="N27" s="70" t="s">
        <v>426</v>
      </c>
      <c r="O27" s="70" t="s">
        <v>510</v>
      </c>
      <c r="P27" s="70" t="s">
        <v>511</v>
      </c>
      <c r="Q27" s="70" t="s">
        <v>512</v>
      </c>
      <c r="R27" s="75" t="n">
        <f aca="false">-H27</f>
        <v>40.2</v>
      </c>
    </row>
    <row r="28" customFormat="false" ht="15" hidden="false" customHeight="false" outlineLevel="0" collapsed="false">
      <c r="A28" s="70" t="s">
        <v>513</v>
      </c>
      <c r="B28" s="70" t="s">
        <v>192</v>
      </c>
      <c r="C28" s="70" t="s">
        <v>193</v>
      </c>
      <c r="D28" s="70" t="s">
        <v>404</v>
      </c>
      <c r="E28" s="70" t="s">
        <v>416</v>
      </c>
      <c r="F28" s="70" t="s">
        <v>189</v>
      </c>
      <c r="G28" s="71" t="n">
        <v>46280</v>
      </c>
      <c r="H28" s="72" t="n">
        <v>-20.1</v>
      </c>
      <c r="I28" s="70" t="s">
        <v>65</v>
      </c>
      <c r="J28" s="71" t="n">
        <v>46280</v>
      </c>
      <c r="K28" s="70" t="s">
        <v>406</v>
      </c>
      <c r="L28" s="72" t="n">
        <v>0</v>
      </c>
      <c r="M28" s="73" t="n">
        <v>0.945474537037037</v>
      </c>
      <c r="N28" s="70" t="s">
        <v>426</v>
      </c>
      <c r="O28" s="70" t="s">
        <v>514</v>
      </c>
      <c r="P28" s="70" t="s">
        <v>428</v>
      </c>
      <c r="Q28" s="70" t="s">
        <v>429</v>
      </c>
      <c r="R28" s="75" t="n">
        <f aca="false">-H28</f>
        <v>20.1</v>
      </c>
    </row>
    <row r="29" customFormat="false" ht="15" hidden="false" customHeight="false" outlineLevel="0" collapsed="false">
      <c r="A29" s="70" t="s">
        <v>515</v>
      </c>
      <c r="B29" s="70" t="s">
        <v>192</v>
      </c>
      <c r="C29" s="70" t="s">
        <v>193</v>
      </c>
      <c r="D29" s="70" t="s">
        <v>404</v>
      </c>
      <c r="E29" s="70" t="s">
        <v>416</v>
      </c>
      <c r="F29" s="70" t="s">
        <v>189</v>
      </c>
      <c r="G29" s="71" t="n">
        <v>46275</v>
      </c>
      <c r="H29" s="72" t="n">
        <v>-20.1</v>
      </c>
      <c r="I29" s="70" t="s">
        <v>65</v>
      </c>
      <c r="J29" s="71" t="n">
        <v>46275</v>
      </c>
      <c r="K29" s="70" t="s">
        <v>406</v>
      </c>
      <c r="L29" s="72" t="n">
        <v>0</v>
      </c>
      <c r="M29" s="73" t="n">
        <v>0.912060185185185</v>
      </c>
      <c r="N29" s="70" t="s">
        <v>426</v>
      </c>
      <c r="O29" s="70" t="s">
        <v>516</v>
      </c>
      <c r="P29" s="70" t="s">
        <v>428</v>
      </c>
      <c r="Q29" s="70" t="s">
        <v>429</v>
      </c>
      <c r="R29" s="75" t="n">
        <f aca="false">-H29</f>
        <v>20.1</v>
      </c>
    </row>
    <row r="30" customFormat="false" ht="15" hidden="false" customHeight="false" outlineLevel="0" collapsed="false">
      <c r="A30" s="70" t="s">
        <v>517</v>
      </c>
      <c r="B30" s="70" t="s">
        <v>192</v>
      </c>
      <c r="C30" s="70" t="s">
        <v>193</v>
      </c>
      <c r="D30" s="70" t="s">
        <v>404</v>
      </c>
      <c r="E30" s="70" t="s">
        <v>416</v>
      </c>
      <c r="F30" s="70" t="s">
        <v>189</v>
      </c>
      <c r="G30" s="71" t="n">
        <v>46275</v>
      </c>
      <c r="H30" s="72" t="n">
        <v>-40.2</v>
      </c>
      <c r="I30" s="70" t="s">
        <v>65</v>
      </c>
      <c r="J30" s="71" t="n">
        <v>46275</v>
      </c>
      <c r="K30" s="70" t="s">
        <v>406</v>
      </c>
      <c r="L30" s="72" t="n">
        <v>0</v>
      </c>
      <c r="M30" s="73" t="n">
        <v>0.911875</v>
      </c>
      <c r="N30" s="70" t="s">
        <v>426</v>
      </c>
      <c r="O30" s="70" t="s">
        <v>518</v>
      </c>
      <c r="P30" s="70" t="s">
        <v>519</v>
      </c>
      <c r="Q30" s="70" t="s">
        <v>520</v>
      </c>
      <c r="R30" s="75" t="n">
        <f aca="false">-H30</f>
        <v>40.2</v>
      </c>
    </row>
    <row r="31" customFormat="false" ht="15" hidden="false" customHeight="false" outlineLevel="0" collapsed="false">
      <c r="A31" s="70" t="s">
        <v>521</v>
      </c>
      <c r="B31" s="70" t="s">
        <v>198</v>
      </c>
      <c r="C31" s="70" t="s">
        <v>199</v>
      </c>
      <c r="D31" s="70" t="s">
        <v>522</v>
      </c>
      <c r="E31" s="70" t="s">
        <v>405</v>
      </c>
      <c r="F31" s="70" t="s">
        <v>189</v>
      </c>
      <c r="G31" s="71" t="n">
        <v>46296</v>
      </c>
      <c r="H31" s="72" t="n">
        <v>-145.6</v>
      </c>
      <c r="I31" s="70" t="s">
        <v>65</v>
      </c>
      <c r="J31" s="71" t="n">
        <v>46296</v>
      </c>
      <c r="K31" s="70" t="s">
        <v>406</v>
      </c>
      <c r="L31" s="72" t="n">
        <v>0</v>
      </c>
      <c r="M31" s="73" t="n">
        <v>0.322372685185185</v>
      </c>
      <c r="N31" s="70" t="s">
        <v>523</v>
      </c>
      <c r="O31" s="70" t="s">
        <v>524</v>
      </c>
      <c r="P31" s="70" t="s">
        <v>525</v>
      </c>
      <c r="Q31" s="70" t="s">
        <v>526</v>
      </c>
      <c r="R31" s="75" t="n">
        <f aca="false">-H31</f>
        <v>145.6</v>
      </c>
    </row>
    <row r="32" customFormat="false" ht="15" hidden="false" customHeight="false" outlineLevel="0" collapsed="false">
      <c r="A32" s="70" t="s">
        <v>527</v>
      </c>
      <c r="B32" s="70" t="s">
        <v>198</v>
      </c>
      <c r="C32" s="70" t="s">
        <v>199</v>
      </c>
      <c r="D32" s="70" t="s">
        <v>522</v>
      </c>
      <c r="E32" s="70" t="s">
        <v>405</v>
      </c>
      <c r="F32" s="70" t="s">
        <v>189</v>
      </c>
      <c r="G32" s="71" t="n">
        <v>46295</v>
      </c>
      <c r="H32" s="72" t="n">
        <v>-14</v>
      </c>
      <c r="I32" s="70" t="s">
        <v>65</v>
      </c>
      <c r="J32" s="71" t="n">
        <v>46296</v>
      </c>
      <c r="K32" s="70" t="s">
        <v>406</v>
      </c>
      <c r="L32" s="72" t="n">
        <v>0</v>
      </c>
      <c r="M32" s="73" t="n">
        <v>0.0629513888888889</v>
      </c>
      <c r="N32" s="70" t="s">
        <v>444</v>
      </c>
      <c r="O32" s="70" t="s">
        <v>528</v>
      </c>
      <c r="P32" s="70" t="s">
        <v>529</v>
      </c>
      <c r="Q32" s="70" t="s">
        <v>530</v>
      </c>
      <c r="R32" s="75" t="n">
        <f aca="false">-H32</f>
        <v>14</v>
      </c>
    </row>
    <row r="33" customFormat="false" ht="15" hidden="false" customHeight="false" outlineLevel="0" collapsed="false">
      <c r="A33" s="70" t="s">
        <v>531</v>
      </c>
      <c r="B33" s="70" t="s">
        <v>198</v>
      </c>
      <c r="C33" s="70" t="s">
        <v>199</v>
      </c>
      <c r="D33" s="70" t="s">
        <v>522</v>
      </c>
      <c r="E33" s="70" t="s">
        <v>405</v>
      </c>
      <c r="F33" s="70" t="s">
        <v>189</v>
      </c>
      <c r="G33" s="71" t="n">
        <v>46295</v>
      </c>
      <c r="H33" s="72" t="n">
        <v>-2.8</v>
      </c>
      <c r="I33" s="70" t="s">
        <v>65</v>
      </c>
      <c r="J33" s="71" t="n">
        <v>46295</v>
      </c>
      <c r="K33" s="70" t="s">
        <v>406</v>
      </c>
      <c r="L33" s="72" t="n">
        <v>0</v>
      </c>
      <c r="M33" s="73" t="n">
        <v>0.35587962962963</v>
      </c>
      <c r="N33" s="70" t="s">
        <v>407</v>
      </c>
      <c r="O33" s="70" t="s">
        <v>532</v>
      </c>
      <c r="P33" s="70" t="s">
        <v>533</v>
      </c>
      <c r="Q33" s="70" t="s">
        <v>534</v>
      </c>
      <c r="R33" s="75" t="n">
        <f aca="false">-H33</f>
        <v>2.8</v>
      </c>
    </row>
    <row r="34" customFormat="false" ht="15" hidden="false" customHeight="false" outlineLevel="0" collapsed="false">
      <c r="A34" s="70" t="s">
        <v>535</v>
      </c>
      <c r="B34" s="70" t="s">
        <v>198</v>
      </c>
      <c r="C34" s="70" t="s">
        <v>199</v>
      </c>
      <c r="D34" s="70" t="s">
        <v>522</v>
      </c>
      <c r="E34" s="70" t="s">
        <v>416</v>
      </c>
      <c r="F34" s="70" t="s">
        <v>189</v>
      </c>
      <c r="G34" s="71" t="n">
        <v>46295</v>
      </c>
      <c r="H34" s="72" t="n">
        <v>-140</v>
      </c>
      <c r="I34" s="70" t="s">
        <v>65</v>
      </c>
      <c r="J34" s="71" t="n">
        <v>46295</v>
      </c>
      <c r="K34" s="70" t="s">
        <v>406</v>
      </c>
      <c r="L34" s="72" t="n">
        <v>0</v>
      </c>
      <c r="M34" s="73" t="n">
        <v>0.985636574074074</v>
      </c>
      <c r="N34" s="70" t="s">
        <v>426</v>
      </c>
      <c r="O34" s="70" t="s">
        <v>536</v>
      </c>
      <c r="P34" s="70" t="s">
        <v>537</v>
      </c>
      <c r="Q34" s="70" t="s">
        <v>538</v>
      </c>
      <c r="R34" s="75" t="n">
        <f aca="false">-H34</f>
        <v>140</v>
      </c>
    </row>
    <row r="35" customFormat="false" ht="15" hidden="false" customHeight="false" outlineLevel="0" collapsed="false">
      <c r="A35" s="70" t="s">
        <v>539</v>
      </c>
      <c r="B35" s="70" t="s">
        <v>198</v>
      </c>
      <c r="C35" s="70" t="s">
        <v>199</v>
      </c>
      <c r="D35" s="70" t="s">
        <v>522</v>
      </c>
      <c r="E35" s="70" t="s">
        <v>405</v>
      </c>
      <c r="F35" s="70" t="s">
        <v>189</v>
      </c>
      <c r="G35" s="71" t="n">
        <v>46295</v>
      </c>
      <c r="H35" s="72" t="n">
        <v>-154</v>
      </c>
      <c r="I35" s="70" t="s">
        <v>65</v>
      </c>
      <c r="J35" s="71" t="n">
        <v>46295</v>
      </c>
      <c r="K35" s="70" t="s">
        <v>406</v>
      </c>
      <c r="L35" s="72" t="n">
        <v>0</v>
      </c>
      <c r="M35" s="73" t="n">
        <v>0.356168981481482</v>
      </c>
      <c r="N35" s="70" t="s">
        <v>407</v>
      </c>
      <c r="O35" s="70" t="s">
        <v>540</v>
      </c>
      <c r="P35" s="70" t="s">
        <v>541</v>
      </c>
      <c r="Q35" s="70" t="s">
        <v>542</v>
      </c>
      <c r="R35" s="75" t="n">
        <f aca="false">-H35</f>
        <v>154</v>
      </c>
    </row>
    <row r="36" customFormat="false" ht="15" hidden="false" customHeight="false" outlineLevel="0" collapsed="false">
      <c r="A36" s="70" t="s">
        <v>543</v>
      </c>
      <c r="B36" s="70" t="s">
        <v>198</v>
      </c>
      <c r="C36" s="70" t="s">
        <v>199</v>
      </c>
      <c r="D36" s="70" t="s">
        <v>522</v>
      </c>
      <c r="E36" s="70" t="s">
        <v>405</v>
      </c>
      <c r="F36" s="70" t="s">
        <v>189</v>
      </c>
      <c r="G36" s="71" t="n">
        <v>46295</v>
      </c>
      <c r="H36" s="72" t="n">
        <v>-2.8</v>
      </c>
      <c r="I36" s="70" t="s">
        <v>65</v>
      </c>
      <c r="J36" s="71" t="n">
        <v>46295</v>
      </c>
      <c r="K36" s="70" t="s">
        <v>406</v>
      </c>
      <c r="L36" s="72" t="n">
        <v>0</v>
      </c>
      <c r="M36" s="73" t="n">
        <v>0.356203703703704</v>
      </c>
      <c r="N36" s="70" t="s">
        <v>407</v>
      </c>
      <c r="O36" s="70" t="s">
        <v>544</v>
      </c>
      <c r="P36" s="70" t="s">
        <v>545</v>
      </c>
      <c r="Q36" s="70" t="s">
        <v>546</v>
      </c>
      <c r="R36" s="75" t="n">
        <f aca="false">-H36</f>
        <v>2.8</v>
      </c>
    </row>
    <row r="37" customFormat="false" ht="15" hidden="false" customHeight="false" outlineLevel="0" collapsed="false">
      <c r="A37" s="70" t="s">
        <v>547</v>
      </c>
      <c r="B37" s="70" t="s">
        <v>198</v>
      </c>
      <c r="C37" s="70" t="s">
        <v>199</v>
      </c>
      <c r="D37" s="70" t="s">
        <v>522</v>
      </c>
      <c r="E37" s="70" t="s">
        <v>405</v>
      </c>
      <c r="F37" s="70" t="s">
        <v>189</v>
      </c>
      <c r="G37" s="71" t="n">
        <v>46294</v>
      </c>
      <c r="H37" s="72" t="n">
        <v>-56</v>
      </c>
      <c r="I37" s="70" t="s">
        <v>65</v>
      </c>
      <c r="J37" s="71" t="n">
        <v>46294</v>
      </c>
      <c r="K37" s="70" t="s">
        <v>406</v>
      </c>
      <c r="L37" s="72" t="n">
        <v>0</v>
      </c>
      <c r="M37" s="73" t="n">
        <v>0.375914351851852</v>
      </c>
      <c r="N37" s="70" t="s">
        <v>407</v>
      </c>
      <c r="O37" s="70" t="s">
        <v>548</v>
      </c>
      <c r="P37" s="70" t="s">
        <v>549</v>
      </c>
      <c r="Q37" s="70" t="s">
        <v>550</v>
      </c>
      <c r="R37" s="75" t="n">
        <f aca="false">-H37</f>
        <v>56</v>
      </c>
    </row>
    <row r="38" customFormat="false" ht="15" hidden="false" customHeight="false" outlineLevel="0" collapsed="false">
      <c r="A38" s="70" t="s">
        <v>551</v>
      </c>
      <c r="B38" s="70" t="s">
        <v>198</v>
      </c>
      <c r="C38" s="70" t="s">
        <v>199</v>
      </c>
      <c r="D38" s="70" t="s">
        <v>522</v>
      </c>
      <c r="E38" s="70" t="s">
        <v>405</v>
      </c>
      <c r="F38" s="70" t="s">
        <v>189</v>
      </c>
      <c r="G38" s="71" t="n">
        <v>46294</v>
      </c>
      <c r="H38" s="72" t="n">
        <v>-2.8</v>
      </c>
      <c r="I38" s="70" t="s">
        <v>65</v>
      </c>
      <c r="J38" s="71" t="n">
        <v>46295</v>
      </c>
      <c r="K38" s="70" t="s">
        <v>406</v>
      </c>
      <c r="L38" s="72" t="n">
        <v>0</v>
      </c>
      <c r="M38" s="73" t="n">
        <v>0.005625</v>
      </c>
      <c r="N38" s="70" t="s">
        <v>407</v>
      </c>
      <c r="O38" s="70" t="s">
        <v>552</v>
      </c>
      <c r="P38" s="70" t="s">
        <v>553</v>
      </c>
      <c r="Q38" s="70" t="s">
        <v>554</v>
      </c>
      <c r="R38" s="75" t="n">
        <f aca="false">-H38</f>
        <v>2.8</v>
      </c>
    </row>
    <row r="39" customFormat="false" ht="15" hidden="false" customHeight="false" outlineLevel="0" collapsed="false">
      <c r="A39" s="70" t="s">
        <v>555</v>
      </c>
      <c r="B39" s="70" t="s">
        <v>198</v>
      </c>
      <c r="C39" s="70" t="s">
        <v>199</v>
      </c>
      <c r="D39" s="70" t="s">
        <v>522</v>
      </c>
      <c r="E39" s="70" t="s">
        <v>405</v>
      </c>
      <c r="F39" s="70" t="s">
        <v>189</v>
      </c>
      <c r="G39" s="71" t="n">
        <v>46294</v>
      </c>
      <c r="H39" s="72" t="n">
        <v>-28</v>
      </c>
      <c r="I39" s="70" t="s">
        <v>65</v>
      </c>
      <c r="J39" s="71" t="n">
        <v>46295</v>
      </c>
      <c r="K39" s="70" t="s">
        <v>406</v>
      </c>
      <c r="L39" s="72" t="n">
        <v>0</v>
      </c>
      <c r="M39" s="73" t="n">
        <v>0.00503472222222222</v>
      </c>
      <c r="N39" s="70" t="s">
        <v>407</v>
      </c>
      <c r="O39" s="70" t="s">
        <v>556</v>
      </c>
      <c r="P39" s="70" t="s">
        <v>557</v>
      </c>
      <c r="Q39" s="70" t="s">
        <v>558</v>
      </c>
      <c r="R39" s="75" t="n">
        <f aca="false">-H39</f>
        <v>28</v>
      </c>
    </row>
    <row r="40" customFormat="false" ht="15" hidden="false" customHeight="false" outlineLevel="0" collapsed="false">
      <c r="A40" s="70" t="s">
        <v>559</v>
      </c>
      <c r="B40" s="70" t="s">
        <v>198</v>
      </c>
      <c r="C40" s="70" t="s">
        <v>199</v>
      </c>
      <c r="D40" s="70" t="s">
        <v>522</v>
      </c>
      <c r="E40" s="70" t="s">
        <v>405</v>
      </c>
      <c r="F40" s="70" t="s">
        <v>189</v>
      </c>
      <c r="G40" s="71" t="n">
        <v>46292</v>
      </c>
      <c r="H40" s="72" t="n">
        <v>-5.6</v>
      </c>
      <c r="I40" s="70" t="s">
        <v>65</v>
      </c>
      <c r="J40" s="71" t="n">
        <v>46292</v>
      </c>
      <c r="K40" s="70" t="s">
        <v>406</v>
      </c>
      <c r="L40" s="72" t="n">
        <v>0</v>
      </c>
      <c r="M40" s="73" t="n">
        <v>0.589421296296296</v>
      </c>
      <c r="N40" s="70" t="s">
        <v>431</v>
      </c>
      <c r="O40" s="70" t="s">
        <v>560</v>
      </c>
      <c r="P40" s="70" t="s">
        <v>561</v>
      </c>
      <c r="Q40" s="70" t="s">
        <v>562</v>
      </c>
      <c r="R40" s="75" t="n">
        <f aca="false">-H40</f>
        <v>5.6</v>
      </c>
    </row>
    <row r="41" customFormat="false" ht="15" hidden="false" customHeight="false" outlineLevel="0" collapsed="false">
      <c r="A41" s="70" t="s">
        <v>563</v>
      </c>
      <c r="B41" s="70" t="s">
        <v>198</v>
      </c>
      <c r="C41" s="70" t="s">
        <v>199</v>
      </c>
      <c r="D41" s="70" t="s">
        <v>522</v>
      </c>
      <c r="E41" s="70" t="s">
        <v>405</v>
      </c>
      <c r="F41" s="70" t="s">
        <v>189</v>
      </c>
      <c r="G41" s="71" t="n">
        <v>46292</v>
      </c>
      <c r="H41" s="72" t="n">
        <v>-8.4</v>
      </c>
      <c r="I41" s="70" t="s">
        <v>65</v>
      </c>
      <c r="J41" s="71" t="n">
        <v>46292</v>
      </c>
      <c r="K41" s="70" t="s">
        <v>406</v>
      </c>
      <c r="L41" s="72" t="n">
        <v>0</v>
      </c>
      <c r="M41" s="73" t="n">
        <v>0.589525462962963</v>
      </c>
      <c r="N41" s="70" t="s">
        <v>431</v>
      </c>
      <c r="O41" s="70" t="s">
        <v>564</v>
      </c>
      <c r="P41" s="70" t="s">
        <v>565</v>
      </c>
      <c r="Q41" s="70" t="s">
        <v>566</v>
      </c>
      <c r="R41" s="75" t="n">
        <f aca="false">-H41</f>
        <v>8.4</v>
      </c>
    </row>
    <row r="42" customFormat="false" ht="15" hidden="false" customHeight="false" outlineLevel="0" collapsed="false">
      <c r="A42" s="70" t="s">
        <v>567</v>
      </c>
      <c r="B42" s="70" t="s">
        <v>198</v>
      </c>
      <c r="C42" s="70" t="s">
        <v>199</v>
      </c>
      <c r="D42" s="70" t="s">
        <v>522</v>
      </c>
      <c r="E42" s="70" t="s">
        <v>405</v>
      </c>
      <c r="F42" s="70" t="s">
        <v>189</v>
      </c>
      <c r="G42" s="71" t="n">
        <v>46292</v>
      </c>
      <c r="H42" s="72" t="n">
        <v>-8.4</v>
      </c>
      <c r="I42" s="70" t="s">
        <v>65</v>
      </c>
      <c r="J42" s="71" t="n">
        <v>46292</v>
      </c>
      <c r="K42" s="70" t="s">
        <v>406</v>
      </c>
      <c r="L42" s="72" t="n">
        <v>0</v>
      </c>
      <c r="M42" s="73" t="n">
        <v>0.826388888888889</v>
      </c>
      <c r="N42" s="70" t="s">
        <v>431</v>
      </c>
      <c r="O42" s="70" t="s">
        <v>568</v>
      </c>
      <c r="P42" s="70" t="s">
        <v>569</v>
      </c>
      <c r="Q42" s="70" t="s">
        <v>570</v>
      </c>
      <c r="R42" s="75" t="n">
        <f aca="false">-H42</f>
        <v>8.4</v>
      </c>
    </row>
    <row r="43" customFormat="false" ht="15" hidden="false" customHeight="false" outlineLevel="0" collapsed="false">
      <c r="A43" s="70" t="s">
        <v>571</v>
      </c>
      <c r="B43" s="70" t="s">
        <v>198</v>
      </c>
      <c r="C43" s="70" t="s">
        <v>199</v>
      </c>
      <c r="D43" s="70" t="s">
        <v>522</v>
      </c>
      <c r="E43" s="70" t="s">
        <v>405</v>
      </c>
      <c r="F43" s="70" t="s">
        <v>189</v>
      </c>
      <c r="G43" s="71" t="n">
        <v>46292</v>
      </c>
      <c r="H43" s="72" t="n">
        <v>-5.6</v>
      </c>
      <c r="I43" s="70" t="s">
        <v>65</v>
      </c>
      <c r="J43" s="71" t="n">
        <v>46292</v>
      </c>
      <c r="K43" s="70" t="s">
        <v>406</v>
      </c>
      <c r="L43" s="72" t="n">
        <v>0</v>
      </c>
      <c r="M43" s="73" t="n">
        <v>0.677465277777778</v>
      </c>
      <c r="N43" s="70" t="s">
        <v>431</v>
      </c>
      <c r="O43" s="70" t="s">
        <v>572</v>
      </c>
      <c r="P43" s="70" t="s">
        <v>573</v>
      </c>
      <c r="Q43" s="70" t="s">
        <v>574</v>
      </c>
      <c r="R43" s="75" t="n">
        <f aca="false">-H43</f>
        <v>5.6</v>
      </c>
    </row>
    <row r="44" customFormat="false" ht="15" hidden="false" customHeight="false" outlineLevel="0" collapsed="false">
      <c r="A44" s="70" t="s">
        <v>575</v>
      </c>
      <c r="B44" s="70" t="s">
        <v>198</v>
      </c>
      <c r="C44" s="70" t="s">
        <v>199</v>
      </c>
      <c r="D44" s="70" t="s">
        <v>522</v>
      </c>
      <c r="E44" s="70" t="s">
        <v>405</v>
      </c>
      <c r="F44" s="70" t="s">
        <v>189</v>
      </c>
      <c r="G44" s="71" t="n">
        <v>46292</v>
      </c>
      <c r="H44" s="72" t="n">
        <v>-5.6</v>
      </c>
      <c r="I44" s="70" t="s">
        <v>65</v>
      </c>
      <c r="J44" s="71" t="n">
        <v>46292</v>
      </c>
      <c r="K44" s="70" t="s">
        <v>406</v>
      </c>
      <c r="L44" s="72" t="n">
        <v>0</v>
      </c>
      <c r="M44" s="73" t="n">
        <v>0.826238425925926</v>
      </c>
      <c r="N44" s="70" t="s">
        <v>431</v>
      </c>
      <c r="O44" s="70" t="s">
        <v>576</v>
      </c>
      <c r="P44" s="70" t="s">
        <v>577</v>
      </c>
      <c r="Q44" s="70" t="s">
        <v>578</v>
      </c>
      <c r="R44" s="75" t="n">
        <f aca="false">-H44</f>
        <v>5.6</v>
      </c>
    </row>
    <row r="45" customFormat="false" ht="15" hidden="false" customHeight="false" outlineLevel="0" collapsed="false">
      <c r="A45" s="70" t="s">
        <v>579</v>
      </c>
      <c r="B45" s="70" t="s">
        <v>198</v>
      </c>
      <c r="C45" s="70" t="s">
        <v>199</v>
      </c>
      <c r="D45" s="70" t="s">
        <v>522</v>
      </c>
      <c r="E45" s="70" t="s">
        <v>405</v>
      </c>
      <c r="F45" s="70" t="s">
        <v>189</v>
      </c>
      <c r="G45" s="71" t="n">
        <v>46292</v>
      </c>
      <c r="H45" s="72" t="n">
        <v>-5.6</v>
      </c>
      <c r="I45" s="70" t="s">
        <v>65</v>
      </c>
      <c r="J45" s="71" t="n">
        <v>46292</v>
      </c>
      <c r="K45" s="70" t="s">
        <v>406</v>
      </c>
      <c r="L45" s="72" t="n">
        <v>0</v>
      </c>
      <c r="M45" s="73" t="n">
        <v>0.677256944444444</v>
      </c>
      <c r="N45" s="70" t="s">
        <v>431</v>
      </c>
      <c r="O45" s="70" t="s">
        <v>580</v>
      </c>
      <c r="P45" s="70" t="s">
        <v>581</v>
      </c>
      <c r="Q45" s="70" t="s">
        <v>582</v>
      </c>
      <c r="R45" s="75" t="n">
        <f aca="false">-H45</f>
        <v>5.6</v>
      </c>
    </row>
    <row r="46" customFormat="false" ht="15" hidden="false" customHeight="false" outlineLevel="0" collapsed="false">
      <c r="A46" s="70" t="s">
        <v>583</v>
      </c>
      <c r="B46" s="70" t="s">
        <v>198</v>
      </c>
      <c r="C46" s="70" t="s">
        <v>199</v>
      </c>
      <c r="D46" s="70" t="s">
        <v>522</v>
      </c>
      <c r="E46" s="70" t="s">
        <v>405</v>
      </c>
      <c r="F46" s="70" t="s">
        <v>189</v>
      </c>
      <c r="G46" s="71" t="n">
        <v>46291</v>
      </c>
      <c r="H46" s="72" t="n">
        <v>-5.6</v>
      </c>
      <c r="I46" s="70" t="s">
        <v>65</v>
      </c>
      <c r="J46" s="71" t="n">
        <v>46292</v>
      </c>
      <c r="K46" s="70" t="s">
        <v>406</v>
      </c>
      <c r="L46" s="72" t="n">
        <v>0</v>
      </c>
      <c r="M46" s="73" t="n">
        <v>0.0316782407407407</v>
      </c>
      <c r="N46" s="70" t="s">
        <v>444</v>
      </c>
      <c r="O46" s="70" t="s">
        <v>584</v>
      </c>
      <c r="P46" s="70" t="s">
        <v>585</v>
      </c>
      <c r="Q46" s="70" t="s">
        <v>586</v>
      </c>
      <c r="R46" s="75" t="n">
        <f aca="false">-H46</f>
        <v>5.6</v>
      </c>
    </row>
    <row r="47" customFormat="false" ht="15" hidden="false" customHeight="false" outlineLevel="0" collapsed="false">
      <c r="A47" s="70" t="s">
        <v>587</v>
      </c>
      <c r="B47" s="70" t="s">
        <v>198</v>
      </c>
      <c r="C47" s="70" t="s">
        <v>199</v>
      </c>
      <c r="D47" s="70" t="s">
        <v>522</v>
      </c>
      <c r="E47" s="70" t="s">
        <v>405</v>
      </c>
      <c r="F47" s="70" t="s">
        <v>189</v>
      </c>
      <c r="G47" s="71" t="n">
        <v>46291</v>
      </c>
      <c r="H47" s="72" t="n">
        <v>-2.8</v>
      </c>
      <c r="I47" s="70" t="s">
        <v>65</v>
      </c>
      <c r="J47" s="71" t="n">
        <v>46292</v>
      </c>
      <c r="K47" s="70" t="s">
        <v>406</v>
      </c>
      <c r="L47" s="72" t="n">
        <v>0</v>
      </c>
      <c r="M47" s="73" t="n">
        <v>0.0317476851851852</v>
      </c>
      <c r="N47" s="70" t="s">
        <v>444</v>
      </c>
      <c r="O47" s="70" t="s">
        <v>588</v>
      </c>
      <c r="P47" s="70" t="s">
        <v>589</v>
      </c>
      <c r="Q47" s="70" t="s">
        <v>590</v>
      </c>
      <c r="R47" s="75" t="n">
        <f aca="false">-H47</f>
        <v>2.8</v>
      </c>
    </row>
    <row r="48" customFormat="false" ht="15" hidden="false" customHeight="false" outlineLevel="0" collapsed="false">
      <c r="A48" s="70" t="s">
        <v>591</v>
      </c>
      <c r="B48" s="70" t="s">
        <v>198</v>
      </c>
      <c r="C48" s="70" t="s">
        <v>199</v>
      </c>
      <c r="D48" s="70" t="s">
        <v>522</v>
      </c>
      <c r="E48" s="70" t="s">
        <v>405</v>
      </c>
      <c r="F48" s="70" t="s">
        <v>189</v>
      </c>
      <c r="G48" s="71" t="n">
        <v>46291</v>
      </c>
      <c r="H48" s="72" t="n">
        <v>-30.8</v>
      </c>
      <c r="I48" s="70" t="s">
        <v>65</v>
      </c>
      <c r="J48" s="71" t="n">
        <v>46292</v>
      </c>
      <c r="K48" s="70" t="s">
        <v>406</v>
      </c>
      <c r="L48" s="72" t="n">
        <v>0</v>
      </c>
      <c r="M48" s="73" t="n">
        <v>0.031412037037037</v>
      </c>
      <c r="N48" s="70" t="s">
        <v>444</v>
      </c>
      <c r="O48" s="70" t="s">
        <v>592</v>
      </c>
      <c r="P48" s="70" t="s">
        <v>593</v>
      </c>
      <c r="Q48" s="70" t="s">
        <v>594</v>
      </c>
      <c r="R48" s="75" t="n">
        <f aca="false">-H48</f>
        <v>30.8</v>
      </c>
    </row>
    <row r="49" customFormat="false" ht="15" hidden="false" customHeight="false" outlineLevel="0" collapsed="false">
      <c r="A49" s="70" t="s">
        <v>595</v>
      </c>
      <c r="B49" s="70" t="s">
        <v>198</v>
      </c>
      <c r="C49" s="70" t="s">
        <v>199</v>
      </c>
      <c r="D49" s="70" t="s">
        <v>522</v>
      </c>
      <c r="E49" s="70" t="s">
        <v>405</v>
      </c>
      <c r="F49" s="70" t="s">
        <v>189</v>
      </c>
      <c r="G49" s="71" t="n">
        <v>46291</v>
      </c>
      <c r="H49" s="72" t="n">
        <v>-89.6</v>
      </c>
      <c r="I49" s="70" t="s">
        <v>65</v>
      </c>
      <c r="J49" s="71" t="n">
        <v>46292</v>
      </c>
      <c r="K49" s="70" t="s">
        <v>406</v>
      </c>
      <c r="L49" s="72" t="n">
        <v>0</v>
      </c>
      <c r="M49" s="73" t="n">
        <v>0.0312384259259259</v>
      </c>
      <c r="N49" s="70" t="s">
        <v>444</v>
      </c>
      <c r="O49" s="70" t="s">
        <v>596</v>
      </c>
      <c r="P49" s="70" t="s">
        <v>593</v>
      </c>
      <c r="Q49" s="70" t="s">
        <v>594</v>
      </c>
      <c r="R49" s="75" t="n">
        <f aca="false">-H49</f>
        <v>89.6</v>
      </c>
    </row>
    <row r="50" customFormat="false" ht="15" hidden="false" customHeight="false" outlineLevel="0" collapsed="false">
      <c r="A50" s="70" t="s">
        <v>480</v>
      </c>
      <c r="B50" s="70" t="s">
        <v>198</v>
      </c>
      <c r="C50" s="70" t="s">
        <v>199</v>
      </c>
      <c r="D50" s="70" t="s">
        <v>522</v>
      </c>
      <c r="E50" s="70" t="s">
        <v>405</v>
      </c>
      <c r="F50" s="70" t="s">
        <v>189</v>
      </c>
      <c r="G50" s="71" t="n">
        <v>46290</v>
      </c>
      <c r="H50" s="72" t="n">
        <v>-14</v>
      </c>
      <c r="I50" s="70" t="s">
        <v>65</v>
      </c>
      <c r="J50" s="71" t="n">
        <v>46290</v>
      </c>
      <c r="K50" s="70" t="s">
        <v>406</v>
      </c>
      <c r="L50" s="72" t="n">
        <v>0</v>
      </c>
      <c r="M50" s="73" t="n">
        <v>0.749340277777778</v>
      </c>
      <c r="N50" s="70" t="s">
        <v>481</v>
      </c>
      <c r="O50" s="70" t="s">
        <v>482</v>
      </c>
      <c r="P50" s="70" t="s">
        <v>483</v>
      </c>
      <c r="Q50" s="70" t="s">
        <v>484</v>
      </c>
      <c r="R50" s="75" t="n">
        <f aca="false">-H50</f>
        <v>14</v>
      </c>
    </row>
    <row r="51" customFormat="false" ht="15" hidden="false" customHeight="false" outlineLevel="0" collapsed="false">
      <c r="A51" s="70" t="s">
        <v>597</v>
      </c>
      <c r="B51" s="70" t="s">
        <v>198</v>
      </c>
      <c r="C51" s="70" t="s">
        <v>199</v>
      </c>
      <c r="D51" s="70" t="s">
        <v>522</v>
      </c>
      <c r="E51" s="70" t="s">
        <v>405</v>
      </c>
      <c r="F51" s="70" t="s">
        <v>189</v>
      </c>
      <c r="G51" s="71" t="n">
        <v>46290</v>
      </c>
      <c r="H51" s="72" t="n">
        <v>-14</v>
      </c>
      <c r="I51" s="70" t="s">
        <v>65</v>
      </c>
      <c r="J51" s="71" t="n">
        <v>46290</v>
      </c>
      <c r="K51" s="70" t="s">
        <v>406</v>
      </c>
      <c r="L51" s="72" t="n">
        <v>0</v>
      </c>
      <c r="M51" s="73" t="n">
        <v>0.809560185185185</v>
      </c>
      <c r="N51" s="70" t="s">
        <v>481</v>
      </c>
      <c r="O51" s="70" t="s">
        <v>598</v>
      </c>
      <c r="P51" s="70" t="s">
        <v>599</v>
      </c>
      <c r="Q51" s="70" t="s">
        <v>600</v>
      </c>
      <c r="R51" s="75" t="n">
        <f aca="false">-H51</f>
        <v>14</v>
      </c>
    </row>
    <row r="52" customFormat="false" ht="15" hidden="false" customHeight="false" outlineLevel="0" collapsed="false">
      <c r="A52" s="70" t="s">
        <v>601</v>
      </c>
      <c r="B52" s="70" t="s">
        <v>198</v>
      </c>
      <c r="C52" s="70" t="s">
        <v>199</v>
      </c>
      <c r="D52" s="70" t="s">
        <v>522</v>
      </c>
      <c r="E52" s="70" t="s">
        <v>405</v>
      </c>
      <c r="F52" s="70" t="s">
        <v>189</v>
      </c>
      <c r="G52" s="71" t="n">
        <v>46289</v>
      </c>
      <c r="H52" s="72" t="n">
        <v>-14</v>
      </c>
      <c r="I52" s="70" t="s">
        <v>65</v>
      </c>
      <c r="J52" s="71" t="n">
        <v>46289</v>
      </c>
      <c r="K52" s="70" t="s">
        <v>406</v>
      </c>
      <c r="L52" s="72" t="n">
        <v>0</v>
      </c>
      <c r="M52" s="73" t="n">
        <v>0.898923611111111</v>
      </c>
      <c r="N52" s="70" t="s">
        <v>481</v>
      </c>
      <c r="O52" s="70" t="s">
        <v>602</v>
      </c>
      <c r="P52" s="70" t="s">
        <v>603</v>
      </c>
      <c r="Q52" s="70" t="s">
        <v>604</v>
      </c>
      <c r="R52" s="75" t="n">
        <f aca="false">-H52</f>
        <v>14</v>
      </c>
    </row>
    <row r="53" customFormat="false" ht="15" hidden="false" customHeight="false" outlineLevel="0" collapsed="false">
      <c r="A53" s="70" t="s">
        <v>605</v>
      </c>
      <c r="B53" s="70" t="s">
        <v>198</v>
      </c>
      <c r="C53" s="70" t="s">
        <v>199</v>
      </c>
      <c r="D53" s="70" t="s">
        <v>522</v>
      </c>
      <c r="E53" s="70" t="s">
        <v>405</v>
      </c>
      <c r="F53" s="70" t="s">
        <v>189</v>
      </c>
      <c r="G53" s="71" t="n">
        <v>46289</v>
      </c>
      <c r="H53" s="72" t="n">
        <v>-2.8</v>
      </c>
      <c r="I53" s="70" t="s">
        <v>65</v>
      </c>
      <c r="J53" s="71" t="n">
        <v>46289</v>
      </c>
      <c r="K53" s="70" t="s">
        <v>406</v>
      </c>
      <c r="L53" s="72" t="n">
        <v>0</v>
      </c>
      <c r="M53" s="73" t="n">
        <v>0.633460648148148</v>
      </c>
      <c r="N53" s="70" t="s">
        <v>481</v>
      </c>
      <c r="O53" s="70" t="s">
        <v>606</v>
      </c>
      <c r="P53" s="70" t="s">
        <v>607</v>
      </c>
      <c r="Q53" s="70" t="s">
        <v>608</v>
      </c>
      <c r="R53" s="75" t="n">
        <f aca="false">-H53</f>
        <v>2.8</v>
      </c>
    </row>
    <row r="54" customFormat="false" ht="15" hidden="false" customHeight="false" outlineLevel="0" collapsed="false">
      <c r="A54" s="70" t="s">
        <v>609</v>
      </c>
      <c r="B54" s="70" t="s">
        <v>198</v>
      </c>
      <c r="C54" s="70" t="s">
        <v>199</v>
      </c>
      <c r="D54" s="70" t="s">
        <v>522</v>
      </c>
      <c r="E54" s="70" t="s">
        <v>416</v>
      </c>
      <c r="F54" s="70" t="s">
        <v>189</v>
      </c>
      <c r="G54" s="71" t="n">
        <v>46287</v>
      </c>
      <c r="H54" s="72" t="n">
        <v>-11.2</v>
      </c>
      <c r="I54" s="70" t="s">
        <v>65</v>
      </c>
      <c r="J54" s="71" t="n">
        <v>46287</v>
      </c>
      <c r="K54" s="70" t="s">
        <v>406</v>
      </c>
      <c r="L54" s="72" t="n">
        <v>0</v>
      </c>
      <c r="M54" s="73" t="n">
        <v>0.901388888888889</v>
      </c>
      <c r="N54" s="70" t="s">
        <v>426</v>
      </c>
      <c r="O54" s="70" t="s">
        <v>610</v>
      </c>
      <c r="P54" s="70" t="s">
        <v>611</v>
      </c>
      <c r="Q54" s="70" t="s">
        <v>612</v>
      </c>
      <c r="R54" s="75" t="n">
        <f aca="false">-H54</f>
        <v>11.2</v>
      </c>
    </row>
    <row r="55" customFormat="false" ht="15" hidden="false" customHeight="false" outlineLevel="0" collapsed="false">
      <c r="A55" s="70" t="s">
        <v>613</v>
      </c>
      <c r="B55" s="70" t="s">
        <v>198</v>
      </c>
      <c r="C55" s="70" t="s">
        <v>199</v>
      </c>
      <c r="D55" s="70" t="s">
        <v>522</v>
      </c>
      <c r="E55" s="70" t="s">
        <v>416</v>
      </c>
      <c r="F55" s="70" t="s">
        <v>189</v>
      </c>
      <c r="G55" s="71" t="n">
        <v>46275</v>
      </c>
      <c r="H55" s="72" t="n">
        <v>-11.2</v>
      </c>
      <c r="I55" s="70" t="s">
        <v>65</v>
      </c>
      <c r="J55" s="71" t="n">
        <v>46275</v>
      </c>
      <c r="K55" s="70" t="s">
        <v>406</v>
      </c>
      <c r="L55" s="72" t="n">
        <v>0</v>
      </c>
      <c r="M55" s="73" t="n">
        <v>0.951435185185185</v>
      </c>
      <c r="N55" s="70" t="s">
        <v>426</v>
      </c>
      <c r="O55" s="70" t="s">
        <v>614</v>
      </c>
      <c r="P55" s="70" t="s">
        <v>611</v>
      </c>
      <c r="Q55" s="70" t="s">
        <v>612</v>
      </c>
      <c r="R55" s="75" t="n">
        <f aca="false">-H55</f>
        <v>11.2</v>
      </c>
    </row>
    <row r="56" customFormat="false" ht="15" hidden="false" customHeight="false" outlineLevel="0" collapsed="false">
      <c r="A56" s="70" t="s">
        <v>615</v>
      </c>
      <c r="B56" s="70" t="s">
        <v>201</v>
      </c>
      <c r="C56" s="70" t="s">
        <v>202</v>
      </c>
      <c r="D56" s="70" t="s">
        <v>522</v>
      </c>
      <c r="E56" s="70" t="s">
        <v>405</v>
      </c>
      <c r="F56" s="70" t="s">
        <v>189</v>
      </c>
      <c r="G56" s="71" t="n">
        <v>46294</v>
      </c>
      <c r="H56" s="72" t="n">
        <v>-2.8</v>
      </c>
      <c r="I56" s="70" t="s">
        <v>65</v>
      </c>
      <c r="J56" s="71" t="n">
        <v>46294</v>
      </c>
      <c r="K56" s="70" t="s">
        <v>406</v>
      </c>
      <c r="L56" s="72" t="n">
        <v>0</v>
      </c>
      <c r="M56" s="73" t="n">
        <v>0.5878125</v>
      </c>
      <c r="N56" s="70" t="s">
        <v>481</v>
      </c>
      <c r="O56" s="70" t="s">
        <v>616</v>
      </c>
      <c r="P56" s="70" t="s">
        <v>617</v>
      </c>
      <c r="Q56" s="70" t="s">
        <v>618</v>
      </c>
      <c r="R56" s="75" t="n">
        <f aca="false">-H56</f>
        <v>2.8</v>
      </c>
    </row>
    <row r="57" customFormat="false" ht="15" hidden="false" customHeight="false" outlineLevel="0" collapsed="false">
      <c r="A57" s="70" t="s">
        <v>619</v>
      </c>
      <c r="B57" s="70" t="s">
        <v>201</v>
      </c>
      <c r="C57" s="70" t="s">
        <v>202</v>
      </c>
      <c r="D57" s="70" t="s">
        <v>522</v>
      </c>
      <c r="E57" s="70" t="s">
        <v>405</v>
      </c>
      <c r="F57" s="70" t="s">
        <v>189</v>
      </c>
      <c r="G57" s="71" t="n">
        <v>46294</v>
      </c>
      <c r="H57" s="72" t="n">
        <v>-8.4</v>
      </c>
      <c r="I57" s="70" t="s">
        <v>65</v>
      </c>
      <c r="J57" s="71" t="n">
        <v>46294</v>
      </c>
      <c r="K57" s="70" t="s">
        <v>406</v>
      </c>
      <c r="L57" s="72" t="n">
        <v>0</v>
      </c>
      <c r="M57" s="73" t="n">
        <v>0.58806712962963</v>
      </c>
      <c r="N57" s="70" t="s">
        <v>481</v>
      </c>
      <c r="O57" s="70" t="s">
        <v>620</v>
      </c>
      <c r="P57" s="70" t="s">
        <v>621</v>
      </c>
      <c r="Q57" s="70" t="s">
        <v>622</v>
      </c>
      <c r="R57" s="75" t="n">
        <f aca="false">-H57</f>
        <v>8.4</v>
      </c>
    </row>
    <row r="58" customFormat="false" ht="15" hidden="false" customHeight="false" outlineLevel="0" collapsed="false">
      <c r="A58" s="70" t="s">
        <v>623</v>
      </c>
      <c r="B58" s="70" t="s">
        <v>201</v>
      </c>
      <c r="C58" s="70" t="s">
        <v>202</v>
      </c>
      <c r="D58" s="70" t="s">
        <v>522</v>
      </c>
      <c r="E58" s="70" t="s">
        <v>405</v>
      </c>
      <c r="F58" s="70" t="s">
        <v>189</v>
      </c>
      <c r="G58" s="71" t="n">
        <v>46290</v>
      </c>
      <c r="H58" s="72" t="n">
        <v>-5.6</v>
      </c>
      <c r="I58" s="70" t="s">
        <v>65</v>
      </c>
      <c r="J58" s="71" t="n">
        <v>46290</v>
      </c>
      <c r="K58" s="70" t="s">
        <v>406</v>
      </c>
      <c r="L58" s="72" t="n">
        <v>0</v>
      </c>
      <c r="M58" s="73" t="n">
        <v>0.738414351851852</v>
      </c>
      <c r="N58" s="70" t="s">
        <v>481</v>
      </c>
      <c r="O58" s="70" t="s">
        <v>624</v>
      </c>
      <c r="P58" s="70" t="s">
        <v>625</v>
      </c>
      <c r="Q58" s="70" t="s">
        <v>626</v>
      </c>
      <c r="R58" s="75" t="n">
        <f aca="false">-H58</f>
        <v>5.6</v>
      </c>
    </row>
    <row r="59" customFormat="false" ht="15" hidden="false" customHeight="false" outlineLevel="0" collapsed="false">
      <c r="A59" s="70" t="s">
        <v>627</v>
      </c>
      <c r="B59" s="70" t="s">
        <v>201</v>
      </c>
      <c r="C59" s="70" t="s">
        <v>202</v>
      </c>
      <c r="D59" s="70" t="s">
        <v>522</v>
      </c>
      <c r="E59" s="70" t="s">
        <v>405</v>
      </c>
      <c r="F59" s="70" t="s">
        <v>189</v>
      </c>
      <c r="G59" s="71" t="n">
        <v>46290</v>
      </c>
      <c r="H59" s="72" t="n">
        <v>-14</v>
      </c>
      <c r="I59" s="70" t="s">
        <v>65</v>
      </c>
      <c r="J59" s="71" t="n">
        <v>46290</v>
      </c>
      <c r="K59" s="70" t="s">
        <v>406</v>
      </c>
      <c r="L59" s="72" t="n">
        <v>0</v>
      </c>
      <c r="M59" s="73" t="n">
        <v>0.651793981481482</v>
      </c>
      <c r="N59" s="70" t="s">
        <v>481</v>
      </c>
      <c r="O59" s="70" t="s">
        <v>628</v>
      </c>
      <c r="P59" s="70" t="s">
        <v>483</v>
      </c>
      <c r="Q59" s="70" t="s">
        <v>484</v>
      </c>
      <c r="R59" s="75" t="n">
        <f aca="false">-H59</f>
        <v>14</v>
      </c>
    </row>
    <row r="60" customFormat="false" ht="15" hidden="false" customHeight="false" outlineLevel="0" collapsed="false">
      <c r="A60" s="70" t="s">
        <v>605</v>
      </c>
      <c r="B60" s="70" t="s">
        <v>201</v>
      </c>
      <c r="C60" s="70" t="s">
        <v>202</v>
      </c>
      <c r="D60" s="70" t="s">
        <v>522</v>
      </c>
      <c r="E60" s="70" t="s">
        <v>405</v>
      </c>
      <c r="F60" s="70" t="s">
        <v>189</v>
      </c>
      <c r="G60" s="71" t="n">
        <v>46289</v>
      </c>
      <c r="H60" s="72" t="n">
        <v>-2.8</v>
      </c>
      <c r="I60" s="70" t="s">
        <v>65</v>
      </c>
      <c r="J60" s="71" t="n">
        <v>46289</v>
      </c>
      <c r="K60" s="70" t="s">
        <v>406</v>
      </c>
      <c r="L60" s="72" t="n">
        <v>0</v>
      </c>
      <c r="M60" s="73" t="n">
        <v>0.633460648148148</v>
      </c>
      <c r="N60" s="70" t="s">
        <v>481</v>
      </c>
      <c r="O60" s="70" t="s">
        <v>606</v>
      </c>
      <c r="P60" s="70" t="s">
        <v>607</v>
      </c>
      <c r="Q60" s="70" t="s">
        <v>608</v>
      </c>
      <c r="R60" s="75" t="n">
        <f aca="false">-H60</f>
        <v>2.8</v>
      </c>
    </row>
    <row r="61" customFormat="false" ht="15" hidden="false" customHeight="false" outlineLevel="0" collapsed="false">
      <c r="A61" s="70" t="s">
        <v>629</v>
      </c>
      <c r="B61" s="70" t="s">
        <v>201</v>
      </c>
      <c r="C61" s="70" t="s">
        <v>202</v>
      </c>
      <c r="D61" s="70" t="s">
        <v>522</v>
      </c>
      <c r="E61" s="70" t="s">
        <v>405</v>
      </c>
      <c r="F61" s="70" t="s">
        <v>189</v>
      </c>
      <c r="G61" s="71" t="n">
        <v>46289</v>
      </c>
      <c r="H61" s="72" t="n">
        <v>-28</v>
      </c>
      <c r="I61" s="70" t="s">
        <v>65</v>
      </c>
      <c r="J61" s="71" t="n">
        <v>46289</v>
      </c>
      <c r="K61" s="70" t="s">
        <v>406</v>
      </c>
      <c r="L61" s="72" t="n">
        <v>0</v>
      </c>
      <c r="M61" s="73" t="n">
        <v>0.560601851851852</v>
      </c>
      <c r="N61" s="70" t="s">
        <v>481</v>
      </c>
      <c r="O61" s="70" t="s">
        <v>630</v>
      </c>
      <c r="P61" s="70" t="s">
        <v>631</v>
      </c>
      <c r="Q61" s="70" t="s">
        <v>632</v>
      </c>
      <c r="R61" s="75" t="n">
        <f aca="false">-H61</f>
        <v>28</v>
      </c>
    </row>
    <row r="62" customFormat="false" ht="15" hidden="false" customHeight="false" outlineLevel="0" collapsed="false">
      <c r="A62" s="70" t="s">
        <v>633</v>
      </c>
      <c r="B62" s="70" t="s">
        <v>201</v>
      </c>
      <c r="C62" s="70" t="s">
        <v>202</v>
      </c>
      <c r="D62" s="70" t="s">
        <v>522</v>
      </c>
      <c r="E62" s="70" t="s">
        <v>405</v>
      </c>
      <c r="F62" s="70" t="s">
        <v>189</v>
      </c>
      <c r="G62" s="71" t="n">
        <v>46288</v>
      </c>
      <c r="H62" s="72" t="n">
        <v>-2.8</v>
      </c>
      <c r="I62" s="70" t="s">
        <v>65</v>
      </c>
      <c r="J62" s="71" t="n">
        <v>46288</v>
      </c>
      <c r="K62" s="70" t="s">
        <v>406</v>
      </c>
      <c r="L62" s="72" t="n">
        <v>0</v>
      </c>
      <c r="M62" s="73" t="n">
        <v>0.281458333333333</v>
      </c>
      <c r="N62" s="70" t="s">
        <v>444</v>
      </c>
      <c r="O62" s="70" t="s">
        <v>634</v>
      </c>
      <c r="P62" s="70" t="s">
        <v>635</v>
      </c>
      <c r="Q62" s="70" t="s">
        <v>636</v>
      </c>
      <c r="R62" s="75" t="n">
        <f aca="false">-H62</f>
        <v>2.8</v>
      </c>
    </row>
    <row r="63" customFormat="false" ht="15" hidden="false" customHeight="false" outlineLevel="0" collapsed="false">
      <c r="A63" s="70" t="s">
        <v>637</v>
      </c>
      <c r="B63" s="70" t="s">
        <v>201</v>
      </c>
      <c r="C63" s="70" t="s">
        <v>202</v>
      </c>
      <c r="D63" s="70" t="s">
        <v>522</v>
      </c>
      <c r="E63" s="70" t="s">
        <v>405</v>
      </c>
      <c r="F63" s="70" t="s">
        <v>189</v>
      </c>
      <c r="G63" s="71" t="n">
        <v>46286</v>
      </c>
      <c r="H63" s="72" t="n">
        <v>-2.8</v>
      </c>
      <c r="I63" s="70" t="s">
        <v>65</v>
      </c>
      <c r="J63" s="71" t="n">
        <v>46286</v>
      </c>
      <c r="K63" s="70" t="s">
        <v>406</v>
      </c>
      <c r="L63" s="72" t="n">
        <v>0</v>
      </c>
      <c r="M63" s="73" t="n">
        <v>0.486157407407407</v>
      </c>
      <c r="N63" s="70" t="s">
        <v>481</v>
      </c>
      <c r="O63" s="70" t="s">
        <v>638</v>
      </c>
      <c r="P63" s="70" t="s">
        <v>639</v>
      </c>
      <c r="Q63" s="70" t="s">
        <v>640</v>
      </c>
      <c r="R63" s="75" t="n">
        <f aca="false">-H63</f>
        <v>2.8</v>
      </c>
    </row>
    <row r="64" customFormat="false" ht="15" hidden="false" customHeight="false" outlineLevel="0" collapsed="false">
      <c r="A64" s="70" t="s">
        <v>641</v>
      </c>
      <c r="B64" s="70" t="s">
        <v>201</v>
      </c>
      <c r="C64" s="70" t="s">
        <v>202</v>
      </c>
      <c r="D64" s="70" t="s">
        <v>522</v>
      </c>
      <c r="E64" s="70" t="s">
        <v>405</v>
      </c>
      <c r="F64" s="70" t="s">
        <v>189</v>
      </c>
      <c r="G64" s="71" t="n">
        <v>46286</v>
      </c>
      <c r="H64" s="72" t="n">
        <v>-5.6</v>
      </c>
      <c r="I64" s="70" t="s">
        <v>65</v>
      </c>
      <c r="J64" s="71" t="n">
        <v>46286</v>
      </c>
      <c r="K64" s="70" t="s">
        <v>406</v>
      </c>
      <c r="L64" s="72" t="n">
        <v>0</v>
      </c>
      <c r="M64" s="73" t="n">
        <v>0.517118055555556</v>
      </c>
      <c r="N64" s="70" t="s">
        <v>481</v>
      </c>
      <c r="O64" s="70" t="s">
        <v>642</v>
      </c>
      <c r="P64" s="70" t="s">
        <v>585</v>
      </c>
      <c r="Q64" s="70" t="s">
        <v>586</v>
      </c>
      <c r="R64" s="75" t="n">
        <f aca="false">-H64</f>
        <v>5.6</v>
      </c>
    </row>
    <row r="65" customFormat="false" ht="15" hidden="false" customHeight="false" outlineLevel="0" collapsed="false">
      <c r="A65" s="70" t="s">
        <v>643</v>
      </c>
      <c r="B65" s="70" t="s">
        <v>201</v>
      </c>
      <c r="C65" s="70" t="s">
        <v>202</v>
      </c>
      <c r="D65" s="70" t="s">
        <v>522</v>
      </c>
      <c r="E65" s="70" t="s">
        <v>405</v>
      </c>
      <c r="F65" s="70" t="s">
        <v>189</v>
      </c>
      <c r="G65" s="71" t="n">
        <v>46285</v>
      </c>
      <c r="H65" s="72" t="n">
        <v>-8.4</v>
      </c>
      <c r="I65" s="70" t="s">
        <v>65</v>
      </c>
      <c r="J65" s="71" t="n">
        <v>46286</v>
      </c>
      <c r="K65" s="70" t="s">
        <v>406</v>
      </c>
      <c r="L65" s="72" t="n">
        <v>0</v>
      </c>
      <c r="M65" s="73" t="n">
        <v>0.0589236111111111</v>
      </c>
      <c r="N65" s="70" t="s">
        <v>407</v>
      </c>
      <c r="O65" s="70" t="s">
        <v>644</v>
      </c>
      <c r="P65" s="70" t="s">
        <v>645</v>
      </c>
      <c r="Q65" s="70" t="s">
        <v>646</v>
      </c>
      <c r="R65" s="75" t="n">
        <f aca="false">-H65</f>
        <v>8.4</v>
      </c>
    </row>
    <row r="66" customFormat="false" ht="15" hidden="false" customHeight="false" outlineLevel="0" collapsed="false">
      <c r="A66" s="70" t="s">
        <v>647</v>
      </c>
      <c r="B66" s="70" t="s">
        <v>201</v>
      </c>
      <c r="C66" s="70" t="s">
        <v>202</v>
      </c>
      <c r="D66" s="70" t="s">
        <v>522</v>
      </c>
      <c r="E66" s="70" t="s">
        <v>405</v>
      </c>
      <c r="F66" s="70" t="s">
        <v>189</v>
      </c>
      <c r="G66" s="71" t="n">
        <v>46285</v>
      </c>
      <c r="H66" s="72" t="n">
        <v>-5.6</v>
      </c>
      <c r="I66" s="70" t="s">
        <v>65</v>
      </c>
      <c r="J66" s="71" t="n">
        <v>46285</v>
      </c>
      <c r="K66" s="70" t="s">
        <v>406</v>
      </c>
      <c r="L66" s="72" t="n">
        <v>0</v>
      </c>
      <c r="M66" s="73" t="n">
        <v>0.995150462962963</v>
      </c>
      <c r="N66" s="70" t="s">
        <v>407</v>
      </c>
      <c r="O66" s="70" t="s">
        <v>648</v>
      </c>
      <c r="P66" s="70" t="s">
        <v>649</v>
      </c>
      <c r="Q66" s="70" t="s">
        <v>650</v>
      </c>
      <c r="R66" s="75" t="n">
        <f aca="false">-H66</f>
        <v>5.6</v>
      </c>
    </row>
    <row r="67" customFormat="false" ht="15" hidden="false" customHeight="false" outlineLevel="0" collapsed="false">
      <c r="A67" s="70" t="s">
        <v>651</v>
      </c>
      <c r="B67" s="70" t="s">
        <v>201</v>
      </c>
      <c r="C67" s="70" t="s">
        <v>202</v>
      </c>
      <c r="D67" s="70" t="s">
        <v>522</v>
      </c>
      <c r="E67" s="70" t="s">
        <v>405</v>
      </c>
      <c r="F67" s="70" t="s">
        <v>189</v>
      </c>
      <c r="G67" s="71" t="n">
        <v>46285</v>
      </c>
      <c r="H67" s="72" t="n">
        <v>-14</v>
      </c>
      <c r="I67" s="70" t="s">
        <v>65</v>
      </c>
      <c r="J67" s="71" t="n">
        <v>46285</v>
      </c>
      <c r="K67" s="70" t="s">
        <v>406</v>
      </c>
      <c r="L67" s="72" t="n">
        <v>0</v>
      </c>
      <c r="M67" s="73" t="n">
        <v>0.314953703703704</v>
      </c>
      <c r="N67" s="70" t="s">
        <v>444</v>
      </c>
      <c r="O67" s="70" t="s">
        <v>652</v>
      </c>
      <c r="P67" s="70" t="s">
        <v>653</v>
      </c>
      <c r="Q67" s="70" t="s">
        <v>654</v>
      </c>
      <c r="R67" s="75" t="n">
        <f aca="false">-H67</f>
        <v>14</v>
      </c>
    </row>
    <row r="68" customFormat="false" ht="15" hidden="false" customHeight="false" outlineLevel="0" collapsed="false">
      <c r="A68" s="70" t="s">
        <v>655</v>
      </c>
      <c r="B68" s="70" t="s">
        <v>201</v>
      </c>
      <c r="C68" s="70" t="s">
        <v>202</v>
      </c>
      <c r="D68" s="70" t="s">
        <v>522</v>
      </c>
      <c r="E68" s="70" t="s">
        <v>405</v>
      </c>
      <c r="F68" s="70" t="s">
        <v>189</v>
      </c>
      <c r="G68" s="71" t="n">
        <v>46284</v>
      </c>
      <c r="H68" s="72" t="n">
        <v>-28</v>
      </c>
      <c r="I68" s="70" t="s">
        <v>65</v>
      </c>
      <c r="J68" s="71" t="n">
        <v>46284</v>
      </c>
      <c r="K68" s="70" t="s">
        <v>406</v>
      </c>
      <c r="L68" s="72" t="n">
        <v>0</v>
      </c>
      <c r="M68" s="73" t="n">
        <v>0.81255787037037</v>
      </c>
      <c r="N68" s="70" t="s">
        <v>431</v>
      </c>
      <c r="O68" s="70" t="s">
        <v>656</v>
      </c>
      <c r="P68" s="70" t="s">
        <v>657</v>
      </c>
      <c r="Q68" s="70" t="s">
        <v>658</v>
      </c>
      <c r="R68" s="75" t="n">
        <f aca="false">-H68</f>
        <v>28</v>
      </c>
    </row>
    <row r="69" customFormat="false" ht="15" hidden="false" customHeight="false" outlineLevel="0" collapsed="false">
      <c r="A69" s="70" t="s">
        <v>659</v>
      </c>
      <c r="B69" s="70" t="s">
        <v>201</v>
      </c>
      <c r="C69" s="70" t="s">
        <v>202</v>
      </c>
      <c r="D69" s="70" t="s">
        <v>522</v>
      </c>
      <c r="E69" s="70" t="s">
        <v>405</v>
      </c>
      <c r="F69" s="70" t="s">
        <v>189</v>
      </c>
      <c r="G69" s="71" t="n">
        <v>46284</v>
      </c>
      <c r="H69" s="72" t="n">
        <v>-2.8</v>
      </c>
      <c r="I69" s="70" t="s">
        <v>65</v>
      </c>
      <c r="J69" s="71" t="n">
        <v>46284</v>
      </c>
      <c r="K69" s="70" t="s">
        <v>406</v>
      </c>
      <c r="L69" s="72" t="n">
        <v>0</v>
      </c>
      <c r="M69" s="73" t="n">
        <v>0.31724537037037</v>
      </c>
      <c r="N69" s="70" t="s">
        <v>523</v>
      </c>
      <c r="O69" s="70" t="s">
        <v>660</v>
      </c>
      <c r="P69" s="70" t="s">
        <v>553</v>
      </c>
      <c r="Q69" s="70" t="s">
        <v>554</v>
      </c>
      <c r="R69" s="75" t="n">
        <f aca="false">-H69</f>
        <v>2.8</v>
      </c>
    </row>
    <row r="70" customFormat="false" ht="15" hidden="false" customHeight="false" outlineLevel="0" collapsed="false">
      <c r="A70" s="70" t="s">
        <v>661</v>
      </c>
      <c r="B70" s="70" t="s">
        <v>201</v>
      </c>
      <c r="C70" s="70" t="s">
        <v>202</v>
      </c>
      <c r="D70" s="70" t="s">
        <v>522</v>
      </c>
      <c r="E70" s="70" t="s">
        <v>405</v>
      </c>
      <c r="F70" s="70" t="s">
        <v>189</v>
      </c>
      <c r="G70" s="71" t="n">
        <v>46284</v>
      </c>
      <c r="H70" s="72" t="n">
        <v>-2.8</v>
      </c>
      <c r="I70" s="70" t="s">
        <v>65</v>
      </c>
      <c r="J70" s="71" t="n">
        <v>46284</v>
      </c>
      <c r="K70" s="70" t="s">
        <v>406</v>
      </c>
      <c r="L70" s="72" t="n">
        <v>0</v>
      </c>
      <c r="M70" s="73" t="n">
        <v>0.237453703703704</v>
      </c>
      <c r="N70" s="70" t="s">
        <v>523</v>
      </c>
      <c r="O70" s="70" t="s">
        <v>662</v>
      </c>
      <c r="P70" s="70" t="s">
        <v>663</v>
      </c>
      <c r="Q70" s="70" t="s">
        <v>664</v>
      </c>
      <c r="R70" s="75" t="n">
        <f aca="false">-H70</f>
        <v>2.8</v>
      </c>
    </row>
    <row r="71" customFormat="false" ht="15" hidden="false" customHeight="false" outlineLevel="0" collapsed="false">
      <c r="A71" s="70" t="s">
        <v>665</v>
      </c>
      <c r="B71" s="70" t="s">
        <v>201</v>
      </c>
      <c r="C71" s="70" t="s">
        <v>202</v>
      </c>
      <c r="D71" s="70" t="s">
        <v>522</v>
      </c>
      <c r="E71" s="70" t="s">
        <v>405</v>
      </c>
      <c r="F71" s="70" t="s">
        <v>189</v>
      </c>
      <c r="G71" s="71" t="n">
        <v>46281</v>
      </c>
      <c r="H71" s="72" t="n">
        <v>-2.8</v>
      </c>
      <c r="I71" s="70" t="s">
        <v>65</v>
      </c>
      <c r="J71" s="71" t="n">
        <v>46281</v>
      </c>
      <c r="K71" s="70" t="s">
        <v>406</v>
      </c>
      <c r="L71" s="72" t="n">
        <v>0</v>
      </c>
      <c r="M71" s="73" t="n">
        <v>0.788148148148148</v>
      </c>
      <c r="N71" s="70" t="s">
        <v>481</v>
      </c>
      <c r="O71" s="70" t="s">
        <v>666</v>
      </c>
      <c r="P71" s="70" t="s">
        <v>667</v>
      </c>
      <c r="Q71" s="70" t="s">
        <v>668</v>
      </c>
      <c r="R71" s="75" t="n">
        <f aca="false">-H71</f>
        <v>2.8</v>
      </c>
    </row>
    <row r="72" customFormat="false" ht="15" hidden="false" customHeight="false" outlineLevel="0" collapsed="false">
      <c r="A72" s="70" t="s">
        <v>669</v>
      </c>
      <c r="B72" s="70" t="s">
        <v>201</v>
      </c>
      <c r="C72" s="70" t="s">
        <v>202</v>
      </c>
      <c r="D72" s="70" t="s">
        <v>522</v>
      </c>
      <c r="E72" s="70" t="s">
        <v>405</v>
      </c>
      <c r="F72" s="70" t="s">
        <v>189</v>
      </c>
      <c r="G72" s="71" t="n">
        <v>46281</v>
      </c>
      <c r="H72" s="72" t="n">
        <v>-33.6</v>
      </c>
      <c r="I72" s="70" t="s">
        <v>65</v>
      </c>
      <c r="J72" s="71" t="n">
        <v>46282</v>
      </c>
      <c r="K72" s="70" t="s">
        <v>406</v>
      </c>
      <c r="L72" s="72" t="n">
        <v>0</v>
      </c>
      <c r="M72" s="73" t="n">
        <v>0.096875</v>
      </c>
      <c r="N72" s="70" t="s">
        <v>407</v>
      </c>
      <c r="O72" s="70" t="s">
        <v>670</v>
      </c>
      <c r="P72" s="70" t="s">
        <v>671</v>
      </c>
      <c r="Q72" s="70" t="s">
        <v>672</v>
      </c>
      <c r="R72" s="75" t="n">
        <f aca="false">-H72</f>
        <v>33.6</v>
      </c>
    </row>
    <row r="73" customFormat="false" ht="15" hidden="false" customHeight="false" outlineLevel="0" collapsed="false">
      <c r="A73" s="70" t="s">
        <v>673</v>
      </c>
      <c r="B73" s="70" t="s">
        <v>201</v>
      </c>
      <c r="C73" s="70" t="s">
        <v>202</v>
      </c>
      <c r="D73" s="70" t="s">
        <v>522</v>
      </c>
      <c r="E73" s="70" t="s">
        <v>405</v>
      </c>
      <c r="F73" s="70" t="s">
        <v>189</v>
      </c>
      <c r="G73" s="71" t="n">
        <v>46280</v>
      </c>
      <c r="H73" s="72" t="n">
        <v>-2.8</v>
      </c>
      <c r="I73" s="70" t="s">
        <v>65</v>
      </c>
      <c r="J73" s="71" t="n">
        <v>46280</v>
      </c>
      <c r="K73" s="70" t="s">
        <v>406</v>
      </c>
      <c r="L73" s="72" t="n">
        <v>0</v>
      </c>
      <c r="M73" s="73" t="n">
        <v>0.529641203703704</v>
      </c>
      <c r="N73" s="70" t="s">
        <v>431</v>
      </c>
      <c r="O73" s="70" t="s">
        <v>674</v>
      </c>
      <c r="P73" s="70" t="s">
        <v>675</v>
      </c>
      <c r="Q73" s="70" t="s">
        <v>676</v>
      </c>
      <c r="R73" s="75" t="n">
        <f aca="false">-H73</f>
        <v>2.8</v>
      </c>
    </row>
    <row r="74" customFormat="false" ht="15" hidden="false" customHeight="false" outlineLevel="0" collapsed="false">
      <c r="A74" s="70" t="s">
        <v>677</v>
      </c>
      <c r="B74" s="70" t="s">
        <v>201</v>
      </c>
      <c r="C74" s="70" t="s">
        <v>202</v>
      </c>
      <c r="D74" s="70" t="s">
        <v>522</v>
      </c>
      <c r="E74" s="70" t="s">
        <v>405</v>
      </c>
      <c r="F74" s="70" t="s">
        <v>189</v>
      </c>
      <c r="G74" s="71" t="n">
        <v>46279</v>
      </c>
      <c r="H74" s="72" t="n">
        <v>-2.8</v>
      </c>
      <c r="I74" s="70" t="s">
        <v>65</v>
      </c>
      <c r="J74" s="71" t="n">
        <v>46279</v>
      </c>
      <c r="K74" s="70" t="s">
        <v>406</v>
      </c>
      <c r="L74" s="72" t="n">
        <v>0</v>
      </c>
      <c r="M74" s="73" t="n">
        <v>0.655162037037037</v>
      </c>
      <c r="N74" s="70" t="s">
        <v>431</v>
      </c>
      <c r="O74" s="70" t="s">
        <v>678</v>
      </c>
      <c r="P74" s="70" t="s">
        <v>679</v>
      </c>
      <c r="Q74" s="70" t="s">
        <v>680</v>
      </c>
      <c r="R74" s="75" t="n">
        <f aca="false">-H74</f>
        <v>2.8</v>
      </c>
    </row>
    <row r="75" customFormat="false" ht="15" hidden="false" customHeight="false" outlineLevel="0" collapsed="false">
      <c r="A75" s="70" t="s">
        <v>681</v>
      </c>
      <c r="B75" s="70" t="s">
        <v>201</v>
      </c>
      <c r="C75" s="70" t="s">
        <v>202</v>
      </c>
      <c r="D75" s="70" t="s">
        <v>522</v>
      </c>
      <c r="E75" s="70" t="s">
        <v>405</v>
      </c>
      <c r="F75" s="70" t="s">
        <v>189</v>
      </c>
      <c r="G75" s="71" t="n">
        <v>46279</v>
      </c>
      <c r="H75" s="72" t="n">
        <v>-2.8</v>
      </c>
      <c r="I75" s="70" t="s">
        <v>65</v>
      </c>
      <c r="J75" s="71" t="n">
        <v>46280</v>
      </c>
      <c r="K75" s="70" t="s">
        <v>406</v>
      </c>
      <c r="L75" s="72" t="n">
        <v>0</v>
      </c>
      <c r="M75" s="73" t="n">
        <v>0.053125</v>
      </c>
      <c r="N75" s="70" t="s">
        <v>444</v>
      </c>
      <c r="O75" s="70" t="s">
        <v>682</v>
      </c>
      <c r="P75" s="70" t="s">
        <v>437</v>
      </c>
      <c r="Q75" s="70" t="s">
        <v>438</v>
      </c>
      <c r="R75" s="75" t="n">
        <f aca="false">-H75</f>
        <v>2.8</v>
      </c>
    </row>
    <row r="76" customFormat="false" ht="15" hidden="false" customHeight="false" outlineLevel="0" collapsed="false">
      <c r="A76" s="70" t="s">
        <v>683</v>
      </c>
      <c r="B76" s="70" t="s">
        <v>201</v>
      </c>
      <c r="C76" s="70" t="s">
        <v>202</v>
      </c>
      <c r="D76" s="70" t="s">
        <v>522</v>
      </c>
      <c r="E76" s="70" t="s">
        <v>405</v>
      </c>
      <c r="F76" s="70" t="s">
        <v>189</v>
      </c>
      <c r="G76" s="71" t="n">
        <v>46278</v>
      </c>
      <c r="H76" s="72" t="n">
        <v>-8.4</v>
      </c>
      <c r="I76" s="70" t="s">
        <v>65</v>
      </c>
      <c r="J76" s="71" t="n">
        <v>46278</v>
      </c>
      <c r="K76" s="70" t="s">
        <v>406</v>
      </c>
      <c r="L76" s="72" t="n">
        <v>0</v>
      </c>
      <c r="M76" s="73" t="n">
        <v>0.754907407407407</v>
      </c>
      <c r="N76" s="70" t="s">
        <v>481</v>
      </c>
      <c r="O76" s="70" t="s">
        <v>684</v>
      </c>
      <c r="P76" s="70" t="s">
        <v>569</v>
      </c>
      <c r="Q76" s="70" t="s">
        <v>570</v>
      </c>
      <c r="R76" s="75" t="n">
        <f aca="false">-H76</f>
        <v>8.4</v>
      </c>
    </row>
    <row r="77" customFormat="false" ht="15" hidden="false" customHeight="false" outlineLevel="0" collapsed="false">
      <c r="A77" s="70" t="s">
        <v>685</v>
      </c>
      <c r="B77" s="70" t="s">
        <v>201</v>
      </c>
      <c r="C77" s="70" t="s">
        <v>202</v>
      </c>
      <c r="D77" s="70" t="s">
        <v>522</v>
      </c>
      <c r="E77" s="70" t="s">
        <v>405</v>
      </c>
      <c r="F77" s="70" t="s">
        <v>189</v>
      </c>
      <c r="G77" s="71" t="n">
        <v>46278</v>
      </c>
      <c r="H77" s="72" t="n">
        <v>-2.8</v>
      </c>
      <c r="I77" s="70" t="s">
        <v>65</v>
      </c>
      <c r="J77" s="71" t="n">
        <v>46278</v>
      </c>
      <c r="K77" s="70" t="s">
        <v>406</v>
      </c>
      <c r="L77" s="72" t="n">
        <v>0</v>
      </c>
      <c r="M77" s="73" t="n">
        <v>0.92375</v>
      </c>
      <c r="N77" s="70" t="s">
        <v>481</v>
      </c>
      <c r="O77" s="70" t="s">
        <v>686</v>
      </c>
      <c r="P77" s="70" t="s">
        <v>687</v>
      </c>
      <c r="Q77" s="70" t="s">
        <v>688</v>
      </c>
      <c r="R77" s="75" t="n">
        <f aca="false">-H77</f>
        <v>2.8</v>
      </c>
    </row>
    <row r="78" customFormat="false" ht="15" hidden="false" customHeight="false" outlineLevel="0" collapsed="false">
      <c r="A78" s="70" t="s">
        <v>689</v>
      </c>
      <c r="B78" s="70" t="s">
        <v>201</v>
      </c>
      <c r="C78" s="70" t="s">
        <v>202</v>
      </c>
      <c r="D78" s="70" t="s">
        <v>522</v>
      </c>
      <c r="E78" s="70" t="s">
        <v>405</v>
      </c>
      <c r="F78" s="70" t="s">
        <v>189</v>
      </c>
      <c r="G78" s="71" t="n">
        <v>46278</v>
      </c>
      <c r="H78" s="72" t="n">
        <v>-11.2</v>
      </c>
      <c r="I78" s="70" t="s">
        <v>65</v>
      </c>
      <c r="J78" s="71" t="n">
        <v>46279</v>
      </c>
      <c r="K78" s="70" t="s">
        <v>406</v>
      </c>
      <c r="L78" s="72" t="n">
        <v>0</v>
      </c>
      <c r="M78" s="73" t="n">
        <v>0.0832638888888889</v>
      </c>
      <c r="N78" s="70" t="s">
        <v>407</v>
      </c>
      <c r="O78" s="70" t="s">
        <v>690</v>
      </c>
      <c r="P78" s="70" t="s">
        <v>557</v>
      </c>
      <c r="Q78" s="70" t="s">
        <v>558</v>
      </c>
      <c r="R78" s="75" t="n">
        <f aca="false">-H78</f>
        <v>11.2</v>
      </c>
    </row>
    <row r="79" customFormat="false" ht="15" hidden="false" customHeight="false" outlineLevel="0" collapsed="false">
      <c r="A79" s="70" t="s">
        <v>691</v>
      </c>
      <c r="B79" s="70" t="s">
        <v>201</v>
      </c>
      <c r="C79" s="70" t="s">
        <v>202</v>
      </c>
      <c r="D79" s="70" t="s">
        <v>522</v>
      </c>
      <c r="E79" s="70" t="s">
        <v>405</v>
      </c>
      <c r="F79" s="70" t="s">
        <v>189</v>
      </c>
      <c r="G79" s="71" t="n">
        <v>46278</v>
      </c>
      <c r="H79" s="72" t="n">
        <v>-14</v>
      </c>
      <c r="I79" s="70" t="s">
        <v>65</v>
      </c>
      <c r="J79" s="71" t="n">
        <v>46279</v>
      </c>
      <c r="K79" s="70" t="s">
        <v>406</v>
      </c>
      <c r="L79" s="72" t="n">
        <v>0</v>
      </c>
      <c r="M79" s="73" t="n">
        <v>0.0832986111111111</v>
      </c>
      <c r="N79" s="70" t="s">
        <v>407</v>
      </c>
      <c r="O79" s="70" t="s">
        <v>692</v>
      </c>
      <c r="P79" s="70" t="s">
        <v>557</v>
      </c>
      <c r="Q79" s="70" t="s">
        <v>558</v>
      </c>
      <c r="R79" s="75" t="n">
        <f aca="false">-H79</f>
        <v>14</v>
      </c>
    </row>
    <row r="80" customFormat="false" ht="15" hidden="false" customHeight="false" outlineLevel="0" collapsed="false">
      <c r="A80" s="70" t="s">
        <v>693</v>
      </c>
      <c r="B80" s="70" t="s">
        <v>201</v>
      </c>
      <c r="C80" s="70" t="s">
        <v>202</v>
      </c>
      <c r="D80" s="70" t="s">
        <v>522</v>
      </c>
      <c r="E80" s="70" t="s">
        <v>405</v>
      </c>
      <c r="F80" s="70" t="s">
        <v>189</v>
      </c>
      <c r="G80" s="71" t="n">
        <v>46274</v>
      </c>
      <c r="H80" s="72" t="n">
        <v>-5.6</v>
      </c>
      <c r="I80" s="70" t="s">
        <v>65</v>
      </c>
      <c r="J80" s="71" t="n">
        <v>46274</v>
      </c>
      <c r="K80" s="70" t="s">
        <v>406</v>
      </c>
      <c r="L80" s="72" t="n">
        <v>0</v>
      </c>
      <c r="M80" s="73" t="n">
        <v>0.400775462962963</v>
      </c>
      <c r="N80" s="70" t="s">
        <v>407</v>
      </c>
      <c r="O80" s="70" t="s">
        <v>694</v>
      </c>
      <c r="P80" s="70" t="s">
        <v>695</v>
      </c>
      <c r="Q80" s="70" t="s">
        <v>696</v>
      </c>
      <c r="R80" s="75" t="n">
        <f aca="false">-H80</f>
        <v>5.6</v>
      </c>
    </row>
    <row r="81" customFormat="false" ht="15" hidden="false" customHeight="false" outlineLevel="0" collapsed="false">
      <c r="A81" s="70" t="s">
        <v>697</v>
      </c>
      <c r="B81" s="70" t="s">
        <v>205</v>
      </c>
      <c r="C81" s="70" t="s">
        <v>206</v>
      </c>
      <c r="D81" s="70" t="s">
        <v>404</v>
      </c>
      <c r="E81" s="70" t="s">
        <v>405</v>
      </c>
      <c r="F81" s="70" t="s">
        <v>189</v>
      </c>
      <c r="G81" s="71" t="n">
        <v>46295</v>
      </c>
      <c r="H81" s="72" t="n">
        <v>-1206</v>
      </c>
      <c r="I81" s="70" t="s">
        <v>65</v>
      </c>
      <c r="J81" s="71" t="n">
        <v>46295</v>
      </c>
      <c r="K81" s="70" t="s">
        <v>406</v>
      </c>
      <c r="L81" s="72" t="n">
        <v>0</v>
      </c>
      <c r="M81" s="73" t="n">
        <v>0.343460648148148</v>
      </c>
      <c r="N81" s="70" t="s">
        <v>407</v>
      </c>
      <c r="O81" s="70" t="s">
        <v>698</v>
      </c>
      <c r="P81" s="70" t="s">
        <v>699</v>
      </c>
      <c r="Q81" s="70" t="s">
        <v>700</v>
      </c>
      <c r="R81" s="75" t="n">
        <f aca="false">-H81</f>
        <v>1206</v>
      </c>
    </row>
    <row r="82" customFormat="false" ht="15" hidden="false" customHeight="false" outlineLevel="0" collapsed="false">
      <c r="A82" s="70" t="s">
        <v>701</v>
      </c>
      <c r="B82" s="70" t="s">
        <v>205</v>
      </c>
      <c r="C82" s="70" t="s">
        <v>209</v>
      </c>
      <c r="D82" s="70" t="s">
        <v>404</v>
      </c>
      <c r="E82" s="70" t="s">
        <v>405</v>
      </c>
      <c r="F82" s="70" t="s">
        <v>189</v>
      </c>
      <c r="G82" s="71" t="n">
        <v>46288</v>
      </c>
      <c r="H82" s="72" t="n">
        <v>-20.1</v>
      </c>
      <c r="I82" s="70" t="s">
        <v>65</v>
      </c>
      <c r="J82" s="71" t="n">
        <v>46288</v>
      </c>
      <c r="K82" s="70" t="s">
        <v>406</v>
      </c>
      <c r="L82" s="72" t="n">
        <v>0</v>
      </c>
      <c r="M82" s="73" t="n">
        <v>0.273090277777778</v>
      </c>
      <c r="N82" s="70" t="s">
        <v>444</v>
      </c>
      <c r="O82" s="70" t="s">
        <v>702</v>
      </c>
      <c r="P82" s="70" t="s">
        <v>703</v>
      </c>
      <c r="Q82" s="70" t="s">
        <v>704</v>
      </c>
      <c r="R82" s="75" t="n">
        <f aca="false">-H82</f>
        <v>20.1</v>
      </c>
    </row>
    <row r="83" customFormat="false" ht="15" hidden="false" customHeight="false" outlineLevel="0" collapsed="false">
      <c r="A83" s="70" t="s">
        <v>705</v>
      </c>
      <c r="B83" s="70" t="s">
        <v>205</v>
      </c>
      <c r="C83" s="70" t="s">
        <v>209</v>
      </c>
      <c r="D83" s="70" t="s">
        <v>404</v>
      </c>
      <c r="E83" s="70" t="s">
        <v>405</v>
      </c>
      <c r="F83" s="70" t="s">
        <v>189</v>
      </c>
      <c r="G83" s="71" t="n">
        <v>46286</v>
      </c>
      <c r="H83" s="72" t="n">
        <v>-20.1</v>
      </c>
      <c r="I83" s="70" t="s">
        <v>65</v>
      </c>
      <c r="J83" s="71" t="n">
        <v>46286</v>
      </c>
      <c r="K83" s="70" t="s">
        <v>406</v>
      </c>
      <c r="L83" s="72" t="n">
        <v>0</v>
      </c>
      <c r="M83" s="73" t="n">
        <v>0.862291666666667</v>
      </c>
      <c r="N83" s="70" t="s">
        <v>481</v>
      </c>
      <c r="O83" s="70" t="s">
        <v>706</v>
      </c>
      <c r="P83" s="70" t="s">
        <v>707</v>
      </c>
      <c r="Q83" s="70" t="s">
        <v>708</v>
      </c>
      <c r="R83" s="75" t="n">
        <f aca="false">-H83</f>
        <v>20.1</v>
      </c>
    </row>
    <row r="84" customFormat="false" ht="15" hidden="false" customHeight="false" outlineLevel="0" collapsed="false">
      <c r="A84" s="70" t="s">
        <v>709</v>
      </c>
      <c r="B84" s="70" t="s">
        <v>205</v>
      </c>
      <c r="C84" s="70" t="s">
        <v>209</v>
      </c>
      <c r="D84" s="70" t="s">
        <v>404</v>
      </c>
      <c r="E84" s="70" t="s">
        <v>405</v>
      </c>
      <c r="F84" s="70" t="s">
        <v>189</v>
      </c>
      <c r="G84" s="71" t="n">
        <v>46285</v>
      </c>
      <c r="H84" s="72" t="n">
        <v>-100.5</v>
      </c>
      <c r="I84" s="70" t="s">
        <v>65</v>
      </c>
      <c r="J84" s="71" t="n">
        <v>46286</v>
      </c>
      <c r="K84" s="70" t="s">
        <v>406</v>
      </c>
      <c r="L84" s="72" t="n">
        <v>0</v>
      </c>
      <c r="M84" s="73" t="n">
        <v>0.0590856481481482</v>
      </c>
      <c r="N84" s="70" t="s">
        <v>407</v>
      </c>
      <c r="O84" s="70" t="s">
        <v>710</v>
      </c>
      <c r="P84" s="70" t="s">
        <v>711</v>
      </c>
      <c r="Q84" s="70" t="s">
        <v>712</v>
      </c>
      <c r="R84" s="75" t="n">
        <f aca="false">-H84</f>
        <v>100.5</v>
      </c>
    </row>
    <row r="85" customFormat="false" ht="15" hidden="false" customHeight="false" outlineLevel="0" collapsed="false">
      <c r="A85" s="70" t="s">
        <v>713</v>
      </c>
      <c r="B85" s="70" t="s">
        <v>205</v>
      </c>
      <c r="C85" s="70" t="s">
        <v>209</v>
      </c>
      <c r="D85" s="70" t="s">
        <v>404</v>
      </c>
      <c r="E85" s="70" t="s">
        <v>405</v>
      </c>
      <c r="F85" s="70" t="s">
        <v>189</v>
      </c>
      <c r="G85" s="71" t="n">
        <v>46281</v>
      </c>
      <c r="H85" s="72" t="n">
        <v>-40.2</v>
      </c>
      <c r="I85" s="70" t="s">
        <v>65</v>
      </c>
      <c r="J85" s="71" t="n">
        <v>46281</v>
      </c>
      <c r="K85" s="70" t="s">
        <v>406</v>
      </c>
      <c r="L85" s="72" t="n">
        <v>0</v>
      </c>
      <c r="M85" s="73" t="n">
        <v>0.788113425925926</v>
      </c>
      <c r="N85" s="70" t="s">
        <v>481</v>
      </c>
      <c r="O85" s="70" t="s">
        <v>714</v>
      </c>
      <c r="P85" s="70" t="s">
        <v>715</v>
      </c>
      <c r="Q85" s="70" t="s">
        <v>716</v>
      </c>
      <c r="R85" s="75" t="n">
        <f aca="false">-H85</f>
        <v>40.2</v>
      </c>
    </row>
    <row r="86" customFormat="false" ht="15" hidden="false" customHeight="false" outlineLevel="0" collapsed="false">
      <c r="A86" s="70" t="s">
        <v>717</v>
      </c>
      <c r="B86" s="70" t="s">
        <v>314</v>
      </c>
      <c r="C86" s="70" t="s">
        <v>315</v>
      </c>
      <c r="D86" s="70" t="s">
        <v>522</v>
      </c>
      <c r="E86" s="70" t="s">
        <v>405</v>
      </c>
      <c r="F86" s="70" t="s">
        <v>189</v>
      </c>
      <c r="G86" s="71" t="n">
        <v>46295</v>
      </c>
      <c r="H86" s="72" t="n">
        <v>-2.8</v>
      </c>
      <c r="I86" s="70" t="s">
        <v>65</v>
      </c>
      <c r="J86" s="71" t="n">
        <v>46296</v>
      </c>
      <c r="K86" s="70" t="s">
        <v>406</v>
      </c>
      <c r="L86" s="72" t="n">
        <v>0</v>
      </c>
      <c r="M86" s="73" t="n">
        <v>0.0646990740740741</v>
      </c>
      <c r="N86" s="70" t="s">
        <v>444</v>
      </c>
      <c r="O86" s="70" t="s">
        <v>718</v>
      </c>
      <c r="P86" s="70" t="s">
        <v>719</v>
      </c>
      <c r="Q86" s="70" t="s">
        <v>720</v>
      </c>
      <c r="R86" s="75" t="n">
        <f aca="false">-H86</f>
        <v>2.8</v>
      </c>
    </row>
    <row r="87" customFormat="false" ht="15" hidden="false" customHeight="false" outlineLevel="0" collapsed="false">
      <c r="A87" s="70" t="s">
        <v>535</v>
      </c>
      <c r="B87" s="70" t="s">
        <v>314</v>
      </c>
      <c r="C87" s="70" t="s">
        <v>315</v>
      </c>
      <c r="D87" s="70" t="s">
        <v>522</v>
      </c>
      <c r="E87" s="70" t="s">
        <v>416</v>
      </c>
      <c r="F87" s="70" t="s">
        <v>189</v>
      </c>
      <c r="G87" s="71" t="n">
        <v>46295</v>
      </c>
      <c r="H87" s="72" t="n">
        <v>-84</v>
      </c>
      <c r="I87" s="70" t="s">
        <v>65</v>
      </c>
      <c r="J87" s="71" t="n">
        <v>46295</v>
      </c>
      <c r="K87" s="70" t="s">
        <v>406</v>
      </c>
      <c r="L87" s="72" t="n">
        <v>0</v>
      </c>
      <c r="M87" s="73" t="n">
        <v>0.985636574074074</v>
      </c>
      <c r="N87" s="70" t="s">
        <v>426</v>
      </c>
      <c r="O87" s="70" t="s">
        <v>536</v>
      </c>
      <c r="P87" s="70" t="s">
        <v>537</v>
      </c>
      <c r="Q87" s="70" t="s">
        <v>538</v>
      </c>
      <c r="R87" s="75" t="n">
        <f aca="false">-H87</f>
        <v>84</v>
      </c>
    </row>
    <row r="88" customFormat="false" ht="15" hidden="false" customHeight="false" outlineLevel="0" collapsed="false">
      <c r="A88" s="70" t="s">
        <v>619</v>
      </c>
      <c r="B88" s="70" t="s">
        <v>314</v>
      </c>
      <c r="C88" s="70" t="s">
        <v>315</v>
      </c>
      <c r="D88" s="70" t="s">
        <v>522</v>
      </c>
      <c r="E88" s="70" t="s">
        <v>405</v>
      </c>
      <c r="F88" s="70" t="s">
        <v>189</v>
      </c>
      <c r="G88" s="71" t="n">
        <v>46294</v>
      </c>
      <c r="H88" s="72" t="n">
        <v>-2.8</v>
      </c>
      <c r="I88" s="70" t="s">
        <v>65</v>
      </c>
      <c r="J88" s="71" t="n">
        <v>46294</v>
      </c>
      <c r="K88" s="70" t="s">
        <v>406</v>
      </c>
      <c r="L88" s="72" t="n">
        <v>0</v>
      </c>
      <c r="M88" s="73" t="n">
        <v>0.58806712962963</v>
      </c>
      <c r="N88" s="70" t="s">
        <v>481</v>
      </c>
      <c r="O88" s="70" t="s">
        <v>620</v>
      </c>
      <c r="P88" s="70" t="s">
        <v>621</v>
      </c>
      <c r="Q88" s="70" t="s">
        <v>622</v>
      </c>
      <c r="R88" s="75" t="n">
        <f aca="false">-H88</f>
        <v>2.8</v>
      </c>
    </row>
    <row r="89" customFormat="false" ht="15" hidden="false" customHeight="false" outlineLevel="0" collapsed="false">
      <c r="A89" s="70" t="s">
        <v>623</v>
      </c>
      <c r="B89" s="70" t="s">
        <v>314</v>
      </c>
      <c r="C89" s="70" t="s">
        <v>315</v>
      </c>
      <c r="D89" s="70" t="s">
        <v>522</v>
      </c>
      <c r="E89" s="70" t="s">
        <v>405</v>
      </c>
      <c r="F89" s="70" t="s">
        <v>189</v>
      </c>
      <c r="G89" s="71" t="n">
        <v>46290</v>
      </c>
      <c r="H89" s="72" t="n">
        <v>-2.8</v>
      </c>
      <c r="I89" s="70" t="s">
        <v>65</v>
      </c>
      <c r="J89" s="71" t="n">
        <v>46290</v>
      </c>
      <c r="K89" s="70" t="s">
        <v>406</v>
      </c>
      <c r="L89" s="72" t="n">
        <v>0</v>
      </c>
      <c r="M89" s="73" t="n">
        <v>0.738414351851852</v>
      </c>
      <c r="N89" s="70" t="s">
        <v>481</v>
      </c>
      <c r="O89" s="70" t="s">
        <v>624</v>
      </c>
      <c r="P89" s="70" t="s">
        <v>625</v>
      </c>
      <c r="Q89" s="70" t="s">
        <v>626</v>
      </c>
      <c r="R89" s="75" t="n">
        <f aca="false">-H89</f>
        <v>2.8</v>
      </c>
    </row>
    <row r="90" customFormat="false" ht="15" hidden="false" customHeight="false" outlineLevel="0" collapsed="false">
      <c r="A90" s="70" t="s">
        <v>605</v>
      </c>
      <c r="B90" s="70" t="s">
        <v>314</v>
      </c>
      <c r="C90" s="70" t="s">
        <v>315</v>
      </c>
      <c r="D90" s="70" t="s">
        <v>522</v>
      </c>
      <c r="E90" s="70" t="s">
        <v>405</v>
      </c>
      <c r="F90" s="70" t="s">
        <v>189</v>
      </c>
      <c r="G90" s="71" t="n">
        <v>46289</v>
      </c>
      <c r="H90" s="72" t="n">
        <v>-2.8</v>
      </c>
      <c r="I90" s="70" t="s">
        <v>65</v>
      </c>
      <c r="J90" s="71" t="n">
        <v>46289</v>
      </c>
      <c r="K90" s="70" t="s">
        <v>406</v>
      </c>
      <c r="L90" s="72" t="n">
        <v>0</v>
      </c>
      <c r="M90" s="73" t="n">
        <v>0.633460648148148</v>
      </c>
      <c r="N90" s="70" t="s">
        <v>481</v>
      </c>
      <c r="O90" s="70" t="s">
        <v>606</v>
      </c>
      <c r="P90" s="70" t="s">
        <v>607</v>
      </c>
      <c r="Q90" s="70" t="s">
        <v>608</v>
      </c>
      <c r="R90" s="75" t="n">
        <f aca="false">-H90</f>
        <v>2.8</v>
      </c>
    </row>
    <row r="91" customFormat="false" ht="15" hidden="false" customHeight="false" outlineLevel="0" collapsed="false">
      <c r="A91" s="70" t="s">
        <v>609</v>
      </c>
      <c r="B91" s="70" t="s">
        <v>314</v>
      </c>
      <c r="C91" s="70" t="s">
        <v>315</v>
      </c>
      <c r="D91" s="70" t="s">
        <v>522</v>
      </c>
      <c r="E91" s="70" t="s">
        <v>416</v>
      </c>
      <c r="F91" s="70" t="s">
        <v>189</v>
      </c>
      <c r="G91" s="71" t="n">
        <v>46287</v>
      </c>
      <c r="H91" s="72" t="n">
        <v>-11.2</v>
      </c>
      <c r="I91" s="70" t="s">
        <v>65</v>
      </c>
      <c r="J91" s="71" t="n">
        <v>46287</v>
      </c>
      <c r="K91" s="70" t="s">
        <v>406</v>
      </c>
      <c r="L91" s="72" t="n">
        <v>0</v>
      </c>
      <c r="M91" s="73" t="n">
        <v>0.901388888888889</v>
      </c>
      <c r="N91" s="70" t="s">
        <v>426</v>
      </c>
      <c r="O91" s="70" t="s">
        <v>610</v>
      </c>
      <c r="P91" s="70" t="s">
        <v>611</v>
      </c>
      <c r="Q91" s="70" t="s">
        <v>612</v>
      </c>
      <c r="R91" s="75" t="n">
        <f aca="false">-H91</f>
        <v>11.2</v>
      </c>
    </row>
    <row r="92" customFormat="false" ht="15" hidden="false" customHeight="false" outlineLevel="0" collapsed="false">
      <c r="A92" s="70" t="s">
        <v>721</v>
      </c>
      <c r="B92" s="70" t="s">
        <v>314</v>
      </c>
      <c r="C92" s="70" t="s">
        <v>315</v>
      </c>
      <c r="D92" s="70" t="s">
        <v>522</v>
      </c>
      <c r="E92" s="70" t="s">
        <v>405</v>
      </c>
      <c r="F92" s="70" t="s">
        <v>189</v>
      </c>
      <c r="G92" s="71" t="n">
        <v>46286</v>
      </c>
      <c r="H92" s="72" t="n">
        <v>-5.6</v>
      </c>
      <c r="I92" s="70" t="s">
        <v>65</v>
      </c>
      <c r="J92" s="71" t="n">
        <v>46286</v>
      </c>
      <c r="K92" s="70" t="s">
        <v>406</v>
      </c>
      <c r="L92" s="72" t="n">
        <v>0</v>
      </c>
      <c r="M92" s="73" t="n">
        <v>0.946585648148148</v>
      </c>
      <c r="N92" s="70" t="s">
        <v>481</v>
      </c>
      <c r="O92" s="70" t="s">
        <v>722</v>
      </c>
      <c r="P92" s="70" t="s">
        <v>723</v>
      </c>
      <c r="Q92" s="70" t="s">
        <v>724</v>
      </c>
      <c r="R92" s="75" t="n">
        <f aca="false">-H92</f>
        <v>5.6</v>
      </c>
    </row>
    <row r="93" customFormat="false" ht="15" hidden="false" customHeight="false" outlineLevel="0" collapsed="false">
      <c r="A93" s="70" t="s">
        <v>725</v>
      </c>
      <c r="B93" s="70" t="s">
        <v>314</v>
      </c>
      <c r="C93" s="70" t="s">
        <v>315</v>
      </c>
      <c r="D93" s="70" t="s">
        <v>522</v>
      </c>
      <c r="E93" s="70" t="s">
        <v>405</v>
      </c>
      <c r="F93" s="70" t="s">
        <v>189</v>
      </c>
      <c r="G93" s="71" t="n">
        <v>46286</v>
      </c>
      <c r="H93" s="72" t="n">
        <v>-2.8</v>
      </c>
      <c r="I93" s="70" t="s">
        <v>65</v>
      </c>
      <c r="J93" s="71" t="n">
        <v>46286</v>
      </c>
      <c r="K93" s="70" t="s">
        <v>406</v>
      </c>
      <c r="L93" s="72" t="n">
        <v>0</v>
      </c>
      <c r="M93" s="73" t="n">
        <v>0.431643518518519</v>
      </c>
      <c r="N93" s="70" t="s">
        <v>407</v>
      </c>
      <c r="O93" s="70" t="s">
        <v>726</v>
      </c>
      <c r="P93" s="70" t="s">
        <v>589</v>
      </c>
      <c r="Q93" s="70" t="s">
        <v>590</v>
      </c>
      <c r="R93" s="75" t="n">
        <f aca="false">-H93</f>
        <v>2.8</v>
      </c>
    </row>
    <row r="94" customFormat="false" ht="15" hidden="false" customHeight="false" outlineLevel="0" collapsed="false">
      <c r="A94" s="70" t="s">
        <v>637</v>
      </c>
      <c r="B94" s="70" t="s">
        <v>314</v>
      </c>
      <c r="C94" s="70" t="s">
        <v>315</v>
      </c>
      <c r="D94" s="70" t="s">
        <v>522</v>
      </c>
      <c r="E94" s="70" t="s">
        <v>405</v>
      </c>
      <c r="F94" s="70" t="s">
        <v>189</v>
      </c>
      <c r="G94" s="71" t="n">
        <v>46286</v>
      </c>
      <c r="H94" s="72" t="n">
        <v>-2.8</v>
      </c>
      <c r="I94" s="70" t="s">
        <v>65</v>
      </c>
      <c r="J94" s="71" t="n">
        <v>46286</v>
      </c>
      <c r="K94" s="70" t="s">
        <v>406</v>
      </c>
      <c r="L94" s="72" t="n">
        <v>0</v>
      </c>
      <c r="M94" s="73" t="n">
        <v>0.486157407407407</v>
      </c>
      <c r="N94" s="70" t="s">
        <v>481</v>
      </c>
      <c r="O94" s="70" t="s">
        <v>638</v>
      </c>
      <c r="P94" s="70" t="s">
        <v>639</v>
      </c>
      <c r="Q94" s="70" t="s">
        <v>640</v>
      </c>
      <c r="R94" s="75" t="n">
        <f aca="false">-H94</f>
        <v>2.8</v>
      </c>
    </row>
    <row r="95" customFormat="false" ht="15" hidden="false" customHeight="false" outlineLevel="0" collapsed="false">
      <c r="A95" s="70" t="s">
        <v>727</v>
      </c>
      <c r="B95" s="70" t="s">
        <v>314</v>
      </c>
      <c r="C95" s="70" t="s">
        <v>315</v>
      </c>
      <c r="D95" s="70" t="s">
        <v>522</v>
      </c>
      <c r="E95" s="70" t="s">
        <v>405</v>
      </c>
      <c r="F95" s="70" t="s">
        <v>189</v>
      </c>
      <c r="G95" s="71" t="n">
        <v>46286</v>
      </c>
      <c r="H95" s="72" t="n">
        <v>-61.6</v>
      </c>
      <c r="I95" s="70" t="s">
        <v>65</v>
      </c>
      <c r="J95" s="71" t="n">
        <v>46286</v>
      </c>
      <c r="K95" s="70" t="s">
        <v>406</v>
      </c>
      <c r="L95" s="72" t="n">
        <v>0</v>
      </c>
      <c r="M95" s="73" t="n">
        <v>0.653136574074074</v>
      </c>
      <c r="N95" s="70" t="s">
        <v>481</v>
      </c>
      <c r="O95" s="70" t="s">
        <v>728</v>
      </c>
      <c r="P95" s="70" t="s">
        <v>593</v>
      </c>
      <c r="Q95" s="70" t="s">
        <v>594</v>
      </c>
      <c r="R95" s="75" t="n">
        <f aca="false">-H95</f>
        <v>61.6</v>
      </c>
    </row>
    <row r="96" customFormat="false" ht="15" hidden="false" customHeight="false" outlineLevel="0" collapsed="false">
      <c r="A96" s="70" t="s">
        <v>651</v>
      </c>
      <c r="B96" s="70" t="s">
        <v>314</v>
      </c>
      <c r="C96" s="70" t="s">
        <v>315</v>
      </c>
      <c r="D96" s="70" t="s">
        <v>522</v>
      </c>
      <c r="E96" s="70" t="s">
        <v>405</v>
      </c>
      <c r="F96" s="70" t="s">
        <v>189</v>
      </c>
      <c r="G96" s="71" t="n">
        <v>46285</v>
      </c>
      <c r="H96" s="72" t="n">
        <v>-19.6</v>
      </c>
      <c r="I96" s="70" t="s">
        <v>65</v>
      </c>
      <c r="J96" s="71" t="n">
        <v>46285</v>
      </c>
      <c r="K96" s="70" t="s">
        <v>406</v>
      </c>
      <c r="L96" s="72" t="n">
        <v>0</v>
      </c>
      <c r="M96" s="73" t="n">
        <v>0.314953703703704</v>
      </c>
      <c r="N96" s="70" t="s">
        <v>444</v>
      </c>
      <c r="O96" s="70" t="s">
        <v>652</v>
      </c>
      <c r="P96" s="70" t="s">
        <v>653</v>
      </c>
      <c r="Q96" s="70" t="s">
        <v>654</v>
      </c>
      <c r="R96" s="75" t="n">
        <f aca="false">-H96</f>
        <v>19.6</v>
      </c>
    </row>
    <row r="97" customFormat="false" ht="15" hidden="false" customHeight="false" outlineLevel="0" collapsed="false">
      <c r="A97" s="70" t="s">
        <v>729</v>
      </c>
      <c r="B97" s="70" t="s">
        <v>314</v>
      </c>
      <c r="C97" s="70" t="s">
        <v>315</v>
      </c>
      <c r="D97" s="70" t="s">
        <v>522</v>
      </c>
      <c r="E97" s="70" t="s">
        <v>405</v>
      </c>
      <c r="F97" s="70" t="s">
        <v>189</v>
      </c>
      <c r="G97" s="71" t="n">
        <v>46284</v>
      </c>
      <c r="H97" s="72" t="n">
        <v>-5.6</v>
      </c>
      <c r="I97" s="70" t="s">
        <v>65</v>
      </c>
      <c r="J97" s="71" t="n">
        <v>46284</v>
      </c>
      <c r="K97" s="70" t="s">
        <v>406</v>
      </c>
      <c r="L97" s="72" t="n">
        <v>0</v>
      </c>
      <c r="M97" s="73" t="n">
        <v>0.991134259259259</v>
      </c>
      <c r="N97" s="70" t="s">
        <v>444</v>
      </c>
      <c r="O97" s="70" t="s">
        <v>730</v>
      </c>
      <c r="P97" s="70" t="s">
        <v>565</v>
      </c>
      <c r="Q97" s="70" t="s">
        <v>566</v>
      </c>
      <c r="R97" s="75" t="n">
        <f aca="false">-H97</f>
        <v>5.6</v>
      </c>
    </row>
    <row r="98" customFormat="false" ht="15" hidden="false" customHeight="false" outlineLevel="0" collapsed="false">
      <c r="A98" s="70" t="s">
        <v>731</v>
      </c>
      <c r="B98" s="70" t="s">
        <v>314</v>
      </c>
      <c r="C98" s="70" t="s">
        <v>315</v>
      </c>
      <c r="D98" s="70" t="s">
        <v>522</v>
      </c>
      <c r="E98" s="70" t="s">
        <v>405</v>
      </c>
      <c r="F98" s="70" t="s">
        <v>189</v>
      </c>
      <c r="G98" s="71" t="n">
        <v>46284</v>
      </c>
      <c r="H98" s="72" t="n">
        <v>-2.8</v>
      </c>
      <c r="I98" s="70" t="s">
        <v>65</v>
      </c>
      <c r="J98" s="71" t="n">
        <v>46284</v>
      </c>
      <c r="K98" s="70" t="s">
        <v>406</v>
      </c>
      <c r="L98" s="72" t="n">
        <v>0</v>
      </c>
      <c r="M98" s="73" t="n">
        <v>0.990625</v>
      </c>
      <c r="N98" s="70" t="s">
        <v>444</v>
      </c>
      <c r="O98" s="70" t="s">
        <v>732</v>
      </c>
      <c r="P98" s="70" t="s">
        <v>581</v>
      </c>
      <c r="Q98" s="70" t="s">
        <v>582</v>
      </c>
      <c r="R98" s="75" t="n">
        <f aca="false">-H98</f>
        <v>2.8</v>
      </c>
    </row>
    <row r="99" customFormat="false" ht="15" hidden="false" customHeight="false" outlineLevel="0" collapsed="false">
      <c r="A99" s="70" t="s">
        <v>659</v>
      </c>
      <c r="B99" s="70" t="s">
        <v>314</v>
      </c>
      <c r="C99" s="70" t="s">
        <v>315</v>
      </c>
      <c r="D99" s="70" t="s">
        <v>522</v>
      </c>
      <c r="E99" s="70" t="s">
        <v>405</v>
      </c>
      <c r="F99" s="70" t="s">
        <v>189</v>
      </c>
      <c r="G99" s="71" t="n">
        <v>46284</v>
      </c>
      <c r="H99" s="72" t="n">
        <v>-2.8</v>
      </c>
      <c r="I99" s="70" t="s">
        <v>65</v>
      </c>
      <c r="J99" s="71" t="n">
        <v>46284</v>
      </c>
      <c r="K99" s="70" t="s">
        <v>406</v>
      </c>
      <c r="L99" s="72" t="n">
        <v>0</v>
      </c>
      <c r="M99" s="73" t="n">
        <v>0.31724537037037</v>
      </c>
      <c r="N99" s="70" t="s">
        <v>523</v>
      </c>
      <c r="O99" s="70" t="s">
        <v>660</v>
      </c>
      <c r="P99" s="70" t="s">
        <v>553</v>
      </c>
      <c r="Q99" s="70" t="s">
        <v>554</v>
      </c>
      <c r="R99" s="75" t="n">
        <f aca="false">-H99</f>
        <v>2.8</v>
      </c>
    </row>
    <row r="100" customFormat="false" ht="15" hidden="false" customHeight="false" outlineLevel="0" collapsed="false">
      <c r="A100" s="70" t="s">
        <v>733</v>
      </c>
      <c r="B100" s="70" t="s">
        <v>314</v>
      </c>
      <c r="C100" s="70" t="s">
        <v>315</v>
      </c>
      <c r="D100" s="70" t="s">
        <v>522</v>
      </c>
      <c r="E100" s="70" t="s">
        <v>405</v>
      </c>
      <c r="F100" s="70" t="s">
        <v>189</v>
      </c>
      <c r="G100" s="71" t="n">
        <v>46284</v>
      </c>
      <c r="H100" s="72" t="n">
        <v>-5.6</v>
      </c>
      <c r="I100" s="70" t="s">
        <v>65</v>
      </c>
      <c r="J100" s="71" t="n">
        <v>46284</v>
      </c>
      <c r="K100" s="70" t="s">
        <v>406</v>
      </c>
      <c r="L100" s="72" t="n">
        <v>0</v>
      </c>
      <c r="M100" s="73" t="n">
        <v>0.989756944444444</v>
      </c>
      <c r="N100" s="70" t="s">
        <v>444</v>
      </c>
      <c r="O100" s="70" t="s">
        <v>734</v>
      </c>
      <c r="P100" s="70" t="s">
        <v>735</v>
      </c>
      <c r="Q100" s="70" t="s">
        <v>736</v>
      </c>
      <c r="R100" s="75" t="n">
        <f aca="false">-H100</f>
        <v>5.6</v>
      </c>
    </row>
    <row r="101" customFormat="false" ht="15" hidden="false" customHeight="false" outlineLevel="0" collapsed="false">
      <c r="A101" s="70" t="s">
        <v>737</v>
      </c>
      <c r="B101" s="70" t="s">
        <v>314</v>
      </c>
      <c r="C101" s="70" t="s">
        <v>315</v>
      </c>
      <c r="D101" s="70" t="s">
        <v>522</v>
      </c>
      <c r="E101" s="70" t="s">
        <v>405</v>
      </c>
      <c r="F101" s="70" t="s">
        <v>189</v>
      </c>
      <c r="G101" s="71" t="n">
        <v>46284</v>
      </c>
      <c r="H101" s="72" t="n">
        <v>-11.2</v>
      </c>
      <c r="I101" s="70" t="s">
        <v>65</v>
      </c>
      <c r="J101" s="71" t="n">
        <v>46284</v>
      </c>
      <c r="K101" s="70" t="s">
        <v>406</v>
      </c>
      <c r="L101" s="72" t="n">
        <v>0</v>
      </c>
      <c r="M101" s="73" t="n">
        <v>0.589618055555556</v>
      </c>
      <c r="N101" s="70" t="s">
        <v>431</v>
      </c>
      <c r="O101" s="70" t="s">
        <v>738</v>
      </c>
      <c r="P101" s="70" t="s">
        <v>573</v>
      </c>
      <c r="Q101" s="70" t="s">
        <v>574</v>
      </c>
      <c r="R101" s="75" t="n">
        <f aca="false">-H101</f>
        <v>11.2</v>
      </c>
    </row>
    <row r="102" customFormat="false" ht="15" hidden="false" customHeight="false" outlineLevel="0" collapsed="false">
      <c r="A102" s="70" t="s">
        <v>739</v>
      </c>
      <c r="B102" s="70" t="s">
        <v>211</v>
      </c>
      <c r="C102" s="70" t="s">
        <v>212</v>
      </c>
      <c r="D102" s="70" t="s">
        <v>740</v>
      </c>
      <c r="E102" s="70" t="s">
        <v>405</v>
      </c>
      <c r="F102" s="70" t="s">
        <v>189</v>
      </c>
      <c r="G102" s="71" t="n">
        <v>46294</v>
      </c>
      <c r="H102" s="72" t="n">
        <v>-25</v>
      </c>
      <c r="I102" s="70" t="s">
        <v>65</v>
      </c>
      <c r="J102" s="71" t="n">
        <v>46295</v>
      </c>
      <c r="K102" s="70" t="s">
        <v>406</v>
      </c>
      <c r="L102" s="72" t="n">
        <v>0</v>
      </c>
      <c r="M102" s="73" t="n">
        <v>0.00523148148148148</v>
      </c>
      <c r="N102" s="70" t="s">
        <v>407</v>
      </c>
      <c r="O102" s="70" t="s">
        <v>741</v>
      </c>
      <c r="P102" s="70" t="s">
        <v>631</v>
      </c>
      <c r="Q102" s="70" t="s">
        <v>632</v>
      </c>
      <c r="R102" s="75" t="n">
        <f aca="false">-H102</f>
        <v>25</v>
      </c>
    </row>
    <row r="103" customFormat="false" ht="15" hidden="false" customHeight="false" outlineLevel="0" collapsed="false">
      <c r="A103" s="70" t="s">
        <v>742</v>
      </c>
      <c r="B103" s="70" t="s">
        <v>211</v>
      </c>
      <c r="C103" s="70" t="s">
        <v>212</v>
      </c>
      <c r="D103" s="70" t="s">
        <v>740</v>
      </c>
      <c r="E103" s="70" t="s">
        <v>405</v>
      </c>
      <c r="F103" s="70" t="s">
        <v>189</v>
      </c>
      <c r="G103" s="71" t="n">
        <v>46294</v>
      </c>
      <c r="H103" s="72" t="n">
        <v>-25</v>
      </c>
      <c r="I103" s="70" t="s">
        <v>65</v>
      </c>
      <c r="J103" s="71" t="n">
        <v>46295</v>
      </c>
      <c r="K103" s="70" t="s">
        <v>406</v>
      </c>
      <c r="L103" s="72" t="n">
        <v>0</v>
      </c>
      <c r="M103" s="73" t="n">
        <v>0.00520833333333333</v>
      </c>
      <c r="N103" s="70" t="s">
        <v>407</v>
      </c>
      <c r="O103" s="70" t="s">
        <v>743</v>
      </c>
      <c r="P103" s="70" t="s">
        <v>744</v>
      </c>
      <c r="Q103" s="70" t="s">
        <v>745</v>
      </c>
      <c r="R103" s="75" t="n">
        <f aca="false">-H103</f>
        <v>25</v>
      </c>
    </row>
    <row r="104" customFormat="false" ht="15" hidden="false" customHeight="false" outlineLevel="0" collapsed="false">
      <c r="A104" s="70" t="s">
        <v>746</v>
      </c>
      <c r="B104" s="70" t="s">
        <v>211</v>
      </c>
      <c r="C104" s="70" t="s">
        <v>212</v>
      </c>
      <c r="D104" s="70" t="s">
        <v>740</v>
      </c>
      <c r="E104" s="70" t="s">
        <v>405</v>
      </c>
      <c r="F104" s="70" t="s">
        <v>189</v>
      </c>
      <c r="G104" s="71" t="n">
        <v>46291</v>
      </c>
      <c r="H104" s="72" t="n">
        <v>-350</v>
      </c>
      <c r="I104" s="70" t="s">
        <v>65</v>
      </c>
      <c r="J104" s="71" t="n">
        <v>46292</v>
      </c>
      <c r="K104" s="70" t="s">
        <v>406</v>
      </c>
      <c r="L104" s="72" t="n">
        <v>0</v>
      </c>
      <c r="M104" s="73" t="n">
        <v>0.032349537037037</v>
      </c>
      <c r="N104" s="70" t="s">
        <v>444</v>
      </c>
      <c r="O104" s="70" t="s">
        <v>747</v>
      </c>
      <c r="P104" s="70" t="s">
        <v>472</v>
      </c>
      <c r="Q104" s="70" t="s">
        <v>473</v>
      </c>
      <c r="R104" s="75" t="n">
        <f aca="false">-H104</f>
        <v>350</v>
      </c>
    </row>
    <row r="105" customFormat="false" ht="15" hidden="false" customHeight="false" outlineLevel="0" collapsed="false">
      <c r="A105" s="70" t="s">
        <v>748</v>
      </c>
      <c r="B105" s="70" t="s">
        <v>211</v>
      </c>
      <c r="C105" s="70" t="s">
        <v>212</v>
      </c>
      <c r="D105" s="70" t="s">
        <v>740</v>
      </c>
      <c r="E105" s="70" t="s">
        <v>405</v>
      </c>
      <c r="F105" s="70" t="s">
        <v>189</v>
      </c>
      <c r="G105" s="71" t="n">
        <v>46290</v>
      </c>
      <c r="H105" s="72" t="n">
        <v>-200</v>
      </c>
      <c r="I105" s="70" t="s">
        <v>65</v>
      </c>
      <c r="J105" s="71" t="n">
        <v>46290</v>
      </c>
      <c r="K105" s="70" t="s">
        <v>406</v>
      </c>
      <c r="L105" s="72" t="n">
        <v>0</v>
      </c>
      <c r="M105" s="73" t="n">
        <v>0.901967592592593</v>
      </c>
      <c r="N105" s="70" t="s">
        <v>749</v>
      </c>
      <c r="O105" s="70" t="s">
        <v>750</v>
      </c>
      <c r="P105" s="70" t="s">
        <v>751</v>
      </c>
      <c r="Q105" s="70" t="s">
        <v>752</v>
      </c>
      <c r="R105" s="75" t="n">
        <f aca="false">-H105</f>
        <v>200</v>
      </c>
    </row>
    <row r="106" customFormat="false" ht="15" hidden="false" customHeight="false" outlineLevel="0" collapsed="false">
      <c r="A106" s="70" t="s">
        <v>753</v>
      </c>
      <c r="B106" s="70" t="s">
        <v>211</v>
      </c>
      <c r="C106" s="70" t="s">
        <v>212</v>
      </c>
      <c r="D106" s="70" t="s">
        <v>740</v>
      </c>
      <c r="E106" s="70" t="s">
        <v>405</v>
      </c>
      <c r="F106" s="70" t="s">
        <v>189</v>
      </c>
      <c r="G106" s="71" t="n">
        <v>46290</v>
      </c>
      <c r="H106" s="72" t="n">
        <v>-200</v>
      </c>
      <c r="I106" s="70" t="s">
        <v>65</v>
      </c>
      <c r="J106" s="71" t="n">
        <v>46290</v>
      </c>
      <c r="K106" s="70" t="s">
        <v>406</v>
      </c>
      <c r="L106" s="72" t="n">
        <v>0</v>
      </c>
      <c r="M106" s="73" t="n">
        <v>0.90244212962963</v>
      </c>
      <c r="N106" s="70" t="s">
        <v>749</v>
      </c>
      <c r="O106" s="70" t="s">
        <v>754</v>
      </c>
      <c r="P106" s="70" t="s">
        <v>751</v>
      </c>
      <c r="Q106" s="70" t="s">
        <v>752</v>
      </c>
      <c r="R106" s="75" t="n">
        <f aca="false">-H106</f>
        <v>200</v>
      </c>
    </row>
    <row r="107" customFormat="false" ht="15" hidden="false" customHeight="false" outlineLevel="0" collapsed="false">
      <c r="A107" s="70" t="s">
        <v>755</v>
      </c>
      <c r="B107" s="70" t="s">
        <v>218</v>
      </c>
      <c r="C107" s="70" t="s">
        <v>219</v>
      </c>
      <c r="D107" s="70" t="s">
        <v>756</v>
      </c>
      <c r="E107" s="70" t="s">
        <v>405</v>
      </c>
      <c r="F107" s="70" t="s">
        <v>189</v>
      </c>
      <c r="G107" s="71" t="n">
        <v>46295</v>
      </c>
      <c r="H107" s="72" t="n">
        <v>-100</v>
      </c>
      <c r="I107" s="70" t="s">
        <v>65</v>
      </c>
      <c r="J107" s="71" t="n">
        <v>46296</v>
      </c>
      <c r="K107" s="70" t="s">
        <v>406</v>
      </c>
      <c r="L107" s="72" t="n">
        <v>0</v>
      </c>
      <c r="M107" s="73" t="n">
        <v>0.0689930555555556</v>
      </c>
      <c r="N107" s="70" t="s">
        <v>444</v>
      </c>
      <c r="O107" s="70" t="s">
        <v>757</v>
      </c>
      <c r="P107" s="70" t="s">
        <v>758</v>
      </c>
      <c r="Q107" s="70" t="s">
        <v>759</v>
      </c>
      <c r="R107" s="75" t="n">
        <f aca="false">-H107</f>
        <v>100</v>
      </c>
    </row>
    <row r="108" customFormat="false" ht="15" hidden="false" customHeight="false" outlineLevel="0" collapsed="false">
      <c r="A108" s="70" t="s">
        <v>760</v>
      </c>
      <c r="B108" s="70" t="s">
        <v>218</v>
      </c>
      <c r="C108" s="70" t="s">
        <v>219</v>
      </c>
      <c r="D108" s="70" t="s">
        <v>756</v>
      </c>
      <c r="E108" s="70" t="s">
        <v>405</v>
      </c>
      <c r="F108" s="70" t="s">
        <v>189</v>
      </c>
      <c r="G108" s="71" t="n">
        <v>46294</v>
      </c>
      <c r="H108" s="72" t="n">
        <v>-100</v>
      </c>
      <c r="I108" s="70" t="s">
        <v>65</v>
      </c>
      <c r="J108" s="71" t="n">
        <v>46294</v>
      </c>
      <c r="K108" s="70" t="s">
        <v>406</v>
      </c>
      <c r="L108" s="72" t="n">
        <v>0</v>
      </c>
      <c r="M108" s="73" t="n">
        <v>0.587777777777778</v>
      </c>
      <c r="N108" s="70" t="s">
        <v>481</v>
      </c>
      <c r="O108" s="70" t="s">
        <v>761</v>
      </c>
      <c r="P108" s="70" t="s">
        <v>762</v>
      </c>
      <c r="Q108" s="70" t="s">
        <v>763</v>
      </c>
      <c r="R108" s="75" t="n">
        <f aca="false">-H108</f>
        <v>100</v>
      </c>
    </row>
    <row r="109" customFormat="false" ht="15" hidden="false" customHeight="false" outlineLevel="0" collapsed="false">
      <c r="A109" s="70" t="s">
        <v>764</v>
      </c>
      <c r="B109" s="70" t="s">
        <v>218</v>
      </c>
      <c r="C109" s="70" t="s">
        <v>317</v>
      </c>
      <c r="D109" s="70" t="s">
        <v>756</v>
      </c>
      <c r="E109" s="70" t="s">
        <v>405</v>
      </c>
      <c r="F109" s="70" t="s">
        <v>189</v>
      </c>
      <c r="G109" s="71" t="n">
        <v>46292</v>
      </c>
      <c r="H109" s="72" t="n">
        <v>-40</v>
      </c>
      <c r="I109" s="70" t="s">
        <v>65</v>
      </c>
      <c r="J109" s="71" t="n">
        <v>46292</v>
      </c>
      <c r="K109" s="70" t="s">
        <v>406</v>
      </c>
      <c r="L109" s="72" t="n">
        <v>0</v>
      </c>
      <c r="M109" s="73" t="n">
        <v>0.82494212962963</v>
      </c>
      <c r="N109" s="70" t="s">
        <v>431</v>
      </c>
      <c r="O109" s="70" t="s">
        <v>765</v>
      </c>
      <c r="P109" s="70" t="s">
        <v>766</v>
      </c>
      <c r="Q109" s="70" t="s">
        <v>767</v>
      </c>
      <c r="R109" s="75" t="n">
        <f aca="false">-H109</f>
        <v>40</v>
      </c>
    </row>
    <row r="110" customFormat="false" ht="15" hidden="false" customHeight="false" outlineLevel="0" collapsed="false">
      <c r="A110" s="70" t="s">
        <v>768</v>
      </c>
      <c r="B110" s="70" t="s">
        <v>218</v>
      </c>
      <c r="C110" s="70" t="s">
        <v>219</v>
      </c>
      <c r="D110" s="70" t="s">
        <v>756</v>
      </c>
      <c r="E110" s="70" t="s">
        <v>405</v>
      </c>
      <c r="F110" s="70" t="s">
        <v>189</v>
      </c>
      <c r="G110" s="71" t="n">
        <v>46292</v>
      </c>
      <c r="H110" s="72" t="n">
        <v>-40</v>
      </c>
      <c r="I110" s="70" t="s">
        <v>65</v>
      </c>
      <c r="J110" s="71" t="n">
        <v>46292</v>
      </c>
      <c r="K110" s="70" t="s">
        <v>406</v>
      </c>
      <c r="L110" s="72" t="n">
        <v>0</v>
      </c>
      <c r="M110" s="73" t="n">
        <v>0.825011574074074</v>
      </c>
      <c r="N110" s="70" t="s">
        <v>431</v>
      </c>
      <c r="O110" s="70" t="s">
        <v>769</v>
      </c>
      <c r="P110" s="70" t="s">
        <v>770</v>
      </c>
      <c r="Q110" s="70" t="s">
        <v>771</v>
      </c>
      <c r="R110" s="75" t="n">
        <f aca="false">-H110</f>
        <v>40</v>
      </c>
    </row>
    <row r="111" customFormat="false" ht="15" hidden="false" customHeight="false" outlineLevel="0" collapsed="false">
      <c r="A111" s="70" t="s">
        <v>772</v>
      </c>
      <c r="B111" s="70" t="s">
        <v>218</v>
      </c>
      <c r="C111" s="70" t="s">
        <v>219</v>
      </c>
      <c r="D111" s="70" t="s">
        <v>756</v>
      </c>
      <c r="E111" s="70" t="s">
        <v>405</v>
      </c>
      <c r="F111" s="70" t="s">
        <v>189</v>
      </c>
      <c r="G111" s="71" t="n">
        <v>46292</v>
      </c>
      <c r="H111" s="72" t="n">
        <v>-40</v>
      </c>
      <c r="I111" s="70" t="s">
        <v>65</v>
      </c>
      <c r="J111" s="71" t="n">
        <v>46292</v>
      </c>
      <c r="K111" s="70" t="s">
        <v>406</v>
      </c>
      <c r="L111" s="72" t="n">
        <v>0</v>
      </c>
      <c r="M111" s="73" t="n">
        <v>0.82650462962963</v>
      </c>
      <c r="N111" s="70" t="s">
        <v>431</v>
      </c>
      <c r="O111" s="70" t="s">
        <v>773</v>
      </c>
      <c r="P111" s="70" t="s">
        <v>774</v>
      </c>
      <c r="Q111" s="70" t="s">
        <v>775</v>
      </c>
      <c r="R111" s="75" t="n">
        <f aca="false">-H111</f>
        <v>40</v>
      </c>
    </row>
    <row r="112" customFormat="false" ht="15" hidden="false" customHeight="false" outlineLevel="0" collapsed="false">
      <c r="A112" s="70" t="s">
        <v>776</v>
      </c>
      <c r="B112" s="70" t="s">
        <v>218</v>
      </c>
      <c r="C112" s="70" t="s">
        <v>219</v>
      </c>
      <c r="D112" s="70" t="s">
        <v>756</v>
      </c>
      <c r="E112" s="70" t="s">
        <v>405</v>
      </c>
      <c r="F112" s="70" t="s">
        <v>189</v>
      </c>
      <c r="G112" s="71" t="n">
        <v>46292</v>
      </c>
      <c r="H112" s="72" t="n">
        <v>-100</v>
      </c>
      <c r="I112" s="70" t="s">
        <v>65</v>
      </c>
      <c r="J112" s="71" t="n">
        <v>46292</v>
      </c>
      <c r="K112" s="70" t="s">
        <v>406</v>
      </c>
      <c r="L112" s="72" t="n">
        <v>0</v>
      </c>
      <c r="M112" s="73" t="n">
        <v>0.825601851851852</v>
      </c>
      <c r="N112" s="70" t="s">
        <v>431</v>
      </c>
      <c r="O112" s="70" t="s">
        <v>777</v>
      </c>
      <c r="P112" s="70" t="s">
        <v>778</v>
      </c>
      <c r="Q112" s="70" t="s">
        <v>779</v>
      </c>
      <c r="R112" s="75" t="n">
        <f aca="false">-H112</f>
        <v>100</v>
      </c>
    </row>
    <row r="113" customFormat="false" ht="15" hidden="false" customHeight="false" outlineLevel="0" collapsed="false">
      <c r="A113" s="70" t="s">
        <v>780</v>
      </c>
      <c r="B113" s="70" t="s">
        <v>218</v>
      </c>
      <c r="C113" s="70" t="s">
        <v>319</v>
      </c>
      <c r="D113" s="70" t="s">
        <v>756</v>
      </c>
      <c r="E113" s="70" t="s">
        <v>405</v>
      </c>
      <c r="F113" s="70" t="s">
        <v>189</v>
      </c>
      <c r="G113" s="71" t="n">
        <v>46290</v>
      </c>
      <c r="H113" s="72" t="n">
        <v>-1160</v>
      </c>
      <c r="I113" s="70" t="s">
        <v>65</v>
      </c>
      <c r="J113" s="71" t="n">
        <v>46290</v>
      </c>
      <c r="K113" s="70" t="s">
        <v>406</v>
      </c>
      <c r="L113" s="72" t="n">
        <v>0</v>
      </c>
      <c r="M113" s="73" t="n">
        <v>0.881365740740741</v>
      </c>
      <c r="N113" s="70" t="s">
        <v>749</v>
      </c>
      <c r="O113" s="70" t="s">
        <v>781</v>
      </c>
      <c r="P113" s="70" t="s">
        <v>751</v>
      </c>
      <c r="Q113" s="70" t="s">
        <v>752</v>
      </c>
      <c r="R113" s="75" t="n">
        <f aca="false">-H113</f>
        <v>1160</v>
      </c>
    </row>
    <row r="114" customFormat="false" ht="15" hidden="false" customHeight="false" outlineLevel="0" collapsed="false">
      <c r="A114" s="70" t="s">
        <v>780</v>
      </c>
      <c r="B114" s="70" t="s">
        <v>218</v>
      </c>
      <c r="C114" s="70" t="s">
        <v>219</v>
      </c>
      <c r="D114" s="70" t="s">
        <v>756</v>
      </c>
      <c r="E114" s="70" t="s">
        <v>405</v>
      </c>
      <c r="F114" s="70" t="s">
        <v>189</v>
      </c>
      <c r="G114" s="71" t="n">
        <v>46290</v>
      </c>
      <c r="H114" s="72" t="n">
        <v>-200</v>
      </c>
      <c r="I114" s="70" t="s">
        <v>65</v>
      </c>
      <c r="J114" s="71" t="n">
        <v>46290</v>
      </c>
      <c r="K114" s="70" t="s">
        <v>406</v>
      </c>
      <c r="L114" s="72" t="n">
        <v>0</v>
      </c>
      <c r="M114" s="73" t="n">
        <v>0.881365740740741</v>
      </c>
      <c r="N114" s="70" t="s">
        <v>749</v>
      </c>
      <c r="O114" s="70" t="s">
        <v>781</v>
      </c>
      <c r="P114" s="70" t="s">
        <v>751</v>
      </c>
      <c r="Q114" s="70" t="s">
        <v>752</v>
      </c>
      <c r="R114" s="75" t="n">
        <f aca="false">-H114</f>
        <v>200</v>
      </c>
    </row>
    <row r="115" customFormat="false" ht="15" hidden="false" customHeight="false" outlineLevel="0" collapsed="false">
      <c r="A115" s="70" t="s">
        <v>782</v>
      </c>
      <c r="B115" s="70" t="s">
        <v>218</v>
      </c>
      <c r="C115" s="70" t="s">
        <v>317</v>
      </c>
      <c r="D115" s="70" t="s">
        <v>756</v>
      </c>
      <c r="E115" s="70" t="s">
        <v>405</v>
      </c>
      <c r="F115" s="70" t="s">
        <v>189</v>
      </c>
      <c r="G115" s="71" t="n">
        <v>46290</v>
      </c>
      <c r="H115" s="72" t="n">
        <v>-1740</v>
      </c>
      <c r="I115" s="70" t="s">
        <v>65</v>
      </c>
      <c r="J115" s="71" t="n">
        <v>46290</v>
      </c>
      <c r="K115" s="70" t="s">
        <v>406</v>
      </c>
      <c r="L115" s="72" t="n">
        <v>0</v>
      </c>
      <c r="M115" s="73" t="n">
        <v>0.881944444444444</v>
      </c>
      <c r="N115" s="70" t="s">
        <v>749</v>
      </c>
      <c r="O115" s="70" t="s">
        <v>783</v>
      </c>
      <c r="P115" s="70" t="s">
        <v>751</v>
      </c>
      <c r="Q115" s="70" t="s">
        <v>752</v>
      </c>
      <c r="R115" s="75" t="n">
        <f aca="false">-H115</f>
        <v>1740</v>
      </c>
    </row>
    <row r="116" customFormat="false" ht="15" hidden="false" customHeight="false" outlineLevel="0" collapsed="false">
      <c r="A116" s="70" t="s">
        <v>784</v>
      </c>
      <c r="B116" s="70" t="s">
        <v>220</v>
      </c>
      <c r="C116" s="70" t="s">
        <v>224</v>
      </c>
      <c r="D116" s="70" t="s">
        <v>404</v>
      </c>
      <c r="E116" s="70" t="s">
        <v>405</v>
      </c>
      <c r="F116" s="70" t="s">
        <v>189</v>
      </c>
      <c r="G116" s="71" t="n">
        <v>46295</v>
      </c>
      <c r="H116" s="72" t="n">
        <v>-80.4</v>
      </c>
      <c r="I116" s="70" t="s">
        <v>65</v>
      </c>
      <c r="J116" s="71" t="n">
        <v>46295</v>
      </c>
      <c r="K116" s="70" t="s">
        <v>406</v>
      </c>
      <c r="L116" s="72" t="n">
        <v>0</v>
      </c>
      <c r="M116" s="73" t="n">
        <v>0.356122685185185</v>
      </c>
      <c r="N116" s="70" t="s">
        <v>407</v>
      </c>
      <c r="O116" s="70" t="s">
        <v>785</v>
      </c>
      <c r="P116" s="70" t="s">
        <v>786</v>
      </c>
      <c r="Q116" s="70" t="s">
        <v>787</v>
      </c>
      <c r="R116" s="75" t="n">
        <f aca="false">-H116</f>
        <v>80.4</v>
      </c>
    </row>
    <row r="117" customFormat="false" ht="15" hidden="false" customHeight="false" outlineLevel="0" collapsed="false">
      <c r="A117" s="70" t="s">
        <v>788</v>
      </c>
      <c r="B117" s="70" t="s">
        <v>220</v>
      </c>
      <c r="C117" s="70" t="s">
        <v>224</v>
      </c>
      <c r="D117" s="70" t="s">
        <v>404</v>
      </c>
      <c r="E117" s="70" t="s">
        <v>405</v>
      </c>
      <c r="F117" s="70" t="s">
        <v>189</v>
      </c>
      <c r="G117" s="71" t="n">
        <v>46292</v>
      </c>
      <c r="H117" s="72" t="n">
        <v>-100.5</v>
      </c>
      <c r="I117" s="70" t="s">
        <v>65</v>
      </c>
      <c r="J117" s="71" t="n">
        <v>46292</v>
      </c>
      <c r="K117" s="70" t="s">
        <v>406</v>
      </c>
      <c r="L117" s="72" t="n">
        <v>0</v>
      </c>
      <c r="M117" s="73" t="n">
        <v>0.826597222222222</v>
      </c>
      <c r="N117" s="70" t="s">
        <v>431</v>
      </c>
      <c r="O117" s="70" t="s">
        <v>789</v>
      </c>
      <c r="P117" s="70" t="s">
        <v>433</v>
      </c>
      <c r="Q117" s="70" t="s">
        <v>434</v>
      </c>
      <c r="R117" s="75" t="n">
        <f aca="false">-H117</f>
        <v>100.5</v>
      </c>
    </row>
    <row r="118" customFormat="false" ht="15" hidden="false" customHeight="false" outlineLevel="0" collapsed="false">
      <c r="A118" s="70" t="s">
        <v>474</v>
      </c>
      <c r="B118" s="70" t="s">
        <v>220</v>
      </c>
      <c r="C118" s="70" t="s">
        <v>224</v>
      </c>
      <c r="D118" s="70" t="s">
        <v>404</v>
      </c>
      <c r="E118" s="70" t="s">
        <v>405</v>
      </c>
      <c r="F118" s="70" t="s">
        <v>189</v>
      </c>
      <c r="G118" s="71" t="n">
        <v>46291</v>
      </c>
      <c r="H118" s="72" t="n">
        <v>-20.1</v>
      </c>
      <c r="I118" s="70" t="s">
        <v>65</v>
      </c>
      <c r="J118" s="71" t="n">
        <v>46291</v>
      </c>
      <c r="K118" s="70" t="s">
        <v>406</v>
      </c>
      <c r="L118" s="72" t="n">
        <v>0</v>
      </c>
      <c r="M118" s="73" t="n">
        <v>0.339166666666667</v>
      </c>
      <c r="N118" s="70" t="s">
        <v>407</v>
      </c>
      <c r="O118" s="70" t="s">
        <v>475</v>
      </c>
      <c r="P118" s="70" t="s">
        <v>468</v>
      </c>
      <c r="Q118" s="70" t="s">
        <v>469</v>
      </c>
      <c r="R118" s="75" t="n">
        <f aca="false">-H118</f>
        <v>20.1</v>
      </c>
    </row>
    <row r="119" customFormat="false" ht="15" hidden="false" customHeight="false" outlineLevel="0" collapsed="false">
      <c r="A119" s="70" t="s">
        <v>466</v>
      </c>
      <c r="B119" s="70" t="s">
        <v>220</v>
      </c>
      <c r="C119" s="70" t="s">
        <v>224</v>
      </c>
      <c r="D119" s="70" t="s">
        <v>404</v>
      </c>
      <c r="E119" s="70" t="s">
        <v>405</v>
      </c>
      <c r="F119" s="70" t="s">
        <v>189</v>
      </c>
      <c r="G119" s="71" t="n">
        <v>46291</v>
      </c>
      <c r="H119" s="72" t="n">
        <v>-20.1</v>
      </c>
      <c r="I119" s="70" t="s">
        <v>65</v>
      </c>
      <c r="J119" s="71" t="n">
        <v>46291</v>
      </c>
      <c r="K119" s="70" t="s">
        <v>406</v>
      </c>
      <c r="L119" s="72" t="n">
        <v>0</v>
      </c>
      <c r="M119" s="73" t="n">
        <v>0.339259259259259</v>
      </c>
      <c r="N119" s="70" t="s">
        <v>407</v>
      </c>
      <c r="O119" s="70" t="s">
        <v>467</v>
      </c>
      <c r="P119" s="70" t="s">
        <v>468</v>
      </c>
      <c r="Q119" s="70" t="s">
        <v>469</v>
      </c>
      <c r="R119" s="75" t="n">
        <f aca="false">-H119</f>
        <v>20.1</v>
      </c>
    </row>
    <row r="120" customFormat="false" ht="15" hidden="false" customHeight="false" outlineLevel="0" collapsed="false">
      <c r="A120" s="70" t="s">
        <v>790</v>
      </c>
      <c r="B120" s="70" t="s">
        <v>220</v>
      </c>
      <c r="C120" s="70" t="s">
        <v>224</v>
      </c>
      <c r="D120" s="70" t="s">
        <v>404</v>
      </c>
      <c r="E120" s="70" t="s">
        <v>405</v>
      </c>
      <c r="F120" s="70" t="s">
        <v>189</v>
      </c>
      <c r="G120" s="71" t="n">
        <v>46291</v>
      </c>
      <c r="H120" s="72" t="n">
        <v>-40.2</v>
      </c>
      <c r="I120" s="70" t="s">
        <v>65</v>
      </c>
      <c r="J120" s="71" t="n">
        <v>46291</v>
      </c>
      <c r="K120" s="70" t="s">
        <v>406</v>
      </c>
      <c r="L120" s="72" t="n">
        <v>0</v>
      </c>
      <c r="M120" s="73" t="n">
        <v>0.806018518518519</v>
      </c>
      <c r="N120" s="70" t="s">
        <v>431</v>
      </c>
      <c r="O120" s="70" t="s">
        <v>791</v>
      </c>
      <c r="P120" s="70" t="s">
        <v>792</v>
      </c>
      <c r="Q120" s="70" t="s">
        <v>793</v>
      </c>
      <c r="R120" s="75" t="n">
        <f aca="false">-H120</f>
        <v>40.2</v>
      </c>
    </row>
    <row r="121" customFormat="false" ht="15" hidden="false" customHeight="false" outlineLevel="0" collapsed="false">
      <c r="A121" s="70" t="s">
        <v>794</v>
      </c>
      <c r="B121" s="70" t="s">
        <v>220</v>
      </c>
      <c r="C121" s="70" t="s">
        <v>223</v>
      </c>
      <c r="D121" s="70" t="s">
        <v>404</v>
      </c>
      <c r="E121" s="70" t="s">
        <v>405</v>
      </c>
      <c r="F121" s="70" t="s">
        <v>189</v>
      </c>
      <c r="G121" s="71" t="n">
        <v>46291</v>
      </c>
      <c r="H121" s="72" t="n">
        <v>-442.2</v>
      </c>
      <c r="I121" s="70" t="s">
        <v>65</v>
      </c>
      <c r="J121" s="71" t="n">
        <v>46292</v>
      </c>
      <c r="K121" s="70" t="s">
        <v>406</v>
      </c>
      <c r="L121" s="72" t="n">
        <v>0</v>
      </c>
      <c r="M121" s="73" t="n">
        <v>0.0322453703703704</v>
      </c>
      <c r="N121" s="70" t="s">
        <v>444</v>
      </c>
      <c r="O121" s="70" t="s">
        <v>795</v>
      </c>
      <c r="P121" s="70" t="s">
        <v>472</v>
      </c>
      <c r="Q121" s="70" t="s">
        <v>473</v>
      </c>
      <c r="R121" s="75" t="n">
        <f aca="false">-H121</f>
        <v>442.2</v>
      </c>
    </row>
    <row r="122" customFormat="false" ht="15" hidden="false" customHeight="false" outlineLevel="0" collapsed="false">
      <c r="A122" s="70" t="s">
        <v>794</v>
      </c>
      <c r="B122" s="70" t="s">
        <v>220</v>
      </c>
      <c r="C122" s="70" t="s">
        <v>224</v>
      </c>
      <c r="D122" s="70" t="s">
        <v>404</v>
      </c>
      <c r="E122" s="70" t="s">
        <v>405</v>
      </c>
      <c r="F122" s="70" t="s">
        <v>189</v>
      </c>
      <c r="G122" s="71" t="n">
        <v>46291</v>
      </c>
      <c r="H122" s="72" t="n">
        <v>-160.8</v>
      </c>
      <c r="I122" s="70" t="s">
        <v>65</v>
      </c>
      <c r="J122" s="71" t="n">
        <v>46292</v>
      </c>
      <c r="K122" s="70" t="s">
        <v>406</v>
      </c>
      <c r="L122" s="72" t="n">
        <v>0</v>
      </c>
      <c r="M122" s="73" t="n">
        <v>0.0322453703703704</v>
      </c>
      <c r="N122" s="70" t="s">
        <v>444</v>
      </c>
      <c r="O122" s="70" t="s">
        <v>795</v>
      </c>
      <c r="P122" s="70" t="s">
        <v>472</v>
      </c>
      <c r="Q122" s="70" t="s">
        <v>473</v>
      </c>
      <c r="R122" s="75" t="n">
        <f aca="false">-H122</f>
        <v>160.8</v>
      </c>
    </row>
    <row r="123" customFormat="false" ht="15" hidden="false" customHeight="false" outlineLevel="0" collapsed="false">
      <c r="A123" s="70" t="s">
        <v>796</v>
      </c>
      <c r="B123" s="70" t="s">
        <v>220</v>
      </c>
      <c r="C123" s="70" t="s">
        <v>224</v>
      </c>
      <c r="D123" s="70" t="s">
        <v>404</v>
      </c>
      <c r="E123" s="70" t="s">
        <v>405</v>
      </c>
      <c r="F123" s="70" t="s">
        <v>189</v>
      </c>
      <c r="G123" s="71" t="n">
        <v>46290</v>
      </c>
      <c r="H123" s="72" t="n">
        <v>-603</v>
      </c>
      <c r="I123" s="70" t="s">
        <v>65</v>
      </c>
      <c r="J123" s="71" t="n">
        <v>46291</v>
      </c>
      <c r="K123" s="70" t="s">
        <v>406</v>
      </c>
      <c r="L123" s="72" t="n">
        <v>0</v>
      </c>
      <c r="M123" s="73" t="n">
        <v>0.095625</v>
      </c>
      <c r="N123" s="70" t="s">
        <v>407</v>
      </c>
      <c r="O123" s="70" t="s">
        <v>797</v>
      </c>
      <c r="P123" s="70" t="s">
        <v>472</v>
      </c>
      <c r="Q123" s="70" t="s">
        <v>473</v>
      </c>
      <c r="R123" s="75" t="n">
        <f aca="false">-H123</f>
        <v>603</v>
      </c>
    </row>
    <row r="124" customFormat="false" ht="15" hidden="false" customHeight="false" outlineLevel="0" collapsed="false">
      <c r="A124" s="70" t="s">
        <v>798</v>
      </c>
      <c r="B124" s="70" t="s">
        <v>220</v>
      </c>
      <c r="C124" s="70" t="s">
        <v>221</v>
      </c>
      <c r="D124" s="70" t="s">
        <v>404</v>
      </c>
      <c r="E124" s="70" t="s">
        <v>405</v>
      </c>
      <c r="F124" s="70" t="s">
        <v>189</v>
      </c>
      <c r="G124" s="71" t="n">
        <v>46277</v>
      </c>
      <c r="H124" s="72" t="n">
        <v>-40.2</v>
      </c>
      <c r="I124" s="70" t="s">
        <v>65</v>
      </c>
      <c r="J124" s="71" t="n">
        <v>46278</v>
      </c>
      <c r="K124" s="70" t="s">
        <v>406</v>
      </c>
      <c r="L124" s="72" t="n">
        <v>0</v>
      </c>
      <c r="M124" s="73" t="n">
        <v>0.103842592592593</v>
      </c>
      <c r="N124" s="70" t="s">
        <v>407</v>
      </c>
      <c r="O124" s="70" t="s">
        <v>799</v>
      </c>
      <c r="P124" s="70" t="s">
        <v>792</v>
      </c>
      <c r="Q124" s="70" t="s">
        <v>793</v>
      </c>
      <c r="R124" s="75" t="n">
        <f aca="false">-H124</f>
        <v>40.2</v>
      </c>
    </row>
    <row r="125" customFormat="false" ht="15" hidden="false" customHeight="false" outlineLevel="0" collapsed="false">
      <c r="A125" s="70" t="s">
        <v>800</v>
      </c>
      <c r="B125" s="70" t="s">
        <v>220</v>
      </c>
      <c r="C125" s="70" t="s">
        <v>221</v>
      </c>
      <c r="D125" s="70" t="s">
        <v>404</v>
      </c>
      <c r="E125" s="70" t="s">
        <v>405</v>
      </c>
      <c r="F125" s="70" t="s">
        <v>189</v>
      </c>
      <c r="G125" s="71" t="n">
        <v>46277</v>
      </c>
      <c r="H125" s="72" t="n">
        <v>-40.2</v>
      </c>
      <c r="I125" s="70" t="s">
        <v>65</v>
      </c>
      <c r="J125" s="71" t="n">
        <v>46278</v>
      </c>
      <c r="K125" s="70" t="s">
        <v>406</v>
      </c>
      <c r="L125" s="72" t="n">
        <v>0</v>
      </c>
      <c r="M125" s="73" t="n">
        <v>0.113449074074074</v>
      </c>
      <c r="N125" s="70" t="s">
        <v>407</v>
      </c>
      <c r="O125" s="70" t="s">
        <v>801</v>
      </c>
      <c r="P125" s="70" t="s">
        <v>802</v>
      </c>
      <c r="Q125" s="70" t="s">
        <v>803</v>
      </c>
      <c r="R125" s="75" t="n">
        <f aca="false">-H125</f>
        <v>40.2</v>
      </c>
    </row>
    <row r="126" customFormat="false" ht="15" hidden="false" customHeight="false" outlineLevel="0" collapsed="false">
      <c r="A126" s="70" t="s">
        <v>804</v>
      </c>
      <c r="B126" s="70" t="s">
        <v>322</v>
      </c>
      <c r="C126" s="70" t="s">
        <v>323</v>
      </c>
      <c r="D126" s="70" t="s">
        <v>522</v>
      </c>
      <c r="E126" s="70" t="s">
        <v>405</v>
      </c>
      <c r="F126" s="70" t="s">
        <v>189</v>
      </c>
      <c r="G126" s="71" t="n">
        <v>46296</v>
      </c>
      <c r="H126" s="72" t="n">
        <v>-8.4</v>
      </c>
      <c r="I126" s="70" t="s">
        <v>65</v>
      </c>
      <c r="J126" s="71" t="n">
        <v>46296</v>
      </c>
      <c r="K126" s="70" t="s">
        <v>406</v>
      </c>
      <c r="L126" s="72" t="n">
        <v>0</v>
      </c>
      <c r="M126" s="73" t="n">
        <v>0.296574074074074</v>
      </c>
      <c r="N126" s="70" t="s">
        <v>523</v>
      </c>
      <c r="O126" s="70" t="s">
        <v>805</v>
      </c>
      <c r="P126" s="70" t="s">
        <v>806</v>
      </c>
      <c r="Q126" s="70" t="s">
        <v>807</v>
      </c>
      <c r="R126" s="75" t="n">
        <f aca="false">-H126</f>
        <v>8.4</v>
      </c>
    </row>
    <row r="127" customFormat="false" ht="15" hidden="false" customHeight="false" outlineLevel="0" collapsed="false">
      <c r="A127" s="70" t="s">
        <v>808</v>
      </c>
      <c r="B127" s="70" t="s">
        <v>322</v>
      </c>
      <c r="C127" s="70" t="s">
        <v>323</v>
      </c>
      <c r="D127" s="70" t="s">
        <v>522</v>
      </c>
      <c r="E127" s="70" t="s">
        <v>405</v>
      </c>
      <c r="F127" s="70" t="s">
        <v>189</v>
      </c>
      <c r="G127" s="71" t="n">
        <v>46296</v>
      </c>
      <c r="H127" s="72" t="n">
        <v>-30.8</v>
      </c>
      <c r="I127" s="70" t="s">
        <v>65</v>
      </c>
      <c r="J127" s="71" t="n">
        <v>46296</v>
      </c>
      <c r="K127" s="70" t="s">
        <v>406</v>
      </c>
      <c r="L127" s="72" t="n">
        <v>0</v>
      </c>
      <c r="M127" s="73" t="n">
        <v>0.321631944444444</v>
      </c>
      <c r="N127" s="70" t="s">
        <v>523</v>
      </c>
      <c r="O127" s="70" t="s">
        <v>809</v>
      </c>
      <c r="P127" s="70" t="s">
        <v>525</v>
      </c>
      <c r="Q127" s="70" t="s">
        <v>526</v>
      </c>
      <c r="R127" s="75" t="n">
        <f aca="false">-H127</f>
        <v>30.8</v>
      </c>
    </row>
    <row r="128" customFormat="false" ht="15" hidden="false" customHeight="false" outlineLevel="0" collapsed="false">
      <c r="A128" s="70" t="s">
        <v>810</v>
      </c>
      <c r="B128" s="70" t="s">
        <v>322</v>
      </c>
      <c r="C128" s="70" t="s">
        <v>323</v>
      </c>
      <c r="D128" s="70" t="s">
        <v>522</v>
      </c>
      <c r="E128" s="70" t="s">
        <v>405</v>
      </c>
      <c r="F128" s="70" t="s">
        <v>189</v>
      </c>
      <c r="G128" s="71" t="n">
        <v>46295</v>
      </c>
      <c r="H128" s="72" t="n">
        <v>-2.8</v>
      </c>
      <c r="I128" s="70" t="s">
        <v>65</v>
      </c>
      <c r="J128" s="71" t="n">
        <v>46296</v>
      </c>
      <c r="K128" s="70" t="s">
        <v>406</v>
      </c>
      <c r="L128" s="72" t="n">
        <v>0</v>
      </c>
      <c r="M128" s="73" t="n">
        <v>0.0645023148148148</v>
      </c>
      <c r="N128" s="70" t="s">
        <v>444</v>
      </c>
      <c r="O128" s="70" t="s">
        <v>811</v>
      </c>
      <c r="P128" s="70" t="s">
        <v>812</v>
      </c>
      <c r="Q128" s="70" t="s">
        <v>813</v>
      </c>
      <c r="R128" s="75" t="n">
        <f aca="false">-H128</f>
        <v>2.8</v>
      </c>
    </row>
    <row r="129" customFormat="false" ht="15" hidden="false" customHeight="false" outlineLevel="0" collapsed="false">
      <c r="A129" s="70" t="s">
        <v>814</v>
      </c>
      <c r="B129" s="70" t="s">
        <v>322</v>
      </c>
      <c r="C129" s="70" t="s">
        <v>323</v>
      </c>
      <c r="D129" s="70" t="s">
        <v>522</v>
      </c>
      <c r="E129" s="70" t="s">
        <v>405</v>
      </c>
      <c r="F129" s="70" t="s">
        <v>189</v>
      </c>
      <c r="G129" s="71" t="n">
        <v>46295</v>
      </c>
      <c r="H129" s="72" t="n">
        <v>-2.8</v>
      </c>
      <c r="I129" s="70" t="s">
        <v>65</v>
      </c>
      <c r="J129" s="71" t="n">
        <v>46295</v>
      </c>
      <c r="K129" s="70" t="s">
        <v>406</v>
      </c>
      <c r="L129" s="72" t="n">
        <v>0</v>
      </c>
      <c r="M129" s="73" t="n">
        <v>0.42369212962963</v>
      </c>
      <c r="N129" s="70" t="s">
        <v>407</v>
      </c>
      <c r="O129" s="70" t="s">
        <v>815</v>
      </c>
      <c r="P129" s="70" t="s">
        <v>816</v>
      </c>
      <c r="Q129" s="70" t="s">
        <v>817</v>
      </c>
      <c r="R129" s="75" t="n">
        <f aca="false">-H129</f>
        <v>2.8</v>
      </c>
    </row>
    <row r="130" customFormat="false" ht="15" hidden="false" customHeight="false" outlineLevel="0" collapsed="false">
      <c r="A130" s="70" t="s">
        <v>814</v>
      </c>
      <c r="B130" s="70" t="s">
        <v>322</v>
      </c>
      <c r="C130" s="70" t="s">
        <v>323</v>
      </c>
      <c r="D130" s="70" t="s">
        <v>522</v>
      </c>
      <c r="E130" s="70" t="s">
        <v>405</v>
      </c>
      <c r="F130" s="70" t="s">
        <v>189</v>
      </c>
      <c r="G130" s="71" t="n">
        <v>46295</v>
      </c>
      <c r="H130" s="72" t="n">
        <v>-25.2</v>
      </c>
      <c r="I130" s="70" t="s">
        <v>65</v>
      </c>
      <c r="J130" s="71" t="n">
        <v>46295</v>
      </c>
      <c r="K130" s="70" t="s">
        <v>406</v>
      </c>
      <c r="L130" s="72" t="n">
        <v>0</v>
      </c>
      <c r="M130" s="73" t="n">
        <v>0.42369212962963</v>
      </c>
      <c r="N130" s="70" t="s">
        <v>407</v>
      </c>
      <c r="O130" s="70" t="s">
        <v>815</v>
      </c>
      <c r="P130" s="70" t="s">
        <v>816</v>
      </c>
      <c r="Q130" s="70" t="s">
        <v>817</v>
      </c>
      <c r="R130" s="75" t="n">
        <f aca="false">-H130</f>
        <v>25.2</v>
      </c>
    </row>
    <row r="131" customFormat="false" ht="15" hidden="false" customHeight="false" outlineLevel="0" collapsed="false">
      <c r="A131" s="70" t="s">
        <v>818</v>
      </c>
      <c r="B131" s="70" t="s">
        <v>322</v>
      </c>
      <c r="C131" s="70" t="s">
        <v>323</v>
      </c>
      <c r="D131" s="70" t="s">
        <v>522</v>
      </c>
      <c r="E131" s="70" t="s">
        <v>405</v>
      </c>
      <c r="F131" s="70" t="s">
        <v>189</v>
      </c>
      <c r="G131" s="71" t="n">
        <v>46294</v>
      </c>
      <c r="H131" s="72" t="n">
        <v>-28</v>
      </c>
      <c r="I131" s="70" t="s">
        <v>65</v>
      </c>
      <c r="J131" s="71" t="n">
        <v>46294</v>
      </c>
      <c r="K131" s="70" t="s">
        <v>406</v>
      </c>
      <c r="L131" s="72" t="n">
        <v>0</v>
      </c>
      <c r="M131" s="73" t="n">
        <v>0.346689814814815</v>
      </c>
      <c r="N131" s="70" t="s">
        <v>407</v>
      </c>
      <c r="O131" s="70" t="s">
        <v>819</v>
      </c>
      <c r="P131" s="70" t="s">
        <v>820</v>
      </c>
      <c r="Q131" s="70" t="s">
        <v>821</v>
      </c>
      <c r="R131" s="75" t="n">
        <f aca="false">-H131</f>
        <v>28</v>
      </c>
    </row>
    <row r="132" customFormat="false" ht="15" hidden="false" customHeight="false" outlineLevel="0" collapsed="false">
      <c r="A132" s="70" t="s">
        <v>619</v>
      </c>
      <c r="B132" s="70" t="s">
        <v>322</v>
      </c>
      <c r="C132" s="70" t="s">
        <v>323</v>
      </c>
      <c r="D132" s="70" t="s">
        <v>522</v>
      </c>
      <c r="E132" s="70" t="s">
        <v>405</v>
      </c>
      <c r="F132" s="70" t="s">
        <v>189</v>
      </c>
      <c r="G132" s="71" t="n">
        <v>46294</v>
      </c>
      <c r="H132" s="72" t="n">
        <v>-2.8</v>
      </c>
      <c r="I132" s="70" t="s">
        <v>65</v>
      </c>
      <c r="J132" s="71" t="n">
        <v>46294</v>
      </c>
      <c r="K132" s="70" t="s">
        <v>406</v>
      </c>
      <c r="L132" s="72" t="n">
        <v>0</v>
      </c>
      <c r="M132" s="73" t="n">
        <v>0.58806712962963</v>
      </c>
      <c r="N132" s="70" t="s">
        <v>481</v>
      </c>
      <c r="O132" s="70" t="s">
        <v>620</v>
      </c>
      <c r="P132" s="70" t="s">
        <v>621</v>
      </c>
      <c r="Q132" s="70" t="s">
        <v>622</v>
      </c>
      <c r="R132" s="75" t="n">
        <f aca="false">-H132</f>
        <v>2.8</v>
      </c>
    </row>
    <row r="133" customFormat="false" ht="15" hidden="false" customHeight="false" outlineLevel="0" collapsed="false">
      <c r="A133" s="70" t="s">
        <v>822</v>
      </c>
      <c r="B133" s="70" t="s">
        <v>322</v>
      </c>
      <c r="C133" s="70" t="s">
        <v>323</v>
      </c>
      <c r="D133" s="70" t="s">
        <v>522</v>
      </c>
      <c r="E133" s="70" t="s">
        <v>405</v>
      </c>
      <c r="F133" s="70" t="s">
        <v>189</v>
      </c>
      <c r="G133" s="71" t="n">
        <v>46292</v>
      </c>
      <c r="H133" s="72" t="n">
        <v>-22.4</v>
      </c>
      <c r="I133" s="70" t="s">
        <v>65</v>
      </c>
      <c r="J133" s="71" t="n">
        <v>46292</v>
      </c>
      <c r="K133" s="70" t="s">
        <v>406</v>
      </c>
      <c r="L133" s="72" t="n">
        <v>0</v>
      </c>
      <c r="M133" s="73" t="n">
        <v>0.677326388888889</v>
      </c>
      <c r="N133" s="70" t="s">
        <v>431</v>
      </c>
      <c r="O133" s="70" t="s">
        <v>823</v>
      </c>
      <c r="P133" s="70" t="s">
        <v>824</v>
      </c>
      <c r="Q133" s="70" t="s">
        <v>825</v>
      </c>
      <c r="R133" s="75" t="n">
        <f aca="false">-H133</f>
        <v>22.4</v>
      </c>
    </row>
    <row r="134" customFormat="false" ht="15" hidden="false" customHeight="false" outlineLevel="0" collapsed="false">
      <c r="A134" s="70" t="s">
        <v>826</v>
      </c>
      <c r="B134" s="70" t="s">
        <v>322</v>
      </c>
      <c r="C134" s="70" t="s">
        <v>323</v>
      </c>
      <c r="D134" s="70" t="s">
        <v>522</v>
      </c>
      <c r="E134" s="70" t="s">
        <v>405</v>
      </c>
      <c r="F134" s="70" t="s">
        <v>189</v>
      </c>
      <c r="G134" s="71" t="n">
        <v>46291</v>
      </c>
      <c r="H134" s="72" t="n">
        <v>-5.6</v>
      </c>
      <c r="I134" s="70" t="s">
        <v>65</v>
      </c>
      <c r="J134" s="71" t="n">
        <v>46292</v>
      </c>
      <c r="K134" s="70" t="s">
        <v>406</v>
      </c>
      <c r="L134" s="72" t="n">
        <v>0</v>
      </c>
      <c r="M134" s="73" t="n">
        <v>0.0297569444444444</v>
      </c>
      <c r="N134" s="70" t="s">
        <v>444</v>
      </c>
      <c r="O134" s="70" t="s">
        <v>827</v>
      </c>
      <c r="P134" s="70" t="s">
        <v>617</v>
      </c>
      <c r="Q134" s="70" t="s">
        <v>618</v>
      </c>
      <c r="R134" s="75" t="n">
        <f aca="false">-H134</f>
        <v>5.6</v>
      </c>
    </row>
    <row r="135" customFormat="false" ht="15" hidden="false" customHeight="false" outlineLevel="0" collapsed="false">
      <c r="A135" s="70" t="s">
        <v>828</v>
      </c>
      <c r="B135" s="70" t="s">
        <v>322</v>
      </c>
      <c r="C135" s="70" t="s">
        <v>323</v>
      </c>
      <c r="D135" s="70" t="s">
        <v>522</v>
      </c>
      <c r="E135" s="70" t="s">
        <v>405</v>
      </c>
      <c r="F135" s="70" t="s">
        <v>189</v>
      </c>
      <c r="G135" s="71" t="n">
        <v>46290</v>
      </c>
      <c r="H135" s="72" t="n">
        <v>-5.6</v>
      </c>
      <c r="I135" s="70" t="s">
        <v>65</v>
      </c>
      <c r="J135" s="71" t="n">
        <v>46290</v>
      </c>
      <c r="K135" s="70" t="s">
        <v>406</v>
      </c>
      <c r="L135" s="72" t="n">
        <v>0</v>
      </c>
      <c r="M135" s="73" t="n">
        <v>0.288541666666667</v>
      </c>
      <c r="N135" s="70" t="s">
        <v>431</v>
      </c>
      <c r="O135" s="70" t="s">
        <v>829</v>
      </c>
      <c r="P135" s="70" t="s">
        <v>830</v>
      </c>
      <c r="Q135" s="70" t="s">
        <v>831</v>
      </c>
      <c r="R135" s="75" t="n">
        <f aca="false">-H135</f>
        <v>5.6</v>
      </c>
    </row>
    <row r="136" customFormat="false" ht="15" hidden="false" customHeight="false" outlineLevel="0" collapsed="false">
      <c r="A136" s="70" t="s">
        <v>832</v>
      </c>
      <c r="B136" s="70" t="s">
        <v>322</v>
      </c>
      <c r="C136" s="70" t="s">
        <v>323</v>
      </c>
      <c r="D136" s="70" t="s">
        <v>522</v>
      </c>
      <c r="E136" s="70" t="s">
        <v>405</v>
      </c>
      <c r="F136" s="70" t="s">
        <v>189</v>
      </c>
      <c r="G136" s="71" t="n">
        <v>46290</v>
      </c>
      <c r="H136" s="72" t="n">
        <v>-42</v>
      </c>
      <c r="I136" s="70" t="s">
        <v>65</v>
      </c>
      <c r="J136" s="71" t="n">
        <v>46290</v>
      </c>
      <c r="K136" s="70" t="s">
        <v>406</v>
      </c>
      <c r="L136" s="72" t="n">
        <v>0</v>
      </c>
      <c r="M136" s="73" t="n">
        <v>0.441770833333333</v>
      </c>
      <c r="N136" s="70" t="s">
        <v>407</v>
      </c>
      <c r="O136" s="70" t="s">
        <v>833</v>
      </c>
      <c r="P136" s="70" t="s">
        <v>834</v>
      </c>
      <c r="Q136" s="70" t="s">
        <v>835</v>
      </c>
      <c r="R136" s="75" t="n">
        <f aca="false">-H136</f>
        <v>42</v>
      </c>
    </row>
    <row r="137" customFormat="false" ht="15" hidden="false" customHeight="false" outlineLevel="0" collapsed="false">
      <c r="A137" s="70" t="s">
        <v>836</v>
      </c>
      <c r="B137" s="70" t="s">
        <v>322</v>
      </c>
      <c r="C137" s="70" t="s">
        <v>323</v>
      </c>
      <c r="D137" s="70" t="s">
        <v>522</v>
      </c>
      <c r="E137" s="70" t="s">
        <v>405</v>
      </c>
      <c r="F137" s="70" t="s">
        <v>189</v>
      </c>
      <c r="G137" s="71" t="n">
        <v>46289</v>
      </c>
      <c r="H137" s="72" t="n">
        <v>-2.8</v>
      </c>
      <c r="I137" s="70" t="s">
        <v>65</v>
      </c>
      <c r="J137" s="71" t="n">
        <v>46289</v>
      </c>
      <c r="K137" s="70" t="s">
        <v>406</v>
      </c>
      <c r="L137" s="72" t="n">
        <v>0</v>
      </c>
      <c r="M137" s="73" t="n">
        <v>0.864768518518519</v>
      </c>
      <c r="N137" s="70" t="s">
        <v>481</v>
      </c>
      <c r="O137" s="70" t="s">
        <v>837</v>
      </c>
      <c r="P137" s="70" t="s">
        <v>838</v>
      </c>
      <c r="Q137" s="70" t="s">
        <v>839</v>
      </c>
      <c r="R137" s="75" t="n">
        <f aca="false">-H137</f>
        <v>2.8</v>
      </c>
    </row>
    <row r="138" customFormat="false" ht="15" hidden="false" customHeight="false" outlineLevel="0" collapsed="false">
      <c r="A138" s="70" t="s">
        <v>840</v>
      </c>
      <c r="B138" s="70" t="s">
        <v>322</v>
      </c>
      <c r="C138" s="70" t="s">
        <v>323</v>
      </c>
      <c r="D138" s="70" t="s">
        <v>522</v>
      </c>
      <c r="E138" s="70" t="s">
        <v>405</v>
      </c>
      <c r="F138" s="70" t="s">
        <v>189</v>
      </c>
      <c r="G138" s="71" t="n">
        <v>46289</v>
      </c>
      <c r="H138" s="72" t="n">
        <v>-5.6</v>
      </c>
      <c r="I138" s="70" t="s">
        <v>65</v>
      </c>
      <c r="J138" s="71" t="n">
        <v>46289</v>
      </c>
      <c r="K138" s="70" t="s">
        <v>406</v>
      </c>
      <c r="L138" s="72" t="n">
        <v>0</v>
      </c>
      <c r="M138" s="73" t="n">
        <v>0.860949074074074</v>
      </c>
      <c r="N138" s="70" t="s">
        <v>481</v>
      </c>
      <c r="O138" s="70" t="s">
        <v>841</v>
      </c>
      <c r="P138" s="70" t="s">
        <v>842</v>
      </c>
      <c r="Q138" s="70" t="s">
        <v>843</v>
      </c>
      <c r="R138" s="75" t="n">
        <f aca="false">-H138</f>
        <v>5.6</v>
      </c>
    </row>
    <row r="139" customFormat="false" ht="15" hidden="false" customHeight="false" outlineLevel="0" collapsed="false">
      <c r="A139" s="70" t="s">
        <v>605</v>
      </c>
      <c r="B139" s="70" t="s">
        <v>322</v>
      </c>
      <c r="C139" s="70" t="s">
        <v>323</v>
      </c>
      <c r="D139" s="70" t="s">
        <v>522</v>
      </c>
      <c r="E139" s="70" t="s">
        <v>405</v>
      </c>
      <c r="F139" s="70" t="s">
        <v>189</v>
      </c>
      <c r="G139" s="71" t="n">
        <v>46289</v>
      </c>
      <c r="H139" s="72" t="n">
        <v>-2.8</v>
      </c>
      <c r="I139" s="70" t="s">
        <v>65</v>
      </c>
      <c r="J139" s="71" t="n">
        <v>46289</v>
      </c>
      <c r="K139" s="70" t="s">
        <v>406</v>
      </c>
      <c r="L139" s="72" t="n">
        <v>0</v>
      </c>
      <c r="M139" s="73" t="n">
        <v>0.633460648148148</v>
      </c>
      <c r="N139" s="70" t="s">
        <v>481</v>
      </c>
      <c r="O139" s="70" t="s">
        <v>606</v>
      </c>
      <c r="P139" s="70" t="s">
        <v>607</v>
      </c>
      <c r="Q139" s="70" t="s">
        <v>608</v>
      </c>
      <c r="R139" s="75" t="n">
        <f aca="false">-H139</f>
        <v>2.8</v>
      </c>
    </row>
    <row r="140" customFormat="false" ht="15" hidden="false" customHeight="false" outlineLevel="0" collapsed="false">
      <c r="A140" s="70" t="s">
        <v>629</v>
      </c>
      <c r="B140" s="70" t="s">
        <v>322</v>
      </c>
      <c r="C140" s="70" t="s">
        <v>323</v>
      </c>
      <c r="D140" s="70" t="s">
        <v>522</v>
      </c>
      <c r="E140" s="70" t="s">
        <v>405</v>
      </c>
      <c r="F140" s="70" t="s">
        <v>189</v>
      </c>
      <c r="G140" s="71" t="n">
        <v>46289</v>
      </c>
      <c r="H140" s="72" t="n">
        <v>-28</v>
      </c>
      <c r="I140" s="70" t="s">
        <v>65</v>
      </c>
      <c r="J140" s="71" t="n">
        <v>46289</v>
      </c>
      <c r="K140" s="70" t="s">
        <v>406</v>
      </c>
      <c r="L140" s="72" t="n">
        <v>0</v>
      </c>
      <c r="M140" s="73" t="n">
        <v>0.560601851851852</v>
      </c>
      <c r="N140" s="70" t="s">
        <v>481</v>
      </c>
      <c r="O140" s="70" t="s">
        <v>630</v>
      </c>
      <c r="P140" s="70" t="s">
        <v>631</v>
      </c>
      <c r="Q140" s="70" t="s">
        <v>632</v>
      </c>
      <c r="R140" s="75" t="n">
        <f aca="false">-H140</f>
        <v>28</v>
      </c>
    </row>
    <row r="141" customFormat="false" ht="15" hidden="false" customHeight="false" outlineLevel="0" collapsed="false">
      <c r="A141" s="70" t="s">
        <v>701</v>
      </c>
      <c r="B141" s="70" t="s">
        <v>322</v>
      </c>
      <c r="C141" s="70" t="s">
        <v>323</v>
      </c>
      <c r="D141" s="70" t="s">
        <v>522</v>
      </c>
      <c r="E141" s="70" t="s">
        <v>405</v>
      </c>
      <c r="F141" s="70" t="s">
        <v>189</v>
      </c>
      <c r="G141" s="71" t="n">
        <v>46288</v>
      </c>
      <c r="H141" s="72" t="n">
        <v>-5.6</v>
      </c>
      <c r="I141" s="70" t="s">
        <v>65</v>
      </c>
      <c r="J141" s="71" t="n">
        <v>46288</v>
      </c>
      <c r="K141" s="70" t="s">
        <v>406</v>
      </c>
      <c r="L141" s="72" t="n">
        <v>0</v>
      </c>
      <c r="M141" s="73" t="n">
        <v>0.273090277777778</v>
      </c>
      <c r="N141" s="70" t="s">
        <v>444</v>
      </c>
      <c r="O141" s="70" t="s">
        <v>702</v>
      </c>
      <c r="P141" s="70" t="s">
        <v>703</v>
      </c>
      <c r="Q141" s="70" t="s">
        <v>704</v>
      </c>
      <c r="R141" s="75" t="n">
        <f aca="false">-H141</f>
        <v>5.6</v>
      </c>
    </row>
    <row r="142" customFormat="false" ht="15" hidden="false" customHeight="false" outlineLevel="0" collapsed="false">
      <c r="A142" s="70" t="s">
        <v>844</v>
      </c>
      <c r="B142" s="70" t="s">
        <v>322</v>
      </c>
      <c r="C142" s="70" t="s">
        <v>323</v>
      </c>
      <c r="D142" s="70" t="s">
        <v>522</v>
      </c>
      <c r="E142" s="70" t="s">
        <v>405</v>
      </c>
      <c r="F142" s="70" t="s">
        <v>189</v>
      </c>
      <c r="G142" s="71" t="n">
        <v>46288</v>
      </c>
      <c r="H142" s="72" t="n">
        <v>-14</v>
      </c>
      <c r="I142" s="70" t="s">
        <v>65</v>
      </c>
      <c r="J142" s="71" t="n">
        <v>46288</v>
      </c>
      <c r="K142" s="70" t="s">
        <v>406</v>
      </c>
      <c r="L142" s="72" t="n">
        <v>0</v>
      </c>
      <c r="M142" s="73" t="n">
        <v>0.291168981481482</v>
      </c>
      <c r="N142" s="70" t="s">
        <v>444</v>
      </c>
      <c r="O142" s="70" t="s">
        <v>845</v>
      </c>
      <c r="P142" s="70" t="s">
        <v>744</v>
      </c>
      <c r="Q142" s="70" t="s">
        <v>745</v>
      </c>
      <c r="R142" s="75" t="n">
        <f aca="false">-H142</f>
        <v>14</v>
      </c>
    </row>
    <row r="143" customFormat="false" ht="15" hidden="false" customHeight="false" outlineLevel="0" collapsed="false">
      <c r="A143" s="70" t="s">
        <v>846</v>
      </c>
      <c r="B143" s="70" t="s">
        <v>322</v>
      </c>
      <c r="C143" s="70" t="s">
        <v>323</v>
      </c>
      <c r="D143" s="70" t="s">
        <v>522</v>
      </c>
      <c r="E143" s="70" t="s">
        <v>405</v>
      </c>
      <c r="F143" s="70" t="s">
        <v>189</v>
      </c>
      <c r="G143" s="71" t="n">
        <v>46287</v>
      </c>
      <c r="H143" s="72" t="n">
        <v>-42</v>
      </c>
      <c r="I143" s="70" t="s">
        <v>65</v>
      </c>
      <c r="J143" s="71" t="n">
        <v>46287</v>
      </c>
      <c r="K143" s="70" t="s">
        <v>406</v>
      </c>
      <c r="L143" s="72" t="n">
        <v>0</v>
      </c>
      <c r="M143" s="73" t="n">
        <v>0.279965277777778</v>
      </c>
      <c r="N143" s="70" t="s">
        <v>407</v>
      </c>
      <c r="O143" s="70" t="s">
        <v>847</v>
      </c>
      <c r="P143" s="70" t="s">
        <v>848</v>
      </c>
      <c r="Q143" s="70" t="s">
        <v>849</v>
      </c>
      <c r="R143" s="75" t="n">
        <f aca="false">-H143</f>
        <v>42</v>
      </c>
    </row>
    <row r="144" customFormat="false" ht="15" hidden="false" customHeight="false" outlineLevel="0" collapsed="false">
      <c r="A144" s="70" t="s">
        <v>637</v>
      </c>
      <c r="B144" s="70" t="s">
        <v>322</v>
      </c>
      <c r="C144" s="70" t="s">
        <v>323</v>
      </c>
      <c r="D144" s="70" t="s">
        <v>522</v>
      </c>
      <c r="E144" s="70" t="s">
        <v>405</v>
      </c>
      <c r="F144" s="70" t="s">
        <v>189</v>
      </c>
      <c r="G144" s="71" t="n">
        <v>46286</v>
      </c>
      <c r="H144" s="72" t="n">
        <v>-2.8</v>
      </c>
      <c r="I144" s="70" t="s">
        <v>65</v>
      </c>
      <c r="J144" s="71" t="n">
        <v>46286</v>
      </c>
      <c r="K144" s="70" t="s">
        <v>406</v>
      </c>
      <c r="L144" s="72" t="n">
        <v>0</v>
      </c>
      <c r="M144" s="73" t="n">
        <v>0.486157407407407</v>
      </c>
      <c r="N144" s="70" t="s">
        <v>481</v>
      </c>
      <c r="O144" s="70" t="s">
        <v>638</v>
      </c>
      <c r="P144" s="70" t="s">
        <v>639</v>
      </c>
      <c r="Q144" s="70" t="s">
        <v>640</v>
      </c>
      <c r="R144" s="75" t="n">
        <f aca="false">-H144</f>
        <v>2.8</v>
      </c>
    </row>
    <row r="145" customFormat="false" ht="15" hidden="false" customHeight="false" outlineLevel="0" collapsed="false">
      <c r="A145" s="70" t="s">
        <v>641</v>
      </c>
      <c r="B145" s="70" t="s">
        <v>322</v>
      </c>
      <c r="C145" s="70" t="s">
        <v>323</v>
      </c>
      <c r="D145" s="70" t="s">
        <v>522</v>
      </c>
      <c r="E145" s="70" t="s">
        <v>405</v>
      </c>
      <c r="F145" s="70" t="s">
        <v>189</v>
      </c>
      <c r="G145" s="71" t="n">
        <v>46286</v>
      </c>
      <c r="H145" s="72" t="n">
        <v>-5.6</v>
      </c>
      <c r="I145" s="70" t="s">
        <v>65</v>
      </c>
      <c r="J145" s="71" t="n">
        <v>46286</v>
      </c>
      <c r="K145" s="70" t="s">
        <v>406</v>
      </c>
      <c r="L145" s="72" t="n">
        <v>0</v>
      </c>
      <c r="M145" s="73" t="n">
        <v>0.517118055555556</v>
      </c>
      <c r="N145" s="70" t="s">
        <v>481</v>
      </c>
      <c r="O145" s="70" t="s">
        <v>642</v>
      </c>
      <c r="P145" s="70" t="s">
        <v>585</v>
      </c>
      <c r="Q145" s="70" t="s">
        <v>586</v>
      </c>
      <c r="R145" s="75" t="n">
        <f aca="false">-H145</f>
        <v>5.6</v>
      </c>
    </row>
    <row r="146" customFormat="false" ht="15" hidden="false" customHeight="false" outlineLevel="0" collapsed="false">
      <c r="A146" s="70" t="s">
        <v>727</v>
      </c>
      <c r="B146" s="70" t="s">
        <v>322</v>
      </c>
      <c r="C146" s="70" t="s">
        <v>323</v>
      </c>
      <c r="D146" s="70" t="s">
        <v>522</v>
      </c>
      <c r="E146" s="70" t="s">
        <v>405</v>
      </c>
      <c r="F146" s="70" t="s">
        <v>189</v>
      </c>
      <c r="G146" s="71" t="n">
        <v>46286</v>
      </c>
      <c r="H146" s="72" t="n">
        <v>-56</v>
      </c>
      <c r="I146" s="70" t="s">
        <v>65</v>
      </c>
      <c r="J146" s="71" t="n">
        <v>46286</v>
      </c>
      <c r="K146" s="70" t="s">
        <v>406</v>
      </c>
      <c r="L146" s="72" t="n">
        <v>0</v>
      </c>
      <c r="M146" s="73" t="n">
        <v>0.653136574074074</v>
      </c>
      <c r="N146" s="70" t="s">
        <v>481</v>
      </c>
      <c r="O146" s="70" t="s">
        <v>728</v>
      </c>
      <c r="P146" s="70" t="s">
        <v>593</v>
      </c>
      <c r="Q146" s="70" t="s">
        <v>594</v>
      </c>
      <c r="R146" s="75" t="n">
        <f aca="false">-H146</f>
        <v>56</v>
      </c>
    </row>
    <row r="147" customFormat="false" ht="15" hidden="false" customHeight="false" outlineLevel="0" collapsed="false">
      <c r="A147" s="70" t="s">
        <v>725</v>
      </c>
      <c r="B147" s="70" t="s">
        <v>322</v>
      </c>
      <c r="C147" s="70" t="s">
        <v>323</v>
      </c>
      <c r="D147" s="70" t="s">
        <v>522</v>
      </c>
      <c r="E147" s="70" t="s">
        <v>405</v>
      </c>
      <c r="F147" s="70" t="s">
        <v>189</v>
      </c>
      <c r="G147" s="71" t="n">
        <v>46286</v>
      </c>
      <c r="H147" s="72" t="n">
        <v>-2.8</v>
      </c>
      <c r="I147" s="70" t="s">
        <v>65</v>
      </c>
      <c r="J147" s="71" t="n">
        <v>46286</v>
      </c>
      <c r="K147" s="70" t="s">
        <v>406</v>
      </c>
      <c r="L147" s="72" t="n">
        <v>0</v>
      </c>
      <c r="M147" s="73" t="n">
        <v>0.431643518518519</v>
      </c>
      <c r="N147" s="70" t="s">
        <v>407</v>
      </c>
      <c r="O147" s="70" t="s">
        <v>726</v>
      </c>
      <c r="P147" s="70" t="s">
        <v>589</v>
      </c>
      <c r="Q147" s="70" t="s">
        <v>590</v>
      </c>
      <c r="R147" s="75" t="n">
        <f aca="false">-H147</f>
        <v>2.8</v>
      </c>
    </row>
    <row r="148" customFormat="false" ht="15" hidden="false" customHeight="false" outlineLevel="0" collapsed="false">
      <c r="A148" s="70" t="s">
        <v>721</v>
      </c>
      <c r="B148" s="70" t="s">
        <v>322</v>
      </c>
      <c r="C148" s="70" t="s">
        <v>323</v>
      </c>
      <c r="D148" s="70" t="s">
        <v>522</v>
      </c>
      <c r="E148" s="70" t="s">
        <v>405</v>
      </c>
      <c r="F148" s="70" t="s">
        <v>189</v>
      </c>
      <c r="G148" s="71" t="n">
        <v>46286</v>
      </c>
      <c r="H148" s="72" t="n">
        <v>-5.6</v>
      </c>
      <c r="I148" s="70" t="s">
        <v>65</v>
      </c>
      <c r="J148" s="71" t="n">
        <v>46286</v>
      </c>
      <c r="K148" s="70" t="s">
        <v>406</v>
      </c>
      <c r="L148" s="72" t="n">
        <v>0</v>
      </c>
      <c r="M148" s="73" t="n">
        <v>0.946585648148148</v>
      </c>
      <c r="N148" s="70" t="s">
        <v>481</v>
      </c>
      <c r="O148" s="70" t="s">
        <v>722</v>
      </c>
      <c r="P148" s="70" t="s">
        <v>723</v>
      </c>
      <c r="Q148" s="70" t="s">
        <v>724</v>
      </c>
      <c r="R148" s="75" t="n">
        <f aca="false">-H148</f>
        <v>5.6</v>
      </c>
    </row>
    <row r="149" customFormat="false" ht="15" hidden="false" customHeight="false" outlineLevel="0" collapsed="false">
      <c r="A149" s="70" t="s">
        <v>643</v>
      </c>
      <c r="B149" s="70" t="s">
        <v>322</v>
      </c>
      <c r="C149" s="70" t="s">
        <v>323</v>
      </c>
      <c r="D149" s="70" t="s">
        <v>522</v>
      </c>
      <c r="E149" s="70" t="s">
        <v>405</v>
      </c>
      <c r="F149" s="70" t="s">
        <v>189</v>
      </c>
      <c r="G149" s="71" t="n">
        <v>46285</v>
      </c>
      <c r="H149" s="72" t="n">
        <v>-8.4</v>
      </c>
      <c r="I149" s="70" t="s">
        <v>65</v>
      </c>
      <c r="J149" s="71" t="n">
        <v>46286</v>
      </c>
      <c r="K149" s="70" t="s">
        <v>406</v>
      </c>
      <c r="L149" s="72" t="n">
        <v>0</v>
      </c>
      <c r="M149" s="73" t="n">
        <v>0.0589236111111111</v>
      </c>
      <c r="N149" s="70" t="s">
        <v>407</v>
      </c>
      <c r="O149" s="70" t="s">
        <v>644</v>
      </c>
      <c r="P149" s="70" t="s">
        <v>645</v>
      </c>
      <c r="Q149" s="70" t="s">
        <v>646</v>
      </c>
      <c r="R149" s="75" t="n">
        <f aca="false">-H149</f>
        <v>8.4</v>
      </c>
    </row>
    <row r="150" customFormat="false" ht="15" hidden="false" customHeight="false" outlineLevel="0" collapsed="false">
      <c r="A150" s="70" t="s">
        <v>659</v>
      </c>
      <c r="B150" s="70" t="s">
        <v>322</v>
      </c>
      <c r="C150" s="70" t="s">
        <v>323</v>
      </c>
      <c r="D150" s="70" t="s">
        <v>522</v>
      </c>
      <c r="E150" s="70" t="s">
        <v>405</v>
      </c>
      <c r="F150" s="70" t="s">
        <v>189</v>
      </c>
      <c r="G150" s="71" t="n">
        <v>46284</v>
      </c>
      <c r="H150" s="72" t="n">
        <v>-5.6</v>
      </c>
      <c r="I150" s="70" t="s">
        <v>65</v>
      </c>
      <c r="J150" s="71" t="n">
        <v>46284</v>
      </c>
      <c r="K150" s="70" t="s">
        <v>406</v>
      </c>
      <c r="L150" s="72" t="n">
        <v>0</v>
      </c>
      <c r="M150" s="73" t="n">
        <v>0.31724537037037</v>
      </c>
      <c r="N150" s="70" t="s">
        <v>523</v>
      </c>
      <c r="O150" s="70" t="s">
        <v>660</v>
      </c>
      <c r="P150" s="70" t="s">
        <v>553</v>
      </c>
      <c r="Q150" s="70" t="s">
        <v>554</v>
      </c>
      <c r="R150" s="75" t="n">
        <f aca="false">-H150</f>
        <v>5.6</v>
      </c>
    </row>
    <row r="151" customFormat="false" ht="15" hidden="false" customHeight="false" outlineLevel="0" collapsed="false">
      <c r="A151" s="70" t="s">
        <v>737</v>
      </c>
      <c r="B151" s="70" t="s">
        <v>322</v>
      </c>
      <c r="C151" s="70" t="s">
        <v>323</v>
      </c>
      <c r="D151" s="70" t="s">
        <v>522</v>
      </c>
      <c r="E151" s="70" t="s">
        <v>405</v>
      </c>
      <c r="F151" s="70" t="s">
        <v>189</v>
      </c>
      <c r="G151" s="71" t="n">
        <v>46284</v>
      </c>
      <c r="H151" s="72" t="n">
        <v>-11.2</v>
      </c>
      <c r="I151" s="70" t="s">
        <v>65</v>
      </c>
      <c r="J151" s="71" t="n">
        <v>46284</v>
      </c>
      <c r="K151" s="70" t="s">
        <v>406</v>
      </c>
      <c r="L151" s="72" t="n">
        <v>0</v>
      </c>
      <c r="M151" s="73" t="n">
        <v>0.589618055555556</v>
      </c>
      <c r="N151" s="70" t="s">
        <v>431</v>
      </c>
      <c r="O151" s="70" t="s">
        <v>738</v>
      </c>
      <c r="P151" s="70" t="s">
        <v>573</v>
      </c>
      <c r="Q151" s="70" t="s">
        <v>574</v>
      </c>
      <c r="R151" s="75" t="n">
        <f aca="false">-H151</f>
        <v>11.2</v>
      </c>
    </row>
    <row r="152" customFormat="false" ht="15" hidden="false" customHeight="false" outlineLevel="0" collapsed="false">
      <c r="A152" s="70" t="s">
        <v>850</v>
      </c>
      <c r="B152" s="70" t="s">
        <v>322</v>
      </c>
      <c r="C152" s="70" t="s">
        <v>323</v>
      </c>
      <c r="D152" s="70" t="s">
        <v>522</v>
      </c>
      <c r="E152" s="70" t="s">
        <v>405</v>
      </c>
      <c r="F152" s="70" t="s">
        <v>189</v>
      </c>
      <c r="G152" s="71" t="n">
        <v>46284</v>
      </c>
      <c r="H152" s="72" t="n">
        <v>-5.6</v>
      </c>
      <c r="I152" s="70" t="s">
        <v>65</v>
      </c>
      <c r="J152" s="71" t="n">
        <v>46284</v>
      </c>
      <c r="K152" s="70" t="s">
        <v>406</v>
      </c>
      <c r="L152" s="72" t="n">
        <v>0</v>
      </c>
      <c r="M152" s="73" t="n">
        <v>0.649166666666667</v>
      </c>
      <c r="N152" s="70" t="s">
        <v>431</v>
      </c>
      <c r="O152" s="70" t="s">
        <v>851</v>
      </c>
      <c r="P152" s="70" t="s">
        <v>852</v>
      </c>
      <c r="Q152" s="70" t="s">
        <v>853</v>
      </c>
      <c r="R152" s="75" t="n">
        <f aca="false">-H152</f>
        <v>5.6</v>
      </c>
    </row>
    <row r="153" customFormat="false" ht="15" hidden="false" customHeight="false" outlineLevel="0" collapsed="false">
      <c r="A153" s="70" t="s">
        <v>661</v>
      </c>
      <c r="B153" s="70" t="s">
        <v>322</v>
      </c>
      <c r="C153" s="70" t="s">
        <v>323</v>
      </c>
      <c r="D153" s="70" t="s">
        <v>522</v>
      </c>
      <c r="E153" s="70" t="s">
        <v>405</v>
      </c>
      <c r="F153" s="70" t="s">
        <v>189</v>
      </c>
      <c r="G153" s="71" t="n">
        <v>46284</v>
      </c>
      <c r="H153" s="72" t="n">
        <v>-5.6</v>
      </c>
      <c r="I153" s="70" t="s">
        <v>65</v>
      </c>
      <c r="J153" s="71" t="n">
        <v>46284</v>
      </c>
      <c r="K153" s="70" t="s">
        <v>406</v>
      </c>
      <c r="L153" s="72" t="n">
        <v>0</v>
      </c>
      <c r="M153" s="73" t="n">
        <v>0.237453703703704</v>
      </c>
      <c r="N153" s="70" t="s">
        <v>523</v>
      </c>
      <c r="O153" s="70" t="s">
        <v>662</v>
      </c>
      <c r="P153" s="70" t="s">
        <v>663</v>
      </c>
      <c r="Q153" s="70" t="s">
        <v>664</v>
      </c>
      <c r="R153" s="75" t="n">
        <f aca="false">-H153</f>
        <v>5.6</v>
      </c>
    </row>
    <row r="154" customFormat="false" ht="15" hidden="false" customHeight="false" outlineLevel="0" collapsed="false">
      <c r="A154" s="70" t="s">
        <v>731</v>
      </c>
      <c r="B154" s="70" t="s">
        <v>322</v>
      </c>
      <c r="C154" s="70" t="s">
        <v>323</v>
      </c>
      <c r="D154" s="70" t="s">
        <v>522</v>
      </c>
      <c r="E154" s="70" t="s">
        <v>405</v>
      </c>
      <c r="F154" s="70" t="s">
        <v>189</v>
      </c>
      <c r="G154" s="71" t="n">
        <v>46284</v>
      </c>
      <c r="H154" s="72" t="n">
        <v>-2.8</v>
      </c>
      <c r="I154" s="70" t="s">
        <v>65</v>
      </c>
      <c r="J154" s="71" t="n">
        <v>46284</v>
      </c>
      <c r="K154" s="70" t="s">
        <v>406</v>
      </c>
      <c r="L154" s="72" t="n">
        <v>0</v>
      </c>
      <c r="M154" s="73" t="n">
        <v>0.990625</v>
      </c>
      <c r="N154" s="70" t="s">
        <v>444</v>
      </c>
      <c r="O154" s="70" t="s">
        <v>732</v>
      </c>
      <c r="P154" s="70" t="s">
        <v>581</v>
      </c>
      <c r="Q154" s="70" t="s">
        <v>582</v>
      </c>
      <c r="R154" s="75" t="n">
        <f aca="false">-H154</f>
        <v>2.8</v>
      </c>
    </row>
    <row r="155" customFormat="false" ht="15" hidden="false" customHeight="false" outlineLevel="0" collapsed="false">
      <c r="A155" s="70" t="s">
        <v>854</v>
      </c>
      <c r="B155" s="70" t="s">
        <v>322</v>
      </c>
      <c r="C155" s="70" t="s">
        <v>323</v>
      </c>
      <c r="D155" s="70" t="s">
        <v>522</v>
      </c>
      <c r="E155" s="70" t="s">
        <v>405</v>
      </c>
      <c r="F155" s="70" t="s">
        <v>189</v>
      </c>
      <c r="G155" s="71" t="n">
        <v>46284</v>
      </c>
      <c r="H155" s="72" t="n">
        <v>-2.8</v>
      </c>
      <c r="I155" s="70" t="s">
        <v>65</v>
      </c>
      <c r="J155" s="71" t="n">
        <v>46284</v>
      </c>
      <c r="K155" s="70" t="s">
        <v>406</v>
      </c>
      <c r="L155" s="72" t="n">
        <v>0</v>
      </c>
      <c r="M155" s="73" t="n">
        <v>0.990277777777778</v>
      </c>
      <c r="N155" s="70" t="s">
        <v>444</v>
      </c>
      <c r="O155" s="70" t="s">
        <v>855</v>
      </c>
      <c r="P155" s="70" t="s">
        <v>856</v>
      </c>
      <c r="Q155" s="70" t="s">
        <v>857</v>
      </c>
      <c r="R155" s="75" t="n">
        <f aca="false">-H155</f>
        <v>2.8</v>
      </c>
    </row>
    <row r="156" customFormat="false" ht="15" hidden="false" customHeight="false" outlineLevel="0" collapsed="false">
      <c r="A156" s="70" t="s">
        <v>858</v>
      </c>
      <c r="B156" s="70" t="s">
        <v>322</v>
      </c>
      <c r="C156" s="70" t="s">
        <v>323</v>
      </c>
      <c r="D156" s="70" t="s">
        <v>522</v>
      </c>
      <c r="E156" s="70" t="s">
        <v>405</v>
      </c>
      <c r="F156" s="70" t="s">
        <v>189</v>
      </c>
      <c r="G156" s="71" t="n">
        <v>46284</v>
      </c>
      <c r="H156" s="72" t="n">
        <v>-11.2</v>
      </c>
      <c r="I156" s="70" t="s">
        <v>65</v>
      </c>
      <c r="J156" s="71" t="n">
        <v>46284</v>
      </c>
      <c r="K156" s="70" t="s">
        <v>406</v>
      </c>
      <c r="L156" s="72" t="n">
        <v>0</v>
      </c>
      <c r="M156" s="73" t="n">
        <v>0.989907407407408</v>
      </c>
      <c r="N156" s="70" t="s">
        <v>444</v>
      </c>
      <c r="O156" s="70" t="s">
        <v>859</v>
      </c>
      <c r="P156" s="70" t="s">
        <v>860</v>
      </c>
      <c r="Q156" s="70" t="s">
        <v>861</v>
      </c>
      <c r="R156" s="75" t="n">
        <f aca="false">-H156</f>
        <v>11.2</v>
      </c>
    </row>
    <row r="157" customFormat="false" ht="15" hidden="false" customHeight="false" outlineLevel="0" collapsed="false">
      <c r="A157" s="70" t="s">
        <v>733</v>
      </c>
      <c r="B157" s="70" t="s">
        <v>322</v>
      </c>
      <c r="C157" s="70" t="s">
        <v>323</v>
      </c>
      <c r="D157" s="70" t="s">
        <v>522</v>
      </c>
      <c r="E157" s="70" t="s">
        <v>405</v>
      </c>
      <c r="F157" s="70" t="s">
        <v>189</v>
      </c>
      <c r="G157" s="71" t="n">
        <v>46284</v>
      </c>
      <c r="H157" s="72" t="n">
        <v>-5.6</v>
      </c>
      <c r="I157" s="70" t="s">
        <v>65</v>
      </c>
      <c r="J157" s="71" t="n">
        <v>46284</v>
      </c>
      <c r="K157" s="70" t="s">
        <v>406</v>
      </c>
      <c r="L157" s="72" t="n">
        <v>0</v>
      </c>
      <c r="M157" s="73" t="n">
        <v>0.989756944444444</v>
      </c>
      <c r="N157" s="70" t="s">
        <v>444</v>
      </c>
      <c r="O157" s="70" t="s">
        <v>734</v>
      </c>
      <c r="P157" s="70" t="s">
        <v>735</v>
      </c>
      <c r="Q157" s="70" t="s">
        <v>736</v>
      </c>
      <c r="R157" s="75" t="n">
        <f aca="false">-H157</f>
        <v>5.6</v>
      </c>
    </row>
    <row r="158" customFormat="false" ht="15" hidden="false" customHeight="false" outlineLevel="0" collapsed="false">
      <c r="A158" s="70" t="s">
        <v>655</v>
      </c>
      <c r="B158" s="70" t="s">
        <v>322</v>
      </c>
      <c r="C158" s="70" t="s">
        <v>323</v>
      </c>
      <c r="D158" s="70" t="s">
        <v>522</v>
      </c>
      <c r="E158" s="70" t="s">
        <v>405</v>
      </c>
      <c r="F158" s="70" t="s">
        <v>189</v>
      </c>
      <c r="G158" s="71" t="n">
        <v>46284</v>
      </c>
      <c r="H158" s="72" t="n">
        <v>-16.8</v>
      </c>
      <c r="I158" s="70" t="s">
        <v>65</v>
      </c>
      <c r="J158" s="71" t="n">
        <v>46284</v>
      </c>
      <c r="K158" s="70" t="s">
        <v>406</v>
      </c>
      <c r="L158" s="72" t="n">
        <v>0</v>
      </c>
      <c r="M158" s="73" t="n">
        <v>0.81255787037037</v>
      </c>
      <c r="N158" s="70" t="s">
        <v>431</v>
      </c>
      <c r="O158" s="70" t="s">
        <v>656</v>
      </c>
      <c r="P158" s="70" t="s">
        <v>657</v>
      </c>
      <c r="Q158" s="70" t="s">
        <v>658</v>
      </c>
      <c r="R158" s="75" t="n">
        <f aca="false">-H158</f>
        <v>16.8</v>
      </c>
    </row>
    <row r="159" customFormat="false" ht="15" hidden="false" customHeight="false" outlineLevel="0" collapsed="false">
      <c r="A159" s="70" t="s">
        <v>862</v>
      </c>
      <c r="B159" s="70" t="s">
        <v>322</v>
      </c>
      <c r="C159" s="70" t="s">
        <v>323</v>
      </c>
      <c r="D159" s="70" t="s">
        <v>522</v>
      </c>
      <c r="E159" s="70" t="s">
        <v>405</v>
      </c>
      <c r="F159" s="70" t="s">
        <v>189</v>
      </c>
      <c r="G159" s="71" t="n">
        <v>46283</v>
      </c>
      <c r="H159" s="72" t="n">
        <v>-2.8</v>
      </c>
      <c r="I159" s="70" t="s">
        <v>65</v>
      </c>
      <c r="J159" s="71" t="n">
        <v>46284</v>
      </c>
      <c r="K159" s="70" t="s">
        <v>406</v>
      </c>
      <c r="L159" s="72" t="n">
        <v>0</v>
      </c>
      <c r="M159" s="73" t="n">
        <v>0.151956018518519</v>
      </c>
      <c r="N159" s="70" t="s">
        <v>444</v>
      </c>
      <c r="O159" s="70" t="s">
        <v>863</v>
      </c>
      <c r="P159" s="70" t="s">
        <v>864</v>
      </c>
      <c r="Q159" s="70" t="s">
        <v>865</v>
      </c>
      <c r="R159" s="75" t="n">
        <f aca="false">-H159</f>
        <v>2.8</v>
      </c>
    </row>
    <row r="160" customFormat="false" ht="15" hidden="false" customHeight="false" outlineLevel="0" collapsed="false">
      <c r="A160" s="70" t="s">
        <v>866</v>
      </c>
      <c r="B160" s="70" t="s">
        <v>322</v>
      </c>
      <c r="C160" s="70" t="s">
        <v>323</v>
      </c>
      <c r="D160" s="70" t="s">
        <v>522</v>
      </c>
      <c r="E160" s="70" t="s">
        <v>405</v>
      </c>
      <c r="F160" s="70" t="s">
        <v>189</v>
      </c>
      <c r="G160" s="71" t="n">
        <v>46282</v>
      </c>
      <c r="H160" s="72" t="n">
        <v>-5.6</v>
      </c>
      <c r="I160" s="70" t="s">
        <v>65</v>
      </c>
      <c r="J160" s="71" t="n">
        <v>46282</v>
      </c>
      <c r="K160" s="70" t="s">
        <v>406</v>
      </c>
      <c r="L160" s="72" t="n">
        <v>0</v>
      </c>
      <c r="M160" s="73" t="n">
        <v>0.315347222222222</v>
      </c>
      <c r="N160" s="70" t="s">
        <v>407</v>
      </c>
      <c r="O160" s="70" t="s">
        <v>867</v>
      </c>
      <c r="P160" s="70" t="s">
        <v>868</v>
      </c>
      <c r="Q160" s="70" t="s">
        <v>869</v>
      </c>
      <c r="R160" s="75" t="n">
        <f aca="false">-H160</f>
        <v>5.6</v>
      </c>
    </row>
    <row r="161" customFormat="false" ht="15" hidden="false" customHeight="false" outlineLevel="0" collapsed="false">
      <c r="A161" s="70" t="s">
        <v>870</v>
      </c>
      <c r="B161" s="70" t="s">
        <v>322</v>
      </c>
      <c r="C161" s="70" t="s">
        <v>323</v>
      </c>
      <c r="D161" s="70" t="s">
        <v>522</v>
      </c>
      <c r="E161" s="70" t="s">
        <v>405</v>
      </c>
      <c r="F161" s="70" t="s">
        <v>189</v>
      </c>
      <c r="G161" s="71" t="n">
        <v>46282</v>
      </c>
      <c r="H161" s="72" t="n">
        <v>-2.8</v>
      </c>
      <c r="I161" s="70" t="s">
        <v>65</v>
      </c>
      <c r="J161" s="71" t="n">
        <v>46282</v>
      </c>
      <c r="K161" s="70" t="s">
        <v>406</v>
      </c>
      <c r="L161" s="72" t="n">
        <v>0</v>
      </c>
      <c r="M161" s="73" t="n">
        <v>0.867731481481482</v>
      </c>
      <c r="N161" s="70" t="s">
        <v>481</v>
      </c>
      <c r="O161" s="70" t="s">
        <v>871</v>
      </c>
      <c r="P161" s="70" t="s">
        <v>872</v>
      </c>
      <c r="Q161" s="70" t="s">
        <v>873</v>
      </c>
      <c r="R161" s="75" t="n">
        <f aca="false">-H161</f>
        <v>2.8</v>
      </c>
    </row>
    <row r="162" customFormat="false" ht="15" hidden="false" customHeight="false" outlineLevel="0" collapsed="false">
      <c r="A162" s="70" t="s">
        <v>874</v>
      </c>
      <c r="B162" s="70" t="s">
        <v>322</v>
      </c>
      <c r="C162" s="70" t="s">
        <v>323</v>
      </c>
      <c r="D162" s="70" t="s">
        <v>522</v>
      </c>
      <c r="E162" s="70" t="s">
        <v>405</v>
      </c>
      <c r="F162" s="70" t="s">
        <v>189</v>
      </c>
      <c r="G162" s="71" t="n">
        <v>46282</v>
      </c>
      <c r="H162" s="72" t="n">
        <v>-5.6</v>
      </c>
      <c r="I162" s="70" t="s">
        <v>65</v>
      </c>
      <c r="J162" s="71" t="n">
        <v>46282</v>
      </c>
      <c r="K162" s="70" t="s">
        <v>406</v>
      </c>
      <c r="L162" s="72" t="n">
        <v>0</v>
      </c>
      <c r="M162" s="73" t="n">
        <v>0.914826388888889</v>
      </c>
      <c r="N162" s="70" t="s">
        <v>481</v>
      </c>
      <c r="O162" s="70" t="s">
        <v>875</v>
      </c>
      <c r="P162" s="70" t="s">
        <v>876</v>
      </c>
      <c r="Q162" s="70" t="s">
        <v>877</v>
      </c>
      <c r="R162" s="75" t="n">
        <f aca="false">-H162</f>
        <v>5.6</v>
      </c>
    </row>
    <row r="163" customFormat="false" ht="15" hidden="false" customHeight="false" outlineLevel="0" collapsed="false">
      <c r="A163" s="70" t="s">
        <v>878</v>
      </c>
      <c r="B163" s="70" t="s">
        <v>322</v>
      </c>
      <c r="C163" s="70" t="s">
        <v>323</v>
      </c>
      <c r="D163" s="70" t="s">
        <v>522</v>
      </c>
      <c r="E163" s="70" t="s">
        <v>405</v>
      </c>
      <c r="F163" s="70" t="s">
        <v>189</v>
      </c>
      <c r="G163" s="71" t="n">
        <v>46282</v>
      </c>
      <c r="H163" s="72" t="n">
        <v>-28</v>
      </c>
      <c r="I163" s="70" t="s">
        <v>65</v>
      </c>
      <c r="J163" s="71" t="n">
        <v>46282</v>
      </c>
      <c r="K163" s="70" t="s">
        <v>406</v>
      </c>
      <c r="L163" s="72" t="n">
        <v>0</v>
      </c>
      <c r="M163" s="73" t="n">
        <v>0.869363425925926</v>
      </c>
      <c r="N163" s="70" t="s">
        <v>481</v>
      </c>
      <c r="O163" s="70" t="s">
        <v>879</v>
      </c>
      <c r="P163" s="70" t="s">
        <v>603</v>
      </c>
      <c r="Q163" s="70" t="s">
        <v>604</v>
      </c>
      <c r="R163" s="75" t="n">
        <f aca="false">-H163</f>
        <v>28</v>
      </c>
    </row>
    <row r="164" customFormat="false" ht="15" hidden="false" customHeight="false" outlineLevel="0" collapsed="false">
      <c r="A164" s="70" t="s">
        <v>677</v>
      </c>
      <c r="B164" s="70" t="s">
        <v>322</v>
      </c>
      <c r="C164" s="70" t="s">
        <v>323</v>
      </c>
      <c r="D164" s="70" t="s">
        <v>522</v>
      </c>
      <c r="E164" s="70" t="s">
        <v>405</v>
      </c>
      <c r="F164" s="70" t="s">
        <v>189</v>
      </c>
      <c r="G164" s="71" t="n">
        <v>46279</v>
      </c>
      <c r="H164" s="72" t="n">
        <v>-2.8</v>
      </c>
      <c r="I164" s="70" t="s">
        <v>65</v>
      </c>
      <c r="J164" s="71" t="n">
        <v>46279</v>
      </c>
      <c r="K164" s="70" t="s">
        <v>406</v>
      </c>
      <c r="L164" s="72" t="n">
        <v>0</v>
      </c>
      <c r="M164" s="73" t="n">
        <v>0.655162037037037</v>
      </c>
      <c r="N164" s="70" t="s">
        <v>431</v>
      </c>
      <c r="O164" s="70" t="s">
        <v>678</v>
      </c>
      <c r="P164" s="70" t="s">
        <v>679</v>
      </c>
      <c r="Q164" s="70" t="s">
        <v>680</v>
      </c>
      <c r="R164" s="75" t="n">
        <f aca="false">-H164</f>
        <v>2.8</v>
      </c>
    </row>
    <row r="165" customFormat="false" ht="15" hidden="false" customHeight="false" outlineLevel="0" collapsed="false">
      <c r="A165" s="70" t="s">
        <v>880</v>
      </c>
      <c r="B165" s="70" t="s">
        <v>322</v>
      </c>
      <c r="C165" s="70" t="s">
        <v>323</v>
      </c>
      <c r="D165" s="70" t="s">
        <v>522</v>
      </c>
      <c r="E165" s="70" t="s">
        <v>405</v>
      </c>
      <c r="F165" s="70" t="s">
        <v>189</v>
      </c>
      <c r="G165" s="71" t="n">
        <v>46279</v>
      </c>
      <c r="H165" s="72" t="n">
        <v>-2.8</v>
      </c>
      <c r="I165" s="70" t="s">
        <v>65</v>
      </c>
      <c r="J165" s="71" t="n">
        <v>46279</v>
      </c>
      <c r="K165" s="70" t="s">
        <v>406</v>
      </c>
      <c r="L165" s="72" t="n">
        <v>0</v>
      </c>
      <c r="M165" s="73" t="n">
        <v>0.530428240740741</v>
      </c>
      <c r="N165" s="70" t="s">
        <v>431</v>
      </c>
      <c r="O165" s="70" t="s">
        <v>881</v>
      </c>
      <c r="P165" s="70" t="s">
        <v>882</v>
      </c>
      <c r="Q165" s="70" t="s">
        <v>883</v>
      </c>
      <c r="R165" s="75" t="n">
        <f aca="false">-H165</f>
        <v>2.8</v>
      </c>
    </row>
    <row r="166" customFormat="false" ht="15" hidden="false" customHeight="false" outlineLevel="0" collapsed="false">
      <c r="A166" s="70" t="s">
        <v>884</v>
      </c>
      <c r="B166" s="70" t="s">
        <v>322</v>
      </c>
      <c r="C166" s="70" t="s">
        <v>323</v>
      </c>
      <c r="D166" s="70" t="s">
        <v>522</v>
      </c>
      <c r="E166" s="70" t="s">
        <v>405</v>
      </c>
      <c r="F166" s="70" t="s">
        <v>189</v>
      </c>
      <c r="G166" s="71" t="n">
        <v>46279</v>
      </c>
      <c r="H166" s="72" t="n">
        <v>-5.6</v>
      </c>
      <c r="I166" s="70" t="s">
        <v>65</v>
      </c>
      <c r="J166" s="71" t="n">
        <v>46279</v>
      </c>
      <c r="K166" s="70" t="s">
        <v>406</v>
      </c>
      <c r="L166" s="72" t="n">
        <v>0</v>
      </c>
      <c r="M166" s="73" t="n">
        <v>0.655694444444445</v>
      </c>
      <c r="N166" s="70" t="s">
        <v>431</v>
      </c>
      <c r="O166" s="70" t="s">
        <v>885</v>
      </c>
      <c r="P166" s="70" t="s">
        <v>886</v>
      </c>
      <c r="Q166" s="70" t="s">
        <v>887</v>
      </c>
      <c r="R166" s="75" t="n">
        <f aca="false">-H166</f>
        <v>5.6</v>
      </c>
    </row>
    <row r="167" customFormat="false" ht="15" hidden="false" customHeight="false" outlineLevel="0" collapsed="false">
      <c r="A167" s="70" t="s">
        <v>691</v>
      </c>
      <c r="B167" s="70" t="s">
        <v>322</v>
      </c>
      <c r="C167" s="70" t="s">
        <v>323</v>
      </c>
      <c r="D167" s="70" t="s">
        <v>522</v>
      </c>
      <c r="E167" s="70" t="s">
        <v>405</v>
      </c>
      <c r="F167" s="70" t="s">
        <v>189</v>
      </c>
      <c r="G167" s="71" t="n">
        <v>46278</v>
      </c>
      <c r="H167" s="72" t="n">
        <v>-19.6</v>
      </c>
      <c r="I167" s="70" t="s">
        <v>65</v>
      </c>
      <c r="J167" s="71" t="n">
        <v>46279</v>
      </c>
      <c r="K167" s="70" t="s">
        <v>406</v>
      </c>
      <c r="L167" s="72" t="n">
        <v>0</v>
      </c>
      <c r="M167" s="73" t="n">
        <v>0.0832986111111111</v>
      </c>
      <c r="N167" s="70" t="s">
        <v>407</v>
      </c>
      <c r="O167" s="70" t="s">
        <v>692</v>
      </c>
      <c r="P167" s="70" t="s">
        <v>557</v>
      </c>
      <c r="Q167" s="70" t="s">
        <v>558</v>
      </c>
      <c r="R167" s="75" t="n">
        <f aca="false">-H167</f>
        <v>19.6</v>
      </c>
    </row>
    <row r="168" customFormat="false" ht="15" hidden="false" customHeight="false" outlineLevel="0" collapsed="false">
      <c r="A168" s="70" t="s">
        <v>689</v>
      </c>
      <c r="B168" s="70" t="s">
        <v>322</v>
      </c>
      <c r="C168" s="70" t="s">
        <v>323</v>
      </c>
      <c r="D168" s="70" t="s">
        <v>522</v>
      </c>
      <c r="E168" s="70" t="s">
        <v>405</v>
      </c>
      <c r="F168" s="70" t="s">
        <v>189</v>
      </c>
      <c r="G168" s="71" t="n">
        <v>46278</v>
      </c>
      <c r="H168" s="72" t="n">
        <v>-28</v>
      </c>
      <c r="I168" s="70" t="s">
        <v>65</v>
      </c>
      <c r="J168" s="71" t="n">
        <v>46279</v>
      </c>
      <c r="K168" s="70" t="s">
        <v>406</v>
      </c>
      <c r="L168" s="72" t="n">
        <v>0</v>
      </c>
      <c r="M168" s="73" t="n">
        <v>0.0832638888888889</v>
      </c>
      <c r="N168" s="70" t="s">
        <v>407</v>
      </c>
      <c r="O168" s="70" t="s">
        <v>690</v>
      </c>
      <c r="P168" s="70" t="s">
        <v>557</v>
      </c>
      <c r="Q168" s="70" t="s">
        <v>558</v>
      </c>
      <c r="R168" s="75" t="n">
        <f aca="false">-H168</f>
        <v>28</v>
      </c>
    </row>
    <row r="169" customFormat="false" ht="15" hidden="false" customHeight="false" outlineLevel="0" collapsed="false">
      <c r="A169" s="70" t="s">
        <v>683</v>
      </c>
      <c r="B169" s="70" t="s">
        <v>322</v>
      </c>
      <c r="C169" s="70" t="s">
        <v>323</v>
      </c>
      <c r="D169" s="70" t="s">
        <v>522</v>
      </c>
      <c r="E169" s="70" t="s">
        <v>405</v>
      </c>
      <c r="F169" s="70" t="s">
        <v>189</v>
      </c>
      <c r="G169" s="71" t="n">
        <v>46278</v>
      </c>
      <c r="H169" s="72" t="n">
        <v>-14</v>
      </c>
      <c r="I169" s="70" t="s">
        <v>65</v>
      </c>
      <c r="J169" s="71" t="n">
        <v>46278</v>
      </c>
      <c r="K169" s="70" t="s">
        <v>406</v>
      </c>
      <c r="L169" s="72" t="n">
        <v>0</v>
      </c>
      <c r="M169" s="73" t="n">
        <v>0.754907407407407</v>
      </c>
      <c r="N169" s="70" t="s">
        <v>481</v>
      </c>
      <c r="O169" s="70" t="s">
        <v>684</v>
      </c>
      <c r="P169" s="70" t="s">
        <v>569</v>
      </c>
      <c r="Q169" s="70" t="s">
        <v>570</v>
      </c>
      <c r="R169" s="75" t="n">
        <f aca="false">-H169</f>
        <v>14</v>
      </c>
    </row>
    <row r="170" customFormat="false" ht="15" hidden="false" customHeight="false" outlineLevel="0" collapsed="false">
      <c r="A170" s="70" t="s">
        <v>888</v>
      </c>
      <c r="B170" s="70" t="s">
        <v>322</v>
      </c>
      <c r="C170" s="70" t="s">
        <v>323</v>
      </c>
      <c r="D170" s="70" t="s">
        <v>522</v>
      </c>
      <c r="E170" s="70" t="s">
        <v>405</v>
      </c>
      <c r="F170" s="70" t="s">
        <v>189</v>
      </c>
      <c r="G170" s="71" t="n">
        <v>46278</v>
      </c>
      <c r="H170" s="72" t="n">
        <v>-64.4</v>
      </c>
      <c r="I170" s="70" t="s">
        <v>65</v>
      </c>
      <c r="J170" s="71" t="n">
        <v>46278</v>
      </c>
      <c r="K170" s="70" t="s">
        <v>406</v>
      </c>
      <c r="L170" s="72" t="n">
        <v>0</v>
      </c>
      <c r="M170" s="73" t="n">
        <v>0.328402777777778</v>
      </c>
      <c r="N170" s="70" t="s">
        <v>407</v>
      </c>
      <c r="O170" s="70" t="s">
        <v>889</v>
      </c>
      <c r="P170" s="70" t="s">
        <v>593</v>
      </c>
      <c r="Q170" s="70" t="s">
        <v>594</v>
      </c>
      <c r="R170" s="75" t="n">
        <f aca="false">-H170</f>
        <v>64.4</v>
      </c>
    </row>
    <row r="171" customFormat="false" ht="15" hidden="false" customHeight="false" outlineLevel="0" collapsed="false">
      <c r="A171" s="70" t="s">
        <v>890</v>
      </c>
      <c r="B171" s="70" t="s">
        <v>322</v>
      </c>
      <c r="C171" s="70" t="s">
        <v>323</v>
      </c>
      <c r="D171" s="70" t="s">
        <v>522</v>
      </c>
      <c r="E171" s="70" t="s">
        <v>405</v>
      </c>
      <c r="F171" s="70" t="s">
        <v>189</v>
      </c>
      <c r="G171" s="71" t="n">
        <v>46277</v>
      </c>
      <c r="H171" s="72" t="n">
        <v>-8.4</v>
      </c>
      <c r="I171" s="70" t="s">
        <v>65</v>
      </c>
      <c r="J171" s="71" t="n">
        <v>46278</v>
      </c>
      <c r="K171" s="70" t="s">
        <v>406</v>
      </c>
      <c r="L171" s="72" t="n">
        <v>0</v>
      </c>
      <c r="M171" s="73" t="n">
        <v>0.0972685185185185</v>
      </c>
      <c r="N171" s="70" t="s">
        <v>407</v>
      </c>
      <c r="O171" s="70" t="s">
        <v>891</v>
      </c>
      <c r="P171" s="70" t="s">
        <v>892</v>
      </c>
      <c r="Q171" s="70" t="s">
        <v>893</v>
      </c>
      <c r="R171" s="75" t="n">
        <f aca="false">-H171</f>
        <v>8.4</v>
      </c>
    </row>
    <row r="172" customFormat="false" ht="15" hidden="false" customHeight="false" outlineLevel="0" collapsed="false">
      <c r="A172" s="70" t="s">
        <v>894</v>
      </c>
      <c r="B172" s="70" t="s">
        <v>322</v>
      </c>
      <c r="C172" s="70" t="s">
        <v>323</v>
      </c>
      <c r="D172" s="70" t="s">
        <v>522</v>
      </c>
      <c r="E172" s="70" t="s">
        <v>405</v>
      </c>
      <c r="F172" s="70" t="s">
        <v>189</v>
      </c>
      <c r="G172" s="71" t="n">
        <v>46276</v>
      </c>
      <c r="H172" s="72" t="n">
        <v>-8.4</v>
      </c>
      <c r="I172" s="70" t="s">
        <v>65</v>
      </c>
      <c r="J172" s="71" t="n">
        <v>46276</v>
      </c>
      <c r="K172" s="70" t="s">
        <v>406</v>
      </c>
      <c r="L172" s="72" t="n">
        <v>0</v>
      </c>
      <c r="M172" s="73" t="n">
        <v>0.248969907407407</v>
      </c>
      <c r="N172" s="70" t="s">
        <v>444</v>
      </c>
      <c r="O172" s="70" t="s">
        <v>895</v>
      </c>
      <c r="P172" s="70" t="s">
        <v>896</v>
      </c>
      <c r="Q172" s="70" t="s">
        <v>897</v>
      </c>
      <c r="R172" s="75" t="n">
        <f aca="false">-H172</f>
        <v>8.4</v>
      </c>
    </row>
    <row r="173" customFormat="false" ht="15" hidden="false" customHeight="false" outlineLevel="0" collapsed="false">
      <c r="A173" s="70" t="s">
        <v>898</v>
      </c>
      <c r="B173" s="70" t="s">
        <v>322</v>
      </c>
      <c r="C173" s="70" t="s">
        <v>323</v>
      </c>
      <c r="D173" s="70" t="s">
        <v>522</v>
      </c>
      <c r="E173" s="70" t="s">
        <v>405</v>
      </c>
      <c r="F173" s="70" t="s">
        <v>189</v>
      </c>
      <c r="G173" s="71" t="n">
        <v>46276</v>
      </c>
      <c r="H173" s="72" t="n">
        <v>-2.8</v>
      </c>
      <c r="I173" s="70" t="s">
        <v>65</v>
      </c>
      <c r="J173" s="71" t="n">
        <v>46276</v>
      </c>
      <c r="K173" s="70" t="s">
        <v>406</v>
      </c>
      <c r="L173" s="72" t="n">
        <v>0</v>
      </c>
      <c r="M173" s="73" t="n">
        <v>0.285405092592593</v>
      </c>
      <c r="N173" s="70" t="s">
        <v>444</v>
      </c>
      <c r="O173" s="70" t="s">
        <v>899</v>
      </c>
      <c r="P173" s="70" t="s">
        <v>900</v>
      </c>
      <c r="Q173" s="70" t="s">
        <v>901</v>
      </c>
      <c r="R173" s="75" t="n">
        <f aca="false">-H173</f>
        <v>2.8</v>
      </c>
    </row>
    <row r="174" customFormat="false" ht="15" hidden="false" customHeight="false" outlineLevel="0" collapsed="false">
      <c r="A174" s="70" t="s">
        <v>902</v>
      </c>
      <c r="B174" s="70" t="s">
        <v>322</v>
      </c>
      <c r="C174" s="70" t="s">
        <v>323</v>
      </c>
      <c r="D174" s="70" t="s">
        <v>522</v>
      </c>
      <c r="E174" s="70" t="s">
        <v>405</v>
      </c>
      <c r="F174" s="70" t="s">
        <v>189</v>
      </c>
      <c r="G174" s="71" t="n">
        <v>46276</v>
      </c>
      <c r="H174" s="72" t="n">
        <v>-2.8</v>
      </c>
      <c r="I174" s="70" t="s">
        <v>65</v>
      </c>
      <c r="J174" s="71" t="n">
        <v>46276</v>
      </c>
      <c r="K174" s="70" t="s">
        <v>406</v>
      </c>
      <c r="L174" s="72" t="n">
        <v>0</v>
      </c>
      <c r="M174" s="73" t="n">
        <v>0.286006944444445</v>
      </c>
      <c r="N174" s="70" t="s">
        <v>444</v>
      </c>
      <c r="O174" s="70" t="s">
        <v>903</v>
      </c>
      <c r="P174" s="70" t="s">
        <v>904</v>
      </c>
      <c r="Q174" s="70" t="s">
        <v>905</v>
      </c>
      <c r="R174" s="75" t="n">
        <f aca="false">-H174</f>
        <v>2.8</v>
      </c>
    </row>
    <row r="175" customFormat="false" ht="15" hidden="false" customHeight="false" outlineLevel="0" collapsed="false">
      <c r="A175" s="70" t="s">
        <v>906</v>
      </c>
      <c r="B175" s="70" t="s">
        <v>322</v>
      </c>
      <c r="C175" s="70" t="s">
        <v>323</v>
      </c>
      <c r="D175" s="70" t="s">
        <v>522</v>
      </c>
      <c r="E175" s="70" t="s">
        <v>405</v>
      </c>
      <c r="F175" s="70" t="s">
        <v>189</v>
      </c>
      <c r="G175" s="71" t="n">
        <v>46275</v>
      </c>
      <c r="H175" s="72" t="n">
        <v>-28</v>
      </c>
      <c r="I175" s="70" t="s">
        <v>65</v>
      </c>
      <c r="J175" s="71" t="n">
        <v>46276</v>
      </c>
      <c r="K175" s="70" t="s">
        <v>406</v>
      </c>
      <c r="L175" s="72" t="n">
        <v>0</v>
      </c>
      <c r="M175" s="73" t="n">
        <v>0.0646180555555556</v>
      </c>
      <c r="N175" s="70" t="s">
        <v>444</v>
      </c>
      <c r="O175" s="70" t="s">
        <v>907</v>
      </c>
      <c r="P175" s="70" t="s">
        <v>549</v>
      </c>
      <c r="Q175" s="70" t="s">
        <v>550</v>
      </c>
      <c r="R175" s="75" t="n">
        <f aca="false">-H175</f>
        <v>28</v>
      </c>
    </row>
    <row r="176" customFormat="false" ht="15" hidden="false" customHeight="false" outlineLevel="0" collapsed="false">
      <c r="A176" s="70" t="s">
        <v>613</v>
      </c>
      <c r="B176" s="70" t="s">
        <v>322</v>
      </c>
      <c r="C176" s="70" t="s">
        <v>323</v>
      </c>
      <c r="D176" s="70" t="s">
        <v>522</v>
      </c>
      <c r="E176" s="70" t="s">
        <v>416</v>
      </c>
      <c r="F176" s="70" t="s">
        <v>189</v>
      </c>
      <c r="G176" s="71" t="n">
        <v>46275</v>
      </c>
      <c r="H176" s="72" t="n">
        <v>-14</v>
      </c>
      <c r="I176" s="70" t="s">
        <v>65</v>
      </c>
      <c r="J176" s="71" t="n">
        <v>46275</v>
      </c>
      <c r="K176" s="70" t="s">
        <v>406</v>
      </c>
      <c r="L176" s="72" t="n">
        <v>0</v>
      </c>
      <c r="M176" s="73" t="n">
        <v>0.951435185185185</v>
      </c>
      <c r="N176" s="70" t="s">
        <v>426</v>
      </c>
      <c r="O176" s="70" t="s">
        <v>614</v>
      </c>
      <c r="P176" s="70" t="s">
        <v>611</v>
      </c>
      <c r="Q176" s="70" t="s">
        <v>612</v>
      </c>
      <c r="R176" s="75" t="n">
        <f aca="false">-H176</f>
        <v>14</v>
      </c>
    </row>
    <row r="177" customFormat="false" ht="15" hidden="false" customHeight="false" outlineLevel="0" collapsed="false">
      <c r="A177" s="70" t="s">
        <v>693</v>
      </c>
      <c r="B177" s="70" t="s">
        <v>322</v>
      </c>
      <c r="C177" s="70" t="s">
        <v>323</v>
      </c>
      <c r="D177" s="70" t="s">
        <v>522</v>
      </c>
      <c r="E177" s="70" t="s">
        <v>405</v>
      </c>
      <c r="F177" s="70" t="s">
        <v>189</v>
      </c>
      <c r="G177" s="71" t="n">
        <v>46274</v>
      </c>
      <c r="H177" s="72" t="n">
        <v>-5.6</v>
      </c>
      <c r="I177" s="70" t="s">
        <v>65</v>
      </c>
      <c r="J177" s="71" t="n">
        <v>46274</v>
      </c>
      <c r="K177" s="70" t="s">
        <v>406</v>
      </c>
      <c r="L177" s="72" t="n">
        <v>0</v>
      </c>
      <c r="M177" s="73" t="n">
        <v>0.400775462962963</v>
      </c>
      <c r="N177" s="70" t="s">
        <v>407</v>
      </c>
      <c r="O177" s="70" t="s">
        <v>694</v>
      </c>
      <c r="P177" s="70" t="s">
        <v>695</v>
      </c>
      <c r="Q177" s="70" t="s">
        <v>696</v>
      </c>
      <c r="R177" s="75" t="n">
        <f aca="false">-H177</f>
        <v>5.6</v>
      </c>
    </row>
    <row r="178" customFormat="false" ht="15" hidden="false" customHeight="false" outlineLevel="0" collapsed="false">
      <c r="A178" s="70" t="s">
        <v>908</v>
      </c>
      <c r="B178" s="70" t="s">
        <v>227</v>
      </c>
      <c r="C178" s="70" t="s">
        <v>230</v>
      </c>
      <c r="D178" s="70" t="s">
        <v>756</v>
      </c>
      <c r="E178" s="70" t="s">
        <v>405</v>
      </c>
      <c r="F178" s="70" t="s">
        <v>189</v>
      </c>
      <c r="G178" s="71" t="n">
        <v>46295</v>
      </c>
      <c r="H178" s="72" t="n">
        <v>-2460</v>
      </c>
      <c r="I178" s="70" t="s">
        <v>65</v>
      </c>
      <c r="J178" s="71" t="n">
        <v>46296</v>
      </c>
      <c r="K178" s="70" t="s">
        <v>406</v>
      </c>
      <c r="L178" s="72" t="n">
        <v>0</v>
      </c>
      <c r="M178" s="73" t="n">
        <v>0.0689583333333333</v>
      </c>
      <c r="N178" s="70" t="s">
        <v>444</v>
      </c>
      <c r="O178" s="70" t="s">
        <v>909</v>
      </c>
      <c r="P178" s="70" t="s">
        <v>758</v>
      </c>
      <c r="Q178" s="70" t="s">
        <v>759</v>
      </c>
      <c r="R178" s="75" t="n">
        <f aca="false">-H178</f>
        <v>2460</v>
      </c>
    </row>
    <row r="179" customFormat="false" ht="15" hidden="false" customHeight="false" outlineLevel="0" collapsed="false">
      <c r="A179" s="70" t="s">
        <v>910</v>
      </c>
      <c r="B179" s="70" t="s">
        <v>227</v>
      </c>
      <c r="C179" s="70" t="s">
        <v>230</v>
      </c>
      <c r="D179" s="70" t="s">
        <v>756</v>
      </c>
      <c r="E179" s="70" t="s">
        <v>405</v>
      </c>
      <c r="F179" s="70" t="s">
        <v>189</v>
      </c>
      <c r="G179" s="71" t="n">
        <v>46294</v>
      </c>
      <c r="H179" s="72" t="n">
        <v>-60</v>
      </c>
      <c r="I179" s="70" t="s">
        <v>65</v>
      </c>
      <c r="J179" s="71" t="n">
        <v>46294</v>
      </c>
      <c r="K179" s="70" t="s">
        <v>406</v>
      </c>
      <c r="L179" s="72" t="n">
        <v>0</v>
      </c>
      <c r="M179" s="73" t="n">
        <v>0.58787037037037</v>
      </c>
      <c r="N179" s="70" t="s">
        <v>481</v>
      </c>
      <c r="O179" s="70" t="s">
        <v>911</v>
      </c>
      <c r="P179" s="70" t="s">
        <v>912</v>
      </c>
      <c r="Q179" s="70" t="s">
        <v>913</v>
      </c>
      <c r="R179" s="75" t="n">
        <f aca="false">-H179</f>
        <v>60</v>
      </c>
    </row>
    <row r="180" customFormat="false" ht="15" hidden="false" customHeight="false" outlineLevel="0" collapsed="false">
      <c r="A180" s="70" t="s">
        <v>914</v>
      </c>
      <c r="B180" s="70" t="s">
        <v>227</v>
      </c>
      <c r="C180" s="70" t="s">
        <v>230</v>
      </c>
      <c r="D180" s="70" t="s">
        <v>756</v>
      </c>
      <c r="E180" s="70" t="s">
        <v>405</v>
      </c>
      <c r="F180" s="70" t="s">
        <v>189</v>
      </c>
      <c r="G180" s="71" t="n">
        <v>46292</v>
      </c>
      <c r="H180" s="72" t="n">
        <v>-40</v>
      </c>
      <c r="I180" s="70" t="s">
        <v>65</v>
      </c>
      <c r="J180" s="71" t="n">
        <v>46292</v>
      </c>
      <c r="K180" s="70" t="s">
        <v>406</v>
      </c>
      <c r="L180" s="72" t="n">
        <v>0</v>
      </c>
      <c r="M180" s="73" t="n">
        <v>0.82525462962963</v>
      </c>
      <c r="N180" s="70" t="s">
        <v>431</v>
      </c>
      <c r="O180" s="70" t="s">
        <v>915</v>
      </c>
      <c r="P180" s="70" t="s">
        <v>916</v>
      </c>
      <c r="Q180" s="70" t="s">
        <v>917</v>
      </c>
      <c r="R180" s="75" t="n">
        <f aca="false">-H180</f>
        <v>40</v>
      </c>
    </row>
    <row r="181" customFormat="false" ht="15" hidden="false" customHeight="false" outlineLevel="0" collapsed="false">
      <c r="A181" s="70" t="s">
        <v>768</v>
      </c>
      <c r="B181" s="70" t="s">
        <v>227</v>
      </c>
      <c r="C181" s="70" t="s">
        <v>230</v>
      </c>
      <c r="D181" s="70" t="s">
        <v>756</v>
      </c>
      <c r="E181" s="70" t="s">
        <v>405</v>
      </c>
      <c r="F181" s="70" t="s">
        <v>189</v>
      </c>
      <c r="G181" s="71" t="n">
        <v>46292</v>
      </c>
      <c r="H181" s="72" t="n">
        <v>-40</v>
      </c>
      <c r="I181" s="70" t="s">
        <v>65</v>
      </c>
      <c r="J181" s="71" t="n">
        <v>46292</v>
      </c>
      <c r="K181" s="70" t="s">
        <v>406</v>
      </c>
      <c r="L181" s="72" t="n">
        <v>0</v>
      </c>
      <c r="M181" s="73" t="n">
        <v>0.825011574074074</v>
      </c>
      <c r="N181" s="70" t="s">
        <v>431</v>
      </c>
      <c r="O181" s="70" t="s">
        <v>769</v>
      </c>
      <c r="P181" s="70" t="s">
        <v>770</v>
      </c>
      <c r="Q181" s="70" t="s">
        <v>771</v>
      </c>
      <c r="R181" s="75" t="n">
        <f aca="false">-H181</f>
        <v>40</v>
      </c>
    </row>
    <row r="182" customFormat="false" ht="15" hidden="false" customHeight="false" outlineLevel="0" collapsed="false">
      <c r="A182" s="70" t="s">
        <v>918</v>
      </c>
      <c r="B182" s="70" t="s">
        <v>227</v>
      </c>
      <c r="C182" s="70" t="s">
        <v>230</v>
      </c>
      <c r="D182" s="70" t="s">
        <v>756</v>
      </c>
      <c r="E182" s="70" t="s">
        <v>405</v>
      </c>
      <c r="F182" s="70" t="s">
        <v>189</v>
      </c>
      <c r="G182" s="71" t="n">
        <v>46292</v>
      </c>
      <c r="H182" s="72" t="n">
        <v>-40</v>
      </c>
      <c r="I182" s="70" t="s">
        <v>65</v>
      </c>
      <c r="J182" s="71" t="n">
        <v>46292</v>
      </c>
      <c r="K182" s="70" t="s">
        <v>406</v>
      </c>
      <c r="L182" s="72" t="n">
        <v>0</v>
      </c>
      <c r="M182" s="73" t="n">
        <v>0.824988425925926</v>
      </c>
      <c r="N182" s="70" t="s">
        <v>431</v>
      </c>
      <c r="O182" s="70" t="s">
        <v>919</v>
      </c>
      <c r="P182" s="70" t="s">
        <v>920</v>
      </c>
      <c r="Q182" s="70" t="s">
        <v>921</v>
      </c>
      <c r="R182" s="75" t="n">
        <f aca="false">-H182</f>
        <v>40</v>
      </c>
    </row>
    <row r="183" customFormat="false" ht="15" hidden="false" customHeight="false" outlineLevel="0" collapsed="false">
      <c r="A183" s="70" t="s">
        <v>922</v>
      </c>
      <c r="B183" s="70" t="s">
        <v>227</v>
      </c>
      <c r="C183" s="70" t="s">
        <v>230</v>
      </c>
      <c r="D183" s="70" t="s">
        <v>756</v>
      </c>
      <c r="E183" s="70" t="s">
        <v>405</v>
      </c>
      <c r="F183" s="70" t="s">
        <v>189</v>
      </c>
      <c r="G183" s="71" t="n">
        <v>46276</v>
      </c>
      <c r="H183" s="72" t="n">
        <v>-2300</v>
      </c>
      <c r="I183" s="70" t="s">
        <v>65</v>
      </c>
      <c r="J183" s="71" t="n">
        <v>46276</v>
      </c>
      <c r="K183" s="70" t="s">
        <v>406</v>
      </c>
      <c r="L183" s="72" t="n">
        <v>0</v>
      </c>
      <c r="M183" s="73" t="n">
        <v>0.761851851851852</v>
      </c>
      <c r="N183" s="70" t="s">
        <v>923</v>
      </c>
      <c r="O183" s="70" t="s">
        <v>924</v>
      </c>
      <c r="P183" s="70" t="s">
        <v>751</v>
      </c>
      <c r="Q183" s="70" t="s">
        <v>752</v>
      </c>
      <c r="R183" s="75" t="n">
        <f aca="false">-H183</f>
        <v>2300</v>
      </c>
    </row>
    <row r="184" customFormat="false" ht="15" hidden="false" customHeight="false" outlineLevel="0" collapsed="false">
      <c r="A184" s="70" t="s">
        <v>925</v>
      </c>
      <c r="B184" s="70" t="s">
        <v>327</v>
      </c>
      <c r="C184" s="70" t="s">
        <v>329</v>
      </c>
      <c r="D184" s="70" t="s">
        <v>926</v>
      </c>
      <c r="E184" s="70" t="s">
        <v>405</v>
      </c>
      <c r="F184" s="70" t="s">
        <v>189</v>
      </c>
      <c r="G184" s="71" t="n">
        <v>46295</v>
      </c>
      <c r="H184" s="72" t="n">
        <v>-30</v>
      </c>
      <c r="I184" s="70" t="s">
        <v>65</v>
      </c>
      <c r="J184" s="71" t="n">
        <v>46296</v>
      </c>
      <c r="K184" s="70" t="s">
        <v>406</v>
      </c>
      <c r="L184" s="72" t="n">
        <v>0</v>
      </c>
      <c r="M184" s="73" t="n">
        <v>0.0631481481481482</v>
      </c>
      <c r="N184" s="70" t="s">
        <v>444</v>
      </c>
      <c r="O184" s="70" t="s">
        <v>927</v>
      </c>
      <c r="P184" s="70" t="s">
        <v>928</v>
      </c>
      <c r="Q184" s="70" t="s">
        <v>929</v>
      </c>
      <c r="R184" s="75" t="n">
        <f aca="false">-H184</f>
        <v>30</v>
      </c>
    </row>
    <row r="185" customFormat="false" ht="15" hidden="false" customHeight="false" outlineLevel="0" collapsed="false">
      <c r="A185" s="70" t="s">
        <v>930</v>
      </c>
      <c r="B185" s="70" t="s">
        <v>327</v>
      </c>
      <c r="C185" s="70" t="s">
        <v>329</v>
      </c>
      <c r="D185" s="70" t="s">
        <v>926</v>
      </c>
      <c r="E185" s="70" t="s">
        <v>405</v>
      </c>
      <c r="F185" s="70" t="s">
        <v>189</v>
      </c>
      <c r="G185" s="71" t="n">
        <v>46295</v>
      </c>
      <c r="H185" s="72" t="n">
        <v>-10</v>
      </c>
      <c r="I185" s="70" t="s">
        <v>65</v>
      </c>
      <c r="J185" s="71" t="n">
        <v>46296</v>
      </c>
      <c r="K185" s="70" t="s">
        <v>406</v>
      </c>
      <c r="L185" s="72" t="n">
        <v>0</v>
      </c>
      <c r="M185" s="73" t="n">
        <v>0.0690393518518519</v>
      </c>
      <c r="N185" s="70" t="s">
        <v>444</v>
      </c>
      <c r="O185" s="70" t="s">
        <v>931</v>
      </c>
      <c r="P185" s="70" t="s">
        <v>932</v>
      </c>
      <c r="Q185" s="70" t="s">
        <v>933</v>
      </c>
      <c r="R185" s="75" t="n">
        <f aca="false">-H185</f>
        <v>10</v>
      </c>
    </row>
    <row r="186" customFormat="false" ht="15" hidden="false" customHeight="false" outlineLevel="0" collapsed="false">
      <c r="A186" s="70" t="s">
        <v>930</v>
      </c>
      <c r="B186" s="70" t="s">
        <v>327</v>
      </c>
      <c r="C186" s="70" t="s">
        <v>328</v>
      </c>
      <c r="D186" s="70" t="s">
        <v>926</v>
      </c>
      <c r="E186" s="70" t="s">
        <v>405</v>
      </c>
      <c r="F186" s="70" t="s">
        <v>189</v>
      </c>
      <c r="G186" s="71" t="n">
        <v>46295</v>
      </c>
      <c r="H186" s="72" t="n">
        <v>-240</v>
      </c>
      <c r="I186" s="70" t="s">
        <v>65</v>
      </c>
      <c r="J186" s="71" t="n">
        <v>46296</v>
      </c>
      <c r="K186" s="70" t="s">
        <v>406</v>
      </c>
      <c r="L186" s="72" t="n">
        <v>0</v>
      </c>
      <c r="M186" s="73" t="n">
        <v>0.0690393518518519</v>
      </c>
      <c r="N186" s="70" t="s">
        <v>444</v>
      </c>
      <c r="O186" s="70" t="s">
        <v>931</v>
      </c>
      <c r="P186" s="70" t="s">
        <v>932</v>
      </c>
      <c r="Q186" s="70" t="s">
        <v>933</v>
      </c>
      <c r="R186" s="75" t="n">
        <f aca="false">-H186</f>
        <v>240</v>
      </c>
    </row>
    <row r="187" customFormat="false" ht="15" hidden="false" customHeight="false" outlineLevel="0" collapsed="false">
      <c r="A187" s="70" t="s">
        <v>701</v>
      </c>
      <c r="B187" s="70" t="s">
        <v>327</v>
      </c>
      <c r="C187" s="70" t="s">
        <v>329</v>
      </c>
      <c r="D187" s="70" t="s">
        <v>926</v>
      </c>
      <c r="E187" s="70" t="s">
        <v>405</v>
      </c>
      <c r="F187" s="70" t="s">
        <v>189</v>
      </c>
      <c r="G187" s="71" t="n">
        <v>46288</v>
      </c>
      <c r="H187" s="72" t="n">
        <v>-10</v>
      </c>
      <c r="I187" s="70" t="s">
        <v>65</v>
      </c>
      <c r="J187" s="71" t="n">
        <v>46288</v>
      </c>
      <c r="K187" s="70" t="s">
        <v>406</v>
      </c>
      <c r="L187" s="72" t="n">
        <v>0</v>
      </c>
      <c r="M187" s="73" t="n">
        <v>0.273090277777778</v>
      </c>
      <c r="N187" s="70" t="s">
        <v>444</v>
      </c>
      <c r="O187" s="70" t="s">
        <v>702</v>
      </c>
      <c r="P187" s="70" t="s">
        <v>703</v>
      </c>
      <c r="Q187" s="70" t="s">
        <v>704</v>
      </c>
      <c r="R187" s="75" t="n">
        <f aca="false">-H187</f>
        <v>10</v>
      </c>
    </row>
    <row r="188" customFormat="false" ht="15" hidden="false" customHeight="false" outlineLevel="0" collapsed="false">
      <c r="A188" s="70" t="s">
        <v>934</v>
      </c>
      <c r="B188" s="70" t="s">
        <v>327</v>
      </c>
      <c r="C188" s="70" t="s">
        <v>329</v>
      </c>
      <c r="D188" s="70" t="s">
        <v>926</v>
      </c>
      <c r="E188" s="70" t="s">
        <v>405</v>
      </c>
      <c r="F188" s="70" t="s">
        <v>189</v>
      </c>
      <c r="G188" s="71" t="n">
        <v>46275</v>
      </c>
      <c r="H188" s="72" t="n">
        <v>-10</v>
      </c>
      <c r="I188" s="70" t="s">
        <v>65</v>
      </c>
      <c r="J188" s="71" t="n">
        <v>46275</v>
      </c>
      <c r="K188" s="70" t="s">
        <v>406</v>
      </c>
      <c r="L188" s="72" t="n">
        <v>0</v>
      </c>
      <c r="M188" s="73" t="n">
        <v>0.545972222222222</v>
      </c>
      <c r="N188" s="70" t="s">
        <v>431</v>
      </c>
      <c r="O188" s="70" t="s">
        <v>935</v>
      </c>
      <c r="P188" s="70" t="s">
        <v>936</v>
      </c>
      <c r="Q188" s="70" t="s">
        <v>937</v>
      </c>
      <c r="R188" s="75" t="n">
        <f aca="false">-H188</f>
        <v>10</v>
      </c>
    </row>
    <row r="189" customFormat="false" ht="15" hidden="false" customHeight="false" outlineLevel="0" collapsed="false">
      <c r="A189" s="70" t="s">
        <v>938</v>
      </c>
      <c r="B189" s="70" t="s">
        <v>232</v>
      </c>
      <c r="C189" s="70" t="s">
        <v>237</v>
      </c>
      <c r="D189" s="70" t="s">
        <v>939</v>
      </c>
      <c r="E189" s="70" t="s">
        <v>405</v>
      </c>
      <c r="F189" s="70" t="s">
        <v>189</v>
      </c>
      <c r="G189" s="71" t="n">
        <v>46295</v>
      </c>
      <c r="H189" s="72" t="n">
        <v>-150</v>
      </c>
      <c r="I189" s="70" t="s">
        <v>146</v>
      </c>
      <c r="J189" s="71" t="n">
        <v>46296</v>
      </c>
      <c r="K189" s="70" t="s">
        <v>406</v>
      </c>
      <c r="L189" s="72" t="n">
        <v>0</v>
      </c>
      <c r="M189" s="73" t="n">
        <v>0.0630208333333333</v>
      </c>
      <c r="N189" s="70" t="s">
        <v>444</v>
      </c>
      <c r="O189" s="70" t="s">
        <v>940</v>
      </c>
      <c r="P189" s="70" t="s">
        <v>941</v>
      </c>
      <c r="Q189" s="70" t="s">
        <v>942</v>
      </c>
      <c r="R189" s="75" t="n">
        <f aca="false">-H189</f>
        <v>150</v>
      </c>
    </row>
    <row r="190" customFormat="false" ht="15" hidden="false" customHeight="false" outlineLevel="0" collapsed="false">
      <c r="A190" s="70" t="s">
        <v>943</v>
      </c>
      <c r="B190" s="70" t="s">
        <v>232</v>
      </c>
      <c r="C190" s="70" t="s">
        <v>237</v>
      </c>
      <c r="D190" s="70" t="s">
        <v>939</v>
      </c>
      <c r="E190" s="70" t="s">
        <v>405</v>
      </c>
      <c r="F190" s="70" t="s">
        <v>189</v>
      </c>
      <c r="G190" s="71" t="n">
        <v>46295</v>
      </c>
      <c r="H190" s="72" t="n">
        <v>-60</v>
      </c>
      <c r="I190" s="70" t="s">
        <v>146</v>
      </c>
      <c r="J190" s="71" t="n">
        <v>46296</v>
      </c>
      <c r="K190" s="70" t="s">
        <v>406</v>
      </c>
      <c r="L190" s="72" t="n">
        <v>0</v>
      </c>
      <c r="M190" s="73" t="n">
        <v>0.0630439814814815</v>
      </c>
      <c r="N190" s="70" t="s">
        <v>444</v>
      </c>
      <c r="O190" s="70" t="s">
        <v>944</v>
      </c>
      <c r="P190" s="70" t="s">
        <v>941</v>
      </c>
      <c r="Q190" s="70" t="s">
        <v>942</v>
      </c>
      <c r="R190" s="75" t="n">
        <f aca="false">-H190</f>
        <v>60</v>
      </c>
    </row>
    <row r="191" customFormat="false" ht="15" hidden="false" customHeight="false" outlineLevel="0" collapsed="false">
      <c r="A191" s="70" t="s">
        <v>945</v>
      </c>
      <c r="B191" s="70" t="s">
        <v>232</v>
      </c>
      <c r="C191" s="70" t="s">
        <v>334</v>
      </c>
      <c r="D191" s="70" t="s">
        <v>939</v>
      </c>
      <c r="E191" s="70" t="s">
        <v>405</v>
      </c>
      <c r="F191" s="70" t="s">
        <v>189</v>
      </c>
      <c r="G191" s="71" t="n">
        <v>46295</v>
      </c>
      <c r="H191" s="72" t="n">
        <v>-30</v>
      </c>
      <c r="I191" s="70" t="s">
        <v>146</v>
      </c>
      <c r="J191" s="71" t="n">
        <v>46295</v>
      </c>
      <c r="K191" s="70" t="s">
        <v>406</v>
      </c>
      <c r="L191" s="72" t="n">
        <v>0</v>
      </c>
      <c r="M191" s="73" t="n">
        <v>0.430740740740741</v>
      </c>
      <c r="N191" s="70" t="s">
        <v>407</v>
      </c>
      <c r="O191" s="70" t="s">
        <v>946</v>
      </c>
      <c r="P191" s="70" t="s">
        <v>816</v>
      </c>
      <c r="Q191" s="70" t="s">
        <v>817</v>
      </c>
      <c r="R191" s="75" t="n">
        <f aca="false">-H191</f>
        <v>30</v>
      </c>
    </row>
    <row r="192" customFormat="false" ht="15" hidden="false" customHeight="false" outlineLevel="0" collapsed="false">
      <c r="A192" s="70" t="s">
        <v>945</v>
      </c>
      <c r="B192" s="70" t="s">
        <v>232</v>
      </c>
      <c r="C192" s="70" t="s">
        <v>241</v>
      </c>
      <c r="D192" s="70" t="s">
        <v>939</v>
      </c>
      <c r="E192" s="70" t="s">
        <v>405</v>
      </c>
      <c r="F192" s="70" t="s">
        <v>189</v>
      </c>
      <c r="G192" s="71" t="n">
        <v>46295</v>
      </c>
      <c r="H192" s="72" t="n">
        <v>-195</v>
      </c>
      <c r="I192" s="70" t="s">
        <v>146</v>
      </c>
      <c r="J192" s="71" t="n">
        <v>46295</v>
      </c>
      <c r="K192" s="70" t="s">
        <v>406</v>
      </c>
      <c r="L192" s="72" t="n">
        <v>0</v>
      </c>
      <c r="M192" s="73" t="n">
        <v>0.430740740740741</v>
      </c>
      <c r="N192" s="70" t="s">
        <v>407</v>
      </c>
      <c r="O192" s="70" t="s">
        <v>946</v>
      </c>
      <c r="P192" s="70" t="s">
        <v>816</v>
      </c>
      <c r="Q192" s="70" t="s">
        <v>817</v>
      </c>
      <c r="R192" s="75" t="n">
        <f aca="false">-H192</f>
        <v>195</v>
      </c>
    </row>
    <row r="193" customFormat="false" ht="15" hidden="false" customHeight="false" outlineLevel="0" collapsed="false">
      <c r="A193" s="70" t="s">
        <v>947</v>
      </c>
      <c r="B193" s="70" t="s">
        <v>232</v>
      </c>
      <c r="C193" s="70" t="s">
        <v>233</v>
      </c>
      <c r="D193" s="70" t="s">
        <v>939</v>
      </c>
      <c r="E193" s="70" t="s">
        <v>405</v>
      </c>
      <c r="F193" s="70" t="s">
        <v>189</v>
      </c>
      <c r="G193" s="71" t="n">
        <v>46295</v>
      </c>
      <c r="H193" s="72" t="n">
        <v>-15</v>
      </c>
      <c r="I193" s="70" t="s">
        <v>146</v>
      </c>
      <c r="J193" s="71" t="n">
        <v>46295</v>
      </c>
      <c r="K193" s="70" t="s">
        <v>406</v>
      </c>
      <c r="L193" s="72" t="n">
        <v>0</v>
      </c>
      <c r="M193" s="73" t="n">
        <v>0.356875</v>
      </c>
      <c r="N193" s="70" t="s">
        <v>407</v>
      </c>
      <c r="O193" s="70" t="s">
        <v>948</v>
      </c>
      <c r="P193" s="70" t="s">
        <v>949</v>
      </c>
      <c r="Q193" s="70" t="s">
        <v>950</v>
      </c>
      <c r="R193" s="75" t="n">
        <f aca="false">-H193</f>
        <v>15</v>
      </c>
    </row>
    <row r="194" customFormat="false" ht="15" hidden="false" customHeight="false" outlineLevel="0" collapsed="false">
      <c r="A194" s="70" t="s">
        <v>951</v>
      </c>
      <c r="B194" s="70" t="s">
        <v>232</v>
      </c>
      <c r="C194" s="70" t="s">
        <v>235</v>
      </c>
      <c r="D194" s="70" t="s">
        <v>939</v>
      </c>
      <c r="E194" s="70" t="s">
        <v>405</v>
      </c>
      <c r="F194" s="70" t="s">
        <v>189</v>
      </c>
      <c r="G194" s="71" t="n">
        <v>46295</v>
      </c>
      <c r="H194" s="72" t="n">
        <v>-450</v>
      </c>
      <c r="I194" s="70" t="s">
        <v>146</v>
      </c>
      <c r="J194" s="71" t="n">
        <v>46295</v>
      </c>
      <c r="K194" s="70" t="s">
        <v>406</v>
      </c>
      <c r="L194" s="72" t="n">
        <v>0</v>
      </c>
      <c r="M194" s="73" t="n">
        <v>0.356782407407407</v>
      </c>
      <c r="N194" s="70" t="s">
        <v>407</v>
      </c>
      <c r="O194" s="70" t="s">
        <v>952</v>
      </c>
      <c r="P194" s="70" t="s">
        <v>953</v>
      </c>
      <c r="Q194" s="70" t="s">
        <v>954</v>
      </c>
      <c r="R194" s="75" t="n">
        <f aca="false">-H194</f>
        <v>450</v>
      </c>
    </row>
    <row r="195" customFormat="false" ht="15" hidden="false" customHeight="false" outlineLevel="0" collapsed="false">
      <c r="A195" s="70" t="s">
        <v>951</v>
      </c>
      <c r="B195" s="70" t="s">
        <v>232</v>
      </c>
      <c r="C195" s="70" t="s">
        <v>334</v>
      </c>
      <c r="D195" s="70" t="s">
        <v>939</v>
      </c>
      <c r="E195" s="70" t="s">
        <v>405</v>
      </c>
      <c r="F195" s="70" t="s">
        <v>189</v>
      </c>
      <c r="G195" s="71" t="n">
        <v>46295</v>
      </c>
      <c r="H195" s="72" t="n">
        <v>-300</v>
      </c>
      <c r="I195" s="70" t="s">
        <v>146</v>
      </c>
      <c r="J195" s="71" t="n">
        <v>46295</v>
      </c>
      <c r="K195" s="70" t="s">
        <v>406</v>
      </c>
      <c r="L195" s="72" t="n">
        <v>0</v>
      </c>
      <c r="M195" s="73" t="n">
        <v>0.356782407407407</v>
      </c>
      <c r="N195" s="70" t="s">
        <v>407</v>
      </c>
      <c r="O195" s="70" t="s">
        <v>952</v>
      </c>
      <c r="P195" s="70" t="s">
        <v>953</v>
      </c>
      <c r="Q195" s="70" t="s">
        <v>954</v>
      </c>
      <c r="R195" s="75" t="n">
        <f aca="false">-H195</f>
        <v>300</v>
      </c>
    </row>
    <row r="196" customFormat="false" ht="15" hidden="false" customHeight="false" outlineLevel="0" collapsed="false">
      <c r="A196" s="70" t="s">
        <v>955</v>
      </c>
      <c r="B196" s="70" t="s">
        <v>232</v>
      </c>
      <c r="C196" s="70" t="s">
        <v>233</v>
      </c>
      <c r="D196" s="70" t="s">
        <v>939</v>
      </c>
      <c r="E196" s="70" t="s">
        <v>405</v>
      </c>
      <c r="F196" s="70" t="s">
        <v>189</v>
      </c>
      <c r="G196" s="71" t="n">
        <v>46295</v>
      </c>
      <c r="H196" s="72" t="n">
        <v>-45</v>
      </c>
      <c r="I196" s="70" t="s">
        <v>146</v>
      </c>
      <c r="J196" s="71" t="n">
        <v>46295</v>
      </c>
      <c r="K196" s="70" t="s">
        <v>406</v>
      </c>
      <c r="L196" s="72" t="n">
        <v>0</v>
      </c>
      <c r="M196" s="73" t="n">
        <v>0.356111111111111</v>
      </c>
      <c r="N196" s="70" t="s">
        <v>407</v>
      </c>
      <c r="O196" s="70" t="s">
        <v>956</v>
      </c>
      <c r="P196" s="70" t="s">
        <v>842</v>
      </c>
      <c r="Q196" s="70" t="s">
        <v>843</v>
      </c>
      <c r="R196" s="75" t="n">
        <f aca="false">-H196</f>
        <v>45</v>
      </c>
    </row>
    <row r="197" customFormat="false" ht="15" hidden="false" customHeight="false" outlineLevel="0" collapsed="false">
      <c r="A197" s="70" t="s">
        <v>957</v>
      </c>
      <c r="B197" s="70" t="s">
        <v>232</v>
      </c>
      <c r="C197" s="70" t="s">
        <v>237</v>
      </c>
      <c r="D197" s="70" t="s">
        <v>939</v>
      </c>
      <c r="E197" s="70" t="s">
        <v>405</v>
      </c>
      <c r="F197" s="70" t="s">
        <v>189</v>
      </c>
      <c r="G197" s="71" t="n">
        <v>46295</v>
      </c>
      <c r="H197" s="72" t="n">
        <v>-120</v>
      </c>
      <c r="I197" s="70" t="s">
        <v>146</v>
      </c>
      <c r="J197" s="71" t="n">
        <v>46295</v>
      </c>
      <c r="K197" s="70" t="s">
        <v>406</v>
      </c>
      <c r="L197" s="72" t="n">
        <v>0</v>
      </c>
      <c r="M197" s="73" t="n">
        <v>0.356180555555556</v>
      </c>
      <c r="N197" s="70" t="s">
        <v>407</v>
      </c>
      <c r="O197" s="70" t="s">
        <v>958</v>
      </c>
      <c r="P197" s="70" t="s">
        <v>959</v>
      </c>
      <c r="Q197" s="70" t="s">
        <v>960</v>
      </c>
      <c r="R197" s="75" t="n">
        <f aca="false">-H197</f>
        <v>120</v>
      </c>
    </row>
    <row r="198" customFormat="false" ht="15" hidden="false" customHeight="false" outlineLevel="0" collapsed="false">
      <c r="A198" s="70" t="s">
        <v>961</v>
      </c>
      <c r="B198" s="70" t="s">
        <v>232</v>
      </c>
      <c r="C198" s="70" t="s">
        <v>334</v>
      </c>
      <c r="D198" s="70" t="s">
        <v>939</v>
      </c>
      <c r="E198" s="70" t="s">
        <v>405</v>
      </c>
      <c r="F198" s="70" t="s">
        <v>189</v>
      </c>
      <c r="G198" s="71" t="n">
        <v>46295</v>
      </c>
      <c r="H198" s="72" t="n">
        <v>-45</v>
      </c>
      <c r="I198" s="70" t="s">
        <v>146</v>
      </c>
      <c r="J198" s="71" t="n">
        <v>46295</v>
      </c>
      <c r="K198" s="70" t="s">
        <v>406</v>
      </c>
      <c r="L198" s="72" t="n">
        <v>0</v>
      </c>
      <c r="M198" s="73" t="n">
        <v>0.356759259259259</v>
      </c>
      <c r="N198" s="70" t="s">
        <v>407</v>
      </c>
      <c r="O198" s="70" t="s">
        <v>962</v>
      </c>
      <c r="P198" s="70" t="s">
        <v>953</v>
      </c>
      <c r="Q198" s="70" t="s">
        <v>954</v>
      </c>
      <c r="R198" s="75" t="n">
        <f aca="false">-H198</f>
        <v>45</v>
      </c>
    </row>
    <row r="199" customFormat="false" ht="15" hidden="false" customHeight="false" outlineLevel="0" collapsed="false">
      <c r="A199" s="70" t="s">
        <v>961</v>
      </c>
      <c r="B199" s="70" t="s">
        <v>232</v>
      </c>
      <c r="C199" s="70" t="s">
        <v>233</v>
      </c>
      <c r="D199" s="70" t="s">
        <v>939</v>
      </c>
      <c r="E199" s="70" t="s">
        <v>405</v>
      </c>
      <c r="F199" s="70" t="s">
        <v>189</v>
      </c>
      <c r="G199" s="71" t="n">
        <v>46295</v>
      </c>
      <c r="H199" s="72" t="n">
        <v>-165</v>
      </c>
      <c r="I199" s="70" t="s">
        <v>146</v>
      </c>
      <c r="J199" s="71" t="n">
        <v>46295</v>
      </c>
      <c r="K199" s="70" t="s">
        <v>406</v>
      </c>
      <c r="L199" s="72" t="n">
        <v>0</v>
      </c>
      <c r="M199" s="73" t="n">
        <v>0.356759259259259</v>
      </c>
      <c r="N199" s="70" t="s">
        <v>407</v>
      </c>
      <c r="O199" s="70" t="s">
        <v>962</v>
      </c>
      <c r="P199" s="70" t="s">
        <v>953</v>
      </c>
      <c r="Q199" s="70" t="s">
        <v>954</v>
      </c>
      <c r="R199" s="75" t="n">
        <f aca="false">-H199</f>
        <v>165</v>
      </c>
    </row>
    <row r="200" customFormat="false" ht="15" hidden="false" customHeight="false" outlineLevel="0" collapsed="false">
      <c r="A200" s="70" t="s">
        <v>963</v>
      </c>
      <c r="B200" s="70" t="s">
        <v>232</v>
      </c>
      <c r="C200" s="70" t="s">
        <v>233</v>
      </c>
      <c r="D200" s="70" t="s">
        <v>939</v>
      </c>
      <c r="E200" s="70" t="s">
        <v>405</v>
      </c>
      <c r="F200" s="70" t="s">
        <v>189</v>
      </c>
      <c r="G200" s="71" t="n">
        <v>46295</v>
      </c>
      <c r="H200" s="72" t="n">
        <v>-75</v>
      </c>
      <c r="I200" s="70" t="s">
        <v>146</v>
      </c>
      <c r="J200" s="71" t="n">
        <v>46295</v>
      </c>
      <c r="K200" s="70" t="s">
        <v>406</v>
      </c>
      <c r="L200" s="72" t="n">
        <v>0</v>
      </c>
      <c r="M200" s="73" t="n">
        <v>0.356145833333333</v>
      </c>
      <c r="N200" s="70" t="s">
        <v>407</v>
      </c>
      <c r="O200" s="70" t="s">
        <v>964</v>
      </c>
      <c r="P200" s="70" t="s">
        <v>965</v>
      </c>
      <c r="Q200" s="70" t="s">
        <v>966</v>
      </c>
      <c r="R200" s="75" t="n">
        <f aca="false">-H200</f>
        <v>75</v>
      </c>
    </row>
    <row r="201" customFormat="false" ht="15" hidden="false" customHeight="false" outlineLevel="0" collapsed="false">
      <c r="A201" s="70" t="s">
        <v>951</v>
      </c>
      <c r="B201" s="70" t="s">
        <v>232</v>
      </c>
      <c r="C201" s="70" t="s">
        <v>334</v>
      </c>
      <c r="D201" s="70" t="s">
        <v>939</v>
      </c>
      <c r="E201" s="70" t="s">
        <v>405</v>
      </c>
      <c r="F201" s="70" t="s">
        <v>189</v>
      </c>
      <c r="G201" s="71" t="n">
        <v>46295</v>
      </c>
      <c r="H201" s="72" t="n">
        <v>-450</v>
      </c>
      <c r="I201" s="70" t="s">
        <v>146</v>
      </c>
      <c r="J201" s="71" t="n">
        <v>46295</v>
      </c>
      <c r="K201" s="70" t="s">
        <v>406</v>
      </c>
      <c r="L201" s="72" t="n">
        <v>0</v>
      </c>
      <c r="M201" s="73" t="n">
        <v>0.356782407407407</v>
      </c>
      <c r="N201" s="70" t="s">
        <v>407</v>
      </c>
      <c r="O201" s="70" t="s">
        <v>952</v>
      </c>
      <c r="P201" s="70" t="s">
        <v>953</v>
      </c>
      <c r="Q201" s="70" t="s">
        <v>954</v>
      </c>
      <c r="R201" s="75" t="n">
        <f aca="false">-H201</f>
        <v>450</v>
      </c>
    </row>
    <row r="202" customFormat="false" ht="15" hidden="false" customHeight="false" outlineLevel="0" collapsed="false">
      <c r="A202" s="70" t="s">
        <v>967</v>
      </c>
      <c r="B202" s="70" t="s">
        <v>232</v>
      </c>
      <c r="C202" s="70" t="s">
        <v>233</v>
      </c>
      <c r="D202" s="70" t="s">
        <v>939</v>
      </c>
      <c r="E202" s="70" t="s">
        <v>405</v>
      </c>
      <c r="F202" s="70" t="s">
        <v>189</v>
      </c>
      <c r="G202" s="71" t="n">
        <v>46294</v>
      </c>
      <c r="H202" s="72" t="n">
        <v>-75</v>
      </c>
      <c r="I202" s="70" t="s">
        <v>146</v>
      </c>
      <c r="J202" s="71" t="n">
        <v>46295</v>
      </c>
      <c r="K202" s="70" t="s">
        <v>406</v>
      </c>
      <c r="L202" s="72" t="n">
        <v>0</v>
      </c>
      <c r="M202" s="73" t="n">
        <v>0.00552083333333333</v>
      </c>
      <c r="N202" s="70" t="s">
        <v>407</v>
      </c>
      <c r="O202" s="70" t="s">
        <v>968</v>
      </c>
      <c r="P202" s="70" t="s">
        <v>631</v>
      </c>
      <c r="Q202" s="70" t="s">
        <v>632</v>
      </c>
      <c r="R202" s="75" t="n">
        <f aca="false">-H202</f>
        <v>75</v>
      </c>
    </row>
    <row r="203" customFormat="false" ht="15" hidden="false" customHeight="false" outlineLevel="0" collapsed="false">
      <c r="A203" s="70" t="s">
        <v>969</v>
      </c>
      <c r="B203" s="70" t="s">
        <v>232</v>
      </c>
      <c r="C203" s="70" t="s">
        <v>233</v>
      </c>
      <c r="D203" s="70" t="s">
        <v>939</v>
      </c>
      <c r="E203" s="70" t="s">
        <v>405</v>
      </c>
      <c r="F203" s="70" t="s">
        <v>189</v>
      </c>
      <c r="G203" s="71" t="n">
        <v>46294</v>
      </c>
      <c r="H203" s="72" t="n">
        <v>-15</v>
      </c>
      <c r="I203" s="70" t="s">
        <v>146</v>
      </c>
      <c r="J203" s="71" t="n">
        <v>46294</v>
      </c>
      <c r="K203" s="70" t="s">
        <v>406</v>
      </c>
      <c r="L203" s="72" t="n">
        <v>0</v>
      </c>
      <c r="M203" s="73" t="n">
        <v>0.425798611111111</v>
      </c>
      <c r="N203" s="70" t="s">
        <v>407</v>
      </c>
      <c r="O203" s="70" t="s">
        <v>970</v>
      </c>
      <c r="P203" s="70" t="s">
        <v>971</v>
      </c>
      <c r="Q203" s="70" t="s">
        <v>972</v>
      </c>
      <c r="R203" s="75" t="n">
        <f aca="false">-H203</f>
        <v>15</v>
      </c>
    </row>
    <row r="204" customFormat="false" ht="15" hidden="false" customHeight="false" outlineLevel="0" collapsed="false">
      <c r="A204" s="70" t="s">
        <v>973</v>
      </c>
      <c r="B204" s="70" t="s">
        <v>232</v>
      </c>
      <c r="C204" s="70" t="s">
        <v>334</v>
      </c>
      <c r="D204" s="70" t="s">
        <v>939</v>
      </c>
      <c r="E204" s="70" t="s">
        <v>405</v>
      </c>
      <c r="F204" s="70" t="s">
        <v>189</v>
      </c>
      <c r="G204" s="71" t="n">
        <v>46294</v>
      </c>
      <c r="H204" s="72" t="n">
        <v>-15</v>
      </c>
      <c r="I204" s="70" t="s">
        <v>146</v>
      </c>
      <c r="J204" s="71" t="n">
        <v>46295</v>
      </c>
      <c r="K204" s="70" t="s">
        <v>406</v>
      </c>
      <c r="L204" s="72" t="n">
        <v>0</v>
      </c>
      <c r="M204" s="73" t="n">
        <v>0.00555555555555556</v>
      </c>
      <c r="N204" s="70" t="s">
        <v>407</v>
      </c>
      <c r="O204" s="70" t="s">
        <v>974</v>
      </c>
      <c r="P204" s="70" t="s">
        <v>975</v>
      </c>
      <c r="Q204" s="70" t="s">
        <v>976</v>
      </c>
      <c r="R204" s="75" t="n">
        <f aca="false">-H204</f>
        <v>15</v>
      </c>
    </row>
    <row r="205" customFormat="false" ht="15" hidden="false" customHeight="false" outlineLevel="0" collapsed="false">
      <c r="A205" s="70" t="s">
        <v>977</v>
      </c>
      <c r="B205" s="70" t="s">
        <v>232</v>
      </c>
      <c r="C205" s="70" t="s">
        <v>233</v>
      </c>
      <c r="D205" s="70" t="s">
        <v>939</v>
      </c>
      <c r="E205" s="70" t="s">
        <v>405</v>
      </c>
      <c r="F205" s="70" t="s">
        <v>189</v>
      </c>
      <c r="G205" s="71" t="n">
        <v>46294</v>
      </c>
      <c r="H205" s="72" t="n">
        <v>-15</v>
      </c>
      <c r="I205" s="70" t="s">
        <v>146</v>
      </c>
      <c r="J205" s="71" t="n">
        <v>46294</v>
      </c>
      <c r="K205" s="70" t="s">
        <v>406</v>
      </c>
      <c r="L205" s="72" t="n">
        <v>0</v>
      </c>
      <c r="M205" s="73" t="n">
        <v>0.346400462962963</v>
      </c>
      <c r="N205" s="70" t="s">
        <v>407</v>
      </c>
      <c r="O205" s="70" t="s">
        <v>978</v>
      </c>
      <c r="P205" s="70" t="s">
        <v>979</v>
      </c>
      <c r="Q205" s="70" t="s">
        <v>980</v>
      </c>
      <c r="R205" s="75" t="n">
        <f aca="false">-H205</f>
        <v>15</v>
      </c>
    </row>
    <row r="206" customFormat="false" ht="15" hidden="false" customHeight="false" outlineLevel="0" collapsed="false">
      <c r="A206" s="70" t="s">
        <v>981</v>
      </c>
      <c r="B206" s="70" t="s">
        <v>232</v>
      </c>
      <c r="C206" s="70" t="s">
        <v>233</v>
      </c>
      <c r="D206" s="70" t="s">
        <v>939</v>
      </c>
      <c r="E206" s="70" t="s">
        <v>405</v>
      </c>
      <c r="F206" s="70" t="s">
        <v>189</v>
      </c>
      <c r="G206" s="71" t="n">
        <v>46294</v>
      </c>
      <c r="H206" s="72" t="n">
        <v>-150</v>
      </c>
      <c r="I206" s="70" t="s">
        <v>146</v>
      </c>
      <c r="J206" s="71" t="n">
        <v>46294</v>
      </c>
      <c r="K206" s="70" t="s">
        <v>406</v>
      </c>
      <c r="L206" s="72" t="n">
        <v>0</v>
      </c>
      <c r="M206" s="73" t="n">
        <v>0.588043981481482</v>
      </c>
      <c r="N206" s="70" t="s">
        <v>481</v>
      </c>
      <c r="O206" s="70" t="s">
        <v>982</v>
      </c>
      <c r="P206" s="70" t="s">
        <v>472</v>
      </c>
      <c r="Q206" s="70" t="s">
        <v>473</v>
      </c>
      <c r="R206" s="75" t="n">
        <f aca="false">-H206</f>
        <v>150</v>
      </c>
    </row>
    <row r="207" customFormat="false" ht="15" hidden="false" customHeight="false" outlineLevel="0" collapsed="false">
      <c r="A207" s="70" t="s">
        <v>983</v>
      </c>
      <c r="B207" s="70" t="s">
        <v>232</v>
      </c>
      <c r="C207" s="70" t="s">
        <v>241</v>
      </c>
      <c r="D207" s="70" t="s">
        <v>939</v>
      </c>
      <c r="E207" s="70" t="s">
        <v>405</v>
      </c>
      <c r="F207" s="70" t="s">
        <v>189</v>
      </c>
      <c r="G207" s="71" t="n">
        <v>46292</v>
      </c>
      <c r="H207" s="72" t="n">
        <v>-45</v>
      </c>
      <c r="I207" s="70" t="s">
        <v>146</v>
      </c>
      <c r="J207" s="71" t="n">
        <v>46292</v>
      </c>
      <c r="K207" s="70" t="s">
        <v>406</v>
      </c>
      <c r="L207" s="72" t="n">
        <v>0</v>
      </c>
      <c r="M207" s="73" t="n">
        <v>0.677453703703704</v>
      </c>
      <c r="N207" s="70" t="s">
        <v>431</v>
      </c>
      <c r="O207" s="70" t="s">
        <v>984</v>
      </c>
      <c r="P207" s="70" t="s">
        <v>928</v>
      </c>
      <c r="Q207" s="70" t="s">
        <v>929</v>
      </c>
      <c r="R207" s="75" t="n">
        <f aca="false">-H207</f>
        <v>45</v>
      </c>
    </row>
    <row r="208" customFormat="false" ht="15" hidden="false" customHeight="false" outlineLevel="0" collapsed="false">
      <c r="A208" s="70" t="s">
        <v>985</v>
      </c>
      <c r="B208" s="70" t="s">
        <v>232</v>
      </c>
      <c r="C208" s="70" t="s">
        <v>241</v>
      </c>
      <c r="D208" s="70" t="s">
        <v>939</v>
      </c>
      <c r="E208" s="70" t="s">
        <v>405</v>
      </c>
      <c r="F208" s="70" t="s">
        <v>189</v>
      </c>
      <c r="G208" s="71" t="n">
        <v>46292</v>
      </c>
      <c r="H208" s="72" t="n">
        <v>-15</v>
      </c>
      <c r="I208" s="70" t="s">
        <v>146</v>
      </c>
      <c r="J208" s="71" t="n">
        <v>46292</v>
      </c>
      <c r="K208" s="70" t="s">
        <v>406</v>
      </c>
      <c r="L208" s="72" t="n">
        <v>0</v>
      </c>
      <c r="M208" s="73" t="n">
        <v>0.826157407407407</v>
      </c>
      <c r="N208" s="70" t="s">
        <v>431</v>
      </c>
      <c r="O208" s="70" t="s">
        <v>986</v>
      </c>
      <c r="P208" s="70" t="s">
        <v>987</v>
      </c>
      <c r="Q208" s="70" t="s">
        <v>988</v>
      </c>
      <c r="R208" s="75" t="n">
        <f aca="false">-H208</f>
        <v>15</v>
      </c>
    </row>
    <row r="209" customFormat="false" ht="15" hidden="false" customHeight="false" outlineLevel="0" collapsed="false">
      <c r="A209" s="70" t="s">
        <v>989</v>
      </c>
      <c r="B209" s="70" t="s">
        <v>232</v>
      </c>
      <c r="C209" s="70" t="s">
        <v>241</v>
      </c>
      <c r="D209" s="70" t="s">
        <v>939</v>
      </c>
      <c r="E209" s="70" t="s">
        <v>405</v>
      </c>
      <c r="F209" s="70" t="s">
        <v>189</v>
      </c>
      <c r="G209" s="71" t="n">
        <v>46292</v>
      </c>
      <c r="H209" s="72" t="n">
        <v>-30</v>
      </c>
      <c r="I209" s="70" t="s">
        <v>146</v>
      </c>
      <c r="J209" s="71" t="n">
        <v>46292</v>
      </c>
      <c r="K209" s="70" t="s">
        <v>406</v>
      </c>
      <c r="L209" s="72" t="n">
        <v>0</v>
      </c>
      <c r="M209" s="73" t="n">
        <v>0.826180555555556</v>
      </c>
      <c r="N209" s="70" t="s">
        <v>431</v>
      </c>
      <c r="O209" s="70" t="s">
        <v>990</v>
      </c>
      <c r="P209" s="70" t="s">
        <v>707</v>
      </c>
      <c r="Q209" s="70" t="s">
        <v>708</v>
      </c>
      <c r="R209" s="75" t="n">
        <f aca="false">-H209</f>
        <v>30</v>
      </c>
    </row>
    <row r="210" customFormat="false" ht="15" hidden="false" customHeight="false" outlineLevel="0" collapsed="false">
      <c r="A210" s="70" t="s">
        <v>991</v>
      </c>
      <c r="B210" s="70" t="s">
        <v>232</v>
      </c>
      <c r="C210" s="70" t="s">
        <v>233</v>
      </c>
      <c r="D210" s="70" t="s">
        <v>939</v>
      </c>
      <c r="E210" s="70" t="s">
        <v>405</v>
      </c>
      <c r="F210" s="70" t="s">
        <v>189</v>
      </c>
      <c r="G210" s="71" t="n">
        <v>46292</v>
      </c>
      <c r="H210" s="72" t="n">
        <v>-15</v>
      </c>
      <c r="I210" s="70" t="s">
        <v>146</v>
      </c>
      <c r="J210" s="71" t="n">
        <v>46292</v>
      </c>
      <c r="K210" s="70" t="s">
        <v>406</v>
      </c>
      <c r="L210" s="72" t="n">
        <v>0</v>
      </c>
      <c r="M210" s="73" t="n">
        <v>0.8253125</v>
      </c>
      <c r="N210" s="70" t="s">
        <v>431</v>
      </c>
      <c r="O210" s="70" t="s">
        <v>992</v>
      </c>
      <c r="P210" s="70" t="s">
        <v>993</v>
      </c>
      <c r="Q210" s="70" t="s">
        <v>994</v>
      </c>
      <c r="R210" s="75" t="n">
        <f aca="false">-H210</f>
        <v>15</v>
      </c>
    </row>
    <row r="211" customFormat="false" ht="15" hidden="false" customHeight="false" outlineLevel="0" collapsed="false">
      <c r="A211" s="70" t="s">
        <v>995</v>
      </c>
      <c r="B211" s="70" t="s">
        <v>232</v>
      </c>
      <c r="C211" s="70" t="s">
        <v>233</v>
      </c>
      <c r="D211" s="70" t="s">
        <v>939</v>
      </c>
      <c r="E211" s="70" t="s">
        <v>405</v>
      </c>
      <c r="F211" s="70" t="s">
        <v>189</v>
      </c>
      <c r="G211" s="71" t="n">
        <v>46292</v>
      </c>
      <c r="H211" s="72" t="n">
        <v>-15</v>
      </c>
      <c r="I211" s="70" t="s">
        <v>146</v>
      </c>
      <c r="J211" s="71" t="n">
        <v>46292</v>
      </c>
      <c r="K211" s="70" t="s">
        <v>406</v>
      </c>
      <c r="L211" s="72" t="n">
        <v>0</v>
      </c>
      <c r="M211" s="73" t="n">
        <v>0.825474537037037</v>
      </c>
      <c r="N211" s="70" t="s">
        <v>431</v>
      </c>
      <c r="O211" s="70" t="s">
        <v>996</v>
      </c>
      <c r="P211" s="70" t="s">
        <v>987</v>
      </c>
      <c r="Q211" s="70" t="s">
        <v>988</v>
      </c>
      <c r="R211" s="75" t="n">
        <f aca="false">-H211</f>
        <v>15</v>
      </c>
    </row>
    <row r="212" customFormat="false" ht="15" hidden="false" customHeight="false" outlineLevel="0" collapsed="false">
      <c r="A212" s="70" t="s">
        <v>997</v>
      </c>
      <c r="B212" s="70" t="s">
        <v>232</v>
      </c>
      <c r="C212" s="70" t="s">
        <v>233</v>
      </c>
      <c r="D212" s="70" t="s">
        <v>939</v>
      </c>
      <c r="E212" s="70" t="s">
        <v>405</v>
      </c>
      <c r="F212" s="70" t="s">
        <v>189</v>
      </c>
      <c r="G212" s="71" t="n">
        <v>46292</v>
      </c>
      <c r="H212" s="72" t="n">
        <v>-90</v>
      </c>
      <c r="I212" s="70" t="s">
        <v>146</v>
      </c>
      <c r="J212" s="71" t="n">
        <v>46292</v>
      </c>
      <c r="K212" s="70" t="s">
        <v>406</v>
      </c>
      <c r="L212" s="72" t="n">
        <v>0</v>
      </c>
      <c r="M212" s="73" t="n">
        <v>0.677835648148148</v>
      </c>
      <c r="N212" s="70" t="s">
        <v>431</v>
      </c>
      <c r="O212" s="70" t="s">
        <v>998</v>
      </c>
      <c r="P212" s="70" t="s">
        <v>999</v>
      </c>
      <c r="Q212" s="70" t="s">
        <v>1000</v>
      </c>
      <c r="R212" s="75" t="n">
        <f aca="false">-H212</f>
        <v>90</v>
      </c>
    </row>
    <row r="213" customFormat="false" ht="15" hidden="false" customHeight="false" outlineLevel="0" collapsed="false">
      <c r="A213" s="70" t="s">
        <v>1001</v>
      </c>
      <c r="B213" s="70" t="s">
        <v>232</v>
      </c>
      <c r="C213" s="70" t="s">
        <v>241</v>
      </c>
      <c r="D213" s="70" t="s">
        <v>939</v>
      </c>
      <c r="E213" s="70" t="s">
        <v>405</v>
      </c>
      <c r="F213" s="70" t="s">
        <v>189</v>
      </c>
      <c r="G213" s="71" t="n">
        <v>46292</v>
      </c>
      <c r="H213" s="72" t="n">
        <v>-30</v>
      </c>
      <c r="I213" s="70" t="s">
        <v>146</v>
      </c>
      <c r="J213" s="71" t="n">
        <v>46292</v>
      </c>
      <c r="K213" s="70" t="s">
        <v>406</v>
      </c>
      <c r="L213" s="72" t="n">
        <v>0</v>
      </c>
      <c r="M213" s="73" t="n">
        <v>0.826145833333333</v>
      </c>
      <c r="N213" s="70" t="s">
        <v>431</v>
      </c>
      <c r="O213" s="70" t="s">
        <v>1002</v>
      </c>
      <c r="P213" s="70" t="s">
        <v>1003</v>
      </c>
      <c r="Q213" s="70" t="s">
        <v>1004</v>
      </c>
      <c r="R213" s="75" t="n">
        <f aca="false">-H213</f>
        <v>30</v>
      </c>
    </row>
    <row r="214" customFormat="false" ht="15" hidden="false" customHeight="false" outlineLevel="0" collapsed="false">
      <c r="A214" s="70" t="s">
        <v>1005</v>
      </c>
      <c r="B214" s="70" t="s">
        <v>232</v>
      </c>
      <c r="C214" s="70" t="s">
        <v>233</v>
      </c>
      <c r="D214" s="70" t="s">
        <v>939</v>
      </c>
      <c r="E214" s="70" t="s">
        <v>405</v>
      </c>
      <c r="F214" s="70" t="s">
        <v>189</v>
      </c>
      <c r="G214" s="71" t="n">
        <v>46292</v>
      </c>
      <c r="H214" s="72" t="n">
        <v>-30</v>
      </c>
      <c r="I214" s="70" t="s">
        <v>146</v>
      </c>
      <c r="J214" s="71" t="n">
        <v>46292</v>
      </c>
      <c r="K214" s="70" t="s">
        <v>406</v>
      </c>
      <c r="L214" s="72" t="n">
        <v>0</v>
      </c>
      <c r="M214" s="73" t="n">
        <v>0.826134259259259</v>
      </c>
      <c r="N214" s="70" t="s">
        <v>431</v>
      </c>
      <c r="O214" s="70" t="s">
        <v>1006</v>
      </c>
      <c r="P214" s="70" t="s">
        <v>1007</v>
      </c>
      <c r="Q214" s="70" t="s">
        <v>1008</v>
      </c>
      <c r="R214" s="75" t="n">
        <f aca="false">-H214</f>
        <v>30</v>
      </c>
    </row>
    <row r="215" customFormat="false" ht="15" hidden="false" customHeight="false" outlineLevel="0" collapsed="false">
      <c r="A215" s="70" t="s">
        <v>1009</v>
      </c>
      <c r="B215" s="70" t="s">
        <v>232</v>
      </c>
      <c r="C215" s="70" t="s">
        <v>233</v>
      </c>
      <c r="D215" s="70" t="s">
        <v>939</v>
      </c>
      <c r="E215" s="70" t="s">
        <v>405</v>
      </c>
      <c r="F215" s="70" t="s">
        <v>189</v>
      </c>
      <c r="G215" s="71" t="n">
        <v>46292</v>
      </c>
      <c r="H215" s="72" t="n">
        <v>-15</v>
      </c>
      <c r="I215" s="70" t="s">
        <v>146</v>
      </c>
      <c r="J215" s="71" t="n">
        <v>46292</v>
      </c>
      <c r="K215" s="70" t="s">
        <v>406</v>
      </c>
      <c r="L215" s="72" t="n">
        <v>0</v>
      </c>
      <c r="M215" s="73" t="n">
        <v>0.825451388888889</v>
      </c>
      <c r="N215" s="70" t="s">
        <v>431</v>
      </c>
      <c r="O215" s="70" t="s">
        <v>1010</v>
      </c>
      <c r="P215" s="70" t="s">
        <v>1011</v>
      </c>
      <c r="Q215" s="70" t="s">
        <v>1012</v>
      </c>
      <c r="R215" s="75" t="n">
        <f aca="false">-H215</f>
        <v>15</v>
      </c>
    </row>
    <row r="216" customFormat="false" ht="15" hidden="false" customHeight="false" outlineLevel="0" collapsed="false">
      <c r="A216" s="70" t="s">
        <v>1013</v>
      </c>
      <c r="B216" s="70" t="s">
        <v>232</v>
      </c>
      <c r="C216" s="70" t="s">
        <v>233</v>
      </c>
      <c r="D216" s="70" t="s">
        <v>939</v>
      </c>
      <c r="E216" s="70" t="s">
        <v>405</v>
      </c>
      <c r="F216" s="70" t="s">
        <v>189</v>
      </c>
      <c r="G216" s="71" t="n">
        <v>46292</v>
      </c>
      <c r="H216" s="72" t="n">
        <v>-30</v>
      </c>
      <c r="I216" s="70" t="s">
        <v>146</v>
      </c>
      <c r="J216" s="71" t="n">
        <v>46292</v>
      </c>
      <c r="K216" s="70" t="s">
        <v>406</v>
      </c>
      <c r="L216" s="72" t="n">
        <v>0</v>
      </c>
      <c r="M216" s="73" t="n">
        <v>0.82619212962963</v>
      </c>
      <c r="N216" s="70" t="s">
        <v>431</v>
      </c>
      <c r="O216" s="70" t="s">
        <v>1014</v>
      </c>
      <c r="P216" s="70" t="s">
        <v>1015</v>
      </c>
      <c r="Q216" s="70" t="s">
        <v>1016</v>
      </c>
      <c r="R216" s="75" t="n">
        <f aca="false">-H216</f>
        <v>30</v>
      </c>
    </row>
    <row r="217" customFormat="false" ht="15" hidden="false" customHeight="false" outlineLevel="0" collapsed="false">
      <c r="A217" s="70" t="s">
        <v>1017</v>
      </c>
      <c r="B217" s="70" t="s">
        <v>232</v>
      </c>
      <c r="C217" s="70" t="s">
        <v>241</v>
      </c>
      <c r="D217" s="70" t="s">
        <v>939</v>
      </c>
      <c r="E217" s="70" t="s">
        <v>405</v>
      </c>
      <c r="F217" s="70" t="s">
        <v>189</v>
      </c>
      <c r="G217" s="71" t="n">
        <v>46292</v>
      </c>
      <c r="H217" s="72" t="n">
        <v>-15</v>
      </c>
      <c r="I217" s="70" t="s">
        <v>146</v>
      </c>
      <c r="J217" s="71" t="n">
        <v>46292</v>
      </c>
      <c r="K217" s="70" t="s">
        <v>406</v>
      </c>
      <c r="L217" s="72" t="n">
        <v>0</v>
      </c>
      <c r="M217" s="73" t="n">
        <v>0.826226851851852</v>
      </c>
      <c r="N217" s="70" t="s">
        <v>431</v>
      </c>
      <c r="O217" s="70" t="s">
        <v>1018</v>
      </c>
      <c r="P217" s="70" t="s">
        <v>577</v>
      </c>
      <c r="Q217" s="70" t="s">
        <v>578</v>
      </c>
      <c r="R217" s="75" t="n">
        <f aca="false">-H217</f>
        <v>15</v>
      </c>
    </row>
    <row r="218" customFormat="false" ht="15" hidden="false" customHeight="false" outlineLevel="0" collapsed="false">
      <c r="A218" s="70" t="s">
        <v>1019</v>
      </c>
      <c r="B218" s="70" t="s">
        <v>232</v>
      </c>
      <c r="C218" s="70" t="s">
        <v>241</v>
      </c>
      <c r="D218" s="70" t="s">
        <v>939</v>
      </c>
      <c r="E218" s="70" t="s">
        <v>405</v>
      </c>
      <c r="F218" s="70" t="s">
        <v>189</v>
      </c>
      <c r="G218" s="71" t="n">
        <v>46292</v>
      </c>
      <c r="H218" s="72" t="n">
        <v>-30</v>
      </c>
      <c r="I218" s="70" t="s">
        <v>146</v>
      </c>
      <c r="J218" s="71" t="n">
        <v>46292</v>
      </c>
      <c r="K218" s="70" t="s">
        <v>406</v>
      </c>
      <c r="L218" s="72" t="n">
        <v>0</v>
      </c>
      <c r="M218" s="73" t="n">
        <v>0.589189814814815</v>
      </c>
      <c r="N218" s="70" t="s">
        <v>431</v>
      </c>
      <c r="O218" s="70" t="s">
        <v>1020</v>
      </c>
      <c r="P218" s="70" t="s">
        <v>999</v>
      </c>
      <c r="Q218" s="70" t="s">
        <v>1000</v>
      </c>
      <c r="R218" s="75" t="n">
        <f aca="false">-H218</f>
        <v>30</v>
      </c>
    </row>
    <row r="219" customFormat="false" ht="15" hidden="false" customHeight="false" outlineLevel="0" collapsed="false">
      <c r="A219" s="70" t="s">
        <v>575</v>
      </c>
      <c r="B219" s="70" t="s">
        <v>232</v>
      </c>
      <c r="C219" s="70" t="s">
        <v>241</v>
      </c>
      <c r="D219" s="70" t="s">
        <v>939</v>
      </c>
      <c r="E219" s="70" t="s">
        <v>405</v>
      </c>
      <c r="F219" s="70" t="s">
        <v>189</v>
      </c>
      <c r="G219" s="71" t="n">
        <v>46292</v>
      </c>
      <c r="H219" s="72" t="n">
        <v>-15</v>
      </c>
      <c r="I219" s="70" t="s">
        <v>146</v>
      </c>
      <c r="J219" s="71" t="n">
        <v>46292</v>
      </c>
      <c r="K219" s="70" t="s">
        <v>406</v>
      </c>
      <c r="L219" s="72" t="n">
        <v>0</v>
      </c>
      <c r="M219" s="73" t="n">
        <v>0.826238425925926</v>
      </c>
      <c r="N219" s="70" t="s">
        <v>431</v>
      </c>
      <c r="O219" s="70" t="s">
        <v>576</v>
      </c>
      <c r="P219" s="70" t="s">
        <v>577</v>
      </c>
      <c r="Q219" s="70" t="s">
        <v>578</v>
      </c>
      <c r="R219" s="75" t="n">
        <f aca="false">-H219</f>
        <v>15</v>
      </c>
    </row>
    <row r="220" customFormat="false" ht="15" hidden="false" customHeight="false" outlineLevel="0" collapsed="false">
      <c r="A220" s="70" t="s">
        <v>1021</v>
      </c>
      <c r="B220" s="70" t="s">
        <v>232</v>
      </c>
      <c r="C220" s="70" t="s">
        <v>233</v>
      </c>
      <c r="D220" s="70" t="s">
        <v>939</v>
      </c>
      <c r="E220" s="70" t="s">
        <v>405</v>
      </c>
      <c r="F220" s="70" t="s">
        <v>189</v>
      </c>
      <c r="G220" s="71" t="n">
        <v>46292</v>
      </c>
      <c r="H220" s="72" t="n">
        <v>-60</v>
      </c>
      <c r="I220" s="70" t="s">
        <v>146</v>
      </c>
      <c r="J220" s="71" t="n">
        <v>46292</v>
      </c>
      <c r="K220" s="70" t="s">
        <v>406</v>
      </c>
      <c r="L220" s="72" t="n">
        <v>0</v>
      </c>
      <c r="M220" s="73" t="n">
        <v>0.631678240740741</v>
      </c>
      <c r="N220" s="70" t="s">
        <v>431</v>
      </c>
      <c r="O220" s="70" t="s">
        <v>1022</v>
      </c>
      <c r="P220" s="70" t="s">
        <v>999</v>
      </c>
      <c r="Q220" s="70" t="s">
        <v>1000</v>
      </c>
      <c r="R220" s="75" t="n">
        <f aca="false">-H220</f>
        <v>60</v>
      </c>
    </row>
    <row r="221" customFormat="false" ht="15" hidden="false" customHeight="false" outlineLevel="0" collapsed="false">
      <c r="A221" s="70" t="s">
        <v>1023</v>
      </c>
      <c r="B221" s="70" t="s">
        <v>232</v>
      </c>
      <c r="C221" s="70" t="s">
        <v>241</v>
      </c>
      <c r="D221" s="70" t="s">
        <v>939</v>
      </c>
      <c r="E221" s="70" t="s">
        <v>405</v>
      </c>
      <c r="F221" s="70" t="s">
        <v>189</v>
      </c>
      <c r="G221" s="71" t="n">
        <v>46292</v>
      </c>
      <c r="H221" s="72" t="n">
        <v>-45</v>
      </c>
      <c r="I221" s="70" t="s">
        <v>146</v>
      </c>
      <c r="J221" s="71" t="n">
        <v>46292</v>
      </c>
      <c r="K221" s="70" t="s">
        <v>406</v>
      </c>
      <c r="L221" s="72" t="n">
        <v>0</v>
      </c>
      <c r="M221" s="73" t="n">
        <v>0.631273148148148</v>
      </c>
      <c r="N221" s="70" t="s">
        <v>431</v>
      </c>
      <c r="O221" s="70" t="s">
        <v>1024</v>
      </c>
      <c r="P221" s="70" t="s">
        <v>1025</v>
      </c>
      <c r="Q221" s="70" t="s">
        <v>1026</v>
      </c>
      <c r="R221" s="75" t="n">
        <f aca="false">-H221</f>
        <v>45</v>
      </c>
    </row>
    <row r="222" customFormat="false" ht="15" hidden="false" customHeight="false" outlineLevel="0" collapsed="false">
      <c r="A222" s="70" t="s">
        <v>1027</v>
      </c>
      <c r="B222" s="70" t="s">
        <v>232</v>
      </c>
      <c r="C222" s="70" t="s">
        <v>241</v>
      </c>
      <c r="D222" s="70" t="s">
        <v>939</v>
      </c>
      <c r="E222" s="70" t="s">
        <v>405</v>
      </c>
      <c r="F222" s="70" t="s">
        <v>189</v>
      </c>
      <c r="G222" s="71" t="n">
        <v>46292</v>
      </c>
      <c r="H222" s="72" t="n">
        <v>-15</v>
      </c>
      <c r="I222" s="70" t="s">
        <v>146</v>
      </c>
      <c r="J222" s="71" t="n">
        <v>46292</v>
      </c>
      <c r="K222" s="70" t="s">
        <v>406</v>
      </c>
      <c r="L222" s="72" t="n">
        <v>0</v>
      </c>
      <c r="M222" s="73" t="n">
        <v>0.589305555555556</v>
      </c>
      <c r="N222" s="70" t="s">
        <v>431</v>
      </c>
      <c r="O222" s="70" t="s">
        <v>1028</v>
      </c>
      <c r="P222" s="70" t="s">
        <v>1029</v>
      </c>
      <c r="Q222" s="70" t="s">
        <v>1030</v>
      </c>
      <c r="R222" s="75" t="n">
        <f aca="false">-H222</f>
        <v>15</v>
      </c>
    </row>
    <row r="223" customFormat="false" ht="15" hidden="false" customHeight="false" outlineLevel="0" collapsed="false">
      <c r="A223" s="70" t="s">
        <v>1019</v>
      </c>
      <c r="B223" s="70" t="s">
        <v>232</v>
      </c>
      <c r="C223" s="70" t="s">
        <v>241</v>
      </c>
      <c r="D223" s="70" t="s">
        <v>939</v>
      </c>
      <c r="E223" s="70" t="s">
        <v>405</v>
      </c>
      <c r="F223" s="70" t="s">
        <v>189</v>
      </c>
      <c r="G223" s="71" t="n">
        <v>46292</v>
      </c>
      <c r="H223" s="72" t="n">
        <v>-15</v>
      </c>
      <c r="I223" s="70" t="s">
        <v>146</v>
      </c>
      <c r="J223" s="71" t="n">
        <v>46292</v>
      </c>
      <c r="K223" s="70" t="s">
        <v>406</v>
      </c>
      <c r="L223" s="72" t="n">
        <v>0</v>
      </c>
      <c r="M223" s="73" t="n">
        <v>0.589189814814815</v>
      </c>
      <c r="N223" s="70" t="s">
        <v>431</v>
      </c>
      <c r="O223" s="70" t="s">
        <v>1020</v>
      </c>
      <c r="P223" s="70" t="s">
        <v>999</v>
      </c>
      <c r="Q223" s="70" t="s">
        <v>1000</v>
      </c>
      <c r="R223" s="75" t="n">
        <f aca="false">-H223</f>
        <v>15</v>
      </c>
    </row>
    <row r="224" customFormat="false" ht="15" hidden="false" customHeight="false" outlineLevel="0" collapsed="false">
      <c r="A224" s="70" t="s">
        <v>1031</v>
      </c>
      <c r="B224" s="70" t="s">
        <v>232</v>
      </c>
      <c r="C224" s="70" t="s">
        <v>233</v>
      </c>
      <c r="D224" s="70" t="s">
        <v>939</v>
      </c>
      <c r="E224" s="70" t="s">
        <v>405</v>
      </c>
      <c r="F224" s="70" t="s">
        <v>189</v>
      </c>
      <c r="G224" s="71" t="n">
        <v>46290</v>
      </c>
      <c r="H224" s="72" t="n">
        <v>-30</v>
      </c>
      <c r="I224" s="70" t="s">
        <v>146</v>
      </c>
      <c r="J224" s="71" t="n">
        <v>46290</v>
      </c>
      <c r="K224" s="70" t="s">
        <v>406</v>
      </c>
      <c r="L224" s="72" t="n">
        <v>0</v>
      </c>
      <c r="M224" s="73" t="n">
        <v>0.80931712962963</v>
      </c>
      <c r="N224" s="70" t="s">
        <v>481</v>
      </c>
      <c r="O224" s="70" t="s">
        <v>1032</v>
      </c>
      <c r="P224" s="70" t="s">
        <v>599</v>
      </c>
      <c r="Q224" s="70" t="s">
        <v>600</v>
      </c>
      <c r="R224" s="75" t="n">
        <f aca="false">-H224</f>
        <v>30</v>
      </c>
    </row>
    <row r="225" customFormat="false" ht="15" hidden="false" customHeight="false" outlineLevel="0" collapsed="false">
      <c r="A225" s="70" t="s">
        <v>1033</v>
      </c>
      <c r="B225" s="70" t="s">
        <v>232</v>
      </c>
      <c r="C225" s="70" t="s">
        <v>233</v>
      </c>
      <c r="D225" s="70" t="s">
        <v>939</v>
      </c>
      <c r="E225" s="70" t="s">
        <v>405</v>
      </c>
      <c r="F225" s="70" t="s">
        <v>189</v>
      </c>
      <c r="G225" s="71" t="n">
        <v>46290</v>
      </c>
      <c r="H225" s="72" t="n">
        <v>-15</v>
      </c>
      <c r="I225" s="70" t="s">
        <v>146</v>
      </c>
      <c r="J225" s="71" t="n">
        <v>46290</v>
      </c>
      <c r="K225" s="70" t="s">
        <v>406</v>
      </c>
      <c r="L225" s="72" t="n">
        <v>0</v>
      </c>
      <c r="M225" s="73" t="n">
        <v>0.809282407407407</v>
      </c>
      <c r="N225" s="70" t="s">
        <v>481</v>
      </c>
      <c r="O225" s="70" t="s">
        <v>1034</v>
      </c>
      <c r="P225" s="70" t="s">
        <v>1035</v>
      </c>
      <c r="Q225" s="70" t="s">
        <v>1036</v>
      </c>
      <c r="R225" s="75" t="n">
        <f aca="false">-H225</f>
        <v>15</v>
      </c>
    </row>
    <row r="226" customFormat="false" ht="15" hidden="false" customHeight="false" outlineLevel="0" collapsed="false">
      <c r="A226" s="70" t="s">
        <v>1037</v>
      </c>
      <c r="B226" s="70" t="s">
        <v>232</v>
      </c>
      <c r="C226" s="70" t="s">
        <v>233</v>
      </c>
      <c r="D226" s="70" t="s">
        <v>939</v>
      </c>
      <c r="E226" s="70" t="s">
        <v>405</v>
      </c>
      <c r="F226" s="70" t="s">
        <v>189</v>
      </c>
      <c r="G226" s="71" t="n">
        <v>46290</v>
      </c>
      <c r="H226" s="72" t="n">
        <v>-30</v>
      </c>
      <c r="I226" s="70" t="s">
        <v>146</v>
      </c>
      <c r="J226" s="71" t="n">
        <v>46290</v>
      </c>
      <c r="K226" s="70" t="s">
        <v>406</v>
      </c>
      <c r="L226" s="72" t="n">
        <v>0</v>
      </c>
      <c r="M226" s="73" t="n">
        <v>0.809305555555556</v>
      </c>
      <c r="N226" s="70" t="s">
        <v>481</v>
      </c>
      <c r="O226" s="70" t="s">
        <v>1038</v>
      </c>
      <c r="P226" s="70" t="s">
        <v>599</v>
      </c>
      <c r="Q226" s="70" t="s">
        <v>600</v>
      </c>
      <c r="R226" s="75" t="n">
        <f aca="false">-H226</f>
        <v>30</v>
      </c>
    </row>
    <row r="227" customFormat="false" ht="15" hidden="false" customHeight="false" outlineLevel="0" collapsed="false">
      <c r="A227" s="70" t="s">
        <v>1039</v>
      </c>
      <c r="B227" s="70" t="s">
        <v>232</v>
      </c>
      <c r="C227" s="70" t="s">
        <v>241</v>
      </c>
      <c r="D227" s="70" t="s">
        <v>939</v>
      </c>
      <c r="E227" s="70" t="s">
        <v>416</v>
      </c>
      <c r="F227" s="70" t="s">
        <v>189</v>
      </c>
      <c r="G227" s="71" t="n">
        <v>46286</v>
      </c>
      <c r="H227" s="72" t="n">
        <v>-15</v>
      </c>
      <c r="I227" s="70" t="s">
        <v>146</v>
      </c>
      <c r="J227" s="71" t="n">
        <v>46286</v>
      </c>
      <c r="K227" s="70" t="s">
        <v>406</v>
      </c>
      <c r="L227" s="72" t="n">
        <v>0</v>
      </c>
      <c r="M227" s="73" t="n">
        <v>0.710173611111111</v>
      </c>
      <c r="N227" s="70" t="s">
        <v>426</v>
      </c>
      <c r="O227" s="70" t="s">
        <v>1040</v>
      </c>
      <c r="P227" s="70" t="s">
        <v>1041</v>
      </c>
      <c r="Q227" s="70" t="s">
        <v>1042</v>
      </c>
      <c r="R227" s="75" t="n">
        <f aca="false">-H227</f>
        <v>15</v>
      </c>
    </row>
    <row r="228" customFormat="false" ht="15" hidden="false" customHeight="false" outlineLevel="0" collapsed="false">
      <c r="A228" s="70" t="s">
        <v>1043</v>
      </c>
      <c r="B228" s="70" t="s">
        <v>232</v>
      </c>
      <c r="C228" s="70" t="s">
        <v>241</v>
      </c>
      <c r="D228" s="70" t="s">
        <v>939</v>
      </c>
      <c r="E228" s="70" t="s">
        <v>416</v>
      </c>
      <c r="F228" s="70" t="s">
        <v>189</v>
      </c>
      <c r="G228" s="71" t="n">
        <v>46281</v>
      </c>
      <c r="H228" s="72" t="n">
        <v>-15</v>
      </c>
      <c r="I228" s="70" t="s">
        <v>146</v>
      </c>
      <c r="J228" s="71" t="n">
        <v>46281</v>
      </c>
      <c r="K228" s="70" t="s">
        <v>406</v>
      </c>
      <c r="L228" s="72" t="n">
        <v>0</v>
      </c>
      <c r="M228" s="73" t="n">
        <v>0.749189814814815</v>
      </c>
      <c r="N228" s="70" t="s">
        <v>426</v>
      </c>
      <c r="O228" s="70" t="s">
        <v>1044</v>
      </c>
      <c r="P228" s="70" t="s">
        <v>1045</v>
      </c>
      <c r="Q228" s="70" t="s">
        <v>1046</v>
      </c>
      <c r="R228" s="75" t="n">
        <f aca="false">-H228</f>
        <v>15</v>
      </c>
    </row>
    <row r="229" customFormat="false" ht="15" hidden="false" customHeight="false" outlineLevel="0" collapsed="false">
      <c r="A229" s="70" t="s">
        <v>513</v>
      </c>
      <c r="B229" s="70" t="s">
        <v>232</v>
      </c>
      <c r="C229" s="70" t="s">
        <v>241</v>
      </c>
      <c r="D229" s="70" t="s">
        <v>939</v>
      </c>
      <c r="E229" s="70" t="s">
        <v>416</v>
      </c>
      <c r="F229" s="70" t="s">
        <v>189</v>
      </c>
      <c r="G229" s="71" t="n">
        <v>46280</v>
      </c>
      <c r="H229" s="72" t="n">
        <v>-15</v>
      </c>
      <c r="I229" s="70" t="s">
        <v>146</v>
      </c>
      <c r="J229" s="71" t="n">
        <v>46280</v>
      </c>
      <c r="K229" s="70" t="s">
        <v>406</v>
      </c>
      <c r="L229" s="72" t="n">
        <v>0</v>
      </c>
      <c r="M229" s="73" t="n">
        <v>0.945474537037037</v>
      </c>
      <c r="N229" s="70" t="s">
        <v>426</v>
      </c>
      <c r="O229" s="70" t="s">
        <v>514</v>
      </c>
      <c r="P229" s="70" t="s">
        <v>428</v>
      </c>
      <c r="Q229" s="70" t="s">
        <v>429</v>
      </c>
      <c r="R229" s="75" t="n">
        <f aca="false">-H229</f>
        <v>15</v>
      </c>
    </row>
    <row r="230" customFormat="false" ht="15" hidden="false" customHeight="false" outlineLevel="0" collapsed="false">
      <c r="A230" s="70" t="s">
        <v>1047</v>
      </c>
      <c r="B230" s="70" t="s">
        <v>232</v>
      </c>
      <c r="C230" s="70" t="s">
        <v>241</v>
      </c>
      <c r="D230" s="70" t="s">
        <v>939</v>
      </c>
      <c r="E230" s="70" t="s">
        <v>416</v>
      </c>
      <c r="F230" s="70" t="s">
        <v>189</v>
      </c>
      <c r="G230" s="71" t="n">
        <v>46280</v>
      </c>
      <c r="H230" s="72" t="n">
        <v>-15</v>
      </c>
      <c r="I230" s="70" t="s">
        <v>146</v>
      </c>
      <c r="J230" s="71" t="n">
        <v>46280</v>
      </c>
      <c r="K230" s="70" t="s">
        <v>406</v>
      </c>
      <c r="L230" s="72" t="n">
        <v>0</v>
      </c>
      <c r="M230" s="73" t="n">
        <v>0.945243055555556</v>
      </c>
      <c r="N230" s="70" t="s">
        <v>426</v>
      </c>
      <c r="O230" s="70" t="s">
        <v>1048</v>
      </c>
      <c r="P230" s="70" t="s">
        <v>1049</v>
      </c>
      <c r="Q230" s="70" t="s">
        <v>1050</v>
      </c>
      <c r="R230" s="75" t="n">
        <f aca="false">-H230</f>
        <v>15</v>
      </c>
    </row>
    <row r="231" customFormat="false" ht="15" hidden="false" customHeight="false" outlineLevel="0" collapsed="false">
      <c r="A231" s="70" t="s">
        <v>1051</v>
      </c>
      <c r="B231" s="70" t="s">
        <v>243</v>
      </c>
      <c r="C231" s="70" t="s">
        <v>244</v>
      </c>
      <c r="D231" s="70" t="s">
        <v>1052</v>
      </c>
      <c r="E231" s="70" t="s">
        <v>405</v>
      </c>
      <c r="F231" s="70" t="s">
        <v>189</v>
      </c>
      <c r="G231" s="71" t="n">
        <v>46294</v>
      </c>
      <c r="H231" s="72" t="n">
        <v>-18</v>
      </c>
      <c r="I231" s="70" t="s">
        <v>65</v>
      </c>
      <c r="J231" s="71" t="n">
        <v>46295</v>
      </c>
      <c r="K231" s="70" t="s">
        <v>406</v>
      </c>
      <c r="L231" s="72" t="n">
        <v>0</v>
      </c>
      <c r="M231" s="73" t="n">
        <v>0.00543981481481482</v>
      </c>
      <c r="N231" s="70" t="s">
        <v>407</v>
      </c>
      <c r="O231" s="70" t="s">
        <v>1053</v>
      </c>
      <c r="P231" s="70" t="s">
        <v>631</v>
      </c>
      <c r="Q231" s="70" t="s">
        <v>632</v>
      </c>
      <c r="R231" s="75" t="n">
        <f aca="false">-H231</f>
        <v>18</v>
      </c>
    </row>
    <row r="232" customFormat="false" ht="15" hidden="false" customHeight="false" outlineLevel="0" collapsed="false">
      <c r="A232" s="70" t="s">
        <v>1054</v>
      </c>
      <c r="B232" s="70" t="s">
        <v>243</v>
      </c>
      <c r="C232" s="70" t="s">
        <v>244</v>
      </c>
      <c r="D232" s="70" t="s">
        <v>1052</v>
      </c>
      <c r="E232" s="70" t="s">
        <v>405</v>
      </c>
      <c r="F232" s="70" t="s">
        <v>189</v>
      </c>
      <c r="G232" s="71" t="n">
        <v>46292</v>
      </c>
      <c r="H232" s="72" t="n">
        <v>-18</v>
      </c>
      <c r="I232" s="70" t="s">
        <v>65</v>
      </c>
      <c r="J232" s="71" t="n">
        <v>46292</v>
      </c>
      <c r="K232" s="70" t="s">
        <v>406</v>
      </c>
      <c r="L232" s="72" t="n">
        <v>0</v>
      </c>
      <c r="M232" s="73" t="n">
        <v>0.825486111111111</v>
      </c>
      <c r="N232" s="70" t="s">
        <v>431</v>
      </c>
      <c r="O232" s="70" t="s">
        <v>1055</v>
      </c>
      <c r="P232" s="70" t="s">
        <v>707</v>
      </c>
      <c r="Q232" s="70" t="s">
        <v>708</v>
      </c>
      <c r="R232" s="75" t="n">
        <f aca="false">-H232</f>
        <v>18</v>
      </c>
    </row>
    <row r="233" customFormat="false" ht="15" hidden="false" customHeight="false" outlineLevel="0" collapsed="false">
      <c r="A233" s="70" t="s">
        <v>1056</v>
      </c>
      <c r="B233" s="70" t="s">
        <v>243</v>
      </c>
      <c r="C233" s="70" t="s">
        <v>244</v>
      </c>
      <c r="D233" s="70" t="s">
        <v>1052</v>
      </c>
      <c r="E233" s="70" t="s">
        <v>405</v>
      </c>
      <c r="F233" s="70" t="s">
        <v>189</v>
      </c>
      <c r="G233" s="71" t="n">
        <v>46292</v>
      </c>
      <c r="H233" s="72" t="n">
        <v>-6</v>
      </c>
      <c r="I233" s="70" t="s">
        <v>65</v>
      </c>
      <c r="J233" s="71" t="n">
        <v>46292</v>
      </c>
      <c r="K233" s="70" t="s">
        <v>406</v>
      </c>
      <c r="L233" s="72" t="n">
        <v>0</v>
      </c>
      <c r="M233" s="73" t="n">
        <v>0.577048611111111</v>
      </c>
      <c r="N233" s="70" t="s">
        <v>431</v>
      </c>
      <c r="O233" s="70" t="s">
        <v>1057</v>
      </c>
      <c r="P233" s="70" t="s">
        <v>631</v>
      </c>
      <c r="Q233" s="70" t="s">
        <v>632</v>
      </c>
      <c r="R233" s="75" t="n">
        <f aca="false">-H233</f>
        <v>6</v>
      </c>
    </row>
    <row r="234" customFormat="false" ht="15" hidden="false" customHeight="false" outlineLevel="0" collapsed="false">
      <c r="A234" s="70" t="s">
        <v>1058</v>
      </c>
      <c r="B234" s="70" t="s">
        <v>243</v>
      </c>
      <c r="C234" s="70" t="s">
        <v>244</v>
      </c>
      <c r="D234" s="70" t="s">
        <v>1052</v>
      </c>
      <c r="E234" s="70" t="s">
        <v>405</v>
      </c>
      <c r="F234" s="70" t="s">
        <v>189</v>
      </c>
      <c r="G234" s="71" t="n">
        <v>46292</v>
      </c>
      <c r="H234" s="72" t="n">
        <v>-12</v>
      </c>
      <c r="I234" s="70" t="s">
        <v>65</v>
      </c>
      <c r="J234" s="71" t="n">
        <v>46292</v>
      </c>
      <c r="K234" s="70" t="s">
        <v>406</v>
      </c>
      <c r="L234" s="72" t="n">
        <v>0</v>
      </c>
      <c r="M234" s="73" t="n">
        <v>0.825497685185185</v>
      </c>
      <c r="N234" s="70" t="s">
        <v>431</v>
      </c>
      <c r="O234" s="70" t="s">
        <v>1059</v>
      </c>
      <c r="P234" s="70" t="s">
        <v>1060</v>
      </c>
      <c r="Q234" s="70" t="s">
        <v>1061</v>
      </c>
      <c r="R234" s="75" t="n">
        <f aca="false">-H234</f>
        <v>12</v>
      </c>
    </row>
    <row r="235" customFormat="false" ht="15" hidden="false" customHeight="false" outlineLevel="0" collapsed="false">
      <c r="A235" s="70" t="s">
        <v>1062</v>
      </c>
      <c r="B235" s="70" t="s">
        <v>245</v>
      </c>
      <c r="C235" s="70" t="s">
        <v>246</v>
      </c>
      <c r="D235" s="70" t="s">
        <v>1063</v>
      </c>
      <c r="E235" s="70" t="s">
        <v>405</v>
      </c>
      <c r="F235" s="70" t="s">
        <v>189</v>
      </c>
      <c r="G235" s="71" t="n">
        <v>46279</v>
      </c>
      <c r="H235" s="72" t="n">
        <v>-6</v>
      </c>
      <c r="I235" s="70" t="s">
        <v>65</v>
      </c>
      <c r="J235" s="71" t="n">
        <v>46279</v>
      </c>
      <c r="K235" s="70" t="s">
        <v>406</v>
      </c>
      <c r="L235" s="72" t="n">
        <v>0</v>
      </c>
      <c r="M235" s="73" t="n">
        <v>0.483310185185185</v>
      </c>
      <c r="N235" s="70" t="s">
        <v>431</v>
      </c>
      <c r="O235" s="70" t="s">
        <v>1064</v>
      </c>
      <c r="P235" s="70" t="s">
        <v>1065</v>
      </c>
      <c r="Q235" s="70" t="s">
        <v>1066</v>
      </c>
      <c r="R235" s="75" t="n">
        <f aca="false">-H235</f>
        <v>6</v>
      </c>
    </row>
    <row r="236" customFormat="false" ht="15" hidden="false" customHeight="false" outlineLevel="0" collapsed="false">
      <c r="A236" s="70" t="s">
        <v>1067</v>
      </c>
      <c r="B236" s="70" t="s">
        <v>247</v>
      </c>
      <c r="C236" s="70" t="s">
        <v>248</v>
      </c>
      <c r="D236" s="70" t="s">
        <v>404</v>
      </c>
      <c r="E236" s="70" t="s">
        <v>405</v>
      </c>
      <c r="F236" s="70" t="s">
        <v>189</v>
      </c>
      <c r="G236" s="71" t="n">
        <v>46295</v>
      </c>
      <c r="H236" s="72" t="n">
        <v>-603</v>
      </c>
      <c r="I236" s="70" t="s">
        <v>65</v>
      </c>
      <c r="J236" s="71" t="n">
        <v>46296</v>
      </c>
      <c r="K236" s="70" t="s">
        <v>406</v>
      </c>
      <c r="L236" s="72" t="n">
        <v>0</v>
      </c>
      <c r="M236" s="73" t="n">
        <v>0.156226851851852</v>
      </c>
      <c r="N236" s="70" t="s">
        <v>444</v>
      </c>
      <c r="O236" s="70" t="s">
        <v>1068</v>
      </c>
      <c r="P236" s="70" t="s">
        <v>1069</v>
      </c>
      <c r="Q236" s="70" t="s">
        <v>1070</v>
      </c>
      <c r="R236" s="75" t="n">
        <f aca="false">-H236</f>
        <v>603</v>
      </c>
    </row>
    <row r="237" customFormat="false" ht="15" hidden="false" customHeight="false" outlineLevel="0" collapsed="false">
      <c r="A237" s="70" t="s">
        <v>1067</v>
      </c>
      <c r="B237" s="70" t="s">
        <v>247</v>
      </c>
      <c r="C237" s="70" t="s">
        <v>248</v>
      </c>
      <c r="D237" s="70" t="s">
        <v>404</v>
      </c>
      <c r="E237" s="70" t="s">
        <v>405</v>
      </c>
      <c r="F237" s="70" t="s">
        <v>189</v>
      </c>
      <c r="G237" s="71" t="n">
        <v>46295</v>
      </c>
      <c r="H237" s="72" t="n">
        <v>-201</v>
      </c>
      <c r="I237" s="70" t="s">
        <v>65</v>
      </c>
      <c r="J237" s="71" t="n">
        <v>46296</v>
      </c>
      <c r="K237" s="70" t="s">
        <v>406</v>
      </c>
      <c r="L237" s="72" t="n">
        <v>0</v>
      </c>
      <c r="M237" s="73" t="n">
        <v>0.156226851851852</v>
      </c>
      <c r="N237" s="70" t="s">
        <v>444</v>
      </c>
      <c r="O237" s="70" t="s">
        <v>1068</v>
      </c>
      <c r="P237" s="70" t="s">
        <v>1069</v>
      </c>
      <c r="Q237" s="70" t="s">
        <v>1070</v>
      </c>
      <c r="R237" s="75" t="n">
        <f aca="false">-H237</f>
        <v>201</v>
      </c>
    </row>
    <row r="238" customFormat="false" ht="15" hidden="false" customHeight="false" outlineLevel="0" collapsed="false">
      <c r="A238" s="70" t="s">
        <v>1071</v>
      </c>
      <c r="B238" s="70" t="s">
        <v>247</v>
      </c>
      <c r="C238" s="70" t="s">
        <v>248</v>
      </c>
      <c r="D238" s="70" t="s">
        <v>404</v>
      </c>
      <c r="E238" s="70" t="s">
        <v>416</v>
      </c>
      <c r="F238" s="70" t="s">
        <v>189</v>
      </c>
      <c r="G238" s="71" t="n">
        <v>46295</v>
      </c>
      <c r="H238" s="72" t="n">
        <v>-20.1</v>
      </c>
      <c r="I238" s="70" t="s">
        <v>65</v>
      </c>
      <c r="J238" s="71" t="n">
        <v>46295</v>
      </c>
      <c r="K238" s="70" t="s">
        <v>406</v>
      </c>
      <c r="L238" s="72" t="n">
        <v>0</v>
      </c>
      <c r="M238" s="73" t="n">
        <v>0.985428240740741</v>
      </c>
      <c r="N238" s="70" t="s">
        <v>426</v>
      </c>
      <c r="O238" s="70" t="s">
        <v>1072</v>
      </c>
      <c r="P238" s="70" t="s">
        <v>1073</v>
      </c>
      <c r="Q238" s="70" t="s">
        <v>1074</v>
      </c>
      <c r="R238" s="75" t="n">
        <f aca="false">-H238</f>
        <v>20.1</v>
      </c>
    </row>
    <row r="239" customFormat="false" ht="15" hidden="false" customHeight="false" outlineLevel="0" collapsed="false">
      <c r="A239" s="70" t="s">
        <v>1075</v>
      </c>
      <c r="B239" s="70" t="s">
        <v>247</v>
      </c>
      <c r="C239" s="70" t="s">
        <v>248</v>
      </c>
      <c r="D239" s="70" t="s">
        <v>404</v>
      </c>
      <c r="E239" s="70" t="s">
        <v>416</v>
      </c>
      <c r="F239" s="70" t="s">
        <v>189</v>
      </c>
      <c r="G239" s="71" t="n">
        <v>46295</v>
      </c>
      <c r="H239" s="72" t="n">
        <v>-20.1</v>
      </c>
      <c r="I239" s="70" t="s">
        <v>65</v>
      </c>
      <c r="J239" s="71" t="n">
        <v>46295</v>
      </c>
      <c r="K239" s="70" t="s">
        <v>406</v>
      </c>
      <c r="L239" s="72" t="n">
        <v>0</v>
      </c>
      <c r="M239" s="73" t="n">
        <v>0.985451388888889</v>
      </c>
      <c r="N239" s="70" t="s">
        <v>426</v>
      </c>
      <c r="O239" s="70" t="s">
        <v>1076</v>
      </c>
      <c r="P239" s="70" t="s">
        <v>491</v>
      </c>
      <c r="Q239" s="70" t="s">
        <v>492</v>
      </c>
      <c r="R239" s="75" t="n">
        <f aca="false">-H239</f>
        <v>20.1</v>
      </c>
    </row>
    <row r="240" customFormat="false" ht="15" hidden="false" customHeight="false" outlineLevel="0" collapsed="false">
      <c r="A240" s="70" t="s">
        <v>1077</v>
      </c>
      <c r="B240" s="70" t="s">
        <v>247</v>
      </c>
      <c r="C240" s="70" t="s">
        <v>248</v>
      </c>
      <c r="D240" s="70" t="s">
        <v>404</v>
      </c>
      <c r="E240" s="70" t="s">
        <v>416</v>
      </c>
      <c r="F240" s="70" t="s">
        <v>189</v>
      </c>
      <c r="G240" s="71" t="n">
        <v>46295</v>
      </c>
      <c r="H240" s="72" t="n">
        <v>-20.1</v>
      </c>
      <c r="I240" s="70" t="s">
        <v>65</v>
      </c>
      <c r="J240" s="71" t="n">
        <v>46295</v>
      </c>
      <c r="K240" s="70" t="s">
        <v>406</v>
      </c>
      <c r="L240" s="72" t="n">
        <v>0</v>
      </c>
      <c r="M240" s="73" t="n">
        <v>0.985462962962963</v>
      </c>
      <c r="N240" s="70" t="s">
        <v>426</v>
      </c>
      <c r="O240" s="70" t="s">
        <v>1078</v>
      </c>
      <c r="P240" s="70" t="s">
        <v>1079</v>
      </c>
      <c r="Q240" s="70" t="s">
        <v>1080</v>
      </c>
      <c r="R240" s="75" t="n">
        <f aca="false">-H240</f>
        <v>20.1</v>
      </c>
    </row>
    <row r="241" customFormat="false" ht="15" hidden="false" customHeight="false" outlineLevel="0" collapsed="false">
      <c r="A241" s="70" t="s">
        <v>1081</v>
      </c>
      <c r="B241" s="70" t="s">
        <v>247</v>
      </c>
      <c r="C241" s="70" t="s">
        <v>248</v>
      </c>
      <c r="D241" s="70" t="s">
        <v>404</v>
      </c>
      <c r="E241" s="70" t="s">
        <v>416</v>
      </c>
      <c r="F241" s="70" t="s">
        <v>189</v>
      </c>
      <c r="G241" s="71" t="n">
        <v>46295</v>
      </c>
      <c r="H241" s="72" t="n">
        <v>-20.1</v>
      </c>
      <c r="I241" s="70" t="s">
        <v>65</v>
      </c>
      <c r="J241" s="71" t="n">
        <v>46295</v>
      </c>
      <c r="K241" s="70" t="s">
        <v>406</v>
      </c>
      <c r="L241" s="72" t="n">
        <v>0</v>
      </c>
      <c r="M241" s="73" t="n">
        <v>0.985509259259259</v>
      </c>
      <c r="N241" s="70" t="s">
        <v>426</v>
      </c>
      <c r="O241" s="70" t="s">
        <v>1082</v>
      </c>
      <c r="P241" s="70" t="s">
        <v>1083</v>
      </c>
      <c r="Q241" s="70" t="s">
        <v>1084</v>
      </c>
      <c r="R241" s="75" t="n">
        <f aca="false">-H241</f>
        <v>20.1</v>
      </c>
    </row>
    <row r="242" customFormat="false" ht="15" hidden="false" customHeight="false" outlineLevel="0" collapsed="false">
      <c r="A242" s="70" t="s">
        <v>1085</v>
      </c>
      <c r="B242" s="70" t="s">
        <v>247</v>
      </c>
      <c r="C242" s="70" t="s">
        <v>248</v>
      </c>
      <c r="D242" s="70" t="s">
        <v>404</v>
      </c>
      <c r="E242" s="70" t="s">
        <v>405</v>
      </c>
      <c r="F242" s="70" t="s">
        <v>189</v>
      </c>
      <c r="G242" s="71" t="n">
        <v>46295</v>
      </c>
      <c r="H242" s="72" t="n">
        <v>-20.1</v>
      </c>
      <c r="I242" s="70" t="s">
        <v>65</v>
      </c>
      <c r="J242" s="71" t="n">
        <v>46296</v>
      </c>
      <c r="K242" s="70" t="s">
        <v>406</v>
      </c>
      <c r="L242" s="72" t="n">
        <v>0</v>
      </c>
      <c r="M242" s="73" t="n">
        <v>0.0645949074074074</v>
      </c>
      <c r="N242" s="70" t="s">
        <v>444</v>
      </c>
      <c r="O242" s="70" t="s">
        <v>1086</v>
      </c>
      <c r="P242" s="70" t="s">
        <v>679</v>
      </c>
      <c r="Q242" s="70" t="s">
        <v>680</v>
      </c>
      <c r="R242" s="75" t="n">
        <f aca="false">-H242</f>
        <v>20.1</v>
      </c>
    </row>
    <row r="243" customFormat="false" ht="15" hidden="false" customHeight="false" outlineLevel="0" collapsed="false">
      <c r="A243" s="70" t="s">
        <v>1087</v>
      </c>
      <c r="B243" s="70" t="s">
        <v>247</v>
      </c>
      <c r="C243" s="70" t="s">
        <v>248</v>
      </c>
      <c r="D243" s="70" t="s">
        <v>404</v>
      </c>
      <c r="E243" s="70" t="s">
        <v>405</v>
      </c>
      <c r="F243" s="70" t="s">
        <v>189</v>
      </c>
      <c r="G243" s="71" t="n">
        <v>46295</v>
      </c>
      <c r="H243" s="72" t="n">
        <v>-20.1</v>
      </c>
      <c r="I243" s="70" t="s">
        <v>65</v>
      </c>
      <c r="J243" s="71" t="n">
        <v>46296</v>
      </c>
      <c r="K243" s="70" t="s">
        <v>406</v>
      </c>
      <c r="L243" s="72" t="n">
        <v>0</v>
      </c>
      <c r="M243" s="73" t="n">
        <v>0.0690277777777778</v>
      </c>
      <c r="N243" s="70" t="s">
        <v>444</v>
      </c>
      <c r="O243" s="70" t="s">
        <v>1088</v>
      </c>
      <c r="P243" s="70" t="s">
        <v>758</v>
      </c>
      <c r="Q243" s="70" t="s">
        <v>759</v>
      </c>
      <c r="R243" s="75" t="n">
        <f aca="false">-H243</f>
        <v>20.1</v>
      </c>
    </row>
    <row r="244" customFormat="false" ht="15" hidden="false" customHeight="false" outlineLevel="0" collapsed="false">
      <c r="A244" s="70" t="s">
        <v>1089</v>
      </c>
      <c r="B244" s="70" t="s">
        <v>247</v>
      </c>
      <c r="C244" s="70" t="s">
        <v>248</v>
      </c>
      <c r="D244" s="70" t="s">
        <v>404</v>
      </c>
      <c r="E244" s="70" t="s">
        <v>416</v>
      </c>
      <c r="F244" s="70" t="s">
        <v>189</v>
      </c>
      <c r="G244" s="71" t="n">
        <v>46295</v>
      </c>
      <c r="H244" s="72" t="n">
        <v>-20.1</v>
      </c>
      <c r="I244" s="70" t="s">
        <v>65</v>
      </c>
      <c r="J244" s="71" t="n">
        <v>46295</v>
      </c>
      <c r="K244" s="70" t="s">
        <v>406</v>
      </c>
      <c r="L244" s="72" t="n">
        <v>0</v>
      </c>
      <c r="M244" s="73" t="n">
        <v>0.985520833333333</v>
      </c>
      <c r="N244" s="70" t="s">
        <v>426</v>
      </c>
      <c r="O244" s="70" t="s">
        <v>1090</v>
      </c>
      <c r="P244" s="70" t="s">
        <v>1091</v>
      </c>
      <c r="Q244" s="70" t="s">
        <v>1092</v>
      </c>
      <c r="R244" s="75" t="n">
        <f aca="false">-H244</f>
        <v>20.1</v>
      </c>
    </row>
    <row r="245" customFormat="false" ht="15" hidden="false" customHeight="false" outlineLevel="0" collapsed="false">
      <c r="A245" s="70" t="s">
        <v>1087</v>
      </c>
      <c r="B245" s="70" t="s">
        <v>247</v>
      </c>
      <c r="C245" s="70" t="s">
        <v>248</v>
      </c>
      <c r="D245" s="70" t="s">
        <v>404</v>
      </c>
      <c r="E245" s="70" t="s">
        <v>405</v>
      </c>
      <c r="F245" s="70" t="s">
        <v>189</v>
      </c>
      <c r="G245" s="71" t="n">
        <v>46295</v>
      </c>
      <c r="H245" s="72" t="n">
        <v>-40.2</v>
      </c>
      <c r="I245" s="70" t="s">
        <v>65</v>
      </c>
      <c r="J245" s="71" t="n">
        <v>46296</v>
      </c>
      <c r="K245" s="70" t="s">
        <v>406</v>
      </c>
      <c r="L245" s="72" t="n">
        <v>0</v>
      </c>
      <c r="M245" s="73" t="n">
        <v>0.0690277777777778</v>
      </c>
      <c r="N245" s="70" t="s">
        <v>444</v>
      </c>
      <c r="O245" s="70" t="s">
        <v>1088</v>
      </c>
      <c r="P245" s="70" t="s">
        <v>758</v>
      </c>
      <c r="Q245" s="70" t="s">
        <v>759</v>
      </c>
      <c r="R245" s="75" t="n">
        <f aca="false">-H245</f>
        <v>40.2</v>
      </c>
    </row>
    <row r="246" customFormat="false" ht="15" hidden="false" customHeight="false" outlineLevel="0" collapsed="false">
      <c r="A246" s="70" t="s">
        <v>1093</v>
      </c>
      <c r="B246" s="70" t="s">
        <v>247</v>
      </c>
      <c r="C246" s="70" t="s">
        <v>348</v>
      </c>
      <c r="D246" s="70" t="s">
        <v>404</v>
      </c>
      <c r="E246" s="70" t="s">
        <v>405</v>
      </c>
      <c r="F246" s="70" t="s">
        <v>189</v>
      </c>
      <c r="G246" s="71" t="n">
        <v>46294</v>
      </c>
      <c r="H246" s="72" t="n">
        <v>-20.1</v>
      </c>
      <c r="I246" s="70" t="s">
        <v>65</v>
      </c>
      <c r="J246" s="71" t="n">
        <v>46295</v>
      </c>
      <c r="K246" s="70" t="s">
        <v>406</v>
      </c>
      <c r="L246" s="72" t="n">
        <v>0</v>
      </c>
      <c r="M246" s="73" t="n">
        <v>0.00545138888888889</v>
      </c>
      <c r="N246" s="70" t="s">
        <v>407</v>
      </c>
      <c r="O246" s="70" t="s">
        <v>1094</v>
      </c>
      <c r="P246" s="70" t="s">
        <v>975</v>
      </c>
      <c r="Q246" s="70" t="s">
        <v>976</v>
      </c>
      <c r="R246" s="75" t="n">
        <f aca="false">-H246</f>
        <v>20.1</v>
      </c>
    </row>
    <row r="247" customFormat="false" ht="15" hidden="false" customHeight="false" outlineLevel="0" collapsed="false">
      <c r="A247" s="70" t="s">
        <v>1095</v>
      </c>
      <c r="B247" s="70" t="s">
        <v>247</v>
      </c>
      <c r="C247" s="70" t="s">
        <v>248</v>
      </c>
      <c r="D247" s="70" t="s">
        <v>404</v>
      </c>
      <c r="E247" s="70" t="s">
        <v>405</v>
      </c>
      <c r="F247" s="70" t="s">
        <v>189</v>
      </c>
      <c r="G247" s="71" t="n">
        <v>46294</v>
      </c>
      <c r="H247" s="72" t="n">
        <v>-20.1</v>
      </c>
      <c r="I247" s="70" t="s">
        <v>65</v>
      </c>
      <c r="J247" s="71" t="n">
        <v>46294</v>
      </c>
      <c r="K247" s="70" t="s">
        <v>406</v>
      </c>
      <c r="L247" s="72" t="n">
        <v>0</v>
      </c>
      <c r="M247" s="73" t="n">
        <v>0.34625</v>
      </c>
      <c r="N247" s="70" t="s">
        <v>407</v>
      </c>
      <c r="O247" s="70" t="s">
        <v>1096</v>
      </c>
      <c r="P247" s="70" t="s">
        <v>1097</v>
      </c>
      <c r="Q247" s="70" t="s">
        <v>1098</v>
      </c>
      <c r="R247" s="75" t="n">
        <f aca="false">-H247</f>
        <v>20.1</v>
      </c>
    </row>
    <row r="248" customFormat="false" ht="15" hidden="false" customHeight="false" outlineLevel="0" collapsed="false">
      <c r="A248" s="70" t="s">
        <v>1099</v>
      </c>
      <c r="B248" s="70" t="s">
        <v>247</v>
      </c>
      <c r="C248" s="70" t="s">
        <v>348</v>
      </c>
      <c r="D248" s="70" t="s">
        <v>404</v>
      </c>
      <c r="E248" s="70" t="s">
        <v>405</v>
      </c>
      <c r="F248" s="70" t="s">
        <v>189</v>
      </c>
      <c r="G248" s="71" t="n">
        <v>46292</v>
      </c>
      <c r="H248" s="72" t="n">
        <v>-20.1</v>
      </c>
      <c r="I248" s="70" t="s">
        <v>65</v>
      </c>
      <c r="J248" s="71" t="n">
        <v>46292</v>
      </c>
      <c r="K248" s="70" t="s">
        <v>406</v>
      </c>
      <c r="L248" s="72" t="n">
        <v>0</v>
      </c>
      <c r="M248" s="73" t="n">
        <v>0.631215277777778</v>
      </c>
      <c r="N248" s="70" t="s">
        <v>431</v>
      </c>
      <c r="O248" s="70" t="s">
        <v>1100</v>
      </c>
      <c r="P248" s="70" t="s">
        <v>1101</v>
      </c>
      <c r="Q248" s="70" t="s">
        <v>1102</v>
      </c>
      <c r="R248" s="75" t="n">
        <f aca="false">-H248</f>
        <v>20.1</v>
      </c>
    </row>
    <row r="249" customFormat="false" ht="15" hidden="false" customHeight="false" outlineLevel="0" collapsed="false">
      <c r="A249" s="70" t="s">
        <v>1103</v>
      </c>
      <c r="B249" s="70" t="s">
        <v>250</v>
      </c>
      <c r="C249" s="70" t="s">
        <v>251</v>
      </c>
      <c r="D249" s="70" t="s">
        <v>1104</v>
      </c>
      <c r="E249" s="70" t="s">
        <v>416</v>
      </c>
      <c r="F249" s="70" t="s">
        <v>189</v>
      </c>
      <c r="G249" s="71" t="n">
        <v>46293</v>
      </c>
      <c r="H249" s="72" t="n">
        <v>-19.6</v>
      </c>
      <c r="I249" s="70" t="s">
        <v>65</v>
      </c>
      <c r="J249" s="71" t="n">
        <v>46293</v>
      </c>
      <c r="K249" s="70" t="s">
        <v>406</v>
      </c>
      <c r="L249" s="72" t="n">
        <v>0</v>
      </c>
      <c r="M249" s="73" t="n">
        <v>0.683668981481482</v>
      </c>
      <c r="N249" s="70" t="s">
        <v>426</v>
      </c>
      <c r="O249" s="70" t="s">
        <v>1105</v>
      </c>
      <c r="P249" s="70" t="s">
        <v>1049</v>
      </c>
      <c r="Q249" s="70" t="s">
        <v>1050</v>
      </c>
      <c r="R249" s="75" t="n">
        <f aca="false">-H249</f>
        <v>19.6</v>
      </c>
    </row>
    <row r="250" customFormat="false" ht="15" hidden="false" customHeight="false" outlineLevel="0" collapsed="false">
      <c r="A250" s="70" t="s">
        <v>1106</v>
      </c>
      <c r="B250" s="70" t="s">
        <v>250</v>
      </c>
      <c r="C250" s="70" t="s">
        <v>251</v>
      </c>
      <c r="D250" s="70" t="s">
        <v>1104</v>
      </c>
      <c r="E250" s="70" t="s">
        <v>416</v>
      </c>
      <c r="F250" s="70" t="s">
        <v>189</v>
      </c>
      <c r="G250" s="71" t="n">
        <v>46293</v>
      </c>
      <c r="H250" s="72" t="n">
        <v>-19.6</v>
      </c>
      <c r="I250" s="70" t="s">
        <v>65</v>
      </c>
      <c r="J250" s="71" t="n">
        <v>46293</v>
      </c>
      <c r="K250" s="70" t="s">
        <v>406</v>
      </c>
      <c r="L250" s="72" t="n">
        <v>0</v>
      </c>
      <c r="M250" s="73" t="n">
        <v>0.68380787037037</v>
      </c>
      <c r="N250" s="70" t="s">
        <v>426</v>
      </c>
      <c r="O250" s="70" t="s">
        <v>1107</v>
      </c>
      <c r="P250" s="70" t="s">
        <v>1108</v>
      </c>
      <c r="Q250" s="70" t="s">
        <v>1109</v>
      </c>
      <c r="R250" s="75" t="n">
        <f aca="false">-H250</f>
        <v>19.6</v>
      </c>
    </row>
    <row r="251" customFormat="false" ht="15" hidden="false" customHeight="false" outlineLevel="0" collapsed="false">
      <c r="A251" s="70" t="s">
        <v>609</v>
      </c>
      <c r="B251" s="70" t="s">
        <v>250</v>
      </c>
      <c r="C251" s="70" t="s">
        <v>251</v>
      </c>
      <c r="D251" s="70" t="s">
        <v>1104</v>
      </c>
      <c r="E251" s="70" t="s">
        <v>416</v>
      </c>
      <c r="F251" s="70" t="s">
        <v>189</v>
      </c>
      <c r="G251" s="71" t="n">
        <v>46287</v>
      </c>
      <c r="H251" s="72" t="n">
        <v>-5.6</v>
      </c>
      <c r="I251" s="70" t="s">
        <v>65</v>
      </c>
      <c r="J251" s="71" t="n">
        <v>46287</v>
      </c>
      <c r="K251" s="70" t="s">
        <v>406</v>
      </c>
      <c r="L251" s="72" t="n">
        <v>0</v>
      </c>
      <c r="M251" s="73" t="n">
        <v>0.901388888888889</v>
      </c>
      <c r="N251" s="70" t="s">
        <v>426</v>
      </c>
      <c r="O251" s="70" t="s">
        <v>610</v>
      </c>
      <c r="P251" s="70" t="s">
        <v>611</v>
      </c>
      <c r="Q251" s="70" t="s">
        <v>612</v>
      </c>
      <c r="R251" s="75" t="n">
        <f aca="false">-H251</f>
        <v>5.6</v>
      </c>
    </row>
    <row r="252" customFormat="false" ht="15" hidden="false" customHeight="false" outlineLevel="0" collapsed="false">
      <c r="A252" s="70" t="s">
        <v>1110</v>
      </c>
      <c r="B252" s="70" t="s">
        <v>250</v>
      </c>
      <c r="C252" s="70" t="s">
        <v>251</v>
      </c>
      <c r="D252" s="70" t="s">
        <v>1104</v>
      </c>
      <c r="E252" s="70" t="s">
        <v>416</v>
      </c>
      <c r="F252" s="70" t="s">
        <v>189</v>
      </c>
      <c r="G252" s="71" t="n">
        <v>46282</v>
      </c>
      <c r="H252" s="72" t="n">
        <v>-8.4</v>
      </c>
      <c r="I252" s="70" t="s">
        <v>65</v>
      </c>
      <c r="J252" s="71" t="n">
        <v>46282</v>
      </c>
      <c r="K252" s="70" t="s">
        <v>406</v>
      </c>
      <c r="L252" s="72" t="n">
        <v>0</v>
      </c>
      <c r="M252" s="73" t="n">
        <v>0.951585648148148</v>
      </c>
      <c r="N252" s="70" t="s">
        <v>426</v>
      </c>
      <c r="O252" s="70" t="s">
        <v>1111</v>
      </c>
      <c r="P252" s="70" t="s">
        <v>1079</v>
      </c>
      <c r="Q252" s="70" t="s">
        <v>1080</v>
      </c>
      <c r="R252" s="75" t="n">
        <f aca="false">-H252</f>
        <v>8.4</v>
      </c>
    </row>
    <row r="253" customFormat="false" ht="15" hidden="false" customHeight="false" outlineLevel="0" collapsed="false">
      <c r="A253" s="70" t="s">
        <v>1112</v>
      </c>
      <c r="B253" s="70" t="s">
        <v>252</v>
      </c>
      <c r="C253" s="70" t="s">
        <v>253</v>
      </c>
      <c r="D253" s="70" t="s">
        <v>1113</v>
      </c>
      <c r="E253" s="70" t="s">
        <v>405</v>
      </c>
      <c r="F253" s="70" t="s">
        <v>189</v>
      </c>
      <c r="G253" s="71" t="n">
        <v>46295</v>
      </c>
      <c r="H253" s="72" t="n">
        <v>-4</v>
      </c>
      <c r="I253" s="70" t="s">
        <v>65</v>
      </c>
      <c r="J253" s="71" t="n">
        <v>46296</v>
      </c>
      <c r="K253" s="70" t="s">
        <v>406</v>
      </c>
      <c r="L253" s="72" t="n">
        <v>0</v>
      </c>
      <c r="M253" s="73" t="n">
        <v>0.15806712962963</v>
      </c>
      <c r="N253" s="70" t="s">
        <v>444</v>
      </c>
      <c r="O253" s="70" t="s">
        <v>1114</v>
      </c>
      <c r="P253" s="70" t="s">
        <v>1115</v>
      </c>
      <c r="Q253" s="70" t="s">
        <v>1116</v>
      </c>
      <c r="R253" s="75" t="n">
        <f aca="false">-H253</f>
        <v>4</v>
      </c>
    </row>
    <row r="254" customFormat="false" ht="15" hidden="false" customHeight="false" outlineLevel="0" collapsed="false">
      <c r="A254" s="70" t="s">
        <v>1117</v>
      </c>
      <c r="B254" s="70" t="s">
        <v>252</v>
      </c>
      <c r="C254" s="70" t="s">
        <v>253</v>
      </c>
      <c r="D254" s="70" t="s">
        <v>1113</v>
      </c>
      <c r="E254" s="70" t="s">
        <v>405</v>
      </c>
      <c r="F254" s="70" t="s">
        <v>189</v>
      </c>
      <c r="G254" s="71" t="n">
        <v>46294</v>
      </c>
      <c r="H254" s="72" t="n">
        <v>-8</v>
      </c>
      <c r="I254" s="70" t="s">
        <v>65</v>
      </c>
      <c r="J254" s="71" t="n">
        <v>46294</v>
      </c>
      <c r="K254" s="70" t="s">
        <v>406</v>
      </c>
      <c r="L254" s="72" t="n">
        <v>0</v>
      </c>
      <c r="M254" s="73" t="n">
        <v>0.346469907407407</v>
      </c>
      <c r="N254" s="70" t="s">
        <v>407</v>
      </c>
      <c r="O254" s="70" t="s">
        <v>1118</v>
      </c>
      <c r="P254" s="70" t="s">
        <v>549</v>
      </c>
      <c r="Q254" s="70" t="s">
        <v>550</v>
      </c>
      <c r="R254" s="75" t="n">
        <f aca="false">-H254</f>
        <v>8</v>
      </c>
    </row>
    <row r="255" customFormat="false" ht="15" hidden="false" customHeight="false" outlineLevel="0" collapsed="false">
      <c r="A255" s="70" t="s">
        <v>1119</v>
      </c>
      <c r="B255" s="70" t="s">
        <v>252</v>
      </c>
      <c r="C255" s="70" t="s">
        <v>253</v>
      </c>
      <c r="D255" s="70" t="s">
        <v>1113</v>
      </c>
      <c r="E255" s="70" t="s">
        <v>405</v>
      </c>
      <c r="F255" s="70" t="s">
        <v>189</v>
      </c>
      <c r="G255" s="71" t="n">
        <v>46291</v>
      </c>
      <c r="H255" s="72" t="n">
        <v>-4</v>
      </c>
      <c r="I255" s="70" t="s">
        <v>65</v>
      </c>
      <c r="J255" s="71" t="n">
        <v>46291</v>
      </c>
      <c r="K255" s="70" t="s">
        <v>406</v>
      </c>
      <c r="L255" s="72" t="n">
        <v>0</v>
      </c>
      <c r="M255" s="73" t="n">
        <v>0.804537037037037</v>
      </c>
      <c r="N255" s="70" t="s">
        <v>431</v>
      </c>
      <c r="O255" s="70" t="s">
        <v>1120</v>
      </c>
      <c r="P255" s="70" t="s">
        <v>1121</v>
      </c>
      <c r="Q255" s="70" t="s">
        <v>1122</v>
      </c>
      <c r="R255" s="75" t="n">
        <f aca="false">-H255</f>
        <v>4</v>
      </c>
    </row>
    <row r="256" customFormat="false" ht="15" hidden="false" customHeight="false" outlineLevel="0" collapsed="false">
      <c r="A256" s="70" t="s">
        <v>1123</v>
      </c>
      <c r="B256" s="70" t="s">
        <v>252</v>
      </c>
      <c r="C256" s="70" t="s">
        <v>253</v>
      </c>
      <c r="D256" s="70" t="s">
        <v>1113</v>
      </c>
      <c r="E256" s="70" t="s">
        <v>405</v>
      </c>
      <c r="F256" s="70" t="s">
        <v>189</v>
      </c>
      <c r="G256" s="71" t="n">
        <v>46290</v>
      </c>
      <c r="H256" s="72" t="n">
        <v>-8</v>
      </c>
      <c r="I256" s="70" t="s">
        <v>65</v>
      </c>
      <c r="J256" s="71" t="n">
        <v>46291</v>
      </c>
      <c r="K256" s="70" t="s">
        <v>406</v>
      </c>
      <c r="L256" s="72" t="n">
        <v>0</v>
      </c>
      <c r="M256" s="73" t="n">
        <v>0.0955555555555556</v>
      </c>
      <c r="N256" s="70" t="s">
        <v>407</v>
      </c>
      <c r="O256" s="70" t="s">
        <v>1124</v>
      </c>
      <c r="P256" s="70" t="s">
        <v>472</v>
      </c>
      <c r="Q256" s="70" t="s">
        <v>473</v>
      </c>
      <c r="R256" s="75" t="n">
        <f aca="false">-H256</f>
        <v>8</v>
      </c>
    </row>
    <row r="257" customFormat="false" ht="15" hidden="false" customHeight="false" outlineLevel="0" collapsed="false">
      <c r="A257" s="70" t="s">
        <v>1125</v>
      </c>
      <c r="B257" s="70" t="s">
        <v>252</v>
      </c>
      <c r="C257" s="70" t="s">
        <v>253</v>
      </c>
      <c r="D257" s="70" t="s">
        <v>1113</v>
      </c>
      <c r="E257" s="70" t="s">
        <v>405</v>
      </c>
      <c r="F257" s="70" t="s">
        <v>189</v>
      </c>
      <c r="G257" s="71" t="n">
        <v>46288</v>
      </c>
      <c r="H257" s="72" t="n">
        <v>-40</v>
      </c>
      <c r="I257" s="70" t="s">
        <v>65</v>
      </c>
      <c r="J257" s="71" t="n">
        <v>46288</v>
      </c>
      <c r="K257" s="70" t="s">
        <v>406</v>
      </c>
      <c r="L257" s="72" t="n">
        <v>0</v>
      </c>
      <c r="M257" s="73" t="n">
        <v>0.508831018518519</v>
      </c>
      <c r="N257" s="70" t="s">
        <v>431</v>
      </c>
      <c r="O257" s="70" t="s">
        <v>1126</v>
      </c>
      <c r="P257" s="70" t="s">
        <v>1127</v>
      </c>
      <c r="Q257" s="70" t="s">
        <v>1128</v>
      </c>
      <c r="R257" s="75" t="n">
        <f aca="false">-H257</f>
        <v>40</v>
      </c>
    </row>
    <row r="258" customFormat="false" ht="15" hidden="false" customHeight="false" outlineLevel="0" collapsed="false">
      <c r="A258" s="70" t="s">
        <v>651</v>
      </c>
      <c r="B258" s="70" t="s">
        <v>252</v>
      </c>
      <c r="C258" s="70" t="s">
        <v>253</v>
      </c>
      <c r="D258" s="70" t="s">
        <v>1113</v>
      </c>
      <c r="E258" s="70" t="s">
        <v>405</v>
      </c>
      <c r="F258" s="70" t="s">
        <v>189</v>
      </c>
      <c r="G258" s="71" t="n">
        <v>46285</v>
      </c>
      <c r="H258" s="72" t="n">
        <v>-4</v>
      </c>
      <c r="I258" s="70" t="s">
        <v>65</v>
      </c>
      <c r="J258" s="71" t="n">
        <v>46285</v>
      </c>
      <c r="K258" s="70" t="s">
        <v>406</v>
      </c>
      <c r="L258" s="72" t="n">
        <v>0</v>
      </c>
      <c r="M258" s="73" t="n">
        <v>0.314953703703704</v>
      </c>
      <c r="N258" s="70" t="s">
        <v>444</v>
      </c>
      <c r="O258" s="70" t="s">
        <v>652</v>
      </c>
      <c r="P258" s="70" t="s">
        <v>653</v>
      </c>
      <c r="Q258" s="70" t="s">
        <v>654</v>
      </c>
      <c r="R258" s="75" t="n">
        <f aca="false">-H258</f>
        <v>4</v>
      </c>
    </row>
    <row r="259" customFormat="false" ht="15" hidden="false" customHeight="false" outlineLevel="0" collapsed="false">
      <c r="A259" s="70" t="s">
        <v>661</v>
      </c>
      <c r="B259" s="70" t="s">
        <v>252</v>
      </c>
      <c r="C259" s="70" t="s">
        <v>253</v>
      </c>
      <c r="D259" s="70" t="s">
        <v>1113</v>
      </c>
      <c r="E259" s="70" t="s">
        <v>405</v>
      </c>
      <c r="F259" s="70" t="s">
        <v>189</v>
      </c>
      <c r="G259" s="71" t="n">
        <v>46284</v>
      </c>
      <c r="H259" s="72" t="n">
        <v>-4</v>
      </c>
      <c r="I259" s="70" t="s">
        <v>65</v>
      </c>
      <c r="J259" s="71" t="n">
        <v>46284</v>
      </c>
      <c r="K259" s="70" t="s">
        <v>406</v>
      </c>
      <c r="L259" s="72" t="n">
        <v>0</v>
      </c>
      <c r="M259" s="73" t="n">
        <v>0.237453703703704</v>
      </c>
      <c r="N259" s="70" t="s">
        <v>523</v>
      </c>
      <c r="O259" s="70" t="s">
        <v>662</v>
      </c>
      <c r="P259" s="70" t="s">
        <v>663</v>
      </c>
      <c r="Q259" s="70" t="s">
        <v>664</v>
      </c>
      <c r="R259" s="75" t="n">
        <f aca="false">-H259</f>
        <v>4</v>
      </c>
    </row>
    <row r="260" customFormat="false" ht="15" hidden="false" customHeight="false" outlineLevel="0" collapsed="false">
      <c r="A260" s="70" t="s">
        <v>1129</v>
      </c>
      <c r="B260" s="70" t="s">
        <v>252</v>
      </c>
      <c r="C260" s="70" t="s">
        <v>253</v>
      </c>
      <c r="D260" s="70" t="s">
        <v>1113</v>
      </c>
      <c r="E260" s="70" t="s">
        <v>405</v>
      </c>
      <c r="F260" s="70" t="s">
        <v>189</v>
      </c>
      <c r="G260" s="71" t="n">
        <v>46284</v>
      </c>
      <c r="H260" s="72" t="n">
        <v>-4</v>
      </c>
      <c r="I260" s="70" t="s">
        <v>65</v>
      </c>
      <c r="J260" s="71" t="n">
        <v>46284</v>
      </c>
      <c r="K260" s="70" t="s">
        <v>406</v>
      </c>
      <c r="L260" s="72" t="n">
        <v>0</v>
      </c>
      <c r="M260" s="73" t="n">
        <v>0.990810185185185</v>
      </c>
      <c r="N260" s="70" t="s">
        <v>444</v>
      </c>
      <c r="O260" s="70" t="s">
        <v>1130</v>
      </c>
      <c r="P260" s="70" t="s">
        <v>1131</v>
      </c>
      <c r="Q260" s="70" t="s">
        <v>1132</v>
      </c>
      <c r="R260" s="75" t="n">
        <f aca="false">-H260</f>
        <v>4</v>
      </c>
    </row>
    <row r="261" customFormat="false" ht="15" hidden="false" customHeight="false" outlineLevel="0" collapsed="false">
      <c r="A261" s="70" t="s">
        <v>1133</v>
      </c>
      <c r="B261" s="70" t="s">
        <v>252</v>
      </c>
      <c r="C261" s="70" t="s">
        <v>253</v>
      </c>
      <c r="D261" s="70" t="s">
        <v>1113</v>
      </c>
      <c r="E261" s="70" t="s">
        <v>405</v>
      </c>
      <c r="F261" s="70" t="s">
        <v>189</v>
      </c>
      <c r="G261" s="71" t="n">
        <v>46283</v>
      </c>
      <c r="H261" s="72" t="n">
        <v>-8</v>
      </c>
      <c r="I261" s="70" t="s">
        <v>65</v>
      </c>
      <c r="J261" s="71" t="n">
        <v>46284</v>
      </c>
      <c r="K261" s="70" t="s">
        <v>406</v>
      </c>
      <c r="L261" s="72" t="n">
        <v>0</v>
      </c>
      <c r="M261" s="73" t="n">
        <v>0.0177893518518519</v>
      </c>
      <c r="N261" s="70" t="s">
        <v>444</v>
      </c>
      <c r="O261" s="70" t="s">
        <v>1134</v>
      </c>
      <c r="P261" s="70" t="s">
        <v>1135</v>
      </c>
      <c r="Q261" s="70" t="s">
        <v>1136</v>
      </c>
      <c r="R261" s="75" t="n">
        <f aca="false">-H261</f>
        <v>8</v>
      </c>
    </row>
    <row r="262" customFormat="false" ht="15" hidden="false" customHeight="false" outlineLevel="0" collapsed="false">
      <c r="A262" s="70" t="s">
        <v>1137</v>
      </c>
      <c r="B262" s="70" t="s">
        <v>252</v>
      </c>
      <c r="C262" s="70" t="s">
        <v>253</v>
      </c>
      <c r="D262" s="70" t="s">
        <v>1113</v>
      </c>
      <c r="E262" s="70" t="s">
        <v>405</v>
      </c>
      <c r="F262" s="70" t="s">
        <v>189</v>
      </c>
      <c r="G262" s="71" t="n">
        <v>46279</v>
      </c>
      <c r="H262" s="72" t="n">
        <v>-40</v>
      </c>
      <c r="I262" s="70" t="s">
        <v>65</v>
      </c>
      <c r="J262" s="71" t="n">
        <v>46279</v>
      </c>
      <c r="K262" s="70" t="s">
        <v>406</v>
      </c>
      <c r="L262" s="72" t="n">
        <v>0</v>
      </c>
      <c r="M262" s="73" t="n">
        <v>0.913229166666667</v>
      </c>
      <c r="N262" s="70" t="s">
        <v>1138</v>
      </c>
      <c r="O262" s="70" t="s">
        <v>1139</v>
      </c>
      <c r="P262" s="70" t="s">
        <v>487</v>
      </c>
      <c r="Q262" s="70" t="s">
        <v>488</v>
      </c>
      <c r="R262" s="75" t="n">
        <f aca="false">-H262</f>
        <v>40</v>
      </c>
    </row>
    <row r="263" customFormat="false" ht="15" hidden="false" customHeight="false" outlineLevel="0" collapsed="false">
      <c r="A263" s="70" t="s">
        <v>677</v>
      </c>
      <c r="B263" s="70" t="s">
        <v>252</v>
      </c>
      <c r="C263" s="70" t="s">
        <v>253</v>
      </c>
      <c r="D263" s="70" t="s">
        <v>1113</v>
      </c>
      <c r="E263" s="70" t="s">
        <v>405</v>
      </c>
      <c r="F263" s="70" t="s">
        <v>189</v>
      </c>
      <c r="G263" s="71" t="n">
        <v>46279</v>
      </c>
      <c r="H263" s="72" t="n">
        <v>-4</v>
      </c>
      <c r="I263" s="70" t="s">
        <v>65</v>
      </c>
      <c r="J263" s="71" t="n">
        <v>46279</v>
      </c>
      <c r="K263" s="70" t="s">
        <v>406</v>
      </c>
      <c r="L263" s="72" t="n">
        <v>0</v>
      </c>
      <c r="M263" s="73" t="n">
        <v>0.655162037037037</v>
      </c>
      <c r="N263" s="70" t="s">
        <v>431</v>
      </c>
      <c r="O263" s="70" t="s">
        <v>678</v>
      </c>
      <c r="P263" s="70" t="s">
        <v>679</v>
      </c>
      <c r="Q263" s="70" t="s">
        <v>680</v>
      </c>
      <c r="R263" s="75" t="n">
        <f aca="false">-H263</f>
        <v>4</v>
      </c>
    </row>
    <row r="264" customFormat="false" ht="15" hidden="false" customHeight="false" outlineLevel="0" collapsed="false">
      <c r="A264" s="70" t="s">
        <v>1140</v>
      </c>
      <c r="B264" s="70" t="s">
        <v>252</v>
      </c>
      <c r="C264" s="70" t="s">
        <v>253</v>
      </c>
      <c r="D264" s="70" t="s">
        <v>1113</v>
      </c>
      <c r="E264" s="70" t="s">
        <v>405</v>
      </c>
      <c r="F264" s="70" t="s">
        <v>189</v>
      </c>
      <c r="G264" s="71" t="n">
        <v>46279</v>
      </c>
      <c r="H264" s="72" t="n">
        <v>-8</v>
      </c>
      <c r="I264" s="70" t="s">
        <v>65</v>
      </c>
      <c r="J264" s="71" t="n">
        <v>46279</v>
      </c>
      <c r="K264" s="70" t="s">
        <v>406</v>
      </c>
      <c r="L264" s="72" t="n">
        <v>0</v>
      </c>
      <c r="M264" s="73" t="n">
        <v>0.354988425925926</v>
      </c>
      <c r="N264" s="70" t="s">
        <v>407</v>
      </c>
      <c r="O264" s="70" t="s">
        <v>1141</v>
      </c>
      <c r="P264" s="70" t="s">
        <v>1142</v>
      </c>
      <c r="Q264" s="70" t="s">
        <v>1143</v>
      </c>
      <c r="R264" s="75" t="n">
        <f aca="false">-H264</f>
        <v>8</v>
      </c>
    </row>
    <row r="265" customFormat="false" ht="15" hidden="false" customHeight="false" outlineLevel="0" collapsed="false">
      <c r="A265" s="70" t="s">
        <v>1144</v>
      </c>
      <c r="B265" s="70" t="s">
        <v>252</v>
      </c>
      <c r="C265" s="70" t="s">
        <v>253</v>
      </c>
      <c r="D265" s="70" t="s">
        <v>1113</v>
      </c>
      <c r="E265" s="70" t="s">
        <v>405</v>
      </c>
      <c r="F265" s="70" t="s">
        <v>189</v>
      </c>
      <c r="G265" s="71" t="n">
        <v>46276</v>
      </c>
      <c r="H265" s="72" t="n">
        <v>-40</v>
      </c>
      <c r="I265" s="70" t="s">
        <v>65</v>
      </c>
      <c r="J265" s="71" t="n">
        <v>46277</v>
      </c>
      <c r="K265" s="70" t="s">
        <v>406</v>
      </c>
      <c r="L265" s="72" t="n">
        <v>0</v>
      </c>
      <c r="M265" s="73" t="n">
        <v>0.109826388888889</v>
      </c>
      <c r="N265" s="70" t="s">
        <v>444</v>
      </c>
      <c r="O265" s="70" t="s">
        <v>1145</v>
      </c>
      <c r="P265" s="70" t="s">
        <v>816</v>
      </c>
      <c r="Q265" s="70" t="s">
        <v>817</v>
      </c>
      <c r="R265" s="75" t="n">
        <f aca="false">-H265</f>
        <v>40</v>
      </c>
    </row>
    <row r="266" customFormat="false" ht="15" hidden="false" customHeight="false" outlineLevel="0" collapsed="false">
      <c r="A266" s="70" t="s">
        <v>1146</v>
      </c>
      <c r="B266" s="70" t="s">
        <v>354</v>
      </c>
      <c r="C266" s="70" t="s">
        <v>355</v>
      </c>
      <c r="D266" s="70" t="s">
        <v>1147</v>
      </c>
      <c r="E266" s="70" t="s">
        <v>416</v>
      </c>
      <c r="F266" s="70" t="s">
        <v>189</v>
      </c>
      <c r="G266" s="71" t="n">
        <v>46295</v>
      </c>
      <c r="H266" s="72" t="n">
        <v>-50</v>
      </c>
      <c r="I266" s="70" t="s">
        <v>65</v>
      </c>
      <c r="J266" s="71" t="n">
        <v>46295</v>
      </c>
      <c r="K266" s="70" t="s">
        <v>406</v>
      </c>
      <c r="L266" s="72" t="n">
        <v>0</v>
      </c>
      <c r="M266" s="73" t="n">
        <v>0.747719907407408</v>
      </c>
      <c r="N266" s="70" t="s">
        <v>417</v>
      </c>
      <c r="O266" s="70" t="s">
        <v>1148</v>
      </c>
      <c r="P266" s="70" t="s">
        <v>1149</v>
      </c>
      <c r="Q266" s="70" t="s">
        <v>1150</v>
      </c>
      <c r="R266" s="75" t="n">
        <f aca="false">-H266</f>
        <v>50</v>
      </c>
    </row>
    <row r="267" customFormat="false" ht="15" hidden="false" customHeight="false" outlineLevel="0" collapsed="false">
      <c r="A267" s="70" t="s">
        <v>1056</v>
      </c>
      <c r="B267" s="70" t="s">
        <v>354</v>
      </c>
      <c r="C267" s="70" t="s">
        <v>355</v>
      </c>
      <c r="D267" s="70" t="s">
        <v>1147</v>
      </c>
      <c r="E267" s="70" t="s">
        <v>405</v>
      </c>
      <c r="F267" s="70" t="s">
        <v>189</v>
      </c>
      <c r="G267" s="71" t="n">
        <v>46292</v>
      </c>
      <c r="H267" s="72" t="n">
        <v>-10</v>
      </c>
      <c r="I267" s="70" t="s">
        <v>65</v>
      </c>
      <c r="J267" s="71" t="n">
        <v>46292</v>
      </c>
      <c r="K267" s="70" t="s">
        <v>406</v>
      </c>
      <c r="L267" s="72" t="n">
        <v>0</v>
      </c>
      <c r="M267" s="73" t="n">
        <v>0.577048611111111</v>
      </c>
      <c r="N267" s="70" t="s">
        <v>431</v>
      </c>
      <c r="O267" s="70" t="s">
        <v>1057</v>
      </c>
      <c r="P267" s="70" t="s">
        <v>631</v>
      </c>
      <c r="Q267" s="70" t="s">
        <v>632</v>
      </c>
      <c r="R267" s="75" t="n">
        <f aca="false">-H267</f>
        <v>10</v>
      </c>
    </row>
    <row r="268" customFormat="false" ht="15" hidden="false" customHeight="false" outlineLevel="0" collapsed="false">
      <c r="A268" s="70" t="s">
        <v>1151</v>
      </c>
      <c r="B268" s="70" t="s">
        <v>257</v>
      </c>
      <c r="C268" s="70" t="s">
        <v>258</v>
      </c>
      <c r="D268" s="70" t="s">
        <v>1152</v>
      </c>
      <c r="E268" s="70" t="s">
        <v>405</v>
      </c>
      <c r="F268" s="70" t="s">
        <v>189</v>
      </c>
      <c r="G268" s="71" t="n">
        <v>46293</v>
      </c>
      <c r="H268" s="72" t="n">
        <v>-60</v>
      </c>
      <c r="I268" s="70" t="s">
        <v>65</v>
      </c>
      <c r="J268" s="71" t="n">
        <v>46293</v>
      </c>
      <c r="K268" s="70" t="s">
        <v>406</v>
      </c>
      <c r="L268" s="72" t="n">
        <v>0</v>
      </c>
      <c r="M268" s="73" t="n">
        <v>0.683958333333333</v>
      </c>
      <c r="N268" s="70" t="s">
        <v>426</v>
      </c>
      <c r="O268" s="70" t="s">
        <v>1153</v>
      </c>
      <c r="P268" s="70" t="s">
        <v>611</v>
      </c>
      <c r="Q268" s="70" t="s">
        <v>612</v>
      </c>
      <c r="R268" s="75" t="n">
        <f aca="false">-H268</f>
        <v>60</v>
      </c>
    </row>
    <row r="269" customFormat="false" ht="15" hidden="false" customHeight="false" outlineLevel="0" collapsed="false">
      <c r="A269" s="70" t="s">
        <v>1154</v>
      </c>
      <c r="B269" s="70" t="s">
        <v>257</v>
      </c>
      <c r="C269" s="70" t="s">
        <v>258</v>
      </c>
      <c r="D269" s="70" t="s">
        <v>1152</v>
      </c>
      <c r="E269" s="70" t="s">
        <v>405</v>
      </c>
      <c r="F269" s="70" t="s">
        <v>189</v>
      </c>
      <c r="G269" s="71" t="n">
        <v>46292</v>
      </c>
      <c r="H269" s="72" t="n">
        <v>-204</v>
      </c>
      <c r="I269" s="70" t="s">
        <v>65</v>
      </c>
      <c r="J269" s="71" t="n">
        <v>46292</v>
      </c>
      <c r="K269" s="70" t="s">
        <v>406</v>
      </c>
      <c r="L269" s="72" t="n">
        <v>0</v>
      </c>
      <c r="M269" s="73" t="n">
        <v>0.577453703703704</v>
      </c>
      <c r="N269" s="70" t="s">
        <v>431</v>
      </c>
      <c r="O269" s="70" t="s">
        <v>1155</v>
      </c>
      <c r="P269" s="70" t="s">
        <v>1156</v>
      </c>
      <c r="Q269" s="70" t="s">
        <v>1157</v>
      </c>
      <c r="R269" s="75" t="n">
        <f aca="false">-H269</f>
        <v>204</v>
      </c>
    </row>
    <row r="270" customFormat="false" ht="15" hidden="false" customHeight="false" outlineLevel="0" collapsed="false">
      <c r="A270" s="70" t="s">
        <v>1158</v>
      </c>
      <c r="B270" s="70" t="s">
        <v>257</v>
      </c>
      <c r="C270" s="70" t="s">
        <v>258</v>
      </c>
      <c r="D270" s="70" t="s">
        <v>1152</v>
      </c>
      <c r="E270" s="70" t="s">
        <v>405</v>
      </c>
      <c r="F270" s="70" t="s">
        <v>189</v>
      </c>
      <c r="G270" s="71" t="n">
        <v>46289</v>
      </c>
      <c r="H270" s="72" t="n">
        <v>-6</v>
      </c>
      <c r="I270" s="70" t="s">
        <v>65</v>
      </c>
      <c r="J270" s="71" t="n">
        <v>46289</v>
      </c>
      <c r="K270" s="70" t="s">
        <v>406</v>
      </c>
      <c r="L270" s="72" t="n">
        <v>0</v>
      </c>
      <c r="M270" s="73" t="n">
        <v>0.669085648148148</v>
      </c>
      <c r="N270" s="70" t="s">
        <v>481</v>
      </c>
      <c r="O270" s="70" t="s">
        <v>1159</v>
      </c>
      <c r="P270" s="70" t="s">
        <v>1160</v>
      </c>
      <c r="Q270" s="70" t="s">
        <v>1161</v>
      </c>
      <c r="R270" s="75" t="n">
        <f aca="false">-H270</f>
        <v>6</v>
      </c>
    </row>
    <row r="271" customFormat="false" ht="15" hidden="false" customHeight="false" outlineLevel="0" collapsed="false">
      <c r="A271" s="70" t="s">
        <v>1158</v>
      </c>
      <c r="B271" s="70" t="s">
        <v>257</v>
      </c>
      <c r="C271" s="70" t="s">
        <v>258</v>
      </c>
      <c r="D271" s="70" t="s">
        <v>1152</v>
      </c>
      <c r="E271" s="70" t="s">
        <v>405</v>
      </c>
      <c r="F271" s="70" t="s">
        <v>189</v>
      </c>
      <c r="G271" s="71" t="n">
        <v>46289</v>
      </c>
      <c r="H271" s="72" t="n">
        <v>-84</v>
      </c>
      <c r="I271" s="70" t="s">
        <v>65</v>
      </c>
      <c r="J271" s="71" t="n">
        <v>46289</v>
      </c>
      <c r="K271" s="70" t="s">
        <v>406</v>
      </c>
      <c r="L271" s="72" t="n">
        <v>0</v>
      </c>
      <c r="M271" s="73" t="n">
        <v>0.669085648148148</v>
      </c>
      <c r="N271" s="70" t="s">
        <v>481</v>
      </c>
      <c r="O271" s="70" t="s">
        <v>1159</v>
      </c>
      <c r="P271" s="70" t="s">
        <v>1160</v>
      </c>
      <c r="Q271" s="70" t="s">
        <v>1161</v>
      </c>
      <c r="R271" s="75" t="n">
        <f aca="false">-H271</f>
        <v>84</v>
      </c>
    </row>
    <row r="272" customFormat="false" ht="15" hidden="false" customHeight="false" outlineLevel="0" collapsed="false">
      <c r="A272" s="70" t="s">
        <v>1162</v>
      </c>
      <c r="B272" s="70" t="s">
        <v>257</v>
      </c>
      <c r="C272" s="70" t="s">
        <v>258</v>
      </c>
      <c r="D272" s="70" t="s">
        <v>1152</v>
      </c>
      <c r="E272" s="70" t="s">
        <v>1163</v>
      </c>
      <c r="F272" s="70" t="s">
        <v>189</v>
      </c>
      <c r="G272" s="71" t="n">
        <v>46289</v>
      </c>
      <c r="H272" s="72" t="n">
        <v>-12</v>
      </c>
      <c r="I272" s="70" t="s">
        <v>65</v>
      </c>
      <c r="J272" s="71" t="n">
        <v>46289</v>
      </c>
      <c r="K272" s="70" t="s">
        <v>406</v>
      </c>
      <c r="L272" s="72" t="n">
        <v>0</v>
      </c>
      <c r="M272" s="73" t="n">
        <v>0.656273148148148</v>
      </c>
      <c r="N272" s="70" t="s">
        <v>417</v>
      </c>
      <c r="O272" s="70" t="s">
        <v>1164</v>
      </c>
      <c r="P272" s="70" t="s">
        <v>1165</v>
      </c>
      <c r="Q272" s="70" t="s">
        <v>1166</v>
      </c>
      <c r="R272" s="75" t="n">
        <f aca="false">-H272</f>
        <v>12</v>
      </c>
    </row>
    <row r="273" customFormat="false" ht="15" hidden="false" customHeight="false" outlineLevel="0" collapsed="false">
      <c r="A273" s="70" t="s">
        <v>605</v>
      </c>
      <c r="B273" s="70" t="s">
        <v>257</v>
      </c>
      <c r="C273" s="70" t="s">
        <v>258</v>
      </c>
      <c r="D273" s="70" t="s">
        <v>1152</v>
      </c>
      <c r="E273" s="70" t="s">
        <v>405</v>
      </c>
      <c r="F273" s="70" t="s">
        <v>189</v>
      </c>
      <c r="G273" s="71" t="n">
        <v>46289</v>
      </c>
      <c r="H273" s="72" t="n">
        <v>-6</v>
      </c>
      <c r="I273" s="70" t="s">
        <v>65</v>
      </c>
      <c r="J273" s="71" t="n">
        <v>46289</v>
      </c>
      <c r="K273" s="70" t="s">
        <v>406</v>
      </c>
      <c r="L273" s="72" t="n">
        <v>0</v>
      </c>
      <c r="M273" s="73" t="n">
        <v>0.633460648148148</v>
      </c>
      <c r="N273" s="70" t="s">
        <v>481</v>
      </c>
      <c r="O273" s="70" t="s">
        <v>606</v>
      </c>
      <c r="P273" s="70" t="s">
        <v>607</v>
      </c>
      <c r="Q273" s="70" t="s">
        <v>608</v>
      </c>
      <c r="R273" s="75" t="n">
        <f aca="false">-H273</f>
        <v>6</v>
      </c>
    </row>
    <row r="274" customFormat="false" ht="15" hidden="false" customHeight="false" outlineLevel="0" collapsed="false">
      <c r="A274" s="70" t="s">
        <v>1167</v>
      </c>
      <c r="B274" s="70" t="s">
        <v>257</v>
      </c>
      <c r="C274" s="70" t="s">
        <v>258</v>
      </c>
      <c r="D274" s="70" t="s">
        <v>1152</v>
      </c>
      <c r="E274" s="70" t="s">
        <v>405</v>
      </c>
      <c r="F274" s="70" t="s">
        <v>189</v>
      </c>
      <c r="G274" s="71" t="n">
        <v>46286</v>
      </c>
      <c r="H274" s="72" t="n">
        <v>-6</v>
      </c>
      <c r="I274" s="70" t="s">
        <v>65</v>
      </c>
      <c r="J274" s="71" t="n">
        <v>46286</v>
      </c>
      <c r="K274" s="70" t="s">
        <v>406</v>
      </c>
      <c r="L274" s="72" t="n">
        <v>0</v>
      </c>
      <c r="M274" s="73" t="n">
        <v>0.590300925925926</v>
      </c>
      <c r="N274" s="70" t="s">
        <v>481</v>
      </c>
      <c r="O274" s="70" t="s">
        <v>1168</v>
      </c>
      <c r="P274" s="70" t="s">
        <v>472</v>
      </c>
      <c r="Q274" s="70" t="s">
        <v>473</v>
      </c>
      <c r="R274" s="75" t="n">
        <f aca="false">-H274</f>
        <v>6</v>
      </c>
    </row>
    <row r="275" customFormat="false" ht="15" hidden="false" customHeight="false" outlineLevel="0" collapsed="false">
      <c r="A275" s="70" t="s">
        <v>1169</v>
      </c>
      <c r="B275" s="70" t="s">
        <v>257</v>
      </c>
      <c r="C275" s="70" t="s">
        <v>258</v>
      </c>
      <c r="D275" s="70" t="s">
        <v>1152</v>
      </c>
      <c r="E275" s="70" t="s">
        <v>405</v>
      </c>
      <c r="F275" s="70" t="s">
        <v>189</v>
      </c>
      <c r="G275" s="71" t="n">
        <v>46286</v>
      </c>
      <c r="H275" s="72" t="n">
        <v>-18</v>
      </c>
      <c r="I275" s="70" t="s">
        <v>65</v>
      </c>
      <c r="J275" s="71" t="n">
        <v>46286</v>
      </c>
      <c r="K275" s="70" t="s">
        <v>406</v>
      </c>
      <c r="L275" s="72" t="n">
        <v>0</v>
      </c>
      <c r="M275" s="73" t="n">
        <v>0.418819444444445</v>
      </c>
      <c r="N275" s="70" t="s">
        <v>407</v>
      </c>
      <c r="O275" s="70" t="s">
        <v>1170</v>
      </c>
      <c r="P275" s="70" t="s">
        <v>1171</v>
      </c>
      <c r="Q275" s="70" t="s">
        <v>1172</v>
      </c>
      <c r="R275" s="75" t="n">
        <f aca="false">-H275</f>
        <v>18</v>
      </c>
    </row>
    <row r="276" customFormat="false" ht="15" hidden="false" customHeight="false" outlineLevel="0" collapsed="false">
      <c r="A276" s="70" t="s">
        <v>1173</v>
      </c>
      <c r="B276" s="70" t="s">
        <v>257</v>
      </c>
      <c r="C276" s="70" t="s">
        <v>258</v>
      </c>
      <c r="D276" s="70" t="s">
        <v>1152</v>
      </c>
      <c r="E276" s="70" t="s">
        <v>405</v>
      </c>
      <c r="F276" s="70" t="s">
        <v>189</v>
      </c>
      <c r="G276" s="71" t="n">
        <v>46285</v>
      </c>
      <c r="H276" s="72" t="n">
        <v>-30</v>
      </c>
      <c r="I276" s="70" t="s">
        <v>65</v>
      </c>
      <c r="J276" s="71" t="n">
        <v>46286</v>
      </c>
      <c r="K276" s="70" t="s">
        <v>406</v>
      </c>
      <c r="L276" s="72" t="n">
        <v>0</v>
      </c>
      <c r="M276" s="73" t="n">
        <v>0.0396527777777778</v>
      </c>
      <c r="N276" s="70" t="s">
        <v>407</v>
      </c>
      <c r="O276" s="70" t="s">
        <v>1174</v>
      </c>
      <c r="P276" s="70" t="s">
        <v>1175</v>
      </c>
      <c r="Q276" s="70" t="s">
        <v>1176</v>
      </c>
      <c r="R276" s="75" t="n">
        <f aca="false">-H276</f>
        <v>30</v>
      </c>
    </row>
    <row r="277" customFormat="false" ht="15" hidden="false" customHeight="false" outlineLevel="0" collapsed="false">
      <c r="A277" s="70" t="s">
        <v>1177</v>
      </c>
      <c r="B277" s="70" t="s">
        <v>257</v>
      </c>
      <c r="C277" s="70" t="s">
        <v>258</v>
      </c>
      <c r="D277" s="70" t="s">
        <v>1152</v>
      </c>
      <c r="E277" s="70" t="s">
        <v>405</v>
      </c>
      <c r="F277" s="70" t="s">
        <v>189</v>
      </c>
      <c r="G277" s="71" t="n">
        <v>46285</v>
      </c>
      <c r="H277" s="72" t="n">
        <v>-6</v>
      </c>
      <c r="I277" s="70" t="s">
        <v>65</v>
      </c>
      <c r="J277" s="71" t="n">
        <v>46286</v>
      </c>
      <c r="K277" s="70" t="s">
        <v>406</v>
      </c>
      <c r="L277" s="72" t="n">
        <v>0</v>
      </c>
      <c r="M277" s="73" t="n">
        <v>0.0136226851851852</v>
      </c>
      <c r="N277" s="70" t="s">
        <v>407</v>
      </c>
      <c r="O277" s="70" t="s">
        <v>1178</v>
      </c>
      <c r="P277" s="70" t="s">
        <v>1179</v>
      </c>
      <c r="Q277" s="70" t="s">
        <v>1180</v>
      </c>
      <c r="R277" s="75" t="n">
        <f aca="false">-H277</f>
        <v>6</v>
      </c>
    </row>
    <row r="278" customFormat="false" ht="15" hidden="false" customHeight="false" outlineLevel="0" collapsed="false">
      <c r="A278" s="70" t="s">
        <v>1181</v>
      </c>
      <c r="B278" s="70" t="s">
        <v>257</v>
      </c>
      <c r="C278" s="70" t="s">
        <v>258</v>
      </c>
      <c r="D278" s="70" t="s">
        <v>1152</v>
      </c>
      <c r="E278" s="70" t="s">
        <v>405</v>
      </c>
      <c r="F278" s="70" t="s">
        <v>189</v>
      </c>
      <c r="G278" s="71" t="n">
        <v>46285</v>
      </c>
      <c r="H278" s="72" t="n">
        <v>-60</v>
      </c>
      <c r="I278" s="70" t="s">
        <v>65</v>
      </c>
      <c r="J278" s="71" t="n">
        <v>46285</v>
      </c>
      <c r="K278" s="70" t="s">
        <v>406</v>
      </c>
      <c r="L278" s="72" t="n">
        <v>0</v>
      </c>
      <c r="M278" s="73" t="n">
        <v>0.693587962962963</v>
      </c>
      <c r="N278" s="70" t="s">
        <v>749</v>
      </c>
      <c r="O278" s="70" t="s">
        <v>1182</v>
      </c>
      <c r="P278" s="70" t="s">
        <v>971</v>
      </c>
      <c r="Q278" s="70" t="s">
        <v>972</v>
      </c>
      <c r="R278" s="75" t="n">
        <f aca="false">-H278</f>
        <v>60</v>
      </c>
    </row>
    <row r="279" customFormat="false" ht="15" hidden="false" customHeight="false" outlineLevel="0" collapsed="false">
      <c r="A279" s="70" t="s">
        <v>731</v>
      </c>
      <c r="B279" s="70" t="s">
        <v>257</v>
      </c>
      <c r="C279" s="70" t="s">
        <v>258</v>
      </c>
      <c r="D279" s="70" t="s">
        <v>1152</v>
      </c>
      <c r="E279" s="70" t="s">
        <v>405</v>
      </c>
      <c r="F279" s="70" t="s">
        <v>189</v>
      </c>
      <c r="G279" s="71" t="n">
        <v>46284</v>
      </c>
      <c r="H279" s="72" t="n">
        <v>-6</v>
      </c>
      <c r="I279" s="70" t="s">
        <v>65</v>
      </c>
      <c r="J279" s="71" t="n">
        <v>46284</v>
      </c>
      <c r="K279" s="70" t="s">
        <v>406</v>
      </c>
      <c r="L279" s="72" t="n">
        <v>0</v>
      </c>
      <c r="M279" s="73" t="n">
        <v>0.990625</v>
      </c>
      <c r="N279" s="70" t="s">
        <v>444</v>
      </c>
      <c r="O279" s="70" t="s">
        <v>732</v>
      </c>
      <c r="P279" s="70" t="s">
        <v>581</v>
      </c>
      <c r="Q279" s="70" t="s">
        <v>582</v>
      </c>
      <c r="R279" s="75" t="n">
        <f aca="false">-H279</f>
        <v>6</v>
      </c>
    </row>
    <row r="280" customFormat="false" ht="15" hidden="false" customHeight="false" outlineLevel="0" collapsed="false">
      <c r="A280" s="70" t="s">
        <v>737</v>
      </c>
      <c r="B280" s="70" t="s">
        <v>257</v>
      </c>
      <c r="C280" s="70" t="s">
        <v>258</v>
      </c>
      <c r="D280" s="70" t="s">
        <v>1152</v>
      </c>
      <c r="E280" s="70" t="s">
        <v>405</v>
      </c>
      <c r="F280" s="70" t="s">
        <v>189</v>
      </c>
      <c r="G280" s="71" t="n">
        <v>46284</v>
      </c>
      <c r="H280" s="72" t="n">
        <v>-12</v>
      </c>
      <c r="I280" s="70" t="s">
        <v>65</v>
      </c>
      <c r="J280" s="71" t="n">
        <v>46284</v>
      </c>
      <c r="K280" s="70" t="s">
        <v>406</v>
      </c>
      <c r="L280" s="72" t="n">
        <v>0</v>
      </c>
      <c r="M280" s="73" t="n">
        <v>0.589618055555556</v>
      </c>
      <c r="N280" s="70" t="s">
        <v>431</v>
      </c>
      <c r="O280" s="70" t="s">
        <v>738</v>
      </c>
      <c r="P280" s="70" t="s">
        <v>573</v>
      </c>
      <c r="Q280" s="70" t="s">
        <v>574</v>
      </c>
      <c r="R280" s="75" t="n">
        <f aca="false">-H280</f>
        <v>12</v>
      </c>
    </row>
    <row r="281" customFormat="false" ht="15" hidden="false" customHeight="false" outlineLevel="0" collapsed="false">
      <c r="A281" s="70" t="s">
        <v>1183</v>
      </c>
      <c r="B281" s="70" t="s">
        <v>257</v>
      </c>
      <c r="C281" s="70" t="s">
        <v>258</v>
      </c>
      <c r="D281" s="70" t="s">
        <v>1152</v>
      </c>
      <c r="E281" s="70" t="s">
        <v>405</v>
      </c>
      <c r="F281" s="70" t="s">
        <v>189</v>
      </c>
      <c r="G281" s="71" t="n">
        <v>46282</v>
      </c>
      <c r="H281" s="72" t="n">
        <v>-60</v>
      </c>
      <c r="I281" s="70" t="s">
        <v>65</v>
      </c>
      <c r="J281" s="71" t="n">
        <v>46282</v>
      </c>
      <c r="K281" s="70" t="s">
        <v>406</v>
      </c>
      <c r="L281" s="72" t="n">
        <v>0</v>
      </c>
      <c r="M281" s="73" t="n">
        <v>0.836412037037037</v>
      </c>
      <c r="N281" s="70" t="s">
        <v>481</v>
      </c>
      <c r="O281" s="70" t="s">
        <v>1184</v>
      </c>
      <c r="P281" s="70" t="s">
        <v>603</v>
      </c>
      <c r="Q281" s="70" t="s">
        <v>604</v>
      </c>
      <c r="R281" s="75" t="n">
        <f aca="false">-H281</f>
        <v>60</v>
      </c>
    </row>
    <row r="282" customFormat="false" ht="15" hidden="false" customHeight="false" outlineLevel="0" collapsed="false">
      <c r="A282" s="70" t="s">
        <v>1185</v>
      </c>
      <c r="B282" s="70" t="s">
        <v>257</v>
      </c>
      <c r="C282" s="70" t="s">
        <v>258</v>
      </c>
      <c r="D282" s="70" t="s">
        <v>1152</v>
      </c>
      <c r="E282" s="70" t="s">
        <v>405</v>
      </c>
      <c r="F282" s="70" t="s">
        <v>189</v>
      </c>
      <c r="G282" s="71" t="n">
        <v>46282</v>
      </c>
      <c r="H282" s="72" t="n">
        <v>-6</v>
      </c>
      <c r="I282" s="70" t="s">
        <v>65</v>
      </c>
      <c r="J282" s="71" t="n">
        <v>46282</v>
      </c>
      <c r="K282" s="70" t="s">
        <v>406</v>
      </c>
      <c r="L282" s="72" t="n">
        <v>0</v>
      </c>
      <c r="M282" s="73" t="n">
        <v>0.315555555555556</v>
      </c>
      <c r="N282" s="70" t="s">
        <v>407</v>
      </c>
      <c r="O282" s="70" t="s">
        <v>1186</v>
      </c>
      <c r="P282" s="70" t="s">
        <v>1187</v>
      </c>
      <c r="Q282" s="70" t="s">
        <v>1188</v>
      </c>
      <c r="R282" s="75" t="n">
        <f aca="false">-H282</f>
        <v>6</v>
      </c>
    </row>
    <row r="283" customFormat="false" ht="15" hidden="false" customHeight="false" outlineLevel="0" collapsed="false">
      <c r="A283" s="70" t="s">
        <v>1189</v>
      </c>
      <c r="B283" s="70" t="s">
        <v>257</v>
      </c>
      <c r="C283" s="70" t="s">
        <v>258</v>
      </c>
      <c r="D283" s="70" t="s">
        <v>1152</v>
      </c>
      <c r="E283" s="70" t="s">
        <v>405</v>
      </c>
      <c r="F283" s="70" t="s">
        <v>189</v>
      </c>
      <c r="G283" s="71" t="n">
        <v>46281</v>
      </c>
      <c r="H283" s="72" t="n">
        <v>-6</v>
      </c>
      <c r="I283" s="70" t="s">
        <v>65</v>
      </c>
      <c r="J283" s="71" t="n">
        <v>46282</v>
      </c>
      <c r="K283" s="70" t="s">
        <v>406</v>
      </c>
      <c r="L283" s="72" t="n">
        <v>0</v>
      </c>
      <c r="M283" s="73" t="n">
        <v>0.110671296296296</v>
      </c>
      <c r="N283" s="70" t="s">
        <v>407</v>
      </c>
      <c r="O283" s="70" t="s">
        <v>1190</v>
      </c>
      <c r="P283" s="70" t="s">
        <v>928</v>
      </c>
      <c r="Q283" s="70" t="s">
        <v>929</v>
      </c>
      <c r="R283" s="75" t="n">
        <f aca="false">-H283</f>
        <v>6</v>
      </c>
    </row>
    <row r="284" customFormat="false" ht="15" hidden="false" customHeight="false" outlineLevel="0" collapsed="false">
      <c r="A284" s="70" t="s">
        <v>1191</v>
      </c>
      <c r="B284" s="70" t="s">
        <v>257</v>
      </c>
      <c r="C284" s="70" t="s">
        <v>258</v>
      </c>
      <c r="D284" s="70" t="s">
        <v>1152</v>
      </c>
      <c r="E284" s="70" t="s">
        <v>416</v>
      </c>
      <c r="F284" s="70" t="s">
        <v>189</v>
      </c>
      <c r="G284" s="71" t="n">
        <v>46280</v>
      </c>
      <c r="H284" s="72" t="n">
        <v>-12</v>
      </c>
      <c r="I284" s="70" t="s">
        <v>65</v>
      </c>
      <c r="J284" s="71" t="n">
        <v>46280</v>
      </c>
      <c r="K284" s="70" t="s">
        <v>406</v>
      </c>
      <c r="L284" s="72" t="n">
        <v>0</v>
      </c>
      <c r="M284" s="73" t="n">
        <v>0.911099537037037</v>
      </c>
      <c r="N284" s="70" t="s">
        <v>426</v>
      </c>
      <c r="O284" s="70" t="s">
        <v>1192</v>
      </c>
      <c r="P284" s="70" t="s">
        <v>1193</v>
      </c>
      <c r="Q284" s="70" t="s">
        <v>1194</v>
      </c>
      <c r="R284" s="75" t="n">
        <f aca="false">-H284</f>
        <v>12</v>
      </c>
    </row>
    <row r="285" customFormat="false" ht="15" hidden="false" customHeight="false" outlineLevel="0" collapsed="false">
      <c r="A285" s="70" t="s">
        <v>1047</v>
      </c>
      <c r="B285" s="70" t="s">
        <v>257</v>
      </c>
      <c r="C285" s="70" t="s">
        <v>258</v>
      </c>
      <c r="D285" s="70" t="s">
        <v>1152</v>
      </c>
      <c r="E285" s="70" t="s">
        <v>416</v>
      </c>
      <c r="F285" s="70" t="s">
        <v>189</v>
      </c>
      <c r="G285" s="71" t="n">
        <v>46280</v>
      </c>
      <c r="H285" s="72" t="n">
        <v>-36</v>
      </c>
      <c r="I285" s="70" t="s">
        <v>65</v>
      </c>
      <c r="J285" s="71" t="n">
        <v>46280</v>
      </c>
      <c r="K285" s="70" t="s">
        <v>406</v>
      </c>
      <c r="L285" s="72" t="n">
        <v>0</v>
      </c>
      <c r="M285" s="73" t="n">
        <v>0.945243055555556</v>
      </c>
      <c r="N285" s="70" t="s">
        <v>426</v>
      </c>
      <c r="O285" s="70" t="s">
        <v>1048</v>
      </c>
      <c r="P285" s="70" t="s">
        <v>1049</v>
      </c>
      <c r="Q285" s="70" t="s">
        <v>1050</v>
      </c>
      <c r="R285" s="75" t="n">
        <f aca="false">-H285</f>
        <v>36</v>
      </c>
    </row>
    <row r="286" customFormat="false" ht="15" hidden="false" customHeight="false" outlineLevel="0" collapsed="false">
      <c r="A286" s="70" t="s">
        <v>677</v>
      </c>
      <c r="B286" s="70" t="s">
        <v>257</v>
      </c>
      <c r="C286" s="70" t="s">
        <v>258</v>
      </c>
      <c r="D286" s="70" t="s">
        <v>1152</v>
      </c>
      <c r="E286" s="70" t="s">
        <v>405</v>
      </c>
      <c r="F286" s="70" t="s">
        <v>189</v>
      </c>
      <c r="G286" s="71" t="n">
        <v>46279</v>
      </c>
      <c r="H286" s="72" t="n">
        <v>-12</v>
      </c>
      <c r="I286" s="70" t="s">
        <v>65</v>
      </c>
      <c r="J286" s="71" t="n">
        <v>46279</v>
      </c>
      <c r="K286" s="70" t="s">
        <v>406</v>
      </c>
      <c r="L286" s="72" t="n">
        <v>0</v>
      </c>
      <c r="M286" s="73" t="n">
        <v>0.655162037037037</v>
      </c>
      <c r="N286" s="70" t="s">
        <v>431</v>
      </c>
      <c r="O286" s="70" t="s">
        <v>678</v>
      </c>
      <c r="P286" s="70" t="s">
        <v>679</v>
      </c>
      <c r="Q286" s="70" t="s">
        <v>680</v>
      </c>
      <c r="R286" s="75" t="n">
        <f aca="false">-H286</f>
        <v>12</v>
      </c>
    </row>
    <row r="287" customFormat="false" ht="15" hidden="false" customHeight="false" outlineLevel="0" collapsed="false">
      <c r="A287" s="70" t="s">
        <v>1195</v>
      </c>
      <c r="B287" s="70" t="s">
        <v>257</v>
      </c>
      <c r="C287" s="70" t="s">
        <v>258</v>
      </c>
      <c r="D287" s="70" t="s">
        <v>1152</v>
      </c>
      <c r="E287" s="70" t="s">
        <v>405</v>
      </c>
      <c r="F287" s="70" t="s">
        <v>189</v>
      </c>
      <c r="G287" s="71" t="n">
        <v>46279</v>
      </c>
      <c r="H287" s="72" t="n">
        <v>-30</v>
      </c>
      <c r="I287" s="70" t="s">
        <v>65</v>
      </c>
      <c r="J287" s="71" t="n">
        <v>46279</v>
      </c>
      <c r="K287" s="70" t="s">
        <v>406</v>
      </c>
      <c r="L287" s="72" t="n">
        <v>0</v>
      </c>
      <c r="M287" s="73" t="n">
        <v>0.913541666666667</v>
      </c>
      <c r="N287" s="70" t="s">
        <v>1138</v>
      </c>
      <c r="O287" s="70" t="s">
        <v>1196</v>
      </c>
      <c r="P287" s="70" t="s">
        <v>487</v>
      </c>
      <c r="Q287" s="70" t="s">
        <v>488</v>
      </c>
      <c r="R287" s="75" t="n">
        <f aca="false">-H287</f>
        <v>30</v>
      </c>
    </row>
    <row r="288" customFormat="false" ht="15" hidden="false" customHeight="false" outlineLevel="0" collapsed="false">
      <c r="A288" s="70" t="s">
        <v>1197</v>
      </c>
      <c r="B288" s="70" t="s">
        <v>257</v>
      </c>
      <c r="C288" s="70" t="s">
        <v>258</v>
      </c>
      <c r="D288" s="70" t="s">
        <v>1152</v>
      </c>
      <c r="E288" s="70" t="s">
        <v>405</v>
      </c>
      <c r="F288" s="70" t="s">
        <v>189</v>
      </c>
      <c r="G288" s="71" t="n">
        <v>46278</v>
      </c>
      <c r="H288" s="72" t="n">
        <v>-150</v>
      </c>
      <c r="I288" s="70" t="s">
        <v>65</v>
      </c>
      <c r="J288" s="71" t="n">
        <v>46278</v>
      </c>
      <c r="K288" s="70" t="s">
        <v>406</v>
      </c>
      <c r="L288" s="72" t="n">
        <v>0</v>
      </c>
      <c r="M288" s="73" t="n">
        <v>0.271770833333333</v>
      </c>
      <c r="N288" s="70" t="s">
        <v>407</v>
      </c>
      <c r="O288" s="70" t="s">
        <v>1198</v>
      </c>
      <c r="P288" s="70" t="s">
        <v>1199</v>
      </c>
      <c r="Q288" s="70" t="s">
        <v>1200</v>
      </c>
      <c r="R288" s="75" t="n">
        <f aca="false">-H288</f>
        <v>150</v>
      </c>
    </row>
    <row r="289" customFormat="false" ht="15" hidden="false" customHeight="false" outlineLevel="0" collapsed="false">
      <c r="A289" s="70" t="s">
        <v>683</v>
      </c>
      <c r="B289" s="70" t="s">
        <v>257</v>
      </c>
      <c r="C289" s="70" t="s">
        <v>258</v>
      </c>
      <c r="D289" s="70" t="s">
        <v>1152</v>
      </c>
      <c r="E289" s="70" t="s">
        <v>405</v>
      </c>
      <c r="F289" s="70" t="s">
        <v>189</v>
      </c>
      <c r="G289" s="71" t="n">
        <v>46278</v>
      </c>
      <c r="H289" s="72" t="n">
        <v>-18</v>
      </c>
      <c r="I289" s="70" t="s">
        <v>65</v>
      </c>
      <c r="J289" s="71" t="n">
        <v>46278</v>
      </c>
      <c r="K289" s="70" t="s">
        <v>406</v>
      </c>
      <c r="L289" s="72" t="n">
        <v>0</v>
      </c>
      <c r="M289" s="73" t="n">
        <v>0.754907407407407</v>
      </c>
      <c r="N289" s="70" t="s">
        <v>481</v>
      </c>
      <c r="O289" s="70" t="s">
        <v>684</v>
      </c>
      <c r="P289" s="70" t="s">
        <v>569</v>
      </c>
      <c r="Q289" s="70" t="s">
        <v>570</v>
      </c>
      <c r="R289" s="75" t="n">
        <f aca="false">-H289</f>
        <v>18</v>
      </c>
    </row>
    <row r="290" customFormat="false" ht="15" hidden="false" customHeight="false" outlineLevel="0" collapsed="false">
      <c r="A290" s="70" t="s">
        <v>1201</v>
      </c>
      <c r="B290" s="70" t="s">
        <v>257</v>
      </c>
      <c r="C290" s="70" t="s">
        <v>258</v>
      </c>
      <c r="D290" s="70" t="s">
        <v>1152</v>
      </c>
      <c r="E290" s="70" t="s">
        <v>405</v>
      </c>
      <c r="F290" s="70" t="s">
        <v>189</v>
      </c>
      <c r="G290" s="71" t="n">
        <v>46277</v>
      </c>
      <c r="H290" s="72" t="n">
        <v>-6</v>
      </c>
      <c r="I290" s="70" t="s">
        <v>65</v>
      </c>
      <c r="J290" s="71" t="n">
        <v>46278</v>
      </c>
      <c r="K290" s="70" t="s">
        <v>406</v>
      </c>
      <c r="L290" s="72" t="n">
        <v>0</v>
      </c>
      <c r="M290" s="73" t="n">
        <v>0.0975231481481482</v>
      </c>
      <c r="N290" s="70" t="s">
        <v>407</v>
      </c>
      <c r="O290" s="70" t="s">
        <v>1202</v>
      </c>
      <c r="P290" s="70" t="s">
        <v>1203</v>
      </c>
      <c r="Q290" s="70" t="s">
        <v>1204</v>
      </c>
      <c r="R290" s="75" t="n">
        <f aca="false">-H290</f>
        <v>6</v>
      </c>
    </row>
    <row r="291" customFormat="false" ht="15" hidden="false" customHeight="false" outlineLevel="0" collapsed="false">
      <c r="A291" s="70" t="s">
        <v>890</v>
      </c>
      <c r="B291" s="70" t="s">
        <v>257</v>
      </c>
      <c r="C291" s="70" t="s">
        <v>258</v>
      </c>
      <c r="D291" s="70" t="s">
        <v>1152</v>
      </c>
      <c r="E291" s="70" t="s">
        <v>405</v>
      </c>
      <c r="F291" s="70" t="s">
        <v>189</v>
      </c>
      <c r="G291" s="71" t="n">
        <v>46277</v>
      </c>
      <c r="H291" s="72" t="n">
        <v>-18</v>
      </c>
      <c r="I291" s="70" t="s">
        <v>65</v>
      </c>
      <c r="J291" s="71" t="n">
        <v>46278</v>
      </c>
      <c r="K291" s="70" t="s">
        <v>406</v>
      </c>
      <c r="L291" s="72" t="n">
        <v>0</v>
      </c>
      <c r="M291" s="73" t="n">
        <v>0.0972685185185185</v>
      </c>
      <c r="N291" s="70" t="s">
        <v>407</v>
      </c>
      <c r="O291" s="70" t="s">
        <v>891</v>
      </c>
      <c r="P291" s="70" t="s">
        <v>892</v>
      </c>
      <c r="Q291" s="70" t="s">
        <v>893</v>
      </c>
      <c r="R291" s="75" t="n">
        <f aca="false">-H291</f>
        <v>18</v>
      </c>
    </row>
    <row r="292" customFormat="false" ht="15" hidden="false" customHeight="false" outlineLevel="0" collapsed="false">
      <c r="A292" s="70" t="s">
        <v>906</v>
      </c>
      <c r="B292" s="70" t="s">
        <v>257</v>
      </c>
      <c r="C292" s="70" t="s">
        <v>258</v>
      </c>
      <c r="D292" s="70" t="s">
        <v>1152</v>
      </c>
      <c r="E292" s="70" t="s">
        <v>405</v>
      </c>
      <c r="F292" s="70" t="s">
        <v>189</v>
      </c>
      <c r="G292" s="71" t="n">
        <v>46275</v>
      </c>
      <c r="H292" s="72" t="n">
        <v>-42</v>
      </c>
      <c r="I292" s="70" t="s">
        <v>65</v>
      </c>
      <c r="J292" s="71" t="n">
        <v>46276</v>
      </c>
      <c r="K292" s="70" t="s">
        <v>406</v>
      </c>
      <c r="L292" s="72" t="n">
        <v>0</v>
      </c>
      <c r="M292" s="73" t="n">
        <v>0.0646180555555556</v>
      </c>
      <c r="N292" s="70" t="s">
        <v>444</v>
      </c>
      <c r="O292" s="70" t="s">
        <v>907</v>
      </c>
      <c r="P292" s="70" t="s">
        <v>549</v>
      </c>
      <c r="Q292" s="70" t="s">
        <v>550</v>
      </c>
      <c r="R292" s="75" t="n">
        <f aca="false">-H292</f>
        <v>42</v>
      </c>
    </row>
    <row r="293" customFormat="false" ht="15" hidden="false" customHeight="false" outlineLevel="0" collapsed="false">
      <c r="A293" s="70" t="s">
        <v>1205</v>
      </c>
      <c r="B293" s="70" t="s">
        <v>269</v>
      </c>
      <c r="C293" s="70" t="s">
        <v>270</v>
      </c>
      <c r="D293" s="70" t="s">
        <v>1206</v>
      </c>
      <c r="E293" s="70" t="s">
        <v>405</v>
      </c>
      <c r="F293" s="70" t="s">
        <v>189</v>
      </c>
      <c r="G293" s="71" t="n">
        <v>46294</v>
      </c>
      <c r="H293" s="72" t="n">
        <v>-18</v>
      </c>
      <c r="I293" s="70" t="s">
        <v>65</v>
      </c>
      <c r="J293" s="71" t="n">
        <v>46295</v>
      </c>
      <c r="K293" s="70" t="s">
        <v>406</v>
      </c>
      <c r="L293" s="72" t="n">
        <v>0</v>
      </c>
      <c r="M293" s="73" t="n">
        <v>0.00453703703703704</v>
      </c>
      <c r="N293" s="70" t="s">
        <v>407</v>
      </c>
      <c r="O293" s="70" t="s">
        <v>1207</v>
      </c>
      <c r="P293" s="70" t="s">
        <v>1208</v>
      </c>
      <c r="Q293" s="70" t="s">
        <v>1209</v>
      </c>
      <c r="R293" s="75" t="n">
        <f aca="false">-H293</f>
        <v>18</v>
      </c>
    </row>
    <row r="294" customFormat="false" ht="15" hidden="false" customHeight="false" outlineLevel="0" collapsed="false">
      <c r="A294" s="70" t="s">
        <v>629</v>
      </c>
      <c r="B294" s="70" t="s">
        <v>269</v>
      </c>
      <c r="C294" s="70" t="s">
        <v>270</v>
      </c>
      <c r="D294" s="70" t="s">
        <v>1206</v>
      </c>
      <c r="E294" s="70" t="s">
        <v>405</v>
      </c>
      <c r="F294" s="70" t="s">
        <v>189</v>
      </c>
      <c r="G294" s="71" t="n">
        <v>46289</v>
      </c>
      <c r="H294" s="72" t="n">
        <v>-12</v>
      </c>
      <c r="I294" s="70" t="s">
        <v>65</v>
      </c>
      <c r="J294" s="71" t="n">
        <v>46289</v>
      </c>
      <c r="K294" s="70" t="s">
        <v>406</v>
      </c>
      <c r="L294" s="72" t="n">
        <v>0</v>
      </c>
      <c r="M294" s="73" t="n">
        <v>0.560601851851852</v>
      </c>
      <c r="N294" s="70" t="s">
        <v>481</v>
      </c>
      <c r="O294" s="70" t="s">
        <v>630</v>
      </c>
      <c r="P294" s="70" t="s">
        <v>631</v>
      </c>
      <c r="Q294" s="70" t="s">
        <v>632</v>
      </c>
      <c r="R294" s="75" t="n">
        <f aca="false">-H294</f>
        <v>12</v>
      </c>
    </row>
    <row r="295" customFormat="false" ht="15" hidden="false" customHeight="false" outlineLevel="0" collapsed="false">
      <c r="A295" s="70" t="s">
        <v>1210</v>
      </c>
      <c r="B295" s="70" t="s">
        <v>269</v>
      </c>
      <c r="C295" s="70" t="s">
        <v>270</v>
      </c>
      <c r="D295" s="70" t="s">
        <v>1206</v>
      </c>
      <c r="E295" s="70" t="s">
        <v>405</v>
      </c>
      <c r="F295" s="70" t="s">
        <v>189</v>
      </c>
      <c r="G295" s="71" t="n">
        <v>46288</v>
      </c>
      <c r="H295" s="72" t="n">
        <v>-42</v>
      </c>
      <c r="I295" s="70" t="s">
        <v>65</v>
      </c>
      <c r="J295" s="71" t="n">
        <v>46288</v>
      </c>
      <c r="K295" s="70" t="s">
        <v>406</v>
      </c>
      <c r="L295" s="72" t="n">
        <v>0</v>
      </c>
      <c r="M295" s="73" t="n">
        <v>0.291064814814815</v>
      </c>
      <c r="N295" s="70" t="s">
        <v>444</v>
      </c>
      <c r="O295" s="70" t="s">
        <v>1211</v>
      </c>
      <c r="P295" s="70" t="s">
        <v>631</v>
      </c>
      <c r="Q295" s="70" t="s">
        <v>632</v>
      </c>
      <c r="R295" s="75" t="n">
        <f aca="false">-H295</f>
        <v>42</v>
      </c>
    </row>
    <row r="296" customFormat="false" ht="15" hidden="false" customHeight="false" outlineLevel="0" collapsed="false">
      <c r="A296" s="70" t="s">
        <v>1212</v>
      </c>
      <c r="B296" s="70" t="s">
        <v>269</v>
      </c>
      <c r="C296" s="70" t="s">
        <v>270</v>
      </c>
      <c r="D296" s="70" t="s">
        <v>1206</v>
      </c>
      <c r="E296" s="70" t="s">
        <v>416</v>
      </c>
      <c r="F296" s="70" t="s">
        <v>189</v>
      </c>
      <c r="G296" s="71" t="n">
        <v>46287</v>
      </c>
      <c r="H296" s="72" t="n">
        <v>-24</v>
      </c>
      <c r="I296" s="70" t="s">
        <v>65</v>
      </c>
      <c r="J296" s="71" t="n">
        <v>46287</v>
      </c>
      <c r="K296" s="70" t="s">
        <v>406</v>
      </c>
      <c r="L296" s="72" t="n">
        <v>0</v>
      </c>
      <c r="M296" s="73" t="n">
        <v>0.901331018518519</v>
      </c>
      <c r="N296" s="70" t="s">
        <v>426</v>
      </c>
      <c r="O296" s="70" t="s">
        <v>1213</v>
      </c>
      <c r="P296" s="70" t="s">
        <v>1214</v>
      </c>
      <c r="Q296" s="70" t="s">
        <v>1215</v>
      </c>
      <c r="R296" s="75" t="n">
        <f aca="false">-H296</f>
        <v>24</v>
      </c>
    </row>
    <row r="297" customFormat="false" ht="15" hidden="false" customHeight="false" outlineLevel="0" collapsed="false">
      <c r="A297" s="70" t="s">
        <v>609</v>
      </c>
      <c r="B297" s="70" t="s">
        <v>269</v>
      </c>
      <c r="C297" s="70" t="s">
        <v>270</v>
      </c>
      <c r="D297" s="70" t="s">
        <v>1206</v>
      </c>
      <c r="E297" s="70" t="s">
        <v>416</v>
      </c>
      <c r="F297" s="70" t="s">
        <v>189</v>
      </c>
      <c r="G297" s="71" t="n">
        <v>46287</v>
      </c>
      <c r="H297" s="72" t="n">
        <v>-6</v>
      </c>
      <c r="I297" s="70" t="s">
        <v>65</v>
      </c>
      <c r="J297" s="71" t="n">
        <v>46287</v>
      </c>
      <c r="K297" s="70" t="s">
        <v>406</v>
      </c>
      <c r="L297" s="72" t="n">
        <v>0</v>
      </c>
      <c r="M297" s="73" t="n">
        <v>0.901388888888889</v>
      </c>
      <c r="N297" s="70" t="s">
        <v>426</v>
      </c>
      <c r="O297" s="70" t="s">
        <v>610</v>
      </c>
      <c r="P297" s="70" t="s">
        <v>611</v>
      </c>
      <c r="Q297" s="70" t="s">
        <v>612</v>
      </c>
      <c r="R297" s="75" t="n">
        <f aca="false">-H297</f>
        <v>6</v>
      </c>
    </row>
    <row r="298" customFormat="false" ht="15" hidden="false" customHeight="false" outlineLevel="0" collapsed="false">
      <c r="A298" s="70" t="s">
        <v>651</v>
      </c>
      <c r="B298" s="70" t="s">
        <v>269</v>
      </c>
      <c r="C298" s="70" t="s">
        <v>270</v>
      </c>
      <c r="D298" s="70" t="s">
        <v>1206</v>
      </c>
      <c r="E298" s="70" t="s">
        <v>405</v>
      </c>
      <c r="F298" s="70" t="s">
        <v>189</v>
      </c>
      <c r="G298" s="71" t="n">
        <v>46285</v>
      </c>
      <c r="H298" s="72" t="n">
        <v>-6</v>
      </c>
      <c r="I298" s="70" t="s">
        <v>65</v>
      </c>
      <c r="J298" s="71" t="n">
        <v>46285</v>
      </c>
      <c r="K298" s="70" t="s">
        <v>406</v>
      </c>
      <c r="L298" s="72" t="n">
        <v>0</v>
      </c>
      <c r="M298" s="73" t="n">
        <v>0.314953703703704</v>
      </c>
      <c r="N298" s="70" t="s">
        <v>444</v>
      </c>
      <c r="O298" s="70" t="s">
        <v>652</v>
      </c>
      <c r="P298" s="70" t="s">
        <v>653</v>
      </c>
      <c r="Q298" s="70" t="s">
        <v>654</v>
      </c>
      <c r="R298" s="75" t="n">
        <f aca="false">-H298</f>
        <v>6</v>
      </c>
    </row>
    <row r="299" customFormat="false" ht="15" hidden="false" customHeight="false" outlineLevel="0" collapsed="false">
      <c r="A299" s="70" t="s">
        <v>1189</v>
      </c>
      <c r="B299" s="70" t="s">
        <v>269</v>
      </c>
      <c r="C299" s="70" t="s">
        <v>270</v>
      </c>
      <c r="D299" s="70" t="s">
        <v>1206</v>
      </c>
      <c r="E299" s="70" t="s">
        <v>405</v>
      </c>
      <c r="F299" s="70" t="s">
        <v>189</v>
      </c>
      <c r="G299" s="71" t="n">
        <v>46281</v>
      </c>
      <c r="H299" s="72" t="n">
        <v>-12</v>
      </c>
      <c r="I299" s="70" t="s">
        <v>65</v>
      </c>
      <c r="J299" s="71" t="n">
        <v>46282</v>
      </c>
      <c r="K299" s="70" t="s">
        <v>406</v>
      </c>
      <c r="L299" s="72" t="n">
        <v>0</v>
      </c>
      <c r="M299" s="73" t="n">
        <v>0.110671296296296</v>
      </c>
      <c r="N299" s="70" t="s">
        <v>407</v>
      </c>
      <c r="O299" s="70" t="s">
        <v>1190</v>
      </c>
      <c r="P299" s="70" t="s">
        <v>928</v>
      </c>
      <c r="Q299" s="70" t="s">
        <v>929</v>
      </c>
      <c r="R299" s="75" t="n">
        <f aca="false">-H299</f>
        <v>12</v>
      </c>
    </row>
    <row r="300" customFormat="false" ht="15" hidden="false" customHeight="false" outlineLevel="0" collapsed="false">
      <c r="A300" s="70" t="s">
        <v>1216</v>
      </c>
      <c r="B300" s="70" t="s">
        <v>269</v>
      </c>
      <c r="C300" s="70" t="s">
        <v>270</v>
      </c>
      <c r="D300" s="70" t="s">
        <v>1206</v>
      </c>
      <c r="E300" s="70" t="s">
        <v>416</v>
      </c>
      <c r="F300" s="70" t="s">
        <v>189</v>
      </c>
      <c r="G300" s="71" t="n">
        <v>46280</v>
      </c>
      <c r="H300" s="72" t="n">
        <v>-48</v>
      </c>
      <c r="I300" s="70" t="s">
        <v>65</v>
      </c>
      <c r="J300" s="71" t="n">
        <v>46280</v>
      </c>
      <c r="K300" s="70" t="s">
        <v>406</v>
      </c>
      <c r="L300" s="72" t="n">
        <v>0</v>
      </c>
      <c r="M300" s="73" t="n">
        <v>0.945405092592593</v>
      </c>
      <c r="N300" s="70" t="s">
        <v>426</v>
      </c>
      <c r="O300" s="70" t="s">
        <v>1217</v>
      </c>
      <c r="P300" s="70" t="s">
        <v>1218</v>
      </c>
      <c r="Q300" s="70" t="s">
        <v>1219</v>
      </c>
      <c r="R300" s="75" t="n">
        <f aca="false">-H300</f>
        <v>48</v>
      </c>
    </row>
    <row r="301" customFormat="false" ht="15" hidden="false" customHeight="false" outlineLevel="0" collapsed="false">
      <c r="A301" s="70" t="s">
        <v>1220</v>
      </c>
      <c r="B301" s="70" t="s">
        <v>269</v>
      </c>
      <c r="C301" s="70" t="s">
        <v>270</v>
      </c>
      <c r="D301" s="70" t="s">
        <v>1206</v>
      </c>
      <c r="E301" s="70" t="s">
        <v>405</v>
      </c>
      <c r="F301" s="70" t="s">
        <v>189</v>
      </c>
      <c r="G301" s="71" t="n">
        <v>46279</v>
      </c>
      <c r="H301" s="72" t="n">
        <v>-6</v>
      </c>
      <c r="I301" s="70" t="s">
        <v>65</v>
      </c>
      <c r="J301" s="71" t="n">
        <v>46279</v>
      </c>
      <c r="K301" s="70" t="s">
        <v>406</v>
      </c>
      <c r="L301" s="72" t="n">
        <v>0</v>
      </c>
      <c r="M301" s="73" t="n">
        <v>0.613483796296296</v>
      </c>
      <c r="N301" s="70" t="s">
        <v>431</v>
      </c>
      <c r="O301" s="70" t="s">
        <v>1221</v>
      </c>
      <c r="P301" s="70" t="s">
        <v>1222</v>
      </c>
      <c r="Q301" s="70" t="s">
        <v>1223</v>
      </c>
      <c r="R301" s="75" t="n">
        <f aca="false">-H301</f>
        <v>6</v>
      </c>
    </row>
    <row r="302" customFormat="false" ht="15" hidden="false" customHeight="false" outlineLevel="0" collapsed="false">
      <c r="A302" s="70" t="s">
        <v>906</v>
      </c>
      <c r="B302" s="70" t="s">
        <v>269</v>
      </c>
      <c r="C302" s="70" t="s">
        <v>270</v>
      </c>
      <c r="D302" s="70" t="s">
        <v>1206</v>
      </c>
      <c r="E302" s="70" t="s">
        <v>405</v>
      </c>
      <c r="F302" s="70" t="s">
        <v>189</v>
      </c>
      <c r="G302" s="71" t="n">
        <v>46275</v>
      </c>
      <c r="H302" s="72" t="n">
        <v>-12</v>
      </c>
      <c r="I302" s="70" t="s">
        <v>65</v>
      </c>
      <c r="J302" s="71" t="n">
        <v>46276</v>
      </c>
      <c r="K302" s="70" t="s">
        <v>406</v>
      </c>
      <c r="L302" s="72" t="n">
        <v>0</v>
      </c>
      <c r="M302" s="73" t="n">
        <v>0.0646180555555556</v>
      </c>
      <c r="N302" s="70" t="s">
        <v>444</v>
      </c>
      <c r="O302" s="70" t="s">
        <v>907</v>
      </c>
      <c r="P302" s="70" t="s">
        <v>549</v>
      </c>
      <c r="Q302" s="70" t="s">
        <v>550</v>
      </c>
      <c r="R302" s="75" t="n">
        <f aca="false">-H302</f>
        <v>12</v>
      </c>
    </row>
    <row r="303" customFormat="false" ht="15" hidden="false" customHeight="false" outlineLevel="0" collapsed="false">
      <c r="A303" s="70" t="s">
        <v>1224</v>
      </c>
      <c r="B303" s="70" t="s">
        <v>271</v>
      </c>
      <c r="C303" s="70" t="s">
        <v>272</v>
      </c>
      <c r="D303" s="70" t="s">
        <v>1225</v>
      </c>
      <c r="E303" s="70" t="s">
        <v>405</v>
      </c>
      <c r="F303" s="70" t="s">
        <v>189</v>
      </c>
      <c r="G303" s="71" t="n">
        <v>46295</v>
      </c>
      <c r="H303" s="72" t="n">
        <v>-50</v>
      </c>
      <c r="I303" s="70" t="s">
        <v>65</v>
      </c>
      <c r="J303" s="71" t="n">
        <v>46295</v>
      </c>
      <c r="K303" s="70" t="s">
        <v>406</v>
      </c>
      <c r="L303" s="72" t="n">
        <v>0</v>
      </c>
      <c r="M303" s="73" t="n">
        <v>0.356030092592593</v>
      </c>
      <c r="N303" s="70" t="s">
        <v>407</v>
      </c>
      <c r="O303" s="70" t="s">
        <v>1226</v>
      </c>
      <c r="P303" s="70" t="s">
        <v>953</v>
      </c>
      <c r="Q303" s="70" t="s">
        <v>954</v>
      </c>
      <c r="R303" s="75" t="n">
        <f aca="false">-H303</f>
        <v>50</v>
      </c>
    </row>
    <row r="304" customFormat="false" ht="15" hidden="false" customHeight="false" outlineLevel="0" collapsed="false">
      <c r="A304" s="70" t="s">
        <v>1227</v>
      </c>
      <c r="B304" s="70" t="s">
        <v>271</v>
      </c>
      <c r="C304" s="70" t="s">
        <v>272</v>
      </c>
      <c r="D304" s="70" t="s">
        <v>1225</v>
      </c>
      <c r="E304" s="70" t="s">
        <v>405</v>
      </c>
      <c r="F304" s="70" t="s">
        <v>189</v>
      </c>
      <c r="G304" s="71" t="n">
        <v>46295</v>
      </c>
      <c r="H304" s="72" t="n">
        <v>-10</v>
      </c>
      <c r="I304" s="70" t="s">
        <v>65</v>
      </c>
      <c r="J304" s="71" t="n">
        <v>46296</v>
      </c>
      <c r="K304" s="70" t="s">
        <v>406</v>
      </c>
      <c r="L304" s="72" t="n">
        <v>0</v>
      </c>
      <c r="M304" s="73" t="n">
        <v>0.0630902777777778</v>
      </c>
      <c r="N304" s="70" t="s">
        <v>444</v>
      </c>
      <c r="O304" s="70" t="s">
        <v>1228</v>
      </c>
      <c r="P304" s="70" t="s">
        <v>1065</v>
      </c>
      <c r="Q304" s="70" t="s">
        <v>1066</v>
      </c>
      <c r="R304" s="75" t="n">
        <f aca="false">-H304</f>
        <v>10</v>
      </c>
    </row>
    <row r="305" customFormat="false" ht="15" hidden="false" customHeight="false" outlineLevel="0" collapsed="false">
      <c r="A305" s="70" t="s">
        <v>1229</v>
      </c>
      <c r="B305" s="70" t="s">
        <v>271</v>
      </c>
      <c r="C305" s="70" t="s">
        <v>272</v>
      </c>
      <c r="D305" s="70" t="s">
        <v>1225</v>
      </c>
      <c r="E305" s="70" t="s">
        <v>405</v>
      </c>
      <c r="F305" s="70" t="s">
        <v>189</v>
      </c>
      <c r="G305" s="71" t="n">
        <v>46295</v>
      </c>
      <c r="H305" s="72" t="n">
        <v>-10</v>
      </c>
      <c r="I305" s="70" t="s">
        <v>65</v>
      </c>
      <c r="J305" s="71" t="n">
        <v>46296</v>
      </c>
      <c r="K305" s="70" t="s">
        <v>406</v>
      </c>
      <c r="L305" s="72" t="n">
        <v>0</v>
      </c>
      <c r="M305" s="73" t="n">
        <v>0.0630671296296296</v>
      </c>
      <c r="N305" s="70" t="s">
        <v>444</v>
      </c>
      <c r="O305" s="70" t="s">
        <v>1230</v>
      </c>
      <c r="P305" s="70" t="s">
        <v>1231</v>
      </c>
      <c r="Q305" s="70" t="s">
        <v>1232</v>
      </c>
      <c r="R305" s="75" t="n">
        <f aca="false">-H305</f>
        <v>10</v>
      </c>
    </row>
    <row r="306" customFormat="false" ht="15" hidden="false" customHeight="false" outlineLevel="0" collapsed="false">
      <c r="A306" s="70" t="s">
        <v>1233</v>
      </c>
      <c r="B306" s="70" t="s">
        <v>271</v>
      </c>
      <c r="C306" s="70" t="s">
        <v>272</v>
      </c>
      <c r="D306" s="70" t="s">
        <v>1225</v>
      </c>
      <c r="E306" s="70" t="s">
        <v>405</v>
      </c>
      <c r="F306" s="70" t="s">
        <v>189</v>
      </c>
      <c r="G306" s="71" t="n">
        <v>46295</v>
      </c>
      <c r="H306" s="72" t="n">
        <v>-10</v>
      </c>
      <c r="I306" s="70" t="s">
        <v>65</v>
      </c>
      <c r="J306" s="71" t="n">
        <v>46296</v>
      </c>
      <c r="K306" s="70" t="s">
        <v>406</v>
      </c>
      <c r="L306" s="72" t="n">
        <v>0</v>
      </c>
      <c r="M306" s="73" t="n">
        <v>0.063125</v>
      </c>
      <c r="N306" s="70" t="s">
        <v>444</v>
      </c>
      <c r="O306" s="70" t="s">
        <v>1234</v>
      </c>
      <c r="P306" s="70" t="s">
        <v>529</v>
      </c>
      <c r="Q306" s="70" t="s">
        <v>530</v>
      </c>
      <c r="R306" s="75" t="n">
        <f aca="false">-H306</f>
        <v>10</v>
      </c>
    </row>
    <row r="307" customFormat="false" ht="15" hidden="false" customHeight="false" outlineLevel="0" collapsed="false">
      <c r="A307" s="70" t="s">
        <v>1085</v>
      </c>
      <c r="B307" s="70" t="s">
        <v>271</v>
      </c>
      <c r="C307" s="70" t="s">
        <v>272</v>
      </c>
      <c r="D307" s="70" t="s">
        <v>1225</v>
      </c>
      <c r="E307" s="70" t="s">
        <v>405</v>
      </c>
      <c r="F307" s="70" t="s">
        <v>189</v>
      </c>
      <c r="G307" s="71" t="n">
        <v>46295</v>
      </c>
      <c r="H307" s="72" t="n">
        <v>-10</v>
      </c>
      <c r="I307" s="70" t="s">
        <v>65</v>
      </c>
      <c r="J307" s="71" t="n">
        <v>46296</v>
      </c>
      <c r="K307" s="70" t="s">
        <v>406</v>
      </c>
      <c r="L307" s="72" t="n">
        <v>0</v>
      </c>
      <c r="M307" s="73" t="n">
        <v>0.0645949074074074</v>
      </c>
      <c r="N307" s="70" t="s">
        <v>444</v>
      </c>
      <c r="O307" s="70" t="s">
        <v>1086</v>
      </c>
      <c r="P307" s="70" t="s">
        <v>679</v>
      </c>
      <c r="Q307" s="70" t="s">
        <v>680</v>
      </c>
      <c r="R307" s="75" t="n">
        <f aca="false">-H307</f>
        <v>10</v>
      </c>
    </row>
    <row r="308" customFormat="false" ht="15" hidden="false" customHeight="false" outlineLevel="0" collapsed="false">
      <c r="A308" s="70" t="s">
        <v>1235</v>
      </c>
      <c r="B308" s="70" t="s">
        <v>271</v>
      </c>
      <c r="C308" s="70" t="s">
        <v>272</v>
      </c>
      <c r="D308" s="70" t="s">
        <v>1225</v>
      </c>
      <c r="E308" s="70" t="s">
        <v>405</v>
      </c>
      <c r="F308" s="70" t="s">
        <v>189</v>
      </c>
      <c r="G308" s="71" t="n">
        <v>46295</v>
      </c>
      <c r="H308" s="72" t="n">
        <v>-20</v>
      </c>
      <c r="I308" s="70" t="s">
        <v>65</v>
      </c>
      <c r="J308" s="71" t="n">
        <v>46295</v>
      </c>
      <c r="K308" s="70" t="s">
        <v>406</v>
      </c>
      <c r="L308" s="72" t="n">
        <v>0</v>
      </c>
      <c r="M308" s="73" t="n">
        <v>0.356099537037037</v>
      </c>
      <c r="N308" s="70" t="s">
        <v>407</v>
      </c>
      <c r="O308" s="70" t="s">
        <v>1236</v>
      </c>
      <c r="P308" s="70" t="s">
        <v>599</v>
      </c>
      <c r="Q308" s="70" t="s">
        <v>600</v>
      </c>
      <c r="R308" s="75" t="n">
        <f aca="false">-H308</f>
        <v>20</v>
      </c>
    </row>
    <row r="309" customFormat="false" ht="15" hidden="false" customHeight="false" outlineLevel="0" collapsed="false">
      <c r="A309" s="70" t="s">
        <v>1237</v>
      </c>
      <c r="B309" s="70" t="s">
        <v>271</v>
      </c>
      <c r="C309" s="70" t="s">
        <v>272</v>
      </c>
      <c r="D309" s="70" t="s">
        <v>1225</v>
      </c>
      <c r="E309" s="70" t="s">
        <v>405</v>
      </c>
      <c r="F309" s="70" t="s">
        <v>189</v>
      </c>
      <c r="G309" s="71" t="n">
        <v>46294</v>
      </c>
      <c r="H309" s="72" t="n">
        <v>-100</v>
      </c>
      <c r="I309" s="70" t="s">
        <v>65</v>
      </c>
      <c r="J309" s="71" t="n">
        <v>46295</v>
      </c>
      <c r="K309" s="70" t="s">
        <v>406</v>
      </c>
      <c r="L309" s="72" t="n">
        <v>0</v>
      </c>
      <c r="M309" s="73" t="n">
        <v>0.00537037037037037</v>
      </c>
      <c r="N309" s="70" t="s">
        <v>407</v>
      </c>
      <c r="O309" s="70" t="s">
        <v>1238</v>
      </c>
      <c r="P309" s="70" t="s">
        <v>423</v>
      </c>
      <c r="Q309" s="70" t="s">
        <v>424</v>
      </c>
      <c r="R309" s="75" t="n">
        <f aca="false">-H309</f>
        <v>100</v>
      </c>
    </row>
    <row r="310" customFormat="false" ht="15" hidden="false" customHeight="false" outlineLevel="0" collapsed="false">
      <c r="A310" s="70" t="s">
        <v>1095</v>
      </c>
      <c r="B310" s="70" t="s">
        <v>271</v>
      </c>
      <c r="C310" s="70" t="s">
        <v>272</v>
      </c>
      <c r="D310" s="70" t="s">
        <v>1225</v>
      </c>
      <c r="E310" s="70" t="s">
        <v>405</v>
      </c>
      <c r="F310" s="70" t="s">
        <v>189</v>
      </c>
      <c r="G310" s="71" t="n">
        <v>46294</v>
      </c>
      <c r="H310" s="72" t="n">
        <v>-10</v>
      </c>
      <c r="I310" s="70" t="s">
        <v>65</v>
      </c>
      <c r="J310" s="71" t="n">
        <v>46294</v>
      </c>
      <c r="K310" s="70" t="s">
        <v>406</v>
      </c>
      <c r="L310" s="72" t="n">
        <v>0</v>
      </c>
      <c r="M310" s="73" t="n">
        <v>0.34625</v>
      </c>
      <c r="N310" s="70" t="s">
        <v>407</v>
      </c>
      <c r="O310" s="70" t="s">
        <v>1096</v>
      </c>
      <c r="P310" s="70" t="s">
        <v>1097</v>
      </c>
      <c r="Q310" s="70" t="s">
        <v>1098</v>
      </c>
      <c r="R310" s="75" t="n">
        <f aca="false">-H310</f>
        <v>10</v>
      </c>
    </row>
    <row r="311" customFormat="false" ht="15" hidden="false" customHeight="false" outlineLevel="0" collapsed="false">
      <c r="A311" s="70" t="s">
        <v>1239</v>
      </c>
      <c r="B311" s="70" t="s">
        <v>271</v>
      </c>
      <c r="C311" s="70" t="s">
        <v>272</v>
      </c>
      <c r="D311" s="70" t="s">
        <v>1225</v>
      </c>
      <c r="E311" s="70" t="s">
        <v>405</v>
      </c>
      <c r="F311" s="70" t="s">
        <v>189</v>
      </c>
      <c r="G311" s="71" t="n">
        <v>46294</v>
      </c>
      <c r="H311" s="72" t="n">
        <v>-10</v>
      </c>
      <c r="I311" s="70" t="s">
        <v>65</v>
      </c>
      <c r="J311" s="71" t="n">
        <v>46295</v>
      </c>
      <c r="K311" s="70" t="s">
        <v>406</v>
      </c>
      <c r="L311" s="72" t="n">
        <v>0</v>
      </c>
      <c r="M311" s="73" t="n">
        <v>0.00525462962962963</v>
      </c>
      <c r="N311" s="70" t="s">
        <v>407</v>
      </c>
      <c r="O311" s="70" t="s">
        <v>1240</v>
      </c>
      <c r="P311" s="70" t="s">
        <v>553</v>
      </c>
      <c r="Q311" s="70" t="s">
        <v>554</v>
      </c>
      <c r="R311" s="75" t="n">
        <f aca="false">-H311</f>
        <v>10</v>
      </c>
    </row>
    <row r="312" customFormat="false" ht="15" hidden="false" customHeight="false" outlineLevel="0" collapsed="false">
      <c r="A312" s="70" t="s">
        <v>1241</v>
      </c>
      <c r="B312" s="70" t="s">
        <v>271</v>
      </c>
      <c r="C312" s="70" t="s">
        <v>272</v>
      </c>
      <c r="D312" s="70" t="s">
        <v>1225</v>
      </c>
      <c r="E312" s="70" t="s">
        <v>405</v>
      </c>
      <c r="F312" s="70" t="s">
        <v>189</v>
      </c>
      <c r="G312" s="71" t="n">
        <v>46294</v>
      </c>
      <c r="H312" s="72" t="n">
        <v>-10</v>
      </c>
      <c r="I312" s="70" t="s">
        <v>65</v>
      </c>
      <c r="J312" s="71" t="n">
        <v>46295</v>
      </c>
      <c r="K312" s="70" t="s">
        <v>406</v>
      </c>
      <c r="L312" s="72" t="n">
        <v>0</v>
      </c>
      <c r="M312" s="73" t="n">
        <v>0.00515046296296296</v>
      </c>
      <c r="N312" s="70" t="s">
        <v>407</v>
      </c>
      <c r="O312" s="70" t="s">
        <v>1242</v>
      </c>
      <c r="P312" s="70" t="s">
        <v>975</v>
      </c>
      <c r="Q312" s="70" t="s">
        <v>976</v>
      </c>
      <c r="R312" s="75" t="n">
        <f aca="false">-H312</f>
        <v>10</v>
      </c>
    </row>
    <row r="313" customFormat="false" ht="15" hidden="false" customHeight="false" outlineLevel="0" collapsed="false">
      <c r="A313" s="70" t="s">
        <v>1243</v>
      </c>
      <c r="B313" s="70" t="s">
        <v>271</v>
      </c>
      <c r="C313" s="70" t="s">
        <v>272</v>
      </c>
      <c r="D313" s="70" t="s">
        <v>1225</v>
      </c>
      <c r="E313" s="70" t="s">
        <v>405</v>
      </c>
      <c r="F313" s="70" t="s">
        <v>189</v>
      </c>
      <c r="G313" s="71" t="n">
        <v>46294</v>
      </c>
      <c r="H313" s="72" t="n">
        <v>-10</v>
      </c>
      <c r="I313" s="70" t="s">
        <v>65</v>
      </c>
      <c r="J313" s="71" t="n">
        <v>46295</v>
      </c>
      <c r="K313" s="70" t="s">
        <v>406</v>
      </c>
      <c r="L313" s="72" t="n">
        <v>0</v>
      </c>
      <c r="M313" s="73" t="n">
        <v>0.00506944444444444</v>
      </c>
      <c r="N313" s="70" t="s">
        <v>407</v>
      </c>
      <c r="O313" s="70" t="s">
        <v>1244</v>
      </c>
      <c r="P313" s="70" t="s">
        <v>1245</v>
      </c>
      <c r="Q313" s="70" t="s">
        <v>1246</v>
      </c>
      <c r="R313" s="75" t="n">
        <f aca="false">-H313</f>
        <v>10</v>
      </c>
    </row>
    <row r="314" customFormat="false" ht="15" hidden="false" customHeight="false" outlineLevel="0" collapsed="false">
      <c r="A314" s="70" t="s">
        <v>1247</v>
      </c>
      <c r="B314" s="70" t="s">
        <v>271</v>
      </c>
      <c r="C314" s="70" t="s">
        <v>272</v>
      </c>
      <c r="D314" s="70" t="s">
        <v>1225</v>
      </c>
      <c r="E314" s="70" t="s">
        <v>405</v>
      </c>
      <c r="F314" s="70" t="s">
        <v>189</v>
      </c>
      <c r="G314" s="71" t="n">
        <v>46294</v>
      </c>
      <c r="H314" s="72" t="n">
        <v>-10</v>
      </c>
      <c r="I314" s="70" t="s">
        <v>65</v>
      </c>
      <c r="J314" s="71" t="n">
        <v>46295</v>
      </c>
      <c r="K314" s="70" t="s">
        <v>406</v>
      </c>
      <c r="L314" s="72" t="n">
        <v>0</v>
      </c>
      <c r="M314" s="73" t="n">
        <v>0.00505787037037037</v>
      </c>
      <c r="N314" s="70" t="s">
        <v>407</v>
      </c>
      <c r="O314" s="70" t="s">
        <v>1248</v>
      </c>
      <c r="P314" s="70" t="s">
        <v>1121</v>
      </c>
      <c r="Q314" s="70" t="s">
        <v>1122</v>
      </c>
      <c r="R314" s="75" t="n">
        <f aca="false">-H314</f>
        <v>10</v>
      </c>
    </row>
    <row r="315" customFormat="false" ht="15" hidden="false" customHeight="false" outlineLevel="0" collapsed="false">
      <c r="A315" s="70" t="s">
        <v>1249</v>
      </c>
      <c r="B315" s="70" t="s">
        <v>271</v>
      </c>
      <c r="C315" s="70" t="s">
        <v>272</v>
      </c>
      <c r="D315" s="70" t="s">
        <v>1225</v>
      </c>
      <c r="E315" s="70" t="s">
        <v>405</v>
      </c>
      <c r="F315" s="70" t="s">
        <v>189</v>
      </c>
      <c r="G315" s="71" t="n">
        <v>46294</v>
      </c>
      <c r="H315" s="72" t="n">
        <v>-10</v>
      </c>
      <c r="I315" s="70" t="s">
        <v>65</v>
      </c>
      <c r="J315" s="71" t="n">
        <v>46294</v>
      </c>
      <c r="K315" s="70" t="s">
        <v>406</v>
      </c>
      <c r="L315" s="72" t="n">
        <v>0</v>
      </c>
      <c r="M315" s="73" t="n">
        <v>0.42587962962963</v>
      </c>
      <c r="N315" s="70" t="s">
        <v>407</v>
      </c>
      <c r="O315" s="70" t="s">
        <v>1250</v>
      </c>
      <c r="P315" s="70" t="s">
        <v>1251</v>
      </c>
      <c r="Q315" s="70" t="s">
        <v>1252</v>
      </c>
      <c r="R315" s="75" t="n">
        <f aca="false">-H315</f>
        <v>10</v>
      </c>
    </row>
    <row r="316" customFormat="false" ht="15" hidden="false" customHeight="false" outlineLevel="0" collapsed="false">
      <c r="A316" s="70" t="s">
        <v>1253</v>
      </c>
      <c r="B316" s="70" t="s">
        <v>271</v>
      </c>
      <c r="C316" s="70" t="s">
        <v>272</v>
      </c>
      <c r="D316" s="70" t="s">
        <v>1225</v>
      </c>
      <c r="E316" s="70" t="s">
        <v>405</v>
      </c>
      <c r="F316" s="70" t="s">
        <v>189</v>
      </c>
      <c r="G316" s="71" t="n">
        <v>46294</v>
      </c>
      <c r="H316" s="72" t="n">
        <v>-150</v>
      </c>
      <c r="I316" s="70" t="s">
        <v>65</v>
      </c>
      <c r="J316" s="71" t="n">
        <v>46294</v>
      </c>
      <c r="K316" s="70" t="s">
        <v>406</v>
      </c>
      <c r="L316" s="72" t="n">
        <v>0</v>
      </c>
      <c r="M316" s="73" t="n">
        <v>0.588020833333333</v>
      </c>
      <c r="N316" s="70" t="s">
        <v>481</v>
      </c>
      <c r="O316" s="70" t="s">
        <v>1254</v>
      </c>
      <c r="P316" s="70" t="s">
        <v>472</v>
      </c>
      <c r="Q316" s="70" t="s">
        <v>473</v>
      </c>
      <c r="R316" s="75" t="n">
        <f aca="false">-H316</f>
        <v>150</v>
      </c>
    </row>
    <row r="317" customFormat="false" ht="15" hidden="false" customHeight="false" outlineLevel="0" collapsed="false">
      <c r="A317" s="70" t="s">
        <v>1255</v>
      </c>
      <c r="B317" s="70" t="s">
        <v>271</v>
      </c>
      <c r="C317" s="70" t="s">
        <v>272</v>
      </c>
      <c r="D317" s="70" t="s">
        <v>1225</v>
      </c>
      <c r="E317" s="70" t="s">
        <v>405</v>
      </c>
      <c r="F317" s="70" t="s">
        <v>189</v>
      </c>
      <c r="G317" s="71" t="n">
        <v>46292</v>
      </c>
      <c r="H317" s="72" t="n">
        <v>-10</v>
      </c>
      <c r="I317" s="70" t="s">
        <v>65</v>
      </c>
      <c r="J317" s="71" t="n">
        <v>46292</v>
      </c>
      <c r="K317" s="70" t="s">
        <v>406</v>
      </c>
      <c r="L317" s="72" t="n">
        <v>0</v>
      </c>
      <c r="M317" s="73" t="n">
        <v>0.826076388888889</v>
      </c>
      <c r="N317" s="70" t="s">
        <v>431</v>
      </c>
      <c r="O317" s="70" t="s">
        <v>1256</v>
      </c>
      <c r="P317" s="70" t="s">
        <v>1257</v>
      </c>
      <c r="Q317" s="70" t="s">
        <v>1258</v>
      </c>
      <c r="R317" s="75" t="n">
        <f aca="false">-H317</f>
        <v>10</v>
      </c>
    </row>
    <row r="318" customFormat="false" ht="15" hidden="false" customHeight="false" outlineLevel="0" collapsed="false">
      <c r="A318" s="70" t="s">
        <v>1259</v>
      </c>
      <c r="B318" s="70" t="s">
        <v>271</v>
      </c>
      <c r="C318" s="70" t="s">
        <v>272</v>
      </c>
      <c r="D318" s="70" t="s">
        <v>1225</v>
      </c>
      <c r="E318" s="70" t="s">
        <v>405</v>
      </c>
      <c r="F318" s="70" t="s">
        <v>189</v>
      </c>
      <c r="G318" s="71" t="n">
        <v>46292</v>
      </c>
      <c r="H318" s="72" t="n">
        <v>-10</v>
      </c>
      <c r="I318" s="70" t="s">
        <v>65</v>
      </c>
      <c r="J318" s="71" t="n">
        <v>46292</v>
      </c>
      <c r="K318" s="70" t="s">
        <v>406</v>
      </c>
      <c r="L318" s="72" t="n">
        <v>0</v>
      </c>
      <c r="M318" s="73" t="n">
        <v>0.825821759259259</v>
      </c>
      <c r="N318" s="70" t="s">
        <v>431</v>
      </c>
      <c r="O318" s="70" t="s">
        <v>1260</v>
      </c>
      <c r="P318" s="70" t="s">
        <v>1261</v>
      </c>
      <c r="Q318" s="70" t="s">
        <v>1262</v>
      </c>
      <c r="R318" s="75" t="n">
        <f aca="false">-H318</f>
        <v>10</v>
      </c>
    </row>
    <row r="319" customFormat="false" ht="15" hidden="false" customHeight="false" outlineLevel="0" collapsed="false">
      <c r="A319" s="70" t="s">
        <v>1263</v>
      </c>
      <c r="B319" s="70" t="s">
        <v>271</v>
      </c>
      <c r="C319" s="70" t="s">
        <v>272</v>
      </c>
      <c r="D319" s="70" t="s">
        <v>1225</v>
      </c>
      <c r="E319" s="70" t="s">
        <v>405</v>
      </c>
      <c r="F319" s="70" t="s">
        <v>189</v>
      </c>
      <c r="G319" s="71" t="n">
        <v>46292</v>
      </c>
      <c r="H319" s="72" t="n">
        <v>-20</v>
      </c>
      <c r="I319" s="70" t="s">
        <v>65</v>
      </c>
      <c r="J319" s="71" t="n">
        <v>46292</v>
      </c>
      <c r="K319" s="70" t="s">
        <v>406</v>
      </c>
      <c r="L319" s="72" t="n">
        <v>0</v>
      </c>
      <c r="M319" s="73" t="n">
        <v>0.677395833333333</v>
      </c>
      <c r="N319" s="70" t="s">
        <v>431</v>
      </c>
      <c r="O319" s="70" t="s">
        <v>1264</v>
      </c>
      <c r="P319" s="70" t="s">
        <v>1265</v>
      </c>
      <c r="Q319" s="70" t="s">
        <v>1266</v>
      </c>
      <c r="R319" s="75" t="n">
        <f aca="false">-H319</f>
        <v>20</v>
      </c>
    </row>
    <row r="320" customFormat="false" ht="15" hidden="false" customHeight="false" outlineLevel="0" collapsed="false">
      <c r="A320" s="70" t="s">
        <v>1267</v>
      </c>
      <c r="B320" s="70" t="s">
        <v>271</v>
      </c>
      <c r="C320" s="70" t="s">
        <v>272</v>
      </c>
      <c r="D320" s="70" t="s">
        <v>1225</v>
      </c>
      <c r="E320" s="70" t="s">
        <v>405</v>
      </c>
      <c r="F320" s="70" t="s">
        <v>189</v>
      </c>
      <c r="G320" s="71" t="n">
        <v>46292</v>
      </c>
      <c r="H320" s="72" t="n">
        <v>-10</v>
      </c>
      <c r="I320" s="70" t="s">
        <v>65</v>
      </c>
      <c r="J320" s="71" t="n">
        <v>46292</v>
      </c>
      <c r="K320" s="70" t="s">
        <v>406</v>
      </c>
      <c r="L320" s="72" t="n">
        <v>0</v>
      </c>
      <c r="M320" s="73" t="n">
        <v>0.826053240740741</v>
      </c>
      <c r="N320" s="70" t="s">
        <v>431</v>
      </c>
      <c r="O320" s="70" t="s">
        <v>1268</v>
      </c>
      <c r="P320" s="70" t="s">
        <v>1269</v>
      </c>
      <c r="Q320" s="70" t="s">
        <v>1270</v>
      </c>
      <c r="R320" s="75" t="n">
        <f aca="false">-H320</f>
        <v>10</v>
      </c>
    </row>
    <row r="321" customFormat="false" ht="15" hidden="false" customHeight="false" outlineLevel="0" collapsed="false">
      <c r="A321" s="70" t="s">
        <v>1271</v>
      </c>
      <c r="B321" s="70" t="s">
        <v>271</v>
      </c>
      <c r="C321" s="70" t="s">
        <v>272</v>
      </c>
      <c r="D321" s="70" t="s">
        <v>1225</v>
      </c>
      <c r="E321" s="70" t="s">
        <v>405</v>
      </c>
      <c r="F321" s="70" t="s">
        <v>189</v>
      </c>
      <c r="G321" s="71" t="n">
        <v>46292</v>
      </c>
      <c r="H321" s="72" t="n">
        <v>-10</v>
      </c>
      <c r="I321" s="70" t="s">
        <v>65</v>
      </c>
      <c r="J321" s="71" t="n">
        <v>46292</v>
      </c>
      <c r="K321" s="70" t="s">
        <v>406</v>
      </c>
      <c r="L321" s="72" t="n">
        <v>0</v>
      </c>
      <c r="M321" s="73" t="n">
        <v>0.631354166666667</v>
      </c>
      <c r="N321" s="70" t="s">
        <v>431</v>
      </c>
      <c r="O321" s="70" t="s">
        <v>1272</v>
      </c>
      <c r="P321" s="70" t="s">
        <v>1273</v>
      </c>
      <c r="Q321" s="70" t="s">
        <v>1274</v>
      </c>
      <c r="R321" s="75" t="n">
        <f aca="false">-H321</f>
        <v>10</v>
      </c>
    </row>
    <row r="322" customFormat="false" ht="15" hidden="false" customHeight="false" outlineLevel="0" collapsed="false">
      <c r="A322" s="70" t="s">
        <v>1275</v>
      </c>
      <c r="B322" s="70" t="s">
        <v>271</v>
      </c>
      <c r="C322" s="70" t="s">
        <v>272</v>
      </c>
      <c r="D322" s="70" t="s">
        <v>1225</v>
      </c>
      <c r="E322" s="70" t="s">
        <v>405</v>
      </c>
      <c r="F322" s="70" t="s">
        <v>189</v>
      </c>
      <c r="G322" s="71" t="n">
        <v>46292</v>
      </c>
      <c r="H322" s="72" t="n">
        <v>-40</v>
      </c>
      <c r="I322" s="70" t="s">
        <v>65</v>
      </c>
      <c r="J322" s="71" t="n">
        <v>46292</v>
      </c>
      <c r="K322" s="70" t="s">
        <v>406</v>
      </c>
      <c r="L322" s="72" t="n">
        <v>0</v>
      </c>
      <c r="M322" s="73" t="n">
        <v>0.631238425925926</v>
      </c>
      <c r="N322" s="70" t="s">
        <v>431</v>
      </c>
      <c r="O322" s="70" t="s">
        <v>1276</v>
      </c>
      <c r="P322" s="70" t="s">
        <v>1277</v>
      </c>
      <c r="Q322" s="70" t="s">
        <v>1278</v>
      </c>
      <c r="R322" s="75" t="n">
        <f aca="false">-H322</f>
        <v>40</v>
      </c>
    </row>
    <row r="323" customFormat="false" ht="15" hidden="false" customHeight="false" outlineLevel="0" collapsed="false">
      <c r="A323" s="70" t="s">
        <v>1099</v>
      </c>
      <c r="B323" s="70" t="s">
        <v>271</v>
      </c>
      <c r="C323" s="70" t="s">
        <v>272</v>
      </c>
      <c r="D323" s="70" t="s">
        <v>1225</v>
      </c>
      <c r="E323" s="70" t="s">
        <v>405</v>
      </c>
      <c r="F323" s="70" t="s">
        <v>189</v>
      </c>
      <c r="G323" s="71" t="n">
        <v>46292</v>
      </c>
      <c r="H323" s="72" t="n">
        <v>-30</v>
      </c>
      <c r="I323" s="70" t="s">
        <v>65</v>
      </c>
      <c r="J323" s="71" t="n">
        <v>46292</v>
      </c>
      <c r="K323" s="70" t="s">
        <v>406</v>
      </c>
      <c r="L323" s="72" t="n">
        <v>0</v>
      </c>
      <c r="M323" s="73" t="n">
        <v>0.631215277777778</v>
      </c>
      <c r="N323" s="70" t="s">
        <v>431</v>
      </c>
      <c r="O323" s="70" t="s">
        <v>1100</v>
      </c>
      <c r="P323" s="70" t="s">
        <v>1101</v>
      </c>
      <c r="Q323" s="70" t="s">
        <v>1102</v>
      </c>
      <c r="R323" s="75" t="n">
        <f aca="false">-H323</f>
        <v>30</v>
      </c>
    </row>
    <row r="324" customFormat="false" ht="15" hidden="false" customHeight="false" outlineLevel="0" collapsed="false">
      <c r="A324" s="70" t="s">
        <v>1279</v>
      </c>
      <c r="B324" s="70" t="s">
        <v>271</v>
      </c>
      <c r="C324" s="70" t="s">
        <v>272</v>
      </c>
      <c r="D324" s="70" t="s">
        <v>1225</v>
      </c>
      <c r="E324" s="70" t="s">
        <v>405</v>
      </c>
      <c r="F324" s="70" t="s">
        <v>189</v>
      </c>
      <c r="G324" s="71" t="n">
        <v>46292</v>
      </c>
      <c r="H324" s="72" t="n">
        <v>-10</v>
      </c>
      <c r="I324" s="70" t="s">
        <v>65</v>
      </c>
      <c r="J324" s="71" t="n">
        <v>46292</v>
      </c>
      <c r="K324" s="70" t="s">
        <v>406</v>
      </c>
      <c r="L324" s="72" t="n">
        <v>0</v>
      </c>
      <c r="M324" s="73" t="n">
        <v>0.631203703703704</v>
      </c>
      <c r="N324" s="70" t="s">
        <v>431</v>
      </c>
      <c r="O324" s="70" t="s">
        <v>1280</v>
      </c>
      <c r="P324" s="70" t="s">
        <v>1281</v>
      </c>
      <c r="Q324" s="70" t="s">
        <v>1282</v>
      </c>
      <c r="R324" s="75" t="n">
        <f aca="false">-H324</f>
        <v>10</v>
      </c>
    </row>
    <row r="325" customFormat="false" ht="15" hidden="false" customHeight="false" outlineLevel="0" collapsed="false">
      <c r="A325" s="70" t="s">
        <v>1283</v>
      </c>
      <c r="B325" s="70" t="s">
        <v>271</v>
      </c>
      <c r="C325" s="70" t="s">
        <v>272</v>
      </c>
      <c r="D325" s="70" t="s">
        <v>1225</v>
      </c>
      <c r="E325" s="70" t="s">
        <v>405</v>
      </c>
      <c r="F325" s="70" t="s">
        <v>189</v>
      </c>
      <c r="G325" s="71" t="n">
        <v>46292</v>
      </c>
      <c r="H325" s="72" t="n">
        <v>-20</v>
      </c>
      <c r="I325" s="70" t="s">
        <v>65</v>
      </c>
      <c r="J325" s="71" t="n">
        <v>46292</v>
      </c>
      <c r="K325" s="70" t="s">
        <v>406</v>
      </c>
      <c r="L325" s="72" t="n">
        <v>0</v>
      </c>
      <c r="M325" s="73" t="n">
        <v>0.631180555555556</v>
      </c>
      <c r="N325" s="70" t="s">
        <v>431</v>
      </c>
      <c r="O325" s="70" t="s">
        <v>1284</v>
      </c>
      <c r="P325" s="70" t="s">
        <v>1285</v>
      </c>
      <c r="Q325" s="70" t="s">
        <v>1286</v>
      </c>
      <c r="R325" s="75" t="n">
        <f aca="false">-H325</f>
        <v>20</v>
      </c>
    </row>
    <row r="326" customFormat="false" ht="15" hidden="false" customHeight="false" outlineLevel="0" collapsed="false">
      <c r="A326" s="70" t="s">
        <v>1287</v>
      </c>
      <c r="B326" s="70" t="s">
        <v>271</v>
      </c>
      <c r="C326" s="70" t="s">
        <v>272</v>
      </c>
      <c r="D326" s="70" t="s">
        <v>1225</v>
      </c>
      <c r="E326" s="70" t="s">
        <v>405</v>
      </c>
      <c r="F326" s="70" t="s">
        <v>189</v>
      </c>
      <c r="G326" s="71" t="n">
        <v>46291</v>
      </c>
      <c r="H326" s="72" t="n">
        <v>-30</v>
      </c>
      <c r="I326" s="70" t="s">
        <v>65</v>
      </c>
      <c r="J326" s="71" t="n">
        <v>46292</v>
      </c>
      <c r="K326" s="70" t="s">
        <v>406</v>
      </c>
      <c r="L326" s="72" t="n">
        <v>0</v>
      </c>
      <c r="M326" s="73" t="n">
        <v>0.0319675925925926</v>
      </c>
      <c r="N326" s="70" t="s">
        <v>444</v>
      </c>
      <c r="O326" s="70" t="s">
        <v>1288</v>
      </c>
      <c r="P326" s="70" t="s">
        <v>1289</v>
      </c>
      <c r="Q326" s="70" t="s">
        <v>1290</v>
      </c>
      <c r="R326" s="75" t="n">
        <f aca="false">-H326</f>
        <v>30</v>
      </c>
    </row>
    <row r="327" customFormat="false" ht="15" hidden="false" customHeight="false" outlineLevel="0" collapsed="false">
      <c r="A327" s="70" t="s">
        <v>1291</v>
      </c>
      <c r="B327" s="70" t="s">
        <v>271</v>
      </c>
      <c r="C327" s="70" t="s">
        <v>272</v>
      </c>
      <c r="D327" s="70" t="s">
        <v>1225</v>
      </c>
      <c r="E327" s="70" t="s">
        <v>405</v>
      </c>
      <c r="F327" s="70" t="s">
        <v>189</v>
      </c>
      <c r="G327" s="71" t="n">
        <v>46291</v>
      </c>
      <c r="H327" s="72" t="n">
        <v>-150</v>
      </c>
      <c r="I327" s="70" t="s">
        <v>65</v>
      </c>
      <c r="J327" s="71" t="n">
        <v>46292</v>
      </c>
      <c r="K327" s="70" t="s">
        <v>406</v>
      </c>
      <c r="L327" s="72" t="n">
        <v>0</v>
      </c>
      <c r="M327" s="73" t="n">
        <v>0.0323611111111111</v>
      </c>
      <c r="N327" s="70" t="s">
        <v>444</v>
      </c>
      <c r="O327" s="70" t="s">
        <v>1292</v>
      </c>
      <c r="P327" s="70" t="s">
        <v>472</v>
      </c>
      <c r="Q327" s="70" t="s">
        <v>473</v>
      </c>
      <c r="R327" s="75" t="n">
        <f aca="false">-H327</f>
        <v>150</v>
      </c>
    </row>
    <row r="328" customFormat="false" ht="15" hidden="false" customHeight="false" outlineLevel="0" collapsed="false">
      <c r="A328" s="70" t="s">
        <v>1293</v>
      </c>
      <c r="B328" s="70" t="s">
        <v>271</v>
      </c>
      <c r="C328" s="70" t="s">
        <v>272</v>
      </c>
      <c r="D328" s="70" t="s">
        <v>1225</v>
      </c>
      <c r="E328" s="70" t="s">
        <v>405</v>
      </c>
      <c r="F328" s="70" t="s">
        <v>189</v>
      </c>
      <c r="G328" s="71" t="n">
        <v>46291</v>
      </c>
      <c r="H328" s="72" t="n">
        <v>-10</v>
      </c>
      <c r="I328" s="70" t="s">
        <v>65</v>
      </c>
      <c r="J328" s="71" t="n">
        <v>46292</v>
      </c>
      <c r="K328" s="70" t="s">
        <v>406</v>
      </c>
      <c r="L328" s="72" t="n">
        <v>0</v>
      </c>
      <c r="M328" s="73" t="n">
        <v>0.0324305555555556</v>
      </c>
      <c r="N328" s="70" t="s">
        <v>444</v>
      </c>
      <c r="O328" s="70" t="s">
        <v>1294</v>
      </c>
      <c r="P328" s="70" t="s">
        <v>1295</v>
      </c>
      <c r="Q328" s="70" t="s">
        <v>1296</v>
      </c>
      <c r="R328" s="75" t="n">
        <f aca="false">-H328</f>
        <v>10</v>
      </c>
    </row>
    <row r="329" customFormat="false" ht="15" hidden="false" customHeight="false" outlineLevel="0" collapsed="false">
      <c r="A329" s="70" t="s">
        <v>1227</v>
      </c>
      <c r="B329" s="70" t="s">
        <v>276</v>
      </c>
      <c r="C329" s="70" t="s">
        <v>278</v>
      </c>
      <c r="D329" s="70" t="s">
        <v>404</v>
      </c>
      <c r="E329" s="70" t="s">
        <v>405</v>
      </c>
      <c r="F329" s="70" t="s">
        <v>189</v>
      </c>
      <c r="G329" s="71" t="n">
        <v>46295</v>
      </c>
      <c r="H329" s="72" t="n">
        <v>-40.2</v>
      </c>
      <c r="I329" s="70" t="s">
        <v>65</v>
      </c>
      <c r="J329" s="71" t="n">
        <v>46296</v>
      </c>
      <c r="K329" s="70" t="s">
        <v>406</v>
      </c>
      <c r="L329" s="72" t="n">
        <v>0</v>
      </c>
      <c r="M329" s="73" t="n">
        <v>0.0630902777777778</v>
      </c>
      <c r="N329" s="70" t="s">
        <v>444</v>
      </c>
      <c r="O329" s="70" t="s">
        <v>1228</v>
      </c>
      <c r="P329" s="70" t="s">
        <v>1065</v>
      </c>
      <c r="Q329" s="70" t="s">
        <v>1066</v>
      </c>
      <c r="R329" s="75" t="n">
        <f aca="false">-H329</f>
        <v>40.2</v>
      </c>
    </row>
    <row r="330" customFormat="false" ht="15" hidden="false" customHeight="false" outlineLevel="0" collapsed="false">
      <c r="A330" s="70" t="s">
        <v>1085</v>
      </c>
      <c r="B330" s="70" t="s">
        <v>276</v>
      </c>
      <c r="C330" s="70" t="s">
        <v>278</v>
      </c>
      <c r="D330" s="70" t="s">
        <v>404</v>
      </c>
      <c r="E330" s="70" t="s">
        <v>405</v>
      </c>
      <c r="F330" s="70" t="s">
        <v>189</v>
      </c>
      <c r="G330" s="71" t="n">
        <v>46295</v>
      </c>
      <c r="H330" s="72" t="n">
        <v>-20.1</v>
      </c>
      <c r="I330" s="70" t="s">
        <v>65</v>
      </c>
      <c r="J330" s="71" t="n">
        <v>46296</v>
      </c>
      <c r="K330" s="70" t="s">
        <v>406</v>
      </c>
      <c r="L330" s="72" t="n">
        <v>0</v>
      </c>
      <c r="M330" s="73" t="n">
        <v>0.0645949074074074</v>
      </c>
      <c r="N330" s="70" t="s">
        <v>444</v>
      </c>
      <c r="O330" s="70" t="s">
        <v>1086</v>
      </c>
      <c r="P330" s="70" t="s">
        <v>679</v>
      </c>
      <c r="Q330" s="70" t="s">
        <v>680</v>
      </c>
      <c r="R330" s="75" t="n">
        <f aca="false">-H330</f>
        <v>20.1</v>
      </c>
    </row>
    <row r="331" customFormat="false" ht="15" hidden="false" customHeight="false" outlineLevel="0" collapsed="false">
      <c r="A331" s="70" t="s">
        <v>1237</v>
      </c>
      <c r="B331" s="70" t="s">
        <v>276</v>
      </c>
      <c r="C331" s="70" t="s">
        <v>277</v>
      </c>
      <c r="D331" s="70" t="s">
        <v>404</v>
      </c>
      <c r="E331" s="70" t="s">
        <v>405</v>
      </c>
      <c r="F331" s="70" t="s">
        <v>189</v>
      </c>
      <c r="G331" s="71" t="n">
        <v>46294</v>
      </c>
      <c r="H331" s="72" t="n">
        <v>-201</v>
      </c>
      <c r="I331" s="70" t="s">
        <v>65</v>
      </c>
      <c r="J331" s="71" t="n">
        <v>46295</v>
      </c>
      <c r="K331" s="70" t="s">
        <v>406</v>
      </c>
      <c r="L331" s="72" t="n">
        <v>0</v>
      </c>
      <c r="M331" s="73" t="n">
        <v>0.00537037037037037</v>
      </c>
      <c r="N331" s="70" t="s">
        <v>407</v>
      </c>
      <c r="O331" s="70" t="s">
        <v>1238</v>
      </c>
      <c r="P331" s="70" t="s">
        <v>423</v>
      </c>
      <c r="Q331" s="70" t="s">
        <v>424</v>
      </c>
      <c r="R331" s="75" t="n">
        <f aca="false">-H331</f>
        <v>201</v>
      </c>
    </row>
    <row r="332" customFormat="false" ht="15" hidden="false" customHeight="false" outlineLevel="0" collapsed="false">
      <c r="A332" s="70" t="s">
        <v>547</v>
      </c>
      <c r="B332" s="70" t="s">
        <v>276</v>
      </c>
      <c r="C332" s="70" t="s">
        <v>278</v>
      </c>
      <c r="D332" s="70" t="s">
        <v>404</v>
      </c>
      <c r="E332" s="70" t="s">
        <v>405</v>
      </c>
      <c r="F332" s="70" t="s">
        <v>189</v>
      </c>
      <c r="G332" s="71" t="n">
        <v>46294</v>
      </c>
      <c r="H332" s="72" t="n">
        <v>-120.6</v>
      </c>
      <c r="I332" s="70" t="s">
        <v>65</v>
      </c>
      <c r="J332" s="71" t="n">
        <v>46294</v>
      </c>
      <c r="K332" s="70" t="s">
        <v>406</v>
      </c>
      <c r="L332" s="72" t="n">
        <v>0</v>
      </c>
      <c r="M332" s="73" t="n">
        <v>0.375914351851852</v>
      </c>
      <c r="N332" s="70" t="s">
        <v>407</v>
      </c>
      <c r="O332" s="70" t="s">
        <v>548</v>
      </c>
      <c r="P332" s="70" t="s">
        <v>549</v>
      </c>
      <c r="Q332" s="70" t="s">
        <v>550</v>
      </c>
      <c r="R332" s="75" t="n">
        <f aca="false">-H332</f>
        <v>120.6</v>
      </c>
    </row>
    <row r="333" customFormat="false" ht="15" hidden="false" customHeight="false" outlineLevel="0" collapsed="false">
      <c r="A333" s="70" t="s">
        <v>1297</v>
      </c>
      <c r="B333" s="70" t="s">
        <v>276</v>
      </c>
      <c r="C333" s="70" t="s">
        <v>278</v>
      </c>
      <c r="D333" s="70" t="s">
        <v>404</v>
      </c>
      <c r="E333" s="70" t="s">
        <v>405</v>
      </c>
      <c r="F333" s="70" t="s">
        <v>189</v>
      </c>
      <c r="G333" s="71" t="n">
        <v>46294</v>
      </c>
      <c r="H333" s="72" t="n">
        <v>-20.1</v>
      </c>
      <c r="I333" s="70" t="s">
        <v>65</v>
      </c>
      <c r="J333" s="71" t="n">
        <v>46294</v>
      </c>
      <c r="K333" s="70" t="s">
        <v>406</v>
      </c>
      <c r="L333" s="72" t="n">
        <v>0</v>
      </c>
      <c r="M333" s="73" t="n">
        <v>0.425902777777778</v>
      </c>
      <c r="N333" s="70" t="s">
        <v>407</v>
      </c>
      <c r="O333" s="70" t="s">
        <v>1298</v>
      </c>
      <c r="P333" s="70" t="s">
        <v>607</v>
      </c>
      <c r="Q333" s="70" t="s">
        <v>608</v>
      </c>
      <c r="R333" s="75" t="n">
        <f aca="false">-H333</f>
        <v>20.1</v>
      </c>
    </row>
    <row r="334" customFormat="false" ht="15" hidden="false" customHeight="false" outlineLevel="0" collapsed="false">
      <c r="A334" s="70" t="s">
        <v>1299</v>
      </c>
      <c r="B334" s="70" t="s">
        <v>276</v>
      </c>
      <c r="C334" s="70" t="s">
        <v>370</v>
      </c>
      <c r="D334" s="70" t="s">
        <v>404</v>
      </c>
      <c r="E334" s="70" t="s">
        <v>416</v>
      </c>
      <c r="F334" s="70" t="s">
        <v>189</v>
      </c>
      <c r="G334" s="71" t="n">
        <v>46293</v>
      </c>
      <c r="H334" s="72" t="n">
        <v>-60.3</v>
      </c>
      <c r="I334" s="70" t="s">
        <v>65</v>
      </c>
      <c r="J334" s="71" t="n">
        <v>46293</v>
      </c>
      <c r="K334" s="70" t="s">
        <v>406</v>
      </c>
      <c r="L334" s="72" t="n">
        <v>0</v>
      </c>
      <c r="M334" s="73" t="n">
        <v>0.683865740740741</v>
      </c>
      <c r="N334" s="70" t="s">
        <v>426</v>
      </c>
      <c r="O334" s="70" t="s">
        <v>1300</v>
      </c>
      <c r="P334" s="70" t="s">
        <v>491</v>
      </c>
      <c r="Q334" s="70" t="s">
        <v>492</v>
      </c>
      <c r="R334" s="75" t="n">
        <f aca="false">-H334</f>
        <v>60.3</v>
      </c>
    </row>
    <row r="335" customFormat="false" ht="15" hidden="false" customHeight="false" outlineLevel="0" collapsed="false">
      <c r="A335" s="70" t="s">
        <v>571</v>
      </c>
      <c r="B335" s="70" t="s">
        <v>276</v>
      </c>
      <c r="C335" s="70" t="s">
        <v>277</v>
      </c>
      <c r="D335" s="70" t="s">
        <v>404</v>
      </c>
      <c r="E335" s="70" t="s">
        <v>405</v>
      </c>
      <c r="F335" s="70" t="s">
        <v>189</v>
      </c>
      <c r="G335" s="71" t="n">
        <v>46292</v>
      </c>
      <c r="H335" s="72" t="n">
        <v>-40.2</v>
      </c>
      <c r="I335" s="70" t="s">
        <v>65</v>
      </c>
      <c r="J335" s="71" t="n">
        <v>46292</v>
      </c>
      <c r="K335" s="70" t="s">
        <v>406</v>
      </c>
      <c r="L335" s="72" t="n">
        <v>0</v>
      </c>
      <c r="M335" s="73" t="n">
        <v>0.677465277777778</v>
      </c>
      <c r="N335" s="70" t="s">
        <v>431</v>
      </c>
      <c r="O335" s="70" t="s">
        <v>572</v>
      </c>
      <c r="P335" s="70" t="s">
        <v>573</v>
      </c>
      <c r="Q335" s="70" t="s">
        <v>574</v>
      </c>
      <c r="R335" s="75" t="n">
        <f aca="false">-H335</f>
        <v>40.2</v>
      </c>
    </row>
    <row r="336" customFormat="false" ht="15" hidden="false" customHeight="false" outlineLevel="0" collapsed="false">
      <c r="A336" s="70" t="s">
        <v>1301</v>
      </c>
      <c r="B336" s="70" t="s">
        <v>276</v>
      </c>
      <c r="C336" s="70" t="s">
        <v>278</v>
      </c>
      <c r="D336" s="70" t="s">
        <v>404</v>
      </c>
      <c r="E336" s="70" t="s">
        <v>405</v>
      </c>
      <c r="F336" s="70" t="s">
        <v>189</v>
      </c>
      <c r="G336" s="71" t="n">
        <v>46292</v>
      </c>
      <c r="H336" s="72" t="n">
        <v>-201</v>
      </c>
      <c r="I336" s="70" t="s">
        <v>65</v>
      </c>
      <c r="J336" s="71" t="n">
        <v>46292</v>
      </c>
      <c r="K336" s="70" t="s">
        <v>406</v>
      </c>
      <c r="L336" s="72" t="n">
        <v>0</v>
      </c>
      <c r="M336" s="73" t="n">
        <v>0.571354166666667</v>
      </c>
      <c r="N336" s="70" t="s">
        <v>431</v>
      </c>
      <c r="O336" s="70" t="s">
        <v>1302</v>
      </c>
      <c r="P336" s="70" t="s">
        <v>744</v>
      </c>
      <c r="Q336" s="70" t="s">
        <v>745</v>
      </c>
      <c r="R336" s="75" t="n">
        <f aca="false">-H336</f>
        <v>201</v>
      </c>
    </row>
    <row r="337" customFormat="false" ht="15" hidden="false" customHeight="false" outlineLevel="0" collapsed="false">
      <c r="A337" s="70" t="s">
        <v>1303</v>
      </c>
      <c r="B337" s="70" t="s">
        <v>276</v>
      </c>
      <c r="C337" s="70" t="s">
        <v>278</v>
      </c>
      <c r="D337" s="70" t="s">
        <v>404</v>
      </c>
      <c r="E337" s="70" t="s">
        <v>405</v>
      </c>
      <c r="F337" s="70" t="s">
        <v>189</v>
      </c>
      <c r="G337" s="71" t="n">
        <v>46292</v>
      </c>
      <c r="H337" s="72" t="n">
        <v>-40.2</v>
      </c>
      <c r="I337" s="70" t="s">
        <v>65</v>
      </c>
      <c r="J337" s="71" t="n">
        <v>46292</v>
      </c>
      <c r="K337" s="70" t="s">
        <v>406</v>
      </c>
      <c r="L337" s="72" t="n">
        <v>0</v>
      </c>
      <c r="M337" s="73" t="n">
        <v>0.631412037037037</v>
      </c>
      <c r="N337" s="70" t="s">
        <v>431</v>
      </c>
      <c r="O337" s="70" t="s">
        <v>1304</v>
      </c>
      <c r="P337" s="70" t="s">
        <v>1222</v>
      </c>
      <c r="Q337" s="70" t="s">
        <v>1223</v>
      </c>
      <c r="R337" s="75" t="n">
        <f aca="false">-H337</f>
        <v>40.2</v>
      </c>
    </row>
    <row r="338" customFormat="false" ht="15" hidden="false" customHeight="false" outlineLevel="0" collapsed="false">
      <c r="A338" s="70" t="s">
        <v>1271</v>
      </c>
      <c r="B338" s="70" t="s">
        <v>276</v>
      </c>
      <c r="C338" s="70" t="s">
        <v>277</v>
      </c>
      <c r="D338" s="70" t="s">
        <v>404</v>
      </c>
      <c r="E338" s="70" t="s">
        <v>405</v>
      </c>
      <c r="F338" s="70" t="s">
        <v>189</v>
      </c>
      <c r="G338" s="71" t="n">
        <v>46292</v>
      </c>
      <c r="H338" s="72" t="n">
        <v>-40.2</v>
      </c>
      <c r="I338" s="70" t="s">
        <v>65</v>
      </c>
      <c r="J338" s="71" t="n">
        <v>46292</v>
      </c>
      <c r="K338" s="70" t="s">
        <v>406</v>
      </c>
      <c r="L338" s="72" t="n">
        <v>0</v>
      </c>
      <c r="M338" s="73" t="n">
        <v>0.631354166666667</v>
      </c>
      <c r="N338" s="70" t="s">
        <v>431</v>
      </c>
      <c r="O338" s="70" t="s">
        <v>1272</v>
      </c>
      <c r="P338" s="70" t="s">
        <v>1273</v>
      </c>
      <c r="Q338" s="70" t="s">
        <v>1274</v>
      </c>
      <c r="R338" s="75" t="n">
        <f aca="false">-H338</f>
        <v>40.2</v>
      </c>
    </row>
    <row r="339" customFormat="false" ht="15" hidden="false" customHeight="false" outlineLevel="0" collapsed="false">
      <c r="A339" s="70" t="s">
        <v>435</v>
      </c>
      <c r="B339" s="70" t="s">
        <v>276</v>
      </c>
      <c r="C339" s="70" t="s">
        <v>277</v>
      </c>
      <c r="D339" s="70" t="s">
        <v>404</v>
      </c>
      <c r="E339" s="70" t="s">
        <v>405</v>
      </c>
      <c r="F339" s="70" t="s">
        <v>189</v>
      </c>
      <c r="G339" s="71" t="n">
        <v>46292</v>
      </c>
      <c r="H339" s="72" t="n">
        <v>-20.1</v>
      </c>
      <c r="I339" s="70" t="s">
        <v>65</v>
      </c>
      <c r="J339" s="71" t="n">
        <v>46292</v>
      </c>
      <c r="K339" s="70" t="s">
        <v>406</v>
      </c>
      <c r="L339" s="72" t="n">
        <v>0</v>
      </c>
      <c r="M339" s="73" t="n">
        <v>0.631296296296296</v>
      </c>
      <c r="N339" s="70" t="s">
        <v>431</v>
      </c>
      <c r="O339" s="70" t="s">
        <v>436</v>
      </c>
      <c r="P339" s="70" t="s">
        <v>437</v>
      </c>
      <c r="Q339" s="70" t="s">
        <v>438</v>
      </c>
      <c r="R339" s="75" t="n">
        <f aca="false">-H339</f>
        <v>20.1</v>
      </c>
    </row>
    <row r="340" customFormat="false" ht="15" hidden="false" customHeight="false" outlineLevel="0" collapsed="false">
      <c r="A340" s="70" t="s">
        <v>460</v>
      </c>
      <c r="B340" s="70" t="s">
        <v>276</v>
      </c>
      <c r="C340" s="70" t="s">
        <v>280</v>
      </c>
      <c r="D340" s="70" t="s">
        <v>404</v>
      </c>
      <c r="E340" s="70" t="s">
        <v>405</v>
      </c>
      <c r="F340" s="70" t="s">
        <v>189</v>
      </c>
      <c r="G340" s="71" t="n">
        <v>46291</v>
      </c>
      <c r="H340" s="72" t="n">
        <v>-402</v>
      </c>
      <c r="I340" s="70" t="s">
        <v>65</v>
      </c>
      <c r="J340" s="71" t="n">
        <v>46291</v>
      </c>
      <c r="K340" s="70" t="s">
        <v>406</v>
      </c>
      <c r="L340" s="72" t="n">
        <v>0</v>
      </c>
      <c r="M340" s="73" t="n">
        <v>0.518101851851852</v>
      </c>
      <c r="N340" s="70" t="s">
        <v>431</v>
      </c>
      <c r="O340" s="70" t="s">
        <v>461</v>
      </c>
      <c r="P340" s="70" t="s">
        <v>423</v>
      </c>
      <c r="Q340" s="70" t="s">
        <v>424</v>
      </c>
      <c r="R340" s="75" t="n">
        <f aca="false">-H340</f>
        <v>402</v>
      </c>
    </row>
    <row r="341" customFormat="false" ht="15" hidden="false" customHeight="false" outlineLevel="0" collapsed="false">
      <c r="A341" s="70" t="s">
        <v>1305</v>
      </c>
      <c r="B341" s="70" t="s">
        <v>276</v>
      </c>
      <c r="C341" s="70" t="s">
        <v>280</v>
      </c>
      <c r="D341" s="70" t="s">
        <v>404</v>
      </c>
      <c r="E341" s="70" t="s">
        <v>405</v>
      </c>
      <c r="F341" s="70" t="s">
        <v>189</v>
      </c>
      <c r="G341" s="71" t="n">
        <v>46289</v>
      </c>
      <c r="H341" s="72" t="n">
        <v>-20.1</v>
      </c>
      <c r="I341" s="70" t="s">
        <v>65</v>
      </c>
      <c r="J341" s="71" t="n">
        <v>46289</v>
      </c>
      <c r="K341" s="70" t="s">
        <v>406</v>
      </c>
      <c r="L341" s="72" t="n">
        <v>0</v>
      </c>
      <c r="M341" s="73" t="n">
        <v>0.528634259259259</v>
      </c>
      <c r="N341" s="70" t="s">
        <v>481</v>
      </c>
      <c r="O341" s="70" t="s">
        <v>1306</v>
      </c>
      <c r="P341" s="70" t="s">
        <v>1307</v>
      </c>
      <c r="Q341" s="70" t="s">
        <v>1308</v>
      </c>
      <c r="R341" s="75" t="n">
        <f aca="false">-H341</f>
        <v>20.1</v>
      </c>
    </row>
    <row r="342" customFormat="false" ht="15" hidden="false" customHeight="false" outlineLevel="0" collapsed="false">
      <c r="A342" s="70" t="s">
        <v>609</v>
      </c>
      <c r="B342" s="70" t="s">
        <v>276</v>
      </c>
      <c r="C342" s="70" t="s">
        <v>370</v>
      </c>
      <c r="D342" s="70" t="s">
        <v>404</v>
      </c>
      <c r="E342" s="70" t="s">
        <v>416</v>
      </c>
      <c r="F342" s="70" t="s">
        <v>189</v>
      </c>
      <c r="G342" s="71" t="n">
        <v>46287</v>
      </c>
      <c r="H342" s="72" t="n">
        <v>-20.1</v>
      </c>
      <c r="I342" s="70" t="s">
        <v>65</v>
      </c>
      <c r="J342" s="71" t="n">
        <v>46287</v>
      </c>
      <c r="K342" s="70" t="s">
        <v>406</v>
      </c>
      <c r="L342" s="72" t="n">
        <v>0</v>
      </c>
      <c r="M342" s="73" t="n">
        <v>0.901388888888889</v>
      </c>
      <c r="N342" s="70" t="s">
        <v>426</v>
      </c>
      <c r="O342" s="70" t="s">
        <v>610</v>
      </c>
      <c r="P342" s="70" t="s">
        <v>611</v>
      </c>
      <c r="Q342" s="70" t="s">
        <v>612</v>
      </c>
      <c r="R342" s="75" t="n">
        <f aca="false">-H342</f>
        <v>20.1</v>
      </c>
    </row>
    <row r="343" customFormat="false" ht="15" hidden="false" customHeight="false" outlineLevel="0" collapsed="false">
      <c r="A343" s="70" t="s">
        <v>1309</v>
      </c>
      <c r="B343" s="70" t="s">
        <v>276</v>
      </c>
      <c r="C343" s="70" t="s">
        <v>370</v>
      </c>
      <c r="D343" s="70" t="s">
        <v>404</v>
      </c>
      <c r="E343" s="70" t="s">
        <v>416</v>
      </c>
      <c r="F343" s="70" t="s">
        <v>189</v>
      </c>
      <c r="G343" s="71" t="n">
        <v>46286</v>
      </c>
      <c r="H343" s="72" t="n">
        <v>-40.2</v>
      </c>
      <c r="I343" s="70" t="s">
        <v>65</v>
      </c>
      <c r="J343" s="71" t="n">
        <v>46286</v>
      </c>
      <c r="K343" s="70" t="s">
        <v>406</v>
      </c>
      <c r="L343" s="72" t="n">
        <v>0</v>
      </c>
      <c r="M343" s="73" t="n">
        <v>0.71025462962963</v>
      </c>
      <c r="N343" s="70" t="s">
        <v>426</v>
      </c>
      <c r="O343" s="70" t="s">
        <v>1310</v>
      </c>
      <c r="P343" s="70" t="s">
        <v>1091</v>
      </c>
      <c r="Q343" s="70" t="s">
        <v>1092</v>
      </c>
      <c r="R343" s="75" t="n">
        <f aca="false">-H343</f>
        <v>40.2</v>
      </c>
    </row>
    <row r="344" customFormat="false" ht="15" hidden="false" customHeight="false" outlineLevel="0" collapsed="false">
      <c r="A344" s="70" t="s">
        <v>1311</v>
      </c>
      <c r="B344" s="70" t="s">
        <v>276</v>
      </c>
      <c r="C344" s="70" t="s">
        <v>278</v>
      </c>
      <c r="D344" s="70" t="s">
        <v>404</v>
      </c>
      <c r="E344" s="70" t="s">
        <v>405</v>
      </c>
      <c r="F344" s="70" t="s">
        <v>189</v>
      </c>
      <c r="G344" s="71" t="n">
        <v>46285</v>
      </c>
      <c r="H344" s="72" t="n">
        <v>-20.1</v>
      </c>
      <c r="I344" s="70" t="s">
        <v>65</v>
      </c>
      <c r="J344" s="71" t="n">
        <v>46285</v>
      </c>
      <c r="K344" s="70" t="s">
        <v>406</v>
      </c>
      <c r="L344" s="72" t="n">
        <v>0</v>
      </c>
      <c r="M344" s="73" t="n">
        <v>0.305150462962963</v>
      </c>
      <c r="N344" s="70" t="s">
        <v>444</v>
      </c>
      <c r="O344" s="70" t="s">
        <v>1312</v>
      </c>
      <c r="P344" s="70" t="s">
        <v>653</v>
      </c>
      <c r="Q344" s="70" t="s">
        <v>654</v>
      </c>
      <c r="R344" s="75" t="n">
        <f aca="false">-H344</f>
        <v>20.1</v>
      </c>
    </row>
    <row r="345" customFormat="false" ht="15" hidden="false" customHeight="false" outlineLevel="0" collapsed="false">
      <c r="A345" s="70" t="s">
        <v>1313</v>
      </c>
      <c r="B345" s="70" t="s">
        <v>276</v>
      </c>
      <c r="C345" s="70" t="s">
        <v>278</v>
      </c>
      <c r="D345" s="70" t="s">
        <v>404</v>
      </c>
      <c r="E345" s="70" t="s">
        <v>405</v>
      </c>
      <c r="F345" s="70" t="s">
        <v>189</v>
      </c>
      <c r="G345" s="71" t="n">
        <v>46285</v>
      </c>
      <c r="H345" s="72" t="n">
        <v>-20.1</v>
      </c>
      <c r="I345" s="70" t="s">
        <v>65</v>
      </c>
      <c r="J345" s="71" t="n">
        <v>46285</v>
      </c>
      <c r="K345" s="70" t="s">
        <v>406</v>
      </c>
      <c r="L345" s="72" t="n">
        <v>0</v>
      </c>
      <c r="M345" s="73" t="n">
        <v>0.692569444444445</v>
      </c>
      <c r="N345" s="70" t="s">
        <v>749</v>
      </c>
      <c r="O345" s="70" t="s">
        <v>1314</v>
      </c>
      <c r="P345" s="70" t="s">
        <v>1315</v>
      </c>
      <c r="Q345" s="70" t="s">
        <v>1316</v>
      </c>
      <c r="R345" s="75" t="n">
        <f aca="false">-H345</f>
        <v>20.1</v>
      </c>
    </row>
    <row r="346" customFormat="false" ht="15" hidden="false" customHeight="false" outlineLevel="0" collapsed="false">
      <c r="A346" s="70" t="s">
        <v>1317</v>
      </c>
      <c r="B346" s="70" t="s">
        <v>276</v>
      </c>
      <c r="C346" s="70" t="s">
        <v>370</v>
      </c>
      <c r="D346" s="70" t="s">
        <v>404</v>
      </c>
      <c r="E346" s="70" t="s">
        <v>416</v>
      </c>
      <c r="F346" s="70" t="s">
        <v>189</v>
      </c>
      <c r="G346" s="71" t="n">
        <v>46282</v>
      </c>
      <c r="H346" s="72" t="n">
        <v>-40.2</v>
      </c>
      <c r="I346" s="70" t="s">
        <v>65</v>
      </c>
      <c r="J346" s="71" t="n">
        <v>46282</v>
      </c>
      <c r="K346" s="70" t="s">
        <v>406</v>
      </c>
      <c r="L346" s="72" t="n">
        <v>0</v>
      </c>
      <c r="M346" s="73" t="n">
        <v>0.945543981481481</v>
      </c>
      <c r="N346" s="70" t="s">
        <v>426</v>
      </c>
      <c r="O346" s="70" t="s">
        <v>1318</v>
      </c>
      <c r="P346" s="70" t="s">
        <v>1319</v>
      </c>
      <c r="Q346" s="70" t="s">
        <v>1320</v>
      </c>
      <c r="R346" s="75" t="n">
        <f aca="false">-H346</f>
        <v>40.2</v>
      </c>
    </row>
    <row r="347" customFormat="false" ht="15" hidden="false" customHeight="false" outlineLevel="0" collapsed="false">
      <c r="A347" s="70" t="s">
        <v>1321</v>
      </c>
      <c r="B347" s="70" t="s">
        <v>276</v>
      </c>
      <c r="C347" s="70" t="s">
        <v>370</v>
      </c>
      <c r="D347" s="70" t="s">
        <v>404</v>
      </c>
      <c r="E347" s="70" t="s">
        <v>416</v>
      </c>
      <c r="F347" s="70" t="s">
        <v>189</v>
      </c>
      <c r="G347" s="71" t="n">
        <v>46282</v>
      </c>
      <c r="H347" s="72" t="n">
        <v>-40.2</v>
      </c>
      <c r="I347" s="70" t="s">
        <v>65</v>
      </c>
      <c r="J347" s="71" t="n">
        <v>46282</v>
      </c>
      <c r="K347" s="70" t="s">
        <v>406</v>
      </c>
      <c r="L347" s="72" t="n">
        <v>0</v>
      </c>
      <c r="M347" s="73" t="n">
        <v>0.945462962962963</v>
      </c>
      <c r="N347" s="70" t="s">
        <v>426</v>
      </c>
      <c r="O347" s="70" t="s">
        <v>1322</v>
      </c>
      <c r="P347" s="70" t="s">
        <v>491</v>
      </c>
      <c r="Q347" s="70" t="s">
        <v>492</v>
      </c>
      <c r="R347" s="75" t="n">
        <f aca="false">-H347</f>
        <v>40.2</v>
      </c>
    </row>
    <row r="348" customFormat="false" ht="15" hidden="false" customHeight="false" outlineLevel="0" collapsed="false">
      <c r="A348" s="70" t="s">
        <v>1323</v>
      </c>
      <c r="B348" s="70" t="s">
        <v>276</v>
      </c>
      <c r="C348" s="70" t="s">
        <v>370</v>
      </c>
      <c r="D348" s="70" t="s">
        <v>404</v>
      </c>
      <c r="E348" s="70" t="s">
        <v>416</v>
      </c>
      <c r="F348" s="70" t="s">
        <v>189</v>
      </c>
      <c r="G348" s="71" t="n">
        <v>46282</v>
      </c>
      <c r="H348" s="72" t="n">
        <v>-80.4</v>
      </c>
      <c r="I348" s="70" t="s">
        <v>65</v>
      </c>
      <c r="J348" s="71" t="n">
        <v>46282</v>
      </c>
      <c r="K348" s="70" t="s">
        <v>406</v>
      </c>
      <c r="L348" s="72" t="n">
        <v>0</v>
      </c>
      <c r="M348" s="73" t="n">
        <v>0.945277777777778</v>
      </c>
      <c r="N348" s="70" t="s">
        <v>426</v>
      </c>
      <c r="O348" s="70" t="s">
        <v>1324</v>
      </c>
      <c r="P348" s="70" t="s">
        <v>1325</v>
      </c>
      <c r="Q348" s="70" t="s">
        <v>1326</v>
      </c>
      <c r="R348" s="75" t="n">
        <f aca="false">-H348</f>
        <v>80.4</v>
      </c>
    </row>
    <row r="349" customFormat="false" ht="15" hidden="false" customHeight="false" outlineLevel="0" collapsed="false">
      <c r="A349" s="70" t="s">
        <v>1191</v>
      </c>
      <c r="B349" s="70" t="s">
        <v>276</v>
      </c>
      <c r="C349" s="70" t="s">
        <v>370</v>
      </c>
      <c r="D349" s="70" t="s">
        <v>404</v>
      </c>
      <c r="E349" s="70" t="s">
        <v>416</v>
      </c>
      <c r="F349" s="70" t="s">
        <v>189</v>
      </c>
      <c r="G349" s="71" t="n">
        <v>46280</v>
      </c>
      <c r="H349" s="72" t="n">
        <v>-20.1</v>
      </c>
      <c r="I349" s="70" t="s">
        <v>65</v>
      </c>
      <c r="J349" s="71" t="n">
        <v>46280</v>
      </c>
      <c r="K349" s="70" t="s">
        <v>406</v>
      </c>
      <c r="L349" s="72" t="n">
        <v>0</v>
      </c>
      <c r="M349" s="73" t="n">
        <v>0.911099537037037</v>
      </c>
      <c r="N349" s="70" t="s">
        <v>426</v>
      </c>
      <c r="O349" s="70" t="s">
        <v>1192</v>
      </c>
      <c r="P349" s="70" t="s">
        <v>1193</v>
      </c>
      <c r="Q349" s="70" t="s">
        <v>1194</v>
      </c>
      <c r="R349" s="75" t="n">
        <f aca="false">-H349</f>
        <v>20.1</v>
      </c>
    </row>
    <row r="350" customFormat="false" ht="15" hidden="false" customHeight="false" outlineLevel="0" collapsed="false">
      <c r="A350" s="70" t="s">
        <v>1327</v>
      </c>
      <c r="B350" s="70" t="s">
        <v>276</v>
      </c>
      <c r="C350" s="70" t="s">
        <v>278</v>
      </c>
      <c r="D350" s="70" t="s">
        <v>404</v>
      </c>
      <c r="E350" s="70" t="s">
        <v>405</v>
      </c>
      <c r="F350" s="70" t="s">
        <v>189</v>
      </c>
      <c r="G350" s="71" t="n">
        <v>46277</v>
      </c>
      <c r="H350" s="72" t="n">
        <v>-20.1</v>
      </c>
      <c r="I350" s="70" t="s">
        <v>65</v>
      </c>
      <c r="J350" s="71" t="n">
        <v>46278</v>
      </c>
      <c r="K350" s="70" t="s">
        <v>406</v>
      </c>
      <c r="L350" s="72" t="n">
        <v>0</v>
      </c>
      <c r="M350" s="73" t="n">
        <v>0.103831018518519</v>
      </c>
      <c r="N350" s="70" t="s">
        <v>407</v>
      </c>
      <c r="O350" s="70" t="s">
        <v>1328</v>
      </c>
      <c r="P350" s="70" t="s">
        <v>1289</v>
      </c>
      <c r="Q350" s="70" t="s">
        <v>1290</v>
      </c>
      <c r="R350" s="75" t="n">
        <f aca="false">-H350</f>
        <v>20.1</v>
      </c>
    </row>
    <row r="351" customFormat="false" ht="15" hidden="false" customHeight="false" outlineLevel="0" collapsed="false">
      <c r="A351" s="70" t="s">
        <v>798</v>
      </c>
      <c r="B351" s="70" t="s">
        <v>276</v>
      </c>
      <c r="C351" s="70" t="s">
        <v>278</v>
      </c>
      <c r="D351" s="70" t="s">
        <v>404</v>
      </c>
      <c r="E351" s="70" t="s">
        <v>405</v>
      </c>
      <c r="F351" s="70" t="s">
        <v>189</v>
      </c>
      <c r="G351" s="71" t="n">
        <v>46277</v>
      </c>
      <c r="H351" s="72" t="n">
        <v>-20.1</v>
      </c>
      <c r="I351" s="70" t="s">
        <v>65</v>
      </c>
      <c r="J351" s="71" t="n">
        <v>46278</v>
      </c>
      <c r="K351" s="70" t="s">
        <v>406</v>
      </c>
      <c r="L351" s="72" t="n">
        <v>0</v>
      </c>
      <c r="M351" s="73" t="n">
        <v>0.103842592592593</v>
      </c>
      <c r="N351" s="70" t="s">
        <v>407</v>
      </c>
      <c r="O351" s="70" t="s">
        <v>799</v>
      </c>
      <c r="P351" s="70" t="s">
        <v>792</v>
      </c>
      <c r="Q351" s="70" t="s">
        <v>793</v>
      </c>
      <c r="R351" s="75" t="n">
        <f aca="false">-H351</f>
        <v>20.1</v>
      </c>
    </row>
    <row r="352" customFormat="false" ht="15" hidden="false" customHeight="false" outlineLevel="0" collapsed="false">
      <c r="A352" s="70" t="s">
        <v>1329</v>
      </c>
      <c r="B352" s="70" t="s">
        <v>276</v>
      </c>
      <c r="C352" s="70" t="s">
        <v>370</v>
      </c>
      <c r="D352" s="70" t="s">
        <v>404</v>
      </c>
      <c r="E352" s="70" t="s">
        <v>416</v>
      </c>
      <c r="F352" s="70" t="s">
        <v>189</v>
      </c>
      <c r="G352" s="71" t="n">
        <v>46276</v>
      </c>
      <c r="H352" s="72" t="n">
        <v>-241.2</v>
      </c>
      <c r="I352" s="70" t="s">
        <v>65</v>
      </c>
      <c r="J352" s="71" t="n">
        <v>46276</v>
      </c>
      <c r="K352" s="70" t="s">
        <v>406</v>
      </c>
      <c r="L352" s="72" t="n">
        <v>0</v>
      </c>
      <c r="M352" s="73" t="n">
        <v>0.84462962962963</v>
      </c>
      <c r="N352" s="70" t="s">
        <v>417</v>
      </c>
      <c r="O352" s="70" t="s">
        <v>1330</v>
      </c>
      <c r="P352" s="70" t="s">
        <v>1331</v>
      </c>
      <c r="Q352" s="70" t="s">
        <v>1332</v>
      </c>
      <c r="R352" s="75" t="n">
        <f aca="false">-H352</f>
        <v>241.2</v>
      </c>
    </row>
    <row r="353" customFormat="false" ht="15" hidden="false" customHeight="false" outlineLevel="0" collapsed="false">
      <c r="A353" s="70" t="s">
        <v>1329</v>
      </c>
      <c r="B353" s="70" t="s">
        <v>276</v>
      </c>
      <c r="C353" s="70" t="s">
        <v>370</v>
      </c>
      <c r="D353" s="70" t="s">
        <v>404</v>
      </c>
      <c r="E353" s="70" t="s">
        <v>416</v>
      </c>
      <c r="F353" s="70" t="s">
        <v>189</v>
      </c>
      <c r="G353" s="71" t="n">
        <v>46276</v>
      </c>
      <c r="H353" s="72" t="n">
        <v>-241.2</v>
      </c>
      <c r="I353" s="70" t="s">
        <v>65</v>
      </c>
      <c r="J353" s="71" t="n">
        <v>46276</v>
      </c>
      <c r="K353" s="70" t="s">
        <v>406</v>
      </c>
      <c r="L353" s="72" t="n">
        <v>0</v>
      </c>
      <c r="M353" s="73" t="n">
        <v>0.84462962962963</v>
      </c>
      <c r="N353" s="70" t="s">
        <v>417</v>
      </c>
      <c r="O353" s="70" t="s">
        <v>1330</v>
      </c>
      <c r="P353" s="70" t="s">
        <v>1331</v>
      </c>
      <c r="Q353" s="70" t="s">
        <v>1332</v>
      </c>
      <c r="R353" s="75" t="n">
        <f aca="false">-H353</f>
        <v>241.2</v>
      </c>
    </row>
    <row r="354" customFormat="false" ht="15" hidden="false" customHeight="false" outlineLevel="0" collapsed="false">
      <c r="A354" s="70" t="s">
        <v>1333</v>
      </c>
      <c r="B354" s="70" t="s">
        <v>276</v>
      </c>
      <c r="C354" s="70" t="s">
        <v>278</v>
      </c>
      <c r="D354" s="70" t="s">
        <v>404</v>
      </c>
      <c r="E354" s="70" t="s">
        <v>405</v>
      </c>
      <c r="F354" s="70" t="s">
        <v>189</v>
      </c>
      <c r="G354" s="71" t="n">
        <v>46275</v>
      </c>
      <c r="H354" s="72" t="n">
        <v>-40.2</v>
      </c>
      <c r="I354" s="70" t="s">
        <v>65</v>
      </c>
      <c r="J354" s="71" t="n">
        <v>46276</v>
      </c>
      <c r="K354" s="70" t="s">
        <v>406</v>
      </c>
      <c r="L354" s="72" t="n">
        <v>0</v>
      </c>
      <c r="M354" s="73" t="n">
        <v>0.0146412037037037</v>
      </c>
      <c r="N354" s="70" t="s">
        <v>444</v>
      </c>
      <c r="O354" s="70" t="s">
        <v>1334</v>
      </c>
      <c r="P354" s="70" t="s">
        <v>1335</v>
      </c>
      <c r="Q354" s="70" t="s">
        <v>1336</v>
      </c>
      <c r="R354" s="75" t="n">
        <f aca="false">-H354</f>
        <v>40.2</v>
      </c>
    </row>
    <row r="355" customFormat="false" ht="15" hidden="false" customHeight="false" outlineLevel="0" collapsed="false">
      <c r="A355" s="70" t="s">
        <v>1337</v>
      </c>
      <c r="B355" s="70" t="s">
        <v>276</v>
      </c>
      <c r="C355" s="70" t="s">
        <v>370</v>
      </c>
      <c r="D355" s="70" t="s">
        <v>404</v>
      </c>
      <c r="E355" s="70" t="s">
        <v>416</v>
      </c>
      <c r="F355" s="70" t="s">
        <v>189</v>
      </c>
      <c r="G355" s="71" t="n">
        <v>46275</v>
      </c>
      <c r="H355" s="72" t="n">
        <v>-60.3</v>
      </c>
      <c r="I355" s="70" t="s">
        <v>65</v>
      </c>
      <c r="J355" s="71" t="n">
        <v>46275</v>
      </c>
      <c r="K355" s="70" t="s">
        <v>406</v>
      </c>
      <c r="L355" s="72" t="n">
        <v>0</v>
      </c>
      <c r="M355" s="73" t="n">
        <v>0.94900462962963</v>
      </c>
      <c r="N355" s="70" t="s">
        <v>426</v>
      </c>
      <c r="O355" s="70" t="s">
        <v>1338</v>
      </c>
      <c r="P355" s="70" t="s">
        <v>491</v>
      </c>
      <c r="Q355" s="70" t="s">
        <v>492</v>
      </c>
      <c r="R355" s="75" t="n">
        <f aca="false">-H355</f>
        <v>60.3</v>
      </c>
    </row>
    <row r="356" customFormat="false" ht="15" hidden="false" customHeight="false" outlineLevel="0" collapsed="false">
      <c r="A356" s="70" t="s">
        <v>1339</v>
      </c>
      <c r="B356" s="70" t="s">
        <v>276</v>
      </c>
      <c r="C356" s="70" t="s">
        <v>370</v>
      </c>
      <c r="D356" s="70" t="s">
        <v>404</v>
      </c>
      <c r="E356" s="70" t="s">
        <v>416</v>
      </c>
      <c r="F356" s="70" t="s">
        <v>189</v>
      </c>
      <c r="G356" s="71" t="n">
        <v>46275</v>
      </c>
      <c r="H356" s="72" t="n">
        <v>-80.4</v>
      </c>
      <c r="I356" s="70" t="s">
        <v>65</v>
      </c>
      <c r="J356" s="71" t="n">
        <v>46275</v>
      </c>
      <c r="K356" s="70" t="s">
        <v>406</v>
      </c>
      <c r="L356" s="72" t="n">
        <v>0</v>
      </c>
      <c r="M356" s="73" t="n">
        <v>0.912152777777778</v>
      </c>
      <c r="N356" s="70" t="s">
        <v>426</v>
      </c>
      <c r="O356" s="70" t="s">
        <v>1340</v>
      </c>
      <c r="P356" s="70" t="s">
        <v>1341</v>
      </c>
      <c r="Q356" s="70" t="s">
        <v>1342</v>
      </c>
      <c r="R356" s="75" t="n">
        <f aca="false">-H356</f>
        <v>80.4</v>
      </c>
    </row>
    <row r="357" customFormat="false" ht="15" hidden="false" customHeight="false" outlineLevel="0" collapsed="false">
      <c r="A357" s="70" t="s">
        <v>1343</v>
      </c>
      <c r="B357" s="70" t="s">
        <v>281</v>
      </c>
      <c r="C357" s="70" t="s">
        <v>282</v>
      </c>
      <c r="D357" s="70" t="s">
        <v>1344</v>
      </c>
      <c r="E357" s="70" t="s">
        <v>405</v>
      </c>
      <c r="F357" s="70" t="s">
        <v>189</v>
      </c>
      <c r="G357" s="71" t="n">
        <v>46296</v>
      </c>
      <c r="H357" s="72" t="n">
        <v>-306</v>
      </c>
      <c r="I357" s="70" t="s">
        <v>65</v>
      </c>
      <c r="J357" s="71" t="n">
        <v>46296</v>
      </c>
      <c r="K357" s="70" t="s">
        <v>406</v>
      </c>
      <c r="L357" s="72" t="n">
        <v>0</v>
      </c>
      <c r="M357" s="73" t="n">
        <v>0.321967592592593</v>
      </c>
      <c r="N357" s="70" t="s">
        <v>523</v>
      </c>
      <c r="O357" s="70" t="s">
        <v>1345</v>
      </c>
      <c r="P357" s="70" t="s">
        <v>1346</v>
      </c>
      <c r="Q357" s="70" t="s">
        <v>1347</v>
      </c>
      <c r="R357" s="75" t="n">
        <f aca="false">-H357</f>
        <v>306</v>
      </c>
    </row>
    <row r="358" customFormat="false" ht="15" hidden="false" customHeight="false" outlineLevel="0" collapsed="false">
      <c r="A358" s="70" t="s">
        <v>1348</v>
      </c>
      <c r="B358" s="70" t="s">
        <v>380</v>
      </c>
      <c r="C358" s="70" t="s">
        <v>381</v>
      </c>
      <c r="D358" s="70" t="s">
        <v>1349</v>
      </c>
      <c r="E358" s="70" t="s">
        <v>405</v>
      </c>
      <c r="F358" s="70" t="s">
        <v>189</v>
      </c>
      <c r="G358" s="71" t="n">
        <v>46295</v>
      </c>
      <c r="H358" s="72" t="n">
        <v>-25</v>
      </c>
      <c r="I358" s="70" t="s">
        <v>65</v>
      </c>
      <c r="J358" s="71" t="n">
        <v>46296</v>
      </c>
      <c r="K358" s="70" t="s">
        <v>406</v>
      </c>
      <c r="L358" s="72" t="n">
        <v>0</v>
      </c>
      <c r="M358" s="73" t="n">
        <v>0.0633912037037037</v>
      </c>
      <c r="N358" s="70" t="s">
        <v>444</v>
      </c>
      <c r="O358" s="70" t="s">
        <v>1350</v>
      </c>
      <c r="P358" s="70" t="s">
        <v>1351</v>
      </c>
      <c r="Q358" s="70" t="s">
        <v>1352</v>
      </c>
      <c r="R358" s="75" t="n">
        <f aca="false">-H358</f>
        <v>25</v>
      </c>
    </row>
    <row r="359" customFormat="false" ht="15" hidden="false" customHeight="false" outlineLevel="0" collapsed="false">
      <c r="A359" s="70" t="s">
        <v>1253</v>
      </c>
      <c r="B359" s="70" t="s">
        <v>380</v>
      </c>
      <c r="C359" s="70" t="s">
        <v>381</v>
      </c>
      <c r="D359" s="70" t="s">
        <v>1349</v>
      </c>
      <c r="E359" s="70" t="s">
        <v>405</v>
      </c>
      <c r="F359" s="70" t="s">
        <v>189</v>
      </c>
      <c r="G359" s="71" t="n">
        <v>46294</v>
      </c>
      <c r="H359" s="72" t="n">
        <v>-25</v>
      </c>
      <c r="I359" s="70" t="s">
        <v>65</v>
      </c>
      <c r="J359" s="71" t="n">
        <v>46294</v>
      </c>
      <c r="K359" s="70" t="s">
        <v>406</v>
      </c>
      <c r="L359" s="72" t="n">
        <v>0</v>
      </c>
      <c r="M359" s="73" t="n">
        <v>0.588020833333333</v>
      </c>
      <c r="N359" s="70" t="s">
        <v>481</v>
      </c>
      <c r="O359" s="70" t="s">
        <v>1254</v>
      </c>
      <c r="P359" s="70" t="s">
        <v>472</v>
      </c>
      <c r="Q359" s="70" t="s">
        <v>473</v>
      </c>
      <c r="R359" s="75" t="n">
        <f aca="false">-H359</f>
        <v>25</v>
      </c>
    </row>
    <row r="360" customFormat="false" ht="15" hidden="false" customHeight="false" outlineLevel="0" collapsed="false">
      <c r="A360" s="70" t="s">
        <v>1353</v>
      </c>
      <c r="B360" s="70" t="s">
        <v>286</v>
      </c>
      <c r="C360" s="70" t="s">
        <v>290</v>
      </c>
      <c r="D360" s="70" t="s">
        <v>1354</v>
      </c>
      <c r="E360" s="70" t="s">
        <v>405</v>
      </c>
      <c r="F360" s="70" t="s">
        <v>189</v>
      </c>
      <c r="G360" s="71" t="n">
        <v>46295</v>
      </c>
      <c r="H360" s="72" t="n">
        <v>-4</v>
      </c>
      <c r="I360" s="70" t="s">
        <v>147</v>
      </c>
      <c r="J360" s="71" t="n">
        <v>46296</v>
      </c>
      <c r="K360" s="70" t="s">
        <v>406</v>
      </c>
      <c r="L360" s="72" t="n">
        <v>0</v>
      </c>
      <c r="M360" s="73" t="n">
        <v>0.0629861111111111</v>
      </c>
      <c r="N360" s="70" t="s">
        <v>444</v>
      </c>
      <c r="O360" s="70" t="s">
        <v>1355</v>
      </c>
      <c r="P360" s="70" t="s">
        <v>1356</v>
      </c>
      <c r="Q360" s="70" t="s">
        <v>1357</v>
      </c>
      <c r="R360" s="75" t="n">
        <f aca="false">-H360</f>
        <v>4</v>
      </c>
    </row>
    <row r="361" customFormat="false" ht="15" hidden="false" customHeight="false" outlineLevel="0" collapsed="false">
      <c r="A361" s="70" t="s">
        <v>1358</v>
      </c>
      <c r="B361" s="70" t="s">
        <v>286</v>
      </c>
      <c r="C361" s="70" t="s">
        <v>290</v>
      </c>
      <c r="D361" s="70" t="s">
        <v>1354</v>
      </c>
      <c r="E361" s="70" t="s">
        <v>405</v>
      </c>
      <c r="F361" s="70" t="s">
        <v>189</v>
      </c>
      <c r="G361" s="71" t="n">
        <v>46295</v>
      </c>
      <c r="H361" s="72" t="n">
        <v>-31</v>
      </c>
      <c r="I361" s="70" t="s">
        <v>147</v>
      </c>
      <c r="J361" s="71" t="n">
        <v>46296</v>
      </c>
      <c r="K361" s="70" t="s">
        <v>406</v>
      </c>
      <c r="L361" s="72" t="n">
        <v>0</v>
      </c>
      <c r="M361" s="73" t="n">
        <v>0.15625</v>
      </c>
      <c r="N361" s="70" t="s">
        <v>444</v>
      </c>
      <c r="O361" s="70" t="s">
        <v>1359</v>
      </c>
      <c r="P361" s="70" t="s">
        <v>1360</v>
      </c>
      <c r="Q361" s="70" t="s">
        <v>1361</v>
      </c>
      <c r="R361" s="75" t="n">
        <f aca="false">-H361</f>
        <v>31</v>
      </c>
    </row>
    <row r="362" customFormat="false" ht="15" hidden="false" customHeight="false" outlineLevel="0" collapsed="false">
      <c r="A362" s="70" t="s">
        <v>1362</v>
      </c>
      <c r="B362" s="70" t="s">
        <v>286</v>
      </c>
      <c r="C362" s="70" t="s">
        <v>290</v>
      </c>
      <c r="D362" s="70" t="s">
        <v>1354</v>
      </c>
      <c r="E362" s="70" t="s">
        <v>405</v>
      </c>
      <c r="F362" s="70" t="s">
        <v>189</v>
      </c>
      <c r="G362" s="71" t="n">
        <v>46295</v>
      </c>
      <c r="H362" s="72" t="n">
        <v>-11</v>
      </c>
      <c r="I362" s="70" t="s">
        <v>147</v>
      </c>
      <c r="J362" s="71" t="n">
        <v>46296</v>
      </c>
      <c r="K362" s="70" t="s">
        <v>406</v>
      </c>
      <c r="L362" s="72" t="n">
        <v>0</v>
      </c>
      <c r="M362" s="73" t="n">
        <v>0.0629976851851852</v>
      </c>
      <c r="N362" s="70" t="s">
        <v>444</v>
      </c>
      <c r="O362" s="70" t="s">
        <v>1363</v>
      </c>
      <c r="P362" s="70" t="s">
        <v>1364</v>
      </c>
      <c r="Q362" s="70" t="s">
        <v>1365</v>
      </c>
      <c r="R362" s="75" t="n">
        <f aca="false">-H362</f>
        <v>11</v>
      </c>
    </row>
    <row r="363" customFormat="false" ht="15" hidden="false" customHeight="false" outlineLevel="0" collapsed="false">
      <c r="A363" s="70" t="s">
        <v>1366</v>
      </c>
      <c r="B363" s="70" t="s">
        <v>286</v>
      </c>
      <c r="C363" s="70" t="s">
        <v>290</v>
      </c>
      <c r="D363" s="70" t="s">
        <v>1354</v>
      </c>
      <c r="E363" s="70" t="s">
        <v>405</v>
      </c>
      <c r="F363" s="70" t="s">
        <v>189</v>
      </c>
      <c r="G363" s="71" t="n">
        <v>46294</v>
      </c>
      <c r="H363" s="72" t="n">
        <v>-3</v>
      </c>
      <c r="I363" s="70" t="s">
        <v>147</v>
      </c>
      <c r="J363" s="71" t="n">
        <v>46294</v>
      </c>
      <c r="K363" s="70" t="s">
        <v>406</v>
      </c>
      <c r="L363" s="72" t="n">
        <v>0</v>
      </c>
      <c r="M363" s="73" t="n">
        <v>0.587951388888889</v>
      </c>
      <c r="N363" s="70" t="s">
        <v>481</v>
      </c>
      <c r="O363" s="70" t="s">
        <v>1367</v>
      </c>
      <c r="P363" s="70" t="s">
        <v>472</v>
      </c>
      <c r="Q363" s="70" t="s">
        <v>473</v>
      </c>
      <c r="R363" s="75" t="n">
        <f aca="false">-H363</f>
        <v>3</v>
      </c>
    </row>
    <row r="364" customFormat="false" ht="15" hidden="false" customHeight="false" outlineLevel="0" collapsed="false">
      <c r="A364" s="70" t="s">
        <v>1368</v>
      </c>
      <c r="B364" s="70" t="s">
        <v>286</v>
      </c>
      <c r="C364" s="70" t="s">
        <v>290</v>
      </c>
      <c r="D364" s="70" t="s">
        <v>1354</v>
      </c>
      <c r="E364" s="70" t="s">
        <v>405</v>
      </c>
      <c r="F364" s="70" t="s">
        <v>189</v>
      </c>
      <c r="G364" s="71" t="n">
        <v>46294</v>
      </c>
      <c r="H364" s="72" t="n">
        <v>-12</v>
      </c>
      <c r="I364" s="70" t="s">
        <v>147</v>
      </c>
      <c r="J364" s="71" t="n">
        <v>46294</v>
      </c>
      <c r="K364" s="70" t="s">
        <v>406</v>
      </c>
      <c r="L364" s="72" t="n">
        <v>0</v>
      </c>
      <c r="M364" s="73" t="n">
        <v>0.588356481481482</v>
      </c>
      <c r="N364" s="70" t="s">
        <v>481</v>
      </c>
      <c r="O364" s="70" t="s">
        <v>1369</v>
      </c>
      <c r="P364" s="70" t="s">
        <v>1370</v>
      </c>
      <c r="Q364" s="70" t="s">
        <v>1371</v>
      </c>
      <c r="R364" s="75" t="n">
        <f aca="false">-H364</f>
        <v>12</v>
      </c>
    </row>
    <row r="365" customFormat="false" ht="15" hidden="false" customHeight="false" outlineLevel="0" collapsed="false">
      <c r="A365" s="70" t="s">
        <v>1372</v>
      </c>
      <c r="B365" s="70" t="s">
        <v>286</v>
      </c>
      <c r="C365" s="70" t="s">
        <v>290</v>
      </c>
      <c r="D365" s="70" t="s">
        <v>1354</v>
      </c>
      <c r="E365" s="70" t="s">
        <v>405</v>
      </c>
      <c r="F365" s="70" t="s">
        <v>189</v>
      </c>
      <c r="G365" s="71" t="n">
        <v>46292</v>
      </c>
      <c r="H365" s="72" t="n">
        <v>-30</v>
      </c>
      <c r="I365" s="70" t="s">
        <v>147</v>
      </c>
      <c r="J365" s="71" t="n">
        <v>46292</v>
      </c>
      <c r="K365" s="70" t="s">
        <v>406</v>
      </c>
      <c r="L365" s="72" t="n">
        <v>0</v>
      </c>
      <c r="M365" s="73" t="n">
        <v>0.589166666666667</v>
      </c>
      <c r="N365" s="70" t="s">
        <v>431</v>
      </c>
      <c r="O365" s="70" t="s">
        <v>1373</v>
      </c>
      <c r="P365" s="70" t="s">
        <v>1356</v>
      </c>
      <c r="Q365" s="70" t="s">
        <v>1357</v>
      </c>
      <c r="R365" s="75" t="n">
        <f aca="false">-H365</f>
        <v>30</v>
      </c>
    </row>
    <row r="366" customFormat="false" ht="15" hidden="false" customHeight="false" outlineLevel="0" collapsed="false">
      <c r="A366" s="70" t="s">
        <v>1374</v>
      </c>
      <c r="B366" s="70" t="s">
        <v>286</v>
      </c>
      <c r="C366" s="70" t="s">
        <v>290</v>
      </c>
      <c r="D366" s="70" t="s">
        <v>1354</v>
      </c>
      <c r="E366" s="70" t="s">
        <v>405</v>
      </c>
      <c r="F366" s="70" t="s">
        <v>189</v>
      </c>
      <c r="G366" s="71" t="n">
        <v>46292</v>
      </c>
      <c r="H366" s="72" t="n">
        <v>-10</v>
      </c>
      <c r="I366" s="70" t="s">
        <v>147</v>
      </c>
      <c r="J366" s="71" t="n">
        <v>46292</v>
      </c>
      <c r="K366" s="70" t="s">
        <v>406</v>
      </c>
      <c r="L366" s="72" t="n">
        <v>0</v>
      </c>
      <c r="M366" s="73" t="n">
        <v>0.826087962962963</v>
      </c>
      <c r="N366" s="70" t="s">
        <v>431</v>
      </c>
      <c r="O366" s="70" t="s">
        <v>1375</v>
      </c>
      <c r="P366" s="70" t="s">
        <v>1015</v>
      </c>
      <c r="Q366" s="70" t="s">
        <v>1016</v>
      </c>
      <c r="R366" s="75" t="n">
        <f aca="false">-H366</f>
        <v>10</v>
      </c>
    </row>
    <row r="367" customFormat="false" ht="15" hidden="false" customHeight="false" outlineLevel="0" collapsed="false">
      <c r="A367" s="70" t="s">
        <v>1376</v>
      </c>
      <c r="B367" s="70" t="s">
        <v>301</v>
      </c>
      <c r="C367" s="70" t="s">
        <v>385</v>
      </c>
      <c r="D367" s="70" t="s">
        <v>1377</v>
      </c>
      <c r="E367" s="70" t="s">
        <v>405</v>
      </c>
      <c r="F367" s="70" t="s">
        <v>189</v>
      </c>
      <c r="G367" s="71" t="n">
        <v>46294</v>
      </c>
      <c r="H367" s="72" t="n">
        <v>-350</v>
      </c>
      <c r="I367" s="70" t="s">
        <v>65</v>
      </c>
      <c r="J367" s="71" t="n">
        <v>46294</v>
      </c>
      <c r="K367" s="70" t="s">
        <v>406</v>
      </c>
      <c r="L367" s="72" t="n">
        <v>0</v>
      </c>
      <c r="M367" s="73" t="n">
        <v>0.346331018518519</v>
      </c>
      <c r="N367" s="70" t="s">
        <v>407</v>
      </c>
      <c r="O367" s="70" t="s">
        <v>1378</v>
      </c>
      <c r="P367" s="70" t="s">
        <v>1379</v>
      </c>
      <c r="Q367" s="70" t="s">
        <v>1380</v>
      </c>
      <c r="R367" s="75" t="n">
        <f aca="false">-H367</f>
        <v>350</v>
      </c>
    </row>
    <row r="368" customFormat="false" ht="15" hidden="false" customHeight="false" outlineLevel="0" collapsed="false">
      <c r="A368" s="70" t="s">
        <v>1381</v>
      </c>
      <c r="B368" s="70" t="s">
        <v>301</v>
      </c>
      <c r="C368" s="70" t="s">
        <v>385</v>
      </c>
      <c r="D368" s="70" t="s">
        <v>1377</v>
      </c>
      <c r="E368" s="70" t="s">
        <v>405</v>
      </c>
      <c r="F368" s="70" t="s">
        <v>189</v>
      </c>
      <c r="G368" s="71" t="n">
        <v>46294</v>
      </c>
      <c r="H368" s="72" t="n">
        <v>-650</v>
      </c>
      <c r="I368" s="70" t="s">
        <v>65</v>
      </c>
      <c r="J368" s="71" t="n">
        <v>46294</v>
      </c>
      <c r="K368" s="70" t="s">
        <v>406</v>
      </c>
      <c r="L368" s="72" t="n">
        <v>0</v>
      </c>
      <c r="M368" s="73" t="n">
        <v>0.34630787037037</v>
      </c>
      <c r="N368" s="70" t="s">
        <v>407</v>
      </c>
      <c r="O368" s="70" t="s">
        <v>1382</v>
      </c>
      <c r="P368" s="70" t="s">
        <v>1379</v>
      </c>
      <c r="Q368" s="70" t="s">
        <v>1380</v>
      </c>
      <c r="R368" s="75" t="n">
        <f aca="false">-H368</f>
        <v>650</v>
      </c>
    </row>
    <row r="369" customFormat="false" ht="15" hidden="false" customHeight="false" outlineLevel="0" collapsed="false">
      <c r="A369" s="70" t="s">
        <v>1383</v>
      </c>
      <c r="B369" s="70" t="s">
        <v>305</v>
      </c>
      <c r="C369" s="70" t="s">
        <v>306</v>
      </c>
      <c r="D369" s="70" t="s">
        <v>1377</v>
      </c>
      <c r="E369" s="70" t="s">
        <v>405</v>
      </c>
      <c r="F369" s="70" t="s">
        <v>189</v>
      </c>
      <c r="G369" s="71" t="n">
        <v>46295</v>
      </c>
      <c r="H369" s="72" t="n">
        <v>-10</v>
      </c>
      <c r="I369" s="70" t="s">
        <v>65</v>
      </c>
      <c r="J369" s="71" t="n">
        <v>46295</v>
      </c>
      <c r="K369" s="70" t="s">
        <v>406</v>
      </c>
      <c r="L369" s="72" t="n">
        <v>0</v>
      </c>
      <c r="M369" s="73" t="n">
        <v>0.356076388888889</v>
      </c>
      <c r="N369" s="70" t="s">
        <v>407</v>
      </c>
      <c r="O369" s="70" t="s">
        <v>1384</v>
      </c>
      <c r="P369" s="70" t="s">
        <v>1035</v>
      </c>
      <c r="Q369" s="70" t="s">
        <v>1036</v>
      </c>
      <c r="R369" s="75" t="n">
        <f aca="false">-H369</f>
        <v>10</v>
      </c>
    </row>
    <row r="370" customFormat="false" ht="15" hidden="false" customHeight="false" outlineLevel="0" collapsed="false">
      <c r="A370" s="70" t="s">
        <v>1385</v>
      </c>
      <c r="B370" s="70" t="s">
        <v>305</v>
      </c>
      <c r="C370" s="70" t="s">
        <v>306</v>
      </c>
      <c r="D370" s="70" t="s">
        <v>1377</v>
      </c>
      <c r="E370" s="70" t="s">
        <v>405</v>
      </c>
      <c r="F370" s="70" t="s">
        <v>189</v>
      </c>
      <c r="G370" s="71" t="n">
        <v>46294</v>
      </c>
      <c r="H370" s="72" t="n">
        <v>-10</v>
      </c>
      <c r="I370" s="70" t="s">
        <v>65</v>
      </c>
      <c r="J370" s="71" t="n">
        <v>46295</v>
      </c>
      <c r="K370" s="70" t="s">
        <v>406</v>
      </c>
      <c r="L370" s="72" t="n">
        <v>0</v>
      </c>
      <c r="M370" s="73" t="n">
        <v>0.00527777777777778</v>
      </c>
      <c r="N370" s="70" t="s">
        <v>407</v>
      </c>
      <c r="O370" s="70" t="s">
        <v>1386</v>
      </c>
      <c r="P370" s="70" t="s">
        <v>631</v>
      </c>
      <c r="Q370" s="70" t="s">
        <v>632</v>
      </c>
      <c r="R370" s="75" t="n">
        <f aca="false">-H370</f>
        <v>10</v>
      </c>
    </row>
    <row r="371" customFormat="false" ht="15" hidden="false" customHeight="false" outlineLevel="0" collapsed="false">
      <c r="A371" s="70" t="s">
        <v>1387</v>
      </c>
      <c r="B371" s="70" t="s">
        <v>305</v>
      </c>
      <c r="C371" s="70" t="s">
        <v>306</v>
      </c>
      <c r="D371" s="70" t="s">
        <v>1377</v>
      </c>
      <c r="E371" s="70" t="s">
        <v>405</v>
      </c>
      <c r="F371" s="70" t="s">
        <v>189</v>
      </c>
      <c r="G371" s="71" t="n">
        <v>46292</v>
      </c>
      <c r="H371" s="72" t="n">
        <v>-10</v>
      </c>
      <c r="I371" s="70" t="s">
        <v>65</v>
      </c>
      <c r="J371" s="71" t="n">
        <v>46292</v>
      </c>
      <c r="K371" s="70" t="s">
        <v>406</v>
      </c>
      <c r="L371" s="72" t="n">
        <v>0</v>
      </c>
      <c r="M371" s="73" t="n">
        <v>0.825983796296296</v>
      </c>
      <c r="N371" s="70" t="s">
        <v>431</v>
      </c>
      <c r="O371" s="70" t="s">
        <v>1388</v>
      </c>
      <c r="P371" s="70" t="s">
        <v>1389</v>
      </c>
      <c r="Q371" s="70" t="s">
        <v>1390</v>
      </c>
      <c r="R371" s="75" t="n">
        <f aca="false">-H371</f>
        <v>10</v>
      </c>
    </row>
    <row r="372" customFormat="false" ht="15" hidden="false" customHeight="false" outlineLevel="0" collapsed="false">
      <c r="A372" s="70" t="s">
        <v>1391</v>
      </c>
      <c r="B372" s="70" t="s">
        <v>305</v>
      </c>
      <c r="C372" s="70" t="s">
        <v>306</v>
      </c>
      <c r="D372" s="70" t="s">
        <v>1377</v>
      </c>
      <c r="E372" s="70" t="s">
        <v>405</v>
      </c>
      <c r="F372" s="70" t="s">
        <v>189</v>
      </c>
      <c r="G372" s="71" t="n">
        <v>46292</v>
      </c>
      <c r="H372" s="72" t="n">
        <v>-10</v>
      </c>
      <c r="I372" s="70" t="s">
        <v>65</v>
      </c>
      <c r="J372" s="71" t="n">
        <v>46292</v>
      </c>
      <c r="K372" s="70" t="s">
        <v>406</v>
      </c>
      <c r="L372" s="72" t="n">
        <v>0</v>
      </c>
      <c r="M372" s="73" t="n">
        <v>0.82599537037037</v>
      </c>
      <c r="N372" s="70" t="s">
        <v>431</v>
      </c>
      <c r="O372" s="70" t="s">
        <v>1392</v>
      </c>
      <c r="P372" s="70" t="s">
        <v>1393</v>
      </c>
      <c r="Q372" s="70" t="s">
        <v>1394</v>
      </c>
      <c r="R372" s="75" t="n">
        <f aca="false">-H372</f>
        <v>10</v>
      </c>
    </row>
    <row r="373" customFormat="false" ht="15" hidden="false" customHeight="false" outlineLevel="0" collapsed="false">
      <c r="A373" s="70" t="s">
        <v>1395</v>
      </c>
      <c r="B373" s="70" t="s">
        <v>305</v>
      </c>
      <c r="C373" s="70" t="s">
        <v>306</v>
      </c>
      <c r="D373" s="70" t="s">
        <v>1377</v>
      </c>
      <c r="E373" s="70" t="s">
        <v>405</v>
      </c>
      <c r="F373" s="70" t="s">
        <v>189</v>
      </c>
      <c r="G373" s="71" t="n">
        <v>46292</v>
      </c>
      <c r="H373" s="72" t="n">
        <v>-10</v>
      </c>
      <c r="I373" s="70" t="s">
        <v>65</v>
      </c>
      <c r="J373" s="71" t="n">
        <v>46292</v>
      </c>
      <c r="K373" s="70" t="s">
        <v>406</v>
      </c>
      <c r="L373" s="72" t="n">
        <v>0</v>
      </c>
      <c r="M373" s="73" t="n">
        <v>0.826018518518519</v>
      </c>
      <c r="N373" s="70" t="s">
        <v>431</v>
      </c>
      <c r="O373" s="70" t="s">
        <v>1396</v>
      </c>
      <c r="P373" s="70" t="s">
        <v>1397</v>
      </c>
      <c r="Q373" s="70" t="s">
        <v>1398</v>
      </c>
      <c r="R373" s="75" t="n">
        <f aca="false">-H373</f>
        <v>10</v>
      </c>
    </row>
    <row r="374" customFormat="false" ht="15" hidden="false" customHeight="false" outlineLevel="0" collapsed="false">
      <c r="A374" s="70" t="s">
        <v>1399</v>
      </c>
      <c r="B374" s="70" t="s">
        <v>305</v>
      </c>
      <c r="C374" s="70" t="s">
        <v>306</v>
      </c>
      <c r="D374" s="70" t="s">
        <v>1377</v>
      </c>
      <c r="E374" s="70" t="s">
        <v>405</v>
      </c>
      <c r="F374" s="70" t="s">
        <v>189</v>
      </c>
      <c r="G374" s="71" t="n">
        <v>46292</v>
      </c>
      <c r="H374" s="72" t="n">
        <v>-10</v>
      </c>
      <c r="I374" s="70" t="s">
        <v>65</v>
      </c>
      <c r="J374" s="71" t="n">
        <v>46292</v>
      </c>
      <c r="K374" s="70" t="s">
        <v>406</v>
      </c>
      <c r="L374" s="72" t="n">
        <v>0</v>
      </c>
      <c r="M374" s="73" t="n">
        <v>0.826030092592593</v>
      </c>
      <c r="N374" s="70" t="s">
        <v>431</v>
      </c>
      <c r="O374" s="70" t="s">
        <v>1400</v>
      </c>
      <c r="P374" s="70" t="s">
        <v>1401</v>
      </c>
      <c r="Q374" s="70" t="s">
        <v>1402</v>
      </c>
      <c r="R374" s="75" t="n">
        <f aca="false">-H374</f>
        <v>10</v>
      </c>
    </row>
    <row r="375" customFormat="false" ht="15" hidden="false" customHeight="false" outlineLevel="0" collapsed="false">
      <c r="A375" s="70" t="s">
        <v>1403</v>
      </c>
      <c r="B375" s="70" t="s">
        <v>305</v>
      </c>
      <c r="C375" s="70" t="s">
        <v>306</v>
      </c>
      <c r="D375" s="70" t="s">
        <v>1377</v>
      </c>
      <c r="E375" s="70" t="s">
        <v>405</v>
      </c>
      <c r="F375" s="70" t="s">
        <v>189</v>
      </c>
      <c r="G375" s="71" t="n">
        <v>46292</v>
      </c>
      <c r="H375" s="72" t="n">
        <v>-10</v>
      </c>
      <c r="I375" s="70" t="s">
        <v>65</v>
      </c>
      <c r="J375" s="71" t="n">
        <v>46292</v>
      </c>
      <c r="K375" s="70" t="s">
        <v>406</v>
      </c>
      <c r="L375" s="72" t="n">
        <v>0</v>
      </c>
      <c r="M375" s="73" t="n">
        <v>0.826041666666667</v>
      </c>
      <c r="N375" s="70" t="s">
        <v>431</v>
      </c>
      <c r="O375" s="70" t="s">
        <v>1404</v>
      </c>
      <c r="P375" s="70" t="s">
        <v>1393</v>
      </c>
      <c r="Q375" s="70" t="s">
        <v>1394</v>
      </c>
      <c r="R375" s="75" t="n">
        <f aca="false">-H375</f>
        <v>10</v>
      </c>
    </row>
    <row r="376" customFormat="false" ht="15" hidden="false" customHeight="false" outlineLevel="0" collapsed="false">
      <c r="A376" s="70" t="s">
        <v>1405</v>
      </c>
      <c r="B376" s="70" t="s">
        <v>305</v>
      </c>
      <c r="C376" s="70" t="s">
        <v>306</v>
      </c>
      <c r="D376" s="70" t="s">
        <v>1377</v>
      </c>
      <c r="E376" s="70" t="s">
        <v>405</v>
      </c>
      <c r="F376" s="70" t="s">
        <v>189</v>
      </c>
      <c r="G376" s="71" t="n">
        <v>46291</v>
      </c>
      <c r="H376" s="72" t="n">
        <v>-20</v>
      </c>
      <c r="I376" s="70" t="s">
        <v>65</v>
      </c>
      <c r="J376" s="71" t="n">
        <v>46292</v>
      </c>
      <c r="K376" s="70" t="s">
        <v>406</v>
      </c>
      <c r="L376" s="72" t="n">
        <v>0</v>
      </c>
      <c r="M376" s="73" t="n">
        <v>0.0324074074074074</v>
      </c>
      <c r="N376" s="70" t="s">
        <v>444</v>
      </c>
      <c r="O376" s="70" t="s">
        <v>1406</v>
      </c>
      <c r="P376" s="70" t="s">
        <v>472</v>
      </c>
      <c r="Q376" s="70" t="s">
        <v>473</v>
      </c>
      <c r="R376" s="75" t="n">
        <f aca="false">-H376</f>
        <v>20</v>
      </c>
    </row>
    <row r="377" customFormat="false" ht="15" hidden="false" customHeight="false" outlineLevel="0" collapsed="false">
      <c r="A377" s="70" t="s">
        <v>790</v>
      </c>
      <c r="B377" s="70" t="s">
        <v>305</v>
      </c>
      <c r="C377" s="70" t="s">
        <v>306</v>
      </c>
      <c r="D377" s="70" t="s">
        <v>1377</v>
      </c>
      <c r="E377" s="70" t="s">
        <v>405</v>
      </c>
      <c r="F377" s="70" t="s">
        <v>189</v>
      </c>
      <c r="G377" s="71" t="n">
        <v>46291</v>
      </c>
      <c r="H377" s="72" t="n">
        <v>-20</v>
      </c>
      <c r="I377" s="70" t="s">
        <v>65</v>
      </c>
      <c r="J377" s="71" t="n">
        <v>46291</v>
      </c>
      <c r="K377" s="70" t="s">
        <v>406</v>
      </c>
      <c r="L377" s="72" t="n">
        <v>0</v>
      </c>
      <c r="M377" s="73" t="n">
        <v>0.806018518518519</v>
      </c>
      <c r="N377" s="70" t="s">
        <v>431</v>
      </c>
      <c r="O377" s="70" t="s">
        <v>791</v>
      </c>
      <c r="P377" s="70" t="s">
        <v>792</v>
      </c>
      <c r="Q377" s="70" t="s">
        <v>793</v>
      </c>
      <c r="R377" s="75" t="n">
        <f aca="false">-H377</f>
        <v>20</v>
      </c>
    </row>
    <row r="378" customFormat="false" ht="15" hidden="false" customHeight="false" outlineLevel="0" collapsed="false">
      <c r="A378" s="70" t="s">
        <v>1407</v>
      </c>
      <c r="B378" s="70" t="s">
        <v>305</v>
      </c>
      <c r="C378" s="70" t="s">
        <v>306</v>
      </c>
      <c r="D378" s="70" t="s">
        <v>1377</v>
      </c>
      <c r="E378" s="70" t="s">
        <v>405</v>
      </c>
      <c r="F378" s="70" t="s">
        <v>189</v>
      </c>
      <c r="G378" s="71" t="n">
        <v>46291</v>
      </c>
      <c r="H378" s="72" t="n">
        <v>-10</v>
      </c>
      <c r="I378" s="70" t="s">
        <v>65</v>
      </c>
      <c r="J378" s="71" t="n">
        <v>46292</v>
      </c>
      <c r="K378" s="70" t="s">
        <v>406</v>
      </c>
      <c r="L378" s="72" t="n">
        <v>0</v>
      </c>
      <c r="M378" s="73" t="n">
        <v>0.0321180555555556</v>
      </c>
      <c r="N378" s="70" t="s">
        <v>444</v>
      </c>
      <c r="O378" s="70" t="s">
        <v>1408</v>
      </c>
      <c r="P378" s="70" t="s">
        <v>472</v>
      </c>
      <c r="Q378" s="70" t="s">
        <v>473</v>
      </c>
      <c r="R378" s="75" t="n">
        <f aca="false">-H378</f>
        <v>10</v>
      </c>
    </row>
    <row r="379" customFormat="false" ht="15" hidden="false" customHeight="false" outlineLevel="0" collapsed="false">
      <c r="A379" s="70" t="s">
        <v>818</v>
      </c>
      <c r="B379" s="70" t="s">
        <v>389</v>
      </c>
      <c r="C379" s="70" t="s">
        <v>390</v>
      </c>
      <c r="D379" s="70" t="s">
        <v>1104</v>
      </c>
      <c r="E379" s="70" t="s">
        <v>405</v>
      </c>
      <c r="F379" s="70" t="s">
        <v>189</v>
      </c>
      <c r="G379" s="71" t="n">
        <v>46294</v>
      </c>
      <c r="H379" s="72" t="n">
        <v>-19.6</v>
      </c>
      <c r="I379" s="70" t="s">
        <v>65</v>
      </c>
      <c r="J379" s="71" t="n">
        <v>46294</v>
      </c>
      <c r="K379" s="70" t="s">
        <v>406</v>
      </c>
      <c r="L379" s="72" t="n">
        <v>0</v>
      </c>
      <c r="M379" s="73" t="n">
        <v>0.346689814814815</v>
      </c>
      <c r="N379" s="70" t="s">
        <v>407</v>
      </c>
      <c r="O379" s="70" t="s">
        <v>819</v>
      </c>
      <c r="P379" s="70" t="s">
        <v>820</v>
      </c>
      <c r="Q379" s="70" t="s">
        <v>821</v>
      </c>
      <c r="R379" s="75" t="n">
        <f aca="false">-H379</f>
        <v>19.6</v>
      </c>
    </row>
    <row r="380" customFormat="false" ht="15" hidden="false" customHeight="false" outlineLevel="0" collapsed="false">
      <c r="A380" s="70" t="s">
        <v>1227</v>
      </c>
      <c r="B380" s="70" t="s">
        <v>309</v>
      </c>
      <c r="C380" s="70" t="s">
        <v>310</v>
      </c>
      <c r="D380" s="70" t="s">
        <v>404</v>
      </c>
      <c r="E380" s="70" t="s">
        <v>405</v>
      </c>
      <c r="F380" s="70" t="s">
        <v>189</v>
      </c>
      <c r="G380" s="71" t="n">
        <v>46295</v>
      </c>
      <c r="H380" s="72" t="n">
        <v>-40.2</v>
      </c>
      <c r="I380" s="70" t="s">
        <v>65</v>
      </c>
      <c r="J380" s="71" t="n">
        <v>46296</v>
      </c>
      <c r="K380" s="70" t="s">
        <v>406</v>
      </c>
      <c r="L380" s="72" t="n">
        <v>0</v>
      </c>
      <c r="M380" s="73" t="n">
        <v>0.0630902777777778</v>
      </c>
      <c r="N380" s="70" t="s">
        <v>444</v>
      </c>
      <c r="O380" s="70" t="s">
        <v>1228</v>
      </c>
      <c r="P380" s="70" t="s">
        <v>1065</v>
      </c>
      <c r="Q380" s="70" t="s">
        <v>1066</v>
      </c>
      <c r="R380" s="75" t="n">
        <f aca="false">-H380</f>
        <v>40.2</v>
      </c>
    </row>
    <row r="381" customFormat="false" ht="15" hidden="false" customHeight="false" outlineLevel="0" collapsed="false">
      <c r="A381" s="70" t="s">
        <v>1409</v>
      </c>
      <c r="B381" s="70" t="s">
        <v>309</v>
      </c>
      <c r="C381" s="70" t="s">
        <v>310</v>
      </c>
      <c r="D381" s="70" t="s">
        <v>404</v>
      </c>
      <c r="E381" s="70" t="s">
        <v>405</v>
      </c>
      <c r="F381" s="70" t="s">
        <v>189</v>
      </c>
      <c r="G381" s="71" t="n">
        <v>46294</v>
      </c>
      <c r="H381" s="72" t="n">
        <v>-100.5</v>
      </c>
      <c r="I381" s="70" t="s">
        <v>65</v>
      </c>
      <c r="J381" s="71" t="n">
        <v>46294</v>
      </c>
      <c r="K381" s="70" t="s">
        <v>406</v>
      </c>
      <c r="L381" s="72" t="n">
        <v>0</v>
      </c>
      <c r="M381" s="73" t="n">
        <v>0.346423611111111</v>
      </c>
      <c r="N381" s="70" t="s">
        <v>407</v>
      </c>
      <c r="O381" s="70" t="s">
        <v>1410</v>
      </c>
      <c r="P381" s="70" t="s">
        <v>549</v>
      </c>
      <c r="Q381" s="70" t="s">
        <v>550</v>
      </c>
      <c r="R381" s="75" t="n">
        <f aca="false">-H381</f>
        <v>100.5</v>
      </c>
    </row>
    <row r="382" customFormat="false" ht="15" hidden="false" customHeight="false" outlineLevel="0" collapsed="false">
      <c r="A382" s="70" t="s">
        <v>1411</v>
      </c>
      <c r="B382" s="70" t="s">
        <v>309</v>
      </c>
      <c r="C382" s="70" t="s">
        <v>310</v>
      </c>
      <c r="D382" s="70" t="s">
        <v>404</v>
      </c>
      <c r="E382" s="70" t="s">
        <v>405</v>
      </c>
      <c r="F382" s="70" t="s">
        <v>189</v>
      </c>
      <c r="G382" s="71" t="n">
        <v>46294</v>
      </c>
      <c r="H382" s="72" t="n">
        <v>-120.6</v>
      </c>
      <c r="I382" s="70" t="s">
        <v>65</v>
      </c>
      <c r="J382" s="71" t="n">
        <v>46294</v>
      </c>
      <c r="K382" s="70" t="s">
        <v>406</v>
      </c>
      <c r="L382" s="72" t="n">
        <v>0</v>
      </c>
      <c r="M382" s="73" t="n">
        <v>0.587858796296296</v>
      </c>
      <c r="N382" s="70" t="s">
        <v>481</v>
      </c>
      <c r="O382" s="70" t="s">
        <v>1412</v>
      </c>
      <c r="P382" s="70" t="s">
        <v>472</v>
      </c>
      <c r="Q382" s="70" t="s">
        <v>473</v>
      </c>
      <c r="R382" s="75" t="n">
        <f aca="false">-H382</f>
        <v>120.6</v>
      </c>
    </row>
    <row r="383" customFormat="false" ht="15" hidden="false" customHeight="false" outlineLevel="0" collapsed="false">
      <c r="A383" s="70" t="s">
        <v>1413</v>
      </c>
      <c r="B383" s="70" t="s">
        <v>309</v>
      </c>
      <c r="C383" s="70" t="s">
        <v>310</v>
      </c>
      <c r="D383" s="70" t="s">
        <v>404</v>
      </c>
      <c r="E383" s="70" t="s">
        <v>405</v>
      </c>
      <c r="F383" s="70" t="s">
        <v>189</v>
      </c>
      <c r="G383" s="71" t="n">
        <v>46292</v>
      </c>
      <c r="H383" s="72" t="n">
        <v>-40.2</v>
      </c>
      <c r="I383" s="70" t="s">
        <v>65</v>
      </c>
      <c r="J383" s="71" t="n">
        <v>46292</v>
      </c>
      <c r="K383" s="70" t="s">
        <v>406</v>
      </c>
      <c r="L383" s="72" t="n">
        <v>0</v>
      </c>
      <c r="M383" s="73" t="n">
        <v>0.589270833333333</v>
      </c>
      <c r="N383" s="70" t="s">
        <v>431</v>
      </c>
      <c r="O383" s="70" t="s">
        <v>1414</v>
      </c>
      <c r="P383" s="70" t="s">
        <v>824</v>
      </c>
      <c r="Q383" s="70" t="s">
        <v>825</v>
      </c>
      <c r="R383" s="75" t="n">
        <f aca="false">-H383</f>
        <v>40.2</v>
      </c>
    </row>
    <row r="384" customFormat="false" ht="15" hidden="false" customHeight="false" outlineLevel="0" collapsed="false">
      <c r="A384" s="70" t="s">
        <v>1415</v>
      </c>
      <c r="B384" s="70" t="s">
        <v>309</v>
      </c>
      <c r="C384" s="70" t="s">
        <v>310</v>
      </c>
      <c r="D384" s="70" t="s">
        <v>404</v>
      </c>
      <c r="E384" s="70" t="s">
        <v>405</v>
      </c>
      <c r="F384" s="70" t="s">
        <v>189</v>
      </c>
      <c r="G384" s="71" t="n">
        <v>46292</v>
      </c>
      <c r="H384" s="72" t="n">
        <v>-20.1</v>
      </c>
      <c r="I384" s="70" t="s">
        <v>65</v>
      </c>
      <c r="J384" s="71" t="n">
        <v>46292</v>
      </c>
      <c r="K384" s="70" t="s">
        <v>406</v>
      </c>
      <c r="L384" s="72" t="n">
        <v>0</v>
      </c>
      <c r="M384" s="73" t="n">
        <v>0.826099537037037</v>
      </c>
      <c r="N384" s="70" t="s">
        <v>431</v>
      </c>
      <c r="O384" s="70" t="s">
        <v>1416</v>
      </c>
      <c r="P384" s="70" t="s">
        <v>454</v>
      </c>
      <c r="Q384" s="70" t="s">
        <v>455</v>
      </c>
      <c r="R384" s="75" t="n">
        <f aca="false">-H384</f>
        <v>20.1</v>
      </c>
    </row>
    <row r="385" customFormat="false" ht="15" hidden="false" customHeight="false" outlineLevel="0" collapsed="false">
      <c r="A385" s="70" t="s">
        <v>1417</v>
      </c>
      <c r="B385" s="70" t="s">
        <v>309</v>
      </c>
      <c r="C385" s="70" t="s">
        <v>310</v>
      </c>
      <c r="D385" s="70" t="s">
        <v>404</v>
      </c>
      <c r="E385" s="70" t="s">
        <v>405</v>
      </c>
      <c r="F385" s="70" t="s">
        <v>189</v>
      </c>
      <c r="G385" s="71" t="n">
        <v>46292</v>
      </c>
      <c r="H385" s="72" t="n">
        <v>-40.2</v>
      </c>
      <c r="I385" s="70" t="s">
        <v>65</v>
      </c>
      <c r="J385" s="71" t="n">
        <v>46292</v>
      </c>
      <c r="K385" s="70" t="s">
        <v>406</v>
      </c>
      <c r="L385" s="72" t="n">
        <v>0</v>
      </c>
      <c r="M385" s="73" t="n">
        <v>0.826122685185185</v>
      </c>
      <c r="N385" s="70" t="s">
        <v>431</v>
      </c>
      <c r="O385" s="70" t="s">
        <v>1418</v>
      </c>
      <c r="P385" s="70" t="s">
        <v>707</v>
      </c>
      <c r="Q385" s="70" t="s">
        <v>708</v>
      </c>
      <c r="R385" s="75" t="n">
        <f aca="false">-H385</f>
        <v>40.2</v>
      </c>
    </row>
    <row r="386" customFormat="false" ht="15" hidden="false" customHeight="false" outlineLevel="0" collapsed="false">
      <c r="A386" s="70" t="s">
        <v>575</v>
      </c>
      <c r="B386" s="70" t="s">
        <v>309</v>
      </c>
      <c r="C386" s="70" t="s">
        <v>310</v>
      </c>
      <c r="D386" s="70" t="s">
        <v>404</v>
      </c>
      <c r="E386" s="70" t="s">
        <v>405</v>
      </c>
      <c r="F386" s="70" t="s">
        <v>189</v>
      </c>
      <c r="G386" s="71" t="n">
        <v>46292</v>
      </c>
      <c r="H386" s="72" t="n">
        <v>-20.1</v>
      </c>
      <c r="I386" s="70" t="s">
        <v>65</v>
      </c>
      <c r="J386" s="71" t="n">
        <v>46292</v>
      </c>
      <c r="K386" s="70" t="s">
        <v>406</v>
      </c>
      <c r="L386" s="72" t="n">
        <v>0</v>
      </c>
      <c r="M386" s="73" t="n">
        <v>0.826238425925926</v>
      </c>
      <c r="N386" s="70" t="s">
        <v>431</v>
      </c>
      <c r="O386" s="70" t="s">
        <v>576</v>
      </c>
      <c r="P386" s="70" t="s">
        <v>577</v>
      </c>
      <c r="Q386" s="70" t="s">
        <v>578</v>
      </c>
      <c r="R386" s="75" t="n">
        <f aca="false">-H386</f>
        <v>20.1</v>
      </c>
    </row>
    <row r="387" customFormat="false" ht="15" hidden="false" customHeight="false" outlineLevel="0" collapsed="false">
      <c r="A387" s="70" t="s">
        <v>1419</v>
      </c>
      <c r="B387" s="70" t="s">
        <v>309</v>
      </c>
      <c r="C387" s="70" t="s">
        <v>310</v>
      </c>
      <c r="D387" s="70" t="s">
        <v>404</v>
      </c>
      <c r="E387" s="70" t="s">
        <v>405</v>
      </c>
      <c r="F387" s="70" t="s">
        <v>189</v>
      </c>
      <c r="G387" s="71" t="n">
        <v>46292</v>
      </c>
      <c r="H387" s="72" t="n">
        <v>-40.2</v>
      </c>
      <c r="I387" s="70" t="s">
        <v>65</v>
      </c>
      <c r="J387" s="71" t="n">
        <v>46292</v>
      </c>
      <c r="K387" s="70" t="s">
        <v>406</v>
      </c>
      <c r="L387" s="72" t="n">
        <v>0</v>
      </c>
      <c r="M387" s="73" t="n">
        <v>0.826342592592593</v>
      </c>
      <c r="N387" s="70" t="s">
        <v>431</v>
      </c>
      <c r="O387" s="70" t="s">
        <v>1420</v>
      </c>
      <c r="P387" s="70" t="s">
        <v>441</v>
      </c>
      <c r="Q387" s="70" t="s">
        <v>442</v>
      </c>
      <c r="R387" s="75" t="n">
        <f aca="false">-H387</f>
        <v>40.2</v>
      </c>
    </row>
    <row r="388" customFormat="false" ht="15" hidden="false" customHeight="false" outlineLevel="0" collapsed="false">
      <c r="A388" s="70" t="s">
        <v>788</v>
      </c>
      <c r="B388" s="70" t="s">
        <v>309</v>
      </c>
      <c r="C388" s="70" t="s">
        <v>310</v>
      </c>
      <c r="D388" s="70" t="s">
        <v>404</v>
      </c>
      <c r="E388" s="70" t="s">
        <v>405</v>
      </c>
      <c r="F388" s="70" t="s">
        <v>189</v>
      </c>
      <c r="G388" s="71" t="n">
        <v>46292</v>
      </c>
      <c r="H388" s="72" t="n">
        <v>-80.4</v>
      </c>
      <c r="I388" s="70" t="s">
        <v>65</v>
      </c>
      <c r="J388" s="71" t="n">
        <v>46292</v>
      </c>
      <c r="K388" s="70" t="s">
        <v>406</v>
      </c>
      <c r="L388" s="72" t="n">
        <v>0</v>
      </c>
      <c r="M388" s="73" t="n">
        <v>0.826597222222222</v>
      </c>
      <c r="N388" s="70" t="s">
        <v>431</v>
      </c>
      <c r="O388" s="70" t="s">
        <v>789</v>
      </c>
      <c r="P388" s="70" t="s">
        <v>433</v>
      </c>
      <c r="Q388" s="70" t="s">
        <v>434</v>
      </c>
      <c r="R388" s="75" t="n">
        <f aca="false">-H388</f>
        <v>80.4</v>
      </c>
    </row>
    <row r="389" customFormat="false" ht="15" hidden="false" customHeight="false" outlineLevel="0" collapsed="false">
      <c r="A389" s="70" t="s">
        <v>1421</v>
      </c>
      <c r="B389" s="70" t="s">
        <v>309</v>
      </c>
      <c r="C389" s="70" t="s">
        <v>310</v>
      </c>
      <c r="D389" s="70" t="s">
        <v>404</v>
      </c>
      <c r="E389" s="70" t="s">
        <v>405</v>
      </c>
      <c r="F389" s="70" t="s">
        <v>189</v>
      </c>
      <c r="G389" s="71" t="n">
        <v>46291</v>
      </c>
      <c r="H389" s="72" t="n">
        <v>-603</v>
      </c>
      <c r="I389" s="70" t="s">
        <v>65</v>
      </c>
      <c r="J389" s="71" t="n">
        <v>46292</v>
      </c>
      <c r="K389" s="70" t="s">
        <v>406</v>
      </c>
      <c r="L389" s="72" t="n">
        <v>0</v>
      </c>
      <c r="M389" s="73" t="n">
        <v>0.0322222222222222</v>
      </c>
      <c r="N389" s="70" t="s">
        <v>444</v>
      </c>
      <c r="O389" s="70" t="s">
        <v>1422</v>
      </c>
      <c r="P389" s="70" t="s">
        <v>472</v>
      </c>
      <c r="Q389" s="70" t="s">
        <v>473</v>
      </c>
      <c r="R389" s="75" t="n">
        <f aca="false">-H389</f>
        <v>603</v>
      </c>
    </row>
    <row r="390" customFormat="false" ht="15" hidden="false" customHeight="false" outlineLevel="0" collapsed="false">
      <c r="A390" s="70" t="s">
        <v>790</v>
      </c>
      <c r="B390" s="70" t="s">
        <v>309</v>
      </c>
      <c r="C390" s="70" t="s">
        <v>310</v>
      </c>
      <c r="D390" s="70" t="s">
        <v>404</v>
      </c>
      <c r="E390" s="70" t="s">
        <v>405</v>
      </c>
      <c r="F390" s="70" t="s">
        <v>189</v>
      </c>
      <c r="G390" s="71" t="n">
        <v>46291</v>
      </c>
      <c r="H390" s="72" t="n">
        <v>-40.2</v>
      </c>
      <c r="I390" s="70" t="s">
        <v>65</v>
      </c>
      <c r="J390" s="71" t="n">
        <v>46291</v>
      </c>
      <c r="K390" s="70" t="s">
        <v>406</v>
      </c>
      <c r="L390" s="72" t="n">
        <v>0</v>
      </c>
      <c r="M390" s="73" t="n">
        <v>0.806018518518519</v>
      </c>
      <c r="N390" s="70" t="s">
        <v>431</v>
      </c>
      <c r="O390" s="70" t="s">
        <v>791</v>
      </c>
      <c r="P390" s="70" t="s">
        <v>792</v>
      </c>
      <c r="Q390" s="70" t="s">
        <v>793</v>
      </c>
      <c r="R390" s="75" t="n">
        <f aca="false">-H390</f>
        <v>40.2</v>
      </c>
    </row>
    <row r="391" customFormat="false" ht="15" hidden="false" customHeight="false" outlineLevel="0" collapsed="false">
      <c r="A391" s="70" t="s">
        <v>1423</v>
      </c>
      <c r="B391" s="70" t="s">
        <v>309</v>
      </c>
      <c r="C391" s="70" t="s">
        <v>310</v>
      </c>
      <c r="D391" s="70" t="s">
        <v>404</v>
      </c>
      <c r="E391" s="70" t="s">
        <v>405</v>
      </c>
      <c r="F391" s="70" t="s">
        <v>189</v>
      </c>
      <c r="G391" s="71" t="n">
        <v>46291</v>
      </c>
      <c r="H391" s="72" t="n">
        <v>-201</v>
      </c>
      <c r="I391" s="70" t="s">
        <v>65</v>
      </c>
      <c r="J391" s="71" t="n">
        <v>46291</v>
      </c>
      <c r="K391" s="70" t="s">
        <v>406</v>
      </c>
      <c r="L391" s="72" t="n">
        <v>0</v>
      </c>
      <c r="M391" s="73" t="n">
        <v>0.515439814814815</v>
      </c>
      <c r="N391" s="70" t="s">
        <v>431</v>
      </c>
      <c r="O391" s="70" t="s">
        <v>1424</v>
      </c>
      <c r="P391" s="70" t="s">
        <v>423</v>
      </c>
      <c r="Q391" s="70" t="s">
        <v>424</v>
      </c>
      <c r="R391" s="75" t="n">
        <f aca="false">-H391</f>
        <v>201</v>
      </c>
    </row>
    <row r="392" customFormat="false" ht="15" hidden="false" customHeight="false" outlineLevel="0" collapsed="false">
      <c r="A392" s="70" t="s">
        <v>641</v>
      </c>
      <c r="B392" s="70" t="s">
        <v>309</v>
      </c>
      <c r="C392" s="70" t="s">
        <v>395</v>
      </c>
      <c r="D392" s="70" t="s">
        <v>404</v>
      </c>
      <c r="E392" s="70" t="s">
        <v>405</v>
      </c>
      <c r="F392" s="70" t="s">
        <v>189</v>
      </c>
      <c r="G392" s="71" t="n">
        <v>46286</v>
      </c>
      <c r="H392" s="72" t="n">
        <v>-40.2</v>
      </c>
      <c r="I392" s="70" t="s">
        <v>65</v>
      </c>
      <c r="J392" s="71" t="n">
        <v>46286</v>
      </c>
      <c r="K392" s="70" t="s">
        <v>406</v>
      </c>
      <c r="L392" s="72" t="n">
        <v>0</v>
      </c>
      <c r="M392" s="73" t="n">
        <v>0.517118055555556</v>
      </c>
      <c r="N392" s="70" t="s">
        <v>481</v>
      </c>
      <c r="O392" s="70" t="s">
        <v>642</v>
      </c>
      <c r="P392" s="70" t="s">
        <v>585</v>
      </c>
      <c r="Q392" s="70" t="s">
        <v>586</v>
      </c>
      <c r="R392" s="75" t="n">
        <f aca="false">-H392</f>
        <v>40.2</v>
      </c>
    </row>
    <row r="393" customFormat="false" ht="15" hidden="false" customHeight="false" outlineLevel="0" collapsed="false">
      <c r="A393" s="70" t="s">
        <v>737</v>
      </c>
      <c r="B393" s="70" t="s">
        <v>309</v>
      </c>
      <c r="C393" s="70" t="s">
        <v>395</v>
      </c>
      <c r="D393" s="70" t="s">
        <v>404</v>
      </c>
      <c r="E393" s="70" t="s">
        <v>405</v>
      </c>
      <c r="F393" s="70" t="s">
        <v>189</v>
      </c>
      <c r="G393" s="71" t="n">
        <v>46284</v>
      </c>
      <c r="H393" s="72" t="n">
        <v>-40.2</v>
      </c>
      <c r="I393" s="70" t="s">
        <v>65</v>
      </c>
      <c r="J393" s="71" t="n">
        <v>46284</v>
      </c>
      <c r="K393" s="70" t="s">
        <v>406</v>
      </c>
      <c r="L393" s="72" t="n">
        <v>0</v>
      </c>
      <c r="M393" s="73" t="n">
        <v>0.589618055555556</v>
      </c>
      <c r="N393" s="70" t="s">
        <v>431</v>
      </c>
      <c r="O393" s="70" t="s">
        <v>738</v>
      </c>
      <c r="P393" s="70" t="s">
        <v>573</v>
      </c>
      <c r="Q393" s="70" t="s">
        <v>574</v>
      </c>
      <c r="R393" s="75" t="n">
        <f aca="false">-H393</f>
        <v>40.2</v>
      </c>
    </row>
    <row r="394" customFormat="false" ht="15" hidden="false" customHeight="false" outlineLevel="0" collapsed="false">
      <c r="A394" s="70" t="s">
        <v>1425</v>
      </c>
      <c r="B394" s="70" t="s">
        <v>309</v>
      </c>
      <c r="C394" s="70" t="s">
        <v>395</v>
      </c>
      <c r="D394" s="70" t="s">
        <v>404</v>
      </c>
      <c r="E394" s="70" t="s">
        <v>416</v>
      </c>
      <c r="F394" s="70" t="s">
        <v>189</v>
      </c>
      <c r="G394" s="71" t="n">
        <v>46280</v>
      </c>
      <c r="H394" s="72" t="n">
        <v>-80.4</v>
      </c>
      <c r="I394" s="70" t="s">
        <v>65</v>
      </c>
      <c r="J394" s="71" t="n">
        <v>46280</v>
      </c>
      <c r="K394" s="70" t="s">
        <v>406</v>
      </c>
      <c r="L394" s="72" t="n">
        <v>0</v>
      </c>
      <c r="M394" s="73" t="n">
        <v>0.916099537037037</v>
      </c>
      <c r="N394" s="70" t="s">
        <v>426</v>
      </c>
      <c r="O394" s="70" t="s">
        <v>1426</v>
      </c>
      <c r="P394" s="70" t="s">
        <v>1427</v>
      </c>
      <c r="Q394" s="70" t="s">
        <v>1428</v>
      </c>
      <c r="R394" s="75" t="n">
        <f aca="false">-H394</f>
        <v>80.4</v>
      </c>
    </row>
    <row r="395" customFormat="false" ht="15" hidden="false" customHeight="false" outlineLevel="0" collapsed="false">
      <c r="A395" s="70" t="s">
        <v>1429</v>
      </c>
      <c r="B395" s="70" t="s">
        <v>309</v>
      </c>
      <c r="C395" s="70" t="s">
        <v>310</v>
      </c>
      <c r="D395" s="70" t="s">
        <v>404</v>
      </c>
      <c r="E395" s="70" t="s">
        <v>416</v>
      </c>
      <c r="F395" s="70" t="s">
        <v>189</v>
      </c>
      <c r="G395" s="71" t="n">
        <v>46280</v>
      </c>
      <c r="H395" s="72" t="n">
        <v>-20.1</v>
      </c>
      <c r="I395" s="70" t="s">
        <v>65</v>
      </c>
      <c r="J395" s="71" t="n">
        <v>46280</v>
      </c>
      <c r="K395" s="70" t="s">
        <v>406</v>
      </c>
      <c r="L395" s="72" t="n">
        <v>0</v>
      </c>
      <c r="M395" s="73" t="n">
        <v>0.945439814814815</v>
      </c>
      <c r="N395" s="70" t="s">
        <v>426</v>
      </c>
      <c r="O395" s="70" t="s">
        <v>1430</v>
      </c>
      <c r="P395" s="70" t="s">
        <v>1431</v>
      </c>
      <c r="Q395" s="70" t="s">
        <v>1432</v>
      </c>
      <c r="R395" s="75" t="n">
        <f aca="false">-H395</f>
        <v>20.1</v>
      </c>
    </row>
    <row r="396" customFormat="false" ht="15" hidden="false" customHeight="false" outlineLevel="0" collapsed="false">
      <c r="A396" s="70" t="s">
        <v>513</v>
      </c>
      <c r="B396" s="70" t="s">
        <v>309</v>
      </c>
      <c r="C396" s="70" t="s">
        <v>395</v>
      </c>
      <c r="D396" s="70" t="s">
        <v>404</v>
      </c>
      <c r="E396" s="70" t="s">
        <v>416</v>
      </c>
      <c r="F396" s="70" t="s">
        <v>189</v>
      </c>
      <c r="G396" s="71" t="n">
        <v>46280</v>
      </c>
      <c r="H396" s="72" t="n">
        <v>-40.2</v>
      </c>
      <c r="I396" s="70" t="s">
        <v>65</v>
      </c>
      <c r="J396" s="71" t="n">
        <v>46280</v>
      </c>
      <c r="K396" s="70" t="s">
        <v>406</v>
      </c>
      <c r="L396" s="72" t="n">
        <v>0</v>
      </c>
      <c r="M396" s="73" t="n">
        <v>0.945474537037037</v>
      </c>
      <c r="N396" s="70" t="s">
        <v>426</v>
      </c>
      <c r="O396" s="70" t="s">
        <v>514</v>
      </c>
      <c r="P396" s="70" t="s">
        <v>428</v>
      </c>
      <c r="Q396" s="70" t="s">
        <v>429</v>
      </c>
      <c r="R396" s="75" t="n">
        <f aca="false">-H396</f>
        <v>40.2</v>
      </c>
    </row>
    <row r="397" customFormat="false" ht="15" hidden="false" customHeight="false" outlineLevel="0" collapsed="false">
      <c r="A397" s="70" t="s">
        <v>1433</v>
      </c>
      <c r="B397" s="70" t="s">
        <v>309</v>
      </c>
      <c r="C397" s="70" t="s">
        <v>395</v>
      </c>
      <c r="D397" s="70" t="s">
        <v>404</v>
      </c>
      <c r="E397" s="70" t="s">
        <v>405</v>
      </c>
      <c r="F397" s="70" t="s">
        <v>189</v>
      </c>
      <c r="G397" s="71" t="n">
        <v>46279</v>
      </c>
      <c r="H397" s="72" t="n">
        <v>-40.2</v>
      </c>
      <c r="I397" s="70" t="s">
        <v>65</v>
      </c>
      <c r="J397" s="71" t="n">
        <v>46279</v>
      </c>
      <c r="K397" s="70" t="s">
        <v>406</v>
      </c>
      <c r="L397" s="72" t="n">
        <v>0</v>
      </c>
      <c r="M397" s="73" t="n">
        <v>0.850428240740741</v>
      </c>
      <c r="N397" s="70" t="s">
        <v>1138</v>
      </c>
      <c r="O397" s="70" t="s">
        <v>1434</v>
      </c>
      <c r="P397" s="70" t="s">
        <v>423</v>
      </c>
      <c r="Q397" s="70" t="s">
        <v>424</v>
      </c>
      <c r="R397" s="75" t="n">
        <f aca="false">-H397</f>
        <v>40.2</v>
      </c>
    </row>
    <row r="398" customFormat="false" ht="15" hidden="false" customHeight="false" outlineLevel="0" collapsed="false">
      <c r="A398" s="70" t="s">
        <v>1435</v>
      </c>
      <c r="B398" s="70" t="s">
        <v>309</v>
      </c>
      <c r="C398" s="70" t="s">
        <v>395</v>
      </c>
      <c r="D398" s="70" t="s">
        <v>404</v>
      </c>
      <c r="E398" s="70" t="s">
        <v>405</v>
      </c>
      <c r="F398" s="70" t="s">
        <v>189</v>
      </c>
      <c r="G398" s="71" t="n">
        <v>46278</v>
      </c>
      <c r="H398" s="72" t="n">
        <v>-40.2</v>
      </c>
      <c r="I398" s="70" t="s">
        <v>65</v>
      </c>
      <c r="J398" s="71" t="n">
        <v>46278</v>
      </c>
      <c r="K398" s="70" t="s">
        <v>406</v>
      </c>
      <c r="L398" s="72" t="n">
        <v>0</v>
      </c>
      <c r="M398" s="73" t="n">
        <v>0.647847222222222</v>
      </c>
      <c r="N398" s="70" t="s">
        <v>481</v>
      </c>
      <c r="O398" s="70" t="s">
        <v>1436</v>
      </c>
      <c r="P398" s="70" t="s">
        <v>707</v>
      </c>
      <c r="Q398" s="70" t="s">
        <v>708</v>
      </c>
      <c r="R398" s="75" t="n">
        <f aca="false">-H398</f>
        <v>40.2</v>
      </c>
    </row>
    <row r="399" customFormat="false" ht="15" hidden="false" customHeight="false" outlineLevel="0" collapsed="false">
      <c r="A399" s="70" t="s">
        <v>1437</v>
      </c>
      <c r="B399" s="70" t="s">
        <v>309</v>
      </c>
      <c r="C399" s="70" t="s">
        <v>395</v>
      </c>
      <c r="D399" s="70" t="s">
        <v>404</v>
      </c>
      <c r="E399" s="70" t="s">
        <v>405</v>
      </c>
      <c r="F399" s="70" t="s">
        <v>189</v>
      </c>
      <c r="G399" s="71" t="n">
        <v>46278</v>
      </c>
      <c r="H399" s="72" t="n">
        <v>-20.1</v>
      </c>
      <c r="I399" s="70" t="s">
        <v>65</v>
      </c>
      <c r="J399" s="71" t="n">
        <v>46278</v>
      </c>
      <c r="K399" s="70" t="s">
        <v>406</v>
      </c>
      <c r="L399" s="72" t="n">
        <v>0</v>
      </c>
      <c r="M399" s="73" t="n">
        <v>0.648240740740741</v>
      </c>
      <c r="N399" s="70" t="s">
        <v>481</v>
      </c>
      <c r="O399" s="70" t="s">
        <v>1438</v>
      </c>
      <c r="P399" s="70" t="s">
        <v>454</v>
      </c>
      <c r="Q399" s="70" t="s">
        <v>455</v>
      </c>
      <c r="R399" s="75" t="n">
        <f aca="false">-H399</f>
        <v>20.1</v>
      </c>
    </row>
    <row r="400" customFormat="false" ht="15" hidden="false" customHeight="false" outlineLevel="0" collapsed="false">
      <c r="A400" s="70" t="s">
        <v>1439</v>
      </c>
      <c r="B400" s="70" t="s">
        <v>309</v>
      </c>
      <c r="C400" s="70" t="s">
        <v>395</v>
      </c>
      <c r="D400" s="70" t="s">
        <v>404</v>
      </c>
      <c r="E400" s="70" t="s">
        <v>405</v>
      </c>
      <c r="F400" s="70" t="s">
        <v>189</v>
      </c>
      <c r="G400" s="71" t="n">
        <v>46278</v>
      </c>
      <c r="H400" s="72" t="n">
        <v>-20.1</v>
      </c>
      <c r="I400" s="70" t="s">
        <v>65</v>
      </c>
      <c r="J400" s="71" t="n">
        <v>46278</v>
      </c>
      <c r="K400" s="70" t="s">
        <v>406</v>
      </c>
      <c r="L400" s="72" t="n">
        <v>0</v>
      </c>
      <c r="M400" s="73" t="n">
        <v>0.754976851851852</v>
      </c>
      <c r="N400" s="70" t="s">
        <v>481</v>
      </c>
      <c r="O400" s="70" t="s">
        <v>1440</v>
      </c>
      <c r="P400" s="70" t="s">
        <v>1441</v>
      </c>
      <c r="Q400" s="70" t="s">
        <v>1442</v>
      </c>
      <c r="R400" s="75" t="n">
        <f aca="false">-H400</f>
        <v>20.1</v>
      </c>
    </row>
    <row r="401" customFormat="false" ht="15" hidden="false" customHeight="false" outlineLevel="0" collapsed="false">
      <c r="A401" s="70" t="s">
        <v>798</v>
      </c>
      <c r="B401" s="70" t="s">
        <v>309</v>
      </c>
      <c r="C401" s="70" t="s">
        <v>395</v>
      </c>
      <c r="D401" s="70" t="s">
        <v>404</v>
      </c>
      <c r="E401" s="70" t="s">
        <v>405</v>
      </c>
      <c r="F401" s="70" t="s">
        <v>189</v>
      </c>
      <c r="G401" s="71" t="n">
        <v>46277</v>
      </c>
      <c r="H401" s="72" t="n">
        <v>-20.1</v>
      </c>
      <c r="I401" s="70" t="s">
        <v>65</v>
      </c>
      <c r="J401" s="71" t="n">
        <v>46278</v>
      </c>
      <c r="K401" s="70" t="s">
        <v>406</v>
      </c>
      <c r="L401" s="72" t="n">
        <v>0</v>
      </c>
      <c r="M401" s="73" t="n">
        <v>0.103842592592593</v>
      </c>
      <c r="N401" s="70" t="s">
        <v>407</v>
      </c>
      <c r="O401" s="70" t="s">
        <v>799</v>
      </c>
      <c r="P401" s="70" t="s">
        <v>792</v>
      </c>
      <c r="Q401" s="70" t="s">
        <v>793</v>
      </c>
      <c r="R401" s="75" t="n">
        <f aca="false">-H401</f>
        <v>20.1</v>
      </c>
    </row>
    <row r="402" customFormat="false" ht="15" hidden="false" customHeight="false" outlineLevel="0" collapsed="false">
      <c r="A402" s="70" t="s">
        <v>1443</v>
      </c>
      <c r="B402" s="70" t="s">
        <v>309</v>
      </c>
      <c r="C402" s="70" t="s">
        <v>395</v>
      </c>
      <c r="D402" s="70" t="s">
        <v>404</v>
      </c>
      <c r="E402" s="70" t="s">
        <v>405</v>
      </c>
      <c r="F402" s="70" t="s">
        <v>189</v>
      </c>
      <c r="G402" s="71" t="n">
        <v>46275</v>
      </c>
      <c r="H402" s="72" t="n">
        <v>-20.1</v>
      </c>
      <c r="I402" s="70" t="s">
        <v>65</v>
      </c>
      <c r="J402" s="71" t="n">
        <v>46275</v>
      </c>
      <c r="K402" s="70" t="s">
        <v>406</v>
      </c>
      <c r="L402" s="72" t="n">
        <v>0</v>
      </c>
      <c r="M402" s="73" t="n">
        <v>0.983518518518519</v>
      </c>
      <c r="N402" s="70" t="s">
        <v>426</v>
      </c>
      <c r="O402" s="70" t="s">
        <v>1444</v>
      </c>
      <c r="P402" s="70" t="s">
        <v>1445</v>
      </c>
      <c r="Q402" s="70" t="s">
        <v>1446</v>
      </c>
      <c r="R402" s="75" t="n">
        <f aca="false">-H402</f>
        <v>20.1</v>
      </c>
    </row>
    <row r="403" customFormat="false" ht="15" hidden="false" customHeight="false" outlineLevel="0" collapsed="false">
      <c r="A403" s="70" t="s">
        <v>906</v>
      </c>
      <c r="B403" s="70" t="s">
        <v>309</v>
      </c>
      <c r="C403" s="70" t="s">
        <v>395</v>
      </c>
      <c r="D403" s="70" t="s">
        <v>404</v>
      </c>
      <c r="E403" s="70" t="s">
        <v>405</v>
      </c>
      <c r="F403" s="70" t="s">
        <v>189</v>
      </c>
      <c r="G403" s="71" t="n">
        <v>46275</v>
      </c>
      <c r="H403" s="72" t="n">
        <v>-100.5</v>
      </c>
      <c r="I403" s="70" t="s">
        <v>65</v>
      </c>
      <c r="J403" s="71" t="n">
        <v>46276</v>
      </c>
      <c r="K403" s="70" t="s">
        <v>406</v>
      </c>
      <c r="L403" s="72" t="n">
        <v>0</v>
      </c>
      <c r="M403" s="73" t="n">
        <v>0.0646180555555556</v>
      </c>
      <c r="N403" s="70" t="s">
        <v>444</v>
      </c>
      <c r="O403" s="70" t="s">
        <v>907</v>
      </c>
      <c r="P403" s="70" t="s">
        <v>549</v>
      </c>
      <c r="Q403" s="70" t="s">
        <v>550</v>
      </c>
      <c r="R403" s="75" t="n">
        <f aca="false">-H403</f>
        <v>100.5</v>
      </c>
    </row>
    <row r="404" customFormat="false" ht="15" hidden="false" customHeight="false" outlineLevel="0" collapsed="false">
      <c r="A404" s="70" t="s">
        <v>1447</v>
      </c>
      <c r="B404" s="70" t="s">
        <v>309</v>
      </c>
      <c r="C404" s="70" t="s">
        <v>395</v>
      </c>
      <c r="D404" s="70" t="s">
        <v>404</v>
      </c>
      <c r="E404" s="70" t="s">
        <v>405</v>
      </c>
      <c r="F404" s="70" t="s">
        <v>189</v>
      </c>
      <c r="G404" s="71" t="n">
        <v>46275</v>
      </c>
      <c r="H404" s="72" t="n">
        <v>-40.2</v>
      </c>
      <c r="I404" s="70" t="s">
        <v>65</v>
      </c>
      <c r="J404" s="71" t="n">
        <v>46275</v>
      </c>
      <c r="K404" s="70" t="s">
        <v>406</v>
      </c>
      <c r="L404" s="72" t="n">
        <v>0</v>
      </c>
      <c r="M404" s="73" t="n">
        <v>0.912280092592593</v>
      </c>
      <c r="N404" s="70" t="s">
        <v>426</v>
      </c>
      <c r="O404" s="70" t="s">
        <v>1448</v>
      </c>
      <c r="P404" s="70" t="s">
        <v>1449</v>
      </c>
      <c r="Q404" s="70" t="s">
        <v>1450</v>
      </c>
      <c r="R404" s="75" t="n">
        <f aca="false">-H404</f>
        <v>40.2</v>
      </c>
    </row>
    <row r="405" customFormat="false" ht="15" hidden="false" customHeight="false" outlineLevel="0" collapsed="false">
      <c r="A405" s="70" t="s">
        <v>515</v>
      </c>
      <c r="B405" s="70" t="s">
        <v>309</v>
      </c>
      <c r="C405" s="70" t="s">
        <v>395</v>
      </c>
      <c r="D405" s="70" t="s">
        <v>404</v>
      </c>
      <c r="E405" s="70" t="s">
        <v>405</v>
      </c>
      <c r="F405" s="70" t="s">
        <v>189</v>
      </c>
      <c r="G405" s="71" t="n">
        <v>46275</v>
      </c>
      <c r="H405" s="72" t="n">
        <v>-20.1</v>
      </c>
      <c r="I405" s="70" t="s">
        <v>65</v>
      </c>
      <c r="J405" s="71" t="n">
        <v>46275</v>
      </c>
      <c r="K405" s="70" t="s">
        <v>406</v>
      </c>
      <c r="L405" s="72" t="n">
        <v>0</v>
      </c>
      <c r="M405" s="73" t="n">
        <v>0.912060185185185</v>
      </c>
      <c r="N405" s="70" t="s">
        <v>426</v>
      </c>
      <c r="O405" s="70" t="s">
        <v>516</v>
      </c>
      <c r="P405" s="70" t="s">
        <v>428</v>
      </c>
      <c r="Q405" s="70" t="s">
        <v>429</v>
      </c>
      <c r="R405" s="75" t="n">
        <f aca="false">-H405</f>
        <v>20.1</v>
      </c>
    </row>
    <row r="406" customFormat="false" ht="15" hidden="false" customHeight="false" outlineLevel="0" collapsed="false">
      <c r="A406" s="70" t="s">
        <v>1451</v>
      </c>
      <c r="B406" s="70" t="s">
        <v>309</v>
      </c>
      <c r="C406" s="70" t="s">
        <v>395</v>
      </c>
      <c r="D406" s="70" t="s">
        <v>404</v>
      </c>
      <c r="E406" s="70" t="s">
        <v>405</v>
      </c>
      <c r="F406" s="70" t="s">
        <v>189</v>
      </c>
      <c r="G406" s="71" t="n">
        <v>46275</v>
      </c>
      <c r="H406" s="72" t="n">
        <v>-20.1</v>
      </c>
      <c r="I406" s="70" t="s">
        <v>65</v>
      </c>
      <c r="J406" s="71" t="n">
        <v>46275</v>
      </c>
      <c r="K406" s="70" t="s">
        <v>406</v>
      </c>
      <c r="L406" s="72" t="n">
        <v>0</v>
      </c>
      <c r="M406" s="73" t="n">
        <v>0.746284722222222</v>
      </c>
      <c r="N406" s="70" t="s">
        <v>1138</v>
      </c>
      <c r="O406" s="70" t="s">
        <v>1452</v>
      </c>
      <c r="P406" s="70" t="s">
        <v>1097</v>
      </c>
      <c r="Q406" s="70" t="s">
        <v>1098</v>
      </c>
      <c r="R406" s="75" t="n">
        <f aca="false">-H406</f>
        <v>20.1</v>
      </c>
    </row>
  </sheetData>
  <conditionalFormatting sqref="A2:R406">
    <cfRule type="expression" priority="2" aboveAverage="0" equalAverage="0" bottom="0" percent="0" rank="0" text="" dxfId="9">
      <formula>MOD(ROW(),2)=0</formula>
    </cfRule>
  </conditionalFormatting>
  <printOptions headings="false" gridLines="false" gridLinesSet="true" horizontalCentered="true" verticalCentered="false"/>
  <pageMargins left="0.4" right="0.4" top="0.6" bottom="0.6" header="0.25" footer="0.25"/>
  <pageSetup paperSize="8"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true"/>
  </sheetPr>
  <dimension ref="A1:O2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8"/>
    <col collapsed="false" customWidth="true" hidden="false" outlineLevel="0" max="4" min="4" style="0" width="21"/>
    <col collapsed="false" customWidth="true" hidden="false" outlineLevel="0" max="5" min="5" style="0" width="15"/>
    <col collapsed="false" customWidth="true" hidden="false" outlineLevel="0" max="6" min="6" style="0" width="17"/>
    <col collapsed="false" customWidth="true" hidden="false" outlineLevel="0" max="7" min="7" style="0" width="21"/>
    <col collapsed="false" customWidth="true" hidden="false" outlineLevel="0" max="8" min="8" style="0" width="20"/>
    <col collapsed="false" customWidth="true" hidden="false" outlineLevel="0" max="9" min="9" style="0" width="21"/>
    <col collapsed="false" customWidth="true" hidden="false" outlineLevel="0" max="10" min="10" style="0" width="16"/>
    <col collapsed="false" customWidth="true" hidden="false" outlineLevel="0" max="13" min="11" style="0" width="10"/>
    <col collapsed="false" customWidth="true" hidden="false" outlineLevel="0" max="14" min="14" style="0" width="21"/>
    <col collapsed="false" customWidth="true" hidden="false" outlineLevel="0" max="15" min="15" style="0" width="10"/>
  </cols>
  <sheetData>
    <row r="1" customFormat="false" ht="30" hidden="false" customHeight="true" outlineLevel="0" collapsed="false">
      <c r="A1" s="15" t="s">
        <v>157</v>
      </c>
      <c r="B1" s="15" t="s">
        <v>60</v>
      </c>
      <c r="C1" s="15" t="s">
        <v>1453</v>
      </c>
      <c r="D1" s="15" t="s">
        <v>1454</v>
      </c>
      <c r="E1" s="15" t="s">
        <v>1455</v>
      </c>
      <c r="F1" s="15" t="s">
        <v>1456</v>
      </c>
      <c r="G1" s="15" t="s">
        <v>1457</v>
      </c>
      <c r="H1" s="15" t="s">
        <v>1458</v>
      </c>
      <c r="I1" s="15" t="s">
        <v>1459</v>
      </c>
      <c r="J1" s="15" t="s">
        <v>87</v>
      </c>
      <c r="K1" s="15" t="s">
        <v>159</v>
      </c>
      <c r="L1" s="15" t="s">
        <v>1460</v>
      </c>
      <c r="M1" s="15" t="s">
        <v>178</v>
      </c>
      <c r="N1" s="15" t="s">
        <v>1461</v>
      </c>
      <c r="O1" s="15" t="s">
        <v>179</v>
      </c>
    </row>
    <row r="2" customFormat="false" ht="15" hidden="false" customHeight="false" outlineLevel="0" collapsed="false">
      <c r="A2" s="70" t="s">
        <v>247</v>
      </c>
      <c r="B2" s="70" t="s">
        <v>248</v>
      </c>
      <c r="C2" s="70" t="s">
        <v>1462</v>
      </c>
      <c r="D2" s="70" t="s">
        <v>1463</v>
      </c>
      <c r="E2" s="72" t="n">
        <v>55</v>
      </c>
      <c r="F2" s="70"/>
      <c r="G2" s="70"/>
      <c r="H2" s="72" t="n">
        <v>603</v>
      </c>
      <c r="I2" s="76" t="n">
        <v>46293</v>
      </c>
      <c r="J2" s="72" t="n">
        <v>603</v>
      </c>
      <c r="K2" s="70" t="s">
        <v>65</v>
      </c>
      <c r="L2" s="70" t="s">
        <v>1464</v>
      </c>
      <c r="M2" s="70" t="s">
        <v>416</v>
      </c>
      <c r="N2" s="70"/>
      <c r="O2" s="70" t="s">
        <v>189</v>
      </c>
    </row>
    <row r="3" customFormat="false" ht="15" hidden="false" customHeight="false" outlineLevel="0" collapsed="false">
      <c r="A3" s="70" t="s">
        <v>247</v>
      </c>
      <c r="B3" s="70" t="s">
        <v>248</v>
      </c>
      <c r="C3" s="70" t="s">
        <v>1462</v>
      </c>
      <c r="D3" s="70" t="s">
        <v>1463</v>
      </c>
      <c r="E3" s="72" t="n">
        <v>55</v>
      </c>
      <c r="F3" s="70"/>
      <c r="G3" s="70"/>
      <c r="H3" s="72" t="n">
        <v>-603</v>
      </c>
      <c r="I3" s="76" t="n">
        <v>46293</v>
      </c>
      <c r="J3" s="72" t="n">
        <v>-603</v>
      </c>
      <c r="K3" s="70" t="s">
        <v>65</v>
      </c>
      <c r="L3" s="70" t="s">
        <v>1465</v>
      </c>
      <c r="M3" s="70" t="s">
        <v>405</v>
      </c>
      <c r="N3" s="70"/>
      <c r="O3" s="70" t="s">
        <v>189</v>
      </c>
    </row>
    <row r="4" customFormat="false" ht="15" hidden="false" customHeight="false" outlineLevel="0" collapsed="false">
      <c r="A4" s="70" t="s">
        <v>309</v>
      </c>
      <c r="B4" s="70" t="s">
        <v>395</v>
      </c>
      <c r="C4" s="70" t="s">
        <v>1462</v>
      </c>
      <c r="D4" s="70" t="s">
        <v>1466</v>
      </c>
      <c r="E4" s="72" t="n">
        <v>54</v>
      </c>
      <c r="F4" s="70"/>
      <c r="G4" s="70"/>
      <c r="H4" s="72" t="n">
        <v>281.4</v>
      </c>
      <c r="I4" s="76" t="n">
        <v>46280</v>
      </c>
      <c r="J4" s="72" t="n">
        <v>281.4</v>
      </c>
      <c r="K4" s="70" t="s">
        <v>65</v>
      </c>
      <c r="L4" s="70" t="s">
        <v>1467</v>
      </c>
      <c r="M4" s="70" t="s">
        <v>416</v>
      </c>
      <c r="N4" s="70"/>
      <c r="O4" s="70" t="s">
        <v>189</v>
      </c>
    </row>
    <row r="5" customFormat="false" ht="15" hidden="false" customHeight="false" outlineLevel="0" collapsed="false">
      <c r="A5" s="70" t="s">
        <v>309</v>
      </c>
      <c r="B5" s="70" t="s">
        <v>395</v>
      </c>
      <c r="C5" s="70" t="s">
        <v>1468</v>
      </c>
      <c r="D5" s="70" t="s">
        <v>1444</v>
      </c>
      <c r="E5" s="72" t="n">
        <v>1</v>
      </c>
      <c r="F5" s="70"/>
      <c r="G5" s="70"/>
      <c r="H5" s="72" t="n">
        <v>-20.1</v>
      </c>
      <c r="I5" s="76" t="n">
        <v>46275</v>
      </c>
      <c r="J5" s="72" t="n">
        <v>-20.1</v>
      </c>
      <c r="K5" s="70" t="s">
        <v>65</v>
      </c>
      <c r="L5" s="70" t="s">
        <v>1465</v>
      </c>
      <c r="M5" s="70" t="s">
        <v>405</v>
      </c>
      <c r="N5" s="70"/>
      <c r="O5" s="70" t="s">
        <v>189</v>
      </c>
    </row>
    <row r="6" customFormat="false" ht="15" hidden="false" customHeight="false" outlineLevel="0" collapsed="false">
      <c r="A6" s="70" t="s">
        <v>192</v>
      </c>
      <c r="B6" s="70" t="s">
        <v>193</v>
      </c>
      <c r="C6" s="70" t="s">
        <v>1468</v>
      </c>
      <c r="D6" s="70" t="s">
        <v>516</v>
      </c>
      <c r="E6" s="72" t="n">
        <v>3</v>
      </c>
      <c r="F6" s="70"/>
      <c r="G6" s="70"/>
      <c r="H6" s="72" t="n">
        <v>20.1</v>
      </c>
      <c r="I6" s="76" t="n">
        <v>46279</v>
      </c>
      <c r="J6" s="72" t="n">
        <v>20.1</v>
      </c>
      <c r="K6" s="70" t="s">
        <v>65</v>
      </c>
      <c r="L6" s="70" t="s">
        <v>1469</v>
      </c>
      <c r="M6" s="70" t="s">
        <v>416</v>
      </c>
      <c r="N6" s="71" t="n">
        <v>46789</v>
      </c>
      <c r="O6" s="70" t="s">
        <v>189</v>
      </c>
    </row>
    <row r="7" customFormat="false" ht="15" hidden="false" customHeight="false" outlineLevel="0" collapsed="false">
      <c r="A7" s="70" t="s">
        <v>309</v>
      </c>
      <c r="B7" s="70" t="s">
        <v>395</v>
      </c>
      <c r="C7" s="70" t="s">
        <v>1468</v>
      </c>
      <c r="D7" s="70" t="s">
        <v>1452</v>
      </c>
      <c r="E7" s="72" t="n">
        <v>1</v>
      </c>
      <c r="F7" s="70"/>
      <c r="G7" s="70"/>
      <c r="H7" s="72" t="n">
        <v>-20.1</v>
      </c>
      <c r="I7" s="76" t="n">
        <v>46275</v>
      </c>
      <c r="J7" s="72" t="n">
        <v>-20.1</v>
      </c>
      <c r="K7" s="70" t="s">
        <v>65</v>
      </c>
      <c r="L7" s="70" t="s">
        <v>1465</v>
      </c>
      <c r="M7" s="70" t="s">
        <v>405</v>
      </c>
      <c r="N7" s="70"/>
      <c r="O7" s="70" t="s">
        <v>189</v>
      </c>
    </row>
    <row r="8" customFormat="false" ht="15" hidden="false" customHeight="false" outlineLevel="0" collapsed="false">
      <c r="A8" s="70" t="s">
        <v>309</v>
      </c>
      <c r="B8" s="70" t="s">
        <v>395</v>
      </c>
      <c r="C8" s="70" t="s">
        <v>1468</v>
      </c>
      <c r="D8" s="70" t="s">
        <v>907</v>
      </c>
      <c r="E8" s="72" t="n">
        <v>2</v>
      </c>
      <c r="F8" s="70"/>
      <c r="G8" s="70"/>
      <c r="H8" s="72" t="n">
        <v>-20.1</v>
      </c>
      <c r="I8" s="76" t="n">
        <v>46275</v>
      </c>
      <c r="J8" s="72" t="n">
        <v>-20.1</v>
      </c>
      <c r="K8" s="70" t="s">
        <v>65</v>
      </c>
      <c r="L8" s="70" t="s">
        <v>1465</v>
      </c>
      <c r="M8" s="70" t="s">
        <v>405</v>
      </c>
      <c r="N8" s="71" t="n">
        <v>46558</v>
      </c>
      <c r="O8" s="70" t="s">
        <v>189</v>
      </c>
    </row>
    <row r="9" customFormat="false" ht="15" hidden="false" customHeight="false" outlineLevel="0" collapsed="false">
      <c r="A9" s="70" t="s">
        <v>250</v>
      </c>
      <c r="B9" s="70" t="s">
        <v>251</v>
      </c>
      <c r="C9" s="70" t="s">
        <v>1468</v>
      </c>
      <c r="D9" s="70" t="s">
        <v>1470</v>
      </c>
      <c r="E9" s="72" t="n">
        <v>1</v>
      </c>
      <c r="F9" s="70"/>
      <c r="G9" s="70"/>
      <c r="H9" s="72" t="n">
        <v>19.599</v>
      </c>
      <c r="I9" s="76" t="n">
        <v>46287</v>
      </c>
      <c r="J9" s="72" t="n">
        <v>19.599</v>
      </c>
      <c r="K9" s="70" t="s">
        <v>65</v>
      </c>
      <c r="L9" s="70" t="s">
        <v>1471</v>
      </c>
      <c r="M9" s="70" t="s">
        <v>416</v>
      </c>
      <c r="N9" s="71" t="n">
        <v>46459</v>
      </c>
      <c r="O9" s="70" t="s">
        <v>189</v>
      </c>
    </row>
    <row r="10" customFormat="false" ht="15" hidden="false" customHeight="false" outlineLevel="0" collapsed="false">
      <c r="A10" s="70" t="s">
        <v>257</v>
      </c>
      <c r="B10" s="70" t="s">
        <v>258</v>
      </c>
      <c r="C10" s="70" t="s">
        <v>1468</v>
      </c>
      <c r="D10" s="70" t="s">
        <v>1155</v>
      </c>
      <c r="E10" s="72" t="n">
        <v>1</v>
      </c>
      <c r="F10" s="70"/>
      <c r="G10" s="70"/>
      <c r="H10" s="72" t="n">
        <v>144</v>
      </c>
      <c r="I10" s="76" t="n">
        <v>46293</v>
      </c>
      <c r="J10" s="72" t="n">
        <v>144</v>
      </c>
      <c r="K10" s="70" t="s">
        <v>65</v>
      </c>
      <c r="L10" s="70" t="s">
        <v>1471</v>
      </c>
      <c r="M10" s="70" t="s">
        <v>405</v>
      </c>
      <c r="N10" s="71" t="n">
        <v>46394</v>
      </c>
      <c r="O10" s="70" t="s">
        <v>189</v>
      </c>
    </row>
    <row r="11" customFormat="false" ht="15" hidden="false" customHeight="false" outlineLevel="0" collapsed="false">
      <c r="A11" s="70" t="s">
        <v>247</v>
      </c>
      <c r="B11" s="70" t="s">
        <v>248</v>
      </c>
      <c r="C11" s="70" t="s">
        <v>1468</v>
      </c>
      <c r="D11" s="70" t="s">
        <v>1472</v>
      </c>
      <c r="E11" s="72" t="n">
        <v>1</v>
      </c>
      <c r="F11" s="70"/>
      <c r="G11" s="70"/>
      <c r="H11" s="72" t="n">
        <v>804</v>
      </c>
      <c r="I11" s="76" t="n">
        <v>46291</v>
      </c>
      <c r="J11" s="72" t="n">
        <v>804</v>
      </c>
      <c r="K11" s="70" t="s">
        <v>65</v>
      </c>
      <c r="L11" s="70" t="s">
        <v>1473</v>
      </c>
      <c r="M11" s="70" t="s">
        <v>405</v>
      </c>
      <c r="N11" s="71" t="n">
        <v>46683</v>
      </c>
      <c r="O11" s="70" t="s">
        <v>189</v>
      </c>
    </row>
    <row r="12" customFormat="false" ht="15" hidden="false" customHeight="false" outlineLevel="0" collapsed="false">
      <c r="A12" s="70" t="s">
        <v>247</v>
      </c>
      <c r="B12" s="70" t="s">
        <v>248</v>
      </c>
      <c r="C12" s="70" t="s">
        <v>1468</v>
      </c>
      <c r="D12" s="70" t="s">
        <v>1474</v>
      </c>
      <c r="E12" s="72" t="n">
        <v>2</v>
      </c>
      <c r="F12" s="70"/>
      <c r="G12" s="70"/>
      <c r="H12" s="72" t="n">
        <v>60.3</v>
      </c>
      <c r="I12" s="76" t="n">
        <v>46291</v>
      </c>
      <c r="J12" s="72" t="n">
        <v>60.3</v>
      </c>
      <c r="K12" s="70" t="s">
        <v>65</v>
      </c>
      <c r="L12" s="70" t="s">
        <v>1473</v>
      </c>
      <c r="M12" s="70" t="s">
        <v>405</v>
      </c>
      <c r="N12" s="71" t="n">
        <v>46683</v>
      </c>
      <c r="O12" s="70" t="s">
        <v>189</v>
      </c>
    </row>
    <row r="13" customFormat="false" ht="15" hidden="false" customHeight="false" outlineLevel="0" collapsed="false">
      <c r="A13" s="70" t="s">
        <v>271</v>
      </c>
      <c r="B13" s="70" t="s">
        <v>272</v>
      </c>
      <c r="C13" s="70" t="s">
        <v>1468</v>
      </c>
      <c r="D13" s="70" t="s">
        <v>1474</v>
      </c>
      <c r="E13" s="72" t="n">
        <v>2</v>
      </c>
      <c r="F13" s="70"/>
      <c r="G13" s="70"/>
      <c r="H13" s="72" t="n">
        <v>40</v>
      </c>
      <c r="I13" s="76" t="n">
        <v>46291</v>
      </c>
      <c r="J13" s="72" t="n">
        <v>40</v>
      </c>
      <c r="K13" s="70" t="s">
        <v>65</v>
      </c>
      <c r="L13" s="70" t="s">
        <v>1473</v>
      </c>
      <c r="M13" s="70" t="s">
        <v>405</v>
      </c>
      <c r="N13" s="71" t="n">
        <v>46703</v>
      </c>
      <c r="O13" s="70" t="s">
        <v>189</v>
      </c>
    </row>
    <row r="14" customFormat="false" ht="15" hidden="false" customHeight="false" outlineLevel="0" collapsed="false">
      <c r="A14" s="70" t="s">
        <v>201</v>
      </c>
      <c r="B14" s="70" t="s">
        <v>202</v>
      </c>
      <c r="C14" s="70" t="s">
        <v>1475</v>
      </c>
      <c r="D14" s="70" t="s">
        <v>1476</v>
      </c>
      <c r="E14" s="72" t="n">
        <v>40</v>
      </c>
      <c r="F14" s="70"/>
      <c r="G14" s="70"/>
      <c r="H14" s="72" t="n">
        <v>2.8</v>
      </c>
      <c r="I14" s="76" t="n">
        <v>46291</v>
      </c>
      <c r="J14" s="72" t="n">
        <v>2.8</v>
      </c>
      <c r="K14" s="70" t="s">
        <v>65</v>
      </c>
      <c r="L14" s="70" t="s">
        <v>1473</v>
      </c>
      <c r="M14" s="70" t="s">
        <v>405</v>
      </c>
      <c r="N14" s="71" t="n">
        <v>46550</v>
      </c>
      <c r="O14" s="70" t="s">
        <v>189</v>
      </c>
    </row>
    <row r="15" customFormat="false" ht="15" hidden="false" customHeight="false" outlineLevel="0" collapsed="false">
      <c r="A15" s="70" t="s">
        <v>227</v>
      </c>
      <c r="B15" s="70" t="s">
        <v>230</v>
      </c>
      <c r="C15" s="70" t="s">
        <v>1475</v>
      </c>
      <c r="D15" s="70" t="s">
        <v>1476</v>
      </c>
      <c r="E15" s="72" t="n">
        <v>40</v>
      </c>
      <c r="F15" s="70"/>
      <c r="G15" s="70"/>
      <c r="H15" s="72" t="n">
        <v>20</v>
      </c>
      <c r="I15" s="76" t="n">
        <v>46294</v>
      </c>
      <c r="J15" s="72" t="n">
        <v>20</v>
      </c>
      <c r="K15" s="70" t="s">
        <v>65</v>
      </c>
      <c r="L15" s="70" t="s">
        <v>1477</v>
      </c>
      <c r="M15" s="70" t="s">
        <v>405</v>
      </c>
      <c r="N15" s="70"/>
      <c r="O15" s="70" t="s">
        <v>189</v>
      </c>
    </row>
    <row r="16" customFormat="false" ht="15" hidden="false" customHeight="false" outlineLevel="0" collapsed="false">
      <c r="A16" s="70" t="s">
        <v>276</v>
      </c>
      <c r="B16" s="70" t="s">
        <v>278</v>
      </c>
      <c r="C16" s="70" t="s">
        <v>1475</v>
      </c>
      <c r="D16" s="70" t="s">
        <v>1476</v>
      </c>
      <c r="E16" s="72" t="n">
        <v>40</v>
      </c>
      <c r="F16" s="70"/>
      <c r="G16" s="70"/>
      <c r="H16" s="72" t="n">
        <v>20.1</v>
      </c>
      <c r="I16" s="76" t="n">
        <v>46293</v>
      </c>
      <c r="J16" s="72" t="n">
        <v>20.1</v>
      </c>
      <c r="K16" s="70" t="s">
        <v>65</v>
      </c>
      <c r="L16" s="70" t="s">
        <v>1464</v>
      </c>
      <c r="M16" s="70" t="s">
        <v>405</v>
      </c>
      <c r="N16" s="71" t="n">
        <v>46468</v>
      </c>
      <c r="O16" s="70" t="s">
        <v>189</v>
      </c>
    </row>
    <row r="17" customFormat="false" ht="15" hidden="false" customHeight="false" outlineLevel="0" collapsed="false">
      <c r="A17" s="70" t="s">
        <v>276</v>
      </c>
      <c r="B17" s="70" t="s">
        <v>370</v>
      </c>
      <c r="C17" s="70" t="s">
        <v>1478</v>
      </c>
      <c r="D17" s="70" t="s">
        <v>1479</v>
      </c>
      <c r="E17" s="72" t="n">
        <v>1</v>
      </c>
      <c r="F17" s="70"/>
      <c r="G17" s="72" t="n">
        <v>1021977000</v>
      </c>
      <c r="H17" s="72" t="n">
        <v>603</v>
      </c>
      <c r="I17" s="76" t="n">
        <v>46291</v>
      </c>
      <c r="J17" s="72" t="n">
        <v>603</v>
      </c>
      <c r="K17" s="70" t="s">
        <v>65</v>
      </c>
      <c r="L17" s="70" t="s">
        <v>1473</v>
      </c>
      <c r="M17" s="70" t="s">
        <v>405</v>
      </c>
      <c r="N17" s="71" t="n">
        <v>46551</v>
      </c>
      <c r="O17" s="70" t="s">
        <v>189</v>
      </c>
    </row>
    <row r="18" customFormat="false" ht="15" hidden="false" customHeight="false" outlineLevel="0" collapsed="false">
      <c r="A18" s="70" t="s">
        <v>276</v>
      </c>
      <c r="B18" s="70" t="s">
        <v>371</v>
      </c>
      <c r="C18" s="70" t="s">
        <v>1478</v>
      </c>
      <c r="D18" s="70" t="s">
        <v>1480</v>
      </c>
      <c r="E18" s="72" t="n">
        <v>1</v>
      </c>
      <c r="F18" s="70"/>
      <c r="G18" s="72" t="n">
        <v>1021976000</v>
      </c>
      <c r="H18" s="72" t="n">
        <v>603</v>
      </c>
      <c r="I18" s="76" t="n">
        <v>46291</v>
      </c>
      <c r="J18" s="72" t="n">
        <v>603</v>
      </c>
      <c r="K18" s="70" t="s">
        <v>65</v>
      </c>
      <c r="L18" s="70" t="s">
        <v>1473</v>
      </c>
      <c r="M18" s="70" t="s">
        <v>405</v>
      </c>
      <c r="N18" s="71" t="n">
        <v>46462</v>
      </c>
      <c r="O18" s="70" t="s">
        <v>189</v>
      </c>
    </row>
    <row r="19" customFormat="false" ht="15" hidden="false" customHeight="false" outlineLevel="0" collapsed="false">
      <c r="A19" s="70" t="s">
        <v>286</v>
      </c>
      <c r="B19" s="70" t="s">
        <v>290</v>
      </c>
      <c r="C19" s="70" t="s">
        <v>1478</v>
      </c>
      <c r="D19" s="70" t="s">
        <v>1481</v>
      </c>
      <c r="E19" s="72" t="n">
        <v>1</v>
      </c>
      <c r="F19" s="70"/>
      <c r="G19" s="72" t="n">
        <v>1021970000</v>
      </c>
      <c r="H19" s="72" t="n">
        <v>120</v>
      </c>
      <c r="I19" s="76" t="n">
        <v>46291</v>
      </c>
      <c r="J19" s="72" t="n">
        <v>120</v>
      </c>
      <c r="K19" s="70" t="s">
        <v>147</v>
      </c>
      <c r="L19" s="70" t="s">
        <v>1473</v>
      </c>
      <c r="M19" s="70" t="s">
        <v>405</v>
      </c>
      <c r="N19" s="71" t="n">
        <v>46651</v>
      </c>
      <c r="O19" s="70" t="s">
        <v>189</v>
      </c>
    </row>
    <row r="20" customFormat="false" ht="15" hidden="false" customHeight="false" outlineLevel="0" collapsed="false">
      <c r="A20" s="70" t="s">
        <v>276</v>
      </c>
      <c r="B20" s="70" t="s">
        <v>280</v>
      </c>
      <c r="C20" s="70" t="s">
        <v>1478</v>
      </c>
      <c r="D20" s="70" t="s">
        <v>1482</v>
      </c>
      <c r="E20" s="72" t="n">
        <v>1</v>
      </c>
      <c r="F20" s="70"/>
      <c r="G20" s="72" t="n">
        <v>1021963000</v>
      </c>
      <c r="H20" s="72" t="n">
        <v>180.9</v>
      </c>
      <c r="I20" s="76" t="n">
        <v>46291</v>
      </c>
      <c r="J20" s="72" t="n">
        <v>180.9</v>
      </c>
      <c r="K20" s="70" t="s">
        <v>65</v>
      </c>
      <c r="L20" s="70" t="s">
        <v>1483</v>
      </c>
      <c r="M20" s="70" t="s">
        <v>405</v>
      </c>
      <c r="N20" s="71" t="n">
        <v>46677</v>
      </c>
      <c r="O20" s="70" t="s">
        <v>189</v>
      </c>
    </row>
    <row r="21" customFormat="false" ht="15" hidden="false" customHeight="false" outlineLevel="0" collapsed="false">
      <c r="A21" s="70" t="s">
        <v>220</v>
      </c>
      <c r="B21" s="70" t="s">
        <v>223</v>
      </c>
      <c r="C21" s="70" t="s">
        <v>1478</v>
      </c>
      <c r="D21" s="70" t="s">
        <v>1484</v>
      </c>
      <c r="E21" s="72" t="n">
        <v>1</v>
      </c>
      <c r="F21" s="70"/>
      <c r="G21" s="72" t="n">
        <v>1021970000</v>
      </c>
      <c r="H21" s="72" t="n">
        <v>19.7</v>
      </c>
      <c r="I21" s="76" t="n">
        <v>46291</v>
      </c>
      <c r="J21" s="72" t="n">
        <v>19.7</v>
      </c>
      <c r="K21" s="70" t="s">
        <v>65</v>
      </c>
      <c r="L21" s="70" t="s">
        <v>1473</v>
      </c>
      <c r="M21" s="70" t="s">
        <v>405</v>
      </c>
      <c r="N21" s="71" t="n">
        <v>46416</v>
      </c>
      <c r="O21" s="70" t="s">
        <v>189</v>
      </c>
    </row>
    <row r="22" customFormat="false" ht="15" hidden="false" customHeight="false" outlineLevel="0" collapsed="false">
      <c r="A22" s="70" t="s">
        <v>286</v>
      </c>
      <c r="B22" s="70" t="s">
        <v>294</v>
      </c>
      <c r="C22" s="70" t="s">
        <v>1478</v>
      </c>
      <c r="D22" s="70" t="s">
        <v>1485</v>
      </c>
      <c r="E22" s="72" t="n">
        <v>1</v>
      </c>
      <c r="F22" s="70"/>
      <c r="G22" s="72" t="n">
        <v>1021970000</v>
      </c>
      <c r="H22" s="72" t="n">
        <v>120</v>
      </c>
      <c r="I22" s="76" t="n">
        <v>46291</v>
      </c>
      <c r="J22" s="72" t="n">
        <v>120</v>
      </c>
      <c r="K22" s="70" t="s">
        <v>147</v>
      </c>
      <c r="L22" s="70" t="s">
        <v>1473</v>
      </c>
      <c r="M22" s="70" t="s">
        <v>405</v>
      </c>
      <c r="N22" s="71" t="n">
        <v>46736</v>
      </c>
      <c r="O22" s="70" t="s">
        <v>189</v>
      </c>
    </row>
    <row r="23" customFormat="false" ht="15" hidden="false" customHeight="false" outlineLevel="0" collapsed="false">
      <c r="A23" s="70" t="s">
        <v>305</v>
      </c>
      <c r="B23" s="70" t="s">
        <v>306</v>
      </c>
      <c r="C23" s="70" t="s">
        <v>1486</v>
      </c>
      <c r="D23" s="70" t="s">
        <v>1487</v>
      </c>
      <c r="E23" s="72" t="n">
        <v>1</v>
      </c>
      <c r="F23" s="70"/>
      <c r="G23" s="72" t="n">
        <v>1021969000</v>
      </c>
      <c r="H23" s="72" t="n">
        <v>40</v>
      </c>
      <c r="I23" s="76" t="n">
        <v>46289</v>
      </c>
      <c r="J23" s="72" t="n">
        <v>40</v>
      </c>
      <c r="K23" s="70" t="s">
        <v>65</v>
      </c>
      <c r="L23" s="70" t="s">
        <v>1488</v>
      </c>
      <c r="M23" s="70" t="s">
        <v>405</v>
      </c>
      <c r="N23" s="71" t="n">
        <v>46505</v>
      </c>
      <c r="O23" s="70" t="s">
        <v>189</v>
      </c>
    </row>
    <row r="24" customFormat="false" ht="15" hidden="false" customHeight="false" outlineLevel="0" collapsed="false">
      <c r="A24" s="70" t="s">
        <v>286</v>
      </c>
      <c r="B24" s="70" t="s">
        <v>299</v>
      </c>
      <c r="C24" s="70" t="s">
        <v>1486</v>
      </c>
      <c r="D24" s="70" t="s">
        <v>1489</v>
      </c>
      <c r="E24" s="72" t="n">
        <v>1</v>
      </c>
      <c r="F24" s="70"/>
      <c r="G24" s="72" t="n">
        <v>1021970000</v>
      </c>
      <c r="H24" s="72" t="n">
        <v>120</v>
      </c>
      <c r="I24" s="76" t="n">
        <v>46289</v>
      </c>
      <c r="J24" s="72" t="n">
        <v>120</v>
      </c>
      <c r="K24" s="70" t="s">
        <v>147</v>
      </c>
      <c r="L24" s="70" t="s">
        <v>1488</v>
      </c>
      <c r="M24" s="70" t="s">
        <v>405</v>
      </c>
      <c r="N24" s="71" t="n">
        <v>46736</v>
      </c>
      <c r="O24" s="70" t="s">
        <v>189</v>
      </c>
    </row>
    <row r="25" customFormat="false" ht="15" hidden="false" customHeight="false" outlineLevel="0" collapsed="false">
      <c r="A25" s="70" t="s">
        <v>301</v>
      </c>
      <c r="B25" s="70" t="s">
        <v>302</v>
      </c>
      <c r="C25" s="70" t="s">
        <v>1486</v>
      </c>
      <c r="D25" s="70" t="s">
        <v>1490</v>
      </c>
      <c r="E25" s="72" t="n">
        <v>1</v>
      </c>
      <c r="F25" s="70"/>
      <c r="G25" s="72" t="n">
        <v>1021986000</v>
      </c>
      <c r="H25" s="72" t="n">
        <v>300</v>
      </c>
      <c r="I25" s="76" t="n">
        <v>46294</v>
      </c>
      <c r="J25" s="72" t="n">
        <v>300</v>
      </c>
      <c r="K25" s="70" t="s">
        <v>65</v>
      </c>
      <c r="L25" s="70" t="s">
        <v>1477</v>
      </c>
      <c r="M25" s="70" t="s">
        <v>405</v>
      </c>
      <c r="N25" s="71" t="n">
        <v>46521</v>
      </c>
      <c r="O25" s="70" t="s">
        <v>189</v>
      </c>
    </row>
    <row r="26" customFormat="false" ht="15" hidden="false" customHeight="false" outlineLevel="0" collapsed="false">
      <c r="A26" s="70" t="s">
        <v>301</v>
      </c>
      <c r="B26" s="70" t="s">
        <v>302</v>
      </c>
      <c r="C26" s="70" t="s">
        <v>1486</v>
      </c>
      <c r="D26" s="70" t="s">
        <v>1491</v>
      </c>
      <c r="E26" s="72" t="n">
        <v>1</v>
      </c>
      <c r="F26" s="70"/>
      <c r="G26" s="72" t="n">
        <v>1021986000</v>
      </c>
      <c r="H26" s="72" t="n">
        <v>500</v>
      </c>
      <c r="I26" s="76" t="n">
        <v>46294</v>
      </c>
      <c r="J26" s="72" t="n">
        <v>500</v>
      </c>
      <c r="K26" s="70" t="s">
        <v>65</v>
      </c>
      <c r="L26" s="70" t="s">
        <v>1477</v>
      </c>
      <c r="M26" s="70" t="s">
        <v>405</v>
      </c>
      <c r="N26" s="71" t="n">
        <v>46521</v>
      </c>
      <c r="O26" s="70" t="s">
        <v>189</v>
      </c>
    </row>
    <row r="27" customFormat="false" ht="15" hidden="false" customHeight="false" outlineLevel="0" collapsed="false">
      <c r="A27" s="70" t="s">
        <v>281</v>
      </c>
      <c r="B27" s="70" t="s">
        <v>282</v>
      </c>
      <c r="C27" s="70" t="s">
        <v>1486</v>
      </c>
      <c r="D27" s="70" t="s">
        <v>1492</v>
      </c>
      <c r="E27" s="72" t="n">
        <v>1</v>
      </c>
      <c r="F27" s="70"/>
      <c r="G27" s="72" t="n">
        <v>1021986000</v>
      </c>
      <c r="H27" s="72" t="n">
        <v>126</v>
      </c>
      <c r="I27" s="76" t="n">
        <v>46295</v>
      </c>
      <c r="J27" s="72" t="n">
        <v>126</v>
      </c>
      <c r="K27" s="70" t="s">
        <v>65</v>
      </c>
      <c r="L27" s="70" t="s">
        <v>1477</v>
      </c>
      <c r="M27" s="70" t="s">
        <v>405</v>
      </c>
      <c r="N27" s="71" t="n">
        <v>46830</v>
      </c>
      <c r="O27" s="70" t="s">
        <v>189</v>
      </c>
    </row>
    <row r="28" customFormat="false" ht="15" hidden="false" customHeight="false" outlineLevel="0" collapsed="false">
      <c r="A28" s="70" t="s">
        <v>205</v>
      </c>
      <c r="B28" s="70" t="s">
        <v>206</v>
      </c>
      <c r="C28" s="70" t="s">
        <v>1486</v>
      </c>
      <c r="D28" s="70" t="s">
        <v>1493</v>
      </c>
      <c r="E28" s="72" t="n">
        <v>1</v>
      </c>
      <c r="F28" s="70"/>
      <c r="G28" s="72" t="n">
        <v>1021986000</v>
      </c>
      <c r="H28" s="72" t="n">
        <v>221.1</v>
      </c>
      <c r="I28" s="76" t="n">
        <v>46294</v>
      </c>
      <c r="J28" s="72" t="n">
        <v>221.1</v>
      </c>
      <c r="K28" s="70" t="s">
        <v>65</v>
      </c>
      <c r="L28" s="70" t="s">
        <v>1477</v>
      </c>
      <c r="M28" s="70" t="s">
        <v>405</v>
      </c>
      <c r="N28" s="71" t="n">
        <v>46632</v>
      </c>
      <c r="O28" s="70" t="s">
        <v>189</v>
      </c>
    </row>
    <row r="29" customFormat="false" ht="15" hidden="false" customHeight="false" outlineLevel="0" collapsed="false">
      <c r="A29" s="70" t="s">
        <v>205</v>
      </c>
      <c r="B29" s="70" t="s">
        <v>206</v>
      </c>
      <c r="C29" s="70" t="s">
        <v>1486</v>
      </c>
      <c r="D29" s="70" t="s">
        <v>1494</v>
      </c>
      <c r="E29" s="72" t="n">
        <v>1</v>
      </c>
      <c r="F29" s="70"/>
      <c r="G29" s="72" t="n">
        <v>1021986000</v>
      </c>
      <c r="H29" s="72" t="n">
        <v>603</v>
      </c>
      <c r="I29" s="76" t="n">
        <v>46294</v>
      </c>
      <c r="J29" s="72" t="n">
        <v>603</v>
      </c>
      <c r="K29" s="70" t="s">
        <v>65</v>
      </c>
      <c r="L29" s="70" t="s">
        <v>1477</v>
      </c>
      <c r="M29" s="70" t="s">
        <v>405</v>
      </c>
      <c r="N29" s="71" t="n">
        <v>46632</v>
      </c>
      <c r="O29" s="70" t="s">
        <v>189</v>
      </c>
    </row>
    <row r="30" customFormat="false" ht="15" hidden="false" customHeight="false" outlineLevel="0" collapsed="false">
      <c r="A30" s="70" t="s">
        <v>301</v>
      </c>
      <c r="B30" s="70" t="s">
        <v>302</v>
      </c>
      <c r="C30" s="70" t="s">
        <v>1486</v>
      </c>
      <c r="D30" s="70" t="s">
        <v>1495</v>
      </c>
      <c r="E30" s="72" t="n">
        <v>1</v>
      </c>
      <c r="F30" s="70"/>
      <c r="G30" s="72" t="n">
        <v>1021991000</v>
      </c>
      <c r="H30" s="72" t="n">
        <v>500</v>
      </c>
      <c r="I30" s="76" t="n">
        <v>46295</v>
      </c>
      <c r="J30" s="72" t="n">
        <v>500</v>
      </c>
      <c r="K30" s="70" t="s">
        <v>65</v>
      </c>
      <c r="L30" s="70" t="s">
        <v>1496</v>
      </c>
      <c r="M30" s="70" t="s">
        <v>405</v>
      </c>
      <c r="N30" s="71" t="n">
        <v>46521</v>
      </c>
      <c r="O30" s="70" t="s">
        <v>189</v>
      </c>
    </row>
    <row r="31" customFormat="false" ht="15" hidden="false" customHeight="false" outlineLevel="0" collapsed="false">
      <c r="A31" s="70" t="s">
        <v>271</v>
      </c>
      <c r="B31" s="70" t="s">
        <v>272</v>
      </c>
      <c r="C31" s="70" t="s">
        <v>1486</v>
      </c>
      <c r="D31" s="70" t="s">
        <v>1497</v>
      </c>
      <c r="E31" s="72" t="n">
        <v>1</v>
      </c>
      <c r="F31" s="70"/>
      <c r="G31" s="72" t="n">
        <v>1021991000</v>
      </c>
      <c r="H31" s="72" t="n">
        <v>300</v>
      </c>
      <c r="I31" s="76" t="n">
        <v>46295</v>
      </c>
      <c r="J31" s="72" t="n">
        <v>300</v>
      </c>
      <c r="K31" s="70" t="s">
        <v>65</v>
      </c>
      <c r="L31" s="70" t="s">
        <v>1496</v>
      </c>
      <c r="M31" s="70" t="s">
        <v>405</v>
      </c>
      <c r="N31" s="71" t="n">
        <v>46703</v>
      </c>
      <c r="O31" s="70" t="s">
        <v>189</v>
      </c>
    </row>
    <row r="32" customFormat="false" ht="15" hidden="false" customHeight="false" outlineLevel="0" collapsed="false">
      <c r="A32" s="70" t="s">
        <v>205</v>
      </c>
      <c r="B32" s="70" t="s">
        <v>206</v>
      </c>
      <c r="C32" s="70" t="s">
        <v>1486</v>
      </c>
      <c r="D32" s="70" t="s">
        <v>1498</v>
      </c>
      <c r="E32" s="72" t="n">
        <v>1</v>
      </c>
      <c r="F32" s="70"/>
      <c r="G32" s="72" t="n">
        <v>1021991000</v>
      </c>
      <c r="H32" s="72" t="n">
        <v>221.1</v>
      </c>
      <c r="I32" s="76" t="n">
        <v>46295</v>
      </c>
      <c r="J32" s="72" t="n">
        <v>221.1</v>
      </c>
      <c r="K32" s="70" t="s">
        <v>65</v>
      </c>
      <c r="L32" s="70" t="s">
        <v>1496</v>
      </c>
      <c r="M32" s="70" t="s">
        <v>405</v>
      </c>
      <c r="N32" s="71" t="n">
        <v>46632</v>
      </c>
      <c r="O32" s="70" t="s">
        <v>189</v>
      </c>
    </row>
    <row r="33" customFormat="false" ht="15" hidden="false" customHeight="false" outlineLevel="0" collapsed="false">
      <c r="A33" s="70" t="s">
        <v>247</v>
      </c>
      <c r="B33" s="70" t="s">
        <v>248</v>
      </c>
      <c r="C33" s="70" t="s">
        <v>1486</v>
      </c>
      <c r="D33" s="70" t="s">
        <v>1499</v>
      </c>
      <c r="E33" s="72" t="n">
        <v>1</v>
      </c>
      <c r="F33" s="70"/>
      <c r="G33" s="72" t="n">
        <v>1021992000</v>
      </c>
      <c r="H33" s="72" t="n">
        <v>60.3</v>
      </c>
      <c r="I33" s="76" t="n">
        <v>46295</v>
      </c>
      <c r="J33" s="72" t="n">
        <v>60.3</v>
      </c>
      <c r="K33" s="70" t="s">
        <v>65</v>
      </c>
      <c r="L33" s="70" t="s">
        <v>1496</v>
      </c>
      <c r="M33" s="70" t="s">
        <v>416</v>
      </c>
      <c r="N33" s="71" t="n">
        <v>46683</v>
      </c>
      <c r="O33" s="70" t="s">
        <v>189</v>
      </c>
    </row>
    <row r="34" customFormat="false" ht="15" hidden="false" customHeight="false" outlineLevel="0" collapsed="false">
      <c r="A34" s="70" t="s">
        <v>211</v>
      </c>
      <c r="B34" s="70" t="s">
        <v>214</v>
      </c>
      <c r="C34" s="70" t="s">
        <v>1486</v>
      </c>
      <c r="D34" s="70" t="s">
        <v>1500</v>
      </c>
      <c r="E34" s="72" t="n">
        <v>44</v>
      </c>
      <c r="F34" s="70"/>
      <c r="G34" s="72" t="n">
        <v>1021983000</v>
      </c>
      <c r="H34" s="72" t="n">
        <v>500</v>
      </c>
      <c r="I34" s="76" t="n">
        <v>46293</v>
      </c>
      <c r="J34" s="72" t="n">
        <v>500</v>
      </c>
      <c r="K34" s="70" t="s">
        <v>65</v>
      </c>
      <c r="L34" s="70" t="s">
        <v>1464</v>
      </c>
      <c r="M34" s="70" t="s">
        <v>405</v>
      </c>
      <c r="N34" s="71" t="n">
        <v>46638</v>
      </c>
      <c r="O34" s="70" t="s">
        <v>189</v>
      </c>
    </row>
    <row r="35" customFormat="false" ht="15" hidden="false" customHeight="false" outlineLevel="0" collapsed="false">
      <c r="A35" s="70" t="s">
        <v>218</v>
      </c>
      <c r="B35" s="70" t="s">
        <v>318</v>
      </c>
      <c r="C35" s="70" t="s">
        <v>1486</v>
      </c>
      <c r="D35" s="70" t="s">
        <v>1500</v>
      </c>
      <c r="E35" s="72" t="n">
        <v>44</v>
      </c>
      <c r="F35" s="70" t="s">
        <v>1501</v>
      </c>
      <c r="G35" s="72" t="n">
        <v>1021917000</v>
      </c>
      <c r="H35" s="72" t="n">
        <v>600</v>
      </c>
      <c r="I35" s="76" t="n">
        <v>46276</v>
      </c>
      <c r="J35" s="72" t="n">
        <v>600</v>
      </c>
      <c r="K35" s="70" t="s">
        <v>65</v>
      </c>
      <c r="L35" s="70" t="s">
        <v>1502</v>
      </c>
      <c r="M35" s="70" t="s">
        <v>405</v>
      </c>
      <c r="N35" s="71" t="n">
        <v>46845</v>
      </c>
      <c r="O35" s="70" t="s">
        <v>189</v>
      </c>
    </row>
    <row r="36" customFormat="false" ht="15" hidden="false" customHeight="false" outlineLevel="0" collapsed="false">
      <c r="A36" s="70" t="s">
        <v>327</v>
      </c>
      <c r="B36" s="70" t="s">
        <v>330</v>
      </c>
      <c r="C36" s="70" t="s">
        <v>1486</v>
      </c>
      <c r="D36" s="70" t="s">
        <v>1500</v>
      </c>
      <c r="E36" s="72" t="n">
        <v>44</v>
      </c>
      <c r="F36" s="70" t="s">
        <v>1501</v>
      </c>
      <c r="G36" s="72" t="n">
        <v>1021917000</v>
      </c>
      <c r="H36" s="72" t="n">
        <v>40</v>
      </c>
      <c r="I36" s="76" t="n">
        <v>46276</v>
      </c>
      <c r="J36" s="72" t="n">
        <v>40</v>
      </c>
      <c r="K36" s="70" t="s">
        <v>65</v>
      </c>
      <c r="L36" s="70" t="s">
        <v>1502</v>
      </c>
      <c r="M36" s="70" t="s">
        <v>405</v>
      </c>
      <c r="N36" s="71" t="n">
        <v>46568</v>
      </c>
      <c r="O36" s="70" t="s">
        <v>189</v>
      </c>
    </row>
    <row r="37" customFormat="false" ht="15" hidden="false" customHeight="false" outlineLevel="0" collapsed="false">
      <c r="A37" s="70" t="s">
        <v>260</v>
      </c>
      <c r="B37" s="70" t="s">
        <v>363</v>
      </c>
      <c r="C37" s="70" t="s">
        <v>1486</v>
      </c>
      <c r="D37" s="70" t="s">
        <v>1500</v>
      </c>
      <c r="E37" s="72" t="n">
        <v>44</v>
      </c>
      <c r="F37" s="70" t="s">
        <v>1503</v>
      </c>
      <c r="G37" s="72" t="n">
        <v>1021907000</v>
      </c>
      <c r="H37" s="72" t="n">
        <v>1.36</v>
      </c>
      <c r="I37" s="76" t="n">
        <v>46274</v>
      </c>
      <c r="J37" s="72" t="n">
        <v>1.36</v>
      </c>
      <c r="K37" s="70" t="s">
        <v>65</v>
      </c>
      <c r="L37" s="70" t="s">
        <v>1504</v>
      </c>
      <c r="M37" s="70" t="s">
        <v>405</v>
      </c>
      <c r="N37" s="71" t="n">
        <v>46463</v>
      </c>
      <c r="O37" s="70" t="s">
        <v>189</v>
      </c>
    </row>
    <row r="38" customFormat="false" ht="15" hidden="false" customHeight="false" outlineLevel="0" collapsed="false">
      <c r="A38" s="70" t="s">
        <v>198</v>
      </c>
      <c r="B38" s="70" t="s">
        <v>199</v>
      </c>
      <c r="C38" s="70" t="s">
        <v>1486</v>
      </c>
      <c r="D38" s="70" t="s">
        <v>1505</v>
      </c>
      <c r="E38" s="72" t="n">
        <v>530</v>
      </c>
      <c r="F38" s="70" t="s">
        <v>1506</v>
      </c>
      <c r="G38" s="72" t="n">
        <v>1021981000</v>
      </c>
      <c r="H38" s="72" t="n">
        <v>11.2</v>
      </c>
      <c r="I38" s="76" t="n">
        <v>46293</v>
      </c>
      <c r="J38" s="72" t="n">
        <v>11.2</v>
      </c>
      <c r="K38" s="70" t="s">
        <v>65</v>
      </c>
      <c r="L38" s="70" t="s">
        <v>1464</v>
      </c>
      <c r="M38" s="70" t="s">
        <v>416</v>
      </c>
      <c r="N38" s="71" t="n">
        <v>46708</v>
      </c>
      <c r="O38" s="70" t="s">
        <v>189</v>
      </c>
    </row>
    <row r="39" customFormat="false" ht="15" hidden="false" customHeight="false" outlineLevel="0" collapsed="false">
      <c r="A39" s="70" t="s">
        <v>322</v>
      </c>
      <c r="B39" s="70" t="s">
        <v>323</v>
      </c>
      <c r="C39" s="70" t="s">
        <v>1486</v>
      </c>
      <c r="D39" s="70" t="s">
        <v>1505</v>
      </c>
      <c r="E39" s="72" t="n">
        <v>530</v>
      </c>
      <c r="F39" s="70" t="s">
        <v>1506</v>
      </c>
      <c r="G39" s="72" t="n">
        <v>1021981000</v>
      </c>
      <c r="H39" s="72" t="n">
        <v>14</v>
      </c>
      <c r="I39" s="76" t="n">
        <v>46293</v>
      </c>
      <c r="J39" s="72" t="n">
        <v>14</v>
      </c>
      <c r="K39" s="70" t="s">
        <v>65</v>
      </c>
      <c r="L39" s="70" t="s">
        <v>1464</v>
      </c>
      <c r="M39" s="70" t="s">
        <v>416</v>
      </c>
      <c r="N39" s="71" t="n">
        <v>46416</v>
      </c>
      <c r="O39" s="70" t="s">
        <v>189</v>
      </c>
    </row>
    <row r="40" customFormat="false" ht="15" hidden="false" customHeight="false" outlineLevel="0" collapsed="false">
      <c r="A40" s="70" t="s">
        <v>247</v>
      </c>
      <c r="B40" s="70" t="s">
        <v>348</v>
      </c>
      <c r="C40" s="70" t="s">
        <v>1486</v>
      </c>
      <c r="D40" s="70" t="s">
        <v>1505</v>
      </c>
      <c r="E40" s="72" t="n">
        <v>530</v>
      </c>
      <c r="F40" s="70" t="s">
        <v>1506</v>
      </c>
      <c r="G40" s="72" t="n">
        <v>1021956000</v>
      </c>
      <c r="H40" s="72" t="n">
        <v>80.4</v>
      </c>
      <c r="I40" s="76" t="n">
        <v>46286</v>
      </c>
      <c r="J40" s="72" t="n">
        <v>80.4</v>
      </c>
      <c r="K40" s="70" t="s">
        <v>65</v>
      </c>
      <c r="L40" s="70" t="s">
        <v>1507</v>
      </c>
      <c r="M40" s="70" t="s">
        <v>405</v>
      </c>
      <c r="N40" s="71" t="n">
        <v>46566</v>
      </c>
      <c r="O40" s="70" t="s">
        <v>189</v>
      </c>
    </row>
    <row r="41" customFormat="false" ht="15" hidden="false" customHeight="false" outlineLevel="0" collapsed="false">
      <c r="A41" s="70" t="s">
        <v>276</v>
      </c>
      <c r="B41" s="70" t="s">
        <v>277</v>
      </c>
      <c r="C41" s="70" t="s">
        <v>1486</v>
      </c>
      <c r="D41" s="70" t="s">
        <v>1505</v>
      </c>
      <c r="E41" s="72" t="n">
        <v>530</v>
      </c>
      <c r="F41" s="70" t="s">
        <v>1506</v>
      </c>
      <c r="G41" s="72" t="n">
        <v>1021956000</v>
      </c>
      <c r="H41" s="72" t="n">
        <v>20.1</v>
      </c>
      <c r="I41" s="76" t="n">
        <v>46286</v>
      </c>
      <c r="J41" s="72" t="n">
        <v>20.1</v>
      </c>
      <c r="K41" s="70" t="s">
        <v>65</v>
      </c>
      <c r="L41" s="70" t="s">
        <v>1507</v>
      </c>
      <c r="M41" s="70" t="s">
        <v>405</v>
      </c>
      <c r="N41" s="71" t="n">
        <v>46441</v>
      </c>
      <c r="O41" s="70" t="s">
        <v>189</v>
      </c>
    </row>
    <row r="42" customFormat="false" ht="15" hidden="false" customHeight="false" outlineLevel="0" collapsed="false">
      <c r="A42" s="70" t="s">
        <v>205</v>
      </c>
      <c r="B42" s="70" t="s">
        <v>209</v>
      </c>
      <c r="C42" s="70" t="s">
        <v>1486</v>
      </c>
      <c r="D42" s="70" t="s">
        <v>1508</v>
      </c>
      <c r="E42" s="72" t="n">
        <v>519</v>
      </c>
      <c r="F42" s="70" t="s">
        <v>1506</v>
      </c>
      <c r="G42" s="72" t="n">
        <v>1021773000</v>
      </c>
      <c r="H42" s="72" t="n">
        <v>20.1</v>
      </c>
      <c r="I42" s="76" t="n">
        <v>46240</v>
      </c>
      <c r="J42" s="72" t="n">
        <v>20.1</v>
      </c>
      <c r="K42" s="70" t="s">
        <v>65</v>
      </c>
      <c r="L42" s="70" t="s">
        <v>1509</v>
      </c>
      <c r="M42" s="70" t="s">
        <v>405</v>
      </c>
      <c r="N42" s="71" t="n">
        <v>46475</v>
      </c>
      <c r="O42" s="70" t="s">
        <v>189</v>
      </c>
    </row>
    <row r="43" customFormat="false" ht="15" hidden="false" customHeight="false" outlineLevel="0" collapsed="false">
      <c r="A43" s="70" t="s">
        <v>257</v>
      </c>
      <c r="B43" s="70" t="s">
        <v>258</v>
      </c>
      <c r="C43" s="70" t="s">
        <v>1486</v>
      </c>
      <c r="D43" s="70" t="s">
        <v>1508</v>
      </c>
      <c r="E43" s="72" t="n">
        <v>519</v>
      </c>
      <c r="F43" s="70" t="s">
        <v>1506</v>
      </c>
      <c r="G43" s="72" t="n">
        <v>1021929000</v>
      </c>
      <c r="H43" s="72" t="n">
        <v>60</v>
      </c>
      <c r="I43" s="76" t="n">
        <v>46279</v>
      </c>
      <c r="J43" s="72" t="n">
        <v>60</v>
      </c>
      <c r="K43" s="70" t="s">
        <v>65</v>
      </c>
      <c r="L43" s="70" t="s">
        <v>1469</v>
      </c>
      <c r="M43" s="70" t="s">
        <v>405</v>
      </c>
      <c r="N43" s="71" t="n">
        <v>46394</v>
      </c>
      <c r="O43" s="70" t="s">
        <v>189</v>
      </c>
    </row>
    <row r="44" customFormat="false" ht="15" hidden="false" customHeight="false" outlineLevel="0" collapsed="false">
      <c r="A44" s="70" t="s">
        <v>245</v>
      </c>
      <c r="B44" s="70" t="s">
        <v>246</v>
      </c>
      <c r="C44" s="70" t="s">
        <v>1486</v>
      </c>
      <c r="D44" s="70" t="s">
        <v>1510</v>
      </c>
      <c r="E44" s="72" t="n">
        <v>397</v>
      </c>
      <c r="F44" s="70" t="s">
        <v>1501</v>
      </c>
      <c r="G44" s="72" t="n">
        <v>1021640000</v>
      </c>
      <c r="H44" s="72" t="n">
        <v>30</v>
      </c>
      <c r="I44" s="76" t="n">
        <v>46241</v>
      </c>
      <c r="J44" s="72" t="n">
        <v>30</v>
      </c>
      <c r="K44" s="70" t="s">
        <v>65</v>
      </c>
      <c r="L44" s="70" t="s">
        <v>1511</v>
      </c>
      <c r="M44" s="70" t="s">
        <v>405</v>
      </c>
      <c r="N44" s="71" t="n">
        <v>46437</v>
      </c>
      <c r="O44" s="70" t="s">
        <v>189</v>
      </c>
    </row>
    <row r="45" customFormat="false" ht="15" hidden="false" customHeight="false" outlineLevel="0" collapsed="false">
      <c r="A45" s="70" t="s">
        <v>257</v>
      </c>
      <c r="B45" s="70" t="s">
        <v>258</v>
      </c>
      <c r="C45" s="70" t="s">
        <v>1512</v>
      </c>
      <c r="D45" s="70" t="s">
        <v>1513</v>
      </c>
      <c r="E45" s="72" t="n">
        <v>1</v>
      </c>
      <c r="F45" s="70"/>
      <c r="G45" s="72" t="n">
        <v>1021182000</v>
      </c>
      <c r="H45" s="72" t="n">
        <v>384</v>
      </c>
      <c r="I45" s="76" t="n">
        <v>46289</v>
      </c>
      <c r="J45" s="72" t="n">
        <v>384</v>
      </c>
      <c r="K45" s="70" t="s">
        <v>65</v>
      </c>
      <c r="L45" s="70" t="s">
        <v>1488</v>
      </c>
      <c r="M45" s="70" t="s">
        <v>405</v>
      </c>
      <c r="N45" s="71" t="n">
        <v>46394</v>
      </c>
      <c r="O45" s="70" t="s">
        <v>189</v>
      </c>
    </row>
    <row r="46" customFormat="false" ht="15" hidden="false" customHeight="false" outlineLevel="0" collapsed="false">
      <c r="A46" s="70" t="s">
        <v>201</v>
      </c>
      <c r="B46" s="70" t="s">
        <v>202</v>
      </c>
      <c r="C46" s="70" t="s">
        <v>1512</v>
      </c>
      <c r="D46" s="70" t="s">
        <v>1514</v>
      </c>
      <c r="E46" s="72" t="n">
        <v>1</v>
      </c>
      <c r="F46" s="70"/>
      <c r="G46" s="72" t="n">
        <v>1021888000</v>
      </c>
      <c r="H46" s="72" t="n">
        <v>103.6</v>
      </c>
      <c r="I46" s="76" t="n">
        <v>46270</v>
      </c>
      <c r="J46" s="72" t="n">
        <v>103.6</v>
      </c>
      <c r="K46" s="70" t="s">
        <v>65</v>
      </c>
      <c r="L46" s="70" t="s">
        <v>1515</v>
      </c>
      <c r="M46" s="70" t="s">
        <v>405</v>
      </c>
      <c r="N46" s="71" t="n">
        <v>46550</v>
      </c>
      <c r="O46" s="70" t="s">
        <v>189</v>
      </c>
    </row>
    <row r="47" customFormat="false" ht="15" hidden="false" customHeight="false" outlineLevel="0" collapsed="false">
      <c r="A47" s="70" t="s">
        <v>192</v>
      </c>
      <c r="B47" s="70" t="s">
        <v>193</v>
      </c>
      <c r="C47" s="70" t="s">
        <v>1512</v>
      </c>
      <c r="D47" s="70" t="s">
        <v>1516</v>
      </c>
      <c r="E47" s="72" t="n">
        <v>1</v>
      </c>
      <c r="F47" s="70"/>
      <c r="G47" s="72" t="n">
        <v>1021986000</v>
      </c>
      <c r="H47" s="72" t="n">
        <v>603</v>
      </c>
      <c r="I47" s="76" t="n">
        <v>46294</v>
      </c>
      <c r="J47" s="72" t="n">
        <v>603</v>
      </c>
      <c r="K47" s="70" t="s">
        <v>65</v>
      </c>
      <c r="L47" s="70" t="s">
        <v>1477</v>
      </c>
      <c r="M47" s="70" t="s">
        <v>405</v>
      </c>
      <c r="N47" s="71" t="n">
        <v>46789</v>
      </c>
      <c r="O47" s="70" t="s">
        <v>189</v>
      </c>
    </row>
    <row r="48" customFormat="false" ht="15" hidden="false" customHeight="false" outlineLevel="0" collapsed="false">
      <c r="A48" s="70" t="s">
        <v>220</v>
      </c>
      <c r="B48" s="70" t="s">
        <v>221</v>
      </c>
      <c r="C48" s="70" t="s">
        <v>1512</v>
      </c>
      <c r="D48" s="70" t="s">
        <v>1517</v>
      </c>
      <c r="E48" s="72" t="n">
        <v>1</v>
      </c>
      <c r="F48" s="70"/>
      <c r="G48" s="72" t="n">
        <v>1021986000</v>
      </c>
      <c r="H48" s="72" t="n">
        <v>603</v>
      </c>
      <c r="I48" s="76" t="n">
        <v>46294</v>
      </c>
      <c r="J48" s="72" t="n">
        <v>603</v>
      </c>
      <c r="K48" s="70" t="s">
        <v>65</v>
      </c>
      <c r="L48" s="70" t="s">
        <v>1477</v>
      </c>
      <c r="M48" s="70" t="s">
        <v>405</v>
      </c>
      <c r="N48" s="71" t="n">
        <v>46494</v>
      </c>
      <c r="O48" s="70" t="s">
        <v>189</v>
      </c>
    </row>
    <row r="49" customFormat="false" ht="15" hidden="false" customHeight="false" outlineLevel="0" collapsed="false">
      <c r="A49" s="70" t="s">
        <v>220</v>
      </c>
      <c r="B49" s="70" t="s">
        <v>221</v>
      </c>
      <c r="C49" s="70" t="s">
        <v>1512</v>
      </c>
      <c r="D49" s="70" t="s">
        <v>1518</v>
      </c>
      <c r="E49" s="72" t="n">
        <v>1</v>
      </c>
      <c r="F49" s="70"/>
      <c r="G49" s="72" t="n">
        <v>1021986000</v>
      </c>
      <c r="H49" s="72" t="n">
        <v>603</v>
      </c>
      <c r="I49" s="76" t="n">
        <v>46294</v>
      </c>
      <c r="J49" s="72" t="n">
        <v>603</v>
      </c>
      <c r="K49" s="70" t="s">
        <v>65</v>
      </c>
      <c r="L49" s="70" t="s">
        <v>1477</v>
      </c>
      <c r="M49" s="70" t="s">
        <v>405</v>
      </c>
      <c r="N49" s="71" t="n">
        <v>46494</v>
      </c>
      <c r="O49" s="70" t="s">
        <v>189</v>
      </c>
    </row>
    <row r="50" customFormat="false" ht="15" hidden="false" customHeight="false" outlineLevel="0" collapsed="false">
      <c r="A50" s="70" t="s">
        <v>309</v>
      </c>
      <c r="B50" s="70" t="s">
        <v>395</v>
      </c>
      <c r="C50" s="70" t="s">
        <v>1512</v>
      </c>
      <c r="D50" s="70" t="s">
        <v>1519</v>
      </c>
      <c r="E50" s="72" t="n">
        <v>1</v>
      </c>
      <c r="F50" s="70"/>
      <c r="G50" s="72" t="n">
        <v>1021889000</v>
      </c>
      <c r="H50" s="72" t="n">
        <v>20.1</v>
      </c>
      <c r="I50" s="76" t="n">
        <v>46286</v>
      </c>
      <c r="J50" s="72" t="n">
        <v>20.1</v>
      </c>
      <c r="K50" s="70" t="s">
        <v>65</v>
      </c>
      <c r="L50" s="70" t="s">
        <v>1515</v>
      </c>
      <c r="M50" s="70" t="s">
        <v>405</v>
      </c>
      <c r="N50" s="71" t="n">
        <v>46558</v>
      </c>
      <c r="O50" s="70" t="s">
        <v>189</v>
      </c>
    </row>
    <row r="51" customFormat="false" ht="15" hidden="false" customHeight="false" outlineLevel="0" collapsed="false">
      <c r="A51" s="70" t="s">
        <v>220</v>
      </c>
      <c r="B51" s="70" t="s">
        <v>221</v>
      </c>
      <c r="C51" s="70" t="s">
        <v>1512</v>
      </c>
      <c r="D51" s="70" t="s">
        <v>1520</v>
      </c>
      <c r="E51" s="72" t="n">
        <v>1</v>
      </c>
      <c r="F51" s="70"/>
      <c r="G51" s="72" t="n">
        <v>1021986000</v>
      </c>
      <c r="H51" s="72" t="n">
        <v>482.4</v>
      </c>
      <c r="I51" s="76" t="n">
        <v>46294</v>
      </c>
      <c r="J51" s="72" t="n">
        <v>482.4</v>
      </c>
      <c r="K51" s="70" t="s">
        <v>65</v>
      </c>
      <c r="L51" s="70" t="s">
        <v>1477</v>
      </c>
      <c r="M51" s="70" t="s">
        <v>405</v>
      </c>
      <c r="N51" s="71" t="n">
        <v>46494</v>
      </c>
      <c r="O51" s="70" t="s">
        <v>189</v>
      </c>
    </row>
    <row r="52" customFormat="false" ht="15" hidden="false" customHeight="false" outlineLevel="0" collapsed="false">
      <c r="A52" s="70" t="s">
        <v>257</v>
      </c>
      <c r="B52" s="70" t="s">
        <v>258</v>
      </c>
      <c r="C52" s="70" t="s">
        <v>1512</v>
      </c>
      <c r="D52" s="70" t="s">
        <v>1521</v>
      </c>
      <c r="E52" s="72" t="n">
        <v>1</v>
      </c>
      <c r="F52" s="70"/>
      <c r="G52" s="72" t="n">
        <v>1021346000</v>
      </c>
      <c r="H52" s="72" t="n">
        <v>30</v>
      </c>
      <c r="I52" s="76" t="n">
        <v>46291</v>
      </c>
      <c r="J52" s="72" t="n">
        <v>30</v>
      </c>
      <c r="K52" s="70" t="s">
        <v>65</v>
      </c>
      <c r="L52" s="70" t="s">
        <v>1522</v>
      </c>
      <c r="M52" s="70" t="s">
        <v>405</v>
      </c>
      <c r="N52" s="71" t="n">
        <v>46394</v>
      </c>
      <c r="O52" s="70" t="s">
        <v>189</v>
      </c>
    </row>
    <row r="53" customFormat="false" ht="15" hidden="false" customHeight="false" outlineLevel="0" collapsed="false">
      <c r="A53" s="70" t="s">
        <v>269</v>
      </c>
      <c r="B53" s="70" t="s">
        <v>270</v>
      </c>
      <c r="C53" s="70" t="s">
        <v>1512</v>
      </c>
      <c r="D53" s="70" t="s">
        <v>1523</v>
      </c>
      <c r="E53" s="72" t="n">
        <v>1</v>
      </c>
      <c r="F53" s="70"/>
      <c r="G53" s="72" t="n">
        <v>1021763000</v>
      </c>
      <c r="H53" s="72" t="n">
        <v>24</v>
      </c>
      <c r="I53" s="76" t="n">
        <v>46261</v>
      </c>
      <c r="J53" s="72" t="n">
        <v>24</v>
      </c>
      <c r="K53" s="70" t="s">
        <v>65</v>
      </c>
      <c r="L53" s="70" t="s">
        <v>1522</v>
      </c>
      <c r="M53" s="70" t="s">
        <v>405</v>
      </c>
      <c r="N53" s="71" t="n">
        <v>46671</v>
      </c>
      <c r="O53" s="70" t="s">
        <v>189</v>
      </c>
    </row>
    <row r="54" customFormat="false" ht="15" hidden="false" customHeight="false" outlineLevel="0" collapsed="false">
      <c r="A54" s="70" t="s">
        <v>218</v>
      </c>
      <c r="B54" s="70" t="s">
        <v>219</v>
      </c>
      <c r="C54" s="70" t="s">
        <v>1512</v>
      </c>
      <c r="D54" s="70" t="s">
        <v>1524</v>
      </c>
      <c r="E54" s="72" t="n">
        <v>1</v>
      </c>
      <c r="F54" s="70"/>
      <c r="G54" s="72" t="n">
        <v>1021986000</v>
      </c>
      <c r="H54" s="72" t="n">
        <v>600</v>
      </c>
      <c r="I54" s="76" t="n">
        <v>46294</v>
      </c>
      <c r="J54" s="72" t="n">
        <v>600</v>
      </c>
      <c r="K54" s="70" t="s">
        <v>65</v>
      </c>
      <c r="L54" s="70" t="s">
        <v>1477</v>
      </c>
      <c r="M54" s="70" t="s">
        <v>405</v>
      </c>
      <c r="N54" s="71" t="n">
        <v>46867</v>
      </c>
      <c r="O54" s="70" t="s">
        <v>189</v>
      </c>
    </row>
    <row r="55" customFormat="false" ht="15" hidden="false" customHeight="false" outlineLevel="0" collapsed="false">
      <c r="A55" s="70" t="s">
        <v>220</v>
      </c>
      <c r="B55" s="70" t="s">
        <v>221</v>
      </c>
      <c r="C55" s="70" t="s">
        <v>1512</v>
      </c>
      <c r="D55" s="70" t="s">
        <v>1525</v>
      </c>
      <c r="E55" s="72" t="n">
        <v>1</v>
      </c>
      <c r="F55" s="70"/>
      <c r="G55" s="72" t="n">
        <v>1021986000</v>
      </c>
      <c r="H55" s="72" t="n">
        <v>120.6</v>
      </c>
      <c r="I55" s="76" t="n">
        <v>46294</v>
      </c>
      <c r="J55" s="72" t="n">
        <v>120.6</v>
      </c>
      <c r="K55" s="70" t="s">
        <v>65</v>
      </c>
      <c r="L55" s="70" t="s">
        <v>1477</v>
      </c>
      <c r="M55" s="70" t="s">
        <v>405</v>
      </c>
      <c r="N55" s="71" t="n">
        <v>46494</v>
      </c>
      <c r="O55" s="70" t="s">
        <v>189</v>
      </c>
    </row>
    <row r="56" customFormat="false" ht="15" hidden="false" customHeight="false" outlineLevel="0" collapsed="false">
      <c r="A56" s="70" t="s">
        <v>247</v>
      </c>
      <c r="B56" s="70" t="s">
        <v>248</v>
      </c>
      <c r="C56" s="70" t="s">
        <v>1512</v>
      </c>
      <c r="D56" s="70" t="s">
        <v>1526</v>
      </c>
      <c r="E56" s="72" t="n">
        <v>1</v>
      </c>
      <c r="F56" s="70"/>
      <c r="G56" s="72" t="n">
        <v>1021986000</v>
      </c>
      <c r="H56" s="72" t="n">
        <v>301.5</v>
      </c>
      <c r="I56" s="76" t="n">
        <v>46295</v>
      </c>
      <c r="J56" s="72" t="n">
        <v>301.5</v>
      </c>
      <c r="K56" s="70" t="s">
        <v>65</v>
      </c>
      <c r="L56" s="70" t="s">
        <v>1477</v>
      </c>
      <c r="M56" s="70" t="s">
        <v>405</v>
      </c>
      <c r="N56" s="71" t="n">
        <v>46683</v>
      </c>
      <c r="O56" s="70" t="s">
        <v>189</v>
      </c>
    </row>
    <row r="57" customFormat="false" ht="15" hidden="false" customHeight="false" outlineLevel="0" collapsed="false">
      <c r="A57" s="70" t="s">
        <v>218</v>
      </c>
      <c r="B57" s="70" t="s">
        <v>219</v>
      </c>
      <c r="C57" s="70" t="s">
        <v>1512</v>
      </c>
      <c r="D57" s="70" t="s">
        <v>1527</v>
      </c>
      <c r="E57" s="72" t="n">
        <v>1</v>
      </c>
      <c r="F57" s="70"/>
      <c r="G57" s="72" t="n">
        <v>1021986000</v>
      </c>
      <c r="H57" s="72" t="n">
        <v>440</v>
      </c>
      <c r="I57" s="76" t="n">
        <v>46295</v>
      </c>
      <c r="J57" s="72" t="n">
        <v>440</v>
      </c>
      <c r="K57" s="70" t="s">
        <v>65</v>
      </c>
      <c r="L57" s="70" t="s">
        <v>1477</v>
      </c>
      <c r="M57" s="70" t="s">
        <v>405</v>
      </c>
      <c r="N57" s="71" t="n">
        <v>46867</v>
      </c>
      <c r="O57" s="70" t="s">
        <v>189</v>
      </c>
    </row>
    <row r="58" customFormat="false" ht="15" hidden="false" customHeight="false" outlineLevel="0" collapsed="false">
      <c r="A58" s="70" t="s">
        <v>205</v>
      </c>
      <c r="B58" s="70" t="s">
        <v>206</v>
      </c>
      <c r="C58" s="70" t="s">
        <v>1512</v>
      </c>
      <c r="D58" s="70" t="s">
        <v>1528</v>
      </c>
      <c r="E58" s="72" t="n">
        <v>1</v>
      </c>
      <c r="F58" s="70"/>
      <c r="G58" s="72" t="n">
        <v>1021986000</v>
      </c>
      <c r="H58" s="72" t="n">
        <v>482.4</v>
      </c>
      <c r="I58" s="76" t="n">
        <v>46294</v>
      </c>
      <c r="J58" s="72" t="n">
        <v>482.4</v>
      </c>
      <c r="K58" s="70" t="s">
        <v>65</v>
      </c>
      <c r="L58" s="70" t="s">
        <v>1477</v>
      </c>
      <c r="M58" s="70" t="s">
        <v>405</v>
      </c>
      <c r="N58" s="71" t="n">
        <v>46632</v>
      </c>
      <c r="O58" s="70" t="s">
        <v>189</v>
      </c>
    </row>
    <row r="59" customFormat="false" ht="15" hidden="false" customHeight="false" outlineLevel="0" collapsed="false">
      <c r="A59" s="70" t="s">
        <v>281</v>
      </c>
      <c r="B59" s="70" t="s">
        <v>282</v>
      </c>
      <c r="C59" s="70" t="s">
        <v>1512</v>
      </c>
      <c r="D59" s="70" t="s">
        <v>1529</v>
      </c>
      <c r="E59" s="72" t="n">
        <v>1</v>
      </c>
      <c r="F59" s="70"/>
      <c r="G59" s="72" t="n">
        <v>1021986000</v>
      </c>
      <c r="H59" s="72" t="n">
        <v>432</v>
      </c>
      <c r="I59" s="76" t="n">
        <v>46294</v>
      </c>
      <c r="J59" s="72" t="n">
        <v>432</v>
      </c>
      <c r="K59" s="70" t="s">
        <v>65</v>
      </c>
      <c r="L59" s="70" t="s">
        <v>1477</v>
      </c>
      <c r="M59" s="70" t="s">
        <v>405</v>
      </c>
      <c r="N59" s="71" t="n">
        <v>46830</v>
      </c>
      <c r="O59" s="70" t="s">
        <v>189</v>
      </c>
    </row>
    <row r="60" customFormat="false" ht="15" hidden="false" customHeight="false" outlineLevel="0" collapsed="false">
      <c r="A60" s="70" t="s">
        <v>232</v>
      </c>
      <c r="B60" s="70" t="s">
        <v>237</v>
      </c>
      <c r="C60" s="70" t="s">
        <v>1512</v>
      </c>
      <c r="D60" s="70" t="s">
        <v>1530</v>
      </c>
      <c r="E60" s="72" t="n">
        <v>1</v>
      </c>
      <c r="F60" s="70"/>
      <c r="G60" s="72" t="n">
        <v>1021985000</v>
      </c>
      <c r="H60" s="72" t="n">
        <v>450</v>
      </c>
      <c r="I60" s="76" t="n">
        <v>46294</v>
      </c>
      <c r="J60" s="72" t="n">
        <v>450</v>
      </c>
      <c r="K60" s="70" t="s">
        <v>146</v>
      </c>
      <c r="L60" s="70" t="s">
        <v>1477</v>
      </c>
      <c r="M60" s="70" t="s">
        <v>405</v>
      </c>
      <c r="N60" s="71" t="n">
        <v>46866</v>
      </c>
      <c r="O60" s="70" t="s">
        <v>189</v>
      </c>
    </row>
    <row r="61" customFormat="false" ht="15" hidden="false" customHeight="false" outlineLevel="0" collapsed="false">
      <c r="A61" s="70" t="s">
        <v>301</v>
      </c>
      <c r="B61" s="70" t="s">
        <v>302</v>
      </c>
      <c r="C61" s="70" t="s">
        <v>1512</v>
      </c>
      <c r="D61" s="70" t="s">
        <v>1531</v>
      </c>
      <c r="E61" s="72" t="n">
        <v>1</v>
      </c>
      <c r="F61" s="70"/>
      <c r="G61" s="72" t="n">
        <v>1021986000</v>
      </c>
      <c r="H61" s="72" t="n">
        <v>480</v>
      </c>
      <c r="I61" s="76" t="n">
        <v>46294</v>
      </c>
      <c r="J61" s="72" t="n">
        <v>480</v>
      </c>
      <c r="K61" s="70" t="s">
        <v>65</v>
      </c>
      <c r="L61" s="70" t="s">
        <v>1477</v>
      </c>
      <c r="M61" s="70" t="s">
        <v>405</v>
      </c>
      <c r="N61" s="71" t="n">
        <v>46521</v>
      </c>
      <c r="O61" s="70" t="s">
        <v>189</v>
      </c>
    </row>
    <row r="62" customFormat="false" ht="15" hidden="false" customHeight="false" outlineLevel="0" collapsed="false">
      <c r="A62" s="70" t="s">
        <v>301</v>
      </c>
      <c r="B62" s="70" t="s">
        <v>302</v>
      </c>
      <c r="C62" s="70" t="s">
        <v>1512</v>
      </c>
      <c r="D62" s="70" t="s">
        <v>1532</v>
      </c>
      <c r="E62" s="72" t="n">
        <v>1</v>
      </c>
      <c r="F62" s="70"/>
      <c r="G62" s="72" t="n">
        <v>1021986000</v>
      </c>
      <c r="H62" s="72" t="n">
        <v>500</v>
      </c>
      <c r="I62" s="76" t="n">
        <v>46294</v>
      </c>
      <c r="J62" s="72" t="n">
        <v>500</v>
      </c>
      <c r="K62" s="70" t="s">
        <v>65</v>
      </c>
      <c r="L62" s="70" t="s">
        <v>1477</v>
      </c>
      <c r="M62" s="70" t="s">
        <v>405</v>
      </c>
      <c r="N62" s="71" t="n">
        <v>46521</v>
      </c>
      <c r="O62" s="70" t="s">
        <v>189</v>
      </c>
    </row>
    <row r="63" customFormat="false" ht="15" hidden="false" customHeight="false" outlineLevel="0" collapsed="false">
      <c r="A63" s="70" t="s">
        <v>220</v>
      </c>
      <c r="B63" s="70" t="s">
        <v>221</v>
      </c>
      <c r="C63" s="70" t="s">
        <v>1512</v>
      </c>
      <c r="D63" s="70" t="s">
        <v>1533</v>
      </c>
      <c r="E63" s="72" t="n">
        <v>1</v>
      </c>
      <c r="F63" s="70"/>
      <c r="G63" s="72" t="n">
        <v>1021986000</v>
      </c>
      <c r="H63" s="72" t="n">
        <v>603</v>
      </c>
      <c r="I63" s="76" t="n">
        <v>46294</v>
      </c>
      <c r="J63" s="72" t="n">
        <v>603</v>
      </c>
      <c r="K63" s="70" t="s">
        <v>65</v>
      </c>
      <c r="L63" s="70" t="s">
        <v>1477</v>
      </c>
      <c r="M63" s="70" t="s">
        <v>405</v>
      </c>
      <c r="N63" s="71" t="n">
        <v>46494</v>
      </c>
      <c r="O63" s="70" t="s">
        <v>189</v>
      </c>
    </row>
    <row r="64" customFormat="false" ht="15" hidden="false" customHeight="false" outlineLevel="0" collapsed="false">
      <c r="A64" s="70" t="s">
        <v>301</v>
      </c>
      <c r="B64" s="70" t="s">
        <v>302</v>
      </c>
      <c r="C64" s="70" t="s">
        <v>1512</v>
      </c>
      <c r="D64" s="70" t="s">
        <v>1534</v>
      </c>
      <c r="E64" s="72" t="n">
        <v>1</v>
      </c>
      <c r="F64" s="70"/>
      <c r="G64" s="72" t="n">
        <v>1021986000</v>
      </c>
      <c r="H64" s="72" t="n">
        <v>500</v>
      </c>
      <c r="I64" s="76" t="n">
        <v>46294</v>
      </c>
      <c r="J64" s="72" t="n">
        <v>500</v>
      </c>
      <c r="K64" s="70" t="s">
        <v>65</v>
      </c>
      <c r="L64" s="70" t="s">
        <v>1477</v>
      </c>
      <c r="M64" s="70" t="s">
        <v>405</v>
      </c>
      <c r="N64" s="71" t="n">
        <v>46521</v>
      </c>
      <c r="O64" s="70" t="s">
        <v>189</v>
      </c>
    </row>
    <row r="65" customFormat="false" ht="15" hidden="false" customHeight="false" outlineLevel="0" collapsed="false">
      <c r="A65" s="70" t="s">
        <v>232</v>
      </c>
      <c r="B65" s="70" t="s">
        <v>233</v>
      </c>
      <c r="C65" s="70" t="s">
        <v>1512</v>
      </c>
      <c r="D65" s="70" t="s">
        <v>1535</v>
      </c>
      <c r="E65" s="72" t="n">
        <v>1</v>
      </c>
      <c r="F65" s="70"/>
      <c r="G65" s="72" t="n">
        <v>1021986000</v>
      </c>
      <c r="H65" s="72" t="n">
        <v>450</v>
      </c>
      <c r="I65" s="76" t="n">
        <v>46294</v>
      </c>
      <c r="J65" s="72" t="n">
        <v>450</v>
      </c>
      <c r="K65" s="70" t="s">
        <v>146</v>
      </c>
      <c r="L65" s="70" t="s">
        <v>1477</v>
      </c>
      <c r="M65" s="70" t="s">
        <v>405</v>
      </c>
      <c r="N65" s="71" t="n">
        <v>46684</v>
      </c>
      <c r="O65" s="70" t="s">
        <v>189</v>
      </c>
    </row>
    <row r="66" customFormat="false" ht="15" hidden="false" customHeight="false" outlineLevel="0" collapsed="false">
      <c r="A66" s="70" t="s">
        <v>301</v>
      </c>
      <c r="B66" s="70" t="s">
        <v>302</v>
      </c>
      <c r="C66" s="70" t="s">
        <v>1512</v>
      </c>
      <c r="D66" s="70" t="s">
        <v>1536</v>
      </c>
      <c r="E66" s="72" t="n">
        <v>1</v>
      </c>
      <c r="F66" s="70"/>
      <c r="G66" s="72" t="n">
        <v>1021986000</v>
      </c>
      <c r="H66" s="72" t="n">
        <v>500</v>
      </c>
      <c r="I66" s="76" t="n">
        <v>46294</v>
      </c>
      <c r="J66" s="72" t="n">
        <v>500</v>
      </c>
      <c r="K66" s="70" t="s">
        <v>65</v>
      </c>
      <c r="L66" s="70" t="s">
        <v>1477</v>
      </c>
      <c r="M66" s="70" t="s">
        <v>405</v>
      </c>
      <c r="N66" s="71" t="n">
        <v>46521</v>
      </c>
      <c r="O66" s="70" t="s">
        <v>189</v>
      </c>
    </row>
    <row r="67" customFormat="false" ht="15" hidden="false" customHeight="false" outlineLevel="0" collapsed="false">
      <c r="A67" s="70" t="s">
        <v>232</v>
      </c>
      <c r="B67" s="70" t="s">
        <v>237</v>
      </c>
      <c r="C67" s="70" t="s">
        <v>1512</v>
      </c>
      <c r="D67" s="70" t="s">
        <v>1537</v>
      </c>
      <c r="E67" s="72" t="n">
        <v>1</v>
      </c>
      <c r="F67" s="70"/>
      <c r="G67" s="72" t="n">
        <v>1021985000</v>
      </c>
      <c r="H67" s="72" t="n">
        <v>450</v>
      </c>
      <c r="I67" s="76" t="n">
        <v>46294</v>
      </c>
      <c r="J67" s="72" t="n">
        <v>450</v>
      </c>
      <c r="K67" s="70" t="s">
        <v>146</v>
      </c>
      <c r="L67" s="70" t="s">
        <v>1477</v>
      </c>
      <c r="M67" s="70" t="s">
        <v>405</v>
      </c>
      <c r="N67" s="71" t="n">
        <v>46866</v>
      </c>
      <c r="O67" s="70" t="s">
        <v>189</v>
      </c>
    </row>
    <row r="68" customFormat="false" ht="15" hidden="false" customHeight="false" outlineLevel="0" collapsed="false">
      <c r="A68" s="70" t="s">
        <v>301</v>
      </c>
      <c r="B68" s="70" t="s">
        <v>302</v>
      </c>
      <c r="C68" s="70" t="s">
        <v>1512</v>
      </c>
      <c r="D68" s="70" t="s">
        <v>1538</v>
      </c>
      <c r="E68" s="72" t="n">
        <v>1</v>
      </c>
      <c r="F68" s="70"/>
      <c r="G68" s="72" t="n">
        <v>1021986000</v>
      </c>
      <c r="H68" s="72" t="n">
        <v>500</v>
      </c>
      <c r="I68" s="76" t="n">
        <v>46294</v>
      </c>
      <c r="J68" s="72" t="n">
        <v>500</v>
      </c>
      <c r="K68" s="70" t="s">
        <v>65</v>
      </c>
      <c r="L68" s="70" t="s">
        <v>1477</v>
      </c>
      <c r="M68" s="70" t="s">
        <v>405</v>
      </c>
      <c r="N68" s="71" t="n">
        <v>46521</v>
      </c>
      <c r="O68" s="70" t="s">
        <v>189</v>
      </c>
    </row>
    <row r="69" customFormat="false" ht="15" hidden="false" customHeight="false" outlineLevel="0" collapsed="false">
      <c r="A69" s="70" t="s">
        <v>301</v>
      </c>
      <c r="B69" s="70" t="s">
        <v>302</v>
      </c>
      <c r="C69" s="70" t="s">
        <v>1512</v>
      </c>
      <c r="D69" s="70" t="s">
        <v>1539</v>
      </c>
      <c r="E69" s="72" t="n">
        <v>1</v>
      </c>
      <c r="F69" s="70"/>
      <c r="G69" s="72" t="n">
        <v>1021986000</v>
      </c>
      <c r="H69" s="72" t="n">
        <v>500</v>
      </c>
      <c r="I69" s="76" t="n">
        <v>46294</v>
      </c>
      <c r="J69" s="72" t="n">
        <v>500</v>
      </c>
      <c r="K69" s="70" t="s">
        <v>65</v>
      </c>
      <c r="L69" s="70" t="s">
        <v>1477</v>
      </c>
      <c r="M69" s="70" t="s">
        <v>405</v>
      </c>
      <c r="N69" s="71" t="n">
        <v>46521</v>
      </c>
      <c r="O69" s="70" t="s">
        <v>189</v>
      </c>
    </row>
    <row r="70" customFormat="false" ht="15" hidden="false" customHeight="false" outlineLevel="0" collapsed="false">
      <c r="A70" s="70" t="s">
        <v>245</v>
      </c>
      <c r="B70" s="70" t="s">
        <v>246</v>
      </c>
      <c r="C70" s="70" t="s">
        <v>1512</v>
      </c>
      <c r="D70" s="70" t="s">
        <v>1540</v>
      </c>
      <c r="E70" s="72" t="n">
        <v>1</v>
      </c>
      <c r="F70" s="70"/>
      <c r="G70" s="72" t="n">
        <v>1020163000</v>
      </c>
      <c r="H70" s="72" t="n">
        <v>384</v>
      </c>
      <c r="I70" s="76" t="n">
        <v>45881</v>
      </c>
      <c r="J70" s="72" t="n">
        <v>384</v>
      </c>
      <c r="K70" s="70" t="s">
        <v>65</v>
      </c>
      <c r="L70" s="70" t="s">
        <v>1541</v>
      </c>
      <c r="M70" s="70" t="s">
        <v>405</v>
      </c>
      <c r="N70" s="71" t="n">
        <v>46437</v>
      </c>
      <c r="O70" s="70" t="s">
        <v>189</v>
      </c>
    </row>
    <row r="71" customFormat="false" ht="15" hidden="false" customHeight="false" outlineLevel="0" collapsed="false">
      <c r="A71" s="70" t="s">
        <v>301</v>
      </c>
      <c r="B71" s="70" t="s">
        <v>302</v>
      </c>
      <c r="C71" s="70" t="s">
        <v>1512</v>
      </c>
      <c r="D71" s="70" t="s">
        <v>1542</v>
      </c>
      <c r="E71" s="72" t="n">
        <v>1</v>
      </c>
      <c r="F71" s="70"/>
      <c r="G71" s="72" t="n">
        <v>1021986000</v>
      </c>
      <c r="H71" s="72" t="n">
        <v>500</v>
      </c>
      <c r="I71" s="76" t="n">
        <v>46294</v>
      </c>
      <c r="J71" s="72" t="n">
        <v>500</v>
      </c>
      <c r="K71" s="70" t="s">
        <v>65</v>
      </c>
      <c r="L71" s="70" t="s">
        <v>1477</v>
      </c>
      <c r="M71" s="70" t="s">
        <v>405</v>
      </c>
      <c r="N71" s="71" t="n">
        <v>46521</v>
      </c>
      <c r="O71" s="70" t="s">
        <v>189</v>
      </c>
    </row>
    <row r="72" customFormat="false" ht="15" hidden="false" customHeight="false" outlineLevel="0" collapsed="false">
      <c r="A72" s="70" t="s">
        <v>301</v>
      </c>
      <c r="B72" s="70" t="s">
        <v>302</v>
      </c>
      <c r="C72" s="70" t="s">
        <v>1512</v>
      </c>
      <c r="D72" s="70" t="s">
        <v>1543</v>
      </c>
      <c r="E72" s="72" t="n">
        <v>1</v>
      </c>
      <c r="F72" s="70"/>
      <c r="G72" s="72" t="n">
        <v>1021986000</v>
      </c>
      <c r="H72" s="72" t="n">
        <v>500</v>
      </c>
      <c r="I72" s="76" t="n">
        <v>46294</v>
      </c>
      <c r="J72" s="72" t="n">
        <v>500</v>
      </c>
      <c r="K72" s="70" t="s">
        <v>65</v>
      </c>
      <c r="L72" s="70" t="s">
        <v>1477</v>
      </c>
      <c r="M72" s="70" t="s">
        <v>405</v>
      </c>
      <c r="N72" s="71" t="n">
        <v>46521</v>
      </c>
      <c r="O72" s="70" t="s">
        <v>189</v>
      </c>
    </row>
    <row r="73" customFormat="false" ht="15" hidden="false" customHeight="false" outlineLevel="0" collapsed="false">
      <c r="A73" s="70" t="s">
        <v>257</v>
      </c>
      <c r="B73" s="70" t="s">
        <v>258</v>
      </c>
      <c r="C73" s="70" t="s">
        <v>1512</v>
      </c>
      <c r="D73" s="70" t="s">
        <v>1544</v>
      </c>
      <c r="E73" s="72" t="n">
        <v>1</v>
      </c>
      <c r="F73" s="70"/>
      <c r="G73" s="72" t="n">
        <v>1021996000</v>
      </c>
      <c r="H73" s="72" t="n">
        <v>360</v>
      </c>
      <c r="I73" s="76" t="n">
        <v>46296</v>
      </c>
      <c r="J73" s="72" t="n">
        <v>360</v>
      </c>
      <c r="K73" s="70" t="s">
        <v>65</v>
      </c>
      <c r="L73" s="70" t="s">
        <v>1465</v>
      </c>
      <c r="M73" s="70" t="s">
        <v>405</v>
      </c>
      <c r="N73" s="71" t="n">
        <v>46394</v>
      </c>
      <c r="O73" s="70" t="s">
        <v>189</v>
      </c>
    </row>
    <row r="74" customFormat="false" ht="15" hidden="false" customHeight="false" outlineLevel="0" collapsed="false">
      <c r="A74" s="70" t="s">
        <v>322</v>
      </c>
      <c r="B74" s="70" t="s">
        <v>323</v>
      </c>
      <c r="C74" s="70" t="s">
        <v>1512</v>
      </c>
      <c r="D74" s="70" t="s">
        <v>1545</v>
      </c>
      <c r="E74" s="72" t="n">
        <v>1</v>
      </c>
      <c r="F74" s="70" t="s">
        <v>1501</v>
      </c>
      <c r="G74" s="72" t="n">
        <v>1021996000</v>
      </c>
      <c r="H74" s="72" t="n">
        <v>313.6</v>
      </c>
      <c r="I74" s="76" t="n">
        <v>46296</v>
      </c>
      <c r="J74" s="72" t="n">
        <v>313.6</v>
      </c>
      <c r="K74" s="70" t="s">
        <v>65</v>
      </c>
      <c r="L74" s="70" t="s">
        <v>1465</v>
      </c>
      <c r="M74" s="70" t="s">
        <v>405</v>
      </c>
      <c r="N74" s="71" t="n">
        <v>46416</v>
      </c>
      <c r="O74" s="70" t="s">
        <v>189</v>
      </c>
    </row>
    <row r="75" customFormat="false" ht="15" hidden="false" customHeight="false" outlineLevel="0" collapsed="false">
      <c r="A75" s="70" t="s">
        <v>245</v>
      </c>
      <c r="B75" s="70" t="s">
        <v>246</v>
      </c>
      <c r="C75" s="70" t="s">
        <v>1512</v>
      </c>
      <c r="D75" s="70" t="s">
        <v>1546</v>
      </c>
      <c r="E75" s="72" t="n">
        <v>1</v>
      </c>
      <c r="F75" s="70"/>
      <c r="G75" s="72" t="n">
        <v>1020120000</v>
      </c>
      <c r="H75" s="72" t="n">
        <v>144</v>
      </c>
      <c r="I75" s="76" t="n">
        <v>46235</v>
      </c>
      <c r="J75" s="72" t="n">
        <v>144</v>
      </c>
      <c r="K75" s="70" t="s">
        <v>65</v>
      </c>
      <c r="L75" s="70" t="s">
        <v>1547</v>
      </c>
      <c r="M75" s="70" t="s">
        <v>405</v>
      </c>
      <c r="N75" s="71" t="n">
        <v>46437</v>
      </c>
      <c r="O75" s="70" t="s">
        <v>189</v>
      </c>
    </row>
    <row r="76" customFormat="false" ht="15" hidden="false" customHeight="false" outlineLevel="0" collapsed="false">
      <c r="A76" s="70" t="s">
        <v>314</v>
      </c>
      <c r="B76" s="70" t="s">
        <v>315</v>
      </c>
      <c r="C76" s="70" t="s">
        <v>1512</v>
      </c>
      <c r="D76" s="70" t="s">
        <v>1548</v>
      </c>
      <c r="E76" s="72" t="n">
        <v>1</v>
      </c>
      <c r="F76" s="70"/>
      <c r="G76" s="72" t="n">
        <v>1021414000</v>
      </c>
      <c r="H76" s="72" t="n">
        <v>313.6</v>
      </c>
      <c r="I76" s="76" t="n">
        <v>46183</v>
      </c>
      <c r="J76" s="72" t="n">
        <v>313.6</v>
      </c>
      <c r="K76" s="70" t="s">
        <v>65</v>
      </c>
      <c r="L76" s="70" t="s">
        <v>1549</v>
      </c>
      <c r="M76" s="70" t="s">
        <v>405</v>
      </c>
      <c r="N76" s="71" t="n">
        <v>46551</v>
      </c>
      <c r="O76" s="70" t="s">
        <v>189</v>
      </c>
    </row>
    <row r="77" customFormat="false" ht="15" hidden="false" customHeight="false" outlineLevel="0" collapsed="false">
      <c r="A77" s="70" t="s">
        <v>218</v>
      </c>
      <c r="B77" s="70" t="s">
        <v>317</v>
      </c>
      <c r="C77" s="70" t="s">
        <v>1512</v>
      </c>
      <c r="D77" s="70" t="s">
        <v>1550</v>
      </c>
      <c r="E77" s="72" t="n">
        <v>1</v>
      </c>
      <c r="F77" s="70"/>
      <c r="G77" s="72" t="n">
        <v>1021918000</v>
      </c>
      <c r="H77" s="72" t="n">
        <v>20</v>
      </c>
      <c r="I77" s="76" t="n">
        <v>46292</v>
      </c>
      <c r="J77" s="72" t="n">
        <v>20</v>
      </c>
      <c r="K77" s="70" t="s">
        <v>65</v>
      </c>
      <c r="L77" s="70" t="s">
        <v>1471</v>
      </c>
      <c r="M77" s="70" t="s">
        <v>405</v>
      </c>
      <c r="N77" s="70"/>
      <c r="O77" s="70" t="s">
        <v>189</v>
      </c>
    </row>
    <row r="78" customFormat="false" ht="15" hidden="false" customHeight="false" outlineLevel="0" collapsed="false">
      <c r="A78" s="70" t="s">
        <v>260</v>
      </c>
      <c r="B78" s="70" t="s">
        <v>362</v>
      </c>
      <c r="C78" s="70" t="s">
        <v>1512</v>
      </c>
      <c r="D78" s="70" t="s">
        <v>1551</v>
      </c>
      <c r="E78" s="72" t="n">
        <v>1</v>
      </c>
      <c r="F78" s="70" t="s">
        <v>1503</v>
      </c>
      <c r="G78" s="72" t="n">
        <v>1021907000</v>
      </c>
      <c r="H78" s="72" t="n">
        <v>50.32</v>
      </c>
      <c r="I78" s="76" t="n">
        <v>46274</v>
      </c>
      <c r="J78" s="72" t="n">
        <v>50.32</v>
      </c>
      <c r="K78" s="70" t="s">
        <v>65</v>
      </c>
      <c r="L78" s="70" t="s">
        <v>1504</v>
      </c>
      <c r="M78" s="70" t="s">
        <v>405</v>
      </c>
      <c r="N78" s="71" t="n">
        <v>46462</v>
      </c>
      <c r="O78" s="70" t="s">
        <v>189</v>
      </c>
    </row>
    <row r="79" customFormat="false" ht="15" hidden="false" customHeight="false" outlineLevel="0" collapsed="false">
      <c r="A79" s="70" t="s">
        <v>260</v>
      </c>
      <c r="B79" s="70" t="s">
        <v>362</v>
      </c>
      <c r="C79" s="70" t="s">
        <v>1512</v>
      </c>
      <c r="D79" s="70" t="s">
        <v>1552</v>
      </c>
      <c r="E79" s="72" t="n">
        <v>1</v>
      </c>
      <c r="F79" s="70" t="s">
        <v>1503</v>
      </c>
      <c r="G79" s="72" t="n">
        <v>1021907000</v>
      </c>
      <c r="H79" s="72" t="n">
        <v>145.52</v>
      </c>
      <c r="I79" s="76" t="n">
        <v>46274</v>
      </c>
      <c r="J79" s="72" t="n">
        <v>145.52</v>
      </c>
      <c r="K79" s="70" t="s">
        <v>65</v>
      </c>
      <c r="L79" s="70" t="s">
        <v>1504</v>
      </c>
      <c r="M79" s="70" t="s">
        <v>405</v>
      </c>
      <c r="N79" s="71" t="n">
        <v>46462</v>
      </c>
      <c r="O79" s="70" t="s">
        <v>189</v>
      </c>
    </row>
    <row r="80" customFormat="false" ht="15" hidden="false" customHeight="false" outlineLevel="0" collapsed="false">
      <c r="A80" s="70" t="s">
        <v>260</v>
      </c>
      <c r="B80" s="70" t="s">
        <v>363</v>
      </c>
      <c r="C80" s="70" t="s">
        <v>1512</v>
      </c>
      <c r="D80" s="70" t="s">
        <v>1553</v>
      </c>
      <c r="E80" s="72" t="n">
        <v>1</v>
      </c>
      <c r="F80" s="70" t="s">
        <v>1503</v>
      </c>
      <c r="G80" s="72" t="n">
        <v>1021907000</v>
      </c>
      <c r="H80" s="72" t="n">
        <v>146.88</v>
      </c>
      <c r="I80" s="76" t="n">
        <v>46274</v>
      </c>
      <c r="J80" s="72" t="n">
        <v>146.88</v>
      </c>
      <c r="K80" s="70" t="s">
        <v>65</v>
      </c>
      <c r="L80" s="70" t="s">
        <v>1504</v>
      </c>
      <c r="M80" s="70" t="s">
        <v>405</v>
      </c>
      <c r="N80" s="71" t="n">
        <v>46463</v>
      </c>
      <c r="O80" s="70" t="s">
        <v>189</v>
      </c>
    </row>
    <row r="81" customFormat="false" ht="15" hidden="false" customHeight="false" outlineLevel="0" collapsed="false">
      <c r="A81" s="70" t="s">
        <v>260</v>
      </c>
      <c r="B81" s="70" t="s">
        <v>363</v>
      </c>
      <c r="C81" s="70" t="s">
        <v>1512</v>
      </c>
      <c r="D81" s="70" t="s">
        <v>1554</v>
      </c>
      <c r="E81" s="72" t="n">
        <v>1</v>
      </c>
      <c r="F81" s="70" t="s">
        <v>1503</v>
      </c>
      <c r="G81" s="72" t="n">
        <v>1021907000</v>
      </c>
      <c r="H81" s="72" t="n">
        <v>146.88</v>
      </c>
      <c r="I81" s="76" t="n">
        <v>46274</v>
      </c>
      <c r="J81" s="72" t="n">
        <v>146.88</v>
      </c>
      <c r="K81" s="70" t="s">
        <v>65</v>
      </c>
      <c r="L81" s="70" t="s">
        <v>1504</v>
      </c>
      <c r="M81" s="70" t="s">
        <v>405</v>
      </c>
      <c r="N81" s="71" t="n">
        <v>46463</v>
      </c>
      <c r="O81" s="70" t="s">
        <v>189</v>
      </c>
    </row>
    <row r="82" customFormat="false" ht="15" hidden="false" customHeight="false" outlineLevel="0" collapsed="false">
      <c r="A82" s="70" t="s">
        <v>314</v>
      </c>
      <c r="B82" s="70" t="s">
        <v>315</v>
      </c>
      <c r="C82" s="70" t="s">
        <v>1512</v>
      </c>
      <c r="D82" s="70" t="s">
        <v>1555</v>
      </c>
      <c r="E82" s="72" t="n">
        <v>1</v>
      </c>
      <c r="F82" s="70"/>
      <c r="G82" s="72" t="n">
        <v>1021414000</v>
      </c>
      <c r="H82" s="72" t="n">
        <v>313.6</v>
      </c>
      <c r="I82" s="76" t="n">
        <v>46183</v>
      </c>
      <c r="J82" s="72" t="n">
        <v>313.6</v>
      </c>
      <c r="K82" s="70" t="s">
        <v>65</v>
      </c>
      <c r="L82" s="70" t="s">
        <v>1549</v>
      </c>
      <c r="M82" s="70" t="s">
        <v>405</v>
      </c>
      <c r="N82" s="71" t="n">
        <v>46551</v>
      </c>
      <c r="O82" s="70" t="s">
        <v>189</v>
      </c>
    </row>
    <row r="83" customFormat="false" ht="15" hidden="false" customHeight="false" outlineLevel="0" collapsed="false">
      <c r="A83" s="70" t="s">
        <v>368</v>
      </c>
      <c r="B83" s="70" t="s">
        <v>369</v>
      </c>
      <c r="C83" s="70" t="s">
        <v>1512</v>
      </c>
      <c r="D83" s="70" t="s">
        <v>1556</v>
      </c>
      <c r="E83" s="72" t="n">
        <v>1</v>
      </c>
      <c r="F83" s="70"/>
      <c r="G83" s="72" t="n">
        <v>1021977000</v>
      </c>
      <c r="H83" s="72" t="n">
        <v>313.6</v>
      </c>
      <c r="I83" s="76" t="n">
        <v>46291</v>
      </c>
      <c r="J83" s="72" t="n">
        <v>313.6</v>
      </c>
      <c r="K83" s="70" t="s">
        <v>65</v>
      </c>
      <c r="L83" s="70" t="s">
        <v>1473</v>
      </c>
      <c r="M83" s="70" t="s">
        <v>405</v>
      </c>
      <c r="N83" s="71" t="n">
        <v>46517</v>
      </c>
      <c r="O83" s="70" t="s">
        <v>189</v>
      </c>
    </row>
    <row r="84" customFormat="false" ht="15" hidden="false" customHeight="false" outlineLevel="0" collapsed="false">
      <c r="A84" s="70" t="s">
        <v>257</v>
      </c>
      <c r="B84" s="70" t="s">
        <v>258</v>
      </c>
      <c r="C84" s="70" t="s">
        <v>1512</v>
      </c>
      <c r="D84" s="70" t="s">
        <v>1557</v>
      </c>
      <c r="E84" s="72" t="n">
        <v>1</v>
      </c>
      <c r="F84" s="70"/>
      <c r="G84" s="72" t="n">
        <v>1021153000</v>
      </c>
      <c r="H84" s="72" t="n">
        <v>384</v>
      </c>
      <c r="I84" s="76" t="n">
        <v>46289</v>
      </c>
      <c r="J84" s="72" t="n">
        <v>384</v>
      </c>
      <c r="K84" s="70" t="s">
        <v>65</v>
      </c>
      <c r="L84" s="70" t="s">
        <v>1488</v>
      </c>
      <c r="M84" s="70" t="s">
        <v>405</v>
      </c>
      <c r="N84" s="71" t="n">
        <v>46394</v>
      </c>
      <c r="O84" s="70" t="s">
        <v>189</v>
      </c>
    </row>
    <row r="85" customFormat="false" ht="15" hidden="false" customHeight="false" outlineLevel="0" collapsed="false">
      <c r="A85" s="70" t="s">
        <v>257</v>
      </c>
      <c r="B85" s="70" t="s">
        <v>258</v>
      </c>
      <c r="C85" s="70" t="s">
        <v>1512</v>
      </c>
      <c r="D85" s="70" t="s">
        <v>1558</v>
      </c>
      <c r="E85" s="72" t="n">
        <v>1</v>
      </c>
      <c r="F85" s="70"/>
      <c r="G85" s="72" t="n">
        <v>1021478000</v>
      </c>
      <c r="H85" s="72" t="n">
        <v>384</v>
      </c>
      <c r="I85" s="76" t="n">
        <v>46169</v>
      </c>
      <c r="J85" s="72" t="n">
        <v>384</v>
      </c>
      <c r="K85" s="70" t="s">
        <v>65</v>
      </c>
      <c r="L85" s="70" t="s">
        <v>1559</v>
      </c>
      <c r="M85" s="70" t="s">
        <v>405</v>
      </c>
      <c r="N85" s="71" t="n">
        <v>46394</v>
      </c>
      <c r="O85" s="70" t="s">
        <v>189</v>
      </c>
    </row>
    <row r="86" customFormat="false" ht="15" hidden="false" customHeight="false" outlineLevel="0" collapsed="false">
      <c r="A86" s="70" t="s">
        <v>327</v>
      </c>
      <c r="B86" s="70" t="s">
        <v>328</v>
      </c>
      <c r="C86" s="70" t="s">
        <v>1512</v>
      </c>
      <c r="D86" s="70" t="s">
        <v>1560</v>
      </c>
      <c r="E86" s="72" t="n">
        <v>1</v>
      </c>
      <c r="F86" s="70"/>
      <c r="G86" s="72" t="n">
        <v>1021977000</v>
      </c>
      <c r="H86" s="72" t="n">
        <v>240</v>
      </c>
      <c r="I86" s="76" t="n">
        <v>46291</v>
      </c>
      <c r="J86" s="72" t="n">
        <v>240</v>
      </c>
      <c r="K86" s="70" t="s">
        <v>65</v>
      </c>
      <c r="L86" s="70" t="s">
        <v>1473</v>
      </c>
      <c r="M86" s="70" t="s">
        <v>405</v>
      </c>
      <c r="N86" s="71" t="n">
        <v>46535</v>
      </c>
      <c r="O86" s="70" t="s">
        <v>189</v>
      </c>
    </row>
    <row r="87" customFormat="false" ht="15" hidden="false" customHeight="false" outlineLevel="0" collapsed="false">
      <c r="A87" s="70" t="s">
        <v>284</v>
      </c>
      <c r="B87" s="70" t="s">
        <v>285</v>
      </c>
      <c r="C87" s="70" t="s">
        <v>1512</v>
      </c>
      <c r="D87" s="70" t="s">
        <v>1561</v>
      </c>
      <c r="E87" s="72" t="n">
        <v>1</v>
      </c>
      <c r="F87" s="70"/>
      <c r="G87" s="72" t="n">
        <v>1021963000</v>
      </c>
      <c r="H87" s="72" t="n">
        <v>1000</v>
      </c>
      <c r="I87" s="76" t="n">
        <v>46288</v>
      </c>
      <c r="J87" s="72" t="n">
        <v>1000</v>
      </c>
      <c r="K87" s="70" t="s">
        <v>65</v>
      </c>
      <c r="L87" s="70" t="s">
        <v>1483</v>
      </c>
      <c r="M87" s="70" t="s">
        <v>405</v>
      </c>
      <c r="N87" s="71" t="n">
        <v>46859</v>
      </c>
      <c r="O87" s="70" t="s">
        <v>189</v>
      </c>
    </row>
    <row r="88" customFormat="false" ht="15" hidden="false" customHeight="false" outlineLevel="0" collapsed="false">
      <c r="A88" s="70" t="s">
        <v>245</v>
      </c>
      <c r="B88" s="70" t="s">
        <v>246</v>
      </c>
      <c r="C88" s="70" t="s">
        <v>1512</v>
      </c>
      <c r="D88" s="70" t="s">
        <v>1562</v>
      </c>
      <c r="E88" s="72" t="n">
        <v>1</v>
      </c>
      <c r="F88" s="70"/>
      <c r="G88" s="72" t="n">
        <v>1020164000</v>
      </c>
      <c r="H88" s="72" t="n">
        <v>384</v>
      </c>
      <c r="I88" s="76" t="n">
        <v>45881</v>
      </c>
      <c r="J88" s="72" t="n">
        <v>384</v>
      </c>
      <c r="K88" s="70" t="s">
        <v>65</v>
      </c>
      <c r="L88" s="70" t="s">
        <v>1541</v>
      </c>
      <c r="M88" s="70" t="s">
        <v>405</v>
      </c>
      <c r="N88" s="71" t="n">
        <v>46437</v>
      </c>
      <c r="O88" s="70" t="s">
        <v>189</v>
      </c>
    </row>
    <row r="89" customFormat="false" ht="15" hidden="false" customHeight="false" outlineLevel="0" collapsed="false">
      <c r="A89" s="70" t="s">
        <v>341</v>
      </c>
      <c r="B89" s="70" t="s">
        <v>342</v>
      </c>
      <c r="C89" s="70" t="s">
        <v>1512</v>
      </c>
      <c r="D89" s="70" t="s">
        <v>1563</v>
      </c>
      <c r="E89" s="72" t="n">
        <v>1</v>
      </c>
      <c r="F89" s="70"/>
      <c r="G89" s="72" t="n">
        <v>1021977000</v>
      </c>
      <c r="H89" s="72" t="n">
        <v>81.6</v>
      </c>
      <c r="I89" s="76" t="n">
        <v>46291</v>
      </c>
      <c r="J89" s="72" t="n">
        <v>81.6</v>
      </c>
      <c r="K89" s="70" t="s">
        <v>65</v>
      </c>
      <c r="L89" s="70" t="s">
        <v>1473</v>
      </c>
      <c r="M89" s="70" t="s">
        <v>405</v>
      </c>
      <c r="N89" s="71" t="n">
        <v>46591</v>
      </c>
      <c r="O89" s="70" t="s">
        <v>189</v>
      </c>
    </row>
    <row r="90" customFormat="false" ht="15" hidden="false" customHeight="false" outlineLevel="0" collapsed="false">
      <c r="A90" s="70" t="s">
        <v>314</v>
      </c>
      <c r="B90" s="70" t="s">
        <v>315</v>
      </c>
      <c r="C90" s="70" t="s">
        <v>1512</v>
      </c>
      <c r="D90" s="70" t="s">
        <v>1564</v>
      </c>
      <c r="E90" s="72" t="n">
        <v>1</v>
      </c>
      <c r="F90" s="70"/>
      <c r="G90" s="72" t="n">
        <v>1021414000</v>
      </c>
      <c r="H90" s="72" t="n">
        <v>310.8</v>
      </c>
      <c r="I90" s="76" t="n">
        <v>46183</v>
      </c>
      <c r="J90" s="72" t="n">
        <v>310.8</v>
      </c>
      <c r="K90" s="70" t="s">
        <v>65</v>
      </c>
      <c r="L90" s="70" t="s">
        <v>1549</v>
      </c>
      <c r="M90" s="70" t="s">
        <v>405</v>
      </c>
      <c r="N90" s="71" t="n">
        <v>46551</v>
      </c>
      <c r="O90" s="70" t="s">
        <v>189</v>
      </c>
    </row>
    <row r="91" customFormat="false" ht="15" hidden="false" customHeight="false" outlineLevel="0" collapsed="false">
      <c r="A91" s="70" t="s">
        <v>327</v>
      </c>
      <c r="B91" s="70" t="s">
        <v>328</v>
      </c>
      <c r="C91" s="70" t="s">
        <v>1512</v>
      </c>
      <c r="D91" s="70" t="s">
        <v>1565</v>
      </c>
      <c r="E91" s="72" t="n">
        <v>1</v>
      </c>
      <c r="F91" s="70"/>
      <c r="G91" s="72" t="n">
        <v>1021977000</v>
      </c>
      <c r="H91" s="72" t="n">
        <v>240</v>
      </c>
      <c r="I91" s="76" t="n">
        <v>46291</v>
      </c>
      <c r="J91" s="72" t="n">
        <v>240</v>
      </c>
      <c r="K91" s="70" t="s">
        <v>65</v>
      </c>
      <c r="L91" s="70" t="s">
        <v>1473</v>
      </c>
      <c r="M91" s="70" t="s">
        <v>405</v>
      </c>
      <c r="N91" s="71" t="n">
        <v>46535</v>
      </c>
      <c r="O91" s="70" t="s">
        <v>189</v>
      </c>
    </row>
    <row r="92" customFormat="false" ht="15" hidden="false" customHeight="false" outlineLevel="0" collapsed="false">
      <c r="A92" s="70" t="s">
        <v>314</v>
      </c>
      <c r="B92" s="70" t="s">
        <v>315</v>
      </c>
      <c r="C92" s="70" t="s">
        <v>1512</v>
      </c>
      <c r="D92" s="70" t="s">
        <v>1566</v>
      </c>
      <c r="E92" s="72" t="n">
        <v>1</v>
      </c>
      <c r="F92" s="70"/>
      <c r="G92" s="72" t="n">
        <v>1021414000</v>
      </c>
      <c r="H92" s="72" t="n">
        <v>313.6</v>
      </c>
      <c r="I92" s="76" t="n">
        <v>46183</v>
      </c>
      <c r="J92" s="72" t="n">
        <v>313.6</v>
      </c>
      <c r="K92" s="70" t="s">
        <v>65</v>
      </c>
      <c r="L92" s="70" t="s">
        <v>1549</v>
      </c>
      <c r="M92" s="70" t="s">
        <v>405</v>
      </c>
      <c r="N92" s="71" t="n">
        <v>46551</v>
      </c>
      <c r="O92" s="70" t="s">
        <v>189</v>
      </c>
    </row>
    <row r="93" customFormat="false" ht="15" hidden="false" customHeight="false" outlineLevel="0" collapsed="false">
      <c r="A93" s="70" t="s">
        <v>245</v>
      </c>
      <c r="B93" s="70" t="s">
        <v>246</v>
      </c>
      <c r="C93" s="70" t="s">
        <v>1512</v>
      </c>
      <c r="D93" s="70" t="s">
        <v>1567</v>
      </c>
      <c r="E93" s="72" t="n">
        <v>1</v>
      </c>
      <c r="F93" s="70"/>
      <c r="G93" s="72" t="n">
        <v>1020163000</v>
      </c>
      <c r="H93" s="72" t="n">
        <v>384</v>
      </c>
      <c r="I93" s="76" t="n">
        <v>46235</v>
      </c>
      <c r="J93" s="72" t="n">
        <v>384</v>
      </c>
      <c r="K93" s="70" t="s">
        <v>65</v>
      </c>
      <c r="L93" s="70" t="s">
        <v>1547</v>
      </c>
      <c r="M93" s="70" t="s">
        <v>405</v>
      </c>
      <c r="N93" s="71" t="n">
        <v>46437</v>
      </c>
      <c r="O93" s="70" t="s">
        <v>189</v>
      </c>
    </row>
    <row r="94" customFormat="false" ht="15" hidden="false" customHeight="false" outlineLevel="0" collapsed="false">
      <c r="A94" s="70" t="s">
        <v>257</v>
      </c>
      <c r="B94" s="70" t="s">
        <v>258</v>
      </c>
      <c r="C94" s="70" t="s">
        <v>1512</v>
      </c>
      <c r="D94" s="70" t="s">
        <v>1568</v>
      </c>
      <c r="E94" s="72" t="n">
        <v>1</v>
      </c>
      <c r="F94" s="70"/>
      <c r="G94" s="72" t="n">
        <v>1021750000</v>
      </c>
      <c r="H94" s="72" t="n">
        <v>384</v>
      </c>
      <c r="I94" s="76" t="n">
        <v>46236</v>
      </c>
      <c r="J94" s="72" t="n">
        <v>384</v>
      </c>
      <c r="K94" s="70" t="s">
        <v>65</v>
      </c>
      <c r="L94" s="70" t="s">
        <v>1569</v>
      </c>
      <c r="M94" s="70" t="s">
        <v>405</v>
      </c>
      <c r="N94" s="71" t="n">
        <v>46394</v>
      </c>
      <c r="O94" s="70" t="s">
        <v>189</v>
      </c>
    </row>
    <row r="95" customFormat="false" ht="15" hidden="false" customHeight="false" outlineLevel="0" collapsed="false">
      <c r="A95" s="70" t="s">
        <v>314</v>
      </c>
      <c r="B95" s="70" t="s">
        <v>315</v>
      </c>
      <c r="C95" s="70" t="s">
        <v>1512</v>
      </c>
      <c r="D95" s="70" t="s">
        <v>1570</v>
      </c>
      <c r="E95" s="72" t="n">
        <v>1</v>
      </c>
      <c r="F95" s="70"/>
      <c r="G95" s="72" t="n">
        <v>1021414000</v>
      </c>
      <c r="H95" s="72" t="n">
        <v>313.6</v>
      </c>
      <c r="I95" s="76" t="n">
        <v>46183</v>
      </c>
      <c r="J95" s="72" t="n">
        <v>313.6</v>
      </c>
      <c r="K95" s="70" t="s">
        <v>65</v>
      </c>
      <c r="L95" s="70" t="s">
        <v>1549</v>
      </c>
      <c r="M95" s="70" t="s">
        <v>405</v>
      </c>
      <c r="N95" s="71" t="n">
        <v>46551</v>
      </c>
      <c r="O95" s="70" t="s">
        <v>189</v>
      </c>
    </row>
    <row r="96" customFormat="false" ht="15" hidden="false" customHeight="false" outlineLevel="0" collapsed="false">
      <c r="A96" s="70" t="s">
        <v>201</v>
      </c>
      <c r="B96" s="70" t="s">
        <v>202</v>
      </c>
      <c r="C96" s="70" t="s">
        <v>1512</v>
      </c>
      <c r="D96" s="70" t="s">
        <v>1571</v>
      </c>
      <c r="E96" s="72" t="n">
        <v>1</v>
      </c>
      <c r="F96" s="70"/>
      <c r="G96" s="72" t="n">
        <v>1021613000</v>
      </c>
      <c r="H96" s="72" t="n">
        <v>313.6</v>
      </c>
      <c r="I96" s="76" t="n">
        <v>46201</v>
      </c>
      <c r="J96" s="72" t="n">
        <v>313.6</v>
      </c>
      <c r="K96" s="70" t="s">
        <v>65</v>
      </c>
      <c r="L96" s="70" t="s">
        <v>1572</v>
      </c>
      <c r="M96" s="70" t="s">
        <v>405</v>
      </c>
      <c r="N96" s="71" t="n">
        <v>46550</v>
      </c>
      <c r="O96" s="70" t="s">
        <v>189</v>
      </c>
    </row>
    <row r="97" customFormat="false" ht="15" hidden="false" customHeight="false" outlineLevel="0" collapsed="false">
      <c r="A97" s="70" t="s">
        <v>201</v>
      </c>
      <c r="B97" s="70" t="s">
        <v>202</v>
      </c>
      <c r="C97" s="70" t="s">
        <v>1512</v>
      </c>
      <c r="D97" s="70" t="s">
        <v>1573</v>
      </c>
      <c r="E97" s="72" t="n">
        <v>1</v>
      </c>
      <c r="F97" s="70"/>
      <c r="G97" s="72" t="n">
        <v>1021613000</v>
      </c>
      <c r="H97" s="72" t="n">
        <v>313.6</v>
      </c>
      <c r="I97" s="76" t="n">
        <v>46201</v>
      </c>
      <c r="J97" s="72" t="n">
        <v>313.6</v>
      </c>
      <c r="K97" s="70" t="s">
        <v>65</v>
      </c>
      <c r="L97" s="70" t="s">
        <v>1572</v>
      </c>
      <c r="M97" s="70" t="s">
        <v>405</v>
      </c>
      <c r="N97" s="71" t="n">
        <v>46550</v>
      </c>
      <c r="O97" s="70" t="s">
        <v>189</v>
      </c>
    </row>
    <row r="98" customFormat="false" ht="15" hidden="false" customHeight="false" outlineLevel="0" collapsed="false">
      <c r="A98" s="70" t="s">
        <v>314</v>
      </c>
      <c r="B98" s="70" t="s">
        <v>315</v>
      </c>
      <c r="C98" s="70" t="s">
        <v>1512</v>
      </c>
      <c r="D98" s="70" t="s">
        <v>1574</v>
      </c>
      <c r="E98" s="72" t="n">
        <v>1</v>
      </c>
      <c r="F98" s="70"/>
      <c r="G98" s="72" t="n">
        <v>1021414000</v>
      </c>
      <c r="H98" s="72" t="n">
        <v>313.6</v>
      </c>
      <c r="I98" s="76" t="n">
        <v>46183</v>
      </c>
      <c r="J98" s="72" t="n">
        <v>313.6</v>
      </c>
      <c r="K98" s="70" t="s">
        <v>65</v>
      </c>
      <c r="L98" s="70" t="s">
        <v>1549</v>
      </c>
      <c r="M98" s="70" t="s">
        <v>405</v>
      </c>
      <c r="N98" s="71" t="n">
        <v>46551</v>
      </c>
      <c r="O98" s="70" t="s">
        <v>189</v>
      </c>
    </row>
    <row r="99" customFormat="false" ht="15" hidden="false" customHeight="false" outlineLevel="0" collapsed="false">
      <c r="A99" s="70" t="s">
        <v>257</v>
      </c>
      <c r="B99" s="70" t="s">
        <v>258</v>
      </c>
      <c r="C99" s="70" t="s">
        <v>1512</v>
      </c>
      <c r="D99" s="70" t="s">
        <v>1575</v>
      </c>
      <c r="E99" s="72" t="n">
        <v>1</v>
      </c>
      <c r="F99" s="70" t="s">
        <v>1503</v>
      </c>
      <c r="G99" s="72" t="n">
        <v>1021182000</v>
      </c>
      <c r="H99" s="72" t="n">
        <v>186</v>
      </c>
      <c r="I99" s="76" t="n">
        <v>46095</v>
      </c>
      <c r="J99" s="72" t="n">
        <v>186</v>
      </c>
      <c r="K99" s="70" t="s">
        <v>65</v>
      </c>
      <c r="L99" s="70" t="s">
        <v>1576</v>
      </c>
      <c r="M99" s="70" t="s">
        <v>405</v>
      </c>
      <c r="N99" s="71" t="n">
        <v>46394</v>
      </c>
      <c r="O99" s="70" t="s">
        <v>189</v>
      </c>
    </row>
    <row r="100" customFormat="false" ht="15" hidden="false" customHeight="false" outlineLevel="0" collapsed="false">
      <c r="A100" s="70" t="s">
        <v>201</v>
      </c>
      <c r="B100" s="70" t="s">
        <v>202</v>
      </c>
      <c r="C100" s="70" t="s">
        <v>1512</v>
      </c>
      <c r="D100" s="70" t="s">
        <v>1577</v>
      </c>
      <c r="E100" s="72" t="n">
        <v>1</v>
      </c>
      <c r="F100" s="70"/>
      <c r="G100" s="72" t="n">
        <v>1021613000</v>
      </c>
      <c r="H100" s="72" t="n">
        <v>313.6</v>
      </c>
      <c r="I100" s="76" t="n">
        <v>46201</v>
      </c>
      <c r="J100" s="72" t="n">
        <v>313.6</v>
      </c>
      <c r="K100" s="70" t="s">
        <v>65</v>
      </c>
      <c r="L100" s="70" t="s">
        <v>1572</v>
      </c>
      <c r="M100" s="70" t="s">
        <v>405</v>
      </c>
      <c r="N100" s="71" t="n">
        <v>46550</v>
      </c>
      <c r="O100" s="70" t="s">
        <v>189</v>
      </c>
    </row>
    <row r="101" customFormat="false" ht="15" hidden="false" customHeight="false" outlineLevel="0" collapsed="false">
      <c r="A101" s="70" t="s">
        <v>314</v>
      </c>
      <c r="B101" s="70" t="s">
        <v>315</v>
      </c>
      <c r="C101" s="70" t="s">
        <v>1512</v>
      </c>
      <c r="D101" s="70" t="s">
        <v>1578</v>
      </c>
      <c r="E101" s="72" t="n">
        <v>1</v>
      </c>
      <c r="F101" s="70"/>
      <c r="G101" s="72" t="n">
        <v>1021414000</v>
      </c>
      <c r="H101" s="72" t="n">
        <v>313.6</v>
      </c>
      <c r="I101" s="76" t="n">
        <v>46183</v>
      </c>
      <c r="J101" s="72" t="n">
        <v>313.6</v>
      </c>
      <c r="K101" s="70" t="s">
        <v>65</v>
      </c>
      <c r="L101" s="70" t="s">
        <v>1549</v>
      </c>
      <c r="M101" s="70" t="s">
        <v>405</v>
      </c>
      <c r="N101" s="71" t="n">
        <v>46551</v>
      </c>
      <c r="O101" s="70" t="s">
        <v>189</v>
      </c>
    </row>
    <row r="102" customFormat="false" ht="15" hidden="false" customHeight="false" outlineLevel="0" collapsed="false">
      <c r="A102" s="70" t="s">
        <v>322</v>
      </c>
      <c r="B102" s="70" t="s">
        <v>323</v>
      </c>
      <c r="C102" s="70" t="s">
        <v>1512</v>
      </c>
      <c r="D102" s="70" t="s">
        <v>1579</v>
      </c>
      <c r="E102" s="72" t="n">
        <v>1</v>
      </c>
      <c r="F102" s="70"/>
      <c r="G102" s="72" t="n">
        <v>1021493000</v>
      </c>
      <c r="H102" s="72" t="n">
        <v>313.6</v>
      </c>
      <c r="I102" s="76" t="n">
        <v>46173</v>
      </c>
      <c r="J102" s="72" t="n">
        <v>313.6</v>
      </c>
      <c r="K102" s="70" t="s">
        <v>65</v>
      </c>
      <c r="L102" s="70" t="s">
        <v>1580</v>
      </c>
      <c r="M102" s="70" t="s">
        <v>405</v>
      </c>
      <c r="N102" s="71" t="n">
        <v>46416</v>
      </c>
      <c r="O102" s="70" t="s">
        <v>189</v>
      </c>
    </row>
    <row r="103" customFormat="false" ht="15" hidden="false" customHeight="false" outlineLevel="0" collapsed="false">
      <c r="A103" s="70" t="s">
        <v>314</v>
      </c>
      <c r="B103" s="70" t="s">
        <v>315</v>
      </c>
      <c r="C103" s="70" t="s">
        <v>1512</v>
      </c>
      <c r="D103" s="70" t="s">
        <v>1581</v>
      </c>
      <c r="E103" s="72" t="n">
        <v>1</v>
      </c>
      <c r="F103" s="70"/>
      <c r="G103" s="72" t="n">
        <v>1021414000</v>
      </c>
      <c r="H103" s="72" t="n">
        <v>313.6</v>
      </c>
      <c r="I103" s="76" t="n">
        <v>46183</v>
      </c>
      <c r="J103" s="72" t="n">
        <v>313.6</v>
      </c>
      <c r="K103" s="70" t="s">
        <v>65</v>
      </c>
      <c r="L103" s="70" t="s">
        <v>1549</v>
      </c>
      <c r="M103" s="70" t="s">
        <v>405</v>
      </c>
      <c r="N103" s="71" t="n">
        <v>46551</v>
      </c>
      <c r="O103" s="70" t="s">
        <v>189</v>
      </c>
    </row>
    <row r="104" customFormat="false" ht="15" hidden="false" customHeight="false" outlineLevel="0" collapsed="false">
      <c r="A104" s="70" t="s">
        <v>314</v>
      </c>
      <c r="B104" s="70" t="s">
        <v>315</v>
      </c>
      <c r="C104" s="70" t="s">
        <v>1512</v>
      </c>
      <c r="D104" s="70" t="s">
        <v>1582</v>
      </c>
      <c r="E104" s="72" t="n">
        <v>1</v>
      </c>
      <c r="F104" s="70"/>
      <c r="G104" s="72" t="n">
        <v>1021414000</v>
      </c>
      <c r="H104" s="72" t="n">
        <v>313.6</v>
      </c>
      <c r="I104" s="76" t="n">
        <v>46183</v>
      </c>
      <c r="J104" s="72" t="n">
        <v>313.6</v>
      </c>
      <c r="K104" s="70" t="s">
        <v>65</v>
      </c>
      <c r="L104" s="70" t="s">
        <v>1549</v>
      </c>
      <c r="M104" s="70" t="s">
        <v>405</v>
      </c>
      <c r="N104" s="71" t="n">
        <v>46551</v>
      </c>
      <c r="O104" s="70" t="s">
        <v>189</v>
      </c>
    </row>
    <row r="105" customFormat="false" ht="15" hidden="false" customHeight="false" outlineLevel="0" collapsed="false">
      <c r="A105" s="70" t="s">
        <v>314</v>
      </c>
      <c r="B105" s="70" t="s">
        <v>315</v>
      </c>
      <c r="C105" s="70" t="s">
        <v>1512</v>
      </c>
      <c r="D105" s="70" t="s">
        <v>1583</v>
      </c>
      <c r="E105" s="72" t="n">
        <v>1</v>
      </c>
      <c r="F105" s="70"/>
      <c r="G105" s="72" t="n">
        <v>1021414000</v>
      </c>
      <c r="H105" s="72" t="n">
        <v>313.6</v>
      </c>
      <c r="I105" s="76" t="n">
        <v>46183</v>
      </c>
      <c r="J105" s="72" t="n">
        <v>313.6</v>
      </c>
      <c r="K105" s="70" t="s">
        <v>65</v>
      </c>
      <c r="L105" s="70" t="s">
        <v>1549</v>
      </c>
      <c r="M105" s="70" t="s">
        <v>405</v>
      </c>
      <c r="N105" s="71" t="n">
        <v>46551</v>
      </c>
      <c r="O105" s="70" t="s">
        <v>189</v>
      </c>
    </row>
    <row r="106" customFormat="false" ht="15" hidden="false" customHeight="false" outlineLevel="0" collapsed="false">
      <c r="A106" s="70" t="s">
        <v>314</v>
      </c>
      <c r="B106" s="70" t="s">
        <v>315</v>
      </c>
      <c r="C106" s="70" t="s">
        <v>1512</v>
      </c>
      <c r="D106" s="70" t="s">
        <v>1584</v>
      </c>
      <c r="E106" s="72" t="n">
        <v>1</v>
      </c>
      <c r="F106" s="70"/>
      <c r="G106" s="72" t="n">
        <v>1021414000</v>
      </c>
      <c r="H106" s="72" t="n">
        <v>313.6</v>
      </c>
      <c r="I106" s="76" t="n">
        <v>46183</v>
      </c>
      <c r="J106" s="72" t="n">
        <v>313.6</v>
      </c>
      <c r="K106" s="70" t="s">
        <v>65</v>
      </c>
      <c r="L106" s="70" t="s">
        <v>1549</v>
      </c>
      <c r="M106" s="70" t="s">
        <v>405</v>
      </c>
      <c r="N106" s="71" t="n">
        <v>46551</v>
      </c>
      <c r="O106" s="70" t="s">
        <v>189</v>
      </c>
    </row>
    <row r="107" customFormat="false" ht="15" hidden="false" customHeight="false" outlineLevel="0" collapsed="false">
      <c r="A107" s="70" t="s">
        <v>322</v>
      </c>
      <c r="B107" s="70" t="s">
        <v>323</v>
      </c>
      <c r="C107" s="70" t="s">
        <v>1512</v>
      </c>
      <c r="D107" s="70" t="s">
        <v>1585</v>
      </c>
      <c r="E107" s="72" t="n">
        <v>1</v>
      </c>
      <c r="F107" s="70"/>
      <c r="G107" s="72" t="n">
        <v>1021450000</v>
      </c>
      <c r="H107" s="72" t="n">
        <v>313.6</v>
      </c>
      <c r="I107" s="76" t="n">
        <v>46170</v>
      </c>
      <c r="J107" s="72" t="n">
        <v>313.6</v>
      </c>
      <c r="K107" s="70" t="s">
        <v>65</v>
      </c>
      <c r="L107" s="70" t="s">
        <v>1586</v>
      </c>
      <c r="M107" s="70" t="s">
        <v>405</v>
      </c>
      <c r="N107" s="71" t="n">
        <v>46416</v>
      </c>
      <c r="O107" s="70" t="s">
        <v>189</v>
      </c>
    </row>
    <row r="108" customFormat="false" ht="15" hidden="false" customHeight="false" outlineLevel="0" collapsed="false">
      <c r="A108" s="70" t="s">
        <v>245</v>
      </c>
      <c r="B108" s="70" t="s">
        <v>246</v>
      </c>
      <c r="C108" s="70" t="s">
        <v>1512</v>
      </c>
      <c r="D108" s="70" t="s">
        <v>1587</v>
      </c>
      <c r="E108" s="72" t="n">
        <v>1</v>
      </c>
      <c r="F108" s="70"/>
      <c r="G108" s="72" t="n">
        <v>1020164000</v>
      </c>
      <c r="H108" s="72" t="n">
        <v>384</v>
      </c>
      <c r="I108" s="76" t="n">
        <v>45881</v>
      </c>
      <c r="J108" s="72" t="n">
        <v>384</v>
      </c>
      <c r="K108" s="70" t="s">
        <v>65</v>
      </c>
      <c r="L108" s="70" t="s">
        <v>1541</v>
      </c>
      <c r="M108" s="70" t="s">
        <v>405</v>
      </c>
      <c r="N108" s="71" t="n">
        <v>46437</v>
      </c>
      <c r="O108" s="70" t="s">
        <v>189</v>
      </c>
    </row>
    <row r="109" customFormat="false" ht="15" hidden="false" customHeight="false" outlineLevel="0" collapsed="false">
      <c r="A109" s="70" t="s">
        <v>314</v>
      </c>
      <c r="B109" s="70" t="s">
        <v>315</v>
      </c>
      <c r="C109" s="70" t="s">
        <v>1512</v>
      </c>
      <c r="D109" s="70" t="s">
        <v>1588</v>
      </c>
      <c r="E109" s="72" t="n">
        <v>1</v>
      </c>
      <c r="F109" s="70"/>
      <c r="G109" s="72" t="n">
        <v>1021414000</v>
      </c>
      <c r="H109" s="72" t="n">
        <v>313.6</v>
      </c>
      <c r="I109" s="76" t="n">
        <v>46183</v>
      </c>
      <c r="J109" s="72" t="n">
        <v>313.6</v>
      </c>
      <c r="K109" s="70" t="s">
        <v>65</v>
      </c>
      <c r="L109" s="70" t="s">
        <v>1549</v>
      </c>
      <c r="M109" s="70" t="s">
        <v>405</v>
      </c>
      <c r="N109" s="71" t="n">
        <v>46551</v>
      </c>
      <c r="O109" s="70" t="s">
        <v>189</v>
      </c>
    </row>
    <row r="110" customFormat="false" ht="15" hidden="false" customHeight="false" outlineLevel="0" collapsed="false">
      <c r="A110" s="70" t="s">
        <v>245</v>
      </c>
      <c r="B110" s="70" t="s">
        <v>246</v>
      </c>
      <c r="C110" s="70" t="s">
        <v>1512</v>
      </c>
      <c r="D110" s="70" t="s">
        <v>1589</v>
      </c>
      <c r="E110" s="72" t="n">
        <v>1</v>
      </c>
      <c r="F110" s="70"/>
      <c r="G110" s="72" t="n">
        <v>1020164000</v>
      </c>
      <c r="H110" s="72" t="n">
        <v>378</v>
      </c>
      <c r="I110" s="76" t="n">
        <v>46235</v>
      </c>
      <c r="J110" s="72" t="n">
        <v>378</v>
      </c>
      <c r="K110" s="70" t="s">
        <v>65</v>
      </c>
      <c r="L110" s="70" t="s">
        <v>1547</v>
      </c>
      <c r="M110" s="70" t="s">
        <v>405</v>
      </c>
      <c r="N110" s="71" t="n">
        <v>46437</v>
      </c>
      <c r="O110" s="70" t="s">
        <v>189</v>
      </c>
    </row>
    <row r="111" customFormat="false" ht="15" hidden="false" customHeight="false" outlineLevel="0" collapsed="false">
      <c r="A111" s="70" t="s">
        <v>314</v>
      </c>
      <c r="B111" s="70" t="s">
        <v>315</v>
      </c>
      <c r="C111" s="70" t="s">
        <v>1512</v>
      </c>
      <c r="D111" s="70" t="s">
        <v>1590</v>
      </c>
      <c r="E111" s="72" t="n">
        <v>1</v>
      </c>
      <c r="F111" s="70"/>
      <c r="G111" s="72" t="n">
        <v>1021425000</v>
      </c>
      <c r="H111" s="72" t="n">
        <v>313.6</v>
      </c>
      <c r="I111" s="76" t="n">
        <v>46183</v>
      </c>
      <c r="J111" s="72" t="n">
        <v>313.6</v>
      </c>
      <c r="K111" s="70" t="s">
        <v>65</v>
      </c>
      <c r="L111" s="70" t="s">
        <v>1549</v>
      </c>
      <c r="M111" s="70" t="s">
        <v>405</v>
      </c>
      <c r="N111" s="71" t="n">
        <v>46551</v>
      </c>
      <c r="O111" s="70" t="s">
        <v>189</v>
      </c>
    </row>
    <row r="112" customFormat="false" ht="15" hidden="false" customHeight="false" outlineLevel="0" collapsed="false">
      <c r="A112" s="70" t="s">
        <v>314</v>
      </c>
      <c r="B112" s="70" t="s">
        <v>315</v>
      </c>
      <c r="C112" s="70" t="s">
        <v>1512</v>
      </c>
      <c r="D112" s="70" t="s">
        <v>1591</v>
      </c>
      <c r="E112" s="72" t="n">
        <v>1</v>
      </c>
      <c r="F112" s="70"/>
      <c r="G112" s="72" t="n">
        <v>1021425000</v>
      </c>
      <c r="H112" s="72" t="n">
        <v>313.6</v>
      </c>
      <c r="I112" s="76" t="n">
        <v>46183</v>
      </c>
      <c r="J112" s="72" t="n">
        <v>313.6</v>
      </c>
      <c r="K112" s="70" t="s">
        <v>65</v>
      </c>
      <c r="L112" s="70" t="s">
        <v>1549</v>
      </c>
      <c r="M112" s="70" t="s">
        <v>405</v>
      </c>
      <c r="N112" s="71" t="n">
        <v>46551</v>
      </c>
      <c r="O112" s="70" t="s">
        <v>189</v>
      </c>
    </row>
    <row r="113" customFormat="false" ht="15" hidden="false" customHeight="false" outlineLevel="0" collapsed="false">
      <c r="A113" s="70" t="s">
        <v>245</v>
      </c>
      <c r="B113" s="70" t="s">
        <v>246</v>
      </c>
      <c r="C113" s="70" t="s">
        <v>1512</v>
      </c>
      <c r="D113" s="70" t="s">
        <v>1592</v>
      </c>
      <c r="E113" s="72" t="n">
        <v>1</v>
      </c>
      <c r="F113" s="70"/>
      <c r="G113" s="72" t="n">
        <v>1020164000</v>
      </c>
      <c r="H113" s="72" t="n">
        <v>384</v>
      </c>
      <c r="I113" s="76" t="n">
        <v>45881</v>
      </c>
      <c r="J113" s="72" t="n">
        <v>384</v>
      </c>
      <c r="K113" s="70" t="s">
        <v>65</v>
      </c>
      <c r="L113" s="70" t="s">
        <v>1541</v>
      </c>
      <c r="M113" s="70" t="s">
        <v>405</v>
      </c>
      <c r="N113" s="71" t="n">
        <v>46437</v>
      </c>
      <c r="O113" s="70" t="s">
        <v>189</v>
      </c>
    </row>
    <row r="114" customFormat="false" ht="15" hidden="false" customHeight="false" outlineLevel="0" collapsed="false">
      <c r="A114" s="70" t="s">
        <v>286</v>
      </c>
      <c r="B114" s="70" t="s">
        <v>290</v>
      </c>
      <c r="C114" s="70" t="s">
        <v>1512</v>
      </c>
      <c r="D114" s="70" t="s">
        <v>1593</v>
      </c>
      <c r="E114" s="72" t="n">
        <v>1</v>
      </c>
      <c r="F114" s="70"/>
      <c r="G114" s="72" t="n">
        <v>1021976000</v>
      </c>
      <c r="H114" s="72" t="n">
        <v>120</v>
      </c>
      <c r="I114" s="76" t="n">
        <v>46291</v>
      </c>
      <c r="J114" s="72" t="n">
        <v>120</v>
      </c>
      <c r="K114" s="70" t="s">
        <v>147</v>
      </c>
      <c r="L114" s="70" t="s">
        <v>1473</v>
      </c>
      <c r="M114" s="70" t="s">
        <v>405</v>
      </c>
      <c r="N114" s="71" t="n">
        <v>46651</v>
      </c>
      <c r="O114" s="70" t="s">
        <v>189</v>
      </c>
    </row>
    <row r="115" customFormat="false" ht="15" hidden="false" customHeight="false" outlineLevel="0" collapsed="false">
      <c r="A115" s="70" t="s">
        <v>211</v>
      </c>
      <c r="B115" s="70" t="s">
        <v>214</v>
      </c>
      <c r="C115" s="70" t="s">
        <v>1512</v>
      </c>
      <c r="D115" s="70" t="s">
        <v>1594</v>
      </c>
      <c r="E115" s="72" t="n">
        <v>1</v>
      </c>
      <c r="F115" s="70"/>
      <c r="G115" s="72" t="n">
        <v>1021969000</v>
      </c>
      <c r="H115" s="72" t="n">
        <v>1000</v>
      </c>
      <c r="I115" s="76" t="n">
        <v>46293</v>
      </c>
      <c r="J115" s="72" t="n">
        <v>1000</v>
      </c>
      <c r="K115" s="70" t="s">
        <v>65</v>
      </c>
      <c r="L115" s="70" t="s">
        <v>1464</v>
      </c>
      <c r="M115" s="70" t="s">
        <v>405</v>
      </c>
      <c r="N115" s="71" t="n">
        <v>46638</v>
      </c>
      <c r="O115" s="70" t="s">
        <v>189</v>
      </c>
    </row>
    <row r="116" customFormat="false" ht="15" hidden="false" customHeight="false" outlineLevel="0" collapsed="false">
      <c r="A116" s="70" t="s">
        <v>389</v>
      </c>
      <c r="B116" s="70" t="s">
        <v>391</v>
      </c>
      <c r="C116" s="70" t="s">
        <v>1512</v>
      </c>
      <c r="D116" s="70" t="s">
        <v>1595</v>
      </c>
      <c r="E116" s="72" t="n">
        <v>1</v>
      </c>
      <c r="F116" s="70"/>
      <c r="G116" s="72" t="n">
        <v>1021976000</v>
      </c>
      <c r="H116" s="72" t="n">
        <v>313.6</v>
      </c>
      <c r="I116" s="76" t="n">
        <v>46291</v>
      </c>
      <c r="J116" s="72" t="n">
        <v>313.6</v>
      </c>
      <c r="K116" s="70" t="s">
        <v>65</v>
      </c>
      <c r="L116" s="70" t="s">
        <v>1473</v>
      </c>
      <c r="M116" s="70" t="s">
        <v>405</v>
      </c>
      <c r="N116" s="71" t="n">
        <v>46457</v>
      </c>
      <c r="O116" s="70" t="s">
        <v>189</v>
      </c>
    </row>
    <row r="117" customFormat="false" ht="15" hidden="false" customHeight="false" outlineLevel="0" collapsed="false">
      <c r="A117" s="70" t="s">
        <v>257</v>
      </c>
      <c r="B117" s="70" t="s">
        <v>258</v>
      </c>
      <c r="C117" s="70" t="s">
        <v>1512</v>
      </c>
      <c r="D117" s="70" t="s">
        <v>1596</v>
      </c>
      <c r="E117" s="72" t="n">
        <v>1</v>
      </c>
      <c r="F117" s="70"/>
      <c r="G117" s="72" t="n">
        <v>1021969000</v>
      </c>
      <c r="H117" s="72" t="n">
        <v>384</v>
      </c>
      <c r="I117" s="76" t="n">
        <v>46291</v>
      </c>
      <c r="J117" s="72" t="n">
        <v>384</v>
      </c>
      <c r="K117" s="70" t="s">
        <v>65</v>
      </c>
      <c r="L117" s="70" t="s">
        <v>1473</v>
      </c>
      <c r="M117" s="70" t="s">
        <v>405</v>
      </c>
      <c r="N117" s="71" t="n">
        <v>46394</v>
      </c>
      <c r="O117" s="70" t="s">
        <v>189</v>
      </c>
    </row>
    <row r="118" customFormat="false" ht="15" hidden="false" customHeight="false" outlineLevel="0" collapsed="false">
      <c r="A118" s="70" t="s">
        <v>372</v>
      </c>
      <c r="B118" s="70" t="s">
        <v>373</v>
      </c>
      <c r="C118" s="70" t="s">
        <v>1512</v>
      </c>
      <c r="D118" s="70" t="s">
        <v>1597</v>
      </c>
      <c r="E118" s="72" t="n">
        <v>1</v>
      </c>
      <c r="F118" s="70"/>
      <c r="G118" s="72" t="n">
        <v>1021976000</v>
      </c>
      <c r="H118" s="72" t="n">
        <v>600</v>
      </c>
      <c r="I118" s="76" t="n">
        <v>46291</v>
      </c>
      <c r="J118" s="72" t="n">
        <v>600</v>
      </c>
      <c r="K118" s="70" t="s">
        <v>65</v>
      </c>
      <c r="L118" s="70" t="s">
        <v>1473</v>
      </c>
      <c r="M118" s="70" t="s">
        <v>405</v>
      </c>
      <c r="N118" s="71" t="n">
        <v>46472</v>
      </c>
      <c r="O118" s="70" t="s">
        <v>189</v>
      </c>
    </row>
    <row r="119" customFormat="false" ht="15" hidden="false" customHeight="false" outlineLevel="0" collapsed="false">
      <c r="A119" s="70" t="s">
        <v>309</v>
      </c>
      <c r="B119" s="70" t="s">
        <v>310</v>
      </c>
      <c r="C119" s="70" t="s">
        <v>1512</v>
      </c>
      <c r="D119" s="70" t="s">
        <v>1598</v>
      </c>
      <c r="E119" s="72" t="n">
        <v>1</v>
      </c>
      <c r="F119" s="70"/>
      <c r="G119" s="72" t="n">
        <v>1021985000</v>
      </c>
      <c r="H119" s="72" t="n">
        <v>482.4</v>
      </c>
      <c r="I119" s="76" t="n">
        <v>46294</v>
      </c>
      <c r="J119" s="72" t="n">
        <v>482.4</v>
      </c>
      <c r="K119" s="70" t="s">
        <v>65</v>
      </c>
      <c r="L119" s="70" t="s">
        <v>1477</v>
      </c>
      <c r="M119" s="70" t="s">
        <v>405</v>
      </c>
      <c r="N119" s="71" t="n">
        <v>46678</v>
      </c>
      <c r="O119" s="70" t="s">
        <v>189</v>
      </c>
    </row>
    <row r="120" customFormat="false" ht="15" hidden="false" customHeight="false" outlineLevel="0" collapsed="false">
      <c r="A120" s="70" t="s">
        <v>286</v>
      </c>
      <c r="B120" s="70" t="s">
        <v>291</v>
      </c>
      <c r="C120" s="70" t="s">
        <v>1512</v>
      </c>
      <c r="D120" s="70" t="s">
        <v>1599</v>
      </c>
      <c r="E120" s="72" t="n">
        <v>1</v>
      </c>
      <c r="F120" s="70"/>
      <c r="G120" s="72" t="n">
        <v>1021976000</v>
      </c>
      <c r="H120" s="72" t="n">
        <v>45</v>
      </c>
      <c r="I120" s="76" t="n">
        <v>46291</v>
      </c>
      <c r="J120" s="72" t="n">
        <v>45</v>
      </c>
      <c r="K120" s="70" t="s">
        <v>147</v>
      </c>
      <c r="L120" s="70" t="s">
        <v>1473</v>
      </c>
      <c r="M120" s="70" t="s">
        <v>405</v>
      </c>
      <c r="N120" s="71" t="n">
        <v>46655</v>
      </c>
      <c r="O120" s="70" t="s">
        <v>189</v>
      </c>
    </row>
    <row r="121" customFormat="false" ht="15" hidden="false" customHeight="false" outlineLevel="0" collapsed="false">
      <c r="A121" s="70" t="s">
        <v>257</v>
      </c>
      <c r="B121" s="70" t="s">
        <v>258</v>
      </c>
      <c r="C121" s="70" t="s">
        <v>1512</v>
      </c>
      <c r="D121" s="70" t="s">
        <v>1600</v>
      </c>
      <c r="E121" s="72" t="n">
        <v>1</v>
      </c>
      <c r="F121" s="70"/>
      <c r="G121" s="72" t="n">
        <v>1021707000</v>
      </c>
      <c r="H121" s="72" t="n">
        <v>288</v>
      </c>
      <c r="I121" s="76" t="n">
        <v>46291</v>
      </c>
      <c r="J121" s="72" t="n">
        <v>288</v>
      </c>
      <c r="K121" s="70" t="s">
        <v>65</v>
      </c>
      <c r="L121" s="70" t="s">
        <v>1601</v>
      </c>
      <c r="M121" s="70" t="s">
        <v>405</v>
      </c>
      <c r="N121" s="71" t="n">
        <v>46394</v>
      </c>
      <c r="O121" s="70" t="s">
        <v>189</v>
      </c>
    </row>
    <row r="122" customFormat="false" ht="15" hidden="false" customHeight="false" outlineLevel="0" collapsed="false">
      <c r="A122" s="70" t="s">
        <v>286</v>
      </c>
      <c r="B122" s="70" t="s">
        <v>290</v>
      </c>
      <c r="C122" s="70" t="s">
        <v>1512</v>
      </c>
      <c r="D122" s="70" t="s">
        <v>1602</v>
      </c>
      <c r="E122" s="72" t="n">
        <v>1</v>
      </c>
      <c r="F122" s="70"/>
      <c r="G122" s="72" t="n">
        <v>1021976000</v>
      </c>
      <c r="H122" s="72" t="n">
        <v>26</v>
      </c>
      <c r="I122" s="76" t="n">
        <v>46291</v>
      </c>
      <c r="J122" s="72" t="n">
        <v>26</v>
      </c>
      <c r="K122" s="70" t="s">
        <v>147</v>
      </c>
      <c r="L122" s="70" t="s">
        <v>1473</v>
      </c>
      <c r="M122" s="70" t="s">
        <v>405</v>
      </c>
      <c r="N122" s="71" t="n">
        <v>46651</v>
      </c>
      <c r="O122" s="70" t="s">
        <v>189</v>
      </c>
    </row>
    <row r="123" customFormat="false" ht="15" hidden="false" customHeight="false" outlineLevel="0" collapsed="false">
      <c r="A123" s="70" t="s">
        <v>372</v>
      </c>
      <c r="B123" s="70" t="s">
        <v>373</v>
      </c>
      <c r="C123" s="70" t="s">
        <v>1512</v>
      </c>
      <c r="D123" s="70" t="s">
        <v>1603</v>
      </c>
      <c r="E123" s="72" t="n">
        <v>1</v>
      </c>
      <c r="F123" s="70"/>
      <c r="G123" s="72" t="n">
        <v>1021976000</v>
      </c>
      <c r="H123" s="72" t="n">
        <v>600</v>
      </c>
      <c r="I123" s="76" t="n">
        <v>46291</v>
      </c>
      <c r="J123" s="72" t="n">
        <v>600</v>
      </c>
      <c r="K123" s="70" t="s">
        <v>65</v>
      </c>
      <c r="L123" s="70" t="s">
        <v>1473</v>
      </c>
      <c r="M123" s="70" t="s">
        <v>405</v>
      </c>
      <c r="N123" s="71" t="n">
        <v>46472</v>
      </c>
      <c r="O123" s="70" t="s">
        <v>189</v>
      </c>
    </row>
    <row r="124" customFormat="false" ht="15" hidden="false" customHeight="false" outlineLevel="0" collapsed="false">
      <c r="A124" s="70" t="s">
        <v>309</v>
      </c>
      <c r="B124" s="70" t="s">
        <v>310</v>
      </c>
      <c r="C124" s="70" t="s">
        <v>1512</v>
      </c>
      <c r="D124" s="70" t="s">
        <v>1604</v>
      </c>
      <c r="E124" s="72" t="n">
        <v>1</v>
      </c>
      <c r="F124" s="70"/>
      <c r="G124" s="72" t="n">
        <v>1021969000</v>
      </c>
      <c r="H124" s="72" t="n">
        <v>131.3</v>
      </c>
      <c r="I124" s="76" t="n">
        <v>46291</v>
      </c>
      <c r="J124" s="72" t="n">
        <v>131.3</v>
      </c>
      <c r="K124" s="70" t="s">
        <v>65</v>
      </c>
      <c r="L124" s="70" t="s">
        <v>1473</v>
      </c>
      <c r="M124" s="70" t="s">
        <v>405</v>
      </c>
      <c r="N124" s="71" t="n">
        <v>46678</v>
      </c>
      <c r="O124" s="70" t="s">
        <v>189</v>
      </c>
    </row>
    <row r="125" customFormat="false" ht="15" hidden="false" customHeight="false" outlineLevel="0" collapsed="false">
      <c r="A125" s="70" t="s">
        <v>309</v>
      </c>
      <c r="B125" s="70" t="s">
        <v>310</v>
      </c>
      <c r="C125" s="70" t="s">
        <v>1512</v>
      </c>
      <c r="D125" s="70" t="s">
        <v>1605</v>
      </c>
      <c r="E125" s="72" t="n">
        <v>1</v>
      </c>
      <c r="F125" s="70"/>
      <c r="G125" s="72" t="n">
        <v>1021969000</v>
      </c>
      <c r="H125" s="72" t="n">
        <v>482.4</v>
      </c>
      <c r="I125" s="76" t="n">
        <v>46291</v>
      </c>
      <c r="J125" s="72" t="n">
        <v>482.4</v>
      </c>
      <c r="K125" s="70" t="s">
        <v>65</v>
      </c>
      <c r="L125" s="70" t="s">
        <v>1473</v>
      </c>
      <c r="M125" s="70" t="s">
        <v>405</v>
      </c>
      <c r="N125" s="71" t="n">
        <v>46678</v>
      </c>
      <c r="O125" s="70" t="s">
        <v>189</v>
      </c>
    </row>
    <row r="126" customFormat="false" ht="15" hidden="false" customHeight="false" outlineLevel="0" collapsed="false">
      <c r="A126" s="70" t="s">
        <v>286</v>
      </c>
      <c r="B126" s="70" t="s">
        <v>287</v>
      </c>
      <c r="C126" s="70" t="s">
        <v>1512</v>
      </c>
      <c r="D126" s="70" t="s">
        <v>1606</v>
      </c>
      <c r="E126" s="72" t="n">
        <v>1</v>
      </c>
      <c r="F126" s="70"/>
      <c r="G126" s="72" t="n">
        <v>1021985000</v>
      </c>
      <c r="H126" s="72" t="n">
        <v>120</v>
      </c>
      <c r="I126" s="76" t="n">
        <v>46294</v>
      </c>
      <c r="J126" s="72" t="n">
        <v>120</v>
      </c>
      <c r="K126" s="70" t="s">
        <v>147</v>
      </c>
      <c r="L126" s="70" t="s">
        <v>1477</v>
      </c>
      <c r="M126" s="70" t="s">
        <v>405</v>
      </c>
      <c r="N126" s="71" t="n">
        <v>46822</v>
      </c>
      <c r="O126" s="70" t="s">
        <v>189</v>
      </c>
    </row>
    <row r="127" customFormat="false" ht="15" hidden="false" customHeight="false" outlineLevel="0" collapsed="false">
      <c r="A127" s="70" t="s">
        <v>250</v>
      </c>
      <c r="B127" s="70" t="s">
        <v>251</v>
      </c>
      <c r="C127" s="70" t="s">
        <v>1512</v>
      </c>
      <c r="D127" s="70" t="s">
        <v>1607</v>
      </c>
      <c r="E127" s="72" t="n">
        <v>1</v>
      </c>
      <c r="F127" s="70"/>
      <c r="G127" s="72" t="n">
        <v>1021985000</v>
      </c>
      <c r="H127" s="72" t="n">
        <v>313.6</v>
      </c>
      <c r="I127" s="76" t="n">
        <v>46294</v>
      </c>
      <c r="J127" s="72" t="n">
        <v>313.6</v>
      </c>
      <c r="K127" s="70" t="s">
        <v>65</v>
      </c>
      <c r="L127" s="70" t="s">
        <v>1477</v>
      </c>
      <c r="M127" s="70" t="s">
        <v>405</v>
      </c>
      <c r="N127" s="71" t="n">
        <v>46459</v>
      </c>
      <c r="O127" s="70" t="s">
        <v>189</v>
      </c>
    </row>
    <row r="128" customFormat="false" ht="15" hidden="false" customHeight="false" outlineLevel="0" collapsed="false">
      <c r="A128" s="70" t="s">
        <v>286</v>
      </c>
      <c r="B128" s="70" t="s">
        <v>294</v>
      </c>
      <c r="C128" s="70" t="s">
        <v>1512</v>
      </c>
      <c r="D128" s="70" t="s">
        <v>1608</v>
      </c>
      <c r="E128" s="72" t="n">
        <v>1</v>
      </c>
      <c r="F128" s="70"/>
      <c r="G128" s="72" t="n">
        <v>1021977000</v>
      </c>
      <c r="H128" s="72" t="n">
        <v>120</v>
      </c>
      <c r="I128" s="76" t="n">
        <v>46293</v>
      </c>
      <c r="J128" s="72" t="n">
        <v>120</v>
      </c>
      <c r="K128" s="70" t="s">
        <v>147</v>
      </c>
      <c r="L128" s="70" t="s">
        <v>1464</v>
      </c>
      <c r="M128" s="70" t="s">
        <v>405</v>
      </c>
      <c r="N128" s="71" t="n">
        <v>46736</v>
      </c>
      <c r="O128" s="70" t="s">
        <v>189</v>
      </c>
    </row>
    <row r="129" customFormat="false" ht="15" hidden="false" customHeight="false" outlineLevel="0" collapsed="false">
      <c r="A129" s="70" t="s">
        <v>250</v>
      </c>
      <c r="B129" s="70" t="s">
        <v>251</v>
      </c>
      <c r="C129" s="70" t="s">
        <v>1512</v>
      </c>
      <c r="D129" s="70" t="s">
        <v>1609</v>
      </c>
      <c r="E129" s="72" t="n">
        <v>1</v>
      </c>
      <c r="F129" s="70"/>
      <c r="G129" s="72" t="n">
        <v>1021985000</v>
      </c>
      <c r="H129" s="72" t="n">
        <v>179.2</v>
      </c>
      <c r="I129" s="76" t="n">
        <v>46294</v>
      </c>
      <c r="J129" s="72" t="n">
        <v>179.2</v>
      </c>
      <c r="K129" s="70" t="s">
        <v>65</v>
      </c>
      <c r="L129" s="70" t="s">
        <v>1477</v>
      </c>
      <c r="M129" s="70" t="s">
        <v>405</v>
      </c>
      <c r="N129" s="71" t="n">
        <v>46459</v>
      </c>
      <c r="O129" s="70" t="s">
        <v>189</v>
      </c>
    </row>
    <row r="130" customFormat="false" ht="15" hidden="false" customHeight="false" outlineLevel="0" collapsed="false">
      <c r="A130" s="70" t="s">
        <v>250</v>
      </c>
      <c r="B130" s="70" t="s">
        <v>251</v>
      </c>
      <c r="C130" s="70" t="s">
        <v>1512</v>
      </c>
      <c r="D130" s="70" t="s">
        <v>1610</v>
      </c>
      <c r="E130" s="72" t="n">
        <v>1</v>
      </c>
      <c r="F130" s="70"/>
      <c r="G130" s="72" t="n">
        <v>1021985000</v>
      </c>
      <c r="H130" s="72" t="n">
        <v>313.6</v>
      </c>
      <c r="I130" s="76" t="n">
        <v>46294</v>
      </c>
      <c r="J130" s="72" t="n">
        <v>313.6</v>
      </c>
      <c r="K130" s="70" t="s">
        <v>65</v>
      </c>
      <c r="L130" s="70" t="s">
        <v>1477</v>
      </c>
      <c r="M130" s="70" t="s">
        <v>405</v>
      </c>
      <c r="N130" s="71" t="n">
        <v>46459</v>
      </c>
      <c r="O130" s="70" t="s">
        <v>189</v>
      </c>
    </row>
    <row r="131" customFormat="false" ht="15" hidden="false" customHeight="false" outlineLevel="0" collapsed="false">
      <c r="A131" s="70" t="s">
        <v>286</v>
      </c>
      <c r="B131" s="70" t="s">
        <v>291</v>
      </c>
      <c r="C131" s="70" t="s">
        <v>1512</v>
      </c>
      <c r="D131" s="70" t="s">
        <v>1611</v>
      </c>
      <c r="E131" s="72" t="n">
        <v>1</v>
      </c>
      <c r="F131" s="70"/>
      <c r="G131" s="72" t="n">
        <v>1021976000</v>
      </c>
      <c r="H131" s="72" t="n">
        <v>120</v>
      </c>
      <c r="I131" s="76" t="n">
        <v>46291</v>
      </c>
      <c r="J131" s="72" t="n">
        <v>120</v>
      </c>
      <c r="K131" s="70" t="s">
        <v>147</v>
      </c>
      <c r="L131" s="70" t="s">
        <v>1473</v>
      </c>
      <c r="M131" s="70" t="s">
        <v>405</v>
      </c>
      <c r="N131" s="71" t="n">
        <v>46655</v>
      </c>
      <c r="O131" s="70" t="s">
        <v>189</v>
      </c>
    </row>
    <row r="132" customFormat="false" ht="15" hidden="false" customHeight="false" outlineLevel="0" collapsed="false">
      <c r="A132" s="70" t="s">
        <v>271</v>
      </c>
      <c r="B132" s="70" t="s">
        <v>273</v>
      </c>
      <c r="C132" s="70" t="s">
        <v>1512</v>
      </c>
      <c r="D132" s="70" t="s">
        <v>1612</v>
      </c>
      <c r="E132" s="72" t="n">
        <v>1</v>
      </c>
      <c r="F132" s="70"/>
      <c r="G132" s="72" t="n">
        <v>1021983000</v>
      </c>
      <c r="H132" s="72" t="n">
        <v>420</v>
      </c>
      <c r="I132" s="76" t="n">
        <v>46293</v>
      </c>
      <c r="J132" s="72" t="n">
        <v>420</v>
      </c>
      <c r="K132" s="70" t="s">
        <v>65</v>
      </c>
      <c r="L132" s="70" t="s">
        <v>1464</v>
      </c>
      <c r="M132" s="70" t="s">
        <v>405</v>
      </c>
      <c r="N132" s="71" t="n">
        <v>46703</v>
      </c>
      <c r="O132" s="70" t="s">
        <v>189</v>
      </c>
    </row>
    <row r="133" customFormat="false" ht="15" hidden="false" customHeight="false" outlineLevel="0" collapsed="false">
      <c r="A133" s="70" t="s">
        <v>389</v>
      </c>
      <c r="B133" s="70" t="s">
        <v>391</v>
      </c>
      <c r="C133" s="70" t="s">
        <v>1512</v>
      </c>
      <c r="D133" s="70" t="s">
        <v>1613</v>
      </c>
      <c r="E133" s="72" t="n">
        <v>1</v>
      </c>
      <c r="F133" s="70"/>
      <c r="G133" s="72" t="n">
        <v>1021976000</v>
      </c>
      <c r="H133" s="72" t="n">
        <v>313.6</v>
      </c>
      <c r="I133" s="76" t="n">
        <v>46291</v>
      </c>
      <c r="J133" s="72" t="n">
        <v>313.6</v>
      </c>
      <c r="K133" s="70" t="s">
        <v>65</v>
      </c>
      <c r="L133" s="70" t="s">
        <v>1473</v>
      </c>
      <c r="M133" s="70" t="s">
        <v>405</v>
      </c>
      <c r="N133" s="71" t="n">
        <v>46457</v>
      </c>
      <c r="O133" s="70" t="s">
        <v>189</v>
      </c>
    </row>
    <row r="134" customFormat="false" ht="15" hidden="false" customHeight="false" outlineLevel="0" collapsed="false">
      <c r="A134" s="70" t="s">
        <v>227</v>
      </c>
      <c r="B134" s="70" t="s">
        <v>230</v>
      </c>
      <c r="C134" s="70" t="s">
        <v>1512</v>
      </c>
      <c r="D134" s="70" t="s">
        <v>1614</v>
      </c>
      <c r="E134" s="72" t="n">
        <v>1</v>
      </c>
      <c r="F134" s="70"/>
      <c r="G134" s="72" t="n">
        <v>1021977000</v>
      </c>
      <c r="H134" s="72" t="n">
        <v>20</v>
      </c>
      <c r="I134" s="76" t="n">
        <v>46291</v>
      </c>
      <c r="J134" s="72" t="n">
        <v>20</v>
      </c>
      <c r="K134" s="70" t="s">
        <v>65</v>
      </c>
      <c r="L134" s="70" t="s">
        <v>1473</v>
      </c>
      <c r="M134" s="70" t="s">
        <v>405</v>
      </c>
      <c r="N134" s="70"/>
      <c r="O134" s="70" t="s">
        <v>189</v>
      </c>
    </row>
    <row r="135" customFormat="false" ht="15" hidden="false" customHeight="false" outlineLevel="0" collapsed="false">
      <c r="A135" s="70" t="s">
        <v>286</v>
      </c>
      <c r="B135" s="70" t="s">
        <v>294</v>
      </c>
      <c r="C135" s="70" t="s">
        <v>1512</v>
      </c>
      <c r="D135" s="70" t="s">
        <v>1615</v>
      </c>
      <c r="E135" s="72" t="n">
        <v>1</v>
      </c>
      <c r="F135" s="70"/>
      <c r="G135" s="72" t="n">
        <v>1021977000</v>
      </c>
      <c r="H135" s="72" t="n">
        <v>120</v>
      </c>
      <c r="I135" s="76" t="n">
        <v>46293</v>
      </c>
      <c r="J135" s="72" t="n">
        <v>120</v>
      </c>
      <c r="K135" s="70" t="s">
        <v>147</v>
      </c>
      <c r="L135" s="70" t="s">
        <v>1464</v>
      </c>
      <c r="M135" s="70" t="s">
        <v>405</v>
      </c>
      <c r="N135" s="71" t="n">
        <v>46736</v>
      </c>
      <c r="O135" s="70" t="s">
        <v>189</v>
      </c>
    </row>
    <row r="136" customFormat="false" ht="15" hidden="false" customHeight="false" outlineLevel="0" collapsed="false">
      <c r="A136" s="70" t="s">
        <v>286</v>
      </c>
      <c r="B136" s="70" t="s">
        <v>287</v>
      </c>
      <c r="C136" s="70" t="s">
        <v>1512</v>
      </c>
      <c r="D136" s="70" t="s">
        <v>1616</v>
      </c>
      <c r="E136" s="72" t="n">
        <v>1</v>
      </c>
      <c r="F136" s="70"/>
      <c r="G136" s="72" t="n">
        <v>1021985000</v>
      </c>
      <c r="H136" s="72" t="n">
        <v>120</v>
      </c>
      <c r="I136" s="76" t="n">
        <v>46294</v>
      </c>
      <c r="J136" s="72" t="n">
        <v>120</v>
      </c>
      <c r="K136" s="70" t="s">
        <v>147</v>
      </c>
      <c r="L136" s="70" t="s">
        <v>1477</v>
      </c>
      <c r="M136" s="70" t="s">
        <v>405</v>
      </c>
      <c r="N136" s="71" t="n">
        <v>46822</v>
      </c>
      <c r="O136" s="70" t="s">
        <v>189</v>
      </c>
    </row>
    <row r="137" customFormat="false" ht="15" hidden="false" customHeight="false" outlineLevel="0" collapsed="false">
      <c r="A137" s="70" t="s">
        <v>271</v>
      </c>
      <c r="B137" s="70" t="s">
        <v>273</v>
      </c>
      <c r="C137" s="70" t="s">
        <v>1512</v>
      </c>
      <c r="D137" s="70" t="s">
        <v>1617</v>
      </c>
      <c r="E137" s="72" t="n">
        <v>1</v>
      </c>
      <c r="F137" s="70"/>
      <c r="G137" s="72" t="n">
        <v>1021983000</v>
      </c>
      <c r="H137" s="72" t="n">
        <v>360</v>
      </c>
      <c r="I137" s="76" t="n">
        <v>46293</v>
      </c>
      <c r="J137" s="72" t="n">
        <v>360</v>
      </c>
      <c r="K137" s="70" t="s">
        <v>65</v>
      </c>
      <c r="L137" s="70" t="s">
        <v>1464</v>
      </c>
      <c r="M137" s="70" t="s">
        <v>405</v>
      </c>
      <c r="N137" s="71" t="n">
        <v>46703</v>
      </c>
      <c r="O137" s="70" t="s">
        <v>189</v>
      </c>
    </row>
    <row r="138" customFormat="false" ht="15" hidden="false" customHeight="false" outlineLevel="0" collapsed="false">
      <c r="A138" s="70" t="s">
        <v>257</v>
      </c>
      <c r="B138" s="70" t="s">
        <v>258</v>
      </c>
      <c r="C138" s="70" t="s">
        <v>1512</v>
      </c>
      <c r="D138" s="70" t="s">
        <v>1618</v>
      </c>
      <c r="E138" s="72" t="n">
        <v>1</v>
      </c>
      <c r="F138" s="70"/>
      <c r="G138" s="72" t="n">
        <v>1021977000</v>
      </c>
      <c r="H138" s="72" t="n">
        <v>198</v>
      </c>
      <c r="I138" s="76" t="n">
        <v>46291</v>
      </c>
      <c r="J138" s="72" t="n">
        <v>198</v>
      </c>
      <c r="K138" s="70" t="s">
        <v>65</v>
      </c>
      <c r="L138" s="70" t="s">
        <v>1473</v>
      </c>
      <c r="M138" s="70" t="s">
        <v>405</v>
      </c>
      <c r="N138" s="71" t="n">
        <v>46394</v>
      </c>
      <c r="O138" s="70" t="s">
        <v>189</v>
      </c>
    </row>
    <row r="139" customFormat="false" ht="15" hidden="false" customHeight="false" outlineLevel="0" collapsed="false">
      <c r="A139" s="70" t="s">
        <v>314</v>
      </c>
      <c r="B139" s="70" t="s">
        <v>315</v>
      </c>
      <c r="C139" s="70" t="s">
        <v>1512</v>
      </c>
      <c r="D139" s="70" t="s">
        <v>1619</v>
      </c>
      <c r="E139" s="72" t="n">
        <v>1</v>
      </c>
      <c r="F139" s="70"/>
      <c r="G139" s="72" t="n">
        <v>1021425000</v>
      </c>
      <c r="H139" s="72" t="n">
        <v>313.6</v>
      </c>
      <c r="I139" s="76" t="n">
        <v>46183</v>
      </c>
      <c r="J139" s="72" t="n">
        <v>313.6</v>
      </c>
      <c r="K139" s="70" t="s">
        <v>65</v>
      </c>
      <c r="L139" s="70" t="s">
        <v>1549</v>
      </c>
      <c r="M139" s="70" t="s">
        <v>405</v>
      </c>
      <c r="N139" s="71" t="n">
        <v>46551</v>
      </c>
      <c r="O139" s="70" t="s">
        <v>189</v>
      </c>
    </row>
    <row r="140" customFormat="false" ht="15" hidden="false" customHeight="false" outlineLevel="0" collapsed="false">
      <c r="A140" s="70" t="s">
        <v>218</v>
      </c>
      <c r="B140" s="70" t="s">
        <v>319</v>
      </c>
      <c r="C140" s="70" t="s">
        <v>1512</v>
      </c>
      <c r="D140" s="70" t="s">
        <v>1620</v>
      </c>
      <c r="E140" s="72" t="n">
        <v>1</v>
      </c>
      <c r="F140" s="70"/>
      <c r="G140" s="72" t="n">
        <v>1021918000</v>
      </c>
      <c r="H140" s="72" t="n">
        <v>20</v>
      </c>
      <c r="I140" s="76" t="n">
        <v>46290</v>
      </c>
      <c r="J140" s="72" t="n">
        <v>20</v>
      </c>
      <c r="K140" s="70" t="s">
        <v>65</v>
      </c>
      <c r="L140" s="70" t="s">
        <v>1621</v>
      </c>
      <c r="M140" s="70" t="s">
        <v>405</v>
      </c>
      <c r="N140" s="70"/>
      <c r="O140" s="70" t="s">
        <v>189</v>
      </c>
    </row>
    <row r="141" customFormat="false" ht="15" hidden="false" customHeight="false" outlineLevel="0" collapsed="false">
      <c r="A141" s="70" t="s">
        <v>252</v>
      </c>
      <c r="B141" s="70" t="s">
        <v>253</v>
      </c>
      <c r="C141" s="70" t="s">
        <v>1512</v>
      </c>
      <c r="D141" s="70" t="s">
        <v>1622</v>
      </c>
      <c r="E141" s="72" t="n">
        <v>1</v>
      </c>
      <c r="F141" s="70"/>
      <c r="G141" s="72" t="n">
        <v>1021969000</v>
      </c>
      <c r="H141" s="72" t="n">
        <v>240</v>
      </c>
      <c r="I141" s="76" t="n">
        <v>46290</v>
      </c>
      <c r="J141" s="72" t="n">
        <v>240</v>
      </c>
      <c r="K141" s="70" t="s">
        <v>65</v>
      </c>
      <c r="L141" s="70" t="s">
        <v>1621</v>
      </c>
      <c r="M141" s="70" t="s">
        <v>405</v>
      </c>
      <c r="N141" s="71" t="n">
        <v>46641</v>
      </c>
      <c r="O141" s="70" t="s">
        <v>189</v>
      </c>
    </row>
    <row r="142" customFormat="false" ht="15" hidden="false" customHeight="false" outlineLevel="0" collapsed="false">
      <c r="A142" s="70" t="s">
        <v>201</v>
      </c>
      <c r="B142" s="70" t="s">
        <v>203</v>
      </c>
      <c r="C142" s="70" t="s">
        <v>1512</v>
      </c>
      <c r="D142" s="70" t="s">
        <v>1623</v>
      </c>
      <c r="E142" s="72" t="n">
        <v>1</v>
      </c>
      <c r="F142" s="70"/>
      <c r="G142" s="72" t="n">
        <v>1021985000</v>
      </c>
      <c r="H142" s="72" t="n">
        <v>142.8</v>
      </c>
      <c r="I142" s="76" t="n">
        <v>46294</v>
      </c>
      <c r="J142" s="72" t="n">
        <v>142.8</v>
      </c>
      <c r="K142" s="70" t="s">
        <v>65</v>
      </c>
      <c r="L142" s="70" t="s">
        <v>1477</v>
      </c>
      <c r="M142" s="70" t="s">
        <v>405</v>
      </c>
      <c r="N142" s="71" t="n">
        <v>46765</v>
      </c>
      <c r="O142" s="70" t="s">
        <v>189</v>
      </c>
    </row>
    <row r="143" customFormat="false" ht="15" hidden="false" customHeight="false" outlineLevel="0" collapsed="false">
      <c r="A143" s="70" t="s">
        <v>309</v>
      </c>
      <c r="B143" s="70" t="s">
        <v>310</v>
      </c>
      <c r="C143" s="70" t="s">
        <v>1512</v>
      </c>
      <c r="D143" s="70" t="s">
        <v>1624</v>
      </c>
      <c r="E143" s="72" t="n">
        <v>1</v>
      </c>
      <c r="F143" s="70"/>
      <c r="G143" s="72" t="n">
        <v>1021969000</v>
      </c>
      <c r="H143" s="72" t="n">
        <v>482.4</v>
      </c>
      <c r="I143" s="76" t="n">
        <v>46290</v>
      </c>
      <c r="J143" s="72" t="n">
        <v>482.4</v>
      </c>
      <c r="K143" s="70" t="s">
        <v>65</v>
      </c>
      <c r="L143" s="70" t="s">
        <v>1621</v>
      </c>
      <c r="M143" s="70" t="s">
        <v>405</v>
      </c>
      <c r="N143" s="71" t="n">
        <v>46678</v>
      </c>
      <c r="O143" s="70" t="s">
        <v>189</v>
      </c>
    </row>
    <row r="144" customFormat="false" ht="15" hidden="false" customHeight="false" outlineLevel="0" collapsed="false">
      <c r="A144" s="70" t="s">
        <v>227</v>
      </c>
      <c r="B144" s="70" t="s">
        <v>230</v>
      </c>
      <c r="C144" s="70" t="s">
        <v>1512</v>
      </c>
      <c r="D144" s="70" t="s">
        <v>1625</v>
      </c>
      <c r="E144" s="72" t="n">
        <v>1</v>
      </c>
      <c r="F144" s="70"/>
      <c r="G144" s="72" t="n">
        <v>1021969000</v>
      </c>
      <c r="H144" s="72" t="n">
        <v>360</v>
      </c>
      <c r="I144" s="76" t="n">
        <v>46295</v>
      </c>
      <c r="J144" s="72" t="n">
        <v>360</v>
      </c>
      <c r="K144" s="70" t="s">
        <v>65</v>
      </c>
      <c r="L144" s="70" t="s">
        <v>1621</v>
      </c>
      <c r="M144" s="70" t="s">
        <v>405</v>
      </c>
      <c r="N144" s="71" t="n">
        <v>46708</v>
      </c>
      <c r="O144" s="70" t="s">
        <v>189</v>
      </c>
    </row>
    <row r="145" customFormat="false" ht="15" hidden="false" customHeight="false" outlineLevel="0" collapsed="false">
      <c r="A145" s="70" t="s">
        <v>201</v>
      </c>
      <c r="B145" s="70" t="s">
        <v>202</v>
      </c>
      <c r="C145" s="70" t="s">
        <v>1512</v>
      </c>
      <c r="D145" s="70" t="s">
        <v>1626</v>
      </c>
      <c r="E145" s="72" t="n">
        <v>1</v>
      </c>
      <c r="F145" s="70"/>
      <c r="G145" s="72" t="n">
        <v>1021985000</v>
      </c>
      <c r="H145" s="72" t="n">
        <v>313.6</v>
      </c>
      <c r="I145" s="76" t="n">
        <v>46294</v>
      </c>
      <c r="J145" s="72" t="n">
        <v>313.6</v>
      </c>
      <c r="K145" s="70" t="s">
        <v>65</v>
      </c>
      <c r="L145" s="70" t="s">
        <v>1477</v>
      </c>
      <c r="M145" s="70" t="s">
        <v>405</v>
      </c>
      <c r="N145" s="71" t="n">
        <v>46550</v>
      </c>
      <c r="O145" s="70" t="s">
        <v>189</v>
      </c>
    </row>
    <row r="146" customFormat="false" ht="15" hidden="false" customHeight="false" outlineLevel="0" collapsed="false">
      <c r="A146" s="70" t="s">
        <v>227</v>
      </c>
      <c r="B146" s="70" t="s">
        <v>230</v>
      </c>
      <c r="C146" s="70" t="s">
        <v>1512</v>
      </c>
      <c r="D146" s="70" t="s">
        <v>1627</v>
      </c>
      <c r="E146" s="72" t="n">
        <v>1</v>
      </c>
      <c r="F146" s="70"/>
      <c r="G146" s="72" t="n">
        <v>1021969000</v>
      </c>
      <c r="H146" s="72" t="n">
        <v>600</v>
      </c>
      <c r="I146" s="76" t="n">
        <v>46290</v>
      </c>
      <c r="J146" s="72" t="n">
        <v>600</v>
      </c>
      <c r="K146" s="70" t="s">
        <v>65</v>
      </c>
      <c r="L146" s="70" t="s">
        <v>1621</v>
      </c>
      <c r="M146" s="70" t="s">
        <v>405</v>
      </c>
      <c r="N146" s="71" t="n">
        <v>46708</v>
      </c>
      <c r="O146" s="70" t="s">
        <v>189</v>
      </c>
    </row>
    <row r="147" customFormat="false" ht="15" hidden="false" customHeight="false" outlineLevel="0" collapsed="false">
      <c r="A147" s="70" t="s">
        <v>225</v>
      </c>
      <c r="B147" s="70" t="s">
        <v>226</v>
      </c>
      <c r="C147" s="70" t="s">
        <v>1512</v>
      </c>
      <c r="D147" s="70" t="s">
        <v>1628</v>
      </c>
      <c r="E147" s="72" t="n">
        <v>1</v>
      </c>
      <c r="F147" s="70"/>
      <c r="G147" s="72" t="n">
        <v>1021985000</v>
      </c>
      <c r="H147" s="72" t="n">
        <v>1000</v>
      </c>
      <c r="I147" s="76" t="n">
        <v>46294</v>
      </c>
      <c r="J147" s="72" t="n">
        <v>1000</v>
      </c>
      <c r="K147" s="70" t="s">
        <v>65</v>
      </c>
      <c r="L147" s="70" t="s">
        <v>1477</v>
      </c>
      <c r="M147" s="70" t="s">
        <v>405</v>
      </c>
      <c r="N147" s="71" t="n">
        <v>46659</v>
      </c>
      <c r="O147" s="70" t="s">
        <v>189</v>
      </c>
    </row>
    <row r="148" customFormat="false" ht="15" hidden="false" customHeight="false" outlineLevel="0" collapsed="false">
      <c r="A148" s="70" t="s">
        <v>269</v>
      </c>
      <c r="B148" s="70" t="s">
        <v>270</v>
      </c>
      <c r="C148" s="70" t="s">
        <v>1512</v>
      </c>
      <c r="D148" s="70" t="s">
        <v>1629</v>
      </c>
      <c r="E148" s="72" t="n">
        <v>1</v>
      </c>
      <c r="F148" s="70"/>
      <c r="G148" s="72" t="n">
        <v>1021955000</v>
      </c>
      <c r="H148" s="72" t="n">
        <v>432</v>
      </c>
      <c r="I148" s="76" t="n">
        <v>46293</v>
      </c>
      <c r="J148" s="72" t="n">
        <v>432</v>
      </c>
      <c r="K148" s="70" t="s">
        <v>65</v>
      </c>
      <c r="L148" s="70" t="s">
        <v>1464</v>
      </c>
      <c r="M148" s="70" t="s">
        <v>405</v>
      </c>
      <c r="N148" s="71" t="n">
        <v>46671</v>
      </c>
      <c r="O148" s="70" t="s">
        <v>189</v>
      </c>
    </row>
    <row r="149" customFormat="false" ht="15" hidden="false" customHeight="false" outlineLevel="0" collapsed="false">
      <c r="A149" s="70" t="s">
        <v>266</v>
      </c>
      <c r="B149" s="70" t="s">
        <v>267</v>
      </c>
      <c r="C149" s="70" t="s">
        <v>1512</v>
      </c>
      <c r="D149" s="70" t="s">
        <v>1630</v>
      </c>
      <c r="E149" s="72" t="n">
        <v>1</v>
      </c>
      <c r="F149" s="70"/>
      <c r="G149" s="72" t="n">
        <v>1021985000</v>
      </c>
      <c r="H149" s="72" t="n">
        <v>432</v>
      </c>
      <c r="I149" s="76" t="n">
        <v>46294</v>
      </c>
      <c r="J149" s="72" t="n">
        <v>432</v>
      </c>
      <c r="K149" s="70" t="s">
        <v>65</v>
      </c>
      <c r="L149" s="70" t="s">
        <v>1477</v>
      </c>
      <c r="M149" s="70" t="s">
        <v>405</v>
      </c>
      <c r="N149" s="71" t="n">
        <v>46608</v>
      </c>
      <c r="O149" s="70" t="s">
        <v>189</v>
      </c>
    </row>
    <row r="150" customFormat="false" ht="15" hidden="false" customHeight="false" outlineLevel="0" collapsed="false">
      <c r="A150" s="70" t="s">
        <v>269</v>
      </c>
      <c r="B150" s="70" t="s">
        <v>270</v>
      </c>
      <c r="C150" s="70" t="s">
        <v>1512</v>
      </c>
      <c r="D150" s="70" t="s">
        <v>1631</v>
      </c>
      <c r="E150" s="72" t="n">
        <v>1</v>
      </c>
      <c r="F150" s="70"/>
      <c r="G150" s="72" t="n">
        <v>1021955000</v>
      </c>
      <c r="H150" s="72" t="n">
        <v>432</v>
      </c>
      <c r="I150" s="76" t="n">
        <v>46293</v>
      </c>
      <c r="J150" s="72" t="n">
        <v>432</v>
      </c>
      <c r="K150" s="70" t="s">
        <v>65</v>
      </c>
      <c r="L150" s="70" t="s">
        <v>1464</v>
      </c>
      <c r="M150" s="70" t="s">
        <v>405</v>
      </c>
      <c r="N150" s="71" t="n">
        <v>46671</v>
      </c>
      <c r="O150" s="70" t="s">
        <v>189</v>
      </c>
    </row>
    <row r="151" customFormat="false" ht="15" hidden="false" customHeight="false" outlineLevel="0" collapsed="false">
      <c r="A151" s="70" t="s">
        <v>271</v>
      </c>
      <c r="B151" s="70" t="s">
        <v>273</v>
      </c>
      <c r="C151" s="70" t="s">
        <v>1512</v>
      </c>
      <c r="D151" s="70" t="s">
        <v>1632</v>
      </c>
      <c r="E151" s="72" t="n">
        <v>1</v>
      </c>
      <c r="F151" s="70"/>
      <c r="G151" s="72" t="n">
        <v>1021983000</v>
      </c>
      <c r="H151" s="72" t="n">
        <v>420</v>
      </c>
      <c r="I151" s="76" t="n">
        <v>46293</v>
      </c>
      <c r="J151" s="72" t="n">
        <v>420</v>
      </c>
      <c r="K151" s="70" t="s">
        <v>65</v>
      </c>
      <c r="L151" s="70" t="s">
        <v>1464</v>
      </c>
      <c r="M151" s="70" t="s">
        <v>405</v>
      </c>
      <c r="N151" s="71" t="n">
        <v>46703</v>
      </c>
      <c r="O151" s="70" t="s">
        <v>189</v>
      </c>
    </row>
    <row r="152" customFormat="false" ht="15" hidden="false" customHeight="false" outlineLevel="0" collapsed="false">
      <c r="A152" s="70" t="s">
        <v>252</v>
      </c>
      <c r="B152" s="70" t="s">
        <v>253</v>
      </c>
      <c r="C152" s="70" t="s">
        <v>1512</v>
      </c>
      <c r="D152" s="70" t="s">
        <v>1633</v>
      </c>
      <c r="E152" s="72" t="n">
        <v>1</v>
      </c>
      <c r="F152" s="70"/>
      <c r="G152" s="72" t="n">
        <v>1021969000</v>
      </c>
      <c r="H152" s="72" t="n">
        <v>236</v>
      </c>
      <c r="I152" s="76" t="n">
        <v>46295</v>
      </c>
      <c r="J152" s="72" t="n">
        <v>236</v>
      </c>
      <c r="K152" s="70" t="s">
        <v>65</v>
      </c>
      <c r="L152" s="70" t="s">
        <v>1621</v>
      </c>
      <c r="M152" s="70" t="s">
        <v>405</v>
      </c>
      <c r="N152" s="71" t="n">
        <v>46641</v>
      </c>
      <c r="O152" s="70" t="s">
        <v>189</v>
      </c>
    </row>
    <row r="153" customFormat="false" ht="15" hidden="false" customHeight="false" outlineLevel="0" collapsed="false">
      <c r="A153" s="70" t="s">
        <v>252</v>
      </c>
      <c r="B153" s="70" t="s">
        <v>253</v>
      </c>
      <c r="C153" s="70" t="s">
        <v>1512</v>
      </c>
      <c r="D153" s="70" t="s">
        <v>1634</v>
      </c>
      <c r="E153" s="72" t="n">
        <v>1</v>
      </c>
      <c r="F153" s="70"/>
      <c r="G153" s="72" t="n">
        <v>1021969000</v>
      </c>
      <c r="H153" s="72" t="n">
        <v>240</v>
      </c>
      <c r="I153" s="76" t="n">
        <v>46290</v>
      </c>
      <c r="J153" s="72" t="n">
        <v>240</v>
      </c>
      <c r="K153" s="70" t="s">
        <v>65</v>
      </c>
      <c r="L153" s="70" t="s">
        <v>1621</v>
      </c>
      <c r="M153" s="70" t="s">
        <v>405</v>
      </c>
      <c r="N153" s="71" t="n">
        <v>46641</v>
      </c>
      <c r="O153" s="70" t="s">
        <v>189</v>
      </c>
    </row>
    <row r="154" customFormat="false" ht="15" hidden="false" customHeight="false" outlineLevel="0" collapsed="false">
      <c r="A154" s="70" t="s">
        <v>269</v>
      </c>
      <c r="B154" s="70" t="s">
        <v>270</v>
      </c>
      <c r="C154" s="70" t="s">
        <v>1512</v>
      </c>
      <c r="D154" s="70" t="s">
        <v>1635</v>
      </c>
      <c r="E154" s="72" t="n">
        <v>1</v>
      </c>
      <c r="F154" s="70"/>
      <c r="G154" s="72" t="n">
        <v>1021955000</v>
      </c>
      <c r="H154" s="72" t="n">
        <v>54</v>
      </c>
      <c r="I154" s="76" t="n">
        <v>46293</v>
      </c>
      <c r="J154" s="72" t="n">
        <v>54</v>
      </c>
      <c r="K154" s="70" t="s">
        <v>65</v>
      </c>
      <c r="L154" s="70" t="s">
        <v>1464</v>
      </c>
      <c r="M154" s="70" t="s">
        <v>405</v>
      </c>
      <c r="N154" s="71" t="n">
        <v>46671</v>
      </c>
      <c r="O154" s="70" t="s">
        <v>189</v>
      </c>
    </row>
    <row r="155" customFormat="false" ht="15" hidden="false" customHeight="false" outlineLevel="0" collapsed="false">
      <c r="A155" s="70" t="s">
        <v>252</v>
      </c>
      <c r="B155" s="70" t="s">
        <v>253</v>
      </c>
      <c r="C155" s="70" t="s">
        <v>1512</v>
      </c>
      <c r="D155" s="70" t="s">
        <v>1636</v>
      </c>
      <c r="E155" s="72" t="n">
        <v>1</v>
      </c>
      <c r="F155" s="70"/>
      <c r="G155" s="72" t="n">
        <v>1021969000</v>
      </c>
      <c r="H155" s="72" t="n">
        <v>240</v>
      </c>
      <c r="I155" s="76" t="n">
        <v>46290</v>
      </c>
      <c r="J155" s="72" t="n">
        <v>240</v>
      </c>
      <c r="K155" s="70" t="s">
        <v>65</v>
      </c>
      <c r="L155" s="70" t="s">
        <v>1621</v>
      </c>
      <c r="M155" s="70" t="s">
        <v>405</v>
      </c>
      <c r="N155" s="71" t="n">
        <v>46641</v>
      </c>
      <c r="O155" s="70" t="s">
        <v>189</v>
      </c>
    </row>
    <row r="156" customFormat="false" ht="15" hidden="false" customHeight="false" outlineLevel="0" collapsed="false">
      <c r="A156" s="70" t="s">
        <v>286</v>
      </c>
      <c r="B156" s="70" t="s">
        <v>290</v>
      </c>
      <c r="C156" s="70" t="s">
        <v>1512</v>
      </c>
      <c r="D156" s="70" t="s">
        <v>1637</v>
      </c>
      <c r="E156" s="72" t="n">
        <v>1</v>
      </c>
      <c r="F156" s="70"/>
      <c r="G156" s="72" t="n">
        <v>1021985000</v>
      </c>
      <c r="H156" s="72" t="n">
        <v>120</v>
      </c>
      <c r="I156" s="76" t="n">
        <v>46294</v>
      </c>
      <c r="J156" s="72" t="n">
        <v>120</v>
      </c>
      <c r="K156" s="70" t="s">
        <v>147</v>
      </c>
      <c r="L156" s="70" t="s">
        <v>1477</v>
      </c>
      <c r="M156" s="70" t="s">
        <v>405</v>
      </c>
      <c r="N156" s="71" t="n">
        <v>46651</v>
      </c>
      <c r="O156" s="70" t="s">
        <v>189</v>
      </c>
    </row>
    <row r="157" customFormat="false" ht="15" hidden="false" customHeight="false" outlineLevel="0" collapsed="false">
      <c r="A157" s="70" t="s">
        <v>245</v>
      </c>
      <c r="B157" s="70" t="s">
        <v>246</v>
      </c>
      <c r="C157" s="70" t="s">
        <v>1512</v>
      </c>
      <c r="D157" s="70" t="s">
        <v>1638</v>
      </c>
      <c r="E157" s="72" t="n">
        <v>1</v>
      </c>
      <c r="F157" s="70"/>
      <c r="G157" s="72" t="n">
        <v>1021985000</v>
      </c>
      <c r="H157" s="72" t="n">
        <v>240</v>
      </c>
      <c r="I157" s="76" t="n">
        <v>46294</v>
      </c>
      <c r="J157" s="72" t="n">
        <v>240</v>
      </c>
      <c r="K157" s="70" t="s">
        <v>65</v>
      </c>
      <c r="L157" s="70" t="s">
        <v>1477</v>
      </c>
      <c r="M157" s="70" t="s">
        <v>405</v>
      </c>
      <c r="N157" s="71" t="n">
        <v>46437</v>
      </c>
      <c r="O157" s="70" t="s">
        <v>189</v>
      </c>
    </row>
    <row r="158" customFormat="false" ht="15" hidden="false" customHeight="false" outlineLevel="0" collapsed="false">
      <c r="A158" s="70" t="s">
        <v>271</v>
      </c>
      <c r="B158" s="70" t="s">
        <v>272</v>
      </c>
      <c r="C158" s="70" t="s">
        <v>1512</v>
      </c>
      <c r="D158" s="70" t="s">
        <v>1639</v>
      </c>
      <c r="E158" s="72" t="n">
        <v>1</v>
      </c>
      <c r="F158" s="70"/>
      <c r="G158" s="72" t="n">
        <v>1021969000</v>
      </c>
      <c r="H158" s="72" t="n">
        <v>480</v>
      </c>
      <c r="I158" s="76" t="n">
        <v>46291</v>
      </c>
      <c r="J158" s="72" t="n">
        <v>480</v>
      </c>
      <c r="K158" s="70" t="s">
        <v>65</v>
      </c>
      <c r="L158" s="70" t="s">
        <v>1473</v>
      </c>
      <c r="M158" s="70" t="s">
        <v>405</v>
      </c>
      <c r="N158" s="71" t="n">
        <v>46703</v>
      </c>
      <c r="O158" s="70" t="s">
        <v>189</v>
      </c>
    </row>
    <row r="159" customFormat="false" ht="15" hidden="false" customHeight="false" outlineLevel="0" collapsed="false">
      <c r="A159" s="70" t="s">
        <v>322</v>
      </c>
      <c r="B159" s="70" t="s">
        <v>323</v>
      </c>
      <c r="C159" s="70" t="s">
        <v>1512</v>
      </c>
      <c r="D159" s="70" t="s">
        <v>1640</v>
      </c>
      <c r="E159" s="72" t="n">
        <v>1</v>
      </c>
      <c r="F159" s="70"/>
      <c r="G159" s="72" t="n">
        <v>1021425000</v>
      </c>
      <c r="H159" s="72" t="n">
        <v>313.6</v>
      </c>
      <c r="I159" s="76" t="n">
        <v>46170</v>
      </c>
      <c r="J159" s="72" t="n">
        <v>313.6</v>
      </c>
      <c r="K159" s="70" t="s">
        <v>65</v>
      </c>
      <c r="L159" s="70" t="s">
        <v>1586</v>
      </c>
      <c r="M159" s="70" t="s">
        <v>405</v>
      </c>
      <c r="N159" s="71" t="n">
        <v>46416</v>
      </c>
      <c r="O159" s="70" t="s">
        <v>189</v>
      </c>
    </row>
    <row r="160" customFormat="false" ht="15" hidden="false" customHeight="false" outlineLevel="0" collapsed="false">
      <c r="A160" s="70" t="s">
        <v>286</v>
      </c>
      <c r="B160" s="70" t="s">
        <v>291</v>
      </c>
      <c r="C160" s="70" t="s">
        <v>1512</v>
      </c>
      <c r="D160" s="70" t="s">
        <v>1641</v>
      </c>
      <c r="E160" s="72" t="n">
        <v>1</v>
      </c>
      <c r="F160" s="70"/>
      <c r="G160" s="72" t="n">
        <v>1021985000</v>
      </c>
      <c r="H160" s="72" t="n">
        <v>120</v>
      </c>
      <c r="I160" s="76" t="n">
        <v>46294</v>
      </c>
      <c r="J160" s="72" t="n">
        <v>120</v>
      </c>
      <c r="K160" s="70" t="s">
        <v>147</v>
      </c>
      <c r="L160" s="70" t="s">
        <v>1477</v>
      </c>
      <c r="M160" s="70" t="s">
        <v>405</v>
      </c>
      <c r="N160" s="71" t="n">
        <v>46655</v>
      </c>
      <c r="O160" s="70" t="s">
        <v>189</v>
      </c>
    </row>
    <row r="161" customFormat="false" ht="15" hidden="false" customHeight="false" outlineLevel="0" collapsed="false">
      <c r="A161" s="70" t="s">
        <v>286</v>
      </c>
      <c r="B161" s="70" t="s">
        <v>291</v>
      </c>
      <c r="C161" s="70" t="s">
        <v>1512</v>
      </c>
      <c r="D161" s="70" t="s">
        <v>1642</v>
      </c>
      <c r="E161" s="72" t="n">
        <v>1</v>
      </c>
      <c r="F161" s="70"/>
      <c r="G161" s="72" t="n">
        <v>1021985000</v>
      </c>
      <c r="H161" s="72" t="n">
        <v>120</v>
      </c>
      <c r="I161" s="76" t="n">
        <v>46294</v>
      </c>
      <c r="J161" s="72" t="n">
        <v>120</v>
      </c>
      <c r="K161" s="70" t="s">
        <v>147</v>
      </c>
      <c r="L161" s="70" t="s">
        <v>1477</v>
      </c>
      <c r="M161" s="70" t="s">
        <v>405</v>
      </c>
      <c r="N161" s="71" t="n">
        <v>46655</v>
      </c>
      <c r="O161" s="70" t="s">
        <v>189</v>
      </c>
    </row>
    <row r="162" customFormat="false" ht="15" hidden="false" customHeight="false" outlineLevel="0" collapsed="false">
      <c r="A162" s="70" t="s">
        <v>286</v>
      </c>
      <c r="B162" s="70" t="s">
        <v>291</v>
      </c>
      <c r="C162" s="70" t="s">
        <v>1512</v>
      </c>
      <c r="D162" s="70" t="s">
        <v>1643</v>
      </c>
      <c r="E162" s="72" t="n">
        <v>1</v>
      </c>
      <c r="F162" s="70"/>
      <c r="G162" s="72" t="n">
        <v>1021969000</v>
      </c>
      <c r="H162" s="72" t="n">
        <v>119.75</v>
      </c>
      <c r="I162" s="76" t="n">
        <v>46291</v>
      </c>
      <c r="J162" s="72" t="n">
        <v>119.75</v>
      </c>
      <c r="K162" s="70" t="s">
        <v>147</v>
      </c>
      <c r="L162" s="70" t="s">
        <v>1473</v>
      </c>
      <c r="M162" s="70" t="s">
        <v>405</v>
      </c>
      <c r="N162" s="71" t="n">
        <v>46655</v>
      </c>
      <c r="O162" s="70" t="s">
        <v>189</v>
      </c>
    </row>
    <row r="163" customFormat="false" ht="15" hidden="false" customHeight="false" outlineLevel="0" collapsed="false">
      <c r="A163" s="70" t="s">
        <v>257</v>
      </c>
      <c r="B163" s="70" t="s">
        <v>258</v>
      </c>
      <c r="C163" s="70" t="s">
        <v>1512</v>
      </c>
      <c r="D163" s="70" t="s">
        <v>1644</v>
      </c>
      <c r="E163" s="72" t="n">
        <v>1</v>
      </c>
      <c r="F163" s="70"/>
      <c r="G163" s="72" t="n">
        <v>1021969000</v>
      </c>
      <c r="H163" s="72" t="n">
        <v>180</v>
      </c>
      <c r="I163" s="76" t="n">
        <v>46291</v>
      </c>
      <c r="J163" s="72" t="n">
        <v>180</v>
      </c>
      <c r="K163" s="70" t="s">
        <v>65</v>
      </c>
      <c r="L163" s="70" t="s">
        <v>1473</v>
      </c>
      <c r="M163" s="70" t="s">
        <v>405</v>
      </c>
      <c r="N163" s="71" t="n">
        <v>46394</v>
      </c>
      <c r="O163" s="70" t="s">
        <v>189</v>
      </c>
    </row>
    <row r="164" customFormat="false" ht="15" hidden="false" customHeight="false" outlineLevel="0" collapsed="false">
      <c r="A164" s="70" t="s">
        <v>243</v>
      </c>
      <c r="B164" s="70" t="s">
        <v>244</v>
      </c>
      <c r="C164" s="70" t="s">
        <v>1512</v>
      </c>
      <c r="D164" s="70" t="s">
        <v>1645</v>
      </c>
      <c r="E164" s="72" t="n">
        <v>1</v>
      </c>
      <c r="F164" s="70"/>
      <c r="G164" s="72" t="n">
        <v>1021963000</v>
      </c>
      <c r="H164" s="72" t="n">
        <v>432</v>
      </c>
      <c r="I164" s="76" t="n">
        <v>46288</v>
      </c>
      <c r="J164" s="72" t="n">
        <v>432</v>
      </c>
      <c r="K164" s="70" t="s">
        <v>65</v>
      </c>
      <c r="L164" s="70" t="s">
        <v>1483</v>
      </c>
      <c r="M164" s="70" t="s">
        <v>405</v>
      </c>
      <c r="N164" s="71" t="n">
        <v>46668</v>
      </c>
      <c r="O164" s="70" t="s">
        <v>189</v>
      </c>
    </row>
    <row r="165" customFormat="false" ht="15" hidden="false" customHeight="false" outlineLevel="0" collapsed="false">
      <c r="A165" s="70" t="s">
        <v>205</v>
      </c>
      <c r="B165" s="70" t="s">
        <v>209</v>
      </c>
      <c r="C165" s="70" t="s">
        <v>1512</v>
      </c>
      <c r="D165" s="70" t="s">
        <v>1646</v>
      </c>
      <c r="E165" s="72" t="n">
        <v>1</v>
      </c>
      <c r="F165" s="70"/>
      <c r="G165" s="72" t="n">
        <v>1021725000</v>
      </c>
      <c r="H165" s="72" t="n">
        <v>20.1</v>
      </c>
      <c r="I165" s="76" t="n">
        <v>46261</v>
      </c>
      <c r="J165" s="72" t="n">
        <v>20.1</v>
      </c>
      <c r="K165" s="70" t="s">
        <v>65</v>
      </c>
      <c r="L165" s="70" t="s">
        <v>1647</v>
      </c>
      <c r="M165" s="70" t="s">
        <v>405</v>
      </c>
      <c r="N165" s="71" t="n">
        <v>46475</v>
      </c>
      <c r="O165" s="70" t="s">
        <v>189</v>
      </c>
    </row>
    <row r="166" customFormat="false" ht="15" hidden="false" customHeight="false" outlineLevel="0" collapsed="false">
      <c r="A166" s="70" t="s">
        <v>186</v>
      </c>
      <c r="B166" s="70" t="s">
        <v>187</v>
      </c>
      <c r="C166" s="70" t="s">
        <v>1512</v>
      </c>
      <c r="D166" s="70" t="s">
        <v>1648</v>
      </c>
      <c r="E166" s="72" t="n">
        <v>1</v>
      </c>
      <c r="F166" s="70"/>
      <c r="G166" s="72" t="n">
        <v>1021970000</v>
      </c>
      <c r="H166" s="72" t="n">
        <v>600</v>
      </c>
      <c r="I166" s="76" t="n">
        <v>46289</v>
      </c>
      <c r="J166" s="72" t="n">
        <v>600</v>
      </c>
      <c r="K166" s="70" t="s">
        <v>65</v>
      </c>
      <c r="L166" s="70" t="s">
        <v>1488</v>
      </c>
      <c r="M166" s="70" t="s">
        <v>405</v>
      </c>
      <c r="N166" s="71" t="n">
        <v>46484</v>
      </c>
      <c r="O166" s="70" t="s">
        <v>189</v>
      </c>
    </row>
    <row r="167" customFormat="false" ht="15" hidden="false" customHeight="false" outlineLevel="0" collapsed="false">
      <c r="A167" s="70" t="s">
        <v>192</v>
      </c>
      <c r="B167" s="70" t="s">
        <v>195</v>
      </c>
      <c r="C167" s="70" t="s">
        <v>1512</v>
      </c>
      <c r="D167" s="70" t="s">
        <v>1649</v>
      </c>
      <c r="E167" s="72" t="n">
        <v>1</v>
      </c>
      <c r="F167" s="70"/>
      <c r="G167" s="72" t="n">
        <v>1021963000</v>
      </c>
      <c r="H167" s="72" t="n">
        <v>201</v>
      </c>
      <c r="I167" s="76" t="n">
        <v>46291</v>
      </c>
      <c r="J167" s="72" t="n">
        <v>201</v>
      </c>
      <c r="K167" s="70" t="s">
        <v>65</v>
      </c>
      <c r="L167" s="70" t="s">
        <v>1483</v>
      </c>
      <c r="M167" s="70" t="s">
        <v>405</v>
      </c>
      <c r="N167" s="71" t="n">
        <v>46759</v>
      </c>
      <c r="O167" s="70" t="s">
        <v>189</v>
      </c>
    </row>
    <row r="168" customFormat="false" ht="15" hidden="false" customHeight="false" outlineLevel="0" collapsed="false">
      <c r="A168" s="70" t="s">
        <v>276</v>
      </c>
      <c r="B168" s="70" t="s">
        <v>278</v>
      </c>
      <c r="C168" s="70" t="s">
        <v>1512</v>
      </c>
      <c r="D168" s="70" t="s">
        <v>1650</v>
      </c>
      <c r="E168" s="72" t="n">
        <v>1</v>
      </c>
      <c r="F168" s="70"/>
      <c r="G168" s="72" t="n">
        <v>1021970000</v>
      </c>
      <c r="H168" s="72" t="n">
        <v>603</v>
      </c>
      <c r="I168" s="76" t="n">
        <v>46289</v>
      </c>
      <c r="J168" s="72" t="n">
        <v>603</v>
      </c>
      <c r="K168" s="70" t="s">
        <v>65</v>
      </c>
      <c r="L168" s="70" t="s">
        <v>1488</v>
      </c>
      <c r="M168" s="70" t="s">
        <v>405</v>
      </c>
      <c r="N168" s="71" t="n">
        <v>46468</v>
      </c>
      <c r="O168" s="70" t="s">
        <v>189</v>
      </c>
    </row>
    <row r="169" customFormat="false" ht="15" hidden="false" customHeight="false" outlineLevel="0" collapsed="false">
      <c r="A169" s="70" t="s">
        <v>276</v>
      </c>
      <c r="B169" s="70" t="s">
        <v>278</v>
      </c>
      <c r="C169" s="70" t="s">
        <v>1512</v>
      </c>
      <c r="D169" s="70" t="s">
        <v>1651</v>
      </c>
      <c r="E169" s="72" t="n">
        <v>1</v>
      </c>
      <c r="F169" s="70"/>
      <c r="G169" s="72" t="n">
        <v>1021970000</v>
      </c>
      <c r="H169" s="72" t="n">
        <v>603</v>
      </c>
      <c r="I169" s="76" t="n">
        <v>46289</v>
      </c>
      <c r="J169" s="72" t="n">
        <v>603</v>
      </c>
      <c r="K169" s="70" t="s">
        <v>65</v>
      </c>
      <c r="L169" s="70" t="s">
        <v>1488</v>
      </c>
      <c r="M169" s="70" t="s">
        <v>405</v>
      </c>
      <c r="N169" s="71" t="n">
        <v>46468</v>
      </c>
      <c r="O169" s="70" t="s">
        <v>189</v>
      </c>
    </row>
    <row r="170" customFormat="false" ht="15" hidden="false" customHeight="false" outlineLevel="0" collapsed="false">
      <c r="A170" s="70" t="s">
        <v>198</v>
      </c>
      <c r="B170" s="70" t="s">
        <v>199</v>
      </c>
      <c r="C170" s="70" t="s">
        <v>1512</v>
      </c>
      <c r="D170" s="70" t="s">
        <v>1652</v>
      </c>
      <c r="E170" s="72" t="n">
        <v>1</v>
      </c>
      <c r="F170" s="70"/>
      <c r="G170" s="72" t="n">
        <v>1021963000</v>
      </c>
      <c r="H170" s="72" t="n">
        <v>313.6</v>
      </c>
      <c r="I170" s="76" t="n">
        <v>46288</v>
      </c>
      <c r="J170" s="72" t="n">
        <v>313.6</v>
      </c>
      <c r="K170" s="70" t="s">
        <v>65</v>
      </c>
      <c r="L170" s="70" t="s">
        <v>1483</v>
      </c>
      <c r="M170" s="70" t="s">
        <v>405</v>
      </c>
      <c r="N170" s="71" t="n">
        <v>46708</v>
      </c>
      <c r="O170" s="70" t="s">
        <v>189</v>
      </c>
    </row>
    <row r="171" customFormat="false" ht="15" hidden="false" customHeight="false" outlineLevel="0" collapsed="false">
      <c r="A171" s="70" t="s">
        <v>186</v>
      </c>
      <c r="B171" s="70" t="s">
        <v>187</v>
      </c>
      <c r="C171" s="70" t="s">
        <v>1512</v>
      </c>
      <c r="D171" s="70" t="s">
        <v>1653</v>
      </c>
      <c r="E171" s="72" t="n">
        <v>1</v>
      </c>
      <c r="F171" s="70"/>
      <c r="G171" s="72" t="n">
        <v>1021970000</v>
      </c>
      <c r="H171" s="72" t="n">
        <v>600</v>
      </c>
      <c r="I171" s="76" t="n">
        <v>46289</v>
      </c>
      <c r="J171" s="72" t="n">
        <v>600</v>
      </c>
      <c r="K171" s="70" t="s">
        <v>65</v>
      </c>
      <c r="L171" s="70" t="s">
        <v>1488</v>
      </c>
      <c r="M171" s="70" t="s">
        <v>405</v>
      </c>
      <c r="N171" s="71" t="n">
        <v>46484</v>
      </c>
      <c r="O171" s="70" t="s">
        <v>189</v>
      </c>
    </row>
    <row r="172" customFormat="false" ht="15" hidden="false" customHeight="false" outlineLevel="0" collapsed="false">
      <c r="A172" s="70" t="s">
        <v>257</v>
      </c>
      <c r="B172" s="70" t="s">
        <v>258</v>
      </c>
      <c r="C172" s="70" t="s">
        <v>1512</v>
      </c>
      <c r="D172" s="70" t="s">
        <v>1654</v>
      </c>
      <c r="E172" s="72" t="n">
        <v>1</v>
      </c>
      <c r="F172" s="70"/>
      <c r="G172" s="72" t="n">
        <v>1021771000</v>
      </c>
      <c r="H172" s="72" t="n">
        <v>384</v>
      </c>
      <c r="I172" s="76" t="n">
        <v>46240</v>
      </c>
      <c r="J172" s="72" t="n">
        <v>384</v>
      </c>
      <c r="K172" s="70" t="s">
        <v>65</v>
      </c>
      <c r="L172" s="70" t="s">
        <v>1509</v>
      </c>
      <c r="M172" s="70" t="s">
        <v>405</v>
      </c>
      <c r="N172" s="71" t="n">
        <v>46394</v>
      </c>
      <c r="O172" s="70" t="s">
        <v>189</v>
      </c>
    </row>
    <row r="173" customFormat="false" ht="15" hidden="false" customHeight="false" outlineLevel="0" collapsed="false">
      <c r="A173" s="70" t="s">
        <v>314</v>
      </c>
      <c r="B173" s="70" t="s">
        <v>315</v>
      </c>
      <c r="C173" s="70" t="s">
        <v>1512</v>
      </c>
      <c r="D173" s="70" t="s">
        <v>1655</v>
      </c>
      <c r="E173" s="72" t="n">
        <v>1</v>
      </c>
      <c r="F173" s="70"/>
      <c r="G173" s="72" t="n">
        <v>1021425000</v>
      </c>
      <c r="H173" s="72" t="n">
        <v>313.6</v>
      </c>
      <c r="I173" s="76" t="n">
        <v>46183</v>
      </c>
      <c r="J173" s="72" t="n">
        <v>313.6</v>
      </c>
      <c r="K173" s="70" t="s">
        <v>65</v>
      </c>
      <c r="L173" s="70" t="s">
        <v>1549</v>
      </c>
      <c r="M173" s="70" t="s">
        <v>405</v>
      </c>
      <c r="N173" s="71" t="n">
        <v>46551</v>
      </c>
      <c r="O173" s="70" t="s">
        <v>189</v>
      </c>
    </row>
    <row r="174" customFormat="false" ht="15" hidden="false" customHeight="false" outlineLevel="0" collapsed="false">
      <c r="A174" s="70" t="s">
        <v>322</v>
      </c>
      <c r="B174" s="70" t="s">
        <v>323</v>
      </c>
      <c r="C174" s="70" t="s">
        <v>1512</v>
      </c>
      <c r="D174" s="70" t="s">
        <v>1656</v>
      </c>
      <c r="E174" s="72" t="n">
        <v>1</v>
      </c>
      <c r="F174" s="70"/>
      <c r="G174" s="72" t="n">
        <v>1021425000</v>
      </c>
      <c r="H174" s="72" t="n">
        <v>271.6</v>
      </c>
      <c r="I174" s="76" t="n">
        <v>46295</v>
      </c>
      <c r="J174" s="72" t="n">
        <v>271.6</v>
      </c>
      <c r="K174" s="70" t="s">
        <v>65</v>
      </c>
      <c r="L174" s="70" t="s">
        <v>1657</v>
      </c>
      <c r="M174" s="70" t="s">
        <v>405</v>
      </c>
      <c r="N174" s="71" t="n">
        <v>46416</v>
      </c>
      <c r="O174" s="70" t="s">
        <v>189</v>
      </c>
    </row>
    <row r="175" customFormat="false" ht="15" hidden="false" customHeight="false" outlineLevel="0" collapsed="false">
      <c r="A175" s="70" t="s">
        <v>245</v>
      </c>
      <c r="B175" s="70" t="s">
        <v>246</v>
      </c>
      <c r="C175" s="70" t="s">
        <v>1512</v>
      </c>
      <c r="D175" s="70" t="s">
        <v>1658</v>
      </c>
      <c r="E175" s="72" t="n">
        <v>1</v>
      </c>
      <c r="F175" s="70"/>
      <c r="G175" s="72" t="n">
        <v>1020120000</v>
      </c>
      <c r="H175" s="72" t="n">
        <v>384</v>
      </c>
      <c r="I175" s="76" t="n">
        <v>45881</v>
      </c>
      <c r="J175" s="72" t="n">
        <v>384</v>
      </c>
      <c r="K175" s="70" t="s">
        <v>65</v>
      </c>
      <c r="L175" s="70" t="s">
        <v>1541</v>
      </c>
      <c r="M175" s="70" t="s">
        <v>405</v>
      </c>
      <c r="N175" s="71" t="n">
        <v>46437</v>
      </c>
      <c r="O175" s="70" t="s">
        <v>189</v>
      </c>
    </row>
    <row r="176" customFormat="false" ht="15" hidden="false" customHeight="false" outlineLevel="0" collapsed="false">
      <c r="A176" s="70" t="s">
        <v>322</v>
      </c>
      <c r="B176" s="70" t="s">
        <v>323</v>
      </c>
      <c r="C176" s="70" t="s">
        <v>1512</v>
      </c>
      <c r="D176" s="70" t="s">
        <v>1659</v>
      </c>
      <c r="E176" s="72" t="n">
        <v>1</v>
      </c>
      <c r="F176" s="70"/>
      <c r="G176" s="72" t="n">
        <v>1021425000</v>
      </c>
      <c r="H176" s="72" t="n">
        <v>313.6</v>
      </c>
      <c r="I176" s="76" t="n">
        <v>46165</v>
      </c>
      <c r="J176" s="72" t="n">
        <v>313.6</v>
      </c>
      <c r="K176" s="70" t="s">
        <v>65</v>
      </c>
      <c r="L176" s="70" t="s">
        <v>1657</v>
      </c>
      <c r="M176" s="70" t="s">
        <v>405</v>
      </c>
      <c r="N176" s="71" t="n">
        <v>46416</v>
      </c>
      <c r="O176" s="70" t="s">
        <v>189</v>
      </c>
    </row>
    <row r="177" customFormat="false" ht="15" hidden="false" customHeight="false" outlineLevel="0" collapsed="false">
      <c r="A177" s="70" t="s">
        <v>314</v>
      </c>
      <c r="B177" s="70" t="s">
        <v>315</v>
      </c>
      <c r="C177" s="70" t="s">
        <v>1512</v>
      </c>
      <c r="D177" s="70" t="s">
        <v>1660</v>
      </c>
      <c r="E177" s="72" t="n">
        <v>1</v>
      </c>
      <c r="F177" s="70"/>
      <c r="G177" s="72" t="n">
        <v>1021425000</v>
      </c>
      <c r="H177" s="72" t="n">
        <v>313.6</v>
      </c>
      <c r="I177" s="76" t="n">
        <v>46183</v>
      </c>
      <c r="J177" s="72" t="n">
        <v>313.6</v>
      </c>
      <c r="K177" s="70" t="s">
        <v>65</v>
      </c>
      <c r="L177" s="70" t="s">
        <v>1549</v>
      </c>
      <c r="M177" s="70" t="s">
        <v>405</v>
      </c>
      <c r="N177" s="71" t="n">
        <v>46551</v>
      </c>
      <c r="O177" s="70" t="s">
        <v>189</v>
      </c>
    </row>
    <row r="178" customFormat="false" ht="15" hidden="false" customHeight="false" outlineLevel="0" collapsed="false">
      <c r="A178" s="70" t="s">
        <v>205</v>
      </c>
      <c r="B178" s="70" t="s">
        <v>209</v>
      </c>
      <c r="C178" s="70" t="s">
        <v>1661</v>
      </c>
      <c r="D178" s="70" t="s">
        <v>1662</v>
      </c>
      <c r="E178" s="72" t="n">
        <v>3</v>
      </c>
      <c r="F178" s="70" t="s">
        <v>1501</v>
      </c>
      <c r="G178" s="70"/>
      <c r="H178" s="72" t="n">
        <v>20.1</v>
      </c>
      <c r="I178" s="76" t="n">
        <v>46244</v>
      </c>
      <c r="J178" s="72" t="n">
        <v>20.1</v>
      </c>
      <c r="K178" s="70" t="s">
        <v>65</v>
      </c>
      <c r="L178" s="70" t="s">
        <v>1663</v>
      </c>
      <c r="M178" s="70" t="s">
        <v>405</v>
      </c>
      <c r="N178" s="71" t="n">
        <v>46475</v>
      </c>
      <c r="O178" s="70" t="s">
        <v>189</v>
      </c>
    </row>
    <row r="179" customFormat="false" ht="15" hidden="false" customHeight="false" outlineLevel="0" collapsed="false">
      <c r="A179" s="70" t="s">
        <v>245</v>
      </c>
      <c r="B179" s="70" t="s">
        <v>246</v>
      </c>
      <c r="C179" s="70" t="s">
        <v>1661</v>
      </c>
      <c r="D179" s="70" t="s">
        <v>1664</v>
      </c>
      <c r="E179" s="72" t="n">
        <v>3</v>
      </c>
      <c r="F179" s="70"/>
      <c r="G179" s="70"/>
      <c r="H179" s="72" t="n">
        <v>30</v>
      </c>
      <c r="I179" s="76" t="n">
        <v>46269</v>
      </c>
      <c r="J179" s="72" t="n">
        <v>30</v>
      </c>
      <c r="K179" s="70" t="s">
        <v>65</v>
      </c>
      <c r="L179" s="70" t="s">
        <v>1665</v>
      </c>
      <c r="M179" s="70" t="s">
        <v>405</v>
      </c>
      <c r="N179" s="71" t="n">
        <v>46437</v>
      </c>
      <c r="O179" s="70" t="s">
        <v>189</v>
      </c>
    </row>
    <row r="180" customFormat="false" ht="15" hidden="false" customHeight="false" outlineLevel="0" collapsed="false">
      <c r="A180" s="70" t="s">
        <v>245</v>
      </c>
      <c r="B180" s="70" t="s">
        <v>246</v>
      </c>
      <c r="C180" s="70" t="s">
        <v>1661</v>
      </c>
      <c r="D180" s="70" t="s">
        <v>1666</v>
      </c>
      <c r="E180" s="72" t="n">
        <v>4</v>
      </c>
      <c r="F180" s="70"/>
      <c r="G180" s="70"/>
      <c r="H180" s="72" t="n">
        <v>6</v>
      </c>
      <c r="I180" s="76" t="n">
        <v>46272</v>
      </c>
      <c r="J180" s="72" t="n">
        <v>6</v>
      </c>
      <c r="K180" s="70" t="s">
        <v>65</v>
      </c>
      <c r="L180" s="70" t="s">
        <v>1667</v>
      </c>
      <c r="M180" s="70" t="s">
        <v>405</v>
      </c>
      <c r="N180" s="71" t="n">
        <v>46437</v>
      </c>
      <c r="O180" s="70" t="s">
        <v>189</v>
      </c>
    </row>
    <row r="181" customFormat="false" ht="15" hidden="false" customHeight="false" outlineLevel="0" collapsed="false">
      <c r="A181" s="70" t="s">
        <v>271</v>
      </c>
      <c r="B181" s="70" t="s">
        <v>272</v>
      </c>
      <c r="C181" s="70" t="s">
        <v>1661</v>
      </c>
      <c r="D181" s="70" t="s">
        <v>1668</v>
      </c>
      <c r="E181" s="72" t="n">
        <v>1</v>
      </c>
      <c r="F181" s="70"/>
      <c r="G181" s="70"/>
      <c r="H181" s="72" t="n">
        <v>260</v>
      </c>
      <c r="I181" s="76" t="n">
        <v>46295</v>
      </c>
      <c r="J181" s="72" t="n">
        <v>260</v>
      </c>
      <c r="K181" s="70" t="s">
        <v>65</v>
      </c>
      <c r="L181" s="70" t="s">
        <v>1496</v>
      </c>
      <c r="M181" s="70" t="s">
        <v>405</v>
      </c>
      <c r="N181" s="71" t="n">
        <v>46703</v>
      </c>
      <c r="O181" s="70" t="s">
        <v>189</v>
      </c>
    </row>
    <row r="182" customFormat="false" ht="15" hidden="false" customHeight="false" outlineLevel="0" collapsed="false">
      <c r="A182" s="70" t="s">
        <v>276</v>
      </c>
      <c r="B182" s="70" t="s">
        <v>278</v>
      </c>
      <c r="C182" s="70" t="s">
        <v>1661</v>
      </c>
      <c r="D182" s="70" t="s">
        <v>1669</v>
      </c>
      <c r="E182" s="72" t="n">
        <v>1</v>
      </c>
      <c r="F182" s="70"/>
      <c r="G182" s="70"/>
      <c r="H182" s="72" t="n">
        <v>603</v>
      </c>
      <c r="I182" s="76" t="n">
        <v>46291</v>
      </c>
      <c r="J182" s="72" t="n">
        <v>603</v>
      </c>
      <c r="K182" s="70" t="s">
        <v>65</v>
      </c>
      <c r="L182" s="70" t="s">
        <v>1473</v>
      </c>
      <c r="M182" s="70" t="s">
        <v>405</v>
      </c>
      <c r="N182" s="71" t="n">
        <v>46468</v>
      </c>
      <c r="O182" s="70" t="s">
        <v>189</v>
      </c>
    </row>
    <row r="183" customFormat="false" ht="15" hidden="false" customHeight="false" outlineLevel="0" collapsed="false">
      <c r="A183" s="70" t="s">
        <v>314</v>
      </c>
      <c r="B183" s="70" t="s">
        <v>315</v>
      </c>
      <c r="C183" s="70" t="s">
        <v>1661</v>
      </c>
      <c r="D183" s="70" t="s">
        <v>1670</v>
      </c>
      <c r="E183" s="72" t="n">
        <v>1</v>
      </c>
      <c r="F183" s="70"/>
      <c r="G183" s="70"/>
      <c r="H183" s="72" t="n">
        <v>2.8</v>
      </c>
      <c r="I183" s="76" t="n">
        <v>46291</v>
      </c>
      <c r="J183" s="72" t="n">
        <v>2.8</v>
      </c>
      <c r="K183" s="70" t="s">
        <v>65</v>
      </c>
      <c r="L183" s="70" t="s">
        <v>1473</v>
      </c>
      <c r="M183" s="70" t="s">
        <v>405</v>
      </c>
      <c r="N183" s="71" t="n">
        <v>46551</v>
      </c>
      <c r="O183" s="70" t="s">
        <v>189</v>
      </c>
    </row>
    <row r="184" customFormat="false" ht="15" hidden="false" customHeight="false" outlineLevel="0" collapsed="false">
      <c r="A184" s="70" t="s">
        <v>220</v>
      </c>
      <c r="B184" s="70" t="s">
        <v>224</v>
      </c>
      <c r="C184" s="70" t="s">
        <v>1661</v>
      </c>
      <c r="D184" s="70" t="s">
        <v>1671</v>
      </c>
      <c r="E184" s="72" t="n">
        <v>1</v>
      </c>
      <c r="F184" s="70"/>
      <c r="G184" s="70"/>
      <c r="H184" s="72" t="n">
        <v>522.6</v>
      </c>
      <c r="I184" s="76" t="n">
        <v>46294</v>
      </c>
      <c r="J184" s="72" t="n">
        <v>522.6</v>
      </c>
      <c r="K184" s="70" t="s">
        <v>65</v>
      </c>
      <c r="L184" s="70" t="s">
        <v>1473</v>
      </c>
      <c r="M184" s="70" t="s">
        <v>405</v>
      </c>
      <c r="N184" s="71" t="n">
        <v>46498</v>
      </c>
      <c r="O184" s="70" t="s">
        <v>189</v>
      </c>
    </row>
    <row r="185" customFormat="false" ht="15" hidden="false" customHeight="false" outlineLevel="0" collapsed="false">
      <c r="A185" s="70" t="s">
        <v>276</v>
      </c>
      <c r="B185" s="70" t="s">
        <v>370</v>
      </c>
      <c r="C185" s="70" t="s">
        <v>1661</v>
      </c>
      <c r="D185" s="70" t="s">
        <v>1672</v>
      </c>
      <c r="E185" s="72" t="n">
        <v>1</v>
      </c>
      <c r="F185" s="70"/>
      <c r="G185" s="70"/>
      <c r="H185" s="72" t="n">
        <v>160.8</v>
      </c>
      <c r="I185" s="76" t="n">
        <v>46291</v>
      </c>
      <c r="J185" s="72" t="n">
        <v>160.8</v>
      </c>
      <c r="K185" s="70" t="s">
        <v>65</v>
      </c>
      <c r="L185" s="70" t="s">
        <v>1473</v>
      </c>
      <c r="M185" s="70" t="s">
        <v>405</v>
      </c>
      <c r="N185" s="71" t="n">
        <v>46551</v>
      </c>
      <c r="O185" s="70" t="s">
        <v>189</v>
      </c>
    </row>
    <row r="186" customFormat="false" ht="15" hidden="false" customHeight="false" outlineLevel="0" collapsed="false">
      <c r="A186" s="70" t="s">
        <v>205</v>
      </c>
      <c r="B186" s="70" t="s">
        <v>206</v>
      </c>
      <c r="C186" s="70" t="s">
        <v>1661</v>
      </c>
      <c r="D186" s="70" t="s">
        <v>1673</v>
      </c>
      <c r="E186" s="72" t="n">
        <v>1</v>
      </c>
      <c r="F186" s="70"/>
      <c r="G186" s="70"/>
      <c r="H186" s="72" t="n">
        <v>20.1</v>
      </c>
      <c r="I186" s="76" t="n">
        <v>46255</v>
      </c>
      <c r="J186" s="72" t="n">
        <v>20.1</v>
      </c>
      <c r="K186" s="70" t="s">
        <v>65</v>
      </c>
      <c r="L186" s="70" t="s">
        <v>1674</v>
      </c>
      <c r="M186" s="70" t="s">
        <v>416</v>
      </c>
      <c r="N186" s="71" t="n">
        <v>46632</v>
      </c>
      <c r="O186" s="70" t="s">
        <v>189</v>
      </c>
    </row>
    <row r="187" customFormat="false" ht="15" hidden="false" customHeight="false" outlineLevel="0" collapsed="false">
      <c r="A187" s="70" t="s">
        <v>389</v>
      </c>
      <c r="B187" s="70" t="s">
        <v>390</v>
      </c>
      <c r="C187" s="70" t="s">
        <v>1661</v>
      </c>
      <c r="D187" s="70" t="s">
        <v>1675</v>
      </c>
      <c r="E187" s="72" t="n">
        <v>1</v>
      </c>
      <c r="F187" s="70"/>
      <c r="G187" s="70"/>
      <c r="H187" s="72" t="n">
        <v>33.6</v>
      </c>
      <c r="I187" s="76" t="n">
        <v>46293</v>
      </c>
      <c r="J187" s="72" t="n">
        <v>33.6</v>
      </c>
      <c r="K187" s="70" t="s">
        <v>65</v>
      </c>
      <c r="L187" s="70" t="s">
        <v>1477</v>
      </c>
      <c r="M187" s="70" t="s">
        <v>405</v>
      </c>
      <c r="N187" s="71" t="n">
        <v>46245</v>
      </c>
      <c r="O187" s="70" t="s">
        <v>189</v>
      </c>
    </row>
    <row r="188" customFormat="false" ht="15" hidden="false" customHeight="false" outlineLevel="0" collapsed="false">
      <c r="A188" s="70" t="s">
        <v>314</v>
      </c>
      <c r="B188" s="70" t="s">
        <v>315</v>
      </c>
      <c r="C188" s="70" t="s">
        <v>1661</v>
      </c>
      <c r="D188" s="70" t="s">
        <v>1676</v>
      </c>
      <c r="E188" s="72" t="n">
        <v>1</v>
      </c>
      <c r="F188" s="70"/>
      <c r="G188" s="70"/>
      <c r="H188" s="72" t="n">
        <v>182</v>
      </c>
      <c r="I188" s="76" t="n">
        <v>46295</v>
      </c>
      <c r="J188" s="72" t="n">
        <v>182</v>
      </c>
      <c r="K188" s="70" t="s">
        <v>65</v>
      </c>
      <c r="L188" s="70" t="s">
        <v>1677</v>
      </c>
      <c r="M188" s="70" t="s">
        <v>405</v>
      </c>
      <c r="N188" s="71" t="n">
        <v>46551</v>
      </c>
      <c r="O188" s="70" t="s">
        <v>189</v>
      </c>
    </row>
    <row r="189" customFormat="false" ht="15" hidden="false" customHeight="false" outlineLevel="0" collapsed="false">
      <c r="A189" s="70" t="s">
        <v>286</v>
      </c>
      <c r="B189" s="70" t="s">
        <v>290</v>
      </c>
      <c r="C189" s="70" t="s">
        <v>1661</v>
      </c>
      <c r="D189" s="70" t="s">
        <v>1678</v>
      </c>
      <c r="E189" s="72" t="n">
        <v>1</v>
      </c>
      <c r="F189" s="70"/>
      <c r="G189" s="70"/>
      <c r="H189" s="72" t="n">
        <v>19</v>
      </c>
      <c r="I189" s="76" t="n">
        <v>46295</v>
      </c>
      <c r="J189" s="72" t="n">
        <v>19</v>
      </c>
      <c r="K189" s="70" t="s">
        <v>147</v>
      </c>
      <c r="L189" s="70" t="s">
        <v>1473</v>
      </c>
      <c r="M189" s="70" t="s">
        <v>405</v>
      </c>
      <c r="N189" s="71" t="n">
        <v>46651</v>
      </c>
      <c r="O189" s="70" t="s">
        <v>189</v>
      </c>
    </row>
    <row r="190" customFormat="false" ht="15" hidden="false" customHeight="false" outlineLevel="0" collapsed="false">
      <c r="A190" s="70" t="s">
        <v>198</v>
      </c>
      <c r="B190" s="70" t="s">
        <v>199</v>
      </c>
      <c r="C190" s="70" t="s">
        <v>1661</v>
      </c>
      <c r="D190" s="70" t="s">
        <v>1679</v>
      </c>
      <c r="E190" s="72" t="n">
        <v>1</v>
      </c>
      <c r="F190" s="70"/>
      <c r="G190" s="70"/>
      <c r="H190" s="72" t="n">
        <v>8.4</v>
      </c>
      <c r="I190" s="76" t="n">
        <v>46295</v>
      </c>
      <c r="J190" s="72" t="n">
        <v>8.4</v>
      </c>
      <c r="K190" s="70" t="s">
        <v>65</v>
      </c>
      <c r="L190" s="70" t="s">
        <v>1496</v>
      </c>
      <c r="M190" s="70" t="s">
        <v>405</v>
      </c>
      <c r="N190" s="71" t="n">
        <v>46708</v>
      </c>
      <c r="O190" s="70" t="s">
        <v>189</v>
      </c>
    </row>
    <row r="191" customFormat="false" ht="15" hidden="false" customHeight="false" outlineLevel="0" collapsed="false">
      <c r="A191" s="70" t="s">
        <v>220</v>
      </c>
      <c r="B191" s="70" t="s">
        <v>224</v>
      </c>
      <c r="C191" s="70" t="s">
        <v>1661</v>
      </c>
      <c r="D191" s="70" t="s">
        <v>1680</v>
      </c>
      <c r="E191" s="72" t="n">
        <v>1</v>
      </c>
      <c r="F191" s="70"/>
      <c r="G191" s="70"/>
      <c r="H191" s="72" t="n">
        <v>261.3</v>
      </c>
      <c r="I191" s="76" t="n">
        <v>46292</v>
      </c>
      <c r="J191" s="72" t="n">
        <v>261.3</v>
      </c>
      <c r="K191" s="70" t="s">
        <v>65</v>
      </c>
      <c r="L191" s="70" t="s">
        <v>1621</v>
      </c>
      <c r="M191" s="70" t="s">
        <v>405</v>
      </c>
      <c r="N191" s="71" t="n">
        <v>46498</v>
      </c>
      <c r="O191" s="70" t="s">
        <v>189</v>
      </c>
    </row>
    <row r="192" customFormat="false" ht="15" hidden="false" customHeight="false" outlineLevel="0" collapsed="false">
      <c r="A192" s="70" t="s">
        <v>269</v>
      </c>
      <c r="B192" s="70" t="s">
        <v>270</v>
      </c>
      <c r="C192" s="70" t="s">
        <v>1661</v>
      </c>
      <c r="D192" s="70" t="s">
        <v>1681</v>
      </c>
      <c r="E192" s="72" t="n">
        <v>1</v>
      </c>
      <c r="F192" s="70"/>
      <c r="G192" s="70"/>
      <c r="H192" s="72" t="n">
        <v>330</v>
      </c>
      <c r="I192" s="76" t="n">
        <v>46294</v>
      </c>
      <c r="J192" s="72" t="n">
        <v>330</v>
      </c>
      <c r="K192" s="70" t="s">
        <v>65</v>
      </c>
      <c r="L192" s="70" t="s">
        <v>1682</v>
      </c>
      <c r="M192" s="70" t="s">
        <v>405</v>
      </c>
      <c r="N192" s="71" t="n">
        <v>46671</v>
      </c>
      <c r="O192" s="70" t="s">
        <v>189</v>
      </c>
    </row>
    <row r="193" customFormat="false" ht="15" hidden="false" customHeight="false" outlineLevel="0" collapsed="false">
      <c r="A193" s="70" t="s">
        <v>305</v>
      </c>
      <c r="B193" s="70" t="s">
        <v>306</v>
      </c>
      <c r="C193" s="70" t="s">
        <v>1661</v>
      </c>
      <c r="D193" s="70" t="s">
        <v>1683</v>
      </c>
      <c r="E193" s="72" t="n">
        <v>1</v>
      </c>
      <c r="F193" s="70"/>
      <c r="G193" s="70"/>
      <c r="H193" s="72" t="n">
        <v>280</v>
      </c>
      <c r="I193" s="76" t="n">
        <v>46294</v>
      </c>
      <c r="J193" s="72" t="n">
        <v>280</v>
      </c>
      <c r="K193" s="70" t="s">
        <v>65</v>
      </c>
      <c r="L193" s="70" t="s">
        <v>1473</v>
      </c>
      <c r="M193" s="70" t="s">
        <v>405</v>
      </c>
      <c r="N193" s="71" t="n">
        <v>46505</v>
      </c>
      <c r="O193" s="70" t="s">
        <v>189</v>
      </c>
    </row>
    <row r="194" customFormat="false" ht="15" hidden="false" customHeight="false" outlineLevel="0" collapsed="false">
      <c r="A194" s="70" t="s">
        <v>192</v>
      </c>
      <c r="B194" s="70" t="s">
        <v>195</v>
      </c>
      <c r="C194" s="70" t="s">
        <v>1661</v>
      </c>
      <c r="D194" s="70" t="s">
        <v>1684</v>
      </c>
      <c r="E194" s="72" t="n">
        <v>1</v>
      </c>
      <c r="F194" s="70"/>
      <c r="G194" s="70"/>
      <c r="H194" s="72" t="n">
        <v>140.7</v>
      </c>
      <c r="I194" s="76" t="n">
        <v>46294</v>
      </c>
      <c r="J194" s="72" t="n">
        <v>140.7</v>
      </c>
      <c r="K194" s="70" t="s">
        <v>65</v>
      </c>
      <c r="L194" s="70" t="s">
        <v>1473</v>
      </c>
      <c r="M194" s="70" t="s">
        <v>405</v>
      </c>
      <c r="N194" s="71" t="n">
        <v>46759</v>
      </c>
      <c r="O194" s="70" t="s">
        <v>189</v>
      </c>
    </row>
    <row r="195" customFormat="false" ht="15" hidden="false" customHeight="false" outlineLevel="0" collapsed="false">
      <c r="A195" s="70" t="s">
        <v>257</v>
      </c>
      <c r="B195" s="70" t="s">
        <v>209</v>
      </c>
      <c r="C195" s="70" t="s">
        <v>1661</v>
      </c>
      <c r="D195" s="70" t="s">
        <v>1685</v>
      </c>
      <c r="E195" s="72" t="n">
        <v>1</v>
      </c>
      <c r="F195" s="70" t="s">
        <v>1501</v>
      </c>
      <c r="G195" s="70"/>
      <c r="H195" s="72" t="n">
        <v>288</v>
      </c>
      <c r="I195" s="76" t="n">
        <v>46292</v>
      </c>
      <c r="J195" s="72" t="n">
        <v>288</v>
      </c>
      <c r="K195" s="70" t="s">
        <v>65</v>
      </c>
      <c r="L195" s="70" t="s">
        <v>1686</v>
      </c>
      <c r="M195" s="70" t="s">
        <v>1687</v>
      </c>
      <c r="N195" s="71" t="n">
        <v>46294</v>
      </c>
      <c r="O195" s="70" t="s">
        <v>189</v>
      </c>
    </row>
    <row r="196" customFormat="false" ht="15" hidden="false" customHeight="false" outlineLevel="0" collapsed="false">
      <c r="A196" s="70" t="s">
        <v>252</v>
      </c>
      <c r="B196" s="70" t="s">
        <v>253</v>
      </c>
      <c r="C196" s="70" t="s">
        <v>1661</v>
      </c>
      <c r="D196" s="70" t="s">
        <v>1688</v>
      </c>
      <c r="E196" s="72" t="n">
        <v>1</v>
      </c>
      <c r="F196" s="70"/>
      <c r="G196" s="70"/>
      <c r="H196" s="72" t="n">
        <v>76</v>
      </c>
      <c r="I196" s="76" t="n">
        <v>46293</v>
      </c>
      <c r="J196" s="72" t="n">
        <v>76</v>
      </c>
      <c r="K196" s="70" t="s">
        <v>65</v>
      </c>
      <c r="L196" s="70" t="s">
        <v>1689</v>
      </c>
      <c r="M196" s="70" t="s">
        <v>405</v>
      </c>
      <c r="N196" s="71" t="n">
        <v>46641</v>
      </c>
      <c r="O196" s="70" t="s">
        <v>189</v>
      </c>
    </row>
    <row r="197" customFormat="false" ht="15" hidden="false" customHeight="false" outlineLevel="0" collapsed="false">
      <c r="A197" s="70" t="s">
        <v>232</v>
      </c>
      <c r="B197" s="70" t="s">
        <v>237</v>
      </c>
      <c r="C197" s="70" t="s">
        <v>1661</v>
      </c>
      <c r="D197" s="70" t="s">
        <v>1690</v>
      </c>
      <c r="E197" s="72" t="n">
        <v>1</v>
      </c>
      <c r="F197" s="70"/>
      <c r="G197" s="70"/>
      <c r="H197" s="72" t="n">
        <v>120</v>
      </c>
      <c r="I197" s="76" t="n">
        <v>46295</v>
      </c>
      <c r="J197" s="72" t="n">
        <v>120</v>
      </c>
      <c r="K197" s="70" t="s">
        <v>146</v>
      </c>
      <c r="L197" s="70" t="s">
        <v>1477</v>
      </c>
      <c r="M197" s="70" t="s">
        <v>405</v>
      </c>
      <c r="N197" s="71" t="n">
        <v>46866</v>
      </c>
      <c r="O197" s="70" t="s">
        <v>189</v>
      </c>
    </row>
    <row r="198" customFormat="false" ht="15" hidden="false" customHeight="false" outlineLevel="0" collapsed="false">
      <c r="A198" s="70" t="s">
        <v>232</v>
      </c>
      <c r="B198" s="70" t="s">
        <v>334</v>
      </c>
      <c r="C198" s="70" t="s">
        <v>1661</v>
      </c>
      <c r="D198" s="70" t="s">
        <v>1691</v>
      </c>
      <c r="E198" s="72" t="n">
        <v>1</v>
      </c>
      <c r="F198" s="70"/>
      <c r="G198" s="70"/>
      <c r="H198" s="72" t="n">
        <v>60</v>
      </c>
      <c r="I198" s="76" t="n">
        <v>46294</v>
      </c>
      <c r="J198" s="72" t="n">
        <v>60</v>
      </c>
      <c r="K198" s="70" t="s">
        <v>146</v>
      </c>
      <c r="L198" s="70" t="s">
        <v>1477</v>
      </c>
      <c r="M198" s="70" t="s">
        <v>405</v>
      </c>
      <c r="N198" s="71" t="n">
        <v>46844</v>
      </c>
      <c r="O198" s="70" t="s">
        <v>189</v>
      </c>
    </row>
    <row r="199" customFormat="false" ht="15" hidden="false" customHeight="false" outlineLevel="0" collapsed="false">
      <c r="A199" s="70" t="s">
        <v>380</v>
      </c>
      <c r="B199" s="70" t="s">
        <v>381</v>
      </c>
      <c r="C199" s="70" t="s">
        <v>1661</v>
      </c>
      <c r="D199" s="70" t="s">
        <v>1692</v>
      </c>
      <c r="E199" s="72" t="n">
        <v>1</v>
      </c>
      <c r="F199" s="70"/>
      <c r="G199" s="70"/>
      <c r="H199" s="72" t="n">
        <v>800</v>
      </c>
      <c r="I199" s="76" t="n">
        <v>46295</v>
      </c>
      <c r="J199" s="72" t="n">
        <v>800</v>
      </c>
      <c r="K199" s="70" t="s">
        <v>65</v>
      </c>
      <c r="L199" s="70" t="s">
        <v>1477</v>
      </c>
      <c r="M199" s="70" t="s">
        <v>405</v>
      </c>
      <c r="N199" s="71" t="n">
        <v>46390</v>
      </c>
      <c r="O199" s="70" t="s">
        <v>189</v>
      </c>
    </row>
    <row r="200" customFormat="false" ht="15" hidden="false" customHeight="false" outlineLevel="0" collapsed="false">
      <c r="A200" s="70" t="s">
        <v>211</v>
      </c>
      <c r="B200" s="70" t="s">
        <v>212</v>
      </c>
      <c r="C200" s="70" t="s">
        <v>1661</v>
      </c>
      <c r="D200" s="70" t="s">
        <v>1693</v>
      </c>
      <c r="E200" s="72" t="n">
        <v>1</v>
      </c>
      <c r="F200" s="70"/>
      <c r="G200" s="70"/>
      <c r="H200" s="72" t="n">
        <v>950</v>
      </c>
      <c r="I200" s="76" t="n">
        <v>46294</v>
      </c>
      <c r="J200" s="72" t="n">
        <v>950</v>
      </c>
      <c r="K200" s="70" t="s">
        <v>65</v>
      </c>
      <c r="L200" s="70" t="s">
        <v>1477</v>
      </c>
      <c r="M200" s="70" t="s">
        <v>405</v>
      </c>
      <c r="N200" s="71" t="n">
        <v>46715</v>
      </c>
      <c r="O200" s="70" t="s">
        <v>189</v>
      </c>
    </row>
    <row r="201" customFormat="false" ht="15" hidden="false" customHeight="false" outlineLevel="0" collapsed="false">
      <c r="A201" s="70" t="s">
        <v>276</v>
      </c>
      <c r="B201" s="70" t="s">
        <v>277</v>
      </c>
      <c r="C201" s="70" t="s">
        <v>1661</v>
      </c>
      <c r="D201" s="70" t="s">
        <v>1694</v>
      </c>
      <c r="E201" s="72" t="n">
        <v>1</v>
      </c>
      <c r="F201" s="70"/>
      <c r="G201" s="70"/>
      <c r="H201" s="72" t="n">
        <v>301.4</v>
      </c>
      <c r="I201" s="76" t="n">
        <v>46294</v>
      </c>
      <c r="J201" s="72" t="n">
        <v>301.4</v>
      </c>
      <c r="K201" s="70" t="s">
        <v>65</v>
      </c>
      <c r="L201" s="70" t="s">
        <v>1473</v>
      </c>
      <c r="M201" s="70" t="s">
        <v>405</v>
      </c>
      <c r="N201" s="71" t="n">
        <v>46441</v>
      </c>
      <c r="O201" s="70" t="s">
        <v>189</v>
      </c>
    </row>
    <row r="202" customFormat="false" ht="15" hidden="false" customHeight="false" outlineLevel="0" collapsed="false">
      <c r="A202" s="70" t="s">
        <v>218</v>
      </c>
      <c r="B202" s="70" t="s">
        <v>219</v>
      </c>
      <c r="C202" s="70" t="s">
        <v>1661</v>
      </c>
      <c r="D202" s="70" t="s">
        <v>1695</v>
      </c>
      <c r="E202" s="72" t="n">
        <v>1</v>
      </c>
      <c r="F202" s="70"/>
      <c r="G202" s="70"/>
      <c r="H202" s="72" t="n">
        <v>40</v>
      </c>
      <c r="I202" s="76" t="n">
        <v>46294</v>
      </c>
      <c r="J202" s="72" t="n">
        <v>40</v>
      </c>
      <c r="K202" s="70" t="s">
        <v>65</v>
      </c>
      <c r="L202" s="70" t="s">
        <v>1477</v>
      </c>
      <c r="M202" s="70" t="s">
        <v>405</v>
      </c>
      <c r="N202" s="71" t="n">
        <v>46867</v>
      </c>
      <c r="O202" s="70" t="s">
        <v>189</v>
      </c>
    </row>
    <row r="203" customFormat="false" ht="15" hidden="false" customHeight="false" outlineLevel="0" collapsed="false">
      <c r="A203" s="70" t="s">
        <v>243</v>
      </c>
      <c r="B203" s="70" t="s">
        <v>244</v>
      </c>
      <c r="C203" s="70" t="s">
        <v>1661</v>
      </c>
      <c r="D203" s="70" t="s">
        <v>1696</v>
      </c>
      <c r="E203" s="72" t="n">
        <v>1</v>
      </c>
      <c r="F203" s="70"/>
      <c r="G203" s="70"/>
      <c r="H203" s="72" t="n">
        <v>162</v>
      </c>
      <c r="I203" s="76" t="n">
        <v>46294</v>
      </c>
      <c r="J203" s="72" t="n">
        <v>162</v>
      </c>
      <c r="K203" s="70" t="s">
        <v>65</v>
      </c>
      <c r="L203" s="70" t="s">
        <v>1473</v>
      </c>
      <c r="M203" s="70" t="s">
        <v>405</v>
      </c>
      <c r="N203" s="71" t="n">
        <v>46668</v>
      </c>
      <c r="O203" s="70" t="s">
        <v>189</v>
      </c>
    </row>
    <row r="204" customFormat="false" ht="15" hidden="false" customHeight="false" outlineLevel="0" collapsed="false">
      <c r="A204" s="70" t="s">
        <v>245</v>
      </c>
      <c r="B204" s="70" t="s">
        <v>246</v>
      </c>
      <c r="C204" s="70" t="s">
        <v>1661</v>
      </c>
      <c r="D204" s="70" t="s">
        <v>1697</v>
      </c>
      <c r="E204" s="72" t="n">
        <v>1</v>
      </c>
      <c r="F204" s="70"/>
      <c r="G204" s="70"/>
      <c r="H204" s="72" t="n">
        <v>294</v>
      </c>
      <c r="I204" s="76" t="n">
        <v>46278</v>
      </c>
      <c r="J204" s="72" t="n">
        <v>294</v>
      </c>
      <c r="K204" s="70" t="s">
        <v>65</v>
      </c>
      <c r="L204" s="70" t="s">
        <v>1698</v>
      </c>
      <c r="M204" s="70" t="s">
        <v>405</v>
      </c>
      <c r="N204" s="71" t="n">
        <v>46437</v>
      </c>
      <c r="O204" s="70" t="s">
        <v>189</v>
      </c>
    </row>
    <row r="205" customFormat="false" ht="15" hidden="false" customHeight="false" outlineLevel="0" collapsed="false">
      <c r="A205" s="70" t="s">
        <v>232</v>
      </c>
      <c r="B205" s="70" t="s">
        <v>233</v>
      </c>
      <c r="C205" s="70" t="s">
        <v>1661</v>
      </c>
      <c r="D205" s="70" t="s">
        <v>1699</v>
      </c>
      <c r="E205" s="72" t="n">
        <v>1</v>
      </c>
      <c r="F205" s="70"/>
      <c r="G205" s="70"/>
      <c r="H205" s="72" t="n">
        <v>15</v>
      </c>
      <c r="I205" s="76" t="n">
        <v>46294</v>
      </c>
      <c r="J205" s="72" t="n">
        <v>15</v>
      </c>
      <c r="K205" s="70" t="s">
        <v>146</v>
      </c>
      <c r="L205" s="70" t="s">
        <v>1488</v>
      </c>
      <c r="M205" s="70" t="s">
        <v>405</v>
      </c>
      <c r="N205" s="71" t="n">
        <v>46684</v>
      </c>
      <c r="O205" s="70" t="s">
        <v>189</v>
      </c>
    </row>
    <row r="206" customFormat="false" ht="15" hidden="false" customHeight="false" outlineLevel="0" collapsed="false">
      <c r="A206" s="70" t="s">
        <v>286</v>
      </c>
      <c r="B206" s="70" t="s">
        <v>294</v>
      </c>
      <c r="C206" s="70" t="s">
        <v>1661</v>
      </c>
      <c r="D206" s="70" t="s">
        <v>1700</v>
      </c>
      <c r="E206" s="72" t="n">
        <v>1</v>
      </c>
      <c r="F206" s="70"/>
      <c r="G206" s="70"/>
      <c r="H206" s="72" t="n">
        <v>7</v>
      </c>
      <c r="I206" s="76" t="n">
        <v>46293</v>
      </c>
      <c r="J206" s="72" t="n">
        <v>7</v>
      </c>
      <c r="K206" s="70" t="s">
        <v>147</v>
      </c>
      <c r="L206" s="70" t="s">
        <v>1464</v>
      </c>
      <c r="M206" s="70" t="s">
        <v>405</v>
      </c>
      <c r="N206" s="71" t="n">
        <v>46736</v>
      </c>
      <c r="O206" s="70" t="s">
        <v>189</v>
      </c>
    </row>
    <row r="207" customFormat="false" ht="15" hidden="false" customHeight="false" outlineLevel="0" collapsed="false">
      <c r="A207" s="70" t="s">
        <v>309</v>
      </c>
      <c r="B207" s="70" t="s">
        <v>310</v>
      </c>
      <c r="C207" s="70" t="s">
        <v>1661</v>
      </c>
      <c r="D207" s="70" t="s">
        <v>1701</v>
      </c>
      <c r="E207" s="72" t="n">
        <v>1</v>
      </c>
      <c r="F207" s="70"/>
      <c r="G207" s="70"/>
      <c r="H207" s="72" t="n">
        <v>100.5</v>
      </c>
      <c r="I207" s="76" t="n">
        <v>46295</v>
      </c>
      <c r="J207" s="72" t="n">
        <v>100.5</v>
      </c>
      <c r="K207" s="70" t="s">
        <v>65</v>
      </c>
      <c r="L207" s="70" t="s">
        <v>1686</v>
      </c>
      <c r="M207" s="70" t="s">
        <v>405</v>
      </c>
      <c r="N207" s="71" t="n">
        <v>46678</v>
      </c>
      <c r="O207" s="70" t="s">
        <v>189</v>
      </c>
    </row>
    <row r="208" customFormat="false" ht="15" hidden="false" customHeight="false" outlineLevel="0" collapsed="false">
      <c r="A208" s="70" t="s">
        <v>327</v>
      </c>
      <c r="B208" s="70" t="s">
        <v>329</v>
      </c>
      <c r="C208" s="70" t="s">
        <v>1661</v>
      </c>
      <c r="D208" s="70" t="s">
        <v>1702</v>
      </c>
      <c r="E208" s="72" t="n">
        <v>1</v>
      </c>
      <c r="F208" s="70"/>
      <c r="G208" s="70"/>
      <c r="H208" s="72" t="n">
        <v>210</v>
      </c>
      <c r="I208" s="76" t="n">
        <v>46295</v>
      </c>
      <c r="J208" s="72" t="n">
        <v>210</v>
      </c>
      <c r="K208" s="70" t="s">
        <v>65</v>
      </c>
      <c r="L208" s="70" t="s">
        <v>1496</v>
      </c>
      <c r="M208" s="70" t="s">
        <v>405</v>
      </c>
      <c r="N208" s="71" t="n">
        <v>46486</v>
      </c>
      <c r="O208" s="70" t="s">
        <v>189</v>
      </c>
    </row>
    <row r="209" customFormat="false" ht="15" hidden="false" customHeight="false" outlineLevel="0" collapsed="false">
      <c r="A209" s="70" t="s">
        <v>271</v>
      </c>
      <c r="B209" s="70" t="s">
        <v>272</v>
      </c>
      <c r="C209" s="70" t="s">
        <v>1661</v>
      </c>
      <c r="D209" s="70" t="s">
        <v>1703</v>
      </c>
      <c r="E209" s="72" t="n">
        <v>1</v>
      </c>
      <c r="F209" s="70"/>
      <c r="G209" s="70"/>
      <c r="H209" s="72" t="n">
        <v>10</v>
      </c>
      <c r="I209" s="76" t="n">
        <v>46295</v>
      </c>
      <c r="J209" s="72" t="n">
        <v>10</v>
      </c>
      <c r="K209" s="70" t="s">
        <v>65</v>
      </c>
      <c r="L209" s="70" t="s">
        <v>1686</v>
      </c>
      <c r="M209" s="70" t="s">
        <v>405</v>
      </c>
      <c r="N209" s="71" t="n">
        <v>46703</v>
      </c>
      <c r="O209" s="70" t="s">
        <v>189</v>
      </c>
    </row>
    <row r="210" customFormat="false" ht="15" hidden="false" customHeight="false" outlineLevel="0" collapsed="false">
      <c r="A210" s="70" t="s">
        <v>205</v>
      </c>
      <c r="B210" s="70" t="s">
        <v>209</v>
      </c>
      <c r="C210" s="70" t="s">
        <v>1704</v>
      </c>
      <c r="D210" s="70" t="s">
        <v>1705</v>
      </c>
      <c r="E210" s="72" t="n">
        <v>102</v>
      </c>
      <c r="F210" s="70" t="s">
        <v>1501</v>
      </c>
      <c r="G210" s="70"/>
      <c r="H210" s="72" t="n">
        <v>138.69</v>
      </c>
      <c r="I210" s="76" t="n">
        <v>46262</v>
      </c>
      <c r="J210" s="72" t="n">
        <v>138.69</v>
      </c>
      <c r="K210" s="70" t="s">
        <v>65</v>
      </c>
      <c r="L210" s="70" t="s">
        <v>1706</v>
      </c>
      <c r="M210" s="70" t="s">
        <v>405</v>
      </c>
      <c r="N210" s="71" t="n">
        <v>46475</v>
      </c>
      <c r="O210" s="70" t="s">
        <v>189</v>
      </c>
    </row>
    <row r="211" customFormat="false" ht="15" hidden="false" customHeight="false" outlineLevel="0" collapsed="false">
      <c r="A211" s="70" t="s">
        <v>245</v>
      </c>
      <c r="B211" s="70" t="s">
        <v>246</v>
      </c>
      <c r="C211" s="70" t="s">
        <v>1704</v>
      </c>
      <c r="D211" s="70" t="s">
        <v>1705</v>
      </c>
      <c r="E211" s="72" t="n">
        <v>102</v>
      </c>
      <c r="F211" s="70" t="s">
        <v>1503</v>
      </c>
      <c r="G211" s="70"/>
      <c r="H211" s="72" t="n">
        <v>6</v>
      </c>
      <c r="I211" s="76" t="n">
        <v>45854</v>
      </c>
      <c r="J211" s="72" t="n">
        <v>6</v>
      </c>
      <c r="K211" s="70" t="s">
        <v>65</v>
      </c>
      <c r="L211" s="70" t="s">
        <v>1707</v>
      </c>
      <c r="M211" s="70" t="s">
        <v>405</v>
      </c>
      <c r="N211" s="71" t="n">
        <v>46437</v>
      </c>
      <c r="O211" s="70" t="s">
        <v>189</v>
      </c>
    </row>
    <row r="212" customFormat="false" ht="15" hidden="false" customHeight="false" outlineLevel="0" collapsed="false">
      <c r="A212" s="70" t="s">
        <v>247</v>
      </c>
      <c r="B212" s="70" t="s">
        <v>348</v>
      </c>
      <c r="C212" s="70" t="s">
        <v>1704</v>
      </c>
      <c r="D212" s="70" t="s">
        <v>1705</v>
      </c>
      <c r="E212" s="72" t="n">
        <v>102</v>
      </c>
      <c r="F212" s="70"/>
      <c r="G212" s="70"/>
      <c r="H212" s="72" t="n">
        <v>36.18</v>
      </c>
      <c r="I212" s="76" t="n">
        <v>46265</v>
      </c>
      <c r="J212" s="72" t="n">
        <v>36.18</v>
      </c>
      <c r="K212" s="70" t="s">
        <v>65</v>
      </c>
      <c r="L212" s="70" t="s">
        <v>1708</v>
      </c>
      <c r="M212" s="70" t="s">
        <v>405</v>
      </c>
      <c r="N212" s="71" t="n">
        <v>46566</v>
      </c>
      <c r="O212" s="70" t="s">
        <v>189</v>
      </c>
    </row>
    <row r="213" customFormat="false" ht="15" hidden="false" customHeight="false" outlineLevel="0" collapsed="false">
      <c r="A213" s="70" t="s">
        <v>354</v>
      </c>
      <c r="B213" s="70" t="s">
        <v>355</v>
      </c>
      <c r="C213" s="70" t="s">
        <v>1704</v>
      </c>
      <c r="D213" s="70" t="s">
        <v>1705</v>
      </c>
      <c r="E213" s="72" t="n">
        <v>102</v>
      </c>
      <c r="F213" s="70"/>
      <c r="G213" s="70"/>
      <c r="H213" s="72" t="n">
        <v>10</v>
      </c>
      <c r="I213" s="76" t="n">
        <v>46261</v>
      </c>
      <c r="J213" s="72" t="n">
        <v>10</v>
      </c>
      <c r="K213" s="70" t="s">
        <v>65</v>
      </c>
      <c r="L213" s="70" t="s">
        <v>1709</v>
      </c>
      <c r="M213" s="70" t="s">
        <v>405</v>
      </c>
      <c r="N213" s="71" t="n">
        <v>46491</v>
      </c>
      <c r="O213" s="70" t="s">
        <v>189</v>
      </c>
    </row>
    <row r="214" customFormat="false" ht="15" hidden="false" customHeight="false" outlineLevel="0" collapsed="false">
      <c r="A214" s="70" t="s">
        <v>309</v>
      </c>
      <c r="B214" s="70" t="s">
        <v>395</v>
      </c>
      <c r="C214" s="70" t="s">
        <v>1704</v>
      </c>
      <c r="D214" s="70" t="s">
        <v>1705</v>
      </c>
      <c r="E214" s="72" t="n">
        <v>102</v>
      </c>
      <c r="F214" s="70"/>
      <c r="G214" s="70"/>
      <c r="H214" s="72" t="n">
        <v>18.09</v>
      </c>
      <c r="I214" s="76" t="n">
        <v>46261</v>
      </c>
      <c r="J214" s="72" t="n">
        <v>18.09</v>
      </c>
      <c r="K214" s="70" t="s">
        <v>65</v>
      </c>
      <c r="L214" s="70" t="s">
        <v>1674</v>
      </c>
      <c r="M214" s="70" t="s">
        <v>405</v>
      </c>
      <c r="N214" s="71" t="n">
        <v>46558</v>
      </c>
      <c r="O214" s="70" t="s">
        <v>189</v>
      </c>
    </row>
    <row r="215" customFormat="false" ht="15" hidden="false" customHeight="false" outlineLevel="0" collapsed="false">
      <c r="A215" s="70" t="s">
        <v>205</v>
      </c>
      <c r="B215" s="70" t="s">
        <v>209</v>
      </c>
      <c r="C215" s="70" t="s">
        <v>1704</v>
      </c>
      <c r="D215" s="70" t="s">
        <v>1710</v>
      </c>
      <c r="E215" s="72" t="n">
        <v>40</v>
      </c>
      <c r="F215" s="70" t="s">
        <v>1503</v>
      </c>
      <c r="G215" s="70"/>
      <c r="H215" s="72" t="n">
        <v>18.09</v>
      </c>
      <c r="I215" s="76" t="n">
        <v>45897</v>
      </c>
      <c r="J215" s="72" t="n">
        <v>18.09</v>
      </c>
      <c r="K215" s="70" t="s">
        <v>65</v>
      </c>
      <c r="L215" s="70" t="s">
        <v>1711</v>
      </c>
      <c r="M215" s="70" t="s">
        <v>405</v>
      </c>
      <c r="N215" s="71" t="n">
        <v>46475</v>
      </c>
      <c r="O215" s="70" t="s">
        <v>189</v>
      </c>
    </row>
    <row r="216" customFormat="false" ht="15" hidden="false" customHeight="false" outlineLevel="0" collapsed="false">
      <c r="A216" s="70" t="s">
        <v>257</v>
      </c>
      <c r="B216" s="70" t="s">
        <v>258</v>
      </c>
      <c r="C216" s="70" t="s">
        <v>1704</v>
      </c>
      <c r="D216" s="70" t="s">
        <v>1710</v>
      </c>
      <c r="E216" s="72" t="n">
        <v>40</v>
      </c>
      <c r="F216" s="70"/>
      <c r="G216" s="70"/>
      <c r="H216" s="72" t="n">
        <v>4.998</v>
      </c>
      <c r="I216" s="76" t="n">
        <v>46241</v>
      </c>
      <c r="J216" s="72" t="n">
        <v>4.998</v>
      </c>
      <c r="K216" s="70" t="s">
        <v>65</v>
      </c>
      <c r="L216" s="70" t="s">
        <v>1712</v>
      </c>
      <c r="M216" s="70" t="s">
        <v>405</v>
      </c>
      <c r="N216" s="71" t="n">
        <v>46394</v>
      </c>
      <c r="O216" s="70" t="s">
        <v>189</v>
      </c>
    </row>
    <row r="217" customFormat="false" ht="15" hidden="false" customHeight="false" outlineLevel="0" collapsed="false">
      <c r="A217" s="70" t="s">
        <v>205</v>
      </c>
      <c r="B217" s="70" t="s">
        <v>209</v>
      </c>
      <c r="C217" s="70" t="s">
        <v>1704</v>
      </c>
      <c r="D217" s="70" t="s">
        <v>1713</v>
      </c>
      <c r="E217" s="72" t="n">
        <v>10</v>
      </c>
      <c r="F217" s="70" t="s">
        <v>1503</v>
      </c>
      <c r="G217" s="70"/>
      <c r="H217" s="72" t="n">
        <v>34.17</v>
      </c>
      <c r="I217" s="76" t="n">
        <v>45899</v>
      </c>
      <c r="J217" s="72" t="n">
        <v>34.17</v>
      </c>
      <c r="K217" s="70" t="s">
        <v>65</v>
      </c>
      <c r="L217" s="70" t="s">
        <v>1714</v>
      </c>
      <c r="M217" s="70" t="s">
        <v>405</v>
      </c>
      <c r="N217" s="71" t="n">
        <v>46475</v>
      </c>
      <c r="O217" s="70" t="s">
        <v>189</v>
      </c>
    </row>
    <row r="218" customFormat="false" ht="15" hidden="false" customHeight="false" outlineLevel="0" collapsed="false">
      <c r="A218" s="70" t="s">
        <v>205</v>
      </c>
      <c r="B218" s="70" t="s">
        <v>209</v>
      </c>
      <c r="C218" s="70" t="s">
        <v>1704</v>
      </c>
      <c r="D218" s="70" t="s">
        <v>1715</v>
      </c>
      <c r="E218" s="72" t="n">
        <v>7</v>
      </c>
      <c r="F218" s="70" t="s">
        <v>1503</v>
      </c>
      <c r="G218" s="70"/>
      <c r="H218" s="72" t="n">
        <v>22.11</v>
      </c>
      <c r="I218" s="76" t="n">
        <v>45899</v>
      </c>
      <c r="J218" s="72" t="n">
        <v>22.11</v>
      </c>
      <c r="K218" s="70" t="s">
        <v>65</v>
      </c>
      <c r="L218" s="70" t="s">
        <v>1714</v>
      </c>
      <c r="M218" s="70" t="s">
        <v>405</v>
      </c>
      <c r="N218" s="71" t="n">
        <v>46475</v>
      </c>
      <c r="O218" s="70" t="s">
        <v>189</v>
      </c>
    </row>
    <row r="219" customFormat="false" ht="15" hidden="false" customHeight="false" outlineLevel="0" collapsed="false">
      <c r="A219" s="70" t="s">
        <v>220</v>
      </c>
      <c r="B219" s="70" t="s">
        <v>221</v>
      </c>
      <c r="C219" s="70" t="s">
        <v>1716</v>
      </c>
      <c r="D219" s="70" t="s">
        <v>1717</v>
      </c>
      <c r="E219" s="72" t="n">
        <v>125</v>
      </c>
      <c r="F219" s="70"/>
      <c r="G219" s="70"/>
      <c r="H219" s="72" t="n">
        <v>1200</v>
      </c>
      <c r="I219" s="76" t="n">
        <v>46294</v>
      </c>
      <c r="J219" s="72" t="n">
        <v>1200</v>
      </c>
      <c r="K219" s="70" t="s">
        <v>65</v>
      </c>
      <c r="L219" s="70" t="s">
        <v>1464</v>
      </c>
      <c r="M219" s="70" t="s">
        <v>405</v>
      </c>
      <c r="N219" s="71" t="n">
        <v>46494</v>
      </c>
      <c r="O219" s="70" t="s">
        <v>189</v>
      </c>
    </row>
    <row r="220" customFormat="false" ht="15" hidden="false" customHeight="false" outlineLevel="0" collapsed="false">
      <c r="A220" s="70" t="s">
        <v>227</v>
      </c>
      <c r="B220" s="70" t="s">
        <v>228</v>
      </c>
      <c r="C220" s="70" t="s">
        <v>1716</v>
      </c>
      <c r="D220" s="70" t="s">
        <v>1717</v>
      </c>
      <c r="E220" s="72" t="n">
        <v>125</v>
      </c>
      <c r="F220" s="70"/>
      <c r="G220" s="70"/>
      <c r="H220" s="72" t="n">
        <v>1800</v>
      </c>
      <c r="I220" s="76" t="n">
        <v>46293</v>
      </c>
      <c r="J220" s="72" t="n">
        <v>1800</v>
      </c>
      <c r="K220" s="70" t="s">
        <v>65</v>
      </c>
      <c r="L220" s="70" t="s">
        <v>1464</v>
      </c>
      <c r="M220" s="70" t="s">
        <v>405</v>
      </c>
      <c r="N220" s="71" t="n">
        <v>46609</v>
      </c>
      <c r="O220" s="70" t="s">
        <v>189</v>
      </c>
    </row>
    <row r="221" customFormat="false" ht="15" hidden="false" customHeight="false" outlineLevel="0" collapsed="false">
      <c r="A221" s="70" t="s">
        <v>232</v>
      </c>
      <c r="B221" s="70" t="s">
        <v>239</v>
      </c>
      <c r="C221" s="70" t="s">
        <v>1716</v>
      </c>
      <c r="D221" s="70" t="s">
        <v>1717</v>
      </c>
      <c r="E221" s="72" t="n">
        <v>125</v>
      </c>
      <c r="F221" s="70"/>
      <c r="G221" s="70"/>
      <c r="H221" s="72" t="n">
        <v>4.219</v>
      </c>
      <c r="I221" s="76" t="n">
        <v>46258</v>
      </c>
      <c r="J221" s="72" t="n">
        <v>4.219</v>
      </c>
      <c r="K221" s="70" t="s">
        <v>146</v>
      </c>
      <c r="L221" s="70" t="s">
        <v>1718</v>
      </c>
      <c r="M221" s="70" t="s">
        <v>405</v>
      </c>
      <c r="N221" s="71" t="n">
        <v>46469</v>
      </c>
      <c r="O221" s="70" t="s">
        <v>189</v>
      </c>
    </row>
    <row r="222" customFormat="false" ht="15" hidden="false" customHeight="false" outlineLevel="0" collapsed="false">
      <c r="A222" s="70" t="s">
        <v>232</v>
      </c>
      <c r="B222" s="70" t="s">
        <v>233</v>
      </c>
      <c r="C222" s="70" t="s">
        <v>1716</v>
      </c>
      <c r="D222" s="70" t="s">
        <v>1717</v>
      </c>
      <c r="E222" s="72" t="n">
        <v>125</v>
      </c>
      <c r="F222" s="70"/>
      <c r="G222" s="70"/>
      <c r="H222" s="72" t="n">
        <v>900</v>
      </c>
      <c r="I222" s="76" t="n">
        <v>46294</v>
      </c>
      <c r="J222" s="72" t="n">
        <v>900</v>
      </c>
      <c r="K222" s="70" t="s">
        <v>146</v>
      </c>
      <c r="L222" s="70" t="s">
        <v>1464</v>
      </c>
      <c r="M222" s="70" t="s">
        <v>405</v>
      </c>
      <c r="N222" s="71" t="n">
        <v>46684</v>
      </c>
      <c r="O222" s="70" t="s">
        <v>189</v>
      </c>
    </row>
    <row r="223" customFormat="false" ht="15" hidden="false" customHeight="false" outlineLevel="0" collapsed="false">
      <c r="A223" s="70" t="s">
        <v>247</v>
      </c>
      <c r="B223" s="70" t="s">
        <v>248</v>
      </c>
      <c r="C223" s="70" t="s">
        <v>1716</v>
      </c>
      <c r="D223" s="70" t="s">
        <v>1717</v>
      </c>
      <c r="E223" s="72" t="n">
        <v>125</v>
      </c>
      <c r="F223" s="70"/>
      <c r="G223" s="70"/>
      <c r="H223" s="72" t="n">
        <v>-603</v>
      </c>
      <c r="I223" s="76" t="n">
        <v>46295</v>
      </c>
      <c r="J223" s="72" t="n">
        <v>-603</v>
      </c>
      <c r="K223" s="70" t="s">
        <v>65</v>
      </c>
      <c r="L223" s="70" t="s">
        <v>1465</v>
      </c>
      <c r="M223" s="70" t="s">
        <v>416</v>
      </c>
      <c r="N223" s="71" t="n">
        <v>46683</v>
      </c>
      <c r="O223" s="70" t="s">
        <v>189</v>
      </c>
    </row>
    <row r="224" customFormat="false" ht="15" hidden="false" customHeight="false" outlineLevel="0" collapsed="false">
      <c r="A224" s="70" t="s">
        <v>247</v>
      </c>
      <c r="B224" s="70" t="s">
        <v>248</v>
      </c>
      <c r="C224" s="70" t="s">
        <v>1716</v>
      </c>
      <c r="D224" s="70" t="s">
        <v>1717</v>
      </c>
      <c r="E224" s="72" t="n">
        <v>125</v>
      </c>
      <c r="F224" s="70"/>
      <c r="G224" s="70"/>
      <c r="H224" s="72" t="n">
        <v>603</v>
      </c>
      <c r="I224" s="76" t="n">
        <v>46294</v>
      </c>
      <c r="J224" s="72" t="n">
        <v>603</v>
      </c>
      <c r="K224" s="70" t="s">
        <v>65</v>
      </c>
      <c r="L224" s="70" t="s">
        <v>1464</v>
      </c>
      <c r="M224" s="70" t="s">
        <v>405</v>
      </c>
      <c r="N224" s="71" t="n">
        <v>46683</v>
      </c>
      <c r="O224" s="70" t="s">
        <v>189</v>
      </c>
    </row>
    <row r="225" customFormat="false" ht="15" hidden="false" customHeight="false" outlineLevel="0" collapsed="false">
      <c r="A225" s="70" t="s">
        <v>260</v>
      </c>
      <c r="B225" s="70" t="s">
        <v>261</v>
      </c>
      <c r="C225" s="70" t="s">
        <v>1716</v>
      </c>
      <c r="D225" s="70" t="s">
        <v>1717</v>
      </c>
      <c r="E225" s="72" t="n">
        <v>125</v>
      </c>
      <c r="F225" s="70"/>
      <c r="G225" s="70"/>
      <c r="H225" s="72" t="n">
        <v>108.8</v>
      </c>
      <c r="I225" s="76" t="n">
        <v>46293</v>
      </c>
      <c r="J225" s="72" t="n">
        <v>108.8</v>
      </c>
      <c r="K225" s="70" t="s">
        <v>65</v>
      </c>
      <c r="L225" s="70" t="s">
        <v>1464</v>
      </c>
      <c r="M225" s="70" t="s">
        <v>405</v>
      </c>
      <c r="N225" s="71" t="n">
        <v>46430</v>
      </c>
      <c r="O225" s="70" t="s">
        <v>189</v>
      </c>
    </row>
    <row r="226" customFormat="false" ht="15" hidden="false" customHeight="false" outlineLevel="0" collapsed="false">
      <c r="A226" s="70" t="s">
        <v>286</v>
      </c>
      <c r="B226" s="70" t="s">
        <v>299</v>
      </c>
      <c r="C226" s="70" t="s">
        <v>1716</v>
      </c>
      <c r="D226" s="70" t="s">
        <v>1717</v>
      </c>
      <c r="E226" s="72" t="n">
        <v>125</v>
      </c>
      <c r="F226" s="70"/>
      <c r="G226" s="70"/>
      <c r="H226" s="72" t="n">
        <v>-120</v>
      </c>
      <c r="I226" s="76" t="n">
        <v>46289</v>
      </c>
      <c r="J226" s="72" t="n">
        <v>-120</v>
      </c>
      <c r="K226" s="70" t="s">
        <v>147</v>
      </c>
      <c r="L226" s="70" t="s">
        <v>1465</v>
      </c>
      <c r="M226" s="70" t="s">
        <v>405</v>
      </c>
      <c r="N226" s="70"/>
      <c r="O226" s="70" t="s">
        <v>189</v>
      </c>
    </row>
    <row r="227" customFormat="false" ht="15" hidden="false" customHeight="false" outlineLevel="0" collapsed="false">
      <c r="A227" s="70" t="s">
        <v>305</v>
      </c>
      <c r="B227" s="70" t="s">
        <v>306</v>
      </c>
      <c r="C227" s="70" t="s">
        <v>1716</v>
      </c>
      <c r="D227" s="70" t="s">
        <v>1717</v>
      </c>
      <c r="E227" s="72" t="n">
        <v>125</v>
      </c>
      <c r="F227" s="70"/>
      <c r="G227" s="70"/>
      <c r="H227" s="72" t="n">
        <v>-40</v>
      </c>
      <c r="I227" s="76" t="n">
        <v>46289</v>
      </c>
      <c r="J227" s="72" t="n">
        <v>-40</v>
      </c>
      <c r="K227" s="70" t="s">
        <v>65</v>
      </c>
      <c r="L227" s="70" t="s">
        <v>1465</v>
      </c>
      <c r="M227" s="70" t="s">
        <v>405</v>
      </c>
      <c r="N227" s="71" t="n">
        <v>46505</v>
      </c>
      <c r="O227" s="70" t="s">
        <v>189</v>
      </c>
    </row>
    <row r="228" customFormat="false" ht="15" hidden="false" customHeight="false" outlineLevel="0" collapsed="false">
      <c r="A228" s="70" t="s">
        <v>307</v>
      </c>
      <c r="B228" s="70" t="s">
        <v>308</v>
      </c>
      <c r="C228" s="70" t="s">
        <v>1716</v>
      </c>
      <c r="D228" s="70" t="s">
        <v>1717</v>
      </c>
      <c r="E228" s="72" t="n">
        <v>125</v>
      </c>
      <c r="F228" s="70"/>
      <c r="G228" s="70"/>
      <c r="H228" s="72" t="n">
        <v>1000</v>
      </c>
      <c r="I228" s="76" t="n">
        <v>46293</v>
      </c>
      <c r="J228" s="72" t="n">
        <v>1000</v>
      </c>
      <c r="K228" s="70" t="s">
        <v>65</v>
      </c>
      <c r="L228" s="70" t="s">
        <v>1464</v>
      </c>
      <c r="M228" s="70" t="s">
        <v>405</v>
      </c>
      <c r="N228" s="71" t="n">
        <v>46729</v>
      </c>
      <c r="O228" s="70" t="s">
        <v>189</v>
      </c>
    </row>
    <row r="229" customFormat="false" ht="15" hidden="false" customHeight="false" outlineLevel="0" collapsed="false">
      <c r="A229" s="70" t="s">
        <v>309</v>
      </c>
      <c r="B229" s="70" t="s">
        <v>395</v>
      </c>
      <c r="C229" s="70" t="s">
        <v>1716</v>
      </c>
      <c r="D229" s="70" t="s">
        <v>1717</v>
      </c>
      <c r="E229" s="72" t="n">
        <v>125</v>
      </c>
      <c r="F229" s="70"/>
      <c r="G229" s="70"/>
      <c r="H229" s="72" t="n">
        <v>281.4</v>
      </c>
      <c r="I229" s="76" t="n">
        <v>46287</v>
      </c>
      <c r="J229" s="72" t="n">
        <v>281.4</v>
      </c>
      <c r="K229" s="70" t="s">
        <v>65</v>
      </c>
      <c r="L229" s="70" t="s">
        <v>1471</v>
      </c>
      <c r="M229" s="70" t="s">
        <v>405</v>
      </c>
      <c r="N229" s="71" t="n">
        <v>46558</v>
      </c>
      <c r="O229" s="70" t="s">
        <v>189</v>
      </c>
    </row>
  </sheetData>
  <conditionalFormatting sqref="A2:O229">
    <cfRule type="expression" priority="2" aboveAverage="0" equalAverage="0" bottom="0" percent="0" rank="0" text="" dxfId="9">
      <formula>MOD(ROW(),2)=0</formula>
    </cfRule>
  </conditionalFormatting>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tru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1"/>
    <col collapsed="false" customWidth="true" hidden="false" outlineLevel="0" max="4" min="4" style="0" width="7"/>
    <col collapsed="false" customWidth="true" hidden="false" outlineLevel="0" max="5" min="5" style="0" width="14"/>
    <col collapsed="false" customWidth="true" hidden="false" outlineLevel="0" max="6" min="6" style="0" width="30"/>
    <col collapsed="false" customWidth="true" hidden="false" outlineLevel="0" max="8" min="8" style="0" width="80"/>
  </cols>
  <sheetData>
    <row r="1" customFormat="false" ht="15" hidden="false" customHeight="false" outlineLevel="0" collapsed="false">
      <c r="A1" s="15" t="s">
        <v>157</v>
      </c>
      <c r="B1" s="15" t="s">
        <v>60</v>
      </c>
      <c r="C1" s="15" t="s">
        <v>178</v>
      </c>
      <c r="D1" s="15" t="s">
        <v>159</v>
      </c>
      <c r="E1" s="15" t="s">
        <v>181</v>
      </c>
      <c r="F1" s="15" t="s">
        <v>1719</v>
      </c>
      <c r="H1" s="77" t="s">
        <v>1720</v>
      </c>
    </row>
    <row r="2" customFormat="false" ht="15" hidden="false" customHeight="false" outlineLevel="0" collapsed="false">
      <c r="A2" s="70"/>
      <c r="B2" s="70"/>
      <c r="C2" s="70"/>
      <c r="D2" s="70"/>
      <c r="E2" s="72"/>
      <c r="F2" s="70"/>
      <c r="H2" s="78" t="s">
        <v>1721</v>
      </c>
    </row>
    <row r="3" customFormat="false" ht="23.85" hidden="false" customHeight="false" outlineLevel="0" collapsed="false">
      <c r="H3" s="78" t="s">
        <v>1722</v>
      </c>
    </row>
    <row r="4" customFormat="false" ht="23.85" hidden="false" customHeight="false" outlineLevel="0" collapsed="false">
      <c r="H4" s="78" t="s">
        <v>1723</v>
      </c>
    </row>
    <row r="5" customFormat="false" ht="15" hidden="false" customHeight="false" outlineLevel="0" collapsed="false">
      <c r="H5" s="78" t="s">
        <v>1724</v>
      </c>
    </row>
    <row r="6" customFormat="false" ht="15" hidden="false" customHeight="false" outlineLevel="0" collapsed="false">
      <c r="H6" s="79" t="str">
        <f aca="false">"Saldo inicial informado: "&amp;FIXED(SUM(E2:E5000),1)&amp;" (somando todas as unidades) em "&amp;COUNTA(A2:A5000)&amp;" linhas."</f>
        <v>Saldo inicial informado: 0.0 (somando todas as unidades) em 0 linhas.</v>
      </c>
    </row>
  </sheetData>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true"/>
  </sheetPr>
  <dimension ref="A1:O6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20"/>
    <col collapsed="false" customWidth="true" hidden="false" outlineLevel="0" max="4" min="4" style="0" width="13"/>
    <col collapsed="false" customWidth="true" hidden="false" outlineLevel="0" max="5" min="5" style="0" width="36"/>
    <col collapsed="false" customWidth="true" hidden="false" outlineLevel="0" max="6" min="6" style="0" width="9"/>
    <col collapsed="false" customWidth="true" hidden="false" outlineLevel="0" max="7" min="7" style="0" width="6"/>
    <col collapsed="false" customWidth="true" hidden="false" outlineLevel="0" max="11" min="8" style="0" width="12"/>
    <col collapsed="false" customWidth="true" hidden="false" outlineLevel="0" max="12" min="12" style="0" width="13"/>
    <col collapsed="false" customWidth="true" hidden="false" outlineLevel="0" max="13" min="13" style="0" width="11"/>
    <col collapsed="false" customWidth="true" hidden="false" outlineLevel="0" max="14" min="14" style="0" width="36"/>
    <col collapsed="false" customWidth="true" hidden="false" outlineLevel="0" max="15" min="15" style="0" width="11"/>
  </cols>
  <sheetData>
    <row r="1" customFormat="false" ht="31.5" hidden="false" customHeight="true" outlineLevel="0" collapsed="false">
      <c r="A1" s="15" t="s">
        <v>1725</v>
      </c>
      <c r="B1" s="15" t="s">
        <v>184</v>
      </c>
      <c r="C1" s="15" t="s">
        <v>157</v>
      </c>
      <c r="D1" s="15" t="s">
        <v>60</v>
      </c>
      <c r="E1" s="15" t="s">
        <v>396</v>
      </c>
      <c r="F1" s="15" t="s">
        <v>178</v>
      </c>
      <c r="G1" s="15" t="s">
        <v>159</v>
      </c>
      <c r="H1" s="15" t="s">
        <v>1726</v>
      </c>
      <c r="I1" s="15" t="s">
        <v>1727</v>
      </c>
      <c r="J1" s="15" t="s">
        <v>85</v>
      </c>
      <c r="K1" s="15" t="s">
        <v>1728</v>
      </c>
      <c r="L1" s="15" t="s">
        <v>1729</v>
      </c>
      <c r="M1" s="15" t="s">
        <v>1730</v>
      </c>
      <c r="N1" s="15" t="s">
        <v>401</v>
      </c>
      <c r="O1" s="15" t="s">
        <v>1731</v>
      </c>
    </row>
    <row r="2" customFormat="false" ht="15" hidden="false" customHeight="false" outlineLevel="0" collapsed="false">
      <c r="A2" s="71" t="n">
        <v>46274</v>
      </c>
      <c r="B2" s="70" t="s">
        <v>1732</v>
      </c>
      <c r="C2" s="70" t="s">
        <v>201</v>
      </c>
      <c r="D2" s="70" t="s">
        <v>202</v>
      </c>
      <c r="E2" s="70" t="s">
        <v>522</v>
      </c>
      <c r="F2" s="70" t="s">
        <v>405</v>
      </c>
      <c r="G2" s="70" t="s">
        <v>65</v>
      </c>
      <c r="H2" s="72" t="n">
        <f aca="false">'3 Base Saídas'!H80</f>
        <v>-5.6</v>
      </c>
      <c r="I2" s="72" t="n">
        <v>0</v>
      </c>
      <c r="J2" s="72" t="n">
        <f aca="false">'3 Base Saídas'!R80</f>
        <v>5.6</v>
      </c>
      <c r="K2" s="72" t="n">
        <f aca="false">I2-J2</f>
        <v>-5.6</v>
      </c>
      <c r="L2" s="70" t="s">
        <v>693</v>
      </c>
      <c r="M2" s="70" t="s">
        <v>695</v>
      </c>
      <c r="N2" s="70" t="s">
        <v>696</v>
      </c>
      <c r="O2" s="70" t="s">
        <v>407</v>
      </c>
    </row>
    <row r="3" customFormat="false" ht="15" hidden="false" customHeight="false" outlineLevel="0" collapsed="false">
      <c r="A3" s="71" t="n">
        <v>46274</v>
      </c>
      <c r="B3" s="70" t="s">
        <v>1732</v>
      </c>
      <c r="C3" s="70" t="s">
        <v>322</v>
      </c>
      <c r="D3" s="70" t="s">
        <v>323</v>
      </c>
      <c r="E3" s="70" t="s">
        <v>522</v>
      </c>
      <c r="F3" s="70" t="s">
        <v>405</v>
      </c>
      <c r="G3" s="70" t="s">
        <v>65</v>
      </c>
      <c r="H3" s="72" t="n">
        <f aca="false">'3 Base Saídas'!H177</f>
        <v>-5.6</v>
      </c>
      <c r="I3" s="72" t="n">
        <v>0</v>
      </c>
      <c r="J3" s="72" t="n">
        <f aca="false">'3 Base Saídas'!R177</f>
        <v>5.6</v>
      </c>
      <c r="K3" s="72" t="n">
        <f aca="false">I3-J3</f>
        <v>-5.6</v>
      </c>
      <c r="L3" s="70" t="s">
        <v>693</v>
      </c>
      <c r="M3" s="70" t="s">
        <v>695</v>
      </c>
      <c r="N3" s="70" t="s">
        <v>696</v>
      </c>
      <c r="O3" s="70" t="s">
        <v>407</v>
      </c>
    </row>
    <row r="4" customFormat="false" ht="15" hidden="false" customHeight="false" outlineLevel="0" collapsed="false">
      <c r="A4" s="71" t="n">
        <v>46274</v>
      </c>
      <c r="B4" s="70" t="str">
        <f aca="false">'3 Base Entrada 2008'!K156</f>
        <v>Entrada</v>
      </c>
      <c r="C4" s="70" t="s">
        <v>260</v>
      </c>
      <c r="D4" s="70" t="s">
        <v>362</v>
      </c>
      <c r="E4" s="70"/>
      <c r="F4" s="70" t="s">
        <v>188</v>
      </c>
      <c r="G4" s="70" t="s">
        <v>65</v>
      </c>
      <c r="H4" s="72" t="n">
        <f aca="false">'3 Base Entrada 2008'!G156</f>
        <v>-195.84</v>
      </c>
      <c r="I4" s="72" t="n">
        <f aca="false">'3 Base Entrada 2008'!L156</f>
        <v>195.84</v>
      </c>
      <c r="J4" s="72" t="n">
        <v>0</v>
      </c>
      <c r="K4" s="72" t="n">
        <f aca="false">I4-J4</f>
        <v>195.84</v>
      </c>
      <c r="L4" s="70" t="s">
        <v>361</v>
      </c>
      <c r="M4" s="70"/>
      <c r="N4" s="70"/>
      <c r="O4" s="70"/>
    </row>
    <row r="5" customFormat="false" ht="15" hidden="false" customHeight="false" outlineLevel="0" collapsed="false">
      <c r="A5" s="71" t="n">
        <v>46274</v>
      </c>
      <c r="B5" s="70" t="str">
        <f aca="false">'3 Base Entrada 2008'!K157</f>
        <v>Entrada</v>
      </c>
      <c r="C5" s="70" t="s">
        <v>260</v>
      </c>
      <c r="D5" s="70" t="s">
        <v>363</v>
      </c>
      <c r="E5" s="70"/>
      <c r="F5" s="70" t="s">
        <v>188</v>
      </c>
      <c r="G5" s="70" t="s">
        <v>65</v>
      </c>
      <c r="H5" s="72" t="n">
        <f aca="false">'3 Base Entrada 2008'!G157</f>
        <v>-295.12</v>
      </c>
      <c r="I5" s="72" t="n">
        <f aca="false">'3 Base Entrada 2008'!L157</f>
        <v>295.12</v>
      </c>
      <c r="J5" s="72" t="n">
        <v>0</v>
      </c>
      <c r="K5" s="72" t="n">
        <f aca="false">I5-J5</f>
        <v>295.12</v>
      </c>
      <c r="L5" s="70" t="s">
        <v>361</v>
      </c>
      <c r="M5" s="70"/>
      <c r="N5" s="70"/>
      <c r="O5" s="70"/>
    </row>
    <row r="6" customFormat="false" ht="15" hidden="false" customHeight="false" outlineLevel="0" collapsed="false">
      <c r="A6" s="71" t="n">
        <v>46275</v>
      </c>
      <c r="B6" s="70" t="str">
        <f aca="false">'3 Base Entrada 2008'!K117</f>
        <v>Recebido no 2008</v>
      </c>
      <c r="C6" s="70" t="s">
        <v>192</v>
      </c>
      <c r="D6" s="70" t="s">
        <v>193</v>
      </c>
      <c r="E6" s="70" t="s">
        <v>404</v>
      </c>
      <c r="F6" s="70" t="s">
        <v>188</v>
      </c>
      <c r="G6" s="70" t="s">
        <v>65</v>
      </c>
      <c r="H6" s="72" t="n">
        <f aca="false">'3 Base Entrada 2008'!G117</f>
        <v>6633</v>
      </c>
      <c r="I6" s="72" t="n">
        <f aca="false">'3 Base Entrada 2008'!L117</f>
        <v>0</v>
      </c>
      <c r="J6" s="72" t="n">
        <v>0</v>
      </c>
      <c r="K6" s="72" t="n">
        <f aca="false">I6-J6</f>
        <v>0</v>
      </c>
      <c r="L6" s="70" t="s">
        <v>312</v>
      </c>
      <c r="M6" s="70"/>
      <c r="N6" s="70"/>
      <c r="O6" s="70"/>
    </row>
    <row r="7" customFormat="false" ht="15" hidden="false" customHeight="false" outlineLevel="0" collapsed="false">
      <c r="A7" s="71" t="n">
        <v>46275</v>
      </c>
      <c r="B7" s="70" t="s">
        <v>1732</v>
      </c>
      <c r="C7" s="70" t="s">
        <v>192</v>
      </c>
      <c r="D7" s="70" t="s">
        <v>193</v>
      </c>
      <c r="E7" s="70" t="s">
        <v>404</v>
      </c>
      <c r="F7" s="70" t="s">
        <v>416</v>
      </c>
      <c r="G7" s="70" t="s">
        <v>65</v>
      </c>
      <c r="H7" s="72" t="n">
        <f aca="false">'3 Base Saídas'!H29</f>
        <v>-20.1</v>
      </c>
      <c r="I7" s="72" t="n">
        <v>0</v>
      </c>
      <c r="J7" s="72" t="n">
        <f aca="false">'3 Base Saídas'!R29</f>
        <v>20.1</v>
      </c>
      <c r="K7" s="72" t="n">
        <f aca="false">I7-J7</f>
        <v>-20.1</v>
      </c>
      <c r="L7" s="70" t="s">
        <v>515</v>
      </c>
      <c r="M7" s="70" t="s">
        <v>428</v>
      </c>
      <c r="N7" s="70" t="s">
        <v>429</v>
      </c>
      <c r="O7" s="70" t="s">
        <v>426</v>
      </c>
    </row>
    <row r="8" customFormat="false" ht="15" hidden="false" customHeight="false" outlineLevel="0" collapsed="false">
      <c r="A8" s="71" t="n">
        <v>46275</v>
      </c>
      <c r="B8" s="70" t="s">
        <v>1732</v>
      </c>
      <c r="C8" s="70" t="s">
        <v>192</v>
      </c>
      <c r="D8" s="70" t="s">
        <v>193</v>
      </c>
      <c r="E8" s="70" t="s">
        <v>404</v>
      </c>
      <c r="F8" s="70" t="s">
        <v>416</v>
      </c>
      <c r="G8" s="70" t="s">
        <v>65</v>
      </c>
      <c r="H8" s="72" t="n">
        <f aca="false">'3 Base Saídas'!H30</f>
        <v>-40.2</v>
      </c>
      <c r="I8" s="72" t="n">
        <v>0</v>
      </c>
      <c r="J8" s="72" t="n">
        <f aca="false">'3 Base Saídas'!R30</f>
        <v>40.2</v>
      </c>
      <c r="K8" s="72" t="n">
        <f aca="false">I8-J8</f>
        <v>-40.2</v>
      </c>
      <c r="L8" s="70" t="s">
        <v>517</v>
      </c>
      <c r="M8" s="70" t="s">
        <v>519</v>
      </c>
      <c r="N8" s="70" t="s">
        <v>520</v>
      </c>
      <c r="O8" s="70" t="s">
        <v>426</v>
      </c>
    </row>
    <row r="9" customFormat="false" ht="15" hidden="false" customHeight="false" outlineLevel="0" collapsed="false">
      <c r="A9" s="71" t="n">
        <v>46275</v>
      </c>
      <c r="B9" s="70" t="s">
        <v>1732</v>
      </c>
      <c r="C9" s="70" t="s">
        <v>198</v>
      </c>
      <c r="D9" s="70" t="s">
        <v>199</v>
      </c>
      <c r="E9" s="70" t="s">
        <v>522</v>
      </c>
      <c r="F9" s="70" t="s">
        <v>416</v>
      </c>
      <c r="G9" s="70" t="s">
        <v>65</v>
      </c>
      <c r="H9" s="72" t="n">
        <f aca="false">'3 Base Saídas'!H55</f>
        <v>-11.2</v>
      </c>
      <c r="I9" s="72" t="n">
        <v>0</v>
      </c>
      <c r="J9" s="72" t="n">
        <f aca="false">'3 Base Saídas'!R55</f>
        <v>11.2</v>
      </c>
      <c r="K9" s="72" t="n">
        <f aca="false">I9-J9</f>
        <v>-11.2</v>
      </c>
      <c r="L9" s="70" t="s">
        <v>613</v>
      </c>
      <c r="M9" s="70" t="s">
        <v>611</v>
      </c>
      <c r="N9" s="70" t="s">
        <v>612</v>
      </c>
      <c r="O9" s="70" t="s">
        <v>426</v>
      </c>
    </row>
    <row r="10" customFormat="false" ht="15" hidden="false" customHeight="false" outlineLevel="0" collapsed="false">
      <c r="A10" s="71" t="n">
        <v>46275</v>
      </c>
      <c r="B10" s="70" t="str">
        <f aca="false">'3 Base Entrada 2008'!K124</f>
        <v>Recebido no 2008</v>
      </c>
      <c r="C10" s="70" t="s">
        <v>218</v>
      </c>
      <c r="D10" s="70" t="s">
        <v>319</v>
      </c>
      <c r="E10" s="70" t="s">
        <v>756</v>
      </c>
      <c r="F10" s="70" t="s">
        <v>188</v>
      </c>
      <c r="G10" s="70" t="s">
        <v>65</v>
      </c>
      <c r="H10" s="72" t="n">
        <f aca="false">'3 Base Entrada 2008'!G124</f>
        <v>4360</v>
      </c>
      <c r="I10" s="72" t="n">
        <f aca="false">'3 Base Entrada 2008'!L124</f>
        <v>0</v>
      </c>
      <c r="J10" s="72" t="n">
        <v>0</v>
      </c>
      <c r="K10" s="72" t="n">
        <f aca="false">I10-J10</f>
        <v>0</v>
      </c>
      <c r="L10" s="70" t="s">
        <v>320</v>
      </c>
      <c r="M10" s="70"/>
      <c r="N10" s="70"/>
      <c r="O10" s="70"/>
    </row>
    <row r="11" customFormat="false" ht="15" hidden="false" customHeight="false" outlineLevel="0" collapsed="false">
      <c r="A11" s="71" t="n">
        <v>46275</v>
      </c>
      <c r="B11" s="70" t="str">
        <f aca="false">'3 Base Entrada 2008'!K123</f>
        <v>Recebido no 2008</v>
      </c>
      <c r="C11" s="70" t="s">
        <v>218</v>
      </c>
      <c r="D11" s="70" t="s">
        <v>219</v>
      </c>
      <c r="E11" s="70" t="s">
        <v>756</v>
      </c>
      <c r="F11" s="70" t="s">
        <v>188</v>
      </c>
      <c r="G11" s="70" t="s">
        <v>65</v>
      </c>
      <c r="H11" s="72" t="n">
        <f aca="false">'3 Base Entrada 2008'!G123</f>
        <v>5240</v>
      </c>
      <c r="I11" s="72" t="n">
        <f aca="false">'3 Base Entrada 2008'!L123</f>
        <v>0</v>
      </c>
      <c r="J11" s="72" t="n">
        <v>0</v>
      </c>
      <c r="K11" s="72" t="n">
        <f aca="false">I11-J11</f>
        <v>0</v>
      </c>
      <c r="L11" s="70" t="s">
        <v>320</v>
      </c>
      <c r="M11" s="70"/>
      <c r="N11" s="70"/>
      <c r="O11" s="70"/>
    </row>
    <row r="12" customFormat="false" ht="15" hidden="false" customHeight="false" outlineLevel="0" collapsed="false">
      <c r="A12" s="71" t="n">
        <v>46275</v>
      </c>
      <c r="B12" s="70" t="s">
        <v>1732</v>
      </c>
      <c r="C12" s="70" t="s">
        <v>322</v>
      </c>
      <c r="D12" s="70" t="s">
        <v>323</v>
      </c>
      <c r="E12" s="70" t="s">
        <v>522</v>
      </c>
      <c r="F12" s="70" t="s">
        <v>405</v>
      </c>
      <c r="G12" s="70" t="s">
        <v>65</v>
      </c>
      <c r="H12" s="72" t="n">
        <f aca="false">'3 Base Saídas'!H175</f>
        <v>-28</v>
      </c>
      <c r="I12" s="72" t="n">
        <v>0</v>
      </c>
      <c r="J12" s="72" t="n">
        <f aca="false">'3 Base Saídas'!R175</f>
        <v>28</v>
      </c>
      <c r="K12" s="72" t="n">
        <f aca="false">I12-J12</f>
        <v>-28</v>
      </c>
      <c r="L12" s="70" t="s">
        <v>906</v>
      </c>
      <c r="M12" s="70" t="s">
        <v>549</v>
      </c>
      <c r="N12" s="70" t="s">
        <v>550</v>
      </c>
      <c r="O12" s="70" t="s">
        <v>444</v>
      </c>
    </row>
    <row r="13" customFormat="false" ht="15" hidden="false" customHeight="false" outlineLevel="0" collapsed="false">
      <c r="A13" s="71" t="n">
        <v>46275</v>
      </c>
      <c r="B13" s="70" t="s">
        <v>1732</v>
      </c>
      <c r="C13" s="70" t="s">
        <v>322</v>
      </c>
      <c r="D13" s="70" t="s">
        <v>323</v>
      </c>
      <c r="E13" s="70" t="s">
        <v>522</v>
      </c>
      <c r="F13" s="70" t="s">
        <v>416</v>
      </c>
      <c r="G13" s="70" t="s">
        <v>65</v>
      </c>
      <c r="H13" s="72" t="n">
        <f aca="false">'3 Base Saídas'!H176</f>
        <v>-14</v>
      </c>
      <c r="I13" s="72" t="n">
        <v>0</v>
      </c>
      <c r="J13" s="72" t="n">
        <f aca="false">'3 Base Saídas'!R176</f>
        <v>14</v>
      </c>
      <c r="K13" s="72" t="n">
        <f aca="false">I13-J13</f>
        <v>-14</v>
      </c>
      <c r="L13" s="70" t="s">
        <v>613</v>
      </c>
      <c r="M13" s="70" t="s">
        <v>611</v>
      </c>
      <c r="N13" s="70" t="s">
        <v>612</v>
      </c>
      <c r="O13" s="70" t="s">
        <v>426</v>
      </c>
    </row>
    <row r="14" customFormat="false" ht="15" hidden="false" customHeight="false" outlineLevel="0" collapsed="false">
      <c r="A14" s="71" t="n">
        <v>46275</v>
      </c>
      <c r="B14" s="70" t="str">
        <f aca="false">'3 Base Entrada 2008'!K128</f>
        <v>Recebido no 2008</v>
      </c>
      <c r="C14" s="70" t="s">
        <v>227</v>
      </c>
      <c r="D14" s="70" t="s">
        <v>230</v>
      </c>
      <c r="E14" s="70" t="s">
        <v>756</v>
      </c>
      <c r="F14" s="70" t="s">
        <v>188</v>
      </c>
      <c r="G14" s="70" t="s">
        <v>65</v>
      </c>
      <c r="H14" s="72" t="n">
        <f aca="false">'3 Base Entrada 2008'!G128</f>
        <v>2400</v>
      </c>
      <c r="I14" s="72" t="n">
        <f aca="false">'3 Base Entrada 2008'!L128</f>
        <v>0</v>
      </c>
      <c r="J14" s="72" t="n">
        <v>0</v>
      </c>
      <c r="K14" s="72" t="n">
        <f aca="false">I14-J14</f>
        <v>0</v>
      </c>
      <c r="L14" s="70" t="s">
        <v>324</v>
      </c>
      <c r="M14" s="70"/>
      <c r="N14" s="70"/>
      <c r="O14" s="70"/>
    </row>
    <row r="15" customFormat="false" ht="15" hidden="false" customHeight="false" outlineLevel="0" collapsed="false">
      <c r="A15" s="71" t="n">
        <v>46275</v>
      </c>
      <c r="B15" s="70" t="str">
        <f aca="false">'3 Base Entrada 2008'!K129</f>
        <v>Recebido no 2008</v>
      </c>
      <c r="C15" s="70" t="s">
        <v>227</v>
      </c>
      <c r="D15" s="70" t="s">
        <v>230</v>
      </c>
      <c r="E15" s="70" t="s">
        <v>756</v>
      </c>
      <c r="F15" s="70" t="s">
        <v>188</v>
      </c>
      <c r="G15" s="70" t="s">
        <v>65</v>
      </c>
      <c r="H15" s="72" t="n">
        <f aca="false">'3 Base Entrada 2008'!G129</f>
        <v>3600</v>
      </c>
      <c r="I15" s="72" t="n">
        <f aca="false">'3 Base Entrada 2008'!L129</f>
        <v>0</v>
      </c>
      <c r="J15" s="72" t="n">
        <v>0</v>
      </c>
      <c r="K15" s="72" t="n">
        <f aca="false">I15-J15</f>
        <v>0</v>
      </c>
      <c r="L15" s="70" t="s">
        <v>325</v>
      </c>
      <c r="M15" s="70"/>
      <c r="N15" s="70"/>
      <c r="O15" s="70"/>
    </row>
    <row r="16" customFormat="false" ht="15" hidden="false" customHeight="false" outlineLevel="0" collapsed="false">
      <c r="A16" s="71" t="n">
        <v>46275</v>
      </c>
      <c r="B16" s="70" t="s">
        <v>1732</v>
      </c>
      <c r="C16" s="70" t="s">
        <v>327</v>
      </c>
      <c r="D16" s="70" t="s">
        <v>329</v>
      </c>
      <c r="E16" s="70" t="s">
        <v>926</v>
      </c>
      <c r="F16" s="70" t="s">
        <v>405</v>
      </c>
      <c r="G16" s="70" t="s">
        <v>65</v>
      </c>
      <c r="H16" s="72" t="n">
        <f aca="false">'3 Base Saídas'!H188</f>
        <v>-10</v>
      </c>
      <c r="I16" s="72" t="n">
        <v>0</v>
      </c>
      <c r="J16" s="72" t="n">
        <f aca="false">'3 Base Saídas'!R188</f>
        <v>10</v>
      </c>
      <c r="K16" s="72" t="n">
        <f aca="false">I16-J16</f>
        <v>-10</v>
      </c>
      <c r="L16" s="70" t="s">
        <v>934</v>
      </c>
      <c r="M16" s="70" t="s">
        <v>936</v>
      </c>
      <c r="N16" s="70" t="s">
        <v>937</v>
      </c>
      <c r="O16" s="70" t="s">
        <v>431</v>
      </c>
    </row>
    <row r="17" customFormat="false" ht="15" hidden="false" customHeight="false" outlineLevel="0" collapsed="false">
      <c r="A17" s="71" t="n">
        <v>46275</v>
      </c>
      <c r="B17" s="70" t="str">
        <f aca="false">'3 Base Entrada 2008'!K133</f>
        <v>Recebido no 2008</v>
      </c>
      <c r="C17" s="70" t="s">
        <v>327</v>
      </c>
      <c r="D17" s="70" t="s">
        <v>330</v>
      </c>
      <c r="E17" s="70" t="s">
        <v>926</v>
      </c>
      <c r="F17" s="70" t="s">
        <v>188</v>
      </c>
      <c r="G17" s="70" t="s">
        <v>65</v>
      </c>
      <c r="H17" s="72" t="n">
        <f aca="false">'3 Base Entrada 2008'!G133</f>
        <v>960</v>
      </c>
      <c r="I17" s="72" t="n">
        <f aca="false">'3 Base Entrada 2008'!L133</f>
        <v>0</v>
      </c>
      <c r="J17" s="72" t="n">
        <v>0</v>
      </c>
      <c r="K17" s="72" t="n">
        <f aca="false">I17-J17</f>
        <v>0</v>
      </c>
      <c r="L17" s="70" t="s">
        <v>331</v>
      </c>
      <c r="M17" s="70"/>
      <c r="N17" s="70"/>
      <c r="O17" s="70"/>
    </row>
    <row r="18" customFormat="false" ht="15" hidden="false" customHeight="false" outlineLevel="0" collapsed="false">
      <c r="A18" s="71" t="n">
        <v>46275</v>
      </c>
      <c r="B18" s="70" t="str">
        <f aca="false">'3 Base Entrada 2008'!K134</f>
        <v>Recebido no 2008</v>
      </c>
      <c r="C18" s="70" t="s">
        <v>327</v>
      </c>
      <c r="D18" s="70" t="s">
        <v>330</v>
      </c>
      <c r="E18" s="70" t="s">
        <v>926</v>
      </c>
      <c r="F18" s="70" t="s">
        <v>188</v>
      </c>
      <c r="G18" s="70" t="s">
        <v>65</v>
      </c>
      <c r="H18" s="72" t="n">
        <f aca="false">'3 Base Entrada 2008'!G134</f>
        <v>1920</v>
      </c>
      <c r="I18" s="72" t="n">
        <f aca="false">'3 Base Entrada 2008'!L134</f>
        <v>0</v>
      </c>
      <c r="J18" s="72" t="n">
        <v>0</v>
      </c>
      <c r="K18" s="72" t="n">
        <f aca="false">I18-J18</f>
        <v>0</v>
      </c>
      <c r="L18" s="70" t="s">
        <v>332</v>
      </c>
      <c r="M18" s="70"/>
      <c r="N18" s="70"/>
      <c r="O18" s="70"/>
    </row>
    <row r="19" customFormat="false" ht="15" hidden="false" customHeight="false" outlineLevel="0" collapsed="false">
      <c r="A19" s="71" t="n">
        <v>46275</v>
      </c>
      <c r="B19" s="70" t="str">
        <f aca="false">'3 Base Entrada 2008'!K137</f>
        <v>Recebido no 2008</v>
      </c>
      <c r="C19" s="70" t="s">
        <v>336</v>
      </c>
      <c r="D19" s="70" t="s">
        <v>337</v>
      </c>
      <c r="E19" s="70"/>
      <c r="F19" s="70" t="s">
        <v>188</v>
      </c>
      <c r="G19" s="70" t="s">
        <v>65</v>
      </c>
      <c r="H19" s="72" t="n">
        <f aca="false">'3 Base Entrada 2008'!G137</f>
        <v>600</v>
      </c>
      <c r="I19" s="72" t="n">
        <f aca="false">'3 Base Entrada 2008'!L137</f>
        <v>0</v>
      </c>
      <c r="J19" s="72" t="n">
        <v>0</v>
      </c>
      <c r="K19" s="72" t="n">
        <f aca="false">I19-J19</f>
        <v>0</v>
      </c>
      <c r="L19" s="70" t="s">
        <v>312</v>
      </c>
      <c r="M19" s="70"/>
      <c r="N19" s="70"/>
      <c r="O19" s="70"/>
    </row>
    <row r="20" customFormat="false" ht="15" hidden="false" customHeight="false" outlineLevel="0" collapsed="false">
      <c r="A20" s="71" t="n">
        <v>46275</v>
      </c>
      <c r="B20" s="70" t="str">
        <f aca="false">'3 Base Entrada 2008'!K138</f>
        <v>Recebido no 2008</v>
      </c>
      <c r="C20" s="70" t="s">
        <v>336</v>
      </c>
      <c r="D20" s="70" t="s">
        <v>337</v>
      </c>
      <c r="E20" s="70"/>
      <c r="F20" s="70" t="s">
        <v>188</v>
      </c>
      <c r="G20" s="70" t="s">
        <v>65</v>
      </c>
      <c r="H20" s="72" t="n">
        <f aca="false">'3 Base Entrada 2008'!G138</f>
        <v>1800</v>
      </c>
      <c r="I20" s="72" t="n">
        <f aca="false">'3 Base Entrada 2008'!L138</f>
        <v>0</v>
      </c>
      <c r="J20" s="72" t="n">
        <v>0</v>
      </c>
      <c r="K20" s="72" t="n">
        <f aca="false">I20-J20</f>
        <v>0</v>
      </c>
      <c r="L20" s="70" t="s">
        <v>332</v>
      </c>
      <c r="M20" s="70"/>
      <c r="N20" s="70"/>
      <c r="O20" s="70"/>
    </row>
    <row r="21" customFormat="false" ht="15" hidden="false" customHeight="false" outlineLevel="0" collapsed="false">
      <c r="A21" s="71" t="n">
        <v>46275</v>
      </c>
      <c r="B21" s="70" t="str">
        <f aca="false">'3 Base Entrada 2008'!K140</f>
        <v>Recebido no 2008</v>
      </c>
      <c r="C21" s="70" t="s">
        <v>338</v>
      </c>
      <c r="D21" s="70" t="s">
        <v>340</v>
      </c>
      <c r="E21" s="70"/>
      <c r="F21" s="70" t="s">
        <v>188</v>
      </c>
      <c r="G21" s="70" t="s">
        <v>65</v>
      </c>
      <c r="H21" s="72" t="n">
        <f aca="false">'3 Base Entrada 2008'!G140</f>
        <v>798</v>
      </c>
      <c r="I21" s="72" t="n">
        <f aca="false">'3 Base Entrada 2008'!L140</f>
        <v>0</v>
      </c>
      <c r="J21" s="72" t="n">
        <v>0</v>
      </c>
      <c r="K21" s="72" t="n">
        <f aca="false">I21-J21</f>
        <v>0</v>
      </c>
      <c r="L21" s="70" t="s">
        <v>312</v>
      </c>
      <c r="M21" s="70"/>
      <c r="N21" s="70"/>
      <c r="O21" s="70"/>
    </row>
    <row r="22" customFormat="false" ht="15" hidden="false" customHeight="false" outlineLevel="0" collapsed="false">
      <c r="A22" s="71" t="n">
        <v>46275</v>
      </c>
      <c r="B22" s="70" t="str">
        <f aca="false">'3 Base Entrada 2008'!K139</f>
        <v>Recebido no 2008</v>
      </c>
      <c r="C22" s="70" t="s">
        <v>338</v>
      </c>
      <c r="D22" s="70" t="s">
        <v>339</v>
      </c>
      <c r="E22" s="70"/>
      <c r="F22" s="70" t="s">
        <v>188</v>
      </c>
      <c r="G22" s="70" t="s">
        <v>65</v>
      </c>
      <c r="H22" s="72" t="n">
        <f aca="false">'3 Base Entrada 2008'!G139</f>
        <v>1122</v>
      </c>
      <c r="I22" s="72" t="n">
        <f aca="false">'3 Base Entrada 2008'!L139</f>
        <v>0</v>
      </c>
      <c r="J22" s="72" t="n">
        <v>0</v>
      </c>
      <c r="K22" s="72" t="n">
        <f aca="false">I22-J22</f>
        <v>0</v>
      </c>
      <c r="L22" s="70" t="s">
        <v>312</v>
      </c>
      <c r="M22" s="70"/>
      <c r="N22" s="70"/>
      <c r="O22" s="70"/>
    </row>
    <row r="23" customFormat="false" ht="15" hidden="false" customHeight="false" outlineLevel="0" collapsed="false">
      <c r="A23" s="71" t="n">
        <v>46275</v>
      </c>
      <c r="B23" s="70" t="str">
        <f aca="false">'3 Base Entrada 2008'!K142</f>
        <v>Recebido no 2008</v>
      </c>
      <c r="C23" s="70" t="s">
        <v>343</v>
      </c>
      <c r="D23" s="70" t="s">
        <v>344</v>
      </c>
      <c r="E23" s="70"/>
      <c r="F23" s="70" t="s">
        <v>188</v>
      </c>
      <c r="G23" s="70" t="s">
        <v>65</v>
      </c>
      <c r="H23" s="72" t="n">
        <f aca="false">'3 Base Entrada 2008'!G142</f>
        <v>1296</v>
      </c>
      <c r="I23" s="72" t="n">
        <f aca="false">'3 Base Entrada 2008'!L142</f>
        <v>0</v>
      </c>
      <c r="J23" s="72" t="n">
        <v>0</v>
      </c>
      <c r="K23" s="72" t="n">
        <f aca="false">I23-J23</f>
        <v>0</v>
      </c>
      <c r="L23" s="70" t="s">
        <v>332</v>
      </c>
      <c r="M23" s="70"/>
      <c r="N23" s="70"/>
      <c r="O23" s="70"/>
    </row>
    <row r="24" customFormat="false" ht="15" hidden="false" customHeight="false" outlineLevel="0" collapsed="false">
      <c r="A24" s="71" t="n">
        <v>46275</v>
      </c>
      <c r="B24" s="70" t="str">
        <f aca="false">'3 Base Entrada 2008'!K146</f>
        <v>Recebido no 2008</v>
      </c>
      <c r="C24" s="70" t="s">
        <v>247</v>
      </c>
      <c r="D24" s="70" t="s">
        <v>350</v>
      </c>
      <c r="E24" s="70" t="s">
        <v>404</v>
      </c>
      <c r="F24" s="70" t="s">
        <v>188</v>
      </c>
      <c r="G24" s="70" t="s">
        <v>65</v>
      </c>
      <c r="H24" s="72" t="n">
        <f aca="false">'3 Base Entrada 2008'!G146</f>
        <v>160.8</v>
      </c>
      <c r="I24" s="72" t="n">
        <f aca="false">'3 Base Entrada 2008'!L146</f>
        <v>0</v>
      </c>
      <c r="J24" s="72" t="n">
        <v>0</v>
      </c>
      <c r="K24" s="72" t="n">
        <f aca="false">I24-J24</f>
        <v>0</v>
      </c>
      <c r="L24" s="70" t="s">
        <v>320</v>
      </c>
      <c r="M24" s="70"/>
      <c r="N24" s="70"/>
      <c r="O24" s="70"/>
    </row>
    <row r="25" customFormat="false" ht="15" hidden="false" customHeight="false" outlineLevel="0" collapsed="false">
      <c r="A25" s="71" t="n">
        <v>46275</v>
      </c>
      <c r="B25" s="70" t="str">
        <f aca="false">'3 Base Entrada 2008'!K147</f>
        <v>Recebido no 2008</v>
      </c>
      <c r="C25" s="70" t="s">
        <v>247</v>
      </c>
      <c r="D25" s="70" t="s">
        <v>248</v>
      </c>
      <c r="E25" s="70" t="s">
        <v>404</v>
      </c>
      <c r="F25" s="70" t="s">
        <v>188</v>
      </c>
      <c r="G25" s="70" t="s">
        <v>65</v>
      </c>
      <c r="H25" s="72" t="n">
        <f aca="false">'3 Base Entrada 2008'!G147</f>
        <v>1025.1</v>
      </c>
      <c r="I25" s="72" t="n">
        <f aca="false">'3 Base Entrada 2008'!L147</f>
        <v>0</v>
      </c>
      <c r="J25" s="72" t="n">
        <v>0</v>
      </c>
      <c r="K25" s="72" t="n">
        <f aca="false">I25-J25</f>
        <v>0</v>
      </c>
      <c r="L25" s="70" t="s">
        <v>320</v>
      </c>
      <c r="M25" s="70"/>
      <c r="N25" s="70"/>
      <c r="O25" s="70"/>
    </row>
    <row r="26" customFormat="false" ht="15" hidden="false" customHeight="false" outlineLevel="0" collapsed="false">
      <c r="A26" s="71" t="n">
        <v>46275</v>
      </c>
      <c r="B26" s="70" t="str">
        <f aca="false">'3 Base Entrada 2008'!K149</f>
        <v>Recebido no 2008</v>
      </c>
      <c r="C26" s="70" t="s">
        <v>252</v>
      </c>
      <c r="D26" s="70" t="s">
        <v>253</v>
      </c>
      <c r="E26" s="70" t="s">
        <v>1113</v>
      </c>
      <c r="F26" s="70" t="s">
        <v>188</v>
      </c>
      <c r="G26" s="70" t="s">
        <v>65</v>
      </c>
      <c r="H26" s="72" t="n">
        <f aca="false">'3 Base Entrada 2008'!G149</f>
        <v>1920</v>
      </c>
      <c r="I26" s="72" t="n">
        <f aca="false">'3 Base Entrada 2008'!L149</f>
        <v>0</v>
      </c>
      <c r="J26" s="72" t="n">
        <v>0</v>
      </c>
      <c r="K26" s="72" t="n">
        <f aca="false">I26-J26</f>
        <v>0</v>
      </c>
      <c r="L26" s="70" t="s">
        <v>353</v>
      </c>
      <c r="M26" s="70"/>
      <c r="N26" s="70"/>
      <c r="O26" s="70"/>
    </row>
    <row r="27" customFormat="false" ht="15" hidden="false" customHeight="false" outlineLevel="0" collapsed="false">
      <c r="A27" s="71" t="n">
        <v>46275</v>
      </c>
      <c r="B27" s="70" t="str">
        <f aca="false">'3 Base Entrada 2008'!K151</f>
        <v>Recebido no 2008</v>
      </c>
      <c r="C27" s="70" t="s">
        <v>356</v>
      </c>
      <c r="D27" s="70" t="s">
        <v>357</v>
      </c>
      <c r="E27" s="70"/>
      <c r="F27" s="70" t="s">
        <v>188</v>
      </c>
      <c r="G27" s="70" t="s">
        <v>65</v>
      </c>
      <c r="H27" s="72" t="n">
        <f aca="false">'3 Base Entrada 2008'!G151</f>
        <v>384</v>
      </c>
      <c r="I27" s="72" t="n">
        <f aca="false">'3 Base Entrada 2008'!L151</f>
        <v>0</v>
      </c>
      <c r="J27" s="72" t="n">
        <v>0</v>
      </c>
      <c r="K27" s="72" t="n">
        <f aca="false">I27-J27</f>
        <v>0</v>
      </c>
      <c r="L27" s="70" t="s">
        <v>312</v>
      </c>
      <c r="M27" s="70"/>
      <c r="N27" s="70"/>
      <c r="O27" s="70"/>
    </row>
    <row r="28" customFormat="false" ht="15" hidden="false" customHeight="false" outlineLevel="0" collapsed="false">
      <c r="A28" s="71" t="n">
        <v>46275</v>
      </c>
      <c r="B28" s="70" t="s">
        <v>1732</v>
      </c>
      <c r="C28" s="70" t="s">
        <v>257</v>
      </c>
      <c r="D28" s="70" t="s">
        <v>258</v>
      </c>
      <c r="E28" s="70" t="s">
        <v>1152</v>
      </c>
      <c r="F28" s="70" t="s">
        <v>405</v>
      </c>
      <c r="G28" s="70" t="s">
        <v>65</v>
      </c>
      <c r="H28" s="72" t="n">
        <f aca="false">'3 Base Saídas'!H292</f>
        <v>-42</v>
      </c>
      <c r="I28" s="72" t="n">
        <v>0</v>
      </c>
      <c r="J28" s="72" t="n">
        <f aca="false">'3 Base Saídas'!R292</f>
        <v>42</v>
      </c>
      <c r="K28" s="72" t="n">
        <f aca="false">I28-J28</f>
        <v>-42</v>
      </c>
      <c r="L28" s="70" t="s">
        <v>906</v>
      </c>
      <c r="M28" s="70" t="s">
        <v>549</v>
      </c>
      <c r="N28" s="70" t="s">
        <v>550</v>
      </c>
      <c r="O28" s="70" t="s">
        <v>444</v>
      </c>
    </row>
    <row r="29" customFormat="false" ht="15" hidden="false" customHeight="false" outlineLevel="0" collapsed="false">
      <c r="A29" s="71" t="n">
        <v>46275</v>
      </c>
      <c r="B29" s="70" t="s">
        <v>1732</v>
      </c>
      <c r="C29" s="70" t="s">
        <v>269</v>
      </c>
      <c r="D29" s="70" t="s">
        <v>270</v>
      </c>
      <c r="E29" s="70" t="s">
        <v>1206</v>
      </c>
      <c r="F29" s="70" t="s">
        <v>405</v>
      </c>
      <c r="G29" s="70" t="s">
        <v>65</v>
      </c>
      <c r="H29" s="72" t="n">
        <f aca="false">'3 Base Saídas'!H302</f>
        <v>-12</v>
      </c>
      <c r="I29" s="72" t="n">
        <v>0</v>
      </c>
      <c r="J29" s="72" t="n">
        <f aca="false">'3 Base Saídas'!R302</f>
        <v>12</v>
      </c>
      <c r="K29" s="72" t="n">
        <f aca="false">I29-J29</f>
        <v>-12</v>
      </c>
      <c r="L29" s="70" t="s">
        <v>906</v>
      </c>
      <c r="M29" s="70" t="s">
        <v>549</v>
      </c>
      <c r="N29" s="70" t="s">
        <v>550</v>
      </c>
      <c r="O29" s="70" t="s">
        <v>444</v>
      </c>
    </row>
    <row r="30" customFormat="false" ht="15" hidden="false" customHeight="false" outlineLevel="0" collapsed="false">
      <c r="A30" s="71" t="n">
        <v>46275</v>
      </c>
      <c r="B30" s="70" t="str">
        <f aca="false">'3 Base Entrada 2008'!K161</f>
        <v>Recebido no 2008</v>
      </c>
      <c r="C30" s="70" t="s">
        <v>271</v>
      </c>
      <c r="D30" s="70" t="s">
        <v>273</v>
      </c>
      <c r="E30" s="70" t="s">
        <v>1225</v>
      </c>
      <c r="F30" s="70" t="s">
        <v>188</v>
      </c>
      <c r="G30" s="70" t="s">
        <v>65</v>
      </c>
      <c r="H30" s="72" t="n">
        <f aca="false">'3 Base Entrada 2008'!G161</f>
        <v>840</v>
      </c>
      <c r="I30" s="72" t="n">
        <f aca="false">'3 Base Entrada 2008'!L161</f>
        <v>0</v>
      </c>
      <c r="J30" s="72" t="n">
        <v>0</v>
      </c>
      <c r="K30" s="72" t="n">
        <f aca="false">I30-J30</f>
        <v>0</v>
      </c>
      <c r="L30" s="70" t="s">
        <v>332</v>
      </c>
      <c r="M30" s="70"/>
      <c r="N30" s="70"/>
      <c r="O30" s="70"/>
    </row>
    <row r="31" customFormat="false" ht="15" hidden="false" customHeight="false" outlineLevel="0" collapsed="false">
      <c r="A31" s="71" t="n">
        <v>46275</v>
      </c>
      <c r="B31" s="70" t="str">
        <f aca="false">'3 Base Entrada 2008'!K163</f>
        <v>Recebido no 2008</v>
      </c>
      <c r="C31" s="70" t="s">
        <v>368</v>
      </c>
      <c r="D31" s="70" t="s">
        <v>369</v>
      </c>
      <c r="E31" s="70"/>
      <c r="F31" s="70" t="s">
        <v>188</v>
      </c>
      <c r="G31" s="70" t="s">
        <v>65</v>
      </c>
      <c r="H31" s="72" t="n">
        <f aca="false">'3 Base Entrada 2008'!G163</f>
        <v>940.8</v>
      </c>
      <c r="I31" s="72" t="n">
        <f aca="false">'3 Base Entrada 2008'!L163</f>
        <v>0</v>
      </c>
      <c r="J31" s="72" t="n">
        <v>0</v>
      </c>
      <c r="K31" s="72" t="n">
        <f aca="false">I31-J31</f>
        <v>0</v>
      </c>
      <c r="L31" s="70" t="s">
        <v>332</v>
      </c>
      <c r="M31" s="70"/>
      <c r="N31" s="70"/>
      <c r="O31" s="70"/>
    </row>
    <row r="32" customFormat="false" ht="15" hidden="false" customHeight="false" outlineLevel="0" collapsed="false">
      <c r="A32" s="71" t="n">
        <v>46275</v>
      </c>
      <c r="B32" s="70" t="str">
        <f aca="false">'3 Base Entrada 2008'!K164</f>
        <v>Recebido no 2008</v>
      </c>
      <c r="C32" s="70" t="s">
        <v>368</v>
      </c>
      <c r="D32" s="70" t="s">
        <v>369</v>
      </c>
      <c r="E32" s="70"/>
      <c r="F32" s="70" t="s">
        <v>188</v>
      </c>
      <c r="G32" s="70" t="s">
        <v>65</v>
      </c>
      <c r="H32" s="72" t="n">
        <f aca="false">'3 Base Entrada 2008'!G164</f>
        <v>932.4</v>
      </c>
      <c r="I32" s="72" t="n">
        <f aca="false">'3 Base Entrada 2008'!L164</f>
        <v>0</v>
      </c>
      <c r="J32" s="72" t="n">
        <v>0</v>
      </c>
      <c r="K32" s="72" t="n">
        <f aca="false">I32-J32</f>
        <v>0</v>
      </c>
      <c r="L32" s="70" t="s">
        <v>324</v>
      </c>
      <c r="M32" s="70"/>
      <c r="N32" s="70"/>
      <c r="O32" s="70"/>
    </row>
    <row r="33" customFormat="false" ht="15" hidden="false" customHeight="false" outlineLevel="0" collapsed="false">
      <c r="A33" s="71" t="n">
        <v>46275</v>
      </c>
      <c r="B33" s="70" t="str">
        <f aca="false">'3 Base Entrada 2008'!K170</f>
        <v>Recebido no 2008</v>
      </c>
      <c r="C33" s="70" t="s">
        <v>276</v>
      </c>
      <c r="D33" s="70" t="s">
        <v>278</v>
      </c>
      <c r="E33" s="70" t="s">
        <v>404</v>
      </c>
      <c r="F33" s="70" t="s">
        <v>188</v>
      </c>
      <c r="G33" s="70" t="s">
        <v>65</v>
      </c>
      <c r="H33" s="72" t="n">
        <f aca="false">'3 Base Entrada 2008'!G170</f>
        <v>40</v>
      </c>
      <c r="I33" s="72" t="n">
        <f aca="false">'3 Base Entrada 2008'!L170</f>
        <v>0</v>
      </c>
      <c r="J33" s="72" t="n">
        <v>0</v>
      </c>
      <c r="K33" s="72" t="n">
        <f aca="false">I33-J33</f>
        <v>0</v>
      </c>
      <c r="L33" s="70" t="s">
        <v>312</v>
      </c>
      <c r="M33" s="70"/>
      <c r="N33" s="70"/>
      <c r="O33" s="70"/>
    </row>
    <row r="34" customFormat="false" ht="15" hidden="false" customHeight="false" outlineLevel="0" collapsed="false">
      <c r="A34" s="71" t="n">
        <v>46275</v>
      </c>
      <c r="B34" s="70" t="s">
        <v>1732</v>
      </c>
      <c r="C34" s="70" t="s">
        <v>276</v>
      </c>
      <c r="D34" s="70" t="s">
        <v>278</v>
      </c>
      <c r="E34" s="70" t="s">
        <v>404</v>
      </c>
      <c r="F34" s="70" t="s">
        <v>405</v>
      </c>
      <c r="G34" s="70" t="s">
        <v>65</v>
      </c>
      <c r="H34" s="72" t="n">
        <f aca="false">'3 Base Saídas'!H354</f>
        <v>-40.2</v>
      </c>
      <c r="I34" s="72" t="n">
        <v>0</v>
      </c>
      <c r="J34" s="72" t="n">
        <f aca="false">'3 Base Saídas'!R354</f>
        <v>40.2</v>
      </c>
      <c r="K34" s="72" t="n">
        <f aca="false">I34-J34</f>
        <v>-40.2</v>
      </c>
      <c r="L34" s="70" t="s">
        <v>1333</v>
      </c>
      <c r="M34" s="70" t="s">
        <v>1335</v>
      </c>
      <c r="N34" s="70" t="s">
        <v>1336</v>
      </c>
      <c r="O34" s="70" t="s">
        <v>444</v>
      </c>
    </row>
    <row r="35" customFormat="false" ht="15" hidden="false" customHeight="false" outlineLevel="0" collapsed="false">
      <c r="A35" s="71" t="n">
        <v>46275</v>
      </c>
      <c r="B35" s="70" t="s">
        <v>1732</v>
      </c>
      <c r="C35" s="70" t="s">
        <v>276</v>
      </c>
      <c r="D35" s="70" t="s">
        <v>370</v>
      </c>
      <c r="E35" s="70" t="s">
        <v>404</v>
      </c>
      <c r="F35" s="70" t="s">
        <v>416</v>
      </c>
      <c r="G35" s="70" t="s">
        <v>65</v>
      </c>
      <c r="H35" s="72" t="n">
        <f aca="false">'3 Base Saídas'!H355</f>
        <v>-60.3</v>
      </c>
      <c r="I35" s="72" t="n">
        <v>0</v>
      </c>
      <c r="J35" s="72" t="n">
        <f aca="false">'3 Base Saídas'!R355</f>
        <v>60.3</v>
      </c>
      <c r="K35" s="72" t="n">
        <f aca="false">I35-J35</f>
        <v>-60.3</v>
      </c>
      <c r="L35" s="70" t="s">
        <v>1337</v>
      </c>
      <c r="M35" s="70" t="s">
        <v>491</v>
      </c>
      <c r="N35" s="70" t="s">
        <v>492</v>
      </c>
      <c r="O35" s="70" t="s">
        <v>426</v>
      </c>
    </row>
    <row r="36" customFormat="false" ht="15" hidden="false" customHeight="false" outlineLevel="0" collapsed="false">
      <c r="A36" s="71" t="n">
        <v>46275</v>
      </c>
      <c r="B36" s="70" t="s">
        <v>1732</v>
      </c>
      <c r="C36" s="70" t="s">
        <v>276</v>
      </c>
      <c r="D36" s="70" t="s">
        <v>370</v>
      </c>
      <c r="E36" s="70" t="s">
        <v>404</v>
      </c>
      <c r="F36" s="70" t="s">
        <v>416</v>
      </c>
      <c r="G36" s="70" t="s">
        <v>65</v>
      </c>
      <c r="H36" s="72" t="n">
        <f aca="false">'3 Base Saídas'!H356</f>
        <v>-80.4</v>
      </c>
      <c r="I36" s="72" t="n">
        <v>0</v>
      </c>
      <c r="J36" s="72" t="n">
        <f aca="false">'3 Base Saídas'!R356</f>
        <v>80.4</v>
      </c>
      <c r="K36" s="72" t="n">
        <f aca="false">I36-J36</f>
        <v>-80.4</v>
      </c>
      <c r="L36" s="70" t="s">
        <v>1339</v>
      </c>
      <c r="M36" s="70" t="s">
        <v>1341</v>
      </c>
      <c r="N36" s="70" t="s">
        <v>1342</v>
      </c>
      <c r="O36" s="70" t="s">
        <v>426</v>
      </c>
    </row>
    <row r="37" customFormat="false" ht="15" hidden="false" customHeight="false" outlineLevel="0" collapsed="false">
      <c r="A37" s="71" t="n">
        <v>46275</v>
      </c>
      <c r="B37" s="70" t="str">
        <f aca="false">'3 Base Entrada 2008'!K169</f>
        <v>Recebido no 2008</v>
      </c>
      <c r="C37" s="70" t="s">
        <v>276</v>
      </c>
      <c r="D37" s="70" t="s">
        <v>280</v>
      </c>
      <c r="E37" s="70" t="s">
        <v>404</v>
      </c>
      <c r="F37" s="70" t="s">
        <v>188</v>
      </c>
      <c r="G37" s="70" t="s">
        <v>65</v>
      </c>
      <c r="H37" s="72" t="n">
        <f aca="false">'3 Base Entrada 2008'!G169</f>
        <v>1166</v>
      </c>
      <c r="I37" s="72" t="n">
        <f aca="false">'3 Base Entrada 2008'!L169</f>
        <v>0</v>
      </c>
      <c r="J37" s="72" t="n">
        <v>0</v>
      </c>
      <c r="K37" s="72" t="n">
        <f aca="false">I37-J37</f>
        <v>0</v>
      </c>
      <c r="L37" s="70" t="s">
        <v>312</v>
      </c>
      <c r="M37" s="70"/>
      <c r="N37" s="70"/>
      <c r="O37" s="70"/>
    </row>
    <row r="38" customFormat="false" ht="15" hidden="false" customHeight="false" outlineLevel="0" collapsed="false">
      <c r="A38" s="71" t="n">
        <v>46275</v>
      </c>
      <c r="B38" s="70" t="str">
        <f aca="false">'3 Base Entrada 2008'!K172</f>
        <v>Recebido no 2008</v>
      </c>
      <c r="C38" s="70" t="s">
        <v>372</v>
      </c>
      <c r="D38" s="70" t="s">
        <v>374</v>
      </c>
      <c r="E38" s="70"/>
      <c r="F38" s="70" t="s">
        <v>188</v>
      </c>
      <c r="G38" s="70" t="s">
        <v>65</v>
      </c>
      <c r="H38" s="72" t="n">
        <f aca="false">'3 Base Entrada 2008'!G172</f>
        <v>600</v>
      </c>
      <c r="I38" s="72" t="n">
        <f aca="false">'3 Base Entrada 2008'!L172</f>
        <v>0</v>
      </c>
      <c r="J38" s="72" t="n">
        <v>0</v>
      </c>
      <c r="K38" s="72" t="n">
        <f aca="false">I38-J38</f>
        <v>0</v>
      </c>
      <c r="L38" s="70" t="s">
        <v>312</v>
      </c>
      <c r="M38" s="70"/>
      <c r="N38" s="70"/>
      <c r="O38" s="70"/>
    </row>
    <row r="39" customFormat="false" ht="15" hidden="false" customHeight="false" outlineLevel="0" collapsed="false">
      <c r="A39" s="71" t="n">
        <v>46275</v>
      </c>
      <c r="B39" s="70" t="str">
        <f aca="false">'3 Base Entrada 2008'!K173</f>
        <v>Recebido no 2008</v>
      </c>
      <c r="C39" s="70" t="s">
        <v>372</v>
      </c>
      <c r="D39" s="70" t="s">
        <v>374</v>
      </c>
      <c r="E39" s="70"/>
      <c r="F39" s="70" t="s">
        <v>188</v>
      </c>
      <c r="G39" s="70" t="s">
        <v>65</v>
      </c>
      <c r="H39" s="72" t="n">
        <f aca="false">'3 Base Entrada 2008'!G173</f>
        <v>1800</v>
      </c>
      <c r="I39" s="72" t="n">
        <f aca="false">'3 Base Entrada 2008'!L173</f>
        <v>0</v>
      </c>
      <c r="J39" s="72" t="n">
        <v>0</v>
      </c>
      <c r="K39" s="72" t="n">
        <f aca="false">I39-J39</f>
        <v>0</v>
      </c>
      <c r="L39" s="70" t="s">
        <v>353</v>
      </c>
      <c r="M39" s="70"/>
      <c r="N39" s="70"/>
      <c r="O39" s="70"/>
    </row>
    <row r="40" customFormat="false" ht="15" hidden="false" customHeight="false" outlineLevel="0" collapsed="false">
      <c r="A40" s="71" t="n">
        <v>46275</v>
      </c>
      <c r="B40" s="70" t="str">
        <f aca="false">'3 Base Entrada 2008'!K174</f>
        <v>Recebido no 2008</v>
      </c>
      <c r="C40" s="70" t="s">
        <v>281</v>
      </c>
      <c r="D40" s="70" t="s">
        <v>282</v>
      </c>
      <c r="E40" s="70" t="s">
        <v>1344</v>
      </c>
      <c r="F40" s="70" t="s">
        <v>188</v>
      </c>
      <c r="G40" s="70" t="s">
        <v>65</v>
      </c>
      <c r="H40" s="72" t="n">
        <f aca="false">'3 Base Entrada 2008'!G174</f>
        <v>864</v>
      </c>
      <c r="I40" s="72" t="n">
        <f aca="false">'3 Base Entrada 2008'!L174</f>
        <v>0</v>
      </c>
      <c r="J40" s="72" t="n">
        <v>0</v>
      </c>
      <c r="K40" s="72" t="n">
        <f aca="false">I40-J40</f>
        <v>0</v>
      </c>
      <c r="L40" s="70" t="s">
        <v>324</v>
      </c>
      <c r="M40" s="70"/>
      <c r="N40" s="70"/>
      <c r="O40" s="70"/>
    </row>
    <row r="41" customFormat="false" ht="15" hidden="false" customHeight="false" outlineLevel="0" collapsed="false">
      <c r="A41" s="71" t="n">
        <v>46275</v>
      </c>
      <c r="B41" s="70" t="str">
        <f aca="false">'3 Base Entrada 2008'!K175</f>
        <v>Recebido no 2008</v>
      </c>
      <c r="C41" s="70" t="s">
        <v>375</v>
      </c>
      <c r="D41" s="70" t="s">
        <v>376</v>
      </c>
      <c r="E41" s="70"/>
      <c r="F41" s="70" t="s">
        <v>188</v>
      </c>
      <c r="G41" s="70" t="s">
        <v>65</v>
      </c>
      <c r="H41" s="72" t="n">
        <f aca="false">'3 Base Entrada 2008'!G175</f>
        <v>432</v>
      </c>
      <c r="I41" s="72" t="n">
        <f aca="false">'3 Base Entrada 2008'!L175</f>
        <v>0</v>
      </c>
      <c r="J41" s="72" t="n">
        <v>0</v>
      </c>
      <c r="K41" s="72" t="n">
        <f aca="false">I41-J41</f>
        <v>0</v>
      </c>
      <c r="L41" s="70" t="s">
        <v>332</v>
      </c>
      <c r="M41" s="70"/>
      <c r="N41" s="70"/>
      <c r="O41" s="70"/>
    </row>
    <row r="42" customFormat="false" ht="15" hidden="false" customHeight="false" outlineLevel="0" collapsed="false">
      <c r="A42" s="71" t="n">
        <v>46275</v>
      </c>
      <c r="B42" s="70" t="str">
        <f aca="false">'3 Base Entrada 2008'!K176</f>
        <v>Recebido no 2008</v>
      </c>
      <c r="C42" s="70" t="s">
        <v>377</v>
      </c>
      <c r="D42" s="70" t="s">
        <v>378</v>
      </c>
      <c r="E42" s="70"/>
      <c r="F42" s="70" t="s">
        <v>188</v>
      </c>
      <c r="G42" s="70" t="s">
        <v>65</v>
      </c>
      <c r="H42" s="72" t="n">
        <f aca="false">'3 Base Entrada 2008'!G176</f>
        <v>4296</v>
      </c>
      <c r="I42" s="72" t="n">
        <f aca="false">'3 Base Entrada 2008'!L176</f>
        <v>0</v>
      </c>
      <c r="J42" s="72" t="n">
        <v>0</v>
      </c>
      <c r="K42" s="72" t="n">
        <f aca="false">I42-J42</f>
        <v>0</v>
      </c>
      <c r="L42" s="70" t="s">
        <v>353</v>
      </c>
      <c r="M42" s="70"/>
      <c r="N42" s="70"/>
      <c r="O42" s="70"/>
    </row>
    <row r="43" customFormat="false" ht="15" hidden="false" customHeight="false" outlineLevel="0" collapsed="false">
      <c r="A43" s="71" t="n">
        <v>46275</v>
      </c>
      <c r="B43" s="70" t="str">
        <f aca="false">'3 Base Entrada 2008'!K177</f>
        <v>Recebido no 2008</v>
      </c>
      <c r="C43" s="70" t="s">
        <v>377</v>
      </c>
      <c r="D43" s="70" t="s">
        <v>379</v>
      </c>
      <c r="E43" s="70"/>
      <c r="F43" s="70" t="s">
        <v>188</v>
      </c>
      <c r="G43" s="70" t="s">
        <v>65</v>
      </c>
      <c r="H43" s="72" t="n">
        <f aca="false">'3 Base Entrada 2008'!G177</f>
        <v>5592</v>
      </c>
      <c r="I43" s="72" t="n">
        <f aca="false">'3 Base Entrada 2008'!L177</f>
        <v>0</v>
      </c>
      <c r="J43" s="72" t="n">
        <v>0</v>
      </c>
      <c r="K43" s="72" t="n">
        <f aca="false">I43-J43</f>
        <v>0</v>
      </c>
      <c r="L43" s="70" t="s">
        <v>331</v>
      </c>
      <c r="M43" s="70"/>
      <c r="N43" s="70"/>
      <c r="O43" s="70"/>
    </row>
    <row r="44" customFormat="false" ht="15" hidden="false" customHeight="false" outlineLevel="0" collapsed="false">
      <c r="A44" s="71" t="n">
        <v>46275</v>
      </c>
      <c r="B44" s="70" t="str">
        <f aca="false">'3 Base Entrada 2008'!K178</f>
        <v>Recebido no 2008</v>
      </c>
      <c r="C44" s="70" t="s">
        <v>377</v>
      </c>
      <c r="D44" s="70" t="s">
        <v>379</v>
      </c>
      <c r="E44" s="70"/>
      <c r="F44" s="70" t="s">
        <v>188</v>
      </c>
      <c r="G44" s="70" t="s">
        <v>65</v>
      </c>
      <c r="H44" s="72" t="n">
        <f aca="false">'3 Base Entrada 2008'!G178</f>
        <v>1320</v>
      </c>
      <c r="I44" s="72" t="n">
        <f aca="false">'3 Base Entrada 2008'!L178</f>
        <v>0</v>
      </c>
      <c r="J44" s="72" t="n">
        <v>0</v>
      </c>
      <c r="K44" s="72" t="n">
        <f aca="false">I44-J44</f>
        <v>0</v>
      </c>
      <c r="L44" s="70" t="s">
        <v>353</v>
      </c>
      <c r="M44" s="70"/>
      <c r="N44" s="70"/>
      <c r="O44" s="70"/>
    </row>
    <row r="45" customFormat="false" ht="15" hidden="false" customHeight="false" outlineLevel="0" collapsed="false">
      <c r="A45" s="71" t="n">
        <v>46275</v>
      </c>
      <c r="B45" s="70" t="str">
        <f aca="false">'3 Base Entrada 2008'!K184</f>
        <v>Recebido no 2008</v>
      </c>
      <c r="C45" s="70" t="s">
        <v>286</v>
      </c>
      <c r="D45" s="70" t="s">
        <v>382</v>
      </c>
      <c r="E45" s="70" t="s">
        <v>1354</v>
      </c>
      <c r="F45" s="70" t="s">
        <v>188</v>
      </c>
      <c r="G45" s="70" t="s">
        <v>147</v>
      </c>
      <c r="H45" s="72" t="n">
        <f aca="false">'3 Base Entrada 2008'!G184</f>
        <v>600</v>
      </c>
      <c r="I45" s="72" t="n">
        <f aca="false">'3 Base Entrada 2008'!L184</f>
        <v>0</v>
      </c>
      <c r="J45" s="72" t="n">
        <v>0</v>
      </c>
      <c r="K45" s="72" t="n">
        <f aca="false">I45-J45</f>
        <v>0</v>
      </c>
      <c r="L45" s="70" t="s">
        <v>325</v>
      </c>
      <c r="M45" s="70"/>
      <c r="N45" s="70"/>
      <c r="O45" s="70"/>
    </row>
    <row r="46" customFormat="false" ht="15" hidden="false" customHeight="false" outlineLevel="0" collapsed="false">
      <c r="A46" s="71" t="n">
        <v>46275</v>
      </c>
      <c r="B46" s="70" t="str">
        <f aca="false">'3 Base Entrada 2008'!K185</f>
        <v>Recebido no 2008</v>
      </c>
      <c r="C46" s="70" t="s">
        <v>286</v>
      </c>
      <c r="D46" s="70" t="s">
        <v>382</v>
      </c>
      <c r="E46" s="70" t="s">
        <v>1354</v>
      </c>
      <c r="F46" s="70" t="s">
        <v>188</v>
      </c>
      <c r="G46" s="70" t="s">
        <v>147</v>
      </c>
      <c r="H46" s="72" t="n">
        <f aca="false">'3 Base Entrada 2008'!G185</f>
        <v>300</v>
      </c>
      <c r="I46" s="72" t="n">
        <f aca="false">'3 Base Entrada 2008'!L185</f>
        <v>0</v>
      </c>
      <c r="J46" s="72" t="n">
        <v>0</v>
      </c>
      <c r="K46" s="72" t="n">
        <f aca="false">I46-J46</f>
        <v>0</v>
      </c>
      <c r="L46" s="70" t="s">
        <v>324</v>
      </c>
      <c r="M46" s="70"/>
      <c r="N46" s="70"/>
      <c r="O46" s="70"/>
    </row>
    <row r="47" customFormat="false" ht="15" hidden="false" customHeight="false" outlineLevel="0" collapsed="false">
      <c r="A47" s="71" t="n">
        <v>46275</v>
      </c>
      <c r="B47" s="70" t="str">
        <f aca="false">'3 Base Entrada 2008'!K186</f>
        <v>Recebido no 2008</v>
      </c>
      <c r="C47" s="70" t="s">
        <v>286</v>
      </c>
      <c r="D47" s="70" t="s">
        <v>383</v>
      </c>
      <c r="E47" s="70" t="s">
        <v>1354</v>
      </c>
      <c r="F47" s="70" t="s">
        <v>188</v>
      </c>
      <c r="G47" s="70" t="s">
        <v>147</v>
      </c>
      <c r="H47" s="72" t="n">
        <f aca="false">'3 Base Entrada 2008'!G186</f>
        <v>300</v>
      </c>
      <c r="I47" s="72" t="n">
        <f aca="false">'3 Base Entrada 2008'!L186</f>
        <v>0</v>
      </c>
      <c r="J47" s="72" t="n">
        <v>0</v>
      </c>
      <c r="K47" s="72" t="n">
        <f aca="false">I47-J47</f>
        <v>0</v>
      </c>
      <c r="L47" s="70" t="s">
        <v>324</v>
      </c>
      <c r="M47" s="70"/>
      <c r="N47" s="70"/>
      <c r="O47" s="70"/>
    </row>
    <row r="48" customFormat="false" ht="15" hidden="false" customHeight="false" outlineLevel="0" collapsed="false">
      <c r="A48" s="71" t="n">
        <v>46275</v>
      </c>
      <c r="B48" s="70" t="str">
        <f aca="false">'3 Base Entrada 2008'!K187</f>
        <v>Recebido no 2008</v>
      </c>
      <c r="C48" s="70" t="s">
        <v>286</v>
      </c>
      <c r="D48" s="70" t="s">
        <v>287</v>
      </c>
      <c r="E48" s="70" t="s">
        <v>1354</v>
      </c>
      <c r="F48" s="70" t="s">
        <v>188</v>
      </c>
      <c r="G48" s="70" t="s">
        <v>147</v>
      </c>
      <c r="H48" s="72" t="n">
        <f aca="false">'3 Base Entrada 2008'!G187</f>
        <v>240</v>
      </c>
      <c r="I48" s="72" t="n">
        <f aca="false">'3 Base Entrada 2008'!L187</f>
        <v>0</v>
      </c>
      <c r="J48" s="72" t="n">
        <v>0</v>
      </c>
      <c r="K48" s="72" t="n">
        <f aca="false">I48-J48</f>
        <v>0</v>
      </c>
      <c r="L48" s="70" t="s">
        <v>331</v>
      </c>
      <c r="M48" s="70"/>
      <c r="N48" s="70"/>
      <c r="O48" s="70"/>
    </row>
    <row r="49" customFormat="false" ht="15" hidden="false" customHeight="false" outlineLevel="0" collapsed="false">
      <c r="A49" s="71" t="n">
        <v>46275</v>
      </c>
      <c r="B49" s="70" t="str">
        <f aca="false">'3 Base Entrada 2008'!K189</f>
        <v>Recebido no 2008</v>
      </c>
      <c r="C49" s="70" t="s">
        <v>301</v>
      </c>
      <c r="D49" s="70" t="s">
        <v>302</v>
      </c>
      <c r="E49" s="70" t="s">
        <v>1377</v>
      </c>
      <c r="F49" s="70" t="s">
        <v>188</v>
      </c>
      <c r="G49" s="70" t="s">
        <v>65</v>
      </c>
      <c r="H49" s="72" t="n">
        <f aca="false">'3 Base Entrada 2008'!G189</f>
        <v>4000</v>
      </c>
      <c r="I49" s="72" t="n">
        <f aca="false">'3 Base Entrada 2008'!L189</f>
        <v>0</v>
      </c>
      <c r="J49" s="72" t="n">
        <v>0</v>
      </c>
      <c r="K49" s="72" t="n">
        <f aca="false">I49-J49</f>
        <v>0</v>
      </c>
      <c r="L49" s="70" t="s">
        <v>325</v>
      </c>
      <c r="M49" s="70"/>
      <c r="N49" s="70"/>
      <c r="O49" s="70"/>
    </row>
    <row r="50" customFormat="false" ht="15" hidden="false" customHeight="false" outlineLevel="0" collapsed="false">
      <c r="A50" s="71" t="n">
        <v>46275</v>
      </c>
      <c r="B50" s="70" t="str">
        <f aca="false">'3 Base Entrada 2008'!K190</f>
        <v>Recebido no 2008</v>
      </c>
      <c r="C50" s="70" t="s">
        <v>301</v>
      </c>
      <c r="D50" s="70" t="s">
        <v>302</v>
      </c>
      <c r="E50" s="70" t="s">
        <v>1377</v>
      </c>
      <c r="F50" s="70" t="s">
        <v>188</v>
      </c>
      <c r="G50" s="70" t="s">
        <v>65</v>
      </c>
      <c r="H50" s="72" t="n">
        <f aca="false">'3 Base Entrada 2008'!G190</f>
        <v>800</v>
      </c>
      <c r="I50" s="72" t="n">
        <f aca="false">'3 Base Entrada 2008'!L190</f>
        <v>0</v>
      </c>
      <c r="J50" s="72" t="n">
        <v>0</v>
      </c>
      <c r="K50" s="72" t="n">
        <f aca="false">I50-J50</f>
        <v>0</v>
      </c>
      <c r="L50" s="70" t="s">
        <v>332</v>
      </c>
      <c r="M50" s="70"/>
      <c r="N50" s="70"/>
      <c r="O50" s="70"/>
    </row>
    <row r="51" customFormat="false" ht="15" hidden="false" customHeight="false" outlineLevel="0" collapsed="false">
      <c r="A51" s="71" t="n">
        <v>46275</v>
      </c>
      <c r="B51" s="70" t="str">
        <f aca="false">'3 Base Entrada 2008'!K191</f>
        <v>Recebido no 2008</v>
      </c>
      <c r="C51" s="70" t="s">
        <v>305</v>
      </c>
      <c r="D51" s="70" t="s">
        <v>386</v>
      </c>
      <c r="E51" s="70" t="s">
        <v>1377</v>
      </c>
      <c r="F51" s="70" t="s">
        <v>188</v>
      </c>
      <c r="G51" s="70" t="s">
        <v>65</v>
      </c>
      <c r="H51" s="72" t="n">
        <f aca="false">'3 Base Entrada 2008'!G191</f>
        <v>400</v>
      </c>
      <c r="I51" s="72" t="n">
        <f aca="false">'3 Base Entrada 2008'!L191</f>
        <v>0</v>
      </c>
      <c r="J51" s="72" t="n">
        <v>0</v>
      </c>
      <c r="K51" s="72" t="n">
        <f aca="false">I51-J51</f>
        <v>0</v>
      </c>
      <c r="L51" s="70" t="s">
        <v>332</v>
      </c>
      <c r="M51" s="70"/>
      <c r="N51" s="70"/>
      <c r="O51" s="70"/>
    </row>
    <row r="52" customFormat="false" ht="15" hidden="false" customHeight="false" outlineLevel="0" collapsed="false">
      <c r="A52" s="71" t="n">
        <v>46275</v>
      </c>
      <c r="B52" s="70" t="str">
        <f aca="false">'3 Base Entrada 2008'!K199</f>
        <v>Recebido no 2008</v>
      </c>
      <c r="C52" s="70" t="s">
        <v>389</v>
      </c>
      <c r="D52" s="70" t="s">
        <v>394</v>
      </c>
      <c r="E52" s="70" t="s">
        <v>1104</v>
      </c>
      <c r="F52" s="70" t="s">
        <v>188</v>
      </c>
      <c r="G52" s="70" t="s">
        <v>65</v>
      </c>
      <c r="H52" s="72" t="n">
        <f aca="false">'3 Base Entrada 2008'!G199</f>
        <v>204.4</v>
      </c>
      <c r="I52" s="72" t="n">
        <f aca="false">'3 Base Entrada 2008'!L199</f>
        <v>0</v>
      </c>
      <c r="J52" s="72" t="n">
        <v>0</v>
      </c>
      <c r="K52" s="72" t="n">
        <f aca="false">I52-J52</f>
        <v>0</v>
      </c>
      <c r="L52" s="70" t="s">
        <v>332</v>
      </c>
      <c r="M52" s="70"/>
      <c r="N52" s="70"/>
      <c r="O52" s="70"/>
    </row>
    <row r="53" customFormat="false" ht="15" hidden="false" customHeight="false" outlineLevel="0" collapsed="false">
      <c r="A53" s="71" t="n">
        <v>46275</v>
      </c>
      <c r="B53" s="70" t="str">
        <f aca="false">'3 Base Entrada 2008'!K198</f>
        <v>Recebido no 2008</v>
      </c>
      <c r="C53" s="70" t="s">
        <v>389</v>
      </c>
      <c r="D53" s="70" t="s">
        <v>393</v>
      </c>
      <c r="E53" s="70" t="s">
        <v>1104</v>
      </c>
      <c r="F53" s="70" t="s">
        <v>188</v>
      </c>
      <c r="G53" s="70" t="s">
        <v>65</v>
      </c>
      <c r="H53" s="72" t="n">
        <f aca="false">'3 Base Entrada 2008'!G198</f>
        <v>109.2</v>
      </c>
      <c r="I53" s="72" t="n">
        <f aca="false">'3 Base Entrada 2008'!L198</f>
        <v>0</v>
      </c>
      <c r="J53" s="72" t="n">
        <v>0</v>
      </c>
      <c r="K53" s="72" t="n">
        <f aca="false">I53-J53</f>
        <v>0</v>
      </c>
      <c r="L53" s="70" t="s">
        <v>332</v>
      </c>
      <c r="M53" s="70"/>
      <c r="N53" s="70"/>
      <c r="O53" s="70"/>
    </row>
    <row r="54" customFormat="false" ht="15" hidden="false" customHeight="false" outlineLevel="0" collapsed="false">
      <c r="A54" s="71" t="n">
        <v>46275</v>
      </c>
      <c r="B54" s="70" t="str">
        <f aca="false">'3 Base Entrada 2008'!K200</f>
        <v>Recebido no 2008</v>
      </c>
      <c r="C54" s="70" t="s">
        <v>389</v>
      </c>
      <c r="D54" s="70" t="s">
        <v>393</v>
      </c>
      <c r="E54" s="70" t="s">
        <v>1104</v>
      </c>
      <c r="F54" s="70" t="s">
        <v>188</v>
      </c>
      <c r="G54" s="70" t="s">
        <v>65</v>
      </c>
      <c r="H54" s="72" t="n">
        <f aca="false">'3 Base Entrada 2008'!G200</f>
        <v>529.2</v>
      </c>
      <c r="I54" s="72" t="n">
        <f aca="false">'3 Base Entrada 2008'!L200</f>
        <v>0</v>
      </c>
      <c r="J54" s="72" t="n">
        <v>0</v>
      </c>
      <c r="K54" s="72" t="n">
        <f aca="false">I54-J54</f>
        <v>0</v>
      </c>
      <c r="L54" s="70" t="s">
        <v>320</v>
      </c>
      <c r="M54" s="70"/>
      <c r="N54" s="70"/>
      <c r="O54" s="70"/>
    </row>
    <row r="55" customFormat="false" ht="15" hidden="false" customHeight="false" outlineLevel="0" collapsed="false">
      <c r="A55" s="71" t="n">
        <v>46275</v>
      </c>
      <c r="B55" s="70" t="str">
        <f aca="false">'3 Base Entrada 2008'!K196</f>
        <v>Recebido no 2008</v>
      </c>
      <c r="C55" s="70" t="s">
        <v>389</v>
      </c>
      <c r="D55" s="70" t="s">
        <v>392</v>
      </c>
      <c r="E55" s="70" t="s">
        <v>1104</v>
      </c>
      <c r="F55" s="70" t="s">
        <v>188</v>
      </c>
      <c r="G55" s="70" t="s">
        <v>65</v>
      </c>
      <c r="H55" s="72" t="n">
        <f aca="false">'3 Base Entrada 2008'!G196</f>
        <v>725.2</v>
      </c>
      <c r="I55" s="72" t="n">
        <f aca="false">'3 Base Entrada 2008'!L196</f>
        <v>0</v>
      </c>
      <c r="J55" s="72" t="n">
        <v>0</v>
      </c>
      <c r="K55" s="72" t="n">
        <f aca="false">I55-J55</f>
        <v>0</v>
      </c>
      <c r="L55" s="70" t="s">
        <v>320</v>
      </c>
      <c r="M55" s="70"/>
      <c r="N55" s="70"/>
      <c r="O55" s="70"/>
    </row>
    <row r="56" customFormat="false" ht="15" hidden="false" customHeight="false" outlineLevel="0" collapsed="false">
      <c r="A56" s="71" t="n">
        <v>46275</v>
      </c>
      <c r="B56" s="70" t="str">
        <f aca="false">'3 Base Entrada 2008'!K197</f>
        <v>Recebido no 2008</v>
      </c>
      <c r="C56" s="70" t="s">
        <v>389</v>
      </c>
      <c r="D56" s="70" t="s">
        <v>392</v>
      </c>
      <c r="E56" s="70" t="s">
        <v>1104</v>
      </c>
      <c r="F56" s="70" t="s">
        <v>188</v>
      </c>
      <c r="G56" s="70" t="s">
        <v>65</v>
      </c>
      <c r="H56" s="72" t="n">
        <f aca="false">'3 Base Entrada 2008'!G197</f>
        <v>1254.4</v>
      </c>
      <c r="I56" s="72" t="n">
        <f aca="false">'3 Base Entrada 2008'!L197</f>
        <v>0</v>
      </c>
      <c r="J56" s="72" t="n">
        <v>0</v>
      </c>
      <c r="K56" s="72" t="n">
        <f aca="false">I56-J56</f>
        <v>0</v>
      </c>
      <c r="L56" s="70" t="s">
        <v>331</v>
      </c>
      <c r="M56" s="70"/>
      <c r="N56" s="70"/>
      <c r="O56" s="70"/>
    </row>
    <row r="57" customFormat="false" ht="15" hidden="false" customHeight="false" outlineLevel="0" collapsed="false">
      <c r="A57" s="71" t="n">
        <v>46275</v>
      </c>
      <c r="B57" s="70" t="str">
        <f aca="false">'3 Base Entrada 2008'!K201</f>
        <v>Recebido no 2008</v>
      </c>
      <c r="C57" s="70" t="s">
        <v>309</v>
      </c>
      <c r="D57" s="70" t="s">
        <v>395</v>
      </c>
      <c r="E57" s="70" t="s">
        <v>404</v>
      </c>
      <c r="F57" s="70" t="s">
        <v>188</v>
      </c>
      <c r="G57" s="70" t="s">
        <v>65</v>
      </c>
      <c r="H57" s="72" t="n">
        <f aca="false">'3 Base Entrada 2008'!G201</f>
        <v>20</v>
      </c>
      <c r="I57" s="72" t="n">
        <f aca="false">'3 Base Entrada 2008'!L201</f>
        <v>0</v>
      </c>
      <c r="J57" s="72" t="n">
        <v>0</v>
      </c>
      <c r="K57" s="72" t="n">
        <f aca="false">I57-J57</f>
        <v>0</v>
      </c>
      <c r="L57" s="70" t="s">
        <v>312</v>
      </c>
      <c r="M57" s="70"/>
      <c r="N57" s="70"/>
      <c r="O57" s="70"/>
    </row>
    <row r="58" customFormat="false" ht="15" hidden="false" customHeight="false" outlineLevel="0" collapsed="false">
      <c r="A58" s="71" t="n">
        <v>46275</v>
      </c>
      <c r="B58" s="70" t="s">
        <v>1732</v>
      </c>
      <c r="C58" s="70" t="s">
        <v>309</v>
      </c>
      <c r="D58" s="70" t="s">
        <v>395</v>
      </c>
      <c r="E58" s="70" t="s">
        <v>404</v>
      </c>
      <c r="F58" s="70" t="s">
        <v>405</v>
      </c>
      <c r="G58" s="70" t="s">
        <v>65</v>
      </c>
      <c r="H58" s="72" t="n">
        <f aca="false">'3 Base Saídas'!H402</f>
        <v>-20.1</v>
      </c>
      <c r="I58" s="72" t="n">
        <v>0</v>
      </c>
      <c r="J58" s="72" t="n">
        <f aca="false">'3 Base Saídas'!R402</f>
        <v>20.1</v>
      </c>
      <c r="K58" s="72" t="n">
        <f aca="false">I58-J58</f>
        <v>-20.1</v>
      </c>
      <c r="L58" s="70" t="s">
        <v>1443</v>
      </c>
      <c r="M58" s="70" t="s">
        <v>1445</v>
      </c>
      <c r="N58" s="70" t="s">
        <v>1446</v>
      </c>
      <c r="O58" s="70" t="s">
        <v>426</v>
      </c>
    </row>
    <row r="59" customFormat="false" ht="15" hidden="false" customHeight="false" outlineLevel="0" collapsed="false">
      <c r="A59" s="71" t="n">
        <v>46275</v>
      </c>
      <c r="B59" s="70" t="s">
        <v>1732</v>
      </c>
      <c r="C59" s="70" t="s">
        <v>309</v>
      </c>
      <c r="D59" s="70" t="s">
        <v>395</v>
      </c>
      <c r="E59" s="70" t="s">
        <v>404</v>
      </c>
      <c r="F59" s="70" t="s">
        <v>405</v>
      </c>
      <c r="G59" s="70" t="s">
        <v>65</v>
      </c>
      <c r="H59" s="72" t="n">
        <f aca="false">'3 Base Saídas'!H403</f>
        <v>-100.5</v>
      </c>
      <c r="I59" s="72" t="n">
        <v>0</v>
      </c>
      <c r="J59" s="72" t="n">
        <f aca="false">'3 Base Saídas'!R403</f>
        <v>100.5</v>
      </c>
      <c r="K59" s="72" t="n">
        <f aca="false">I59-J59</f>
        <v>-100.5</v>
      </c>
      <c r="L59" s="70" t="s">
        <v>906</v>
      </c>
      <c r="M59" s="70" t="s">
        <v>549</v>
      </c>
      <c r="N59" s="70" t="s">
        <v>550</v>
      </c>
      <c r="O59" s="70" t="s">
        <v>444</v>
      </c>
    </row>
    <row r="60" customFormat="false" ht="15" hidden="false" customHeight="false" outlineLevel="0" collapsed="false">
      <c r="A60" s="71" t="n">
        <v>46275</v>
      </c>
      <c r="B60" s="70" t="s">
        <v>1732</v>
      </c>
      <c r="C60" s="70" t="s">
        <v>309</v>
      </c>
      <c r="D60" s="70" t="s">
        <v>395</v>
      </c>
      <c r="E60" s="70" t="s">
        <v>404</v>
      </c>
      <c r="F60" s="70" t="s">
        <v>405</v>
      </c>
      <c r="G60" s="70" t="s">
        <v>65</v>
      </c>
      <c r="H60" s="72" t="n">
        <f aca="false">'3 Base Saídas'!H404</f>
        <v>-40.2</v>
      </c>
      <c r="I60" s="72" t="n">
        <v>0</v>
      </c>
      <c r="J60" s="72" t="n">
        <f aca="false">'3 Base Saídas'!R404</f>
        <v>40.2</v>
      </c>
      <c r="K60" s="72" t="n">
        <f aca="false">I60-J60</f>
        <v>-40.2</v>
      </c>
      <c r="L60" s="70" t="s">
        <v>1447</v>
      </c>
      <c r="M60" s="70" t="s">
        <v>1449</v>
      </c>
      <c r="N60" s="70" t="s">
        <v>1450</v>
      </c>
      <c r="O60" s="70" t="s">
        <v>426</v>
      </c>
    </row>
    <row r="61" customFormat="false" ht="15" hidden="false" customHeight="false" outlineLevel="0" collapsed="false">
      <c r="A61" s="71" t="n">
        <v>46275</v>
      </c>
      <c r="B61" s="70" t="s">
        <v>1732</v>
      </c>
      <c r="C61" s="70" t="s">
        <v>309</v>
      </c>
      <c r="D61" s="70" t="s">
        <v>395</v>
      </c>
      <c r="E61" s="70" t="s">
        <v>404</v>
      </c>
      <c r="F61" s="70" t="s">
        <v>405</v>
      </c>
      <c r="G61" s="70" t="s">
        <v>65</v>
      </c>
      <c r="H61" s="72" t="n">
        <f aca="false">'3 Base Saídas'!H405</f>
        <v>-20.1</v>
      </c>
      <c r="I61" s="72" t="n">
        <v>0</v>
      </c>
      <c r="J61" s="72" t="n">
        <f aca="false">'3 Base Saídas'!R405</f>
        <v>20.1</v>
      </c>
      <c r="K61" s="72" t="n">
        <f aca="false">I61-J61</f>
        <v>-20.1</v>
      </c>
      <c r="L61" s="70" t="s">
        <v>515</v>
      </c>
      <c r="M61" s="70" t="s">
        <v>428</v>
      </c>
      <c r="N61" s="70" t="s">
        <v>429</v>
      </c>
      <c r="O61" s="70" t="s">
        <v>426</v>
      </c>
    </row>
    <row r="62" customFormat="false" ht="15" hidden="false" customHeight="false" outlineLevel="0" collapsed="false">
      <c r="A62" s="71" t="n">
        <v>46275</v>
      </c>
      <c r="B62" s="70" t="s">
        <v>1732</v>
      </c>
      <c r="C62" s="70" t="s">
        <v>309</v>
      </c>
      <c r="D62" s="70" t="s">
        <v>395</v>
      </c>
      <c r="E62" s="70" t="s">
        <v>404</v>
      </c>
      <c r="F62" s="70" t="s">
        <v>405</v>
      </c>
      <c r="G62" s="70" t="s">
        <v>65</v>
      </c>
      <c r="H62" s="72" t="n">
        <f aca="false">'3 Base Saídas'!H406</f>
        <v>-20.1</v>
      </c>
      <c r="I62" s="72" t="n">
        <v>0</v>
      </c>
      <c r="J62" s="72" t="n">
        <f aca="false">'3 Base Saídas'!R406</f>
        <v>20.1</v>
      </c>
      <c r="K62" s="72" t="n">
        <f aca="false">I62-J62</f>
        <v>-20.1</v>
      </c>
      <c r="L62" s="70" t="s">
        <v>1451</v>
      </c>
      <c r="M62" s="70" t="s">
        <v>1097</v>
      </c>
      <c r="N62" s="70" t="s">
        <v>1098</v>
      </c>
      <c r="O62" s="70" t="s">
        <v>1138</v>
      </c>
    </row>
    <row r="63" customFormat="false" ht="15" hidden="false" customHeight="false" outlineLevel="0" collapsed="false">
      <c r="A63" s="71" t="n">
        <v>46275</v>
      </c>
      <c r="B63" s="70" t="str">
        <f aca="false">'3 Base Entrada 2008'!K202</f>
        <v>Recebido no 2008</v>
      </c>
      <c r="C63" s="70" t="s">
        <v>309</v>
      </c>
      <c r="D63" s="70" t="s">
        <v>310</v>
      </c>
      <c r="E63" s="70" t="s">
        <v>404</v>
      </c>
      <c r="F63" s="70" t="s">
        <v>188</v>
      </c>
      <c r="G63" s="70" t="s">
        <v>65</v>
      </c>
      <c r="H63" s="72" t="n">
        <f aca="false">'3 Base Entrada 2008'!G202</f>
        <v>2995</v>
      </c>
      <c r="I63" s="72" t="n">
        <f aca="false">'3 Base Entrada 2008'!L202</f>
        <v>0</v>
      </c>
      <c r="J63" s="72" t="n">
        <v>0</v>
      </c>
      <c r="K63" s="72" t="n">
        <f aca="false">I63-J63</f>
        <v>0</v>
      </c>
      <c r="L63" s="70" t="s">
        <v>312</v>
      </c>
      <c r="M63" s="70"/>
      <c r="N63" s="70"/>
      <c r="O63" s="70"/>
    </row>
    <row r="64" customFormat="false" ht="15" hidden="false" customHeight="false" outlineLevel="0" collapsed="false">
      <c r="A64" s="71" t="n">
        <v>46276</v>
      </c>
      <c r="B64" s="70" t="str">
        <f aca="false">'3 Base Entrada 2008'!K16</f>
        <v>Entrada</v>
      </c>
      <c r="C64" s="70" t="s">
        <v>205</v>
      </c>
      <c r="D64" s="70" t="s">
        <v>209</v>
      </c>
      <c r="E64" s="70" t="s">
        <v>404</v>
      </c>
      <c r="F64" s="70" t="s">
        <v>188</v>
      </c>
      <c r="G64" s="70" t="s">
        <v>65</v>
      </c>
      <c r="H64" s="72" t="n">
        <f aca="false">'3 Base Entrada 2008'!G16</f>
        <v>-180.9</v>
      </c>
      <c r="I64" s="72" t="n">
        <f aca="false">'3 Base Entrada 2008'!L16</f>
        <v>180.9</v>
      </c>
      <c r="J64" s="72" t="n">
        <v>0</v>
      </c>
      <c r="K64" s="72" t="n">
        <f aca="false">I64-J64</f>
        <v>180.9</v>
      </c>
      <c r="L64" s="70" t="s">
        <v>208</v>
      </c>
      <c r="M64" s="70"/>
      <c r="N64" s="70"/>
      <c r="O64" s="70"/>
    </row>
    <row r="65" customFormat="false" ht="15" hidden="false" customHeight="false" outlineLevel="0" collapsed="false">
      <c r="A65" s="71" t="n">
        <v>46276</v>
      </c>
      <c r="B65" s="70" t="str">
        <f aca="false">'3 Base Entrada 2008'!K119</f>
        <v>Entrada</v>
      </c>
      <c r="C65" s="70" t="s">
        <v>218</v>
      </c>
      <c r="D65" s="70" t="s">
        <v>317</v>
      </c>
      <c r="E65" s="70" t="s">
        <v>756</v>
      </c>
      <c r="F65" s="70" t="s">
        <v>188</v>
      </c>
      <c r="G65" s="70" t="s">
        <v>65</v>
      </c>
      <c r="H65" s="72" t="n">
        <f aca="false">'3 Base Entrada 2008'!G119</f>
        <v>-1800</v>
      </c>
      <c r="I65" s="72" t="n">
        <f aca="false">'3 Base Entrada 2008'!L119</f>
        <v>1800</v>
      </c>
      <c r="J65" s="72" t="n">
        <v>0</v>
      </c>
      <c r="K65" s="72" t="n">
        <f aca="false">I65-J65</f>
        <v>1800</v>
      </c>
      <c r="L65" s="70" t="s">
        <v>316</v>
      </c>
      <c r="M65" s="70"/>
      <c r="N65" s="70"/>
      <c r="O65" s="70"/>
    </row>
    <row r="66" customFormat="false" ht="15" hidden="false" customHeight="false" outlineLevel="0" collapsed="false">
      <c r="A66" s="71" t="n">
        <v>46276</v>
      </c>
      <c r="B66" s="70" t="str">
        <f aca="false">'3 Base Entrada 2008'!K120</f>
        <v>Entrada</v>
      </c>
      <c r="C66" s="70" t="s">
        <v>218</v>
      </c>
      <c r="D66" s="70" t="s">
        <v>318</v>
      </c>
      <c r="E66" s="70" t="s">
        <v>756</v>
      </c>
      <c r="F66" s="70" t="s">
        <v>188</v>
      </c>
      <c r="G66" s="70" t="s">
        <v>65</v>
      </c>
      <c r="H66" s="72" t="n">
        <f aca="false">'3 Base Entrada 2008'!G120</f>
        <v>-600</v>
      </c>
      <c r="I66" s="72" t="n">
        <f aca="false">'3 Base Entrada 2008'!L120</f>
        <v>600</v>
      </c>
      <c r="J66" s="72" t="n">
        <v>0</v>
      </c>
      <c r="K66" s="72" t="n">
        <f aca="false">I66-J66</f>
        <v>600</v>
      </c>
      <c r="L66" s="70" t="s">
        <v>316</v>
      </c>
      <c r="M66" s="70"/>
      <c r="N66" s="70"/>
      <c r="O66" s="70"/>
    </row>
    <row r="67" customFormat="false" ht="15" hidden="false" customHeight="false" outlineLevel="0" collapsed="false">
      <c r="A67" s="71" t="n">
        <v>46276</v>
      </c>
      <c r="B67" s="70" t="str">
        <f aca="false">'3 Base Entrada 2008'!K122</f>
        <v>Entrada</v>
      </c>
      <c r="C67" s="70" t="s">
        <v>218</v>
      </c>
      <c r="D67" s="70" t="s">
        <v>319</v>
      </c>
      <c r="E67" s="70" t="s">
        <v>756</v>
      </c>
      <c r="F67" s="70" t="s">
        <v>188</v>
      </c>
      <c r="G67" s="70" t="s">
        <v>65</v>
      </c>
      <c r="H67" s="72" t="n">
        <f aca="false">'3 Base Entrada 2008'!G122</f>
        <v>-1180</v>
      </c>
      <c r="I67" s="72" t="n">
        <f aca="false">'3 Base Entrada 2008'!L122</f>
        <v>1180</v>
      </c>
      <c r="J67" s="72" t="n">
        <v>0</v>
      </c>
      <c r="K67" s="72" t="n">
        <f aca="false">I67-J67</f>
        <v>1180</v>
      </c>
      <c r="L67" s="70" t="s">
        <v>316</v>
      </c>
      <c r="M67" s="70"/>
      <c r="N67" s="70"/>
      <c r="O67" s="70"/>
    </row>
    <row r="68" customFormat="false" ht="15" hidden="false" customHeight="false" outlineLevel="0" collapsed="false">
      <c r="A68" s="71" t="n">
        <v>46276</v>
      </c>
      <c r="B68" s="70" t="str">
        <f aca="false">'3 Base Entrada 2008'!K121</f>
        <v>Entrada</v>
      </c>
      <c r="C68" s="70" t="s">
        <v>218</v>
      </c>
      <c r="D68" s="70" t="s">
        <v>219</v>
      </c>
      <c r="E68" s="70" t="s">
        <v>756</v>
      </c>
      <c r="F68" s="70" t="s">
        <v>188</v>
      </c>
      <c r="G68" s="70" t="s">
        <v>65</v>
      </c>
      <c r="H68" s="72" t="n">
        <f aca="false">'3 Base Entrada 2008'!G121</f>
        <v>-520</v>
      </c>
      <c r="I68" s="72" t="n">
        <f aca="false">'3 Base Entrada 2008'!L121</f>
        <v>520</v>
      </c>
      <c r="J68" s="72" t="n">
        <v>0</v>
      </c>
      <c r="K68" s="72" t="n">
        <f aca="false">I68-J68</f>
        <v>520</v>
      </c>
      <c r="L68" s="70" t="s">
        <v>316</v>
      </c>
      <c r="M68" s="70"/>
      <c r="N68" s="70"/>
      <c r="O68" s="70"/>
    </row>
    <row r="69" customFormat="false" ht="15" hidden="false" customHeight="false" outlineLevel="0" collapsed="false">
      <c r="A69" s="71" t="n">
        <v>46276</v>
      </c>
      <c r="B69" s="70" t="s">
        <v>1732</v>
      </c>
      <c r="C69" s="70" t="s">
        <v>322</v>
      </c>
      <c r="D69" s="70" t="s">
        <v>323</v>
      </c>
      <c r="E69" s="70" t="s">
        <v>522</v>
      </c>
      <c r="F69" s="70" t="s">
        <v>405</v>
      </c>
      <c r="G69" s="70" t="s">
        <v>65</v>
      </c>
      <c r="H69" s="72" t="n">
        <f aca="false">'3 Base Saídas'!H172</f>
        <v>-8.4</v>
      </c>
      <c r="I69" s="72" t="n">
        <v>0</v>
      </c>
      <c r="J69" s="72" t="n">
        <f aca="false">'3 Base Saídas'!R172</f>
        <v>8.4</v>
      </c>
      <c r="K69" s="72" t="n">
        <f aca="false">I69-J69</f>
        <v>-8.4</v>
      </c>
      <c r="L69" s="70" t="s">
        <v>894</v>
      </c>
      <c r="M69" s="70" t="s">
        <v>896</v>
      </c>
      <c r="N69" s="70" t="s">
        <v>897</v>
      </c>
      <c r="O69" s="70" t="s">
        <v>444</v>
      </c>
    </row>
    <row r="70" customFormat="false" ht="15" hidden="false" customHeight="false" outlineLevel="0" collapsed="false">
      <c r="A70" s="71" t="n">
        <v>46276</v>
      </c>
      <c r="B70" s="70" t="s">
        <v>1732</v>
      </c>
      <c r="C70" s="70" t="s">
        <v>322</v>
      </c>
      <c r="D70" s="70" t="s">
        <v>323</v>
      </c>
      <c r="E70" s="70" t="s">
        <v>522</v>
      </c>
      <c r="F70" s="70" t="s">
        <v>405</v>
      </c>
      <c r="G70" s="70" t="s">
        <v>65</v>
      </c>
      <c r="H70" s="72" t="n">
        <f aca="false">'3 Base Saídas'!H173</f>
        <v>-2.8</v>
      </c>
      <c r="I70" s="72" t="n">
        <v>0</v>
      </c>
      <c r="J70" s="72" t="n">
        <f aca="false">'3 Base Saídas'!R173</f>
        <v>2.8</v>
      </c>
      <c r="K70" s="72" t="n">
        <f aca="false">I70-J70</f>
        <v>-2.8</v>
      </c>
      <c r="L70" s="70" t="s">
        <v>898</v>
      </c>
      <c r="M70" s="70" t="s">
        <v>900</v>
      </c>
      <c r="N70" s="70" t="s">
        <v>901</v>
      </c>
      <c r="O70" s="70" t="s">
        <v>444</v>
      </c>
    </row>
    <row r="71" customFormat="false" ht="15" hidden="false" customHeight="false" outlineLevel="0" collapsed="false">
      <c r="A71" s="71" t="n">
        <v>46276</v>
      </c>
      <c r="B71" s="70" t="s">
        <v>1732</v>
      </c>
      <c r="C71" s="70" t="s">
        <v>322</v>
      </c>
      <c r="D71" s="70" t="s">
        <v>323</v>
      </c>
      <c r="E71" s="70" t="s">
        <v>522</v>
      </c>
      <c r="F71" s="70" t="s">
        <v>405</v>
      </c>
      <c r="G71" s="70" t="s">
        <v>65</v>
      </c>
      <c r="H71" s="72" t="n">
        <f aca="false">'3 Base Saídas'!H174</f>
        <v>-2.8</v>
      </c>
      <c r="I71" s="72" t="n">
        <v>0</v>
      </c>
      <c r="J71" s="72" t="n">
        <f aca="false">'3 Base Saídas'!R174</f>
        <v>2.8</v>
      </c>
      <c r="K71" s="72" t="n">
        <f aca="false">I71-J71</f>
        <v>-2.8</v>
      </c>
      <c r="L71" s="70" t="s">
        <v>902</v>
      </c>
      <c r="M71" s="70" t="s">
        <v>904</v>
      </c>
      <c r="N71" s="70" t="s">
        <v>905</v>
      </c>
      <c r="O71" s="70" t="s">
        <v>444</v>
      </c>
    </row>
    <row r="72" customFormat="false" ht="15" hidden="false" customHeight="false" outlineLevel="0" collapsed="false">
      <c r="A72" s="71" t="n">
        <v>46276</v>
      </c>
      <c r="B72" s="70" t="str">
        <f aca="false">'3 Base Entrada 2008'!K127</f>
        <v>Entrada</v>
      </c>
      <c r="C72" s="70" t="s">
        <v>227</v>
      </c>
      <c r="D72" s="70" t="s">
        <v>230</v>
      </c>
      <c r="E72" s="70" t="s">
        <v>756</v>
      </c>
      <c r="F72" s="70" t="s">
        <v>188</v>
      </c>
      <c r="G72" s="70" t="s">
        <v>65</v>
      </c>
      <c r="H72" s="72" t="n">
        <f aca="false">'3 Base Entrada 2008'!G127</f>
        <v>-2400</v>
      </c>
      <c r="I72" s="72" t="n">
        <f aca="false">'3 Base Entrada 2008'!L127</f>
        <v>2400</v>
      </c>
      <c r="J72" s="72" t="n">
        <v>0</v>
      </c>
      <c r="K72" s="72" t="n">
        <f aca="false">I72-J72</f>
        <v>2400</v>
      </c>
      <c r="L72" s="70" t="s">
        <v>316</v>
      </c>
      <c r="M72" s="70"/>
      <c r="N72" s="70"/>
      <c r="O72" s="70"/>
    </row>
    <row r="73" customFormat="false" ht="15" hidden="false" customHeight="false" outlineLevel="0" collapsed="false">
      <c r="A73" s="71" t="n">
        <v>46276</v>
      </c>
      <c r="B73" s="70" t="s">
        <v>1732</v>
      </c>
      <c r="C73" s="70" t="s">
        <v>227</v>
      </c>
      <c r="D73" s="70" t="s">
        <v>230</v>
      </c>
      <c r="E73" s="70" t="s">
        <v>756</v>
      </c>
      <c r="F73" s="70" t="s">
        <v>405</v>
      </c>
      <c r="G73" s="70" t="s">
        <v>65</v>
      </c>
      <c r="H73" s="72" t="n">
        <f aca="false">'3 Base Saídas'!H183</f>
        <v>-2300</v>
      </c>
      <c r="I73" s="72" t="n">
        <v>0</v>
      </c>
      <c r="J73" s="72" t="n">
        <f aca="false">'3 Base Saídas'!R183</f>
        <v>2300</v>
      </c>
      <c r="K73" s="72" t="n">
        <f aca="false">I73-J73</f>
        <v>-2300</v>
      </c>
      <c r="L73" s="70" t="s">
        <v>922</v>
      </c>
      <c r="M73" s="70" t="s">
        <v>751</v>
      </c>
      <c r="N73" s="70" t="s">
        <v>752</v>
      </c>
      <c r="O73" s="70" t="s">
        <v>923</v>
      </c>
    </row>
    <row r="74" customFormat="false" ht="15" hidden="false" customHeight="false" outlineLevel="0" collapsed="false">
      <c r="A74" s="71" t="n">
        <v>46276</v>
      </c>
      <c r="B74" s="70" t="str">
        <f aca="false">'3 Base Entrada 2008'!K132</f>
        <v>Entrada</v>
      </c>
      <c r="C74" s="70" t="s">
        <v>327</v>
      </c>
      <c r="D74" s="70" t="s">
        <v>330</v>
      </c>
      <c r="E74" s="70" t="s">
        <v>926</v>
      </c>
      <c r="F74" s="70" t="s">
        <v>188</v>
      </c>
      <c r="G74" s="70" t="s">
        <v>65</v>
      </c>
      <c r="H74" s="72" t="n">
        <f aca="false">'3 Base Entrada 2008'!G132</f>
        <v>-40</v>
      </c>
      <c r="I74" s="72" t="n">
        <f aca="false">'3 Base Entrada 2008'!L132</f>
        <v>40</v>
      </c>
      <c r="J74" s="72" t="n">
        <v>0</v>
      </c>
      <c r="K74" s="72" t="n">
        <f aca="false">I74-J74</f>
        <v>40</v>
      </c>
      <c r="L74" s="70" t="s">
        <v>316</v>
      </c>
      <c r="M74" s="70"/>
      <c r="N74" s="70"/>
      <c r="O74" s="70"/>
    </row>
    <row r="75" customFormat="false" ht="15" hidden="false" customHeight="false" outlineLevel="0" collapsed="false">
      <c r="A75" s="71" t="n">
        <v>46276</v>
      </c>
      <c r="B75" s="70" t="s">
        <v>1732</v>
      </c>
      <c r="C75" s="70" t="s">
        <v>252</v>
      </c>
      <c r="D75" s="70" t="s">
        <v>253</v>
      </c>
      <c r="E75" s="70" t="s">
        <v>1113</v>
      </c>
      <c r="F75" s="70" t="s">
        <v>405</v>
      </c>
      <c r="G75" s="70" t="s">
        <v>65</v>
      </c>
      <c r="H75" s="72" t="n">
        <f aca="false">'3 Base Saídas'!H265</f>
        <v>-40</v>
      </c>
      <c r="I75" s="72" t="n">
        <v>0</v>
      </c>
      <c r="J75" s="72" t="n">
        <f aca="false">'3 Base Saídas'!R265</f>
        <v>40</v>
      </c>
      <c r="K75" s="72" t="n">
        <f aca="false">I75-J75</f>
        <v>-40</v>
      </c>
      <c r="L75" s="70" t="s">
        <v>1144</v>
      </c>
      <c r="M75" s="70" t="s">
        <v>816</v>
      </c>
      <c r="N75" s="70" t="s">
        <v>817</v>
      </c>
      <c r="O75" s="70" t="s">
        <v>444</v>
      </c>
    </row>
    <row r="76" customFormat="false" ht="15" hidden="false" customHeight="false" outlineLevel="0" collapsed="false">
      <c r="A76" s="71" t="n">
        <v>46276</v>
      </c>
      <c r="B76" s="70" t="s">
        <v>1732</v>
      </c>
      <c r="C76" s="70" t="s">
        <v>276</v>
      </c>
      <c r="D76" s="70" t="s">
        <v>370</v>
      </c>
      <c r="E76" s="70" t="s">
        <v>404</v>
      </c>
      <c r="F76" s="70" t="s">
        <v>416</v>
      </c>
      <c r="G76" s="70" t="s">
        <v>65</v>
      </c>
      <c r="H76" s="72" t="n">
        <f aca="false">'3 Base Saídas'!H352</f>
        <v>-241.2</v>
      </c>
      <c r="I76" s="72" t="n">
        <v>0</v>
      </c>
      <c r="J76" s="72" t="n">
        <f aca="false">'3 Base Saídas'!R352</f>
        <v>241.2</v>
      </c>
      <c r="K76" s="72" t="n">
        <f aca="false">I76-J76</f>
        <v>-241.2</v>
      </c>
      <c r="L76" s="70" t="s">
        <v>1329</v>
      </c>
      <c r="M76" s="70" t="s">
        <v>1331</v>
      </c>
      <c r="N76" s="70" t="s">
        <v>1332</v>
      </c>
      <c r="O76" s="70" t="s">
        <v>417</v>
      </c>
    </row>
    <row r="77" customFormat="false" ht="15" hidden="false" customHeight="false" outlineLevel="0" collapsed="false">
      <c r="A77" s="71" t="n">
        <v>46276</v>
      </c>
      <c r="B77" s="70" t="s">
        <v>1732</v>
      </c>
      <c r="C77" s="70" t="s">
        <v>276</v>
      </c>
      <c r="D77" s="70" t="s">
        <v>370</v>
      </c>
      <c r="E77" s="70" t="s">
        <v>404</v>
      </c>
      <c r="F77" s="70" t="s">
        <v>416</v>
      </c>
      <c r="G77" s="70" t="s">
        <v>65</v>
      </c>
      <c r="H77" s="72" t="n">
        <f aca="false">'3 Base Saídas'!H353</f>
        <v>-241.2</v>
      </c>
      <c r="I77" s="72" t="n">
        <v>0</v>
      </c>
      <c r="J77" s="72" t="n">
        <f aca="false">'3 Base Saídas'!R353</f>
        <v>241.2</v>
      </c>
      <c r="K77" s="72" t="n">
        <f aca="false">I77-J77</f>
        <v>-241.2</v>
      </c>
      <c r="L77" s="70" t="s">
        <v>1329</v>
      </c>
      <c r="M77" s="70" t="s">
        <v>1331</v>
      </c>
      <c r="N77" s="70" t="s">
        <v>1332</v>
      </c>
      <c r="O77" s="70" t="s">
        <v>417</v>
      </c>
    </row>
    <row r="78" customFormat="false" ht="15" hidden="false" customHeight="false" outlineLevel="0" collapsed="false">
      <c r="A78" s="71" t="n">
        <v>46277</v>
      </c>
      <c r="B78" s="70" t="s">
        <v>1732</v>
      </c>
      <c r="C78" s="70" t="s">
        <v>220</v>
      </c>
      <c r="D78" s="70" t="s">
        <v>221</v>
      </c>
      <c r="E78" s="70" t="s">
        <v>404</v>
      </c>
      <c r="F78" s="70" t="s">
        <v>405</v>
      </c>
      <c r="G78" s="70" t="s">
        <v>65</v>
      </c>
      <c r="H78" s="72" t="n">
        <f aca="false">'3 Base Saídas'!H124</f>
        <v>-40.2</v>
      </c>
      <c r="I78" s="72" t="n">
        <v>0</v>
      </c>
      <c r="J78" s="72" t="n">
        <f aca="false">'3 Base Saídas'!R124</f>
        <v>40.2</v>
      </c>
      <c r="K78" s="72" t="n">
        <f aca="false">I78-J78</f>
        <v>-40.2</v>
      </c>
      <c r="L78" s="70" t="s">
        <v>798</v>
      </c>
      <c r="M78" s="70" t="s">
        <v>792</v>
      </c>
      <c r="N78" s="70" t="s">
        <v>793</v>
      </c>
      <c r="O78" s="70" t="s">
        <v>407</v>
      </c>
    </row>
    <row r="79" customFormat="false" ht="15" hidden="false" customHeight="false" outlineLevel="0" collapsed="false">
      <c r="A79" s="71" t="n">
        <v>46277</v>
      </c>
      <c r="B79" s="70" t="s">
        <v>1732</v>
      </c>
      <c r="C79" s="70" t="s">
        <v>220</v>
      </c>
      <c r="D79" s="70" t="s">
        <v>221</v>
      </c>
      <c r="E79" s="70" t="s">
        <v>404</v>
      </c>
      <c r="F79" s="70" t="s">
        <v>405</v>
      </c>
      <c r="G79" s="70" t="s">
        <v>65</v>
      </c>
      <c r="H79" s="72" t="n">
        <f aca="false">'3 Base Saídas'!H125</f>
        <v>-40.2</v>
      </c>
      <c r="I79" s="72" t="n">
        <v>0</v>
      </c>
      <c r="J79" s="72" t="n">
        <f aca="false">'3 Base Saídas'!R125</f>
        <v>40.2</v>
      </c>
      <c r="K79" s="72" t="n">
        <f aca="false">I79-J79</f>
        <v>-40.2</v>
      </c>
      <c r="L79" s="70" t="s">
        <v>800</v>
      </c>
      <c r="M79" s="70" t="s">
        <v>802</v>
      </c>
      <c r="N79" s="70" t="s">
        <v>803</v>
      </c>
      <c r="O79" s="70" t="s">
        <v>407</v>
      </c>
    </row>
    <row r="80" customFormat="false" ht="15" hidden="false" customHeight="false" outlineLevel="0" collapsed="false">
      <c r="A80" s="71" t="n">
        <v>46277</v>
      </c>
      <c r="B80" s="70" t="s">
        <v>1732</v>
      </c>
      <c r="C80" s="70" t="s">
        <v>322</v>
      </c>
      <c r="D80" s="70" t="s">
        <v>323</v>
      </c>
      <c r="E80" s="70" t="s">
        <v>522</v>
      </c>
      <c r="F80" s="70" t="s">
        <v>405</v>
      </c>
      <c r="G80" s="70" t="s">
        <v>65</v>
      </c>
      <c r="H80" s="72" t="n">
        <f aca="false">'3 Base Saídas'!H171</f>
        <v>-8.4</v>
      </c>
      <c r="I80" s="72" t="n">
        <v>0</v>
      </c>
      <c r="J80" s="72" t="n">
        <f aca="false">'3 Base Saídas'!R171</f>
        <v>8.4</v>
      </c>
      <c r="K80" s="72" t="n">
        <f aca="false">I80-J80</f>
        <v>-8.4</v>
      </c>
      <c r="L80" s="70" t="s">
        <v>890</v>
      </c>
      <c r="M80" s="70" t="s">
        <v>892</v>
      </c>
      <c r="N80" s="70" t="s">
        <v>893</v>
      </c>
      <c r="O80" s="70" t="s">
        <v>407</v>
      </c>
    </row>
    <row r="81" customFormat="false" ht="15" hidden="false" customHeight="false" outlineLevel="0" collapsed="false">
      <c r="A81" s="71" t="n">
        <v>46277</v>
      </c>
      <c r="B81" s="70" t="s">
        <v>1732</v>
      </c>
      <c r="C81" s="70" t="s">
        <v>257</v>
      </c>
      <c r="D81" s="70" t="s">
        <v>258</v>
      </c>
      <c r="E81" s="70" t="s">
        <v>1152</v>
      </c>
      <c r="F81" s="70" t="s">
        <v>405</v>
      </c>
      <c r="G81" s="70" t="s">
        <v>65</v>
      </c>
      <c r="H81" s="72" t="n">
        <f aca="false">'3 Base Saídas'!H290</f>
        <v>-6</v>
      </c>
      <c r="I81" s="72" t="n">
        <v>0</v>
      </c>
      <c r="J81" s="72" t="n">
        <f aca="false">'3 Base Saídas'!R290</f>
        <v>6</v>
      </c>
      <c r="K81" s="72" t="n">
        <f aca="false">I81-J81</f>
        <v>-6</v>
      </c>
      <c r="L81" s="70" t="s">
        <v>1201</v>
      </c>
      <c r="M81" s="70" t="s">
        <v>1203</v>
      </c>
      <c r="N81" s="70" t="s">
        <v>1204</v>
      </c>
      <c r="O81" s="70" t="s">
        <v>407</v>
      </c>
    </row>
    <row r="82" customFormat="false" ht="15" hidden="false" customHeight="false" outlineLevel="0" collapsed="false">
      <c r="A82" s="71" t="n">
        <v>46277</v>
      </c>
      <c r="B82" s="70" t="s">
        <v>1732</v>
      </c>
      <c r="C82" s="70" t="s">
        <v>257</v>
      </c>
      <c r="D82" s="70" t="s">
        <v>258</v>
      </c>
      <c r="E82" s="70" t="s">
        <v>1152</v>
      </c>
      <c r="F82" s="70" t="s">
        <v>405</v>
      </c>
      <c r="G82" s="70" t="s">
        <v>65</v>
      </c>
      <c r="H82" s="72" t="n">
        <f aca="false">'3 Base Saídas'!H291</f>
        <v>-18</v>
      </c>
      <c r="I82" s="72" t="n">
        <v>0</v>
      </c>
      <c r="J82" s="72" t="n">
        <f aca="false">'3 Base Saídas'!R291</f>
        <v>18</v>
      </c>
      <c r="K82" s="72" t="n">
        <f aca="false">I82-J82</f>
        <v>-18</v>
      </c>
      <c r="L82" s="70" t="s">
        <v>890</v>
      </c>
      <c r="M82" s="70" t="s">
        <v>892</v>
      </c>
      <c r="N82" s="70" t="s">
        <v>893</v>
      </c>
      <c r="O82" s="70" t="s">
        <v>407</v>
      </c>
    </row>
    <row r="83" customFormat="false" ht="15" hidden="false" customHeight="false" outlineLevel="0" collapsed="false">
      <c r="A83" s="71" t="n">
        <v>46277</v>
      </c>
      <c r="B83" s="70" t="s">
        <v>1732</v>
      </c>
      <c r="C83" s="70" t="s">
        <v>276</v>
      </c>
      <c r="D83" s="70" t="s">
        <v>278</v>
      </c>
      <c r="E83" s="70" t="s">
        <v>404</v>
      </c>
      <c r="F83" s="70" t="s">
        <v>405</v>
      </c>
      <c r="G83" s="70" t="s">
        <v>65</v>
      </c>
      <c r="H83" s="72" t="n">
        <f aca="false">'3 Base Saídas'!H350</f>
        <v>-20.1</v>
      </c>
      <c r="I83" s="72" t="n">
        <v>0</v>
      </c>
      <c r="J83" s="72" t="n">
        <f aca="false">'3 Base Saídas'!R350</f>
        <v>20.1</v>
      </c>
      <c r="K83" s="72" t="n">
        <f aca="false">I83-J83</f>
        <v>-20.1</v>
      </c>
      <c r="L83" s="70" t="s">
        <v>1327</v>
      </c>
      <c r="M83" s="70" t="s">
        <v>1289</v>
      </c>
      <c r="N83" s="70" t="s">
        <v>1290</v>
      </c>
      <c r="O83" s="70" t="s">
        <v>407</v>
      </c>
    </row>
    <row r="84" customFormat="false" ht="15" hidden="false" customHeight="false" outlineLevel="0" collapsed="false">
      <c r="A84" s="71" t="n">
        <v>46277</v>
      </c>
      <c r="B84" s="70" t="s">
        <v>1732</v>
      </c>
      <c r="C84" s="70" t="s">
        <v>276</v>
      </c>
      <c r="D84" s="70" t="s">
        <v>278</v>
      </c>
      <c r="E84" s="70" t="s">
        <v>404</v>
      </c>
      <c r="F84" s="70" t="s">
        <v>405</v>
      </c>
      <c r="G84" s="70" t="s">
        <v>65</v>
      </c>
      <c r="H84" s="72" t="n">
        <f aca="false">'3 Base Saídas'!H351</f>
        <v>-20.1</v>
      </c>
      <c r="I84" s="72" t="n">
        <v>0</v>
      </c>
      <c r="J84" s="72" t="n">
        <f aca="false">'3 Base Saídas'!R351</f>
        <v>20.1</v>
      </c>
      <c r="K84" s="72" t="n">
        <f aca="false">I84-J84</f>
        <v>-20.1</v>
      </c>
      <c r="L84" s="70" t="s">
        <v>798</v>
      </c>
      <c r="M84" s="70" t="s">
        <v>792</v>
      </c>
      <c r="N84" s="70" t="s">
        <v>793</v>
      </c>
      <c r="O84" s="70" t="s">
        <v>407</v>
      </c>
    </row>
    <row r="85" customFormat="false" ht="15" hidden="false" customHeight="false" outlineLevel="0" collapsed="false">
      <c r="A85" s="71" t="n">
        <v>46277</v>
      </c>
      <c r="B85" s="70" t="s">
        <v>1732</v>
      </c>
      <c r="C85" s="70" t="s">
        <v>309</v>
      </c>
      <c r="D85" s="70" t="s">
        <v>395</v>
      </c>
      <c r="E85" s="70" t="s">
        <v>404</v>
      </c>
      <c r="F85" s="70" t="s">
        <v>405</v>
      </c>
      <c r="G85" s="70" t="s">
        <v>65</v>
      </c>
      <c r="H85" s="72" t="n">
        <f aca="false">'3 Base Saídas'!H401</f>
        <v>-20.1</v>
      </c>
      <c r="I85" s="72" t="n">
        <v>0</v>
      </c>
      <c r="J85" s="72" t="n">
        <f aca="false">'3 Base Saídas'!R401</f>
        <v>20.1</v>
      </c>
      <c r="K85" s="72" t="n">
        <f aca="false">I85-J85</f>
        <v>-20.1</v>
      </c>
      <c r="L85" s="70" t="s">
        <v>798</v>
      </c>
      <c r="M85" s="70" t="s">
        <v>792</v>
      </c>
      <c r="N85" s="70" t="s">
        <v>793</v>
      </c>
      <c r="O85" s="70" t="s">
        <v>407</v>
      </c>
    </row>
    <row r="86" customFormat="false" ht="15" hidden="false" customHeight="false" outlineLevel="0" collapsed="false">
      <c r="A86" s="71" t="n">
        <v>46278</v>
      </c>
      <c r="B86" s="70" t="s">
        <v>1732</v>
      </c>
      <c r="C86" s="70" t="s">
        <v>201</v>
      </c>
      <c r="D86" s="70" t="s">
        <v>202</v>
      </c>
      <c r="E86" s="70" t="s">
        <v>522</v>
      </c>
      <c r="F86" s="70" t="s">
        <v>405</v>
      </c>
      <c r="G86" s="70" t="s">
        <v>65</v>
      </c>
      <c r="H86" s="72" t="n">
        <f aca="false">'3 Base Saídas'!H76</f>
        <v>-8.4</v>
      </c>
      <c r="I86" s="72" t="n">
        <v>0</v>
      </c>
      <c r="J86" s="72" t="n">
        <f aca="false">'3 Base Saídas'!R76</f>
        <v>8.4</v>
      </c>
      <c r="K86" s="72" t="n">
        <f aca="false">I86-J86</f>
        <v>-8.4</v>
      </c>
      <c r="L86" s="70" t="s">
        <v>683</v>
      </c>
      <c r="M86" s="70" t="s">
        <v>569</v>
      </c>
      <c r="N86" s="70" t="s">
        <v>570</v>
      </c>
      <c r="O86" s="70" t="s">
        <v>481</v>
      </c>
    </row>
    <row r="87" customFormat="false" ht="15" hidden="false" customHeight="false" outlineLevel="0" collapsed="false">
      <c r="A87" s="71" t="n">
        <v>46278</v>
      </c>
      <c r="B87" s="70" t="s">
        <v>1732</v>
      </c>
      <c r="C87" s="70" t="s">
        <v>201</v>
      </c>
      <c r="D87" s="70" t="s">
        <v>202</v>
      </c>
      <c r="E87" s="70" t="s">
        <v>522</v>
      </c>
      <c r="F87" s="70" t="s">
        <v>405</v>
      </c>
      <c r="G87" s="70" t="s">
        <v>65</v>
      </c>
      <c r="H87" s="72" t="n">
        <f aca="false">'3 Base Saídas'!H77</f>
        <v>-2.8</v>
      </c>
      <c r="I87" s="72" t="n">
        <v>0</v>
      </c>
      <c r="J87" s="72" t="n">
        <f aca="false">'3 Base Saídas'!R77</f>
        <v>2.8</v>
      </c>
      <c r="K87" s="72" t="n">
        <f aca="false">I87-J87</f>
        <v>-2.8</v>
      </c>
      <c r="L87" s="70" t="s">
        <v>685</v>
      </c>
      <c r="M87" s="70" t="s">
        <v>687</v>
      </c>
      <c r="N87" s="70" t="s">
        <v>688</v>
      </c>
      <c r="O87" s="70" t="s">
        <v>481</v>
      </c>
    </row>
    <row r="88" customFormat="false" ht="15" hidden="false" customHeight="false" outlineLevel="0" collapsed="false">
      <c r="A88" s="71" t="n">
        <v>46278</v>
      </c>
      <c r="B88" s="70" t="s">
        <v>1732</v>
      </c>
      <c r="C88" s="70" t="s">
        <v>201</v>
      </c>
      <c r="D88" s="70" t="s">
        <v>202</v>
      </c>
      <c r="E88" s="70" t="s">
        <v>522</v>
      </c>
      <c r="F88" s="70" t="s">
        <v>405</v>
      </c>
      <c r="G88" s="70" t="s">
        <v>65</v>
      </c>
      <c r="H88" s="72" t="n">
        <f aca="false">'3 Base Saídas'!H78</f>
        <v>-11.2</v>
      </c>
      <c r="I88" s="72" t="n">
        <v>0</v>
      </c>
      <c r="J88" s="72" t="n">
        <f aca="false">'3 Base Saídas'!R78</f>
        <v>11.2</v>
      </c>
      <c r="K88" s="72" t="n">
        <f aca="false">I88-J88</f>
        <v>-11.2</v>
      </c>
      <c r="L88" s="70" t="s">
        <v>689</v>
      </c>
      <c r="M88" s="70" t="s">
        <v>557</v>
      </c>
      <c r="N88" s="70" t="s">
        <v>558</v>
      </c>
      <c r="O88" s="70" t="s">
        <v>407</v>
      </c>
    </row>
    <row r="89" customFormat="false" ht="15" hidden="false" customHeight="false" outlineLevel="0" collapsed="false">
      <c r="A89" s="71" t="n">
        <v>46278</v>
      </c>
      <c r="B89" s="70" t="s">
        <v>1732</v>
      </c>
      <c r="C89" s="70" t="s">
        <v>201</v>
      </c>
      <c r="D89" s="70" t="s">
        <v>202</v>
      </c>
      <c r="E89" s="70" t="s">
        <v>522</v>
      </c>
      <c r="F89" s="70" t="s">
        <v>405</v>
      </c>
      <c r="G89" s="70" t="s">
        <v>65</v>
      </c>
      <c r="H89" s="72" t="n">
        <f aca="false">'3 Base Saídas'!H79</f>
        <v>-14</v>
      </c>
      <c r="I89" s="72" t="n">
        <v>0</v>
      </c>
      <c r="J89" s="72" t="n">
        <f aca="false">'3 Base Saídas'!R79</f>
        <v>14</v>
      </c>
      <c r="K89" s="72" t="n">
        <f aca="false">I89-J89</f>
        <v>-14</v>
      </c>
      <c r="L89" s="70" t="s">
        <v>691</v>
      </c>
      <c r="M89" s="70" t="s">
        <v>557</v>
      </c>
      <c r="N89" s="70" t="s">
        <v>558</v>
      </c>
      <c r="O89" s="70" t="s">
        <v>407</v>
      </c>
    </row>
    <row r="90" customFormat="false" ht="15" hidden="false" customHeight="false" outlineLevel="0" collapsed="false">
      <c r="A90" s="71" t="n">
        <v>46278</v>
      </c>
      <c r="B90" s="70" t="s">
        <v>1732</v>
      </c>
      <c r="C90" s="70" t="s">
        <v>322</v>
      </c>
      <c r="D90" s="70" t="s">
        <v>323</v>
      </c>
      <c r="E90" s="70" t="s">
        <v>522</v>
      </c>
      <c r="F90" s="70" t="s">
        <v>405</v>
      </c>
      <c r="G90" s="70" t="s">
        <v>65</v>
      </c>
      <c r="H90" s="72" t="n">
        <f aca="false">'3 Base Saídas'!H167</f>
        <v>-19.6</v>
      </c>
      <c r="I90" s="72" t="n">
        <v>0</v>
      </c>
      <c r="J90" s="72" t="n">
        <f aca="false">'3 Base Saídas'!R167</f>
        <v>19.6</v>
      </c>
      <c r="K90" s="72" t="n">
        <f aca="false">I90-J90</f>
        <v>-19.6</v>
      </c>
      <c r="L90" s="70" t="s">
        <v>691</v>
      </c>
      <c r="M90" s="70" t="s">
        <v>557</v>
      </c>
      <c r="N90" s="70" t="s">
        <v>558</v>
      </c>
      <c r="O90" s="70" t="s">
        <v>407</v>
      </c>
    </row>
    <row r="91" customFormat="false" ht="15" hidden="false" customHeight="false" outlineLevel="0" collapsed="false">
      <c r="A91" s="71" t="n">
        <v>46278</v>
      </c>
      <c r="B91" s="70" t="s">
        <v>1732</v>
      </c>
      <c r="C91" s="70" t="s">
        <v>322</v>
      </c>
      <c r="D91" s="70" t="s">
        <v>323</v>
      </c>
      <c r="E91" s="70" t="s">
        <v>522</v>
      </c>
      <c r="F91" s="70" t="s">
        <v>405</v>
      </c>
      <c r="G91" s="70" t="s">
        <v>65</v>
      </c>
      <c r="H91" s="72" t="n">
        <f aca="false">'3 Base Saídas'!H168</f>
        <v>-28</v>
      </c>
      <c r="I91" s="72" t="n">
        <v>0</v>
      </c>
      <c r="J91" s="72" t="n">
        <f aca="false">'3 Base Saídas'!R168</f>
        <v>28</v>
      </c>
      <c r="K91" s="72" t="n">
        <f aca="false">I91-J91</f>
        <v>-28</v>
      </c>
      <c r="L91" s="70" t="s">
        <v>689</v>
      </c>
      <c r="M91" s="70" t="s">
        <v>557</v>
      </c>
      <c r="N91" s="70" t="s">
        <v>558</v>
      </c>
      <c r="O91" s="70" t="s">
        <v>407</v>
      </c>
    </row>
    <row r="92" customFormat="false" ht="15" hidden="false" customHeight="false" outlineLevel="0" collapsed="false">
      <c r="A92" s="71" t="n">
        <v>46278</v>
      </c>
      <c r="B92" s="70" t="s">
        <v>1732</v>
      </c>
      <c r="C92" s="70" t="s">
        <v>322</v>
      </c>
      <c r="D92" s="70" t="s">
        <v>323</v>
      </c>
      <c r="E92" s="70" t="s">
        <v>522</v>
      </c>
      <c r="F92" s="70" t="s">
        <v>405</v>
      </c>
      <c r="G92" s="70" t="s">
        <v>65</v>
      </c>
      <c r="H92" s="72" t="n">
        <f aca="false">'3 Base Saídas'!H169</f>
        <v>-14</v>
      </c>
      <c r="I92" s="72" t="n">
        <v>0</v>
      </c>
      <c r="J92" s="72" t="n">
        <f aca="false">'3 Base Saídas'!R169</f>
        <v>14</v>
      </c>
      <c r="K92" s="72" t="n">
        <f aca="false">I92-J92</f>
        <v>-14</v>
      </c>
      <c r="L92" s="70" t="s">
        <v>683</v>
      </c>
      <c r="M92" s="70" t="s">
        <v>569</v>
      </c>
      <c r="N92" s="70" t="s">
        <v>570</v>
      </c>
      <c r="O92" s="70" t="s">
        <v>481</v>
      </c>
    </row>
    <row r="93" customFormat="false" ht="15" hidden="false" customHeight="false" outlineLevel="0" collapsed="false">
      <c r="A93" s="71" t="n">
        <v>46278</v>
      </c>
      <c r="B93" s="70" t="s">
        <v>1732</v>
      </c>
      <c r="C93" s="70" t="s">
        <v>322</v>
      </c>
      <c r="D93" s="70" t="s">
        <v>323</v>
      </c>
      <c r="E93" s="70" t="s">
        <v>522</v>
      </c>
      <c r="F93" s="70" t="s">
        <v>405</v>
      </c>
      <c r="G93" s="70" t="s">
        <v>65</v>
      </c>
      <c r="H93" s="72" t="n">
        <f aca="false">'3 Base Saídas'!H170</f>
        <v>-64.4</v>
      </c>
      <c r="I93" s="72" t="n">
        <v>0</v>
      </c>
      <c r="J93" s="72" t="n">
        <f aca="false">'3 Base Saídas'!R170</f>
        <v>64.4</v>
      </c>
      <c r="K93" s="72" t="n">
        <f aca="false">I93-J93</f>
        <v>-64.4</v>
      </c>
      <c r="L93" s="70" t="s">
        <v>888</v>
      </c>
      <c r="M93" s="70" t="s">
        <v>593</v>
      </c>
      <c r="N93" s="70" t="s">
        <v>594</v>
      </c>
      <c r="O93" s="70" t="s">
        <v>407</v>
      </c>
    </row>
    <row r="94" customFormat="false" ht="15" hidden="false" customHeight="false" outlineLevel="0" collapsed="false">
      <c r="A94" s="71" t="n">
        <v>46278</v>
      </c>
      <c r="B94" s="70" t="s">
        <v>1732</v>
      </c>
      <c r="C94" s="70" t="s">
        <v>257</v>
      </c>
      <c r="D94" s="70" t="s">
        <v>258</v>
      </c>
      <c r="E94" s="70" t="s">
        <v>1152</v>
      </c>
      <c r="F94" s="70" t="s">
        <v>405</v>
      </c>
      <c r="G94" s="70" t="s">
        <v>65</v>
      </c>
      <c r="H94" s="72" t="n">
        <f aca="false">'3 Base Saídas'!H288</f>
        <v>-150</v>
      </c>
      <c r="I94" s="72" t="n">
        <v>0</v>
      </c>
      <c r="J94" s="72" t="n">
        <f aca="false">'3 Base Saídas'!R288</f>
        <v>150</v>
      </c>
      <c r="K94" s="72" t="n">
        <f aca="false">I94-J94</f>
        <v>-150</v>
      </c>
      <c r="L94" s="70" t="s">
        <v>1197</v>
      </c>
      <c r="M94" s="70" t="s">
        <v>1199</v>
      </c>
      <c r="N94" s="70" t="s">
        <v>1200</v>
      </c>
      <c r="O94" s="70" t="s">
        <v>407</v>
      </c>
    </row>
    <row r="95" customFormat="false" ht="15" hidden="false" customHeight="false" outlineLevel="0" collapsed="false">
      <c r="A95" s="71" t="n">
        <v>46278</v>
      </c>
      <c r="B95" s="70" t="s">
        <v>1732</v>
      </c>
      <c r="C95" s="70" t="s">
        <v>257</v>
      </c>
      <c r="D95" s="70" t="s">
        <v>258</v>
      </c>
      <c r="E95" s="70" t="s">
        <v>1152</v>
      </c>
      <c r="F95" s="70" t="s">
        <v>405</v>
      </c>
      <c r="G95" s="70" t="s">
        <v>65</v>
      </c>
      <c r="H95" s="72" t="n">
        <f aca="false">'3 Base Saídas'!H289</f>
        <v>-18</v>
      </c>
      <c r="I95" s="72" t="n">
        <v>0</v>
      </c>
      <c r="J95" s="72" t="n">
        <f aca="false">'3 Base Saídas'!R289</f>
        <v>18</v>
      </c>
      <c r="K95" s="72" t="n">
        <f aca="false">I95-J95</f>
        <v>-18</v>
      </c>
      <c r="L95" s="70" t="s">
        <v>683</v>
      </c>
      <c r="M95" s="70" t="s">
        <v>569</v>
      </c>
      <c r="N95" s="70" t="s">
        <v>570</v>
      </c>
      <c r="O95" s="70" t="s">
        <v>481</v>
      </c>
    </row>
    <row r="96" customFormat="false" ht="15" hidden="false" customHeight="false" outlineLevel="0" collapsed="false">
      <c r="A96" s="71" t="n">
        <v>46278</v>
      </c>
      <c r="B96" s="70" t="s">
        <v>1732</v>
      </c>
      <c r="C96" s="70" t="s">
        <v>309</v>
      </c>
      <c r="D96" s="70" t="s">
        <v>395</v>
      </c>
      <c r="E96" s="70" t="s">
        <v>404</v>
      </c>
      <c r="F96" s="70" t="s">
        <v>405</v>
      </c>
      <c r="G96" s="70" t="s">
        <v>65</v>
      </c>
      <c r="H96" s="72" t="n">
        <f aca="false">'3 Base Saídas'!H398</f>
        <v>-40.2</v>
      </c>
      <c r="I96" s="72" t="n">
        <v>0</v>
      </c>
      <c r="J96" s="72" t="n">
        <f aca="false">'3 Base Saídas'!R398</f>
        <v>40.2</v>
      </c>
      <c r="K96" s="72" t="n">
        <f aca="false">I96-J96</f>
        <v>-40.2</v>
      </c>
      <c r="L96" s="70" t="s">
        <v>1435</v>
      </c>
      <c r="M96" s="70" t="s">
        <v>707</v>
      </c>
      <c r="N96" s="70" t="s">
        <v>708</v>
      </c>
      <c r="O96" s="70" t="s">
        <v>481</v>
      </c>
    </row>
    <row r="97" customFormat="false" ht="15" hidden="false" customHeight="false" outlineLevel="0" collapsed="false">
      <c r="A97" s="71" t="n">
        <v>46278</v>
      </c>
      <c r="B97" s="70" t="s">
        <v>1732</v>
      </c>
      <c r="C97" s="70" t="s">
        <v>309</v>
      </c>
      <c r="D97" s="70" t="s">
        <v>395</v>
      </c>
      <c r="E97" s="70" t="s">
        <v>404</v>
      </c>
      <c r="F97" s="70" t="s">
        <v>405</v>
      </c>
      <c r="G97" s="70" t="s">
        <v>65</v>
      </c>
      <c r="H97" s="72" t="n">
        <f aca="false">'3 Base Saídas'!H399</f>
        <v>-20.1</v>
      </c>
      <c r="I97" s="72" t="n">
        <v>0</v>
      </c>
      <c r="J97" s="72" t="n">
        <f aca="false">'3 Base Saídas'!R399</f>
        <v>20.1</v>
      </c>
      <c r="K97" s="72" t="n">
        <f aca="false">I97-J97</f>
        <v>-20.1</v>
      </c>
      <c r="L97" s="70" t="s">
        <v>1437</v>
      </c>
      <c r="M97" s="70" t="s">
        <v>454</v>
      </c>
      <c r="N97" s="70" t="s">
        <v>455</v>
      </c>
      <c r="O97" s="70" t="s">
        <v>481</v>
      </c>
    </row>
    <row r="98" customFormat="false" ht="15" hidden="false" customHeight="false" outlineLevel="0" collapsed="false">
      <c r="A98" s="71" t="n">
        <v>46278</v>
      </c>
      <c r="B98" s="70" t="s">
        <v>1732</v>
      </c>
      <c r="C98" s="70" t="s">
        <v>309</v>
      </c>
      <c r="D98" s="70" t="s">
        <v>395</v>
      </c>
      <c r="E98" s="70" t="s">
        <v>404</v>
      </c>
      <c r="F98" s="70" t="s">
        <v>405</v>
      </c>
      <c r="G98" s="70" t="s">
        <v>65</v>
      </c>
      <c r="H98" s="72" t="n">
        <f aca="false">'3 Base Saídas'!H400</f>
        <v>-20.1</v>
      </c>
      <c r="I98" s="72" t="n">
        <v>0</v>
      </c>
      <c r="J98" s="72" t="n">
        <f aca="false">'3 Base Saídas'!R400</f>
        <v>20.1</v>
      </c>
      <c r="K98" s="72" t="n">
        <f aca="false">I98-J98</f>
        <v>-20.1</v>
      </c>
      <c r="L98" s="70" t="s">
        <v>1439</v>
      </c>
      <c r="M98" s="70" t="s">
        <v>1441</v>
      </c>
      <c r="N98" s="70" t="s">
        <v>1442</v>
      </c>
      <c r="O98" s="70" t="s">
        <v>481</v>
      </c>
    </row>
    <row r="99" customFormat="false" ht="15" hidden="false" customHeight="false" outlineLevel="0" collapsed="false">
      <c r="A99" s="71" t="n">
        <v>46279</v>
      </c>
      <c r="B99" s="70" t="s">
        <v>1732</v>
      </c>
      <c r="C99" s="70" t="s">
        <v>201</v>
      </c>
      <c r="D99" s="70" t="s">
        <v>202</v>
      </c>
      <c r="E99" s="70" t="s">
        <v>522</v>
      </c>
      <c r="F99" s="70" t="s">
        <v>405</v>
      </c>
      <c r="G99" s="70" t="s">
        <v>65</v>
      </c>
      <c r="H99" s="72" t="n">
        <f aca="false">'3 Base Saídas'!H74</f>
        <v>-2.8</v>
      </c>
      <c r="I99" s="72" t="n">
        <v>0</v>
      </c>
      <c r="J99" s="72" t="n">
        <f aca="false">'3 Base Saídas'!R74</f>
        <v>2.8</v>
      </c>
      <c r="K99" s="72" t="n">
        <f aca="false">I99-J99</f>
        <v>-2.8</v>
      </c>
      <c r="L99" s="70" t="s">
        <v>677</v>
      </c>
      <c r="M99" s="70" t="s">
        <v>679</v>
      </c>
      <c r="N99" s="70" t="s">
        <v>680</v>
      </c>
      <c r="O99" s="70" t="s">
        <v>431</v>
      </c>
    </row>
    <row r="100" customFormat="false" ht="15" hidden="false" customHeight="false" outlineLevel="0" collapsed="false">
      <c r="A100" s="71" t="n">
        <v>46279</v>
      </c>
      <c r="B100" s="70" t="s">
        <v>1732</v>
      </c>
      <c r="C100" s="70" t="s">
        <v>201</v>
      </c>
      <c r="D100" s="70" t="s">
        <v>202</v>
      </c>
      <c r="E100" s="70" t="s">
        <v>522</v>
      </c>
      <c r="F100" s="70" t="s">
        <v>405</v>
      </c>
      <c r="G100" s="70" t="s">
        <v>65</v>
      </c>
      <c r="H100" s="72" t="n">
        <f aca="false">'3 Base Saídas'!H75</f>
        <v>-2.8</v>
      </c>
      <c r="I100" s="72" t="n">
        <v>0</v>
      </c>
      <c r="J100" s="72" t="n">
        <f aca="false">'3 Base Saídas'!R75</f>
        <v>2.8</v>
      </c>
      <c r="K100" s="72" t="n">
        <f aca="false">I100-J100</f>
        <v>-2.8</v>
      </c>
      <c r="L100" s="70" t="s">
        <v>681</v>
      </c>
      <c r="M100" s="70" t="s">
        <v>437</v>
      </c>
      <c r="N100" s="70" t="s">
        <v>438</v>
      </c>
      <c r="O100" s="70" t="s">
        <v>444</v>
      </c>
    </row>
    <row r="101" customFormat="false" ht="15" hidden="false" customHeight="false" outlineLevel="0" collapsed="false">
      <c r="A101" s="71" t="n">
        <v>46279</v>
      </c>
      <c r="B101" s="70" t="s">
        <v>1732</v>
      </c>
      <c r="C101" s="70" t="s">
        <v>322</v>
      </c>
      <c r="D101" s="70" t="s">
        <v>323</v>
      </c>
      <c r="E101" s="70" t="s">
        <v>522</v>
      </c>
      <c r="F101" s="70" t="s">
        <v>405</v>
      </c>
      <c r="G101" s="70" t="s">
        <v>65</v>
      </c>
      <c r="H101" s="72" t="n">
        <f aca="false">'3 Base Saídas'!H164</f>
        <v>-2.8</v>
      </c>
      <c r="I101" s="72" t="n">
        <v>0</v>
      </c>
      <c r="J101" s="72" t="n">
        <f aca="false">'3 Base Saídas'!R164</f>
        <v>2.8</v>
      </c>
      <c r="K101" s="72" t="n">
        <f aca="false">I101-J101</f>
        <v>-2.8</v>
      </c>
      <c r="L101" s="70" t="s">
        <v>677</v>
      </c>
      <c r="M101" s="70" t="s">
        <v>679</v>
      </c>
      <c r="N101" s="70" t="s">
        <v>680</v>
      </c>
      <c r="O101" s="70" t="s">
        <v>431</v>
      </c>
    </row>
    <row r="102" customFormat="false" ht="15" hidden="false" customHeight="false" outlineLevel="0" collapsed="false">
      <c r="A102" s="71" t="n">
        <v>46279</v>
      </c>
      <c r="B102" s="70" t="s">
        <v>1732</v>
      </c>
      <c r="C102" s="70" t="s">
        <v>322</v>
      </c>
      <c r="D102" s="70" t="s">
        <v>323</v>
      </c>
      <c r="E102" s="70" t="s">
        <v>522</v>
      </c>
      <c r="F102" s="70" t="s">
        <v>405</v>
      </c>
      <c r="G102" s="70" t="s">
        <v>65</v>
      </c>
      <c r="H102" s="72" t="n">
        <f aca="false">'3 Base Saídas'!H165</f>
        <v>-2.8</v>
      </c>
      <c r="I102" s="72" t="n">
        <v>0</v>
      </c>
      <c r="J102" s="72" t="n">
        <f aca="false">'3 Base Saídas'!R165</f>
        <v>2.8</v>
      </c>
      <c r="K102" s="72" t="n">
        <f aca="false">I102-J102</f>
        <v>-2.8</v>
      </c>
      <c r="L102" s="70" t="s">
        <v>880</v>
      </c>
      <c r="M102" s="70" t="s">
        <v>882</v>
      </c>
      <c r="N102" s="70" t="s">
        <v>883</v>
      </c>
      <c r="O102" s="70" t="s">
        <v>431</v>
      </c>
    </row>
    <row r="103" customFormat="false" ht="15" hidden="false" customHeight="false" outlineLevel="0" collapsed="false">
      <c r="A103" s="71" t="n">
        <v>46279</v>
      </c>
      <c r="B103" s="70" t="s">
        <v>1732</v>
      </c>
      <c r="C103" s="70" t="s">
        <v>322</v>
      </c>
      <c r="D103" s="70" t="s">
        <v>323</v>
      </c>
      <c r="E103" s="70" t="s">
        <v>522</v>
      </c>
      <c r="F103" s="70" t="s">
        <v>405</v>
      </c>
      <c r="G103" s="70" t="s">
        <v>65</v>
      </c>
      <c r="H103" s="72" t="n">
        <f aca="false">'3 Base Saídas'!H166</f>
        <v>-5.6</v>
      </c>
      <c r="I103" s="72" t="n">
        <v>0</v>
      </c>
      <c r="J103" s="72" t="n">
        <f aca="false">'3 Base Saídas'!R166</f>
        <v>5.6</v>
      </c>
      <c r="K103" s="72" t="n">
        <f aca="false">I103-J103</f>
        <v>-5.6</v>
      </c>
      <c r="L103" s="70" t="s">
        <v>884</v>
      </c>
      <c r="M103" s="70" t="s">
        <v>886</v>
      </c>
      <c r="N103" s="70" t="s">
        <v>887</v>
      </c>
      <c r="O103" s="70" t="s">
        <v>431</v>
      </c>
    </row>
    <row r="104" customFormat="false" ht="15" hidden="false" customHeight="false" outlineLevel="0" collapsed="false">
      <c r="A104" s="71" t="n">
        <v>46279</v>
      </c>
      <c r="B104" s="70" t="s">
        <v>1732</v>
      </c>
      <c r="C104" s="70" t="s">
        <v>245</v>
      </c>
      <c r="D104" s="70" t="s">
        <v>246</v>
      </c>
      <c r="E104" s="70" t="s">
        <v>1063</v>
      </c>
      <c r="F104" s="70" t="s">
        <v>405</v>
      </c>
      <c r="G104" s="70" t="s">
        <v>65</v>
      </c>
      <c r="H104" s="72" t="n">
        <f aca="false">'3 Base Saídas'!H235</f>
        <v>-6</v>
      </c>
      <c r="I104" s="72" t="n">
        <v>0</v>
      </c>
      <c r="J104" s="72" t="n">
        <f aca="false">'3 Base Saídas'!R235</f>
        <v>6</v>
      </c>
      <c r="K104" s="72" t="n">
        <f aca="false">I104-J104</f>
        <v>-6</v>
      </c>
      <c r="L104" s="70" t="s">
        <v>1062</v>
      </c>
      <c r="M104" s="70" t="s">
        <v>1065</v>
      </c>
      <c r="N104" s="70" t="s">
        <v>1066</v>
      </c>
      <c r="O104" s="70" t="s">
        <v>431</v>
      </c>
    </row>
    <row r="105" customFormat="false" ht="15" hidden="false" customHeight="false" outlineLevel="0" collapsed="false">
      <c r="A105" s="71" t="n">
        <v>46279</v>
      </c>
      <c r="B105" s="70" t="s">
        <v>1732</v>
      </c>
      <c r="C105" s="70" t="s">
        <v>252</v>
      </c>
      <c r="D105" s="70" t="s">
        <v>253</v>
      </c>
      <c r="E105" s="70" t="s">
        <v>1113</v>
      </c>
      <c r="F105" s="70" t="s">
        <v>405</v>
      </c>
      <c r="G105" s="70" t="s">
        <v>65</v>
      </c>
      <c r="H105" s="72" t="n">
        <f aca="false">'3 Base Saídas'!H262</f>
        <v>-40</v>
      </c>
      <c r="I105" s="72" t="n">
        <v>0</v>
      </c>
      <c r="J105" s="72" t="n">
        <f aca="false">'3 Base Saídas'!R262</f>
        <v>40</v>
      </c>
      <c r="K105" s="72" t="n">
        <f aca="false">I105-J105</f>
        <v>-40</v>
      </c>
      <c r="L105" s="70" t="s">
        <v>1137</v>
      </c>
      <c r="M105" s="70" t="s">
        <v>487</v>
      </c>
      <c r="N105" s="70" t="s">
        <v>488</v>
      </c>
      <c r="O105" s="70" t="s">
        <v>1138</v>
      </c>
    </row>
    <row r="106" customFormat="false" ht="15" hidden="false" customHeight="false" outlineLevel="0" collapsed="false">
      <c r="A106" s="71" t="n">
        <v>46279</v>
      </c>
      <c r="B106" s="70" t="s">
        <v>1732</v>
      </c>
      <c r="C106" s="70" t="s">
        <v>252</v>
      </c>
      <c r="D106" s="70" t="s">
        <v>253</v>
      </c>
      <c r="E106" s="70" t="s">
        <v>1113</v>
      </c>
      <c r="F106" s="70" t="s">
        <v>405</v>
      </c>
      <c r="G106" s="70" t="s">
        <v>65</v>
      </c>
      <c r="H106" s="72" t="n">
        <f aca="false">'3 Base Saídas'!H263</f>
        <v>-4</v>
      </c>
      <c r="I106" s="72" t="n">
        <v>0</v>
      </c>
      <c r="J106" s="72" t="n">
        <f aca="false">'3 Base Saídas'!R263</f>
        <v>4</v>
      </c>
      <c r="K106" s="72" t="n">
        <f aca="false">I106-J106</f>
        <v>-4</v>
      </c>
      <c r="L106" s="70" t="s">
        <v>677</v>
      </c>
      <c r="M106" s="70" t="s">
        <v>679</v>
      </c>
      <c r="N106" s="70" t="s">
        <v>680</v>
      </c>
      <c r="O106" s="70" t="s">
        <v>431</v>
      </c>
    </row>
    <row r="107" customFormat="false" ht="15" hidden="false" customHeight="false" outlineLevel="0" collapsed="false">
      <c r="A107" s="71" t="n">
        <v>46279</v>
      </c>
      <c r="B107" s="70" t="s">
        <v>1732</v>
      </c>
      <c r="C107" s="70" t="s">
        <v>252</v>
      </c>
      <c r="D107" s="70" t="s">
        <v>253</v>
      </c>
      <c r="E107" s="70" t="s">
        <v>1113</v>
      </c>
      <c r="F107" s="70" t="s">
        <v>405</v>
      </c>
      <c r="G107" s="70" t="s">
        <v>65</v>
      </c>
      <c r="H107" s="72" t="n">
        <f aca="false">'3 Base Saídas'!H264</f>
        <v>-8</v>
      </c>
      <c r="I107" s="72" t="n">
        <v>0</v>
      </c>
      <c r="J107" s="72" t="n">
        <f aca="false">'3 Base Saídas'!R264</f>
        <v>8</v>
      </c>
      <c r="K107" s="72" t="n">
        <f aca="false">I107-J107</f>
        <v>-8</v>
      </c>
      <c r="L107" s="70" t="s">
        <v>1140</v>
      </c>
      <c r="M107" s="70" t="s">
        <v>1142</v>
      </c>
      <c r="N107" s="70" t="s">
        <v>1143</v>
      </c>
      <c r="O107" s="70" t="s">
        <v>407</v>
      </c>
    </row>
    <row r="108" customFormat="false" ht="15" hidden="false" customHeight="false" outlineLevel="0" collapsed="false">
      <c r="A108" s="71" t="n">
        <v>46279</v>
      </c>
      <c r="B108" s="70" t="s">
        <v>1732</v>
      </c>
      <c r="C108" s="70" t="s">
        <v>257</v>
      </c>
      <c r="D108" s="70" t="s">
        <v>258</v>
      </c>
      <c r="E108" s="70" t="s">
        <v>1152</v>
      </c>
      <c r="F108" s="70" t="s">
        <v>405</v>
      </c>
      <c r="G108" s="70" t="s">
        <v>65</v>
      </c>
      <c r="H108" s="72" t="n">
        <f aca="false">'3 Base Saídas'!H286</f>
        <v>-12</v>
      </c>
      <c r="I108" s="72" t="n">
        <v>0</v>
      </c>
      <c r="J108" s="72" t="n">
        <f aca="false">'3 Base Saídas'!R286</f>
        <v>12</v>
      </c>
      <c r="K108" s="72" t="n">
        <f aca="false">I108-J108</f>
        <v>-12</v>
      </c>
      <c r="L108" s="70" t="s">
        <v>677</v>
      </c>
      <c r="M108" s="70" t="s">
        <v>679</v>
      </c>
      <c r="N108" s="70" t="s">
        <v>680</v>
      </c>
      <c r="O108" s="70" t="s">
        <v>431</v>
      </c>
    </row>
    <row r="109" customFormat="false" ht="15" hidden="false" customHeight="false" outlineLevel="0" collapsed="false">
      <c r="A109" s="71" t="n">
        <v>46279</v>
      </c>
      <c r="B109" s="70" t="s">
        <v>1732</v>
      </c>
      <c r="C109" s="70" t="s">
        <v>257</v>
      </c>
      <c r="D109" s="70" t="s">
        <v>258</v>
      </c>
      <c r="E109" s="70" t="s">
        <v>1152</v>
      </c>
      <c r="F109" s="70" t="s">
        <v>405</v>
      </c>
      <c r="G109" s="70" t="s">
        <v>65</v>
      </c>
      <c r="H109" s="72" t="n">
        <f aca="false">'3 Base Saídas'!H287</f>
        <v>-30</v>
      </c>
      <c r="I109" s="72" t="n">
        <v>0</v>
      </c>
      <c r="J109" s="72" t="n">
        <f aca="false">'3 Base Saídas'!R287</f>
        <v>30</v>
      </c>
      <c r="K109" s="72" t="n">
        <f aca="false">I109-J109</f>
        <v>-30</v>
      </c>
      <c r="L109" s="70" t="s">
        <v>1195</v>
      </c>
      <c r="M109" s="70" t="s">
        <v>487</v>
      </c>
      <c r="N109" s="70" t="s">
        <v>488</v>
      </c>
      <c r="O109" s="70" t="s">
        <v>1138</v>
      </c>
    </row>
    <row r="110" customFormat="false" ht="15" hidden="false" customHeight="false" outlineLevel="0" collapsed="false">
      <c r="A110" s="71" t="n">
        <v>46279</v>
      </c>
      <c r="B110" s="70" t="s">
        <v>1732</v>
      </c>
      <c r="C110" s="70" t="s">
        <v>269</v>
      </c>
      <c r="D110" s="70" t="s">
        <v>270</v>
      </c>
      <c r="E110" s="70" t="s">
        <v>1206</v>
      </c>
      <c r="F110" s="70" t="s">
        <v>405</v>
      </c>
      <c r="G110" s="70" t="s">
        <v>65</v>
      </c>
      <c r="H110" s="72" t="n">
        <f aca="false">'3 Base Saídas'!H301</f>
        <v>-6</v>
      </c>
      <c r="I110" s="72" t="n">
        <v>0</v>
      </c>
      <c r="J110" s="72" t="n">
        <f aca="false">'3 Base Saídas'!R301</f>
        <v>6</v>
      </c>
      <c r="K110" s="72" t="n">
        <f aca="false">I110-J110</f>
        <v>-6</v>
      </c>
      <c r="L110" s="70" t="s">
        <v>1220</v>
      </c>
      <c r="M110" s="70" t="s">
        <v>1222</v>
      </c>
      <c r="N110" s="70" t="s">
        <v>1223</v>
      </c>
      <c r="O110" s="70" t="s">
        <v>431</v>
      </c>
    </row>
    <row r="111" customFormat="false" ht="15" hidden="false" customHeight="false" outlineLevel="0" collapsed="false">
      <c r="A111" s="71" t="n">
        <v>46279</v>
      </c>
      <c r="B111" s="70" t="s">
        <v>1732</v>
      </c>
      <c r="C111" s="70" t="s">
        <v>309</v>
      </c>
      <c r="D111" s="70" t="s">
        <v>395</v>
      </c>
      <c r="E111" s="70" t="s">
        <v>404</v>
      </c>
      <c r="F111" s="70" t="s">
        <v>405</v>
      </c>
      <c r="G111" s="70" t="s">
        <v>65</v>
      </c>
      <c r="H111" s="72" t="n">
        <f aca="false">'3 Base Saídas'!H397</f>
        <v>-40.2</v>
      </c>
      <c r="I111" s="72" t="n">
        <v>0</v>
      </c>
      <c r="J111" s="72" t="n">
        <f aca="false">'3 Base Saídas'!R397</f>
        <v>40.2</v>
      </c>
      <c r="K111" s="72" t="n">
        <f aca="false">I111-J111</f>
        <v>-40.2</v>
      </c>
      <c r="L111" s="70" t="s">
        <v>1433</v>
      </c>
      <c r="M111" s="70" t="s">
        <v>423</v>
      </c>
      <c r="N111" s="70" t="s">
        <v>424</v>
      </c>
      <c r="O111" s="70" t="s">
        <v>1138</v>
      </c>
    </row>
    <row r="112" customFormat="false" ht="15" hidden="false" customHeight="false" outlineLevel="0" collapsed="false">
      <c r="A112" s="71" t="n">
        <v>46280</v>
      </c>
      <c r="B112" s="70" t="s">
        <v>1732</v>
      </c>
      <c r="C112" s="70" t="s">
        <v>192</v>
      </c>
      <c r="D112" s="70" t="s">
        <v>193</v>
      </c>
      <c r="E112" s="70" t="s">
        <v>404</v>
      </c>
      <c r="F112" s="70" t="s">
        <v>416</v>
      </c>
      <c r="G112" s="70" t="s">
        <v>65</v>
      </c>
      <c r="H112" s="72" t="n">
        <f aca="false">'3 Base Saídas'!H26</f>
        <v>-20.1</v>
      </c>
      <c r="I112" s="72" t="n">
        <v>0</v>
      </c>
      <c r="J112" s="72" t="n">
        <f aca="false">'3 Base Saídas'!R26</f>
        <v>20.1</v>
      </c>
      <c r="K112" s="72" t="n">
        <f aca="false">I112-J112</f>
        <v>-20.1</v>
      </c>
      <c r="L112" s="70" t="s">
        <v>505</v>
      </c>
      <c r="M112" s="70" t="s">
        <v>507</v>
      </c>
      <c r="N112" s="70" t="s">
        <v>508</v>
      </c>
      <c r="O112" s="70" t="s">
        <v>426</v>
      </c>
    </row>
    <row r="113" customFormat="false" ht="15" hidden="false" customHeight="false" outlineLevel="0" collapsed="false">
      <c r="A113" s="71" t="n">
        <v>46280</v>
      </c>
      <c r="B113" s="70" t="s">
        <v>1732</v>
      </c>
      <c r="C113" s="70" t="s">
        <v>192</v>
      </c>
      <c r="D113" s="70" t="s">
        <v>193</v>
      </c>
      <c r="E113" s="70" t="s">
        <v>404</v>
      </c>
      <c r="F113" s="70" t="s">
        <v>416</v>
      </c>
      <c r="G113" s="70" t="s">
        <v>65</v>
      </c>
      <c r="H113" s="72" t="n">
        <f aca="false">'3 Base Saídas'!H27</f>
        <v>-40.2</v>
      </c>
      <c r="I113" s="72" t="n">
        <v>0</v>
      </c>
      <c r="J113" s="72" t="n">
        <f aca="false">'3 Base Saídas'!R27</f>
        <v>40.2</v>
      </c>
      <c r="K113" s="72" t="n">
        <f aca="false">I113-J113</f>
        <v>-40.2</v>
      </c>
      <c r="L113" s="70" t="s">
        <v>509</v>
      </c>
      <c r="M113" s="70" t="s">
        <v>511</v>
      </c>
      <c r="N113" s="70" t="s">
        <v>512</v>
      </c>
      <c r="O113" s="70" t="s">
        <v>426</v>
      </c>
    </row>
    <row r="114" customFormat="false" ht="15" hidden="false" customHeight="false" outlineLevel="0" collapsed="false">
      <c r="A114" s="71" t="n">
        <v>46280</v>
      </c>
      <c r="B114" s="70" t="s">
        <v>1732</v>
      </c>
      <c r="C114" s="70" t="s">
        <v>192</v>
      </c>
      <c r="D114" s="70" t="s">
        <v>193</v>
      </c>
      <c r="E114" s="70" t="s">
        <v>404</v>
      </c>
      <c r="F114" s="70" t="s">
        <v>416</v>
      </c>
      <c r="G114" s="70" t="s">
        <v>65</v>
      </c>
      <c r="H114" s="72" t="n">
        <f aca="false">'3 Base Saídas'!H28</f>
        <v>-20.1</v>
      </c>
      <c r="I114" s="72" t="n">
        <v>0</v>
      </c>
      <c r="J114" s="72" t="n">
        <f aca="false">'3 Base Saídas'!R28</f>
        <v>20.1</v>
      </c>
      <c r="K114" s="72" t="n">
        <f aca="false">I114-J114</f>
        <v>-20.1</v>
      </c>
      <c r="L114" s="70" t="s">
        <v>513</v>
      </c>
      <c r="M114" s="70" t="s">
        <v>428</v>
      </c>
      <c r="N114" s="70" t="s">
        <v>429</v>
      </c>
      <c r="O114" s="70" t="s">
        <v>426</v>
      </c>
    </row>
    <row r="115" customFormat="false" ht="15" hidden="false" customHeight="false" outlineLevel="0" collapsed="false">
      <c r="A115" s="71" t="n">
        <v>46280</v>
      </c>
      <c r="B115" s="70" t="s">
        <v>1732</v>
      </c>
      <c r="C115" s="70" t="s">
        <v>201</v>
      </c>
      <c r="D115" s="70" t="s">
        <v>202</v>
      </c>
      <c r="E115" s="70" t="s">
        <v>522</v>
      </c>
      <c r="F115" s="70" t="s">
        <v>405</v>
      </c>
      <c r="G115" s="70" t="s">
        <v>65</v>
      </c>
      <c r="H115" s="72" t="n">
        <f aca="false">'3 Base Saídas'!H73</f>
        <v>-2.8</v>
      </c>
      <c r="I115" s="72" t="n">
        <v>0</v>
      </c>
      <c r="J115" s="72" t="n">
        <f aca="false">'3 Base Saídas'!R73</f>
        <v>2.8</v>
      </c>
      <c r="K115" s="72" t="n">
        <f aca="false">I115-J115</f>
        <v>-2.8</v>
      </c>
      <c r="L115" s="70" t="s">
        <v>673</v>
      </c>
      <c r="M115" s="70" t="s">
        <v>675</v>
      </c>
      <c r="N115" s="70" t="s">
        <v>676</v>
      </c>
      <c r="O115" s="70" t="s">
        <v>431</v>
      </c>
    </row>
    <row r="116" customFormat="false" ht="15" hidden="false" customHeight="false" outlineLevel="0" collapsed="false">
      <c r="A116" s="71" t="n">
        <v>46280</v>
      </c>
      <c r="B116" s="70" t="s">
        <v>1732</v>
      </c>
      <c r="C116" s="70" t="s">
        <v>232</v>
      </c>
      <c r="D116" s="70" t="s">
        <v>241</v>
      </c>
      <c r="E116" s="70" t="s">
        <v>939</v>
      </c>
      <c r="F116" s="70" t="s">
        <v>416</v>
      </c>
      <c r="G116" s="70" t="s">
        <v>146</v>
      </c>
      <c r="H116" s="72" t="n">
        <f aca="false">'3 Base Saídas'!H229</f>
        <v>-15</v>
      </c>
      <c r="I116" s="72" t="n">
        <v>0</v>
      </c>
      <c r="J116" s="72" t="n">
        <f aca="false">'3 Base Saídas'!R229</f>
        <v>15</v>
      </c>
      <c r="K116" s="72" t="n">
        <f aca="false">I116-J116</f>
        <v>-15</v>
      </c>
      <c r="L116" s="70" t="s">
        <v>513</v>
      </c>
      <c r="M116" s="70" t="s">
        <v>428</v>
      </c>
      <c r="N116" s="70" t="s">
        <v>429</v>
      </c>
      <c r="O116" s="70" t="s">
        <v>426</v>
      </c>
    </row>
    <row r="117" customFormat="false" ht="15" hidden="false" customHeight="false" outlineLevel="0" collapsed="false">
      <c r="A117" s="71" t="n">
        <v>46280</v>
      </c>
      <c r="B117" s="70" t="s">
        <v>1732</v>
      </c>
      <c r="C117" s="70" t="s">
        <v>232</v>
      </c>
      <c r="D117" s="70" t="s">
        <v>241</v>
      </c>
      <c r="E117" s="70" t="s">
        <v>939</v>
      </c>
      <c r="F117" s="70" t="s">
        <v>416</v>
      </c>
      <c r="G117" s="70" t="s">
        <v>146</v>
      </c>
      <c r="H117" s="72" t="n">
        <f aca="false">'3 Base Saídas'!H230</f>
        <v>-15</v>
      </c>
      <c r="I117" s="72" t="n">
        <v>0</v>
      </c>
      <c r="J117" s="72" t="n">
        <f aca="false">'3 Base Saídas'!R230</f>
        <v>15</v>
      </c>
      <c r="K117" s="72" t="n">
        <f aca="false">I117-J117</f>
        <v>-15</v>
      </c>
      <c r="L117" s="70" t="s">
        <v>1047</v>
      </c>
      <c r="M117" s="70" t="s">
        <v>1049</v>
      </c>
      <c r="N117" s="70" t="s">
        <v>1050</v>
      </c>
      <c r="O117" s="70" t="s">
        <v>426</v>
      </c>
    </row>
    <row r="118" customFormat="false" ht="15" hidden="false" customHeight="false" outlineLevel="0" collapsed="false">
      <c r="A118" s="71" t="n">
        <v>46280</v>
      </c>
      <c r="B118" s="70" t="str">
        <f aca="false">'3 Base Entrada 2008'!K143</f>
        <v>Recebido no 2008</v>
      </c>
      <c r="C118" s="70" t="s">
        <v>346</v>
      </c>
      <c r="D118" s="70" t="s">
        <v>347</v>
      </c>
      <c r="E118" s="70"/>
      <c r="F118" s="70" t="s">
        <v>188</v>
      </c>
      <c r="G118" s="70" t="s">
        <v>65</v>
      </c>
      <c r="H118" s="72" t="n">
        <f aca="false">'3 Base Entrada 2008'!G143</f>
        <v>1280</v>
      </c>
      <c r="I118" s="72" t="n">
        <f aca="false">'3 Base Entrada 2008'!L143</f>
        <v>0</v>
      </c>
      <c r="J118" s="72" t="n">
        <v>0</v>
      </c>
      <c r="K118" s="72" t="n">
        <f aca="false">I118-J118</f>
        <v>0</v>
      </c>
      <c r="L118" s="70" t="s">
        <v>345</v>
      </c>
      <c r="M118" s="70"/>
      <c r="N118" s="70"/>
      <c r="O118" s="70"/>
    </row>
    <row r="119" customFormat="false" ht="15" hidden="false" customHeight="false" outlineLevel="0" collapsed="false">
      <c r="A119" s="71" t="n">
        <v>46280</v>
      </c>
      <c r="B119" s="70" t="str">
        <f aca="false">'3 Base Entrada 2008'!K148</f>
        <v>Recebido no 2008</v>
      </c>
      <c r="C119" s="70" t="s">
        <v>351</v>
      </c>
      <c r="D119" s="70" t="s">
        <v>352</v>
      </c>
      <c r="E119" s="70"/>
      <c r="F119" s="70" t="s">
        <v>188</v>
      </c>
      <c r="G119" s="70" t="s">
        <v>65</v>
      </c>
      <c r="H119" s="72" t="n">
        <f aca="false">'3 Base Entrada 2008'!G148</f>
        <v>640</v>
      </c>
      <c r="I119" s="72" t="n">
        <f aca="false">'3 Base Entrada 2008'!L148</f>
        <v>0</v>
      </c>
      <c r="J119" s="72" t="n">
        <v>0</v>
      </c>
      <c r="K119" s="72" t="n">
        <f aca="false">I119-J119</f>
        <v>0</v>
      </c>
      <c r="L119" s="70" t="s">
        <v>345</v>
      </c>
      <c r="M119" s="70"/>
      <c r="N119" s="70"/>
      <c r="O119" s="70"/>
    </row>
    <row r="120" customFormat="false" ht="15" hidden="false" customHeight="false" outlineLevel="0" collapsed="false">
      <c r="A120" s="71" t="n">
        <v>46280</v>
      </c>
      <c r="B120" s="70" t="s">
        <v>1732</v>
      </c>
      <c r="C120" s="70" t="s">
        <v>257</v>
      </c>
      <c r="D120" s="70" t="s">
        <v>258</v>
      </c>
      <c r="E120" s="70" t="s">
        <v>1152</v>
      </c>
      <c r="F120" s="70" t="s">
        <v>416</v>
      </c>
      <c r="G120" s="70" t="s">
        <v>65</v>
      </c>
      <c r="H120" s="72" t="n">
        <f aca="false">'3 Base Saídas'!H284</f>
        <v>-12</v>
      </c>
      <c r="I120" s="72" t="n">
        <v>0</v>
      </c>
      <c r="J120" s="72" t="n">
        <f aca="false">'3 Base Saídas'!R284</f>
        <v>12</v>
      </c>
      <c r="K120" s="72" t="n">
        <f aca="false">I120-J120</f>
        <v>-12</v>
      </c>
      <c r="L120" s="70" t="s">
        <v>1191</v>
      </c>
      <c r="M120" s="70" t="s">
        <v>1193</v>
      </c>
      <c r="N120" s="70" t="s">
        <v>1194</v>
      </c>
      <c r="O120" s="70" t="s">
        <v>426</v>
      </c>
    </row>
    <row r="121" customFormat="false" ht="15" hidden="false" customHeight="false" outlineLevel="0" collapsed="false">
      <c r="A121" s="71" t="n">
        <v>46280</v>
      </c>
      <c r="B121" s="70" t="s">
        <v>1732</v>
      </c>
      <c r="C121" s="70" t="s">
        <v>257</v>
      </c>
      <c r="D121" s="70" t="s">
        <v>258</v>
      </c>
      <c r="E121" s="70" t="s">
        <v>1152</v>
      </c>
      <c r="F121" s="70" t="s">
        <v>416</v>
      </c>
      <c r="G121" s="70" t="s">
        <v>65</v>
      </c>
      <c r="H121" s="72" t="n">
        <f aca="false">'3 Base Saídas'!H285</f>
        <v>-36</v>
      </c>
      <c r="I121" s="72" t="n">
        <v>0</v>
      </c>
      <c r="J121" s="72" t="n">
        <f aca="false">'3 Base Saídas'!R285</f>
        <v>36</v>
      </c>
      <c r="K121" s="72" t="n">
        <f aca="false">I121-J121</f>
        <v>-36</v>
      </c>
      <c r="L121" s="70" t="s">
        <v>1047</v>
      </c>
      <c r="M121" s="70" t="s">
        <v>1049</v>
      </c>
      <c r="N121" s="70" t="s">
        <v>1050</v>
      </c>
      <c r="O121" s="70" t="s">
        <v>426</v>
      </c>
    </row>
    <row r="122" customFormat="false" ht="15" hidden="false" customHeight="false" outlineLevel="0" collapsed="false">
      <c r="A122" s="71" t="n">
        <v>46280</v>
      </c>
      <c r="B122" s="70" t="str">
        <f aca="false">'3 Base Entrada 2008'!K155</f>
        <v>Recebido no 2008</v>
      </c>
      <c r="C122" s="70" t="s">
        <v>358</v>
      </c>
      <c r="D122" s="70" t="s">
        <v>360</v>
      </c>
      <c r="E122" s="70"/>
      <c r="F122" s="70" t="s">
        <v>188</v>
      </c>
      <c r="G122" s="70" t="s">
        <v>65</v>
      </c>
      <c r="H122" s="72" t="n">
        <f aca="false">'3 Base Entrada 2008'!G155</f>
        <v>1300</v>
      </c>
      <c r="I122" s="72" t="n">
        <f aca="false">'3 Base Entrada 2008'!L155</f>
        <v>0</v>
      </c>
      <c r="J122" s="72" t="n">
        <v>0</v>
      </c>
      <c r="K122" s="72" t="n">
        <f aca="false">I122-J122</f>
        <v>0</v>
      </c>
      <c r="L122" s="70" t="s">
        <v>345</v>
      </c>
      <c r="M122" s="70"/>
      <c r="N122" s="70"/>
      <c r="O122" s="70"/>
    </row>
    <row r="123" customFormat="false" ht="15" hidden="false" customHeight="false" outlineLevel="0" collapsed="false">
      <c r="A123" s="71" t="n">
        <v>46280</v>
      </c>
      <c r="B123" s="70" t="str">
        <f aca="false">'3 Base Entrada 2008'!K154</f>
        <v>Recebido no 2008</v>
      </c>
      <c r="C123" s="70" t="s">
        <v>358</v>
      </c>
      <c r="D123" s="70" t="s">
        <v>359</v>
      </c>
      <c r="E123" s="70"/>
      <c r="F123" s="70" t="s">
        <v>188</v>
      </c>
      <c r="G123" s="70" t="s">
        <v>65</v>
      </c>
      <c r="H123" s="72" t="n">
        <f aca="false">'3 Base Entrada 2008'!G154</f>
        <v>2900</v>
      </c>
      <c r="I123" s="72" t="n">
        <f aca="false">'3 Base Entrada 2008'!L154</f>
        <v>0</v>
      </c>
      <c r="J123" s="72" t="n">
        <v>0</v>
      </c>
      <c r="K123" s="72" t="n">
        <f aca="false">I123-J123</f>
        <v>0</v>
      </c>
      <c r="L123" s="70" t="s">
        <v>345</v>
      </c>
      <c r="M123" s="70"/>
      <c r="N123" s="70"/>
      <c r="O123" s="70"/>
    </row>
    <row r="124" customFormat="false" ht="15" hidden="false" customHeight="false" outlineLevel="0" collapsed="false">
      <c r="A124" s="71" t="n">
        <v>46280</v>
      </c>
      <c r="B124" s="70" t="str">
        <f aca="false">'3 Base Entrada 2008'!K158</f>
        <v>Recebido no 2008</v>
      </c>
      <c r="C124" s="70" t="s">
        <v>364</v>
      </c>
      <c r="D124" s="70" t="s">
        <v>365</v>
      </c>
      <c r="E124" s="70"/>
      <c r="F124" s="70" t="s">
        <v>188</v>
      </c>
      <c r="G124" s="70" t="s">
        <v>65</v>
      </c>
      <c r="H124" s="72" t="n">
        <f aca="false">'3 Base Entrada 2008'!G158</f>
        <v>1200</v>
      </c>
      <c r="I124" s="72" t="n">
        <f aca="false">'3 Base Entrada 2008'!L158</f>
        <v>0</v>
      </c>
      <c r="J124" s="72" t="n">
        <v>0</v>
      </c>
      <c r="K124" s="72" t="n">
        <f aca="false">I124-J124</f>
        <v>0</v>
      </c>
      <c r="L124" s="70" t="s">
        <v>345</v>
      </c>
      <c r="M124" s="70"/>
      <c r="N124" s="70"/>
      <c r="O124" s="70"/>
    </row>
    <row r="125" customFormat="false" ht="15" hidden="false" customHeight="false" outlineLevel="0" collapsed="false">
      <c r="A125" s="71" t="n">
        <v>46280</v>
      </c>
      <c r="B125" s="70" t="s">
        <v>1732</v>
      </c>
      <c r="C125" s="70" t="s">
        <v>269</v>
      </c>
      <c r="D125" s="70" t="s">
        <v>270</v>
      </c>
      <c r="E125" s="70" t="s">
        <v>1206</v>
      </c>
      <c r="F125" s="70" t="s">
        <v>416</v>
      </c>
      <c r="G125" s="70" t="s">
        <v>65</v>
      </c>
      <c r="H125" s="72" t="n">
        <f aca="false">'3 Base Saídas'!H300</f>
        <v>-48</v>
      </c>
      <c r="I125" s="72" t="n">
        <v>0</v>
      </c>
      <c r="J125" s="72" t="n">
        <f aca="false">'3 Base Saídas'!R300</f>
        <v>48</v>
      </c>
      <c r="K125" s="72" t="n">
        <f aca="false">I125-J125</f>
        <v>-48</v>
      </c>
      <c r="L125" s="70" t="s">
        <v>1216</v>
      </c>
      <c r="M125" s="70" t="s">
        <v>1218</v>
      </c>
      <c r="N125" s="70" t="s">
        <v>1219</v>
      </c>
      <c r="O125" s="70" t="s">
        <v>426</v>
      </c>
    </row>
    <row r="126" customFormat="false" ht="15" hidden="false" customHeight="false" outlineLevel="0" collapsed="false">
      <c r="A126" s="71" t="n">
        <v>46280</v>
      </c>
      <c r="B126" s="70" t="s">
        <v>1732</v>
      </c>
      <c r="C126" s="70" t="s">
        <v>276</v>
      </c>
      <c r="D126" s="70" t="s">
        <v>370</v>
      </c>
      <c r="E126" s="70" t="s">
        <v>404</v>
      </c>
      <c r="F126" s="70" t="s">
        <v>416</v>
      </c>
      <c r="G126" s="70" t="s">
        <v>65</v>
      </c>
      <c r="H126" s="72" t="n">
        <f aca="false">'3 Base Saídas'!H349</f>
        <v>-20.1</v>
      </c>
      <c r="I126" s="72" t="n">
        <v>0</v>
      </c>
      <c r="J126" s="72" t="n">
        <f aca="false">'3 Base Saídas'!R349</f>
        <v>20.1</v>
      </c>
      <c r="K126" s="72" t="n">
        <f aca="false">I126-J126</f>
        <v>-20.1</v>
      </c>
      <c r="L126" s="70" t="s">
        <v>1191</v>
      </c>
      <c r="M126" s="70" t="s">
        <v>1193</v>
      </c>
      <c r="N126" s="70" t="s">
        <v>1194</v>
      </c>
      <c r="O126" s="70" t="s">
        <v>426</v>
      </c>
    </row>
    <row r="127" customFormat="false" ht="15" hidden="false" customHeight="false" outlineLevel="0" collapsed="false">
      <c r="A127" s="71" t="n">
        <v>46280</v>
      </c>
      <c r="B127" s="70" t="str">
        <f aca="false">'3 Base Entrada 2008'!K192</f>
        <v>Recebido no 2008</v>
      </c>
      <c r="C127" s="70" t="s">
        <v>387</v>
      </c>
      <c r="D127" s="70" t="s">
        <v>388</v>
      </c>
      <c r="E127" s="70"/>
      <c r="F127" s="70" t="s">
        <v>188</v>
      </c>
      <c r="G127" s="70" t="s">
        <v>65</v>
      </c>
      <c r="H127" s="72" t="n">
        <f aca="false">'3 Base Entrada 2008'!G192</f>
        <v>1920</v>
      </c>
      <c r="I127" s="72" t="n">
        <f aca="false">'3 Base Entrada 2008'!L192</f>
        <v>0</v>
      </c>
      <c r="J127" s="72" t="n">
        <v>0</v>
      </c>
      <c r="K127" s="72" t="n">
        <f aca="false">I127-J127</f>
        <v>0</v>
      </c>
      <c r="L127" s="70" t="s">
        <v>345</v>
      </c>
      <c r="M127" s="70"/>
      <c r="N127" s="70"/>
      <c r="O127" s="70"/>
    </row>
    <row r="128" customFormat="false" ht="15" hidden="false" customHeight="false" outlineLevel="0" collapsed="false">
      <c r="A128" s="71" t="n">
        <v>46280</v>
      </c>
      <c r="B128" s="70" t="str">
        <f aca="false">'3 Base Entrada 2008'!K193</f>
        <v>Recebido no 2008</v>
      </c>
      <c r="C128" s="70" t="s">
        <v>307</v>
      </c>
      <c r="D128" s="70" t="s">
        <v>308</v>
      </c>
      <c r="E128" s="70"/>
      <c r="F128" s="70" t="s">
        <v>188</v>
      </c>
      <c r="G128" s="70" t="s">
        <v>65</v>
      </c>
      <c r="H128" s="72" t="n">
        <f aca="false">'3 Base Entrada 2008'!G193</f>
        <v>3840</v>
      </c>
      <c r="I128" s="72" t="n">
        <f aca="false">'3 Base Entrada 2008'!L193</f>
        <v>0</v>
      </c>
      <c r="J128" s="72" t="n">
        <v>0</v>
      </c>
      <c r="K128" s="72" t="n">
        <f aca="false">I128-J128</f>
        <v>0</v>
      </c>
      <c r="L128" s="70" t="s">
        <v>345</v>
      </c>
      <c r="M128" s="70"/>
      <c r="N128" s="70"/>
      <c r="O128" s="70"/>
    </row>
    <row r="129" customFormat="false" ht="15" hidden="false" customHeight="false" outlineLevel="0" collapsed="false">
      <c r="A129" s="71" t="n">
        <v>46280</v>
      </c>
      <c r="B129" s="70" t="s">
        <v>1732</v>
      </c>
      <c r="C129" s="70" t="s">
        <v>309</v>
      </c>
      <c r="D129" s="70" t="s">
        <v>395</v>
      </c>
      <c r="E129" s="70" t="s">
        <v>404</v>
      </c>
      <c r="F129" s="70" t="s">
        <v>416</v>
      </c>
      <c r="G129" s="70" t="s">
        <v>65</v>
      </c>
      <c r="H129" s="72" t="n">
        <f aca="false">'3 Base Saídas'!H394</f>
        <v>-80.4</v>
      </c>
      <c r="I129" s="72" t="n">
        <v>0</v>
      </c>
      <c r="J129" s="72" t="n">
        <f aca="false">'3 Base Saídas'!R394</f>
        <v>80.4</v>
      </c>
      <c r="K129" s="72" t="n">
        <f aca="false">I129-J129</f>
        <v>-80.4</v>
      </c>
      <c r="L129" s="70" t="s">
        <v>1425</v>
      </c>
      <c r="M129" s="70" t="s">
        <v>1427</v>
      </c>
      <c r="N129" s="70" t="s">
        <v>1428</v>
      </c>
      <c r="O129" s="70" t="s">
        <v>426</v>
      </c>
    </row>
    <row r="130" customFormat="false" ht="15" hidden="false" customHeight="false" outlineLevel="0" collapsed="false">
      <c r="A130" s="71" t="n">
        <v>46280</v>
      </c>
      <c r="B130" s="70" t="s">
        <v>1732</v>
      </c>
      <c r="C130" s="70" t="s">
        <v>309</v>
      </c>
      <c r="D130" s="70" t="s">
        <v>395</v>
      </c>
      <c r="E130" s="70" t="s">
        <v>404</v>
      </c>
      <c r="F130" s="70" t="s">
        <v>416</v>
      </c>
      <c r="G130" s="70" t="s">
        <v>65</v>
      </c>
      <c r="H130" s="72" t="n">
        <f aca="false">'3 Base Saídas'!H396</f>
        <v>-40.2</v>
      </c>
      <c r="I130" s="72" t="n">
        <v>0</v>
      </c>
      <c r="J130" s="72" t="n">
        <f aca="false">'3 Base Saídas'!R396</f>
        <v>40.2</v>
      </c>
      <c r="K130" s="72" t="n">
        <f aca="false">I130-J130</f>
        <v>-40.2</v>
      </c>
      <c r="L130" s="70" t="s">
        <v>513</v>
      </c>
      <c r="M130" s="70" t="s">
        <v>428</v>
      </c>
      <c r="N130" s="70" t="s">
        <v>429</v>
      </c>
      <c r="O130" s="70" t="s">
        <v>426</v>
      </c>
    </row>
    <row r="131" customFormat="false" ht="15" hidden="false" customHeight="false" outlineLevel="0" collapsed="false">
      <c r="A131" s="71" t="n">
        <v>46280</v>
      </c>
      <c r="B131" s="70" t="s">
        <v>1732</v>
      </c>
      <c r="C131" s="70" t="s">
        <v>309</v>
      </c>
      <c r="D131" s="70" t="s">
        <v>310</v>
      </c>
      <c r="E131" s="70" t="s">
        <v>404</v>
      </c>
      <c r="F131" s="70" t="s">
        <v>416</v>
      </c>
      <c r="G131" s="70" t="s">
        <v>65</v>
      </c>
      <c r="H131" s="72" t="n">
        <f aca="false">'3 Base Saídas'!H395</f>
        <v>-20.1</v>
      </c>
      <c r="I131" s="72" t="n">
        <v>0</v>
      </c>
      <c r="J131" s="72" t="n">
        <f aca="false">'3 Base Saídas'!R395</f>
        <v>20.1</v>
      </c>
      <c r="K131" s="72" t="n">
        <f aca="false">I131-J131</f>
        <v>-20.1</v>
      </c>
      <c r="L131" s="70" t="s">
        <v>1429</v>
      </c>
      <c r="M131" s="70" t="s">
        <v>1431</v>
      </c>
      <c r="N131" s="70" t="s">
        <v>1432</v>
      </c>
      <c r="O131" s="70" t="s">
        <v>426</v>
      </c>
    </row>
    <row r="132" customFormat="false" ht="15" hidden="false" customHeight="false" outlineLevel="0" collapsed="false">
      <c r="A132" s="71" t="n">
        <v>46281</v>
      </c>
      <c r="B132" s="70" t="s">
        <v>1732</v>
      </c>
      <c r="C132" s="70" t="s">
        <v>201</v>
      </c>
      <c r="D132" s="70" t="s">
        <v>202</v>
      </c>
      <c r="E132" s="70" t="s">
        <v>522</v>
      </c>
      <c r="F132" s="70" t="s">
        <v>405</v>
      </c>
      <c r="G132" s="70" t="s">
        <v>65</v>
      </c>
      <c r="H132" s="72" t="n">
        <f aca="false">'3 Base Saídas'!H71</f>
        <v>-2.8</v>
      </c>
      <c r="I132" s="72" t="n">
        <v>0</v>
      </c>
      <c r="J132" s="72" t="n">
        <f aca="false">'3 Base Saídas'!R71</f>
        <v>2.8</v>
      </c>
      <c r="K132" s="72" t="n">
        <f aca="false">I132-J132</f>
        <v>-2.8</v>
      </c>
      <c r="L132" s="70" t="s">
        <v>665</v>
      </c>
      <c r="M132" s="70" t="s">
        <v>667</v>
      </c>
      <c r="N132" s="70" t="s">
        <v>668</v>
      </c>
      <c r="O132" s="70" t="s">
        <v>481</v>
      </c>
    </row>
    <row r="133" customFormat="false" ht="15" hidden="false" customHeight="false" outlineLevel="0" collapsed="false">
      <c r="A133" s="71" t="n">
        <v>46281</v>
      </c>
      <c r="B133" s="70" t="s">
        <v>1732</v>
      </c>
      <c r="C133" s="70" t="s">
        <v>201</v>
      </c>
      <c r="D133" s="70" t="s">
        <v>202</v>
      </c>
      <c r="E133" s="70" t="s">
        <v>522</v>
      </c>
      <c r="F133" s="70" t="s">
        <v>405</v>
      </c>
      <c r="G133" s="70" t="s">
        <v>65</v>
      </c>
      <c r="H133" s="72" t="n">
        <f aca="false">'3 Base Saídas'!H72</f>
        <v>-33.6</v>
      </c>
      <c r="I133" s="72" t="n">
        <v>0</v>
      </c>
      <c r="J133" s="72" t="n">
        <f aca="false">'3 Base Saídas'!R72</f>
        <v>33.6</v>
      </c>
      <c r="K133" s="72" t="n">
        <f aca="false">I133-J133</f>
        <v>-33.6</v>
      </c>
      <c r="L133" s="70" t="s">
        <v>669</v>
      </c>
      <c r="M133" s="70" t="s">
        <v>671</v>
      </c>
      <c r="N133" s="70" t="s">
        <v>672</v>
      </c>
      <c r="O133" s="70" t="s">
        <v>407</v>
      </c>
    </row>
    <row r="134" customFormat="false" ht="15" hidden="false" customHeight="false" outlineLevel="0" collapsed="false">
      <c r="A134" s="71" t="n">
        <v>46281</v>
      </c>
      <c r="B134" s="70" t="s">
        <v>1732</v>
      </c>
      <c r="C134" s="70" t="s">
        <v>205</v>
      </c>
      <c r="D134" s="70" t="s">
        <v>209</v>
      </c>
      <c r="E134" s="70" t="s">
        <v>404</v>
      </c>
      <c r="F134" s="70" t="s">
        <v>405</v>
      </c>
      <c r="G134" s="70" t="s">
        <v>65</v>
      </c>
      <c r="H134" s="72" t="n">
        <f aca="false">'3 Base Saídas'!H85</f>
        <v>-40.2</v>
      </c>
      <c r="I134" s="72" t="n">
        <v>0</v>
      </c>
      <c r="J134" s="72" t="n">
        <f aca="false">'3 Base Saídas'!R85</f>
        <v>40.2</v>
      </c>
      <c r="K134" s="72" t="n">
        <f aca="false">I134-J134</f>
        <v>-40.2</v>
      </c>
      <c r="L134" s="70" t="s">
        <v>713</v>
      </c>
      <c r="M134" s="70" t="s">
        <v>715</v>
      </c>
      <c r="N134" s="70" t="s">
        <v>716</v>
      </c>
      <c r="O134" s="70" t="s">
        <v>481</v>
      </c>
    </row>
    <row r="135" customFormat="false" ht="15" hidden="false" customHeight="false" outlineLevel="0" collapsed="false">
      <c r="A135" s="71" t="n">
        <v>46281</v>
      </c>
      <c r="B135" s="70" t="s">
        <v>1732</v>
      </c>
      <c r="C135" s="70" t="s">
        <v>232</v>
      </c>
      <c r="D135" s="70" t="s">
        <v>241</v>
      </c>
      <c r="E135" s="70" t="s">
        <v>939</v>
      </c>
      <c r="F135" s="70" t="s">
        <v>416</v>
      </c>
      <c r="G135" s="70" t="s">
        <v>146</v>
      </c>
      <c r="H135" s="72" t="n">
        <f aca="false">'3 Base Saídas'!H228</f>
        <v>-15</v>
      </c>
      <c r="I135" s="72" t="n">
        <v>0</v>
      </c>
      <c r="J135" s="72" t="n">
        <f aca="false">'3 Base Saídas'!R228</f>
        <v>15</v>
      </c>
      <c r="K135" s="72" t="n">
        <f aca="false">I135-J135</f>
        <v>-15</v>
      </c>
      <c r="L135" s="70" t="s">
        <v>1043</v>
      </c>
      <c r="M135" s="70" t="s">
        <v>1045</v>
      </c>
      <c r="N135" s="70" t="s">
        <v>1046</v>
      </c>
      <c r="O135" s="70" t="s">
        <v>426</v>
      </c>
    </row>
    <row r="136" customFormat="false" ht="15" hidden="false" customHeight="false" outlineLevel="0" collapsed="false">
      <c r="A136" s="71" t="n">
        <v>46281</v>
      </c>
      <c r="B136" s="70" t="s">
        <v>1732</v>
      </c>
      <c r="C136" s="70" t="s">
        <v>257</v>
      </c>
      <c r="D136" s="70" t="s">
        <v>258</v>
      </c>
      <c r="E136" s="70" t="s">
        <v>1152</v>
      </c>
      <c r="F136" s="70" t="s">
        <v>405</v>
      </c>
      <c r="G136" s="70" t="s">
        <v>65</v>
      </c>
      <c r="H136" s="72" t="n">
        <f aca="false">'3 Base Saídas'!H283</f>
        <v>-6</v>
      </c>
      <c r="I136" s="72" t="n">
        <v>0</v>
      </c>
      <c r="J136" s="72" t="n">
        <f aca="false">'3 Base Saídas'!R283</f>
        <v>6</v>
      </c>
      <c r="K136" s="72" t="n">
        <f aca="false">I136-J136</f>
        <v>-6</v>
      </c>
      <c r="L136" s="70" t="s">
        <v>1189</v>
      </c>
      <c r="M136" s="70" t="s">
        <v>928</v>
      </c>
      <c r="N136" s="70" t="s">
        <v>929</v>
      </c>
      <c r="O136" s="70" t="s">
        <v>407</v>
      </c>
    </row>
    <row r="137" customFormat="false" ht="15" hidden="false" customHeight="false" outlineLevel="0" collapsed="false">
      <c r="A137" s="71" t="n">
        <v>46281</v>
      </c>
      <c r="B137" s="70" t="s">
        <v>1732</v>
      </c>
      <c r="C137" s="70" t="s">
        <v>269</v>
      </c>
      <c r="D137" s="70" t="s">
        <v>270</v>
      </c>
      <c r="E137" s="70" t="s">
        <v>1206</v>
      </c>
      <c r="F137" s="70" t="s">
        <v>405</v>
      </c>
      <c r="G137" s="70" t="s">
        <v>65</v>
      </c>
      <c r="H137" s="72" t="n">
        <f aca="false">'3 Base Saídas'!H299</f>
        <v>-12</v>
      </c>
      <c r="I137" s="72" t="n">
        <v>0</v>
      </c>
      <c r="J137" s="72" t="n">
        <f aca="false">'3 Base Saídas'!R299</f>
        <v>12</v>
      </c>
      <c r="K137" s="72" t="n">
        <f aca="false">I137-J137</f>
        <v>-12</v>
      </c>
      <c r="L137" s="70" t="s">
        <v>1189</v>
      </c>
      <c r="M137" s="70" t="s">
        <v>928</v>
      </c>
      <c r="N137" s="70" t="s">
        <v>929</v>
      </c>
      <c r="O137" s="70" t="s">
        <v>407</v>
      </c>
    </row>
    <row r="138" customFormat="false" ht="15" hidden="false" customHeight="false" outlineLevel="0" collapsed="false">
      <c r="A138" s="71" t="n">
        <v>46282</v>
      </c>
      <c r="B138" s="70" t="s">
        <v>1732</v>
      </c>
      <c r="C138" s="70" t="s">
        <v>192</v>
      </c>
      <c r="D138" s="70" t="s">
        <v>193</v>
      </c>
      <c r="E138" s="70" t="s">
        <v>404</v>
      </c>
      <c r="F138" s="70" t="s">
        <v>416</v>
      </c>
      <c r="G138" s="70" t="s">
        <v>65</v>
      </c>
      <c r="H138" s="72" t="n">
        <f aca="false">'3 Base Saídas'!H24</f>
        <v>-40.2</v>
      </c>
      <c r="I138" s="72" t="n">
        <v>0</v>
      </c>
      <c r="J138" s="72" t="n">
        <f aca="false">'3 Base Saídas'!R24</f>
        <v>40.2</v>
      </c>
      <c r="K138" s="72" t="n">
        <f aca="false">I138-J138</f>
        <v>-40.2</v>
      </c>
      <c r="L138" s="70" t="s">
        <v>497</v>
      </c>
      <c r="M138" s="70" t="s">
        <v>499</v>
      </c>
      <c r="N138" s="70" t="s">
        <v>500</v>
      </c>
      <c r="O138" s="70" t="s">
        <v>426</v>
      </c>
    </row>
    <row r="139" customFormat="false" ht="15" hidden="false" customHeight="false" outlineLevel="0" collapsed="false">
      <c r="A139" s="71" t="n">
        <v>46282</v>
      </c>
      <c r="B139" s="70" t="s">
        <v>1732</v>
      </c>
      <c r="C139" s="70" t="s">
        <v>192</v>
      </c>
      <c r="D139" s="70" t="s">
        <v>193</v>
      </c>
      <c r="E139" s="70" t="s">
        <v>404</v>
      </c>
      <c r="F139" s="70" t="s">
        <v>416</v>
      </c>
      <c r="G139" s="70" t="s">
        <v>65</v>
      </c>
      <c r="H139" s="72" t="n">
        <f aca="false">'3 Base Saídas'!H25</f>
        <v>-20.1</v>
      </c>
      <c r="I139" s="72" t="n">
        <v>0</v>
      </c>
      <c r="J139" s="72" t="n">
        <f aca="false">'3 Base Saídas'!R25</f>
        <v>20.1</v>
      </c>
      <c r="K139" s="72" t="n">
        <f aca="false">I139-J139</f>
        <v>-20.1</v>
      </c>
      <c r="L139" s="70" t="s">
        <v>501</v>
      </c>
      <c r="M139" s="70" t="s">
        <v>503</v>
      </c>
      <c r="N139" s="70" t="s">
        <v>504</v>
      </c>
      <c r="O139" s="70" t="s">
        <v>426</v>
      </c>
    </row>
    <row r="140" customFormat="false" ht="15" hidden="false" customHeight="false" outlineLevel="0" collapsed="false">
      <c r="A140" s="71" t="n">
        <v>46282</v>
      </c>
      <c r="B140" s="70" t="s">
        <v>1732</v>
      </c>
      <c r="C140" s="70" t="s">
        <v>322</v>
      </c>
      <c r="D140" s="70" t="s">
        <v>323</v>
      </c>
      <c r="E140" s="70" t="s">
        <v>522</v>
      </c>
      <c r="F140" s="70" t="s">
        <v>405</v>
      </c>
      <c r="G140" s="70" t="s">
        <v>65</v>
      </c>
      <c r="H140" s="72" t="n">
        <f aca="false">'3 Base Saídas'!H160</f>
        <v>-5.6</v>
      </c>
      <c r="I140" s="72" t="n">
        <v>0</v>
      </c>
      <c r="J140" s="72" t="n">
        <f aca="false">'3 Base Saídas'!R160</f>
        <v>5.6</v>
      </c>
      <c r="K140" s="72" t="n">
        <f aca="false">I140-J140</f>
        <v>-5.6</v>
      </c>
      <c r="L140" s="70" t="s">
        <v>866</v>
      </c>
      <c r="M140" s="70" t="s">
        <v>868</v>
      </c>
      <c r="N140" s="70" t="s">
        <v>869</v>
      </c>
      <c r="O140" s="70" t="s">
        <v>407</v>
      </c>
    </row>
    <row r="141" customFormat="false" ht="15" hidden="false" customHeight="false" outlineLevel="0" collapsed="false">
      <c r="A141" s="71" t="n">
        <v>46282</v>
      </c>
      <c r="B141" s="70" t="s">
        <v>1732</v>
      </c>
      <c r="C141" s="70" t="s">
        <v>322</v>
      </c>
      <c r="D141" s="70" t="s">
        <v>323</v>
      </c>
      <c r="E141" s="70" t="s">
        <v>522</v>
      </c>
      <c r="F141" s="70" t="s">
        <v>405</v>
      </c>
      <c r="G141" s="70" t="s">
        <v>65</v>
      </c>
      <c r="H141" s="72" t="n">
        <f aca="false">'3 Base Saídas'!H161</f>
        <v>-2.8</v>
      </c>
      <c r="I141" s="72" t="n">
        <v>0</v>
      </c>
      <c r="J141" s="72" t="n">
        <f aca="false">'3 Base Saídas'!R161</f>
        <v>2.8</v>
      </c>
      <c r="K141" s="72" t="n">
        <f aca="false">I141-J141</f>
        <v>-2.8</v>
      </c>
      <c r="L141" s="70" t="s">
        <v>870</v>
      </c>
      <c r="M141" s="70" t="s">
        <v>872</v>
      </c>
      <c r="N141" s="70" t="s">
        <v>873</v>
      </c>
      <c r="O141" s="70" t="s">
        <v>481</v>
      </c>
    </row>
    <row r="142" customFormat="false" ht="15" hidden="false" customHeight="false" outlineLevel="0" collapsed="false">
      <c r="A142" s="71" t="n">
        <v>46282</v>
      </c>
      <c r="B142" s="70" t="s">
        <v>1732</v>
      </c>
      <c r="C142" s="70" t="s">
        <v>322</v>
      </c>
      <c r="D142" s="70" t="s">
        <v>323</v>
      </c>
      <c r="E142" s="70" t="s">
        <v>522</v>
      </c>
      <c r="F142" s="70" t="s">
        <v>405</v>
      </c>
      <c r="G142" s="70" t="s">
        <v>65</v>
      </c>
      <c r="H142" s="72" t="n">
        <f aca="false">'3 Base Saídas'!H162</f>
        <v>-5.6</v>
      </c>
      <c r="I142" s="72" t="n">
        <v>0</v>
      </c>
      <c r="J142" s="72" t="n">
        <f aca="false">'3 Base Saídas'!R162</f>
        <v>5.6</v>
      </c>
      <c r="K142" s="72" t="n">
        <f aca="false">I142-J142</f>
        <v>-5.6</v>
      </c>
      <c r="L142" s="70" t="s">
        <v>874</v>
      </c>
      <c r="M142" s="70" t="s">
        <v>876</v>
      </c>
      <c r="N142" s="70" t="s">
        <v>877</v>
      </c>
      <c r="O142" s="70" t="s">
        <v>481</v>
      </c>
    </row>
    <row r="143" customFormat="false" ht="15" hidden="false" customHeight="false" outlineLevel="0" collapsed="false">
      <c r="A143" s="71" t="n">
        <v>46282</v>
      </c>
      <c r="B143" s="70" t="s">
        <v>1732</v>
      </c>
      <c r="C143" s="70" t="s">
        <v>322</v>
      </c>
      <c r="D143" s="70" t="s">
        <v>323</v>
      </c>
      <c r="E143" s="70" t="s">
        <v>522</v>
      </c>
      <c r="F143" s="70" t="s">
        <v>405</v>
      </c>
      <c r="G143" s="70" t="s">
        <v>65</v>
      </c>
      <c r="H143" s="72" t="n">
        <f aca="false">'3 Base Saídas'!H163</f>
        <v>-28</v>
      </c>
      <c r="I143" s="72" t="n">
        <v>0</v>
      </c>
      <c r="J143" s="72" t="n">
        <f aca="false">'3 Base Saídas'!R163</f>
        <v>28</v>
      </c>
      <c r="K143" s="72" t="n">
        <f aca="false">I143-J143</f>
        <v>-28</v>
      </c>
      <c r="L143" s="70" t="s">
        <v>878</v>
      </c>
      <c r="M143" s="70" t="s">
        <v>603</v>
      </c>
      <c r="N143" s="70" t="s">
        <v>604</v>
      </c>
      <c r="O143" s="70" t="s">
        <v>481</v>
      </c>
    </row>
    <row r="144" customFormat="false" ht="15" hidden="false" customHeight="false" outlineLevel="0" collapsed="false">
      <c r="A144" s="71" t="n">
        <v>46282</v>
      </c>
      <c r="B144" s="70" t="s">
        <v>1732</v>
      </c>
      <c r="C144" s="70" t="s">
        <v>250</v>
      </c>
      <c r="D144" s="70" t="s">
        <v>251</v>
      </c>
      <c r="E144" s="70" t="s">
        <v>1104</v>
      </c>
      <c r="F144" s="70" t="s">
        <v>416</v>
      </c>
      <c r="G144" s="70" t="s">
        <v>65</v>
      </c>
      <c r="H144" s="72" t="n">
        <f aca="false">'3 Base Saídas'!H252</f>
        <v>-8.4</v>
      </c>
      <c r="I144" s="72" t="n">
        <v>0</v>
      </c>
      <c r="J144" s="72" t="n">
        <f aca="false">'3 Base Saídas'!R252</f>
        <v>8.4</v>
      </c>
      <c r="K144" s="72" t="n">
        <f aca="false">I144-J144</f>
        <v>-8.4</v>
      </c>
      <c r="L144" s="70" t="s">
        <v>1110</v>
      </c>
      <c r="M144" s="70" t="s">
        <v>1079</v>
      </c>
      <c r="N144" s="70" t="s">
        <v>1080</v>
      </c>
      <c r="O144" s="70" t="s">
        <v>426</v>
      </c>
    </row>
    <row r="145" customFormat="false" ht="15" hidden="false" customHeight="false" outlineLevel="0" collapsed="false">
      <c r="A145" s="71" t="n">
        <v>46282</v>
      </c>
      <c r="B145" s="70" t="s">
        <v>1732</v>
      </c>
      <c r="C145" s="70" t="s">
        <v>257</v>
      </c>
      <c r="D145" s="70" t="s">
        <v>258</v>
      </c>
      <c r="E145" s="70" t="s">
        <v>1152</v>
      </c>
      <c r="F145" s="70" t="s">
        <v>405</v>
      </c>
      <c r="G145" s="70" t="s">
        <v>65</v>
      </c>
      <c r="H145" s="72" t="n">
        <f aca="false">'3 Base Saídas'!H281</f>
        <v>-60</v>
      </c>
      <c r="I145" s="72" t="n">
        <v>0</v>
      </c>
      <c r="J145" s="72" t="n">
        <f aca="false">'3 Base Saídas'!R281</f>
        <v>60</v>
      </c>
      <c r="K145" s="72" t="n">
        <f aca="false">I145-J145</f>
        <v>-60</v>
      </c>
      <c r="L145" s="70" t="s">
        <v>1183</v>
      </c>
      <c r="M145" s="70" t="s">
        <v>603</v>
      </c>
      <c r="N145" s="70" t="s">
        <v>604</v>
      </c>
      <c r="O145" s="70" t="s">
        <v>481</v>
      </c>
    </row>
    <row r="146" customFormat="false" ht="15" hidden="false" customHeight="false" outlineLevel="0" collapsed="false">
      <c r="A146" s="71" t="n">
        <v>46282</v>
      </c>
      <c r="B146" s="70" t="s">
        <v>1732</v>
      </c>
      <c r="C146" s="70" t="s">
        <v>257</v>
      </c>
      <c r="D146" s="70" t="s">
        <v>258</v>
      </c>
      <c r="E146" s="70" t="s">
        <v>1152</v>
      </c>
      <c r="F146" s="70" t="s">
        <v>405</v>
      </c>
      <c r="G146" s="70" t="s">
        <v>65</v>
      </c>
      <c r="H146" s="72" t="n">
        <f aca="false">'3 Base Saídas'!H282</f>
        <v>-6</v>
      </c>
      <c r="I146" s="72" t="n">
        <v>0</v>
      </c>
      <c r="J146" s="72" t="n">
        <f aca="false">'3 Base Saídas'!R282</f>
        <v>6</v>
      </c>
      <c r="K146" s="72" t="n">
        <f aca="false">I146-J146</f>
        <v>-6</v>
      </c>
      <c r="L146" s="70" t="s">
        <v>1185</v>
      </c>
      <c r="M146" s="70" t="s">
        <v>1187</v>
      </c>
      <c r="N146" s="70" t="s">
        <v>1188</v>
      </c>
      <c r="O146" s="70" t="s">
        <v>407</v>
      </c>
    </row>
    <row r="147" customFormat="false" ht="15" hidden="false" customHeight="false" outlineLevel="0" collapsed="false">
      <c r="A147" s="71" t="n">
        <v>46282</v>
      </c>
      <c r="B147" s="70" t="s">
        <v>1732</v>
      </c>
      <c r="C147" s="70" t="s">
        <v>276</v>
      </c>
      <c r="D147" s="70" t="s">
        <v>370</v>
      </c>
      <c r="E147" s="70" t="s">
        <v>404</v>
      </c>
      <c r="F147" s="70" t="s">
        <v>416</v>
      </c>
      <c r="G147" s="70" t="s">
        <v>65</v>
      </c>
      <c r="H147" s="72" t="n">
        <f aca="false">'3 Base Saídas'!H346</f>
        <v>-40.2</v>
      </c>
      <c r="I147" s="72" t="n">
        <v>0</v>
      </c>
      <c r="J147" s="72" t="n">
        <f aca="false">'3 Base Saídas'!R346</f>
        <v>40.2</v>
      </c>
      <c r="K147" s="72" t="n">
        <f aca="false">I147-J147</f>
        <v>-40.2</v>
      </c>
      <c r="L147" s="70" t="s">
        <v>1317</v>
      </c>
      <c r="M147" s="70" t="s">
        <v>1319</v>
      </c>
      <c r="N147" s="70" t="s">
        <v>1320</v>
      </c>
      <c r="O147" s="70" t="s">
        <v>426</v>
      </c>
    </row>
    <row r="148" customFormat="false" ht="15" hidden="false" customHeight="false" outlineLevel="0" collapsed="false">
      <c r="A148" s="71" t="n">
        <v>46282</v>
      </c>
      <c r="B148" s="70" t="s">
        <v>1732</v>
      </c>
      <c r="C148" s="70" t="s">
        <v>276</v>
      </c>
      <c r="D148" s="70" t="s">
        <v>370</v>
      </c>
      <c r="E148" s="70" t="s">
        <v>404</v>
      </c>
      <c r="F148" s="70" t="s">
        <v>416</v>
      </c>
      <c r="G148" s="70" t="s">
        <v>65</v>
      </c>
      <c r="H148" s="72" t="n">
        <f aca="false">'3 Base Saídas'!H347</f>
        <v>-40.2</v>
      </c>
      <c r="I148" s="72" t="n">
        <v>0</v>
      </c>
      <c r="J148" s="72" t="n">
        <f aca="false">'3 Base Saídas'!R347</f>
        <v>40.2</v>
      </c>
      <c r="K148" s="72" t="n">
        <f aca="false">I148-J148</f>
        <v>-40.2</v>
      </c>
      <c r="L148" s="70" t="s">
        <v>1321</v>
      </c>
      <c r="M148" s="70" t="s">
        <v>491</v>
      </c>
      <c r="N148" s="70" t="s">
        <v>492</v>
      </c>
      <c r="O148" s="70" t="s">
        <v>426</v>
      </c>
    </row>
    <row r="149" customFormat="false" ht="15" hidden="false" customHeight="false" outlineLevel="0" collapsed="false">
      <c r="A149" s="71" t="n">
        <v>46282</v>
      </c>
      <c r="B149" s="70" t="s">
        <v>1732</v>
      </c>
      <c r="C149" s="70" t="s">
        <v>276</v>
      </c>
      <c r="D149" s="70" t="s">
        <v>370</v>
      </c>
      <c r="E149" s="70" t="s">
        <v>404</v>
      </c>
      <c r="F149" s="70" t="s">
        <v>416</v>
      </c>
      <c r="G149" s="70" t="s">
        <v>65</v>
      </c>
      <c r="H149" s="72" t="n">
        <f aca="false">'3 Base Saídas'!H348</f>
        <v>-80.4</v>
      </c>
      <c r="I149" s="72" t="n">
        <v>0</v>
      </c>
      <c r="J149" s="72" t="n">
        <f aca="false">'3 Base Saídas'!R348</f>
        <v>80.4</v>
      </c>
      <c r="K149" s="72" t="n">
        <f aca="false">I149-J149</f>
        <v>-80.4</v>
      </c>
      <c r="L149" s="70" t="s">
        <v>1323</v>
      </c>
      <c r="M149" s="70" t="s">
        <v>1325</v>
      </c>
      <c r="N149" s="70" t="s">
        <v>1326</v>
      </c>
      <c r="O149" s="70" t="s">
        <v>426</v>
      </c>
    </row>
    <row r="150" customFormat="false" ht="15" hidden="false" customHeight="false" outlineLevel="0" collapsed="false">
      <c r="A150" s="71" t="n">
        <v>46283</v>
      </c>
      <c r="B150" s="70" t="s">
        <v>1732</v>
      </c>
      <c r="C150" s="70" t="s">
        <v>322</v>
      </c>
      <c r="D150" s="70" t="s">
        <v>323</v>
      </c>
      <c r="E150" s="70" t="s">
        <v>522</v>
      </c>
      <c r="F150" s="70" t="s">
        <v>405</v>
      </c>
      <c r="G150" s="70" t="s">
        <v>65</v>
      </c>
      <c r="H150" s="72" t="n">
        <f aca="false">'3 Base Saídas'!H159</f>
        <v>-2.8</v>
      </c>
      <c r="I150" s="72" t="n">
        <v>0</v>
      </c>
      <c r="J150" s="72" t="n">
        <f aca="false">'3 Base Saídas'!R159</f>
        <v>2.8</v>
      </c>
      <c r="K150" s="72" t="n">
        <f aca="false">I150-J150</f>
        <v>-2.8</v>
      </c>
      <c r="L150" s="70" t="s">
        <v>862</v>
      </c>
      <c r="M150" s="70" t="s">
        <v>864</v>
      </c>
      <c r="N150" s="70" t="s">
        <v>865</v>
      </c>
      <c r="O150" s="70" t="s">
        <v>444</v>
      </c>
    </row>
    <row r="151" customFormat="false" ht="15" hidden="false" customHeight="false" outlineLevel="0" collapsed="false">
      <c r="A151" s="71" t="n">
        <v>46283</v>
      </c>
      <c r="B151" s="70" t="s">
        <v>1732</v>
      </c>
      <c r="C151" s="70" t="s">
        <v>252</v>
      </c>
      <c r="D151" s="70" t="s">
        <v>253</v>
      </c>
      <c r="E151" s="70" t="s">
        <v>1113</v>
      </c>
      <c r="F151" s="70" t="s">
        <v>405</v>
      </c>
      <c r="G151" s="70" t="s">
        <v>65</v>
      </c>
      <c r="H151" s="72" t="n">
        <f aca="false">'3 Base Saídas'!H261</f>
        <v>-8</v>
      </c>
      <c r="I151" s="72" t="n">
        <v>0</v>
      </c>
      <c r="J151" s="72" t="n">
        <f aca="false">'3 Base Saídas'!R261</f>
        <v>8</v>
      </c>
      <c r="K151" s="72" t="n">
        <f aca="false">I151-J151</f>
        <v>-8</v>
      </c>
      <c r="L151" s="70" t="s">
        <v>1133</v>
      </c>
      <c r="M151" s="70" t="s">
        <v>1135</v>
      </c>
      <c r="N151" s="70" t="s">
        <v>1136</v>
      </c>
      <c r="O151" s="70" t="s">
        <v>444</v>
      </c>
    </row>
    <row r="152" customFormat="false" ht="15" hidden="false" customHeight="false" outlineLevel="0" collapsed="false">
      <c r="A152" s="71" t="n">
        <v>46284</v>
      </c>
      <c r="B152" s="70" t="s">
        <v>1732</v>
      </c>
      <c r="C152" s="70" t="s">
        <v>201</v>
      </c>
      <c r="D152" s="70" t="s">
        <v>202</v>
      </c>
      <c r="E152" s="70" t="s">
        <v>522</v>
      </c>
      <c r="F152" s="70" t="s">
        <v>405</v>
      </c>
      <c r="G152" s="70" t="s">
        <v>65</v>
      </c>
      <c r="H152" s="72" t="n">
        <f aca="false">'3 Base Saídas'!H68</f>
        <v>-28</v>
      </c>
      <c r="I152" s="72" t="n">
        <v>0</v>
      </c>
      <c r="J152" s="72" t="n">
        <f aca="false">'3 Base Saídas'!R68</f>
        <v>28</v>
      </c>
      <c r="K152" s="72" t="n">
        <f aca="false">I152-J152</f>
        <v>-28</v>
      </c>
      <c r="L152" s="70" t="s">
        <v>655</v>
      </c>
      <c r="M152" s="70" t="s">
        <v>657</v>
      </c>
      <c r="N152" s="70" t="s">
        <v>658</v>
      </c>
      <c r="O152" s="70" t="s">
        <v>431</v>
      </c>
    </row>
    <row r="153" customFormat="false" ht="15" hidden="false" customHeight="false" outlineLevel="0" collapsed="false">
      <c r="A153" s="71" t="n">
        <v>46284</v>
      </c>
      <c r="B153" s="70" t="s">
        <v>1732</v>
      </c>
      <c r="C153" s="70" t="s">
        <v>201</v>
      </c>
      <c r="D153" s="70" t="s">
        <v>202</v>
      </c>
      <c r="E153" s="70" t="s">
        <v>522</v>
      </c>
      <c r="F153" s="70" t="s">
        <v>405</v>
      </c>
      <c r="G153" s="70" t="s">
        <v>65</v>
      </c>
      <c r="H153" s="72" t="n">
        <f aca="false">'3 Base Saídas'!H69</f>
        <v>-2.8</v>
      </c>
      <c r="I153" s="72" t="n">
        <v>0</v>
      </c>
      <c r="J153" s="72" t="n">
        <f aca="false">'3 Base Saídas'!R69</f>
        <v>2.8</v>
      </c>
      <c r="K153" s="72" t="n">
        <f aca="false">I153-J153</f>
        <v>-2.8</v>
      </c>
      <c r="L153" s="70" t="s">
        <v>659</v>
      </c>
      <c r="M153" s="70" t="s">
        <v>553</v>
      </c>
      <c r="N153" s="70" t="s">
        <v>554</v>
      </c>
      <c r="O153" s="70" t="s">
        <v>523</v>
      </c>
    </row>
    <row r="154" customFormat="false" ht="15" hidden="false" customHeight="false" outlineLevel="0" collapsed="false">
      <c r="A154" s="71" t="n">
        <v>46284</v>
      </c>
      <c r="B154" s="70" t="s">
        <v>1732</v>
      </c>
      <c r="C154" s="70" t="s">
        <v>201</v>
      </c>
      <c r="D154" s="70" t="s">
        <v>202</v>
      </c>
      <c r="E154" s="70" t="s">
        <v>522</v>
      </c>
      <c r="F154" s="70" t="s">
        <v>405</v>
      </c>
      <c r="G154" s="70" t="s">
        <v>65</v>
      </c>
      <c r="H154" s="72" t="n">
        <f aca="false">'3 Base Saídas'!H70</f>
        <v>-2.8</v>
      </c>
      <c r="I154" s="72" t="n">
        <v>0</v>
      </c>
      <c r="J154" s="72" t="n">
        <f aca="false">'3 Base Saídas'!R70</f>
        <v>2.8</v>
      </c>
      <c r="K154" s="72" t="n">
        <f aca="false">I154-J154</f>
        <v>-2.8</v>
      </c>
      <c r="L154" s="70" t="s">
        <v>661</v>
      </c>
      <c r="M154" s="70" t="s">
        <v>663</v>
      </c>
      <c r="N154" s="70" t="s">
        <v>664</v>
      </c>
      <c r="O154" s="70" t="s">
        <v>523</v>
      </c>
    </row>
    <row r="155" customFormat="false" ht="15" hidden="false" customHeight="false" outlineLevel="0" collapsed="false">
      <c r="A155" s="71" t="n">
        <v>46284</v>
      </c>
      <c r="B155" s="70" t="s">
        <v>1732</v>
      </c>
      <c r="C155" s="70" t="s">
        <v>314</v>
      </c>
      <c r="D155" s="70" t="s">
        <v>315</v>
      </c>
      <c r="E155" s="70" t="s">
        <v>522</v>
      </c>
      <c r="F155" s="70" t="s">
        <v>405</v>
      </c>
      <c r="G155" s="70" t="s">
        <v>65</v>
      </c>
      <c r="H155" s="72" t="n">
        <f aca="false">'3 Base Saídas'!H97</f>
        <v>-5.6</v>
      </c>
      <c r="I155" s="72" t="n">
        <v>0</v>
      </c>
      <c r="J155" s="72" t="n">
        <f aca="false">'3 Base Saídas'!R97</f>
        <v>5.6</v>
      </c>
      <c r="K155" s="72" t="n">
        <f aca="false">I155-J155</f>
        <v>-5.6</v>
      </c>
      <c r="L155" s="70" t="s">
        <v>729</v>
      </c>
      <c r="M155" s="70" t="s">
        <v>565</v>
      </c>
      <c r="N155" s="70" t="s">
        <v>566</v>
      </c>
      <c r="O155" s="70" t="s">
        <v>444</v>
      </c>
    </row>
    <row r="156" customFormat="false" ht="15" hidden="false" customHeight="false" outlineLevel="0" collapsed="false">
      <c r="A156" s="71" t="n">
        <v>46284</v>
      </c>
      <c r="B156" s="70" t="s">
        <v>1732</v>
      </c>
      <c r="C156" s="70" t="s">
        <v>314</v>
      </c>
      <c r="D156" s="70" t="s">
        <v>315</v>
      </c>
      <c r="E156" s="70" t="s">
        <v>522</v>
      </c>
      <c r="F156" s="70" t="s">
        <v>405</v>
      </c>
      <c r="G156" s="70" t="s">
        <v>65</v>
      </c>
      <c r="H156" s="72" t="n">
        <f aca="false">'3 Base Saídas'!H98</f>
        <v>-2.8</v>
      </c>
      <c r="I156" s="72" t="n">
        <v>0</v>
      </c>
      <c r="J156" s="72" t="n">
        <f aca="false">'3 Base Saídas'!R98</f>
        <v>2.8</v>
      </c>
      <c r="K156" s="72" t="n">
        <f aca="false">I156-J156</f>
        <v>-2.8</v>
      </c>
      <c r="L156" s="70" t="s">
        <v>731</v>
      </c>
      <c r="M156" s="70" t="s">
        <v>581</v>
      </c>
      <c r="N156" s="70" t="s">
        <v>582</v>
      </c>
      <c r="O156" s="70" t="s">
        <v>444</v>
      </c>
    </row>
    <row r="157" customFormat="false" ht="15" hidden="false" customHeight="false" outlineLevel="0" collapsed="false">
      <c r="A157" s="71" t="n">
        <v>46284</v>
      </c>
      <c r="B157" s="70" t="s">
        <v>1732</v>
      </c>
      <c r="C157" s="70" t="s">
        <v>314</v>
      </c>
      <c r="D157" s="70" t="s">
        <v>315</v>
      </c>
      <c r="E157" s="70" t="s">
        <v>522</v>
      </c>
      <c r="F157" s="70" t="s">
        <v>405</v>
      </c>
      <c r="G157" s="70" t="s">
        <v>65</v>
      </c>
      <c r="H157" s="72" t="n">
        <f aca="false">'3 Base Saídas'!H99</f>
        <v>-2.8</v>
      </c>
      <c r="I157" s="72" t="n">
        <v>0</v>
      </c>
      <c r="J157" s="72" t="n">
        <f aca="false">'3 Base Saídas'!R99</f>
        <v>2.8</v>
      </c>
      <c r="K157" s="72" t="n">
        <f aca="false">I157-J157</f>
        <v>-2.8</v>
      </c>
      <c r="L157" s="70" t="s">
        <v>659</v>
      </c>
      <c r="M157" s="70" t="s">
        <v>553</v>
      </c>
      <c r="N157" s="70" t="s">
        <v>554</v>
      </c>
      <c r="O157" s="70" t="s">
        <v>523</v>
      </c>
    </row>
    <row r="158" customFormat="false" ht="15" hidden="false" customHeight="false" outlineLevel="0" collapsed="false">
      <c r="A158" s="71" t="n">
        <v>46284</v>
      </c>
      <c r="B158" s="70" t="s">
        <v>1732</v>
      </c>
      <c r="C158" s="70" t="s">
        <v>314</v>
      </c>
      <c r="D158" s="70" t="s">
        <v>315</v>
      </c>
      <c r="E158" s="70" t="s">
        <v>522</v>
      </c>
      <c r="F158" s="70" t="s">
        <v>405</v>
      </c>
      <c r="G158" s="70" t="s">
        <v>65</v>
      </c>
      <c r="H158" s="72" t="n">
        <f aca="false">'3 Base Saídas'!H100</f>
        <v>-5.6</v>
      </c>
      <c r="I158" s="72" t="n">
        <v>0</v>
      </c>
      <c r="J158" s="72" t="n">
        <f aca="false">'3 Base Saídas'!R100</f>
        <v>5.6</v>
      </c>
      <c r="K158" s="72" t="n">
        <f aca="false">I158-J158</f>
        <v>-5.6</v>
      </c>
      <c r="L158" s="70" t="s">
        <v>733</v>
      </c>
      <c r="M158" s="70" t="s">
        <v>735</v>
      </c>
      <c r="N158" s="70" t="s">
        <v>736</v>
      </c>
      <c r="O158" s="70" t="s">
        <v>444</v>
      </c>
    </row>
    <row r="159" customFormat="false" ht="15" hidden="false" customHeight="false" outlineLevel="0" collapsed="false">
      <c r="A159" s="71" t="n">
        <v>46284</v>
      </c>
      <c r="B159" s="70" t="s">
        <v>1732</v>
      </c>
      <c r="C159" s="70" t="s">
        <v>314</v>
      </c>
      <c r="D159" s="70" t="s">
        <v>315</v>
      </c>
      <c r="E159" s="70" t="s">
        <v>522</v>
      </c>
      <c r="F159" s="70" t="s">
        <v>405</v>
      </c>
      <c r="G159" s="70" t="s">
        <v>65</v>
      </c>
      <c r="H159" s="72" t="n">
        <f aca="false">'3 Base Saídas'!H101</f>
        <v>-11.2</v>
      </c>
      <c r="I159" s="72" t="n">
        <v>0</v>
      </c>
      <c r="J159" s="72" t="n">
        <f aca="false">'3 Base Saídas'!R101</f>
        <v>11.2</v>
      </c>
      <c r="K159" s="72" t="n">
        <f aca="false">I159-J159</f>
        <v>-11.2</v>
      </c>
      <c r="L159" s="70" t="s">
        <v>737</v>
      </c>
      <c r="M159" s="70" t="s">
        <v>573</v>
      </c>
      <c r="N159" s="70" t="s">
        <v>574</v>
      </c>
      <c r="O159" s="70" t="s">
        <v>431</v>
      </c>
    </row>
    <row r="160" customFormat="false" ht="15" hidden="false" customHeight="false" outlineLevel="0" collapsed="false">
      <c r="A160" s="71" t="n">
        <v>46284</v>
      </c>
      <c r="B160" s="70" t="s">
        <v>1732</v>
      </c>
      <c r="C160" s="70" t="s">
        <v>322</v>
      </c>
      <c r="D160" s="70" t="s">
        <v>323</v>
      </c>
      <c r="E160" s="70" t="s">
        <v>522</v>
      </c>
      <c r="F160" s="70" t="s">
        <v>405</v>
      </c>
      <c r="G160" s="70" t="s">
        <v>65</v>
      </c>
      <c r="H160" s="72" t="n">
        <f aca="false">'3 Base Saídas'!H150</f>
        <v>-5.6</v>
      </c>
      <c r="I160" s="72" t="n">
        <v>0</v>
      </c>
      <c r="J160" s="72" t="n">
        <f aca="false">'3 Base Saídas'!R150</f>
        <v>5.6</v>
      </c>
      <c r="K160" s="72" t="n">
        <f aca="false">I160-J160</f>
        <v>-5.6</v>
      </c>
      <c r="L160" s="70" t="s">
        <v>659</v>
      </c>
      <c r="M160" s="70" t="s">
        <v>553</v>
      </c>
      <c r="N160" s="70" t="s">
        <v>554</v>
      </c>
      <c r="O160" s="70" t="s">
        <v>523</v>
      </c>
    </row>
    <row r="161" customFormat="false" ht="15" hidden="false" customHeight="false" outlineLevel="0" collapsed="false">
      <c r="A161" s="71" t="n">
        <v>46284</v>
      </c>
      <c r="B161" s="70" t="s">
        <v>1732</v>
      </c>
      <c r="C161" s="70" t="s">
        <v>322</v>
      </c>
      <c r="D161" s="70" t="s">
        <v>323</v>
      </c>
      <c r="E161" s="70" t="s">
        <v>522</v>
      </c>
      <c r="F161" s="70" t="s">
        <v>405</v>
      </c>
      <c r="G161" s="70" t="s">
        <v>65</v>
      </c>
      <c r="H161" s="72" t="n">
        <f aca="false">'3 Base Saídas'!H151</f>
        <v>-11.2</v>
      </c>
      <c r="I161" s="72" t="n">
        <v>0</v>
      </c>
      <c r="J161" s="72" t="n">
        <f aca="false">'3 Base Saídas'!R151</f>
        <v>11.2</v>
      </c>
      <c r="K161" s="72" t="n">
        <f aca="false">I161-J161</f>
        <v>-11.2</v>
      </c>
      <c r="L161" s="70" t="s">
        <v>737</v>
      </c>
      <c r="M161" s="70" t="s">
        <v>573</v>
      </c>
      <c r="N161" s="70" t="s">
        <v>574</v>
      </c>
      <c r="O161" s="70" t="s">
        <v>431</v>
      </c>
    </row>
    <row r="162" customFormat="false" ht="15" hidden="false" customHeight="false" outlineLevel="0" collapsed="false">
      <c r="A162" s="71" t="n">
        <v>46284</v>
      </c>
      <c r="B162" s="70" t="s">
        <v>1732</v>
      </c>
      <c r="C162" s="70" t="s">
        <v>322</v>
      </c>
      <c r="D162" s="70" t="s">
        <v>323</v>
      </c>
      <c r="E162" s="70" t="s">
        <v>522</v>
      </c>
      <c r="F162" s="70" t="s">
        <v>405</v>
      </c>
      <c r="G162" s="70" t="s">
        <v>65</v>
      </c>
      <c r="H162" s="72" t="n">
        <f aca="false">'3 Base Saídas'!H152</f>
        <v>-5.6</v>
      </c>
      <c r="I162" s="72" t="n">
        <v>0</v>
      </c>
      <c r="J162" s="72" t="n">
        <f aca="false">'3 Base Saídas'!R152</f>
        <v>5.6</v>
      </c>
      <c r="K162" s="72" t="n">
        <f aca="false">I162-J162</f>
        <v>-5.6</v>
      </c>
      <c r="L162" s="70" t="s">
        <v>850</v>
      </c>
      <c r="M162" s="70" t="s">
        <v>852</v>
      </c>
      <c r="N162" s="70" t="s">
        <v>853</v>
      </c>
      <c r="O162" s="70" t="s">
        <v>431</v>
      </c>
    </row>
    <row r="163" customFormat="false" ht="15" hidden="false" customHeight="false" outlineLevel="0" collapsed="false">
      <c r="A163" s="71" t="n">
        <v>46284</v>
      </c>
      <c r="B163" s="70" t="s">
        <v>1732</v>
      </c>
      <c r="C163" s="70" t="s">
        <v>322</v>
      </c>
      <c r="D163" s="70" t="s">
        <v>323</v>
      </c>
      <c r="E163" s="70" t="s">
        <v>522</v>
      </c>
      <c r="F163" s="70" t="s">
        <v>405</v>
      </c>
      <c r="G163" s="70" t="s">
        <v>65</v>
      </c>
      <c r="H163" s="72" t="n">
        <f aca="false">'3 Base Saídas'!H153</f>
        <v>-5.6</v>
      </c>
      <c r="I163" s="72" t="n">
        <v>0</v>
      </c>
      <c r="J163" s="72" t="n">
        <f aca="false">'3 Base Saídas'!R153</f>
        <v>5.6</v>
      </c>
      <c r="K163" s="72" t="n">
        <f aca="false">I163-J163</f>
        <v>-5.6</v>
      </c>
      <c r="L163" s="70" t="s">
        <v>661</v>
      </c>
      <c r="M163" s="70" t="s">
        <v>663</v>
      </c>
      <c r="N163" s="70" t="s">
        <v>664</v>
      </c>
      <c r="O163" s="70" t="s">
        <v>523</v>
      </c>
    </row>
    <row r="164" customFormat="false" ht="15" hidden="false" customHeight="false" outlineLevel="0" collapsed="false">
      <c r="A164" s="71" t="n">
        <v>46284</v>
      </c>
      <c r="B164" s="70" t="s">
        <v>1732</v>
      </c>
      <c r="C164" s="70" t="s">
        <v>322</v>
      </c>
      <c r="D164" s="70" t="s">
        <v>323</v>
      </c>
      <c r="E164" s="70" t="s">
        <v>522</v>
      </c>
      <c r="F164" s="70" t="s">
        <v>405</v>
      </c>
      <c r="G164" s="70" t="s">
        <v>65</v>
      </c>
      <c r="H164" s="72" t="n">
        <f aca="false">'3 Base Saídas'!H154</f>
        <v>-2.8</v>
      </c>
      <c r="I164" s="72" t="n">
        <v>0</v>
      </c>
      <c r="J164" s="72" t="n">
        <f aca="false">'3 Base Saídas'!R154</f>
        <v>2.8</v>
      </c>
      <c r="K164" s="72" t="n">
        <f aca="false">I164-J164</f>
        <v>-2.8</v>
      </c>
      <c r="L164" s="70" t="s">
        <v>731</v>
      </c>
      <c r="M164" s="70" t="s">
        <v>581</v>
      </c>
      <c r="N164" s="70" t="s">
        <v>582</v>
      </c>
      <c r="O164" s="70" t="s">
        <v>444</v>
      </c>
    </row>
    <row r="165" customFormat="false" ht="15" hidden="false" customHeight="false" outlineLevel="0" collapsed="false">
      <c r="A165" s="71" t="n">
        <v>46284</v>
      </c>
      <c r="B165" s="70" t="s">
        <v>1732</v>
      </c>
      <c r="C165" s="70" t="s">
        <v>322</v>
      </c>
      <c r="D165" s="70" t="s">
        <v>323</v>
      </c>
      <c r="E165" s="70" t="s">
        <v>522</v>
      </c>
      <c r="F165" s="70" t="s">
        <v>405</v>
      </c>
      <c r="G165" s="70" t="s">
        <v>65</v>
      </c>
      <c r="H165" s="72" t="n">
        <f aca="false">'3 Base Saídas'!H155</f>
        <v>-2.8</v>
      </c>
      <c r="I165" s="72" t="n">
        <v>0</v>
      </c>
      <c r="J165" s="72" t="n">
        <f aca="false">'3 Base Saídas'!R155</f>
        <v>2.8</v>
      </c>
      <c r="K165" s="72" t="n">
        <f aca="false">I165-J165</f>
        <v>-2.8</v>
      </c>
      <c r="L165" s="70" t="s">
        <v>854</v>
      </c>
      <c r="M165" s="70" t="s">
        <v>856</v>
      </c>
      <c r="N165" s="70" t="s">
        <v>857</v>
      </c>
      <c r="O165" s="70" t="s">
        <v>444</v>
      </c>
    </row>
    <row r="166" customFormat="false" ht="15" hidden="false" customHeight="false" outlineLevel="0" collapsed="false">
      <c r="A166" s="71" t="n">
        <v>46284</v>
      </c>
      <c r="B166" s="70" t="s">
        <v>1732</v>
      </c>
      <c r="C166" s="70" t="s">
        <v>322</v>
      </c>
      <c r="D166" s="70" t="s">
        <v>323</v>
      </c>
      <c r="E166" s="70" t="s">
        <v>522</v>
      </c>
      <c r="F166" s="70" t="s">
        <v>405</v>
      </c>
      <c r="G166" s="70" t="s">
        <v>65</v>
      </c>
      <c r="H166" s="72" t="n">
        <f aca="false">'3 Base Saídas'!H156</f>
        <v>-11.2</v>
      </c>
      <c r="I166" s="72" t="n">
        <v>0</v>
      </c>
      <c r="J166" s="72" t="n">
        <f aca="false">'3 Base Saídas'!R156</f>
        <v>11.2</v>
      </c>
      <c r="K166" s="72" t="n">
        <f aca="false">I166-J166</f>
        <v>-11.2</v>
      </c>
      <c r="L166" s="70" t="s">
        <v>858</v>
      </c>
      <c r="M166" s="70" t="s">
        <v>860</v>
      </c>
      <c r="N166" s="70" t="s">
        <v>861</v>
      </c>
      <c r="O166" s="70" t="s">
        <v>444</v>
      </c>
    </row>
    <row r="167" customFormat="false" ht="15" hidden="false" customHeight="false" outlineLevel="0" collapsed="false">
      <c r="A167" s="71" t="n">
        <v>46284</v>
      </c>
      <c r="B167" s="70" t="s">
        <v>1732</v>
      </c>
      <c r="C167" s="70" t="s">
        <v>322</v>
      </c>
      <c r="D167" s="70" t="s">
        <v>323</v>
      </c>
      <c r="E167" s="70" t="s">
        <v>522</v>
      </c>
      <c r="F167" s="70" t="s">
        <v>405</v>
      </c>
      <c r="G167" s="70" t="s">
        <v>65</v>
      </c>
      <c r="H167" s="72" t="n">
        <f aca="false">'3 Base Saídas'!H157</f>
        <v>-5.6</v>
      </c>
      <c r="I167" s="72" t="n">
        <v>0</v>
      </c>
      <c r="J167" s="72" t="n">
        <f aca="false">'3 Base Saídas'!R157</f>
        <v>5.6</v>
      </c>
      <c r="K167" s="72" t="n">
        <f aca="false">I167-J167</f>
        <v>-5.6</v>
      </c>
      <c r="L167" s="70" t="s">
        <v>733</v>
      </c>
      <c r="M167" s="70" t="s">
        <v>735</v>
      </c>
      <c r="N167" s="70" t="s">
        <v>736</v>
      </c>
      <c r="O167" s="70" t="s">
        <v>444</v>
      </c>
    </row>
    <row r="168" customFormat="false" ht="15" hidden="false" customHeight="false" outlineLevel="0" collapsed="false">
      <c r="A168" s="71" t="n">
        <v>46284</v>
      </c>
      <c r="B168" s="70" t="s">
        <v>1732</v>
      </c>
      <c r="C168" s="70" t="s">
        <v>322</v>
      </c>
      <c r="D168" s="70" t="s">
        <v>323</v>
      </c>
      <c r="E168" s="70" t="s">
        <v>522</v>
      </c>
      <c r="F168" s="70" t="s">
        <v>405</v>
      </c>
      <c r="G168" s="70" t="s">
        <v>65</v>
      </c>
      <c r="H168" s="72" t="n">
        <f aca="false">'3 Base Saídas'!H158</f>
        <v>-16.8</v>
      </c>
      <c r="I168" s="72" t="n">
        <v>0</v>
      </c>
      <c r="J168" s="72" t="n">
        <f aca="false">'3 Base Saídas'!R158</f>
        <v>16.8</v>
      </c>
      <c r="K168" s="72" t="n">
        <f aca="false">I168-J168</f>
        <v>-16.8</v>
      </c>
      <c r="L168" s="70" t="s">
        <v>655</v>
      </c>
      <c r="M168" s="70" t="s">
        <v>657</v>
      </c>
      <c r="N168" s="70" t="s">
        <v>658</v>
      </c>
      <c r="O168" s="70" t="s">
        <v>431</v>
      </c>
    </row>
    <row r="169" customFormat="false" ht="15" hidden="false" customHeight="false" outlineLevel="0" collapsed="false">
      <c r="A169" s="71" t="n">
        <v>46284</v>
      </c>
      <c r="B169" s="70" t="s">
        <v>1732</v>
      </c>
      <c r="C169" s="70" t="s">
        <v>252</v>
      </c>
      <c r="D169" s="70" t="s">
        <v>253</v>
      </c>
      <c r="E169" s="70" t="s">
        <v>1113</v>
      </c>
      <c r="F169" s="70" t="s">
        <v>405</v>
      </c>
      <c r="G169" s="70" t="s">
        <v>65</v>
      </c>
      <c r="H169" s="72" t="n">
        <f aca="false">'3 Base Saídas'!H259</f>
        <v>-4</v>
      </c>
      <c r="I169" s="72" t="n">
        <v>0</v>
      </c>
      <c r="J169" s="72" t="n">
        <f aca="false">'3 Base Saídas'!R259</f>
        <v>4</v>
      </c>
      <c r="K169" s="72" t="n">
        <f aca="false">I169-J169</f>
        <v>-4</v>
      </c>
      <c r="L169" s="70" t="s">
        <v>661</v>
      </c>
      <c r="M169" s="70" t="s">
        <v>663</v>
      </c>
      <c r="N169" s="70" t="s">
        <v>664</v>
      </c>
      <c r="O169" s="70" t="s">
        <v>523</v>
      </c>
    </row>
    <row r="170" customFormat="false" ht="15" hidden="false" customHeight="false" outlineLevel="0" collapsed="false">
      <c r="A170" s="71" t="n">
        <v>46284</v>
      </c>
      <c r="B170" s="70" t="s">
        <v>1732</v>
      </c>
      <c r="C170" s="70" t="s">
        <v>252</v>
      </c>
      <c r="D170" s="70" t="s">
        <v>253</v>
      </c>
      <c r="E170" s="70" t="s">
        <v>1113</v>
      </c>
      <c r="F170" s="70" t="s">
        <v>405</v>
      </c>
      <c r="G170" s="70" t="s">
        <v>65</v>
      </c>
      <c r="H170" s="72" t="n">
        <f aca="false">'3 Base Saídas'!H260</f>
        <v>-4</v>
      </c>
      <c r="I170" s="72" t="n">
        <v>0</v>
      </c>
      <c r="J170" s="72" t="n">
        <f aca="false">'3 Base Saídas'!R260</f>
        <v>4</v>
      </c>
      <c r="K170" s="72" t="n">
        <f aca="false">I170-J170</f>
        <v>-4</v>
      </c>
      <c r="L170" s="70" t="s">
        <v>1129</v>
      </c>
      <c r="M170" s="70" t="s">
        <v>1131</v>
      </c>
      <c r="N170" s="70" t="s">
        <v>1132</v>
      </c>
      <c r="O170" s="70" t="s">
        <v>444</v>
      </c>
    </row>
    <row r="171" customFormat="false" ht="15" hidden="false" customHeight="false" outlineLevel="0" collapsed="false">
      <c r="A171" s="71" t="n">
        <v>46284</v>
      </c>
      <c r="B171" s="70" t="s">
        <v>1732</v>
      </c>
      <c r="C171" s="70" t="s">
        <v>257</v>
      </c>
      <c r="D171" s="70" t="s">
        <v>258</v>
      </c>
      <c r="E171" s="70" t="s">
        <v>1152</v>
      </c>
      <c r="F171" s="70" t="s">
        <v>405</v>
      </c>
      <c r="G171" s="70" t="s">
        <v>65</v>
      </c>
      <c r="H171" s="72" t="n">
        <f aca="false">'3 Base Saídas'!H279</f>
        <v>-6</v>
      </c>
      <c r="I171" s="72" t="n">
        <v>0</v>
      </c>
      <c r="J171" s="72" t="n">
        <f aca="false">'3 Base Saídas'!R279</f>
        <v>6</v>
      </c>
      <c r="K171" s="72" t="n">
        <f aca="false">I171-J171</f>
        <v>-6</v>
      </c>
      <c r="L171" s="70" t="s">
        <v>731</v>
      </c>
      <c r="M171" s="70" t="s">
        <v>581</v>
      </c>
      <c r="N171" s="70" t="s">
        <v>582</v>
      </c>
      <c r="O171" s="70" t="s">
        <v>444</v>
      </c>
    </row>
    <row r="172" customFormat="false" ht="15" hidden="false" customHeight="false" outlineLevel="0" collapsed="false">
      <c r="A172" s="71" t="n">
        <v>46284</v>
      </c>
      <c r="B172" s="70" t="s">
        <v>1732</v>
      </c>
      <c r="C172" s="70" t="s">
        <v>257</v>
      </c>
      <c r="D172" s="70" t="s">
        <v>258</v>
      </c>
      <c r="E172" s="70" t="s">
        <v>1152</v>
      </c>
      <c r="F172" s="70" t="s">
        <v>405</v>
      </c>
      <c r="G172" s="70" t="s">
        <v>65</v>
      </c>
      <c r="H172" s="72" t="n">
        <f aca="false">'3 Base Saídas'!H280</f>
        <v>-12</v>
      </c>
      <c r="I172" s="72" t="n">
        <v>0</v>
      </c>
      <c r="J172" s="72" t="n">
        <f aca="false">'3 Base Saídas'!R280</f>
        <v>12</v>
      </c>
      <c r="K172" s="72" t="n">
        <f aca="false">I172-J172</f>
        <v>-12</v>
      </c>
      <c r="L172" s="70" t="s">
        <v>737</v>
      </c>
      <c r="M172" s="70" t="s">
        <v>573</v>
      </c>
      <c r="N172" s="70" t="s">
        <v>574</v>
      </c>
      <c r="O172" s="70" t="s">
        <v>431</v>
      </c>
    </row>
    <row r="173" customFormat="false" ht="15" hidden="false" customHeight="false" outlineLevel="0" collapsed="false">
      <c r="A173" s="71" t="n">
        <v>46284</v>
      </c>
      <c r="B173" s="70" t="s">
        <v>1732</v>
      </c>
      <c r="C173" s="70" t="s">
        <v>309</v>
      </c>
      <c r="D173" s="70" t="s">
        <v>395</v>
      </c>
      <c r="E173" s="70" t="s">
        <v>404</v>
      </c>
      <c r="F173" s="70" t="s">
        <v>405</v>
      </c>
      <c r="G173" s="70" t="s">
        <v>65</v>
      </c>
      <c r="H173" s="72" t="n">
        <f aca="false">'3 Base Saídas'!H393</f>
        <v>-40.2</v>
      </c>
      <c r="I173" s="72" t="n">
        <v>0</v>
      </c>
      <c r="J173" s="72" t="n">
        <f aca="false">'3 Base Saídas'!R393</f>
        <v>40.2</v>
      </c>
      <c r="K173" s="72" t="n">
        <f aca="false">I173-J173</f>
        <v>-40.2</v>
      </c>
      <c r="L173" s="70" t="s">
        <v>737</v>
      </c>
      <c r="M173" s="70" t="s">
        <v>573</v>
      </c>
      <c r="N173" s="70" t="s">
        <v>574</v>
      </c>
      <c r="O173" s="70" t="s">
        <v>431</v>
      </c>
    </row>
    <row r="174" customFormat="false" ht="15" hidden="false" customHeight="false" outlineLevel="0" collapsed="false">
      <c r="A174" s="71" t="n">
        <v>46285</v>
      </c>
      <c r="B174" s="70" t="s">
        <v>1732</v>
      </c>
      <c r="C174" s="70" t="s">
        <v>201</v>
      </c>
      <c r="D174" s="70" t="s">
        <v>202</v>
      </c>
      <c r="E174" s="70" t="s">
        <v>522</v>
      </c>
      <c r="F174" s="70" t="s">
        <v>405</v>
      </c>
      <c r="G174" s="70" t="s">
        <v>65</v>
      </c>
      <c r="H174" s="72" t="n">
        <f aca="false">'3 Base Saídas'!H65</f>
        <v>-8.4</v>
      </c>
      <c r="I174" s="72" t="n">
        <v>0</v>
      </c>
      <c r="J174" s="72" t="n">
        <f aca="false">'3 Base Saídas'!R65</f>
        <v>8.4</v>
      </c>
      <c r="K174" s="72" t="n">
        <f aca="false">I174-J174</f>
        <v>-8.4</v>
      </c>
      <c r="L174" s="70" t="s">
        <v>643</v>
      </c>
      <c r="M174" s="70" t="s">
        <v>645</v>
      </c>
      <c r="N174" s="70" t="s">
        <v>646</v>
      </c>
      <c r="O174" s="70" t="s">
        <v>407</v>
      </c>
    </row>
    <row r="175" customFormat="false" ht="15" hidden="false" customHeight="false" outlineLevel="0" collapsed="false">
      <c r="A175" s="71" t="n">
        <v>46285</v>
      </c>
      <c r="B175" s="70" t="s">
        <v>1732</v>
      </c>
      <c r="C175" s="70" t="s">
        <v>201</v>
      </c>
      <c r="D175" s="70" t="s">
        <v>202</v>
      </c>
      <c r="E175" s="70" t="s">
        <v>522</v>
      </c>
      <c r="F175" s="70" t="s">
        <v>405</v>
      </c>
      <c r="G175" s="70" t="s">
        <v>65</v>
      </c>
      <c r="H175" s="72" t="n">
        <f aca="false">'3 Base Saídas'!H66</f>
        <v>-5.6</v>
      </c>
      <c r="I175" s="72" t="n">
        <v>0</v>
      </c>
      <c r="J175" s="72" t="n">
        <f aca="false">'3 Base Saídas'!R66</f>
        <v>5.6</v>
      </c>
      <c r="K175" s="72" t="n">
        <f aca="false">I175-J175</f>
        <v>-5.6</v>
      </c>
      <c r="L175" s="70" t="s">
        <v>647</v>
      </c>
      <c r="M175" s="70" t="s">
        <v>649</v>
      </c>
      <c r="N175" s="70" t="s">
        <v>650</v>
      </c>
      <c r="O175" s="70" t="s">
        <v>407</v>
      </c>
    </row>
    <row r="176" customFormat="false" ht="15" hidden="false" customHeight="false" outlineLevel="0" collapsed="false">
      <c r="A176" s="71" t="n">
        <v>46285</v>
      </c>
      <c r="B176" s="70" t="s">
        <v>1732</v>
      </c>
      <c r="C176" s="70" t="s">
        <v>201</v>
      </c>
      <c r="D176" s="70" t="s">
        <v>202</v>
      </c>
      <c r="E176" s="70" t="s">
        <v>522</v>
      </c>
      <c r="F176" s="70" t="s">
        <v>405</v>
      </c>
      <c r="G176" s="70" t="s">
        <v>65</v>
      </c>
      <c r="H176" s="72" t="n">
        <f aca="false">'3 Base Saídas'!H67</f>
        <v>-14</v>
      </c>
      <c r="I176" s="72" t="n">
        <v>0</v>
      </c>
      <c r="J176" s="72" t="n">
        <f aca="false">'3 Base Saídas'!R67</f>
        <v>14</v>
      </c>
      <c r="K176" s="72" t="n">
        <f aca="false">I176-J176</f>
        <v>-14</v>
      </c>
      <c r="L176" s="70" t="s">
        <v>651</v>
      </c>
      <c r="M176" s="70" t="s">
        <v>653</v>
      </c>
      <c r="N176" s="70" t="s">
        <v>654</v>
      </c>
      <c r="O176" s="70" t="s">
        <v>444</v>
      </c>
    </row>
    <row r="177" customFormat="false" ht="15" hidden="false" customHeight="false" outlineLevel="0" collapsed="false">
      <c r="A177" s="71" t="n">
        <v>46285</v>
      </c>
      <c r="B177" s="70" t="s">
        <v>1732</v>
      </c>
      <c r="C177" s="70" t="s">
        <v>205</v>
      </c>
      <c r="D177" s="70" t="s">
        <v>209</v>
      </c>
      <c r="E177" s="70" t="s">
        <v>404</v>
      </c>
      <c r="F177" s="70" t="s">
        <v>405</v>
      </c>
      <c r="G177" s="70" t="s">
        <v>65</v>
      </c>
      <c r="H177" s="72" t="n">
        <f aca="false">'3 Base Saídas'!H84</f>
        <v>-100.5</v>
      </c>
      <c r="I177" s="72" t="n">
        <v>0</v>
      </c>
      <c r="J177" s="72" t="n">
        <f aca="false">'3 Base Saídas'!R84</f>
        <v>100.5</v>
      </c>
      <c r="K177" s="72" t="n">
        <f aca="false">I177-J177</f>
        <v>-100.5</v>
      </c>
      <c r="L177" s="70" t="s">
        <v>709</v>
      </c>
      <c r="M177" s="70" t="s">
        <v>711</v>
      </c>
      <c r="N177" s="70" t="s">
        <v>712</v>
      </c>
      <c r="O177" s="70" t="s">
        <v>407</v>
      </c>
    </row>
    <row r="178" customFormat="false" ht="15" hidden="false" customHeight="false" outlineLevel="0" collapsed="false">
      <c r="A178" s="71" t="n">
        <v>46285</v>
      </c>
      <c r="B178" s="70" t="s">
        <v>1732</v>
      </c>
      <c r="C178" s="70" t="s">
        <v>314</v>
      </c>
      <c r="D178" s="70" t="s">
        <v>315</v>
      </c>
      <c r="E178" s="70" t="s">
        <v>522</v>
      </c>
      <c r="F178" s="70" t="s">
        <v>405</v>
      </c>
      <c r="G178" s="70" t="s">
        <v>65</v>
      </c>
      <c r="H178" s="72" t="n">
        <f aca="false">'3 Base Saídas'!H96</f>
        <v>-19.6</v>
      </c>
      <c r="I178" s="72" t="n">
        <v>0</v>
      </c>
      <c r="J178" s="72" t="n">
        <f aca="false">'3 Base Saídas'!R96</f>
        <v>19.6</v>
      </c>
      <c r="K178" s="72" t="n">
        <f aca="false">I178-J178</f>
        <v>-19.6</v>
      </c>
      <c r="L178" s="70" t="s">
        <v>651</v>
      </c>
      <c r="M178" s="70" t="s">
        <v>653</v>
      </c>
      <c r="N178" s="70" t="s">
        <v>654</v>
      </c>
      <c r="O178" s="70" t="s">
        <v>444</v>
      </c>
    </row>
    <row r="179" customFormat="false" ht="15" hidden="false" customHeight="false" outlineLevel="0" collapsed="false">
      <c r="A179" s="71" t="n">
        <v>46285</v>
      </c>
      <c r="B179" s="70" t="s">
        <v>1732</v>
      </c>
      <c r="C179" s="70" t="s">
        <v>322</v>
      </c>
      <c r="D179" s="70" t="s">
        <v>323</v>
      </c>
      <c r="E179" s="70" t="s">
        <v>522</v>
      </c>
      <c r="F179" s="70" t="s">
        <v>405</v>
      </c>
      <c r="G179" s="70" t="s">
        <v>65</v>
      </c>
      <c r="H179" s="72" t="n">
        <f aca="false">'3 Base Saídas'!H149</f>
        <v>-8.4</v>
      </c>
      <c r="I179" s="72" t="n">
        <v>0</v>
      </c>
      <c r="J179" s="72" t="n">
        <f aca="false">'3 Base Saídas'!R149</f>
        <v>8.4</v>
      </c>
      <c r="K179" s="72" t="n">
        <f aca="false">I179-J179</f>
        <v>-8.4</v>
      </c>
      <c r="L179" s="70" t="s">
        <v>643</v>
      </c>
      <c r="M179" s="70" t="s">
        <v>645</v>
      </c>
      <c r="N179" s="70" t="s">
        <v>646</v>
      </c>
      <c r="O179" s="70" t="s">
        <v>407</v>
      </c>
    </row>
    <row r="180" customFormat="false" ht="15" hidden="false" customHeight="false" outlineLevel="0" collapsed="false">
      <c r="A180" s="71" t="n">
        <v>46285</v>
      </c>
      <c r="B180" s="70" t="s">
        <v>1732</v>
      </c>
      <c r="C180" s="70" t="s">
        <v>252</v>
      </c>
      <c r="D180" s="70" t="s">
        <v>253</v>
      </c>
      <c r="E180" s="70" t="s">
        <v>1113</v>
      </c>
      <c r="F180" s="70" t="s">
        <v>405</v>
      </c>
      <c r="G180" s="70" t="s">
        <v>65</v>
      </c>
      <c r="H180" s="72" t="n">
        <f aca="false">'3 Base Saídas'!H258</f>
        <v>-4</v>
      </c>
      <c r="I180" s="72" t="n">
        <v>0</v>
      </c>
      <c r="J180" s="72" t="n">
        <f aca="false">'3 Base Saídas'!R258</f>
        <v>4</v>
      </c>
      <c r="K180" s="72" t="n">
        <f aca="false">I180-J180</f>
        <v>-4</v>
      </c>
      <c r="L180" s="70" t="s">
        <v>651</v>
      </c>
      <c r="M180" s="70" t="s">
        <v>653</v>
      </c>
      <c r="N180" s="70" t="s">
        <v>654</v>
      </c>
      <c r="O180" s="70" t="s">
        <v>444</v>
      </c>
    </row>
    <row r="181" customFormat="false" ht="15" hidden="false" customHeight="false" outlineLevel="0" collapsed="false">
      <c r="A181" s="71" t="n">
        <v>46285</v>
      </c>
      <c r="B181" s="70" t="s">
        <v>1732</v>
      </c>
      <c r="C181" s="70" t="s">
        <v>257</v>
      </c>
      <c r="D181" s="70" t="s">
        <v>258</v>
      </c>
      <c r="E181" s="70" t="s">
        <v>1152</v>
      </c>
      <c r="F181" s="70" t="s">
        <v>405</v>
      </c>
      <c r="G181" s="70" t="s">
        <v>65</v>
      </c>
      <c r="H181" s="72" t="n">
        <f aca="false">'3 Base Saídas'!H276</f>
        <v>-30</v>
      </c>
      <c r="I181" s="72" t="n">
        <v>0</v>
      </c>
      <c r="J181" s="72" t="n">
        <f aca="false">'3 Base Saídas'!R276</f>
        <v>30</v>
      </c>
      <c r="K181" s="72" t="n">
        <f aca="false">I181-J181</f>
        <v>-30</v>
      </c>
      <c r="L181" s="70" t="s">
        <v>1173</v>
      </c>
      <c r="M181" s="70" t="s">
        <v>1175</v>
      </c>
      <c r="N181" s="70" t="s">
        <v>1176</v>
      </c>
      <c r="O181" s="70" t="s">
        <v>407</v>
      </c>
    </row>
    <row r="182" customFormat="false" ht="15" hidden="false" customHeight="false" outlineLevel="0" collapsed="false">
      <c r="A182" s="71" t="n">
        <v>46285</v>
      </c>
      <c r="B182" s="70" t="s">
        <v>1732</v>
      </c>
      <c r="C182" s="70" t="s">
        <v>257</v>
      </c>
      <c r="D182" s="70" t="s">
        <v>258</v>
      </c>
      <c r="E182" s="70" t="s">
        <v>1152</v>
      </c>
      <c r="F182" s="70" t="s">
        <v>405</v>
      </c>
      <c r="G182" s="70" t="s">
        <v>65</v>
      </c>
      <c r="H182" s="72" t="n">
        <f aca="false">'3 Base Saídas'!H277</f>
        <v>-6</v>
      </c>
      <c r="I182" s="72" t="n">
        <v>0</v>
      </c>
      <c r="J182" s="72" t="n">
        <f aca="false">'3 Base Saídas'!R277</f>
        <v>6</v>
      </c>
      <c r="K182" s="72" t="n">
        <f aca="false">I182-J182</f>
        <v>-6</v>
      </c>
      <c r="L182" s="70" t="s">
        <v>1177</v>
      </c>
      <c r="M182" s="70" t="s">
        <v>1179</v>
      </c>
      <c r="N182" s="70" t="s">
        <v>1180</v>
      </c>
      <c r="O182" s="70" t="s">
        <v>407</v>
      </c>
    </row>
    <row r="183" customFormat="false" ht="15" hidden="false" customHeight="false" outlineLevel="0" collapsed="false">
      <c r="A183" s="71" t="n">
        <v>46285</v>
      </c>
      <c r="B183" s="70" t="s">
        <v>1732</v>
      </c>
      <c r="C183" s="70" t="s">
        <v>257</v>
      </c>
      <c r="D183" s="70" t="s">
        <v>258</v>
      </c>
      <c r="E183" s="70" t="s">
        <v>1152</v>
      </c>
      <c r="F183" s="70" t="s">
        <v>405</v>
      </c>
      <c r="G183" s="70" t="s">
        <v>65</v>
      </c>
      <c r="H183" s="72" t="n">
        <f aca="false">'3 Base Saídas'!H278</f>
        <v>-60</v>
      </c>
      <c r="I183" s="72" t="n">
        <v>0</v>
      </c>
      <c r="J183" s="72" t="n">
        <f aca="false">'3 Base Saídas'!R278</f>
        <v>60</v>
      </c>
      <c r="K183" s="72" t="n">
        <f aca="false">I183-J183</f>
        <v>-60</v>
      </c>
      <c r="L183" s="70" t="s">
        <v>1181</v>
      </c>
      <c r="M183" s="70" t="s">
        <v>971</v>
      </c>
      <c r="N183" s="70" t="s">
        <v>972</v>
      </c>
      <c r="O183" s="70" t="s">
        <v>749</v>
      </c>
    </row>
    <row r="184" customFormat="false" ht="15" hidden="false" customHeight="false" outlineLevel="0" collapsed="false">
      <c r="A184" s="71" t="n">
        <v>46285</v>
      </c>
      <c r="B184" s="70" t="s">
        <v>1732</v>
      </c>
      <c r="C184" s="70" t="s">
        <v>269</v>
      </c>
      <c r="D184" s="70" t="s">
        <v>270</v>
      </c>
      <c r="E184" s="70" t="s">
        <v>1206</v>
      </c>
      <c r="F184" s="70" t="s">
        <v>405</v>
      </c>
      <c r="G184" s="70" t="s">
        <v>65</v>
      </c>
      <c r="H184" s="72" t="n">
        <f aca="false">'3 Base Saídas'!H298</f>
        <v>-6</v>
      </c>
      <c r="I184" s="72" t="n">
        <v>0</v>
      </c>
      <c r="J184" s="72" t="n">
        <f aca="false">'3 Base Saídas'!R298</f>
        <v>6</v>
      </c>
      <c r="K184" s="72" t="n">
        <f aca="false">I184-J184</f>
        <v>-6</v>
      </c>
      <c r="L184" s="70" t="s">
        <v>651</v>
      </c>
      <c r="M184" s="70" t="s">
        <v>653</v>
      </c>
      <c r="N184" s="70" t="s">
        <v>654</v>
      </c>
      <c r="O184" s="70" t="s">
        <v>444</v>
      </c>
    </row>
    <row r="185" customFormat="false" ht="15" hidden="false" customHeight="false" outlineLevel="0" collapsed="false">
      <c r="A185" s="71" t="n">
        <v>46285</v>
      </c>
      <c r="B185" s="70" t="s">
        <v>1732</v>
      </c>
      <c r="C185" s="70" t="s">
        <v>276</v>
      </c>
      <c r="D185" s="70" t="s">
        <v>278</v>
      </c>
      <c r="E185" s="70" t="s">
        <v>404</v>
      </c>
      <c r="F185" s="70" t="s">
        <v>405</v>
      </c>
      <c r="G185" s="70" t="s">
        <v>65</v>
      </c>
      <c r="H185" s="72" t="n">
        <f aca="false">'3 Base Saídas'!H344</f>
        <v>-20.1</v>
      </c>
      <c r="I185" s="72" t="n">
        <v>0</v>
      </c>
      <c r="J185" s="72" t="n">
        <f aca="false">'3 Base Saídas'!R344</f>
        <v>20.1</v>
      </c>
      <c r="K185" s="72" t="n">
        <f aca="false">I185-J185</f>
        <v>-20.1</v>
      </c>
      <c r="L185" s="70" t="s">
        <v>1311</v>
      </c>
      <c r="M185" s="70" t="s">
        <v>653</v>
      </c>
      <c r="N185" s="70" t="s">
        <v>654</v>
      </c>
      <c r="O185" s="70" t="s">
        <v>444</v>
      </c>
    </row>
    <row r="186" customFormat="false" ht="15" hidden="false" customHeight="false" outlineLevel="0" collapsed="false">
      <c r="A186" s="71" t="n">
        <v>46285</v>
      </c>
      <c r="B186" s="70" t="s">
        <v>1732</v>
      </c>
      <c r="C186" s="70" t="s">
        <v>276</v>
      </c>
      <c r="D186" s="70" t="s">
        <v>278</v>
      </c>
      <c r="E186" s="70" t="s">
        <v>404</v>
      </c>
      <c r="F186" s="70" t="s">
        <v>405</v>
      </c>
      <c r="G186" s="70" t="s">
        <v>65</v>
      </c>
      <c r="H186" s="72" t="n">
        <f aca="false">'3 Base Saídas'!H345</f>
        <v>-20.1</v>
      </c>
      <c r="I186" s="72" t="n">
        <v>0</v>
      </c>
      <c r="J186" s="72" t="n">
        <f aca="false">'3 Base Saídas'!R345</f>
        <v>20.1</v>
      </c>
      <c r="K186" s="72" t="n">
        <f aca="false">I186-J186</f>
        <v>-20.1</v>
      </c>
      <c r="L186" s="70" t="s">
        <v>1313</v>
      </c>
      <c r="M186" s="70" t="s">
        <v>1315</v>
      </c>
      <c r="N186" s="70" t="s">
        <v>1316</v>
      </c>
      <c r="O186" s="70" t="s">
        <v>749</v>
      </c>
    </row>
    <row r="187" customFormat="false" ht="15" hidden="false" customHeight="false" outlineLevel="0" collapsed="false">
      <c r="A187" s="71" t="n">
        <v>46286</v>
      </c>
      <c r="B187" s="70" t="s">
        <v>1732</v>
      </c>
      <c r="C187" s="70" t="s">
        <v>201</v>
      </c>
      <c r="D187" s="70" t="s">
        <v>202</v>
      </c>
      <c r="E187" s="70" t="s">
        <v>522</v>
      </c>
      <c r="F187" s="70" t="s">
        <v>405</v>
      </c>
      <c r="G187" s="70" t="s">
        <v>65</v>
      </c>
      <c r="H187" s="72" t="n">
        <f aca="false">'3 Base Saídas'!H63</f>
        <v>-2.8</v>
      </c>
      <c r="I187" s="72" t="n">
        <v>0</v>
      </c>
      <c r="J187" s="72" t="n">
        <f aca="false">'3 Base Saídas'!R63</f>
        <v>2.8</v>
      </c>
      <c r="K187" s="72" t="n">
        <f aca="false">I187-J187</f>
        <v>-2.8</v>
      </c>
      <c r="L187" s="70" t="s">
        <v>637</v>
      </c>
      <c r="M187" s="70" t="s">
        <v>639</v>
      </c>
      <c r="N187" s="70" t="s">
        <v>640</v>
      </c>
      <c r="O187" s="70" t="s">
        <v>481</v>
      </c>
    </row>
    <row r="188" customFormat="false" ht="15" hidden="false" customHeight="false" outlineLevel="0" collapsed="false">
      <c r="A188" s="71" t="n">
        <v>46286</v>
      </c>
      <c r="B188" s="70" t="s">
        <v>1732</v>
      </c>
      <c r="C188" s="70" t="s">
        <v>201</v>
      </c>
      <c r="D188" s="70" t="s">
        <v>202</v>
      </c>
      <c r="E188" s="70" t="s">
        <v>522</v>
      </c>
      <c r="F188" s="70" t="s">
        <v>405</v>
      </c>
      <c r="G188" s="70" t="s">
        <v>65</v>
      </c>
      <c r="H188" s="72" t="n">
        <f aca="false">'3 Base Saídas'!H64</f>
        <v>-5.6</v>
      </c>
      <c r="I188" s="72" t="n">
        <v>0</v>
      </c>
      <c r="J188" s="72" t="n">
        <f aca="false">'3 Base Saídas'!R64</f>
        <v>5.6</v>
      </c>
      <c r="K188" s="72" t="n">
        <f aca="false">I188-J188</f>
        <v>-5.6</v>
      </c>
      <c r="L188" s="70" t="s">
        <v>641</v>
      </c>
      <c r="M188" s="70" t="s">
        <v>585</v>
      </c>
      <c r="N188" s="70" t="s">
        <v>586</v>
      </c>
      <c r="O188" s="70" t="s">
        <v>481</v>
      </c>
    </row>
    <row r="189" customFormat="false" ht="15" hidden="false" customHeight="false" outlineLevel="0" collapsed="false">
      <c r="A189" s="71" t="n">
        <v>46286</v>
      </c>
      <c r="B189" s="70" t="s">
        <v>1732</v>
      </c>
      <c r="C189" s="70" t="s">
        <v>205</v>
      </c>
      <c r="D189" s="70" t="s">
        <v>209</v>
      </c>
      <c r="E189" s="70" t="s">
        <v>404</v>
      </c>
      <c r="F189" s="70" t="s">
        <v>405</v>
      </c>
      <c r="G189" s="70" t="s">
        <v>65</v>
      </c>
      <c r="H189" s="72" t="n">
        <f aca="false">'3 Base Saídas'!H83</f>
        <v>-20.1</v>
      </c>
      <c r="I189" s="72" t="n">
        <v>0</v>
      </c>
      <c r="J189" s="72" t="n">
        <f aca="false">'3 Base Saídas'!R83</f>
        <v>20.1</v>
      </c>
      <c r="K189" s="72" t="n">
        <f aca="false">I189-J189</f>
        <v>-20.1</v>
      </c>
      <c r="L189" s="70" t="s">
        <v>705</v>
      </c>
      <c r="M189" s="70" t="s">
        <v>707</v>
      </c>
      <c r="N189" s="70" t="s">
        <v>708</v>
      </c>
      <c r="O189" s="70" t="s">
        <v>481</v>
      </c>
    </row>
    <row r="190" customFormat="false" ht="15" hidden="false" customHeight="false" outlineLevel="0" collapsed="false">
      <c r="A190" s="71" t="n">
        <v>46286</v>
      </c>
      <c r="B190" s="70" t="s">
        <v>1732</v>
      </c>
      <c r="C190" s="70" t="s">
        <v>314</v>
      </c>
      <c r="D190" s="70" t="s">
        <v>315</v>
      </c>
      <c r="E190" s="70" t="s">
        <v>522</v>
      </c>
      <c r="F190" s="70" t="s">
        <v>405</v>
      </c>
      <c r="G190" s="70" t="s">
        <v>65</v>
      </c>
      <c r="H190" s="72" t="n">
        <f aca="false">'3 Base Saídas'!H92</f>
        <v>-5.6</v>
      </c>
      <c r="I190" s="72" t="n">
        <v>0</v>
      </c>
      <c r="J190" s="72" t="n">
        <f aca="false">'3 Base Saídas'!R92</f>
        <v>5.6</v>
      </c>
      <c r="K190" s="72" t="n">
        <f aca="false">I190-J190</f>
        <v>-5.6</v>
      </c>
      <c r="L190" s="70" t="s">
        <v>721</v>
      </c>
      <c r="M190" s="70" t="s">
        <v>723</v>
      </c>
      <c r="N190" s="70" t="s">
        <v>724</v>
      </c>
      <c r="O190" s="70" t="s">
        <v>481</v>
      </c>
    </row>
    <row r="191" customFormat="false" ht="15" hidden="false" customHeight="false" outlineLevel="0" collapsed="false">
      <c r="A191" s="71" t="n">
        <v>46286</v>
      </c>
      <c r="B191" s="70" t="s">
        <v>1732</v>
      </c>
      <c r="C191" s="70" t="s">
        <v>314</v>
      </c>
      <c r="D191" s="70" t="s">
        <v>315</v>
      </c>
      <c r="E191" s="70" t="s">
        <v>522</v>
      </c>
      <c r="F191" s="70" t="s">
        <v>405</v>
      </c>
      <c r="G191" s="70" t="s">
        <v>65</v>
      </c>
      <c r="H191" s="72" t="n">
        <f aca="false">'3 Base Saídas'!H93</f>
        <v>-2.8</v>
      </c>
      <c r="I191" s="72" t="n">
        <v>0</v>
      </c>
      <c r="J191" s="72" t="n">
        <f aca="false">'3 Base Saídas'!R93</f>
        <v>2.8</v>
      </c>
      <c r="K191" s="72" t="n">
        <f aca="false">I191-J191</f>
        <v>-2.8</v>
      </c>
      <c r="L191" s="70" t="s">
        <v>725</v>
      </c>
      <c r="M191" s="70" t="s">
        <v>589</v>
      </c>
      <c r="N191" s="70" t="s">
        <v>590</v>
      </c>
      <c r="O191" s="70" t="s">
        <v>407</v>
      </c>
    </row>
    <row r="192" customFormat="false" ht="15" hidden="false" customHeight="false" outlineLevel="0" collapsed="false">
      <c r="A192" s="71" t="n">
        <v>46286</v>
      </c>
      <c r="B192" s="70" t="s">
        <v>1732</v>
      </c>
      <c r="C192" s="70" t="s">
        <v>314</v>
      </c>
      <c r="D192" s="70" t="s">
        <v>315</v>
      </c>
      <c r="E192" s="70" t="s">
        <v>522</v>
      </c>
      <c r="F192" s="70" t="s">
        <v>405</v>
      </c>
      <c r="G192" s="70" t="s">
        <v>65</v>
      </c>
      <c r="H192" s="72" t="n">
        <f aca="false">'3 Base Saídas'!H94</f>
        <v>-2.8</v>
      </c>
      <c r="I192" s="72" t="n">
        <v>0</v>
      </c>
      <c r="J192" s="72" t="n">
        <f aca="false">'3 Base Saídas'!R94</f>
        <v>2.8</v>
      </c>
      <c r="K192" s="72" t="n">
        <f aca="false">I192-J192</f>
        <v>-2.8</v>
      </c>
      <c r="L192" s="70" t="s">
        <v>637</v>
      </c>
      <c r="M192" s="70" t="s">
        <v>639</v>
      </c>
      <c r="N192" s="70" t="s">
        <v>640</v>
      </c>
      <c r="O192" s="70" t="s">
        <v>481</v>
      </c>
    </row>
    <row r="193" customFormat="false" ht="15" hidden="false" customHeight="false" outlineLevel="0" collapsed="false">
      <c r="A193" s="71" t="n">
        <v>46286</v>
      </c>
      <c r="B193" s="70" t="s">
        <v>1732</v>
      </c>
      <c r="C193" s="70" t="s">
        <v>314</v>
      </c>
      <c r="D193" s="70" t="s">
        <v>315</v>
      </c>
      <c r="E193" s="70" t="s">
        <v>522</v>
      </c>
      <c r="F193" s="70" t="s">
        <v>405</v>
      </c>
      <c r="G193" s="70" t="s">
        <v>65</v>
      </c>
      <c r="H193" s="72" t="n">
        <f aca="false">'3 Base Saídas'!H95</f>
        <v>-61.6</v>
      </c>
      <c r="I193" s="72" t="n">
        <v>0</v>
      </c>
      <c r="J193" s="72" t="n">
        <f aca="false">'3 Base Saídas'!R95</f>
        <v>61.6</v>
      </c>
      <c r="K193" s="72" t="n">
        <f aca="false">I193-J193</f>
        <v>-61.6</v>
      </c>
      <c r="L193" s="70" t="s">
        <v>727</v>
      </c>
      <c r="M193" s="70" t="s">
        <v>593</v>
      </c>
      <c r="N193" s="70" t="s">
        <v>594</v>
      </c>
      <c r="O193" s="70" t="s">
        <v>481</v>
      </c>
    </row>
    <row r="194" customFormat="false" ht="15" hidden="false" customHeight="false" outlineLevel="0" collapsed="false">
      <c r="A194" s="71" t="n">
        <v>46286</v>
      </c>
      <c r="B194" s="70" t="s">
        <v>1732</v>
      </c>
      <c r="C194" s="70" t="s">
        <v>322</v>
      </c>
      <c r="D194" s="70" t="s">
        <v>323</v>
      </c>
      <c r="E194" s="70" t="s">
        <v>522</v>
      </c>
      <c r="F194" s="70" t="s">
        <v>405</v>
      </c>
      <c r="G194" s="70" t="s">
        <v>65</v>
      </c>
      <c r="H194" s="72" t="n">
        <f aca="false">'3 Base Saídas'!H144</f>
        <v>-2.8</v>
      </c>
      <c r="I194" s="72" t="n">
        <v>0</v>
      </c>
      <c r="J194" s="72" t="n">
        <f aca="false">'3 Base Saídas'!R144</f>
        <v>2.8</v>
      </c>
      <c r="K194" s="72" t="n">
        <f aca="false">I194-J194</f>
        <v>-2.8</v>
      </c>
      <c r="L194" s="70" t="s">
        <v>637</v>
      </c>
      <c r="M194" s="70" t="s">
        <v>639</v>
      </c>
      <c r="N194" s="70" t="s">
        <v>640</v>
      </c>
      <c r="O194" s="70" t="s">
        <v>481</v>
      </c>
    </row>
    <row r="195" customFormat="false" ht="15" hidden="false" customHeight="false" outlineLevel="0" collapsed="false">
      <c r="A195" s="71" t="n">
        <v>46286</v>
      </c>
      <c r="B195" s="70" t="s">
        <v>1732</v>
      </c>
      <c r="C195" s="70" t="s">
        <v>322</v>
      </c>
      <c r="D195" s="70" t="s">
        <v>323</v>
      </c>
      <c r="E195" s="70" t="s">
        <v>522</v>
      </c>
      <c r="F195" s="70" t="s">
        <v>405</v>
      </c>
      <c r="G195" s="70" t="s">
        <v>65</v>
      </c>
      <c r="H195" s="72" t="n">
        <f aca="false">'3 Base Saídas'!H145</f>
        <v>-5.6</v>
      </c>
      <c r="I195" s="72" t="n">
        <v>0</v>
      </c>
      <c r="J195" s="72" t="n">
        <f aca="false">'3 Base Saídas'!R145</f>
        <v>5.6</v>
      </c>
      <c r="K195" s="72" t="n">
        <f aca="false">I195-J195</f>
        <v>-5.6</v>
      </c>
      <c r="L195" s="70" t="s">
        <v>641</v>
      </c>
      <c r="M195" s="70" t="s">
        <v>585</v>
      </c>
      <c r="N195" s="70" t="s">
        <v>586</v>
      </c>
      <c r="O195" s="70" t="s">
        <v>481</v>
      </c>
    </row>
    <row r="196" customFormat="false" ht="15" hidden="false" customHeight="false" outlineLevel="0" collapsed="false">
      <c r="A196" s="71" t="n">
        <v>46286</v>
      </c>
      <c r="B196" s="70" t="s">
        <v>1732</v>
      </c>
      <c r="C196" s="70" t="s">
        <v>322</v>
      </c>
      <c r="D196" s="70" t="s">
        <v>323</v>
      </c>
      <c r="E196" s="70" t="s">
        <v>522</v>
      </c>
      <c r="F196" s="70" t="s">
        <v>405</v>
      </c>
      <c r="G196" s="70" t="s">
        <v>65</v>
      </c>
      <c r="H196" s="72" t="n">
        <f aca="false">'3 Base Saídas'!H146</f>
        <v>-56</v>
      </c>
      <c r="I196" s="72" t="n">
        <v>0</v>
      </c>
      <c r="J196" s="72" t="n">
        <f aca="false">'3 Base Saídas'!R146</f>
        <v>56</v>
      </c>
      <c r="K196" s="72" t="n">
        <f aca="false">I196-J196</f>
        <v>-56</v>
      </c>
      <c r="L196" s="70" t="s">
        <v>727</v>
      </c>
      <c r="M196" s="70" t="s">
        <v>593</v>
      </c>
      <c r="N196" s="70" t="s">
        <v>594</v>
      </c>
      <c r="O196" s="70" t="s">
        <v>481</v>
      </c>
    </row>
    <row r="197" customFormat="false" ht="15" hidden="false" customHeight="false" outlineLevel="0" collapsed="false">
      <c r="A197" s="71" t="n">
        <v>46286</v>
      </c>
      <c r="B197" s="70" t="s">
        <v>1732</v>
      </c>
      <c r="C197" s="70" t="s">
        <v>322</v>
      </c>
      <c r="D197" s="70" t="s">
        <v>323</v>
      </c>
      <c r="E197" s="70" t="s">
        <v>522</v>
      </c>
      <c r="F197" s="70" t="s">
        <v>405</v>
      </c>
      <c r="G197" s="70" t="s">
        <v>65</v>
      </c>
      <c r="H197" s="72" t="n">
        <f aca="false">'3 Base Saídas'!H147</f>
        <v>-2.8</v>
      </c>
      <c r="I197" s="72" t="n">
        <v>0</v>
      </c>
      <c r="J197" s="72" t="n">
        <f aca="false">'3 Base Saídas'!R147</f>
        <v>2.8</v>
      </c>
      <c r="K197" s="72" t="n">
        <f aca="false">I197-J197</f>
        <v>-2.8</v>
      </c>
      <c r="L197" s="70" t="s">
        <v>725</v>
      </c>
      <c r="M197" s="70" t="s">
        <v>589</v>
      </c>
      <c r="N197" s="70" t="s">
        <v>590</v>
      </c>
      <c r="O197" s="70" t="s">
        <v>407</v>
      </c>
    </row>
    <row r="198" customFormat="false" ht="15" hidden="false" customHeight="false" outlineLevel="0" collapsed="false">
      <c r="A198" s="71" t="n">
        <v>46286</v>
      </c>
      <c r="B198" s="70" t="s">
        <v>1732</v>
      </c>
      <c r="C198" s="70" t="s">
        <v>322</v>
      </c>
      <c r="D198" s="70" t="s">
        <v>323</v>
      </c>
      <c r="E198" s="70" t="s">
        <v>522</v>
      </c>
      <c r="F198" s="70" t="s">
        <v>405</v>
      </c>
      <c r="G198" s="70" t="s">
        <v>65</v>
      </c>
      <c r="H198" s="72" t="n">
        <f aca="false">'3 Base Saídas'!H148</f>
        <v>-5.6</v>
      </c>
      <c r="I198" s="72" t="n">
        <v>0</v>
      </c>
      <c r="J198" s="72" t="n">
        <f aca="false">'3 Base Saídas'!R148</f>
        <v>5.6</v>
      </c>
      <c r="K198" s="72" t="n">
        <f aca="false">I198-J198</f>
        <v>-5.6</v>
      </c>
      <c r="L198" s="70" t="s">
        <v>721</v>
      </c>
      <c r="M198" s="70" t="s">
        <v>723</v>
      </c>
      <c r="N198" s="70" t="s">
        <v>724</v>
      </c>
      <c r="O198" s="70" t="s">
        <v>481</v>
      </c>
    </row>
    <row r="199" customFormat="false" ht="15" hidden="false" customHeight="false" outlineLevel="0" collapsed="false">
      <c r="A199" s="71" t="n">
        <v>46286</v>
      </c>
      <c r="B199" s="70" t="s">
        <v>1732</v>
      </c>
      <c r="C199" s="70" t="s">
        <v>232</v>
      </c>
      <c r="D199" s="70" t="s">
        <v>241</v>
      </c>
      <c r="E199" s="70" t="s">
        <v>939</v>
      </c>
      <c r="F199" s="70" t="s">
        <v>416</v>
      </c>
      <c r="G199" s="70" t="s">
        <v>146</v>
      </c>
      <c r="H199" s="72" t="n">
        <f aca="false">'3 Base Saídas'!H227</f>
        <v>-15</v>
      </c>
      <c r="I199" s="72" t="n">
        <v>0</v>
      </c>
      <c r="J199" s="72" t="n">
        <f aca="false">'3 Base Saídas'!R227</f>
        <v>15</v>
      </c>
      <c r="K199" s="72" t="n">
        <f aca="false">I199-J199</f>
        <v>-15</v>
      </c>
      <c r="L199" s="70" t="s">
        <v>1039</v>
      </c>
      <c r="M199" s="70" t="s">
        <v>1041</v>
      </c>
      <c r="N199" s="70" t="s">
        <v>1042</v>
      </c>
      <c r="O199" s="70" t="s">
        <v>426</v>
      </c>
    </row>
    <row r="200" customFormat="false" ht="15" hidden="false" customHeight="false" outlineLevel="0" collapsed="false">
      <c r="A200" s="71" t="n">
        <v>46286</v>
      </c>
      <c r="B200" s="70" t="s">
        <v>1732</v>
      </c>
      <c r="C200" s="70" t="s">
        <v>257</v>
      </c>
      <c r="D200" s="70" t="s">
        <v>258</v>
      </c>
      <c r="E200" s="70" t="s">
        <v>1152</v>
      </c>
      <c r="F200" s="70" t="s">
        <v>405</v>
      </c>
      <c r="G200" s="70" t="s">
        <v>65</v>
      </c>
      <c r="H200" s="72" t="n">
        <f aca="false">'3 Base Saídas'!H274</f>
        <v>-6</v>
      </c>
      <c r="I200" s="72" t="n">
        <v>0</v>
      </c>
      <c r="J200" s="72" t="n">
        <f aca="false">'3 Base Saídas'!R274</f>
        <v>6</v>
      </c>
      <c r="K200" s="72" t="n">
        <f aca="false">I200-J200</f>
        <v>-6</v>
      </c>
      <c r="L200" s="70" t="s">
        <v>1167</v>
      </c>
      <c r="M200" s="70" t="s">
        <v>472</v>
      </c>
      <c r="N200" s="70" t="s">
        <v>473</v>
      </c>
      <c r="O200" s="70" t="s">
        <v>481</v>
      </c>
    </row>
    <row r="201" customFormat="false" ht="15" hidden="false" customHeight="false" outlineLevel="0" collapsed="false">
      <c r="A201" s="71" t="n">
        <v>46286</v>
      </c>
      <c r="B201" s="70" t="s">
        <v>1732</v>
      </c>
      <c r="C201" s="70" t="s">
        <v>257</v>
      </c>
      <c r="D201" s="70" t="s">
        <v>258</v>
      </c>
      <c r="E201" s="70" t="s">
        <v>1152</v>
      </c>
      <c r="F201" s="70" t="s">
        <v>405</v>
      </c>
      <c r="G201" s="70" t="s">
        <v>65</v>
      </c>
      <c r="H201" s="72" t="n">
        <f aca="false">'3 Base Saídas'!H275</f>
        <v>-18</v>
      </c>
      <c r="I201" s="72" t="n">
        <v>0</v>
      </c>
      <c r="J201" s="72" t="n">
        <f aca="false">'3 Base Saídas'!R275</f>
        <v>18</v>
      </c>
      <c r="K201" s="72" t="n">
        <f aca="false">I201-J201</f>
        <v>-18</v>
      </c>
      <c r="L201" s="70" t="s">
        <v>1169</v>
      </c>
      <c r="M201" s="70" t="s">
        <v>1171</v>
      </c>
      <c r="N201" s="70" t="s">
        <v>1172</v>
      </c>
      <c r="O201" s="70" t="s">
        <v>407</v>
      </c>
    </row>
    <row r="202" customFormat="false" ht="15" hidden="false" customHeight="false" outlineLevel="0" collapsed="false">
      <c r="A202" s="71" t="n">
        <v>46286</v>
      </c>
      <c r="B202" s="70" t="str">
        <f aca="false">'3 Base Entrada 2008'!K72</f>
        <v>Entrada</v>
      </c>
      <c r="C202" s="70" t="s">
        <v>269</v>
      </c>
      <c r="D202" s="70" t="s">
        <v>270</v>
      </c>
      <c r="E202" s="70" t="s">
        <v>1206</v>
      </c>
      <c r="F202" s="70" t="s">
        <v>188</v>
      </c>
      <c r="G202" s="70" t="s">
        <v>65</v>
      </c>
      <c r="H202" s="72" t="n">
        <f aca="false">'3 Base Entrada 2008'!G72</f>
        <v>-54</v>
      </c>
      <c r="I202" s="72" t="n">
        <f aca="false">'3 Base Entrada 2008'!L72</f>
        <v>54</v>
      </c>
      <c r="J202" s="72" t="n">
        <v>0</v>
      </c>
      <c r="K202" s="72" t="n">
        <f aca="false">I202-J202</f>
        <v>54</v>
      </c>
      <c r="L202" s="70" t="s">
        <v>268</v>
      </c>
      <c r="M202" s="70"/>
      <c r="N202" s="70"/>
      <c r="O202" s="70"/>
    </row>
    <row r="203" customFormat="false" ht="15" hidden="false" customHeight="false" outlineLevel="0" collapsed="false">
      <c r="A203" s="71" t="n">
        <v>46286</v>
      </c>
      <c r="B203" s="70" t="str">
        <f aca="false">'3 Base Entrada 2008'!K73</f>
        <v>Entrada</v>
      </c>
      <c r="C203" s="70" t="s">
        <v>269</v>
      </c>
      <c r="D203" s="70" t="s">
        <v>270</v>
      </c>
      <c r="E203" s="70" t="s">
        <v>1206</v>
      </c>
      <c r="F203" s="70" t="s">
        <v>188</v>
      </c>
      <c r="G203" s="70" t="s">
        <v>65</v>
      </c>
      <c r="H203" s="72" t="n">
        <f aca="false">'3 Base Entrada 2008'!G73</f>
        <v>-432</v>
      </c>
      <c r="I203" s="72" t="n">
        <f aca="false">'3 Base Entrada 2008'!L73</f>
        <v>432</v>
      </c>
      <c r="J203" s="72" t="n">
        <v>0</v>
      </c>
      <c r="K203" s="72" t="n">
        <f aca="false">I203-J203</f>
        <v>432</v>
      </c>
      <c r="L203" s="70" t="s">
        <v>268</v>
      </c>
      <c r="M203" s="70"/>
      <c r="N203" s="70"/>
      <c r="O203" s="70"/>
    </row>
    <row r="204" customFormat="false" ht="15" hidden="false" customHeight="false" outlineLevel="0" collapsed="false">
      <c r="A204" s="71" t="n">
        <v>46286</v>
      </c>
      <c r="B204" s="70" t="str">
        <f aca="false">'3 Base Entrada 2008'!K74</f>
        <v>Entrada</v>
      </c>
      <c r="C204" s="70" t="s">
        <v>269</v>
      </c>
      <c r="D204" s="70" t="s">
        <v>270</v>
      </c>
      <c r="E204" s="70" t="s">
        <v>1206</v>
      </c>
      <c r="F204" s="70" t="s">
        <v>188</v>
      </c>
      <c r="G204" s="70" t="s">
        <v>65</v>
      </c>
      <c r="H204" s="72" t="n">
        <f aca="false">'3 Base Entrada 2008'!G74</f>
        <v>-432</v>
      </c>
      <c r="I204" s="72" t="n">
        <f aca="false">'3 Base Entrada 2008'!L74</f>
        <v>432</v>
      </c>
      <c r="J204" s="72" t="n">
        <v>0</v>
      </c>
      <c r="K204" s="72" t="n">
        <f aca="false">I204-J204</f>
        <v>432</v>
      </c>
      <c r="L204" s="70" t="s">
        <v>268</v>
      </c>
      <c r="M204" s="70"/>
      <c r="N204" s="70"/>
      <c r="O204" s="70"/>
    </row>
    <row r="205" customFormat="false" ht="15" hidden="false" customHeight="false" outlineLevel="0" collapsed="false">
      <c r="A205" s="71" t="n">
        <v>46286</v>
      </c>
      <c r="B205" s="70" t="s">
        <v>1732</v>
      </c>
      <c r="C205" s="70" t="s">
        <v>276</v>
      </c>
      <c r="D205" s="70" t="s">
        <v>370</v>
      </c>
      <c r="E205" s="70" t="s">
        <v>404</v>
      </c>
      <c r="F205" s="70" t="s">
        <v>416</v>
      </c>
      <c r="G205" s="70" t="s">
        <v>65</v>
      </c>
      <c r="H205" s="72" t="n">
        <f aca="false">'3 Base Saídas'!H343</f>
        <v>-40.2</v>
      </c>
      <c r="I205" s="72" t="n">
        <v>0</v>
      </c>
      <c r="J205" s="72" t="n">
        <f aca="false">'3 Base Saídas'!R343</f>
        <v>40.2</v>
      </c>
      <c r="K205" s="72" t="n">
        <f aca="false">I205-J205</f>
        <v>-40.2</v>
      </c>
      <c r="L205" s="70" t="s">
        <v>1309</v>
      </c>
      <c r="M205" s="70" t="s">
        <v>1091</v>
      </c>
      <c r="N205" s="70" t="s">
        <v>1092</v>
      </c>
      <c r="O205" s="70" t="s">
        <v>426</v>
      </c>
    </row>
    <row r="206" customFormat="false" ht="15" hidden="false" customHeight="false" outlineLevel="0" collapsed="false">
      <c r="A206" s="71" t="n">
        <v>46286</v>
      </c>
      <c r="B206" s="70" t="s">
        <v>1732</v>
      </c>
      <c r="C206" s="70" t="s">
        <v>309</v>
      </c>
      <c r="D206" s="70" t="s">
        <v>395</v>
      </c>
      <c r="E206" s="70" t="s">
        <v>404</v>
      </c>
      <c r="F206" s="70" t="s">
        <v>405</v>
      </c>
      <c r="G206" s="70" t="s">
        <v>65</v>
      </c>
      <c r="H206" s="72" t="n">
        <f aca="false">'3 Base Saídas'!H392</f>
        <v>-40.2</v>
      </c>
      <c r="I206" s="72" t="n">
        <v>0</v>
      </c>
      <c r="J206" s="72" t="n">
        <f aca="false">'3 Base Saídas'!R392</f>
        <v>40.2</v>
      </c>
      <c r="K206" s="72" t="n">
        <f aca="false">I206-J206</f>
        <v>-40.2</v>
      </c>
      <c r="L206" s="70" t="s">
        <v>641</v>
      </c>
      <c r="M206" s="70" t="s">
        <v>585</v>
      </c>
      <c r="N206" s="70" t="s">
        <v>586</v>
      </c>
      <c r="O206" s="70" t="s">
        <v>481</v>
      </c>
    </row>
    <row r="207" customFormat="false" ht="15" hidden="false" customHeight="false" outlineLevel="0" collapsed="false">
      <c r="A207" s="71" t="n">
        <v>46287</v>
      </c>
      <c r="B207" s="70" t="s">
        <v>1732</v>
      </c>
      <c r="C207" s="70" t="s">
        <v>198</v>
      </c>
      <c r="D207" s="70" t="s">
        <v>199</v>
      </c>
      <c r="E207" s="70" t="s">
        <v>522</v>
      </c>
      <c r="F207" s="70" t="s">
        <v>416</v>
      </c>
      <c r="G207" s="70" t="s">
        <v>65</v>
      </c>
      <c r="H207" s="72" t="n">
        <f aca="false">'3 Base Saídas'!H54</f>
        <v>-11.2</v>
      </c>
      <c r="I207" s="72" t="n">
        <v>0</v>
      </c>
      <c r="J207" s="72" t="n">
        <f aca="false">'3 Base Saídas'!R54</f>
        <v>11.2</v>
      </c>
      <c r="K207" s="72" t="n">
        <f aca="false">I207-J207</f>
        <v>-11.2</v>
      </c>
      <c r="L207" s="70" t="s">
        <v>609</v>
      </c>
      <c r="M207" s="70" t="s">
        <v>611</v>
      </c>
      <c r="N207" s="70" t="s">
        <v>612</v>
      </c>
      <c r="O207" s="70" t="s">
        <v>426</v>
      </c>
    </row>
    <row r="208" customFormat="false" ht="15" hidden="false" customHeight="false" outlineLevel="0" collapsed="false">
      <c r="A208" s="71" t="n">
        <v>46287</v>
      </c>
      <c r="B208" s="70" t="s">
        <v>1732</v>
      </c>
      <c r="C208" s="70" t="s">
        <v>314</v>
      </c>
      <c r="D208" s="70" t="s">
        <v>315</v>
      </c>
      <c r="E208" s="70" t="s">
        <v>522</v>
      </c>
      <c r="F208" s="70" t="s">
        <v>416</v>
      </c>
      <c r="G208" s="70" t="s">
        <v>65</v>
      </c>
      <c r="H208" s="72" t="n">
        <f aca="false">'3 Base Saídas'!H91</f>
        <v>-11.2</v>
      </c>
      <c r="I208" s="72" t="n">
        <v>0</v>
      </c>
      <c r="J208" s="72" t="n">
        <f aca="false">'3 Base Saídas'!R91</f>
        <v>11.2</v>
      </c>
      <c r="K208" s="72" t="n">
        <f aca="false">I208-J208</f>
        <v>-11.2</v>
      </c>
      <c r="L208" s="70" t="s">
        <v>609</v>
      </c>
      <c r="M208" s="70" t="s">
        <v>611</v>
      </c>
      <c r="N208" s="70" t="s">
        <v>612</v>
      </c>
      <c r="O208" s="70" t="s">
        <v>426</v>
      </c>
    </row>
    <row r="209" customFormat="false" ht="15" hidden="false" customHeight="false" outlineLevel="0" collapsed="false">
      <c r="A209" s="71" t="n">
        <v>46287</v>
      </c>
      <c r="B209" s="70" t="s">
        <v>1732</v>
      </c>
      <c r="C209" s="70" t="s">
        <v>322</v>
      </c>
      <c r="D209" s="70" t="s">
        <v>323</v>
      </c>
      <c r="E209" s="70" t="s">
        <v>522</v>
      </c>
      <c r="F209" s="70" t="s">
        <v>405</v>
      </c>
      <c r="G209" s="70" t="s">
        <v>65</v>
      </c>
      <c r="H209" s="72" t="n">
        <f aca="false">'3 Base Saídas'!H143</f>
        <v>-42</v>
      </c>
      <c r="I209" s="72" t="n">
        <v>0</v>
      </c>
      <c r="J209" s="72" t="n">
        <f aca="false">'3 Base Saídas'!R143</f>
        <v>42</v>
      </c>
      <c r="K209" s="72" t="n">
        <f aca="false">I209-J209</f>
        <v>-42</v>
      </c>
      <c r="L209" s="70" t="s">
        <v>846</v>
      </c>
      <c r="M209" s="70" t="s">
        <v>848</v>
      </c>
      <c r="N209" s="70" t="s">
        <v>849</v>
      </c>
      <c r="O209" s="70" t="s">
        <v>407</v>
      </c>
    </row>
    <row r="210" customFormat="false" ht="15" hidden="false" customHeight="false" outlineLevel="0" collapsed="false">
      <c r="A210" s="71" t="n">
        <v>46287</v>
      </c>
      <c r="B210" s="70" t="s">
        <v>1732</v>
      </c>
      <c r="C210" s="70" t="s">
        <v>250</v>
      </c>
      <c r="D210" s="70" t="s">
        <v>251</v>
      </c>
      <c r="E210" s="70" t="s">
        <v>1104</v>
      </c>
      <c r="F210" s="70" t="s">
        <v>416</v>
      </c>
      <c r="G210" s="70" t="s">
        <v>65</v>
      </c>
      <c r="H210" s="72" t="n">
        <f aca="false">'3 Base Saídas'!H251</f>
        <v>-5.6</v>
      </c>
      <c r="I210" s="72" t="n">
        <v>0</v>
      </c>
      <c r="J210" s="72" t="n">
        <f aca="false">'3 Base Saídas'!R251</f>
        <v>5.6</v>
      </c>
      <c r="K210" s="72" t="n">
        <f aca="false">I210-J210</f>
        <v>-5.6</v>
      </c>
      <c r="L210" s="70" t="s">
        <v>609</v>
      </c>
      <c r="M210" s="70" t="s">
        <v>611</v>
      </c>
      <c r="N210" s="70" t="s">
        <v>612</v>
      </c>
      <c r="O210" s="70" t="s">
        <v>426</v>
      </c>
    </row>
    <row r="211" customFormat="false" ht="15" hidden="false" customHeight="false" outlineLevel="0" collapsed="false">
      <c r="A211" s="71" t="n">
        <v>46287</v>
      </c>
      <c r="B211" s="70" t="s">
        <v>1732</v>
      </c>
      <c r="C211" s="70" t="s">
        <v>269</v>
      </c>
      <c r="D211" s="70" t="s">
        <v>270</v>
      </c>
      <c r="E211" s="70" t="s">
        <v>1206</v>
      </c>
      <c r="F211" s="70" t="s">
        <v>416</v>
      </c>
      <c r="G211" s="70" t="s">
        <v>65</v>
      </c>
      <c r="H211" s="72" t="n">
        <f aca="false">'3 Base Saídas'!H296</f>
        <v>-24</v>
      </c>
      <c r="I211" s="72" t="n">
        <v>0</v>
      </c>
      <c r="J211" s="72" t="n">
        <f aca="false">'3 Base Saídas'!R296</f>
        <v>24</v>
      </c>
      <c r="K211" s="72" t="n">
        <f aca="false">I211-J211</f>
        <v>-24</v>
      </c>
      <c r="L211" s="70" t="s">
        <v>1212</v>
      </c>
      <c r="M211" s="70" t="s">
        <v>1214</v>
      </c>
      <c r="N211" s="70" t="s">
        <v>1215</v>
      </c>
      <c r="O211" s="70" t="s">
        <v>426</v>
      </c>
    </row>
    <row r="212" customFormat="false" ht="15" hidden="false" customHeight="false" outlineLevel="0" collapsed="false">
      <c r="A212" s="71" t="n">
        <v>46287</v>
      </c>
      <c r="B212" s="70" t="s">
        <v>1732</v>
      </c>
      <c r="C212" s="70" t="s">
        <v>269</v>
      </c>
      <c r="D212" s="70" t="s">
        <v>270</v>
      </c>
      <c r="E212" s="70" t="s">
        <v>1206</v>
      </c>
      <c r="F212" s="70" t="s">
        <v>416</v>
      </c>
      <c r="G212" s="70" t="s">
        <v>65</v>
      </c>
      <c r="H212" s="72" t="n">
        <f aca="false">'3 Base Saídas'!H297</f>
        <v>-6</v>
      </c>
      <c r="I212" s="72" t="n">
        <v>0</v>
      </c>
      <c r="J212" s="72" t="n">
        <f aca="false">'3 Base Saídas'!R297</f>
        <v>6</v>
      </c>
      <c r="K212" s="72" t="n">
        <f aca="false">I212-J212</f>
        <v>-6</v>
      </c>
      <c r="L212" s="70" t="s">
        <v>609</v>
      </c>
      <c r="M212" s="70" t="s">
        <v>611</v>
      </c>
      <c r="N212" s="70" t="s">
        <v>612</v>
      </c>
      <c r="O212" s="70" t="s">
        <v>426</v>
      </c>
    </row>
    <row r="213" customFormat="false" ht="15" hidden="false" customHeight="false" outlineLevel="0" collapsed="false">
      <c r="A213" s="71" t="n">
        <v>46287</v>
      </c>
      <c r="B213" s="70" t="s">
        <v>1732</v>
      </c>
      <c r="C213" s="70" t="s">
        <v>276</v>
      </c>
      <c r="D213" s="70" t="s">
        <v>370</v>
      </c>
      <c r="E213" s="70" t="s">
        <v>404</v>
      </c>
      <c r="F213" s="70" t="s">
        <v>416</v>
      </c>
      <c r="G213" s="70" t="s">
        <v>65</v>
      </c>
      <c r="H213" s="72" t="n">
        <f aca="false">'3 Base Saídas'!H342</f>
        <v>-20.1</v>
      </c>
      <c r="I213" s="72" t="n">
        <v>0</v>
      </c>
      <c r="J213" s="72" t="n">
        <f aca="false">'3 Base Saídas'!R342</f>
        <v>20.1</v>
      </c>
      <c r="K213" s="72" t="n">
        <f aca="false">I213-J213</f>
        <v>-20.1</v>
      </c>
      <c r="L213" s="70" t="s">
        <v>609</v>
      </c>
      <c r="M213" s="70" t="s">
        <v>611</v>
      </c>
      <c r="N213" s="70" t="s">
        <v>612</v>
      </c>
      <c r="O213" s="70" t="s">
        <v>426</v>
      </c>
    </row>
    <row r="214" customFormat="false" ht="15" hidden="false" customHeight="false" outlineLevel="0" collapsed="false">
      <c r="A214" s="71" t="n">
        <v>46288</v>
      </c>
      <c r="B214" s="70" t="str">
        <f aca="false">'3 Base Entrada 2008'!K5</f>
        <v>Entrada</v>
      </c>
      <c r="C214" s="70" t="s">
        <v>192</v>
      </c>
      <c r="D214" s="70" t="s">
        <v>195</v>
      </c>
      <c r="E214" s="70" t="s">
        <v>404</v>
      </c>
      <c r="F214" s="70" t="s">
        <v>188</v>
      </c>
      <c r="G214" s="70" t="s">
        <v>65</v>
      </c>
      <c r="H214" s="72" t="n">
        <f aca="false">'3 Base Entrada 2008'!G5</f>
        <v>-2412</v>
      </c>
      <c r="I214" s="72" t="n">
        <f aca="false">'3 Base Entrada 2008'!L5</f>
        <v>2412</v>
      </c>
      <c r="J214" s="72" t="n">
        <v>0</v>
      </c>
      <c r="K214" s="72" t="n">
        <f aca="false">I214-J214</f>
        <v>2412</v>
      </c>
      <c r="L214" s="70" t="s">
        <v>194</v>
      </c>
      <c r="M214" s="70"/>
      <c r="N214" s="70"/>
      <c r="O214" s="70"/>
    </row>
    <row r="215" customFormat="false" ht="15" hidden="false" customHeight="false" outlineLevel="0" collapsed="false">
      <c r="A215" s="71" t="n">
        <v>46288</v>
      </c>
      <c r="B215" s="70" t="str">
        <f aca="false">'3 Base Entrada 2008'!K6</f>
        <v>Entrada</v>
      </c>
      <c r="C215" s="70" t="s">
        <v>192</v>
      </c>
      <c r="D215" s="70" t="s">
        <v>195</v>
      </c>
      <c r="E215" s="70" t="s">
        <v>404</v>
      </c>
      <c r="F215" s="70" t="s">
        <v>188</v>
      </c>
      <c r="G215" s="70" t="s">
        <v>65</v>
      </c>
      <c r="H215" s="72" t="n">
        <f aca="false">'3 Base Entrada 2008'!G6</f>
        <v>-603</v>
      </c>
      <c r="I215" s="72" t="n">
        <f aca="false">'3 Base Entrada 2008'!L6</f>
        <v>603</v>
      </c>
      <c r="J215" s="72" t="n">
        <v>0</v>
      </c>
      <c r="K215" s="72" t="n">
        <f aca="false">I215-J215</f>
        <v>603</v>
      </c>
      <c r="L215" s="70" t="s">
        <v>196</v>
      </c>
      <c r="M215" s="70"/>
      <c r="N215" s="70"/>
      <c r="O215" s="70"/>
    </row>
    <row r="216" customFormat="false" ht="15" hidden="false" customHeight="false" outlineLevel="0" collapsed="false">
      <c r="A216" s="71" t="n">
        <v>46288</v>
      </c>
      <c r="B216" s="70" t="str">
        <f aca="false">'3 Base Entrada 2008'!K7</f>
        <v>Entrada</v>
      </c>
      <c r="C216" s="70" t="s">
        <v>198</v>
      </c>
      <c r="D216" s="70" t="s">
        <v>199</v>
      </c>
      <c r="E216" s="70" t="s">
        <v>522</v>
      </c>
      <c r="F216" s="70" t="s">
        <v>188</v>
      </c>
      <c r="G216" s="70" t="s">
        <v>65</v>
      </c>
      <c r="H216" s="72" t="n">
        <f aca="false">'3 Base Entrada 2008'!G7</f>
        <v>-940.8</v>
      </c>
      <c r="I216" s="72" t="n">
        <f aca="false">'3 Base Entrada 2008'!L7</f>
        <v>940.8</v>
      </c>
      <c r="J216" s="72" t="n">
        <v>0</v>
      </c>
      <c r="K216" s="72" t="n">
        <f aca="false">I216-J216</f>
        <v>940.8</v>
      </c>
      <c r="L216" s="70" t="s">
        <v>197</v>
      </c>
      <c r="M216" s="70"/>
      <c r="N216" s="70"/>
      <c r="O216" s="70"/>
    </row>
    <row r="217" customFormat="false" ht="15" hidden="false" customHeight="false" outlineLevel="0" collapsed="false">
      <c r="A217" s="71" t="n">
        <v>46288</v>
      </c>
      <c r="B217" s="70" t="s">
        <v>1732</v>
      </c>
      <c r="C217" s="70" t="s">
        <v>201</v>
      </c>
      <c r="D217" s="70" t="s">
        <v>202</v>
      </c>
      <c r="E217" s="70" t="s">
        <v>522</v>
      </c>
      <c r="F217" s="70" t="s">
        <v>405</v>
      </c>
      <c r="G217" s="70" t="s">
        <v>65</v>
      </c>
      <c r="H217" s="72" t="n">
        <f aca="false">'3 Base Saídas'!H62</f>
        <v>-2.8</v>
      </c>
      <c r="I217" s="72" t="n">
        <v>0</v>
      </c>
      <c r="J217" s="72" t="n">
        <f aca="false">'3 Base Saídas'!R62</f>
        <v>2.8</v>
      </c>
      <c r="K217" s="72" t="n">
        <f aca="false">I217-J217</f>
        <v>-2.8</v>
      </c>
      <c r="L217" s="70" t="s">
        <v>633</v>
      </c>
      <c r="M217" s="70" t="s">
        <v>635</v>
      </c>
      <c r="N217" s="70" t="s">
        <v>636</v>
      </c>
      <c r="O217" s="70" t="s">
        <v>444</v>
      </c>
    </row>
    <row r="218" customFormat="false" ht="15" hidden="false" customHeight="false" outlineLevel="0" collapsed="false">
      <c r="A218" s="71" t="n">
        <v>46288</v>
      </c>
      <c r="B218" s="70" t="s">
        <v>1732</v>
      </c>
      <c r="C218" s="70" t="s">
        <v>205</v>
      </c>
      <c r="D218" s="70" t="s">
        <v>209</v>
      </c>
      <c r="E218" s="70" t="s">
        <v>404</v>
      </c>
      <c r="F218" s="70" t="s">
        <v>405</v>
      </c>
      <c r="G218" s="70" t="s">
        <v>65</v>
      </c>
      <c r="H218" s="72" t="n">
        <f aca="false">'3 Base Saídas'!H82</f>
        <v>-20.1</v>
      </c>
      <c r="I218" s="72" t="n">
        <v>0</v>
      </c>
      <c r="J218" s="72" t="n">
        <f aca="false">'3 Base Saídas'!R82</f>
        <v>20.1</v>
      </c>
      <c r="K218" s="72" t="n">
        <f aca="false">I218-J218</f>
        <v>-20.1</v>
      </c>
      <c r="L218" s="70" t="s">
        <v>701</v>
      </c>
      <c r="M218" s="70" t="s">
        <v>703</v>
      </c>
      <c r="N218" s="70" t="s">
        <v>704</v>
      </c>
      <c r="O218" s="70" t="s">
        <v>444</v>
      </c>
    </row>
    <row r="219" customFormat="false" ht="15" hidden="false" customHeight="false" outlineLevel="0" collapsed="false">
      <c r="A219" s="71" t="n">
        <v>46288</v>
      </c>
      <c r="B219" s="70" t="s">
        <v>1732</v>
      </c>
      <c r="C219" s="70" t="s">
        <v>322</v>
      </c>
      <c r="D219" s="70" t="s">
        <v>323</v>
      </c>
      <c r="E219" s="70" t="s">
        <v>522</v>
      </c>
      <c r="F219" s="70" t="s">
        <v>405</v>
      </c>
      <c r="G219" s="70" t="s">
        <v>65</v>
      </c>
      <c r="H219" s="72" t="n">
        <f aca="false">'3 Base Saídas'!H141</f>
        <v>-5.6</v>
      </c>
      <c r="I219" s="72" t="n">
        <v>0</v>
      </c>
      <c r="J219" s="72" t="n">
        <f aca="false">'3 Base Saídas'!R141</f>
        <v>5.6</v>
      </c>
      <c r="K219" s="72" t="n">
        <f aca="false">I219-J219</f>
        <v>-5.6</v>
      </c>
      <c r="L219" s="70" t="s">
        <v>701</v>
      </c>
      <c r="M219" s="70" t="s">
        <v>703</v>
      </c>
      <c r="N219" s="70" t="s">
        <v>704</v>
      </c>
      <c r="O219" s="70" t="s">
        <v>444</v>
      </c>
    </row>
    <row r="220" customFormat="false" ht="15" hidden="false" customHeight="false" outlineLevel="0" collapsed="false">
      <c r="A220" s="71" t="n">
        <v>46288</v>
      </c>
      <c r="B220" s="70" t="s">
        <v>1732</v>
      </c>
      <c r="C220" s="70" t="s">
        <v>322</v>
      </c>
      <c r="D220" s="70" t="s">
        <v>323</v>
      </c>
      <c r="E220" s="70" t="s">
        <v>522</v>
      </c>
      <c r="F220" s="70" t="s">
        <v>405</v>
      </c>
      <c r="G220" s="70" t="s">
        <v>65</v>
      </c>
      <c r="H220" s="72" t="n">
        <f aca="false">'3 Base Saídas'!H142</f>
        <v>-14</v>
      </c>
      <c r="I220" s="72" t="n">
        <v>0</v>
      </c>
      <c r="J220" s="72" t="n">
        <f aca="false">'3 Base Saídas'!R142</f>
        <v>14</v>
      </c>
      <c r="K220" s="72" t="n">
        <f aca="false">I220-J220</f>
        <v>-14</v>
      </c>
      <c r="L220" s="70" t="s">
        <v>844</v>
      </c>
      <c r="M220" s="70" t="s">
        <v>744</v>
      </c>
      <c r="N220" s="70" t="s">
        <v>745</v>
      </c>
      <c r="O220" s="70" t="s">
        <v>444</v>
      </c>
    </row>
    <row r="221" customFormat="false" ht="15" hidden="false" customHeight="false" outlineLevel="0" collapsed="false">
      <c r="A221" s="71" t="n">
        <v>46288</v>
      </c>
      <c r="B221" s="70" t="s">
        <v>1732</v>
      </c>
      <c r="C221" s="70" t="s">
        <v>327</v>
      </c>
      <c r="D221" s="70" t="s">
        <v>329</v>
      </c>
      <c r="E221" s="70" t="s">
        <v>926</v>
      </c>
      <c r="F221" s="70" t="s">
        <v>405</v>
      </c>
      <c r="G221" s="70" t="s">
        <v>65</v>
      </c>
      <c r="H221" s="72" t="n">
        <f aca="false">'3 Base Saídas'!H187</f>
        <v>-10</v>
      </c>
      <c r="I221" s="72" t="n">
        <v>0</v>
      </c>
      <c r="J221" s="72" t="n">
        <f aca="false">'3 Base Saídas'!R187</f>
        <v>10</v>
      </c>
      <c r="K221" s="72" t="n">
        <f aca="false">I221-J221</f>
        <v>-10</v>
      </c>
      <c r="L221" s="70" t="s">
        <v>701</v>
      </c>
      <c r="M221" s="70" t="s">
        <v>703</v>
      </c>
      <c r="N221" s="70" t="s">
        <v>704</v>
      </c>
      <c r="O221" s="70" t="s">
        <v>444</v>
      </c>
    </row>
    <row r="222" customFormat="false" ht="15" hidden="false" customHeight="false" outlineLevel="0" collapsed="false">
      <c r="A222" s="71" t="n">
        <v>46288</v>
      </c>
      <c r="B222" s="70" t="str">
        <f aca="false">'3 Base Entrada 2008'!K50</f>
        <v>Entrada</v>
      </c>
      <c r="C222" s="70" t="s">
        <v>243</v>
      </c>
      <c r="D222" s="70" t="s">
        <v>244</v>
      </c>
      <c r="E222" s="70" t="s">
        <v>1052</v>
      </c>
      <c r="F222" s="70" t="s">
        <v>188</v>
      </c>
      <c r="G222" s="70" t="s">
        <v>65</v>
      </c>
      <c r="H222" s="72" t="n">
        <f aca="false">'3 Base Entrada 2008'!G50</f>
        <v>-648</v>
      </c>
      <c r="I222" s="72" t="n">
        <f aca="false">'3 Base Entrada 2008'!L50</f>
        <v>648</v>
      </c>
      <c r="J222" s="72" t="n">
        <v>0</v>
      </c>
      <c r="K222" s="72" t="n">
        <f aca="false">I222-J222</f>
        <v>648</v>
      </c>
      <c r="L222" s="70" t="s">
        <v>242</v>
      </c>
      <c r="M222" s="70"/>
      <c r="N222" s="70"/>
      <c r="O222" s="70"/>
    </row>
    <row r="223" customFormat="false" ht="15" hidden="false" customHeight="false" outlineLevel="0" collapsed="false">
      <c r="A223" s="71" t="n">
        <v>46288</v>
      </c>
      <c r="B223" s="70" t="s">
        <v>1732</v>
      </c>
      <c r="C223" s="70" t="s">
        <v>252</v>
      </c>
      <c r="D223" s="70" t="s">
        <v>253</v>
      </c>
      <c r="E223" s="70" t="s">
        <v>1113</v>
      </c>
      <c r="F223" s="70" t="s">
        <v>405</v>
      </c>
      <c r="G223" s="70" t="s">
        <v>65</v>
      </c>
      <c r="H223" s="72" t="n">
        <f aca="false">'3 Base Saídas'!H257</f>
        <v>-40</v>
      </c>
      <c r="I223" s="72" t="n">
        <v>0</v>
      </c>
      <c r="J223" s="72" t="n">
        <f aca="false">'3 Base Saídas'!R257</f>
        <v>40</v>
      </c>
      <c r="K223" s="72" t="n">
        <f aca="false">I223-J223</f>
        <v>-40</v>
      </c>
      <c r="L223" s="70" t="s">
        <v>1125</v>
      </c>
      <c r="M223" s="70" t="s">
        <v>1127</v>
      </c>
      <c r="N223" s="70" t="s">
        <v>1128</v>
      </c>
      <c r="O223" s="70" t="s">
        <v>431</v>
      </c>
    </row>
    <row r="224" customFormat="false" ht="15" hidden="false" customHeight="false" outlineLevel="0" collapsed="false">
      <c r="A224" s="71" t="n">
        <v>46288</v>
      </c>
      <c r="B224" s="70" t="str">
        <f aca="false">'3 Base Entrada 2008'!K70</f>
        <v>Entrada</v>
      </c>
      <c r="C224" s="70" t="s">
        <v>263</v>
      </c>
      <c r="D224" s="70" t="s">
        <v>264</v>
      </c>
      <c r="E224" s="70"/>
      <c r="F224" s="70" t="s">
        <v>188</v>
      </c>
      <c r="G224" s="70" t="s">
        <v>65</v>
      </c>
      <c r="H224" s="72" t="n">
        <f aca="false">'3 Base Entrada 2008'!G70</f>
        <v>-261.12</v>
      </c>
      <c r="I224" s="72" t="n">
        <f aca="false">'3 Base Entrada 2008'!L70</f>
        <v>261.12</v>
      </c>
      <c r="J224" s="72" t="n">
        <v>0</v>
      </c>
      <c r="K224" s="72" t="n">
        <f aca="false">I224-J224</f>
        <v>261.12</v>
      </c>
      <c r="L224" s="70" t="s">
        <v>262</v>
      </c>
      <c r="M224" s="70"/>
      <c r="N224" s="70"/>
      <c r="O224" s="70"/>
    </row>
    <row r="225" customFormat="false" ht="15" hidden="false" customHeight="false" outlineLevel="0" collapsed="false">
      <c r="A225" s="71" t="n">
        <v>46288</v>
      </c>
      <c r="B225" s="70" t="s">
        <v>1732</v>
      </c>
      <c r="C225" s="70" t="s">
        <v>269</v>
      </c>
      <c r="D225" s="70" t="s">
        <v>270</v>
      </c>
      <c r="E225" s="70" t="s">
        <v>1206</v>
      </c>
      <c r="F225" s="70" t="s">
        <v>405</v>
      </c>
      <c r="G225" s="70" t="s">
        <v>65</v>
      </c>
      <c r="H225" s="72" t="n">
        <f aca="false">'3 Base Saídas'!H295</f>
        <v>-42</v>
      </c>
      <c r="I225" s="72" t="n">
        <v>0</v>
      </c>
      <c r="J225" s="72" t="n">
        <f aca="false">'3 Base Saídas'!R295</f>
        <v>42</v>
      </c>
      <c r="K225" s="72" t="n">
        <f aca="false">I225-J225</f>
        <v>-42</v>
      </c>
      <c r="L225" s="70" t="s">
        <v>1210</v>
      </c>
      <c r="M225" s="70" t="s">
        <v>631</v>
      </c>
      <c r="N225" s="70" t="s">
        <v>632</v>
      </c>
      <c r="O225" s="70" t="s">
        <v>444</v>
      </c>
    </row>
    <row r="226" customFormat="false" ht="15" hidden="false" customHeight="false" outlineLevel="0" collapsed="false">
      <c r="A226" s="71" t="n">
        <v>46288</v>
      </c>
      <c r="B226" s="70" t="str">
        <f aca="false">'3 Base Entrada 2008'!K83</f>
        <v>Entrada</v>
      </c>
      <c r="C226" s="70" t="s">
        <v>276</v>
      </c>
      <c r="D226" s="70" t="s">
        <v>280</v>
      </c>
      <c r="E226" s="70" t="s">
        <v>404</v>
      </c>
      <c r="F226" s="70" t="s">
        <v>188</v>
      </c>
      <c r="G226" s="70" t="s">
        <v>65</v>
      </c>
      <c r="H226" s="72" t="n">
        <f aca="false">'3 Base Entrada 2008'!G83</f>
        <v>-603</v>
      </c>
      <c r="I226" s="72" t="n">
        <f aca="false">'3 Base Entrada 2008'!L83</f>
        <v>603</v>
      </c>
      <c r="J226" s="72" t="n">
        <v>0</v>
      </c>
      <c r="K226" s="72" t="n">
        <f aca="false">I226-J226</f>
        <v>603</v>
      </c>
      <c r="L226" s="70" t="s">
        <v>279</v>
      </c>
      <c r="M226" s="70"/>
      <c r="N226" s="70"/>
      <c r="O226" s="70"/>
    </row>
    <row r="227" customFormat="false" ht="15" hidden="false" customHeight="false" outlineLevel="0" collapsed="false">
      <c r="A227" s="71" t="n">
        <v>46288</v>
      </c>
      <c r="B227" s="70" t="str">
        <f aca="false">'3 Base Entrada 2008'!K85</f>
        <v>Entrada</v>
      </c>
      <c r="C227" s="70" t="s">
        <v>284</v>
      </c>
      <c r="D227" s="70" t="s">
        <v>285</v>
      </c>
      <c r="E227" s="70"/>
      <c r="F227" s="70" t="s">
        <v>188</v>
      </c>
      <c r="G227" s="70" t="s">
        <v>65</v>
      </c>
      <c r="H227" s="72" t="n">
        <f aca="false">'3 Base Entrada 2008'!G85</f>
        <v>-1000</v>
      </c>
      <c r="I227" s="72" t="n">
        <f aca="false">'3 Base Entrada 2008'!L85</f>
        <v>1000</v>
      </c>
      <c r="J227" s="72" t="n">
        <v>0</v>
      </c>
      <c r="K227" s="72" t="n">
        <f aca="false">I227-J227</f>
        <v>1000</v>
      </c>
      <c r="L227" s="70" t="s">
        <v>283</v>
      </c>
      <c r="M227" s="70"/>
      <c r="N227" s="70"/>
      <c r="O227" s="70"/>
    </row>
    <row r="228" customFormat="false" ht="15" hidden="false" customHeight="false" outlineLevel="0" collapsed="false">
      <c r="A228" s="71" t="n">
        <v>46289</v>
      </c>
      <c r="B228" s="70" t="str">
        <f aca="false">'3 Base Entrada 2008'!K2</f>
        <v>Entrada</v>
      </c>
      <c r="C228" s="70" t="s">
        <v>186</v>
      </c>
      <c r="D228" s="70" t="s">
        <v>187</v>
      </c>
      <c r="E228" s="70"/>
      <c r="F228" s="70" t="s">
        <v>188</v>
      </c>
      <c r="G228" s="70" t="s">
        <v>65</v>
      </c>
      <c r="H228" s="72" t="n">
        <f aca="false">'3 Base Entrada 2008'!G2</f>
        <v>-600</v>
      </c>
      <c r="I228" s="72" t="n">
        <f aca="false">'3 Base Entrada 2008'!L2</f>
        <v>600</v>
      </c>
      <c r="J228" s="72" t="n">
        <v>0</v>
      </c>
      <c r="K228" s="72" t="n">
        <f aca="false">I228-J228</f>
        <v>600</v>
      </c>
      <c r="L228" s="70" t="s">
        <v>185</v>
      </c>
      <c r="M228" s="70"/>
      <c r="N228" s="70"/>
      <c r="O228" s="70"/>
    </row>
    <row r="229" customFormat="false" ht="15" hidden="false" customHeight="false" outlineLevel="0" collapsed="false">
      <c r="A229" s="71" t="n">
        <v>46289</v>
      </c>
      <c r="B229" s="70" t="str">
        <f aca="false">'3 Base Entrada 2008'!K3</f>
        <v>Entrada</v>
      </c>
      <c r="C229" s="70" t="s">
        <v>186</v>
      </c>
      <c r="D229" s="70" t="s">
        <v>187</v>
      </c>
      <c r="E229" s="70"/>
      <c r="F229" s="70" t="s">
        <v>188</v>
      </c>
      <c r="G229" s="70" t="s">
        <v>65</v>
      </c>
      <c r="H229" s="72" t="n">
        <f aca="false">'3 Base Entrada 2008'!G3</f>
        <v>-600</v>
      </c>
      <c r="I229" s="72" t="n">
        <f aca="false">'3 Base Entrada 2008'!L3</f>
        <v>600</v>
      </c>
      <c r="J229" s="72" t="n">
        <v>0</v>
      </c>
      <c r="K229" s="72" t="n">
        <f aca="false">I229-J229</f>
        <v>600</v>
      </c>
      <c r="L229" s="70" t="s">
        <v>190</v>
      </c>
      <c r="M229" s="70"/>
      <c r="N229" s="70"/>
      <c r="O229" s="70"/>
    </row>
    <row r="230" customFormat="false" ht="15" hidden="false" customHeight="false" outlineLevel="0" collapsed="false">
      <c r="A230" s="71" t="n">
        <v>46289</v>
      </c>
      <c r="B230" s="70" t="s">
        <v>1732</v>
      </c>
      <c r="C230" s="70" t="s">
        <v>192</v>
      </c>
      <c r="D230" s="70" t="s">
        <v>193</v>
      </c>
      <c r="E230" s="70" t="s">
        <v>404</v>
      </c>
      <c r="F230" s="70" t="s">
        <v>416</v>
      </c>
      <c r="G230" s="70" t="s">
        <v>65</v>
      </c>
      <c r="H230" s="72" t="n">
        <f aca="false">'3 Base Saídas'!H22</f>
        <v>-60.3</v>
      </c>
      <c r="I230" s="72" t="n">
        <v>0</v>
      </c>
      <c r="J230" s="72" t="n">
        <f aca="false">'3 Base Saídas'!R22</f>
        <v>60.3</v>
      </c>
      <c r="K230" s="72" t="n">
        <f aca="false">I230-J230</f>
        <v>-60.3</v>
      </c>
      <c r="L230" s="70" t="s">
        <v>489</v>
      </c>
      <c r="M230" s="70" t="s">
        <v>491</v>
      </c>
      <c r="N230" s="70" t="s">
        <v>492</v>
      </c>
      <c r="O230" s="70" t="s">
        <v>417</v>
      </c>
    </row>
    <row r="231" customFormat="false" ht="15" hidden="false" customHeight="false" outlineLevel="0" collapsed="false">
      <c r="A231" s="71" t="n">
        <v>46289</v>
      </c>
      <c r="B231" s="70" t="s">
        <v>1732</v>
      </c>
      <c r="C231" s="70" t="s">
        <v>192</v>
      </c>
      <c r="D231" s="70" t="s">
        <v>193</v>
      </c>
      <c r="E231" s="70" t="s">
        <v>404</v>
      </c>
      <c r="F231" s="70" t="s">
        <v>416</v>
      </c>
      <c r="G231" s="70" t="s">
        <v>65</v>
      </c>
      <c r="H231" s="72" t="n">
        <f aca="false">'3 Base Saídas'!H23</f>
        <v>-20.1</v>
      </c>
      <c r="I231" s="72" t="n">
        <v>0</v>
      </c>
      <c r="J231" s="72" t="n">
        <f aca="false">'3 Base Saídas'!R23</f>
        <v>20.1</v>
      </c>
      <c r="K231" s="72" t="n">
        <f aca="false">I231-J231</f>
        <v>-20.1</v>
      </c>
      <c r="L231" s="70" t="s">
        <v>493</v>
      </c>
      <c r="M231" s="70" t="s">
        <v>495</v>
      </c>
      <c r="N231" s="70" t="s">
        <v>496</v>
      </c>
      <c r="O231" s="70" t="s">
        <v>417</v>
      </c>
    </row>
    <row r="232" customFormat="false" ht="15" hidden="false" customHeight="false" outlineLevel="0" collapsed="false">
      <c r="A232" s="71" t="n">
        <v>46289</v>
      </c>
      <c r="B232" s="70" t="s">
        <v>1732</v>
      </c>
      <c r="C232" s="70" t="s">
        <v>198</v>
      </c>
      <c r="D232" s="70" t="s">
        <v>199</v>
      </c>
      <c r="E232" s="70" t="s">
        <v>522</v>
      </c>
      <c r="F232" s="70" t="s">
        <v>405</v>
      </c>
      <c r="G232" s="70" t="s">
        <v>65</v>
      </c>
      <c r="H232" s="72" t="n">
        <f aca="false">'3 Base Saídas'!H52</f>
        <v>-14</v>
      </c>
      <c r="I232" s="72" t="n">
        <v>0</v>
      </c>
      <c r="J232" s="72" t="n">
        <f aca="false">'3 Base Saídas'!R52</f>
        <v>14</v>
      </c>
      <c r="K232" s="72" t="n">
        <f aca="false">I232-J232</f>
        <v>-14</v>
      </c>
      <c r="L232" s="70" t="s">
        <v>601</v>
      </c>
      <c r="M232" s="70" t="s">
        <v>603</v>
      </c>
      <c r="N232" s="70" t="s">
        <v>604</v>
      </c>
      <c r="O232" s="70" t="s">
        <v>481</v>
      </c>
    </row>
    <row r="233" customFormat="false" ht="15" hidden="false" customHeight="false" outlineLevel="0" collapsed="false">
      <c r="A233" s="71" t="n">
        <v>46289</v>
      </c>
      <c r="B233" s="70" t="s">
        <v>1732</v>
      </c>
      <c r="C233" s="70" t="s">
        <v>198</v>
      </c>
      <c r="D233" s="70" t="s">
        <v>199</v>
      </c>
      <c r="E233" s="70" t="s">
        <v>522</v>
      </c>
      <c r="F233" s="70" t="s">
        <v>405</v>
      </c>
      <c r="G233" s="70" t="s">
        <v>65</v>
      </c>
      <c r="H233" s="72" t="n">
        <f aca="false">'3 Base Saídas'!H53</f>
        <v>-2.8</v>
      </c>
      <c r="I233" s="72" t="n">
        <v>0</v>
      </c>
      <c r="J233" s="72" t="n">
        <f aca="false">'3 Base Saídas'!R53</f>
        <v>2.8</v>
      </c>
      <c r="K233" s="72" t="n">
        <f aca="false">I233-J233</f>
        <v>-2.8</v>
      </c>
      <c r="L233" s="70" t="s">
        <v>605</v>
      </c>
      <c r="M233" s="70" t="s">
        <v>607</v>
      </c>
      <c r="N233" s="70" t="s">
        <v>608</v>
      </c>
      <c r="O233" s="70" t="s">
        <v>481</v>
      </c>
    </row>
    <row r="234" customFormat="false" ht="15" hidden="false" customHeight="false" outlineLevel="0" collapsed="false">
      <c r="A234" s="71" t="n">
        <v>46289</v>
      </c>
      <c r="B234" s="70" t="s">
        <v>1732</v>
      </c>
      <c r="C234" s="70" t="s">
        <v>201</v>
      </c>
      <c r="D234" s="70" t="s">
        <v>202</v>
      </c>
      <c r="E234" s="70" t="s">
        <v>522</v>
      </c>
      <c r="F234" s="70" t="s">
        <v>405</v>
      </c>
      <c r="G234" s="70" t="s">
        <v>65</v>
      </c>
      <c r="H234" s="72" t="n">
        <f aca="false">'3 Base Saídas'!H60</f>
        <v>-2.8</v>
      </c>
      <c r="I234" s="72" t="n">
        <v>0</v>
      </c>
      <c r="J234" s="72" t="n">
        <f aca="false">'3 Base Saídas'!R60</f>
        <v>2.8</v>
      </c>
      <c r="K234" s="72" t="n">
        <f aca="false">I234-J234</f>
        <v>-2.8</v>
      </c>
      <c r="L234" s="70" t="s">
        <v>605</v>
      </c>
      <c r="M234" s="70" t="s">
        <v>607</v>
      </c>
      <c r="N234" s="70" t="s">
        <v>608</v>
      </c>
      <c r="O234" s="70" t="s">
        <v>481</v>
      </c>
    </row>
    <row r="235" customFormat="false" ht="15" hidden="false" customHeight="false" outlineLevel="0" collapsed="false">
      <c r="A235" s="71" t="n">
        <v>46289</v>
      </c>
      <c r="B235" s="70" t="s">
        <v>1732</v>
      </c>
      <c r="C235" s="70" t="s">
        <v>201</v>
      </c>
      <c r="D235" s="70" t="s">
        <v>202</v>
      </c>
      <c r="E235" s="70" t="s">
        <v>522</v>
      </c>
      <c r="F235" s="70" t="s">
        <v>405</v>
      </c>
      <c r="G235" s="70" t="s">
        <v>65</v>
      </c>
      <c r="H235" s="72" t="n">
        <f aca="false">'3 Base Saídas'!H61</f>
        <v>-28</v>
      </c>
      <c r="I235" s="72" t="n">
        <v>0</v>
      </c>
      <c r="J235" s="72" t="n">
        <f aca="false">'3 Base Saídas'!R61</f>
        <v>28</v>
      </c>
      <c r="K235" s="72" t="n">
        <f aca="false">I235-J235</f>
        <v>-28</v>
      </c>
      <c r="L235" s="70" t="s">
        <v>629</v>
      </c>
      <c r="M235" s="70" t="s">
        <v>631</v>
      </c>
      <c r="N235" s="70" t="s">
        <v>632</v>
      </c>
      <c r="O235" s="70" t="s">
        <v>481</v>
      </c>
    </row>
    <row r="236" customFormat="false" ht="15" hidden="false" customHeight="false" outlineLevel="0" collapsed="false">
      <c r="A236" s="71" t="n">
        <v>46289</v>
      </c>
      <c r="B236" s="70" t="s">
        <v>1732</v>
      </c>
      <c r="C236" s="70" t="s">
        <v>314</v>
      </c>
      <c r="D236" s="70" t="s">
        <v>315</v>
      </c>
      <c r="E236" s="70" t="s">
        <v>522</v>
      </c>
      <c r="F236" s="70" t="s">
        <v>405</v>
      </c>
      <c r="G236" s="70" t="s">
        <v>65</v>
      </c>
      <c r="H236" s="72" t="n">
        <f aca="false">'3 Base Saídas'!H90</f>
        <v>-2.8</v>
      </c>
      <c r="I236" s="72" t="n">
        <v>0</v>
      </c>
      <c r="J236" s="72" t="n">
        <f aca="false">'3 Base Saídas'!R90</f>
        <v>2.8</v>
      </c>
      <c r="K236" s="72" t="n">
        <f aca="false">I236-J236</f>
        <v>-2.8</v>
      </c>
      <c r="L236" s="70" t="s">
        <v>605</v>
      </c>
      <c r="M236" s="70" t="s">
        <v>607</v>
      </c>
      <c r="N236" s="70" t="s">
        <v>608</v>
      </c>
      <c r="O236" s="70" t="s">
        <v>481</v>
      </c>
    </row>
    <row r="237" customFormat="false" ht="15" hidden="false" customHeight="false" outlineLevel="0" collapsed="false">
      <c r="A237" s="71" t="n">
        <v>46289</v>
      </c>
      <c r="B237" s="70" t="str">
        <f aca="false">'3 Base Entrada 2008'!K18</f>
        <v>Entrada</v>
      </c>
      <c r="C237" s="70" t="s">
        <v>211</v>
      </c>
      <c r="D237" s="70" t="s">
        <v>214</v>
      </c>
      <c r="E237" s="70" t="s">
        <v>740</v>
      </c>
      <c r="F237" s="70" t="s">
        <v>188</v>
      </c>
      <c r="G237" s="70" t="s">
        <v>65</v>
      </c>
      <c r="H237" s="72" t="n">
        <f aca="false">'3 Base Entrada 2008'!G18</f>
        <v>-750</v>
      </c>
      <c r="I237" s="72" t="n">
        <f aca="false">'3 Base Entrada 2008'!L18</f>
        <v>750</v>
      </c>
      <c r="J237" s="72" t="n">
        <v>0</v>
      </c>
      <c r="K237" s="72" t="n">
        <f aca="false">I237-J237</f>
        <v>750</v>
      </c>
      <c r="L237" s="70" t="s">
        <v>213</v>
      </c>
      <c r="M237" s="70"/>
      <c r="N237" s="70"/>
      <c r="O237" s="70"/>
    </row>
    <row r="238" customFormat="false" ht="15" hidden="false" customHeight="false" outlineLevel="0" collapsed="false">
      <c r="A238" s="71" t="n">
        <v>46289</v>
      </c>
      <c r="B238" s="70" t="str">
        <f aca="false">'3 Base Entrada 2008'!K19</f>
        <v>Entrada</v>
      </c>
      <c r="C238" s="70" t="s">
        <v>211</v>
      </c>
      <c r="D238" s="70" t="s">
        <v>214</v>
      </c>
      <c r="E238" s="70" t="s">
        <v>740</v>
      </c>
      <c r="F238" s="70" t="s">
        <v>188</v>
      </c>
      <c r="G238" s="70" t="s">
        <v>65</v>
      </c>
      <c r="H238" s="72" t="n">
        <f aca="false">'3 Base Entrada 2008'!G19</f>
        <v>-750</v>
      </c>
      <c r="I238" s="72" t="n">
        <f aca="false">'3 Base Entrada 2008'!L19</f>
        <v>750</v>
      </c>
      <c r="J238" s="72" t="n">
        <v>0</v>
      </c>
      <c r="K238" s="72" t="n">
        <f aca="false">I238-J238</f>
        <v>750</v>
      </c>
      <c r="L238" s="70" t="s">
        <v>215</v>
      </c>
      <c r="M238" s="70"/>
      <c r="N238" s="70"/>
      <c r="O238" s="70"/>
    </row>
    <row r="239" customFormat="false" ht="15" hidden="false" customHeight="false" outlineLevel="0" collapsed="false">
      <c r="A239" s="71" t="n">
        <v>46289</v>
      </c>
      <c r="B239" s="70" t="str">
        <f aca="false">'3 Base Entrada 2008'!K21</f>
        <v>Entrada</v>
      </c>
      <c r="C239" s="70" t="s">
        <v>211</v>
      </c>
      <c r="D239" s="70" t="s">
        <v>214</v>
      </c>
      <c r="E239" s="70" t="s">
        <v>740</v>
      </c>
      <c r="F239" s="70" t="s">
        <v>188</v>
      </c>
      <c r="G239" s="70" t="s">
        <v>65</v>
      </c>
      <c r="H239" s="72" t="n">
        <f aca="false">'3 Base Entrada 2008'!G21</f>
        <v>-30</v>
      </c>
      <c r="I239" s="72" t="n">
        <f aca="false">'3 Base Entrada 2008'!L21</f>
        <v>30</v>
      </c>
      <c r="J239" s="72" t="n">
        <v>0</v>
      </c>
      <c r="K239" s="72" t="n">
        <f aca="false">I239-J239</f>
        <v>30</v>
      </c>
      <c r="L239" s="70" t="s">
        <v>217</v>
      </c>
      <c r="M239" s="70"/>
      <c r="N239" s="70"/>
      <c r="O239" s="70"/>
    </row>
    <row r="240" customFormat="false" ht="15" hidden="false" customHeight="false" outlineLevel="0" collapsed="false">
      <c r="A240" s="71" t="n">
        <v>46289</v>
      </c>
      <c r="B240" s="70" t="str">
        <f aca="false">'3 Base Entrada 2008'!K22</f>
        <v>Estorno</v>
      </c>
      <c r="C240" s="70" t="s">
        <v>211</v>
      </c>
      <c r="D240" s="70" t="s">
        <v>214</v>
      </c>
      <c r="E240" s="70" t="s">
        <v>740</v>
      </c>
      <c r="F240" s="70" t="s">
        <v>188</v>
      </c>
      <c r="G240" s="70" t="s">
        <v>65</v>
      </c>
      <c r="H240" s="72" t="n">
        <f aca="false">'3 Base Entrada 2008'!G22</f>
        <v>30</v>
      </c>
      <c r="I240" s="72" t="n">
        <f aca="false">'3 Base Entrada 2008'!L22</f>
        <v>-30</v>
      </c>
      <c r="J240" s="72" t="n">
        <v>0</v>
      </c>
      <c r="K240" s="72" t="n">
        <f aca="false">I240-J240</f>
        <v>-30</v>
      </c>
      <c r="L240" s="70" t="s">
        <v>216</v>
      </c>
      <c r="M240" s="70"/>
      <c r="N240" s="70"/>
      <c r="O240" s="70"/>
    </row>
    <row r="241" customFormat="false" ht="15" hidden="false" customHeight="false" outlineLevel="0" collapsed="false">
      <c r="A241" s="71" t="n">
        <v>46289</v>
      </c>
      <c r="B241" s="70" t="str">
        <f aca="false">'3 Base Entrada 2008'!K20</f>
        <v>Estorno</v>
      </c>
      <c r="C241" s="70" t="s">
        <v>211</v>
      </c>
      <c r="D241" s="70" t="s">
        <v>212</v>
      </c>
      <c r="E241" s="70" t="s">
        <v>740</v>
      </c>
      <c r="F241" s="70" t="s">
        <v>188</v>
      </c>
      <c r="G241" s="70" t="s">
        <v>65</v>
      </c>
      <c r="H241" s="72" t="n">
        <f aca="false">'3 Base Entrada 2008'!G20</f>
        <v>30</v>
      </c>
      <c r="I241" s="72" t="n">
        <f aca="false">'3 Base Entrada 2008'!L20</f>
        <v>-30</v>
      </c>
      <c r="J241" s="72" t="n">
        <v>0</v>
      </c>
      <c r="K241" s="72" t="n">
        <f aca="false">I241-J241</f>
        <v>-30</v>
      </c>
      <c r="L241" s="70" t="s">
        <v>216</v>
      </c>
      <c r="M241" s="70"/>
      <c r="N241" s="70"/>
      <c r="O241" s="70"/>
    </row>
    <row r="242" customFormat="false" ht="15" hidden="false" customHeight="false" outlineLevel="0" collapsed="false">
      <c r="A242" s="71" t="n">
        <v>46289</v>
      </c>
      <c r="B242" s="70" t="str">
        <f aca="false">'3 Base Entrada 2008'!K23</f>
        <v>Entrada</v>
      </c>
      <c r="C242" s="70" t="s">
        <v>211</v>
      </c>
      <c r="D242" s="70" t="s">
        <v>212</v>
      </c>
      <c r="E242" s="70" t="s">
        <v>740</v>
      </c>
      <c r="F242" s="70" t="s">
        <v>188</v>
      </c>
      <c r="G242" s="70" t="s">
        <v>65</v>
      </c>
      <c r="H242" s="72" t="n">
        <f aca="false">'3 Base Entrada 2008'!G23</f>
        <v>-750</v>
      </c>
      <c r="I242" s="72" t="n">
        <f aca="false">'3 Base Entrada 2008'!L23</f>
        <v>750</v>
      </c>
      <c r="J242" s="72" t="n">
        <v>0</v>
      </c>
      <c r="K242" s="72" t="n">
        <f aca="false">I242-J242</f>
        <v>750</v>
      </c>
      <c r="L242" s="70" t="s">
        <v>215</v>
      </c>
      <c r="M242" s="70"/>
      <c r="N242" s="70"/>
      <c r="O242" s="70"/>
    </row>
    <row r="243" customFormat="false" ht="15" hidden="false" customHeight="false" outlineLevel="0" collapsed="false">
      <c r="A243" s="71" t="n">
        <v>46289</v>
      </c>
      <c r="B243" s="70" t="str">
        <f aca="false">'3 Base Entrada 2008'!K24</f>
        <v>Entrada</v>
      </c>
      <c r="C243" s="70" t="s">
        <v>211</v>
      </c>
      <c r="D243" s="70" t="s">
        <v>212</v>
      </c>
      <c r="E243" s="70" t="s">
        <v>740</v>
      </c>
      <c r="F243" s="70" t="s">
        <v>188</v>
      </c>
      <c r="G243" s="70" t="s">
        <v>65</v>
      </c>
      <c r="H243" s="72" t="n">
        <f aca="false">'3 Base Entrada 2008'!G24</f>
        <v>-30</v>
      </c>
      <c r="I243" s="72" t="n">
        <f aca="false">'3 Base Entrada 2008'!L24</f>
        <v>30</v>
      </c>
      <c r="J243" s="72" t="n">
        <v>0</v>
      </c>
      <c r="K243" s="72" t="n">
        <f aca="false">I243-J243</f>
        <v>30</v>
      </c>
      <c r="L243" s="70" t="s">
        <v>217</v>
      </c>
      <c r="M243" s="70"/>
      <c r="N243" s="70"/>
      <c r="O243" s="70"/>
    </row>
    <row r="244" customFormat="false" ht="15" hidden="false" customHeight="false" outlineLevel="0" collapsed="false">
      <c r="A244" s="71" t="n">
        <v>46289</v>
      </c>
      <c r="B244" s="70" t="str">
        <f aca="false">'3 Base Entrada 2008'!K33</f>
        <v>Entrada</v>
      </c>
      <c r="C244" s="70" t="s">
        <v>220</v>
      </c>
      <c r="D244" s="70" t="s">
        <v>223</v>
      </c>
      <c r="E244" s="70" t="s">
        <v>404</v>
      </c>
      <c r="F244" s="70" t="s">
        <v>188</v>
      </c>
      <c r="G244" s="70" t="s">
        <v>65</v>
      </c>
      <c r="H244" s="72" t="n">
        <f aca="false">'3 Base Entrada 2008'!G33</f>
        <v>-461.9</v>
      </c>
      <c r="I244" s="72" t="n">
        <f aca="false">'3 Base Entrada 2008'!L33</f>
        <v>461.9</v>
      </c>
      <c r="J244" s="72" t="n">
        <v>0</v>
      </c>
      <c r="K244" s="72" t="n">
        <f aca="false">I244-J244</f>
        <v>461.9</v>
      </c>
      <c r="L244" s="70" t="s">
        <v>222</v>
      </c>
      <c r="M244" s="70"/>
      <c r="N244" s="70"/>
      <c r="O244" s="70"/>
    </row>
    <row r="245" customFormat="false" ht="15" hidden="false" customHeight="false" outlineLevel="0" collapsed="false">
      <c r="A245" s="71" t="n">
        <v>46289</v>
      </c>
      <c r="B245" s="70" t="str">
        <f aca="false">'3 Base Entrada 2008'!K34</f>
        <v>Entrada</v>
      </c>
      <c r="C245" s="70" t="s">
        <v>220</v>
      </c>
      <c r="D245" s="70" t="s">
        <v>224</v>
      </c>
      <c r="E245" s="70" t="s">
        <v>404</v>
      </c>
      <c r="F245" s="70" t="s">
        <v>188</v>
      </c>
      <c r="G245" s="70" t="s">
        <v>65</v>
      </c>
      <c r="H245" s="72" t="n">
        <f aca="false">'3 Base Entrada 2008'!G34</f>
        <v>-1206</v>
      </c>
      <c r="I245" s="72" t="n">
        <f aca="false">'3 Base Entrada 2008'!L34</f>
        <v>1206</v>
      </c>
      <c r="J245" s="72" t="n">
        <v>0</v>
      </c>
      <c r="K245" s="72" t="n">
        <f aca="false">I245-J245</f>
        <v>1206</v>
      </c>
      <c r="L245" s="70" t="s">
        <v>185</v>
      </c>
      <c r="M245" s="70"/>
      <c r="N245" s="70"/>
      <c r="O245" s="70"/>
    </row>
    <row r="246" customFormat="false" ht="15" hidden="false" customHeight="false" outlineLevel="0" collapsed="false">
      <c r="A246" s="71" t="n">
        <v>46289</v>
      </c>
      <c r="B246" s="70" t="s">
        <v>1732</v>
      </c>
      <c r="C246" s="70" t="s">
        <v>322</v>
      </c>
      <c r="D246" s="70" t="s">
        <v>323</v>
      </c>
      <c r="E246" s="70" t="s">
        <v>522</v>
      </c>
      <c r="F246" s="70" t="s">
        <v>405</v>
      </c>
      <c r="G246" s="70" t="s">
        <v>65</v>
      </c>
      <c r="H246" s="72" t="n">
        <f aca="false">'3 Base Saídas'!H137</f>
        <v>-2.8</v>
      </c>
      <c r="I246" s="72" t="n">
        <v>0</v>
      </c>
      <c r="J246" s="72" t="n">
        <f aca="false">'3 Base Saídas'!R137</f>
        <v>2.8</v>
      </c>
      <c r="K246" s="72" t="n">
        <f aca="false">I246-J246</f>
        <v>-2.8</v>
      </c>
      <c r="L246" s="70" t="s">
        <v>836</v>
      </c>
      <c r="M246" s="70" t="s">
        <v>838</v>
      </c>
      <c r="N246" s="70" t="s">
        <v>839</v>
      </c>
      <c r="O246" s="70" t="s">
        <v>481</v>
      </c>
    </row>
    <row r="247" customFormat="false" ht="15" hidden="false" customHeight="false" outlineLevel="0" collapsed="false">
      <c r="A247" s="71" t="n">
        <v>46289</v>
      </c>
      <c r="B247" s="70" t="s">
        <v>1732</v>
      </c>
      <c r="C247" s="70" t="s">
        <v>322</v>
      </c>
      <c r="D247" s="70" t="s">
        <v>323</v>
      </c>
      <c r="E247" s="70" t="s">
        <v>522</v>
      </c>
      <c r="F247" s="70" t="s">
        <v>405</v>
      </c>
      <c r="G247" s="70" t="s">
        <v>65</v>
      </c>
      <c r="H247" s="72" t="n">
        <f aca="false">'3 Base Saídas'!H138</f>
        <v>-5.6</v>
      </c>
      <c r="I247" s="72" t="n">
        <v>0</v>
      </c>
      <c r="J247" s="72" t="n">
        <f aca="false">'3 Base Saídas'!R138</f>
        <v>5.6</v>
      </c>
      <c r="K247" s="72" t="n">
        <f aca="false">I247-J247</f>
        <v>-5.6</v>
      </c>
      <c r="L247" s="70" t="s">
        <v>840</v>
      </c>
      <c r="M247" s="70" t="s">
        <v>842</v>
      </c>
      <c r="N247" s="70" t="s">
        <v>843</v>
      </c>
      <c r="O247" s="70" t="s">
        <v>481</v>
      </c>
    </row>
    <row r="248" customFormat="false" ht="15" hidden="false" customHeight="false" outlineLevel="0" collapsed="false">
      <c r="A248" s="71" t="n">
        <v>46289</v>
      </c>
      <c r="B248" s="70" t="s">
        <v>1732</v>
      </c>
      <c r="C248" s="70" t="s">
        <v>322</v>
      </c>
      <c r="D248" s="70" t="s">
        <v>323</v>
      </c>
      <c r="E248" s="70" t="s">
        <v>522</v>
      </c>
      <c r="F248" s="70" t="s">
        <v>405</v>
      </c>
      <c r="G248" s="70" t="s">
        <v>65</v>
      </c>
      <c r="H248" s="72" t="n">
        <f aca="false">'3 Base Saídas'!H139</f>
        <v>-2.8</v>
      </c>
      <c r="I248" s="72" t="n">
        <v>0</v>
      </c>
      <c r="J248" s="72" t="n">
        <f aca="false">'3 Base Saídas'!R139</f>
        <v>2.8</v>
      </c>
      <c r="K248" s="72" t="n">
        <f aca="false">I248-J248</f>
        <v>-2.8</v>
      </c>
      <c r="L248" s="70" t="s">
        <v>605</v>
      </c>
      <c r="M248" s="70" t="s">
        <v>607</v>
      </c>
      <c r="N248" s="70" t="s">
        <v>608</v>
      </c>
      <c r="O248" s="70" t="s">
        <v>481</v>
      </c>
    </row>
    <row r="249" customFormat="false" ht="15" hidden="false" customHeight="false" outlineLevel="0" collapsed="false">
      <c r="A249" s="71" t="n">
        <v>46289</v>
      </c>
      <c r="B249" s="70" t="s">
        <v>1732</v>
      </c>
      <c r="C249" s="70" t="s">
        <v>322</v>
      </c>
      <c r="D249" s="70" t="s">
        <v>323</v>
      </c>
      <c r="E249" s="70" t="s">
        <v>522</v>
      </c>
      <c r="F249" s="70" t="s">
        <v>405</v>
      </c>
      <c r="G249" s="70" t="s">
        <v>65</v>
      </c>
      <c r="H249" s="72" t="n">
        <f aca="false">'3 Base Saídas'!H140</f>
        <v>-28</v>
      </c>
      <c r="I249" s="72" t="n">
        <v>0</v>
      </c>
      <c r="J249" s="72" t="n">
        <f aca="false">'3 Base Saídas'!R140</f>
        <v>28</v>
      </c>
      <c r="K249" s="72" t="n">
        <f aca="false">I249-J249</f>
        <v>-28</v>
      </c>
      <c r="L249" s="70" t="s">
        <v>629</v>
      </c>
      <c r="M249" s="70" t="s">
        <v>631</v>
      </c>
      <c r="N249" s="70" t="s">
        <v>632</v>
      </c>
      <c r="O249" s="70" t="s">
        <v>481</v>
      </c>
    </row>
    <row r="250" customFormat="false" ht="15" hidden="false" customHeight="false" outlineLevel="0" collapsed="false">
      <c r="A250" s="71" t="n">
        <v>46289</v>
      </c>
      <c r="B250" s="70" t="str">
        <f aca="false">'3 Base Entrada 2008'!K37</f>
        <v>Entrada</v>
      </c>
      <c r="C250" s="70" t="s">
        <v>227</v>
      </c>
      <c r="D250" s="70" t="s">
        <v>230</v>
      </c>
      <c r="E250" s="70" t="s">
        <v>756</v>
      </c>
      <c r="F250" s="70" t="s">
        <v>188</v>
      </c>
      <c r="G250" s="70" t="s">
        <v>65</v>
      </c>
      <c r="H250" s="72" t="n">
        <f aca="false">'3 Base Entrada 2008'!G37</f>
        <v>-3540</v>
      </c>
      <c r="I250" s="72" t="n">
        <f aca="false">'3 Base Entrada 2008'!L37</f>
        <v>3540</v>
      </c>
      <c r="J250" s="72" t="n">
        <v>0</v>
      </c>
      <c r="K250" s="72" t="n">
        <f aca="false">I250-J250</f>
        <v>3540</v>
      </c>
      <c r="L250" s="70" t="s">
        <v>229</v>
      </c>
      <c r="M250" s="70"/>
      <c r="N250" s="70"/>
      <c r="O250" s="70"/>
    </row>
    <row r="251" customFormat="false" ht="15" hidden="false" customHeight="false" outlineLevel="0" collapsed="false">
      <c r="A251" s="71" t="n">
        <v>46289</v>
      </c>
      <c r="B251" s="70" t="str">
        <f aca="false">'3 Base Entrada 2008'!K38</f>
        <v>Entrada</v>
      </c>
      <c r="C251" s="70" t="s">
        <v>227</v>
      </c>
      <c r="D251" s="70" t="s">
        <v>230</v>
      </c>
      <c r="E251" s="70" t="s">
        <v>756</v>
      </c>
      <c r="F251" s="70" t="s">
        <v>188</v>
      </c>
      <c r="G251" s="70" t="s">
        <v>65</v>
      </c>
      <c r="H251" s="72" t="n">
        <f aca="false">'3 Base Entrada 2008'!G38</f>
        <v>-205</v>
      </c>
      <c r="I251" s="72" t="n">
        <f aca="false">'3 Base Entrada 2008'!L38</f>
        <v>205</v>
      </c>
      <c r="J251" s="72" t="n">
        <v>0</v>
      </c>
      <c r="K251" s="72" t="n">
        <f aca="false">I251-J251</f>
        <v>205</v>
      </c>
      <c r="L251" s="70" t="s">
        <v>217</v>
      </c>
      <c r="M251" s="70"/>
      <c r="N251" s="70"/>
      <c r="O251" s="70"/>
    </row>
    <row r="252" customFormat="false" ht="15" hidden="false" customHeight="false" outlineLevel="0" collapsed="false">
      <c r="A252" s="71" t="n">
        <v>46289</v>
      </c>
      <c r="B252" s="70" t="str">
        <f aca="false">'3 Base Entrada 2008'!K39</f>
        <v>Estorno</v>
      </c>
      <c r="C252" s="70" t="s">
        <v>227</v>
      </c>
      <c r="D252" s="70" t="s">
        <v>230</v>
      </c>
      <c r="E252" s="70" t="s">
        <v>756</v>
      </c>
      <c r="F252" s="70" t="s">
        <v>188</v>
      </c>
      <c r="G252" s="70" t="s">
        <v>65</v>
      </c>
      <c r="H252" s="72" t="n">
        <f aca="false">'3 Base Entrada 2008'!G39</f>
        <v>205</v>
      </c>
      <c r="I252" s="72" t="n">
        <f aca="false">'3 Base Entrada 2008'!L39</f>
        <v>-205</v>
      </c>
      <c r="J252" s="72" t="n">
        <v>0</v>
      </c>
      <c r="K252" s="72" t="n">
        <f aca="false">I252-J252</f>
        <v>-205</v>
      </c>
      <c r="L252" s="70" t="s">
        <v>216</v>
      </c>
      <c r="M252" s="70"/>
      <c r="N252" s="70"/>
      <c r="O252" s="70"/>
    </row>
    <row r="253" customFormat="false" ht="15" hidden="false" customHeight="false" outlineLevel="0" collapsed="false">
      <c r="A253" s="71" t="n">
        <v>46289</v>
      </c>
      <c r="B253" s="70" t="str">
        <f aca="false">'3 Base Entrada 2008'!K48</f>
        <v>Entrada</v>
      </c>
      <c r="C253" s="70" t="s">
        <v>232</v>
      </c>
      <c r="D253" s="70" t="s">
        <v>241</v>
      </c>
      <c r="E253" s="70" t="s">
        <v>939</v>
      </c>
      <c r="F253" s="70" t="s">
        <v>188</v>
      </c>
      <c r="G253" s="70" t="s">
        <v>146</v>
      </c>
      <c r="H253" s="72" t="n">
        <f aca="false">'3 Base Entrada 2008'!G48</f>
        <v>-450</v>
      </c>
      <c r="I253" s="72" t="n">
        <f aca="false">'3 Base Entrada 2008'!L48</f>
        <v>450</v>
      </c>
      <c r="J253" s="72" t="n">
        <v>0</v>
      </c>
      <c r="K253" s="72" t="n">
        <f aca="false">I253-J253</f>
        <v>450</v>
      </c>
      <c r="L253" s="70" t="s">
        <v>185</v>
      </c>
      <c r="M253" s="70"/>
      <c r="N253" s="70"/>
      <c r="O253" s="70"/>
    </row>
    <row r="254" customFormat="false" ht="15" hidden="false" customHeight="false" outlineLevel="0" collapsed="false">
      <c r="A254" s="71" t="n">
        <v>46289</v>
      </c>
      <c r="B254" s="70" t="str">
        <f aca="false">'3 Base Entrada 2008'!K49</f>
        <v>Entrada</v>
      </c>
      <c r="C254" s="70" t="s">
        <v>232</v>
      </c>
      <c r="D254" s="70" t="s">
        <v>233</v>
      </c>
      <c r="E254" s="70" t="s">
        <v>939</v>
      </c>
      <c r="F254" s="70" t="s">
        <v>188</v>
      </c>
      <c r="G254" s="70" t="s">
        <v>146</v>
      </c>
      <c r="H254" s="72" t="n">
        <f aca="false">'3 Base Entrada 2008'!G49</f>
        <v>-450</v>
      </c>
      <c r="I254" s="72" t="n">
        <f aca="false">'3 Base Entrada 2008'!L49</f>
        <v>450</v>
      </c>
      <c r="J254" s="72" t="n">
        <v>0</v>
      </c>
      <c r="K254" s="72" t="n">
        <f aca="false">I254-J254</f>
        <v>450</v>
      </c>
      <c r="L254" s="70" t="s">
        <v>185</v>
      </c>
      <c r="M254" s="70"/>
      <c r="N254" s="70"/>
      <c r="O254" s="70"/>
    </row>
    <row r="255" customFormat="false" ht="15" hidden="false" customHeight="false" outlineLevel="0" collapsed="false">
      <c r="A255" s="71" t="n">
        <v>46289</v>
      </c>
      <c r="B255" s="70" t="str">
        <f aca="false">'3 Base Entrada 2008'!K54</f>
        <v>Entrada</v>
      </c>
      <c r="C255" s="70" t="s">
        <v>247</v>
      </c>
      <c r="D255" s="70" t="s">
        <v>248</v>
      </c>
      <c r="E255" s="70" t="s">
        <v>404</v>
      </c>
      <c r="F255" s="70" t="s">
        <v>188</v>
      </c>
      <c r="G255" s="70" t="s">
        <v>65</v>
      </c>
      <c r="H255" s="72" t="n">
        <f aca="false">'3 Base Entrada 2008'!G54</f>
        <v>-603</v>
      </c>
      <c r="I255" s="72" t="n">
        <f aca="false">'3 Base Entrada 2008'!L54</f>
        <v>603</v>
      </c>
      <c r="J255" s="72" t="n">
        <v>0</v>
      </c>
      <c r="K255" s="72" t="n">
        <f aca="false">I255-J255</f>
        <v>603</v>
      </c>
      <c r="L255" s="70" t="s">
        <v>185</v>
      </c>
      <c r="M255" s="70"/>
      <c r="N255" s="70"/>
      <c r="O255" s="70"/>
    </row>
    <row r="256" customFormat="false" ht="15" hidden="false" customHeight="false" outlineLevel="0" collapsed="false">
      <c r="A256" s="71" t="n">
        <v>46289</v>
      </c>
      <c r="B256" s="70" t="str">
        <f aca="false">'3 Base Entrada 2008'!K55</f>
        <v>Entrada</v>
      </c>
      <c r="C256" s="70" t="s">
        <v>247</v>
      </c>
      <c r="D256" s="70" t="s">
        <v>248</v>
      </c>
      <c r="E256" s="70" t="s">
        <v>404</v>
      </c>
      <c r="F256" s="70" t="s">
        <v>188</v>
      </c>
      <c r="G256" s="70" t="s">
        <v>65</v>
      </c>
      <c r="H256" s="72" t="n">
        <f aca="false">'3 Base Entrada 2008'!G55</f>
        <v>-542.7</v>
      </c>
      <c r="I256" s="72" t="n">
        <f aca="false">'3 Base Entrada 2008'!L55</f>
        <v>542.7</v>
      </c>
      <c r="J256" s="72" t="n">
        <v>0</v>
      </c>
      <c r="K256" s="72" t="n">
        <f aca="false">I256-J256</f>
        <v>542.7</v>
      </c>
      <c r="L256" s="70" t="s">
        <v>185</v>
      </c>
      <c r="M256" s="70"/>
      <c r="N256" s="70"/>
      <c r="O256" s="70"/>
    </row>
    <row r="257" customFormat="false" ht="15" hidden="false" customHeight="false" outlineLevel="0" collapsed="false">
      <c r="A257" s="71" t="n">
        <v>46289</v>
      </c>
      <c r="B257" s="70" t="str">
        <f aca="false">'3 Base Entrada 2008'!K59</f>
        <v>Entrada</v>
      </c>
      <c r="C257" s="70" t="s">
        <v>252</v>
      </c>
      <c r="D257" s="70" t="s">
        <v>253</v>
      </c>
      <c r="E257" s="70" t="s">
        <v>1113</v>
      </c>
      <c r="F257" s="70" t="s">
        <v>188</v>
      </c>
      <c r="G257" s="70" t="s">
        <v>65</v>
      </c>
      <c r="H257" s="72" t="n">
        <f aca="false">'3 Base Entrada 2008'!G59</f>
        <v>-240</v>
      </c>
      <c r="I257" s="72" t="n">
        <f aca="false">'3 Base Entrada 2008'!L59</f>
        <v>240</v>
      </c>
      <c r="J257" s="72" t="n">
        <v>0</v>
      </c>
      <c r="K257" s="72" t="n">
        <f aca="false">I257-J257</f>
        <v>240</v>
      </c>
      <c r="L257" s="70" t="s">
        <v>217</v>
      </c>
      <c r="M257" s="70"/>
      <c r="N257" s="70"/>
      <c r="O257" s="70"/>
    </row>
    <row r="258" customFormat="false" ht="15" hidden="false" customHeight="false" outlineLevel="0" collapsed="false">
      <c r="A258" s="71" t="n">
        <v>46289</v>
      </c>
      <c r="B258" s="70" t="str">
        <f aca="false">'3 Base Entrada 2008'!K60</f>
        <v>Entrada</v>
      </c>
      <c r="C258" s="70" t="s">
        <v>252</v>
      </c>
      <c r="D258" s="70" t="s">
        <v>253</v>
      </c>
      <c r="E258" s="70" t="s">
        <v>1113</v>
      </c>
      <c r="F258" s="70" t="s">
        <v>188</v>
      </c>
      <c r="G258" s="70" t="s">
        <v>65</v>
      </c>
      <c r="H258" s="72" t="n">
        <f aca="false">'3 Base Entrada 2008'!G60</f>
        <v>-960</v>
      </c>
      <c r="I258" s="72" t="n">
        <f aca="false">'3 Base Entrada 2008'!L60</f>
        <v>960</v>
      </c>
      <c r="J258" s="72" t="n">
        <v>0</v>
      </c>
      <c r="K258" s="72" t="n">
        <f aca="false">I258-J258</f>
        <v>960</v>
      </c>
      <c r="L258" s="70" t="s">
        <v>215</v>
      </c>
      <c r="M258" s="70"/>
      <c r="N258" s="70"/>
      <c r="O258" s="70"/>
    </row>
    <row r="259" customFormat="false" ht="15" hidden="false" customHeight="false" outlineLevel="0" collapsed="false">
      <c r="A259" s="71" t="n">
        <v>46289</v>
      </c>
      <c r="B259" s="70" t="str">
        <f aca="false">'3 Base Entrada 2008'!K61</f>
        <v>Estorno</v>
      </c>
      <c r="C259" s="70" t="s">
        <v>252</v>
      </c>
      <c r="D259" s="70" t="s">
        <v>253</v>
      </c>
      <c r="E259" s="70" t="s">
        <v>1113</v>
      </c>
      <c r="F259" s="70" t="s">
        <v>188</v>
      </c>
      <c r="G259" s="70" t="s">
        <v>65</v>
      </c>
      <c r="H259" s="72" t="n">
        <f aca="false">'3 Base Entrada 2008'!G61</f>
        <v>480</v>
      </c>
      <c r="I259" s="72" t="n">
        <f aca="false">'3 Base Entrada 2008'!L61</f>
        <v>-480</v>
      </c>
      <c r="J259" s="72" t="n">
        <v>0</v>
      </c>
      <c r="K259" s="72" t="n">
        <f aca="false">I259-J259</f>
        <v>-480</v>
      </c>
      <c r="L259" s="70" t="s">
        <v>254</v>
      </c>
      <c r="M259" s="70"/>
      <c r="N259" s="70"/>
      <c r="O259" s="70"/>
    </row>
    <row r="260" customFormat="false" ht="15" hidden="false" customHeight="false" outlineLevel="0" collapsed="false">
      <c r="A260" s="71" t="n">
        <v>46289</v>
      </c>
      <c r="B260" s="70" t="str">
        <f aca="false">'3 Base Entrada 2008'!K62</f>
        <v>Estorno</v>
      </c>
      <c r="C260" s="70" t="s">
        <v>252</v>
      </c>
      <c r="D260" s="70" t="s">
        <v>253</v>
      </c>
      <c r="E260" s="70" t="s">
        <v>1113</v>
      </c>
      <c r="F260" s="70" t="s">
        <v>188</v>
      </c>
      <c r="G260" s="70" t="s">
        <v>65</v>
      </c>
      <c r="H260" s="72" t="n">
        <f aca="false">'3 Base Entrada 2008'!G62</f>
        <v>480</v>
      </c>
      <c r="I260" s="72" t="n">
        <f aca="false">'3 Base Entrada 2008'!L62</f>
        <v>-480</v>
      </c>
      <c r="J260" s="72" t="n">
        <v>0</v>
      </c>
      <c r="K260" s="72" t="n">
        <f aca="false">I260-J260</f>
        <v>-480</v>
      </c>
      <c r="L260" s="70" t="s">
        <v>255</v>
      </c>
      <c r="M260" s="70"/>
      <c r="N260" s="70"/>
      <c r="O260" s="70"/>
    </row>
    <row r="261" customFormat="false" ht="15" hidden="false" customHeight="false" outlineLevel="0" collapsed="false">
      <c r="A261" s="71" t="n">
        <v>46289</v>
      </c>
      <c r="B261" s="70" t="str">
        <f aca="false">'3 Base Entrada 2008'!K63</f>
        <v>Estorno</v>
      </c>
      <c r="C261" s="70" t="s">
        <v>252</v>
      </c>
      <c r="D261" s="70" t="s">
        <v>253</v>
      </c>
      <c r="E261" s="70" t="s">
        <v>1113</v>
      </c>
      <c r="F261" s="70" t="s">
        <v>188</v>
      </c>
      <c r="G261" s="70" t="s">
        <v>65</v>
      </c>
      <c r="H261" s="72" t="n">
        <f aca="false">'3 Base Entrada 2008'!G63</f>
        <v>240</v>
      </c>
      <c r="I261" s="72" t="n">
        <f aca="false">'3 Base Entrada 2008'!L63</f>
        <v>-240</v>
      </c>
      <c r="J261" s="72" t="n">
        <v>0</v>
      </c>
      <c r="K261" s="72" t="n">
        <f aca="false">I261-J261</f>
        <v>-240</v>
      </c>
      <c r="L261" s="70" t="s">
        <v>216</v>
      </c>
      <c r="M261" s="70"/>
      <c r="N261" s="70"/>
      <c r="O261" s="70"/>
    </row>
    <row r="262" customFormat="false" ht="15" hidden="false" customHeight="false" outlineLevel="0" collapsed="false">
      <c r="A262" s="71" t="n">
        <v>46289</v>
      </c>
      <c r="B262" s="70" t="str">
        <f aca="false">'3 Base Entrada 2008'!K64</f>
        <v>Entrada</v>
      </c>
      <c r="C262" s="70" t="s">
        <v>252</v>
      </c>
      <c r="D262" s="70" t="s">
        <v>253</v>
      </c>
      <c r="E262" s="70" t="s">
        <v>1113</v>
      </c>
      <c r="F262" s="70" t="s">
        <v>188</v>
      </c>
      <c r="G262" s="70" t="s">
        <v>65</v>
      </c>
      <c r="H262" s="72" t="n">
        <f aca="false">'3 Base Entrada 2008'!G64</f>
        <v>-960</v>
      </c>
      <c r="I262" s="72" t="n">
        <f aca="false">'3 Base Entrada 2008'!L64</f>
        <v>960</v>
      </c>
      <c r="J262" s="72" t="n">
        <v>0</v>
      </c>
      <c r="K262" s="72" t="n">
        <f aca="false">I262-J262</f>
        <v>960</v>
      </c>
      <c r="L262" s="70" t="s">
        <v>256</v>
      </c>
      <c r="M262" s="70"/>
      <c r="N262" s="70"/>
      <c r="O262" s="70"/>
    </row>
    <row r="263" customFormat="false" ht="15" hidden="false" customHeight="false" outlineLevel="0" collapsed="false">
      <c r="A263" s="71" t="n">
        <v>46289</v>
      </c>
      <c r="B263" s="70" t="str">
        <f aca="false">'3 Base Entrada 2008'!K65</f>
        <v>Estorno</v>
      </c>
      <c r="C263" s="70" t="s">
        <v>257</v>
      </c>
      <c r="D263" s="70" t="s">
        <v>258</v>
      </c>
      <c r="E263" s="70" t="s">
        <v>1152</v>
      </c>
      <c r="F263" s="70" t="s">
        <v>188</v>
      </c>
      <c r="G263" s="70" t="s">
        <v>65</v>
      </c>
      <c r="H263" s="72" t="n">
        <f aca="false">'3 Base Entrada 2008'!G65</f>
        <v>64</v>
      </c>
      <c r="I263" s="72" t="n">
        <f aca="false">'3 Base Entrada 2008'!L65</f>
        <v>-64</v>
      </c>
      <c r="J263" s="72" t="n">
        <v>0</v>
      </c>
      <c r="K263" s="72" t="n">
        <f aca="false">I263-J263</f>
        <v>-64</v>
      </c>
      <c r="L263" s="70" t="s">
        <v>216</v>
      </c>
      <c r="M263" s="70"/>
      <c r="N263" s="70"/>
      <c r="O263" s="70"/>
    </row>
    <row r="264" customFormat="false" ht="15" hidden="false" customHeight="false" outlineLevel="0" collapsed="false">
      <c r="A264" s="71" t="n">
        <v>46289</v>
      </c>
      <c r="B264" s="70" t="str">
        <f aca="false">'3 Base Entrada 2008'!K66</f>
        <v>Entrada</v>
      </c>
      <c r="C264" s="70" t="s">
        <v>257</v>
      </c>
      <c r="D264" s="70" t="s">
        <v>258</v>
      </c>
      <c r="E264" s="70" t="s">
        <v>1152</v>
      </c>
      <c r="F264" s="70" t="s">
        <v>188</v>
      </c>
      <c r="G264" s="70" t="s">
        <v>65</v>
      </c>
      <c r="H264" s="72" t="n">
        <f aca="false">'3 Base Entrada 2008'!G66</f>
        <v>-64</v>
      </c>
      <c r="I264" s="72" t="n">
        <f aca="false">'3 Base Entrada 2008'!L66</f>
        <v>64</v>
      </c>
      <c r="J264" s="72" t="n">
        <v>0</v>
      </c>
      <c r="K264" s="72" t="n">
        <f aca="false">I264-J264</f>
        <v>64</v>
      </c>
      <c r="L264" s="70" t="s">
        <v>217</v>
      </c>
      <c r="M264" s="70"/>
      <c r="N264" s="70"/>
      <c r="O264" s="70"/>
    </row>
    <row r="265" customFormat="false" ht="15" hidden="false" customHeight="false" outlineLevel="0" collapsed="false">
      <c r="A265" s="71" t="n">
        <v>46289</v>
      </c>
      <c r="B265" s="70" t="str">
        <f aca="false">'3 Base Entrada 2008'!K67</f>
        <v>Entrada</v>
      </c>
      <c r="C265" s="70" t="s">
        <v>257</v>
      </c>
      <c r="D265" s="70" t="s">
        <v>258</v>
      </c>
      <c r="E265" s="70" t="s">
        <v>1152</v>
      </c>
      <c r="F265" s="70" t="s">
        <v>188</v>
      </c>
      <c r="G265" s="70" t="s">
        <v>65</v>
      </c>
      <c r="H265" s="72" t="n">
        <f aca="false">'3 Base Entrada 2008'!G67</f>
        <v>-384</v>
      </c>
      <c r="I265" s="72" t="n">
        <f aca="false">'3 Base Entrada 2008'!L67</f>
        <v>384</v>
      </c>
      <c r="J265" s="72" t="n">
        <v>0</v>
      </c>
      <c r="K265" s="72" t="n">
        <f aca="false">I265-J265</f>
        <v>384</v>
      </c>
      <c r="L265" s="70" t="s">
        <v>215</v>
      </c>
      <c r="M265" s="70"/>
      <c r="N265" s="70"/>
      <c r="O265" s="70"/>
    </row>
    <row r="266" customFormat="false" ht="15" hidden="false" customHeight="false" outlineLevel="0" collapsed="false">
      <c r="A266" s="71" t="n">
        <v>46289</v>
      </c>
      <c r="B266" s="70" t="str">
        <f aca="false">'3 Base Entrada 2008'!K68</f>
        <v>Entrada</v>
      </c>
      <c r="C266" s="70" t="s">
        <v>257</v>
      </c>
      <c r="D266" s="70" t="s">
        <v>258</v>
      </c>
      <c r="E266" s="70" t="s">
        <v>1152</v>
      </c>
      <c r="F266" s="70" t="s">
        <v>188</v>
      </c>
      <c r="G266" s="70" t="s">
        <v>65</v>
      </c>
      <c r="H266" s="72" t="n">
        <f aca="false">'3 Base Entrada 2008'!G68</f>
        <v>-384</v>
      </c>
      <c r="I266" s="72" t="n">
        <f aca="false">'3 Base Entrada 2008'!L68</f>
        <v>384</v>
      </c>
      <c r="J266" s="72" t="n">
        <v>0</v>
      </c>
      <c r="K266" s="72" t="n">
        <f aca="false">I266-J266</f>
        <v>384</v>
      </c>
      <c r="L266" s="70" t="s">
        <v>259</v>
      </c>
      <c r="M266" s="70"/>
      <c r="N266" s="70"/>
      <c r="O266" s="70"/>
    </row>
    <row r="267" customFormat="false" ht="15" hidden="false" customHeight="false" outlineLevel="0" collapsed="false">
      <c r="A267" s="71" t="n">
        <v>46289</v>
      </c>
      <c r="B267" s="70" t="s">
        <v>1732</v>
      </c>
      <c r="C267" s="70" t="s">
        <v>257</v>
      </c>
      <c r="D267" s="70" t="s">
        <v>258</v>
      </c>
      <c r="E267" s="70" t="s">
        <v>1152</v>
      </c>
      <c r="F267" s="70" t="s">
        <v>405</v>
      </c>
      <c r="G267" s="70" t="s">
        <v>65</v>
      </c>
      <c r="H267" s="72" t="n">
        <f aca="false">'3 Base Saídas'!H270</f>
        <v>-6</v>
      </c>
      <c r="I267" s="72" t="n">
        <v>0</v>
      </c>
      <c r="J267" s="72" t="n">
        <f aca="false">'3 Base Saídas'!R270</f>
        <v>6</v>
      </c>
      <c r="K267" s="72" t="n">
        <f aca="false">I267-J267</f>
        <v>-6</v>
      </c>
      <c r="L267" s="70" t="s">
        <v>1158</v>
      </c>
      <c r="M267" s="70" t="s">
        <v>1160</v>
      </c>
      <c r="N267" s="70" t="s">
        <v>1161</v>
      </c>
      <c r="O267" s="70" t="s">
        <v>481</v>
      </c>
    </row>
    <row r="268" customFormat="false" ht="15" hidden="false" customHeight="false" outlineLevel="0" collapsed="false">
      <c r="A268" s="71" t="n">
        <v>46289</v>
      </c>
      <c r="B268" s="70" t="s">
        <v>1732</v>
      </c>
      <c r="C268" s="70" t="s">
        <v>257</v>
      </c>
      <c r="D268" s="70" t="s">
        <v>258</v>
      </c>
      <c r="E268" s="70" t="s">
        <v>1152</v>
      </c>
      <c r="F268" s="70" t="s">
        <v>405</v>
      </c>
      <c r="G268" s="70" t="s">
        <v>65</v>
      </c>
      <c r="H268" s="72" t="n">
        <f aca="false">'3 Base Saídas'!H271</f>
        <v>-84</v>
      </c>
      <c r="I268" s="72" t="n">
        <v>0</v>
      </c>
      <c r="J268" s="72" t="n">
        <f aca="false">'3 Base Saídas'!R271</f>
        <v>84</v>
      </c>
      <c r="K268" s="72" t="n">
        <f aca="false">I268-J268</f>
        <v>-84</v>
      </c>
      <c r="L268" s="70" t="s">
        <v>1158</v>
      </c>
      <c r="M268" s="70" t="s">
        <v>1160</v>
      </c>
      <c r="N268" s="70" t="s">
        <v>1161</v>
      </c>
      <c r="O268" s="70" t="s">
        <v>481</v>
      </c>
    </row>
    <row r="269" customFormat="false" ht="15" hidden="false" customHeight="false" outlineLevel="0" collapsed="false">
      <c r="A269" s="71" t="n">
        <v>46289</v>
      </c>
      <c r="B269" s="70" t="s">
        <v>1732</v>
      </c>
      <c r="C269" s="70" t="s">
        <v>257</v>
      </c>
      <c r="D269" s="70" t="s">
        <v>258</v>
      </c>
      <c r="E269" s="70" t="s">
        <v>1152</v>
      </c>
      <c r="F269" s="70" t="s">
        <v>1163</v>
      </c>
      <c r="G269" s="70" t="s">
        <v>65</v>
      </c>
      <c r="H269" s="72" t="n">
        <f aca="false">'3 Base Saídas'!H272</f>
        <v>-12</v>
      </c>
      <c r="I269" s="72" t="n">
        <v>0</v>
      </c>
      <c r="J269" s="72" t="n">
        <f aca="false">'3 Base Saídas'!R272</f>
        <v>12</v>
      </c>
      <c r="K269" s="72" t="n">
        <f aca="false">I269-J269</f>
        <v>-12</v>
      </c>
      <c r="L269" s="70" t="s">
        <v>1162</v>
      </c>
      <c r="M269" s="70" t="s">
        <v>1165</v>
      </c>
      <c r="N269" s="70" t="s">
        <v>1166</v>
      </c>
      <c r="O269" s="70" t="s">
        <v>417</v>
      </c>
    </row>
    <row r="270" customFormat="false" ht="15" hidden="false" customHeight="false" outlineLevel="0" collapsed="false">
      <c r="A270" s="71" t="n">
        <v>46289</v>
      </c>
      <c r="B270" s="70" t="s">
        <v>1732</v>
      </c>
      <c r="C270" s="70" t="s">
        <v>257</v>
      </c>
      <c r="D270" s="70" t="s">
        <v>258</v>
      </c>
      <c r="E270" s="70" t="s">
        <v>1152</v>
      </c>
      <c r="F270" s="70" t="s">
        <v>405</v>
      </c>
      <c r="G270" s="70" t="s">
        <v>65</v>
      </c>
      <c r="H270" s="72" t="n">
        <f aca="false">'3 Base Saídas'!H273</f>
        <v>-6</v>
      </c>
      <c r="I270" s="72" t="n">
        <v>0</v>
      </c>
      <c r="J270" s="72" t="n">
        <f aca="false">'3 Base Saídas'!R273</f>
        <v>6</v>
      </c>
      <c r="K270" s="72" t="n">
        <f aca="false">I270-J270</f>
        <v>-6</v>
      </c>
      <c r="L270" s="70" t="s">
        <v>605</v>
      </c>
      <c r="M270" s="70" t="s">
        <v>607</v>
      </c>
      <c r="N270" s="70" t="s">
        <v>608</v>
      </c>
      <c r="O270" s="70" t="s">
        <v>481</v>
      </c>
    </row>
    <row r="271" customFormat="false" ht="15" hidden="false" customHeight="false" outlineLevel="0" collapsed="false">
      <c r="A271" s="71" t="n">
        <v>46289</v>
      </c>
      <c r="B271" s="70" t="s">
        <v>1732</v>
      </c>
      <c r="C271" s="70" t="s">
        <v>269</v>
      </c>
      <c r="D271" s="70" t="s">
        <v>270</v>
      </c>
      <c r="E271" s="70" t="s">
        <v>1206</v>
      </c>
      <c r="F271" s="70" t="s">
        <v>405</v>
      </c>
      <c r="G271" s="70" t="s">
        <v>65</v>
      </c>
      <c r="H271" s="72" t="n">
        <f aca="false">'3 Base Saídas'!H294</f>
        <v>-12</v>
      </c>
      <c r="I271" s="72" t="n">
        <v>0</v>
      </c>
      <c r="J271" s="72" t="n">
        <f aca="false">'3 Base Saídas'!R294</f>
        <v>12</v>
      </c>
      <c r="K271" s="72" t="n">
        <f aca="false">I271-J271</f>
        <v>-12</v>
      </c>
      <c r="L271" s="70" t="s">
        <v>629</v>
      </c>
      <c r="M271" s="70" t="s">
        <v>631</v>
      </c>
      <c r="N271" s="70" t="s">
        <v>632</v>
      </c>
      <c r="O271" s="70" t="s">
        <v>481</v>
      </c>
    </row>
    <row r="272" customFormat="false" ht="15" hidden="false" customHeight="false" outlineLevel="0" collapsed="false">
      <c r="A272" s="71" t="n">
        <v>46289</v>
      </c>
      <c r="B272" s="70" t="str">
        <f aca="false">'3 Base Entrada 2008'!K77</f>
        <v>Entrada</v>
      </c>
      <c r="C272" s="70" t="s">
        <v>271</v>
      </c>
      <c r="D272" s="70" t="s">
        <v>272</v>
      </c>
      <c r="E272" s="70" t="s">
        <v>1225</v>
      </c>
      <c r="F272" s="70" t="s">
        <v>188</v>
      </c>
      <c r="G272" s="70" t="s">
        <v>65</v>
      </c>
      <c r="H272" s="72" t="n">
        <f aca="false">'3 Base Entrada 2008'!G77</f>
        <v>-600</v>
      </c>
      <c r="I272" s="72" t="n">
        <f aca="false">'3 Base Entrada 2008'!L77</f>
        <v>600</v>
      </c>
      <c r="J272" s="72" t="n">
        <v>0</v>
      </c>
      <c r="K272" s="72" t="n">
        <f aca="false">I272-J272</f>
        <v>600</v>
      </c>
      <c r="L272" s="70" t="s">
        <v>274</v>
      </c>
      <c r="M272" s="70"/>
      <c r="N272" s="70"/>
      <c r="O272" s="70"/>
    </row>
    <row r="273" customFormat="false" ht="15" hidden="false" customHeight="false" outlineLevel="0" collapsed="false">
      <c r="A273" s="71" t="n">
        <v>46289</v>
      </c>
      <c r="B273" s="70" t="str">
        <f aca="false">'3 Base Entrada 2008'!K78</f>
        <v>Entrada</v>
      </c>
      <c r="C273" s="70" t="s">
        <v>271</v>
      </c>
      <c r="D273" s="70" t="s">
        <v>272</v>
      </c>
      <c r="E273" s="70" t="s">
        <v>1225</v>
      </c>
      <c r="F273" s="70" t="s">
        <v>188</v>
      </c>
      <c r="G273" s="70" t="s">
        <v>65</v>
      </c>
      <c r="H273" s="72" t="n">
        <f aca="false">'3 Base Entrada 2008'!G78</f>
        <v>-60</v>
      </c>
      <c r="I273" s="72" t="n">
        <f aca="false">'3 Base Entrada 2008'!L78</f>
        <v>60</v>
      </c>
      <c r="J273" s="72" t="n">
        <v>0</v>
      </c>
      <c r="K273" s="72" t="n">
        <f aca="false">I273-J273</f>
        <v>60</v>
      </c>
      <c r="L273" s="70" t="s">
        <v>217</v>
      </c>
      <c r="M273" s="70"/>
      <c r="N273" s="70"/>
      <c r="O273" s="70"/>
    </row>
    <row r="274" customFormat="false" ht="15" hidden="false" customHeight="false" outlineLevel="0" collapsed="false">
      <c r="A274" s="71" t="n">
        <v>46289</v>
      </c>
      <c r="B274" s="70" t="str">
        <f aca="false">'3 Base Entrada 2008'!K79</f>
        <v>Entrada</v>
      </c>
      <c r="C274" s="70" t="s">
        <v>271</v>
      </c>
      <c r="D274" s="70" t="s">
        <v>272</v>
      </c>
      <c r="E274" s="70" t="s">
        <v>1225</v>
      </c>
      <c r="F274" s="70" t="s">
        <v>188</v>
      </c>
      <c r="G274" s="70" t="s">
        <v>65</v>
      </c>
      <c r="H274" s="72" t="n">
        <f aca="false">'3 Base Entrada 2008'!G79</f>
        <v>-600</v>
      </c>
      <c r="I274" s="72" t="n">
        <f aca="false">'3 Base Entrada 2008'!L79</f>
        <v>600</v>
      </c>
      <c r="J274" s="72" t="n">
        <v>0</v>
      </c>
      <c r="K274" s="72" t="n">
        <f aca="false">I274-J274</f>
        <v>600</v>
      </c>
      <c r="L274" s="70" t="s">
        <v>215</v>
      </c>
      <c r="M274" s="70"/>
      <c r="N274" s="70"/>
      <c r="O274" s="70"/>
    </row>
    <row r="275" customFormat="false" ht="15" hidden="false" customHeight="false" outlineLevel="0" collapsed="false">
      <c r="A275" s="71" t="n">
        <v>46289</v>
      </c>
      <c r="B275" s="70" t="str">
        <f aca="false">'3 Base Entrada 2008'!K80</f>
        <v>Estorno</v>
      </c>
      <c r="C275" s="70" t="s">
        <v>271</v>
      </c>
      <c r="D275" s="70" t="s">
        <v>272</v>
      </c>
      <c r="E275" s="70" t="s">
        <v>1225</v>
      </c>
      <c r="F275" s="70" t="s">
        <v>188</v>
      </c>
      <c r="G275" s="70" t="s">
        <v>65</v>
      </c>
      <c r="H275" s="72" t="n">
        <f aca="false">'3 Base Entrada 2008'!G80</f>
        <v>60</v>
      </c>
      <c r="I275" s="72" t="n">
        <f aca="false">'3 Base Entrada 2008'!L80</f>
        <v>-60</v>
      </c>
      <c r="J275" s="72" t="n">
        <v>0</v>
      </c>
      <c r="K275" s="72" t="n">
        <f aca="false">I275-J275</f>
        <v>-60</v>
      </c>
      <c r="L275" s="70" t="s">
        <v>216</v>
      </c>
      <c r="M275" s="70"/>
      <c r="N275" s="70"/>
      <c r="O275" s="70"/>
    </row>
    <row r="276" customFormat="false" ht="15" hidden="false" customHeight="false" outlineLevel="0" collapsed="false">
      <c r="A276" s="71" t="n">
        <v>46289</v>
      </c>
      <c r="B276" s="70" t="str">
        <f aca="false">'3 Base Entrada 2008'!K81</f>
        <v>Entrada</v>
      </c>
      <c r="C276" s="70" t="s">
        <v>276</v>
      </c>
      <c r="D276" s="70" t="s">
        <v>277</v>
      </c>
      <c r="E276" s="70" t="s">
        <v>404</v>
      </c>
      <c r="F276" s="70" t="s">
        <v>188</v>
      </c>
      <c r="G276" s="70" t="s">
        <v>65</v>
      </c>
      <c r="H276" s="72" t="n">
        <f aca="false">'3 Base Entrada 2008'!G81</f>
        <v>-602.9</v>
      </c>
      <c r="I276" s="72" t="n">
        <f aca="false">'3 Base Entrada 2008'!L81</f>
        <v>602.9</v>
      </c>
      <c r="J276" s="72" t="n">
        <v>0</v>
      </c>
      <c r="K276" s="72" t="n">
        <f aca="false">I276-J276</f>
        <v>602.9</v>
      </c>
      <c r="L276" s="70" t="s">
        <v>275</v>
      </c>
      <c r="M276" s="70"/>
      <c r="N276" s="70"/>
      <c r="O276" s="70"/>
    </row>
    <row r="277" customFormat="false" ht="15" hidden="false" customHeight="false" outlineLevel="0" collapsed="false">
      <c r="A277" s="71" t="n">
        <v>46289</v>
      </c>
      <c r="B277" s="70" t="str">
        <f aca="false">'3 Base Entrada 2008'!K82</f>
        <v>Entrada</v>
      </c>
      <c r="C277" s="70" t="s">
        <v>276</v>
      </c>
      <c r="D277" s="70" t="s">
        <v>278</v>
      </c>
      <c r="E277" s="70" t="s">
        <v>404</v>
      </c>
      <c r="F277" s="70" t="s">
        <v>188</v>
      </c>
      <c r="G277" s="70" t="s">
        <v>65</v>
      </c>
      <c r="H277" s="72" t="n">
        <f aca="false">'3 Base Entrada 2008'!G82</f>
        <v>-1206</v>
      </c>
      <c r="I277" s="72" t="n">
        <f aca="false">'3 Base Entrada 2008'!L82</f>
        <v>1206</v>
      </c>
      <c r="J277" s="72" t="n">
        <v>0</v>
      </c>
      <c r="K277" s="72" t="n">
        <f aca="false">I277-J277</f>
        <v>1206</v>
      </c>
      <c r="L277" s="70" t="s">
        <v>185</v>
      </c>
      <c r="M277" s="70"/>
      <c r="N277" s="70"/>
      <c r="O277" s="70"/>
    </row>
    <row r="278" customFormat="false" ht="15" hidden="false" customHeight="false" outlineLevel="0" collapsed="false">
      <c r="A278" s="71" t="n">
        <v>46289</v>
      </c>
      <c r="B278" s="70" t="s">
        <v>1732</v>
      </c>
      <c r="C278" s="70" t="s">
        <v>276</v>
      </c>
      <c r="D278" s="70" t="s">
        <v>280</v>
      </c>
      <c r="E278" s="70" t="s">
        <v>404</v>
      </c>
      <c r="F278" s="70" t="s">
        <v>405</v>
      </c>
      <c r="G278" s="70" t="s">
        <v>65</v>
      </c>
      <c r="H278" s="72" t="n">
        <f aca="false">'3 Base Saídas'!H341</f>
        <v>-20.1</v>
      </c>
      <c r="I278" s="72" t="n">
        <v>0</v>
      </c>
      <c r="J278" s="72" t="n">
        <f aca="false">'3 Base Saídas'!R341</f>
        <v>20.1</v>
      </c>
      <c r="K278" s="72" t="n">
        <f aca="false">I278-J278</f>
        <v>-20.1</v>
      </c>
      <c r="L278" s="70" t="s">
        <v>1305</v>
      </c>
      <c r="M278" s="70" t="s">
        <v>1307</v>
      </c>
      <c r="N278" s="70" t="s">
        <v>1308</v>
      </c>
      <c r="O278" s="70" t="s">
        <v>481</v>
      </c>
    </row>
    <row r="279" customFormat="false" ht="15" hidden="false" customHeight="false" outlineLevel="0" collapsed="false">
      <c r="A279" s="71" t="n">
        <v>46289</v>
      </c>
      <c r="B279" s="70" t="str">
        <f aca="false">'3 Base Entrada 2008'!K96</f>
        <v>Estorno</v>
      </c>
      <c r="C279" s="70" t="s">
        <v>286</v>
      </c>
      <c r="D279" s="70" t="s">
        <v>299</v>
      </c>
      <c r="E279" s="70" t="s">
        <v>1354</v>
      </c>
      <c r="F279" s="70" t="s">
        <v>188</v>
      </c>
      <c r="G279" s="70" t="s">
        <v>147</v>
      </c>
      <c r="H279" s="72" t="n">
        <f aca="false">'3 Base Entrada 2008'!G96</f>
        <v>120</v>
      </c>
      <c r="I279" s="72" t="n">
        <f aca="false">'3 Base Entrada 2008'!L96</f>
        <v>-120</v>
      </c>
      <c r="J279" s="72" t="n">
        <v>0</v>
      </c>
      <c r="K279" s="72" t="n">
        <f aca="false">I279-J279</f>
        <v>-120</v>
      </c>
      <c r="L279" s="70" t="s">
        <v>298</v>
      </c>
      <c r="M279" s="70"/>
      <c r="N279" s="70"/>
      <c r="O279" s="70"/>
    </row>
    <row r="280" customFormat="false" ht="15" hidden="false" customHeight="false" outlineLevel="0" collapsed="false">
      <c r="A280" s="71" t="n">
        <v>46289</v>
      </c>
      <c r="B280" s="70" t="str">
        <f aca="false">'3 Base Entrada 2008'!K92</f>
        <v>Entrada</v>
      </c>
      <c r="C280" s="70" t="s">
        <v>286</v>
      </c>
      <c r="D280" s="70" t="s">
        <v>290</v>
      </c>
      <c r="E280" s="70" t="s">
        <v>1354</v>
      </c>
      <c r="F280" s="70" t="s">
        <v>188</v>
      </c>
      <c r="G280" s="70" t="s">
        <v>147</v>
      </c>
      <c r="H280" s="72" t="n">
        <f aca="false">'3 Base Entrada 2008'!G92</f>
        <v>-120</v>
      </c>
      <c r="I280" s="72" t="n">
        <f aca="false">'3 Base Entrada 2008'!L92</f>
        <v>120</v>
      </c>
      <c r="J280" s="72" t="n">
        <v>0</v>
      </c>
      <c r="K280" s="72" t="n">
        <f aca="false">I280-J280</f>
        <v>120</v>
      </c>
      <c r="L280" s="70" t="s">
        <v>295</v>
      </c>
      <c r="M280" s="70"/>
      <c r="N280" s="70"/>
      <c r="O280" s="70"/>
    </row>
    <row r="281" customFormat="false" ht="15" hidden="false" customHeight="false" outlineLevel="0" collapsed="false">
      <c r="A281" s="71" t="n">
        <v>46289</v>
      </c>
      <c r="B281" s="70" t="str">
        <f aca="false">'3 Base Entrada 2008'!K95</f>
        <v>Entrada</v>
      </c>
      <c r="C281" s="70" t="s">
        <v>286</v>
      </c>
      <c r="D281" s="70" t="s">
        <v>291</v>
      </c>
      <c r="E281" s="70" t="s">
        <v>1354</v>
      </c>
      <c r="F281" s="70" t="s">
        <v>188</v>
      </c>
      <c r="G281" s="70" t="s">
        <v>147</v>
      </c>
      <c r="H281" s="72" t="n">
        <f aca="false">'3 Base Entrada 2008'!G95</f>
        <v>-119.75</v>
      </c>
      <c r="I281" s="72" t="n">
        <f aca="false">'3 Base Entrada 2008'!L95</f>
        <v>119.75</v>
      </c>
      <c r="J281" s="72" t="n">
        <v>0</v>
      </c>
      <c r="K281" s="72" t="n">
        <f aca="false">I281-J281</f>
        <v>119.75</v>
      </c>
      <c r="L281" s="70" t="s">
        <v>215</v>
      </c>
      <c r="M281" s="70"/>
      <c r="N281" s="70"/>
      <c r="O281" s="70"/>
    </row>
    <row r="282" customFormat="false" ht="15" hidden="false" customHeight="false" outlineLevel="0" collapsed="false">
      <c r="A282" s="71" t="n">
        <v>46289</v>
      </c>
      <c r="B282" s="70" t="str">
        <f aca="false">'3 Base Entrada 2008'!K91</f>
        <v>Entrada</v>
      </c>
      <c r="C282" s="70" t="s">
        <v>286</v>
      </c>
      <c r="D282" s="70" t="s">
        <v>294</v>
      </c>
      <c r="E282" s="70" t="s">
        <v>1354</v>
      </c>
      <c r="F282" s="70" t="s">
        <v>188</v>
      </c>
      <c r="G282" s="70" t="s">
        <v>147</v>
      </c>
      <c r="H282" s="72" t="n">
        <f aca="false">'3 Base Entrada 2008'!G91</f>
        <v>-7</v>
      </c>
      <c r="I282" s="72" t="n">
        <f aca="false">'3 Base Entrada 2008'!L91</f>
        <v>7</v>
      </c>
      <c r="J282" s="72" t="n">
        <v>0</v>
      </c>
      <c r="K282" s="72" t="n">
        <f aca="false">I282-J282</f>
        <v>7</v>
      </c>
      <c r="L282" s="70" t="s">
        <v>293</v>
      </c>
      <c r="M282" s="70"/>
      <c r="N282" s="70"/>
      <c r="O282" s="70"/>
    </row>
    <row r="283" customFormat="false" ht="15" hidden="false" customHeight="false" outlineLevel="0" collapsed="false">
      <c r="A283" s="71" t="n">
        <v>46289</v>
      </c>
      <c r="B283" s="70" t="str">
        <f aca="false">'3 Base Entrada 2008'!K93</f>
        <v>Entrada</v>
      </c>
      <c r="C283" s="70" t="s">
        <v>286</v>
      </c>
      <c r="D283" s="70" t="s">
        <v>294</v>
      </c>
      <c r="E283" s="70" t="s">
        <v>1354</v>
      </c>
      <c r="F283" s="70" t="s">
        <v>188</v>
      </c>
      <c r="G283" s="70" t="s">
        <v>147</v>
      </c>
      <c r="H283" s="72" t="n">
        <f aca="false">'3 Base Entrada 2008'!G93</f>
        <v>-120</v>
      </c>
      <c r="I283" s="72" t="n">
        <f aca="false">'3 Base Entrada 2008'!L93</f>
        <v>120</v>
      </c>
      <c r="J283" s="72" t="n">
        <v>0</v>
      </c>
      <c r="K283" s="72" t="n">
        <f aca="false">I283-J283</f>
        <v>120</v>
      </c>
      <c r="L283" s="70" t="s">
        <v>296</v>
      </c>
      <c r="M283" s="70"/>
      <c r="N283" s="70"/>
      <c r="O283" s="70"/>
    </row>
    <row r="284" customFormat="false" ht="15" hidden="false" customHeight="false" outlineLevel="0" collapsed="false">
      <c r="A284" s="71" t="n">
        <v>46289</v>
      </c>
      <c r="B284" s="70" t="str">
        <f aca="false">'3 Base Entrada 2008'!K94</f>
        <v>Entrada</v>
      </c>
      <c r="C284" s="70" t="s">
        <v>286</v>
      </c>
      <c r="D284" s="70" t="s">
        <v>294</v>
      </c>
      <c r="E284" s="70" t="s">
        <v>1354</v>
      </c>
      <c r="F284" s="70" t="s">
        <v>188</v>
      </c>
      <c r="G284" s="70" t="s">
        <v>147</v>
      </c>
      <c r="H284" s="72" t="n">
        <f aca="false">'3 Base Entrada 2008'!G94</f>
        <v>-120</v>
      </c>
      <c r="I284" s="72" t="n">
        <f aca="false">'3 Base Entrada 2008'!L94</f>
        <v>120</v>
      </c>
      <c r="J284" s="72" t="n">
        <v>0</v>
      </c>
      <c r="K284" s="72" t="n">
        <f aca="false">I284-J284</f>
        <v>120</v>
      </c>
      <c r="L284" s="70" t="s">
        <v>297</v>
      </c>
      <c r="M284" s="70"/>
      <c r="N284" s="70"/>
      <c r="O284" s="70"/>
    </row>
    <row r="285" customFormat="false" ht="15" hidden="false" customHeight="false" outlineLevel="0" collapsed="false">
      <c r="A285" s="71" t="n">
        <v>46289</v>
      </c>
      <c r="B285" s="70" t="str">
        <f aca="false">'3 Base Entrada 2008'!K109</f>
        <v>Entrada</v>
      </c>
      <c r="C285" s="70" t="s">
        <v>305</v>
      </c>
      <c r="D285" s="70" t="s">
        <v>306</v>
      </c>
      <c r="E285" s="70" t="s">
        <v>1377</v>
      </c>
      <c r="F285" s="70" t="s">
        <v>188</v>
      </c>
      <c r="G285" s="70" t="s">
        <v>65</v>
      </c>
      <c r="H285" s="72" t="n">
        <f aca="false">'3 Base Entrada 2008'!G109</f>
        <v>-400</v>
      </c>
      <c r="I285" s="72" t="n">
        <f aca="false">'3 Base Entrada 2008'!L109</f>
        <v>400</v>
      </c>
      <c r="J285" s="72" t="n">
        <v>0</v>
      </c>
      <c r="K285" s="72" t="n">
        <f aca="false">I285-J285</f>
        <v>400</v>
      </c>
      <c r="L285" s="70" t="s">
        <v>215</v>
      </c>
      <c r="M285" s="70"/>
      <c r="N285" s="70"/>
      <c r="O285" s="70"/>
    </row>
    <row r="286" customFormat="false" ht="15" hidden="false" customHeight="false" outlineLevel="0" collapsed="false">
      <c r="A286" s="71" t="n">
        <v>46289</v>
      </c>
      <c r="B286" s="70" t="str">
        <f aca="false">'3 Base Entrada 2008'!K110</f>
        <v>Estorno</v>
      </c>
      <c r="C286" s="70" t="s">
        <v>305</v>
      </c>
      <c r="D286" s="70" t="s">
        <v>306</v>
      </c>
      <c r="E286" s="70" t="s">
        <v>1377</v>
      </c>
      <c r="F286" s="70" t="s">
        <v>188</v>
      </c>
      <c r="G286" s="70" t="s">
        <v>65</v>
      </c>
      <c r="H286" s="72" t="n">
        <f aca="false">'3 Base Entrada 2008'!G110</f>
        <v>40</v>
      </c>
      <c r="I286" s="72" t="n">
        <f aca="false">'3 Base Entrada 2008'!L110</f>
        <v>-40</v>
      </c>
      <c r="J286" s="72" t="n">
        <v>0</v>
      </c>
      <c r="K286" s="72" t="n">
        <f aca="false">I286-J286</f>
        <v>-40</v>
      </c>
      <c r="L286" s="70" t="s">
        <v>216</v>
      </c>
      <c r="M286" s="70"/>
      <c r="N286" s="70"/>
      <c r="O286" s="70"/>
    </row>
    <row r="287" customFormat="false" ht="15" hidden="false" customHeight="false" outlineLevel="0" collapsed="false">
      <c r="A287" s="71" t="n">
        <v>46289</v>
      </c>
      <c r="B287" s="70" t="str">
        <f aca="false">'3 Base Entrada 2008'!K111</f>
        <v>Entrada</v>
      </c>
      <c r="C287" s="70" t="s">
        <v>305</v>
      </c>
      <c r="D287" s="70" t="s">
        <v>306</v>
      </c>
      <c r="E287" s="70" t="s">
        <v>1377</v>
      </c>
      <c r="F287" s="70" t="s">
        <v>188</v>
      </c>
      <c r="G287" s="70" t="s">
        <v>65</v>
      </c>
      <c r="H287" s="72" t="n">
        <f aca="false">'3 Base Entrada 2008'!G111</f>
        <v>-40</v>
      </c>
      <c r="I287" s="72" t="n">
        <f aca="false">'3 Base Entrada 2008'!L111</f>
        <v>40</v>
      </c>
      <c r="J287" s="72" t="n">
        <v>0</v>
      </c>
      <c r="K287" s="72" t="n">
        <f aca="false">I287-J287</f>
        <v>40</v>
      </c>
      <c r="L287" s="70" t="s">
        <v>217</v>
      </c>
      <c r="M287" s="70"/>
      <c r="N287" s="70"/>
      <c r="O287" s="70"/>
    </row>
    <row r="288" customFormat="false" ht="15" hidden="false" customHeight="false" outlineLevel="0" collapsed="false">
      <c r="A288" s="71" t="n">
        <v>46289</v>
      </c>
      <c r="B288" s="70" t="str">
        <f aca="false">'3 Base Entrada 2008'!K114</f>
        <v>Estorno</v>
      </c>
      <c r="C288" s="70" t="s">
        <v>309</v>
      </c>
      <c r="D288" s="70" t="s">
        <v>310</v>
      </c>
      <c r="E288" s="70" t="s">
        <v>404</v>
      </c>
      <c r="F288" s="70" t="s">
        <v>188</v>
      </c>
      <c r="G288" s="70" t="s">
        <v>65</v>
      </c>
      <c r="H288" s="72" t="n">
        <f aca="false">'3 Base Entrada 2008'!G114</f>
        <v>186</v>
      </c>
      <c r="I288" s="72" t="n">
        <f aca="false">'3 Base Entrada 2008'!L114</f>
        <v>-186</v>
      </c>
      <c r="J288" s="72" t="n">
        <v>0</v>
      </c>
      <c r="K288" s="72" t="n">
        <f aca="false">I288-J288</f>
        <v>-186</v>
      </c>
      <c r="L288" s="70" t="s">
        <v>216</v>
      </c>
      <c r="M288" s="70"/>
      <c r="N288" s="70"/>
      <c r="O288" s="70"/>
    </row>
    <row r="289" customFormat="false" ht="15" hidden="false" customHeight="false" outlineLevel="0" collapsed="false">
      <c r="A289" s="71" t="n">
        <v>46289</v>
      </c>
      <c r="B289" s="70" t="str">
        <f aca="false">'3 Base Entrada 2008'!K115</f>
        <v>Entrada</v>
      </c>
      <c r="C289" s="70" t="s">
        <v>309</v>
      </c>
      <c r="D289" s="70" t="s">
        <v>310</v>
      </c>
      <c r="E289" s="70" t="s">
        <v>404</v>
      </c>
      <c r="F289" s="70" t="s">
        <v>188</v>
      </c>
      <c r="G289" s="70" t="s">
        <v>65</v>
      </c>
      <c r="H289" s="72" t="n">
        <f aca="false">'3 Base Entrada 2008'!G115</f>
        <v>-186</v>
      </c>
      <c r="I289" s="72" t="n">
        <f aca="false">'3 Base Entrada 2008'!L115</f>
        <v>186</v>
      </c>
      <c r="J289" s="72" t="n">
        <v>0</v>
      </c>
      <c r="K289" s="72" t="n">
        <f aca="false">I289-J289</f>
        <v>186</v>
      </c>
      <c r="L289" s="70" t="s">
        <v>217</v>
      </c>
      <c r="M289" s="70"/>
      <c r="N289" s="70"/>
      <c r="O289" s="70"/>
    </row>
    <row r="290" customFormat="false" ht="15" hidden="false" customHeight="false" outlineLevel="0" collapsed="false">
      <c r="A290" s="71" t="n">
        <v>46289</v>
      </c>
      <c r="B290" s="70" t="str">
        <f aca="false">'3 Base Entrada 2008'!K116</f>
        <v>Entrada</v>
      </c>
      <c r="C290" s="70" t="s">
        <v>309</v>
      </c>
      <c r="D290" s="70" t="s">
        <v>310</v>
      </c>
      <c r="E290" s="70" t="s">
        <v>404</v>
      </c>
      <c r="F290" s="70" t="s">
        <v>188</v>
      </c>
      <c r="G290" s="70" t="s">
        <v>65</v>
      </c>
      <c r="H290" s="72" t="n">
        <f aca="false">'3 Base Entrada 2008'!G116</f>
        <v>-2543.3</v>
      </c>
      <c r="I290" s="72" t="n">
        <f aca="false">'3 Base Entrada 2008'!L116</f>
        <v>2543.3</v>
      </c>
      <c r="J290" s="72" t="n">
        <v>0</v>
      </c>
      <c r="K290" s="72" t="n">
        <f aca="false">I290-J290</f>
        <v>2543.3</v>
      </c>
      <c r="L290" s="70" t="s">
        <v>311</v>
      </c>
      <c r="M290" s="70"/>
      <c r="N290" s="70"/>
      <c r="O290" s="70"/>
    </row>
    <row r="291" customFormat="false" ht="15" hidden="false" customHeight="false" outlineLevel="0" collapsed="false">
      <c r="A291" s="71" t="n">
        <v>46290</v>
      </c>
      <c r="B291" s="70" t="s">
        <v>1732</v>
      </c>
      <c r="C291" s="70" t="s">
        <v>192</v>
      </c>
      <c r="D291" s="70" t="s">
        <v>195</v>
      </c>
      <c r="E291" s="70" t="s">
        <v>404</v>
      </c>
      <c r="F291" s="70" t="s">
        <v>405</v>
      </c>
      <c r="G291" s="70" t="s">
        <v>65</v>
      </c>
      <c r="H291" s="72" t="n">
        <f aca="false">'3 Base Saídas'!H20</f>
        <v>-20.1</v>
      </c>
      <c r="I291" s="72" t="n">
        <v>0</v>
      </c>
      <c r="J291" s="72" t="n">
        <f aca="false">'3 Base Saídas'!R20</f>
        <v>20.1</v>
      </c>
      <c r="K291" s="72" t="n">
        <f aca="false">I291-J291</f>
        <v>-20.1</v>
      </c>
      <c r="L291" s="70" t="s">
        <v>480</v>
      </c>
      <c r="M291" s="70" t="s">
        <v>483</v>
      </c>
      <c r="N291" s="70" t="s">
        <v>484</v>
      </c>
      <c r="O291" s="70" t="s">
        <v>481</v>
      </c>
    </row>
    <row r="292" customFormat="false" ht="15" hidden="false" customHeight="false" outlineLevel="0" collapsed="false">
      <c r="A292" s="71" t="n">
        <v>46290</v>
      </c>
      <c r="B292" s="70" t="s">
        <v>1732</v>
      </c>
      <c r="C292" s="70" t="s">
        <v>192</v>
      </c>
      <c r="D292" s="70" t="s">
        <v>195</v>
      </c>
      <c r="E292" s="70" t="s">
        <v>404</v>
      </c>
      <c r="F292" s="70" t="s">
        <v>405</v>
      </c>
      <c r="G292" s="70" t="s">
        <v>65</v>
      </c>
      <c r="H292" s="72" t="n">
        <f aca="false">'3 Base Saídas'!H21</f>
        <v>-603</v>
      </c>
      <c r="I292" s="72" t="n">
        <v>0</v>
      </c>
      <c r="J292" s="72" t="n">
        <f aca="false">'3 Base Saídas'!R21</f>
        <v>603</v>
      </c>
      <c r="K292" s="72" t="n">
        <f aca="false">I292-J292</f>
        <v>-603</v>
      </c>
      <c r="L292" s="70" t="s">
        <v>485</v>
      </c>
      <c r="M292" s="70" t="s">
        <v>487</v>
      </c>
      <c r="N292" s="70" t="s">
        <v>488</v>
      </c>
      <c r="O292" s="70" t="s">
        <v>407</v>
      </c>
    </row>
    <row r="293" customFormat="false" ht="15" hidden="false" customHeight="false" outlineLevel="0" collapsed="false">
      <c r="A293" s="71" t="n">
        <v>46290</v>
      </c>
      <c r="B293" s="70" t="s">
        <v>1732</v>
      </c>
      <c r="C293" s="70" t="s">
        <v>198</v>
      </c>
      <c r="D293" s="70" t="s">
        <v>199</v>
      </c>
      <c r="E293" s="70" t="s">
        <v>522</v>
      </c>
      <c r="F293" s="70" t="s">
        <v>405</v>
      </c>
      <c r="G293" s="70" t="s">
        <v>65</v>
      </c>
      <c r="H293" s="72" t="n">
        <f aca="false">'3 Base Saídas'!H50</f>
        <v>-14</v>
      </c>
      <c r="I293" s="72" t="n">
        <v>0</v>
      </c>
      <c r="J293" s="72" t="n">
        <f aca="false">'3 Base Saídas'!R50</f>
        <v>14</v>
      </c>
      <c r="K293" s="72" t="n">
        <f aca="false">I293-J293</f>
        <v>-14</v>
      </c>
      <c r="L293" s="70" t="s">
        <v>480</v>
      </c>
      <c r="M293" s="70" t="s">
        <v>483</v>
      </c>
      <c r="N293" s="70" t="s">
        <v>484</v>
      </c>
      <c r="O293" s="70" t="s">
        <v>481</v>
      </c>
    </row>
    <row r="294" customFormat="false" ht="15" hidden="false" customHeight="false" outlineLevel="0" collapsed="false">
      <c r="A294" s="71" t="n">
        <v>46290</v>
      </c>
      <c r="B294" s="70" t="s">
        <v>1732</v>
      </c>
      <c r="C294" s="70" t="s">
        <v>198</v>
      </c>
      <c r="D294" s="70" t="s">
        <v>199</v>
      </c>
      <c r="E294" s="70" t="s">
        <v>522</v>
      </c>
      <c r="F294" s="70" t="s">
        <v>405</v>
      </c>
      <c r="G294" s="70" t="s">
        <v>65</v>
      </c>
      <c r="H294" s="72" t="n">
        <f aca="false">'3 Base Saídas'!H51</f>
        <v>-14</v>
      </c>
      <c r="I294" s="72" t="n">
        <v>0</v>
      </c>
      <c r="J294" s="72" t="n">
        <f aca="false">'3 Base Saídas'!R51</f>
        <v>14</v>
      </c>
      <c r="K294" s="72" t="n">
        <f aca="false">I294-J294</f>
        <v>-14</v>
      </c>
      <c r="L294" s="70" t="s">
        <v>597</v>
      </c>
      <c r="M294" s="70" t="s">
        <v>599</v>
      </c>
      <c r="N294" s="70" t="s">
        <v>600</v>
      </c>
      <c r="O294" s="70" t="s">
        <v>481</v>
      </c>
    </row>
    <row r="295" customFormat="false" ht="15" hidden="false" customHeight="false" outlineLevel="0" collapsed="false">
      <c r="A295" s="71" t="n">
        <v>46290</v>
      </c>
      <c r="B295" s="70" t="s">
        <v>1732</v>
      </c>
      <c r="C295" s="70" t="s">
        <v>201</v>
      </c>
      <c r="D295" s="70" t="s">
        <v>202</v>
      </c>
      <c r="E295" s="70" t="s">
        <v>522</v>
      </c>
      <c r="F295" s="70" t="s">
        <v>405</v>
      </c>
      <c r="G295" s="70" t="s">
        <v>65</v>
      </c>
      <c r="H295" s="72" t="n">
        <f aca="false">'3 Base Saídas'!H58</f>
        <v>-5.6</v>
      </c>
      <c r="I295" s="72" t="n">
        <v>0</v>
      </c>
      <c r="J295" s="72" t="n">
        <f aca="false">'3 Base Saídas'!R58</f>
        <v>5.6</v>
      </c>
      <c r="K295" s="72" t="n">
        <f aca="false">I295-J295</f>
        <v>-5.6</v>
      </c>
      <c r="L295" s="70" t="s">
        <v>623</v>
      </c>
      <c r="M295" s="70" t="s">
        <v>625</v>
      </c>
      <c r="N295" s="70" t="s">
        <v>626</v>
      </c>
      <c r="O295" s="70" t="s">
        <v>481</v>
      </c>
    </row>
    <row r="296" customFormat="false" ht="15" hidden="false" customHeight="false" outlineLevel="0" collapsed="false">
      <c r="A296" s="71" t="n">
        <v>46290</v>
      </c>
      <c r="B296" s="70" t="s">
        <v>1732</v>
      </c>
      <c r="C296" s="70" t="s">
        <v>201</v>
      </c>
      <c r="D296" s="70" t="s">
        <v>202</v>
      </c>
      <c r="E296" s="70" t="s">
        <v>522</v>
      </c>
      <c r="F296" s="70" t="s">
        <v>405</v>
      </c>
      <c r="G296" s="70" t="s">
        <v>65</v>
      </c>
      <c r="H296" s="72" t="n">
        <f aca="false">'3 Base Saídas'!H59</f>
        <v>-14</v>
      </c>
      <c r="I296" s="72" t="n">
        <v>0</v>
      </c>
      <c r="J296" s="72" t="n">
        <f aca="false">'3 Base Saídas'!R59</f>
        <v>14</v>
      </c>
      <c r="K296" s="72" t="n">
        <f aca="false">I296-J296</f>
        <v>-14</v>
      </c>
      <c r="L296" s="70" t="s">
        <v>627</v>
      </c>
      <c r="M296" s="70" t="s">
        <v>483</v>
      </c>
      <c r="N296" s="70" t="s">
        <v>484</v>
      </c>
      <c r="O296" s="70" t="s">
        <v>481</v>
      </c>
    </row>
    <row r="297" customFormat="false" ht="15" hidden="false" customHeight="false" outlineLevel="0" collapsed="false">
      <c r="A297" s="71" t="n">
        <v>46290</v>
      </c>
      <c r="B297" s="70" t="s">
        <v>1732</v>
      </c>
      <c r="C297" s="70" t="s">
        <v>314</v>
      </c>
      <c r="D297" s="70" t="s">
        <v>315</v>
      </c>
      <c r="E297" s="70" t="s">
        <v>522</v>
      </c>
      <c r="F297" s="70" t="s">
        <v>405</v>
      </c>
      <c r="G297" s="70" t="s">
        <v>65</v>
      </c>
      <c r="H297" s="72" t="n">
        <f aca="false">'3 Base Saídas'!H89</f>
        <v>-2.8</v>
      </c>
      <c r="I297" s="72" t="n">
        <v>0</v>
      </c>
      <c r="J297" s="72" t="n">
        <f aca="false">'3 Base Saídas'!R89</f>
        <v>2.8</v>
      </c>
      <c r="K297" s="72" t="n">
        <f aca="false">I297-J297</f>
        <v>-2.8</v>
      </c>
      <c r="L297" s="70" t="s">
        <v>623</v>
      </c>
      <c r="M297" s="70" t="s">
        <v>625</v>
      </c>
      <c r="N297" s="70" t="s">
        <v>626</v>
      </c>
      <c r="O297" s="70" t="s">
        <v>481</v>
      </c>
    </row>
    <row r="298" customFormat="false" ht="15" hidden="false" customHeight="false" outlineLevel="0" collapsed="false">
      <c r="A298" s="71" t="n">
        <v>46290</v>
      </c>
      <c r="B298" s="70" t="s">
        <v>1732</v>
      </c>
      <c r="C298" s="70" t="s">
        <v>211</v>
      </c>
      <c r="D298" s="70" t="s">
        <v>212</v>
      </c>
      <c r="E298" s="70" t="s">
        <v>740</v>
      </c>
      <c r="F298" s="70" t="s">
        <v>405</v>
      </c>
      <c r="G298" s="70" t="s">
        <v>65</v>
      </c>
      <c r="H298" s="72" t="n">
        <f aca="false">'3 Base Saídas'!H105</f>
        <v>-200</v>
      </c>
      <c r="I298" s="72" t="n">
        <v>0</v>
      </c>
      <c r="J298" s="72" t="n">
        <f aca="false">'3 Base Saídas'!R105</f>
        <v>200</v>
      </c>
      <c r="K298" s="72" t="n">
        <f aca="false">I298-J298</f>
        <v>-200</v>
      </c>
      <c r="L298" s="70" t="s">
        <v>748</v>
      </c>
      <c r="M298" s="70" t="s">
        <v>751</v>
      </c>
      <c r="N298" s="70" t="s">
        <v>752</v>
      </c>
      <c r="O298" s="70" t="s">
        <v>749</v>
      </c>
    </row>
    <row r="299" customFormat="false" ht="15" hidden="false" customHeight="false" outlineLevel="0" collapsed="false">
      <c r="A299" s="71" t="n">
        <v>46290</v>
      </c>
      <c r="B299" s="70" t="s">
        <v>1732</v>
      </c>
      <c r="C299" s="70" t="s">
        <v>211</v>
      </c>
      <c r="D299" s="70" t="s">
        <v>212</v>
      </c>
      <c r="E299" s="70" t="s">
        <v>740</v>
      </c>
      <c r="F299" s="70" t="s">
        <v>405</v>
      </c>
      <c r="G299" s="70" t="s">
        <v>65</v>
      </c>
      <c r="H299" s="72" t="n">
        <f aca="false">'3 Base Saídas'!H106</f>
        <v>-200</v>
      </c>
      <c r="I299" s="72" t="n">
        <v>0</v>
      </c>
      <c r="J299" s="72" t="n">
        <f aca="false">'3 Base Saídas'!R106</f>
        <v>200</v>
      </c>
      <c r="K299" s="72" t="n">
        <f aca="false">I299-J299</f>
        <v>-200</v>
      </c>
      <c r="L299" s="70" t="s">
        <v>753</v>
      </c>
      <c r="M299" s="70" t="s">
        <v>751</v>
      </c>
      <c r="N299" s="70" t="s">
        <v>752</v>
      </c>
      <c r="O299" s="70" t="s">
        <v>749</v>
      </c>
    </row>
    <row r="300" customFormat="false" ht="15" hidden="false" customHeight="false" outlineLevel="0" collapsed="false">
      <c r="A300" s="71" t="n">
        <v>46290</v>
      </c>
      <c r="B300" s="70" t="s">
        <v>1732</v>
      </c>
      <c r="C300" s="70" t="s">
        <v>218</v>
      </c>
      <c r="D300" s="70" t="s">
        <v>317</v>
      </c>
      <c r="E300" s="70" t="s">
        <v>756</v>
      </c>
      <c r="F300" s="70" t="s">
        <v>405</v>
      </c>
      <c r="G300" s="70" t="s">
        <v>65</v>
      </c>
      <c r="H300" s="72" t="n">
        <f aca="false">'3 Base Saídas'!H115</f>
        <v>-1740</v>
      </c>
      <c r="I300" s="72" t="n">
        <v>0</v>
      </c>
      <c r="J300" s="72" t="n">
        <f aca="false">'3 Base Saídas'!R115</f>
        <v>1740</v>
      </c>
      <c r="K300" s="72" t="n">
        <f aca="false">I300-J300</f>
        <v>-1740</v>
      </c>
      <c r="L300" s="70" t="s">
        <v>782</v>
      </c>
      <c r="M300" s="70" t="s">
        <v>751</v>
      </c>
      <c r="N300" s="70" t="s">
        <v>752</v>
      </c>
      <c r="O300" s="70" t="s">
        <v>749</v>
      </c>
    </row>
    <row r="301" customFormat="false" ht="15" hidden="false" customHeight="false" outlineLevel="0" collapsed="false">
      <c r="A301" s="71" t="n">
        <v>46290</v>
      </c>
      <c r="B301" s="70" t="s">
        <v>1732</v>
      </c>
      <c r="C301" s="70" t="s">
        <v>218</v>
      </c>
      <c r="D301" s="70" t="s">
        <v>319</v>
      </c>
      <c r="E301" s="70" t="s">
        <v>756</v>
      </c>
      <c r="F301" s="70" t="s">
        <v>405</v>
      </c>
      <c r="G301" s="70" t="s">
        <v>65</v>
      </c>
      <c r="H301" s="72" t="n">
        <f aca="false">'3 Base Saídas'!H113</f>
        <v>-1160</v>
      </c>
      <c r="I301" s="72" t="n">
        <v>0</v>
      </c>
      <c r="J301" s="72" t="n">
        <f aca="false">'3 Base Saídas'!R113</f>
        <v>1160</v>
      </c>
      <c r="K301" s="72" t="n">
        <f aca="false">I301-J301</f>
        <v>-1160</v>
      </c>
      <c r="L301" s="70" t="s">
        <v>780</v>
      </c>
      <c r="M301" s="70" t="s">
        <v>751</v>
      </c>
      <c r="N301" s="70" t="s">
        <v>752</v>
      </c>
      <c r="O301" s="70" t="s">
        <v>749</v>
      </c>
    </row>
    <row r="302" customFormat="false" ht="15" hidden="false" customHeight="false" outlineLevel="0" collapsed="false">
      <c r="A302" s="71" t="n">
        <v>46290</v>
      </c>
      <c r="B302" s="70" t="s">
        <v>1732</v>
      </c>
      <c r="C302" s="70" t="s">
        <v>218</v>
      </c>
      <c r="D302" s="70" t="s">
        <v>219</v>
      </c>
      <c r="E302" s="70" t="s">
        <v>756</v>
      </c>
      <c r="F302" s="70" t="s">
        <v>405</v>
      </c>
      <c r="G302" s="70" t="s">
        <v>65</v>
      </c>
      <c r="H302" s="72" t="n">
        <f aca="false">'3 Base Saídas'!H114</f>
        <v>-200</v>
      </c>
      <c r="I302" s="72" t="n">
        <v>0</v>
      </c>
      <c r="J302" s="72" t="n">
        <f aca="false">'3 Base Saídas'!R114</f>
        <v>200</v>
      </c>
      <c r="K302" s="72" t="n">
        <f aca="false">I302-J302</f>
        <v>-200</v>
      </c>
      <c r="L302" s="70" t="s">
        <v>780</v>
      </c>
      <c r="M302" s="70" t="s">
        <v>751</v>
      </c>
      <c r="N302" s="70" t="s">
        <v>752</v>
      </c>
      <c r="O302" s="70" t="s">
        <v>749</v>
      </c>
    </row>
    <row r="303" customFormat="false" ht="15" hidden="false" customHeight="false" outlineLevel="0" collapsed="false">
      <c r="A303" s="71" t="n">
        <v>46290</v>
      </c>
      <c r="B303" s="70" t="s">
        <v>1732</v>
      </c>
      <c r="C303" s="70" t="s">
        <v>220</v>
      </c>
      <c r="D303" s="70" t="s">
        <v>224</v>
      </c>
      <c r="E303" s="70" t="s">
        <v>404</v>
      </c>
      <c r="F303" s="70" t="s">
        <v>405</v>
      </c>
      <c r="G303" s="70" t="s">
        <v>65</v>
      </c>
      <c r="H303" s="72" t="n">
        <f aca="false">'3 Base Saídas'!H123</f>
        <v>-603</v>
      </c>
      <c r="I303" s="72" t="n">
        <v>0</v>
      </c>
      <c r="J303" s="72" t="n">
        <f aca="false">'3 Base Saídas'!R123</f>
        <v>603</v>
      </c>
      <c r="K303" s="72" t="n">
        <f aca="false">I303-J303</f>
        <v>-603</v>
      </c>
      <c r="L303" s="70" t="s">
        <v>796</v>
      </c>
      <c r="M303" s="70" t="s">
        <v>472</v>
      </c>
      <c r="N303" s="70" t="s">
        <v>473</v>
      </c>
      <c r="O303" s="70" t="s">
        <v>407</v>
      </c>
    </row>
    <row r="304" customFormat="false" ht="15" hidden="false" customHeight="false" outlineLevel="0" collapsed="false">
      <c r="A304" s="71" t="n">
        <v>46290</v>
      </c>
      <c r="B304" s="70" t="s">
        <v>1732</v>
      </c>
      <c r="C304" s="70" t="s">
        <v>322</v>
      </c>
      <c r="D304" s="70" t="s">
        <v>323</v>
      </c>
      <c r="E304" s="70" t="s">
        <v>522</v>
      </c>
      <c r="F304" s="70" t="s">
        <v>405</v>
      </c>
      <c r="G304" s="70" t="s">
        <v>65</v>
      </c>
      <c r="H304" s="72" t="n">
        <f aca="false">'3 Base Saídas'!H135</f>
        <v>-5.6</v>
      </c>
      <c r="I304" s="72" t="n">
        <v>0</v>
      </c>
      <c r="J304" s="72" t="n">
        <f aca="false">'3 Base Saídas'!R135</f>
        <v>5.6</v>
      </c>
      <c r="K304" s="72" t="n">
        <f aca="false">I304-J304</f>
        <v>-5.6</v>
      </c>
      <c r="L304" s="70" t="s">
        <v>828</v>
      </c>
      <c r="M304" s="70" t="s">
        <v>830</v>
      </c>
      <c r="N304" s="70" t="s">
        <v>831</v>
      </c>
      <c r="O304" s="70" t="s">
        <v>431</v>
      </c>
    </row>
    <row r="305" customFormat="false" ht="15" hidden="false" customHeight="false" outlineLevel="0" collapsed="false">
      <c r="A305" s="71" t="n">
        <v>46290</v>
      </c>
      <c r="B305" s="70" t="s">
        <v>1732</v>
      </c>
      <c r="C305" s="70" t="s">
        <v>322</v>
      </c>
      <c r="D305" s="70" t="s">
        <v>323</v>
      </c>
      <c r="E305" s="70" t="s">
        <v>522</v>
      </c>
      <c r="F305" s="70" t="s">
        <v>405</v>
      </c>
      <c r="G305" s="70" t="s">
        <v>65</v>
      </c>
      <c r="H305" s="72" t="n">
        <f aca="false">'3 Base Saídas'!H136</f>
        <v>-42</v>
      </c>
      <c r="I305" s="72" t="n">
        <v>0</v>
      </c>
      <c r="J305" s="72" t="n">
        <f aca="false">'3 Base Saídas'!R136</f>
        <v>42</v>
      </c>
      <c r="K305" s="72" t="n">
        <f aca="false">I305-J305</f>
        <v>-42</v>
      </c>
      <c r="L305" s="70" t="s">
        <v>832</v>
      </c>
      <c r="M305" s="70" t="s">
        <v>834</v>
      </c>
      <c r="N305" s="70" t="s">
        <v>835</v>
      </c>
      <c r="O305" s="70" t="s">
        <v>407</v>
      </c>
    </row>
    <row r="306" customFormat="false" ht="15" hidden="false" customHeight="false" outlineLevel="0" collapsed="false">
      <c r="A306" s="71" t="n">
        <v>46290</v>
      </c>
      <c r="B306" s="70" t="s">
        <v>1732</v>
      </c>
      <c r="C306" s="70" t="s">
        <v>232</v>
      </c>
      <c r="D306" s="70" t="s">
        <v>233</v>
      </c>
      <c r="E306" s="70" t="s">
        <v>939</v>
      </c>
      <c r="F306" s="70" t="s">
        <v>405</v>
      </c>
      <c r="G306" s="70" t="s">
        <v>146</v>
      </c>
      <c r="H306" s="72" t="n">
        <f aca="false">'3 Base Saídas'!H224</f>
        <v>-30</v>
      </c>
      <c r="I306" s="72" t="n">
        <v>0</v>
      </c>
      <c r="J306" s="72" t="n">
        <f aca="false">'3 Base Saídas'!R224</f>
        <v>30</v>
      </c>
      <c r="K306" s="72" t="n">
        <f aca="false">I306-J306</f>
        <v>-30</v>
      </c>
      <c r="L306" s="70" t="s">
        <v>1031</v>
      </c>
      <c r="M306" s="70" t="s">
        <v>599</v>
      </c>
      <c r="N306" s="70" t="s">
        <v>600</v>
      </c>
      <c r="O306" s="70" t="s">
        <v>481</v>
      </c>
    </row>
    <row r="307" customFormat="false" ht="15" hidden="false" customHeight="false" outlineLevel="0" collapsed="false">
      <c r="A307" s="71" t="n">
        <v>46290</v>
      </c>
      <c r="B307" s="70" t="s">
        <v>1732</v>
      </c>
      <c r="C307" s="70" t="s">
        <v>232</v>
      </c>
      <c r="D307" s="70" t="s">
        <v>233</v>
      </c>
      <c r="E307" s="70" t="s">
        <v>939</v>
      </c>
      <c r="F307" s="70" t="s">
        <v>405</v>
      </c>
      <c r="G307" s="70" t="s">
        <v>146</v>
      </c>
      <c r="H307" s="72" t="n">
        <f aca="false">'3 Base Saídas'!H225</f>
        <v>-15</v>
      </c>
      <c r="I307" s="72" t="n">
        <v>0</v>
      </c>
      <c r="J307" s="72" t="n">
        <f aca="false">'3 Base Saídas'!R225</f>
        <v>15</v>
      </c>
      <c r="K307" s="72" t="n">
        <f aca="false">I307-J307</f>
        <v>-15</v>
      </c>
      <c r="L307" s="70" t="s">
        <v>1033</v>
      </c>
      <c r="M307" s="70" t="s">
        <v>1035</v>
      </c>
      <c r="N307" s="70" t="s">
        <v>1036</v>
      </c>
      <c r="O307" s="70" t="s">
        <v>481</v>
      </c>
    </row>
    <row r="308" customFormat="false" ht="15" hidden="false" customHeight="false" outlineLevel="0" collapsed="false">
      <c r="A308" s="71" t="n">
        <v>46290</v>
      </c>
      <c r="B308" s="70" t="s">
        <v>1732</v>
      </c>
      <c r="C308" s="70" t="s">
        <v>232</v>
      </c>
      <c r="D308" s="70" t="s">
        <v>233</v>
      </c>
      <c r="E308" s="70" t="s">
        <v>939</v>
      </c>
      <c r="F308" s="70" t="s">
        <v>405</v>
      </c>
      <c r="G308" s="70" t="s">
        <v>146</v>
      </c>
      <c r="H308" s="72" t="n">
        <f aca="false">'3 Base Saídas'!H226</f>
        <v>-30</v>
      </c>
      <c r="I308" s="72" t="n">
        <v>0</v>
      </c>
      <c r="J308" s="72" t="n">
        <f aca="false">'3 Base Saídas'!R226</f>
        <v>30</v>
      </c>
      <c r="K308" s="72" t="n">
        <f aca="false">I308-J308</f>
        <v>-30</v>
      </c>
      <c r="L308" s="70" t="s">
        <v>1037</v>
      </c>
      <c r="M308" s="70" t="s">
        <v>599</v>
      </c>
      <c r="N308" s="70" t="s">
        <v>600</v>
      </c>
      <c r="O308" s="70" t="s">
        <v>481</v>
      </c>
    </row>
    <row r="309" customFormat="false" ht="15" hidden="false" customHeight="false" outlineLevel="0" collapsed="false">
      <c r="A309" s="71" t="n">
        <v>46290</v>
      </c>
      <c r="B309" s="70" t="s">
        <v>1732</v>
      </c>
      <c r="C309" s="70" t="s">
        <v>252</v>
      </c>
      <c r="D309" s="70" t="s">
        <v>253</v>
      </c>
      <c r="E309" s="70" t="s">
        <v>1113</v>
      </c>
      <c r="F309" s="70" t="s">
        <v>405</v>
      </c>
      <c r="G309" s="70" t="s">
        <v>65</v>
      </c>
      <c r="H309" s="72" t="n">
        <f aca="false">'3 Base Saídas'!H256</f>
        <v>-8</v>
      </c>
      <c r="I309" s="72" t="n">
        <v>0</v>
      </c>
      <c r="J309" s="72" t="n">
        <f aca="false">'3 Base Saídas'!R256</f>
        <v>8</v>
      </c>
      <c r="K309" s="72" t="n">
        <f aca="false">I309-J309</f>
        <v>-8</v>
      </c>
      <c r="L309" s="70" t="s">
        <v>1123</v>
      </c>
      <c r="M309" s="70" t="s">
        <v>472</v>
      </c>
      <c r="N309" s="70" t="s">
        <v>473</v>
      </c>
      <c r="O309" s="70" t="s">
        <v>407</v>
      </c>
    </row>
    <row r="310" customFormat="false" ht="15" hidden="false" customHeight="false" outlineLevel="0" collapsed="false">
      <c r="A310" s="71" t="n">
        <v>46291</v>
      </c>
      <c r="B310" s="70" t="s">
        <v>1732</v>
      </c>
      <c r="C310" s="70" t="s">
        <v>192</v>
      </c>
      <c r="D310" s="70" t="s">
        <v>195</v>
      </c>
      <c r="E310" s="70" t="s">
        <v>404</v>
      </c>
      <c r="F310" s="70" t="s">
        <v>405</v>
      </c>
      <c r="G310" s="70" t="s">
        <v>65</v>
      </c>
      <c r="H310" s="72" t="n">
        <f aca="false">'3 Base Saídas'!H14</f>
        <v>-522.6</v>
      </c>
      <c r="I310" s="72" t="n">
        <v>0</v>
      </c>
      <c r="J310" s="72" t="n">
        <f aca="false">'3 Base Saídas'!R14</f>
        <v>522.6</v>
      </c>
      <c r="K310" s="72" t="n">
        <f aca="false">I310-J310</f>
        <v>-522.6</v>
      </c>
      <c r="L310" s="70" t="s">
        <v>460</v>
      </c>
      <c r="M310" s="70" t="s">
        <v>423</v>
      </c>
      <c r="N310" s="70" t="s">
        <v>424</v>
      </c>
      <c r="O310" s="70" t="s">
        <v>431</v>
      </c>
    </row>
    <row r="311" customFormat="false" ht="15" hidden="false" customHeight="false" outlineLevel="0" collapsed="false">
      <c r="A311" s="71" t="n">
        <v>46291</v>
      </c>
      <c r="B311" s="70" t="s">
        <v>1732</v>
      </c>
      <c r="C311" s="70" t="s">
        <v>192</v>
      </c>
      <c r="D311" s="70" t="s">
        <v>195</v>
      </c>
      <c r="E311" s="70" t="s">
        <v>404</v>
      </c>
      <c r="F311" s="70" t="s">
        <v>405</v>
      </c>
      <c r="G311" s="70" t="s">
        <v>65</v>
      </c>
      <c r="H311" s="72" t="n">
        <f aca="false">'3 Base Saídas'!H15</f>
        <v>-80.4</v>
      </c>
      <c r="I311" s="72" t="n">
        <v>0</v>
      </c>
      <c r="J311" s="72" t="n">
        <f aca="false">'3 Base Saídas'!R15</f>
        <v>80.4</v>
      </c>
      <c r="K311" s="72" t="n">
        <f aca="false">I311-J311</f>
        <v>-80.4</v>
      </c>
      <c r="L311" s="70" t="s">
        <v>462</v>
      </c>
      <c r="M311" s="70" t="s">
        <v>464</v>
      </c>
      <c r="N311" s="70" t="s">
        <v>465</v>
      </c>
      <c r="O311" s="70" t="s">
        <v>444</v>
      </c>
    </row>
    <row r="312" customFormat="false" ht="15" hidden="false" customHeight="false" outlineLevel="0" collapsed="false">
      <c r="A312" s="71" t="n">
        <v>46291</v>
      </c>
      <c r="B312" s="70" t="s">
        <v>1732</v>
      </c>
      <c r="C312" s="70" t="s">
        <v>192</v>
      </c>
      <c r="D312" s="70" t="s">
        <v>195</v>
      </c>
      <c r="E312" s="70" t="s">
        <v>404</v>
      </c>
      <c r="F312" s="70" t="s">
        <v>405</v>
      </c>
      <c r="G312" s="70" t="s">
        <v>65</v>
      </c>
      <c r="H312" s="72" t="n">
        <f aca="false">'3 Base Saídas'!H16</f>
        <v>-40.2</v>
      </c>
      <c r="I312" s="72" t="n">
        <v>0</v>
      </c>
      <c r="J312" s="72" t="n">
        <f aca="false">'3 Base Saídas'!R16</f>
        <v>40.2</v>
      </c>
      <c r="K312" s="72" t="n">
        <f aca="false">I312-J312</f>
        <v>-40.2</v>
      </c>
      <c r="L312" s="70" t="s">
        <v>466</v>
      </c>
      <c r="M312" s="70" t="s">
        <v>468</v>
      </c>
      <c r="N312" s="70" t="s">
        <v>469</v>
      </c>
      <c r="O312" s="70" t="s">
        <v>407</v>
      </c>
    </row>
    <row r="313" customFormat="false" ht="15" hidden="false" customHeight="false" outlineLevel="0" collapsed="false">
      <c r="A313" s="71" t="n">
        <v>46291</v>
      </c>
      <c r="B313" s="70" t="s">
        <v>1732</v>
      </c>
      <c r="C313" s="70" t="s">
        <v>192</v>
      </c>
      <c r="D313" s="70" t="s">
        <v>195</v>
      </c>
      <c r="E313" s="70" t="s">
        <v>404</v>
      </c>
      <c r="F313" s="70" t="s">
        <v>405</v>
      </c>
      <c r="G313" s="70" t="s">
        <v>65</v>
      </c>
      <c r="H313" s="72" t="n">
        <f aca="false">'3 Base Saídas'!H17</f>
        <v>-402</v>
      </c>
      <c r="I313" s="72" t="n">
        <v>0</v>
      </c>
      <c r="J313" s="72" t="n">
        <f aca="false">'3 Base Saídas'!R17</f>
        <v>402</v>
      </c>
      <c r="K313" s="72" t="n">
        <f aca="false">I313-J313</f>
        <v>-402</v>
      </c>
      <c r="L313" s="70" t="s">
        <v>470</v>
      </c>
      <c r="M313" s="70" t="s">
        <v>472</v>
      </c>
      <c r="N313" s="70" t="s">
        <v>473</v>
      </c>
      <c r="O313" s="70" t="s">
        <v>444</v>
      </c>
    </row>
    <row r="314" customFormat="false" ht="15" hidden="false" customHeight="false" outlineLevel="0" collapsed="false">
      <c r="A314" s="71" t="n">
        <v>46291</v>
      </c>
      <c r="B314" s="70" t="s">
        <v>1732</v>
      </c>
      <c r="C314" s="70" t="s">
        <v>192</v>
      </c>
      <c r="D314" s="70" t="s">
        <v>195</v>
      </c>
      <c r="E314" s="70" t="s">
        <v>404</v>
      </c>
      <c r="F314" s="70" t="s">
        <v>405</v>
      </c>
      <c r="G314" s="70" t="s">
        <v>65</v>
      </c>
      <c r="H314" s="72" t="n">
        <f aca="false">'3 Base Saídas'!H18</f>
        <v>-40.2</v>
      </c>
      <c r="I314" s="72" t="n">
        <v>0</v>
      </c>
      <c r="J314" s="72" t="n">
        <f aca="false">'3 Base Saídas'!R18</f>
        <v>40.2</v>
      </c>
      <c r="K314" s="72" t="n">
        <f aca="false">I314-J314</f>
        <v>-40.2</v>
      </c>
      <c r="L314" s="70" t="s">
        <v>474</v>
      </c>
      <c r="M314" s="70" t="s">
        <v>468</v>
      </c>
      <c r="N314" s="70" t="s">
        <v>469</v>
      </c>
      <c r="O314" s="70" t="s">
        <v>407</v>
      </c>
    </row>
    <row r="315" customFormat="false" ht="15" hidden="false" customHeight="false" outlineLevel="0" collapsed="false">
      <c r="A315" s="71" t="n">
        <v>46291</v>
      </c>
      <c r="B315" s="70" t="s">
        <v>1732</v>
      </c>
      <c r="C315" s="70" t="s">
        <v>192</v>
      </c>
      <c r="D315" s="70" t="s">
        <v>195</v>
      </c>
      <c r="E315" s="70" t="s">
        <v>404</v>
      </c>
      <c r="F315" s="70" t="s">
        <v>405</v>
      </c>
      <c r="G315" s="70" t="s">
        <v>65</v>
      </c>
      <c r="H315" s="72" t="n">
        <f aca="false">'3 Base Saídas'!H19</f>
        <v>-160.8</v>
      </c>
      <c r="I315" s="72" t="n">
        <v>0</v>
      </c>
      <c r="J315" s="72" t="n">
        <f aca="false">'3 Base Saídas'!R19</f>
        <v>160.8</v>
      </c>
      <c r="K315" s="72" t="n">
        <f aca="false">I315-J315</f>
        <v>-160.8</v>
      </c>
      <c r="L315" s="70" t="s">
        <v>476</v>
      </c>
      <c r="M315" s="70" t="s">
        <v>478</v>
      </c>
      <c r="N315" s="70" t="s">
        <v>479</v>
      </c>
      <c r="O315" s="70" t="s">
        <v>431</v>
      </c>
    </row>
    <row r="316" customFormat="false" ht="15" hidden="false" customHeight="false" outlineLevel="0" collapsed="false">
      <c r="A316" s="71" t="n">
        <v>46291</v>
      </c>
      <c r="B316" s="70" t="s">
        <v>1732</v>
      </c>
      <c r="C316" s="70" t="s">
        <v>198</v>
      </c>
      <c r="D316" s="70" t="s">
        <v>199</v>
      </c>
      <c r="E316" s="70" t="s">
        <v>522</v>
      </c>
      <c r="F316" s="70" t="s">
        <v>405</v>
      </c>
      <c r="G316" s="70" t="s">
        <v>65</v>
      </c>
      <c r="H316" s="72" t="n">
        <f aca="false">'3 Base Saídas'!H46</f>
        <v>-5.6</v>
      </c>
      <c r="I316" s="72" t="n">
        <v>0</v>
      </c>
      <c r="J316" s="72" t="n">
        <f aca="false">'3 Base Saídas'!R46</f>
        <v>5.6</v>
      </c>
      <c r="K316" s="72" t="n">
        <f aca="false">I316-J316</f>
        <v>-5.6</v>
      </c>
      <c r="L316" s="70" t="s">
        <v>583</v>
      </c>
      <c r="M316" s="70" t="s">
        <v>585</v>
      </c>
      <c r="N316" s="70" t="s">
        <v>586</v>
      </c>
      <c r="O316" s="70" t="s">
        <v>444</v>
      </c>
    </row>
    <row r="317" customFormat="false" ht="15" hidden="false" customHeight="false" outlineLevel="0" collapsed="false">
      <c r="A317" s="71" t="n">
        <v>46291</v>
      </c>
      <c r="B317" s="70" t="s">
        <v>1732</v>
      </c>
      <c r="C317" s="70" t="s">
        <v>198</v>
      </c>
      <c r="D317" s="70" t="s">
        <v>199</v>
      </c>
      <c r="E317" s="70" t="s">
        <v>522</v>
      </c>
      <c r="F317" s="70" t="s">
        <v>405</v>
      </c>
      <c r="G317" s="70" t="s">
        <v>65</v>
      </c>
      <c r="H317" s="72" t="n">
        <f aca="false">'3 Base Saídas'!H47</f>
        <v>-2.8</v>
      </c>
      <c r="I317" s="72" t="n">
        <v>0</v>
      </c>
      <c r="J317" s="72" t="n">
        <f aca="false">'3 Base Saídas'!R47</f>
        <v>2.8</v>
      </c>
      <c r="K317" s="72" t="n">
        <f aca="false">I317-J317</f>
        <v>-2.8</v>
      </c>
      <c r="L317" s="70" t="s">
        <v>587</v>
      </c>
      <c r="M317" s="70" t="s">
        <v>589</v>
      </c>
      <c r="N317" s="70" t="s">
        <v>590</v>
      </c>
      <c r="O317" s="70" t="s">
        <v>444</v>
      </c>
    </row>
    <row r="318" customFormat="false" ht="15" hidden="false" customHeight="false" outlineLevel="0" collapsed="false">
      <c r="A318" s="71" t="n">
        <v>46291</v>
      </c>
      <c r="B318" s="70" t="s">
        <v>1732</v>
      </c>
      <c r="C318" s="70" t="s">
        <v>198</v>
      </c>
      <c r="D318" s="70" t="s">
        <v>199</v>
      </c>
      <c r="E318" s="70" t="s">
        <v>522</v>
      </c>
      <c r="F318" s="70" t="s">
        <v>405</v>
      </c>
      <c r="G318" s="70" t="s">
        <v>65</v>
      </c>
      <c r="H318" s="72" t="n">
        <f aca="false">'3 Base Saídas'!H48</f>
        <v>-30.8</v>
      </c>
      <c r="I318" s="72" t="n">
        <v>0</v>
      </c>
      <c r="J318" s="72" t="n">
        <f aca="false">'3 Base Saídas'!R48</f>
        <v>30.8</v>
      </c>
      <c r="K318" s="72" t="n">
        <f aca="false">I318-J318</f>
        <v>-30.8</v>
      </c>
      <c r="L318" s="70" t="s">
        <v>591</v>
      </c>
      <c r="M318" s="70" t="s">
        <v>593</v>
      </c>
      <c r="N318" s="70" t="s">
        <v>594</v>
      </c>
      <c r="O318" s="70" t="s">
        <v>444</v>
      </c>
    </row>
    <row r="319" customFormat="false" ht="15" hidden="false" customHeight="false" outlineLevel="0" collapsed="false">
      <c r="A319" s="71" t="n">
        <v>46291</v>
      </c>
      <c r="B319" s="70" t="s">
        <v>1732</v>
      </c>
      <c r="C319" s="70" t="s">
        <v>198</v>
      </c>
      <c r="D319" s="70" t="s">
        <v>199</v>
      </c>
      <c r="E319" s="70" t="s">
        <v>522</v>
      </c>
      <c r="F319" s="70" t="s">
        <v>405</v>
      </c>
      <c r="G319" s="70" t="s">
        <v>65</v>
      </c>
      <c r="H319" s="72" t="n">
        <f aca="false">'3 Base Saídas'!H49</f>
        <v>-89.6</v>
      </c>
      <c r="I319" s="72" t="n">
        <v>0</v>
      </c>
      <c r="J319" s="72" t="n">
        <f aca="false">'3 Base Saídas'!R49</f>
        <v>89.6</v>
      </c>
      <c r="K319" s="72" t="n">
        <f aca="false">I319-J319</f>
        <v>-89.6</v>
      </c>
      <c r="L319" s="70" t="s">
        <v>595</v>
      </c>
      <c r="M319" s="70" t="s">
        <v>593</v>
      </c>
      <c r="N319" s="70" t="s">
        <v>594</v>
      </c>
      <c r="O319" s="70" t="s">
        <v>444</v>
      </c>
    </row>
    <row r="320" customFormat="false" ht="15" hidden="false" customHeight="false" outlineLevel="0" collapsed="false">
      <c r="A320" s="71" t="n">
        <v>46291</v>
      </c>
      <c r="B320" s="70" t="str">
        <f aca="false">'3 Base Entrada 2008'!K118</f>
        <v>Entrada</v>
      </c>
      <c r="C320" s="70" t="s">
        <v>314</v>
      </c>
      <c r="D320" s="70" t="s">
        <v>315</v>
      </c>
      <c r="E320" s="70" t="s">
        <v>522</v>
      </c>
      <c r="F320" s="70" t="s">
        <v>188</v>
      </c>
      <c r="G320" s="70" t="s">
        <v>65</v>
      </c>
      <c r="H320" s="72" t="n">
        <f aca="false">'3 Base Entrada 2008'!G118</f>
        <v>-2.8</v>
      </c>
      <c r="I320" s="72" t="n">
        <f aca="false">'3 Base Entrada 2008'!L118</f>
        <v>2.8</v>
      </c>
      <c r="J320" s="72" t="n">
        <v>0</v>
      </c>
      <c r="K320" s="72" t="n">
        <f aca="false">I320-J320</f>
        <v>2.8</v>
      </c>
      <c r="L320" s="70" t="s">
        <v>313</v>
      </c>
      <c r="M320" s="70"/>
      <c r="N320" s="70"/>
      <c r="O320" s="70"/>
    </row>
    <row r="321" customFormat="false" ht="15" hidden="false" customHeight="false" outlineLevel="0" collapsed="false">
      <c r="A321" s="71" t="n">
        <v>46291</v>
      </c>
      <c r="B321" s="70" t="s">
        <v>1732</v>
      </c>
      <c r="C321" s="70" t="s">
        <v>211</v>
      </c>
      <c r="D321" s="70" t="s">
        <v>212</v>
      </c>
      <c r="E321" s="70" t="s">
        <v>740</v>
      </c>
      <c r="F321" s="70" t="s">
        <v>405</v>
      </c>
      <c r="G321" s="70" t="s">
        <v>65</v>
      </c>
      <c r="H321" s="72" t="n">
        <f aca="false">'3 Base Saídas'!H104</f>
        <v>-350</v>
      </c>
      <c r="I321" s="72" t="n">
        <v>0</v>
      </c>
      <c r="J321" s="72" t="n">
        <f aca="false">'3 Base Saídas'!R104</f>
        <v>350</v>
      </c>
      <c r="K321" s="72" t="n">
        <f aca="false">I321-J321</f>
        <v>-350</v>
      </c>
      <c r="L321" s="70" t="s">
        <v>746</v>
      </c>
      <c r="M321" s="70" t="s">
        <v>472</v>
      </c>
      <c r="N321" s="70" t="s">
        <v>473</v>
      </c>
      <c r="O321" s="70" t="s">
        <v>444</v>
      </c>
    </row>
    <row r="322" customFormat="false" ht="15" hidden="false" customHeight="false" outlineLevel="0" collapsed="false">
      <c r="A322" s="71" t="n">
        <v>46291</v>
      </c>
      <c r="B322" s="70" t="s">
        <v>1732</v>
      </c>
      <c r="C322" s="70" t="s">
        <v>220</v>
      </c>
      <c r="D322" s="70" t="s">
        <v>223</v>
      </c>
      <c r="E322" s="70" t="s">
        <v>404</v>
      </c>
      <c r="F322" s="70" t="s">
        <v>405</v>
      </c>
      <c r="G322" s="70" t="s">
        <v>65</v>
      </c>
      <c r="H322" s="72" t="n">
        <f aca="false">'3 Base Saídas'!H121</f>
        <v>-442.2</v>
      </c>
      <c r="I322" s="72" t="n">
        <v>0</v>
      </c>
      <c r="J322" s="72" t="n">
        <f aca="false">'3 Base Saídas'!R121</f>
        <v>442.2</v>
      </c>
      <c r="K322" s="72" t="n">
        <f aca="false">I322-J322</f>
        <v>-442.2</v>
      </c>
      <c r="L322" s="70" t="s">
        <v>794</v>
      </c>
      <c r="M322" s="70" t="s">
        <v>472</v>
      </c>
      <c r="N322" s="70" t="s">
        <v>473</v>
      </c>
      <c r="O322" s="70" t="s">
        <v>444</v>
      </c>
    </row>
    <row r="323" customFormat="false" ht="15" hidden="false" customHeight="false" outlineLevel="0" collapsed="false">
      <c r="A323" s="71" t="n">
        <v>46291</v>
      </c>
      <c r="B323" s="70" t="str">
        <f aca="false">'3 Base Entrada 2008'!K125</f>
        <v>Entrada</v>
      </c>
      <c r="C323" s="70" t="s">
        <v>220</v>
      </c>
      <c r="D323" s="70" t="s">
        <v>224</v>
      </c>
      <c r="E323" s="70" t="s">
        <v>404</v>
      </c>
      <c r="F323" s="70" t="s">
        <v>188</v>
      </c>
      <c r="G323" s="70" t="s">
        <v>65</v>
      </c>
      <c r="H323" s="72" t="n">
        <f aca="false">'3 Base Entrada 2008'!G125</f>
        <v>-603</v>
      </c>
      <c r="I323" s="72" t="n">
        <f aca="false">'3 Base Entrada 2008'!L125</f>
        <v>603</v>
      </c>
      <c r="J323" s="72" t="n">
        <v>0</v>
      </c>
      <c r="K323" s="72" t="n">
        <f aca="false">I323-J323</f>
        <v>603</v>
      </c>
      <c r="L323" s="70" t="s">
        <v>313</v>
      </c>
      <c r="M323" s="70"/>
      <c r="N323" s="70"/>
      <c r="O323" s="70"/>
    </row>
    <row r="324" customFormat="false" ht="15" hidden="false" customHeight="false" outlineLevel="0" collapsed="false">
      <c r="A324" s="71" t="n">
        <v>46291</v>
      </c>
      <c r="B324" s="70" t="s">
        <v>1732</v>
      </c>
      <c r="C324" s="70" t="s">
        <v>220</v>
      </c>
      <c r="D324" s="70" t="s">
        <v>224</v>
      </c>
      <c r="E324" s="70" t="s">
        <v>404</v>
      </c>
      <c r="F324" s="70" t="s">
        <v>405</v>
      </c>
      <c r="G324" s="70" t="s">
        <v>65</v>
      </c>
      <c r="H324" s="72" t="n">
        <f aca="false">'3 Base Saídas'!H118</f>
        <v>-20.1</v>
      </c>
      <c r="I324" s="72" t="n">
        <v>0</v>
      </c>
      <c r="J324" s="72" t="n">
        <f aca="false">'3 Base Saídas'!R118</f>
        <v>20.1</v>
      </c>
      <c r="K324" s="72" t="n">
        <f aca="false">I324-J324</f>
        <v>-20.1</v>
      </c>
      <c r="L324" s="70" t="s">
        <v>474</v>
      </c>
      <c r="M324" s="70" t="s">
        <v>468</v>
      </c>
      <c r="N324" s="70" t="s">
        <v>469</v>
      </c>
      <c r="O324" s="70" t="s">
        <v>407</v>
      </c>
    </row>
    <row r="325" customFormat="false" ht="15" hidden="false" customHeight="false" outlineLevel="0" collapsed="false">
      <c r="A325" s="71" t="n">
        <v>46291</v>
      </c>
      <c r="B325" s="70" t="s">
        <v>1732</v>
      </c>
      <c r="C325" s="70" t="s">
        <v>220</v>
      </c>
      <c r="D325" s="70" t="s">
        <v>224</v>
      </c>
      <c r="E325" s="70" t="s">
        <v>404</v>
      </c>
      <c r="F325" s="70" t="s">
        <v>405</v>
      </c>
      <c r="G325" s="70" t="s">
        <v>65</v>
      </c>
      <c r="H325" s="72" t="n">
        <f aca="false">'3 Base Saídas'!H119</f>
        <v>-20.1</v>
      </c>
      <c r="I325" s="72" t="n">
        <v>0</v>
      </c>
      <c r="J325" s="72" t="n">
        <f aca="false">'3 Base Saídas'!R119</f>
        <v>20.1</v>
      </c>
      <c r="K325" s="72" t="n">
        <f aca="false">I325-J325</f>
        <v>-20.1</v>
      </c>
      <c r="L325" s="70" t="s">
        <v>466</v>
      </c>
      <c r="M325" s="70" t="s">
        <v>468</v>
      </c>
      <c r="N325" s="70" t="s">
        <v>469</v>
      </c>
      <c r="O325" s="70" t="s">
        <v>407</v>
      </c>
    </row>
    <row r="326" customFormat="false" ht="15" hidden="false" customHeight="false" outlineLevel="0" collapsed="false">
      <c r="A326" s="71" t="n">
        <v>46291</v>
      </c>
      <c r="B326" s="70" t="s">
        <v>1732</v>
      </c>
      <c r="C326" s="70" t="s">
        <v>220</v>
      </c>
      <c r="D326" s="70" t="s">
        <v>224</v>
      </c>
      <c r="E326" s="70" t="s">
        <v>404</v>
      </c>
      <c r="F326" s="70" t="s">
        <v>405</v>
      </c>
      <c r="G326" s="70" t="s">
        <v>65</v>
      </c>
      <c r="H326" s="72" t="n">
        <f aca="false">'3 Base Saídas'!H120</f>
        <v>-40.2</v>
      </c>
      <c r="I326" s="72" t="n">
        <v>0</v>
      </c>
      <c r="J326" s="72" t="n">
        <f aca="false">'3 Base Saídas'!R120</f>
        <v>40.2</v>
      </c>
      <c r="K326" s="72" t="n">
        <f aca="false">I326-J326</f>
        <v>-40.2</v>
      </c>
      <c r="L326" s="70" t="s">
        <v>790</v>
      </c>
      <c r="M326" s="70" t="s">
        <v>792</v>
      </c>
      <c r="N326" s="70" t="s">
        <v>793</v>
      </c>
      <c r="O326" s="70" t="s">
        <v>431</v>
      </c>
    </row>
    <row r="327" customFormat="false" ht="15" hidden="false" customHeight="false" outlineLevel="0" collapsed="false">
      <c r="A327" s="71" t="n">
        <v>46291</v>
      </c>
      <c r="B327" s="70" t="s">
        <v>1732</v>
      </c>
      <c r="C327" s="70" t="s">
        <v>220</v>
      </c>
      <c r="D327" s="70" t="s">
        <v>224</v>
      </c>
      <c r="E327" s="70" t="s">
        <v>404</v>
      </c>
      <c r="F327" s="70" t="s">
        <v>405</v>
      </c>
      <c r="G327" s="70" t="s">
        <v>65</v>
      </c>
      <c r="H327" s="72" t="n">
        <f aca="false">'3 Base Saídas'!H122</f>
        <v>-160.8</v>
      </c>
      <c r="I327" s="72" t="n">
        <v>0</v>
      </c>
      <c r="J327" s="72" t="n">
        <f aca="false">'3 Base Saídas'!R122</f>
        <v>160.8</v>
      </c>
      <c r="K327" s="72" t="n">
        <f aca="false">I327-J327</f>
        <v>-160.8</v>
      </c>
      <c r="L327" s="70" t="s">
        <v>794</v>
      </c>
      <c r="M327" s="70" t="s">
        <v>472</v>
      </c>
      <c r="N327" s="70" t="s">
        <v>473</v>
      </c>
      <c r="O327" s="70" t="s">
        <v>444</v>
      </c>
    </row>
    <row r="328" customFormat="false" ht="15" hidden="false" customHeight="false" outlineLevel="0" collapsed="false">
      <c r="A328" s="71" t="n">
        <v>46291</v>
      </c>
      <c r="B328" s="70" t="str">
        <f aca="false">'3 Base Entrada 2008'!K126</f>
        <v>Entrada</v>
      </c>
      <c r="C328" s="70" t="s">
        <v>322</v>
      </c>
      <c r="D328" s="70" t="s">
        <v>323</v>
      </c>
      <c r="E328" s="70" t="s">
        <v>522</v>
      </c>
      <c r="F328" s="70" t="s">
        <v>188</v>
      </c>
      <c r="G328" s="70" t="s">
        <v>65</v>
      </c>
      <c r="H328" s="72" t="n">
        <f aca="false">'3 Base Entrada 2008'!G126</f>
        <v>-2.8</v>
      </c>
      <c r="I328" s="72" t="n">
        <f aca="false">'3 Base Entrada 2008'!L126</f>
        <v>2.8</v>
      </c>
      <c r="J328" s="72" t="n">
        <v>0</v>
      </c>
      <c r="K328" s="72" t="n">
        <f aca="false">I328-J328</f>
        <v>2.8</v>
      </c>
      <c r="L328" s="70" t="s">
        <v>321</v>
      </c>
      <c r="M328" s="70"/>
      <c r="N328" s="70"/>
      <c r="O328" s="70"/>
    </row>
    <row r="329" customFormat="false" ht="15" hidden="false" customHeight="false" outlineLevel="0" collapsed="false">
      <c r="A329" s="71" t="n">
        <v>46291</v>
      </c>
      <c r="B329" s="70" t="s">
        <v>1732</v>
      </c>
      <c r="C329" s="70" t="s">
        <v>322</v>
      </c>
      <c r="D329" s="70" t="s">
        <v>323</v>
      </c>
      <c r="E329" s="70" t="s">
        <v>522</v>
      </c>
      <c r="F329" s="70" t="s">
        <v>405</v>
      </c>
      <c r="G329" s="70" t="s">
        <v>65</v>
      </c>
      <c r="H329" s="72" t="n">
        <f aca="false">'3 Base Saídas'!H134</f>
        <v>-5.6</v>
      </c>
      <c r="I329" s="72" t="n">
        <v>0</v>
      </c>
      <c r="J329" s="72" t="n">
        <f aca="false">'3 Base Saídas'!R134</f>
        <v>5.6</v>
      </c>
      <c r="K329" s="72" t="n">
        <f aca="false">I329-J329</f>
        <v>-5.6</v>
      </c>
      <c r="L329" s="70" t="s">
        <v>826</v>
      </c>
      <c r="M329" s="70" t="s">
        <v>617</v>
      </c>
      <c r="N329" s="70" t="s">
        <v>618</v>
      </c>
      <c r="O329" s="70" t="s">
        <v>444</v>
      </c>
    </row>
    <row r="330" customFormat="false" ht="15" hidden="false" customHeight="false" outlineLevel="0" collapsed="false">
      <c r="A330" s="71" t="n">
        <v>46291</v>
      </c>
      <c r="B330" s="70" t="str">
        <f aca="false">'3 Base Entrada 2008'!K131</f>
        <v>Entrada</v>
      </c>
      <c r="C330" s="70" t="s">
        <v>327</v>
      </c>
      <c r="D330" s="70" t="s">
        <v>329</v>
      </c>
      <c r="E330" s="70" t="s">
        <v>926</v>
      </c>
      <c r="F330" s="70" t="s">
        <v>188</v>
      </c>
      <c r="G330" s="70" t="s">
        <v>65</v>
      </c>
      <c r="H330" s="72" t="n">
        <f aca="false">'3 Base Entrada 2008'!G131</f>
        <v>-480</v>
      </c>
      <c r="I330" s="72" t="n">
        <f aca="false">'3 Base Entrada 2008'!L131</f>
        <v>480</v>
      </c>
      <c r="J330" s="72" t="n">
        <v>0</v>
      </c>
      <c r="K330" s="72" t="n">
        <f aca="false">I330-J330</f>
        <v>480</v>
      </c>
      <c r="L330" s="70" t="s">
        <v>326</v>
      </c>
      <c r="M330" s="70"/>
      <c r="N330" s="70"/>
      <c r="O330" s="70"/>
    </row>
    <row r="331" customFormat="false" ht="15" hidden="false" customHeight="false" outlineLevel="0" collapsed="false">
      <c r="A331" s="71" t="n">
        <v>46291</v>
      </c>
      <c r="B331" s="70" t="str">
        <f aca="false">'3 Base Entrada 2008'!K130</f>
        <v>Entrada</v>
      </c>
      <c r="C331" s="70" t="s">
        <v>327</v>
      </c>
      <c r="D331" s="70" t="s">
        <v>328</v>
      </c>
      <c r="E331" s="70" t="s">
        <v>926</v>
      </c>
      <c r="F331" s="70" t="s">
        <v>188</v>
      </c>
      <c r="G331" s="70" t="s">
        <v>65</v>
      </c>
      <c r="H331" s="72" t="n">
        <f aca="false">'3 Base Entrada 2008'!G130</f>
        <v>-720</v>
      </c>
      <c r="I331" s="72" t="n">
        <f aca="false">'3 Base Entrada 2008'!L130</f>
        <v>720</v>
      </c>
      <c r="J331" s="72" t="n">
        <v>0</v>
      </c>
      <c r="K331" s="72" t="n">
        <f aca="false">I331-J331</f>
        <v>720</v>
      </c>
      <c r="L331" s="70" t="s">
        <v>326</v>
      </c>
      <c r="M331" s="70"/>
      <c r="N331" s="70"/>
      <c r="O331" s="70"/>
    </row>
    <row r="332" customFormat="false" ht="15" hidden="false" customHeight="false" outlineLevel="0" collapsed="false">
      <c r="A332" s="71" t="n">
        <v>46291</v>
      </c>
      <c r="B332" s="70" t="str">
        <f aca="false">'3 Base Entrada 2008'!K136</f>
        <v>Entrada</v>
      </c>
      <c r="C332" s="70" t="s">
        <v>232</v>
      </c>
      <c r="D332" s="70" t="s">
        <v>233</v>
      </c>
      <c r="E332" s="70" t="s">
        <v>939</v>
      </c>
      <c r="F332" s="70" t="s">
        <v>188</v>
      </c>
      <c r="G332" s="70" t="s">
        <v>146</v>
      </c>
      <c r="H332" s="72" t="n">
        <f aca="false">'3 Base Entrada 2008'!G136</f>
        <v>-450</v>
      </c>
      <c r="I332" s="72" t="n">
        <f aca="false">'3 Base Entrada 2008'!L136</f>
        <v>450</v>
      </c>
      <c r="J332" s="72" t="n">
        <v>0</v>
      </c>
      <c r="K332" s="72" t="n">
        <f aca="false">I332-J332</f>
        <v>450</v>
      </c>
      <c r="L332" s="70" t="s">
        <v>335</v>
      </c>
      <c r="M332" s="70"/>
      <c r="N332" s="70"/>
      <c r="O332" s="70"/>
    </row>
    <row r="333" customFormat="false" ht="15" hidden="false" customHeight="false" outlineLevel="0" collapsed="false">
      <c r="A333" s="71" t="n">
        <v>46291</v>
      </c>
      <c r="B333" s="70" t="str">
        <f aca="false">'3 Base Entrada 2008'!K135</f>
        <v>Entrada</v>
      </c>
      <c r="C333" s="70" t="s">
        <v>232</v>
      </c>
      <c r="D333" s="70" t="s">
        <v>334</v>
      </c>
      <c r="E333" s="70" t="s">
        <v>939</v>
      </c>
      <c r="F333" s="70" t="s">
        <v>188</v>
      </c>
      <c r="G333" s="70" t="s">
        <v>146</v>
      </c>
      <c r="H333" s="72" t="n">
        <f aca="false">'3 Base Entrada 2008'!G135</f>
        <v>-900</v>
      </c>
      <c r="I333" s="72" t="n">
        <f aca="false">'3 Base Entrada 2008'!L135</f>
        <v>900</v>
      </c>
      <c r="J333" s="72" t="n">
        <v>0</v>
      </c>
      <c r="K333" s="72" t="n">
        <f aca="false">I333-J333</f>
        <v>900</v>
      </c>
      <c r="L333" s="70" t="s">
        <v>333</v>
      </c>
      <c r="M333" s="70"/>
      <c r="N333" s="70"/>
      <c r="O333" s="70"/>
    </row>
    <row r="334" customFormat="false" ht="15" hidden="false" customHeight="false" outlineLevel="0" collapsed="false">
      <c r="A334" s="71" t="n">
        <v>46291</v>
      </c>
      <c r="B334" s="70" t="str">
        <f aca="false">'3 Base Entrada 2008'!K141</f>
        <v>Entrada</v>
      </c>
      <c r="C334" s="70" t="s">
        <v>341</v>
      </c>
      <c r="D334" s="70" t="s">
        <v>342</v>
      </c>
      <c r="E334" s="70"/>
      <c r="F334" s="70" t="s">
        <v>188</v>
      </c>
      <c r="G334" s="70" t="s">
        <v>65</v>
      </c>
      <c r="H334" s="72" t="n">
        <f aca="false">'3 Base Entrada 2008'!G141</f>
        <v>-81.6</v>
      </c>
      <c r="I334" s="72" t="n">
        <f aca="false">'3 Base Entrada 2008'!L141</f>
        <v>81.6</v>
      </c>
      <c r="J334" s="72" t="n">
        <v>0</v>
      </c>
      <c r="K334" s="72" t="n">
        <f aca="false">I334-J334</f>
        <v>81.6</v>
      </c>
      <c r="L334" s="70" t="s">
        <v>326</v>
      </c>
      <c r="M334" s="70"/>
      <c r="N334" s="70"/>
      <c r="O334" s="70"/>
    </row>
    <row r="335" customFormat="false" ht="15" hidden="false" customHeight="false" outlineLevel="0" collapsed="false">
      <c r="A335" s="71" t="n">
        <v>46291</v>
      </c>
      <c r="B335" s="70" t="str">
        <f aca="false">'3 Base Entrada 2008'!K144</f>
        <v>Entrada</v>
      </c>
      <c r="C335" s="70" t="s">
        <v>247</v>
      </c>
      <c r="D335" s="70" t="s">
        <v>348</v>
      </c>
      <c r="E335" s="70" t="s">
        <v>404</v>
      </c>
      <c r="F335" s="70" t="s">
        <v>188</v>
      </c>
      <c r="G335" s="70" t="s">
        <v>65</v>
      </c>
      <c r="H335" s="72" t="n">
        <f aca="false">'3 Base Entrada 2008'!G144</f>
        <v>-40.2</v>
      </c>
      <c r="I335" s="72" t="n">
        <f aca="false">'3 Base Entrada 2008'!L144</f>
        <v>40.2</v>
      </c>
      <c r="J335" s="72" t="n">
        <v>0</v>
      </c>
      <c r="K335" s="72" t="n">
        <f aca="false">I335-J335</f>
        <v>40.2</v>
      </c>
      <c r="L335" s="70" t="s">
        <v>321</v>
      </c>
      <c r="M335" s="70"/>
      <c r="N335" s="70"/>
      <c r="O335" s="70"/>
    </row>
    <row r="336" customFormat="false" ht="15" hidden="false" customHeight="false" outlineLevel="0" collapsed="false">
      <c r="A336" s="71" t="n">
        <v>46291</v>
      </c>
      <c r="B336" s="70" t="str">
        <f aca="false">'3 Base Entrada 2008'!K145</f>
        <v>Entrada</v>
      </c>
      <c r="C336" s="70" t="s">
        <v>247</v>
      </c>
      <c r="D336" s="70" t="s">
        <v>248</v>
      </c>
      <c r="E336" s="70" t="s">
        <v>404</v>
      </c>
      <c r="F336" s="70" t="s">
        <v>188</v>
      </c>
      <c r="G336" s="70" t="s">
        <v>65</v>
      </c>
      <c r="H336" s="72" t="n">
        <f aca="false">'3 Base Entrada 2008'!G145</f>
        <v>-603</v>
      </c>
      <c r="I336" s="72" t="n">
        <f aca="false">'3 Base Entrada 2008'!L145</f>
        <v>603</v>
      </c>
      <c r="J336" s="72" t="n">
        <v>0</v>
      </c>
      <c r="K336" s="72" t="n">
        <f aca="false">I336-J336</f>
        <v>603</v>
      </c>
      <c r="L336" s="70" t="s">
        <v>349</v>
      </c>
      <c r="M336" s="70"/>
      <c r="N336" s="70"/>
      <c r="O336" s="70"/>
    </row>
    <row r="337" customFormat="false" ht="15" hidden="false" customHeight="false" outlineLevel="0" collapsed="false">
      <c r="A337" s="71" t="n">
        <v>46291</v>
      </c>
      <c r="B337" s="70" t="s">
        <v>1732</v>
      </c>
      <c r="C337" s="70" t="s">
        <v>252</v>
      </c>
      <c r="D337" s="70" t="s">
        <v>253</v>
      </c>
      <c r="E337" s="70" t="s">
        <v>1113</v>
      </c>
      <c r="F337" s="70" t="s">
        <v>405</v>
      </c>
      <c r="G337" s="70" t="s">
        <v>65</v>
      </c>
      <c r="H337" s="72" t="n">
        <f aca="false">'3 Base Saídas'!H255</f>
        <v>-4</v>
      </c>
      <c r="I337" s="72" t="n">
        <v>0</v>
      </c>
      <c r="J337" s="72" t="n">
        <f aca="false">'3 Base Saídas'!R255</f>
        <v>4</v>
      </c>
      <c r="K337" s="72" t="n">
        <f aca="false">I337-J337</f>
        <v>-4</v>
      </c>
      <c r="L337" s="70" t="s">
        <v>1119</v>
      </c>
      <c r="M337" s="70" t="s">
        <v>1121</v>
      </c>
      <c r="N337" s="70" t="s">
        <v>1122</v>
      </c>
      <c r="O337" s="70" t="s">
        <v>431</v>
      </c>
    </row>
    <row r="338" customFormat="false" ht="15" hidden="false" customHeight="false" outlineLevel="0" collapsed="false">
      <c r="A338" s="71" t="n">
        <v>46291</v>
      </c>
      <c r="B338" s="70" t="str">
        <f aca="false">'3 Base Entrada 2008'!K150</f>
        <v>Entrada</v>
      </c>
      <c r="C338" s="70" t="s">
        <v>354</v>
      </c>
      <c r="D338" s="70" t="s">
        <v>355</v>
      </c>
      <c r="E338" s="70" t="s">
        <v>1147</v>
      </c>
      <c r="F338" s="70" t="s">
        <v>188</v>
      </c>
      <c r="G338" s="70" t="s">
        <v>65</v>
      </c>
      <c r="H338" s="72" t="n">
        <f aca="false">'3 Base Entrada 2008'!G150</f>
        <v>-10</v>
      </c>
      <c r="I338" s="72" t="n">
        <f aca="false">'3 Base Entrada 2008'!L150</f>
        <v>10</v>
      </c>
      <c r="J338" s="72" t="n">
        <v>0</v>
      </c>
      <c r="K338" s="72" t="n">
        <f aca="false">I338-J338</f>
        <v>10</v>
      </c>
      <c r="L338" s="70" t="s">
        <v>313</v>
      </c>
      <c r="M338" s="70"/>
      <c r="N338" s="70"/>
      <c r="O338" s="70"/>
    </row>
    <row r="339" customFormat="false" ht="15" hidden="false" customHeight="false" outlineLevel="0" collapsed="false">
      <c r="A339" s="71" t="n">
        <v>46291</v>
      </c>
      <c r="B339" s="70" t="str">
        <f aca="false">'3 Base Entrada 2008'!K152</f>
        <v>Entrada</v>
      </c>
      <c r="C339" s="70" t="s">
        <v>257</v>
      </c>
      <c r="D339" s="70" t="s">
        <v>209</v>
      </c>
      <c r="E339" s="70" t="s">
        <v>1152</v>
      </c>
      <c r="F339" s="70" t="s">
        <v>188</v>
      </c>
      <c r="G339" s="70" t="s">
        <v>65</v>
      </c>
      <c r="H339" s="72" t="n">
        <f aca="false">'3 Base Entrada 2008'!G152</f>
        <v>-288</v>
      </c>
      <c r="I339" s="72" t="n">
        <f aca="false">'3 Base Entrada 2008'!L152</f>
        <v>288</v>
      </c>
      <c r="J339" s="72" t="n">
        <v>0</v>
      </c>
      <c r="K339" s="72" t="n">
        <f aca="false">I339-J339</f>
        <v>288</v>
      </c>
      <c r="L339" s="70" t="s">
        <v>321</v>
      </c>
      <c r="M339" s="70"/>
      <c r="N339" s="70"/>
      <c r="O339" s="70"/>
    </row>
    <row r="340" customFormat="false" ht="15" hidden="false" customHeight="false" outlineLevel="0" collapsed="false">
      <c r="A340" s="71" t="n">
        <v>46291</v>
      </c>
      <c r="B340" s="70" t="str">
        <f aca="false">'3 Base Entrada 2008'!K153</f>
        <v>Entrada</v>
      </c>
      <c r="C340" s="70" t="s">
        <v>257</v>
      </c>
      <c r="D340" s="70" t="s">
        <v>258</v>
      </c>
      <c r="E340" s="70" t="s">
        <v>1152</v>
      </c>
      <c r="F340" s="70" t="s">
        <v>188</v>
      </c>
      <c r="G340" s="70" t="s">
        <v>65</v>
      </c>
      <c r="H340" s="72" t="n">
        <f aca="false">'3 Base Entrada 2008'!G153</f>
        <v>-198</v>
      </c>
      <c r="I340" s="72" t="n">
        <f aca="false">'3 Base Entrada 2008'!L153</f>
        <v>198</v>
      </c>
      <c r="J340" s="72" t="n">
        <v>0</v>
      </c>
      <c r="K340" s="72" t="n">
        <f aca="false">I340-J340</f>
        <v>198</v>
      </c>
      <c r="L340" s="70" t="s">
        <v>333</v>
      </c>
      <c r="M340" s="70"/>
      <c r="N340" s="70"/>
      <c r="O340" s="70"/>
    </row>
    <row r="341" customFormat="false" ht="15" hidden="false" customHeight="false" outlineLevel="0" collapsed="false">
      <c r="A341" s="71" t="n">
        <v>46291</v>
      </c>
      <c r="B341" s="70" t="str">
        <f aca="false">'3 Base Entrada 2008'!K159</f>
        <v>Entrada</v>
      </c>
      <c r="C341" s="70" t="s">
        <v>271</v>
      </c>
      <c r="D341" s="70" t="s">
        <v>272</v>
      </c>
      <c r="E341" s="70" t="s">
        <v>1225</v>
      </c>
      <c r="F341" s="70" t="s">
        <v>188</v>
      </c>
      <c r="G341" s="70" t="s">
        <v>65</v>
      </c>
      <c r="H341" s="72" t="n">
        <f aca="false">'3 Base Entrada 2008'!G159</f>
        <v>-480</v>
      </c>
      <c r="I341" s="72" t="n">
        <f aca="false">'3 Base Entrada 2008'!L159</f>
        <v>480</v>
      </c>
      <c r="J341" s="72" t="n">
        <v>0</v>
      </c>
      <c r="K341" s="72" t="n">
        <f aca="false">I341-J341</f>
        <v>480</v>
      </c>
      <c r="L341" s="70" t="s">
        <v>366</v>
      </c>
      <c r="M341" s="70"/>
      <c r="N341" s="70"/>
      <c r="O341" s="70"/>
    </row>
    <row r="342" customFormat="false" ht="15" hidden="false" customHeight="false" outlineLevel="0" collapsed="false">
      <c r="A342" s="71" t="n">
        <v>46291</v>
      </c>
      <c r="B342" s="70" t="str">
        <f aca="false">'3 Base Entrada 2008'!K160</f>
        <v>Estorno</v>
      </c>
      <c r="C342" s="70" t="s">
        <v>271</v>
      </c>
      <c r="D342" s="70" t="s">
        <v>272</v>
      </c>
      <c r="E342" s="70" t="s">
        <v>1225</v>
      </c>
      <c r="F342" s="70" t="s">
        <v>188</v>
      </c>
      <c r="G342" s="70" t="s">
        <v>65</v>
      </c>
      <c r="H342" s="72" t="n">
        <f aca="false">'3 Base Entrada 2008'!G160</f>
        <v>120</v>
      </c>
      <c r="I342" s="72" t="n">
        <f aca="false">'3 Base Entrada 2008'!L160</f>
        <v>-120</v>
      </c>
      <c r="J342" s="72" t="n">
        <v>0</v>
      </c>
      <c r="K342" s="72" t="n">
        <f aca="false">I342-J342</f>
        <v>-120</v>
      </c>
      <c r="L342" s="70" t="s">
        <v>367</v>
      </c>
      <c r="M342" s="70"/>
      <c r="N342" s="70"/>
      <c r="O342" s="70"/>
    </row>
    <row r="343" customFormat="false" ht="15" hidden="false" customHeight="false" outlineLevel="0" collapsed="false">
      <c r="A343" s="71" t="n">
        <v>46291</v>
      </c>
      <c r="B343" s="70" t="s">
        <v>1732</v>
      </c>
      <c r="C343" s="70" t="s">
        <v>271</v>
      </c>
      <c r="D343" s="70" t="s">
        <v>272</v>
      </c>
      <c r="E343" s="70" t="s">
        <v>1225</v>
      </c>
      <c r="F343" s="70" t="s">
        <v>405</v>
      </c>
      <c r="G343" s="70" t="s">
        <v>65</v>
      </c>
      <c r="H343" s="72" t="n">
        <f aca="false">'3 Base Saídas'!H326</f>
        <v>-30</v>
      </c>
      <c r="I343" s="72" t="n">
        <v>0</v>
      </c>
      <c r="J343" s="72" t="n">
        <f aca="false">'3 Base Saídas'!R326</f>
        <v>30</v>
      </c>
      <c r="K343" s="72" t="n">
        <f aca="false">I343-J343</f>
        <v>-30</v>
      </c>
      <c r="L343" s="70" t="s">
        <v>1287</v>
      </c>
      <c r="M343" s="70" t="s">
        <v>1289</v>
      </c>
      <c r="N343" s="70" t="s">
        <v>1290</v>
      </c>
      <c r="O343" s="70" t="s">
        <v>444</v>
      </c>
    </row>
    <row r="344" customFormat="false" ht="15" hidden="false" customHeight="false" outlineLevel="0" collapsed="false">
      <c r="A344" s="71" t="n">
        <v>46291</v>
      </c>
      <c r="B344" s="70" t="s">
        <v>1732</v>
      </c>
      <c r="C344" s="70" t="s">
        <v>271</v>
      </c>
      <c r="D344" s="70" t="s">
        <v>272</v>
      </c>
      <c r="E344" s="70" t="s">
        <v>1225</v>
      </c>
      <c r="F344" s="70" t="s">
        <v>405</v>
      </c>
      <c r="G344" s="70" t="s">
        <v>65</v>
      </c>
      <c r="H344" s="72" t="n">
        <f aca="false">'3 Base Saídas'!H327</f>
        <v>-150</v>
      </c>
      <c r="I344" s="72" t="n">
        <v>0</v>
      </c>
      <c r="J344" s="72" t="n">
        <f aca="false">'3 Base Saídas'!R327</f>
        <v>150</v>
      </c>
      <c r="K344" s="72" t="n">
        <f aca="false">I344-J344</f>
        <v>-150</v>
      </c>
      <c r="L344" s="70" t="s">
        <v>1291</v>
      </c>
      <c r="M344" s="70" t="s">
        <v>472</v>
      </c>
      <c r="N344" s="70" t="s">
        <v>473</v>
      </c>
      <c r="O344" s="70" t="s">
        <v>444</v>
      </c>
    </row>
    <row r="345" customFormat="false" ht="15" hidden="false" customHeight="false" outlineLevel="0" collapsed="false">
      <c r="A345" s="71" t="n">
        <v>46291</v>
      </c>
      <c r="B345" s="70" t="s">
        <v>1732</v>
      </c>
      <c r="C345" s="70" t="s">
        <v>271</v>
      </c>
      <c r="D345" s="70" t="s">
        <v>272</v>
      </c>
      <c r="E345" s="70" t="s">
        <v>1225</v>
      </c>
      <c r="F345" s="70" t="s">
        <v>405</v>
      </c>
      <c r="G345" s="70" t="s">
        <v>65</v>
      </c>
      <c r="H345" s="72" t="n">
        <f aca="false">'3 Base Saídas'!H328</f>
        <v>-10</v>
      </c>
      <c r="I345" s="72" t="n">
        <v>0</v>
      </c>
      <c r="J345" s="72" t="n">
        <f aca="false">'3 Base Saídas'!R328</f>
        <v>10</v>
      </c>
      <c r="K345" s="72" t="n">
        <f aca="false">I345-J345</f>
        <v>-10</v>
      </c>
      <c r="L345" s="70" t="s">
        <v>1293</v>
      </c>
      <c r="M345" s="70" t="s">
        <v>1295</v>
      </c>
      <c r="N345" s="70" t="s">
        <v>1296</v>
      </c>
      <c r="O345" s="70" t="s">
        <v>444</v>
      </c>
    </row>
    <row r="346" customFormat="false" ht="15" hidden="false" customHeight="false" outlineLevel="0" collapsed="false">
      <c r="A346" s="71" t="n">
        <v>46291</v>
      </c>
      <c r="B346" s="70" t="str">
        <f aca="false">'3 Base Entrada 2008'!K162</f>
        <v>Entrada</v>
      </c>
      <c r="C346" s="70" t="s">
        <v>368</v>
      </c>
      <c r="D346" s="70" t="s">
        <v>369</v>
      </c>
      <c r="E346" s="70"/>
      <c r="F346" s="70" t="s">
        <v>188</v>
      </c>
      <c r="G346" s="70" t="s">
        <v>65</v>
      </c>
      <c r="H346" s="72" t="n">
        <f aca="false">'3 Base Entrada 2008'!G162</f>
        <v>-313.6</v>
      </c>
      <c r="I346" s="72" t="n">
        <f aca="false">'3 Base Entrada 2008'!L162</f>
        <v>313.6</v>
      </c>
      <c r="J346" s="72" t="n">
        <v>0</v>
      </c>
      <c r="K346" s="72" t="n">
        <f aca="false">I346-J346</f>
        <v>313.6</v>
      </c>
      <c r="L346" s="70" t="s">
        <v>326</v>
      </c>
      <c r="M346" s="70"/>
      <c r="N346" s="70"/>
      <c r="O346" s="70"/>
    </row>
    <row r="347" customFormat="false" ht="15" hidden="false" customHeight="false" outlineLevel="0" collapsed="false">
      <c r="A347" s="71" t="n">
        <v>46291</v>
      </c>
      <c r="B347" s="70" t="str">
        <f aca="false">'3 Base Entrada 2008'!K168</f>
        <v>Entrada</v>
      </c>
      <c r="C347" s="70" t="s">
        <v>276</v>
      </c>
      <c r="D347" s="70" t="s">
        <v>371</v>
      </c>
      <c r="E347" s="70" t="s">
        <v>404</v>
      </c>
      <c r="F347" s="70" t="s">
        <v>188</v>
      </c>
      <c r="G347" s="70" t="s">
        <v>65</v>
      </c>
      <c r="H347" s="72" t="n">
        <f aca="false">'3 Base Entrada 2008'!G168</f>
        <v>-603</v>
      </c>
      <c r="I347" s="72" t="n">
        <f aca="false">'3 Base Entrada 2008'!L168</f>
        <v>603</v>
      </c>
      <c r="J347" s="72" t="n">
        <v>0</v>
      </c>
      <c r="K347" s="72" t="n">
        <f aca="false">I347-J347</f>
        <v>603</v>
      </c>
      <c r="L347" s="70" t="s">
        <v>335</v>
      </c>
      <c r="M347" s="70"/>
      <c r="N347" s="70"/>
      <c r="O347" s="70"/>
    </row>
    <row r="348" customFormat="false" ht="15" hidden="false" customHeight="false" outlineLevel="0" collapsed="false">
      <c r="A348" s="71" t="n">
        <v>46291</v>
      </c>
      <c r="B348" s="70" t="str">
        <f aca="false">'3 Base Entrada 2008'!K165</f>
        <v>Entrada</v>
      </c>
      <c r="C348" s="70" t="s">
        <v>276</v>
      </c>
      <c r="D348" s="70" t="s">
        <v>278</v>
      </c>
      <c r="E348" s="70" t="s">
        <v>404</v>
      </c>
      <c r="F348" s="70" t="s">
        <v>188</v>
      </c>
      <c r="G348" s="70" t="s">
        <v>65</v>
      </c>
      <c r="H348" s="72" t="n">
        <f aca="false">'3 Base Entrada 2008'!G165</f>
        <v>-20.3</v>
      </c>
      <c r="I348" s="72" t="n">
        <f aca="false">'3 Base Entrada 2008'!L165</f>
        <v>20.3</v>
      </c>
      <c r="J348" s="72" t="n">
        <v>0</v>
      </c>
      <c r="K348" s="72" t="n">
        <f aca="false">I348-J348</f>
        <v>20.3</v>
      </c>
      <c r="L348" s="70" t="s">
        <v>335</v>
      </c>
      <c r="M348" s="70"/>
      <c r="N348" s="70"/>
      <c r="O348" s="70"/>
    </row>
    <row r="349" customFormat="false" ht="15" hidden="false" customHeight="false" outlineLevel="0" collapsed="false">
      <c r="A349" s="71" t="n">
        <v>46291</v>
      </c>
      <c r="B349" s="70" t="str">
        <f aca="false">'3 Base Entrada 2008'!K166</f>
        <v>Entrada</v>
      </c>
      <c r="C349" s="70" t="s">
        <v>276</v>
      </c>
      <c r="D349" s="70" t="s">
        <v>278</v>
      </c>
      <c r="E349" s="70" t="s">
        <v>404</v>
      </c>
      <c r="F349" s="70" t="s">
        <v>188</v>
      </c>
      <c r="G349" s="70" t="s">
        <v>65</v>
      </c>
      <c r="H349" s="72" t="n">
        <f aca="false">'3 Base Entrada 2008'!G166</f>
        <v>-1045</v>
      </c>
      <c r="I349" s="72" t="n">
        <f aca="false">'3 Base Entrada 2008'!L166</f>
        <v>1045</v>
      </c>
      <c r="J349" s="72" t="n">
        <v>0</v>
      </c>
      <c r="K349" s="72" t="n">
        <f aca="false">I349-J349</f>
        <v>1045</v>
      </c>
      <c r="L349" s="70" t="s">
        <v>335</v>
      </c>
      <c r="M349" s="70"/>
      <c r="N349" s="70"/>
      <c r="O349" s="70"/>
    </row>
    <row r="350" customFormat="false" ht="15" hidden="false" customHeight="false" outlineLevel="0" collapsed="false">
      <c r="A350" s="71" t="n">
        <v>46291</v>
      </c>
      <c r="B350" s="70" t="str">
        <f aca="false">'3 Base Entrada 2008'!K167</f>
        <v>Entrada</v>
      </c>
      <c r="C350" s="70" t="s">
        <v>276</v>
      </c>
      <c r="D350" s="70" t="s">
        <v>370</v>
      </c>
      <c r="E350" s="70" t="s">
        <v>404</v>
      </c>
      <c r="F350" s="70" t="s">
        <v>188</v>
      </c>
      <c r="G350" s="70" t="s">
        <v>65</v>
      </c>
      <c r="H350" s="72" t="n">
        <f aca="false">'3 Base Entrada 2008'!G167</f>
        <v>-763.8</v>
      </c>
      <c r="I350" s="72" t="n">
        <f aca="false">'3 Base Entrada 2008'!L167</f>
        <v>763.8</v>
      </c>
      <c r="J350" s="72" t="n">
        <v>0</v>
      </c>
      <c r="K350" s="72" t="n">
        <f aca="false">I350-J350</f>
        <v>763.8</v>
      </c>
      <c r="L350" s="70" t="s">
        <v>335</v>
      </c>
      <c r="M350" s="70"/>
      <c r="N350" s="70"/>
      <c r="O350" s="70"/>
    </row>
    <row r="351" customFormat="false" ht="15" hidden="false" customHeight="false" outlineLevel="0" collapsed="false">
      <c r="A351" s="71" t="n">
        <v>46291</v>
      </c>
      <c r="B351" s="70" t="s">
        <v>1732</v>
      </c>
      <c r="C351" s="70" t="s">
        <v>276</v>
      </c>
      <c r="D351" s="70" t="s">
        <v>280</v>
      </c>
      <c r="E351" s="70" t="s">
        <v>404</v>
      </c>
      <c r="F351" s="70" t="s">
        <v>405</v>
      </c>
      <c r="G351" s="70" t="s">
        <v>65</v>
      </c>
      <c r="H351" s="72" t="n">
        <f aca="false">'3 Base Saídas'!H340</f>
        <v>-402</v>
      </c>
      <c r="I351" s="72" t="n">
        <v>0</v>
      </c>
      <c r="J351" s="72" t="n">
        <f aca="false">'3 Base Saídas'!R340</f>
        <v>402</v>
      </c>
      <c r="K351" s="72" t="n">
        <f aca="false">I351-J351</f>
        <v>-402</v>
      </c>
      <c r="L351" s="70" t="s">
        <v>460</v>
      </c>
      <c r="M351" s="70" t="s">
        <v>423</v>
      </c>
      <c r="N351" s="70" t="s">
        <v>424</v>
      </c>
      <c r="O351" s="70" t="s">
        <v>431</v>
      </c>
    </row>
    <row r="352" customFormat="false" ht="15" hidden="false" customHeight="false" outlineLevel="0" collapsed="false">
      <c r="A352" s="71" t="n">
        <v>46291</v>
      </c>
      <c r="B352" s="70" t="str">
        <f aca="false">'3 Base Entrada 2008'!K171</f>
        <v>Entrada</v>
      </c>
      <c r="C352" s="70" t="s">
        <v>372</v>
      </c>
      <c r="D352" s="70" t="s">
        <v>373</v>
      </c>
      <c r="E352" s="70"/>
      <c r="F352" s="70" t="s">
        <v>188</v>
      </c>
      <c r="G352" s="70" t="s">
        <v>65</v>
      </c>
      <c r="H352" s="72" t="n">
        <f aca="false">'3 Base Entrada 2008'!G171</f>
        <v>-1200</v>
      </c>
      <c r="I352" s="72" t="n">
        <f aca="false">'3 Base Entrada 2008'!L171</f>
        <v>1200</v>
      </c>
      <c r="J352" s="72" t="n">
        <v>0</v>
      </c>
      <c r="K352" s="72" t="n">
        <f aca="false">I352-J352</f>
        <v>1200</v>
      </c>
      <c r="L352" s="70" t="s">
        <v>366</v>
      </c>
      <c r="M352" s="70"/>
      <c r="N352" s="70"/>
      <c r="O352" s="70"/>
    </row>
    <row r="353" customFormat="false" ht="15" hidden="false" customHeight="false" outlineLevel="0" collapsed="false">
      <c r="A353" s="71" t="n">
        <v>46291</v>
      </c>
      <c r="B353" s="70" t="str">
        <f aca="false">'3 Base Entrada 2008'!K179</f>
        <v>Entrada</v>
      </c>
      <c r="C353" s="70" t="s">
        <v>380</v>
      </c>
      <c r="D353" s="70" t="s">
        <v>381</v>
      </c>
      <c r="E353" s="70" t="s">
        <v>1349</v>
      </c>
      <c r="F353" s="70" t="s">
        <v>188</v>
      </c>
      <c r="G353" s="70" t="s">
        <v>65</v>
      </c>
      <c r="H353" s="72" t="n">
        <f aca="false">'3 Base Entrada 2008'!G179</f>
        <v>-850</v>
      </c>
      <c r="I353" s="72" t="n">
        <f aca="false">'3 Base Entrada 2008'!L179</f>
        <v>850</v>
      </c>
      <c r="J353" s="72" t="n">
        <v>0</v>
      </c>
      <c r="K353" s="72" t="n">
        <f aca="false">I353-J353</f>
        <v>850</v>
      </c>
      <c r="L353" s="70" t="s">
        <v>326</v>
      </c>
      <c r="M353" s="70"/>
      <c r="N353" s="70"/>
      <c r="O353" s="70"/>
    </row>
    <row r="354" customFormat="false" ht="15" hidden="false" customHeight="false" outlineLevel="0" collapsed="false">
      <c r="A354" s="71" t="n">
        <v>46291</v>
      </c>
      <c r="B354" s="70" t="str">
        <f aca="false">'3 Base Entrada 2008'!K181</f>
        <v>Entrada</v>
      </c>
      <c r="C354" s="70" t="s">
        <v>286</v>
      </c>
      <c r="D354" s="70" t="s">
        <v>290</v>
      </c>
      <c r="E354" s="70" t="s">
        <v>1354</v>
      </c>
      <c r="F354" s="70" t="s">
        <v>188</v>
      </c>
      <c r="G354" s="70" t="s">
        <v>147</v>
      </c>
      <c r="H354" s="72" t="n">
        <f aca="false">'3 Base Entrada 2008'!G181</f>
        <v>-120</v>
      </c>
      <c r="I354" s="72" t="n">
        <f aca="false">'3 Base Entrada 2008'!L181</f>
        <v>120</v>
      </c>
      <c r="J354" s="72" t="n">
        <v>0</v>
      </c>
      <c r="K354" s="72" t="n">
        <f aca="false">I354-J354</f>
        <v>120</v>
      </c>
      <c r="L354" s="70" t="s">
        <v>335</v>
      </c>
      <c r="M354" s="70"/>
      <c r="N354" s="70"/>
      <c r="O354" s="70"/>
    </row>
    <row r="355" customFormat="false" ht="15" hidden="false" customHeight="false" outlineLevel="0" collapsed="false">
      <c r="A355" s="71" t="n">
        <v>46291</v>
      </c>
      <c r="B355" s="70" t="str">
        <f aca="false">'3 Base Entrada 2008'!K182</f>
        <v>Entrada</v>
      </c>
      <c r="C355" s="70" t="s">
        <v>286</v>
      </c>
      <c r="D355" s="70" t="s">
        <v>290</v>
      </c>
      <c r="E355" s="70" t="s">
        <v>1354</v>
      </c>
      <c r="F355" s="70" t="s">
        <v>188</v>
      </c>
      <c r="G355" s="70" t="s">
        <v>147</v>
      </c>
      <c r="H355" s="72" t="n">
        <f aca="false">'3 Base Entrada 2008'!G182</f>
        <v>-146</v>
      </c>
      <c r="I355" s="72" t="n">
        <f aca="false">'3 Base Entrada 2008'!L182</f>
        <v>146</v>
      </c>
      <c r="J355" s="72" t="n">
        <v>0</v>
      </c>
      <c r="K355" s="72" t="n">
        <f aca="false">I355-J355</f>
        <v>146</v>
      </c>
      <c r="L355" s="70" t="s">
        <v>349</v>
      </c>
      <c r="M355" s="70"/>
      <c r="N355" s="70"/>
      <c r="O355" s="70"/>
    </row>
    <row r="356" customFormat="false" ht="15" hidden="false" customHeight="false" outlineLevel="0" collapsed="false">
      <c r="A356" s="71" t="n">
        <v>46291</v>
      </c>
      <c r="B356" s="70" t="str">
        <f aca="false">'3 Base Entrada 2008'!K183</f>
        <v>Entrada</v>
      </c>
      <c r="C356" s="70" t="s">
        <v>286</v>
      </c>
      <c r="D356" s="70" t="s">
        <v>291</v>
      </c>
      <c r="E356" s="70" t="s">
        <v>1354</v>
      </c>
      <c r="F356" s="70" t="s">
        <v>188</v>
      </c>
      <c r="G356" s="70" t="s">
        <v>147</v>
      </c>
      <c r="H356" s="72" t="n">
        <f aca="false">'3 Base Entrada 2008'!G183</f>
        <v>-165</v>
      </c>
      <c r="I356" s="72" t="n">
        <f aca="false">'3 Base Entrada 2008'!L183</f>
        <v>165</v>
      </c>
      <c r="J356" s="72" t="n">
        <v>0</v>
      </c>
      <c r="K356" s="72" t="n">
        <f aca="false">I356-J356</f>
        <v>165</v>
      </c>
      <c r="L356" s="70" t="s">
        <v>349</v>
      </c>
      <c r="M356" s="70"/>
      <c r="N356" s="70"/>
      <c r="O356" s="70"/>
    </row>
    <row r="357" customFormat="false" ht="15" hidden="false" customHeight="false" outlineLevel="0" collapsed="false">
      <c r="A357" s="71" t="n">
        <v>46291</v>
      </c>
      <c r="B357" s="70" t="str">
        <f aca="false">'3 Base Entrada 2008'!K180</f>
        <v>Entrada</v>
      </c>
      <c r="C357" s="70" t="s">
        <v>286</v>
      </c>
      <c r="D357" s="70" t="s">
        <v>294</v>
      </c>
      <c r="E357" s="70" t="s">
        <v>1354</v>
      </c>
      <c r="F357" s="70" t="s">
        <v>188</v>
      </c>
      <c r="G357" s="70" t="s">
        <v>147</v>
      </c>
      <c r="H357" s="72" t="n">
        <f aca="false">'3 Base Entrada 2008'!G180</f>
        <v>-240</v>
      </c>
      <c r="I357" s="72" t="n">
        <f aca="false">'3 Base Entrada 2008'!L180</f>
        <v>240</v>
      </c>
      <c r="J357" s="72" t="n">
        <v>0</v>
      </c>
      <c r="K357" s="72" t="n">
        <f aca="false">I357-J357</f>
        <v>240</v>
      </c>
      <c r="L357" s="70" t="s">
        <v>333</v>
      </c>
      <c r="M357" s="70"/>
      <c r="N357" s="70"/>
      <c r="O357" s="70"/>
    </row>
    <row r="358" customFormat="false" ht="15" hidden="false" customHeight="false" outlineLevel="0" collapsed="false">
      <c r="A358" s="71" t="n">
        <v>46291</v>
      </c>
      <c r="B358" s="70" t="str">
        <f aca="false">'3 Base Entrada 2008'!K188</f>
        <v>Entrada</v>
      </c>
      <c r="C358" s="70" t="s">
        <v>301</v>
      </c>
      <c r="D358" s="70" t="s">
        <v>385</v>
      </c>
      <c r="E358" s="70" t="s">
        <v>1377</v>
      </c>
      <c r="F358" s="70" t="s">
        <v>188</v>
      </c>
      <c r="G358" s="70" t="s">
        <v>65</v>
      </c>
      <c r="H358" s="72" t="n">
        <f aca="false">'3 Base Entrada 2008'!G188</f>
        <v>-1000</v>
      </c>
      <c r="I358" s="72" t="n">
        <f aca="false">'3 Base Entrada 2008'!L188</f>
        <v>1000</v>
      </c>
      <c r="J358" s="72" t="n">
        <v>0</v>
      </c>
      <c r="K358" s="72" t="n">
        <f aca="false">I358-J358</f>
        <v>1000</v>
      </c>
      <c r="L358" s="70" t="s">
        <v>384</v>
      </c>
      <c r="M358" s="70"/>
      <c r="N358" s="70"/>
      <c r="O358" s="70"/>
    </row>
    <row r="359" customFormat="false" ht="15" hidden="false" customHeight="false" outlineLevel="0" collapsed="false">
      <c r="A359" s="71" t="n">
        <v>46291</v>
      </c>
      <c r="B359" s="70" t="s">
        <v>1732</v>
      </c>
      <c r="C359" s="70" t="s">
        <v>305</v>
      </c>
      <c r="D359" s="70" t="s">
        <v>306</v>
      </c>
      <c r="E359" s="70" t="s">
        <v>1377</v>
      </c>
      <c r="F359" s="70" t="s">
        <v>405</v>
      </c>
      <c r="G359" s="70" t="s">
        <v>65</v>
      </c>
      <c r="H359" s="72" t="n">
        <f aca="false">'3 Base Saídas'!H376</f>
        <v>-20</v>
      </c>
      <c r="I359" s="72" t="n">
        <v>0</v>
      </c>
      <c r="J359" s="72" t="n">
        <f aca="false">'3 Base Saídas'!R376</f>
        <v>20</v>
      </c>
      <c r="K359" s="72" t="n">
        <f aca="false">I359-J359</f>
        <v>-20</v>
      </c>
      <c r="L359" s="70" t="s">
        <v>1405</v>
      </c>
      <c r="M359" s="70" t="s">
        <v>472</v>
      </c>
      <c r="N359" s="70" t="s">
        <v>473</v>
      </c>
      <c r="O359" s="70" t="s">
        <v>444</v>
      </c>
    </row>
    <row r="360" customFormat="false" ht="15" hidden="false" customHeight="false" outlineLevel="0" collapsed="false">
      <c r="A360" s="71" t="n">
        <v>46291</v>
      </c>
      <c r="B360" s="70" t="s">
        <v>1732</v>
      </c>
      <c r="C360" s="70" t="s">
        <v>305</v>
      </c>
      <c r="D360" s="70" t="s">
        <v>306</v>
      </c>
      <c r="E360" s="70" t="s">
        <v>1377</v>
      </c>
      <c r="F360" s="70" t="s">
        <v>405</v>
      </c>
      <c r="G360" s="70" t="s">
        <v>65</v>
      </c>
      <c r="H360" s="72" t="n">
        <f aca="false">'3 Base Saídas'!H377</f>
        <v>-20</v>
      </c>
      <c r="I360" s="72" t="n">
        <v>0</v>
      </c>
      <c r="J360" s="72" t="n">
        <f aca="false">'3 Base Saídas'!R377</f>
        <v>20</v>
      </c>
      <c r="K360" s="72" t="n">
        <f aca="false">I360-J360</f>
        <v>-20</v>
      </c>
      <c r="L360" s="70" t="s">
        <v>790</v>
      </c>
      <c r="M360" s="70" t="s">
        <v>792</v>
      </c>
      <c r="N360" s="70" t="s">
        <v>793</v>
      </c>
      <c r="O360" s="70" t="s">
        <v>431</v>
      </c>
    </row>
    <row r="361" customFormat="false" ht="15" hidden="false" customHeight="false" outlineLevel="0" collapsed="false">
      <c r="A361" s="71" t="n">
        <v>46291</v>
      </c>
      <c r="B361" s="70" t="s">
        <v>1732</v>
      </c>
      <c r="C361" s="70" t="s">
        <v>305</v>
      </c>
      <c r="D361" s="70" t="s">
        <v>306</v>
      </c>
      <c r="E361" s="70" t="s">
        <v>1377</v>
      </c>
      <c r="F361" s="70" t="s">
        <v>405</v>
      </c>
      <c r="G361" s="70" t="s">
        <v>65</v>
      </c>
      <c r="H361" s="72" t="n">
        <f aca="false">'3 Base Saídas'!H378</f>
        <v>-10</v>
      </c>
      <c r="I361" s="72" t="n">
        <v>0</v>
      </c>
      <c r="J361" s="72" t="n">
        <f aca="false">'3 Base Saídas'!R378</f>
        <v>10</v>
      </c>
      <c r="K361" s="72" t="n">
        <f aca="false">I361-J361</f>
        <v>-10</v>
      </c>
      <c r="L361" s="70" t="s">
        <v>1407</v>
      </c>
      <c r="M361" s="70" t="s">
        <v>472</v>
      </c>
      <c r="N361" s="70" t="s">
        <v>473</v>
      </c>
      <c r="O361" s="70" t="s">
        <v>444</v>
      </c>
    </row>
    <row r="362" customFormat="false" ht="15" hidden="false" customHeight="false" outlineLevel="0" collapsed="false">
      <c r="A362" s="71" t="n">
        <v>46291</v>
      </c>
      <c r="B362" s="70" t="str">
        <f aca="false">'3 Base Entrada 2008'!K194</f>
        <v>Entrada</v>
      </c>
      <c r="C362" s="70" t="s">
        <v>389</v>
      </c>
      <c r="D362" s="70" t="s">
        <v>390</v>
      </c>
      <c r="E362" s="70" t="s">
        <v>1104</v>
      </c>
      <c r="F362" s="70" t="s">
        <v>188</v>
      </c>
      <c r="G362" s="70" t="s">
        <v>65</v>
      </c>
      <c r="H362" s="72" t="n">
        <f aca="false">'3 Base Entrada 2008'!G194</f>
        <v>-53.2</v>
      </c>
      <c r="I362" s="72" t="n">
        <f aca="false">'3 Base Entrada 2008'!L194</f>
        <v>53.2</v>
      </c>
      <c r="J362" s="72" t="n">
        <v>0</v>
      </c>
      <c r="K362" s="72" t="n">
        <f aca="false">I362-J362</f>
        <v>53.2</v>
      </c>
      <c r="L362" s="70" t="s">
        <v>333</v>
      </c>
      <c r="M362" s="70"/>
      <c r="N362" s="70"/>
      <c r="O362" s="70"/>
    </row>
    <row r="363" customFormat="false" ht="15" hidden="false" customHeight="false" outlineLevel="0" collapsed="false">
      <c r="A363" s="71" t="n">
        <v>46291</v>
      </c>
      <c r="B363" s="70" t="str">
        <f aca="false">'3 Base Entrada 2008'!K195</f>
        <v>Entrada</v>
      </c>
      <c r="C363" s="70" t="s">
        <v>389</v>
      </c>
      <c r="D363" s="70" t="s">
        <v>391</v>
      </c>
      <c r="E363" s="70" t="s">
        <v>1104</v>
      </c>
      <c r="F363" s="70" t="s">
        <v>188</v>
      </c>
      <c r="G363" s="70" t="s">
        <v>65</v>
      </c>
      <c r="H363" s="72" t="n">
        <f aca="false">'3 Base Entrada 2008'!G195</f>
        <v>-627.2</v>
      </c>
      <c r="I363" s="72" t="n">
        <f aca="false">'3 Base Entrada 2008'!L195</f>
        <v>627.2</v>
      </c>
      <c r="J363" s="72" t="n">
        <v>0</v>
      </c>
      <c r="K363" s="72" t="n">
        <f aca="false">I363-J363</f>
        <v>627.2</v>
      </c>
      <c r="L363" s="70" t="s">
        <v>384</v>
      </c>
      <c r="M363" s="70"/>
      <c r="N363" s="70"/>
      <c r="O363" s="70"/>
    </row>
    <row r="364" customFormat="false" ht="15" hidden="false" customHeight="false" outlineLevel="0" collapsed="false">
      <c r="A364" s="71" t="n">
        <v>46291</v>
      </c>
      <c r="B364" s="70" t="s">
        <v>1732</v>
      </c>
      <c r="C364" s="70" t="s">
        <v>309</v>
      </c>
      <c r="D364" s="70" t="s">
        <v>310</v>
      </c>
      <c r="E364" s="70" t="s">
        <v>404</v>
      </c>
      <c r="F364" s="70" t="s">
        <v>405</v>
      </c>
      <c r="G364" s="70" t="s">
        <v>65</v>
      </c>
      <c r="H364" s="72" t="n">
        <f aca="false">'3 Base Saídas'!H389</f>
        <v>-603</v>
      </c>
      <c r="I364" s="72" t="n">
        <v>0</v>
      </c>
      <c r="J364" s="72" t="n">
        <f aca="false">'3 Base Saídas'!R389</f>
        <v>603</v>
      </c>
      <c r="K364" s="72" t="n">
        <f aca="false">I364-J364</f>
        <v>-603</v>
      </c>
      <c r="L364" s="70" t="s">
        <v>1421</v>
      </c>
      <c r="M364" s="70" t="s">
        <v>472</v>
      </c>
      <c r="N364" s="70" t="s">
        <v>473</v>
      </c>
      <c r="O364" s="70" t="s">
        <v>444</v>
      </c>
    </row>
    <row r="365" customFormat="false" ht="15" hidden="false" customHeight="false" outlineLevel="0" collapsed="false">
      <c r="A365" s="71" t="n">
        <v>46291</v>
      </c>
      <c r="B365" s="70" t="s">
        <v>1732</v>
      </c>
      <c r="C365" s="70" t="s">
        <v>309</v>
      </c>
      <c r="D365" s="70" t="s">
        <v>310</v>
      </c>
      <c r="E365" s="70" t="s">
        <v>404</v>
      </c>
      <c r="F365" s="70" t="s">
        <v>405</v>
      </c>
      <c r="G365" s="70" t="s">
        <v>65</v>
      </c>
      <c r="H365" s="72" t="n">
        <f aca="false">'3 Base Saídas'!H390</f>
        <v>-40.2</v>
      </c>
      <c r="I365" s="72" t="n">
        <v>0</v>
      </c>
      <c r="J365" s="72" t="n">
        <f aca="false">'3 Base Saídas'!R390</f>
        <v>40.2</v>
      </c>
      <c r="K365" s="72" t="n">
        <f aca="false">I365-J365</f>
        <v>-40.2</v>
      </c>
      <c r="L365" s="70" t="s">
        <v>790</v>
      </c>
      <c r="M365" s="70" t="s">
        <v>792</v>
      </c>
      <c r="N365" s="70" t="s">
        <v>793</v>
      </c>
      <c r="O365" s="70" t="s">
        <v>431</v>
      </c>
    </row>
    <row r="366" customFormat="false" ht="15" hidden="false" customHeight="false" outlineLevel="0" collapsed="false">
      <c r="A366" s="71" t="n">
        <v>46291</v>
      </c>
      <c r="B366" s="70" t="s">
        <v>1732</v>
      </c>
      <c r="C366" s="70" t="s">
        <v>309</v>
      </c>
      <c r="D366" s="70" t="s">
        <v>310</v>
      </c>
      <c r="E366" s="70" t="s">
        <v>404</v>
      </c>
      <c r="F366" s="70" t="s">
        <v>405</v>
      </c>
      <c r="G366" s="70" t="s">
        <v>65</v>
      </c>
      <c r="H366" s="72" t="n">
        <f aca="false">'3 Base Saídas'!H391</f>
        <v>-201</v>
      </c>
      <c r="I366" s="72" t="n">
        <v>0</v>
      </c>
      <c r="J366" s="72" t="n">
        <f aca="false">'3 Base Saídas'!R391</f>
        <v>201</v>
      </c>
      <c r="K366" s="72" t="n">
        <f aca="false">I366-J366</f>
        <v>-201</v>
      </c>
      <c r="L366" s="70" t="s">
        <v>1423</v>
      </c>
      <c r="M366" s="70" t="s">
        <v>423</v>
      </c>
      <c r="N366" s="70" t="s">
        <v>424</v>
      </c>
      <c r="O366" s="70" t="s">
        <v>431</v>
      </c>
    </row>
    <row r="367" customFormat="false" ht="15" hidden="false" customHeight="false" outlineLevel="0" collapsed="false">
      <c r="A367" s="71" t="n">
        <v>46292</v>
      </c>
      <c r="B367" s="70" t="s">
        <v>1732</v>
      </c>
      <c r="C367" s="70" t="s">
        <v>192</v>
      </c>
      <c r="D367" s="70" t="s">
        <v>195</v>
      </c>
      <c r="E367" s="70" t="s">
        <v>404</v>
      </c>
      <c r="F367" s="70" t="s">
        <v>405</v>
      </c>
      <c r="G367" s="70" t="s">
        <v>65</v>
      </c>
      <c r="H367" s="72" t="n">
        <f aca="false">'3 Base Saídas'!H7</f>
        <v>-201</v>
      </c>
      <c r="I367" s="72" t="n">
        <v>0</v>
      </c>
      <c r="J367" s="72" t="n">
        <f aca="false">'3 Base Saídas'!R7</f>
        <v>201</v>
      </c>
      <c r="K367" s="72" t="n">
        <f aca="false">I367-J367</f>
        <v>-201</v>
      </c>
      <c r="L367" s="70" t="s">
        <v>430</v>
      </c>
      <c r="M367" s="70" t="s">
        <v>433</v>
      </c>
      <c r="N367" s="70" t="s">
        <v>434</v>
      </c>
      <c r="O367" s="70" t="s">
        <v>431</v>
      </c>
    </row>
    <row r="368" customFormat="false" ht="15" hidden="false" customHeight="false" outlineLevel="0" collapsed="false">
      <c r="A368" s="71" t="n">
        <v>46292</v>
      </c>
      <c r="B368" s="70" t="s">
        <v>1732</v>
      </c>
      <c r="C368" s="70" t="s">
        <v>192</v>
      </c>
      <c r="D368" s="70" t="s">
        <v>195</v>
      </c>
      <c r="E368" s="70" t="s">
        <v>404</v>
      </c>
      <c r="F368" s="70" t="s">
        <v>405</v>
      </c>
      <c r="G368" s="70" t="s">
        <v>65</v>
      </c>
      <c r="H368" s="72" t="n">
        <f aca="false">'3 Base Saídas'!H8</f>
        <v>-20.1</v>
      </c>
      <c r="I368" s="72" t="n">
        <v>0</v>
      </c>
      <c r="J368" s="72" t="n">
        <f aca="false">'3 Base Saídas'!R8</f>
        <v>20.1</v>
      </c>
      <c r="K368" s="72" t="n">
        <f aca="false">I368-J368</f>
        <v>-20.1</v>
      </c>
      <c r="L368" s="70" t="s">
        <v>435</v>
      </c>
      <c r="M368" s="70" t="s">
        <v>437</v>
      </c>
      <c r="N368" s="70" t="s">
        <v>438</v>
      </c>
      <c r="O368" s="70" t="s">
        <v>431</v>
      </c>
    </row>
    <row r="369" customFormat="false" ht="15" hidden="false" customHeight="false" outlineLevel="0" collapsed="false">
      <c r="A369" s="71" t="n">
        <v>46292</v>
      </c>
      <c r="B369" s="70" t="s">
        <v>1732</v>
      </c>
      <c r="C369" s="70" t="s">
        <v>192</v>
      </c>
      <c r="D369" s="70" t="s">
        <v>195</v>
      </c>
      <c r="E369" s="70" t="s">
        <v>404</v>
      </c>
      <c r="F369" s="70" t="s">
        <v>405</v>
      </c>
      <c r="G369" s="70" t="s">
        <v>65</v>
      </c>
      <c r="H369" s="72" t="n">
        <f aca="false">'3 Base Saídas'!H9</f>
        <v>-40.2</v>
      </c>
      <c r="I369" s="72" t="n">
        <v>0</v>
      </c>
      <c r="J369" s="72" t="n">
        <f aca="false">'3 Base Saídas'!R9</f>
        <v>40.2</v>
      </c>
      <c r="K369" s="72" t="n">
        <f aca="false">I369-J369</f>
        <v>-40.2</v>
      </c>
      <c r="L369" s="70" t="s">
        <v>439</v>
      </c>
      <c r="M369" s="70" t="s">
        <v>441</v>
      </c>
      <c r="N369" s="70" t="s">
        <v>442</v>
      </c>
      <c r="O369" s="70" t="s">
        <v>431</v>
      </c>
    </row>
    <row r="370" customFormat="false" ht="15" hidden="false" customHeight="false" outlineLevel="0" collapsed="false">
      <c r="A370" s="71" t="n">
        <v>46292</v>
      </c>
      <c r="B370" s="70" t="s">
        <v>1732</v>
      </c>
      <c r="C370" s="70" t="s">
        <v>192</v>
      </c>
      <c r="D370" s="70" t="s">
        <v>195</v>
      </c>
      <c r="E370" s="70" t="s">
        <v>404</v>
      </c>
      <c r="F370" s="70" t="s">
        <v>405</v>
      </c>
      <c r="G370" s="70" t="s">
        <v>65</v>
      </c>
      <c r="H370" s="72" t="n">
        <f aca="false">'3 Base Saídas'!H10</f>
        <v>-261.3</v>
      </c>
      <c r="I370" s="72" t="n">
        <v>0</v>
      </c>
      <c r="J370" s="72" t="n">
        <f aca="false">'3 Base Saídas'!R10</f>
        <v>261.3</v>
      </c>
      <c r="K370" s="72" t="n">
        <f aca="false">I370-J370</f>
        <v>-261.3</v>
      </c>
      <c r="L370" s="70" t="s">
        <v>443</v>
      </c>
      <c r="M370" s="70" t="s">
        <v>446</v>
      </c>
      <c r="N370" s="70" t="s">
        <v>447</v>
      </c>
      <c r="O370" s="70" t="s">
        <v>444</v>
      </c>
    </row>
    <row r="371" customFormat="false" ht="15" hidden="false" customHeight="false" outlineLevel="0" collapsed="false">
      <c r="A371" s="71" t="n">
        <v>46292</v>
      </c>
      <c r="B371" s="70" t="s">
        <v>1732</v>
      </c>
      <c r="C371" s="70" t="s">
        <v>192</v>
      </c>
      <c r="D371" s="70" t="s">
        <v>195</v>
      </c>
      <c r="E371" s="70" t="s">
        <v>404</v>
      </c>
      <c r="F371" s="70" t="s">
        <v>405</v>
      </c>
      <c r="G371" s="70" t="s">
        <v>65</v>
      </c>
      <c r="H371" s="72" t="n">
        <f aca="false">'3 Base Saídas'!H11</f>
        <v>-40.2</v>
      </c>
      <c r="I371" s="72" t="n">
        <v>0</v>
      </c>
      <c r="J371" s="72" t="n">
        <f aca="false">'3 Base Saídas'!R11</f>
        <v>40.2</v>
      </c>
      <c r="K371" s="72" t="n">
        <f aca="false">I371-J371</f>
        <v>-40.2</v>
      </c>
      <c r="L371" s="70" t="s">
        <v>448</v>
      </c>
      <c r="M371" s="70" t="s">
        <v>450</v>
      </c>
      <c r="N371" s="70" t="s">
        <v>451</v>
      </c>
      <c r="O371" s="70" t="s">
        <v>431</v>
      </c>
    </row>
    <row r="372" customFormat="false" ht="15" hidden="false" customHeight="false" outlineLevel="0" collapsed="false">
      <c r="A372" s="71" t="n">
        <v>46292</v>
      </c>
      <c r="B372" s="70" t="s">
        <v>1732</v>
      </c>
      <c r="C372" s="70" t="s">
        <v>192</v>
      </c>
      <c r="D372" s="70" t="s">
        <v>195</v>
      </c>
      <c r="E372" s="70" t="s">
        <v>404</v>
      </c>
      <c r="F372" s="70" t="s">
        <v>405</v>
      </c>
      <c r="G372" s="70" t="s">
        <v>65</v>
      </c>
      <c r="H372" s="72" t="n">
        <f aca="false">'3 Base Saídas'!H12</f>
        <v>-20.1</v>
      </c>
      <c r="I372" s="72" t="n">
        <v>0</v>
      </c>
      <c r="J372" s="72" t="n">
        <f aca="false">'3 Base Saídas'!R12</f>
        <v>20.1</v>
      </c>
      <c r="K372" s="72" t="n">
        <f aca="false">I372-J372</f>
        <v>-20.1</v>
      </c>
      <c r="L372" s="70" t="s">
        <v>452</v>
      </c>
      <c r="M372" s="70" t="s">
        <v>454</v>
      </c>
      <c r="N372" s="70" t="s">
        <v>455</v>
      </c>
      <c r="O372" s="70" t="s">
        <v>431</v>
      </c>
    </row>
    <row r="373" customFormat="false" ht="15" hidden="false" customHeight="false" outlineLevel="0" collapsed="false">
      <c r="A373" s="71" t="n">
        <v>46292</v>
      </c>
      <c r="B373" s="70" t="s">
        <v>1732</v>
      </c>
      <c r="C373" s="70" t="s">
        <v>192</v>
      </c>
      <c r="D373" s="70" t="s">
        <v>195</v>
      </c>
      <c r="E373" s="70" t="s">
        <v>404</v>
      </c>
      <c r="F373" s="70" t="s">
        <v>405</v>
      </c>
      <c r="G373" s="70" t="s">
        <v>65</v>
      </c>
      <c r="H373" s="72" t="n">
        <f aca="false">'3 Base Saídas'!H13</f>
        <v>-40.2</v>
      </c>
      <c r="I373" s="72" t="n">
        <v>0</v>
      </c>
      <c r="J373" s="72" t="n">
        <f aca="false">'3 Base Saídas'!R13</f>
        <v>40.2</v>
      </c>
      <c r="K373" s="72" t="n">
        <f aca="false">I373-J373</f>
        <v>-40.2</v>
      </c>
      <c r="L373" s="70" t="s">
        <v>456</v>
      </c>
      <c r="M373" s="70" t="s">
        <v>458</v>
      </c>
      <c r="N373" s="70" t="s">
        <v>459</v>
      </c>
      <c r="O373" s="70" t="s">
        <v>431</v>
      </c>
    </row>
    <row r="374" customFormat="false" ht="15" hidden="false" customHeight="false" outlineLevel="0" collapsed="false">
      <c r="A374" s="71" t="n">
        <v>46292</v>
      </c>
      <c r="B374" s="70" t="s">
        <v>1732</v>
      </c>
      <c r="C374" s="70" t="s">
        <v>198</v>
      </c>
      <c r="D374" s="70" t="s">
        <v>199</v>
      </c>
      <c r="E374" s="70" t="s">
        <v>522</v>
      </c>
      <c r="F374" s="70" t="s">
        <v>405</v>
      </c>
      <c r="G374" s="70" t="s">
        <v>65</v>
      </c>
      <c r="H374" s="72" t="n">
        <f aca="false">'3 Base Saídas'!H40</f>
        <v>-5.6</v>
      </c>
      <c r="I374" s="72" t="n">
        <v>0</v>
      </c>
      <c r="J374" s="72" t="n">
        <f aca="false">'3 Base Saídas'!R40</f>
        <v>5.6</v>
      </c>
      <c r="K374" s="72" t="n">
        <f aca="false">I374-J374</f>
        <v>-5.6</v>
      </c>
      <c r="L374" s="70" t="s">
        <v>559</v>
      </c>
      <c r="M374" s="70" t="s">
        <v>561</v>
      </c>
      <c r="N374" s="70" t="s">
        <v>562</v>
      </c>
      <c r="O374" s="70" t="s">
        <v>431</v>
      </c>
    </row>
    <row r="375" customFormat="false" ht="15" hidden="false" customHeight="false" outlineLevel="0" collapsed="false">
      <c r="A375" s="71" t="n">
        <v>46292</v>
      </c>
      <c r="B375" s="70" t="s">
        <v>1732</v>
      </c>
      <c r="C375" s="70" t="s">
        <v>198</v>
      </c>
      <c r="D375" s="70" t="s">
        <v>199</v>
      </c>
      <c r="E375" s="70" t="s">
        <v>522</v>
      </c>
      <c r="F375" s="70" t="s">
        <v>405</v>
      </c>
      <c r="G375" s="70" t="s">
        <v>65</v>
      </c>
      <c r="H375" s="72" t="n">
        <f aca="false">'3 Base Saídas'!H41</f>
        <v>-8.4</v>
      </c>
      <c r="I375" s="72" t="n">
        <v>0</v>
      </c>
      <c r="J375" s="72" t="n">
        <f aca="false">'3 Base Saídas'!R41</f>
        <v>8.4</v>
      </c>
      <c r="K375" s="72" t="n">
        <f aca="false">I375-J375</f>
        <v>-8.4</v>
      </c>
      <c r="L375" s="70" t="s">
        <v>563</v>
      </c>
      <c r="M375" s="70" t="s">
        <v>565</v>
      </c>
      <c r="N375" s="70" t="s">
        <v>566</v>
      </c>
      <c r="O375" s="70" t="s">
        <v>431</v>
      </c>
    </row>
    <row r="376" customFormat="false" ht="15" hidden="false" customHeight="false" outlineLevel="0" collapsed="false">
      <c r="A376" s="71" t="n">
        <v>46292</v>
      </c>
      <c r="B376" s="70" t="s">
        <v>1732</v>
      </c>
      <c r="C376" s="70" t="s">
        <v>198</v>
      </c>
      <c r="D376" s="70" t="s">
        <v>199</v>
      </c>
      <c r="E376" s="70" t="s">
        <v>522</v>
      </c>
      <c r="F376" s="70" t="s">
        <v>405</v>
      </c>
      <c r="G376" s="70" t="s">
        <v>65</v>
      </c>
      <c r="H376" s="72" t="n">
        <f aca="false">'3 Base Saídas'!H42</f>
        <v>-8.4</v>
      </c>
      <c r="I376" s="72" t="n">
        <v>0</v>
      </c>
      <c r="J376" s="72" t="n">
        <f aca="false">'3 Base Saídas'!R42</f>
        <v>8.4</v>
      </c>
      <c r="K376" s="72" t="n">
        <f aca="false">I376-J376</f>
        <v>-8.4</v>
      </c>
      <c r="L376" s="70" t="s">
        <v>567</v>
      </c>
      <c r="M376" s="70" t="s">
        <v>569</v>
      </c>
      <c r="N376" s="70" t="s">
        <v>570</v>
      </c>
      <c r="O376" s="70" t="s">
        <v>431</v>
      </c>
    </row>
    <row r="377" customFormat="false" ht="15" hidden="false" customHeight="false" outlineLevel="0" collapsed="false">
      <c r="A377" s="71" t="n">
        <v>46292</v>
      </c>
      <c r="B377" s="70" t="s">
        <v>1732</v>
      </c>
      <c r="C377" s="70" t="s">
        <v>198</v>
      </c>
      <c r="D377" s="70" t="s">
        <v>199</v>
      </c>
      <c r="E377" s="70" t="s">
        <v>522</v>
      </c>
      <c r="F377" s="70" t="s">
        <v>405</v>
      </c>
      <c r="G377" s="70" t="s">
        <v>65</v>
      </c>
      <c r="H377" s="72" t="n">
        <f aca="false">'3 Base Saídas'!H43</f>
        <v>-5.6</v>
      </c>
      <c r="I377" s="72" t="n">
        <v>0</v>
      </c>
      <c r="J377" s="72" t="n">
        <f aca="false">'3 Base Saídas'!R43</f>
        <v>5.6</v>
      </c>
      <c r="K377" s="72" t="n">
        <f aca="false">I377-J377</f>
        <v>-5.6</v>
      </c>
      <c r="L377" s="70" t="s">
        <v>571</v>
      </c>
      <c r="M377" s="70" t="s">
        <v>573</v>
      </c>
      <c r="N377" s="70" t="s">
        <v>574</v>
      </c>
      <c r="O377" s="70" t="s">
        <v>431</v>
      </c>
    </row>
    <row r="378" customFormat="false" ht="15" hidden="false" customHeight="false" outlineLevel="0" collapsed="false">
      <c r="A378" s="71" t="n">
        <v>46292</v>
      </c>
      <c r="B378" s="70" t="s">
        <v>1732</v>
      </c>
      <c r="C378" s="70" t="s">
        <v>198</v>
      </c>
      <c r="D378" s="70" t="s">
        <v>199</v>
      </c>
      <c r="E378" s="70" t="s">
        <v>522</v>
      </c>
      <c r="F378" s="70" t="s">
        <v>405</v>
      </c>
      <c r="G378" s="70" t="s">
        <v>65</v>
      </c>
      <c r="H378" s="72" t="n">
        <f aca="false">'3 Base Saídas'!H44</f>
        <v>-5.6</v>
      </c>
      <c r="I378" s="72" t="n">
        <v>0</v>
      </c>
      <c r="J378" s="72" t="n">
        <f aca="false">'3 Base Saídas'!R44</f>
        <v>5.6</v>
      </c>
      <c r="K378" s="72" t="n">
        <f aca="false">I378-J378</f>
        <v>-5.6</v>
      </c>
      <c r="L378" s="70" t="s">
        <v>575</v>
      </c>
      <c r="M378" s="70" t="s">
        <v>577</v>
      </c>
      <c r="N378" s="70" t="s">
        <v>578</v>
      </c>
      <c r="O378" s="70" t="s">
        <v>431</v>
      </c>
    </row>
    <row r="379" customFormat="false" ht="15" hidden="false" customHeight="false" outlineLevel="0" collapsed="false">
      <c r="A379" s="71" t="n">
        <v>46292</v>
      </c>
      <c r="B379" s="70" t="s">
        <v>1732</v>
      </c>
      <c r="C379" s="70" t="s">
        <v>198</v>
      </c>
      <c r="D379" s="70" t="s">
        <v>199</v>
      </c>
      <c r="E379" s="70" t="s">
        <v>522</v>
      </c>
      <c r="F379" s="70" t="s">
        <v>405</v>
      </c>
      <c r="G379" s="70" t="s">
        <v>65</v>
      </c>
      <c r="H379" s="72" t="n">
        <f aca="false">'3 Base Saídas'!H45</f>
        <v>-5.6</v>
      </c>
      <c r="I379" s="72" t="n">
        <v>0</v>
      </c>
      <c r="J379" s="72" t="n">
        <f aca="false">'3 Base Saídas'!R45</f>
        <v>5.6</v>
      </c>
      <c r="K379" s="72" t="n">
        <f aca="false">I379-J379</f>
        <v>-5.6</v>
      </c>
      <c r="L379" s="70" t="s">
        <v>579</v>
      </c>
      <c r="M379" s="70" t="s">
        <v>581</v>
      </c>
      <c r="N379" s="70" t="s">
        <v>582</v>
      </c>
      <c r="O379" s="70" t="s">
        <v>431</v>
      </c>
    </row>
    <row r="380" customFormat="false" ht="15" hidden="false" customHeight="false" outlineLevel="0" collapsed="false">
      <c r="A380" s="71" t="n">
        <v>46292</v>
      </c>
      <c r="B380" s="70" t="s">
        <v>1732</v>
      </c>
      <c r="C380" s="70" t="s">
        <v>218</v>
      </c>
      <c r="D380" s="70" t="s">
        <v>317</v>
      </c>
      <c r="E380" s="70" t="s">
        <v>756</v>
      </c>
      <c r="F380" s="70" t="s">
        <v>405</v>
      </c>
      <c r="G380" s="70" t="s">
        <v>65</v>
      </c>
      <c r="H380" s="72" t="n">
        <f aca="false">'3 Base Saídas'!H109</f>
        <v>-40</v>
      </c>
      <c r="I380" s="72" t="n">
        <v>0</v>
      </c>
      <c r="J380" s="72" t="n">
        <f aca="false">'3 Base Saídas'!R109</f>
        <v>40</v>
      </c>
      <c r="K380" s="72" t="n">
        <f aca="false">I380-J380</f>
        <v>-40</v>
      </c>
      <c r="L380" s="70" t="s">
        <v>764</v>
      </c>
      <c r="M380" s="70" t="s">
        <v>766</v>
      </c>
      <c r="N380" s="70" t="s">
        <v>767</v>
      </c>
      <c r="O380" s="70" t="s">
        <v>431</v>
      </c>
    </row>
    <row r="381" customFormat="false" ht="15" hidden="false" customHeight="false" outlineLevel="0" collapsed="false">
      <c r="A381" s="71" t="n">
        <v>46292</v>
      </c>
      <c r="B381" s="70" t="s">
        <v>1732</v>
      </c>
      <c r="C381" s="70" t="s">
        <v>218</v>
      </c>
      <c r="D381" s="70" t="s">
        <v>219</v>
      </c>
      <c r="E381" s="70" t="s">
        <v>756</v>
      </c>
      <c r="F381" s="70" t="s">
        <v>405</v>
      </c>
      <c r="G381" s="70" t="s">
        <v>65</v>
      </c>
      <c r="H381" s="72" t="n">
        <f aca="false">'3 Base Saídas'!H110</f>
        <v>-40</v>
      </c>
      <c r="I381" s="72" t="n">
        <v>0</v>
      </c>
      <c r="J381" s="72" t="n">
        <f aca="false">'3 Base Saídas'!R110</f>
        <v>40</v>
      </c>
      <c r="K381" s="72" t="n">
        <f aca="false">I381-J381</f>
        <v>-40</v>
      </c>
      <c r="L381" s="70" t="s">
        <v>768</v>
      </c>
      <c r="M381" s="70" t="s">
        <v>770</v>
      </c>
      <c r="N381" s="70" t="s">
        <v>771</v>
      </c>
      <c r="O381" s="70" t="s">
        <v>431</v>
      </c>
    </row>
    <row r="382" customFormat="false" ht="15" hidden="false" customHeight="false" outlineLevel="0" collapsed="false">
      <c r="A382" s="71" t="n">
        <v>46292</v>
      </c>
      <c r="B382" s="70" t="s">
        <v>1732</v>
      </c>
      <c r="C382" s="70" t="s">
        <v>218</v>
      </c>
      <c r="D382" s="70" t="s">
        <v>219</v>
      </c>
      <c r="E382" s="70" t="s">
        <v>756</v>
      </c>
      <c r="F382" s="70" t="s">
        <v>405</v>
      </c>
      <c r="G382" s="70" t="s">
        <v>65</v>
      </c>
      <c r="H382" s="72" t="n">
        <f aca="false">'3 Base Saídas'!H111</f>
        <v>-40</v>
      </c>
      <c r="I382" s="72" t="n">
        <v>0</v>
      </c>
      <c r="J382" s="72" t="n">
        <f aca="false">'3 Base Saídas'!R111</f>
        <v>40</v>
      </c>
      <c r="K382" s="72" t="n">
        <f aca="false">I382-J382</f>
        <v>-40</v>
      </c>
      <c r="L382" s="70" t="s">
        <v>772</v>
      </c>
      <c r="M382" s="70" t="s">
        <v>774</v>
      </c>
      <c r="N382" s="70" t="s">
        <v>775</v>
      </c>
      <c r="O382" s="70" t="s">
        <v>431</v>
      </c>
    </row>
    <row r="383" customFormat="false" ht="15" hidden="false" customHeight="false" outlineLevel="0" collapsed="false">
      <c r="A383" s="71" t="n">
        <v>46292</v>
      </c>
      <c r="B383" s="70" t="s">
        <v>1732</v>
      </c>
      <c r="C383" s="70" t="s">
        <v>218</v>
      </c>
      <c r="D383" s="70" t="s">
        <v>219</v>
      </c>
      <c r="E383" s="70" t="s">
        <v>756</v>
      </c>
      <c r="F383" s="70" t="s">
        <v>405</v>
      </c>
      <c r="G383" s="70" t="s">
        <v>65</v>
      </c>
      <c r="H383" s="72" t="n">
        <f aca="false">'3 Base Saídas'!H112</f>
        <v>-100</v>
      </c>
      <c r="I383" s="72" t="n">
        <v>0</v>
      </c>
      <c r="J383" s="72" t="n">
        <f aca="false">'3 Base Saídas'!R112</f>
        <v>100</v>
      </c>
      <c r="K383" s="72" t="n">
        <f aca="false">I383-J383</f>
        <v>-100</v>
      </c>
      <c r="L383" s="70" t="s">
        <v>776</v>
      </c>
      <c r="M383" s="70" t="s">
        <v>778</v>
      </c>
      <c r="N383" s="70" t="s">
        <v>779</v>
      </c>
      <c r="O383" s="70" t="s">
        <v>431</v>
      </c>
    </row>
    <row r="384" customFormat="false" ht="15" hidden="false" customHeight="false" outlineLevel="0" collapsed="false">
      <c r="A384" s="71" t="n">
        <v>46292</v>
      </c>
      <c r="B384" s="70" t="s">
        <v>1732</v>
      </c>
      <c r="C384" s="70" t="s">
        <v>220</v>
      </c>
      <c r="D384" s="70" t="s">
        <v>224</v>
      </c>
      <c r="E384" s="70" t="s">
        <v>404</v>
      </c>
      <c r="F384" s="70" t="s">
        <v>405</v>
      </c>
      <c r="G384" s="70" t="s">
        <v>65</v>
      </c>
      <c r="H384" s="72" t="n">
        <f aca="false">'3 Base Saídas'!H117</f>
        <v>-100.5</v>
      </c>
      <c r="I384" s="72" t="n">
        <v>0</v>
      </c>
      <c r="J384" s="72" t="n">
        <f aca="false">'3 Base Saídas'!R117</f>
        <v>100.5</v>
      </c>
      <c r="K384" s="72" t="n">
        <f aca="false">I384-J384</f>
        <v>-100.5</v>
      </c>
      <c r="L384" s="70" t="s">
        <v>788</v>
      </c>
      <c r="M384" s="70" t="s">
        <v>433</v>
      </c>
      <c r="N384" s="70" t="s">
        <v>434</v>
      </c>
      <c r="O384" s="70" t="s">
        <v>431</v>
      </c>
    </row>
    <row r="385" customFormat="false" ht="15" hidden="false" customHeight="false" outlineLevel="0" collapsed="false">
      <c r="A385" s="71" t="n">
        <v>46292</v>
      </c>
      <c r="B385" s="70" t="s">
        <v>1732</v>
      </c>
      <c r="C385" s="70" t="s">
        <v>322</v>
      </c>
      <c r="D385" s="70" t="s">
        <v>323</v>
      </c>
      <c r="E385" s="70" t="s">
        <v>522</v>
      </c>
      <c r="F385" s="70" t="s">
        <v>405</v>
      </c>
      <c r="G385" s="70" t="s">
        <v>65</v>
      </c>
      <c r="H385" s="72" t="n">
        <f aca="false">'3 Base Saídas'!H133</f>
        <v>-22.4</v>
      </c>
      <c r="I385" s="72" t="n">
        <v>0</v>
      </c>
      <c r="J385" s="72" t="n">
        <f aca="false">'3 Base Saídas'!R133</f>
        <v>22.4</v>
      </c>
      <c r="K385" s="72" t="n">
        <f aca="false">I385-J385</f>
        <v>-22.4</v>
      </c>
      <c r="L385" s="70" t="s">
        <v>822</v>
      </c>
      <c r="M385" s="70" t="s">
        <v>824</v>
      </c>
      <c r="N385" s="70" t="s">
        <v>825</v>
      </c>
      <c r="O385" s="70" t="s">
        <v>431</v>
      </c>
    </row>
    <row r="386" customFormat="false" ht="15" hidden="false" customHeight="false" outlineLevel="0" collapsed="false">
      <c r="A386" s="71" t="n">
        <v>46292</v>
      </c>
      <c r="B386" s="70" t="s">
        <v>1732</v>
      </c>
      <c r="C386" s="70" t="s">
        <v>227</v>
      </c>
      <c r="D386" s="70" t="s">
        <v>230</v>
      </c>
      <c r="E386" s="70" t="s">
        <v>756</v>
      </c>
      <c r="F386" s="70" t="s">
        <v>405</v>
      </c>
      <c r="G386" s="70" t="s">
        <v>65</v>
      </c>
      <c r="H386" s="72" t="n">
        <f aca="false">'3 Base Saídas'!H180</f>
        <v>-40</v>
      </c>
      <c r="I386" s="72" t="n">
        <v>0</v>
      </c>
      <c r="J386" s="72" t="n">
        <f aca="false">'3 Base Saídas'!R180</f>
        <v>40</v>
      </c>
      <c r="K386" s="72" t="n">
        <f aca="false">I386-J386</f>
        <v>-40</v>
      </c>
      <c r="L386" s="70" t="s">
        <v>914</v>
      </c>
      <c r="M386" s="70" t="s">
        <v>916</v>
      </c>
      <c r="N386" s="70" t="s">
        <v>917</v>
      </c>
      <c r="O386" s="70" t="s">
        <v>431</v>
      </c>
    </row>
    <row r="387" customFormat="false" ht="15" hidden="false" customHeight="false" outlineLevel="0" collapsed="false">
      <c r="A387" s="71" t="n">
        <v>46292</v>
      </c>
      <c r="B387" s="70" t="s">
        <v>1732</v>
      </c>
      <c r="C387" s="70" t="s">
        <v>227</v>
      </c>
      <c r="D387" s="70" t="s">
        <v>230</v>
      </c>
      <c r="E387" s="70" t="s">
        <v>756</v>
      </c>
      <c r="F387" s="70" t="s">
        <v>405</v>
      </c>
      <c r="G387" s="70" t="s">
        <v>65</v>
      </c>
      <c r="H387" s="72" t="n">
        <f aca="false">'3 Base Saídas'!H181</f>
        <v>-40</v>
      </c>
      <c r="I387" s="72" t="n">
        <v>0</v>
      </c>
      <c r="J387" s="72" t="n">
        <f aca="false">'3 Base Saídas'!R181</f>
        <v>40</v>
      </c>
      <c r="K387" s="72" t="n">
        <f aca="false">I387-J387</f>
        <v>-40</v>
      </c>
      <c r="L387" s="70" t="s">
        <v>768</v>
      </c>
      <c r="M387" s="70" t="s">
        <v>770</v>
      </c>
      <c r="N387" s="70" t="s">
        <v>771</v>
      </c>
      <c r="O387" s="70" t="s">
        <v>431</v>
      </c>
    </row>
    <row r="388" customFormat="false" ht="15" hidden="false" customHeight="false" outlineLevel="0" collapsed="false">
      <c r="A388" s="71" t="n">
        <v>46292</v>
      </c>
      <c r="B388" s="70" t="s">
        <v>1732</v>
      </c>
      <c r="C388" s="70" t="s">
        <v>227</v>
      </c>
      <c r="D388" s="70" t="s">
        <v>230</v>
      </c>
      <c r="E388" s="70" t="s">
        <v>756</v>
      </c>
      <c r="F388" s="70" t="s">
        <v>405</v>
      </c>
      <c r="G388" s="70" t="s">
        <v>65</v>
      </c>
      <c r="H388" s="72" t="n">
        <f aca="false">'3 Base Saídas'!H182</f>
        <v>-40</v>
      </c>
      <c r="I388" s="72" t="n">
        <v>0</v>
      </c>
      <c r="J388" s="72" t="n">
        <f aca="false">'3 Base Saídas'!R182</f>
        <v>40</v>
      </c>
      <c r="K388" s="72" t="n">
        <f aca="false">I388-J388</f>
        <v>-40</v>
      </c>
      <c r="L388" s="70" t="s">
        <v>918</v>
      </c>
      <c r="M388" s="70" t="s">
        <v>920</v>
      </c>
      <c r="N388" s="70" t="s">
        <v>921</v>
      </c>
      <c r="O388" s="70" t="s">
        <v>431</v>
      </c>
    </row>
    <row r="389" customFormat="false" ht="15" hidden="false" customHeight="false" outlineLevel="0" collapsed="false">
      <c r="A389" s="71" t="n">
        <v>46292</v>
      </c>
      <c r="B389" s="70" t="s">
        <v>1732</v>
      </c>
      <c r="C389" s="70" t="s">
        <v>232</v>
      </c>
      <c r="D389" s="70" t="s">
        <v>241</v>
      </c>
      <c r="E389" s="70" t="s">
        <v>939</v>
      </c>
      <c r="F389" s="70" t="s">
        <v>405</v>
      </c>
      <c r="G389" s="70" t="s">
        <v>146</v>
      </c>
      <c r="H389" s="72" t="n">
        <f aca="false">'3 Base Saídas'!H207</f>
        <v>-45</v>
      </c>
      <c r="I389" s="72" t="n">
        <v>0</v>
      </c>
      <c r="J389" s="72" t="n">
        <f aca="false">'3 Base Saídas'!R207</f>
        <v>45</v>
      </c>
      <c r="K389" s="72" t="n">
        <f aca="false">I389-J389</f>
        <v>-45</v>
      </c>
      <c r="L389" s="70" t="s">
        <v>983</v>
      </c>
      <c r="M389" s="70" t="s">
        <v>928</v>
      </c>
      <c r="N389" s="70" t="s">
        <v>929</v>
      </c>
      <c r="O389" s="70" t="s">
        <v>431</v>
      </c>
    </row>
    <row r="390" customFormat="false" ht="15" hidden="false" customHeight="false" outlineLevel="0" collapsed="false">
      <c r="A390" s="71" t="n">
        <v>46292</v>
      </c>
      <c r="B390" s="70" t="s">
        <v>1732</v>
      </c>
      <c r="C390" s="70" t="s">
        <v>232</v>
      </c>
      <c r="D390" s="70" t="s">
        <v>241</v>
      </c>
      <c r="E390" s="70" t="s">
        <v>939</v>
      </c>
      <c r="F390" s="70" t="s">
        <v>405</v>
      </c>
      <c r="G390" s="70" t="s">
        <v>146</v>
      </c>
      <c r="H390" s="72" t="n">
        <f aca="false">'3 Base Saídas'!H208</f>
        <v>-15</v>
      </c>
      <c r="I390" s="72" t="n">
        <v>0</v>
      </c>
      <c r="J390" s="72" t="n">
        <f aca="false">'3 Base Saídas'!R208</f>
        <v>15</v>
      </c>
      <c r="K390" s="72" t="n">
        <f aca="false">I390-J390</f>
        <v>-15</v>
      </c>
      <c r="L390" s="70" t="s">
        <v>985</v>
      </c>
      <c r="M390" s="70" t="s">
        <v>987</v>
      </c>
      <c r="N390" s="70" t="s">
        <v>988</v>
      </c>
      <c r="O390" s="70" t="s">
        <v>431</v>
      </c>
    </row>
    <row r="391" customFormat="false" ht="15" hidden="false" customHeight="false" outlineLevel="0" collapsed="false">
      <c r="A391" s="71" t="n">
        <v>46292</v>
      </c>
      <c r="B391" s="70" t="s">
        <v>1732</v>
      </c>
      <c r="C391" s="70" t="s">
        <v>232</v>
      </c>
      <c r="D391" s="70" t="s">
        <v>241</v>
      </c>
      <c r="E391" s="70" t="s">
        <v>939</v>
      </c>
      <c r="F391" s="70" t="s">
        <v>405</v>
      </c>
      <c r="G391" s="70" t="s">
        <v>146</v>
      </c>
      <c r="H391" s="72" t="n">
        <f aca="false">'3 Base Saídas'!H209</f>
        <v>-30</v>
      </c>
      <c r="I391" s="72" t="n">
        <v>0</v>
      </c>
      <c r="J391" s="72" t="n">
        <f aca="false">'3 Base Saídas'!R209</f>
        <v>30</v>
      </c>
      <c r="K391" s="72" t="n">
        <f aca="false">I391-J391</f>
        <v>-30</v>
      </c>
      <c r="L391" s="70" t="s">
        <v>989</v>
      </c>
      <c r="M391" s="70" t="s">
        <v>707</v>
      </c>
      <c r="N391" s="70" t="s">
        <v>708</v>
      </c>
      <c r="O391" s="70" t="s">
        <v>431</v>
      </c>
    </row>
    <row r="392" customFormat="false" ht="15" hidden="false" customHeight="false" outlineLevel="0" collapsed="false">
      <c r="A392" s="71" t="n">
        <v>46292</v>
      </c>
      <c r="B392" s="70" t="s">
        <v>1732</v>
      </c>
      <c r="C392" s="70" t="s">
        <v>232</v>
      </c>
      <c r="D392" s="70" t="s">
        <v>241</v>
      </c>
      <c r="E392" s="70" t="s">
        <v>939</v>
      </c>
      <c r="F392" s="70" t="s">
        <v>405</v>
      </c>
      <c r="G392" s="70" t="s">
        <v>146</v>
      </c>
      <c r="H392" s="72" t="n">
        <f aca="false">'3 Base Saídas'!H213</f>
        <v>-30</v>
      </c>
      <c r="I392" s="72" t="n">
        <v>0</v>
      </c>
      <c r="J392" s="72" t="n">
        <f aca="false">'3 Base Saídas'!R213</f>
        <v>30</v>
      </c>
      <c r="K392" s="72" t="n">
        <f aca="false">I392-J392</f>
        <v>-30</v>
      </c>
      <c r="L392" s="70" t="s">
        <v>1001</v>
      </c>
      <c r="M392" s="70" t="s">
        <v>1003</v>
      </c>
      <c r="N392" s="70" t="s">
        <v>1004</v>
      </c>
      <c r="O392" s="70" t="s">
        <v>431</v>
      </c>
    </row>
    <row r="393" customFormat="false" ht="15" hidden="false" customHeight="false" outlineLevel="0" collapsed="false">
      <c r="A393" s="71" t="n">
        <v>46292</v>
      </c>
      <c r="B393" s="70" t="s">
        <v>1732</v>
      </c>
      <c r="C393" s="70" t="s">
        <v>232</v>
      </c>
      <c r="D393" s="70" t="s">
        <v>241</v>
      </c>
      <c r="E393" s="70" t="s">
        <v>939</v>
      </c>
      <c r="F393" s="70" t="s">
        <v>405</v>
      </c>
      <c r="G393" s="70" t="s">
        <v>146</v>
      </c>
      <c r="H393" s="72" t="n">
        <f aca="false">'3 Base Saídas'!H217</f>
        <v>-15</v>
      </c>
      <c r="I393" s="72" t="n">
        <v>0</v>
      </c>
      <c r="J393" s="72" t="n">
        <f aca="false">'3 Base Saídas'!R217</f>
        <v>15</v>
      </c>
      <c r="K393" s="72" t="n">
        <f aca="false">I393-J393</f>
        <v>-15</v>
      </c>
      <c r="L393" s="70" t="s">
        <v>1017</v>
      </c>
      <c r="M393" s="70" t="s">
        <v>577</v>
      </c>
      <c r="N393" s="70" t="s">
        <v>578</v>
      </c>
      <c r="O393" s="70" t="s">
        <v>431</v>
      </c>
    </row>
    <row r="394" customFormat="false" ht="15" hidden="false" customHeight="false" outlineLevel="0" collapsed="false">
      <c r="A394" s="71" t="n">
        <v>46292</v>
      </c>
      <c r="B394" s="70" t="s">
        <v>1732</v>
      </c>
      <c r="C394" s="70" t="s">
        <v>232</v>
      </c>
      <c r="D394" s="70" t="s">
        <v>241</v>
      </c>
      <c r="E394" s="70" t="s">
        <v>939</v>
      </c>
      <c r="F394" s="70" t="s">
        <v>405</v>
      </c>
      <c r="G394" s="70" t="s">
        <v>146</v>
      </c>
      <c r="H394" s="72" t="n">
        <f aca="false">'3 Base Saídas'!H218</f>
        <v>-30</v>
      </c>
      <c r="I394" s="72" t="n">
        <v>0</v>
      </c>
      <c r="J394" s="72" t="n">
        <f aca="false">'3 Base Saídas'!R218</f>
        <v>30</v>
      </c>
      <c r="K394" s="72" t="n">
        <f aca="false">I394-J394</f>
        <v>-30</v>
      </c>
      <c r="L394" s="70" t="s">
        <v>1019</v>
      </c>
      <c r="M394" s="70" t="s">
        <v>999</v>
      </c>
      <c r="N394" s="70" t="s">
        <v>1000</v>
      </c>
      <c r="O394" s="70" t="s">
        <v>431</v>
      </c>
    </row>
    <row r="395" customFormat="false" ht="15" hidden="false" customHeight="false" outlineLevel="0" collapsed="false">
      <c r="A395" s="71" t="n">
        <v>46292</v>
      </c>
      <c r="B395" s="70" t="s">
        <v>1732</v>
      </c>
      <c r="C395" s="70" t="s">
        <v>232</v>
      </c>
      <c r="D395" s="70" t="s">
        <v>241</v>
      </c>
      <c r="E395" s="70" t="s">
        <v>939</v>
      </c>
      <c r="F395" s="70" t="s">
        <v>405</v>
      </c>
      <c r="G395" s="70" t="s">
        <v>146</v>
      </c>
      <c r="H395" s="72" t="n">
        <f aca="false">'3 Base Saídas'!H219</f>
        <v>-15</v>
      </c>
      <c r="I395" s="72" t="n">
        <v>0</v>
      </c>
      <c r="J395" s="72" t="n">
        <f aca="false">'3 Base Saídas'!R219</f>
        <v>15</v>
      </c>
      <c r="K395" s="72" t="n">
        <f aca="false">I395-J395</f>
        <v>-15</v>
      </c>
      <c r="L395" s="70" t="s">
        <v>575</v>
      </c>
      <c r="M395" s="70" t="s">
        <v>577</v>
      </c>
      <c r="N395" s="70" t="s">
        <v>578</v>
      </c>
      <c r="O395" s="70" t="s">
        <v>431</v>
      </c>
    </row>
    <row r="396" customFormat="false" ht="15" hidden="false" customHeight="false" outlineLevel="0" collapsed="false">
      <c r="A396" s="71" t="n">
        <v>46292</v>
      </c>
      <c r="B396" s="70" t="s">
        <v>1732</v>
      </c>
      <c r="C396" s="70" t="s">
        <v>232</v>
      </c>
      <c r="D396" s="70" t="s">
        <v>241</v>
      </c>
      <c r="E396" s="70" t="s">
        <v>939</v>
      </c>
      <c r="F396" s="70" t="s">
        <v>405</v>
      </c>
      <c r="G396" s="70" t="s">
        <v>146</v>
      </c>
      <c r="H396" s="72" t="n">
        <f aca="false">'3 Base Saídas'!H221</f>
        <v>-45</v>
      </c>
      <c r="I396" s="72" t="n">
        <v>0</v>
      </c>
      <c r="J396" s="72" t="n">
        <f aca="false">'3 Base Saídas'!R221</f>
        <v>45</v>
      </c>
      <c r="K396" s="72" t="n">
        <f aca="false">I396-J396</f>
        <v>-45</v>
      </c>
      <c r="L396" s="70" t="s">
        <v>1023</v>
      </c>
      <c r="M396" s="70" t="s">
        <v>1025</v>
      </c>
      <c r="N396" s="70" t="s">
        <v>1026</v>
      </c>
      <c r="O396" s="70" t="s">
        <v>431</v>
      </c>
    </row>
    <row r="397" customFormat="false" ht="15" hidden="false" customHeight="false" outlineLevel="0" collapsed="false">
      <c r="A397" s="71" t="n">
        <v>46292</v>
      </c>
      <c r="B397" s="70" t="s">
        <v>1732</v>
      </c>
      <c r="C397" s="70" t="s">
        <v>232</v>
      </c>
      <c r="D397" s="70" t="s">
        <v>241</v>
      </c>
      <c r="E397" s="70" t="s">
        <v>939</v>
      </c>
      <c r="F397" s="70" t="s">
        <v>405</v>
      </c>
      <c r="G397" s="70" t="s">
        <v>146</v>
      </c>
      <c r="H397" s="72" t="n">
        <f aca="false">'3 Base Saídas'!H222</f>
        <v>-15</v>
      </c>
      <c r="I397" s="72" t="n">
        <v>0</v>
      </c>
      <c r="J397" s="72" t="n">
        <f aca="false">'3 Base Saídas'!R222</f>
        <v>15</v>
      </c>
      <c r="K397" s="72" t="n">
        <f aca="false">I397-J397</f>
        <v>-15</v>
      </c>
      <c r="L397" s="70" t="s">
        <v>1027</v>
      </c>
      <c r="M397" s="70" t="s">
        <v>1029</v>
      </c>
      <c r="N397" s="70" t="s">
        <v>1030</v>
      </c>
      <c r="O397" s="70" t="s">
        <v>431</v>
      </c>
    </row>
    <row r="398" customFormat="false" ht="15" hidden="false" customHeight="false" outlineLevel="0" collapsed="false">
      <c r="A398" s="71" t="n">
        <v>46292</v>
      </c>
      <c r="B398" s="70" t="s">
        <v>1732</v>
      </c>
      <c r="C398" s="70" t="s">
        <v>232</v>
      </c>
      <c r="D398" s="70" t="s">
        <v>241</v>
      </c>
      <c r="E398" s="70" t="s">
        <v>939</v>
      </c>
      <c r="F398" s="70" t="s">
        <v>405</v>
      </c>
      <c r="G398" s="70" t="s">
        <v>146</v>
      </c>
      <c r="H398" s="72" t="n">
        <f aca="false">'3 Base Saídas'!H223</f>
        <v>-15</v>
      </c>
      <c r="I398" s="72" t="n">
        <v>0</v>
      </c>
      <c r="J398" s="72" t="n">
        <f aca="false">'3 Base Saídas'!R223</f>
        <v>15</v>
      </c>
      <c r="K398" s="72" t="n">
        <f aca="false">I398-J398</f>
        <v>-15</v>
      </c>
      <c r="L398" s="70" t="s">
        <v>1019</v>
      </c>
      <c r="M398" s="70" t="s">
        <v>999</v>
      </c>
      <c r="N398" s="70" t="s">
        <v>1000</v>
      </c>
      <c r="O398" s="70" t="s">
        <v>431</v>
      </c>
    </row>
    <row r="399" customFormat="false" ht="15" hidden="false" customHeight="false" outlineLevel="0" collapsed="false">
      <c r="A399" s="71" t="n">
        <v>46292</v>
      </c>
      <c r="B399" s="70" t="s">
        <v>1732</v>
      </c>
      <c r="C399" s="70" t="s">
        <v>232</v>
      </c>
      <c r="D399" s="70" t="s">
        <v>233</v>
      </c>
      <c r="E399" s="70" t="s">
        <v>939</v>
      </c>
      <c r="F399" s="70" t="s">
        <v>405</v>
      </c>
      <c r="G399" s="70" t="s">
        <v>146</v>
      </c>
      <c r="H399" s="72" t="n">
        <f aca="false">'3 Base Saídas'!H210</f>
        <v>-15</v>
      </c>
      <c r="I399" s="72" t="n">
        <v>0</v>
      </c>
      <c r="J399" s="72" t="n">
        <f aca="false">'3 Base Saídas'!R210</f>
        <v>15</v>
      </c>
      <c r="K399" s="72" t="n">
        <f aca="false">I399-J399</f>
        <v>-15</v>
      </c>
      <c r="L399" s="70" t="s">
        <v>991</v>
      </c>
      <c r="M399" s="70" t="s">
        <v>993</v>
      </c>
      <c r="N399" s="70" t="s">
        <v>994</v>
      </c>
      <c r="O399" s="70" t="s">
        <v>431</v>
      </c>
    </row>
    <row r="400" customFormat="false" ht="15" hidden="false" customHeight="false" outlineLevel="0" collapsed="false">
      <c r="A400" s="71" t="n">
        <v>46292</v>
      </c>
      <c r="B400" s="70" t="s">
        <v>1732</v>
      </c>
      <c r="C400" s="70" t="s">
        <v>232</v>
      </c>
      <c r="D400" s="70" t="s">
        <v>233</v>
      </c>
      <c r="E400" s="70" t="s">
        <v>939</v>
      </c>
      <c r="F400" s="70" t="s">
        <v>405</v>
      </c>
      <c r="G400" s="70" t="s">
        <v>146</v>
      </c>
      <c r="H400" s="72" t="n">
        <f aca="false">'3 Base Saídas'!H211</f>
        <v>-15</v>
      </c>
      <c r="I400" s="72" t="n">
        <v>0</v>
      </c>
      <c r="J400" s="72" t="n">
        <f aca="false">'3 Base Saídas'!R211</f>
        <v>15</v>
      </c>
      <c r="K400" s="72" t="n">
        <f aca="false">I400-J400</f>
        <v>-15</v>
      </c>
      <c r="L400" s="70" t="s">
        <v>995</v>
      </c>
      <c r="M400" s="70" t="s">
        <v>987</v>
      </c>
      <c r="N400" s="70" t="s">
        <v>988</v>
      </c>
      <c r="O400" s="70" t="s">
        <v>431</v>
      </c>
    </row>
    <row r="401" customFormat="false" ht="15" hidden="false" customHeight="false" outlineLevel="0" collapsed="false">
      <c r="A401" s="71" t="n">
        <v>46292</v>
      </c>
      <c r="B401" s="70" t="s">
        <v>1732</v>
      </c>
      <c r="C401" s="70" t="s">
        <v>232</v>
      </c>
      <c r="D401" s="70" t="s">
        <v>233</v>
      </c>
      <c r="E401" s="70" t="s">
        <v>939</v>
      </c>
      <c r="F401" s="70" t="s">
        <v>405</v>
      </c>
      <c r="G401" s="70" t="s">
        <v>146</v>
      </c>
      <c r="H401" s="72" t="n">
        <f aca="false">'3 Base Saídas'!H212</f>
        <v>-90</v>
      </c>
      <c r="I401" s="72" t="n">
        <v>0</v>
      </c>
      <c r="J401" s="72" t="n">
        <f aca="false">'3 Base Saídas'!R212</f>
        <v>90</v>
      </c>
      <c r="K401" s="72" t="n">
        <f aca="false">I401-J401</f>
        <v>-90</v>
      </c>
      <c r="L401" s="70" t="s">
        <v>997</v>
      </c>
      <c r="M401" s="70" t="s">
        <v>999</v>
      </c>
      <c r="N401" s="70" t="s">
        <v>1000</v>
      </c>
      <c r="O401" s="70" t="s">
        <v>431</v>
      </c>
    </row>
    <row r="402" customFormat="false" ht="15" hidden="false" customHeight="false" outlineLevel="0" collapsed="false">
      <c r="A402" s="71" t="n">
        <v>46292</v>
      </c>
      <c r="B402" s="70" t="s">
        <v>1732</v>
      </c>
      <c r="C402" s="70" t="s">
        <v>232</v>
      </c>
      <c r="D402" s="70" t="s">
        <v>233</v>
      </c>
      <c r="E402" s="70" t="s">
        <v>939</v>
      </c>
      <c r="F402" s="70" t="s">
        <v>405</v>
      </c>
      <c r="G402" s="70" t="s">
        <v>146</v>
      </c>
      <c r="H402" s="72" t="n">
        <f aca="false">'3 Base Saídas'!H214</f>
        <v>-30</v>
      </c>
      <c r="I402" s="72" t="n">
        <v>0</v>
      </c>
      <c r="J402" s="72" t="n">
        <f aca="false">'3 Base Saídas'!R214</f>
        <v>30</v>
      </c>
      <c r="K402" s="72" t="n">
        <f aca="false">I402-J402</f>
        <v>-30</v>
      </c>
      <c r="L402" s="70" t="s">
        <v>1005</v>
      </c>
      <c r="M402" s="70" t="s">
        <v>1007</v>
      </c>
      <c r="N402" s="70" t="s">
        <v>1008</v>
      </c>
      <c r="O402" s="70" t="s">
        <v>431</v>
      </c>
    </row>
    <row r="403" customFormat="false" ht="15" hidden="false" customHeight="false" outlineLevel="0" collapsed="false">
      <c r="A403" s="71" t="n">
        <v>46292</v>
      </c>
      <c r="B403" s="70" t="s">
        <v>1732</v>
      </c>
      <c r="C403" s="70" t="s">
        <v>232</v>
      </c>
      <c r="D403" s="70" t="s">
        <v>233</v>
      </c>
      <c r="E403" s="70" t="s">
        <v>939</v>
      </c>
      <c r="F403" s="70" t="s">
        <v>405</v>
      </c>
      <c r="G403" s="70" t="s">
        <v>146</v>
      </c>
      <c r="H403" s="72" t="n">
        <f aca="false">'3 Base Saídas'!H215</f>
        <v>-15</v>
      </c>
      <c r="I403" s="72" t="n">
        <v>0</v>
      </c>
      <c r="J403" s="72" t="n">
        <f aca="false">'3 Base Saídas'!R215</f>
        <v>15</v>
      </c>
      <c r="K403" s="72" t="n">
        <f aca="false">I403-J403</f>
        <v>-15</v>
      </c>
      <c r="L403" s="70" t="s">
        <v>1009</v>
      </c>
      <c r="M403" s="70" t="s">
        <v>1011</v>
      </c>
      <c r="N403" s="70" t="s">
        <v>1012</v>
      </c>
      <c r="O403" s="70" t="s">
        <v>431</v>
      </c>
    </row>
    <row r="404" customFormat="false" ht="15" hidden="false" customHeight="false" outlineLevel="0" collapsed="false">
      <c r="A404" s="71" t="n">
        <v>46292</v>
      </c>
      <c r="B404" s="70" t="s">
        <v>1732</v>
      </c>
      <c r="C404" s="70" t="s">
        <v>232</v>
      </c>
      <c r="D404" s="70" t="s">
        <v>233</v>
      </c>
      <c r="E404" s="70" t="s">
        <v>939</v>
      </c>
      <c r="F404" s="70" t="s">
        <v>405</v>
      </c>
      <c r="G404" s="70" t="s">
        <v>146</v>
      </c>
      <c r="H404" s="72" t="n">
        <f aca="false">'3 Base Saídas'!H216</f>
        <v>-30</v>
      </c>
      <c r="I404" s="72" t="n">
        <v>0</v>
      </c>
      <c r="J404" s="72" t="n">
        <f aca="false">'3 Base Saídas'!R216</f>
        <v>30</v>
      </c>
      <c r="K404" s="72" t="n">
        <f aca="false">I404-J404</f>
        <v>-30</v>
      </c>
      <c r="L404" s="70" t="s">
        <v>1013</v>
      </c>
      <c r="M404" s="70" t="s">
        <v>1015</v>
      </c>
      <c r="N404" s="70" t="s">
        <v>1016</v>
      </c>
      <c r="O404" s="70" t="s">
        <v>431</v>
      </c>
    </row>
    <row r="405" customFormat="false" ht="15" hidden="false" customHeight="false" outlineLevel="0" collapsed="false">
      <c r="A405" s="71" t="n">
        <v>46292</v>
      </c>
      <c r="B405" s="70" t="s">
        <v>1732</v>
      </c>
      <c r="C405" s="70" t="s">
        <v>232</v>
      </c>
      <c r="D405" s="70" t="s">
        <v>233</v>
      </c>
      <c r="E405" s="70" t="s">
        <v>939</v>
      </c>
      <c r="F405" s="70" t="s">
        <v>405</v>
      </c>
      <c r="G405" s="70" t="s">
        <v>146</v>
      </c>
      <c r="H405" s="72" t="n">
        <f aca="false">'3 Base Saídas'!H220</f>
        <v>-60</v>
      </c>
      <c r="I405" s="72" t="n">
        <v>0</v>
      </c>
      <c r="J405" s="72" t="n">
        <f aca="false">'3 Base Saídas'!R220</f>
        <v>60</v>
      </c>
      <c r="K405" s="72" t="n">
        <f aca="false">I405-J405</f>
        <v>-60</v>
      </c>
      <c r="L405" s="70" t="s">
        <v>1021</v>
      </c>
      <c r="M405" s="70" t="s">
        <v>999</v>
      </c>
      <c r="N405" s="70" t="s">
        <v>1000</v>
      </c>
      <c r="O405" s="70" t="s">
        <v>431</v>
      </c>
    </row>
    <row r="406" customFormat="false" ht="15" hidden="false" customHeight="false" outlineLevel="0" collapsed="false">
      <c r="A406" s="71" t="n">
        <v>46292</v>
      </c>
      <c r="B406" s="70" t="s">
        <v>1732</v>
      </c>
      <c r="C406" s="70" t="s">
        <v>243</v>
      </c>
      <c r="D406" s="70" t="s">
        <v>244</v>
      </c>
      <c r="E406" s="70" t="s">
        <v>1052</v>
      </c>
      <c r="F406" s="70" t="s">
        <v>405</v>
      </c>
      <c r="G406" s="70" t="s">
        <v>65</v>
      </c>
      <c r="H406" s="72" t="n">
        <f aca="false">'3 Base Saídas'!H232</f>
        <v>-18</v>
      </c>
      <c r="I406" s="72" t="n">
        <v>0</v>
      </c>
      <c r="J406" s="72" t="n">
        <f aca="false">'3 Base Saídas'!R232</f>
        <v>18</v>
      </c>
      <c r="K406" s="72" t="n">
        <f aca="false">I406-J406</f>
        <v>-18</v>
      </c>
      <c r="L406" s="70" t="s">
        <v>1054</v>
      </c>
      <c r="M406" s="70" t="s">
        <v>707</v>
      </c>
      <c r="N406" s="70" t="s">
        <v>708</v>
      </c>
      <c r="O406" s="70" t="s">
        <v>431</v>
      </c>
    </row>
    <row r="407" customFormat="false" ht="15" hidden="false" customHeight="false" outlineLevel="0" collapsed="false">
      <c r="A407" s="71" t="n">
        <v>46292</v>
      </c>
      <c r="B407" s="70" t="s">
        <v>1732</v>
      </c>
      <c r="C407" s="70" t="s">
        <v>243</v>
      </c>
      <c r="D407" s="70" t="s">
        <v>244</v>
      </c>
      <c r="E407" s="70" t="s">
        <v>1052</v>
      </c>
      <c r="F407" s="70" t="s">
        <v>405</v>
      </c>
      <c r="G407" s="70" t="s">
        <v>65</v>
      </c>
      <c r="H407" s="72" t="n">
        <f aca="false">'3 Base Saídas'!H233</f>
        <v>-6</v>
      </c>
      <c r="I407" s="72" t="n">
        <v>0</v>
      </c>
      <c r="J407" s="72" t="n">
        <f aca="false">'3 Base Saídas'!R233</f>
        <v>6</v>
      </c>
      <c r="K407" s="72" t="n">
        <f aca="false">I407-J407</f>
        <v>-6</v>
      </c>
      <c r="L407" s="70" t="s">
        <v>1056</v>
      </c>
      <c r="M407" s="70" t="s">
        <v>631</v>
      </c>
      <c r="N407" s="70" t="s">
        <v>632</v>
      </c>
      <c r="O407" s="70" t="s">
        <v>431</v>
      </c>
    </row>
    <row r="408" customFormat="false" ht="15" hidden="false" customHeight="false" outlineLevel="0" collapsed="false">
      <c r="A408" s="71" t="n">
        <v>46292</v>
      </c>
      <c r="B408" s="70" t="s">
        <v>1732</v>
      </c>
      <c r="C408" s="70" t="s">
        <v>243</v>
      </c>
      <c r="D408" s="70" t="s">
        <v>244</v>
      </c>
      <c r="E408" s="70" t="s">
        <v>1052</v>
      </c>
      <c r="F408" s="70" t="s">
        <v>405</v>
      </c>
      <c r="G408" s="70" t="s">
        <v>65</v>
      </c>
      <c r="H408" s="72" t="n">
        <f aca="false">'3 Base Saídas'!H234</f>
        <v>-12</v>
      </c>
      <c r="I408" s="72" t="n">
        <v>0</v>
      </c>
      <c r="J408" s="72" t="n">
        <f aca="false">'3 Base Saídas'!R234</f>
        <v>12</v>
      </c>
      <c r="K408" s="72" t="n">
        <f aca="false">I408-J408</f>
        <v>-12</v>
      </c>
      <c r="L408" s="70" t="s">
        <v>1058</v>
      </c>
      <c r="M408" s="70" t="s">
        <v>1060</v>
      </c>
      <c r="N408" s="70" t="s">
        <v>1061</v>
      </c>
      <c r="O408" s="70" t="s">
        <v>431</v>
      </c>
    </row>
    <row r="409" customFormat="false" ht="15" hidden="false" customHeight="false" outlineLevel="0" collapsed="false">
      <c r="A409" s="71" t="n">
        <v>46292</v>
      </c>
      <c r="B409" s="70" t="s">
        <v>1732</v>
      </c>
      <c r="C409" s="70" t="s">
        <v>247</v>
      </c>
      <c r="D409" s="70" t="s">
        <v>348</v>
      </c>
      <c r="E409" s="70" t="s">
        <v>404</v>
      </c>
      <c r="F409" s="70" t="s">
        <v>405</v>
      </c>
      <c r="G409" s="70" t="s">
        <v>65</v>
      </c>
      <c r="H409" s="72" t="n">
        <f aca="false">'3 Base Saídas'!H248</f>
        <v>-20.1</v>
      </c>
      <c r="I409" s="72" t="n">
        <v>0</v>
      </c>
      <c r="J409" s="72" t="n">
        <f aca="false">'3 Base Saídas'!R248</f>
        <v>20.1</v>
      </c>
      <c r="K409" s="72" t="n">
        <f aca="false">I409-J409</f>
        <v>-20.1</v>
      </c>
      <c r="L409" s="70" t="s">
        <v>1099</v>
      </c>
      <c r="M409" s="70" t="s">
        <v>1101</v>
      </c>
      <c r="N409" s="70" t="s">
        <v>1102</v>
      </c>
      <c r="O409" s="70" t="s">
        <v>431</v>
      </c>
    </row>
    <row r="410" customFormat="false" ht="15" hidden="false" customHeight="false" outlineLevel="0" collapsed="false">
      <c r="A410" s="71" t="n">
        <v>46292</v>
      </c>
      <c r="B410" s="70" t="s">
        <v>1732</v>
      </c>
      <c r="C410" s="70" t="s">
        <v>354</v>
      </c>
      <c r="D410" s="70" t="s">
        <v>355</v>
      </c>
      <c r="E410" s="70" t="s">
        <v>1147</v>
      </c>
      <c r="F410" s="70" t="s">
        <v>405</v>
      </c>
      <c r="G410" s="70" t="s">
        <v>65</v>
      </c>
      <c r="H410" s="72" t="n">
        <f aca="false">'3 Base Saídas'!H267</f>
        <v>-10</v>
      </c>
      <c r="I410" s="72" t="n">
        <v>0</v>
      </c>
      <c r="J410" s="72" t="n">
        <f aca="false">'3 Base Saídas'!R267</f>
        <v>10</v>
      </c>
      <c r="K410" s="72" t="n">
        <f aca="false">I410-J410</f>
        <v>-10</v>
      </c>
      <c r="L410" s="70" t="s">
        <v>1056</v>
      </c>
      <c r="M410" s="70" t="s">
        <v>631</v>
      </c>
      <c r="N410" s="70" t="s">
        <v>632</v>
      </c>
      <c r="O410" s="70" t="s">
        <v>431</v>
      </c>
    </row>
    <row r="411" customFormat="false" ht="15" hidden="false" customHeight="false" outlineLevel="0" collapsed="false">
      <c r="A411" s="71" t="n">
        <v>46292</v>
      </c>
      <c r="B411" s="70" t="s">
        <v>1732</v>
      </c>
      <c r="C411" s="70" t="s">
        <v>257</v>
      </c>
      <c r="D411" s="70" t="s">
        <v>258</v>
      </c>
      <c r="E411" s="70" t="s">
        <v>1152</v>
      </c>
      <c r="F411" s="70" t="s">
        <v>405</v>
      </c>
      <c r="G411" s="70" t="s">
        <v>65</v>
      </c>
      <c r="H411" s="72" t="n">
        <f aca="false">'3 Base Saídas'!H269</f>
        <v>-204</v>
      </c>
      <c r="I411" s="72" t="n">
        <v>0</v>
      </c>
      <c r="J411" s="72" t="n">
        <f aca="false">'3 Base Saídas'!R269</f>
        <v>204</v>
      </c>
      <c r="K411" s="72" t="n">
        <f aca="false">I411-J411</f>
        <v>-204</v>
      </c>
      <c r="L411" s="70" t="s">
        <v>1154</v>
      </c>
      <c r="M411" s="70" t="s">
        <v>1156</v>
      </c>
      <c r="N411" s="70" t="s">
        <v>1157</v>
      </c>
      <c r="O411" s="70" t="s">
        <v>431</v>
      </c>
    </row>
    <row r="412" customFormat="false" ht="15" hidden="false" customHeight="false" outlineLevel="0" collapsed="false">
      <c r="A412" s="71" t="n">
        <v>46292</v>
      </c>
      <c r="B412" s="70" t="s">
        <v>1732</v>
      </c>
      <c r="C412" s="70" t="s">
        <v>271</v>
      </c>
      <c r="D412" s="70" t="s">
        <v>272</v>
      </c>
      <c r="E412" s="70" t="s">
        <v>1225</v>
      </c>
      <c r="F412" s="70" t="s">
        <v>405</v>
      </c>
      <c r="G412" s="70" t="s">
        <v>65</v>
      </c>
      <c r="H412" s="72" t="n">
        <f aca="false">'3 Base Saídas'!H317</f>
        <v>-10</v>
      </c>
      <c r="I412" s="72" t="n">
        <v>0</v>
      </c>
      <c r="J412" s="72" t="n">
        <f aca="false">'3 Base Saídas'!R317</f>
        <v>10</v>
      </c>
      <c r="K412" s="72" t="n">
        <f aca="false">I412-J412</f>
        <v>-10</v>
      </c>
      <c r="L412" s="70" t="s">
        <v>1255</v>
      </c>
      <c r="M412" s="70" t="s">
        <v>1257</v>
      </c>
      <c r="N412" s="70" t="s">
        <v>1258</v>
      </c>
      <c r="O412" s="70" t="s">
        <v>431</v>
      </c>
    </row>
    <row r="413" customFormat="false" ht="15" hidden="false" customHeight="false" outlineLevel="0" collapsed="false">
      <c r="A413" s="71" t="n">
        <v>46292</v>
      </c>
      <c r="B413" s="70" t="s">
        <v>1732</v>
      </c>
      <c r="C413" s="70" t="s">
        <v>271</v>
      </c>
      <c r="D413" s="70" t="s">
        <v>272</v>
      </c>
      <c r="E413" s="70" t="s">
        <v>1225</v>
      </c>
      <c r="F413" s="70" t="s">
        <v>405</v>
      </c>
      <c r="G413" s="70" t="s">
        <v>65</v>
      </c>
      <c r="H413" s="72" t="n">
        <f aca="false">'3 Base Saídas'!H318</f>
        <v>-10</v>
      </c>
      <c r="I413" s="72" t="n">
        <v>0</v>
      </c>
      <c r="J413" s="72" t="n">
        <f aca="false">'3 Base Saídas'!R318</f>
        <v>10</v>
      </c>
      <c r="K413" s="72" t="n">
        <f aca="false">I413-J413</f>
        <v>-10</v>
      </c>
      <c r="L413" s="70" t="s">
        <v>1259</v>
      </c>
      <c r="M413" s="70" t="s">
        <v>1261</v>
      </c>
      <c r="N413" s="70" t="s">
        <v>1262</v>
      </c>
      <c r="O413" s="70" t="s">
        <v>431</v>
      </c>
    </row>
    <row r="414" customFormat="false" ht="15" hidden="false" customHeight="false" outlineLevel="0" collapsed="false">
      <c r="A414" s="71" t="n">
        <v>46292</v>
      </c>
      <c r="B414" s="70" t="s">
        <v>1732</v>
      </c>
      <c r="C414" s="70" t="s">
        <v>271</v>
      </c>
      <c r="D414" s="70" t="s">
        <v>272</v>
      </c>
      <c r="E414" s="70" t="s">
        <v>1225</v>
      </c>
      <c r="F414" s="70" t="s">
        <v>405</v>
      </c>
      <c r="G414" s="70" t="s">
        <v>65</v>
      </c>
      <c r="H414" s="72" t="n">
        <f aca="false">'3 Base Saídas'!H319</f>
        <v>-20</v>
      </c>
      <c r="I414" s="72" t="n">
        <v>0</v>
      </c>
      <c r="J414" s="72" t="n">
        <f aca="false">'3 Base Saídas'!R319</f>
        <v>20</v>
      </c>
      <c r="K414" s="72" t="n">
        <f aca="false">I414-J414</f>
        <v>-20</v>
      </c>
      <c r="L414" s="70" t="s">
        <v>1263</v>
      </c>
      <c r="M414" s="70" t="s">
        <v>1265</v>
      </c>
      <c r="N414" s="70" t="s">
        <v>1266</v>
      </c>
      <c r="O414" s="70" t="s">
        <v>431</v>
      </c>
    </row>
    <row r="415" customFormat="false" ht="15" hidden="false" customHeight="false" outlineLevel="0" collapsed="false">
      <c r="A415" s="71" t="n">
        <v>46292</v>
      </c>
      <c r="B415" s="70" t="s">
        <v>1732</v>
      </c>
      <c r="C415" s="70" t="s">
        <v>271</v>
      </c>
      <c r="D415" s="70" t="s">
        <v>272</v>
      </c>
      <c r="E415" s="70" t="s">
        <v>1225</v>
      </c>
      <c r="F415" s="70" t="s">
        <v>405</v>
      </c>
      <c r="G415" s="70" t="s">
        <v>65</v>
      </c>
      <c r="H415" s="72" t="n">
        <f aca="false">'3 Base Saídas'!H320</f>
        <v>-10</v>
      </c>
      <c r="I415" s="72" t="n">
        <v>0</v>
      </c>
      <c r="J415" s="72" t="n">
        <f aca="false">'3 Base Saídas'!R320</f>
        <v>10</v>
      </c>
      <c r="K415" s="72" t="n">
        <f aca="false">I415-J415</f>
        <v>-10</v>
      </c>
      <c r="L415" s="70" t="s">
        <v>1267</v>
      </c>
      <c r="M415" s="70" t="s">
        <v>1269</v>
      </c>
      <c r="N415" s="70" t="s">
        <v>1270</v>
      </c>
      <c r="O415" s="70" t="s">
        <v>431</v>
      </c>
    </row>
    <row r="416" customFormat="false" ht="15" hidden="false" customHeight="false" outlineLevel="0" collapsed="false">
      <c r="A416" s="71" t="n">
        <v>46292</v>
      </c>
      <c r="B416" s="70" t="s">
        <v>1732</v>
      </c>
      <c r="C416" s="70" t="s">
        <v>271</v>
      </c>
      <c r="D416" s="70" t="s">
        <v>272</v>
      </c>
      <c r="E416" s="70" t="s">
        <v>1225</v>
      </c>
      <c r="F416" s="70" t="s">
        <v>405</v>
      </c>
      <c r="G416" s="70" t="s">
        <v>65</v>
      </c>
      <c r="H416" s="72" t="n">
        <f aca="false">'3 Base Saídas'!H321</f>
        <v>-10</v>
      </c>
      <c r="I416" s="72" t="n">
        <v>0</v>
      </c>
      <c r="J416" s="72" t="n">
        <f aca="false">'3 Base Saídas'!R321</f>
        <v>10</v>
      </c>
      <c r="K416" s="72" t="n">
        <f aca="false">I416-J416</f>
        <v>-10</v>
      </c>
      <c r="L416" s="70" t="s">
        <v>1271</v>
      </c>
      <c r="M416" s="70" t="s">
        <v>1273</v>
      </c>
      <c r="N416" s="70" t="s">
        <v>1274</v>
      </c>
      <c r="O416" s="70" t="s">
        <v>431</v>
      </c>
    </row>
    <row r="417" customFormat="false" ht="15" hidden="false" customHeight="false" outlineLevel="0" collapsed="false">
      <c r="A417" s="71" t="n">
        <v>46292</v>
      </c>
      <c r="B417" s="70" t="s">
        <v>1732</v>
      </c>
      <c r="C417" s="70" t="s">
        <v>271</v>
      </c>
      <c r="D417" s="70" t="s">
        <v>272</v>
      </c>
      <c r="E417" s="70" t="s">
        <v>1225</v>
      </c>
      <c r="F417" s="70" t="s">
        <v>405</v>
      </c>
      <c r="G417" s="70" t="s">
        <v>65</v>
      </c>
      <c r="H417" s="72" t="n">
        <f aca="false">'3 Base Saídas'!H322</f>
        <v>-40</v>
      </c>
      <c r="I417" s="72" t="n">
        <v>0</v>
      </c>
      <c r="J417" s="72" t="n">
        <f aca="false">'3 Base Saídas'!R322</f>
        <v>40</v>
      </c>
      <c r="K417" s="72" t="n">
        <f aca="false">I417-J417</f>
        <v>-40</v>
      </c>
      <c r="L417" s="70" t="s">
        <v>1275</v>
      </c>
      <c r="M417" s="70" t="s">
        <v>1277</v>
      </c>
      <c r="N417" s="70" t="s">
        <v>1278</v>
      </c>
      <c r="O417" s="70" t="s">
        <v>431</v>
      </c>
    </row>
    <row r="418" customFormat="false" ht="15" hidden="false" customHeight="false" outlineLevel="0" collapsed="false">
      <c r="A418" s="71" t="n">
        <v>46292</v>
      </c>
      <c r="B418" s="70" t="s">
        <v>1732</v>
      </c>
      <c r="C418" s="70" t="s">
        <v>271</v>
      </c>
      <c r="D418" s="70" t="s">
        <v>272</v>
      </c>
      <c r="E418" s="70" t="s">
        <v>1225</v>
      </c>
      <c r="F418" s="70" t="s">
        <v>405</v>
      </c>
      <c r="G418" s="70" t="s">
        <v>65</v>
      </c>
      <c r="H418" s="72" t="n">
        <f aca="false">'3 Base Saídas'!H323</f>
        <v>-30</v>
      </c>
      <c r="I418" s="72" t="n">
        <v>0</v>
      </c>
      <c r="J418" s="72" t="n">
        <f aca="false">'3 Base Saídas'!R323</f>
        <v>30</v>
      </c>
      <c r="K418" s="72" t="n">
        <f aca="false">I418-J418</f>
        <v>-30</v>
      </c>
      <c r="L418" s="70" t="s">
        <v>1099</v>
      </c>
      <c r="M418" s="70" t="s">
        <v>1101</v>
      </c>
      <c r="N418" s="70" t="s">
        <v>1102</v>
      </c>
      <c r="O418" s="70" t="s">
        <v>431</v>
      </c>
    </row>
    <row r="419" customFormat="false" ht="15" hidden="false" customHeight="false" outlineLevel="0" collapsed="false">
      <c r="A419" s="71" t="n">
        <v>46292</v>
      </c>
      <c r="B419" s="70" t="s">
        <v>1732</v>
      </c>
      <c r="C419" s="70" t="s">
        <v>271</v>
      </c>
      <c r="D419" s="70" t="s">
        <v>272</v>
      </c>
      <c r="E419" s="70" t="s">
        <v>1225</v>
      </c>
      <c r="F419" s="70" t="s">
        <v>405</v>
      </c>
      <c r="G419" s="70" t="s">
        <v>65</v>
      </c>
      <c r="H419" s="72" t="n">
        <f aca="false">'3 Base Saídas'!H324</f>
        <v>-10</v>
      </c>
      <c r="I419" s="72" t="n">
        <v>0</v>
      </c>
      <c r="J419" s="72" t="n">
        <f aca="false">'3 Base Saídas'!R324</f>
        <v>10</v>
      </c>
      <c r="K419" s="72" t="n">
        <f aca="false">I419-J419</f>
        <v>-10</v>
      </c>
      <c r="L419" s="70" t="s">
        <v>1279</v>
      </c>
      <c r="M419" s="70" t="s">
        <v>1281</v>
      </c>
      <c r="N419" s="70" t="s">
        <v>1282</v>
      </c>
      <c r="O419" s="70" t="s">
        <v>431</v>
      </c>
    </row>
    <row r="420" customFormat="false" ht="15" hidden="false" customHeight="false" outlineLevel="0" collapsed="false">
      <c r="A420" s="71" t="n">
        <v>46292</v>
      </c>
      <c r="B420" s="70" t="s">
        <v>1732</v>
      </c>
      <c r="C420" s="70" t="s">
        <v>271</v>
      </c>
      <c r="D420" s="70" t="s">
        <v>272</v>
      </c>
      <c r="E420" s="70" t="s">
        <v>1225</v>
      </c>
      <c r="F420" s="70" t="s">
        <v>405</v>
      </c>
      <c r="G420" s="70" t="s">
        <v>65</v>
      </c>
      <c r="H420" s="72" t="n">
        <f aca="false">'3 Base Saídas'!H325</f>
        <v>-20</v>
      </c>
      <c r="I420" s="72" t="n">
        <v>0</v>
      </c>
      <c r="J420" s="72" t="n">
        <f aca="false">'3 Base Saídas'!R325</f>
        <v>20</v>
      </c>
      <c r="K420" s="72" t="n">
        <f aca="false">I420-J420</f>
        <v>-20</v>
      </c>
      <c r="L420" s="70" t="s">
        <v>1283</v>
      </c>
      <c r="M420" s="70" t="s">
        <v>1285</v>
      </c>
      <c r="N420" s="70" t="s">
        <v>1286</v>
      </c>
      <c r="O420" s="70" t="s">
        <v>431</v>
      </c>
    </row>
    <row r="421" customFormat="false" ht="15" hidden="false" customHeight="false" outlineLevel="0" collapsed="false">
      <c r="A421" s="71" t="n">
        <v>46292</v>
      </c>
      <c r="B421" s="70" t="s">
        <v>1732</v>
      </c>
      <c r="C421" s="70" t="s">
        <v>276</v>
      </c>
      <c r="D421" s="70" t="s">
        <v>277</v>
      </c>
      <c r="E421" s="70" t="s">
        <v>404</v>
      </c>
      <c r="F421" s="70" t="s">
        <v>405</v>
      </c>
      <c r="G421" s="70" t="s">
        <v>65</v>
      </c>
      <c r="H421" s="72" t="n">
        <f aca="false">'3 Base Saídas'!H335</f>
        <v>-40.2</v>
      </c>
      <c r="I421" s="72" t="n">
        <v>0</v>
      </c>
      <c r="J421" s="72" t="n">
        <f aca="false">'3 Base Saídas'!R335</f>
        <v>40.2</v>
      </c>
      <c r="K421" s="72" t="n">
        <f aca="false">I421-J421</f>
        <v>-40.2</v>
      </c>
      <c r="L421" s="70" t="s">
        <v>571</v>
      </c>
      <c r="M421" s="70" t="s">
        <v>573</v>
      </c>
      <c r="N421" s="70" t="s">
        <v>574</v>
      </c>
      <c r="O421" s="70" t="s">
        <v>431</v>
      </c>
    </row>
    <row r="422" customFormat="false" ht="15" hidden="false" customHeight="false" outlineLevel="0" collapsed="false">
      <c r="A422" s="71" t="n">
        <v>46292</v>
      </c>
      <c r="B422" s="70" t="s">
        <v>1732</v>
      </c>
      <c r="C422" s="70" t="s">
        <v>276</v>
      </c>
      <c r="D422" s="70" t="s">
        <v>277</v>
      </c>
      <c r="E422" s="70" t="s">
        <v>404</v>
      </c>
      <c r="F422" s="70" t="s">
        <v>405</v>
      </c>
      <c r="G422" s="70" t="s">
        <v>65</v>
      </c>
      <c r="H422" s="72" t="n">
        <f aca="false">'3 Base Saídas'!H338</f>
        <v>-40.2</v>
      </c>
      <c r="I422" s="72" t="n">
        <v>0</v>
      </c>
      <c r="J422" s="72" t="n">
        <f aca="false">'3 Base Saídas'!R338</f>
        <v>40.2</v>
      </c>
      <c r="K422" s="72" t="n">
        <f aca="false">I422-J422</f>
        <v>-40.2</v>
      </c>
      <c r="L422" s="70" t="s">
        <v>1271</v>
      </c>
      <c r="M422" s="70" t="s">
        <v>1273</v>
      </c>
      <c r="N422" s="70" t="s">
        <v>1274</v>
      </c>
      <c r="O422" s="70" t="s">
        <v>431</v>
      </c>
    </row>
    <row r="423" customFormat="false" ht="15" hidden="false" customHeight="false" outlineLevel="0" collapsed="false">
      <c r="A423" s="71" t="n">
        <v>46292</v>
      </c>
      <c r="B423" s="70" t="s">
        <v>1732</v>
      </c>
      <c r="C423" s="70" t="s">
        <v>276</v>
      </c>
      <c r="D423" s="70" t="s">
        <v>277</v>
      </c>
      <c r="E423" s="70" t="s">
        <v>404</v>
      </c>
      <c r="F423" s="70" t="s">
        <v>405</v>
      </c>
      <c r="G423" s="70" t="s">
        <v>65</v>
      </c>
      <c r="H423" s="72" t="n">
        <f aca="false">'3 Base Saídas'!H339</f>
        <v>-20.1</v>
      </c>
      <c r="I423" s="72" t="n">
        <v>0</v>
      </c>
      <c r="J423" s="72" t="n">
        <f aca="false">'3 Base Saídas'!R339</f>
        <v>20.1</v>
      </c>
      <c r="K423" s="72" t="n">
        <f aca="false">I423-J423</f>
        <v>-20.1</v>
      </c>
      <c r="L423" s="70" t="s">
        <v>435</v>
      </c>
      <c r="M423" s="70" t="s">
        <v>437</v>
      </c>
      <c r="N423" s="70" t="s">
        <v>438</v>
      </c>
      <c r="O423" s="70" t="s">
        <v>431</v>
      </c>
    </row>
    <row r="424" customFormat="false" ht="15" hidden="false" customHeight="false" outlineLevel="0" collapsed="false">
      <c r="A424" s="71" t="n">
        <v>46292</v>
      </c>
      <c r="B424" s="70" t="s">
        <v>1732</v>
      </c>
      <c r="C424" s="70" t="s">
        <v>276</v>
      </c>
      <c r="D424" s="70" t="s">
        <v>278</v>
      </c>
      <c r="E424" s="70" t="s">
        <v>404</v>
      </c>
      <c r="F424" s="70" t="s">
        <v>405</v>
      </c>
      <c r="G424" s="70" t="s">
        <v>65</v>
      </c>
      <c r="H424" s="72" t="n">
        <f aca="false">'3 Base Saídas'!H336</f>
        <v>-201</v>
      </c>
      <c r="I424" s="72" t="n">
        <v>0</v>
      </c>
      <c r="J424" s="72" t="n">
        <f aca="false">'3 Base Saídas'!R336</f>
        <v>201</v>
      </c>
      <c r="K424" s="72" t="n">
        <f aca="false">I424-J424</f>
        <v>-201</v>
      </c>
      <c r="L424" s="70" t="s">
        <v>1301</v>
      </c>
      <c r="M424" s="70" t="s">
        <v>744</v>
      </c>
      <c r="N424" s="70" t="s">
        <v>745</v>
      </c>
      <c r="O424" s="70" t="s">
        <v>431</v>
      </c>
    </row>
    <row r="425" customFormat="false" ht="15" hidden="false" customHeight="false" outlineLevel="0" collapsed="false">
      <c r="A425" s="71" t="n">
        <v>46292</v>
      </c>
      <c r="B425" s="70" t="s">
        <v>1732</v>
      </c>
      <c r="C425" s="70" t="s">
        <v>276</v>
      </c>
      <c r="D425" s="70" t="s">
        <v>278</v>
      </c>
      <c r="E425" s="70" t="s">
        <v>404</v>
      </c>
      <c r="F425" s="70" t="s">
        <v>405</v>
      </c>
      <c r="G425" s="70" t="s">
        <v>65</v>
      </c>
      <c r="H425" s="72" t="n">
        <f aca="false">'3 Base Saídas'!H337</f>
        <v>-40.2</v>
      </c>
      <c r="I425" s="72" t="n">
        <v>0</v>
      </c>
      <c r="J425" s="72" t="n">
        <f aca="false">'3 Base Saídas'!R337</f>
        <v>40.2</v>
      </c>
      <c r="K425" s="72" t="n">
        <f aca="false">I425-J425</f>
        <v>-40.2</v>
      </c>
      <c r="L425" s="70" t="s">
        <v>1303</v>
      </c>
      <c r="M425" s="70" t="s">
        <v>1222</v>
      </c>
      <c r="N425" s="70" t="s">
        <v>1223</v>
      </c>
      <c r="O425" s="70" t="s">
        <v>431</v>
      </c>
    </row>
    <row r="426" customFormat="false" ht="15" hidden="false" customHeight="false" outlineLevel="0" collapsed="false">
      <c r="A426" s="71" t="n">
        <v>46292</v>
      </c>
      <c r="B426" s="70" t="s">
        <v>1732</v>
      </c>
      <c r="C426" s="70" t="s">
        <v>286</v>
      </c>
      <c r="D426" s="70" t="s">
        <v>290</v>
      </c>
      <c r="E426" s="70" t="s">
        <v>1354</v>
      </c>
      <c r="F426" s="70" t="s">
        <v>405</v>
      </c>
      <c r="G426" s="70" t="s">
        <v>147</v>
      </c>
      <c r="H426" s="72" t="n">
        <f aca="false">'3 Base Saídas'!H365</f>
        <v>-30</v>
      </c>
      <c r="I426" s="72" t="n">
        <v>0</v>
      </c>
      <c r="J426" s="72" t="n">
        <f aca="false">'3 Base Saídas'!R365</f>
        <v>30</v>
      </c>
      <c r="K426" s="72" t="n">
        <f aca="false">I426-J426</f>
        <v>-30</v>
      </c>
      <c r="L426" s="70" t="s">
        <v>1372</v>
      </c>
      <c r="M426" s="70" t="s">
        <v>1356</v>
      </c>
      <c r="N426" s="70" t="s">
        <v>1357</v>
      </c>
      <c r="O426" s="70" t="s">
        <v>431</v>
      </c>
    </row>
    <row r="427" customFormat="false" ht="15" hidden="false" customHeight="false" outlineLevel="0" collapsed="false">
      <c r="A427" s="71" t="n">
        <v>46292</v>
      </c>
      <c r="B427" s="70" t="s">
        <v>1732</v>
      </c>
      <c r="C427" s="70" t="s">
        <v>286</v>
      </c>
      <c r="D427" s="70" t="s">
        <v>290</v>
      </c>
      <c r="E427" s="70" t="s">
        <v>1354</v>
      </c>
      <c r="F427" s="70" t="s">
        <v>405</v>
      </c>
      <c r="G427" s="70" t="s">
        <v>147</v>
      </c>
      <c r="H427" s="72" t="n">
        <f aca="false">'3 Base Saídas'!H366</f>
        <v>-10</v>
      </c>
      <c r="I427" s="72" t="n">
        <v>0</v>
      </c>
      <c r="J427" s="72" t="n">
        <f aca="false">'3 Base Saídas'!R366</f>
        <v>10</v>
      </c>
      <c r="K427" s="72" t="n">
        <f aca="false">I427-J427</f>
        <v>-10</v>
      </c>
      <c r="L427" s="70" t="s">
        <v>1374</v>
      </c>
      <c r="M427" s="70" t="s">
        <v>1015</v>
      </c>
      <c r="N427" s="70" t="s">
        <v>1016</v>
      </c>
      <c r="O427" s="70" t="s">
        <v>431</v>
      </c>
    </row>
    <row r="428" customFormat="false" ht="15" hidden="false" customHeight="false" outlineLevel="0" collapsed="false">
      <c r="A428" s="71" t="n">
        <v>46292</v>
      </c>
      <c r="B428" s="70" t="s">
        <v>1732</v>
      </c>
      <c r="C428" s="70" t="s">
        <v>305</v>
      </c>
      <c r="D428" s="70" t="s">
        <v>306</v>
      </c>
      <c r="E428" s="70" t="s">
        <v>1377</v>
      </c>
      <c r="F428" s="70" t="s">
        <v>405</v>
      </c>
      <c r="G428" s="70" t="s">
        <v>65</v>
      </c>
      <c r="H428" s="72" t="n">
        <f aca="false">'3 Base Saídas'!H371</f>
        <v>-10</v>
      </c>
      <c r="I428" s="72" t="n">
        <v>0</v>
      </c>
      <c r="J428" s="72" t="n">
        <f aca="false">'3 Base Saídas'!R371</f>
        <v>10</v>
      </c>
      <c r="K428" s="72" t="n">
        <f aca="false">I428-J428</f>
        <v>-10</v>
      </c>
      <c r="L428" s="70" t="s">
        <v>1387</v>
      </c>
      <c r="M428" s="70" t="s">
        <v>1389</v>
      </c>
      <c r="N428" s="70" t="s">
        <v>1390</v>
      </c>
      <c r="O428" s="70" t="s">
        <v>431</v>
      </c>
    </row>
    <row r="429" customFormat="false" ht="15" hidden="false" customHeight="false" outlineLevel="0" collapsed="false">
      <c r="A429" s="71" t="n">
        <v>46292</v>
      </c>
      <c r="B429" s="70" t="s">
        <v>1732</v>
      </c>
      <c r="C429" s="70" t="s">
        <v>305</v>
      </c>
      <c r="D429" s="70" t="s">
        <v>306</v>
      </c>
      <c r="E429" s="70" t="s">
        <v>1377</v>
      </c>
      <c r="F429" s="70" t="s">
        <v>405</v>
      </c>
      <c r="G429" s="70" t="s">
        <v>65</v>
      </c>
      <c r="H429" s="72" t="n">
        <f aca="false">'3 Base Saídas'!H372</f>
        <v>-10</v>
      </c>
      <c r="I429" s="72" t="n">
        <v>0</v>
      </c>
      <c r="J429" s="72" t="n">
        <f aca="false">'3 Base Saídas'!R372</f>
        <v>10</v>
      </c>
      <c r="K429" s="72" t="n">
        <f aca="false">I429-J429</f>
        <v>-10</v>
      </c>
      <c r="L429" s="70" t="s">
        <v>1391</v>
      </c>
      <c r="M429" s="70" t="s">
        <v>1393</v>
      </c>
      <c r="N429" s="70" t="s">
        <v>1394</v>
      </c>
      <c r="O429" s="70" t="s">
        <v>431</v>
      </c>
    </row>
    <row r="430" customFormat="false" ht="15" hidden="false" customHeight="false" outlineLevel="0" collapsed="false">
      <c r="A430" s="71" t="n">
        <v>46292</v>
      </c>
      <c r="B430" s="70" t="s">
        <v>1732</v>
      </c>
      <c r="C430" s="70" t="s">
        <v>305</v>
      </c>
      <c r="D430" s="70" t="s">
        <v>306</v>
      </c>
      <c r="E430" s="70" t="s">
        <v>1377</v>
      </c>
      <c r="F430" s="70" t="s">
        <v>405</v>
      </c>
      <c r="G430" s="70" t="s">
        <v>65</v>
      </c>
      <c r="H430" s="72" t="n">
        <f aca="false">'3 Base Saídas'!H373</f>
        <v>-10</v>
      </c>
      <c r="I430" s="72" t="n">
        <v>0</v>
      </c>
      <c r="J430" s="72" t="n">
        <f aca="false">'3 Base Saídas'!R373</f>
        <v>10</v>
      </c>
      <c r="K430" s="72" t="n">
        <f aca="false">I430-J430</f>
        <v>-10</v>
      </c>
      <c r="L430" s="70" t="s">
        <v>1395</v>
      </c>
      <c r="M430" s="70" t="s">
        <v>1397</v>
      </c>
      <c r="N430" s="70" t="s">
        <v>1398</v>
      </c>
      <c r="O430" s="70" t="s">
        <v>431</v>
      </c>
    </row>
    <row r="431" customFormat="false" ht="15" hidden="false" customHeight="false" outlineLevel="0" collapsed="false">
      <c r="A431" s="71" t="n">
        <v>46292</v>
      </c>
      <c r="B431" s="70" t="s">
        <v>1732</v>
      </c>
      <c r="C431" s="70" t="s">
        <v>305</v>
      </c>
      <c r="D431" s="70" t="s">
        <v>306</v>
      </c>
      <c r="E431" s="70" t="s">
        <v>1377</v>
      </c>
      <c r="F431" s="70" t="s">
        <v>405</v>
      </c>
      <c r="G431" s="70" t="s">
        <v>65</v>
      </c>
      <c r="H431" s="72" t="n">
        <f aca="false">'3 Base Saídas'!H374</f>
        <v>-10</v>
      </c>
      <c r="I431" s="72" t="n">
        <v>0</v>
      </c>
      <c r="J431" s="72" t="n">
        <f aca="false">'3 Base Saídas'!R374</f>
        <v>10</v>
      </c>
      <c r="K431" s="72" t="n">
        <f aca="false">I431-J431</f>
        <v>-10</v>
      </c>
      <c r="L431" s="70" t="s">
        <v>1399</v>
      </c>
      <c r="M431" s="70" t="s">
        <v>1401</v>
      </c>
      <c r="N431" s="70" t="s">
        <v>1402</v>
      </c>
      <c r="O431" s="70" t="s">
        <v>431</v>
      </c>
    </row>
    <row r="432" customFormat="false" ht="15" hidden="false" customHeight="false" outlineLevel="0" collapsed="false">
      <c r="A432" s="71" t="n">
        <v>46292</v>
      </c>
      <c r="B432" s="70" t="s">
        <v>1732</v>
      </c>
      <c r="C432" s="70" t="s">
        <v>305</v>
      </c>
      <c r="D432" s="70" t="s">
        <v>306</v>
      </c>
      <c r="E432" s="70" t="s">
        <v>1377</v>
      </c>
      <c r="F432" s="70" t="s">
        <v>405</v>
      </c>
      <c r="G432" s="70" t="s">
        <v>65</v>
      </c>
      <c r="H432" s="72" t="n">
        <f aca="false">'3 Base Saídas'!H375</f>
        <v>-10</v>
      </c>
      <c r="I432" s="72" t="n">
        <v>0</v>
      </c>
      <c r="J432" s="72" t="n">
        <f aca="false">'3 Base Saídas'!R375</f>
        <v>10</v>
      </c>
      <c r="K432" s="72" t="n">
        <f aca="false">I432-J432</f>
        <v>-10</v>
      </c>
      <c r="L432" s="70" t="s">
        <v>1403</v>
      </c>
      <c r="M432" s="70" t="s">
        <v>1393</v>
      </c>
      <c r="N432" s="70" t="s">
        <v>1394</v>
      </c>
      <c r="O432" s="70" t="s">
        <v>431</v>
      </c>
    </row>
    <row r="433" customFormat="false" ht="15" hidden="false" customHeight="false" outlineLevel="0" collapsed="false">
      <c r="A433" s="71" t="n">
        <v>46292</v>
      </c>
      <c r="B433" s="70" t="s">
        <v>1732</v>
      </c>
      <c r="C433" s="70" t="s">
        <v>309</v>
      </c>
      <c r="D433" s="70" t="s">
        <v>310</v>
      </c>
      <c r="E433" s="70" t="s">
        <v>404</v>
      </c>
      <c r="F433" s="70" t="s">
        <v>405</v>
      </c>
      <c r="G433" s="70" t="s">
        <v>65</v>
      </c>
      <c r="H433" s="72" t="n">
        <f aca="false">'3 Base Saídas'!H383</f>
        <v>-40.2</v>
      </c>
      <c r="I433" s="72" t="n">
        <v>0</v>
      </c>
      <c r="J433" s="72" t="n">
        <f aca="false">'3 Base Saídas'!R383</f>
        <v>40.2</v>
      </c>
      <c r="K433" s="72" t="n">
        <f aca="false">I433-J433</f>
        <v>-40.2</v>
      </c>
      <c r="L433" s="70" t="s">
        <v>1413</v>
      </c>
      <c r="M433" s="70" t="s">
        <v>824</v>
      </c>
      <c r="N433" s="70" t="s">
        <v>825</v>
      </c>
      <c r="O433" s="70" t="s">
        <v>431</v>
      </c>
    </row>
    <row r="434" customFormat="false" ht="15" hidden="false" customHeight="false" outlineLevel="0" collapsed="false">
      <c r="A434" s="71" t="n">
        <v>46292</v>
      </c>
      <c r="B434" s="70" t="s">
        <v>1732</v>
      </c>
      <c r="C434" s="70" t="s">
        <v>309</v>
      </c>
      <c r="D434" s="70" t="s">
        <v>310</v>
      </c>
      <c r="E434" s="70" t="s">
        <v>404</v>
      </c>
      <c r="F434" s="70" t="s">
        <v>405</v>
      </c>
      <c r="G434" s="70" t="s">
        <v>65</v>
      </c>
      <c r="H434" s="72" t="n">
        <f aca="false">'3 Base Saídas'!H384</f>
        <v>-20.1</v>
      </c>
      <c r="I434" s="72" t="n">
        <v>0</v>
      </c>
      <c r="J434" s="72" t="n">
        <f aca="false">'3 Base Saídas'!R384</f>
        <v>20.1</v>
      </c>
      <c r="K434" s="72" t="n">
        <f aca="false">I434-J434</f>
        <v>-20.1</v>
      </c>
      <c r="L434" s="70" t="s">
        <v>1415</v>
      </c>
      <c r="M434" s="70" t="s">
        <v>454</v>
      </c>
      <c r="N434" s="70" t="s">
        <v>455</v>
      </c>
      <c r="O434" s="70" t="s">
        <v>431</v>
      </c>
    </row>
    <row r="435" customFormat="false" ht="15" hidden="false" customHeight="false" outlineLevel="0" collapsed="false">
      <c r="A435" s="71" t="n">
        <v>46292</v>
      </c>
      <c r="B435" s="70" t="s">
        <v>1732</v>
      </c>
      <c r="C435" s="70" t="s">
        <v>309</v>
      </c>
      <c r="D435" s="70" t="s">
        <v>310</v>
      </c>
      <c r="E435" s="70" t="s">
        <v>404</v>
      </c>
      <c r="F435" s="70" t="s">
        <v>405</v>
      </c>
      <c r="G435" s="70" t="s">
        <v>65</v>
      </c>
      <c r="H435" s="72" t="n">
        <f aca="false">'3 Base Saídas'!H385</f>
        <v>-40.2</v>
      </c>
      <c r="I435" s="72" t="n">
        <v>0</v>
      </c>
      <c r="J435" s="72" t="n">
        <f aca="false">'3 Base Saídas'!R385</f>
        <v>40.2</v>
      </c>
      <c r="K435" s="72" t="n">
        <f aca="false">I435-J435</f>
        <v>-40.2</v>
      </c>
      <c r="L435" s="70" t="s">
        <v>1417</v>
      </c>
      <c r="M435" s="70" t="s">
        <v>707</v>
      </c>
      <c r="N435" s="70" t="s">
        <v>708</v>
      </c>
      <c r="O435" s="70" t="s">
        <v>431</v>
      </c>
    </row>
    <row r="436" customFormat="false" ht="15" hidden="false" customHeight="false" outlineLevel="0" collapsed="false">
      <c r="A436" s="71" t="n">
        <v>46292</v>
      </c>
      <c r="B436" s="70" t="s">
        <v>1732</v>
      </c>
      <c r="C436" s="70" t="s">
        <v>309</v>
      </c>
      <c r="D436" s="70" t="s">
        <v>310</v>
      </c>
      <c r="E436" s="70" t="s">
        <v>404</v>
      </c>
      <c r="F436" s="70" t="s">
        <v>405</v>
      </c>
      <c r="G436" s="70" t="s">
        <v>65</v>
      </c>
      <c r="H436" s="72" t="n">
        <f aca="false">'3 Base Saídas'!H386</f>
        <v>-20.1</v>
      </c>
      <c r="I436" s="72" t="n">
        <v>0</v>
      </c>
      <c r="J436" s="72" t="n">
        <f aca="false">'3 Base Saídas'!R386</f>
        <v>20.1</v>
      </c>
      <c r="K436" s="72" t="n">
        <f aca="false">I436-J436</f>
        <v>-20.1</v>
      </c>
      <c r="L436" s="70" t="s">
        <v>575</v>
      </c>
      <c r="M436" s="70" t="s">
        <v>577</v>
      </c>
      <c r="N436" s="70" t="s">
        <v>578</v>
      </c>
      <c r="O436" s="70" t="s">
        <v>431</v>
      </c>
    </row>
    <row r="437" customFormat="false" ht="15" hidden="false" customHeight="false" outlineLevel="0" collapsed="false">
      <c r="A437" s="71" t="n">
        <v>46292</v>
      </c>
      <c r="B437" s="70" t="s">
        <v>1732</v>
      </c>
      <c r="C437" s="70" t="s">
        <v>309</v>
      </c>
      <c r="D437" s="70" t="s">
        <v>310</v>
      </c>
      <c r="E437" s="70" t="s">
        <v>404</v>
      </c>
      <c r="F437" s="70" t="s">
        <v>405</v>
      </c>
      <c r="G437" s="70" t="s">
        <v>65</v>
      </c>
      <c r="H437" s="72" t="n">
        <f aca="false">'3 Base Saídas'!H387</f>
        <v>-40.2</v>
      </c>
      <c r="I437" s="72" t="n">
        <v>0</v>
      </c>
      <c r="J437" s="72" t="n">
        <f aca="false">'3 Base Saídas'!R387</f>
        <v>40.2</v>
      </c>
      <c r="K437" s="72" t="n">
        <f aca="false">I437-J437</f>
        <v>-40.2</v>
      </c>
      <c r="L437" s="70" t="s">
        <v>1419</v>
      </c>
      <c r="M437" s="70" t="s">
        <v>441</v>
      </c>
      <c r="N437" s="70" t="s">
        <v>442</v>
      </c>
      <c r="O437" s="70" t="s">
        <v>431</v>
      </c>
    </row>
    <row r="438" customFormat="false" ht="15" hidden="false" customHeight="false" outlineLevel="0" collapsed="false">
      <c r="A438" s="71" t="n">
        <v>46292</v>
      </c>
      <c r="B438" s="70" t="s">
        <v>1732</v>
      </c>
      <c r="C438" s="70" t="s">
        <v>309</v>
      </c>
      <c r="D438" s="70" t="s">
        <v>310</v>
      </c>
      <c r="E438" s="70" t="s">
        <v>404</v>
      </c>
      <c r="F438" s="70" t="s">
        <v>405</v>
      </c>
      <c r="G438" s="70" t="s">
        <v>65</v>
      </c>
      <c r="H438" s="72" t="n">
        <f aca="false">'3 Base Saídas'!H388</f>
        <v>-80.4</v>
      </c>
      <c r="I438" s="72" t="n">
        <v>0</v>
      </c>
      <c r="J438" s="72" t="n">
        <f aca="false">'3 Base Saídas'!R388</f>
        <v>80.4</v>
      </c>
      <c r="K438" s="72" t="n">
        <f aca="false">I438-J438</f>
        <v>-80.4</v>
      </c>
      <c r="L438" s="70" t="s">
        <v>788</v>
      </c>
      <c r="M438" s="70" t="s">
        <v>433</v>
      </c>
      <c r="N438" s="70" t="s">
        <v>434</v>
      </c>
      <c r="O438" s="70" t="s">
        <v>431</v>
      </c>
    </row>
    <row r="439" customFormat="false" ht="15" hidden="false" customHeight="false" outlineLevel="0" collapsed="false">
      <c r="A439" s="71" t="n">
        <v>46293</v>
      </c>
      <c r="B439" s="70" t="s">
        <v>1732</v>
      </c>
      <c r="C439" s="70" t="s">
        <v>192</v>
      </c>
      <c r="D439" s="70" t="s">
        <v>193</v>
      </c>
      <c r="E439" s="70" t="s">
        <v>404</v>
      </c>
      <c r="F439" s="70" t="s">
        <v>416</v>
      </c>
      <c r="G439" s="70" t="s">
        <v>65</v>
      </c>
      <c r="H439" s="72" t="n">
        <f aca="false">'3 Base Saídas'!H6</f>
        <v>-20.1</v>
      </c>
      <c r="I439" s="72" t="n">
        <v>0</v>
      </c>
      <c r="J439" s="72" t="n">
        <f aca="false">'3 Base Saídas'!R6</f>
        <v>20.1</v>
      </c>
      <c r="K439" s="72" t="n">
        <f aca="false">I439-J439</f>
        <v>-20.1</v>
      </c>
      <c r="L439" s="70" t="s">
        <v>425</v>
      </c>
      <c r="M439" s="70" t="s">
        <v>428</v>
      </c>
      <c r="N439" s="70" t="s">
        <v>429</v>
      </c>
      <c r="O439" s="70" t="s">
        <v>426</v>
      </c>
    </row>
    <row r="440" customFormat="false" ht="15" hidden="false" customHeight="false" outlineLevel="0" collapsed="false">
      <c r="A440" s="71" t="n">
        <v>46293</v>
      </c>
      <c r="B440" s="70" t="str">
        <f aca="false">'3 Base Entrada 2008'!K17</f>
        <v>Entrada</v>
      </c>
      <c r="C440" s="70" t="s">
        <v>211</v>
      </c>
      <c r="D440" s="70" t="s">
        <v>212</v>
      </c>
      <c r="E440" s="70" t="s">
        <v>740</v>
      </c>
      <c r="F440" s="70" t="s">
        <v>188</v>
      </c>
      <c r="G440" s="70" t="s">
        <v>65</v>
      </c>
      <c r="H440" s="72" t="n">
        <f aca="false">'3 Base Entrada 2008'!G17</f>
        <v>-1000</v>
      </c>
      <c r="I440" s="72" t="n">
        <f aca="false">'3 Base Entrada 2008'!L17</f>
        <v>1000</v>
      </c>
      <c r="J440" s="72" t="n">
        <v>0</v>
      </c>
      <c r="K440" s="72" t="n">
        <f aca="false">I440-J440</f>
        <v>1000</v>
      </c>
      <c r="L440" s="70" t="s">
        <v>210</v>
      </c>
      <c r="M440" s="70"/>
      <c r="N440" s="70"/>
      <c r="O440" s="70"/>
    </row>
    <row r="441" customFormat="false" ht="15" hidden="false" customHeight="false" outlineLevel="0" collapsed="false">
      <c r="A441" s="71" t="n">
        <v>46293</v>
      </c>
      <c r="B441" s="70" t="str">
        <f aca="false">'3 Base Entrada 2008'!K32</f>
        <v>Entrada</v>
      </c>
      <c r="C441" s="70" t="s">
        <v>220</v>
      </c>
      <c r="D441" s="70" t="s">
        <v>221</v>
      </c>
      <c r="E441" s="70" t="s">
        <v>404</v>
      </c>
      <c r="F441" s="70" t="s">
        <v>188</v>
      </c>
      <c r="G441" s="70" t="s">
        <v>65</v>
      </c>
      <c r="H441" s="72" t="n">
        <f aca="false">'3 Base Entrada 2008'!G32</f>
        <v>-1200</v>
      </c>
      <c r="I441" s="72" t="n">
        <f aca="false">'3 Base Entrada 2008'!L32</f>
        <v>1200</v>
      </c>
      <c r="J441" s="72" t="n">
        <v>0</v>
      </c>
      <c r="K441" s="72" t="n">
        <f aca="false">I441-J441</f>
        <v>1200</v>
      </c>
      <c r="L441" s="70" t="s">
        <v>210</v>
      </c>
      <c r="M441" s="70"/>
      <c r="N441" s="70"/>
      <c r="O441" s="70"/>
    </row>
    <row r="442" customFormat="false" ht="15" hidden="false" customHeight="false" outlineLevel="0" collapsed="false">
      <c r="A442" s="71" t="n">
        <v>46293</v>
      </c>
      <c r="B442" s="70" t="str">
        <f aca="false">'3 Base Entrada 2008'!K36</f>
        <v>Entrada</v>
      </c>
      <c r="C442" s="70" t="s">
        <v>227</v>
      </c>
      <c r="D442" s="70" t="s">
        <v>228</v>
      </c>
      <c r="E442" s="70" t="s">
        <v>756</v>
      </c>
      <c r="F442" s="70" t="s">
        <v>188</v>
      </c>
      <c r="G442" s="70" t="s">
        <v>65</v>
      </c>
      <c r="H442" s="72" t="n">
        <f aca="false">'3 Base Entrada 2008'!G36</f>
        <v>-1800</v>
      </c>
      <c r="I442" s="72" t="n">
        <f aca="false">'3 Base Entrada 2008'!L36</f>
        <v>1800</v>
      </c>
      <c r="J442" s="72" t="n">
        <v>0</v>
      </c>
      <c r="K442" s="72" t="n">
        <f aca="false">I442-J442</f>
        <v>1800</v>
      </c>
      <c r="L442" s="70" t="s">
        <v>210</v>
      </c>
      <c r="M442" s="70"/>
      <c r="N442" s="70"/>
      <c r="O442" s="70"/>
    </row>
    <row r="443" customFormat="false" ht="15" hidden="false" customHeight="false" outlineLevel="0" collapsed="false">
      <c r="A443" s="71" t="n">
        <v>46293</v>
      </c>
      <c r="B443" s="70" t="str">
        <f aca="false">'3 Base Entrada 2008'!K47</f>
        <v>Entrada</v>
      </c>
      <c r="C443" s="70" t="s">
        <v>232</v>
      </c>
      <c r="D443" s="70" t="s">
        <v>233</v>
      </c>
      <c r="E443" s="70" t="s">
        <v>939</v>
      </c>
      <c r="F443" s="70" t="s">
        <v>188</v>
      </c>
      <c r="G443" s="70" t="s">
        <v>146</v>
      </c>
      <c r="H443" s="72" t="n">
        <f aca="false">'3 Base Entrada 2008'!G47</f>
        <v>-900</v>
      </c>
      <c r="I443" s="72" t="n">
        <f aca="false">'3 Base Entrada 2008'!L47</f>
        <v>900</v>
      </c>
      <c r="J443" s="72" t="n">
        <v>0</v>
      </c>
      <c r="K443" s="72" t="n">
        <f aca="false">I443-J443</f>
        <v>900</v>
      </c>
      <c r="L443" s="70" t="s">
        <v>210</v>
      </c>
      <c r="M443" s="70"/>
      <c r="N443" s="70"/>
      <c r="O443" s="70"/>
    </row>
    <row r="444" customFormat="false" ht="15" hidden="false" customHeight="false" outlineLevel="0" collapsed="false">
      <c r="A444" s="71" t="n">
        <v>46293</v>
      </c>
      <c r="B444" s="70" t="str">
        <f aca="false">'3 Base Entrada 2008'!K46</f>
        <v>Entrada</v>
      </c>
      <c r="C444" s="70" t="s">
        <v>232</v>
      </c>
      <c r="D444" s="70" t="s">
        <v>237</v>
      </c>
      <c r="E444" s="70" t="s">
        <v>939</v>
      </c>
      <c r="F444" s="70" t="s">
        <v>188</v>
      </c>
      <c r="G444" s="70" t="s">
        <v>146</v>
      </c>
      <c r="H444" s="72" t="n">
        <f aca="false">'3 Base Entrada 2008'!G46</f>
        <v>-825</v>
      </c>
      <c r="I444" s="72" t="n">
        <f aca="false">'3 Base Entrada 2008'!L46</f>
        <v>825</v>
      </c>
      <c r="J444" s="72" t="n">
        <v>0</v>
      </c>
      <c r="K444" s="72" t="n">
        <f aca="false">I444-J444</f>
        <v>825</v>
      </c>
      <c r="L444" s="70" t="s">
        <v>210</v>
      </c>
      <c r="M444" s="70"/>
      <c r="N444" s="70"/>
      <c r="O444" s="70"/>
    </row>
    <row r="445" customFormat="false" ht="15" hidden="false" customHeight="false" outlineLevel="0" collapsed="false">
      <c r="A445" s="71" t="n">
        <v>46293</v>
      </c>
      <c r="B445" s="70" t="s">
        <v>1732</v>
      </c>
      <c r="C445" s="70" t="s">
        <v>250</v>
      </c>
      <c r="D445" s="70" t="s">
        <v>251</v>
      </c>
      <c r="E445" s="70" t="s">
        <v>1104</v>
      </c>
      <c r="F445" s="70" t="s">
        <v>416</v>
      </c>
      <c r="G445" s="70" t="s">
        <v>65</v>
      </c>
      <c r="H445" s="72" t="n">
        <f aca="false">'3 Base Saídas'!H249</f>
        <v>-19.6</v>
      </c>
      <c r="I445" s="72" t="n">
        <v>0</v>
      </c>
      <c r="J445" s="72" t="n">
        <f aca="false">'3 Base Saídas'!R249</f>
        <v>19.6</v>
      </c>
      <c r="K445" s="72" t="n">
        <f aca="false">I445-J445</f>
        <v>-19.6</v>
      </c>
      <c r="L445" s="70" t="s">
        <v>1103</v>
      </c>
      <c r="M445" s="70" t="s">
        <v>1049</v>
      </c>
      <c r="N445" s="70" t="s">
        <v>1050</v>
      </c>
      <c r="O445" s="70" t="s">
        <v>426</v>
      </c>
    </row>
    <row r="446" customFormat="false" ht="15" hidden="false" customHeight="false" outlineLevel="0" collapsed="false">
      <c r="A446" s="71" t="n">
        <v>46293</v>
      </c>
      <c r="B446" s="70" t="s">
        <v>1732</v>
      </c>
      <c r="C446" s="70" t="s">
        <v>250</v>
      </c>
      <c r="D446" s="70" t="s">
        <v>251</v>
      </c>
      <c r="E446" s="70" t="s">
        <v>1104</v>
      </c>
      <c r="F446" s="70" t="s">
        <v>416</v>
      </c>
      <c r="G446" s="70" t="s">
        <v>65</v>
      </c>
      <c r="H446" s="72" t="n">
        <f aca="false">'3 Base Saídas'!H250</f>
        <v>-19.6</v>
      </c>
      <c r="I446" s="72" t="n">
        <v>0</v>
      </c>
      <c r="J446" s="72" t="n">
        <f aca="false">'3 Base Saídas'!R250</f>
        <v>19.6</v>
      </c>
      <c r="K446" s="72" t="n">
        <f aca="false">I446-J446</f>
        <v>-19.6</v>
      </c>
      <c r="L446" s="70" t="s">
        <v>1106</v>
      </c>
      <c r="M446" s="70" t="s">
        <v>1108</v>
      </c>
      <c r="N446" s="70" t="s">
        <v>1109</v>
      </c>
      <c r="O446" s="70" t="s">
        <v>426</v>
      </c>
    </row>
    <row r="447" customFormat="false" ht="15" hidden="false" customHeight="false" outlineLevel="0" collapsed="false">
      <c r="A447" s="71" t="n">
        <v>46293</v>
      </c>
      <c r="B447" s="70" t="s">
        <v>1732</v>
      </c>
      <c r="C447" s="70" t="s">
        <v>257</v>
      </c>
      <c r="D447" s="70" t="s">
        <v>258</v>
      </c>
      <c r="E447" s="70" t="s">
        <v>1152</v>
      </c>
      <c r="F447" s="70" t="s">
        <v>405</v>
      </c>
      <c r="G447" s="70" t="s">
        <v>65</v>
      </c>
      <c r="H447" s="72" t="n">
        <f aca="false">'3 Base Saídas'!H268</f>
        <v>-60</v>
      </c>
      <c r="I447" s="72" t="n">
        <v>0</v>
      </c>
      <c r="J447" s="72" t="n">
        <f aca="false">'3 Base Saídas'!R268</f>
        <v>60</v>
      </c>
      <c r="K447" s="72" t="n">
        <f aca="false">I447-J447</f>
        <v>-60</v>
      </c>
      <c r="L447" s="70" t="s">
        <v>1151</v>
      </c>
      <c r="M447" s="70" t="s">
        <v>611</v>
      </c>
      <c r="N447" s="70" t="s">
        <v>612</v>
      </c>
      <c r="O447" s="70" t="s">
        <v>426</v>
      </c>
    </row>
    <row r="448" customFormat="false" ht="15" hidden="false" customHeight="false" outlineLevel="0" collapsed="false">
      <c r="A448" s="71" t="n">
        <v>46293</v>
      </c>
      <c r="B448" s="70" t="str">
        <f aca="false">'3 Base Entrada 2008'!K69</f>
        <v>Entrada</v>
      </c>
      <c r="C448" s="70" t="s">
        <v>260</v>
      </c>
      <c r="D448" s="70" t="s">
        <v>261</v>
      </c>
      <c r="E448" s="70"/>
      <c r="F448" s="70" t="s">
        <v>188</v>
      </c>
      <c r="G448" s="70" t="s">
        <v>65</v>
      </c>
      <c r="H448" s="72" t="n">
        <f aca="false">'3 Base Entrada 2008'!G69</f>
        <v>-108.8</v>
      </c>
      <c r="I448" s="72" t="n">
        <f aca="false">'3 Base Entrada 2008'!L69</f>
        <v>108.8</v>
      </c>
      <c r="J448" s="72" t="n">
        <v>0</v>
      </c>
      <c r="K448" s="72" t="n">
        <f aca="false">I448-J448</f>
        <v>108.8</v>
      </c>
      <c r="L448" s="70" t="s">
        <v>210</v>
      </c>
      <c r="M448" s="70"/>
      <c r="N448" s="70"/>
      <c r="O448" s="70"/>
    </row>
    <row r="449" customFormat="false" ht="15" hidden="false" customHeight="false" outlineLevel="0" collapsed="false">
      <c r="A449" s="71" t="n">
        <v>46293</v>
      </c>
      <c r="B449" s="70" t="str">
        <f aca="false">'3 Base Entrada 2008'!K76</f>
        <v>Entrada</v>
      </c>
      <c r="C449" s="70" t="s">
        <v>271</v>
      </c>
      <c r="D449" s="70" t="s">
        <v>273</v>
      </c>
      <c r="E449" s="70" t="s">
        <v>1225</v>
      </c>
      <c r="F449" s="70" t="s">
        <v>188</v>
      </c>
      <c r="G449" s="70" t="s">
        <v>65</v>
      </c>
      <c r="H449" s="72" t="n">
        <f aca="false">'3 Base Entrada 2008'!G76</f>
        <v>-1200</v>
      </c>
      <c r="I449" s="72" t="n">
        <f aca="false">'3 Base Entrada 2008'!L76</f>
        <v>1200</v>
      </c>
      <c r="J449" s="72" t="n">
        <v>0</v>
      </c>
      <c r="K449" s="72" t="n">
        <f aca="false">I449-J449</f>
        <v>1200</v>
      </c>
      <c r="L449" s="70" t="s">
        <v>210</v>
      </c>
      <c r="M449" s="70"/>
      <c r="N449" s="70"/>
      <c r="O449" s="70"/>
    </row>
    <row r="450" customFormat="false" ht="15" hidden="false" customHeight="false" outlineLevel="0" collapsed="false">
      <c r="A450" s="71" t="n">
        <v>46293</v>
      </c>
      <c r="B450" s="70" t="s">
        <v>1732</v>
      </c>
      <c r="C450" s="70" t="s">
        <v>276</v>
      </c>
      <c r="D450" s="70" t="s">
        <v>370</v>
      </c>
      <c r="E450" s="70" t="s">
        <v>404</v>
      </c>
      <c r="F450" s="70" t="s">
        <v>416</v>
      </c>
      <c r="G450" s="70" t="s">
        <v>65</v>
      </c>
      <c r="H450" s="72" t="n">
        <f aca="false">'3 Base Saídas'!H334</f>
        <v>-60.3</v>
      </c>
      <c r="I450" s="72" t="n">
        <v>0</v>
      </c>
      <c r="J450" s="72" t="n">
        <f aca="false">'3 Base Saídas'!R334</f>
        <v>60.3</v>
      </c>
      <c r="K450" s="72" t="n">
        <f aca="false">I450-J450</f>
        <v>-60.3</v>
      </c>
      <c r="L450" s="70" t="s">
        <v>1299</v>
      </c>
      <c r="M450" s="70" t="s">
        <v>491</v>
      </c>
      <c r="N450" s="70" t="s">
        <v>492</v>
      </c>
      <c r="O450" s="70" t="s">
        <v>426</v>
      </c>
    </row>
    <row r="451" customFormat="false" ht="15" hidden="false" customHeight="false" outlineLevel="0" collapsed="false">
      <c r="A451" s="71" t="n">
        <v>46293</v>
      </c>
      <c r="B451" s="70" t="str">
        <f aca="false">'3 Base Entrada 2008'!K84</f>
        <v>Entrada</v>
      </c>
      <c r="C451" s="70" t="s">
        <v>281</v>
      </c>
      <c r="D451" s="70" t="s">
        <v>282</v>
      </c>
      <c r="E451" s="70" t="s">
        <v>1344</v>
      </c>
      <c r="F451" s="70" t="s">
        <v>188</v>
      </c>
      <c r="G451" s="70" t="s">
        <v>65</v>
      </c>
      <c r="H451" s="72" t="n">
        <f aca="false">'3 Base Entrada 2008'!G84</f>
        <v>-864</v>
      </c>
      <c r="I451" s="72" t="n">
        <f aca="false">'3 Base Entrada 2008'!L84</f>
        <v>864</v>
      </c>
      <c r="J451" s="72" t="n">
        <v>0</v>
      </c>
      <c r="K451" s="72" t="n">
        <f aca="false">I451-J451</f>
        <v>864</v>
      </c>
      <c r="L451" s="70" t="s">
        <v>210</v>
      </c>
      <c r="M451" s="70"/>
      <c r="N451" s="70"/>
      <c r="O451" s="70"/>
    </row>
    <row r="452" customFormat="false" ht="15" hidden="false" customHeight="false" outlineLevel="0" collapsed="false">
      <c r="A452" s="71" t="n">
        <v>46293</v>
      </c>
      <c r="B452" s="70" t="str">
        <f aca="false">'3 Base Entrada 2008'!K112</f>
        <v>Entrada</v>
      </c>
      <c r="C452" s="70" t="s">
        <v>307</v>
      </c>
      <c r="D452" s="70" t="s">
        <v>308</v>
      </c>
      <c r="E452" s="70"/>
      <c r="F452" s="70" t="s">
        <v>188</v>
      </c>
      <c r="G452" s="70" t="s">
        <v>65</v>
      </c>
      <c r="H452" s="72" t="n">
        <f aca="false">'3 Base Entrada 2008'!G112</f>
        <v>-1000</v>
      </c>
      <c r="I452" s="72" t="n">
        <f aca="false">'3 Base Entrada 2008'!L112</f>
        <v>1000</v>
      </c>
      <c r="J452" s="72" t="n">
        <v>0</v>
      </c>
      <c r="K452" s="72" t="n">
        <f aca="false">I452-J452</f>
        <v>1000</v>
      </c>
      <c r="L452" s="70" t="s">
        <v>210</v>
      </c>
      <c r="M452" s="70"/>
      <c r="N452" s="70"/>
      <c r="O452" s="70"/>
    </row>
    <row r="453" customFormat="false" ht="15" hidden="false" customHeight="false" outlineLevel="0" collapsed="false">
      <c r="A453" s="71" t="n">
        <v>46294</v>
      </c>
      <c r="B453" s="70" t="s">
        <v>1732</v>
      </c>
      <c r="C453" s="70" t="s">
        <v>192</v>
      </c>
      <c r="D453" s="70" t="s">
        <v>195</v>
      </c>
      <c r="E453" s="70" t="s">
        <v>404</v>
      </c>
      <c r="F453" s="70" t="s">
        <v>405</v>
      </c>
      <c r="G453" s="70" t="s">
        <v>65</v>
      </c>
      <c r="H453" s="72" t="n">
        <f aca="false">'3 Base Saídas'!H5</f>
        <v>-80.4</v>
      </c>
      <c r="I453" s="72" t="n">
        <v>0</v>
      </c>
      <c r="J453" s="72" t="n">
        <f aca="false">'3 Base Saídas'!R5</f>
        <v>80.4</v>
      </c>
      <c r="K453" s="72" t="n">
        <f aca="false">I453-J453</f>
        <v>-80.4</v>
      </c>
      <c r="L453" s="70" t="s">
        <v>421</v>
      </c>
      <c r="M453" s="70" t="s">
        <v>423</v>
      </c>
      <c r="N453" s="70" t="s">
        <v>424</v>
      </c>
      <c r="O453" s="70" t="s">
        <v>407</v>
      </c>
    </row>
    <row r="454" customFormat="false" ht="15" hidden="false" customHeight="false" outlineLevel="0" collapsed="false">
      <c r="A454" s="71" t="n">
        <v>46294</v>
      </c>
      <c r="B454" s="70" t="str">
        <f aca="false">'3 Base Entrada 2008'!K4</f>
        <v>Entrada</v>
      </c>
      <c r="C454" s="70" t="s">
        <v>192</v>
      </c>
      <c r="D454" s="70" t="s">
        <v>193</v>
      </c>
      <c r="E454" s="70" t="s">
        <v>404</v>
      </c>
      <c r="F454" s="70" t="s">
        <v>188</v>
      </c>
      <c r="G454" s="70" t="s">
        <v>65</v>
      </c>
      <c r="H454" s="72" t="n">
        <f aca="false">'3 Base Entrada 2008'!G4</f>
        <v>-603</v>
      </c>
      <c r="I454" s="72" t="n">
        <f aca="false">'3 Base Entrada 2008'!L4</f>
        <v>603</v>
      </c>
      <c r="J454" s="72" t="n">
        <v>0</v>
      </c>
      <c r="K454" s="72" t="n">
        <f aca="false">I454-J454</f>
        <v>603</v>
      </c>
      <c r="L454" s="70" t="s">
        <v>191</v>
      </c>
      <c r="M454" s="70"/>
      <c r="N454" s="70"/>
      <c r="O454" s="70"/>
    </row>
    <row r="455" customFormat="false" ht="15" hidden="false" customHeight="false" outlineLevel="0" collapsed="false">
      <c r="A455" s="71" t="n">
        <v>46294</v>
      </c>
      <c r="B455" s="70" t="s">
        <v>1732</v>
      </c>
      <c r="C455" s="70" t="s">
        <v>198</v>
      </c>
      <c r="D455" s="70" t="s">
        <v>199</v>
      </c>
      <c r="E455" s="70" t="s">
        <v>522</v>
      </c>
      <c r="F455" s="70" t="s">
        <v>405</v>
      </c>
      <c r="G455" s="70" t="s">
        <v>65</v>
      </c>
      <c r="H455" s="72" t="n">
        <f aca="false">'3 Base Saídas'!H37</f>
        <v>-56</v>
      </c>
      <c r="I455" s="72" t="n">
        <v>0</v>
      </c>
      <c r="J455" s="72" t="n">
        <f aca="false">'3 Base Saídas'!R37</f>
        <v>56</v>
      </c>
      <c r="K455" s="72" t="n">
        <f aca="false">I455-J455</f>
        <v>-56</v>
      </c>
      <c r="L455" s="70" t="s">
        <v>547</v>
      </c>
      <c r="M455" s="70" t="s">
        <v>549</v>
      </c>
      <c r="N455" s="70" t="s">
        <v>550</v>
      </c>
      <c r="O455" s="70" t="s">
        <v>407</v>
      </c>
    </row>
    <row r="456" customFormat="false" ht="15" hidden="false" customHeight="false" outlineLevel="0" collapsed="false">
      <c r="A456" s="71" t="n">
        <v>46294</v>
      </c>
      <c r="B456" s="70" t="s">
        <v>1732</v>
      </c>
      <c r="C456" s="70" t="s">
        <v>198</v>
      </c>
      <c r="D456" s="70" t="s">
        <v>199</v>
      </c>
      <c r="E456" s="70" t="s">
        <v>522</v>
      </c>
      <c r="F456" s="70" t="s">
        <v>405</v>
      </c>
      <c r="G456" s="70" t="s">
        <v>65</v>
      </c>
      <c r="H456" s="72" t="n">
        <f aca="false">'3 Base Saídas'!H38</f>
        <v>-2.8</v>
      </c>
      <c r="I456" s="72" t="n">
        <v>0</v>
      </c>
      <c r="J456" s="72" t="n">
        <f aca="false">'3 Base Saídas'!R38</f>
        <v>2.8</v>
      </c>
      <c r="K456" s="72" t="n">
        <f aca="false">I456-J456</f>
        <v>-2.8</v>
      </c>
      <c r="L456" s="70" t="s">
        <v>551</v>
      </c>
      <c r="M456" s="70" t="s">
        <v>553</v>
      </c>
      <c r="N456" s="70" t="s">
        <v>554</v>
      </c>
      <c r="O456" s="70" t="s">
        <v>407</v>
      </c>
    </row>
    <row r="457" customFormat="false" ht="15" hidden="false" customHeight="false" outlineLevel="0" collapsed="false">
      <c r="A457" s="71" t="n">
        <v>46294</v>
      </c>
      <c r="B457" s="70" t="s">
        <v>1732</v>
      </c>
      <c r="C457" s="70" t="s">
        <v>198</v>
      </c>
      <c r="D457" s="70" t="s">
        <v>199</v>
      </c>
      <c r="E457" s="70" t="s">
        <v>522</v>
      </c>
      <c r="F457" s="70" t="s">
        <v>405</v>
      </c>
      <c r="G457" s="70" t="s">
        <v>65</v>
      </c>
      <c r="H457" s="72" t="n">
        <f aca="false">'3 Base Saídas'!H39</f>
        <v>-28</v>
      </c>
      <c r="I457" s="72" t="n">
        <v>0</v>
      </c>
      <c r="J457" s="72" t="n">
        <f aca="false">'3 Base Saídas'!R39</f>
        <v>28</v>
      </c>
      <c r="K457" s="72" t="n">
        <f aca="false">I457-J457</f>
        <v>-28</v>
      </c>
      <c r="L457" s="70" t="s">
        <v>555</v>
      </c>
      <c r="M457" s="70" t="s">
        <v>557</v>
      </c>
      <c r="N457" s="70" t="s">
        <v>558</v>
      </c>
      <c r="O457" s="70" t="s">
        <v>407</v>
      </c>
    </row>
    <row r="458" customFormat="false" ht="15" hidden="false" customHeight="false" outlineLevel="0" collapsed="false">
      <c r="A458" s="71" t="n">
        <v>46294</v>
      </c>
      <c r="B458" s="70" t="str">
        <f aca="false">'3 Base Entrada 2008'!K8</f>
        <v>Entrada</v>
      </c>
      <c r="C458" s="70" t="s">
        <v>201</v>
      </c>
      <c r="D458" s="70" t="s">
        <v>202</v>
      </c>
      <c r="E458" s="70" t="s">
        <v>522</v>
      </c>
      <c r="F458" s="70" t="s">
        <v>188</v>
      </c>
      <c r="G458" s="70" t="s">
        <v>65</v>
      </c>
      <c r="H458" s="72" t="n">
        <f aca="false">'3 Base Entrada 2008'!G8</f>
        <v>-313.6</v>
      </c>
      <c r="I458" s="72" t="n">
        <f aca="false">'3 Base Entrada 2008'!L8</f>
        <v>313.6</v>
      </c>
      <c r="J458" s="72" t="n">
        <v>0</v>
      </c>
      <c r="K458" s="72" t="n">
        <f aca="false">I458-J458</f>
        <v>313.6</v>
      </c>
      <c r="L458" s="70" t="s">
        <v>200</v>
      </c>
      <c r="M458" s="70"/>
      <c r="N458" s="70"/>
      <c r="O458" s="70"/>
    </row>
    <row r="459" customFormat="false" ht="15" hidden="false" customHeight="false" outlineLevel="0" collapsed="false">
      <c r="A459" s="71" t="n">
        <v>46294</v>
      </c>
      <c r="B459" s="70" t="s">
        <v>1732</v>
      </c>
      <c r="C459" s="70" t="s">
        <v>201</v>
      </c>
      <c r="D459" s="70" t="s">
        <v>202</v>
      </c>
      <c r="E459" s="70" t="s">
        <v>522</v>
      </c>
      <c r="F459" s="70" t="s">
        <v>405</v>
      </c>
      <c r="G459" s="70" t="s">
        <v>65</v>
      </c>
      <c r="H459" s="72" t="n">
        <f aca="false">'3 Base Saídas'!H56</f>
        <v>-2.8</v>
      </c>
      <c r="I459" s="72" t="n">
        <v>0</v>
      </c>
      <c r="J459" s="72" t="n">
        <f aca="false">'3 Base Saídas'!R56</f>
        <v>2.8</v>
      </c>
      <c r="K459" s="72" t="n">
        <f aca="false">I459-J459</f>
        <v>-2.8</v>
      </c>
      <c r="L459" s="70" t="s">
        <v>615</v>
      </c>
      <c r="M459" s="70" t="s">
        <v>617</v>
      </c>
      <c r="N459" s="70" t="s">
        <v>618</v>
      </c>
      <c r="O459" s="70" t="s">
        <v>481</v>
      </c>
    </row>
    <row r="460" customFormat="false" ht="15" hidden="false" customHeight="false" outlineLevel="0" collapsed="false">
      <c r="A460" s="71" t="n">
        <v>46294</v>
      </c>
      <c r="B460" s="70" t="s">
        <v>1732</v>
      </c>
      <c r="C460" s="70" t="s">
        <v>201</v>
      </c>
      <c r="D460" s="70" t="s">
        <v>202</v>
      </c>
      <c r="E460" s="70" t="s">
        <v>522</v>
      </c>
      <c r="F460" s="70" t="s">
        <v>405</v>
      </c>
      <c r="G460" s="70" t="s">
        <v>65</v>
      </c>
      <c r="H460" s="72" t="n">
        <f aca="false">'3 Base Saídas'!H57</f>
        <v>-8.4</v>
      </c>
      <c r="I460" s="72" t="n">
        <v>0</v>
      </c>
      <c r="J460" s="72" t="n">
        <f aca="false">'3 Base Saídas'!R57</f>
        <v>8.4</v>
      </c>
      <c r="K460" s="72" t="n">
        <f aca="false">I460-J460</f>
        <v>-8.4</v>
      </c>
      <c r="L460" s="70" t="s">
        <v>619</v>
      </c>
      <c r="M460" s="70" t="s">
        <v>621</v>
      </c>
      <c r="N460" s="70" t="s">
        <v>622</v>
      </c>
      <c r="O460" s="70" t="s">
        <v>481</v>
      </c>
    </row>
    <row r="461" customFormat="false" ht="15" hidden="false" customHeight="false" outlineLevel="0" collapsed="false">
      <c r="A461" s="71" t="n">
        <v>46294</v>
      </c>
      <c r="B461" s="70" t="str">
        <f aca="false">'3 Base Entrada 2008'!K9</f>
        <v>Entrada</v>
      </c>
      <c r="C461" s="70" t="s">
        <v>201</v>
      </c>
      <c r="D461" s="70" t="s">
        <v>203</v>
      </c>
      <c r="E461" s="70" t="s">
        <v>522</v>
      </c>
      <c r="F461" s="70" t="s">
        <v>188</v>
      </c>
      <c r="G461" s="70" t="s">
        <v>65</v>
      </c>
      <c r="H461" s="72" t="n">
        <f aca="false">'3 Base Entrada 2008'!G9</f>
        <v>-142.8</v>
      </c>
      <c r="I461" s="72" t="n">
        <f aca="false">'3 Base Entrada 2008'!L9</f>
        <v>142.8</v>
      </c>
      <c r="J461" s="72" t="n">
        <v>0</v>
      </c>
      <c r="K461" s="72" t="n">
        <f aca="false">I461-J461</f>
        <v>142.8</v>
      </c>
      <c r="L461" s="70" t="s">
        <v>200</v>
      </c>
      <c r="M461" s="70"/>
      <c r="N461" s="70"/>
      <c r="O461" s="70"/>
    </row>
    <row r="462" customFormat="false" ht="15" hidden="false" customHeight="false" outlineLevel="0" collapsed="false">
      <c r="A462" s="71" t="n">
        <v>46294</v>
      </c>
      <c r="B462" s="70" t="str">
        <f aca="false">'3 Base Entrada 2008'!K11</f>
        <v>Entrada</v>
      </c>
      <c r="C462" s="70" t="s">
        <v>205</v>
      </c>
      <c r="D462" s="70" t="s">
        <v>206</v>
      </c>
      <c r="E462" s="70" t="s">
        <v>404</v>
      </c>
      <c r="F462" s="70" t="s">
        <v>188</v>
      </c>
      <c r="G462" s="70" t="s">
        <v>65</v>
      </c>
      <c r="H462" s="72" t="n">
        <f aca="false">'3 Base Entrada 2008'!G11</f>
        <v>-482.4</v>
      </c>
      <c r="I462" s="72" t="n">
        <f aca="false">'3 Base Entrada 2008'!L11</f>
        <v>482.4</v>
      </c>
      <c r="J462" s="72" t="n">
        <v>0</v>
      </c>
      <c r="K462" s="72" t="n">
        <f aca="false">I462-J462</f>
        <v>482.4</v>
      </c>
      <c r="L462" s="70" t="s">
        <v>207</v>
      </c>
      <c r="M462" s="70"/>
      <c r="N462" s="70"/>
      <c r="O462" s="70"/>
    </row>
    <row r="463" customFormat="false" ht="15" hidden="false" customHeight="false" outlineLevel="0" collapsed="false">
      <c r="A463" s="71" t="n">
        <v>46294</v>
      </c>
      <c r="B463" s="70" t="str">
        <f aca="false">'3 Base Entrada 2008'!K12</f>
        <v>Entrada</v>
      </c>
      <c r="C463" s="70" t="s">
        <v>205</v>
      </c>
      <c r="D463" s="70" t="s">
        <v>206</v>
      </c>
      <c r="E463" s="70" t="s">
        <v>404</v>
      </c>
      <c r="F463" s="70" t="s">
        <v>188</v>
      </c>
      <c r="G463" s="70" t="s">
        <v>65</v>
      </c>
      <c r="H463" s="72" t="n">
        <f aca="false">'3 Base Entrada 2008'!G12</f>
        <v>-221.1</v>
      </c>
      <c r="I463" s="72" t="n">
        <f aca="false">'3 Base Entrada 2008'!L12</f>
        <v>221.1</v>
      </c>
      <c r="J463" s="72" t="n">
        <v>0</v>
      </c>
      <c r="K463" s="72" t="n">
        <f aca="false">I463-J463</f>
        <v>221.1</v>
      </c>
      <c r="L463" s="70" t="s">
        <v>207</v>
      </c>
      <c r="M463" s="70"/>
      <c r="N463" s="70"/>
      <c r="O463" s="70"/>
    </row>
    <row r="464" customFormat="false" ht="15" hidden="false" customHeight="false" outlineLevel="0" collapsed="false">
      <c r="A464" s="71" t="n">
        <v>46294</v>
      </c>
      <c r="B464" s="70" t="str">
        <f aca="false">'3 Base Entrada 2008'!K13</f>
        <v>Entrada</v>
      </c>
      <c r="C464" s="70" t="s">
        <v>205</v>
      </c>
      <c r="D464" s="70" t="s">
        <v>206</v>
      </c>
      <c r="E464" s="70" t="s">
        <v>404</v>
      </c>
      <c r="F464" s="70" t="s">
        <v>188</v>
      </c>
      <c r="G464" s="70" t="s">
        <v>65</v>
      </c>
      <c r="H464" s="72" t="n">
        <f aca="false">'3 Base Entrada 2008'!G13</f>
        <v>-603</v>
      </c>
      <c r="I464" s="72" t="n">
        <f aca="false">'3 Base Entrada 2008'!L13</f>
        <v>603</v>
      </c>
      <c r="J464" s="72" t="n">
        <v>0</v>
      </c>
      <c r="K464" s="72" t="n">
        <f aca="false">I464-J464</f>
        <v>603</v>
      </c>
      <c r="L464" s="70" t="s">
        <v>207</v>
      </c>
      <c r="M464" s="70"/>
      <c r="N464" s="70"/>
      <c r="O464" s="70"/>
    </row>
    <row r="465" customFormat="false" ht="15" hidden="false" customHeight="false" outlineLevel="0" collapsed="false">
      <c r="A465" s="71" t="n">
        <v>46294</v>
      </c>
      <c r="B465" s="70" t="str">
        <f aca="false">'3 Base Entrada 2008'!K14</f>
        <v>Entrada</v>
      </c>
      <c r="C465" s="70" t="s">
        <v>205</v>
      </c>
      <c r="D465" s="70" t="s">
        <v>206</v>
      </c>
      <c r="E465" s="70" t="s">
        <v>404</v>
      </c>
      <c r="F465" s="70" t="s">
        <v>188</v>
      </c>
      <c r="G465" s="70" t="s">
        <v>65</v>
      </c>
      <c r="H465" s="72" t="n">
        <f aca="false">'3 Base Entrada 2008'!G14</f>
        <v>-603</v>
      </c>
      <c r="I465" s="72" t="n">
        <f aca="false">'3 Base Entrada 2008'!L14</f>
        <v>603</v>
      </c>
      <c r="J465" s="72" t="n">
        <v>0</v>
      </c>
      <c r="K465" s="72" t="n">
        <f aca="false">I465-J465</f>
        <v>603</v>
      </c>
      <c r="L465" s="70" t="s">
        <v>207</v>
      </c>
      <c r="M465" s="70"/>
      <c r="N465" s="70"/>
      <c r="O465" s="70"/>
    </row>
    <row r="466" customFormat="false" ht="15" hidden="false" customHeight="false" outlineLevel="0" collapsed="false">
      <c r="A466" s="71" t="n">
        <v>46294</v>
      </c>
      <c r="B466" s="70" t="str">
        <f aca="false">'3 Base Entrada 2008'!K15</f>
        <v>Entrada</v>
      </c>
      <c r="C466" s="70" t="s">
        <v>205</v>
      </c>
      <c r="D466" s="70" t="s">
        <v>206</v>
      </c>
      <c r="E466" s="70" t="s">
        <v>404</v>
      </c>
      <c r="F466" s="70" t="s">
        <v>188</v>
      </c>
      <c r="G466" s="70" t="s">
        <v>65</v>
      </c>
      <c r="H466" s="72" t="n">
        <f aca="false">'3 Base Entrada 2008'!G15</f>
        <v>-603</v>
      </c>
      <c r="I466" s="72" t="n">
        <f aca="false">'3 Base Entrada 2008'!L15</f>
        <v>603</v>
      </c>
      <c r="J466" s="72" t="n">
        <v>0</v>
      </c>
      <c r="K466" s="72" t="n">
        <f aca="false">I466-J466</f>
        <v>603</v>
      </c>
      <c r="L466" s="70" t="s">
        <v>207</v>
      </c>
      <c r="M466" s="70"/>
      <c r="N466" s="70"/>
      <c r="O466" s="70"/>
    </row>
    <row r="467" customFormat="false" ht="15" hidden="false" customHeight="false" outlineLevel="0" collapsed="false">
      <c r="A467" s="71" t="n">
        <v>46294</v>
      </c>
      <c r="B467" s="70" t="s">
        <v>1732</v>
      </c>
      <c r="C467" s="70" t="s">
        <v>314</v>
      </c>
      <c r="D467" s="70" t="s">
        <v>315</v>
      </c>
      <c r="E467" s="70" t="s">
        <v>522</v>
      </c>
      <c r="F467" s="70" t="s">
        <v>405</v>
      </c>
      <c r="G467" s="70" t="s">
        <v>65</v>
      </c>
      <c r="H467" s="72" t="n">
        <f aca="false">'3 Base Saídas'!H88</f>
        <v>-2.8</v>
      </c>
      <c r="I467" s="72" t="n">
        <v>0</v>
      </c>
      <c r="J467" s="72" t="n">
        <f aca="false">'3 Base Saídas'!R88</f>
        <v>2.8</v>
      </c>
      <c r="K467" s="72" t="n">
        <f aca="false">I467-J467</f>
        <v>-2.8</v>
      </c>
      <c r="L467" s="70" t="s">
        <v>619</v>
      </c>
      <c r="M467" s="70" t="s">
        <v>621</v>
      </c>
      <c r="N467" s="70" t="s">
        <v>622</v>
      </c>
      <c r="O467" s="70" t="s">
        <v>481</v>
      </c>
    </row>
    <row r="468" customFormat="false" ht="15" hidden="false" customHeight="false" outlineLevel="0" collapsed="false">
      <c r="A468" s="71" t="n">
        <v>46294</v>
      </c>
      <c r="B468" s="70" t="s">
        <v>1732</v>
      </c>
      <c r="C468" s="70" t="s">
        <v>211</v>
      </c>
      <c r="D468" s="70" t="s">
        <v>212</v>
      </c>
      <c r="E468" s="70" t="s">
        <v>740</v>
      </c>
      <c r="F468" s="70" t="s">
        <v>405</v>
      </c>
      <c r="G468" s="70" t="s">
        <v>65</v>
      </c>
      <c r="H468" s="72" t="n">
        <f aca="false">'3 Base Saídas'!H102</f>
        <v>-25</v>
      </c>
      <c r="I468" s="72" t="n">
        <v>0</v>
      </c>
      <c r="J468" s="72" t="n">
        <f aca="false">'3 Base Saídas'!R102</f>
        <v>25</v>
      </c>
      <c r="K468" s="72" t="n">
        <f aca="false">I468-J468</f>
        <v>-25</v>
      </c>
      <c r="L468" s="70" t="s">
        <v>739</v>
      </c>
      <c r="M468" s="70" t="s">
        <v>631</v>
      </c>
      <c r="N468" s="70" t="s">
        <v>632</v>
      </c>
      <c r="O468" s="70" t="s">
        <v>407</v>
      </c>
    </row>
    <row r="469" customFormat="false" ht="15" hidden="false" customHeight="false" outlineLevel="0" collapsed="false">
      <c r="A469" s="71" t="n">
        <v>46294</v>
      </c>
      <c r="B469" s="70" t="s">
        <v>1732</v>
      </c>
      <c r="C469" s="70" t="s">
        <v>211</v>
      </c>
      <c r="D469" s="70" t="s">
        <v>212</v>
      </c>
      <c r="E469" s="70" t="s">
        <v>740</v>
      </c>
      <c r="F469" s="70" t="s">
        <v>405</v>
      </c>
      <c r="G469" s="70" t="s">
        <v>65</v>
      </c>
      <c r="H469" s="72" t="n">
        <f aca="false">'3 Base Saídas'!H103</f>
        <v>-25</v>
      </c>
      <c r="I469" s="72" t="n">
        <v>0</v>
      </c>
      <c r="J469" s="72" t="n">
        <f aca="false">'3 Base Saídas'!R103</f>
        <v>25</v>
      </c>
      <c r="K469" s="72" t="n">
        <f aca="false">I469-J469</f>
        <v>-25</v>
      </c>
      <c r="L469" s="70" t="s">
        <v>742</v>
      </c>
      <c r="M469" s="70" t="s">
        <v>744</v>
      </c>
      <c r="N469" s="70" t="s">
        <v>745</v>
      </c>
      <c r="O469" s="70" t="s">
        <v>407</v>
      </c>
    </row>
    <row r="470" customFormat="false" ht="15" hidden="false" customHeight="false" outlineLevel="0" collapsed="false">
      <c r="A470" s="71" t="n">
        <v>46294</v>
      </c>
      <c r="B470" s="70" t="str">
        <f aca="false">'3 Base Entrada 2008'!K25</f>
        <v>Entrada</v>
      </c>
      <c r="C470" s="70" t="s">
        <v>218</v>
      </c>
      <c r="D470" s="70" t="s">
        <v>219</v>
      </c>
      <c r="E470" s="70" t="s">
        <v>756</v>
      </c>
      <c r="F470" s="70" t="s">
        <v>188</v>
      </c>
      <c r="G470" s="70" t="s">
        <v>65</v>
      </c>
      <c r="H470" s="72" t="n">
        <f aca="false">'3 Base Entrada 2008'!G25</f>
        <v>-540</v>
      </c>
      <c r="I470" s="72" t="n">
        <f aca="false">'3 Base Entrada 2008'!L25</f>
        <v>540</v>
      </c>
      <c r="J470" s="72" t="n">
        <v>0</v>
      </c>
      <c r="K470" s="72" t="n">
        <f aca="false">I470-J470</f>
        <v>540</v>
      </c>
      <c r="L470" s="70" t="s">
        <v>207</v>
      </c>
      <c r="M470" s="70"/>
      <c r="N470" s="70"/>
      <c r="O470" s="70"/>
    </row>
    <row r="471" customFormat="false" ht="15" hidden="false" customHeight="false" outlineLevel="0" collapsed="false">
      <c r="A471" s="71" t="n">
        <v>46294</v>
      </c>
      <c r="B471" s="70" t="str">
        <f aca="false">'3 Base Entrada 2008'!K26</f>
        <v>Entrada</v>
      </c>
      <c r="C471" s="70" t="s">
        <v>218</v>
      </c>
      <c r="D471" s="70" t="s">
        <v>219</v>
      </c>
      <c r="E471" s="70" t="s">
        <v>756</v>
      </c>
      <c r="F471" s="70" t="s">
        <v>188</v>
      </c>
      <c r="G471" s="70" t="s">
        <v>65</v>
      </c>
      <c r="H471" s="72" t="n">
        <f aca="false">'3 Base Entrada 2008'!G26</f>
        <v>-600</v>
      </c>
      <c r="I471" s="72" t="n">
        <f aca="false">'3 Base Entrada 2008'!L26</f>
        <v>600</v>
      </c>
      <c r="J471" s="72" t="n">
        <v>0</v>
      </c>
      <c r="K471" s="72" t="n">
        <f aca="false">I471-J471</f>
        <v>600</v>
      </c>
      <c r="L471" s="70" t="s">
        <v>207</v>
      </c>
      <c r="M471" s="70"/>
      <c r="N471" s="70"/>
      <c r="O471" s="70"/>
    </row>
    <row r="472" customFormat="false" ht="15" hidden="false" customHeight="false" outlineLevel="0" collapsed="false">
      <c r="A472" s="71" t="n">
        <v>46294</v>
      </c>
      <c r="B472" s="70" t="s">
        <v>1732</v>
      </c>
      <c r="C472" s="70" t="s">
        <v>218</v>
      </c>
      <c r="D472" s="70" t="s">
        <v>219</v>
      </c>
      <c r="E472" s="70" t="s">
        <v>756</v>
      </c>
      <c r="F472" s="70" t="s">
        <v>405</v>
      </c>
      <c r="G472" s="70" t="s">
        <v>65</v>
      </c>
      <c r="H472" s="72" t="n">
        <f aca="false">'3 Base Saídas'!H108</f>
        <v>-100</v>
      </c>
      <c r="I472" s="72" t="n">
        <v>0</v>
      </c>
      <c r="J472" s="72" t="n">
        <f aca="false">'3 Base Saídas'!R108</f>
        <v>100</v>
      </c>
      <c r="K472" s="72" t="n">
        <f aca="false">I472-J472</f>
        <v>-100</v>
      </c>
      <c r="L472" s="70" t="s">
        <v>760</v>
      </c>
      <c r="M472" s="70" t="s">
        <v>762</v>
      </c>
      <c r="N472" s="70" t="s">
        <v>763</v>
      </c>
      <c r="O472" s="70" t="s">
        <v>481</v>
      </c>
    </row>
    <row r="473" customFormat="false" ht="15" hidden="false" customHeight="false" outlineLevel="0" collapsed="false">
      <c r="A473" s="71" t="n">
        <v>46294</v>
      </c>
      <c r="B473" s="70" t="str">
        <f aca="false">'3 Base Entrada 2008'!K27</f>
        <v>Entrada</v>
      </c>
      <c r="C473" s="70" t="s">
        <v>220</v>
      </c>
      <c r="D473" s="70" t="s">
        <v>221</v>
      </c>
      <c r="E473" s="70" t="s">
        <v>404</v>
      </c>
      <c r="F473" s="70" t="s">
        <v>188</v>
      </c>
      <c r="G473" s="70" t="s">
        <v>65</v>
      </c>
      <c r="H473" s="72" t="n">
        <f aca="false">'3 Base Entrada 2008'!G27</f>
        <v>-603</v>
      </c>
      <c r="I473" s="72" t="n">
        <f aca="false">'3 Base Entrada 2008'!L27</f>
        <v>603</v>
      </c>
      <c r="J473" s="72" t="n">
        <v>0</v>
      </c>
      <c r="K473" s="72" t="n">
        <f aca="false">I473-J473</f>
        <v>603</v>
      </c>
      <c r="L473" s="70" t="s">
        <v>191</v>
      </c>
      <c r="M473" s="70"/>
      <c r="N473" s="70"/>
      <c r="O473" s="70"/>
    </row>
    <row r="474" customFormat="false" ht="15" hidden="false" customHeight="false" outlineLevel="0" collapsed="false">
      <c r="A474" s="71" t="n">
        <v>46294</v>
      </c>
      <c r="B474" s="70" t="str">
        <f aca="false">'3 Base Entrada 2008'!K28</f>
        <v>Entrada</v>
      </c>
      <c r="C474" s="70" t="s">
        <v>220</v>
      </c>
      <c r="D474" s="70" t="s">
        <v>221</v>
      </c>
      <c r="E474" s="70" t="s">
        <v>404</v>
      </c>
      <c r="F474" s="70" t="s">
        <v>188</v>
      </c>
      <c r="G474" s="70" t="s">
        <v>65</v>
      </c>
      <c r="H474" s="72" t="n">
        <f aca="false">'3 Base Entrada 2008'!G28</f>
        <v>-603</v>
      </c>
      <c r="I474" s="72" t="n">
        <f aca="false">'3 Base Entrada 2008'!L28</f>
        <v>603</v>
      </c>
      <c r="J474" s="72" t="n">
        <v>0</v>
      </c>
      <c r="K474" s="72" t="n">
        <f aca="false">I474-J474</f>
        <v>603</v>
      </c>
      <c r="L474" s="70" t="s">
        <v>191</v>
      </c>
      <c r="M474" s="70"/>
      <c r="N474" s="70"/>
      <c r="O474" s="70"/>
    </row>
    <row r="475" customFormat="false" ht="15" hidden="false" customHeight="false" outlineLevel="0" collapsed="false">
      <c r="A475" s="71" t="n">
        <v>46294</v>
      </c>
      <c r="B475" s="70" t="str">
        <f aca="false">'3 Base Entrada 2008'!K29</f>
        <v>Entrada</v>
      </c>
      <c r="C475" s="70" t="s">
        <v>220</v>
      </c>
      <c r="D475" s="70" t="s">
        <v>221</v>
      </c>
      <c r="E475" s="70" t="s">
        <v>404</v>
      </c>
      <c r="F475" s="70" t="s">
        <v>188</v>
      </c>
      <c r="G475" s="70" t="s">
        <v>65</v>
      </c>
      <c r="H475" s="72" t="n">
        <f aca="false">'3 Base Entrada 2008'!G29</f>
        <v>-603</v>
      </c>
      <c r="I475" s="72" t="n">
        <f aca="false">'3 Base Entrada 2008'!L29</f>
        <v>603</v>
      </c>
      <c r="J475" s="72" t="n">
        <v>0</v>
      </c>
      <c r="K475" s="72" t="n">
        <f aca="false">I475-J475</f>
        <v>603</v>
      </c>
      <c r="L475" s="70" t="s">
        <v>191</v>
      </c>
      <c r="M475" s="70"/>
      <c r="N475" s="70"/>
      <c r="O475" s="70"/>
    </row>
    <row r="476" customFormat="false" ht="15" hidden="false" customHeight="false" outlineLevel="0" collapsed="false">
      <c r="A476" s="71" t="n">
        <v>46294</v>
      </c>
      <c r="B476" s="70" t="str">
        <f aca="false">'3 Base Entrada 2008'!K30</f>
        <v>Entrada</v>
      </c>
      <c r="C476" s="70" t="s">
        <v>220</v>
      </c>
      <c r="D476" s="70" t="s">
        <v>221</v>
      </c>
      <c r="E476" s="70" t="s">
        <v>404</v>
      </c>
      <c r="F476" s="70" t="s">
        <v>188</v>
      </c>
      <c r="G476" s="70" t="s">
        <v>65</v>
      </c>
      <c r="H476" s="72" t="n">
        <f aca="false">'3 Base Entrada 2008'!G30</f>
        <v>-120.6</v>
      </c>
      <c r="I476" s="72" t="n">
        <f aca="false">'3 Base Entrada 2008'!L30</f>
        <v>120.6</v>
      </c>
      <c r="J476" s="72" t="n">
        <v>0</v>
      </c>
      <c r="K476" s="72" t="n">
        <f aca="false">I476-J476</f>
        <v>120.6</v>
      </c>
      <c r="L476" s="70" t="s">
        <v>191</v>
      </c>
      <c r="M476" s="70"/>
      <c r="N476" s="70"/>
      <c r="O476" s="70"/>
    </row>
    <row r="477" customFormat="false" ht="15" hidden="false" customHeight="false" outlineLevel="0" collapsed="false">
      <c r="A477" s="71" t="n">
        <v>46294</v>
      </c>
      <c r="B477" s="70" t="str">
        <f aca="false">'3 Base Entrada 2008'!K31</f>
        <v>Entrada</v>
      </c>
      <c r="C477" s="70" t="s">
        <v>220</v>
      </c>
      <c r="D477" s="70" t="s">
        <v>221</v>
      </c>
      <c r="E477" s="70" t="s">
        <v>404</v>
      </c>
      <c r="F477" s="70" t="s">
        <v>188</v>
      </c>
      <c r="G477" s="70" t="s">
        <v>65</v>
      </c>
      <c r="H477" s="72" t="n">
        <f aca="false">'3 Base Entrada 2008'!G31</f>
        <v>-482.4</v>
      </c>
      <c r="I477" s="72" t="n">
        <f aca="false">'3 Base Entrada 2008'!L31</f>
        <v>482.4</v>
      </c>
      <c r="J477" s="72" t="n">
        <v>0</v>
      </c>
      <c r="K477" s="72" t="n">
        <f aca="false">I477-J477</f>
        <v>482.4</v>
      </c>
      <c r="L477" s="70" t="s">
        <v>191</v>
      </c>
      <c r="M477" s="70"/>
      <c r="N477" s="70"/>
      <c r="O477" s="70"/>
    </row>
    <row r="478" customFormat="false" ht="15" hidden="false" customHeight="false" outlineLevel="0" collapsed="false">
      <c r="A478" s="71" t="n">
        <v>46294</v>
      </c>
      <c r="B478" s="70" t="s">
        <v>1732</v>
      </c>
      <c r="C478" s="70" t="s">
        <v>322</v>
      </c>
      <c r="D478" s="70" t="s">
        <v>323</v>
      </c>
      <c r="E478" s="70" t="s">
        <v>522</v>
      </c>
      <c r="F478" s="70" t="s">
        <v>405</v>
      </c>
      <c r="G478" s="70" t="s">
        <v>65</v>
      </c>
      <c r="H478" s="72" t="n">
        <f aca="false">'3 Base Saídas'!H131</f>
        <v>-28</v>
      </c>
      <c r="I478" s="72" t="n">
        <v>0</v>
      </c>
      <c r="J478" s="72" t="n">
        <f aca="false">'3 Base Saídas'!R131</f>
        <v>28</v>
      </c>
      <c r="K478" s="72" t="n">
        <f aca="false">I478-J478</f>
        <v>-28</v>
      </c>
      <c r="L478" s="70" t="s">
        <v>818</v>
      </c>
      <c r="M478" s="70" t="s">
        <v>820</v>
      </c>
      <c r="N478" s="70" t="s">
        <v>821</v>
      </c>
      <c r="O478" s="70" t="s">
        <v>407</v>
      </c>
    </row>
    <row r="479" customFormat="false" ht="15" hidden="false" customHeight="false" outlineLevel="0" collapsed="false">
      <c r="A479" s="71" t="n">
        <v>46294</v>
      </c>
      <c r="B479" s="70" t="s">
        <v>1732</v>
      </c>
      <c r="C479" s="70" t="s">
        <v>322</v>
      </c>
      <c r="D479" s="70" t="s">
        <v>323</v>
      </c>
      <c r="E479" s="70" t="s">
        <v>522</v>
      </c>
      <c r="F479" s="70" t="s">
        <v>405</v>
      </c>
      <c r="G479" s="70" t="s">
        <v>65</v>
      </c>
      <c r="H479" s="72" t="n">
        <f aca="false">'3 Base Saídas'!H132</f>
        <v>-2.8</v>
      </c>
      <c r="I479" s="72" t="n">
        <v>0</v>
      </c>
      <c r="J479" s="72" t="n">
        <f aca="false">'3 Base Saídas'!R132</f>
        <v>2.8</v>
      </c>
      <c r="K479" s="72" t="n">
        <f aca="false">I479-J479</f>
        <v>-2.8</v>
      </c>
      <c r="L479" s="70" t="s">
        <v>619</v>
      </c>
      <c r="M479" s="70" t="s">
        <v>621</v>
      </c>
      <c r="N479" s="70" t="s">
        <v>622</v>
      </c>
      <c r="O479" s="70" t="s">
        <v>481</v>
      </c>
    </row>
    <row r="480" customFormat="false" ht="15" hidden="false" customHeight="false" outlineLevel="0" collapsed="false">
      <c r="A480" s="71" t="n">
        <v>46294</v>
      </c>
      <c r="B480" s="70" t="str">
        <f aca="false">'3 Base Entrada 2008'!K35</f>
        <v>Entrada</v>
      </c>
      <c r="C480" s="70" t="s">
        <v>225</v>
      </c>
      <c r="D480" s="70" t="s">
        <v>226</v>
      </c>
      <c r="E480" s="70"/>
      <c r="F480" s="70" t="s">
        <v>188</v>
      </c>
      <c r="G480" s="70" t="s">
        <v>65</v>
      </c>
      <c r="H480" s="72" t="n">
        <f aca="false">'3 Base Entrada 2008'!G35</f>
        <v>-1000</v>
      </c>
      <c r="I480" s="72" t="n">
        <f aca="false">'3 Base Entrada 2008'!L35</f>
        <v>1000</v>
      </c>
      <c r="J480" s="72" t="n">
        <v>0</v>
      </c>
      <c r="K480" s="72" t="n">
        <f aca="false">I480-J480</f>
        <v>1000</v>
      </c>
      <c r="L480" s="70" t="s">
        <v>200</v>
      </c>
      <c r="M480" s="70"/>
      <c r="N480" s="70"/>
      <c r="O480" s="70"/>
    </row>
    <row r="481" customFormat="false" ht="15" hidden="false" customHeight="false" outlineLevel="0" collapsed="false">
      <c r="A481" s="71" t="n">
        <v>46294</v>
      </c>
      <c r="B481" s="70" t="s">
        <v>1732</v>
      </c>
      <c r="C481" s="70" t="s">
        <v>227</v>
      </c>
      <c r="D481" s="70" t="s">
        <v>230</v>
      </c>
      <c r="E481" s="70" t="s">
        <v>756</v>
      </c>
      <c r="F481" s="70" t="s">
        <v>405</v>
      </c>
      <c r="G481" s="70" t="s">
        <v>65</v>
      </c>
      <c r="H481" s="72" t="n">
        <f aca="false">'3 Base Saídas'!H179</f>
        <v>-60</v>
      </c>
      <c r="I481" s="72" t="n">
        <v>0</v>
      </c>
      <c r="J481" s="72" t="n">
        <f aca="false">'3 Base Saídas'!R179</f>
        <v>60</v>
      </c>
      <c r="K481" s="72" t="n">
        <f aca="false">I481-J481</f>
        <v>-60</v>
      </c>
      <c r="L481" s="70" t="s">
        <v>910</v>
      </c>
      <c r="M481" s="70" t="s">
        <v>912</v>
      </c>
      <c r="N481" s="70" t="s">
        <v>913</v>
      </c>
      <c r="O481" s="70" t="s">
        <v>481</v>
      </c>
    </row>
    <row r="482" customFormat="false" ht="15" hidden="false" customHeight="false" outlineLevel="0" collapsed="false">
      <c r="A482" s="71" t="n">
        <v>46294</v>
      </c>
      <c r="B482" s="70" t="str">
        <f aca="false">'3 Base Entrada 2008'!K44</f>
        <v>Entrada</v>
      </c>
      <c r="C482" s="70" t="s">
        <v>232</v>
      </c>
      <c r="D482" s="70" t="s">
        <v>239</v>
      </c>
      <c r="E482" s="70" t="s">
        <v>939</v>
      </c>
      <c r="F482" s="70" t="s">
        <v>188</v>
      </c>
      <c r="G482" s="70" t="s">
        <v>146</v>
      </c>
      <c r="H482" s="72" t="n">
        <f aca="false">'3 Base Entrada 2008'!G44</f>
        <v>-30</v>
      </c>
      <c r="I482" s="72" t="n">
        <f aca="false">'3 Base Entrada 2008'!L44</f>
        <v>30</v>
      </c>
      <c r="J482" s="72" t="n">
        <v>0</v>
      </c>
      <c r="K482" s="72" t="n">
        <f aca="false">I482-J482</f>
        <v>30</v>
      </c>
      <c r="L482" s="70" t="s">
        <v>238</v>
      </c>
      <c r="M482" s="70"/>
      <c r="N482" s="70"/>
      <c r="O482" s="70"/>
    </row>
    <row r="483" customFormat="false" ht="15" hidden="false" customHeight="false" outlineLevel="0" collapsed="false">
      <c r="A483" s="71" t="n">
        <v>46294</v>
      </c>
      <c r="B483" s="70" t="str">
        <f aca="false">'3 Base Entrada 2008'!K40</f>
        <v>Entrada</v>
      </c>
      <c r="C483" s="70" t="s">
        <v>232</v>
      </c>
      <c r="D483" s="70" t="s">
        <v>233</v>
      </c>
      <c r="E483" s="70" t="s">
        <v>939</v>
      </c>
      <c r="F483" s="70" t="s">
        <v>188</v>
      </c>
      <c r="G483" s="70" t="s">
        <v>146</v>
      </c>
      <c r="H483" s="72" t="n">
        <f aca="false">'3 Base Entrada 2008'!G40</f>
        <v>-450</v>
      </c>
      <c r="I483" s="72" t="n">
        <f aca="false">'3 Base Entrada 2008'!L40</f>
        <v>450</v>
      </c>
      <c r="J483" s="72" t="n">
        <v>0</v>
      </c>
      <c r="K483" s="72" t="n">
        <f aca="false">I483-J483</f>
        <v>450</v>
      </c>
      <c r="L483" s="70" t="s">
        <v>231</v>
      </c>
      <c r="M483" s="70"/>
      <c r="N483" s="70"/>
      <c r="O483" s="70"/>
    </row>
    <row r="484" customFormat="false" ht="15" hidden="false" customHeight="false" outlineLevel="0" collapsed="false">
      <c r="A484" s="71" t="n">
        <v>46294</v>
      </c>
      <c r="B484" s="70" t="s">
        <v>1732</v>
      </c>
      <c r="C484" s="70" t="s">
        <v>232</v>
      </c>
      <c r="D484" s="70" t="s">
        <v>233</v>
      </c>
      <c r="E484" s="70" t="s">
        <v>939</v>
      </c>
      <c r="F484" s="70" t="s">
        <v>405</v>
      </c>
      <c r="G484" s="70" t="s">
        <v>146</v>
      </c>
      <c r="H484" s="72" t="n">
        <f aca="false">'3 Base Saídas'!H202</f>
        <v>-75</v>
      </c>
      <c r="I484" s="72" t="n">
        <v>0</v>
      </c>
      <c r="J484" s="72" t="n">
        <f aca="false">'3 Base Saídas'!R202</f>
        <v>75</v>
      </c>
      <c r="K484" s="72" t="n">
        <f aca="false">I484-J484</f>
        <v>-75</v>
      </c>
      <c r="L484" s="70" t="s">
        <v>967</v>
      </c>
      <c r="M484" s="70" t="s">
        <v>631</v>
      </c>
      <c r="N484" s="70" t="s">
        <v>632</v>
      </c>
      <c r="O484" s="70" t="s">
        <v>407</v>
      </c>
    </row>
    <row r="485" customFormat="false" ht="15" hidden="false" customHeight="false" outlineLevel="0" collapsed="false">
      <c r="A485" s="71" t="n">
        <v>46294</v>
      </c>
      <c r="B485" s="70" t="s">
        <v>1732</v>
      </c>
      <c r="C485" s="70" t="s">
        <v>232</v>
      </c>
      <c r="D485" s="70" t="s">
        <v>233</v>
      </c>
      <c r="E485" s="70" t="s">
        <v>939</v>
      </c>
      <c r="F485" s="70" t="s">
        <v>405</v>
      </c>
      <c r="G485" s="70" t="s">
        <v>146</v>
      </c>
      <c r="H485" s="72" t="n">
        <f aca="false">'3 Base Saídas'!H203</f>
        <v>-15</v>
      </c>
      <c r="I485" s="72" t="n">
        <v>0</v>
      </c>
      <c r="J485" s="72" t="n">
        <f aca="false">'3 Base Saídas'!R203</f>
        <v>15</v>
      </c>
      <c r="K485" s="72" t="n">
        <f aca="false">I485-J485</f>
        <v>-15</v>
      </c>
      <c r="L485" s="70" t="s">
        <v>969</v>
      </c>
      <c r="M485" s="70" t="s">
        <v>971</v>
      </c>
      <c r="N485" s="70" t="s">
        <v>972</v>
      </c>
      <c r="O485" s="70" t="s">
        <v>407</v>
      </c>
    </row>
    <row r="486" customFormat="false" ht="15" hidden="false" customHeight="false" outlineLevel="0" collapsed="false">
      <c r="A486" s="71" t="n">
        <v>46294</v>
      </c>
      <c r="B486" s="70" t="s">
        <v>1732</v>
      </c>
      <c r="C486" s="70" t="s">
        <v>232</v>
      </c>
      <c r="D486" s="70" t="s">
        <v>233</v>
      </c>
      <c r="E486" s="70" t="s">
        <v>939</v>
      </c>
      <c r="F486" s="70" t="s">
        <v>405</v>
      </c>
      <c r="G486" s="70" t="s">
        <v>146</v>
      </c>
      <c r="H486" s="72" t="n">
        <f aca="false">'3 Base Saídas'!H205</f>
        <v>-15</v>
      </c>
      <c r="I486" s="72" t="n">
        <v>0</v>
      </c>
      <c r="J486" s="72" t="n">
        <f aca="false">'3 Base Saídas'!R205</f>
        <v>15</v>
      </c>
      <c r="K486" s="72" t="n">
        <f aca="false">I486-J486</f>
        <v>-15</v>
      </c>
      <c r="L486" s="70" t="s">
        <v>977</v>
      </c>
      <c r="M486" s="70" t="s">
        <v>979</v>
      </c>
      <c r="N486" s="70" t="s">
        <v>980</v>
      </c>
      <c r="O486" s="70" t="s">
        <v>407</v>
      </c>
    </row>
    <row r="487" customFormat="false" ht="15" hidden="false" customHeight="false" outlineLevel="0" collapsed="false">
      <c r="A487" s="71" t="n">
        <v>46294</v>
      </c>
      <c r="B487" s="70" t="s">
        <v>1732</v>
      </c>
      <c r="C487" s="70" t="s">
        <v>232</v>
      </c>
      <c r="D487" s="70" t="s">
        <v>233</v>
      </c>
      <c r="E487" s="70" t="s">
        <v>939</v>
      </c>
      <c r="F487" s="70" t="s">
        <v>405</v>
      </c>
      <c r="G487" s="70" t="s">
        <v>146</v>
      </c>
      <c r="H487" s="72" t="n">
        <f aca="false">'3 Base Saídas'!H206</f>
        <v>-150</v>
      </c>
      <c r="I487" s="72" t="n">
        <v>0</v>
      </c>
      <c r="J487" s="72" t="n">
        <f aca="false">'3 Base Saídas'!R206</f>
        <v>150</v>
      </c>
      <c r="K487" s="72" t="n">
        <f aca="false">I487-J487</f>
        <v>-150</v>
      </c>
      <c r="L487" s="70" t="s">
        <v>981</v>
      </c>
      <c r="M487" s="70" t="s">
        <v>472</v>
      </c>
      <c r="N487" s="70" t="s">
        <v>473</v>
      </c>
      <c r="O487" s="70" t="s">
        <v>481</v>
      </c>
    </row>
    <row r="488" customFormat="false" ht="15" hidden="false" customHeight="false" outlineLevel="0" collapsed="false">
      <c r="A488" s="71" t="n">
        <v>46294</v>
      </c>
      <c r="B488" s="70" t="str">
        <f aca="false">'3 Base Entrada 2008'!K41</f>
        <v>Entrada</v>
      </c>
      <c r="C488" s="70" t="s">
        <v>232</v>
      </c>
      <c r="D488" s="70" t="s">
        <v>235</v>
      </c>
      <c r="E488" s="70" t="s">
        <v>939</v>
      </c>
      <c r="F488" s="70" t="s">
        <v>188</v>
      </c>
      <c r="G488" s="70" t="s">
        <v>146</v>
      </c>
      <c r="H488" s="72" t="n">
        <f aca="false">'3 Base Entrada 2008'!G41</f>
        <v>-450</v>
      </c>
      <c r="I488" s="72" t="n">
        <f aca="false">'3 Base Entrada 2008'!L41</f>
        <v>450</v>
      </c>
      <c r="J488" s="72" t="n">
        <v>0</v>
      </c>
      <c r="K488" s="72" t="n">
        <f aca="false">I488-J488</f>
        <v>450</v>
      </c>
      <c r="L488" s="70" t="s">
        <v>234</v>
      </c>
      <c r="M488" s="70"/>
      <c r="N488" s="70"/>
      <c r="O488" s="70"/>
    </row>
    <row r="489" customFormat="false" ht="15" hidden="false" customHeight="false" outlineLevel="0" collapsed="false">
      <c r="A489" s="71" t="n">
        <v>46294</v>
      </c>
      <c r="B489" s="70" t="s">
        <v>1732</v>
      </c>
      <c r="C489" s="70" t="s">
        <v>232</v>
      </c>
      <c r="D489" s="70" t="s">
        <v>334</v>
      </c>
      <c r="E489" s="70" t="s">
        <v>939</v>
      </c>
      <c r="F489" s="70" t="s">
        <v>405</v>
      </c>
      <c r="G489" s="70" t="s">
        <v>146</v>
      </c>
      <c r="H489" s="72" t="n">
        <f aca="false">'3 Base Saídas'!H204</f>
        <v>-15</v>
      </c>
      <c r="I489" s="72" t="n">
        <v>0</v>
      </c>
      <c r="J489" s="72" t="n">
        <f aca="false">'3 Base Saídas'!R204</f>
        <v>15</v>
      </c>
      <c r="K489" s="72" t="n">
        <f aca="false">I489-J489</f>
        <v>-15</v>
      </c>
      <c r="L489" s="70" t="s">
        <v>973</v>
      </c>
      <c r="M489" s="70" t="s">
        <v>975</v>
      </c>
      <c r="N489" s="70" t="s">
        <v>976</v>
      </c>
      <c r="O489" s="70" t="s">
        <v>407</v>
      </c>
    </row>
    <row r="490" customFormat="false" ht="15" hidden="false" customHeight="false" outlineLevel="0" collapsed="false">
      <c r="A490" s="71" t="n">
        <v>46294</v>
      </c>
      <c r="B490" s="70" t="str">
        <f aca="false">'3 Base Entrada 2008'!K42</f>
        <v>Entrada</v>
      </c>
      <c r="C490" s="70" t="s">
        <v>232</v>
      </c>
      <c r="D490" s="70" t="s">
        <v>237</v>
      </c>
      <c r="E490" s="70" t="s">
        <v>939</v>
      </c>
      <c r="F490" s="70" t="s">
        <v>188</v>
      </c>
      <c r="G490" s="70" t="s">
        <v>146</v>
      </c>
      <c r="H490" s="72" t="n">
        <f aca="false">'3 Base Entrada 2008'!G42</f>
        <v>-30</v>
      </c>
      <c r="I490" s="72" t="n">
        <f aca="false">'3 Base Entrada 2008'!L42</f>
        <v>30</v>
      </c>
      <c r="J490" s="72" t="n">
        <v>0</v>
      </c>
      <c r="K490" s="72" t="n">
        <f aca="false">I490-J490</f>
        <v>30</v>
      </c>
      <c r="L490" s="70" t="s">
        <v>236</v>
      </c>
      <c r="M490" s="70"/>
      <c r="N490" s="70"/>
      <c r="O490" s="70"/>
    </row>
    <row r="491" customFormat="false" ht="15" hidden="false" customHeight="false" outlineLevel="0" collapsed="false">
      <c r="A491" s="71" t="n">
        <v>46294</v>
      </c>
      <c r="B491" s="70" t="str">
        <f aca="false">'3 Base Entrada 2008'!K43</f>
        <v>Estorno</v>
      </c>
      <c r="C491" s="70" t="s">
        <v>232</v>
      </c>
      <c r="D491" s="70" t="s">
        <v>237</v>
      </c>
      <c r="E491" s="70" t="s">
        <v>939</v>
      </c>
      <c r="F491" s="70" t="s">
        <v>188</v>
      </c>
      <c r="G491" s="70" t="s">
        <v>146</v>
      </c>
      <c r="H491" s="72" t="n">
        <f aca="false">'3 Base Entrada 2008'!G43</f>
        <v>30</v>
      </c>
      <c r="I491" s="72" t="n">
        <f aca="false">'3 Base Entrada 2008'!L43</f>
        <v>-30</v>
      </c>
      <c r="J491" s="72" t="n">
        <v>0</v>
      </c>
      <c r="K491" s="72" t="n">
        <f aca="false">I491-J491</f>
        <v>-30</v>
      </c>
      <c r="L491" s="70" t="s">
        <v>238</v>
      </c>
      <c r="M491" s="70"/>
      <c r="N491" s="70"/>
      <c r="O491" s="70"/>
    </row>
    <row r="492" customFormat="false" ht="15" hidden="false" customHeight="false" outlineLevel="0" collapsed="false">
      <c r="A492" s="71" t="n">
        <v>46294</v>
      </c>
      <c r="B492" s="70" t="str">
        <f aca="false">'3 Base Entrada 2008'!K45</f>
        <v>Entrada</v>
      </c>
      <c r="C492" s="70" t="s">
        <v>232</v>
      </c>
      <c r="D492" s="70" t="s">
        <v>237</v>
      </c>
      <c r="E492" s="70" t="s">
        <v>939</v>
      </c>
      <c r="F492" s="70" t="s">
        <v>188</v>
      </c>
      <c r="G492" s="70" t="s">
        <v>146</v>
      </c>
      <c r="H492" s="72" t="n">
        <f aca="false">'3 Base Entrada 2008'!G45</f>
        <v>-495</v>
      </c>
      <c r="I492" s="72" t="n">
        <f aca="false">'3 Base Entrada 2008'!L45</f>
        <v>495</v>
      </c>
      <c r="J492" s="72" t="n">
        <v>0</v>
      </c>
      <c r="K492" s="72" t="n">
        <f aca="false">I492-J492</f>
        <v>495</v>
      </c>
      <c r="L492" s="70" t="s">
        <v>240</v>
      </c>
      <c r="M492" s="70"/>
      <c r="N492" s="70"/>
      <c r="O492" s="70"/>
    </row>
    <row r="493" customFormat="false" ht="15" hidden="false" customHeight="false" outlineLevel="0" collapsed="false">
      <c r="A493" s="71" t="n">
        <v>46294</v>
      </c>
      <c r="B493" s="70" t="s">
        <v>1732</v>
      </c>
      <c r="C493" s="70" t="s">
        <v>243</v>
      </c>
      <c r="D493" s="70" t="s">
        <v>244</v>
      </c>
      <c r="E493" s="70" t="s">
        <v>1052</v>
      </c>
      <c r="F493" s="70" t="s">
        <v>405</v>
      </c>
      <c r="G493" s="70" t="s">
        <v>65</v>
      </c>
      <c r="H493" s="72" t="n">
        <f aca="false">'3 Base Saídas'!H231</f>
        <v>-18</v>
      </c>
      <c r="I493" s="72" t="n">
        <v>0</v>
      </c>
      <c r="J493" s="72" t="n">
        <f aca="false">'3 Base Saídas'!R231</f>
        <v>18</v>
      </c>
      <c r="K493" s="72" t="n">
        <f aca="false">I493-J493</f>
        <v>-18</v>
      </c>
      <c r="L493" s="70" t="s">
        <v>1051</v>
      </c>
      <c r="M493" s="70" t="s">
        <v>631</v>
      </c>
      <c r="N493" s="70" t="s">
        <v>632</v>
      </c>
      <c r="O493" s="70" t="s">
        <v>407</v>
      </c>
    </row>
    <row r="494" customFormat="false" ht="15" hidden="false" customHeight="false" outlineLevel="0" collapsed="false">
      <c r="A494" s="71" t="n">
        <v>46294</v>
      </c>
      <c r="B494" s="70" t="str">
        <f aca="false">'3 Base Entrada 2008'!K51</f>
        <v>Entrada</v>
      </c>
      <c r="C494" s="70" t="s">
        <v>245</v>
      </c>
      <c r="D494" s="70" t="s">
        <v>246</v>
      </c>
      <c r="E494" s="70" t="s">
        <v>1063</v>
      </c>
      <c r="F494" s="70" t="s">
        <v>188</v>
      </c>
      <c r="G494" s="70" t="s">
        <v>65</v>
      </c>
      <c r="H494" s="72" t="n">
        <f aca="false">'3 Base Entrada 2008'!G51</f>
        <v>-240</v>
      </c>
      <c r="I494" s="72" t="n">
        <f aca="false">'3 Base Entrada 2008'!L51</f>
        <v>240</v>
      </c>
      <c r="J494" s="72" t="n">
        <v>0</v>
      </c>
      <c r="K494" s="72" t="n">
        <f aca="false">I494-J494</f>
        <v>240</v>
      </c>
      <c r="L494" s="70" t="s">
        <v>234</v>
      </c>
      <c r="M494" s="70"/>
      <c r="N494" s="70"/>
      <c r="O494" s="70"/>
    </row>
    <row r="495" customFormat="false" ht="15" hidden="false" customHeight="false" outlineLevel="0" collapsed="false">
      <c r="A495" s="71" t="n">
        <v>46294</v>
      </c>
      <c r="B495" s="70" t="s">
        <v>1732</v>
      </c>
      <c r="C495" s="70" t="s">
        <v>247</v>
      </c>
      <c r="D495" s="70" t="s">
        <v>348</v>
      </c>
      <c r="E495" s="70" t="s">
        <v>404</v>
      </c>
      <c r="F495" s="70" t="s">
        <v>405</v>
      </c>
      <c r="G495" s="70" t="s">
        <v>65</v>
      </c>
      <c r="H495" s="72" t="n">
        <f aca="false">'3 Base Saídas'!H246</f>
        <v>-20.1</v>
      </c>
      <c r="I495" s="72" t="n">
        <v>0</v>
      </c>
      <c r="J495" s="72" t="n">
        <f aca="false">'3 Base Saídas'!R246</f>
        <v>20.1</v>
      </c>
      <c r="K495" s="72" t="n">
        <f aca="false">I495-J495</f>
        <v>-20.1</v>
      </c>
      <c r="L495" s="70" t="s">
        <v>1093</v>
      </c>
      <c r="M495" s="70" t="s">
        <v>975</v>
      </c>
      <c r="N495" s="70" t="s">
        <v>976</v>
      </c>
      <c r="O495" s="70" t="s">
        <v>407</v>
      </c>
    </row>
    <row r="496" customFormat="false" ht="15" hidden="false" customHeight="false" outlineLevel="0" collapsed="false">
      <c r="A496" s="71" t="n">
        <v>46294</v>
      </c>
      <c r="B496" s="70" t="str">
        <f aca="false">'3 Base Entrada 2008'!K52</f>
        <v>Entrada</v>
      </c>
      <c r="C496" s="70" t="s">
        <v>247</v>
      </c>
      <c r="D496" s="70" t="s">
        <v>248</v>
      </c>
      <c r="E496" s="70" t="s">
        <v>404</v>
      </c>
      <c r="F496" s="70" t="s">
        <v>188</v>
      </c>
      <c r="G496" s="70" t="s">
        <v>65</v>
      </c>
      <c r="H496" s="72" t="n">
        <f aca="false">'3 Base Entrada 2008'!G52</f>
        <v>-603</v>
      </c>
      <c r="I496" s="72" t="n">
        <f aca="false">'3 Base Entrada 2008'!L52</f>
        <v>603</v>
      </c>
      <c r="J496" s="72" t="n">
        <v>0</v>
      </c>
      <c r="K496" s="72" t="n">
        <f aca="false">I496-J496</f>
        <v>603</v>
      </c>
      <c r="L496" s="70" t="s">
        <v>231</v>
      </c>
      <c r="M496" s="70"/>
      <c r="N496" s="70"/>
      <c r="O496" s="70"/>
    </row>
    <row r="497" customFormat="false" ht="15" hidden="false" customHeight="false" outlineLevel="0" collapsed="false">
      <c r="A497" s="71" t="n">
        <v>46294</v>
      </c>
      <c r="B497" s="70" t="str">
        <f aca="false">'3 Base Entrada 2008'!K53</f>
        <v>Entrada</v>
      </c>
      <c r="C497" s="70" t="s">
        <v>247</v>
      </c>
      <c r="D497" s="70" t="s">
        <v>248</v>
      </c>
      <c r="E497" s="70" t="s">
        <v>404</v>
      </c>
      <c r="F497" s="70" t="s">
        <v>188</v>
      </c>
      <c r="G497" s="70" t="s">
        <v>65</v>
      </c>
      <c r="H497" s="72" t="n">
        <f aca="false">'3 Base Entrada 2008'!G53</f>
        <v>-321.6</v>
      </c>
      <c r="I497" s="72" t="n">
        <f aca="false">'3 Base Entrada 2008'!L53</f>
        <v>321.6</v>
      </c>
      <c r="J497" s="72" t="n">
        <v>0</v>
      </c>
      <c r="K497" s="72" t="n">
        <f aca="false">I497-J497</f>
        <v>321.6</v>
      </c>
      <c r="L497" s="70" t="s">
        <v>231</v>
      </c>
      <c r="M497" s="70"/>
      <c r="N497" s="70"/>
      <c r="O497" s="70"/>
    </row>
    <row r="498" customFormat="false" ht="15" hidden="false" customHeight="false" outlineLevel="0" collapsed="false">
      <c r="A498" s="71" t="n">
        <v>46294</v>
      </c>
      <c r="B498" s="70" t="s">
        <v>1732</v>
      </c>
      <c r="C498" s="70" t="s">
        <v>247</v>
      </c>
      <c r="D498" s="70" t="s">
        <v>248</v>
      </c>
      <c r="E498" s="70" t="s">
        <v>404</v>
      </c>
      <c r="F498" s="70" t="s">
        <v>405</v>
      </c>
      <c r="G498" s="70" t="s">
        <v>65</v>
      </c>
      <c r="H498" s="72" t="n">
        <f aca="false">'3 Base Saídas'!H247</f>
        <v>-20.1</v>
      </c>
      <c r="I498" s="72" t="n">
        <v>0</v>
      </c>
      <c r="J498" s="72" t="n">
        <f aca="false">'3 Base Saídas'!R247</f>
        <v>20.1</v>
      </c>
      <c r="K498" s="72" t="n">
        <f aca="false">I498-J498</f>
        <v>-20.1</v>
      </c>
      <c r="L498" s="70" t="s">
        <v>1095</v>
      </c>
      <c r="M498" s="70" t="s">
        <v>1097</v>
      </c>
      <c r="N498" s="70" t="s">
        <v>1098</v>
      </c>
      <c r="O498" s="70" t="s">
        <v>407</v>
      </c>
    </row>
    <row r="499" customFormat="false" ht="15" hidden="false" customHeight="false" outlineLevel="0" collapsed="false">
      <c r="A499" s="71" t="n">
        <v>46294</v>
      </c>
      <c r="B499" s="70" t="str">
        <f aca="false">'3 Base Entrada 2008'!K56</f>
        <v>Entrada</v>
      </c>
      <c r="C499" s="70" t="s">
        <v>250</v>
      </c>
      <c r="D499" s="70" t="s">
        <v>251</v>
      </c>
      <c r="E499" s="70" t="s">
        <v>1104</v>
      </c>
      <c r="F499" s="70" t="s">
        <v>188</v>
      </c>
      <c r="G499" s="70" t="s">
        <v>65</v>
      </c>
      <c r="H499" s="72" t="n">
        <f aca="false">'3 Base Entrada 2008'!G56</f>
        <v>-179.2</v>
      </c>
      <c r="I499" s="72" t="n">
        <f aca="false">'3 Base Entrada 2008'!L56</f>
        <v>179.2</v>
      </c>
      <c r="J499" s="72" t="n">
        <v>0</v>
      </c>
      <c r="K499" s="72" t="n">
        <f aca="false">I499-J499</f>
        <v>179.2</v>
      </c>
      <c r="L499" s="70" t="s">
        <v>249</v>
      </c>
      <c r="M499" s="70"/>
      <c r="N499" s="70"/>
      <c r="O499" s="70"/>
    </row>
    <row r="500" customFormat="false" ht="15" hidden="false" customHeight="false" outlineLevel="0" collapsed="false">
      <c r="A500" s="71" t="n">
        <v>46294</v>
      </c>
      <c r="B500" s="70" t="str">
        <f aca="false">'3 Base Entrada 2008'!K57</f>
        <v>Entrada</v>
      </c>
      <c r="C500" s="70" t="s">
        <v>250</v>
      </c>
      <c r="D500" s="70" t="s">
        <v>251</v>
      </c>
      <c r="E500" s="70" t="s">
        <v>1104</v>
      </c>
      <c r="F500" s="70" t="s">
        <v>188</v>
      </c>
      <c r="G500" s="70" t="s">
        <v>65</v>
      </c>
      <c r="H500" s="72" t="n">
        <f aca="false">'3 Base Entrada 2008'!G57</f>
        <v>-313.6</v>
      </c>
      <c r="I500" s="72" t="n">
        <f aca="false">'3 Base Entrada 2008'!L57</f>
        <v>313.6</v>
      </c>
      <c r="J500" s="72" t="n">
        <v>0</v>
      </c>
      <c r="K500" s="72" t="n">
        <f aca="false">I500-J500</f>
        <v>313.6</v>
      </c>
      <c r="L500" s="70" t="s">
        <v>249</v>
      </c>
      <c r="M500" s="70"/>
      <c r="N500" s="70"/>
      <c r="O500" s="70"/>
    </row>
    <row r="501" customFormat="false" ht="15" hidden="false" customHeight="false" outlineLevel="0" collapsed="false">
      <c r="A501" s="71" t="n">
        <v>46294</v>
      </c>
      <c r="B501" s="70" t="str">
        <f aca="false">'3 Base Entrada 2008'!K58</f>
        <v>Entrada</v>
      </c>
      <c r="C501" s="70" t="s">
        <v>250</v>
      </c>
      <c r="D501" s="70" t="s">
        <v>251</v>
      </c>
      <c r="E501" s="70" t="s">
        <v>1104</v>
      </c>
      <c r="F501" s="70" t="s">
        <v>188</v>
      </c>
      <c r="G501" s="70" t="s">
        <v>65</v>
      </c>
      <c r="H501" s="72" t="n">
        <f aca="false">'3 Base Entrada 2008'!G58</f>
        <v>-313.6</v>
      </c>
      <c r="I501" s="72" t="n">
        <f aca="false">'3 Base Entrada 2008'!L58</f>
        <v>313.6</v>
      </c>
      <c r="J501" s="72" t="n">
        <v>0</v>
      </c>
      <c r="K501" s="72" t="n">
        <f aca="false">I501-J501</f>
        <v>313.6</v>
      </c>
      <c r="L501" s="70" t="s">
        <v>249</v>
      </c>
      <c r="M501" s="70"/>
      <c r="N501" s="70"/>
      <c r="O501" s="70"/>
    </row>
    <row r="502" customFormat="false" ht="15" hidden="false" customHeight="false" outlineLevel="0" collapsed="false">
      <c r="A502" s="71" t="n">
        <v>46294</v>
      </c>
      <c r="B502" s="70" t="s">
        <v>1732</v>
      </c>
      <c r="C502" s="70" t="s">
        <v>252</v>
      </c>
      <c r="D502" s="70" t="s">
        <v>253</v>
      </c>
      <c r="E502" s="70" t="s">
        <v>1113</v>
      </c>
      <c r="F502" s="70" t="s">
        <v>405</v>
      </c>
      <c r="G502" s="70" t="s">
        <v>65</v>
      </c>
      <c r="H502" s="72" t="n">
        <f aca="false">'3 Base Saídas'!H254</f>
        <v>-8</v>
      </c>
      <c r="I502" s="72" t="n">
        <v>0</v>
      </c>
      <c r="J502" s="72" t="n">
        <f aca="false">'3 Base Saídas'!R254</f>
        <v>8</v>
      </c>
      <c r="K502" s="72" t="n">
        <f aca="false">I502-J502</f>
        <v>-8</v>
      </c>
      <c r="L502" s="70" t="s">
        <v>1117</v>
      </c>
      <c r="M502" s="70" t="s">
        <v>549</v>
      </c>
      <c r="N502" s="70" t="s">
        <v>550</v>
      </c>
      <c r="O502" s="70" t="s">
        <v>407</v>
      </c>
    </row>
    <row r="503" customFormat="false" ht="15" hidden="false" customHeight="false" outlineLevel="0" collapsed="false">
      <c r="A503" s="71" t="n">
        <v>46294</v>
      </c>
      <c r="B503" s="70" t="str">
        <f aca="false">'3 Base Entrada 2008'!K71</f>
        <v>Entrada</v>
      </c>
      <c r="C503" s="70" t="s">
        <v>266</v>
      </c>
      <c r="D503" s="70" t="s">
        <v>267</v>
      </c>
      <c r="E503" s="70"/>
      <c r="F503" s="70" t="s">
        <v>188</v>
      </c>
      <c r="G503" s="70" t="s">
        <v>65</v>
      </c>
      <c r="H503" s="72" t="n">
        <f aca="false">'3 Base Entrada 2008'!G71</f>
        <v>-432</v>
      </c>
      <c r="I503" s="72" t="n">
        <f aca="false">'3 Base Entrada 2008'!L71</f>
        <v>432</v>
      </c>
      <c r="J503" s="72" t="n">
        <v>0</v>
      </c>
      <c r="K503" s="72" t="n">
        <f aca="false">I503-J503</f>
        <v>432</v>
      </c>
      <c r="L503" s="70" t="s">
        <v>265</v>
      </c>
      <c r="M503" s="70"/>
      <c r="N503" s="70"/>
      <c r="O503" s="70"/>
    </row>
    <row r="504" customFormat="false" ht="15" hidden="false" customHeight="false" outlineLevel="0" collapsed="false">
      <c r="A504" s="71" t="n">
        <v>46294</v>
      </c>
      <c r="B504" s="70" t="s">
        <v>1732</v>
      </c>
      <c r="C504" s="70" t="s">
        <v>269</v>
      </c>
      <c r="D504" s="70" t="s">
        <v>270</v>
      </c>
      <c r="E504" s="70" t="s">
        <v>1206</v>
      </c>
      <c r="F504" s="70" t="s">
        <v>405</v>
      </c>
      <c r="G504" s="70" t="s">
        <v>65</v>
      </c>
      <c r="H504" s="72" t="n">
        <f aca="false">'3 Base Saídas'!H293</f>
        <v>-18</v>
      </c>
      <c r="I504" s="72" t="n">
        <v>0</v>
      </c>
      <c r="J504" s="72" t="n">
        <f aca="false">'3 Base Saídas'!R293</f>
        <v>18</v>
      </c>
      <c r="K504" s="72" t="n">
        <f aca="false">I504-J504</f>
        <v>-18</v>
      </c>
      <c r="L504" s="70" t="s">
        <v>1205</v>
      </c>
      <c r="M504" s="70" t="s">
        <v>1208</v>
      </c>
      <c r="N504" s="70" t="s">
        <v>1209</v>
      </c>
      <c r="O504" s="70" t="s">
        <v>407</v>
      </c>
    </row>
    <row r="505" customFormat="false" ht="15" hidden="false" customHeight="false" outlineLevel="0" collapsed="false">
      <c r="A505" s="71" t="n">
        <v>46294</v>
      </c>
      <c r="B505" s="70" t="s">
        <v>1732</v>
      </c>
      <c r="C505" s="70" t="s">
        <v>271</v>
      </c>
      <c r="D505" s="70" t="s">
        <v>272</v>
      </c>
      <c r="E505" s="70" t="s">
        <v>1225</v>
      </c>
      <c r="F505" s="70" t="s">
        <v>405</v>
      </c>
      <c r="G505" s="70" t="s">
        <v>65</v>
      </c>
      <c r="H505" s="72" t="n">
        <f aca="false">'3 Base Saídas'!H309</f>
        <v>-100</v>
      </c>
      <c r="I505" s="72" t="n">
        <v>0</v>
      </c>
      <c r="J505" s="72" t="n">
        <f aca="false">'3 Base Saídas'!R309</f>
        <v>100</v>
      </c>
      <c r="K505" s="72" t="n">
        <f aca="false">I505-J505</f>
        <v>-100</v>
      </c>
      <c r="L505" s="70" t="s">
        <v>1237</v>
      </c>
      <c r="M505" s="70" t="s">
        <v>423</v>
      </c>
      <c r="N505" s="70" t="s">
        <v>424</v>
      </c>
      <c r="O505" s="70" t="s">
        <v>407</v>
      </c>
    </row>
    <row r="506" customFormat="false" ht="15" hidden="false" customHeight="false" outlineLevel="0" collapsed="false">
      <c r="A506" s="71" t="n">
        <v>46294</v>
      </c>
      <c r="B506" s="70" t="s">
        <v>1732</v>
      </c>
      <c r="C506" s="70" t="s">
        <v>271</v>
      </c>
      <c r="D506" s="70" t="s">
        <v>272</v>
      </c>
      <c r="E506" s="70" t="s">
        <v>1225</v>
      </c>
      <c r="F506" s="70" t="s">
        <v>405</v>
      </c>
      <c r="G506" s="70" t="s">
        <v>65</v>
      </c>
      <c r="H506" s="72" t="n">
        <f aca="false">'3 Base Saídas'!H310</f>
        <v>-10</v>
      </c>
      <c r="I506" s="72" t="n">
        <v>0</v>
      </c>
      <c r="J506" s="72" t="n">
        <f aca="false">'3 Base Saídas'!R310</f>
        <v>10</v>
      </c>
      <c r="K506" s="72" t="n">
        <f aca="false">I506-J506</f>
        <v>-10</v>
      </c>
      <c r="L506" s="70" t="s">
        <v>1095</v>
      </c>
      <c r="M506" s="70" t="s">
        <v>1097</v>
      </c>
      <c r="N506" s="70" t="s">
        <v>1098</v>
      </c>
      <c r="O506" s="70" t="s">
        <v>407</v>
      </c>
    </row>
    <row r="507" customFormat="false" ht="15" hidden="false" customHeight="false" outlineLevel="0" collapsed="false">
      <c r="A507" s="71" t="n">
        <v>46294</v>
      </c>
      <c r="B507" s="70" t="s">
        <v>1732</v>
      </c>
      <c r="C507" s="70" t="s">
        <v>271</v>
      </c>
      <c r="D507" s="70" t="s">
        <v>272</v>
      </c>
      <c r="E507" s="70" t="s">
        <v>1225</v>
      </c>
      <c r="F507" s="70" t="s">
        <v>405</v>
      </c>
      <c r="G507" s="70" t="s">
        <v>65</v>
      </c>
      <c r="H507" s="72" t="n">
        <f aca="false">'3 Base Saídas'!H311</f>
        <v>-10</v>
      </c>
      <c r="I507" s="72" t="n">
        <v>0</v>
      </c>
      <c r="J507" s="72" t="n">
        <f aca="false">'3 Base Saídas'!R311</f>
        <v>10</v>
      </c>
      <c r="K507" s="72" t="n">
        <f aca="false">I507-J507</f>
        <v>-10</v>
      </c>
      <c r="L507" s="70" t="s">
        <v>1239</v>
      </c>
      <c r="M507" s="70" t="s">
        <v>553</v>
      </c>
      <c r="N507" s="70" t="s">
        <v>554</v>
      </c>
      <c r="O507" s="70" t="s">
        <v>407</v>
      </c>
    </row>
    <row r="508" customFormat="false" ht="15" hidden="false" customHeight="false" outlineLevel="0" collapsed="false">
      <c r="A508" s="71" t="n">
        <v>46294</v>
      </c>
      <c r="B508" s="70" t="s">
        <v>1732</v>
      </c>
      <c r="C508" s="70" t="s">
        <v>271</v>
      </c>
      <c r="D508" s="70" t="s">
        <v>272</v>
      </c>
      <c r="E508" s="70" t="s">
        <v>1225</v>
      </c>
      <c r="F508" s="70" t="s">
        <v>405</v>
      </c>
      <c r="G508" s="70" t="s">
        <v>65</v>
      </c>
      <c r="H508" s="72" t="n">
        <f aca="false">'3 Base Saídas'!H312</f>
        <v>-10</v>
      </c>
      <c r="I508" s="72" t="n">
        <v>0</v>
      </c>
      <c r="J508" s="72" t="n">
        <f aca="false">'3 Base Saídas'!R312</f>
        <v>10</v>
      </c>
      <c r="K508" s="72" t="n">
        <f aca="false">I508-J508</f>
        <v>-10</v>
      </c>
      <c r="L508" s="70" t="s">
        <v>1241</v>
      </c>
      <c r="M508" s="70" t="s">
        <v>975</v>
      </c>
      <c r="N508" s="70" t="s">
        <v>976</v>
      </c>
      <c r="O508" s="70" t="s">
        <v>407</v>
      </c>
    </row>
    <row r="509" customFormat="false" ht="15" hidden="false" customHeight="false" outlineLevel="0" collapsed="false">
      <c r="A509" s="71" t="n">
        <v>46294</v>
      </c>
      <c r="B509" s="70" t="s">
        <v>1732</v>
      </c>
      <c r="C509" s="70" t="s">
        <v>271</v>
      </c>
      <c r="D509" s="70" t="s">
        <v>272</v>
      </c>
      <c r="E509" s="70" t="s">
        <v>1225</v>
      </c>
      <c r="F509" s="70" t="s">
        <v>405</v>
      </c>
      <c r="G509" s="70" t="s">
        <v>65</v>
      </c>
      <c r="H509" s="72" t="n">
        <f aca="false">'3 Base Saídas'!H313</f>
        <v>-10</v>
      </c>
      <c r="I509" s="72" t="n">
        <v>0</v>
      </c>
      <c r="J509" s="72" t="n">
        <f aca="false">'3 Base Saídas'!R313</f>
        <v>10</v>
      </c>
      <c r="K509" s="72" t="n">
        <f aca="false">I509-J509</f>
        <v>-10</v>
      </c>
      <c r="L509" s="70" t="s">
        <v>1243</v>
      </c>
      <c r="M509" s="70" t="s">
        <v>1245</v>
      </c>
      <c r="N509" s="70" t="s">
        <v>1246</v>
      </c>
      <c r="O509" s="70" t="s">
        <v>407</v>
      </c>
    </row>
    <row r="510" customFormat="false" ht="15" hidden="false" customHeight="false" outlineLevel="0" collapsed="false">
      <c r="A510" s="71" t="n">
        <v>46294</v>
      </c>
      <c r="B510" s="70" t="s">
        <v>1732</v>
      </c>
      <c r="C510" s="70" t="s">
        <v>271</v>
      </c>
      <c r="D510" s="70" t="s">
        <v>272</v>
      </c>
      <c r="E510" s="70" t="s">
        <v>1225</v>
      </c>
      <c r="F510" s="70" t="s">
        <v>405</v>
      </c>
      <c r="G510" s="70" t="s">
        <v>65</v>
      </c>
      <c r="H510" s="72" t="n">
        <f aca="false">'3 Base Saídas'!H314</f>
        <v>-10</v>
      </c>
      <c r="I510" s="72" t="n">
        <v>0</v>
      </c>
      <c r="J510" s="72" t="n">
        <f aca="false">'3 Base Saídas'!R314</f>
        <v>10</v>
      </c>
      <c r="K510" s="72" t="n">
        <f aca="false">I510-J510</f>
        <v>-10</v>
      </c>
      <c r="L510" s="70" t="s">
        <v>1247</v>
      </c>
      <c r="M510" s="70" t="s">
        <v>1121</v>
      </c>
      <c r="N510" s="70" t="s">
        <v>1122</v>
      </c>
      <c r="O510" s="70" t="s">
        <v>407</v>
      </c>
    </row>
    <row r="511" customFormat="false" ht="15" hidden="false" customHeight="false" outlineLevel="0" collapsed="false">
      <c r="A511" s="71" t="n">
        <v>46294</v>
      </c>
      <c r="B511" s="70" t="s">
        <v>1732</v>
      </c>
      <c r="C511" s="70" t="s">
        <v>271</v>
      </c>
      <c r="D511" s="70" t="s">
        <v>272</v>
      </c>
      <c r="E511" s="70" t="s">
        <v>1225</v>
      </c>
      <c r="F511" s="70" t="s">
        <v>405</v>
      </c>
      <c r="G511" s="70" t="s">
        <v>65</v>
      </c>
      <c r="H511" s="72" t="n">
        <f aca="false">'3 Base Saídas'!H315</f>
        <v>-10</v>
      </c>
      <c r="I511" s="72" t="n">
        <v>0</v>
      </c>
      <c r="J511" s="72" t="n">
        <f aca="false">'3 Base Saídas'!R315</f>
        <v>10</v>
      </c>
      <c r="K511" s="72" t="n">
        <f aca="false">I511-J511</f>
        <v>-10</v>
      </c>
      <c r="L511" s="70" t="s">
        <v>1249</v>
      </c>
      <c r="M511" s="70" t="s">
        <v>1251</v>
      </c>
      <c r="N511" s="70" t="s">
        <v>1252</v>
      </c>
      <c r="O511" s="70" t="s">
        <v>407</v>
      </c>
    </row>
    <row r="512" customFormat="false" ht="15" hidden="false" customHeight="false" outlineLevel="0" collapsed="false">
      <c r="A512" s="71" t="n">
        <v>46294</v>
      </c>
      <c r="B512" s="70" t="s">
        <v>1732</v>
      </c>
      <c r="C512" s="70" t="s">
        <v>271</v>
      </c>
      <c r="D512" s="70" t="s">
        <v>272</v>
      </c>
      <c r="E512" s="70" t="s">
        <v>1225</v>
      </c>
      <c r="F512" s="70" t="s">
        <v>405</v>
      </c>
      <c r="G512" s="70" t="s">
        <v>65</v>
      </c>
      <c r="H512" s="72" t="n">
        <f aca="false">'3 Base Saídas'!H316</f>
        <v>-150</v>
      </c>
      <c r="I512" s="72" t="n">
        <v>0</v>
      </c>
      <c r="J512" s="72" t="n">
        <f aca="false">'3 Base Saídas'!R316</f>
        <v>150</v>
      </c>
      <c r="K512" s="72" t="n">
        <f aca="false">I512-J512</f>
        <v>-150</v>
      </c>
      <c r="L512" s="70" t="s">
        <v>1253</v>
      </c>
      <c r="M512" s="70" t="s">
        <v>472</v>
      </c>
      <c r="N512" s="70" t="s">
        <v>473</v>
      </c>
      <c r="O512" s="70" t="s">
        <v>481</v>
      </c>
    </row>
    <row r="513" customFormat="false" ht="15" hidden="false" customHeight="false" outlineLevel="0" collapsed="false">
      <c r="A513" s="71" t="n">
        <v>46294</v>
      </c>
      <c r="B513" s="70" t="s">
        <v>1732</v>
      </c>
      <c r="C513" s="70" t="s">
        <v>276</v>
      </c>
      <c r="D513" s="70" t="s">
        <v>277</v>
      </c>
      <c r="E513" s="70" t="s">
        <v>404</v>
      </c>
      <c r="F513" s="70" t="s">
        <v>405</v>
      </c>
      <c r="G513" s="70" t="s">
        <v>65</v>
      </c>
      <c r="H513" s="72" t="n">
        <f aca="false">'3 Base Saídas'!H331</f>
        <v>-201</v>
      </c>
      <c r="I513" s="72" t="n">
        <v>0</v>
      </c>
      <c r="J513" s="72" t="n">
        <f aca="false">'3 Base Saídas'!R331</f>
        <v>201</v>
      </c>
      <c r="K513" s="72" t="n">
        <f aca="false">I513-J513</f>
        <v>-201</v>
      </c>
      <c r="L513" s="70" t="s">
        <v>1237</v>
      </c>
      <c r="M513" s="70" t="s">
        <v>423</v>
      </c>
      <c r="N513" s="70" t="s">
        <v>424</v>
      </c>
      <c r="O513" s="70" t="s">
        <v>407</v>
      </c>
    </row>
    <row r="514" customFormat="false" ht="15" hidden="false" customHeight="false" outlineLevel="0" collapsed="false">
      <c r="A514" s="71" t="n">
        <v>46294</v>
      </c>
      <c r="B514" s="70" t="s">
        <v>1732</v>
      </c>
      <c r="C514" s="70" t="s">
        <v>276</v>
      </c>
      <c r="D514" s="70" t="s">
        <v>278</v>
      </c>
      <c r="E514" s="70" t="s">
        <v>404</v>
      </c>
      <c r="F514" s="70" t="s">
        <v>405</v>
      </c>
      <c r="G514" s="70" t="s">
        <v>65</v>
      </c>
      <c r="H514" s="72" t="n">
        <f aca="false">'3 Base Saídas'!H332</f>
        <v>-120.6</v>
      </c>
      <c r="I514" s="72" t="n">
        <v>0</v>
      </c>
      <c r="J514" s="72" t="n">
        <f aca="false">'3 Base Saídas'!R332</f>
        <v>120.6</v>
      </c>
      <c r="K514" s="72" t="n">
        <f aca="false">I514-J514</f>
        <v>-120.6</v>
      </c>
      <c r="L514" s="70" t="s">
        <v>547</v>
      </c>
      <c r="M514" s="70" t="s">
        <v>549</v>
      </c>
      <c r="N514" s="70" t="s">
        <v>550</v>
      </c>
      <c r="O514" s="70" t="s">
        <v>407</v>
      </c>
    </row>
    <row r="515" customFormat="false" ht="15" hidden="false" customHeight="false" outlineLevel="0" collapsed="false">
      <c r="A515" s="71" t="n">
        <v>46294</v>
      </c>
      <c r="B515" s="70" t="s">
        <v>1732</v>
      </c>
      <c r="C515" s="70" t="s">
        <v>276</v>
      </c>
      <c r="D515" s="70" t="s">
        <v>278</v>
      </c>
      <c r="E515" s="70" t="s">
        <v>404</v>
      </c>
      <c r="F515" s="70" t="s">
        <v>405</v>
      </c>
      <c r="G515" s="70" t="s">
        <v>65</v>
      </c>
      <c r="H515" s="72" t="n">
        <f aca="false">'3 Base Saídas'!H333</f>
        <v>-20.1</v>
      </c>
      <c r="I515" s="72" t="n">
        <v>0</v>
      </c>
      <c r="J515" s="72" t="n">
        <f aca="false">'3 Base Saídas'!R333</f>
        <v>20.1</v>
      </c>
      <c r="K515" s="72" t="n">
        <f aca="false">I515-J515</f>
        <v>-20.1</v>
      </c>
      <c r="L515" s="70" t="s">
        <v>1297</v>
      </c>
      <c r="M515" s="70" t="s">
        <v>607</v>
      </c>
      <c r="N515" s="70" t="s">
        <v>608</v>
      </c>
      <c r="O515" s="70" t="s">
        <v>407</v>
      </c>
    </row>
    <row r="516" customFormat="false" ht="15" hidden="false" customHeight="false" outlineLevel="0" collapsed="false">
      <c r="A516" s="71" t="n">
        <v>46294</v>
      </c>
      <c r="B516" s="70" t="s">
        <v>1732</v>
      </c>
      <c r="C516" s="70" t="s">
        <v>380</v>
      </c>
      <c r="D516" s="70" t="s">
        <v>381</v>
      </c>
      <c r="E516" s="70" t="s">
        <v>1349</v>
      </c>
      <c r="F516" s="70" t="s">
        <v>405</v>
      </c>
      <c r="G516" s="70" t="s">
        <v>65</v>
      </c>
      <c r="H516" s="72" t="n">
        <f aca="false">'3 Base Saídas'!H359</f>
        <v>-25</v>
      </c>
      <c r="I516" s="72" t="n">
        <v>0</v>
      </c>
      <c r="J516" s="72" t="n">
        <f aca="false">'3 Base Saídas'!R359</f>
        <v>25</v>
      </c>
      <c r="K516" s="72" t="n">
        <f aca="false">I516-J516</f>
        <v>-25</v>
      </c>
      <c r="L516" s="70" t="s">
        <v>1253</v>
      </c>
      <c r="M516" s="70" t="s">
        <v>472</v>
      </c>
      <c r="N516" s="70" t="s">
        <v>473</v>
      </c>
      <c r="O516" s="70" t="s">
        <v>481</v>
      </c>
    </row>
    <row r="517" customFormat="false" ht="15" hidden="false" customHeight="false" outlineLevel="0" collapsed="false">
      <c r="A517" s="71" t="n">
        <v>46294</v>
      </c>
      <c r="B517" s="70" t="str">
        <f aca="false">'3 Base Entrada 2008'!K88</f>
        <v>Entrada</v>
      </c>
      <c r="C517" s="70" t="s">
        <v>286</v>
      </c>
      <c r="D517" s="70" t="s">
        <v>290</v>
      </c>
      <c r="E517" s="70" t="s">
        <v>1354</v>
      </c>
      <c r="F517" s="70" t="s">
        <v>188</v>
      </c>
      <c r="G517" s="70" t="s">
        <v>147</v>
      </c>
      <c r="H517" s="72" t="n">
        <f aca="false">'3 Base Entrada 2008'!G88</f>
        <v>-120</v>
      </c>
      <c r="I517" s="72" t="n">
        <f aca="false">'3 Base Entrada 2008'!L88</f>
        <v>120</v>
      </c>
      <c r="J517" s="72" t="n">
        <v>0</v>
      </c>
      <c r="K517" s="72" t="n">
        <f aca="false">I517-J517</f>
        <v>120</v>
      </c>
      <c r="L517" s="70" t="s">
        <v>289</v>
      </c>
      <c r="M517" s="70"/>
      <c r="N517" s="70"/>
      <c r="O517" s="70"/>
    </row>
    <row r="518" customFormat="false" ht="15" hidden="false" customHeight="false" outlineLevel="0" collapsed="false">
      <c r="A518" s="71" t="n">
        <v>46294</v>
      </c>
      <c r="B518" s="70" t="s">
        <v>1732</v>
      </c>
      <c r="C518" s="70" t="s">
        <v>286</v>
      </c>
      <c r="D518" s="70" t="s">
        <v>290</v>
      </c>
      <c r="E518" s="70" t="s">
        <v>1354</v>
      </c>
      <c r="F518" s="70" t="s">
        <v>405</v>
      </c>
      <c r="G518" s="70" t="s">
        <v>147</v>
      </c>
      <c r="H518" s="72" t="n">
        <f aca="false">'3 Base Saídas'!H363</f>
        <v>-3</v>
      </c>
      <c r="I518" s="72" t="n">
        <v>0</v>
      </c>
      <c r="J518" s="72" t="n">
        <f aca="false">'3 Base Saídas'!R363</f>
        <v>3</v>
      </c>
      <c r="K518" s="72" t="n">
        <f aca="false">I518-J518</f>
        <v>-3</v>
      </c>
      <c r="L518" s="70" t="s">
        <v>1366</v>
      </c>
      <c r="M518" s="70" t="s">
        <v>472</v>
      </c>
      <c r="N518" s="70" t="s">
        <v>473</v>
      </c>
      <c r="O518" s="70" t="s">
        <v>481</v>
      </c>
    </row>
    <row r="519" customFormat="false" ht="15" hidden="false" customHeight="false" outlineLevel="0" collapsed="false">
      <c r="A519" s="71" t="n">
        <v>46294</v>
      </c>
      <c r="B519" s="70" t="s">
        <v>1732</v>
      </c>
      <c r="C519" s="70" t="s">
        <v>286</v>
      </c>
      <c r="D519" s="70" t="s">
        <v>290</v>
      </c>
      <c r="E519" s="70" t="s">
        <v>1354</v>
      </c>
      <c r="F519" s="70" t="s">
        <v>405</v>
      </c>
      <c r="G519" s="70" t="s">
        <v>147</v>
      </c>
      <c r="H519" s="72" t="n">
        <f aca="false">'3 Base Saídas'!H364</f>
        <v>-12</v>
      </c>
      <c r="I519" s="72" t="n">
        <v>0</v>
      </c>
      <c r="J519" s="72" t="n">
        <f aca="false">'3 Base Saídas'!R364</f>
        <v>12</v>
      </c>
      <c r="K519" s="72" t="n">
        <f aca="false">I519-J519</f>
        <v>-12</v>
      </c>
      <c r="L519" s="70" t="s">
        <v>1368</v>
      </c>
      <c r="M519" s="70" t="s">
        <v>1370</v>
      </c>
      <c r="N519" s="70" t="s">
        <v>1371</v>
      </c>
      <c r="O519" s="70" t="s">
        <v>481</v>
      </c>
    </row>
    <row r="520" customFormat="false" ht="15" hidden="false" customHeight="false" outlineLevel="0" collapsed="false">
      <c r="A520" s="71" t="n">
        <v>46294</v>
      </c>
      <c r="B520" s="70" t="str">
        <f aca="false">'3 Base Entrada 2008'!K89</f>
        <v>Entrada</v>
      </c>
      <c r="C520" s="70" t="s">
        <v>286</v>
      </c>
      <c r="D520" s="70" t="s">
        <v>291</v>
      </c>
      <c r="E520" s="70" t="s">
        <v>1354</v>
      </c>
      <c r="F520" s="70" t="s">
        <v>188</v>
      </c>
      <c r="G520" s="70" t="s">
        <v>147</v>
      </c>
      <c r="H520" s="72" t="n">
        <f aca="false">'3 Base Entrada 2008'!G89</f>
        <v>-120</v>
      </c>
      <c r="I520" s="72" t="n">
        <f aca="false">'3 Base Entrada 2008'!L89</f>
        <v>120</v>
      </c>
      <c r="J520" s="72" t="n">
        <v>0</v>
      </c>
      <c r="K520" s="72" t="n">
        <f aca="false">I520-J520</f>
        <v>120</v>
      </c>
      <c r="L520" s="70" t="s">
        <v>289</v>
      </c>
      <c r="M520" s="70"/>
      <c r="N520" s="70"/>
      <c r="O520" s="70"/>
    </row>
    <row r="521" customFormat="false" ht="15" hidden="false" customHeight="false" outlineLevel="0" collapsed="false">
      <c r="A521" s="71" t="n">
        <v>46294</v>
      </c>
      <c r="B521" s="70" t="str">
        <f aca="false">'3 Base Entrada 2008'!K90</f>
        <v>Entrada</v>
      </c>
      <c r="C521" s="70" t="s">
        <v>286</v>
      </c>
      <c r="D521" s="70" t="s">
        <v>291</v>
      </c>
      <c r="E521" s="70" t="s">
        <v>1354</v>
      </c>
      <c r="F521" s="70" t="s">
        <v>188</v>
      </c>
      <c r="G521" s="70" t="s">
        <v>147</v>
      </c>
      <c r="H521" s="72" t="n">
        <f aca="false">'3 Base Entrada 2008'!G90</f>
        <v>-120</v>
      </c>
      <c r="I521" s="72" t="n">
        <f aca="false">'3 Base Entrada 2008'!L90</f>
        <v>120</v>
      </c>
      <c r="J521" s="72" t="n">
        <v>0</v>
      </c>
      <c r="K521" s="72" t="n">
        <f aca="false">I521-J521</f>
        <v>120</v>
      </c>
      <c r="L521" s="70" t="s">
        <v>292</v>
      </c>
      <c r="M521" s="70"/>
      <c r="N521" s="70"/>
      <c r="O521" s="70"/>
    </row>
    <row r="522" customFormat="false" ht="15" hidden="false" customHeight="false" outlineLevel="0" collapsed="false">
      <c r="A522" s="71" t="n">
        <v>46294</v>
      </c>
      <c r="B522" s="70" t="str">
        <f aca="false">'3 Base Entrada 2008'!K86</f>
        <v>Entrada</v>
      </c>
      <c r="C522" s="70" t="s">
        <v>286</v>
      </c>
      <c r="D522" s="70" t="s">
        <v>287</v>
      </c>
      <c r="E522" s="70" t="s">
        <v>1354</v>
      </c>
      <c r="F522" s="70" t="s">
        <v>188</v>
      </c>
      <c r="G522" s="70" t="s">
        <v>147</v>
      </c>
      <c r="H522" s="72" t="n">
        <f aca="false">'3 Base Entrada 2008'!G86</f>
        <v>-120</v>
      </c>
      <c r="I522" s="72" t="n">
        <f aca="false">'3 Base Entrada 2008'!L86</f>
        <v>120</v>
      </c>
      <c r="J522" s="72" t="n">
        <v>0</v>
      </c>
      <c r="K522" s="72" t="n">
        <f aca="false">I522-J522</f>
        <v>120</v>
      </c>
      <c r="L522" s="70" t="s">
        <v>249</v>
      </c>
      <c r="M522" s="70"/>
      <c r="N522" s="70"/>
      <c r="O522" s="70"/>
    </row>
    <row r="523" customFormat="false" ht="15" hidden="false" customHeight="false" outlineLevel="0" collapsed="false">
      <c r="A523" s="71" t="n">
        <v>46294</v>
      </c>
      <c r="B523" s="70" t="str">
        <f aca="false">'3 Base Entrada 2008'!K87</f>
        <v>Entrada</v>
      </c>
      <c r="C523" s="70" t="s">
        <v>286</v>
      </c>
      <c r="D523" s="70" t="s">
        <v>287</v>
      </c>
      <c r="E523" s="70" t="s">
        <v>1354</v>
      </c>
      <c r="F523" s="70" t="s">
        <v>188</v>
      </c>
      <c r="G523" s="70" t="s">
        <v>147</v>
      </c>
      <c r="H523" s="72" t="n">
        <f aca="false">'3 Base Entrada 2008'!G87</f>
        <v>-120</v>
      </c>
      <c r="I523" s="72" t="n">
        <f aca="false">'3 Base Entrada 2008'!L87</f>
        <v>120</v>
      </c>
      <c r="J523" s="72" t="n">
        <v>0</v>
      </c>
      <c r="K523" s="72" t="n">
        <f aca="false">I523-J523</f>
        <v>120</v>
      </c>
      <c r="L523" s="70" t="s">
        <v>288</v>
      </c>
      <c r="M523" s="70"/>
      <c r="N523" s="70"/>
      <c r="O523" s="70"/>
    </row>
    <row r="524" customFormat="false" ht="15" hidden="false" customHeight="false" outlineLevel="0" collapsed="false">
      <c r="A524" s="71" t="n">
        <v>46294</v>
      </c>
      <c r="B524" s="70" t="s">
        <v>1732</v>
      </c>
      <c r="C524" s="70" t="s">
        <v>301</v>
      </c>
      <c r="D524" s="70" t="s">
        <v>385</v>
      </c>
      <c r="E524" s="70" t="s">
        <v>1377</v>
      </c>
      <c r="F524" s="70" t="s">
        <v>405</v>
      </c>
      <c r="G524" s="70" t="s">
        <v>65</v>
      </c>
      <c r="H524" s="72" t="n">
        <f aca="false">'3 Base Saídas'!H367</f>
        <v>-350</v>
      </c>
      <c r="I524" s="72" t="n">
        <v>0</v>
      </c>
      <c r="J524" s="72" t="n">
        <f aca="false">'3 Base Saídas'!R367</f>
        <v>350</v>
      </c>
      <c r="K524" s="72" t="n">
        <f aca="false">I524-J524</f>
        <v>-350</v>
      </c>
      <c r="L524" s="70" t="s">
        <v>1376</v>
      </c>
      <c r="M524" s="70" t="s">
        <v>1379</v>
      </c>
      <c r="N524" s="70" t="s">
        <v>1380</v>
      </c>
      <c r="O524" s="70" t="s">
        <v>407</v>
      </c>
    </row>
    <row r="525" customFormat="false" ht="15" hidden="false" customHeight="false" outlineLevel="0" collapsed="false">
      <c r="A525" s="71" t="n">
        <v>46294</v>
      </c>
      <c r="B525" s="70" t="s">
        <v>1732</v>
      </c>
      <c r="C525" s="70" t="s">
        <v>301</v>
      </c>
      <c r="D525" s="70" t="s">
        <v>385</v>
      </c>
      <c r="E525" s="70" t="s">
        <v>1377</v>
      </c>
      <c r="F525" s="70" t="s">
        <v>405</v>
      </c>
      <c r="G525" s="70" t="s">
        <v>65</v>
      </c>
      <c r="H525" s="72" t="n">
        <f aca="false">'3 Base Saídas'!H368</f>
        <v>-650</v>
      </c>
      <c r="I525" s="72" t="n">
        <v>0</v>
      </c>
      <c r="J525" s="72" t="n">
        <f aca="false">'3 Base Saídas'!R368</f>
        <v>650</v>
      </c>
      <c r="K525" s="72" t="n">
        <f aca="false">I525-J525</f>
        <v>-650</v>
      </c>
      <c r="L525" s="70" t="s">
        <v>1381</v>
      </c>
      <c r="M525" s="70" t="s">
        <v>1379</v>
      </c>
      <c r="N525" s="70" t="s">
        <v>1380</v>
      </c>
      <c r="O525" s="70" t="s">
        <v>407</v>
      </c>
    </row>
    <row r="526" customFormat="false" ht="15" hidden="false" customHeight="false" outlineLevel="0" collapsed="false">
      <c r="A526" s="71" t="n">
        <v>46294</v>
      </c>
      <c r="B526" s="70" t="str">
        <f aca="false">'3 Base Entrada 2008'!K98</f>
        <v>Entrada</v>
      </c>
      <c r="C526" s="70" t="s">
        <v>301</v>
      </c>
      <c r="D526" s="70" t="s">
        <v>302</v>
      </c>
      <c r="E526" s="70" t="s">
        <v>1377</v>
      </c>
      <c r="F526" s="70" t="s">
        <v>188</v>
      </c>
      <c r="G526" s="70" t="s">
        <v>65</v>
      </c>
      <c r="H526" s="72" t="n">
        <f aca="false">'3 Base Entrada 2008'!G98</f>
        <v>-100</v>
      </c>
      <c r="I526" s="72" t="n">
        <f aca="false">'3 Base Entrada 2008'!L98</f>
        <v>100</v>
      </c>
      <c r="J526" s="72" t="n">
        <v>0</v>
      </c>
      <c r="K526" s="72" t="n">
        <f aca="false">I526-J526</f>
        <v>100</v>
      </c>
      <c r="L526" s="70" t="s">
        <v>303</v>
      </c>
      <c r="M526" s="70"/>
      <c r="N526" s="70"/>
      <c r="O526" s="70"/>
    </row>
    <row r="527" customFormat="false" ht="15" hidden="false" customHeight="false" outlineLevel="0" collapsed="false">
      <c r="A527" s="71" t="n">
        <v>46294</v>
      </c>
      <c r="B527" s="70" t="str">
        <f aca="false">'3 Base Entrada 2008'!K99</f>
        <v>Entrada</v>
      </c>
      <c r="C527" s="70" t="s">
        <v>301</v>
      </c>
      <c r="D527" s="70" t="s">
        <v>302</v>
      </c>
      <c r="E527" s="70" t="s">
        <v>1377</v>
      </c>
      <c r="F527" s="70" t="s">
        <v>188</v>
      </c>
      <c r="G527" s="70" t="s">
        <v>65</v>
      </c>
      <c r="H527" s="72" t="n">
        <f aca="false">'3 Base Entrada 2008'!G99</f>
        <v>-500</v>
      </c>
      <c r="I527" s="72" t="n">
        <f aca="false">'3 Base Entrada 2008'!L99</f>
        <v>500</v>
      </c>
      <c r="J527" s="72" t="n">
        <v>0</v>
      </c>
      <c r="K527" s="72" t="n">
        <f aca="false">I527-J527</f>
        <v>500</v>
      </c>
      <c r="L527" s="70" t="s">
        <v>303</v>
      </c>
      <c r="M527" s="70"/>
      <c r="N527" s="70"/>
      <c r="O527" s="70"/>
    </row>
    <row r="528" customFormat="false" ht="15" hidden="false" customHeight="false" outlineLevel="0" collapsed="false">
      <c r="A528" s="71" t="n">
        <v>46294</v>
      </c>
      <c r="B528" s="70" t="str">
        <f aca="false">'3 Base Entrada 2008'!K100</f>
        <v>Entrada</v>
      </c>
      <c r="C528" s="70" t="s">
        <v>301</v>
      </c>
      <c r="D528" s="70" t="s">
        <v>302</v>
      </c>
      <c r="E528" s="70" t="s">
        <v>1377</v>
      </c>
      <c r="F528" s="70" t="s">
        <v>188</v>
      </c>
      <c r="G528" s="70" t="s">
        <v>65</v>
      </c>
      <c r="H528" s="72" t="n">
        <f aca="false">'3 Base Entrada 2008'!G100</f>
        <v>-500</v>
      </c>
      <c r="I528" s="72" t="n">
        <f aca="false">'3 Base Entrada 2008'!L100</f>
        <v>500</v>
      </c>
      <c r="J528" s="72" t="n">
        <v>0</v>
      </c>
      <c r="K528" s="72" t="n">
        <f aca="false">I528-J528</f>
        <v>500</v>
      </c>
      <c r="L528" s="70" t="s">
        <v>304</v>
      </c>
      <c r="M528" s="70"/>
      <c r="N528" s="70"/>
      <c r="O528" s="70"/>
    </row>
    <row r="529" customFormat="false" ht="15" hidden="false" customHeight="false" outlineLevel="0" collapsed="false">
      <c r="A529" s="71" t="n">
        <v>46294</v>
      </c>
      <c r="B529" s="70" t="str">
        <f aca="false">'3 Base Entrada 2008'!K101</f>
        <v>Entrada</v>
      </c>
      <c r="C529" s="70" t="s">
        <v>301</v>
      </c>
      <c r="D529" s="70" t="s">
        <v>302</v>
      </c>
      <c r="E529" s="70" t="s">
        <v>1377</v>
      </c>
      <c r="F529" s="70" t="s">
        <v>188</v>
      </c>
      <c r="G529" s="70" t="s">
        <v>65</v>
      </c>
      <c r="H529" s="72" t="n">
        <f aca="false">'3 Base Entrada 2008'!G101</f>
        <v>-500</v>
      </c>
      <c r="I529" s="72" t="n">
        <f aca="false">'3 Base Entrada 2008'!L101</f>
        <v>500</v>
      </c>
      <c r="J529" s="72" t="n">
        <v>0</v>
      </c>
      <c r="K529" s="72" t="n">
        <f aca="false">I529-J529</f>
        <v>500</v>
      </c>
      <c r="L529" s="70" t="s">
        <v>304</v>
      </c>
      <c r="M529" s="70"/>
      <c r="N529" s="70"/>
      <c r="O529" s="70"/>
    </row>
    <row r="530" customFormat="false" ht="15" hidden="false" customHeight="false" outlineLevel="0" collapsed="false">
      <c r="A530" s="71" t="n">
        <v>46294</v>
      </c>
      <c r="B530" s="70" t="str">
        <f aca="false">'3 Base Entrada 2008'!K102</f>
        <v>Entrada</v>
      </c>
      <c r="C530" s="70" t="s">
        <v>301</v>
      </c>
      <c r="D530" s="70" t="s">
        <v>302</v>
      </c>
      <c r="E530" s="70" t="s">
        <v>1377</v>
      </c>
      <c r="F530" s="70" t="s">
        <v>188</v>
      </c>
      <c r="G530" s="70" t="s">
        <v>65</v>
      </c>
      <c r="H530" s="72" t="n">
        <f aca="false">'3 Base Entrada 2008'!G102</f>
        <v>-500</v>
      </c>
      <c r="I530" s="72" t="n">
        <f aca="false">'3 Base Entrada 2008'!L102</f>
        <v>500</v>
      </c>
      <c r="J530" s="72" t="n">
        <v>0</v>
      </c>
      <c r="K530" s="72" t="n">
        <f aca="false">I530-J530</f>
        <v>500</v>
      </c>
      <c r="L530" s="70" t="s">
        <v>304</v>
      </c>
      <c r="M530" s="70"/>
      <c r="N530" s="70"/>
      <c r="O530" s="70"/>
    </row>
    <row r="531" customFormat="false" ht="15" hidden="false" customHeight="false" outlineLevel="0" collapsed="false">
      <c r="A531" s="71" t="n">
        <v>46294</v>
      </c>
      <c r="B531" s="70" t="str">
        <f aca="false">'3 Base Entrada 2008'!K103</f>
        <v>Entrada</v>
      </c>
      <c r="C531" s="70" t="s">
        <v>301</v>
      </c>
      <c r="D531" s="70" t="s">
        <v>302</v>
      </c>
      <c r="E531" s="70" t="s">
        <v>1377</v>
      </c>
      <c r="F531" s="70" t="s">
        <v>188</v>
      </c>
      <c r="G531" s="70" t="s">
        <v>65</v>
      </c>
      <c r="H531" s="72" t="n">
        <f aca="false">'3 Base Entrada 2008'!G103</f>
        <v>-500</v>
      </c>
      <c r="I531" s="72" t="n">
        <f aca="false">'3 Base Entrada 2008'!L103</f>
        <v>500</v>
      </c>
      <c r="J531" s="72" t="n">
        <v>0</v>
      </c>
      <c r="K531" s="72" t="n">
        <f aca="false">I531-J531</f>
        <v>500</v>
      </c>
      <c r="L531" s="70" t="s">
        <v>304</v>
      </c>
      <c r="M531" s="70"/>
      <c r="N531" s="70"/>
      <c r="O531" s="70"/>
    </row>
    <row r="532" customFormat="false" ht="15" hidden="false" customHeight="false" outlineLevel="0" collapsed="false">
      <c r="A532" s="71" t="n">
        <v>46294</v>
      </c>
      <c r="B532" s="70" t="str">
        <f aca="false">'3 Base Entrada 2008'!K104</f>
        <v>Entrada</v>
      </c>
      <c r="C532" s="70" t="s">
        <v>301</v>
      </c>
      <c r="D532" s="70" t="s">
        <v>302</v>
      </c>
      <c r="E532" s="70" t="s">
        <v>1377</v>
      </c>
      <c r="F532" s="70" t="s">
        <v>188</v>
      </c>
      <c r="G532" s="70" t="s">
        <v>65</v>
      </c>
      <c r="H532" s="72" t="n">
        <f aca="false">'3 Base Entrada 2008'!G104</f>
        <v>-500</v>
      </c>
      <c r="I532" s="72" t="n">
        <f aca="false">'3 Base Entrada 2008'!L104</f>
        <v>500</v>
      </c>
      <c r="J532" s="72" t="n">
        <v>0</v>
      </c>
      <c r="K532" s="72" t="n">
        <f aca="false">I532-J532</f>
        <v>500</v>
      </c>
      <c r="L532" s="70" t="s">
        <v>304</v>
      </c>
      <c r="M532" s="70"/>
      <c r="N532" s="70"/>
      <c r="O532" s="70"/>
    </row>
    <row r="533" customFormat="false" ht="15" hidden="false" customHeight="false" outlineLevel="0" collapsed="false">
      <c r="A533" s="71" t="n">
        <v>46294</v>
      </c>
      <c r="B533" s="70" t="str">
        <f aca="false">'3 Base Entrada 2008'!K105</f>
        <v>Entrada</v>
      </c>
      <c r="C533" s="70" t="s">
        <v>301</v>
      </c>
      <c r="D533" s="70" t="s">
        <v>302</v>
      </c>
      <c r="E533" s="70" t="s">
        <v>1377</v>
      </c>
      <c r="F533" s="70" t="s">
        <v>188</v>
      </c>
      <c r="G533" s="70" t="s">
        <v>65</v>
      </c>
      <c r="H533" s="72" t="n">
        <f aca="false">'3 Base Entrada 2008'!G105</f>
        <v>-480</v>
      </c>
      <c r="I533" s="72" t="n">
        <f aca="false">'3 Base Entrada 2008'!L105</f>
        <v>480</v>
      </c>
      <c r="J533" s="72" t="n">
        <v>0</v>
      </c>
      <c r="K533" s="72" t="n">
        <f aca="false">I533-J533</f>
        <v>480</v>
      </c>
      <c r="L533" s="70" t="s">
        <v>304</v>
      </c>
      <c r="M533" s="70"/>
      <c r="N533" s="70"/>
      <c r="O533" s="70"/>
    </row>
    <row r="534" customFormat="false" ht="15" hidden="false" customHeight="false" outlineLevel="0" collapsed="false">
      <c r="A534" s="71" t="n">
        <v>46294</v>
      </c>
      <c r="B534" s="70" t="str">
        <f aca="false">'3 Base Entrada 2008'!K106</f>
        <v>Entrada</v>
      </c>
      <c r="C534" s="70" t="s">
        <v>301</v>
      </c>
      <c r="D534" s="70" t="s">
        <v>302</v>
      </c>
      <c r="E534" s="70" t="s">
        <v>1377</v>
      </c>
      <c r="F534" s="70" t="s">
        <v>188</v>
      </c>
      <c r="G534" s="70" t="s">
        <v>65</v>
      </c>
      <c r="H534" s="72" t="n">
        <f aca="false">'3 Base Entrada 2008'!G106</f>
        <v>-200</v>
      </c>
      <c r="I534" s="72" t="n">
        <f aca="false">'3 Base Entrada 2008'!L106</f>
        <v>200</v>
      </c>
      <c r="J534" s="72" t="n">
        <v>0</v>
      </c>
      <c r="K534" s="72" t="n">
        <f aca="false">I534-J534</f>
        <v>200</v>
      </c>
      <c r="L534" s="70" t="s">
        <v>304</v>
      </c>
      <c r="M534" s="70"/>
      <c r="N534" s="70"/>
      <c r="O534" s="70"/>
    </row>
    <row r="535" customFormat="false" ht="15" hidden="false" customHeight="false" outlineLevel="0" collapsed="false">
      <c r="A535" s="71" t="n">
        <v>46294</v>
      </c>
      <c r="B535" s="70" t="str">
        <f aca="false">'3 Base Entrada 2008'!K107</f>
        <v>Entrada</v>
      </c>
      <c r="C535" s="70" t="s">
        <v>301</v>
      </c>
      <c r="D535" s="70" t="s">
        <v>302</v>
      </c>
      <c r="E535" s="70" t="s">
        <v>1377</v>
      </c>
      <c r="F535" s="70" t="s">
        <v>188</v>
      </c>
      <c r="G535" s="70" t="s">
        <v>65</v>
      </c>
      <c r="H535" s="72" t="n">
        <f aca="false">'3 Base Entrada 2008'!G107</f>
        <v>-500</v>
      </c>
      <c r="I535" s="72" t="n">
        <f aca="false">'3 Base Entrada 2008'!L107</f>
        <v>500</v>
      </c>
      <c r="J535" s="72" t="n">
        <v>0</v>
      </c>
      <c r="K535" s="72" t="n">
        <f aca="false">I535-J535</f>
        <v>500</v>
      </c>
      <c r="L535" s="70" t="s">
        <v>304</v>
      </c>
      <c r="M535" s="70"/>
      <c r="N535" s="70"/>
      <c r="O535" s="70"/>
    </row>
    <row r="536" customFormat="false" ht="15" hidden="false" customHeight="false" outlineLevel="0" collapsed="false">
      <c r="A536" s="71" t="n">
        <v>46294</v>
      </c>
      <c r="B536" s="70" t="str">
        <f aca="false">'3 Base Entrada 2008'!K108</f>
        <v>Entrada</v>
      </c>
      <c r="C536" s="70" t="s">
        <v>301</v>
      </c>
      <c r="D536" s="70" t="s">
        <v>302</v>
      </c>
      <c r="E536" s="70" t="s">
        <v>1377</v>
      </c>
      <c r="F536" s="70" t="s">
        <v>188</v>
      </c>
      <c r="G536" s="70" t="s">
        <v>65</v>
      </c>
      <c r="H536" s="72" t="n">
        <f aca="false">'3 Base Entrada 2008'!G108</f>
        <v>-500</v>
      </c>
      <c r="I536" s="72" t="n">
        <f aca="false">'3 Base Entrada 2008'!L108</f>
        <v>500</v>
      </c>
      <c r="J536" s="72" t="n">
        <v>0</v>
      </c>
      <c r="K536" s="72" t="n">
        <f aca="false">I536-J536</f>
        <v>500</v>
      </c>
      <c r="L536" s="70" t="s">
        <v>304</v>
      </c>
      <c r="M536" s="70"/>
      <c r="N536" s="70"/>
      <c r="O536" s="70"/>
    </row>
    <row r="537" customFormat="false" ht="15" hidden="false" customHeight="false" outlineLevel="0" collapsed="false">
      <c r="A537" s="71" t="n">
        <v>46294</v>
      </c>
      <c r="B537" s="70" t="s">
        <v>1732</v>
      </c>
      <c r="C537" s="70" t="s">
        <v>305</v>
      </c>
      <c r="D537" s="70" t="s">
        <v>306</v>
      </c>
      <c r="E537" s="70" t="s">
        <v>1377</v>
      </c>
      <c r="F537" s="70" t="s">
        <v>405</v>
      </c>
      <c r="G537" s="70" t="s">
        <v>65</v>
      </c>
      <c r="H537" s="72" t="n">
        <f aca="false">'3 Base Saídas'!H370</f>
        <v>-10</v>
      </c>
      <c r="I537" s="72" t="n">
        <v>0</v>
      </c>
      <c r="J537" s="72" t="n">
        <f aca="false">'3 Base Saídas'!R370</f>
        <v>10</v>
      </c>
      <c r="K537" s="72" t="n">
        <f aca="false">I537-J537</f>
        <v>-10</v>
      </c>
      <c r="L537" s="70" t="s">
        <v>1385</v>
      </c>
      <c r="M537" s="70" t="s">
        <v>631</v>
      </c>
      <c r="N537" s="70" t="s">
        <v>632</v>
      </c>
      <c r="O537" s="70" t="s">
        <v>407</v>
      </c>
    </row>
    <row r="538" customFormat="false" ht="15" hidden="false" customHeight="false" outlineLevel="0" collapsed="false">
      <c r="A538" s="71" t="n">
        <v>46294</v>
      </c>
      <c r="B538" s="70" t="s">
        <v>1732</v>
      </c>
      <c r="C538" s="70" t="s">
        <v>389</v>
      </c>
      <c r="D538" s="70" t="s">
        <v>390</v>
      </c>
      <c r="E538" s="70" t="s">
        <v>1104</v>
      </c>
      <c r="F538" s="70" t="s">
        <v>405</v>
      </c>
      <c r="G538" s="70" t="s">
        <v>65</v>
      </c>
      <c r="H538" s="72" t="n">
        <f aca="false">'3 Base Saídas'!H379</f>
        <v>-19.6</v>
      </c>
      <c r="I538" s="72" t="n">
        <v>0</v>
      </c>
      <c r="J538" s="72" t="n">
        <f aca="false">'3 Base Saídas'!R379</f>
        <v>19.6</v>
      </c>
      <c r="K538" s="72" t="n">
        <f aca="false">I538-J538</f>
        <v>-19.6</v>
      </c>
      <c r="L538" s="70" t="s">
        <v>818</v>
      </c>
      <c r="M538" s="70" t="s">
        <v>820</v>
      </c>
      <c r="N538" s="70" t="s">
        <v>821</v>
      </c>
      <c r="O538" s="70" t="s">
        <v>407</v>
      </c>
    </row>
    <row r="539" customFormat="false" ht="15" hidden="false" customHeight="false" outlineLevel="0" collapsed="false">
      <c r="A539" s="71" t="n">
        <v>46294</v>
      </c>
      <c r="B539" s="70" t="str">
        <f aca="false">'3 Base Entrada 2008'!K113</f>
        <v>Entrada</v>
      </c>
      <c r="C539" s="70" t="s">
        <v>309</v>
      </c>
      <c r="D539" s="70" t="s">
        <v>310</v>
      </c>
      <c r="E539" s="70" t="s">
        <v>404</v>
      </c>
      <c r="F539" s="70" t="s">
        <v>188</v>
      </c>
      <c r="G539" s="70" t="s">
        <v>65</v>
      </c>
      <c r="H539" s="72" t="n">
        <f aca="false">'3 Base Entrada 2008'!G113</f>
        <v>-482.4</v>
      </c>
      <c r="I539" s="72" t="n">
        <f aca="false">'3 Base Entrada 2008'!L113</f>
        <v>482.4</v>
      </c>
      <c r="J539" s="72" t="n">
        <v>0</v>
      </c>
      <c r="K539" s="72" t="n">
        <f aca="false">I539-J539</f>
        <v>482.4</v>
      </c>
      <c r="L539" s="70" t="s">
        <v>249</v>
      </c>
      <c r="M539" s="70"/>
      <c r="N539" s="70"/>
      <c r="O539" s="70"/>
    </row>
    <row r="540" customFormat="false" ht="15" hidden="false" customHeight="false" outlineLevel="0" collapsed="false">
      <c r="A540" s="71" t="n">
        <v>46294</v>
      </c>
      <c r="B540" s="70" t="s">
        <v>1732</v>
      </c>
      <c r="C540" s="70" t="s">
        <v>309</v>
      </c>
      <c r="D540" s="70" t="s">
        <v>310</v>
      </c>
      <c r="E540" s="70" t="s">
        <v>404</v>
      </c>
      <c r="F540" s="70" t="s">
        <v>405</v>
      </c>
      <c r="G540" s="70" t="s">
        <v>65</v>
      </c>
      <c r="H540" s="72" t="n">
        <f aca="false">'3 Base Saídas'!H381</f>
        <v>-100.5</v>
      </c>
      <c r="I540" s="72" t="n">
        <v>0</v>
      </c>
      <c r="J540" s="72" t="n">
        <f aca="false">'3 Base Saídas'!R381</f>
        <v>100.5</v>
      </c>
      <c r="K540" s="72" t="n">
        <f aca="false">I540-J540</f>
        <v>-100.5</v>
      </c>
      <c r="L540" s="70" t="s">
        <v>1409</v>
      </c>
      <c r="M540" s="70" t="s">
        <v>549</v>
      </c>
      <c r="N540" s="70" t="s">
        <v>550</v>
      </c>
      <c r="O540" s="70" t="s">
        <v>407</v>
      </c>
    </row>
    <row r="541" customFormat="false" ht="15" hidden="false" customHeight="false" outlineLevel="0" collapsed="false">
      <c r="A541" s="71" t="n">
        <v>46294</v>
      </c>
      <c r="B541" s="70" t="s">
        <v>1732</v>
      </c>
      <c r="C541" s="70" t="s">
        <v>309</v>
      </c>
      <c r="D541" s="70" t="s">
        <v>310</v>
      </c>
      <c r="E541" s="70" t="s">
        <v>404</v>
      </c>
      <c r="F541" s="70" t="s">
        <v>405</v>
      </c>
      <c r="G541" s="70" t="s">
        <v>65</v>
      </c>
      <c r="H541" s="72" t="n">
        <f aca="false">'3 Base Saídas'!H382</f>
        <v>-120.6</v>
      </c>
      <c r="I541" s="72" t="n">
        <v>0</v>
      </c>
      <c r="J541" s="72" t="n">
        <f aca="false">'3 Base Saídas'!R382</f>
        <v>120.6</v>
      </c>
      <c r="K541" s="72" t="n">
        <f aca="false">I541-J541</f>
        <v>-120.6</v>
      </c>
      <c r="L541" s="70" t="s">
        <v>1411</v>
      </c>
      <c r="M541" s="70" t="s">
        <v>472</v>
      </c>
      <c r="N541" s="70" t="s">
        <v>473</v>
      </c>
      <c r="O541" s="70" t="s">
        <v>481</v>
      </c>
    </row>
    <row r="542" customFormat="false" ht="15" hidden="false" customHeight="false" outlineLevel="0" collapsed="false">
      <c r="A542" s="71" t="n">
        <v>46295</v>
      </c>
      <c r="B542" s="70" t="s">
        <v>1732</v>
      </c>
      <c r="C542" s="70" t="s">
        <v>192</v>
      </c>
      <c r="D542" s="70" t="s">
        <v>195</v>
      </c>
      <c r="E542" s="70" t="s">
        <v>404</v>
      </c>
      <c r="F542" s="70" t="s">
        <v>405</v>
      </c>
      <c r="G542" s="70" t="s">
        <v>65</v>
      </c>
      <c r="H542" s="72" t="n">
        <f aca="false">'3 Base Saídas'!H2</f>
        <v>-40.2</v>
      </c>
      <c r="I542" s="72" t="n">
        <v>0</v>
      </c>
      <c r="J542" s="72" t="n">
        <f aca="false">'3 Base Saídas'!R2</f>
        <v>40.2</v>
      </c>
      <c r="K542" s="72" t="n">
        <f aca="false">I542-J542</f>
        <v>-40.2</v>
      </c>
      <c r="L542" s="70" t="s">
        <v>403</v>
      </c>
      <c r="M542" s="70" t="s">
        <v>409</v>
      </c>
      <c r="N542" s="70" t="s">
        <v>410</v>
      </c>
      <c r="O542" s="70" t="s">
        <v>407</v>
      </c>
    </row>
    <row r="543" customFormat="false" ht="15" hidden="false" customHeight="false" outlineLevel="0" collapsed="false">
      <c r="A543" s="71" t="n">
        <v>46295</v>
      </c>
      <c r="B543" s="70" t="s">
        <v>1732</v>
      </c>
      <c r="C543" s="70" t="s">
        <v>192</v>
      </c>
      <c r="D543" s="70" t="s">
        <v>195</v>
      </c>
      <c r="E543" s="70" t="s">
        <v>404</v>
      </c>
      <c r="F543" s="70" t="s">
        <v>405</v>
      </c>
      <c r="G543" s="70" t="s">
        <v>65</v>
      </c>
      <c r="H543" s="72" t="n">
        <f aca="false">'3 Base Saídas'!H3</f>
        <v>-60.3</v>
      </c>
      <c r="I543" s="72" t="n">
        <v>0</v>
      </c>
      <c r="J543" s="72" t="n">
        <f aca="false">'3 Base Saídas'!R3</f>
        <v>60.3</v>
      </c>
      <c r="K543" s="72" t="n">
        <f aca="false">I543-J543</f>
        <v>-60.3</v>
      </c>
      <c r="L543" s="70" t="s">
        <v>411</v>
      </c>
      <c r="M543" s="70" t="s">
        <v>413</v>
      </c>
      <c r="N543" s="70" t="s">
        <v>414</v>
      </c>
      <c r="O543" s="70" t="s">
        <v>407</v>
      </c>
    </row>
    <row r="544" customFormat="false" ht="15" hidden="false" customHeight="false" outlineLevel="0" collapsed="false">
      <c r="A544" s="71" t="n">
        <v>46295</v>
      </c>
      <c r="B544" s="70" t="s">
        <v>1732</v>
      </c>
      <c r="C544" s="70" t="s">
        <v>192</v>
      </c>
      <c r="D544" s="70" t="s">
        <v>193</v>
      </c>
      <c r="E544" s="70" t="s">
        <v>404</v>
      </c>
      <c r="F544" s="70" t="s">
        <v>416</v>
      </c>
      <c r="G544" s="70" t="s">
        <v>65</v>
      </c>
      <c r="H544" s="72" t="n">
        <f aca="false">'3 Base Saídas'!H4</f>
        <v>-20.1</v>
      </c>
      <c r="I544" s="72" t="n">
        <v>0</v>
      </c>
      <c r="J544" s="72" t="n">
        <f aca="false">'3 Base Saídas'!R4</f>
        <v>20.1</v>
      </c>
      <c r="K544" s="72" t="n">
        <f aca="false">I544-J544</f>
        <v>-20.1</v>
      </c>
      <c r="L544" s="70" t="s">
        <v>415</v>
      </c>
      <c r="M544" s="70" t="s">
        <v>419</v>
      </c>
      <c r="N544" s="70" t="s">
        <v>420</v>
      </c>
      <c r="O544" s="70" t="s">
        <v>417</v>
      </c>
    </row>
    <row r="545" customFormat="false" ht="15" hidden="false" customHeight="false" outlineLevel="0" collapsed="false">
      <c r="A545" s="71" t="n">
        <v>46295</v>
      </c>
      <c r="B545" s="70" t="s">
        <v>1732</v>
      </c>
      <c r="C545" s="70" t="s">
        <v>198</v>
      </c>
      <c r="D545" s="70" t="s">
        <v>199</v>
      </c>
      <c r="E545" s="70" t="s">
        <v>522</v>
      </c>
      <c r="F545" s="70" t="s">
        <v>405</v>
      </c>
      <c r="G545" s="70" t="s">
        <v>65</v>
      </c>
      <c r="H545" s="72" t="n">
        <f aca="false">'3 Base Saídas'!H32</f>
        <v>-14</v>
      </c>
      <c r="I545" s="72" t="n">
        <v>0</v>
      </c>
      <c r="J545" s="72" t="n">
        <f aca="false">'3 Base Saídas'!R32</f>
        <v>14</v>
      </c>
      <c r="K545" s="72" t="n">
        <f aca="false">I545-J545</f>
        <v>-14</v>
      </c>
      <c r="L545" s="70" t="s">
        <v>527</v>
      </c>
      <c r="M545" s="70" t="s">
        <v>529</v>
      </c>
      <c r="N545" s="70" t="s">
        <v>530</v>
      </c>
      <c r="O545" s="70" t="s">
        <v>444</v>
      </c>
    </row>
    <row r="546" customFormat="false" ht="15" hidden="false" customHeight="false" outlineLevel="0" collapsed="false">
      <c r="A546" s="71" t="n">
        <v>46295</v>
      </c>
      <c r="B546" s="70" t="s">
        <v>1732</v>
      </c>
      <c r="C546" s="70" t="s">
        <v>198</v>
      </c>
      <c r="D546" s="70" t="s">
        <v>199</v>
      </c>
      <c r="E546" s="70" t="s">
        <v>522</v>
      </c>
      <c r="F546" s="70" t="s">
        <v>405</v>
      </c>
      <c r="G546" s="70" t="s">
        <v>65</v>
      </c>
      <c r="H546" s="72" t="n">
        <f aca="false">'3 Base Saídas'!H33</f>
        <v>-2.8</v>
      </c>
      <c r="I546" s="72" t="n">
        <v>0</v>
      </c>
      <c r="J546" s="72" t="n">
        <f aca="false">'3 Base Saídas'!R33</f>
        <v>2.8</v>
      </c>
      <c r="K546" s="72" t="n">
        <f aca="false">I546-J546</f>
        <v>-2.8</v>
      </c>
      <c r="L546" s="70" t="s">
        <v>531</v>
      </c>
      <c r="M546" s="70" t="s">
        <v>533</v>
      </c>
      <c r="N546" s="70" t="s">
        <v>534</v>
      </c>
      <c r="O546" s="70" t="s">
        <v>407</v>
      </c>
    </row>
    <row r="547" customFormat="false" ht="15" hidden="false" customHeight="false" outlineLevel="0" collapsed="false">
      <c r="A547" s="71" t="n">
        <v>46295</v>
      </c>
      <c r="B547" s="70" t="s">
        <v>1732</v>
      </c>
      <c r="C547" s="70" t="s">
        <v>198</v>
      </c>
      <c r="D547" s="70" t="s">
        <v>199</v>
      </c>
      <c r="E547" s="70" t="s">
        <v>522</v>
      </c>
      <c r="F547" s="70" t="s">
        <v>416</v>
      </c>
      <c r="G547" s="70" t="s">
        <v>65</v>
      </c>
      <c r="H547" s="72" t="n">
        <f aca="false">'3 Base Saídas'!H34</f>
        <v>-140</v>
      </c>
      <c r="I547" s="72" t="n">
        <v>0</v>
      </c>
      <c r="J547" s="72" t="n">
        <f aca="false">'3 Base Saídas'!R34</f>
        <v>140</v>
      </c>
      <c r="K547" s="72" t="n">
        <f aca="false">I547-J547</f>
        <v>-140</v>
      </c>
      <c r="L547" s="70" t="s">
        <v>535</v>
      </c>
      <c r="M547" s="70" t="s">
        <v>537</v>
      </c>
      <c r="N547" s="70" t="s">
        <v>538</v>
      </c>
      <c r="O547" s="70" t="s">
        <v>426</v>
      </c>
    </row>
    <row r="548" customFormat="false" ht="15" hidden="false" customHeight="false" outlineLevel="0" collapsed="false">
      <c r="A548" s="71" t="n">
        <v>46295</v>
      </c>
      <c r="B548" s="70" t="s">
        <v>1732</v>
      </c>
      <c r="C548" s="70" t="s">
        <v>198</v>
      </c>
      <c r="D548" s="70" t="s">
        <v>199</v>
      </c>
      <c r="E548" s="70" t="s">
        <v>522</v>
      </c>
      <c r="F548" s="70" t="s">
        <v>405</v>
      </c>
      <c r="G548" s="70" t="s">
        <v>65</v>
      </c>
      <c r="H548" s="72" t="n">
        <f aca="false">'3 Base Saídas'!H35</f>
        <v>-154</v>
      </c>
      <c r="I548" s="72" t="n">
        <v>0</v>
      </c>
      <c r="J548" s="72" t="n">
        <f aca="false">'3 Base Saídas'!R35</f>
        <v>154</v>
      </c>
      <c r="K548" s="72" t="n">
        <f aca="false">I548-J548</f>
        <v>-154</v>
      </c>
      <c r="L548" s="70" t="s">
        <v>539</v>
      </c>
      <c r="M548" s="70" t="s">
        <v>541</v>
      </c>
      <c r="N548" s="70" t="s">
        <v>542</v>
      </c>
      <c r="O548" s="70" t="s">
        <v>407</v>
      </c>
    </row>
    <row r="549" customFormat="false" ht="15" hidden="false" customHeight="false" outlineLevel="0" collapsed="false">
      <c r="A549" s="71" t="n">
        <v>46295</v>
      </c>
      <c r="B549" s="70" t="s">
        <v>1732</v>
      </c>
      <c r="C549" s="70" t="s">
        <v>198</v>
      </c>
      <c r="D549" s="70" t="s">
        <v>199</v>
      </c>
      <c r="E549" s="70" t="s">
        <v>522</v>
      </c>
      <c r="F549" s="70" t="s">
        <v>405</v>
      </c>
      <c r="G549" s="70" t="s">
        <v>65</v>
      </c>
      <c r="H549" s="72" t="n">
        <f aca="false">'3 Base Saídas'!H36</f>
        <v>-2.8</v>
      </c>
      <c r="I549" s="72" t="n">
        <v>0</v>
      </c>
      <c r="J549" s="72" t="n">
        <f aca="false">'3 Base Saídas'!R36</f>
        <v>2.8</v>
      </c>
      <c r="K549" s="72" t="n">
        <f aca="false">I549-J549</f>
        <v>-2.8</v>
      </c>
      <c r="L549" s="70" t="s">
        <v>543</v>
      </c>
      <c r="M549" s="70" t="s">
        <v>545</v>
      </c>
      <c r="N549" s="70" t="s">
        <v>546</v>
      </c>
      <c r="O549" s="70" t="s">
        <v>407</v>
      </c>
    </row>
    <row r="550" customFormat="false" ht="15" hidden="false" customHeight="false" outlineLevel="0" collapsed="false">
      <c r="A550" s="71" t="n">
        <v>46295</v>
      </c>
      <c r="B550" s="70" t="str">
        <f aca="false">'3 Base Entrada 2008'!K10</f>
        <v>Entrada</v>
      </c>
      <c r="C550" s="70" t="s">
        <v>205</v>
      </c>
      <c r="D550" s="70" t="s">
        <v>206</v>
      </c>
      <c r="E550" s="70" t="s">
        <v>404</v>
      </c>
      <c r="F550" s="70" t="s">
        <v>188</v>
      </c>
      <c r="G550" s="70" t="s">
        <v>65</v>
      </c>
      <c r="H550" s="72" t="n">
        <f aca="false">'3 Base Entrada 2008'!G10</f>
        <v>-221.1</v>
      </c>
      <c r="I550" s="72" t="n">
        <f aca="false">'3 Base Entrada 2008'!L10</f>
        <v>221.1</v>
      </c>
      <c r="J550" s="72" t="n">
        <v>0</v>
      </c>
      <c r="K550" s="72" t="n">
        <f aca="false">I550-J550</f>
        <v>221.1</v>
      </c>
      <c r="L550" s="70" t="s">
        <v>204</v>
      </c>
      <c r="M550" s="70"/>
      <c r="N550" s="70"/>
      <c r="O550" s="70"/>
    </row>
    <row r="551" customFormat="false" ht="15" hidden="false" customHeight="false" outlineLevel="0" collapsed="false">
      <c r="A551" s="71" t="n">
        <v>46295</v>
      </c>
      <c r="B551" s="70" t="s">
        <v>1732</v>
      </c>
      <c r="C551" s="70" t="s">
        <v>205</v>
      </c>
      <c r="D551" s="70" t="s">
        <v>206</v>
      </c>
      <c r="E551" s="70" t="s">
        <v>404</v>
      </c>
      <c r="F551" s="70" t="s">
        <v>405</v>
      </c>
      <c r="G551" s="70" t="s">
        <v>65</v>
      </c>
      <c r="H551" s="72" t="n">
        <f aca="false">'3 Base Saídas'!H81</f>
        <v>-1206</v>
      </c>
      <c r="I551" s="72" t="n">
        <v>0</v>
      </c>
      <c r="J551" s="72" t="n">
        <f aca="false">'3 Base Saídas'!R81</f>
        <v>1206</v>
      </c>
      <c r="K551" s="72" t="n">
        <f aca="false">I551-J551</f>
        <v>-1206</v>
      </c>
      <c r="L551" s="70" t="s">
        <v>697</v>
      </c>
      <c r="M551" s="70" t="s">
        <v>699</v>
      </c>
      <c r="N551" s="70" t="s">
        <v>700</v>
      </c>
      <c r="O551" s="70" t="s">
        <v>407</v>
      </c>
    </row>
    <row r="552" customFormat="false" ht="15" hidden="false" customHeight="false" outlineLevel="0" collapsed="false">
      <c r="A552" s="71" t="n">
        <v>46295</v>
      </c>
      <c r="B552" s="70" t="s">
        <v>1732</v>
      </c>
      <c r="C552" s="70" t="s">
        <v>314</v>
      </c>
      <c r="D552" s="70" t="s">
        <v>315</v>
      </c>
      <c r="E552" s="70" t="s">
        <v>522</v>
      </c>
      <c r="F552" s="70" t="s">
        <v>405</v>
      </c>
      <c r="G552" s="70" t="s">
        <v>65</v>
      </c>
      <c r="H552" s="72" t="n">
        <f aca="false">'3 Base Saídas'!H86</f>
        <v>-2.8</v>
      </c>
      <c r="I552" s="72" t="n">
        <v>0</v>
      </c>
      <c r="J552" s="72" t="n">
        <f aca="false">'3 Base Saídas'!R86</f>
        <v>2.8</v>
      </c>
      <c r="K552" s="72" t="n">
        <f aca="false">I552-J552</f>
        <v>-2.8</v>
      </c>
      <c r="L552" s="70" t="s">
        <v>717</v>
      </c>
      <c r="M552" s="70" t="s">
        <v>719</v>
      </c>
      <c r="N552" s="70" t="s">
        <v>720</v>
      </c>
      <c r="O552" s="70" t="s">
        <v>444</v>
      </c>
    </row>
    <row r="553" customFormat="false" ht="15" hidden="false" customHeight="false" outlineLevel="0" collapsed="false">
      <c r="A553" s="71" t="n">
        <v>46295</v>
      </c>
      <c r="B553" s="70" t="s">
        <v>1732</v>
      </c>
      <c r="C553" s="70" t="s">
        <v>314</v>
      </c>
      <c r="D553" s="70" t="s">
        <v>315</v>
      </c>
      <c r="E553" s="70" t="s">
        <v>522</v>
      </c>
      <c r="F553" s="70" t="s">
        <v>416</v>
      </c>
      <c r="G553" s="70" t="s">
        <v>65</v>
      </c>
      <c r="H553" s="72" t="n">
        <f aca="false">'3 Base Saídas'!H87</f>
        <v>-84</v>
      </c>
      <c r="I553" s="72" t="n">
        <v>0</v>
      </c>
      <c r="J553" s="72" t="n">
        <f aca="false">'3 Base Saídas'!R87</f>
        <v>84</v>
      </c>
      <c r="K553" s="72" t="n">
        <f aca="false">I553-J553</f>
        <v>-84</v>
      </c>
      <c r="L553" s="70" t="s">
        <v>535</v>
      </c>
      <c r="M553" s="70" t="s">
        <v>537</v>
      </c>
      <c r="N553" s="70" t="s">
        <v>538</v>
      </c>
      <c r="O553" s="70" t="s">
        <v>426</v>
      </c>
    </row>
    <row r="554" customFormat="false" ht="15" hidden="false" customHeight="false" outlineLevel="0" collapsed="false">
      <c r="A554" s="71" t="n">
        <v>46295</v>
      </c>
      <c r="B554" s="70" t="s">
        <v>1732</v>
      </c>
      <c r="C554" s="70" t="s">
        <v>218</v>
      </c>
      <c r="D554" s="70" t="s">
        <v>219</v>
      </c>
      <c r="E554" s="70" t="s">
        <v>756</v>
      </c>
      <c r="F554" s="70" t="s">
        <v>405</v>
      </c>
      <c r="G554" s="70" t="s">
        <v>65</v>
      </c>
      <c r="H554" s="72" t="n">
        <f aca="false">'3 Base Saídas'!H107</f>
        <v>-100</v>
      </c>
      <c r="I554" s="72" t="n">
        <v>0</v>
      </c>
      <c r="J554" s="72" t="n">
        <f aca="false">'3 Base Saídas'!R107</f>
        <v>100</v>
      </c>
      <c r="K554" s="72" t="n">
        <f aca="false">I554-J554</f>
        <v>-100</v>
      </c>
      <c r="L554" s="70" t="s">
        <v>755</v>
      </c>
      <c r="M554" s="70" t="s">
        <v>758</v>
      </c>
      <c r="N554" s="70" t="s">
        <v>759</v>
      </c>
      <c r="O554" s="70" t="s">
        <v>444</v>
      </c>
    </row>
    <row r="555" customFormat="false" ht="15" hidden="false" customHeight="false" outlineLevel="0" collapsed="false">
      <c r="A555" s="71" t="n">
        <v>46295</v>
      </c>
      <c r="B555" s="70" t="s">
        <v>1732</v>
      </c>
      <c r="C555" s="70" t="s">
        <v>220</v>
      </c>
      <c r="D555" s="70" t="s">
        <v>224</v>
      </c>
      <c r="E555" s="70" t="s">
        <v>404</v>
      </c>
      <c r="F555" s="70" t="s">
        <v>405</v>
      </c>
      <c r="G555" s="70" t="s">
        <v>65</v>
      </c>
      <c r="H555" s="72" t="n">
        <f aca="false">'3 Base Saídas'!H116</f>
        <v>-80.4</v>
      </c>
      <c r="I555" s="72" t="n">
        <v>0</v>
      </c>
      <c r="J555" s="72" t="n">
        <f aca="false">'3 Base Saídas'!R116</f>
        <v>80.4</v>
      </c>
      <c r="K555" s="72" t="n">
        <f aca="false">I555-J555</f>
        <v>-80.4</v>
      </c>
      <c r="L555" s="70" t="s">
        <v>784</v>
      </c>
      <c r="M555" s="70" t="s">
        <v>786</v>
      </c>
      <c r="N555" s="70" t="s">
        <v>787</v>
      </c>
      <c r="O555" s="70" t="s">
        <v>407</v>
      </c>
    </row>
    <row r="556" customFormat="false" ht="15" hidden="false" customHeight="false" outlineLevel="0" collapsed="false">
      <c r="A556" s="71" t="n">
        <v>46295</v>
      </c>
      <c r="B556" s="70" t="s">
        <v>1732</v>
      </c>
      <c r="C556" s="70" t="s">
        <v>322</v>
      </c>
      <c r="D556" s="70" t="s">
        <v>323</v>
      </c>
      <c r="E556" s="70" t="s">
        <v>522</v>
      </c>
      <c r="F556" s="70" t="s">
        <v>405</v>
      </c>
      <c r="G556" s="70" t="s">
        <v>65</v>
      </c>
      <c r="H556" s="72" t="n">
        <f aca="false">'3 Base Saídas'!H128</f>
        <v>-2.8</v>
      </c>
      <c r="I556" s="72" t="n">
        <v>0</v>
      </c>
      <c r="J556" s="72" t="n">
        <f aca="false">'3 Base Saídas'!R128</f>
        <v>2.8</v>
      </c>
      <c r="K556" s="72" t="n">
        <f aca="false">I556-J556</f>
        <v>-2.8</v>
      </c>
      <c r="L556" s="70" t="s">
        <v>810</v>
      </c>
      <c r="M556" s="70" t="s">
        <v>812</v>
      </c>
      <c r="N556" s="70" t="s">
        <v>813</v>
      </c>
      <c r="O556" s="70" t="s">
        <v>444</v>
      </c>
    </row>
    <row r="557" customFormat="false" ht="15" hidden="false" customHeight="false" outlineLevel="0" collapsed="false">
      <c r="A557" s="71" t="n">
        <v>46295</v>
      </c>
      <c r="B557" s="70" t="s">
        <v>1732</v>
      </c>
      <c r="C557" s="70" t="s">
        <v>322</v>
      </c>
      <c r="D557" s="70" t="s">
        <v>323</v>
      </c>
      <c r="E557" s="70" t="s">
        <v>522</v>
      </c>
      <c r="F557" s="70" t="s">
        <v>405</v>
      </c>
      <c r="G557" s="70" t="s">
        <v>65</v>
      </c>
      <c r="H557" s="72" t="n">
        <f aca="false">'3 Base Saídas'!H129</f>
        <v>-2.8</v>
      </c>
      <c r="I557" s="72" t="n">
        <v>0</v>
      </c>
      <c r="J557" s="72" t="n">
        <f aca="false">'3 Base Saídas'!R129</f>
        <v>2.8</v>
      </c>
      <c r="K557" s="72" t="n">
        <f aca="false">I557-J557</f>
        <v>-2.8</v>
      </c>
      <c r="L557" s="70" t="s">
        <v>814</v>
      </c>
      <c r="M557" s="70" t="s">
        <v>816</v>
      </c>
      <c r="N557" s="70" t="s">
        <v>817</v>
      </c>
      <c r="O557" s="70" t="s">
        <v>407</v>
      </c>
    </row>
    <row r="558" customFormat="false" ht="15" hidden="false" customHeight="false" outlineLevel="0" collapsed="false">
      <c r="A558" s="71" t="n">
        <v>46295</v>
      </c>
      <c r="B558" s="70" t="s">
        <v>1732</v>
      </c>
      <c r="C558" s="70" t="s">
        <v>322</v>
      </c>
      <c r="D558" s="70" t="s">
        <v>323</v>
      </c>
      <c r="E558" s="70" t="s">
        <v>522</v>
      </c>
      <c r="F558" s="70" t="s">
        <v>405</v>
      </c>
      <c r="G558" s="70" t="s">
        <v>65</v>
      </c>
      <c r="H558" s="72" t="n">
        <f aca="false">'3 Base Saídas'!H130</f>
        <v>-25.2</v>
      </c>
      <c r="I558" s="72" t="n">
        <v>0</v>
      </c>
      <c r="J558" s="72" t="n">
        <f aca="false">'3 Base Saídas'!R130</f>
        <v>25.2</v>
      </c>
      <c r="K558" s="72" t="n">
        <f aca="false">I558-J558</f>
        <v>-25.2</v>
      </c>
      <c r="L558" s="70" t="s">
        <v>814</v>
      </c>
      <c r="M558" s="70" t="s">
        <v>816</v>
      </c>
      <c r="N558" s="70" t="s">
        <v>817</v>
      </c>
      <c r="O558" s="70" t="s">
        <v>407</v>
      </c>
    </row>
    <row r="559" customFormat="false" ht="15" hidden="false" customHeight="false" outlineLevel="0" collapsed="false">
      <c r="A559" s="71" t="n">
        <v>46295</v>
      </c>
      <c r="B559" s="70" t="s">
        <v>1732</v>
      </c>
      <c r="C559" s="70" t="s">
        <v>227</v>
      </c>
      <c r="D559" s="70" t="s">
        <v>230</v>
      </c>
      <c r="E559" s="70" t="s">
        <v>756</v>
      </c>
      <c r="F559" s="70" t="s">
        <v>405</v>
      </c>
      <c r="G559" s="70" t="s">
        <v>65</v>
      </c>
      <c r="H559" s="72" t="n">
        <f aca="false">'3 Base Saídas'!H178</f>
        <v>-2460</v>
      </c>
      <c r="I559" s="72" t="n">
        <v>0</v>
      </c>
      <c r="J559" s="72" t="n">
        <f aca="false">'3 Base Saídas'!R178</f>
        <v>2460</v>
      </c>
      <c r="K559" s="72" t="n">
        <f aca="false">I559-J559</f>
        <v>-2460</v>
      </c>
      <c r="L559" s="70" t="s">
        <v>908</v>
      </c>
      <c r="M559" s="70" t="s">
        <v>758</v>
      </c>
      <c r="N559" s="70" t="s">
        <v>759</v>
      </c>
      <c r="O559" s="70" t="s">
        <v>444</v>
      </c>
    </row>
    <row r="560" customFormat="false" ht="15" hidden="false" customHeight="false" outlineLevel="0" collapsed="false">
      <c r="A560" s="71" t="n">
        <v>46295</v>
      </c>
      <c r="B560" s="70" t="s">
        <v>1732</v>
      </c>
      <c r="C560" s="70" t="s">
        <v>327</v>
      </c>
      <c r="D560" s="70" t="s">
        <v>329</v>
      </c>
      <c r="E560" s="70" t="s">
        <v>926</v>
      </c>
      <c r="F560" s="70" t="s">
        <v>405</v>
      </c>
      <c r="G560" s="70" t="s">
        <v>65</v>
      </c>
      <c r="H560" s="72" t="n">
        <f aca="false">'3 Base Saídas'!H184</f>
        <v>-30</v>
      </c>
      <c r="I560" s="72" t="n">
        <v>0</v>
      </c>
      <c r="J560" s="72" t="n">
        <f aca="false">'3 Base Saídas'!R184</f>
        <v>30</v>
      </c>
      <c r="K560" s="72" t="n">
        <f aca="false">I560-J560</f>
        <v>-30</v>
      </c>
      <c r="L560" s="70" t="s">
        <v>925</v>
      </c>
      <c r="M560" s="70" t="s">
        <v>928</v>
      </c>
      <c r="N560" s="70" t="s">
        <v>929</v>
      </c>
      <c r="O560" s="70" t="s">
        <v>444</v>
      </c>
    </row>
    <row r="561" customFormat="false" ht="15" hidden="false" customHeight="false" outlineLevel="0" collapsed="false">
      <c r="A561" s="71" t="n">
        <v>46295</v>
      </c>
      <c r="B561" s="70" t="s">
        <v>1732</v>
      </c>
      <c r="C561" s="70" t="s">
        <v>327</v>
      </c>
      <c r="D561" s="70" t="s">
        <v>329</v>
      </c>
      <c r="E561" s="70" t="s">
        <v>926</v>
      </c>
      <c r="F561" s="70" t="s">
        <v>405</v>
      </c>
      <c r="G561" s="70" t="s">
        <v>65</v>
      </c>
      <c r="H561" s="72" t="n">
        <f aca="false">'3 Base Saídas'!H185</f>
        <v>-10</v>
      </c>
      <c r="I561" s="72" t="n">
        <v>0</v>
      </c>
      <c r="J561" s="72" t="n">
        <f aca="false">'3 Base Saídas'!R185</f>
        <v>10</v>
      </c>
      <c r="K561" s="72" t="n">
        <f aca="false">I561-J561</f>
        <v>-10</v>
      </c>
      <c r="L561" s="70" t="s">
        <v>930</v>
      </c>
      <c r="M561" s="70" t="s">
        <v>932</v>
      </c>
      <c r="N561" s="70" t="s">
        <v>933</v>
      </c>
      <c r="O561" s="70" t="s">
        <v>444</v>
      </c>
    </row>
    <row r="562" customFormat="false" ht="15" hidden="false" customHeight="false" outlineLevel="0" collapsed="false">
      <c r="A562" s="71" t="n">
        <v>46295</v>
      </c>
      <c r="B562" s="70" t="s">
        <v>1732</v>
      </c>
      <c r="C562" s="70" t="s">
        <v>327</v>
      </c>
      <c r="D562" s="70" t="s">
        <v>328</v>
      </c>
      <c r="E562" s="70" t="s">
        <v>926</v>
      </c>
      <c r="F562" s="70" t="s">
        <v>405</v>
      </c>
      <c r="G562" s="70" t="s">
        <v>65</v>
      </c>
      <c r="H562" s="72" t="n">
        <f aca="false">'3 Base Saídas'!H186</f>
        <v>-240</v>
      </c>
      <c r="I562" s="72" t="n">
        <v>0</v>
      </c>
      <c r="J562" s="72" t="n">
        <f aca="false">'3 Base Saídas'!R186</f>
        <v>240</v>
      </c>
      <c r="K562" s="72" t="n">
        <f aca="false">I562-J562</f>
        <v>-240</v>
      </c>
      <c r="L562" s="70" t="s">
        <v>930</v>
      </c>
      <c r="M562" s="70" t="s">
        <v>932</v>
      </c>
      <c r="N562" s="70" t="s">
        <v>933</v>
      </c>
      <c r="O562" s="70" t="s">
        <v>444</v>
      </c>
    </row>
    <row r="563" customFormat="false" ht="15" hidden="false" customHeight="false" outlineLevel="0" collapsed="false">
      <c r="A563" s="71" t="n">
        <v>46295</v>
      </c>
      <c r="B563" s="70" t="s">
        <v>1732</v>
      </c>
      <c r="C563" s="70" t="s">
        <v>232</v>
      </c>
      <c r="D563" s="70" t="s">
        <v>241</v>
      </c>
      <c r="E563" s="70" t="s">
        <v>939</v>
      </c>
      <c r="F563" s="70" t="s">
        <v>405</v>
      </c>
      <c r="G563" s="70" t="s">
        <v>146</v>
      </c>
      <c r="H563" s="72" t="n">
        <f aca="false">'3 Base Saídas'!H192</f>
        <v>-195</v>
      </c>
      <c r="I563" s="72" t="n">
        <v>0</v>
      </c>
      <c r="J563" s="72" t="n">
        <f aca="false">'3 Base Saídas'!R192</f>
        <v>195</v>
      </c>
      <c r="K563" s="72" t="n">
        <f aca="false">I563-J563</f>
        <v>-195</v>
      </c>
      <c r="L563" s="70" t="s">
        <v>945</v>
      </c>
      <c r="M563" s="70" t="s">
        <v>816</v>
      </c>
      <c r="N563" s="70" t="s">
        <v>817</v>
      </c>
      <c r="O563" s="70" t="s">
        <v>407</v>
      </c>
    </row>
    <row r="564" customFormat="false" ht="15" hidden="false" customHeight="false" outlineLevel="0" collapsed="false">
      <c r="A564" s="71" t="n">
        <v>46295</v>
      </c>
      <c r="B564" s="70" t="s">
        <v>1732</v>
      </c>
      <c r="C564" s="70" t="s">
        <v>232</v>
      </c>
      <c r="D564" s="70" t="s">
        <v>233</v>
      </c>
      <c r="E564" s="70" t="s">
        <v>939</v>
      </c>
      <c r="F564" s="70" t="s">
        <v>405</v>
      </c>
      <c r="G564" s="70" t="s">
        <v>146</v>
      </c>
      <c r="H564" s="72" t="n">
        <f aca="false">'3 Base Saídas'!H193</f>
        <v>-15</v>
      </c>
      <c r="I564" s="72" t="n">
        <v>0</v>
      </c>
      <c r="J564" s="72" t="n">
        <f aca="false">'3 Base Saídas'!R193</f>
        <v>15</v>
      </c>
      <c r="K564" s="72" t="n">
        <f aca="false">I564-J564</f>
        <v>-15</v>
      </c>
      <c r="L564" s="70" t="s">
        <v>947</v>
      </c>
      <c r="M564" s="70" t="s">
        <v>949</v>
      </c>
      <c r="N564" s="70" t="s">
        <v>950</v>
      </c>
      <c r="O564" s="70" t="s">
        <v>407</v>
      </c>
    </row>
    <row r="565" customFormat="false" ht="15" hidden="false" customHeight="false" outlineLevel="0" collapsed="false">
      <c r="A565" s="71" t="n">
        <v>46295</v>
      </c>
      <c r="B565" s="70" t="s">
        <v>1732</v>
      </c>
      <c r="C565" s="70" t="s">
        <v>232</v>
      </c>
      <c r="D565" s="70" t="s">
        <v>233</v>
      </c>
      <c r="E565" s="70" t="s">
        <v>939</v>
      </c>
      <c r="F565" s="70" t="s">
        <v>405</v>
      </c>
      <c r="G565" s="70" t="s">
        <v>146</v>
      </c>
      <c r="H565" s="72" t="n">
        <f aca="false">'3 Base Saídas'!H196</f>
        <v>-45</v>
      </c>
      <c r="I565" s="72" t="n">
        <v>0</v>
      </c>
      <c r="J565" s="72" t="n">
        <f aca="false">'3 Base Saídas'!R196</f>
        <v>45</v>
      </c>
      <c r="K565" s="72" t="n">
        <f aca="false">I565-J565</f>
        <v>-45</v>
      </c>
      <c r="L565" s="70" t="s">
        <v>955</v>
      </c>
      <c r="M565" s="70" t="s">
        <v>842</v>
      </c>
      <c r="N565" s="70" t="s">
        <v>843</v>
      </c>
      <c r="O565" s="70" t="s">
        <v>407</v>
      </c>
    </row>
    <row r="566" customFormat="false" ht="15" hidden="false" customHeight="false" outlineLevel="0" collapsed="false">
      <c r="A566" s="71" t="n">
        <v>46295</v>
      </c>
      <c r="B566" s="70" t="s">
        <v>1732</v>
      </c>
      <c r="C566" s="70" t="s">
        <v>232</v>
      </c>
      <c r="D566" s="70" t="s">
        <v>233</v>
      </c>
      <c r="E566" s="70" t="s">
        <v>939</v>
      </c>
      <c r="F566" s="70" t="s">
        <v>405</v>
      </c>
      <c r="G566" s="70" t="s">
        <v>146</v>
      </c>
      <c r="H566" s="72" t="n">
        <f aca="false">'3 Base Saídas'!H199</f>
        <v>-165</v>
      </c>
      <c r="I566" s="72" t="n">
        <v>0</v>
      </c>
      <c r="J566" s="72" t="n">
        <f aca="false">'3 Base Saídas'!R199</f>
        <v>165</v>
      </c>
      <c r="K566" s="72" t="n">
        <f aca="false">I566-J566</f>
        <v>-165</v>
      </c>
      <c r="L566" s="70" t="s">
        <v>961</v>
      </c>
      <c r="M566" s="70" t="s">
        <v>953</v>
      </c>
      <c r="N566" s="70" t="s">
        <v>954</v>
      </c>
      <c r="O566" s="70" t="s">
        <v>407</v>
      </c>
    </row>
    <row r="567" customFormat="false" ht="15" hidden="false" customHeight="false" outlineLevel="0" collapsed="false">
      <c r="A567" s="71" t="n">
        <v>46295</v>
      </c>
      <c r="B567" s="70" t="s">
        <v>1732</v>
      </c>
      <c r="C567" s="70" t="s">
        <v>232</v>
      </c>
      <c r="D567" s="70" t="s">
        <v>233</v>
      </c>
      <c r="E567" s="70" t="s">
        <v>939</v>
      </c>
      <c r="F567" s="70" t="s">
        <v>405</v>
      </c>
      <c r="G567" s="70" t="s">
        <v>146</v>
      </c>
      <c r="H567" s="72" t="n">
        <f aca="false">'3 Base Saídas'!H200</f>
        <v>-75</v>
      </c>
      <c r="I567" s="72" t="n">
        <v>0</v>
      </c>
      <c r="J567" s="72" t="n">
        <f aca="false">'3 Base Saídas'!R200</f>
        <v>75</v>
      </c>
      <c r="K567" s="72" t="n">
        <f aca="false">I567-J567</f>
        <v>-75</v>
      </c>
      <c r="L567" s="70" t="s">
        <v>963</v>
      </c>
      <c r="M567" s="70" t="s">
        <v>965</v>
      </c>
      <c r="N567" s="70" t="s">
        <v>966</v>
      </c>
      <c r="O567" s="70" t="s">
        <v>407</v>
      </c>
    </row>
    <row r="568" customFormat="false" ht="15" hidden="false" customHeight="false" outlineLevel="0" collapsed="false">
      <c r="A568" s="71" t="n">
        <v>46295</v>
      </c>
      <c r="B568" s="70" t="s">
        <v>1732</v>
      </c>
      <c r="C568" s="70" t="s">
        <v>232</v>
      </c>
      <c r="D568" s="70" t="s">
        <v>235</v>
      </c>
      <c r="E568" s="70" t="s">
        <v>939</v>
      </c>
      <c r="F568" s="70" t="s">
        <v>405</v>
      </c>
      <c r="G568" s="70" t="s">
        <v>146</v>
      </c>
      <c r="H568" s="72" t="n">
        <f aca="false">'3 Base Saídas'!H194</f>
        <v>-450</v>
      </c>
      <c r="I568" s="72" t="n">
        <v>0</v>
      </c>
      <c r="J568" s="72" t="n">
        <f aca="false">'3 Base Saídas'!R194</f>
        <v>450</v>
      </c>
      <c r="K568" s="72" t="n">
        <f aca="false">I568-J568</f>
        <v>-450</v>
      </c>
      <c r="L568" s="70" t="s">
        <v>951</v>
      </c>
      <c r="M568" s="70" t="s">
        <v>953</v>
      </c>
      <c r="N568" s="70" t="s">
        <v>954</v>
      </c>
      <c r="O568" s="70" t="s">
        <v>407</v>
      </c>
    </row>
    <row r="569" customFormat="false" ht="15" hidden="false" customHeight="false" outlineLevel="0" collapsed="false">
      <c r="A569" s="71" t="n">
        <v>46295</v>
      </c>
      <c r="B569" s="70" t="s">
        <v>1732</v>
      </c>
      <c r="C569" s="70" t="s">
        <v>232</v>
      </c>
      <c r="D569" s="70" t="s">
        <v>334</v>
      </c>
      <c r="E569" s="70" t="s">
        <v>939</v>
      </c>
      <c r="F569" s="70" t="s">
        <v>405</v>
      </c>
      <c r="G569" s="70" t="s">
        <v>146</v>
      </c>
      <c r="H569" s="72" t="n">
        <f aca="false">'3 Base Saídas'!H191</f>
        <v>-30</v>
      </c>
      <c r="I569" s="72" t="n">
        <v>0</v>
      </c>
      <c r="J569" s="72" t="n">
        <f aca="false">'3 Base Saídas'!R191</f>
        <v>30</v>
      </c>
      <c r="K569" s="72" t="n">
        <f aca="false">I569-J569</f>
        <v>-30</v>
      </c>
      <c r="L569" s="70" t="s">
        <v>945</v>
      </c>
      <c r="M569" s="70" t="s">
        <v>816</v>
      </c>
      <c r="N569" s="70" t="s">
        <v>817</v>
      </c>
      <c r="O569" s="70" t="s">
        <v>407</v>
      </c>
    </row>
    <row r="570" customFormat="false" ht="15" hidden="false" customHeight="false" outlineLevel="0" collapsed="false">
      <c r="A570" s="71" t="n">
        <v>46295</v>
      </c>
      <c r="B570" s="70" t="s">
        <v>1732</v>
      </c>
      <c r="C570" s="70" t="s">
        <v>232</v>
      </c>
      <c r="D570" s="70" t="s">
        <v>334</v>
      </c>
      <c r="E570" s="70" t="s">
        <v>939</v>
      </c>
      <c r="F570" s="70" t="s">
        <v>405</v>
      </c>
      <c r="G570" s="70" t="s">
        <v>146</v>
      </c>
      <c r="H570" s="72" t="n">
        <f aca="false">'3 Base Saídas'!H195</f>
        <v>-300</v>
      </c>
      <c r="I570" s="72" t="n">
        <v>0</v>
      </c>
      <c r="J570" s="72" t="n">
        <f aca="false">'3 Base Saídas'!R195</f>
        <v>300</v>
      </c>
      <c r="K570" s="72" t="n">
        <f aca="false">I570-J570</f>
        <v>-300</v>
      </c>
      <c r="L570" s="70" t="s">
        <v>951</v>
      </c>
      <c r="M570" s="70" t="s">
        <v>953</v>
      </c>
      <c r="N570" s="70" t="s">
        <v>954</v>
      </c>
      <c r="O570" s="70" t="s">
        <v>407</v>
      </c>
    </row>
    <row r="571" customFormat="false" ht="15" hidden="false" customHeight="false" outlineLevel="0" collapsed="false">
      <c r="A571" s="71" t="n">
        <v>46295</v>
      </c>
      <c r="B571" s="70" t="s">
        <v>1732</v>
      </c>
      <c r="C571" s="70" t="s">
        <v>232</v>
      </c>
      <c r="D571" s="70" t="s">
        <v>334</v>
      </c>
      <c r="E571" s="70" t="s">
        <v>939</v>
      </c>
      <c r="F571" s="70" t="s">
        <v>405</v>
      </c>
      <c r="G571" s="70" t="s">
        <v>146</v>
      </c>
      <c r="H571" s="72" t="n">
        <f aca="false">'3 Base Saídas'!H198</f>
        <v>-45</v>
      </c>
      <c r="I571" s="72" t="n">
        <v>0</v>
      </c>
      <c r="J571" s="72" t="n">
        <f aca="false">'3 Base Saídas'!R198</f>
        <v>45</v>
      </c>
      <c r="K571" s="72" t="n">
        <f aca="false">I571-J571</f>
        <v>-45</v>
      </c>
      <c r="L571" s="70" t="s">
        <v>961</v>
      </c>
      <c r="M571" s="70" t="s">
        <v>953</v>
      </c>
      <c r="N571" s="70" t="s">
        <v>954</v>
      </c>
      <c r="O571" s="70" t="s">
        <v>407</v>
      </c>
    </row>
    <row r="572" customFormat="false" ht="15" hidden="false" customHeight="false" outlineLevel="0" collapsed="false">
      <c r="A572" s="71" t="n">
        <v>46295</v>
      </c>
      <c r="B572" s="70" t="s">
        <v>1732</v>
      </c>
      <c r="C572" s="70" t="s">
        <v>232</v>
      </c>
      <c r="D572" s="70" t="s">
        <v>334</v>
      </c>
      <c r="E572" s="70" t="s">
        <v>939</v>
      </c>
      <c r="F572" s="70" t="s">
        <v>405</v>
      </c>
      <c r="G572" s="70" t="s">
        <v>146</v>
      </c>
      <c r="H572" s="72" t="n">
        <f aca="false">'3 Base Saídas'!H201</f>
        <v>-450</v>
      </c>
      <c r="I572" s="72" t="n">
        <v>0</v>
      </c>
      <c r="J572" s="72" t="n">
        <f aca="false">'3 Base Saídas'!R201</f>
        <v>450</v>
      </c>
      <c r="K572" s="72" t="n">
        <f aca="false">I572-J572</f>
        <v>-450</v>
      </c>
      <c r="L572" s="70" t="s">
        <v>951</v>
      </c>
      <c r="M572" s="70" t="s">
        <v>953</v>
      </c>
      <c r="N572" s="70" t="s">
        <v>954</v>
      </c>
      <c r="O572" s="70" t="s">
        <v>407</v>
      </c>
    </row>
    <row r="573" customFormat="false" ht="15" hidden="false" customHeight="false" outlineLevel="0" collapsed="false">
      <c r="A573" s="71" t="n">
        <v>46295</v>
      </c>
      <c r="B573" s="70" t="s">
        <v>1732</v>
      </c>
      <c r="C573" s="70" t="s">
        <v>232</v>
      </c>
      <c r="D573" s="70" t="s">
        <v>237</v>
      </c>
      <c r="E573" s="70" t="s">
        <v>939</v>
      </c>
      <c r="F573" s="70" t="s">
        <v>405</v>
      </c>
      <c r="G573" s="70" t="s">
        <v>146</v>
      </c>
      <c r="H573" s="72" t="n">
        <f aca="false">'3 Base Saídas'!H189</f>
        <v>-150</v>
      </c>
      <c r="I573" s="72" t="n">
        <v>0</v>
      </c>
      <c r="J573" s="72" t="n">
        <f aca="false">'3 Base Saídas'!R189</f>
        <v>150</v>
      </c>
      <c r="K573" s="72" t="n">
        <f aca="false">I573-J573</f>
        <v>-150</v>
      </c>
      <c r="L573" s="70" t="s">
        <v>938</v>
      </c>
      <c r="M573" s="70" t="s">
        <v>941</v>
      </c>
      <c r="N573" s="70" t="s">
        <v>942</v>
      </c>
      <c r="O573" s="70" t="s">
        <v>444</v>
      </c>
    </row>
    <row r="574" customFormat="false" ht="15" hidden="false" customHeight="false" outlineLevel="0" collapsed="false">
      <c r="A574" s="71" t="n">
        <v>46295</v>
      </c>
      <c r="B574" s="70" t="s">
        <v>1732</v>
      </c>
      <c r="C574" s="70" t="s">
        <v>232</v>
      </c>
      <c r="D574" s="70" t="s">
        <v>237</v>
      </c>
      <c r="E574" s="70" t="s">
        <v>939</v>
      </c>
      <c r="F574" s="70" t="s">
        <v>405</v>
      </c>
      <c r="G574" s="70" t="s">
        <v>146</v>
      </c>
      <c r="H574" s="72" t="n">
        <f aca="false">'3 Base Saídas'!H190</f>
        <v>-60</v>
      </c>
      <c r="I574" s="72" t="n">
        <v>0</v>
      </c>
      <c r="J574" s="72" t="n">
        <f aca="false">'3 Base Saídas'!R190</f>
        <v>60</v>
      </c>
      <c r="K574" s="72" t="n">
        <f aca="false">I574-J574</f>
        <v>-60</v>
      </c>
      <c r="L574" s="70" t="s">
        <v>943</v>
      </c>
      <c r="M574" s="70" t="s">
        <v>941</v>
      </c>
      <c r="N574" s="70" t="s">
        <v>942</v>
      </c>
      <c r="O574" s="70" t="s">
        <v>444</v>
      </c>
    </row>
    <row r="575" customFormat="false" ht="15" hidden="false" customHeight="false" outlineLevel="0" collapsed="false">
      <c r="A575" s="71" t="n">
        <v>46295</v>
      </c>
      <c r="B575" s="70" t="s">
        <v>1732</v>
      </c>
      <c r="C575" s="70" t="s">
        <v>232</v>
      </c>
      <c r="D575" s="70" t="s">
        <v>237</v>
      </c>
      <c r="E575" s="70" t="s">
        <v>939</v>
      </c>
      <c r="F575" s="70" t="s">
        <v>405</v>
      </c>
      <c r="G575" s="70" t="s">
        <v>146</v>
      </c>
      <c r="H575" s="72" t="n">
        <f aca="false">'3 Base Saídas'!H197</f>
        <v>-120</v>
      </c>
      <c r="I575" s="72" t="n">
        <v>0</v>
      </c>
      <c r="J575" s="72" t="n">
        <f aca="false">'3 Base Saídas'!R197</f>
        <v>120</v>
      </c>
      <c r="K575" s="72" t="n">
        <f aca="false">I575-J575</f>
        <v>-120</v>
      </c>
      <c r="L575" s="70" t="s">
        <v>957</v>
      </c>
      <c r="M575" s="70" t="s">
        <v>959</v>
      </c>
      <c r="N575" s="70" t="s">
        <v>960</v>
      </c>
      <c r="O575" s="70" t="s">
        <v>407</v>
      </c>
    </row>
    <row r="576" customFormat="false" ht="15" hidden="false" customHeight="false" outlineLevel="0" collapsed="false">
      <c r="A576" s="71" t="n">
        <v>46295</v>
      </c>
      <c r="B576" s="70" t="s">
        <v>1732</v>
      </c>
      <c r="C576" s="70" t="s">
        <v>247</v>
      </c>
      <c r="D576" s="70" t="s">
        <v>248</v>
      </c>
      <c r="E576" s="70" t="s">
        <v>404</v>
      </c>
      <c r="F576" s="70" t="s">
        <v>405</v>
      </c>
      <c r="G576" s="70" t="s">
        <v>65</v>
      </c>
      <c r="H576" s="72" t="n">
        <f aca="false">'3 Base Saídas'!H236</f>
        <v>-603</v>
      </c>
      <c r="I576" s="72" t="n">
        <v>0</v>
      </c>
      <c r="J576" s="72" t="n">
        <f aca="false">'3 Base Saídas'!R236</f>
        <v>603</v>
      </c>
      <c r="K576" s="72" t="n">
        <f aca="false">I576-J576</f>
        <v>-603</v>
      </c>
      <c r="L576" s="70" t="s">
        <v>1067</v>
      </c>
      <c r="M576" s="70" t="s">
        <v>1069</v>
      </c>
      <c r="N576" s="70" t="s">
        <v>1070</v>
      </c>
      <c r="O576" s="70" t="s">
        <v>444</v>
      </c>
    </row>
    <row r="577" customFormat="false" ht="15" hidden="false" customHeight="false" outlineLevel="0" collapsed="false">
      <c r="A577" s="71" t="n">
        <v>46295</v>
      </c>
      <c r="B577" s="70" t="s">
        <v>1732</v>
      </c>
      <c r="C577" s="70" t="s">
        <v>247</v>
      </c>
      <c r="D577" s="70" t="s">
        <v>248</v>
      </c>
      <c r="E577" s="70" t="s">
        <v>404</v>
      </c>
      <c r="F577" s="70" t="s">
        <v>405</v>
      </c>
      <c r="G577" s="70" t="s">
        <v>65</v>
      </c>
      <c r="H577" s="72" t="n">
        <f aca="false">'3 Base Saídas'!H237</f>
        <v>-201</v>
      </c>
      <c r="I577" s="72" t="n">
        <v>0</v>
      </c>
      <c r="J577" s="72" t="n">
        <f aca="false">'3 Base Saídas'!R237</f>
        <v>201</v>
      </c>
      <c r="K577" s="72" t="n">
        <f aca="false">I577-J577</f>
        <v>-201</v>
      </c>
      <c r="L577" s="70" t="s">
        <v>1067</v>
      </c>
      <c r="M577" s="70" t="s">
        <v>1069</v>
      </c>
      <c r="N577" s="70" t="s">
        <v>1070</v>
      </c>
      <c r="O577" s="70" t="s">
        <v>444</v>
      </c>
    </row>
    <row r="578" customFormat="false" ht="15" hidden="false" customHeight="false" outlineLevel="0" collapsed="false">
      <c r="A578" s="71" t="n">
        <v>46295</v>
      </c>
      <c r="B578" s="70" t="s">
        <v>1732</v>
      </c>
      <c r="C578" s="70" t="s">
        <v>247</v>
      </c>
      <c r="D578" s="70" t="s">
        <v>248</v>
      </c>
      <c r="E578" s="70" t="s">
        <v>404</v>
      </c>
      <c r="F578" s="70" t="s">
        <v>416</v>
      </c>
      <c r="G578" s="70" t="s">
        <v>65</v>
      </c>
      <c r="H578" s="72" t="n">
        <f aca="false">'3 Base Saídas'!H238</f>
        <v>-20.1</v>
      </c>
      <c r="I578" s="72" t="n">
        <v>0</v>
      </c>
      <c r="J578" s="72" t="n">
        <f aca="false">'3 Base Saídas'!R238</f>
        <v>20.1</v>
      </c>
      <c r="K578" s="72" t="n">
        <f aca="false">I578-J578</f>
        <v>-20.1</v>
      </c>
      <c r="L578" s="70" t="s">
        <v>1071</v>
      </c>
      <c r="M578" s="70" t="s">
        <v>1073</v>
      </c>
      <c r="N578" s="70" t="s">
        <v>1074</v>
      </c>
      <c r="O578" s="70" t="s">
        <v>426</v>
      </c>
    </row>
    <row r="579" customFormat="false" ht="15" hidden="false" customHeight="false" outlineLevel="0" collapsed="false">
      <c r="A579" s="71" t="n">
        <v>46295</v>
      </c>
      <c r="B579" s="70" t="s">
        <v>1732</v>
      </c>
      <c r="C579" s="70" t="s">
        <v>247</v>
      </c>
      <c r="D579" s="70" t="s">
        <v>248</v>
      </c>
      <c r="E579" s="70" t="s">
        <v>404</v>
      </c>
      <c r="F579" s="70" t="s">
        <v>416</v>
      </c>
      <c r="G579" s="70" t="s">
        <v>65</v>
      </c>
      <c r="H579" s="72" t="n">
        <f aca="false">'3 Base Saídas'!H239</f>
        <v>-20.1</v>
      </c>
      <c r="I579" s="72" t="n">
        <v>0</v>
      </c>
      <c r="J579" s="72" t="n">
        <f aca="false">'3 Base Saídas'!R239</f>
        <v>20.1</v>
      </c>
      <c r="K579" s="72" t="n">
        <f aca="false">I579-J579</f>
        <v>-20.1</v>
      </c>
      <c r="L579" s="70" t="s">
        <v>1075</v>
      </c>
      <c r="M579" s="70" t="s">
        <v>491</v>
      </c>
      <c r="N579" s="70" t="s">
        <v>492</v>
      </c>
      <c r="O579" s="70" t="s">
        <v>426</v>
      </c>
    </row>
    <row r="580" customFormat="false" ht="15" hidden="false" customHeight="false" outlineLevel="0" collapsed="false">
      <c r="A580" s="71" t="n">
        <v>46295</v>
      </c>
      <c r="B580" s="70" t="s">
        <v>1732</v>
      </c>
      <c r="C580" s="70" t="s">
        <v>247</v>
      </c>
      <c r="D580" s="70" t="s">
        <v>248</v>
      </c>
      <c r="E580" s="70" t="s">
        <v>404</v>
      </c>
      <c r="F580" s="70" t="s">
        <v>416</v>
      </c>
      <c r="G580" s="70" t="s">
        <v>65</v>
      </c>
      <c r="H580" s="72" t="n">
        <f aca="false">'3 Base Saídas'!H240</f>
        <v>-20.1</v>
      </c>
      <c r="I580" s="72" t="n">
        <v>0</v>
      </c>
      <c r="J580" s="72" t="n">
        <f aca="false">'3 Base Saídas'!R240</f>
        <v>20.1</v>
      </c>
      <c r="K580" s="72" t="n">
        <f aca="false">I580-J580</f>
        <v>-20.1</v>
      </c>
      <c r="L580" s="70" t="s">
        <v>1077</v>
      </c>
      <c r="M580" s="70" t="s">
        <v>1079</v>
      </c>
      <c r="N580" s="70" t="s">
        <v>1080</v>
      </c>
      <c r="O580" s="70" t="s">
        <v>426</v>
      </c>
    </row>
    <row r="581" customFormat="false" ht="15" hidden="false" customHeight="false" outlineLevel="0" collapsed="false">
      <c r="A581" s="71" t="n">
        <v>46295</v>
      </c>
      <c r="B581" s="70" t="s">
        <v>1732</v>
      </c>
      <c r="C581" s="70" t="s">
        <v>247</v>
      </c>
      <c r="D581" s="70" t="s">
        <v>248</v>
      </c>
      <c r="E581" s="70" t="s">
        <v>404</v>
      </c>
      <c r="F581" s="70" t="s">
        <v>416</v>
      </c>
      <c r="G581" s="70" t="s">
        <v>65</v>
      </c>
      <c r="H581" s="72" t="n">
        <f aca="false">'3 Base Saídas'!H241</f>
        <v>-20.1</v>
      </c>
      <c r="I581" s="72" t="n">
        <v>0</v>
      </c>
      <c r="J581" s="72" t="n">
        <f aca="false">'3 Base Saídas'!R241</f>
        <v>20.1</v>
      </c>
      <c r="K581" s="72" t="n">
        <f aca="false">I581-J581</f>
        <v>-20.1</v>
      </c>
      <c r="L581" s="70" t="s">
        <v>1081</v>
      </c>
      <c r="M581" s="70" t="s">
        <v>1083</v>
      </c>
      <c r="N581" s="70" t="s">
        <v>1084</v>
      </c>
      <c r="O581" s="70" t="s">
        <v>426</v>
      </c>
    </row>
    <row r="582" customFormat="false" ht="15" hidden="false" customHeight="false" outlineLevel="0" collapsed="false">
      <c r="A582" s="71" t="n">
        <v>46295</v>
      </c>
      <c r="B582" s="70" t="s">
        <v>1732</v>
      </c>
      <c r="C582" s="70" t="s">
        <v>247</v>
      </c>
      <c r="D582" s="70" t="s">
        <v>248</v>
      </c>
      <c r="E582" s="70" t="s">
        <v>404</v>
      </c>
      <c r="F582" s="70" t="s">
        <v>405</v>
      </c>
      <c r="G582" s="70" t="s">
        <v>65</v>
      </c>
      <c r="H582" s="72" t="n">
        <f aca="false">'3 Base Saídas'!H242</f>
        <v>-20.1</v>
      </c>
      <c r="I582" s="72" t="n">
        <v>0</v>
      </c>
      <c r="J582" s="72" t="n">
        <f aca="false">'3 Base Saídas'!R242</f>
        <v>20.1</v>
      </c>
      <c r="K582" s="72" t="n">
        <f aca="false">I582-J582</f>
        <v>-20.1</v>
      </c>
      <c r="L582" s="70" t="s">
        <v>1085</v>
      </c>
      <c r="M582" s="70" t="s">
        <v>679</v>
      </c>
      <c r="N582" s="70" t="s">
        <v>680</v>
      </c>
      <c r="O582" s="70" t="s">
        <v>444</v>
      </c>
    </row>
    <row r="583" customFormat="false" ht="15" hidden="false" customHeight="false" outlineLevel="0" collapsed="false">
      <c r="A583" s="71" t="n">
        <v>46295</v>
      </c>
      <c r="B583" s="70" t="s">
        <v>1732</v>
      </c>
      <c r="C583" s="70" t="s">
        <v>247</v>
      </c>
      <c r="D583" s="70" t="s">
        <v>248</v>
      </c>
      <c r="E583" s="70" t="s">
        <v>404</v>
      </c>
      <c r="F583" s="70" t="s">
        <v>405</v>
      </c>
      <c r="G583" s="70" t="s">
        <v>65</v>
      </c>
      <c r="H583" s="72" t="n">
        <f aca="false">'3 Base Saídas'!H243</f>
        <v>-20.1</v>
      </c>
      <c r="I583" s="72" t="n">
        <v>0</v>
      </c>
      <c r="J583" s="72" t="n">
        <f aca="false">'3 Base Saídas'!R243</f>
        <v>20.1</v>
      </c>
      <c r="K583" s="72" t="n">
        <f aca="false">I583-J583</f>
        <v>-20.1</v>
      </c>
      <c r="L583" s="70" t="s">
        <v>1087</v>
      </c>
      <c r="M583" s="70" t="s">
        <v>758</v>
      </c>
      <c r="N583" s="70" t="s">
        <v>759</v>
      </c>
      <c r="O583" s="70" t="s">
        <v>444</v>
      </c>
    </row>
    <row r="584" customFormat="false" ht="15" hidden="false" customHeight="false" outlineLevel="0" collapsed="false">
      <c r="A584" s="71" t="n">
        <v>46295</v>
      </c>
      <c r="B584" s="70" t="s">
        <v>1732</v>
      </c>
      <c r="C584" s="70" t="s">
        <v>247</v>
      </c>
      <c r="D584" s="70" t="s">
        <v>248</v>
      </c>
      <c r="E584" s="70" t="s">
        <v>404</v>
      </c>
      <c r="F584" s="70" t="s">
        <v>416</v>
      </c>
      <c r="G584" s="70" t="s">
        <v>65</v>
      </c>
      <c r="H584" s="72" t="n">
        <f aca="false">'3 Base Saídas'!H244</f>
        <v>-20.1</v>
      </c>
      <c r="I584" s="72" t="n">
        <v>0</v>
      </c>
      <c r="J584" s="72" t="n">
        <f aca="false">'3 Base Saídas'!R244</f>
        <v>20.1</v>
      </c>
      <c r="K584" s="72" t="n">
        <f aca="false">I584-J584</f>
        <v>-20.1</v>
      </c>
      <c r="L584" s="70" t="s">
        <v>1089</v>
      </c>
      <c r="M584" s="70" t="s">
        <v>1091</v>
      </c>
      <c r="N584" s="70" t="s">
        <v>1092</v>
      </c>
      <c r="O584" s="70" t="s">
        <v>426</v>
      </c>
    </row>
    <row r="585" customFormat="false" ht="15" hidden="false" customHeight="false" outlineLevel="0" collapsed="false">
      <c r="A585" s="71" t="n">
        <v>46295</v>
      </c>
      <c r="B585" s="70" t="s">
        <v>1732</v>
      </c>
      <c r="C585" s="70" t="s">
        <v>247</v>
      </c>
      <c r="D585" s="70" t="s">
        <v>248</v>
      </c>
      <c r="E585" s="70" t="s">
        <v>404</v>
      </c>
      <c r="F585" s="70" t="s">
        <v>405</v>
      </c>
      <c r="G585" s="70" t="s">
        <v>65</v>
      </c>
      <c r="H585" s="72" t="n">
        <f aca="false">'3 Base Saídas'!H245</f>
        <v>-40.2</v>
      </c>
      <c r="I585" s="72" t="n">
        <v>0</v>
      </c>
      <c r="J585" s="72" t="n">
        <f aca="false">'3 Base Saídas'!R245</f>
        <v>40.2</v>
      </c>
      <c r="K585" s="72" t="n">
        <f aca="false">I585-J585</f>
        <v>-40.2</v>
      </c>
      <c r="L585" s="70" t="s">
        <v>1087</v>
      </c>
      <c r="M585" s="70" t="s">
        <v>758</v>
      </c>
      <c r="N585" s="70" t="s">
        <v>759</v>
      </c>
      <c r="O585" s="70" t="s">
        <v>444</v>
      </c>
    </row>
    <row r="586" customFormat="false" ht="15" hidden="false" customHeight="false" outlineLevel="0" collapsed="false">
      <c r="A586" s="71" t="n">
        <v>46295</v>
      </c>
      <c r="B586" s="70" t="s">
        <v>1732</v>
      </c>
      <c r="C586" s="70" t="s">
        <v>252</v>
      </c>
      <c r="D586" s="70" t="s">
        <v>253</v>
      </c>
      <c r="E586" s="70" t="s">
        <v>1113</v>
      </c>
      <c r="F586" s="70" t="s">
        <v>405</v>
      </c>
      <c r="G586" s="70" t="s">
        <v>65</v>
      </c>
      <c r="H586" s="72" t="n">
        <f aca="false">'3 Base Saídas'!H253</f>
        <v>-4</v>
      </c>
      <c r="I586" s="72" t="n">
        <v>0</v>
      </c>
      <c r="J586" s="72" t="n">
        <f aca="false">'3 Base Saídas'!R253</f>
        <v>4</v>
      </c>
      <c r="K586" s="72" t="n">
        <f aca="false">I586-J586</f>
        <v>-4</v>
      </c>
      <c r="L586" s="70" t="s">
        <v>1112</v>
      </c>
      <c r="M586" s="70" t="s">
        <v>1115</v>
      </c>
      <c r="N586" s="70" t="s">
        <v>1116</v>
      </c>
      <c r="O586" s="70" t="s">
        <v>444</v>
      </c>
    </row>
    <row r="587" customFormat="false" ht="15" hidden="false" customHeight="false" outlineLevel="0" collapsed="false">
      <c r="A587" s="71" t="n">
        <v>46295</v>
      </c>
      <c r="B587" s="70" t="s">
        <v>1732</v>
      </c>
      <c r="C587" s="70" t="s">
        <v>354</v>
      </c>
      <c r="D587" s="70" t="s">
        <v>355</v>
      </c>
      <c r="E587" s="70" t="s">
        <v>1147</v>
      </c>
      <c r="F587" s="70" t="s">
        <v>416</v>
      </c>
      <c r="G587" s="70" t="s">
        <v>65</v>
      </c>
      <c r="H587" s="72" t="n">
        <f aca="false">'3 Base Saídas'!H266</f>
        <v>-50</v>
      </c>
      <c r="I587" s="72" t="n">
        <v>0</v>
      </c>
      <c r="J587" s="72" t="n">
        <f aca="false">'3 Base Saídas'!R266</f>
        <v>50</v>
      </c>
      <c r="K587" s="72" t="n">
        <f aca="false">I587-J587</f>
        <v>-50</v>
      </c>
      <c r="L587" s="70" t="s">
        <v>1146</v>
      </c>
      <c r="M587" s="70" t="s">
        <v>1149</v>
      </c>
      <c r="N587" s="70" t="s">
        <v>1150</v>
      </c>
      <c r="O587" s="70" t="s">
        <v>417</v>
      </c>
    </row>
    <row r="588" customFormat="false" ht="15" hidden="false" customHeight="false" outlineLevel="0" collapsed="false">
      <c r="A588" s="71" t="n">
        <v>46295</v>
      </c>
      <c r="B588" s="70" t="str">
        <f aca="false">'3 Base Entrada 2008'!K75</f>
        <v>Entrada</v>
      </c>
      <c r="C588" s="70" t="s">
        <v>271</v>
      </c>
      <c r="D588" s="70" t="s">
        <v>272</v>
      </c>
      <c r="E588" s="70" t="s">
        <v>1225</v>
      </c>
      <c r="F588" s="70" t="s">
        <v>188</v>
      </c>
      <c r="G588" s="70" t="s">
        <v>65</v>
      </c>
      <c r="H588" s="72" t="n">
        <f aca="false">'3 Base Entrada 2008'!G75</f>
        <v>-300</v>
      </c>
      <c r="I588" s="72" t="n">
        <f aca="false">'3 Base Entrada 2008'!L75</f>
        <v>300</v>
      </c>
      <c r="J588" s="72" t="n">
        <v>0</v>
      </c>
      <c r="K588" s="72" t="n">
        <f aca="false">I588-J588</f>
        <v>300</v>
      </c>
      <c r="L588" s="70" t="s">
        <v>204</v>
      </c>
      <c r="M588" s="70"/>
      <c r="N588" s="70"/>
      <c r="O588" s="70"/>
    </row>
    <row r="589" customFormat="false" ht="15" hidden="false" customHeight="false" outlineLevel="0" collapsed="false">
      <c r="A589" s="71" t="n">
        <v>46295</v>
      </c>
      <c r="B589" s="70" t="s">
        <v>1732</v>
      </c>
      <c r="C589" s="70" t="s">
        <v>271</v>
      </c>
      <c r="D589" s="70" t="s">
        <v>272</v>
      </c>
      <c r="E589" s="70" t="s">
        <v>1225</v>
      </c>
      <c r="F589" s="70" t="s">
        <v>405</v>
      </c>
      <c r="G589" s="70" t="s">
        <v>65</v>
      </c>
      <c r="H589" s="72" t="n">
        <f aca="false">'3 Base Saídas'!H303</f>
        <v>-50</v>
      </c>
      <c r="I589" s="72" t="n">
        <v>0</v>
      </c>
      <c r="J589" s="72" t="n">
        <f aca="false">'3 Base Saídas'!R303</f>
        <v>50</v>
      </c>
      <c r="K589" s="72" t="n">
        <f aca="false">I589-J589</f>
        <v>-50</v>
      </c>
      <c r="L589" s="70" t="s">
        <v>1224</v>
      </c>
      <c r="M589" s="70" t="s">
        <v>953</v>
      </c>
      <c r="N589" s="70" t="s">
        <v>954</v>
      </c>
      <c r="O589" s="70" t="s">
        <v>407</v>
      </c>
    </row>
    <row r="590" customFormat="false" ht="15" hidden="false" customHeight="false" outlineLevel="0" collapsed="false">
      <c r="A590" s="71" t="n">
        <v>46295</v>
      </c>
      <c r="B590" s="70" t="s">
        <v>1732</v>
      </c>
      <c r="C590" s="70" t="s">
        <v>271</v>
      </c>
      <c r="D590" s="70" t="s">
        <v>272</v>
      </c>
      <c r="E590" s="70" t="s">
        <v>1225</v>
      </c>
      <c r="F590" s="70" t="s">
        <v>405</v>
      </c>
      <c r="G590" s="70" t="s">
        <v>65</v>
      </c>
      <c r="H590" s="72" t="n">
        <f aca="false">'3 Base Saídas'!H304</f>
        <v>-10</v>
      </c>
      <c r="I590" s="72" t="n">
        <v>0</v>
      </c>
      <c r="J590" s="72" t="n">
        <f aca="false">'3 Base Saídas'!R304</f>
        <v>10</v>
      </c>
      <c r="K590" s="72" t="n">
        <f aca="false">I590-J590</f>
        <v>-10</v>
      </c>
      <c r="L590" s="70" t="s">
        <v>1227</v>
      </c>
      <c r="M590" s="70" t="s">
        <v>1065</v>
      </c>
      <c r="N590" s="70" t="s">
        <v>1066</v>
      </c>
      <c r="O590" s="70" t="s">
        <v>444</v>
      </c>
    </row>
    <row r="591" customFormat="false" ht="15" hidden="false" customHeight="false" outlineLevel="0" collapsed="false">
      <c r="A591" s="71" t="n">
        <v>46295</v>
      </c>
      <c r="B591" s="70" t="s">
        <v>1732</v>
      </c>
      <c r="C591" s="70" t="s">
        <v>271</v>
      </c>
      <c r="D591" s="70" t="s">
        <v>272</v>
      </c>
      <c r="E591" s="70" t="s">
        <v>1225</v>
      </c>
      <c r="F591" s="70" t="s">
        <v>405</v>
      </c>
      <c r="G591" s="70" t="s">
        <v>65</v>
      </c>
      <c r="H591" s="72" t="n">
        <f aca="false">'3 Base Saídas'!H305</f>
        <v>-10</v>
      </c>
      <c r="I591" s="72" t="n">
        <v>0</v>
      </c>
      <c r="J591" s="72" t="n">
        <f aca="false">'3 Base Saídas'!R305</f>
        <v>10</v>
      </c>
      <c r="K591" s="72" t="n">
        <f aca="false">I591-J591</f>
        <v>-10</v>
      </c>
      <c r="L591" s="70" t="s">
        <v>1229</v>
      </c>
      <c r="M591" s="70" t="s">
        <v>1231</v>
      </c>
      <c r="N591" s="70" t="s">
        <v>1232</v>
      </c>
      <c r="O591" s="70" t="s">
        <v>444</v>
      </c>
    </row>
    <row r="592" customFormat="false" ht="15" hidden="false" customHeight="false" outlineLevel="0" collapsed="false">
      <c r="A592" s="71" t="n">
        <v>46295</v>
      </c>
      <c r="B592" s="70" t="s">
        <v>1732</v>
      </c>
      <c r="C592" s="70" t="s">
        <v>271</v>
      </c>
      <c r="D592" s="70" t="s">
        <v>272</v>
      </c>
      <c r="E592" s="70" t="s">
        <v>1225</v>
      </c>
      <c r="F592" s="70" t="s">
        <v>405</v>
      </c>
      <c r="G592" s="70" t="s">
        <v>65</v>
      </c>
      <c r="H592" s="72" t="n">
        <f aca="false">'3 Base Saídas'!H306</f>
        <v>-10</v>
      </c>
      <c r="I592" s="72" t="n">
        <v>0</v>
      </c>
      <c r="J592" s="72" t="n">
        <f aca="false">'3 Base Saídas'!R306</f>
        <v>10</v>
      </c>
      <c r="K592" s="72" t="n">
        <f aca="false">I592-J592</f>
        <v>-10</v>
      </c>
      <c r="L592" s="70" t="s">
        <v>1233</v>
      </c>
      <c r="M592" s="70" t="s">
        <v>529</v>
      </c>
      <c r="N592" s="70" t="s">
        <v>530</v>
      </c>
      <c r="O592" s="70" t="s">
        <v>444</v>
      </c>
    </row>
    <row r="593" customFormat="false" ht="15" hidden="false" customHeight="false" outlineLevel="0" collapsed="false">
      <c r="A593" s="71" t="n">
        <v>46295</v>
      </c>
      <c r="B593" s="70" t="s">
        <v>1732</v>
      </c>
      <c r="C593" s="70" t="s">
        <v>271</v>
      </c>
      <c r="D593" s="70" t="s">
        <v>272</v>
      </c>
      <c r="E593" s="70" t="s">
        <v>1225</v>
      </c>
      <c r="F593" s="70" t="s">
        <v>405</v>
      </c>
      <c r="G593" s="70" t="s">
        <v>65</v>
      </c>
      <c r="H593" s="72" t="n">
        <f aca="false">'3 Base Saídas'!H307</f>
        <v>-10</v>
      </c>
      <c r="I593" s="72" t="n">
        <v>0</v>
      </c>
      <c r="J593" s="72" t="n">
        <f aca="false">'3 Base Saídas'!R307</f>
        <v>10</v>
      </c>
      <c r="K593" s="72" t="n">
        <f aca="false">I593-J593</f>
        <v>-10</v>
      </c>
      <c r="L593" s="70" t="s">
        <v>1085</v>
      </c>
      <c r="M593" s="70" t="s">
        <v>679</v>
      </c>
      <c r="N593" s="70" t="s">
        <v>680</v>
      </c>
      <c r="O593" s="70" t="s">
        <v>444</v>
      </c>
    </row>
    <row r="594" customFormat="false" ht="15" hidden="false" customHeight="false" outlineLevel="0" collapsed="false">
      <c r="A594" s="71" t="n">
        <v>46295</v>
      </c>
      <c r="B594" s="70" t="s">
        <v>1732</v>
      </c>
      <c r="C594" s="70" t="s">
        <v>271</v>
      </c>
      <c r="D594" s="70" t="s">
        <v>272</v>
      </c>
      <c r="E594" s="70" t="s">
        <v>1225</v>
      </c>
      <c r="F594" s="70" t="s">
        <v>405</v>
      </c>
      <c r="G594" s="70" t="s">
        <v>65</v>
      </c>
      <c r="H594" s="72" t="n">
        <f aca="false">'3 Base Saídas'!H308</f>
        <v>-20</v>
      </c>
      <c r="I594" s="72" t="n">
        <v>0</v>
      </c>
      <c r="J594" s="72" t="n">
        <f aca="false">'3 Base Saídas'!R308</f>
        <v>20</v>
      </c>
      <c r="K594" s="72" t="n">
        <f aca="false">I594-J594</f>
        <v>-20</v>
      </c>
      <c r="L594" s="70" t="s">
        <v>1235</v>
      </c>
      <c r="M594" s="70" t="s">
        <v>599</v>
      </c>
      <c r="N594" s="70" t="s">
        <v>600</v>
      </c>
      <c r="O594" s="70" t="s">
        <v>407</v>
      </c>
    </row>
    <row r="595" customFormat="false" ht="15" hidden="false" customHeight="false" outlineLevel="0" collapsed="false">
      <c r="A595" s="71" t="n">
        <v>46295</v>
      </c>
      <c r="B595" s="70" t="s">
        <v>1732</v>
      </c>
      <c r="C595" s="70" t="s">
        <v>276</v>
      </c>
      <c r="D595" s="70" t="s">
        <v>278</v>
      </c>
      <c r="E595" s="70" t="s">
        <v>404</v>
      </c>
      <c r="F595" s="70" t="s">
        <v>405</v>
      </c>
      <c r="G595" s="70" t="s">
        <v>65</v>
      </c>
      <c r="H595" s="72" t="n">
        <f aca="false">'3 Base Saídas'!H329</f>
        <v>-40.2</v>
      </c>
      <c r="I595" s="72" t="n">
        <v>0</v>
      </c>
      <c r="J595" s="72" t="n">
        <f aca="false">'3 Base Saídas'!R329</f>
        <v>40.2</v>
      </c>
      <c r="K595" s="72" t="n">
        <f aca="false">I595-J595</f>
        <v>-40.2</v>
      </c>
      <c r="L595" s="70" t="s">
        <v>1227</v>
      </c>
      <c r="M595" s="70" t="s">
        <v>1065</v>
      </c>
      <c r="N595" s="70" t="s">
        <v>1066</v>
      </c>
      <c r="O595" s="70" t="s">
        <v>444</v>
      </c>
    </row>
    <row r="596" customFormat="false" ht="15" hidden="false" customHeight="false" outlineLevel="0" collapsed="false">
      <c r="A596" s="71" t="n">
        <v>46295</v>
      </c>
      <c r="B596" s="70" t="s">
        <v>1732</v>
      </c>
      <c r="C596" s="70" t="s">
        <v>276</v>
      </c>
      <c r="D596" s="70" t="s">
        <v>278</v>
      </c>
      <c r="E596" s="70" t="s">
        <v>404</v>
      </c>
      <c r="F596" s="70" t="s">
        <v>405</v>
      </c>
      <c r="G596" s="70" t="s">
        <v>65</v>
      </c>
      <c r="H596" s="72" t="n">
        <f aca="false">'3 Base Saídas'!H330</f>
        <v>-20.1</v>
      </c>
      <c r="I596" s="72" t="n">
        <v>0</v>
      </c>
      <c r="J596" s="72" t="n">
        <f aca="false">'3 Base Saídas'!R330</f>
        <v>20.1</v>
      </c>
      <c r="K596" s="72" t="n">
        <f aca="false">I596-J596</f>
        <v>-20.1</v>
      </c>
      <c r="L596" s="70" t="s">
        <v>1085</v>
      </c>
      <c r="M596" s="70" t="s">
        <v>679</v>
      </c>
      <c r="N596" s="70" t="s">
        <v>680</v>
      </c>
      <c r="O596" s="70" t="s">
        <v>444</v>
      </c>
    </row>
    <row r="597" customFormat="false" ht="15" hidden="false" customHeight="false" outlineLevel="0" collapsed="false">
      <c r="A597" s="71" t="n">
        <v>46295</v>
      </c>
      <c r="B597" s="70" t="s">
        <v>1732</v>
      </c>
      <c r="C597" s="70" t="s">
        <v>380</v>
      </c>
      <c r="D597" s="70" t="s">
        <v>381</v>
      </c>
      <c r="E597" s="70" t="s">
        <v>1349</v>
      </c>
      <c r="F597" s="70" t="s">
        <v>405</v>
      </c>
      <c r="G597" s="70" t="s">
        <v>65</v>
      </c>
      <c r="H597" s="72" t="n">
        <f aca="false">'3 Base Saídas'!H358</f>
        <v>-25</v>
      </c>
      <c r="I597" s="72" t="n">
        <v>0</v>
      </c>
      <c r="J597" s="72" t="n">
        <f aca="false">'3 Base Saídas'!R358</f>
        <v>25</v>
      </c>
      <c r="K597" s="72" t="n">
        <f aca="false">I597-J597</f>
        <v>-25</v>
      </c>
      <c r="L597" s="70" t="s">
        <v>1348</v>
      </c>
      <c r="M597" s="70" t="s">
        <v>1351</v>
      </c>
      <c r="N597" s="70" t="s">
        <v>1352</v>
      </c>
      <c r="O597" s="70" t="s">
        <v>444</v>
      </c>
    </row>
    <row r="598" customFormat="false" ht="15" hidden="false" customHeight="false" outlineLevel="0" collapsed="false">
      <c r="A598" s="71" t="n">
        <v>46295</v>
      </c>
      <c r="B598" s="70" t="s">
        <v>1732</v>
      </c>
      <c r="C598" s="70" t="s">
        <v>286</v>
      </c>
      <c r="D598" s="70" t="s">
        <v>290</v>
      </c>
      <c r="E598" s="70" t="s">
        <v>1354</v>
      </c>
      <c r="F598" s="70" t="s">
        <v>405</v>
      </c>
      <c r="G598" s="70" t="s">
        <v>147</v>
      </c>
      <c r="H598" s="72" t="n">
        <f aca="false">'3 Base Saídas'!H360</f>
        <v>-4</v>
      </c>
      <c r="I598" s="72" t="n">
        <v>0</v>
      </c>
      <c r="J598" s="72" t="n">
        <f aca="false">'3 Base Saídas'!R360</f>
        <v>4</v>
      </c>
      <c r="K598" s="72" t="n">
        <f aca="false">I598-J598</f>
        <v>-4</v>
      </c>
      <c r="L598" s="70" t="s">
        <v>1353</v>
      </c>
      <c r="M598" s="70" t="s">
        <v>1356</v>
      </c>
      <c r="N598" s="70" t="s">
        <v>1357</v>
      </c>
      <c r="O598" s="70" t="s">
        <v>444</v>
      </c>
    </row>
    <row r="599" customFormat="false" ht="15" hidden="false" customHeight="false" outlineLevel="0" collapsed="false">
      <c r="A599" s="71" t="n">
        <v>46295</v>
      </c>
      <c r="B599" s="70" t="s">
        <v>1732</v>
      </c>
      <c r="C599" s="70" t="s">
        <v>286</v>
      </c>
      <c r="D599" s="70" t="s">
        <v>290</v>
      </c>
      <c r="E599" s="70" t="s">
        <v>1354</v>
      </c>
      <c r="F599" s="70" t="s">
        <v>405</v>
      </c>
      <c r="G599" s="70" t="s">
        <v>147</v>
      </c>
      <c r="H599" s="72" t="n">
        <f aca="false">'3 Base Saídas'!H361</f>
        <v>-31</v>
      </c>
      <c r="I599" s="72" t="n">
        <v>0</v>
      </c>
      <c r="J599" s="72" t="n">
        <f aca="false">'3 Base Saídas'!R361</f>
        <v>31</v>
      </c>
      <c r="K599" s="72" t="n">
        <f aca="false">I599-J599</f>
        <v>-31</v>
      </c>
      <c r="L599" s="70" t="s">
        <v>1358</v>
      </c>
      <c r="M599" s="70" t="s">
        <v>1360</v>
      </c>
      <c r="N599" s="70" t="s">
        <v>1361</v>
      </c>
      <c r="O599" s="70" t="s">
        <v>444</v>
      </c>
    </row>
    <row r="600" customFormat="false" ht="15" hidden="false" customHeight="false" outlineLevel="0" collapsed="false">
      <c r="A600" s="71" t="n">
        <v>46295</v>
      </c>
      <c r="B600" s="70" t="s">
        <v>1732</v>
      </c>
      <c r="C600" s="70" t="s">
        <v>286</v>
      </c>
      <c r="D600" s="70" t="s">
        <v>290</v>
      </c>
      <c r="E600" s="70" t="s">
        <v>1354</v>
      </c>
      <c r="F600" s="70" t="s">
        <v>405</v>
      </c>
      <c r="G600" s="70" t="s">
        <v>147</v>
      </c>
      <c r="H600" s="72" t="n">
        <f aca="false">'3 Base Saídas'!H362</f>
        <v>-11</v>
      </c>
      <c r="I600" s="72" t="n">
        <v>0</v>
      </c>
      <c r="J600" s="72" t="n">
        <f aca="false">'3 Base Saídas'!R362</f>
        <v>11</v>
      </c>
      <c r="K600" s="72" t="n">
        <f aca="false">I600-J600</f>
        <v>-11</v>
      </c>
      <c r="L600" s="70" t="s">
        <v>1362</v>
      </c>
      <c r="M600" s="70" t="s">
        <v>1364</v>
      </c>
      <c r="N600" s="70" t="s">
        <v>1365</v>
      </c>
      <c r="O600" s="70" t="s">
        <v>444</v>
      </c>
    </row>
    <row r="601" customFormat="false" ht="15" hidden="false" customHeight="false" outlineLevel="0" collapsed="false">
      <c r="A601" s="71" t="n">
        <v>46295</v>
      </c>
      <c r="B601" s="70" t="str">
        <f aca="false">'3 Base Entrada 2008'!K97</f>
        <v>Entrada</v>
      </c>
      <c r="C601" s="70" t="s">
        <v>301</v>
      </c>
      <c r="D601" s="70" t="s">
        <v>302</v>
      </c>
      <c r="E601" s="70" t="s">
        <v>1377</v>
      </c>
      <c r="F601" s="70" t="s">
        <v>188</v>
      </c>
      <c r="G601" s="70" t="s">
        <v>65</v>
      </c>
      <c r="H601" s="72" t="n">
        <f aca="false">'3 Base Entrada 2008'!G97</f>
        <v>-500</v>
      </c>
      <c r="I601" s="72" t="n">
        <f aca="false">'3 Base Entrada 2008'!L97</f>
        <v>500</v>
      </c>
      <c r="J601" s="72" t="n">
        <v>0</v>
      </c>
      <c r="K601" s="72" t="n">
        <f aca="false">I601-J601</f>
        <v>500</v>
      </c>
      <c r="L601" s="70" t="s">
        <v>300</v>
      </c>
      <c r="M601" s="70"/>
      <c r="N601" s="70"/>
      <c r="O601" s="70"/>
    </row>
    <row r="602" customFormat="false" ht="15" hidden="false" customHeight="false" outlineLevel="0" collapsed="false">
      <c r="A602" s="71" t="n">
        <v>46295</v>
      </c>
      <c r="B602" s="70" t="s">
        <v>1732</v>
      </c>
      <c r="C602" s="70" t="s">
        <v>305</v>
      </c>
      <c r="D602" s="70" t="s">
        <v>306</v>
      </c>
      <c r="E602" s="70" t="s">
        <v>1377</v>
      </c>
      <c r="F602" s="70" t="s">
        <v>405</v>
      </c>
      <c r="G602" s="70" t="s">
        <v>65</v>
      </c>
      <c r="H602" s="72" t="n">
        <f aca="false">'3 Base Saídas'!H369</f>
        <v>-10</v>
      </c>
      <c r="I602" s="72" t="n">
        <v>0</v>
      </c>
      <c r="J602" s="72" t="n">
        <f aca="false">'3 Base Saídas'!R369</f>
        <v>10</v>
      </c>
      <c r="K602" s="72" t="n">
        <f aca="false">I602-J602</f>
        <v>-10</v>
      </c>
      <c r="L602" s="70" t="s">
        <v>1383</v>
      </c>
      <c r="M602" s="70" t="s">
        <v>1035</v>
      </c>
      <c r="N602" s="70" t="s">
        <v>1036</v>
      </c>
      <c r="O602" s="70" t="s">
        <v>407</v>
      </c>
    </row>
    <row r="603" customFormat="false" ht="15" hidden="false" customHeight="false" outlineLevel="0" collapsed="false">
      <c r="A603" s="71" t="n">
        <v>46295</v>
      </c>
      <c r="B603" s="70" t="s">
        <v>1732</v>
      </c>
      <c r="C603" s="70" t="s">
        <v>309</v>
      </c>
      <c r="D603" s="70" t="s">
        <v>310</v>
      </c>
      <c r="E603" s="70" t="s">
        <v>404</v>
      </c>
      <c r="F603" s="70" t="s">
        <v>405</v>
      </c>
      <c r="G603" s="70" t="s">
        <v>65</v>
      </c>
      <c r="H603" s="72" t="n">
        <f aca="false">'3 Base Saídas'!H380</f>
        <v>-40.2</v>
      </c>
      <c r="I603" s="72" t="n">
        <v>0</v>
      </c>
      <c r="J603" s="72" t="n">
        <f aca="false">'3 Base Saídas'!R380</f>
        <v>40.2</v>
      </c>
      <c r="K603" s="72" t="n">
        <f aca="false">I603-J603</f>
        <v>-40.2</v>
      </c>
      <c r="L603" s="70" t="s">
        <v>1227</v>
      </c>
      <c r="M603" s="70" t="s">
        <v>1065</v>
      </c>
      <c r="N603" s="70" t="s">
        <v>1066</v>
      </c>
      <c r="O603" s="70" t="s">
        <v>444</v>
      </c>
    </row>
    <row r="604" customFormat="false" ht="15" hidden="false" customHeight="false" outlineLevel="0" collapsed="false">
      <c r="A604" s="71" t="n">
        <v>46296</v>
      </c>
      <c r="B604" s="70" t="s">
        <v>1732</v>
      </c>
      <c r="C604" s="70" t="s">
        <v>198</v>
      </c>
      <c r="D604" s="70" t="s">
        <v>199</v>
      </c>
      <c r="E604" s="70" t="s">
        <v>522</v>
      </c>
      <c r="F604" s="70" t="s">
        <v>405</v>
      </c>
      <c r="G604" s="70" t="s">
        <v>65</v>
      </c>
      <c r="H604" s="72" t="n">
        <f aca="false">'3 Base Saídas'!H31</f>
        <v>-145.6</v>
      </c>
      <c r="I604" s="72" t="n">
        <v>0</v>
      </c>
      <c r="J604" s="72" t="n">
        <f aca="false">'3 Base Saídas'!R31</f>
        <v>145.6</v>
      </c>
      <c r="K604" s="72" t="n">
        <f aca="false">I604-J604</f>
        <v>-145.6</v>
      </c>
      <c r="L604" s="70" t="s">
        <v>521</v>
      </c>
      <c r="M604" s="70" t="s">
        <v>525</v>
      </c>
      <c r="N604" s="70" t="s">
        <v>526</v>
      </c>
      <c r="O604" s="70" t="s">
        <v>523</v>
      </c>
    </row>
    <row r="605" customFormat="false" ht="15" hidden="false" customHeight="false" outlineLevel="0" collapsed="false">
      <c r="A605" s="71" t="n">
        <v>46296</v>
      </c>
      <c r="B605" s="70" t="s">
        <v>1732</v>
      </c>
      <c r="C605" s="70" t="s">
        <v>322</v>
      </c>
      <c r="D605" s="70" t="s">
        <v>323</v>
      </c>
      <c r="E605" s="70" t="s">
        <v>522</v>
      </c>
      <c r="F605" s="70" t="s">
        <v>405</v>
      </c>
      <c r="G605" s="70" t="s">
        <v>65</v>
      </c>
      <c r="H605" s="72" t="n">
        <f aca="false">'3 Base Saídas'!H126</f>
        <v>-8.4</v>
      </c>
      <c r="I605" s="72" t="n">
        <v>0</v>
      </c>
      <c r="J605" s="72" t="n">
        <f aca="false">'3 Base Saídas'!R126</f>
        <v>8.4</v>
      </c>
      <c r="K605" s="72" t="n">
        <f aca="false">I605-J605</f>
        <v>-8.4</v>
      </c>
      <c r="L605" s="70" t="s">
        <v>804</v>
      </c>
      <c r="M605" s="70" t="s">
        <v>806</v>
      </c>
      <c r="N605" s="70" t="s">
        <v>807</v>
      </c>
      <c r="O605" s="70" t="s">
        <v>523</v>
      </c>
    </row>
    <row r="606" customFormat="false" ht="15" hidden="false" customHeight="false" outlineLevel="0" collapsed="false">
      <c r="A606" s="71" t="n">
        <v>46296</v>
      </c>
      <c r="B606" s="70" t="s">
        <v>1732</v>
      </c>
      <c r="C606" s="70" t="s">
        <v>322</v>
      </c>
      <c r="D606" s="70" t="s">
        <v>323</v>
      </c>
      <c r="E606" s="70" t="s">
        <v>522</v>
      </c>
      <c r="F606" s="70" t="s">
        <v>405</v>
      </c>
      <c r="G606" s="70" t="s">
        <v>65</v>
      </c>
      <c r="H606" s="72" t="n">
        <f aca="false">'3 Base Saídas'!H127</f>
        <v>-30.8</v>
      </c>
      <c r="I606" s="72" t="n">
        <v>0</v>
      </c>
      <c r="J606" s="72" t="n">
        <f aca="false">'3 Base Saídas'!R127</f>
        <v>30.8</v>
      </c>
      <c r="K606" s="72" t="n">
        <f aca="false">I606-J606</f>
        <v>-30.8</v>
      </c>
      <c r="L606" s="70" t="s">
        <v>808</v>
      </c>
      <c r="M606" s="70" t="s">
        <v>525</v>
      </c>
      <c r="N606" s="70" t="s">
        <v>526</v>
      </c>
      <c r="O606" s="70" t="s">
        <v>523</v>
      </c>
    </row>
    <row r="607" customFormat="false" ht="15" hidden="false" customHeight="false" outlineLevel="0" collapsed="false">
      <c r="A607" s="71" t="n">
        <v>46296</v>
      </c>
      <c r="B607" s="70" t="s">
        <v>1732</v>
      </c>
      <c r="C607" s="70" t="s">
        <v>281</v>
      </c>
      <c r="D607" s="70" t="s">
        <v>282</v>
      </c>
      <c r="E607" s="70" t="s">
        <v>1344</v>
      </c>
      <c r="F607" s="70" t="s">
        <v>405</v>
      </c>
      <c r="G607" s="70" t="s">
        <v>65</v>
      </c>
      <c r="H607" s="72" t="n">
        <f aca="false">'3 Base Saídas'!H357</f>
        <v>-306</v>
      </c>
      <c r="I607" s="72" t="n">
        <v>0</v>
      </c>
      <c r="J607" s="72" t="n">
        <f aca="false">'3 Base Saídas'!R357</f>
        <v>306</v>
      </c>
      <c r="K607" s="72" t="n">
        <f aca="false">I607-J607</f>
        <v>-306</v>
      </c>
      <c r="L607" s="70" t="s">
        <v>1343</v>
      </c>
      <c r="M607" s="70" t="s">
        <v>1346</v>
      </c>
      <c r="N607" s="70" t="s">
        <v>1347</v>
      </c>
      <c r="O607" s="70" t="s">
        <v>523</v>
      </c>
    </row>
  </sheetData>
  <conditionalFormatting sqref="A2:O607">
    <cfRule type="expression" priority="2" aboveAverage="0" equalAverage="0" bottom="0" percent="0" rank="0" text="" dxfId="9">
      <formula>MOD(ROW(),2)=0</formula>
    </cfRule>
  </conditionalFormatting>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A81"/>
    <pageSetUpPr fitToPage="true"/>
  </sheetPr>
  <dimension ref="A1:BH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7"/>
    <col collapsed="false" customWidth="true" hidden="false" outlineLevel="0" max="7" min="4" style="0" width="12"/>
    <col collapsed="false" customWidth="true" hidden="false" outlineLevel="0" max="8" min="8" style="0" width="13"/>
    <col collapsed="false" customWidth="true" hidden="false" outlineLevel="0" max="10" min="9" style="0" width="12"/>
    <col collapsed="false" customWidth="true" hidden="false" outlineLevel="0" max="11" min="11" style="0" width="11"/>
    <col collapsed="false" customWidth="true" hidden="false" outlineLevel="0" max="13" min="12" style="0" width="12"/>
    <col collapsed="false" customWidth="true" hidden="false" outlineLevel="0" max="14" min="14" style="0" width="58"/>
    <col collapsed="false" customWidth="true" hidden="false" outlineLevel="0" max="15" min="15" style="0" width="70"/>
    <col collapsed="false" customWidth="true" hidden="true" outlineLevel="0" max="60" min="18" style="0" width="13"/>
  </cols>
  <sheetData>
    <row r="1" customFormat="false" ht="30" hidden="false" customHeight="true" outlineLevel="0" collapsed="false">
      <c r="A1" s="80" t="s">
        <v>1733</v>
      </c>
      <c r="B1" s="1"/>
      <c r="C1" s="1"/>
      <c r="D1" s="1"/>
      <c r="E1" s="1"/>
      <c r="F1" s="1"/>
      <c r="G1" s="1"/>
      <c r="H1" s="1"/>
      <c r="I1" s="1"/>
      <c r="J1" s="1"/>
      <c r="K1" s="1"/>
      <c r="L1" s="1"/>
      <c r="M1" s="1"/>
      <c r="N1" s="1"/>
      <c r="O1" s="81" t="s">
        <v>55</v>
      </c>
      <c r="R1" s="0" t="str">
        <f aca="false">IF(A5="Todos","*",A5)</f>
        <v>*</v>
      </c>
      <c r="AS1" s="82" t="s">
        <v>64</v>
      </c>
      <c r="AU1" s="83" t="n">
        <v>46274</v>
      </c>
      <c r="AV1" s="82" t="s">
        <v>64</v>
      </c>
      <c r="AW1" s="82" t="s">
        <v>186</v>
      </c>
      <c r="AX1" s="82" t="s">
        <v>187</v>
      </c>
      <c r="AY1" s="82" t="n">
        <f aca="false">IF(OR($A$5="Todos",AW1=$A$5),1,0)</f>
        <v>1</v>
      </c>
      <c r="AZ1" s="82" t="s">
        <v>65</v>
      </c>
      <c r="BA1" s="82" t="s">
        <v>66</v>
      </c>
      <c r="BG1" s="82" t="s">
        <v>64</v>
      </c>
    </row>
    <row r="2" customFormat="false" ht="15" hidden="false" customHeight="false" outlineLevel="0" collapsed="false">
      <c r="A2" s="84" t="s">
        <v>1734</v>
      </c>
      <c r="B2" s="1"/>
      <c r="C2" s="1"/>
      <c r="D2" s="1"/>
      <c r="E2" s="1"/>
      <c r="F2" s="1"/>
      <c r="G2" s="1"/>
      <c r="H2" s="1"/>
      <c r="I2" s="1"/>
      <c r="J2" s="1"/>
      <c r="K2" s="1"/>
      <c r="L2" s="1"/>
      <c r="M2" s="1"/>
      <c r="N2" s="1"/>
      <c r="O2" s="1"/>
      <c r="R2" s="0" t="str">
        <f aca="false">IF(OR(D5="Todos",D5=""),"*",D5)</f>
        <v>*</v>
      </c>
      <c r="AS2" s="82" t="s">
        <v>186</v>
      </c>
      <c r="AU2" s="83" t="n">
        <v>46275</v>
      </c>
      <c r="AV2" s="0" t="str">
        <f aca="false">IFERROR(INDEX($AX$1:$AX$94,MATCH(1,$AY$1:$AY$94,0)),"")</f>
        <v>252800202</v>
      </c>
      <c r="AW2" s="82" t="s">
        <v>192</v>
      </c>
      <c r="AX2" s="82" t="s">
        <v>195</v>
      </c>
      <c r="AY2" s="82" t="n">
        <f aca="false">IF(OR($A$5="Todos",AW2=$A$5),MAX(AY$1:AY1)+1,0)</f>
        <v>2</v>
      </c>
      <c r="AZ2" s="82" t="s">
        <v>146</v>
      </c>
      <c r="BA2" s="82" t="s">
        <v>1735</v>
      </c>
      <c r="BG2" s="82" t="s">
        <v>109</v>
      </c>
    </row>
    <row r="3" customFormat="false" ht="15" hidden="false" customHeight="false" outlineLevel="0" collapsed="false">
      <c r="A3" s="1"/>
      <c r="B3" s="1"/>
      <c r="C3" s="1"/>
      <c r="D3" s="1"/>
      <c r="E3" s="1"/>
      <c r="F3" s="1"/>
      <c r="G3" s="1"/>
      <c r="H3" s="1"/>
      <c r="I3" s="1"/>
      <c r="J3" s="1"/>
      <c r="K3" s="1"/>
      <c r="L3" s="1"/>
      <c r="M3" s="1"/>
      <c r="N3" s="1"/>
      <c r="O3" s="1"/>
      <c r="R3" s="0" t="str">
        <f aca="false">IF(A5="Todos",J5,IFERROR(INDEX($U$40:$U$133,MATCH(A5,$T$40:$T$133,0)),J5))</f>
        <v>KG</v>
      </c>
      <c r="AS3" s="82" t="s">
        <v>192</v>
      </c>
      <c r="AU3" s="83" t="n">
        <v>46276</v>
      </c>
      <c r="AV3" s="0" t="str">
        <f aca="false">IFERROR(INDEX($AX$1:$AX$94,MATCH(2,$AY$1:$AY$94,0)),"")</f>
        <v>260070301</v>
      </c>
      <c r="AW3" s="82" t="s">
        <v>192</v>
      </c>
      <c r="AX3" s="82" t="s">
        <v>193</v>
      </c>
      <c r="AY3" s="82" t="n">
        <f aca="false">IF(OR($A$5="Todos",AW3=$A$5),MAX(AY$1:AY2)+1,0)</f>
        <v>3</v>
      </c>
      <c r="AZ3" s="82" t="s">
        <v>147</v>
      </c>
      <c r="BA3" s="82" t="s">
        <v>1732</v>
      </c>
      <c r="BG3" s="82" t="s">
        <v>110</v>
      </c>
    </row>
    <row r="4" customFormat="false" ht="15" hidden="false" customHeight="false" outlineLevel="0" collapsed="false">
      <c r="A4" s="85" t="s">
        <v>157</v>
      </c>
      <c r="B4" s="86"/>
      <c r="C4" s="86"/>
      <c r="D4" s="87" t="s">
        <v>60</v>
      </c>
      <c r="E4" s="86"/>
      <c r="F4" s="87" t="s">
        <v>57</v>
      </c>
      <c r="G4" s="86"/>
      <c r="H4" s="87" t="s">
        <v>58</v>
      </c>
      <c r="I4" s="86"/>
      <c r="J4" s="87" t="s">
        <v>61</v>
      </c>
      <c r="K4" s="87" t="s">
        <v>184</v>
      </c>
      <c r="L4" s="86"/>
      <c r="M4" s="86"/>
      <c r="N4" s="86"/>
      <c r="O4" s="88"/>
      <c r="R4" s="0" t="str">
        <f aca="false">IF(K5="Entrada","Entrada",IF(K5="Saída","Saída",IF(K5="Recebido no 2008","Recebido no 2008",IF(K5="Estorno","Estorno","*"))))</f>
        <v>*</v>
      </c>
      <c r="AS4" s="82" t="s">
        <v>198</v>
      </c>
      <c r="AU4" s="83" t="n">
        <v>46277</v>
      </c>
      <c r="AV4" s="0" t="str">
        <f aca="false">IFERROR(INDEX($AX$1:$AX$94,MATCH(3,$AY$1:$AY$94,0)),"")</f>
        <v>260370301</v>
      </c>
      <c r="AW4" s="82" t="s">
        <v>198</v>
      </c>
      <c r="AX4" s="82" t="s">
        <v>199</v>
      </c>
      <c r="AY4" s="82" t="n">
        <f aca="false">IF(OR($A$5="Todos",AW4=$A$5),MAX(AY$1:AY3)+1,0)</f>
        <v>4</v>
      </c>
      <c r="BA4" s="82" t="s">
        <v>163</v>
      </c>
      <c r="BG4" s="82" t="s">
        <v>111</v>
      </c>
    </row>
    <row r="5" customFormat="false" ht="24" hidden="false" customHeight="true" outlineLevel="0" collapsed="false">
      <c r="A5" s="89" t="str">
        <f aca="false">'1 Dashboard'!E5</f>
        <v>Todos</v>
      </c>
      <c r="B5" s="89"/>
      <c r="C5" s="89"/>
      <c r="D5" s="89" t="str">
        <f aca="false">'1 Dashboard'!H5</f>
        <v>Todos</v>
      </c>
      <c r="E5" s="89"/>
      <c r="F5" s="90" t="n">
        <f aca="false">'1 Dashboard'!A5</f>
        <v>46274</v>
      </c>
      <c r="G5" s="90"/>
      <c r="H5" s="90" t="n">
        <f aca="false">'1 Dashboard'!C5</f>
        <v>46296</v>
      </c>
      <c r="I5" s="90"/>
      <c r="J5" s="89" t="str">
        <f aca="false">'1 Dashboard'!J5</f>
        <v>KG</v>
      </c>
      <c r="K5" s="89" t="str">
        <f aca="false">'1 Dashboard'!K5</f>
        <v>Todas</v>
      </c>
      <c r="L5" s="89"/>
      <c r="M5" s="89"/>
      <c r="N5" s="91"/>
      <c r="O5" s="92"/>
      <c r="R5" s="93" t="n">
        <f aca="false">Parâmetros!$C$7</f>
        <v>0.01</v>
      </c>
      <c r="AS5" s="82" t="s">
        <v>201</v>
      </c>
      <c r="AU5" s="83" t="n">
        <v>46278</v>
      </c>
      <c r="AV5" s="0" t="str">
        <f aca="false">IFERROR(INDEX($AX$1:$AX$94,MATCH(4,$AY$1:$AY$94,0)),"")</f>
        <v>253213449</v>
      </c>
      <c r="AW5" s="82" t="s">
        <v>201</v>
      </c>
      <c r="AX5" s="82" t="s">
        <v>202</v>
      </c>
      <c r="AY5" s="82" t="n">
        <f aca="false">IF(OR($A$5="Todos",AW5=$A$5),MAX(AY$1:AY4)+1,0)</f>
        <v>5</v>
      </c>
      <c r="BA5" s="82" t="s">
        <v>1736</v>
      </c>
    </row>
    <row r="6" customFormat="false" ht="15" hidden="false" customHeight="false" outlineLevel="0" collapsed="false">
      <c r="A6" s="94" t="s">
        <v>1737</v>
      </c>
      <c r="B6" s="91"/>
      <c r="C6" s="91"/>
      <c r="D6" s="91"/>
      <c r="E6" s="91"/>
      <c r="F6" s="91"/>
      <c r="G6" s="91"/>
      <c r="H6" s="91"/>
      <c r="I6" s="91"/>
      <c r="J6" s="91"/>
      <c r="K6" s="91"/>
      <c r="L6" s="91"/>
      <c r="M6" s="91"/>
      <c r="N6" s="91"/>
      <c r="O6" s="92"/>
      <c r="R6" s="0" t="str">
        <f aca="false">IF('1 Dashboard'!$N$5="Todos","*",'1 Dashboard'!$N$5)</f>
        <v>*</v>
      </c>
      <c r="AS6" s="82" t="s">
        <v>205</v>
      </c>
      <c r="AU6" s="83" t="n">
        <v>46279</v>
      </c>
      <c r="AV6" s="0" t="str">
        <f aca="false">IFERROR(INDEX($AX$1:$AX$94,MATCH(5,$AY$1:$AY$94,0)),"")</f>
        <v>251633359</v>
      </c>
      <c r="AW6" s="82" t="s">
        <v>201</v>
      </c>
      <c r="AX6" s="82" t="s">
        <v>203</v>
      </c>
      <c r="AY6" s="82" t="n">
        <f aca="false">IF(OR($A$5="Todos",AW6=$A$5),MAX(AY$1:AY5)+1,0)</f>
        <v>6</v>
      </c>
    </row>
    <row r="7" customFormat="false" ht="15" hidden="false" customHeight="false" outlineLevel="0" collapsed="false">
      <c r="A7" s="95" t="str">
        <f aca="false">"Mostrando: "&amp;IF(A5="Todos","todos os SKUs",A5)&amp;IF(D5="Todos",""," · lote "&amp;D5)&amp;" · "&amp;DAY(F5)&amp;"/"&amp;MONTH(F5)&amp;"/"&amp;YEAR(F5)&amp;" a "&amp;DAY(H5)&amp;"/"&amp;MONTH(H5)&amp;"/"&amp;YEAR(H5)&amp;" · unidade "&amp;$R$3&amp;IF(K5="Todas",""," · movimentação "&amp;K5)</f>
        <v>Mostrando: todos os SKUs · 9/9/2026 a 1/10/2026 · unidade KG</v>
      </c>
      <c r="B7" s="96"/>
      <c r="C7" s="96"/>
      <c r="D7" s="96"/>
      <c r="E7" s="96"/>
      <c r="F7" s="96"/>
      <c r="G7" s="96"/>
      <c r="H7" s="96"/>
      <c r="I7" s="96"/>
      <c r="J7" s="96"/>
      <c r="K7" s="96"/>
      <c r="L7" s="96"/>
      <c r="M7" s="96"/>
      <c r="N7" s="96"/>
      <c r="O7" s="97"/>
      <c r="AS7" s="82" t="s">
        <v>314</v>
      </c>
      <c r="AU7" s="83" t="n">
        <v>46280</v>
      </c>
      <c r="AV7" s="0" t="str">
        <f aca="false">IFERROR(INDEX($AX$1:$AX$94,MATCH(6,$AY$1:$AY$94,0)),"")</f>
        <v>260130779</v>
      </c>
      <c r="AW7" s="82" t="s">
        <v>205</v>
      </c>
      <c r="AX7" s="82" t="s">
        <v>209</v>
      </c>
      <c r="AY7" s="82" t="n">
        <f aca="false">IF(OR($A$5="Todos",AW7=$A$5),MAX(AY$1:AY6)+1,0)</f>
        <v>7</v>
      </c>
    </row>
    <row r="8" customFormat="false" ht="15" hidden="false" customHeight="false" outlineLevel="0" collapsed="false">
      <c r="A8" s="1"/>
      <c r="B8" s="1"/>
      <c r="C8" s="1"/>
      <c r="D8" s="1"/>
      <c r="E8" s="1"/>
      <c r="F8" s="1"/>
      <c r="G8" s="1"/>
      <c r="H8" s="1"/>
      <c r="I8" s="1"/>
      <c r="J8" s="1"/>
      <c r="K8" s="1"/>
      <c r="L8" s="1"/>
      <c r="M8" s="1"/>
      <c r="N8" s="1"/>
      <c r="O8" s="1"/>
      <c r="AS8" s="82" t="s">
        <v>211</v>
      </c>
      <c r="AU8" s="83" t="n">
        <v>46281</v>
      </c>
      <c r="AV8" s="0" t="str">
        <f aca="false">IFERROR(INDEX($AX$1:$AX$94,MATCH(7,$AY$1:$AY$94,0)),"")</f>
        <v>250880301</v>
      </c>
      <c r="AW8" s="82" t="s">
        <v>205</v>
      </c>
      <c r="AX8" s="82" t="s">
        <v>206</v>
      </c>
      <c r="AY8" s="82" t="n">
        <f aca="false">IF(OR($A$5="Todos",AW8=$A$5),MAX(AY$1:AY7)+1,0)</f>
        <v>8</v>
      </c>
    </row>
    <row r="9" customFormat="false" ht="21.75" hidden="false" customHeight="true" outlineLevel="0" collapsed="false">
      <c r="A9" s="98" t="str">
        <f aca="false">"ENTROU · "&amp;$R$3</f>
        <v>ENTROU · KG</v>
      </c>
      <c r="B9" s="98"/>
      <c r="C9" s="99" t="str">
        <f aca="false">"SAIU · "&amp;$R$3</f>
        <v>SAIU · KG</v>
      </c>
      <c r="D9" s="99"/>
      <c r="E9" s="99"/>
      <c r="F9" s="100" t="str">
        <f aca="false">"DEVERIA TER · "&amp;$R$3</f>
        <v>DEVERIA TER · KG</v>
      </c>
      <c r="G9" s="100"/>
      <c r="H9" s="100" t="str">
        <f aca="false">"ESTOQUE FÍSICO · "&amp;$R$3</f>
        <v>ESTOQUE FÍSICO · KG</v>
      </c>
      <c r="I9" s="100"/>
      <c r="J9" s="101" t="str">
        <f aca="false">"DIFERENÇA · "&amp;$R$3</f>
        <v>DIFERENÇA · KG</v>
      </c>
      <c r="K9" s="101"/>
      <c r="L9" s="102" t="str">
        <f aca="false">"Confere: "&amp;COUNTIFS($AA$40:$AA$133,1,$AC$40:$AC$133,"Confere")&amp;" SKU·lote"</f>
        <v>Confere: 58 SKU·lote</v>
      </c>
      <c r="M9" s="102"/>
      <c r="N9" s="103" t="s">
        <v>1738</v>
      </c>
      <c r="O9" s="1"/>
      <c r="AS9" s="82" t="s">
        <v>218</v>
      </c>
      <c r="AU9" s="83" t="n">
        <v>46282</v>
      </c>
      <c r="AV9" s="0" t="str">
        <f aca="false">IFERROR(INDEX($AX$1:$AX$94,MATCH(8,$AY$1:$AY$94,0)),"")</f>
        <v>252450301</v>
      </c>
      <c r="AW9" s="82" t="s">
        <v>314</v>
      </c>
      <c r="AX9" s="82" t="s">
        <v>315</v>
      </c>
      <c r="AY9" s="82" t="n">
        <f aca="false">IF(OR($A$5="Todos",AW9=$A$5),MAX(AY$1:AY8)+1,0)</f>
        <v>9</v>
      </c>
    </row>
    <row r="10" customFormat="false" ht="33.75" hidden="false" customHeight="true" outlineLevel="0" collapsed="false">
      <c r="A10" s="104" t="n">
        <f aca="false">SUMPRODUCT($AA$40:$AA$133,$W$40:$W$133)</f>
        <v>65930.28</v>
      </c>
      <c r="B10" s="104"/>
      <c r="C10" s="104" t="n">
        <f aca="false">SUMPRODUCT($AA$40:$AA$133,$X$40:$X$133)</f>
        <v>26268.8</v>
      </c>
      <c r="D10" s="104"/>
      <c r="E10" s="104"/>
      <c r="F10" s="104" t="n">
        <f aca="false">SUMPRODUCT($AA$40:$AA$133,$BH$40:$BH$133)+A10-C10</f>
        <v>39661.48</v>
      </c>
      <c r="G10" s="104"/>
      <c r="H10" s="104" t="n">
        <f aca="false">SUMPRODUCT($AA$40:$AA$133,$Y$40:$Y$133)</f>
        <v>59270.487</v>
      </c>
      <c r="I10" s="104"/>
      <c r="J10" s="105" t="n">
        <f aca="false">ROUND(H10-F10,3)</f>
        <v>19609.007</v>
      </c>
      <c r="K10" s="105"/>
      <c r="L10" s="106" t="str">
        <f aca="false">"Sobrando: "&amp;COUNTIFS($AA$40:$AA$133,1,$AC$40:$AC$133,"Sobrando")&amp;" SKU·lote"</f>
        <v>Sobrando: 20 SKU·lote</v>
      </c>
      <c r="M10" s="106"/>
      <c r="N10" s="1"/>
      <c r="O10" s="1"/>
      <c r="AS10" s="82" t="s">
        <v>220</v>
      </c>
      <c r="AU10" s="83" t="n">
        <v>46283</v>
      </c>
      <c r="AV10" s="0" t="str">
        <f aca="false">IFERROR(INDEX($AX$1:$AX$94,MATCH(9,$AY$1:$AY$94,0)),"")</f>
        <v>251643289</v>
      </c>
      <c r="AW10" s="82" t="s">
        <v>211</v>
      </c>
      <c r="AX10" s="82" t="s">
        <v>214</v>
      </c>
      <c r="AY10" s="82" t="n">
        <f aca="false">IF(OR($A$5="Todos",AW10=$A$5),MAX(AY$1:AY9)+1,0)</f>
        <v>10</v>
      </c>
    </row>
    <row r="11" customFormat="false" ht="21.75" hidden="false" customHeight="true" outlineLevel="0" collapsed="false">
      <c r="A11" s="107" t="s">
        <v>1739</v>
      </c>
      <c r="B11" s="107"/>
      <c r="C11" s="107" t="s">
        <v>1740</v>
      </c>
      <c r="D11" s="107"/>
      <c r="E11" s="107"/>
      <c r="F11" s="107" t="s">
        <v>92</v>
      </c>
      <c r="G11" s="107"/>
      <c r="H11" s="107" t="s">
        <v>1741</v>
      </c>
      <c r="I11" s="107"/>
      <c r="J11" s="108" t="str">
        <f aca="false">IF(OR(F5&lt;&gt;DATE(2026,9,9),H5&lt;&gt;DATE(2026,10,1)),"período parcial: compare com cuidado",IF(ABS(J10)&lt;=$R$5,"tudo confere",IF(J10&gt;0,"sobrando no estoque","faltando no estoque")))</f>
        <v>sobrando no estoque</v>
      </c>
      <c r="K11" s="108"/>
      <c r="L11" s="109" t="str">
        <f aca="false">"Faltando: "&amp;COUNTIFS($AA$40:$AA$133,1,$AC$40:$AC$133,"Faltando")&amp;" SKU·lote"</f>
        <v>Faltando: 3 SKU·lote</v>
      </c>
      <c r="M11" s="109"/>
      <c r="N11" s="1"/>
      <c r="O11" s="1"/>
      <c r="AS11" s="82" t="s">
        <v>322</v>
      </c>
      <c r="AU11" s="83" t="n">
        <v>46284</v>
      </c>
      <c r="AV11" s="0" t="str">
        <f aca="false">IFERROR(INDEX($AX$1:$AX$94,MATCH(10,$AY$1:$AY$94,0)),"")</f>
        <v>252510301</v>
      </c>
      <c r="AW11" s="82" t="s">
        <v>211</v>
      </c>
      <c r="AX11" s="82" t="s">
        <v>212</v>
      </c>
      <c r="AY11" s="82" t="n">
        <f aca="false">IF(OR($A$5="Todos",AW11=$A$5),MAX(AY$1:AY10)+1,0)</f>
        <v>11</v>
      </c>
    </row>
    <row r="12" customFormat="false" ht="15" hidden="false" customHeight="false" outlineLevel="0" collapsed="false">
      <c r="A12" s="1"/>
      <c r="B12" s="1"/>
      <c r="C12" s="1"/>
      <c r="D12" s="1"/>
      <c r="E12" s="1"/>
      <c r="F12" s="1"/>
      <c r="G12" s="1"/>
      <c r="H12" s="1"/>
      <c r="I12" s="1"/>
      <c r="J12" s="1"/>
      <c r="K12" s="1"/>
      <c r="L12" s="1"/>
      <c r="M12" s="1"/>
      <c r="N12" s="1"/>
      <c r="O12" s="1"/>
      <c r="AS12" s="82" t="s">
        <v>225</v>
      </c>
      <c r="AU12" s="83" t="n">
        <v>46285</v>
      </c>
      <c r="AV12" s="0" t="str">
        <f aca="false">IFERROR(INDEX($AX$1:$AX$94,MATCH(11,$AY$1:$AY$94,0)),"")</f>
        <v>253280301</v>
      </c>
      <c r="AW12" s="82" t="s">
        <v>218</v>
      </c>
      <c r="AX12" s="82" t="s">
        <v>317</v>
      </c>
      <c r="AY12" s="82" t="n">
        <f aca="false">IF(OR($A$5="Todos",AW12=$A$5),MAX(AY$1:AY11)+1,0)</f>
        <v>12</v>
      </c>
    </row>
    <row r="13" customFormat="false" ht="30" hidden="false" customHeight="true" outlineLevel="0" collapsed="false">
      <c r="A13" s="15" t="s">
        <v>157</v>
      </c>
      <c r="B13" s="15" t="s">
        <v>60</v>
      </c>
      <c r="C13" s="15" t="s">
        <v>159</v>
      </c>
      <c r="D13" s="57" t="s">
        <v>1742</v>
      </c>
      <c r="E13" s="57" t="s">
        <v>1727</v>
      </c>
      <c r="F13" s="57" t="s">
        <v>85</v>
      </c>
      <c r="G13" s="57" t="s">
        <v>86</v>
      </c>
      <c r="H13" s="57" t="s">
        <v>87</v>
      </c>
      <c r="I13" s="57" t="s">
        <v>88</v>
      </c>
      <c r="J13" s="16" t="s">
        <v>1743</v>
      </c>
      <c r="K13" s="16" t="s">
        <v>1744</v>
      </c>
      <c r="L13" s="16" t="s">
        <v>1745</v>
      </c>
      <c r="M13" s="16" t="s">
        <v>1746</v>
      </c>
      <c r="N13" s="110" t="s">
        <v>1747</v>
      </c>
      <c r="O13" s="110" t="s">
        <v>1748</v>
      </c>
      <c r="AS13" s="82" t="s">
        <v>227</v>
      </c>
      <c r="AU13" s="83" t="n">
        <v>46286</v>
      </c>
      <c r="AV13" s="0" t="str">
        <f aca="false">IFERROR(INDEX($AX$1:$AX$94,MATCH(12,$AY$1:$AY$94,0)),"")</f>
        <v>260900702</v>
      </c>
      <c r="AW13" s="82" t="s">
        <v>218</v>
      </c>
      <c r="AX13" s="82" t="s">
        <v>318</v>
      </c>
      <c r="AY13" s="82" t="n">
        <f aca="false">IF(OR($A$5="Todos",AW13=$A$5),MAX(AY$1:AY12)+1,0)</f>
        <v>13</v>
      </c>
    </row>
    <row r="14" customFormat="false" ht="15" hidden="false" customHeight="false" outlineLevel="0" collapsed="false">
      <c r="A14" s="111" t="str">
        <f aca="false">IF(IFERROR(MATCH(1,$AB$40:$AB$133,0),0)=0,"",INDEX($T$40:$T$133,IFERROR(MATCH(1,$AB$40:$AB$133,0),0)))</f>
        <v>CHK-R30GOLD-BR-25A</v>
      </c>
      <c r="B14" s="111" t="str">
        <f aca="false">IF(IFERROR(MATCH(1,$AB$40:$AB$133,0),0)=0,"",INDEX($AG$40:$AG$133,IFERROR(MATCH(1,$AB$40:$AB$133,0),0)))</f>
        <v>261130301</v>
      </c>
      <c r="C14" s="112" t="str">
        <f aca="false">IF(IFERROR(MATCH(1,$AB$40:$AB$133,0),0)=0,"",INDEX($U$40:$U$133,IFERROR(MATCH(1,$AB$40:$AB$133,0),0)))</f>
        <v>KG</v>
      </c>
      <c r="D14" s="113" t="n">
        <f aca="false">IF(IFERROR(MATCH(1,$AB$40:$AB$133,0),0)=0,"",INDEX($BH$40:$BH$133,IFERROR(MATCH(1,$AB$40:$AB$133,0),0)))</f>
        <v>0</v>
      </c>
      <c r="E14" s="113" t="n">
        <f aca="false">IF(IFERROR(MATCH(1,$AB$40:$AB$133,0),0)=0,"",INDEX($W$40:$W$133,IFERROR(MATCH(1,$AB$40:$AB$133,0),0)))</f>
        <v>2673.3</v>
      </c>
      <c r="F14" s="113" t="n">
        <f aca="false">IF(IFERROR(MATCH(1,$AB$40:$AB$133,0),0)=0,"",INDEX($X$40:$X$133,IFERROR(MATCH(1,$AB$40:$AB$133,0),0)))</f>
        <v>1005</v>
      </c>
      <c r="G14" s="113" t="n">
        <f aca="false">IF(A14="","",D14+E14-F14)</f>
        <v>1668.3</v>
      </c>
      <c r="H14" s="113" t="n">
        <f aca="false">IF(IFERROR(MATCH(1,$AB$40:$AB$133,0),0)=0,"",INDEX($Y$40:$Y$133,IFERROR(MATCH(1,$AB$40:$AB$133,0),0)))</f>
        <v>1226.1</v>
      </c>
      <c r="I14" s="114" t="n">
        <f aca="false">IF(IFERROR(MATCH(1,$AB$40:$AB$133,0),0)=0,"",INDEX($Z$40:$Z$133,IFERROR(MATCH(1,$AB$40:$AB$133,0),0)))</f>
        <v>-442.2</v>
      </c>
      <c r="J14" s="115" t="str">
        <f aca="false">IF(IFERROR(MATCH(1,$AB$40:$AB$133,0),0)=0,"",INDEX($AC$40:$AC$133,IFERROR(MATCH(1,$AB$40:$AB$133,0),0)))</f>
        <v>Faltando</v>
      </c>
      <c r="K14" s="116" t="n">
        <f aca="false">IF(IFERROR(MATCH(1,$AB$40:$AB$133,0),0)=0,"",INDEX($AD$40:$AD$133,IFERROR(MATCH(1,$AB$40:$AB$133,0),0)))</f>
        <v>17</v>
      </c>
      <c r="L14" s="117" t="n">
        <f aca="false">IF(IFERROR(MATCH(1,$AB$40:$AB$133,0),0)=0,"",IF(INDEX($BB$40:$BB$133,IFERROR(MATCH(1,$AB$40:$AB$133,0),0))&gt;=99999,"",INDEX($BB$40:$BB$133,IFERROR(MATCH(1,$AB$40:$AB$133,0),0))))</f>
        <v>46275</v>
      </c>
      <c r="M14" s="117" t="n">
        <f aca="false">IF(IFERROR(MATCH(1,$AB$40:$AB$133,0),0)=0,"",IF(INDEX($BC$40:$BC$133,IFERROR(MATCH(1,$AB$40:$AB$133,0),0))=0,"",INDEX($BC$40:$BC$133,IFERROR(MATCH(1,$AB$40:$AB$133,0),0))))</f>
        <v>46295</v>
      </c>
      <c r="N14" s="118" t="str">
        <f aca="false">IF(IFERROR(MATCH(1,$AB$40:$AB$133,0),0)=0,"",INDEX($AE$40:$AE$133,IFERROR(MATCH(1,$AB$40:$AB$133,0),0))&amp;"")</f>
        <v>Estoque físico menor que o esperado: saída, ajuste ou perda não lançada no período</v>
      </c>
      <c r="O14" s="119" t="str">
        <f aca="false">IF(IFERROR(MATCH(1,$AB$40:$AB$133,0),0)=0,"",INDEX($BD$40:$BD$133,IFERROR(MATCH(1,$AB$40:$AB$133,0),0))&amp;"")</f>
        <v>Contar o lote. Se a falta se confirmar: lançar a saída esquecida (601) ou ajuste de inventário de −442.2 KG</v>
      </c>
      <c r="AS14" s="82" t="s">
        <v>327</v>
      </c>
      <c r="AU14" s="83" t="n">
        <v>46287</v>
      </c>
      <c r="AV14" s="0" t="str">
        <f aca="false">IFERROR(INDEX($AX$1:$AX$94,MATCH(13,$AY$1:$AY$94,0)),"")</f>
        <v>260920702</v>
      </c>
      <c r="AW14" s="82" t="s">
        <v>218</v>
      </c>
      <c r="AX14" s="82" t="s">
        <v>319</v>
      </c>
      <c r="AY14" s="82" t="n">
        <f aca="false">IF(OR($A$5="Todos",AW14=$A$5),MAX(AY$1:AY13)+1,0)</f>
        <v>14</v>
      </c>
    </row>
    <row r="15" customFormat="false" ht="15" hidden="false" customHeight="false" outlineLevel="0" collapsed="false">
      <c r="A15" s="111" t="str">
        <f aca="false">IF(IFERROR(MATCH(2,$AB$40:$AB$133,0),0)=0,"",INDEX($T$40:$T$133,IFERROR(MATCH(2,$AB$40:$AB$133,0),0)))</f>
        <v>CHM-TS-P23-E0-999</v>
      </c>
      <c r="B15" s="111" t="str">
        <f aca="false">IF(IFERROR(MATCH(2,$AB$40:$AB$133,0),0)=0,"",INDEX($AG$40:$AG$133,IFERROR(MATCH(2,$AB$40:$AB$133,0),0)))</f>
        <v>2605567696</v>
      </c>
      <c r="C15" s="112" t="str">
        <f aca="false">IF(IFERROR(MATCH(2,$AB$40:$AB$133,0),0)=0,"",INDEX($U$40:$U$133,IFERROR(MATCH(2,$AB$40:$AB$133,0),0)))</f>
        <v>KG</v>
      </c>
      <c r="D15" s="113" t="n">
        <f aca="false">IF(IFERROR(MATCH(2,$AB$40:$AB$133,0),0)=0,"",INDEX($BH$40:$BH$133,IFERROR(MATCH(2,$AB$40:$AB$133,0),0)))</f>
        <v>0</v>
      </c>
      <c r="E15" s="113" t="n">
        <f aca="false">IF(IFERROR(MATCH(2,$AB$40:$AB$133,0),0)=0,"",INDEX($W$40:$W$133,IFERROR(MATCH(2,$AB$40:$AB$133,0),0)))</f>
        <v>261.12</v>
      </c>
      <c r="F15" s="113" t="n">
        <f aca="false">IF(IFERROR(MATCH(2,$AB$40:$AB$133,0),0)=0,"",INDEX($X$40:$X$133,IFERROR(MATCH(2,$AB$40:$AB$133,0),0)))</f>
        <v>0</v>
      </c>
      <c r="G15" s="113" t="n">
        <f aca="false">IF(A15="","",D15+E15-F15)</f>
        <v>261.12</v>
      </c>
      <c r="H15" s="113" t="n">
        <f aca="false">IF(IFERROR(MATCH(2,$AB$40:$AB$133,0),0)=0,"",INDEX($Y$40:$Y$133,IFERROR(MATCH(2,$AB$40:$AB$133,0),0)))</f>
        <v>0</v>
      </c>
      <c r="I15" s="114" t="n">
        <f aca="false">IF(IFERROR(MATCH(2,$AB$40:$AB$133,0),0)=0,"",INDEX($Z$40:$Z$133,IFERROR(MATCH(2,$AB$40:$AB$133,0),0)))</f>
        <v>-261.12</v>
      </c>
      <c r="J15" s="115" t="str">
        <f aca="false">IF(IFERROR(MATCH(2,$AB$40:$AB$133,0),0)=0,"",INDEX($AC$40:$AC$133,IFERROR(MATCH(2,$AB$40:$AB$133,0),0)))</f>
        <v>Faltando</v>
      </c>
      <c r="K15" s="116" t="n">
        <f aca="false">IF(IFERROR(MATCH(2,$AB$40:$AB$133,0),0)=0,"",INDEX($AD$40:$AD$133,IFERROR(MATCH(2,$AB$40:$AB$133,0),0)))</f>
        <v>1</v>
      </c>
      <c r="L15" s="117" t="n">
        <f aca="false">IF(IFERROR(MATCH(2,$AB$40:$AB$133,0),0)=0,"",IF(INDEX($BB$40:$BB$133,IFERROR(MATCH(2,$AB$40:$AB$133,0),0))&gt;=99999,"",INDEX($BB$40:$BB$133,IFERROR(MATCH(2,$AB$40:$AB$133,0),0))))</f>
        <v>46288</v>
      </c>
      <c r="M15" s="117" t="n">
        <f aca="false">IF(IFERROR(MATCH(2,$AB$40:$AB$133,0),0)=0,"",IF(INDEX($BC$40:$BC$133,IFERROR(MATCH(2,$AB$40:$AB$133,0),0))=0,"",INDEX($BC$40:$BC$133,IFERROR(MATCH(2,$AB$40:$AB$133,0),0))))</f>
        <v>46288</v>
      </c>
      <c r="N15" s="118" t="str">
        <f aca="false">IF(IFERROR(MATCH(2,$AB$40:$AB$133,0),0)=0,"",INDEX($AE$40:$AE$133,IFERROR(MATCH(2,$AB$40:$AB$133,0),0))&amp;"")</f>
        <v>Entrou no ZBR, mas não está no estoque físico: não chegou ou foi guardado em outro lote</v>
      </c>
      <c r="O15" s="119" t="str">
        <f aca="false">IF(IFERROR(MATCH(2,$AB$40:$AB$133,0),0)=0,"",INDEX($BD$40:$BD$133,IFERROR(MATCH(2,$AB$40:$AB$133,0),0))&amp;"")</f>
        <v>Procurar a OT de armazenagem pendente no ZBR. Se não achar: contar e lançar ajuste de inventário de −261.1 KG</v>
      </c>
      <c r="AS15" s="82" t="s">
        <v>232</v>
      </c>
      <c r="AU15" s="83" t="n">
        <v>46288</v>
      </c>
      <c r="AV15" s="0" t="str">
        <f aca="false">IFERROR(INDEX($AX$1:$AX$94,MATCH(14,$AY$1:$AY$94,0)),"")</f>
        <v>261146101</v>
      </c>
      <c r="AW15" s="82" t="s">
        <v>218</v>
      </c>
      <c r="AX15" s="82" t="s">
        <v>219</v>
      </c>
      <c r="AY15" s="82" t="n">
        <f aca="false">IF(OR($A$5="Todos",AW15=$A$5),MAX(AY$1:AY14)+1,0)</f>
        <v>15</v>
      </c>
    </row>
    <row r="16" customFormat="false" ht="15" hidden="false" customHeight="false" outlineLevel="0" collapsed="false">
      <c r="A16" s="111" t="str">
        <f aca="false">IF(IFERROR(MATCH(3,$AB$40:$AB$133,0),0)=0,"",INDEX($T$40:$T$133,IFERROR(MATCH(3,$AB$40:$AB$133,0),0)))</f>
        <v>BIG-PF-1BO-401</v>
      </c>
      <c r="B16" s="111" t="str">
        <f aca="false">IF(IFERROR(MATCH(3,$AB$40:$AB$133,0),0)=0,"",INDEX($AG$40:$AG$133,IFERROR(MATCH(3,$AB$40:$AB$133,0),0)))</f>
        <v>26044019</v>
      </c>
      <c r="C16" s="112" t="str">
        <f aca="false">IF(IFERROR(MATCH(3,$AB$40:$AB$133,0),0)=0,"",INDEX($U$40:$U$133,IFERROR(MATCH(3,$AB$40:$AB$133,0),0)))</f>
        <v>KG</v>
      </c>
      <c r="D16" s="113" t="n">
        <f aca="false">IF(IFERROR(MATCH(3,$AB$40:$AB$133,0),0)=0,"",INDEX($BH$40:$BH$133,IFERROR(MATCH(3,$AB$40:$AB$133,0),0)))</f>
        <v>0</v>
      </c>
      <c r="E16" s="113" t="n">
        <f aca="false">IF(IFERROR(MATCH(3,$AB$40:$AB$133,0),0)=0,"",INDEX($W$40:$W$133,IFERROR(MATCH(3,$AB$40:$AB$133,0),0)))</f>
        <v>480</v>
      </c>
      <c r="F16" s="113" t="n">
        <f aca="false">IF(IFERROR(MATCH(3,$AB$40:$AB$133,0),0)=0,"",INDEX($X$40:$X$133,IFERROR(MATCH(3,$AB$40:$AB$133,0),0)))</f>
        <v>60</v>
      </c>
      <c r="G16" s="113" t="n">
        <f aca="false">IF(A16="","",D16+E16-F16)</f>
        <v>420</v>
      </c>
      <c r="H16" s="113" t="n">
        <f aca="false">IF(IFERROR(MATCH(3,$AB$40:$AB$133,0),0)=0,"",INDEX($Y$40:$Y$133,IFERROR(MATCH(3,$AB$40:$AB$133,0),0)))</f>
        <v>210</v>
      </c>
      <c r="I16" s="114" t="n">
        <f aca="false">IF(IFERROR(MATCH(3,$AB$40:$AB$133,0),0)=0,"",INDEX($Z$40:$Z$133,IFERROR(MATCH(3,$AB$40:$AB$133,0),0)))</f>
        <v>-210</v>
      </c>
      <c r="J16" s="115" t="str">
        <f aca="false">IF(IFERROR(MATCH(3,$AB$40:$AB$133,0),0)=0,"",INDEX($AC$40:$AC$133,IFERROR(MATCH(3,$AB$40:$AB$133,0),0)))</f>
        <v>Faltando</v>
      </c>
      <c r="K16" s="116" t="n">
        <f aca="false">IF(IFERROR(MATCH(3,$AB$40:$AB$133,0),0)=0,"",INDEX($AD$40:$AD$133,IFERROR(MATCH(3,$AB$40:$AB$133,0),0)))</f>
        <v>5</v>
      </c>
      <c r="L16" s="117" t="n">
        <f aca="false">IF(IFERROR(MATCH(3,$AB$40:$AB$133,0),0)=0,"",IF(INDEX($BB$40:$BB$133,IFERROR(MATCH(3,$AB$40:$AB$133,0),0))&gt;=99999,"",INDEX($BB$40:$BB$133,IFERROR(MATCH(3,$AB$40:$AB$133,0),0))))</f>
        <v>46275</v>
      </c>
      <c r="M16" s="117" t="n">
        <f aca="false">IF(IFERROR(MATCH(3,$AB$40:$AB$133,0),0)=0,"",IF(INDEX($BC$40:$BC$133,IFERROR(MATCH(3,$AB$40:$AB$133,0),0))=0,"",INDEX($BC$40:$BC$133,IFERROR(MATCH(3,$AB$40:$AB$133,0),0))))</f>
        <v>46295</v>
      </c>
      <c r="N16" s="118" t="str">
        <f aca="false">IF(IFERROR(MATCH(3,$AB$40:$AB$133,0),0)=0,"",INDEX($AE$40:$AE$133,IFERROR(MATCH(3,$AB$40:$AB$133,0),0))&amp;"")</f>
        <v>Estoque físico menor que o esperado: saída, ajuste ou perda não lançada no período</v>
      </c>
      <c r="O16" s="119" t="str">
        <f aca="false">IF(IFERROR(MATCH(3,$AB$40:$AB$133,0),0)=0,"",INDEX($BD$40:$BD$133,IFERROR(MATCH(3,$AB$40:$AB$133,0),0))&amp;"")</f>
        <v>Contar o lote. Se a falta se confirmar: lançar a saída esquecida (601) ou ajuste de inventário de −210.0 KG</v>
      </c>
      <c r="AS16" s="82" t="s">
        <v>243</v>
      </c>
      <c r="AU16" s="83" t="n">
        <v>46289</v>
      </c>
      <c r="AV16" s="0" t="str">
        <f aca="false">IFERROR(INDEX($AX$1:$AX$94,MATCH(15,$AY$1:$AY$94,0)),"")</f>
        <v>261146102</v>
      </c>
      <c r="AW16" s="82" t="s">
        <v>220</v>
      </c>
      <c r="AX16" s="82" t="s">
        <v>223</v>
      </c>
      <c r="AY16" s="82" t="n">
        <f aca="false">IF(OR($A$5="Todos",AW16=$A$5),MAX(AY$1:AY15)+1,0)</f>
        <v>16</v>
      </c>
    </row>
    <row r="17" customFormat="false" ht="15" hidden="false" customHeight="false" outlineLevel="0" collapsed="false">
      <c r="A17" s="111" t="str">
        <f aca="false">IF(IFERROR(MATCH(4,$AB$40:$AB$133,0),0)=0,"",INDEX($T$40:$T$133,IFERROR(MATCH(4,$AB$40:$AB$133,0),0)))</f>
        <v>811-BR-D94</v>
      </c>
      <c r="B17" s="111" t="str">
        <f aca="false">IF(IFERROR(MATCH(4,$AB$40:$AB$133,0),0)=0,"",INDEX($AG$40:$AG$133,IFERROR(MATCH(4,$AB$40:$AB$133,0),0)))</f>
        <v>251643289</v>
      </c>
      <c r="C17" s="112" t="str">
        <f aca="false">IF(IFERROR(MATCH(4,$AB$40:$AB$133,0),0)=0,"",INDEX($U$40:$U$133,IFERROR(MATCH(4,$AB$40:$AB$133,0),0)))</f>
        <v>KG</v>
      </c>
      <c r="D17" s="113" t="n">
        <f aca="false">IF(IFERROR(MATCH(4,$AB$40:$AB$133,0),0)=0,"",INDEX($BH$40:$BH$133,IFERROR(MATCH(4,$AB$40:$AB$133,0),0)))</f>
        <v>0</v>
      </c>
      <c r="E17" s="113" t="n">
        <f aca="false">IF(IFERROR(MATCH(4,$AB$40:$AB$133,0),0)=0,"",INDEX($W$40:$W$133,IFERROR(MATCH(4,$AB$40:$AB$133,0),0)))</f>
        <v>2.8</v>
      </c>
      <c r="F17" s="113" t="n">
        <f aca="false">IF(IFERROR(MATCH(4,$AB$40:$AB$133,0),0)=0,"",INDEX($X$40:$X$133,IFERROR(MATCH(4,$AB$40:$AB$133,0),0)))</f>
        <v>226.8</v>
      </c>
      <c r="G17" s="113" t="n">
        <f aca="false">IF(A17="","",D17+E17-F17)</f>
        <v>-224</v>
      </c>
      <c r="H17" s="113" t="n">
        <f aca="false">IF(IFERROR(MATCH(4,$AB$40:$AB$133,0),0)=0,"",INDEX($Y$40:$Y$133,IFERROR(MATCH(4,$AB$40:$AB$133,0),0)))</f>
        <v>5513.2</v>
      </c>
      <c r="I17" s="114" t="n">
        <f aca="false">IF(IFERROR(MATCH(4,$AB$40:$AB$133,0),0)=0,"",INDEX($Z$40:$Z$133,IFERROR(MATCH(4,$AB$40:$AB$133,0),0)))</f>
        <v>5737.2</v>
      </c>
      <c r="J17" s="115" t="str">
        <f aca="false">IF(IFERROR(MATCH(4,$AB$40:$AB$133,0),0)=0,"",INDEX($AC$40:$AC$133,IFERROR(MATCH(4,$AB$40:$AB$133,0),0)))</f>
        <v>Sobrando</v>
      </c>
      <c r="K17" s="116" t="n">
        <f aca="false">IF(IFERROR(MATCH(4,$AB$40:$AB$133,0),0)=0,"",INDEX($AD$40:$AD$133,IFERROR(MATCH(4,$AB$40:$AB$133,0),0)))</f>
        <v>17</v>
      </c>
      <c r="L17" s="117" t="n">
        <f aca="false">IF(IFERROR(MATCH(4,$AB$40:$AB$133,0),0)=0,"",IF(INDEX($BB$40:$BB$133,IFERROR(MATCH(4,$AB$40:$AB$133,0),0))&gt;=99999,"",INDEX($BB$40:$BB$133,IFERROR(MATCH(4,$AB$40:$AB$133,0),0))))</f>
        <v>46284</v>
      </c>
      <c r="M17" s="117" t="n">
        <f aca="false">IF(IFERROR(MATCH(4,$AB$40:$AB$133,0),0)=0,"",IF(INDEX($BC$40:$BC$133,IFERROR(MATCH(4,$AB$40:$AB$133,0),0))=0,"",INDEX($BC$40:$BC$133,IFERROR(MATCH(4,$AB$40:$AB$133,0),0))))</f>
        <v>46295</v>
      </c>
      <c r="N17" s="118" t="str">
        <f aca="false">IF(IFERROR(MATCH(4,$AB$40:$AB$133,0),0)=0,"",INDEX($AE$40:$AE$133,IFERROR(MATCH(4,$AB$40:$AB$133,0),0))&amp;"")</f>
        <v>Explica em parte: estoque antigo 5,328.4 + doca/transferência 0.0; faltam 408.8 a explicar</v>
      </c>
      <c r="O17" s="119" t="str">
        <f aca="false">IF(IFERROR(MATCH(4,$AB$40:$AB$133,0),0)=0,"",INDEX($BD$40:$BD$133,IFERROR(MATCH(4,$AB$40:$AB$133,0),0))&amp;"")</f>
        <v>Confirmar saldo de 08/09 e OTs de doca; contar o lote para os 408.8 KG restantes e ajustar a sobra se confirmada</v>
      </c>
      <c r="AS17" s="82" t="s">
        <v>336</v>
      </c>
      <c r="AU17" s="83" t="n">
        <v>46290</v>
      </c>
      <c r="AV17" s="0" t="str">
        <f aca="false">IFERROR(INDEX($AX$1:$AX$94,MATCH(16,$AY$1:$AY$94,0)),"")</f>
        <v>252100301</v>
      </c>
      <c r="AW17" s="82" t="s">
        <v>220</v>
      </c>
      <c r="AX17" s="82" t="s">
        <v>221</v>
      </c>
      <c r="AY17" s="82" t="n">
        <f aca="false">IF(OR($A$5="Todos",AW17=$A$5),MAX(AY$1:AY16)+1,0)</f>
        <v>17</v>
      </c>
    </row>
    <row r="18" customFormat="false" ht="15" hidden="false" customHeight="false" outlineLevel="0" collapsed="false">
      <c r="A18" s="111" t="str">
        <f aca="false">IF(IFERROR(MATCH(5,$AB$40:$AB$133,0),0)=0,"",INDEX($T$40:$T$133,IFERROR(MATCH(5,$AB$40:$AB$133,0),0)))</f>
        <v>CHM-SP-Z3L-BR-U73</v>
      </c>
      <c r="B18" s="111" t="str">
        <f aca="false">IF(IFERROR(MATCH(5,$AB$40:$AB$133,0),0)=0,"",INDEX($AG$40:$AG$133,IFERROR(MATCH(5,$AB$40:$AB$133,0),0)))</f>
        <v>251880301</v>
      </c>
      <c r="C18" s="112" t="str">
        <f aca="false">IF(IFERROR(MATCH(5,$AB$40:$AB$133,0),0)=0,"",INDEX($U$40:$U$133,IFERROR(MATCH(5,$AB$40:$AB$133,0),0)))</f>
        <v>KG</v>
      </c>
      <c r="D18" s="113" t="n">
        <f aca="false">IF(IFERROR(MATCH(5,$AB$40:$AB$133,0),0)=0,"",INDEX($BH$40:$BH$133,IFERROR(MATCH(5,$AB$40:$AB$133,0),0)))</f>
        <v>0</v>
      </c>
      <c r="E18" s="113" t="n">
        <f aca="false">IF(IFERROR(MATCH(5,$AB$40:$AB$133,0),0)=0,"",INDEX($W$40:$W$133,IFERROR(MATCH(5,$AB$40:$AB$133,0),0)))</f>
        <v>966</v>
      </c>
      <c r="F18" s="113" t="n">
        <f aca="false">IF(IFERROR(MATCH(5,$AB$40:$AB$133,0),0)=0,"",INDEX($X$40:$X$133,IFERROR(MATCH(5,$AB$40:$AB$133,0),0)))</f>
        <v>906</v>
      </c>
      <c r="G18" s="113" t="n">
        <f aca="false">IF(A18="","",D18+E18-F18)</f>
        <v>60</v>
      </c>
      <c r="H18" s="113" t="n">
        <f aca="false">IF(IFERROR(MATCH(5,$AB$40:$AB$133,0),0)=0,"",INDEX($Y$40:$Y$133,IFERROR(MATCH(5,$AB$40:$AB$133,0),0)))</f>
        <v>3754.998</v>
      </c>
      <c r="I18" s="114" t="n">
        <f aca="false">IF(IFERROR(MATCH(5,$AB$40:$AB$133,0),0)=0,"",INDEX($Z$40:$Z$133,IFERROR(MATCH(5,$AB$40:$AB$133,0),0)))</f>
        <v>3694.998</v>
      </c>
      <c r="J18" s="115" t="str">
        <f aca="false">IF(IFERROR(MATCH(5,$AB$40:$AB$133,0),0)=0,"",INDEX($AC$40:$AC$133,IFERROR(MATCH(5,$AB$40:$AB$133,0),0)))</f>
        <v>Sobrando</v>
      </c>
      <c r="K18" s="116" t="n">
        <f aca="false">IF(IFERROR(MATCH(5,$AB$40:$AB$133,0),0)=0,"",INDEX($AD$40:$AD$133,IFERROR(MATCH(5,$AB$40:$AB$133,0),0)))</f>
        <v>30</v>
      </c>
      <c r="L18" s="117" t="n">
        <f aca="false">IF(IFERROR(MATCH(5,$AB$40:$AB$133,0),0)=0,"",IF(INDEX($BB$40:$BB$133,IFERROR(MATCH(5,$AB$40:$AB$133,0),0))&gt;=99999,"",INDEX($BB$40:$BB$133,IFERROR(MATCH(5,$AB$40:$AB$133,0),0))))</f>
        <v>46275</v>
      </c>
      <c r="M18" s="117" t="n">
        <f aca="false">IF(IFERROR(MATCH(5,$AB$40:$AB$133,0),0)=0,"",IF(INDEX($BC$40:$BC$133,IFERROR(MATCH(5,$AB$40:$AB$133,0),0))=0,"",INDEX($BC$40:$BC$133,IFERROR(MATCH(5,$AB$40:$AB$133,0),0))))</f>
        <v>46293</v>
      </c>
      <c r="N18" s="118" t="str">
        <f aca="false">IF(IFERROR(MATCH(5,$AB$40:$AB$133,0),0)=0,"",INDEX($AE$40:$AE$133,IFERROR(MATCH(5,$AB$40:$AB$133,0),0))&amp;"")</f>
        <v>Explica em parte: estoque antigo 1,343.0 + doca/transferência 204.0; faltam 2,148.0 a explicar</v>
      </c>
      <c r="O18" s="119" t="str">
        <f aca="false">IF(IFERROR(MATCH(5,$AB$40:$AB$133,0),0)=0,"",INDEX($BD$40:$BD$133,IFERROR(MATCH(5,$AB$40:$AB$133,0),0))&amp;"")</f>
        <v>Confirmar saldo de 08/09 e OTs de doca; contar o lote para os 2,148.0 KG restantes e ajustar a sobra se confirmada</v>
      </c>
      <c r="AS18" s="82" t="s">
        <v>338</v>
      </c>
      <c r="AU18" s="83" t="n">
        <v>46291</v>
      </c>
      <c r="AV18" s="0" t="str">
        <f aca="false">IFERROR(INDEX($AX$1:$AX$94,MATCH(17,$AY$1:$AY$94,0)),"")</f>
        <v>252900303</v>
      </c>
      <c r="AW18" s="82" t="s">
        <v>220</v>
      </c>
      <c r="AX18" s="82" t="s">
        <v>224</v>
      </c>
      <c r="AY18" s="82" t="n">
        <f aca="false">IF(OR($A$5="Todos",AW18=$A$5),MAX(AY$1:AY17)+1,0)</f>
        <v>18</v>
      </c>
    </row>
    <row r="19" customFormat="false" ht="15" hidden="false" customHeight="false" outlineLevel="0" collapsed="false">
      <c r="A19" s="111" t="str">
        <f aca="false">IF(IFERROR(MATCH(6,$AB$40:$AB$133,0),0)=0,"",INDEX($T$40:$T$133,IFERROR(MATCH(6,$AB$40:$AB$133,0),0)))</f>
        <v>CHD-SP-9Z4-BR-U73</v>
      </c>
      <c r="B19" s="111" t="str">
        <f aca="false">IF(IFERROR(MATCH(6,$AB$40:$AB$133,0),0)=0,"",INDEX($AG$40:$AG$133,IFERROR(MATCH(6,$AB$40:$AB$133,0),0)))</f>
        <v>250500301</v>
      </c>
      <c r="C19" s="112" t="str">
        <f aca="false">IF(IFERROR(MATCH(6,$AB$40:$AB$133,0),0)=0,"",INDEX($U$40:$U$133,IFERROR(MATCH(6,$AB$40:$AB$133,0),0)))</f>
        <v>KG</v>
      </c>
      <c r="D19" s="113" t="n">
        <f aca="false">IF(IFERROR(MATCH(6,$AB$40:$AB$133,0),0)=0,"",INDEX($BH$40:$BH$133,IFERROR(MATCH(6,$AB$40:$AB$133,0),0)))</f>
        <v>0</v>
      </c>
      <c r="E19" s="113" t="n">
        <f aca="false">IF(IFERROR(MATCH(6,$AB$40:$AB$133,0),0)=0,"",INDEX($W$40:$W$133,IFERROR(MATCH(6,$AB$40:$AB$133,0),0)))</f>
        <v>240</v>
      </c>
      <c r="F19" s="113" t="n">
        <f aca="false">IF(IFERROR(MATCH(6,$AB$40:$AB$133,0),0)=0,"",INDEX($X$40:$X$133,IFERROR(MATCH(6,$AB$40:$AB$133,0),0)))</f>
        <v>6</v>
      </c>
      <c r="G19" s="113" t="n">
        <f aca="false">IF(A19="","",D19+E19-F19)</f>
        <v>234</v>
      </c>
      <c r="H19" s="113" t="n">
        <f aca="false">IF(IFERROR(MATCH(6,$AB$40:$AB$133,0),0)=0,"",INDEX($Y$40:$Y$133,IFERROR(MATCH(6,$AB$40:$AB$133,0),0)))</f>
        <v>3432</v>
      </c>
      <c r="I19" s="114" t="n">
        <f aca="false">IF(IFERROR(MATCH(6,$AB$40:$AB$133,0),0)=0,"",INDEX($Z$40:$Z$133,IFERROR(MATCH(6,$AB$40:$AB$133,0),0)))</f>
        <v>3198</v>
      </c>
      <c r="J19" s="115" t="str">
        <f aca="false">IF(IFERROR(MATCH(6,$AB$40:$AB$133,0),0)=0,"",INDEX($AC$40:$AC$133,IFERROR(MATCH(6,$AB$40:$AB$133,0),0)))</f>
        <v>Sobrando</v>
      </c>
      <c r="K19" s="116" t="n">
        <f aca="false">IF(IFERROR(MATCH(6,$AB$40:$AB$133,0),0)=0,"",INDEX($AD$40:$AD$133,IFERROR(MATCH(6,$AB$40:$AB$133,0),0)))</f>
        <v>2</v>
      </c>
      <c r="L19" s="117" t="n">
        <f aca="false">IF(IFERROR(MATCH(6,$AB$40:$AB$133,0),0)=0,"",IF(INDEX($BB$40:$BB$133,IFERROR(MATCH(6,$AB$40:$AB$133,0),0))&gt;=99999,"",INDEX($BB$40:$BB$133,IFERROR(MATCH(6,$AB$40:$AB$133,0),0))))</f>
        <v>46279</v>
      </c>
      <c r="M19" s="117" t="n">
        <f aca="false">IF(IFERROR(MATCH(6,$AB$40:$AB$133,0),0)=0,"",IF(INDEX($BC$40:$BC$133,IFERROR(MATCH(6,$AB$40:$AB$133,0),0))=0,"",INDEX($BC$40:$BC$133,IFERROR(MATCH(6,$AB$40:$AB$133,0),0))))</f>
        <v>46294</v>
      </c>
      <c r="N19" s="118" t="str">
        <f aca="false">IF(IFERROR(MATCH(6,$AB$40:$AB$133,0),0)=0,"",INDEX($AE$40:$AE$133,IFERROR(MATCH(6,$AB$40:$AB$133,0),0))&amp;"")</f>
        <v>Explica em parte: estoque antigo 2,898.0 + doca/transferência 0.0; faltam 300.0 a explicar</v>
      </c>
      <c r="O19" s="119" t="str">
        <f aca="false">IF(IFERROR(MATCH(6,$AB$40:$AB$133,0),0)=0,"",INDEX($BD$40:$BD$133,IFERROR(MATCH(6,$AB$40:$AB$133,0),0))&amp;"")</f>
        <v>Confirmar saldo de 08/09 e OTs de doca; contar o lote para os 300.0 KG restantes e ajustar a sobra se confirmada</v>
      </c>
      <c r="AS19" s="82" t="s">
        <v>245</v>
      </c>
      <c r="AU19" s="83" t="n">
        <v>46292</v>
      </c>
      <c r="AV19" s="0" t="str">
        <f aca="false">IFERROR(INDEX($AX$1:$AX$94,MATCH(18,$AY$1:$AY$94,0)),"")</f>
        <v>252940301</v>
      </c>
      <c r="AW19" s="82" t="s">
        <v>322</v>
      </c>
      <c r="AX19" s="82" t="s">
        <v>323</v>
      </c>
      <c r="AY19" s="82" t="n">
        <f aca="false">IF(OR($A$5="Todos",AW19=$A$5),MAX(AY$1:AY18)+1,0)</f>
        <v>19</v>
      </c>
    </row>
    <row r="20" customFormat="false" ht="15" hidden="false" customHeight="false" outlineLevel="0" collapsed="false">
      <c r="A20" s="111" t="str">
        <f aca="false">IF(IFERROR(MATCH(7,$AB$40:$AB$133,0),0)=0,"",INDEX($T$40:$T$133,IFERROR(MATCH(7,$AB$40:$AB$133,0),0)))</f>
        <v>823-BR-D94</v>
      </c>
      <c r="B20" s="111" t="str">
        <f aca="false">IF(IFERROR(MATCH(7,$AB$40:$AB$133,0),0)=0,"",INDEX($AG$40:$AG$133,IFERROR(MATCH(7,$AB$40:$AB$133,0),0)))</f>
        <v>252103049</v>
      </c>
      <c r="C20" s="112" t="str">
        <f aca="false">IF(IFERROR(MATCH(7,$AB$40:$AB$133,0),0)=0,"",INDEX($U$40:$U$133,IFERROR(MATCH(7,$AB$40:$AB$133,0),0)))</f>
        <v>KG</v>
      </c>
      <c r="D20" s="113" t="n">
        <f aca="false">IF(IFERROR(MATCH(7,$AB$40:$AB$133,0),0)=0,"",INDEX($BH$40:$BH$133,IFERROR(MATCH(7,$AB$40:$AB$133,0),0)))</f>
        <v>0</v>
      </c>
      <c r="E20" s="113" t="n">
        <f aca="false">IF(IFERROR(MATCH(7,$AB$40:$AB$133,0),0)=0,"",INDEX($W$40:$W$133,IFERROR(MATCH(7,$AB$40:$AB$133,0),0)))</f>
        <v>2.8</v>
      </c>
      <c r="F20" s="113" t="n">
        <f aca="false">IF(IFERROR(MATCH(7,$AB$40:$AB$133,0),0)=0,"",INDEX($X$40:$X$133,IFERROR(MATCH(7,$AB$40:$AB$133,0),0)))</f>
        <v>677.6</v>
      </c>
      <c r="G20" s="113" t="n">
        <f aca="false">IF(A20="","",D20+E20-F20)</f>
        <v>-674.8</v>
      </c>
      <c r="H20" s="113" t="n">
        <f aca="false">IF(IFERROR(MATCH(7,$AB$40:$AB$133,0),0)=0,"",INDEX($Y$40:$Y$133,IFERROR(MATCH(7,$AB$40:$AB$133,0),0)))</f>
        <v>1853.6</v>
      </c>
      <c r="I20" s="114" t="n">
        <f aca="false">IF(IFERROR(MATCH(7,$AB$40:$AB$133,0),0)=0,"",INDEX($Z$40:$Z$133,IFERROR(MATCH(7,$AB$40:$AB$133,0),0)))</f>
        <v>2528.4</v>
      </c>
      <c r="J20" s="115" t="str">
        <f aca="false">IF(IFERROR(MATCH(7,$AB$40:$AB$133,0),0)=0,"",INDEX($AC$40:$AC$133,IFERROR(MATCH(7,$AB$40:$AB$133,0),0)))</f>
        <v>Sobrando</v>
      </c>
      <c r="K20" s="116" t="n">
        <f aca="false">IF(IFERROR(MATCH(7,$AB$40:$AB$133,0),0)=0,"",INDEX($AD$40:$AD$133,IFERROR(MATCH(7,$AB$40:$AB$133,0),0)))</f>
        <v>53</v>
      </c>
      <c r="L20" s="117" t="n">
        <f aca="false">IF(IFERROR(MATCH(7,$AB$40:$AB$133,0),0)=0,"",IF(INDEX($BB$40:$BB$133,IFERROR(MATCH(7,$AB$40:$AB$133,0),0))&gt;=99999,"",INDEX($BB$40:$BB$133,IFERROR(MATCH(7,$AB$40:$AB$133,0),0))))</f>
        <v>46274</v>
      </c>
      <c r="M20" s="117" t="n">
        <f aca="false">IF(IFERROR(MATCH(7,$AB$40:$AB$133,0),0)=0,"",IF(INDEX($BC$40:$BC$133,IFERROR(MATCH(7,$AB$40:$AB$133,0),0))=0,"",INDEX($BC$40:$BC$133,IFERROR(MATCH(7,$AB$40:$AB$133,0),0))))</f>
        <v>46296</v>
      </c>
      <c r="N20" s="118" t="str">
        <f aca="false">IF(IFERROR(MATCH(7,$AB$40:$AB$133,0),0)=0,"",INDEX($AE$40:$AE$133,IFERROR(MATCH(7,$AB$40:$AB$133,0),0))&amp;"")</f>
        <v>Explica em parte: estoque antigo 1,254.4 + doca/transferência 14.0; faltam 1,260.0 a explicar</v>
      </c>
      <c r="O20" s="119" t="str">
        <f aca="false">IF(IFERROR(MATCH(7,$AB$40:$AB$133,0),0)=0,"",INDEX($BD$40:$BD$133,IFERROR(MATCH(7,$AB$40:$AB$133,0),0))&amp;"")</f>
        <v>Confirmar saldo de 08/09 e OTs de doca; contar o lote para os 1,260.0 KG restantes e ajustar a sobra se confirmada</v>
      </c>
      <c r="AS20" s="82" t="s">
        <v>341</v>
      </c>
      <c r="AU20" s="83" t="n">
        <v>46293</v>
      </c>
      <c r="AV20" s="0" t="str">
        <f aca="false">IFERROR(INDEX($AX$1:$AX$94,MATCH(19,$AY$1:$AY$94,0)),"")</f>
        <v>252103049</v>
      </c>
      <c r="AW20" s="82" t="s">
        <v>225</v>
      </c>
      <c r="AX20" s="82" t="s">
        <v>226</v>
      </c>
      <c r="AY20" s="82" t="n">
        <f aca="false">IF(OR($A$5="Todos",AW20=$A$5),MAX(AY$1:AY19)+1,0)</f>
        <v>20</v>
      </c>
    </row>
    <row r="21" customFormat="false" ht="15" hidden="false" customHeight="false" outlineLevel="0" collapsed="false">
      <c r="A21" s="111" t="str">
        <f aca="false">IF(IFERROR(MATCH(8,$AB$40:$AB$133,0),0)=0,"",INDEX($T$40:$T$133,IFERROR(MATCH(8,$AB$40:$AB$133,0),0)))</f>
        <v>805-BR-D94</v>
      </c>
      <c r="B21" s="111" t="str">
        <f aca="false">IF(IFERROR(MATCH(8,$AB$40:$AB$133,0),0)=0,"",INDEX($AG$40:$AG$133,IFERROR(MATCH(8,$AB$40:$AB$133,0),0)))</f>
        <v>251633359</v>
      </c>
      <c r="C21" s="112" t="str">
        <f aca="false">IF(IFERROR(MATCH(8,$AB$40:$AB$133,0),0)=0,"",INDEX($U$40:$U$133,IFERROR(MATCH(8,$AB$40:$AB$133,0),0)))</f>
        <v>KG</v>
      </c>
      <c r="D21" s="113" t="n">
        <f aca="false">IF(IFERROR(MATCH(8,$AB$40:$AB$133,0),0)=0,"",INDEX($BH$40:$BH$133,IFERROR(MATCH(8,$AB$40:$AB$133,0),0)))</f>
        <v>0</v>
      </c>
      <c r="E21" s="113" t="n">
        <f aca="false">IF(IFERROR(MATCH(8,$AB$40:$AB$133,0),0)=0,"",INDEX($W$40:$W$133,IFERROR(MATCH(8,$AB$40:$AB$133,0),0)))</f>
        <v>313.6</v>
      </c>
      <c r="F21" s="113" t="n">
        <f aca="false">IF(IFERROR(MATCH(8,$AB$40:$AB$133,0),0)=0,"",INDEX($X$40:$X$133,IFERROR(MATCH(8,$AB$40:$AB$133,0),0)))</f>
        <v>221.2</v>
      </c>
      <c r="G21" s="113" t="n">
        <f aca="false">IF(A21="","",D21+E21-F21)</f>
        <v>92.4</v>
      </c>
      <c r="H21" s="113" t="n">
        <f aca="false">IF(IFERROR(MATCH(8,$AB$40:$AB$133,0),0)=0,"",INDEX($Y$40:$Y$133,IFERROR(MATCH(8,$AB$40:$AB$133,0),0)))</f>
        <v>1360.8</v>
      </c>
      <c r="I21" s="114" t="n">
        <f aca="false">IF(IFERROR(MATCH(8,$AB$40:$AB$133,0),0)=0,"",INDEX($Z$40:$Z$133,IFERROR(MATCH(8,$AB$40:$AB$133,0),0)))</f>
        <v>1268.4</v>
      </c>
      <c r="J21" s="115" t="str">
        <f aca="false">IF(IFERROR(MATCH(8,$AB$40:$AB$133,0),0)=0,"",INDEX($AC$40:$AC$133,IFERROR(MATCH(8,$AB$40:$AB$133,0),0)))</f>
        <v>Sobrando</v>
      </c>
      <c r="K21" s="116" t="n">
        <f aca="false">IF(IFERROR(MATCH(8,$AB$40:$AB$133,0),0)=0,"",INDEX($AD$40:$AD$133,IFERROR(MATCH(8,$AB$40:$AB$133,0),0)))</f>
        <v>26</v>
      </c>
      <c r="L21" s="117" t="n">
        <f aca="false">IF(IFERROR(MATCH(8,$AB$40:$AB$133,0),0)=0,"",IF(INDEX($BB$40:$BB$133,IFERROR(MATCH(8,$AB$40:$AB$133,0),0))&gt;=99999,"",INDEX($BB$40:$BB$133,IFERROR(MATCH(8,$AB$40:$AB$133,0),0))))</f>
        <v>46274</v>
      </c>
      <c r="M21" s="117" t="n">
        <f aca="false">IF(IFERROR(MATCH(8,$AB$40:$AB$133,0),0)=0,"",IF(INDEX($BC$40:$BC$133,IFERROR(MATCH(8,$AB$40:$AB$133,0),0))=0,"",INDEX($BC$40:$BC$133,IFERROR(MATCH(8,$AB$40:$AB$133,0),0))))</f>
        <v>46294</v>
      </c>
      <c r="N21" s="118" t="str">
        <f aca="false">IF(IFERROR(MATCH(8,$AB$40:$AB$133,0),0)=0,"",INDEX($AE$40:$AE$133,IFERROR(MATCH(8,$AB$40:$AB$133,0),0))&amp;"")</f>
        <v>Estoque antigo/doca + saídas do período que não baixaram o estoque físico</v>
      </c>
      <c r="O21" s="119" t="str">
        <f aca="false">IF(IFERROR(MATCH(8,$AB$40:$AB$133,0),0)=0,"",INDEX($BD$40:$BD$133,IFERROR(MATCH(8,$AB$40:$AB$133,0),0))&amp;"")</f>
        <v>Confirmar a OT de saída (picking) das remessas para baixar 221.2 KG do estoque físico; conferir também estoque antigo/doca</v>
      </c>
      <c r="AS21" s="82" t="s">
        <v>343</v>
      </c>
      <c r="AU21" s="83" t="n">
        <v>46294</v>
      </c>
      <c r="AV21" s="0" t="str">
        <f aca="false">IFERROR(INDEX($AX$1:$AX$94,MATCH(20,$AY$1:$AY$94,0)),"")</f>
        <v>260880201</v>
      </c>
      <c r="AW21" s="82" t="s">
        <v>227</v>
      </c>
      <c r="AX21" s="82" t="s">
        <v>228</v>
      </c>
      <c r="AY21" s="82" t="n">
        <f aca="false">IF(OR($A$5="Todos",AW21=$A$5),MAX(AY$1:AY20)+1,0)</f>
        <v>21</v>
      </c>
    </row>
    <row r="22" customFormat="false" ht="15" hidden="false" customHeight="false" outlineLevel="0" collapsed="false">
      <c r="A22" s="111" t="str">
        <f aca="false">IF(IFERROR(MATCH(9,$AB$40:$AB$133,0),0)=0,"",INDEX($T$40:$T$133,IFERROR(MATCH(9,$AB$40:$AB$133,0),0)))</f>
        <v>W3-BR-25A</v>
      </c>
      <c r="B22" s="111" t="str">
        <f aca="false">IF(IFERROR(MATCH(9,$AB$40:$AB$133,0),0)=0,"",INDEX($AG$40:$AG$133,IFERROR(MATCH(9,$AB$40:$AB$133,0),0)))</f>
        <v>253540301</v>
      </c>
      <c r="C22" s="112" t="str">
        <f aca="false">IF(IFERROR(MATCH(9,$AB$40:$AB$133,0),0)=0,"",INDEX($U$40:$U$133,IFERROR(MATCH(9,$AB$40:$AB$133,0),0)))</f>
        <v>KG</v>
      </c>
      <c r="D22" s="113" t="n">
        <f aca="false">IF(IFERROR(MATCH(9,$AB$40:$AB$133,0),0)=0,"",INDEX($BH$40:$BH$133,IFERROR(MATCH(9,$AB$40:$AB$133,0),0)))</f>
        <v>0</v>
      </c>
      <c r="E22" s="113" t="n">
        <f aca="false">IF(IFERROR(MATCH(9,$AB$40:$AB$133,0),0)=0,"",INDEX($W$40:$W$133,IFERROR(MATCH(9,$AB$40:$AB$133,0),0)))</f>
        <v>0</v>
      </c>
      <c r="F22" s="113" t="n">
        <f aca="false">IF(IFERROR(MATCH(9,$AB$40:$AB$133,0),0)=0,"",INDEX($X$40:$X$133,IFERROR(MATCH(9,$AB$40:$AB$133,0),0)))</f>
        <v>542.7</v>
      </c>
      <c r="G22" s="113" t="n">
        <f aca="false">IF(A22="","",D22+E22-F22)</f>
        <v>-542.7</v>
      </c>
      <c r="H22" s="113" t="n">
        <f aca="false">IF(IFERROR(MATCH(9,$AB$40:$AB$133,0),0)=0,"",INDEX($Y$40:$Y$133,IFERROR(MATCH(9,$AB$40:$AB$133,0),0)))</f>
        <v>540.69</v>
      </c>
      <c r="I22" s="114" t="n">
        <f aca="false">IF(IFERROR(MATCH(9,$AB$40:$AB$133,0),0)=0,"",INDEX($Z$40:$Z$133,IFERROR(MATCH(9,$AB$40:$AB$133,0),0)))</f>
        <v>1083.39</v>
      </c>
      <c r="J22" s="115" t="str">
        <f aca="false">IF(IFERROR(MATCH(9,$AB$40:$AB$133,0),0)=0,"",INDEX($AC$40:$AC$133,IFERROR(MATCH(9,$AB$40:$AB$133,0),0)))</f>
        <v>Sobrando</v>
      </c>
      <c r="K22" s="116" t="n">
        <f aca="false">IF(IFERROR(MATCH(9,$AB$40:$AB$133,0),0)=0,"",INDEX($AD$40:$AD$133,IFERROR(MATCH(9,$AB$40:$AB$133,0),0)))</f>
        <v>15</v>
      </c>
      <c r="L22" s="117" t="n">
        <f aca="false">IF(IFERROR(MATCH(9,$AB$40:$AB$133,0),0)=0,"",IF(INDEX($BB$40:$BB$133,IFERROR(MATCH(9,$AB$40:$AB$133,0),0))&gt;=99999,"",INDEX($BB$40:$BB$133,IFERROR(MATCH(9,$AB$40:$AB$133,0),0))))</f>
        <v>46275</v>
      </c>
      <c r="M22" s="117" t="n">
        <f aca="false">IF(IFERROR(MATCH(9,$AB$40:$AB$133,0),0)=0,"",IF(INDEX($BC$40:$BC$133,IFERROR(MATCH(9,$AB$40:$AB$133,0),0))=0,"",INDEX($BC$40:$BC$133,IFERROR(MATCH(9,$AB$40:$AB$133,0),0))))</f>
        <v>46286</v>
      </c>
      <c r="N22" s="118" t="str">
        <f aca="false">IF(IFERROR(MATCH(9,$AB$40:$AB$133,0),0)=0,"",INDEX($AE$40:$AE$133,IFERROR(MATCH(9,$AB$40:$AB$133,0),0))&amp;"")</f>
        <v>Explica em parte: estoque antigo 18.1 + doca/transferência 502.5; faltam 562.8 a explicar</v>
      </c>
      <c r="O22" s="119" t="str">
        <f aca="false">IF(IFERROR(MATCH(9,$AB$40:$AB$133,0),0)=0,"",INDEX($BD$40:$BD$133,IFERROR(MATCH(9,$AB$40:$AB$133,0),0))&amp;"")</f>
        <v>Confirmar saldo de 08/09 e OTs de doca; contar o lote para os 562.8 KG restantes e ajustar a sobra se confirmada</v>
      </c>
      <c r="AS22" s="82" t="s">
        <v>346</v>
      </c>
      <c r="AU22" s="83" t="n">
        <v>46295</v>
      </c>
      <c r="AV22" s="0" t="str">
        <f aca="false">IFERROR(INDEX($AX$1:$AX$94,MATCH(21,$AY$1:$AY$94,0)),"")</f>
        <v>260416102</v>
      </c>
      <c r="AW22" s="82" t="s">
        <v>227</v>
      </c>
      <c r="AX22" s="82" t="s">
        <v>230</v>
      </c>
      <c r="AY22" s="82" t="n">
        <f aca="false">IF(OR($A$5="Todos",AW22=$A$5),MAX(AY$1:AY21)+1,0)</f>
        <v>22</v>
      </c>
    </row>
    <row r="23" customFormat="false" ht="15" hidden="false" customHeight="false" outlineLevel="0" collapsed="false">
      <c r="A23" s="111" t="str">
        <f aca="false">IF(IFERROR(MATCH(10,$AB$40:$AB$133,0),0)=0,"",INDEX($T$40:$T$133,IFERROR(MATCH(10,$AB$40:$AB$133,0),0)))</f>
        <v>CW2-BR-25A</v>
      </c>
      <c r="B23" s="111" t="str">
        <f aca="false">IF(IFERROR(MATCH(10,$AB$40:$AB$133,0),0)=0,"",INDEX($AG$40:$AG$133,IFERROR(MATCH(10,$AB$40:$AB$133,0),0)))</f>
        <v>253470301</v>
      </c>
      <c r="C23" s="112" t="str">
        <f aca="false">IF(IFERROR(MATCH(10,$AB$40:$AB$133,0),0)=0,"",INDEX($U$40:$U$133,IFERROR(MATCH(10,$AB$40:$AB$133,0),0)))</f>
        <v>KG</v>
      </c>
      <c r="D23" s="113" t="n">
        <f aca="false">IF(IFERROR(MATCH(10,$AB$40:$AB$133,0),0)=0,"",INDEX($BH$40:$BH$133,IFERROR(MATCH(10,$AB$40:$AB$133,0),0)))</f>
        <v>0</v>
      </c>
      <c r="E23" s="113" t="n">
        <f aca="false">IF(IFERROR(MATCH(10,$AB$40:$AB$133,0),0)=0,"",INDEX($W$40:$W$133,IFERROR(MATCH(10,$AB$40:$AB$133,0),0)))</f>
        <v>763.8</v>
      </c>
      <c r="F23" s="113" t="n">
        <f aca="false">IF(IFERROR(MATCH(10,$AB$40:$AB$133,0),0)=0,"",INDEX($X$40:$X$133,IFERROR(MATCH(10,$AB$40:$AB$133,0),0)))</f>
        <v>924.6</v>
      </c>
      <c r="G23" s="113" t="n">
        <f aca="false">IF(A23="","",D23+E23-F23)</f>
        <v>-160.8</v>
      </c>
      <c r="H23" s="113" t="n">
        <f aca="false">IF(IFERROR(MATCH(10,$AB$40:$AB$133,0),0)=0,"",INDEX($Y$40:$Y$133,IFERROR(MATCH(10,$AB$40:$AB$133,0),0)))</f>
        <v>763.8</v>
      </c>
      <c r="I23" s="114" t="n">
        <f aca="false">IF(IFERROR(MATCH(10,$AB$40:$AB$133,0),0)=0,"",INDEX($Z$40:$Z$133,IFERROR(MATCH(10,$AB$40:$AB$133,0),0)))</f>
        <v>924.6</v>
      </c>
      <c r="J23" s="115" t="str">
        <f aca="false">IF(IFERROR(MATCH(10,$AB$40:$AB$133,0),0)=0,"",INDEX($AC$40:$AC$133,IFERROR(MATCH(10,$AB$40:$AB$133,0),0)))</f>
        <v>Sobrando</v>
      </c>
      <c r="K23" s="116" t="n">
        <f aca="false">IF(IFERROR(MATCH(10,$AB$40:$AB$133,0),0)=0,"",INDEX($AD$40:$AD$133,IFERROR(MATCH(10,$AB$40:$AB$133,0),0)))</f>
        <v>12</v>
      </c>
      <c r="L23" s="117" t="n">
        <f aca="false">IF(IFERROR(MATCH(10,$AB$40:$AB$133,0),0)=0,"",IF(INDEX($BB$40:$BB$133,IFERROR(MATCH(10,$AB$40:$AB$133,0),0))&gt;=99999,"",INDEX($BB$40:$BB$133,IFERROR(MATCH(10,$AB$40:$AB$133,0),0))))</f>
        <v>46275</v>
      </c>
      <c r="M23" s="117" t="n">
        <f aca="false">IF(IFERROR(MATCH(10,$AB$40:$AB$133,0),0)=0,"",IF(INDEX($BC$40:$BC$133,IFERROR(MATCH(10,$AB$40:$AB$133,0),0))=0,"",INDEX($BC$40:$BC$133,IFERROR(MATCH(10,$AB$40:$AB$133,0),0))))</f>
        <v>46293</v>
      </c>
      <c r="N23" s="118" t="str">
        <f aca="false">IF(IFERROR(MATCH(10,$AB$40:$AB$133,0),0)=0,"",INDEX($AE$40:$AE$133,IFERROR(MATCH(10,$AB$40:$AB$133,0),0))&amp;"")</f>
        <v>As saídas do período não baixaram o estoque físico</v>
      </c>
      <c r="O23" s="119" t="str">
        <f aca="false">IF(IFERROR(MATCH(10,$AB$40:$AB$133,0),0)=0,"",INDEX($BD$40:$BD$133,IFERROR(MATCH(10,$AB$40:$AB$133,0),0))&amp;"")</f>
        <v>Confirmar a OT de saída (picking) das remessas para baixar 924.6 KG do estoque físico</v>
      </c>
      <c r="AS23" s="82" t="s">
        <v>247</v>
      </c>
      <c r="AU23" s="83" t="n">
        <v>46296</v>
      </c>
      <c r="AV23" s="0" t="str">
        <f aca="false">IFERROR(INDEX($AX$1:$AX$94,MATCH(22,$AY$1:$AY$94,0)),"")</f>
        <v>261376101</v>
      </c>
      <c r="AW23" s="82" t="s">
        <v>327</v>
      </c>
      <c r="AX23" s="82" t="s">
        <v>329</v>
      </c>
      <c r="AY23" s="82" t="n">
        <f aca="false">IF(OR($A$5="Todos",AW23=$A$5),MAX(AY$1:AY22)+1,0)</f>
        <v>23</v>
      </c>
    </row>
    <row r="24" customFormat="false" ht="15" hidden="false" customHeight="false" outlineLevel="0" collapsed="false">
      <c r="A24" s="111" t="str">
        <f aca="false">IF(IFERROR(MATCH(11,$AB$40:$AB$133,0),0)=0,"",INDEX($T$40:$T$133,IFERROR(MATCH(11,$AB$40:$AB$133,0),0)))</f>
        <v>CHP-20SICHP-760</v>
      </c>
      <c r="B24" s="111" t="str">
        <f aca="false">IF(IFERROR(MATCH(11,$AB$40:$AB$133,0),0)=0,"",INDEX($AG$40:$AG$133,IFERROR(MATCH(11,$AB$40:$AB$133,0),0)))</f>
        <v>252843369</v>
      </c>
      <c r="C24" s="112" t="str">
        <f aca="false">IF(IFERROR(MATCH(11,$AB$40:$AB$133,0),0)=0,"",INDEX($U$40:$U$133,IFERROR(MATCH(11,$AB$40:$AB$133,0),0)))</f>
        <v>KG</v>
      </c>
      <c r="D24" s="113" t="n">
        <f aca="false">IF(IFERROR(MATCH(11,$AB$40:$AB$133,0),0)=0,"",INDEX($BH$40:$BH$133,IFERROR(MATCH(11,$AB$40:$AB$133,0),0)))</f>
        <v>0</v>
      </c>
      <c r="E24" s="113" t="n">
        <f aca="false">IF(IFERROR(MATCH(11,$AB$40:$AB$133,0),0)=0,"",INDEX($W$40:$W$133,IFERROR(MATCH(11,$AB$40:$AB$133,0),0)))</f>
        <v>918</v>
      </c>
      <c r="F24" s="113" t="n">
        <f aca="false">IF(IFERROR(MATCH(11,$AB$40:$AB$133,0),0)=0,"",INDEX($X$40:$X$133,IFERROR(MATCH(11,$AB$40:$AB$133,0),0)))</f>
        <v>186</v>
      </c>
      <c r="G24" s="113" t="n">
        <f aca="false">IF(A24="","",D24+E24-F24)</f>
        <v>732</v>
      </c>
      <c r="H24" s="113" t="n">
        <f aca="false">IF(IFERROR(MATCH(11,$AB$40:$AB$133,0),0)=0,"",INDEX($Y$40:$Y$133,IFERROR(MATCH(11,$AB$40:$AB$133,0),0)))</f>
        <v>1272</v>
      </c>
      <c r="I24" s="114" t="n">
        <f aca="false">IF(IFERROR(MATCH(11,$AB$40:$AB$133,0),0)=0,"",INDEX($Z$40:$Z$133,IFERROR(MATCH(11,$AB$40:$AB$133,0),0)))</f>
        <v>540</v>
      </c>
      <c r="J24" s="115" t="str">
        <f aca="false">IF(IFERROR(MATCH(11,$AB$40:$AB$133,0),0)=0,"",INDEX($AC$40:$AC$133,IFERROR(MATCH(11,$AB$40:$AB$133,0),0)))</f>
        <v>Sobrando</v>
      </c>
      <c r="K24" s="116" t="n">
        <f aca="false">IF(IFERROR(MATCH(11,$AB$40:$AB$133,0),0)=0,"",INDEX($AD$40:$AD$133,IFERROR(MATCH(11,$AB$40:$AB$133,0),0)))</f>
        <v>13</v>
      </c>
      <c r="L24" s="117" t="n">
        <f aca="false">IF(IFERROR(MATCH(11,$AB$40:$AB$133,0),0)=0,"",IF(INDEX($BB$40:$BB$133,IFERROR(MATCH(11,$AB$40:$AB$133,0),0))&gt;=99999,"",INDEX($BB$40:$BB$133,IFERROR(MATCH(11,$AB$40:$AB$133,0),0))))</f>
        <v>46275</v>
      </c>
      <c r="M24" s="117" t="n">
        <f aca="false">IF(IFERROR(MATCH(11,$AB$40:$AB$133,0),0)=0,"",IF(INDEX($BC$40:$BC$133,IFERROR(MATCH(11,$AB$40:$AB$133,0),0))=0,"",INDEX($BC$40:$BC$133,IFERROR(MATCH(11,$AB$40:$AB$133,0),0))))</f>
        <v>46294</v>
      </c>
      <c r="N24" s="118" t="str">
        <f aca="false">IF(IFERROR(MATCH(11,$AB$40:$AB$133,0),0)=0,"",INDEX($AE$40:$AE$133,IFERROR(MATCH(11,$AB$40:$AB$133,0),0))&amp;"")</f>
        <v>Explica em parte: estoque antigo 24.0 + doca/transferência 0.0; faltam 516.0 a explicar</v>
      </c>
      <c r="O24" s="119" t="str">
        <f aca="false">IF(IFERROR(MATCH(11,$AB$40:$AB$133,0),0)=0,"",INDEX($BD$40:$BD$133,IFERROR(MATCH(11,$AB$40:$AB$133,0),0))&amp;"")</f>
        <v>Confirmar saldo de 08/09 e OTs de doca; contar o lote para os 516.0 KG restantes e ajustar a sobra se confirmada</v>
      </c>
      <c r="AS24" s="82" t="s">
        <v>250</v>
      </c>
      <c r="AV24" s="0" t="str">
        <f aca="false">IFERROR(INDEX($AX$1:$AX$94,MATCH(23,$AY$1:$AY$94,0)),"")</f>
        <v>26044019</v>
      </c>
      <c r="AW24" s="82" t="s">
        <v>327</v>
      </c>
      <c r="AX24" s="82" t="s">
        <v>328</v>
      </c>
      <c r="AY24" s="82" t="n">
        <f aca="false">IF(OR($A$5="Todos",AW24=$A$5),MAX(AY$1:AY23)+1,0)</f>
        <v>24</v>
      </c>
    </row>
    <row r="25" customFormat="false" ht="15" hidden="false" customHeight="false" outlineLevel="0" collapsed="false">
      <c r="A25" s="111" t="str">
        <f aca="false">IF(IFERROR(MATCH(12,$AB$40:$AB$133,0),0)=0,"",INDEX($T$40:$T$133,IFERROR(MATCH(12,$AB$40:$AB$133,0),0)))</f>
        <v>70-30-38-BR-25A</v>
      </c>
      <c r="B25" s="111" t="str">
        <f aca="false">IF(IFERROR(MATCH(12,$AB$40:$AB$133,0),0)=0,"",INDEX($AG$40:$AG$133,IFERROR(MATCH(12,$AB$40:$AB$133,0),0)))</f>
        <v>260370301</v>
      </c>
      <c r="C25" s="112" t="str">
        <f aca="false">IF(IFERROR(MATCH(12,$AB$40:$AB$133,0),0)=0,"",INDEX($U$40:$U$133,IFERROR(MATCH(12,$AB$40:$AB$133,0),0)))</f>
        <v>KG</v>
      </c>
      <c r="D25" s="113" t="n">
        <f aca="false">IF(IFERROR(MATCH(12,$AB$40:$AB$133,0),0)=0,"",INDEX($BH$40:$BH$133,IFERROR(MATCH(12,$AB$40:$AB$133,0),0)))</f>
        <v>0</v>
      </c>
      <c r="E25" s="113" t="n">
        <f aca="false">IF(IFERROR(MATCH(12,$AB$40:$AB$133,0),0)=0,"",INDEX($W$40:$W$133,IFERROR(MATCH(12,$AB$40:$AB$133,0),0)))</f>
        <v>603</v>
      </c>
      <c r="F25" s="113" t="n">
        <f aca="false">IF(IFERROR(MATCH(12,$AB$40:$AB$133,0),0)=0,"",INDEX($X$40:$X$133,IFERROR(MATCH(12,$AB$40:$AB$133,0),0)))</f>
        <v>321.6</v>
      </c>
      <c r="G25" s="113" t="n">
        <f aca="false">IF(A25="","",D25+E25-F25)</f>
        <v>281.4</v>
      </c>
      <c r="H25" s="113" t="n">
        <f aca="false">IF(IFERROR(MATCH(12,$AB$40:$AB$133,0),0)=0,"",INDEX($Y$40:$Y$133,IFERROR(MATCH(12,$AB$40:$AB$133,0),0)))</f>
        <v>623.1</v>
      </c>
      <c r="I25" s="114" t="n">
        <f aca="false">IF(IFERROR(MATCH(12,$AB$40:$AB$133,0),0)=0,"",INDEX($Z$40:$Z$133,IFERROR(MATCH(12,$AB$40:$AB$133,0),0)))</f>
        <v>341.7</v>
      </c>
      <c r="J25" s="115" t="str">
        <f aca="false">IF(IFERROR(MATCH(12,$AB$40:$AB$133,0),0)=0,"",INDEX($AC$40:$AC$133,IFERROR(MATCH(12,$AB$40:$AB$133,0),0)))</f>
        <v>Sobrando</v>
      </c>
      <c r="K25" s="116" t="n">
        <f aca="false">IF(IFERROR(MATCH(12,$AB$40:$AB$133,0),0)=0,"",INDEX($AD$40:$AD$133,IFERROR(MATCH(12,$AB$40:$AB$133,0),0)))</f>
        <v>13</v>
      </c>
      <c r="L25" s="117" t="n">
        <f aca="false">IF(IFERROR(MATCH(12,$AB$40:$AB$133,0),0)=0,"",IF(INDEX($BB$40:$BB$133,IFERROR(MATCH(12,$AB$40:$AB$133,0),0))&gt;=99999,"",INDEX($BB$40:$BB$133,IFERROR(MATCH(12,$AB$40:$AB$133,0),0))))</f>
        <v>46275</v>
      </c>
      <c r="M25" s="117" t="n">
        <f aca="false">IF(IFERROR(MATCH(12,$AB$40:$AB$133,0),0)=0,"",IF(INDEX($BC$40:$BC$133,IFERROR(MATCH(12,$AB$40:$AB$133,0),0))=0,"",INDEX($BC$40:$BC$133,IFERROR(MATCH(12,$AB$40:$AB$133,0),0))))</f>
        <v>46295</v>
      </c>
      <c r="N25" s="118" t="str">
        <f aca="false">IF(IFERROR(MATCH(12,$AB$40:$AB$133,0),0)=0,"",INDEX($AE$40:$AE$133,IFERROR(MATCH(12,$AB$40:$AB$133,0),0))&amp;"")</f>
        <v>Estoque antigo/doca + saídas do período que não baixaram o estoque físico</v>
      </c>
      <c r="O25" s="119" t="str">
        <f aca="false">IF(IFERROR(MATCH(12,$AB$40:$AB$133,0),0)=0,"",INDEX($BD$40:$BD$133,IFERROR(MATCH(12,$AB$40:$AB$133,0),0))&amp;"")</f>
        <v>Confirmar a OT de saída (picking) das remessas para baixar 321.6 KG do estoque físico; conferir também estoque antigo/doca</v>
      </c>
      <c r="AS25" s="82" t="s">
        <v>351</v>
      </c>
      <c r="AV25" s="0" t="str">
        <f aca="false">IFERROR(INDEX($AX$1:$AX$94,MATCH(24,$AY$1:$AY$94,0)),"")</f>
        <v>26093039</v>
      </c>
      <c r="AW25" s="82" t="s">
        <v>327</v>
      </c>
      <c r="AX25" s="82" t="s">
        <v>330</v>
      </c>
      <c r="AY25" s="82" t="n">
        <f aca="false">IF(OR($A$5="Todos",AW25=$A$5),MAX(AY$1:AY24)+1,0)</f>
        <v>25</v>
      </c>
    </row>
    <row r="26" customFormat="false" ht="15" hidden="false" customHeight="false" outlineLevel="0" collapsed="false">
      <c r="A26" s="111" t="str">
        <f aca="false">IF(IFERROR(MATCH(13,$AB$40:$AB$133,0),0)=0,"",INDEX($T$40:$T$133,IFERROR(MATCH(13,$AB$40:$AB$133,0),0)))</f>
        <v>811-BR-25A</v>
      </c>
      <c r="B26" s="111" t="str">
        <f aca="false">IF(IFERROR(MATCH(13,$AB$40:$AB$133,0),0)=0,"",INDEX($AG$40:$AG$133,IFERROR(MATCH(13,$AB$40:$AB$133,0),0)))</f>
        <v>250880301</v>
      </c>
      <c r="C26" s="112" t="str">
        <f aca="false">IF(IFERROR(MATCH(13,$AB$40:$AB$133,0),0)=0,"",INDEX($U$40:$U$133,IFERROR(MATCH(13,$AB$40:$AB$133,0),0)))</f>
        <v>KG</v>
      </c>
      <c r="D26" s="113" t="n">
        <f aca="false">IF(IFERROR(MATCH(13,$AB$40:$AB$133,0),0)=0,"",INDEX($BH$40:$BH$133,IFERROR(MATCH(13,$AB$40:$AB$133,0),0)))</f>
        <v>0</v>
      </c>
      <c r="E26" s="113" t="n">
        <f aca="false">IF(IFERROR(MATCH(13,$AB$40:$AB$133,0),0)=0,"",INDEX($W$40:$W$133,IFERROR(MATCH(13,$AB$40:$AB$133,0),0)))</f>
        <v>180.9</v>
      </c>
      <c r="F26" s="113" t="n">
        <f aca="false">IF(IFERROR(MATCH(13,$AB$40:$AB$133,0),0)=0,"",INDEX($X$40:$X$133,IFERROR(MATCH(13,$AB$40:$AB$133,0),0)))</f>
        <v>180.9</v>
      </c>
      <c r="G26" s="113" t="n">
        <f aca="false">IF(A26="","",D26+E26-F26)</f>
        <v>0</v>
      </c>
      <c r="H26" s="113" t="n">
        <f aca="false">IF(IFERROR(MATCH(13,$AB$40:$AB$133,0),0)=0,"",INDEX($Y$40:$Y$133,IFERROR(MATCH(13,$AB$40:$AB$133,0),0)))</f>
        <v>273.36</v>
      </c>
      <c r="I26" s="114" t="n">
        <f aca="false">IF(IFERROR(MATCH(13,$AB$40:$AB$133,0),0)=0,"",INDEX($Z$40:$Z$133,IFERROR(MATCH(13,$AB$40:$AB$133,0),0)))</f>
        <v>273.36</v>
      </c>
      <c r="J26" s="115" t="str">
        <f aca="false">IF(IFERROR(MATCH(13,$AB$40:$AB$133,0),0)=0,"",INDEX($AC$40:$AC$133,IFERROR(MATCH(13,$AB$40:$AB$133,0),0)))</f>
        <v>Sobrando</v>
      </c>
      <c r="K26" s="116" t="n">
        <f aca="false">IF(IFERROR(MATCH(13,$AB$40:$AB$133,0),0)=0,"",INDEX($AD$40:$AD$133,IFERROR(MATCH(13,$AB$40:$AB$133,0),0)))</f>
        <v>5</v>
      </c>
      <c r="L26" s="117" t="n">
        <f aca="false">IF(IFERROR(MATCH(13,$AB$40:$AB$133,0),0)=0,"",IF(INDEX($BB$40:$BB$133,IFERROR(MATCH(13,$AB$40:$AB$133,0),0))&gt;=99999,"",INDEX($BB$40:$BB$133,IFERROR(MATCH(13,$AB$40:$AB$133,0),0))))</f>
        <v>46276</v>
      </c>
      <c r="M26" s="117" t="n">
        <f aca="false">IF(IFERROR(MATCH(13,$AB$40:$AB$133,0),0)=0,"",IF(INDEX($BC$40:$BC$133,IFERROR(MATCH(13,$AB$40:$AB$133,0),0))=0,"",INDEX($BC$40:$BC$133,IFERROR(MATCH(13,$AB$40:$AB$133,0),0))))</f>
        <v>46288</v>
      </c>
      <c r="N26" s="118" t="str">
        <f aca="false">IF(IFERROR(MATCH(13,$AB$40:$AB$133,0),0)=0,"",INDEX($AE$40:$AE$133,IFERROR(MATCH(13,$AB$40:$AB$133,0),0))&amp;"")</f>
        <v>Estoque antigo: toda a sobra está em posições sem movimento desde antes de 09/09</v>
      </c>
      <c r="O26" s="119" t="str">
        <f aca="false">IF(IFERROR(MATCH(13,$AB$40:$AB$133,0),0)=0,"",INDEX($BD$40:$BD$133,IFERROR(MATCH(13,$AB$40:$AB$133,0),0))&amp;"")</f>
        <v>Confirmar no SAP o saldo de 08/09 (273.4 KG). Se estiver certo, não há ajuste</v>
      </c>
      <c r="AS26" s="82" t="s">
        <v>252</v>
      </c>
      <c r="AV26" s="0" t="str">
        <f aca="false">IFERROR(INDEX($AX$1:$AX$94,MATCH(25,$AY$1:$AY$94,0)),"")</f>
        <v>26126039</v>
      </c>
      <c r="AW26" s="82" t="s">
        <v>232</v>
      </c>
      <c r="AX26" s="82" t="s">
        <v>239</v>
      </c>
      <c r="AY26" s="82" t="n">
        <f aca="false">IF(OR($A$5="Todos",AW26=$A$5),MAX(AY$1:AY25)+1,0)</f>
        <v>26</v>
      </c>
    </row>
    <row r="27" customFormat="false" ht="15" hidden="false" customHeight="false" outlineLevel="0" collapsed="false">
      <c r="A27" s="111" t="str">
        <f aca="false">IF(IFERROR(MATCH(14,$AB$40:$AB$133,0),0)=0,"",INDEX($T$40:$T$133,IFERROR(MATCH(14,$AB$40:$AB$133,0),0)))</f>
        <v>CHM-BS-9U15-E0-07B</v>
      </c>
      <c r="B27" s="111" t="str">
        <f aca="false">IF(IFERROR(MATCH(14,$AB$40:$AB$133,0),0)=0,"",INDEX($AG$40:$AG$133,IFERROR(MATCH(14,$AB$40:$AB$133,0),0)))</f>
        <v>260701069</v>
      </c>
      <c r="C27" s="112" t="str">
        <f aca="false">IF(IFERROR(MATCH(14,$AB$40:$AB$133,0),0)=0,"",INDEX($U$40:$U$133,IFERROR(MATCH(14,$AB$40:$AB$133,0),0)))</f>
        <v>KG</v>
      </c>
      <c r="D27" s="113" t="n">
        <f aca="false">IF(IFERROR(MATCH(14,$AB$40:$AB$133,0),0)=0,"",INDEX($BH$40:$BH$133,IFERROR(MATCH(14,$AB$40:$AB$133,0),0)))</f>
        <v>0</v>
      </c>
      <c r="E27" s="113" t="n">
        <f aca="false">IF(IFERROR(MATCH(14,$AB$40:$AB$133,0),0)=0,"",INDEX($W$40:$W$133,IFERROR(MATCH(14,$AB$40:$AB$133,0),0)))</f>
        <v>960</v>
      </c>
      <c r="F27" s="113" t="n">
        <f aca="false">IF(IFERROR(MATCH(14,$AB$40:$AB$133,0),0)=0,"",INDEX($X$40:$X$133,IFERROR(MATCH(14,$AB$40:$AB$133,0),0)))</f>
        <v>176</v>
      </c>
      <c r="G27" s="113" t="n">
        <f aca="false">IF(A27="","",D27+E27-F27)</f>
        <v>784</v>
      </c>
      <c r="H27" s="113" t="n">
        <f aca="false">IF(IFERROR(MATCH(14,$AB$40:$AB$133,0),0)=0,"",INDEX($Y$40:$Y$133,IFERROR(MATCH(14,$AB$40:$AB$133,0),0)))</f>
        <v>1032</v>
      </c>
      <c r="I27" s="114" t="n">
        <f aca="false">IF(IFERROR(MATCH(14,$AB$40:$AB$133,0),0)=0,"",INDEX($Z$40:$Z$133,IFERROR(MATCH(14,$AB$40:$AB$133,0),0)))</f>
        <v>248</v>
      </c>
      <c r="J27" s="115" t="str">
        <f aca="false">IF(IFERROR(MATCH(14,$AB$40:$AB$133,0),0)=0,"",INDEX($AC$40:$AC$133,IFERROR(MATCH(14,$AB$40:$AB$133,0),0)))</f>
        <v>Sobrando</v>
      </c>
      <c r="K27" s="116" t="n">
        <f aca="false">IF(IFERROR(MATCH(14,$AB$40:$AB$133,0),0)=0,"",INDEX($AD$40:$AD$133,IFERROR(MATCH(14,$AB$40:$AB$133,0),0)))</f>
        <v>20</v>
      </c>
      <c r="L27" s="117" t="n">
        <f aca="false">IF(IFERROR(MATCH(14,$AB$40:$AB$133,0),0)=0,"",IF(INDEX($BB$40:$BB$133,IFERROR(MATCH(14,$AB$40:$AB$133,0),0))&gt;=99999,"",INDEX($BB$40:$BB$133,IFERROR(MATCH(14,$AB$40:$AB$133,0),0))))</f>
        <v>46275</v>
      </c>
      <c r="M27" s="117" t="n">
        <f aca="false">IF(IFERROR(MATCH(14,$AB$40:$AB$133,0),0)=0,"",IF(INDEX($BC$40:$BC$133,IFERROR(MATCH(14,$AB$40:$AB$133,0),0))=0,"",INDEX($BC$40:$BC$133,IFERROR(MATCH(14,$AB$40:$AB$133,0),0))))</f>
        <v>46295</v>
      </c>
      <c r="N27" s="118" t="str">
        <f aca="false">IF(IFERROR(MATCH(14,$AB$40:$AB$133,0),0)=0,"",INDEX($AE$40:$AE$133,IFERROR(MATCH(14,$AB$40:$AB$133,0),0))&amp;"")</f>
        <v>Estoque acima do esperado: entrada não lançada ou saldo anterior ao período</v>
      </c>
      <c r="O27" s="119" t="str">
        <f aca="false">IF(IFERROR(MATCH(14,$AB$40:$AB$133,0),0)=0,"",INDEX($BD$40:$BD$133,IFERROR(MATCH(14,$AB$40:$AB$133,0),0))&amp;"")</f>
        <v>Confirmar saldo de 08/09; se não existir, contar o lote e lançar ajuste de inventário de +248.0 KG</v>
      </c>
      <c r="AS27" s="82" t="s">
        <v>354</v>
      </c>
      <c r="AV27" s="0" t="str">
        <f aca="false">IFERROR(INDEX($AX$1:$AX$94,MATCH(26,$AY$1:$AY$94,0)),"")</f>
        <v>250827800</v>
      </c>
      <c r="AW27" s="82" t="s">
        <v>232</v>
      </c>
      <c r="AX27" s="82" t="s">
        <v>241</v>
      </c>
      <c r="AY27" s="82" t="n">
        <f aca="false">IF(OR($A$5="Todos",AW27=$A$5),MAX(AY$1:AY26)+1,0)</f>
        <v>27</v>
      </c>
    </row>
    <row r="28" customFormat="false" ht="15" hidden="false" customHeight="false" outlineLevel="0" collapsed="false">
      <c r="A28" s="111" t="str">
        <f aca="false">IF(IFERROR(MATCH(15,$AB$40:$AB$133,0),0)=0,"",INDEX($T$40:$T$133,IFERROR(MATCH(15,$AB$40:$AB$133,0),0)))</f>
        <v>70-30-38-BR-D94</v>
      </c>
      <c r="B28" s="111" t="str">
        <f aca="false">IF(IFERROR(MATCH(15,$AB$40:$AB$133,0),0)=0,"",INDEX($AG$40:$AG$133,IFERROR(MATCH(15,$AB$40:$AB$133,0),0)))</f>
        <v>253213449</v>
      </c>
      <c r="C28" s="112" t="str">
        <f aca="false">IF(IFERROR(MATCH(15,$AB$40:$AB$133,0),0)=0,"",INDEX($U$40:$U$133,IFERROR(MATCH(15,$AB$40:$AB$133,0),0)))</f>
        <v>KG</v>
      </c>
      <c r="D28" s="113" t="n">
        <f aca="false">IF(IFERROR(MATCH(15,$AB$40:$AB$133,0),0)=0,"",INDEX($BH$40:$BH$133,IFERROR(MATCH(15,$AB$40:$AB$133,0),0)))</f>
        <v>0</v>
      </c>
      <c r="E28" s="113" t="n">
        <f aca="false">IF(IFERROR(MATCH(15,$AB$40:$AB$133,0),0)=0,"",INDEX($W$40:$W$133,IFERROR(MATCH(15,$AB$40:$AB$133,0),0)))</f>
        <v>940.8</v>
      </c>
      <c r="F28" s="113" t="n">
        <f aca="false">IF(IFERROR(MATCH(15,$AB$40:$AB$133,0),0)=0,"",INDEX($X$40:$X$133,IFERROR(MATCH(15,$AB$40:$AB$133,0),0)))</f>
        <v>781.2</v>
      </c>
      <c r="G28" s="113" t="n">
        <f aca="false">IF(A28="","",D28+E28-F28)</f>
        <v>159.6</v>
      </c>
      <c r="H28" s="113" t="n">
        <f aca="false">IF(IFERROR(MATCH(15,$AB$40:$AB$133,0),0)=0,"",INDEX($Y$40:$Y$133,IFERROR(MATCH(15,$AB$40:$AB$133,0),0)))</f>
        <v>333.2</v>
      </c>
      <c r="I28" s="114" t="n">
        <f aca="false">IF(IFERROR(MATCH(15,$AB$40:$AB$133,0),0)=0,"",INDEX($Z$40:$Z$133,IFERROR(MATCH(15,$AB$40:$AB$133,0),0)))</f>
        <v>173.6</v>
      </c>
      <c r="J28" s="115" t="str">
        <f aca="false">IF(IFERROR(MATCH(15,$AB$40:$AB$133,0),0)=0,"",INDEX($AC$40:$AC$133,IFERROR(MATCH(15,$AB$40:$AB$133,0),0)))</f>
        <v>Sobrando</v>
      </c>
      <c r="K28" s="116" t="n">
        <f aca="false">IF(IFERROR(MATCH(15,$AB$40:$AB$133,0),0)=0,"",INDEX($AD$40:$AD$133,IFERROR(MATCH(15,$AB$40:$AB$133,0),0)))</f>
        <v>26</v>
      </c>
      <c r="L28" s="117" t="n">
        <f aca="false">IF(IFERROR(MATCH(15,$AB$40:$AB$133,0),0)=0,"",IF(INDEX($BB$40:$BB$133,IFERROR(MATCH(15,$AB$40:$AB$133,0),0))&gt;=99999,"",INDEX($BB$40:$BB$133,IFERROR(MATCH(15,$AB$40:$AB$133,0),0))))</f>
        <v>46275</v>
      </c>
      <c r="M28" s="117" t="n">
        <f aca="false">IF(IFERROR(MATCH(15,$AB$40:$AB$133,0),0)=0,"",IF(INDEX($BC$40:$BC$133,IFERROR(MATCH(15,$AB$40:$AB$133,0),0))=0,"",INDEX($BC$40:$BC$133,IFERROR(MATCH(15,$AB$40:$AB$133,0),0))))</f>
        <v>46296</v>
      </c>
      <c r="N28" s="118" t="str">
        <f aca="false">IF(IFERROR(MATCH(15,$AB$40:$AB$133,0),0)=0,"",INDEX($AE$40:$AE$133,IFERROR(MATCH(15,$AB$40:$AB$133,0),0))&amp;"")</f>
        <v>Estoque antigo/doca + saídas pelo depósito 0355 que não baixaram o estoque físico</v>
      </c>
      <c r="O28" s="119" t="str">
        <f aca="false">IF(IFERROR(MATCH(15,$AB$40:$AB$133,0),0)=0,"",INDEX($BD$40:$BD$133,IFERROR(MATCH(15,$AB$40:$AB$133,0),0))&amp;"")</f>
        <v>Confirmar a OT de saída (picking) das remessas para baixar 162.4 KG do estoque físico; conferir também estoque antigo/doca</v>
      </c>
      <c r="AS28" s="82" t="s">
        <v>356</v>
      </c>
      <c r="AV28" s="0" t="str">
        <f aca="false">IFERROR(INDEX($AX$1:$AX$94,MATCH(27,$AY$1:$AY$94,0)),"")</f>
        <v>2529678000</v>
      </c>
      <c r="AW28" s="82" t="s">
        <v>232</v>
      </c>
      <c r="AX28" s="82" t="s">
        <v>233</v>
      </c>
      <c r="AY28" s="82" t="n">
        <f aca="false">IF(OR($A$5="Todos",AW28=$A$5),MAX(AY$1:AY27)+1,0)</f>
        <v>28</v>
      </c>
    </row>
    <row r="29" customFormat="false" ht="15" hidden="false" customHeight="false" outlineLevel="0" collapsed="false">
      <c r="A29" s="111" t="str">
        <f aca="false">IF(IFERROR(MATCH(16,$AB$40:$AB$133,0),0)=0,"",INDEX($T$40:$T$133,IFERROR(MATCH(16,$AB$40:$AB$133,0),0)))</f>
        <v>CW2-BR-25A</v>
      </c>
      <c r="B29" s="111" t="str">
        <f aca="false">IF(IFERROR(MATCH(16,$AB$40:$AB$133,0),0)=0,"",INDEX($AG$40:$AG$133,IFERROR(MATCH(16,$AB$40:$AB$133,0),0)))</f>
        <v>252650301</v>
      </c>
      <c r="C29" s="112" t="str">
        <f aca="false">IF(IFERROR(MATCH(16,$AB$40:$AB$133,0),0)=0,"",INDEX($U$40:$U$133,IFERROR(MATCH(16,$AB$40:$AB$133,0),0)))</f>
        <v>KG</v>
      </c>
      <c r="D29" s="113" t="n">
        <f aca="false">IF(IFERROR(MATCH(16,$AB$40:$AB$133,0),0)=0,"",INDEX($BH$40:$BH$133,IFERROR(MATCH(16,$AB$40:$AB$133,0),0)))</f>
        <v>0</v>
      </c>
      <c r="E29" s="113" t="n">
        <f aca="false">IF(IFERROR(MATCH(16,$AB$40:$AB$133,0),0)=0,"",INDEX($W$40:$W$133,IFERROR(MATCH(16,$AB$40:$AB$133,0),0)))</f>
        <v>2271.3</v>
      </c>
      <c r="F29" s="113" t="n">
        <f aca="false">IF(IFERROR(MATCH(16,$AB$40:$AB$133,0),0)=0,"",INDEX($X$40:$X$133,IFERROR(MATCH(16,$AB$40:$AB$133,0),0)))</f>
        <v>562.8</v>
      </c>
      <c r="G29" s="113" t="n">
        <f aca="false">IF(A29="","",D29+E29-F29)</f>
        <v>1708.5</v>
      </c>
      <c r="H29" s="113" t="n">
        <f aca="false">IF(IFERROR(MATCH(16,$AB$40:$AB$133,0),0)=0,"",INDEX($Y$40:$Y$133,IFERROR(MATCH(16,$AB$40:$AB$133,0),0)))</f>
        <v>1829.1</v>
      </c>
      <c r="I29" s="114" t="n">
        <f aca="false">IF(IFERROR(MATCH(16,$AB$40:$AB$133,0),0)=0,"",INDEX($Z$40:$Z$133,IFERROR(MATCH(16,$AB$40:$AB$133,0),0)))</f>
        <v>120.6</v>
      </c>
      <c r="J29" s="115" t="str">
        <f aca="false">IF(IFERROR(MATCH(16,$AB$40:$AB$133,0),0)=0,"",INDEX($AC$40:$AC$133,IFERROR(MATCH(16,$AB$40:$AB$133,0),0)))</f>
        <v>Sobrando</v>
      </c>
      <c r="K29" s="116" t="n">
        <f aca="false">IF(IFERROR(MATCH(16,$AB$40:$AB$133,0),0)=0,"",INDEX($AD$40:$AD$133,IFERROR(MATCH(16,$AB$40:$AB$133,0),0)))</f>
        <v>15</v>
      </c>
      <c r="L29" s="117" t="n">
        <f aca="false">IF(IFERROR(MATCH(16,$AB$40:$AB$133,0),0)=0,"",IF(INDEX($BB$40:$BB$133,IFERROR(MATCH(16,$AB$40:$AB$133,0),0))&gt;=99999,"",INDEX($BB$40:$BB$133,IFERROR(MATCH(16,$AB$40:$AB$133,0),0))))</f>
        <v>46275</v>
      </c>
      <c r="M29" s="117" t="n">
        <f aca="false">IF(IFERROR(MATCH(16,$AB$40:$AB$133,0),0)=0,"",IF(INDEX($BC$40:$BC$133,IFERROR(MATCH(16,$AB$40:$AB$133,0),0))=0,"",INDEX($BC$40:$BC$133,IFERROR(MATCH(16,$AB$40:$AB$133,0),0))))</f>
        <v>46295</v>
      </c>
      <c r="N29" s="118" t="str">
        <f aca="false">IF(IFERROR(MATCH(16,$AB$40:$AB$133,0),0)=0,"",INDEX($AE$40:$AE$133,IFERROR(MATCH(16,$AB$40:$AB$133,0),0))&amp;"")</f>
        <v>Explica em parte: estoque antigo 0.0 + doca/transferência 20.1; faltam 100.5 a explicar</v>
      </c>
      <c r="O29" s="119" t="str">
        <f aca="false">IF(IFERROR(MATCH(16,$AB$40:$AB$133,0),0)=0,"",INDEX($BD$40:$BD$133,IFERROR(MATCH(16,$AB$40:$AB$133,0),0))&amp;"")</f>
        <v>Confirmar saldo de 08/09 e OTs de doca; contar o lote para os 100.5 KG restantes e ajustar a sobra se confirmada</v>
      </c>
      <c r="AS29" s="82" t="s">
        <v>257</v>
      </c>
      <c r="AV29" s="0" t="str">
        <f aca="false">IFERROR(INDEX($AX$1:$AX$94,MATCH(28,$AY$1:$AY$94,0)),"")</f>
        <v>2529778000</v>
      </c>
      <c r="AW29" s="82" t="s">
        <v>232</v>
      </c>
      <c r="AX29" s="82" t="s">
        <v>235</v>
      </c>
      <c r="AY29" s="82" t="n">
        <f aca="false">IF(OR($A$5="Todos",AW29=$A$5),MAX(AY$1:AY28)+1,0)</f>
        <v>29</v>
      </c>
    </row>
    <row r="30" customFormat="false" ht="15" hidden="false" customHeight="false" outlineLevel="0" collapsed="false">
      <c r="A30" s="111" t="str">
        <f aca="false">IF(IFERROR(MATCH(17,$AB$40:$AB$133,0),0)=0,"",INDEX($T$40:$T$133,IFERROR(MATCH(17,$AB$40:$AB$133,0),0)))</f>
        <v>CHK-R30GOLD-BR-25A</v>
      </c>
      <c r="B30" s="111" t="str">
        <f aca="false">IF(IFERROR(MATCH(17,$AB$40:$AB$133,0),0)=0,"",INDEX($AG$40:$AG$133,IFERROR(MATCH(17,$AB$40:$AB$133,0),0)))</f>
        <v>253620301</v>
      </c>
      <c r="C30" s="112" t="str">
        <f aca="false">IF(IFERROR(MATCH(17,$AB$40:$AB$133,0),0)=0,"",INDEX($U$40:$U$133,IFERROR(MATCH(17,$AB$40:$AB$133,0),0)))</f>
        <v>KG</v>
      </c>
      <c r="D30" s="113" t="n">
        <f aca="false">IF(IFERROR(MATCH(17,$AB$40:$AB$133,0),0)=0,"",INDEX($BH$40:$BH$133,IFERROR(MATCH(17,$AB$40:$AB$133,0),0)))</f>
        <v>0</v>
      </c>
      <c r="E30" s="113" t="n">
        <f aca="false">IF(IFERROR(MATCH(17,$AB$40:$AB$133,0),0)=0,"",INDEX($W$40:$W$133,IFERROR(MATCH(17,$AB$40:$AB$133,0),0)))</f>
        <v>40.2</v>
      </c>
      <c r="F30" s="113" t="n">
        <f aca="false">IF(IFERROR(MATCH(17,$AB$40:$AB$133,0),0)=0,"",INDEX($X$40:$X$133,IFERROR(MATCH(17,$AB$40:$AB$133,0),0)))</f>
        <v>40.2</v>
      </c>
      <c r="G30" s="113" t="n">
        <f aca="false">IF(A30="","",D30+E30-F30)</f>
        <v>0</v>
      </c>
      <c r="H30" s="113" t="n">
        <f aca="false">IF(IFERROR(MATCH(17,$AB$40:$AB$133,0),0)=0,"",INDEX($Y$40:$Y$133,IFERROR(MATCH(17,$AB$40:$AB$133,0),0)))</f>
        <v>116.58</v>
      </c>
      <c r="I30" s="114" t="n">
        <f aca="false">IF(IFERROR(MATCH(17,$AB$40:$AB$133,0),0)=0,"",INDEX($Z$40:$Z$133,IFERROR(MATCH(17,$AB$40:$AB$133,0),0)))</f>
        <v>116.58</v>
      </c>
      <c r="J30" s="115" t="str">
        <f aca="false">IF(IFERROR(MATCH(17,$AB$40:$AB$133,0),0)=0,"",INDEX($AC$40:$AC$133,IFERROR(MATCH(17,$AB$40:$AB$133,0),0)))</f>
        <v>Sobrando</v>
      </c>
      <c r="K30" s="116" t="n">
        <f aca="false">IF(IFERROR(MATCH(17,$AB$40:$AB$133,0),0)=0,"",INDEX($AD$40:$AD$133,IFERROR(MATCH(17,$AB$40:$AB$133,0),0)))</f>
        <v>3</v>
      </c>
      <c r="L30" s="117" t="n">
        <f aca="false">IF(IFERROR(MATCH(17,$AB$40:$AB$133,0),0)=0,"",IF(INDEX($BB$40:$BB$133,IFERROR(MATCH(17,$AB$40:$AB$133,0),0))&gt;=99999,"",INDEX($BB$40:$BB$133,IFERROR(MATCH(17,$AB$40:$AB$133,0),0))))</f>
        <v>46291</v>
      </c>
      <c r="M30" s="117" t="n">
        <f aca="false">IF(IFERROR(MATCH(17,$AB$40:$AB$133,0),0)=0,"",IF(INDEX($BC$40:$BC$133,IFERROR(MATCH(17,$AB$40:$AB$133,0),0))=0,"",INDEX($BC$40:$BC$133,IFERROR(MATCH(17,$AB$40:$AB$133,0),0))))</f>
        <v>46294</v>
      </c>
      <c r="N30" s="118" t="str">
        <f aca="false">IF(IFERROR(MATCH(17,$AB$40:$AB$133,0),0)=0,"",INDEX($AE$40:$AE$133,IFERROR(MATCH(17,$AB$40:$AB$133,0),0))&amp;"")</f>
        <v>Estoque antigo + quantidade em doca/chão/transferência</v>
      </c>
      <c r="O30" s="119" t="str">
        <f aca="false">IF(IFERROR(MATCH(17,$AB$40:$AB$133,0),0)=0,"",INDEX($BD$40:$BD$133,IFERROR(MATCH(17,$AB$40:$AB$133,0),0))&amp;"")</f>
        <v>Confirmar saldo de 08/09 (36.2 KG) e tratar as OTs em doca/transferência (80.4 KG)</v>
      </c>
      <c r="AS30" s="82" t="s">
        <v>358</v>
      </c>
      <c r="AV30" s="0" t="str">
        <f aca="false">IFERROR(INDEX($AX$1:$AX$94,MATCH(29,$AY$1:$AY$94,0)),"")</f>
        <v>2609078000</v>
      </c>
      <c r="AW30" s="82" t="s">
        <v>232</v>
      </c>
      <c r="AX30" s="82" t="s">
        <v>334</v>
      </c>
      <c r="AY30" s="82" t="n">
        <f aca="false">IF(OR($A$5="Todos",AW30=$A$5),MAX(AY$1:AY29)+1,0)</f>
        <v>30</v>
      </c>
    </row>
    <row r="31" customFormat="false" ht="15" hidden="false" customHeight="false" outlineLevel="0" collapsed="false">
      <c r="A31" s="111" t="str">
        <f aca="false">IF(IFERROR(MATCH(18,$AB$40:$AB$133,0),0)=0,"",INDEX($T$40:$T$133,IFERROR(MATCH(18,$AB$40:$AB$133,0),0)))</f>
        <v>823-BR-25A</v>
      </c>
      <c r="B31" s="111" t="str">
        <f aca="false">IF(IFERROR(MATCH(18,$AB$40:$AB$133,0),0)=0,"",INDEX($AG$40:$AG$133,IFERROR(MATCH(18,$AB$40:$AB$133,0),0)))</f>
        <v>252900303</v>
      </c>
      <c r="C31" s="112" t="str">
        <f aca="false">IF(IFERROR(MATCH(18,$AB$40:$AB$133,0),0)=0,"",INDEX($U$40:$U$133,IFERROR(MATCH(18,$AB$40:$AB$133,0),0)))</f>
        <v>KG</v>
      </c>
      <c r="D31" s="113" t="n">
        <f aca="false">IF(IFERROR(MATCH(18,$AB$40:$AB$133,0),0)=0,"",INDEX($BH$40:$BH$133,IFERROR(MATCH(18,$AB$40:$AB$133,0),0)))</f>
        <v>0</v>
      </c>
      <c r="E31" s="113" t="n">
        <f aca="false">IF(IFERROR(MATCH(18,$AB$40:$AB$133,0),0)=0,"",INDEX($W$40:$W$133,IFERROR(MATCH(18,$AB$40:$AB$133,0),0)))</f>
        <v>3612</v>
      </c>
      <c r="F31" s="113" t="n">
        <f aca="false">IF(IFERROR(MATCH(18,$AB$40:$AB$133,0),0)=0,"",INDEX($X$40:$X$133,IFERROR(MATCH(18,$AB$40:$AB$133,0),0)))</f>
        <v>80.4</v>
      </c>
      <c r="G31" s="113" t="n">
        <f aca="false">IF(A31="","",D31+E31-F31)</f>
        <v>3531.6</v>
      </c>
      <c r="H31" s="113" t="n">
        <f aca="false">IF(IFERROR(MATCH(18,$AB$40:$AB$133,0),0)=0,"",INDEX($Y$40:$Y$133,IFERROR(MATCH(18,$AB$40:$AB$133,0),0)))</f>
        <v>3612</v>
      </c>
      <c r="I31" s="114" t="n">
        <f aca="false">IF(IFERROR(MATCH(18,$AB$40:$AB$133,0),0)=0,"",INDEX($Z$40:$Z$133,IFERROR(MATCH(18,$AB$40:$AB$133,0),0)))</f>
        <v>80.4</v>
      </c>
      <c r="J31" s="115" t="str">
        <f aca="false">IF(IFERROR(MATCH(18,$AB$40:$AB$133,0),0)=0,"",INDEX($AC$40:$AC$133,IFERROR(MATCH(18,$AB$40:$AB$133,0),0)))</f>
        <v>Sobrando</v>
      </c>
      <c r="K31" s="116" t="n">
        <f aca="false">IF(IFERROR(MATCH(18,$AB$40:$AB$133,0),0)=0,"",INDEX($AD$40:$AD$133,IFERROR(MATCH(18,$AB$40:$AB$133,0),0)))</f>
        <v>8</v>
      </c>
      <c r="L31" s="117" t="n">
        <f aca="false">IF(IFERROR(MATCH(18,$AB$40:$AB$133,0),0)=0,"",IF(INDEX($BB$40:$BB$133,IFERROR(MATCH(18,$AB$40:$AB$133,0),0))&gt;=99999,"",INDEX($BB$40:$BB$133,IFERROR(MATCH(18,$AB$40:$AB$133,0),0))))</f>
        <v>46277</v>
      </c>
      <c r="M31" s="117" t="n">
        <f aca="false">IF(IFERROR(MATCH(18,$AB$40:$AB$133,0),0)=0,"",IF(INDEX($BC$40:$BC$133,IFERROR(MATCH(18,$AB$40:$AB$133,0),0))=0,"",INDEX($BC$40:$BC$133,IFERROR(MATCH(18,$AB$40:$AB$133,0),0))))</f>
        <v>46294</v>
      </c>
      <c r="N31" s="118" t="str">
        <f aca="false">IF(IFERROR(MATCH(18,$AB$40:$AB$133,0),0)=0,"",INDEX($AE$40:$AE$133,IFERROR(MATCH(18,$AB$40:$AB$133,0),0))&amp;"")</f>
        <v>As saídas do período não baixaram o estoque físico</v>
      </c>
      <c r="O31" s="119" t="str">
        <f aca="false">IF(IFERROR(MATCH(18,$AB$40:$AB$133,0),0)=0,"",INDEX($BD$40:$BD$133,IFERROR(MATCH(18,$AB$40:$AB$133,0),0))&amp;"")</f>
        <v>Confirmar a OT de saída (picking) das remessas para baixar 1,119.6 KG do estoque físico; conferir também estoque antigo/doca</v>
      </c>
      <c r="AS31" s="82" t="s">
        <v>260</v>
      </c>
      <c r="AV31" s="0" t="str">
        <f aca="false">IFERROR(INDEX($AX$1:$AX$94,MATCH(30,$AY$1:$AY$94,0)),"")</f>
        <v>2609178000</v>
      </c>
      <c r="AW31" s="82" t="s">
        <v>232</v>
      </c>
      <c r="AX31" s="82" t="s">
        <v>237</v>
      </c>
      <c r="AY31" s="82" t="n">
        <f aca="false">IF(OR($A$5="Todos",AW31=$A$5),MAX(AY$1:AY30)+1,0)</f>
        <v>31</v>
      </c>
    </row>
    <row r="32" customFormat="false" ht="15" hidden="false" customHeight="false" outlineLevel="0" collapsed="false">
      <c r="A32" s="111" t="str">
        <f aca="false">IF(IFERROR(MATCH(19,$AB$40:$AB$133,0),0)=0,"",INDEX($T$40:$T$133,IFERROR(MATCH(19,$AB$40:$AB$133,0),0)))</f>
        <v>CHK-R30GOLD-E0-D94</v>
      </c>
      <c r="B32" s="111" t="str">
        <f aca="false">IF(IFERROR(MATCH(19,$AB$40:$AB$133,0),0)=0,"",INDEX($AG$40:$AG$133,IFERROR(MATCH(19,$AB$40:$AB$133,0),0)))</f>
        <v>260720939</v>
      </c>
      <c r="C32" s="112" t="str">
        <f aca="false">IF(IFERROR(MATCH(19,$AB$40:$AB$133,0),0)=0,"",INDEX($U$40:$U$133,IFERROR(MATCH(19,$AB$40:$AB$133,0),0)))</f>
        <v>KG</v>
      </c>
      <c r="D32" s="113" t="n">
        <f aca="false">IF(IFERROR(MATCH(19,$AB$40:$AB$133,0),0)=0,"",INDEX($BH$40:$BH$133,IFERROR(MATCH(19,$AB$40:$AB$133,0),0)))</f>
        <v>0</v>
      </c>
      <c r="E32" s="113" t="n">
        <f aca="false">IF(IFERROR(MATCH(19,$AB$40:$AB$133,0),0)=0,"",INDEX($W$40:$W$133,IFERROR(MATCH(19,$AB$40:$AB$133,0),0)))</f>
        <v>806.4</v>
      </c>
      <c r="F32" s="113" t="n">
        <f aca="false">IF(IFERROR(MATCH(19,$AB$40:$AB$133,0),0)=0,"",INDEX($X$40:$X$133,IFERROR(MATCH(19,$AB$40:$AB$133,0),0)))</f>
        <v>53.2</v>
      </c>
      <c r="G32" s="113" t="n">
        <f aca="false">IF(A32="","",D32+E32-F32)</f>
        <v>753.2</v>
      </c>
      <c r="H32" s="113" t="n">
        <f aca="false">IF(IFERROR(MATCH(19,$AB$40:$AB$133,0),0)=0,"",INDEX($Y$40:$Y$133,IFERROR(MATCH(19,$AB$40:$AB$133,0),0)))</f>
        <v>825.999</v>
      </c>
      <c r="I32" s="114" t="n">
        <f aca="false">IF(IFERROR(MATCH(19,$AB$40:$AB$133,0),0)=0,"",INDEX($Z$40:$Z$133,IFERROR(MATCH(19,$AB$40:$AB$133,0),0)))</f>
        <v>72.799</v>
      </c>
      <c r="J32" s="115" t="str">
        <f aca="false">IF(IFERROR(MATCH(19,$AB$40:$AB$133,0),0)=0,"",INDEX($AC$40:$AC$133,IFERROR(MATCH(19,$AB$40:$AB$133,0),0)))</f>
        <v>Sobrando</v>
      </c>
      <c r="K32" s="116" t="n">
        <f aca="false">IF(IFERROR(MATCH(19,$AB$40:$AB$133,0),0)=0,"",INDEX($AD$40:$AD$133,IFERROR(MATCH(19,$AB$40:$AB$133,0),0)))</f>
        <v>7</v>
      </c>
      <c r="L32" s="117" t="n">
        <f aca="false">IF(IFERROR(MATCH(19,$AB$40:$AB$133,0),0)=0,"",IF(INDEX($BB$40:$BB$133,IFERROR(MATCH(19,$AB$40:$AB$133,0),0))&gt;=99999,"",INDEX($BB$40:$BB$133,IFERROR(MATCH(19,$AB$40:$AB$133,0),0))))</f>
        <v>46282</v>
      </c>
      <c r="M32" s="117" t="n">
        <f aca="false">IF(IFERROR(MATCH(19,$AB$40:$AB$133,0),0)=0,"",IF(INDEX($BC$40:$BC$133,IFERROR(MATCH(19,$AB$40:$AB$133,0),0))=0,"",INDEX($BC$40:$BC$133,IFERROR(MATCH(19,$AB$40:$AB$133,0),0))))</f>
        <v>46294</v>
      </c>
      <c r="N32" s="118" t="str">
        <f aca="false">IF(IFERROR(MATCH(19,$AB$40:$AB$133,0),0)=0,"",INDEX($AE$40:$AE$133,IFERROR(MATCH(19,$AB$40:$AB$133,0),0))&amp;"")</f>
        <v>Estoque antigo/doca + saídas do período que não baixaram o estoque físico</v>
      </c>
      <c r="O32" s="119" t="str">
        <f aca="false">IF(IFERROR(MATCH(19,$AB$40:$AB$133,0),0)=0,"",INDEX($BD$40:$BD$133,IFERROR(MATCH(19,$AB$40:$AB$133,0),0))&amp;"")</f>
        <v>Confirmar a OT de saída (picking) das remessas para baixar 53.2 KG do estoque físico; conferir também estoque antigo/doca</v>
      </c>
      <c r="AS32" s="82" t="s">
        <v>263</v>
      </c>
      <c r="AV32" s="0" t="str">
        <f aca="false">IFERROR(INDEX($AX$1:$AX$94,MATCH(31,$AY$1:$AY$94,0)),"")</f>
        <v>2611378000</v>
      </c>
      <c r="AW32" s="82" t="s">
        <v>243</v>
      </c>
      <c r="AX32" s="82" t="s">
        <v>244</v>
      </c>
      <c r="AY32" s="82" t="n">
        <f aca="false">IF(OR($A$5="Todos",AW32=$A$5),MAX(AY$1:AY31)+1,0)</f>
        <v>32</v>
      </c>
    </row>
    <row r="33" customFormat="false" ht="15" hidden="false" customHeight="false" outlineLevel="0" collapsed="false">
      <c r="A33" s="111" t="str">
        <f aca="false">IF(IFERROR(MATCH(20,$AB$40:$AB$133,0),0)=0,"",INDEX($T$40:$T$133,IFERROR(MATCH(20,$AB$40:$AB$133,0),0)))</f>
        <v>CHM-CU-7X80-E5-U70</v>
      </c>
      <c r="B33" s="111" t="str">
        <f aca="false">IF(IFERROR(MATCH(20,$AB$40:$AB$133,0),0)=0,"",INDEX($AG$40:$AG$133,IFERROR(MATCH(20,$AB$40:$AB$133,0),0)))</f>
        <v>2528749307</v>
      </c>
      <c r="C33" s="112" t="str">
        <f aca="false">IF(IFERROR(MATCH(20,$AB$40:$AB$133,0),0)=0,"",INDEX($U$40:$U$133,IFERROR(MATCH(20,$AB$40:$AB$133,0),0)))</f>
        <v>KG</v>
      </c>
      <c r="D33" s="113" t="n">
        <f aca="false">IF(IFERROR(MATCH(20,$AB$40:$AB$133,0),0)=0,"",INDEX($BH$40:$BH$133,IFERROR(MATCH(20,$AB$40:$AB$133,0),0)))</f>
        <v>0</v>
      </c>
      <c r="E33" s="113" t="n">
        <f aca="false">IF(IFERROR(MATCH(20,$AB$40:$AB$133,0),0)=0,"",INDEX($W$40:$W$133,IFERROR(MATCH(20,$AB$40:$AB$133,0),0)))</f>
        <v>10</v>
      </c>
      <c r="F33" s="113" t="n">
        <f aca="false">IF(IFERROR(MATCH(20,$AB$40:$AB$133,0),0)=0,"",INDEX($X$40:$X$133,IFERROR(MATCH(20,$AB$40:$AB$133,0),0)))</f>
        <v>60</v>
      </c>
      <c r="G33" s="113" t="n">
        <f aca="false">IF(A33="","",D33+E33-F33)</f>
        <v>-50</v>
      </c>
      <c r="H33" s="113" t="n">
        <f aca="false">IF(IFERROR(MATCH(20,$AB$40:$AB$133,0),0)=0,"",INDEX($Y$40:$Y$133,IFERROR(MATCH(20,$AB$40:$AB$133,0),0)))</f>
        <v>10</v>
      </c>
      <c r="I33" s="114" t="n">
        <f aca="false">IF(IFERROR(MATCH(20,$AB$40:$AB$133,0),0)=0,"",INDEX($Z$40:$Z$133,IFERROR(MATCH(20,$AB$40:$AB$133,0),0)))</f>
        <v>60</v>
      </c>
      <c r="J33" s="115" t="str">
        <f aca="false">IF(IFERROR(MATCH(20,$AB$40:$AB$133,0),0)=0,"",INDEX($AC$40:$AC$133,IFERROR(MATCH(20,$AB$40:$AB$133,0),0)))</f>
        <v>Sobrando</v>
      </c>
      <c r="K33" s="116" t="n">
        <f aca="false">IF(IFERROR(MATCH(20,$AB$40:$AB$133,0),0)=0,"",INDEX($AD$40:$AD$133,IFERROR(MATCH(20,$AB$40:$AB$133,0),0)))</f>
        <v>3</v>
      </c>
      <c r="L33" s="117" t="n">
        <f aca="false">IF(IFERROR(MATCH(20,$AB$40:$AB$133,0),0)=0,"",IF(INDEX($BB$40:$BB$133,IFERROR(MATCH(20,$AB$40:$AB$133,0),0))&gt;=99999,"",INDEX($BB$40:$BB$133,IFERROR(MATCH(20,$AB$40:$AB$133,0),0))))</f>
        <v>46291</v>
      </c>
      <c r="M33" s="117" t="n">
        <f aca="false">IF(IFERROR(MATCH(20,$AB$40:$AB$133,0),0)=0,"",IF(INDEX($BC$40:$BC$133,IFERROR(MATCH(20,$AB$40:$AB$133,0),0))=0,"",INDEX($BC$40:$BC$133,IFERROR(MATCH(20,$AB$40:$AB$133,0),0))))</f>
        <v>46295</v>
      </c>
      <c r="N33" s="118" t="str">
        <f aca="false">IF(IFERROR(MATCH(20,$AB$40:$AB$133,0),0)=0,"",INDEX($AE$40:$AE$133,IFERROR(MATCH(20,$AB$40:$AB$133,0),0))&amp;"")</f>
        <v>As saídas do período não baixaram o estoque físico</v>
      </c>
      <c r="O33" s="119" t="str">
        <f aca="false">IF(IFERROR(MATCH(20,$AB$40:$AB$133,0),0)=0,"",INDEX($BD$40:$BD$133,IFERROR(MATCH(20,$AB$40:$AB$133,0),0))&amp;"")</f>
        <v>Confirmar a OT de saída (picking) das remessas para baixar 50.0 KG do estoque físico; conferir também estoque antigo/doca</v>
      </c>
      <c r="AS33" s="82" t="s">
        <v>266</v>
      </c>
      <c r="AV33" s="0" t="str">
        <f aca="false">IFERROR(INDEX($AX$1:$AX$94,MATCH(32,$AY$1:$AY$94,0)),"")</f>
        <v>252810301</v>
      </c>
      <c r="AW33" s="82" t="s">
        <v>336</v>
      </c>
      <c r="AX33" s="82" t="s">
        <v>337</v>
      </c>
      <c r="AY33" s="82" t="n">
        <f aca="false">IF(OR($A$5="Todos",AW33=$A$5),MAX(AY$1:AY32)+1,0)</f>
        <v>33</v>
      </c>
    </row>
    <row r="34" customFormat="false" ht="15" hidden="false" customHeight="false" outlineLevel="0" collapsed="false">
      <c r="A34" s="111" t="str">
        <f aca="false">IF(IFERROR(MATCH(21,$AB$40:$AB$133,0),0)=0,"",INDEX($T$40:$T$133,IFERROR(MATCH(21,$AB$40:$AB$133,0),0)))</f>
        <v>CW2-BR-25A</v>
      </c>
      <c r="B34" s="111" t="str">
        <f aca="false">IF(IFERROR(MATCH(21,$AB$40:$AB$133,0),0)=0,"",INDEX($AG$40:$AG$133,IFERROR(MATCH(21,$AB$40:$AB$133,0),0)))</f>
        <v>252350301</v>
      </c>
      <c r="C34" s="112" t="str">
        <f aca="false">IF(IFERROR(MATCH(21,$AB$40:$AB$133,0),0)=0,"",INDEX($U$40:$U$133,IFERROR(MATCH(21,$AB$40:$AB$133,0),0)))</f>
        <v>KG</v>
      </c>
      <c r="D34" s="113" t="n">
        <f aca="false">IF(IFERROR(MATCH(21,$AB$40:$AB$133,0),0)=0,"",INDEX($BH$40:$BH$133,IFERROR(MATCH(21,$AB$40:$AB$133,0),0)))</f>
        <v>0</v>
      </c>
      <c r="E34" s="113" t="n">
        <f aca="false">IF(IFERROR(MATCH(21,$AB$40:$AB$133,0),0)=0,"",INDEX($W$40:$W$133,IFERROR(MATCH(21,$AB$40:$AB$133,0),0)))</f>
        <v>602.9</v>
      </c>
      <c r="F34" s="113" t="n">
        <f aca="false">IF(IFERROR(MATCH(21,$AB$40:$AB$133,0),0)=0,"",INDEX($X$40:$X$133,IFERROR(MATCH(21,$AB$40:$AB$133,0),0)))</f>
        <v>301.5</v>
      </c>
      <c r="G34" s="113" t="n">
        <f aca="false">IF(A34="","",D34+E34-F34)</f>
        <v>301.4</v>
      </c>
      <c r="H34" s="113" t="n">
        <f aca="false">IF(IFERROR(MATCH(21,$AB$40:$AB$133,0),0)=0,"",INDEX($Y$40:$Y$133,IFERROR(MATCH(21,$AB$40:$AB$133,0),0)))</f>
        <v>321.5</v>
      </c>
      <c r="I34" s="114" t="n">
        <f aca="false">IF(IFERROR(MATCH(21,$AB$40:$AB$133,0),0)=0,"",INDEX($Z$40:$Z$133,IFERROR(MATCH(21,$AB$40:$AB$133,0),0)))</f>
        <v>20.1</v>
      </c>
      <c r="J34" s="115" t="str">
        <f aca="false">IF(IFERROR(MATCH(21,$AB$40:$AB$133,0),0)=0,"",INDEX($AC$40:$AC$133,IFERROR(MATCH(21,$AB$40:$AB$133,0),0)))</f>
        <v>Sobrando</v>
      </c>
      <c r="K34" s="116" t="n">
        <f aca="false">IF(IFERROR(MATCH(21,$AB$40:$AB$133,0),0)=0,"",INDEX($AD$40:$AD$133,IFERROR(MATCH(21,$AB$40:$AB$133,0),0)))</f>
        <v>5</v>
      </c>
      <c r="L34" s="117" t="n">
        <f aca="false">IF(IFERROR(MATCH(21,$AB$40:$AB$133,0),0)=0,"",IF(INDEX($BB$40:$BB$133,IFERROR(MATCH(21,$AB$40:$AB$133,0),0))&gt;=99999,"",INDEX($BB$40:$BB$133,IFERROR(MATCH(21,$AB$40:$AB$133,0),0))))</f>
        <v>46289</v>
      </c>
      <c r="M34" s="117" t="n">
        <f aca="false">IF(IFERROR(MATCH(21,$AB$40:$AB$133,0),0)=0,"",IF(INDEX($BC$40:$BC$133,IFERROR(MATCH(21,$AB$40:$AB$133,0),0))=0,"",INDEX($BC$40:$BC$133,IFERROR(MATCH(21,$AB$40:$AB$133,0),0))))</f>
        <v>46294</v>
      </c>
      <c r="N34" s="118" t="str">
        <f aca="false">IF(IFERROR(MATCH(21,$AB$40:$AB$133,0),0)=0,"",INDEX($AE$40:$AE$133,IFERROR(MATCH(21,$AB$40:$AB$133,0),0))&amp;"")</f>
        <v>Quantidade parada em doca, chão ou transferência: entrega ou devolução não baixada</v>
      </c>
      <c r="O34" s="119" t="str">
        <f aca="false">IF(IFERROR(MATCH(21,$AB$40:$AB$133,0),0)=0,"",INDEX($BD$40:$BD$133,IFERROR(MATCH(21,$AB$40:$AB$133,0),0))&amp;"")</f>
        <v>Confirmar ou estornar as OTs em doca/transferência (20.1 KG): guardar na posição ou baixar a entrega</v>
      </c>
      <c r="AS34" s="82" t="s">
        <v>364</v>
      </c>
      <c r="AV34" s="0" t="str">
        <f aca="false">IFERROR(INDEX($AX$1:$AX$94,MATCH(33,$AY$1:$AY$94,0)),"")</f>
        <v>260880101</v>
      </c>
      <c r="AW34" s="82" t="s">
        <v>338</v>
      </c>
      <c r="AX34" s="82" t="s">
        <v>340</v>
      </c>
      <c r="AY34" s="82" t="n">
        <f aca="false">IF(OR($A$5="Todos",AW34=$A$5),MAX(AY$1:AY33)+1,0)</f>
        <v>34</v>
      </c>
    </row>
    <row r="35" customFormat="false" ht="15" hidden="false" customHeight="false" outlineLevel="0" collapsed="false">
      <c r="A35" s="111" t="str">
        <f aca="false">IF(IFERROR(MATCH(22,$AB$40:$AB$133,0),0)=0,"",INDEX($T$40:$T$133,IFERROR(MATCH(22,$AB$40:$AB$133,0),0)))</f>
        <v>811-BR-25A</v>
      </c>
      <c r="B35" s="111" t="str">
        <f aca="false">IF(IFERROR(MATCH(22,$AB$40:$AB$133,0),0)=0,"",INDEX($AG$40:$AG$133,IFERROR(MATCH(22,$AB$40:$AB$133,0),0)))</f>
        <v>252450301</v>
      </c>
      <c r="C35" s="112" t="str">
        <f aca="false">IF(IFERROR(MATCH(22,$AB$40:$AB$133,0),0)=0,"",INDEX($U$40:$U$133,IFERROR(MATCH(22,$AB$40:$AB$133,0),0)))</f>
        <v>KG</v>
      </c>
      <c r="D35" s="113" t="n">
        <f aca="false">IF(IFERROR(MATCH(22,$AB$40:$AB$133,0),0)=0,"",INDEX($BH$40:$BH$133,IFERROR(MATCH(22,$AB$40:$AB$133,0),0)))</f>
        <v>0</v>
      </c>
      <c r="E35" s="113" t="n">
        <f aca="false">IF(IFERROR(MATCH(22,$AB$40:$AB$133,0),0)=0,"",INDEX($W$40:$W$133,IFERROR(MATCH(22,$AB$40:$AB$133,0),0)))</f>
        <v>2733.6</v>
      </c>
      <c r="F35" s="113" t="n">
        <f aca="false">IF(IFERROR(MATCH(22,$AB$40:$AB$133,0),0)=0,"",INDEX($X$40:$X$133,IFERROR(MATCH(22,$AB$40:$AB$133,0),0)))</f>
        <v>1206</v>
      </c>
      <c r="G35" s="113" t="n">
        <f aca="false">IF(A35="","",D35+E35-F35)</f>
        <v>1527.6</v>
      </c>
      <c r="H35" s="113" t="n">
        <f aca="false">IF(IFERROR(MATCH(22,$AB$40:$AB$133,0),0)=0,"",INDEX($Y$40:$Y$133,IFERROR(MATCH(22,$AB$40:$AB$133,0),0)))</f>
        <v>1547.7</v>
      </c>
      <c r="I35" s="114" t="n">
        <f aca="false">IF(IFERROR(MATCH(22,$AB$40:$AB$133,0),0)=0,"",INDEX($Z$40:$Z$133,IFERROR(MATCH(22,$AB$40:$AB$133,0),0)))</f>
        <v>20.1</v>
      </c>
      <c r="J35" s="115" t="str">
        <f aca="false">IF(IFERROR(MATCH(22,$AB$40:$AB$133,0),0)=0,"",INDEX($AC$40:$AC$133,IFERROR(MATCH(22,$AB$40:$AB$133,0),0)))</f>
        <v>Sobrando</v>
      </c>
      <c r="K35" s="116" t="n">
        <f aca="false">IF(IFERROR(MATCH(22,$AB$40:$AB$133,0),0)=0,"",INDEX($AD$40:$AD$133,IFERROR(MATCH(22,$AB$40:$AB$133,0),0)))</f>
        <v>7</v>
      </c>
      <c r="L35" s="117" t="n">
        <f aca="false">IF(IFERROR(MATCH(22,$AB$40:$AB$133,0),0)=0,"",IF(INDEX($BB$40:$BB$133,IFERROR(MATCH(22,$AB$40:$AB$133,0),0))&gt;=99999,"",INDEX($BB$40:$BB$133,IFERROR(MATCH(22,$AB$40:$AB$133,0),0))))</f>
        <v>46294</v>
      </c>
      <c r="M35" s="117" t="n">
        <f aca="false">IF(IFERROR(MATCH(22,$AB$40:$AB$133,0),0)=0,"",IF(INDEX($BC$40:$BC$133,IFERROR(MATCH(22,$AB$40:$AB$133,0),0))=0,"",INDEX($BC$40:$BC$133,IFERROR(MATCH(22,$AB$40:$AB$133,0),0))))</f>
        <v>46295</v>
      </c>
      <c r="N35" s="118" t="str">
        <f aca="false">IF(IFERROR(MATCH(22,$AB$40:$AB$133,0),0)=0,"",INDEX($AE$40:$AE$133,IFERROR(MATCH(22,$AB$40:$AB$133,0),0))&amp;"")</f>
        <v>Estoque antigo: toda a sobra está em posições sem movimento desde antes de 09/09</v>
      </c>
      <c r="O35" s="119" t="str">
        <f aca="false">IF(IFERROR(MATCH(22,$AB$40:$AB$133,0),0)=0,"",INDEX($BD$40:$BD$133,IFERROR(MATCH(22,$AB$40:$AB$133,0),0))&amp;"")</f>
        <v>Confirmar no SAP o saldo de 08/09 (20.1 KG). Se estiver certo, não há ajuste</v>
      </c>
      <c r="AS35" s="82" t="s">
        <v>269</v>
      </c>
      <c r="AV35" s="0" t="str">
        <f aca="false">IFERROR(INDEX($AX$1:$AX$94,MATCH(34,$AY$1:$AY$94,0)),"")</f>
        <v>260310301</v>
      </c>
      <c r="AW35" s="82" t="s">
        <v>338</v>
      </c>
      <c r="AX35" s="82" t="s">
        <v>339</v>
      </c>
      <c r="AY35" s="82" t="n">
        <f aca="false">IF(OR($A$5="Todos",AW35=$A$5),MAX(AY$1:AY34)+1,0)</f>
        <v>35</v>
      </c>
    </row>
    <row r="36" customFormat="false" ht="15" hidden="false" customHeight="false" outlineLevel="0" collapsed="false">
      <c r="A36" s="111" t="str">
        <f aca="false">IF(IFERROR(MATCH(23,$AB$40:$AB$133,0),0)=0,"",INDEX($T$40:$T$133,IFERROR(MATCH(23,$AB$40:$AB$133,0),0)))</f>
        <v>W3-BR-25A</v>
      </c>
      <c r="B36" s="111" t="str">
        <f aca="false">IF(IFERROR(MATCH(23,$AB$40:$AB$133,0),0)=0,"",INDEX($AG$40:$AG$133,IFERROR(MATCH(23,$AB$40:$AB$133,0),0)))</f>
        <v>261080301</v>
      </c>
      <c r="C36" s="112" t="str">
        <f aca="false">IF(IFERROR(MATCH(23,$AB$40:$AB$133,0),0)=0,"",INDEX($U$40:$U$133,IFERROR(MATCH(23,$AB$40:$AB$133,0),0)))</f>
        <v>KG</v>
      </c>
      <c r="D36" s="113" t="n">
        <f aca="false">IF(IFERROR(MATCH(23,$AB$40:$AB$133,0),0)=0,"",INDEX($BH$40:$BH$133,IFERROR(MATCH(23,$AB$40:$AB$133,0),0)))</f>
        <v>0</v>
      </c>
      <c r="E36" s="113" t="n">
        <f aca="false">IF(IFERROR(MATCH(23,$AB$40:$AB$133,0),0)=0,"",INDEX($W$40:$W$133,IFERROR(MATCH(23,$AB$40:$AB$133,0),0)))</f>
        <v>3025.7</v>
      </c>
      <c r="F36" s="113" t="n">
        <f aca="false">IF(IFERROR(MATCH(23,$AB$40:$AB$133,0),0)=0,"",INDEX($X$40:$X$133,IFERROR(MATCH(23,$AB$40:$AB$133,0),0)))</f>
        <v>1366.8</v>
      </c>
      <c r="G36" s="113" t="n">
        <f aca="false">IF(A36="","",D36+E36-F36)</f>
        <v>1658.9</v>
      </c>
      <c r="H36" s="113" t="n">
        <f aca="false">IF(IFERROR(MATCH(23,$AB$40:$AB$133,0),0)=0,"",INDEX($Y$40:$Y$133,IFERROR(MATCH(23,$AB$40:$AB$133,0),0)))</f>
        <v>1679</v>
      </c>
      <c r="I36" s="114" t="n">
        <f aca="false">IF(IFERROR(MATCH(23,$AB$40:$AB$133,0),0)=0,"",INDEX($Z$40:$Z$133,IFERROR(MATCH(23,$AB$40:$AB$133,0),0)))</f>
        <v>20.1</v>
      </c>
      <c r="J36" s="115" t="str">
        <f aca="false">IF(IFERROR(MATCH(23,$AB$40:$AB$133,0),0)=0,"",INDEX($AC$40:$AC$133,IFERROR(MATCH(23,$AB$40:$AB$133,0),0)))</f>
        <v>Sobrando</v>
      </c>
      <c r="K36" s="116" t="n">
        <f aca="false">IF(IFERROR(MATCH(23,$AB$40:$AB$133,0),0)=0,"",INDEX($AD$40:$AD$133,IFERROR(MATCH(23,$AB$40:$AB$133,0),0)))</f>
        <v>18</v>
      </c>
      <c r="L36" s="117" t="n">
        <f aca="false">IF(IFERROR(MATCH(23,$AB$40:$AB$133,0),0)=0,"",IF(INDEX($BB$40:$BB$133,IFERROR(MATCH(23,$AB$40:$AB$133,0),0))&gt;=99999,"",INDEX($BB$40:$BB$133,IFERROR(MATCH(23,$AB$40:$AB$133,0),0))))</f>
        <v>46275</v>
      </c>
      <c r="M36" s="117" t="n">
        <f aca="false">IF(IFERROR(MATCH(23,$AB$40:$AB$133,0),0)=0,"",IF(INDEX($BC$40:$BC$133,IFERROR(MATCH(23,$AB$40:$AB$133,0),0))=0,"",INDEX($BC$40:$BC$133,IFERROR(MATCH(23,$AB$40:$AB$133,0),0))))</f>
        <v>46295</v>
      </c>
      <c r="N36" s="118" t="str">
        <f aca="false">IF(IFERROR(MATCH(23,$AB$40:$AB$133,0),0)=0,"",INDEX($AE$40:$AE$133,IFERROR(MATCH(23,$AB$40:$AB$133,0),0))&amp;"")</f>
        <v>Saídas pelo depósito 0355 que não baixaram o estoque físico</v>
      </c>
      <c r="O36" s="119" t="str">
        <f aca="false">IF(IFERROR(MATCH(23,$AB$40:$AB$133,0),0)=0,"",INDEX($BD$40:$BD$133,IFERROR(MATCH(23,$AB$40:$AB$133,0),0))&amp;"")</f>
        <v>Confirmar a OT de saída (picking) das remessas para baixar 20.1 KG do estoque físico</v>
      </c>
      <c r="AS36" s="82" t="s">
        <v>271</v>
      </c>
      <c r="AV36" s="0" t="str">
        <f aca="false">IFERROR(INDEX($AX$1:$AX$94,MATCH(35,$AY$1:$AY$94,0)),"")</f>
        <v>260880301</v>
      </c>
      <c r="AW36" s="82" t="s">
        <v>245</v>
      </c>
      <c r="AX36" s="82" t="s">
        <v>246</v>
      </c>
      <c r="AY36" s="82" t="n">
        <f aca="false">IF(OR($A$5="Todos",AW36=$A$5),MAX(AY$1:AY35)+1,0)</f>
        <v>36</v>
      </c>
    </row>
    <row r="37" customFormat="false" ht="15" hidden="false" customHeight="false" outlineLevel="0" collapsed="false">
      <c r="A37" s="111" t="str">
        <f aca="false">IF(IFERROR(MATCH(24,$AB$40:$AB$133,0),0)=0,"",INDEX($T$40:$T$133,IFERROR(MATCH(24,$AB$40:$AB$133,0),0)))</f>
        <v>2665-E4-U71</v>
      </c>
      <c r="B37" s="111" t="str">
        <f aca="false">IF(IFERROR(MATCH(24,$AB$40:$AB$133,0),0)=0,"",INDEX($AG$40:$AG$133,IFERROR(MATCH(24,$AB$40:$AB$133,0),0)))</f>
        <v>252800202</v>
      </c>
      <c r="C37" s="112" t="str">
        <f aca="false">IF(IFERROR(MATCH(24,$AB$40:$AB$133,0),0)=0,"",INDEX($U$40:$U$133,IFERROR(MATCH(24,$AB$40:$AB$133,0),0)))</f>
        <v>KG</v>
      </c>
      <c r="D37" s="113" t="n">
        <f aca="false">IF(IFERROR(MATCH(24,$AB$40:$AB$133,0),0)=0,"",INDEX($BH$40:$BH$133,IFERROR(MATCH(24,$AB$40:$AB$133,0),0)))</f>
        <v>0</v>
      </c>
      <c r="E37" s="113" t="n">
        <f aca="false">IF(IFERROR(MATCH(24,$AB$40:$AB$133,0),0)=0,"",INDEX($W$40:$W$133,IFERROR(MATCH(24,$AB$40:$AB$133,0),0)))</f>
        <v>1200</v>
      </c>
      <c r="F37" s="113" t="n">
        <f aca="false">IF(IFERROR(MATCH(24,$AB$40:$AB$133,0),0)=0,"",INDEX($X$40:$X$133,IFERROR(MATCH(24,$AB$40:$AB$133,0),0)))</f>
        <v>0</v>
      </c>
      <c r="G37" s="113" t="n">
        <f aca="false">IF(A37="","",D37+E37-F37)</f>
        <v>1200</v>
      </c>
      <c r="H37" s="113" t="n">
        <f aca="false">IF(IFERROR(MATCH(24,$AB$40:$AB$133,0),0)=0,"",INDEX($Y$40:$Y$133,IFERROR(MATCH(24,$AB$40:$AB$133,0),0)))</f>
        <v>1200</v>
      </c>
      <c r="I37" s="114" t="n">
        <f aca="false">IF(IFERROR(MATCH(24,$AB$40:$AB$133,0),0)=0,"",INDEX($Z$40:$Z$133,IFERROR(MATCH(24,$AB$40:$AB$133,0),0)))</f>
        <v>0</v>
      </c>
      <c r="J37" s="115" t="str">
        <f aca="false">IF(IFERROR(MATCH(24,$AB$40:$AB$133,0),0)=0,"",INDEX($AC$40:$AC$133,IFERROR(MATCH(24,$AB$40:$AB$133,0),0)))</f>
        <v>Confere</v>
      </c>
      <c r="K37" s="116" t="n">
        <f aca="false">IF(IFERROR(MATCH(24,$AB$40:$AB$133,0),0)=0,"",INDEX($AD$40:$AD$133,IFERROR(MATCH(24,$AB$40:$AB$133,0),0)))</f>
        <v>2</v>
      </c>
      <c r="L37" s="117" t="n">
        <f aca="false">IF(IFERROR(MATCH(24,$AB$40:$AB$133,0),0)=0,"",IF(INDEX($BB$40:$BB$133,IFERROR(MATCH(24,$AB$40:$AB$133,0),0))&gt;=99999,"",INDEX($BB$40:$BB$133,IFERROR(MATCH(24,$AB$40:$AB$133,0),0))))</f>
        <v>46289</v>
      </c>
      <c r="M37" s="117" t="n">
        <f aca="false">IF(IFERROR(MATCH(24,$AB$40:$AB$133,0),0)=0,"",IF(INDEX($BC$40:$BC$133,IFERROR(MATCH(24,$AB$40:$AB$133,0),0))=0,"",INDEX($BC$40:$BC$133,IFERROR(MATCH(24,$AB$40:$AB$133,0),0))))</f>
        <v>46289</v>
      </c>
      <c r="N37" s="118" t="str">
        <f aca="false">IF(IFERROR(MATCH(24,$AB$40:$AB$133,0),0)=0,"",INDEX($AE$40:$AE$133,IFERROR(MATCH(24,$AB$40:$AB$133,0),0))&amp;"")</f>
        <v>Sem diferença</v>
      </c>
      <c r="O37" s="119" t="str">
        <f aca="false">IF(IFERROR(MATCH(24,$AB$40:$AB$133,0),0)=0,"",INDEX($BD$40:$BD$133,IFERROR(MATCH(24,$AB$40:$AB$133,0),0))&amp;"")</f>
        <v>Nenhum ajuste necessário</v>
      </c>
      <c r="AS37" s="82" t="s">
        <v>368</v>
      </c>
      <c r="AV37" s="0" t="str">
        <f aca="false">IFERROR(INDEX($AX$1:$AX$94,MATCH(36,$AY$1:$AY$94,0)),"")</f>
        <v>250500301</v>
      </c>
      <c r="AW37" s="82" t="s">
        <v>341</v>
      </c>
      <c r="AX37" s="82" t="s">
        <v>342</v>
      </c>
      <c r="AY37" s="82" t="n">
        <f aca="false">IF(OR($A$5="Todos",AW37=$A$5),MAX(AY$1:AY36)+1,0)</f>
        <v>37</v>
      </c>
    </row>
    <row r="38" customFormat="false" ht="15" hidden="false" customHeight="false" outlineLevel="0" collapsed="false">
      <c r="A38" s="111" t="str">
        <f aca="false">IF(IFERROR(MATCH(25,$AB$40:$AB$133,0),0)=0,"",INDEX($T$40:$T$133,IFERROR(MATCH(25,$AB$40:$AB$133,0),0)))</f>
        <v>70-30-38-BR-25A</v>
      </c>
      <c r="B38" s="111" t="str">
        <f aca="false">IF(IFERROR(MATCH(25,$AB$40:$AB$133,0),0)=0,"",INDEX($AG$40:$AG$133,IFERROR(MATCH(25,$AB$40:$AB$133,0),0)))</f>
        <v>260070301</v>
      </c>
      <c r="C38" s="112" t="str">
        <f aca="false">IF(IFERROR(MATCH(25,$AB$40:$AB$133,0),0)=0,"",INDEX($U$40:$U$133,IFERROR(MATCH(25,$AB$40:$AB$133,0),0)))</f>
        <v>KG</v>
      </c>
      <c r="D38" s="113" t="n">
        <f aca="false">IF(IFERROR(MATCH(25,$AB$40:$AB$133,0),0)=0,"",INDEX($BH$40:$BH$133,IFERROR(MATCH(25,$AB$40:$AB$133,0),0)))</f>
        <v>0</v>
      </c>
      <c r="E38" s="113" t="n">
        <f aca="false">IF(IFERROR(MATCH(25,$AB$40:$AB$133,0),0)=0,"",INDEX($W$40:$W$133,IFERROR(MATCH(25,$AB$40:$AB$133,0),0)))</f>
        <v>3015</v>
      </c>
      <c r="F38" s="113" t="n">
        <f aca="false">IF(IFERROR(MATCH(25,$AB$40:$AB$133,0),0)=0,"",INDEX($X$40:$X$133,IFERROR(MATCH(25,$AB$40:$AB$133,0),0)))</f>
        <v>2673.3</v>
      </c>
      <c r="G38" s="113" t="n">
        <f aca="false">IF(A38="","",D38+E38-F38)</f>
        <v>341.7</v>
      </c>
      <c r="H38" s="113" t="n">
        <f aca="false">IF(IFERROR(MATCH(25,$AB$40:$AB$133,0),0)=0,"",INDEX($Y$40:$Y$133,IFERROR(MATCH(25,$AB$40:$AB$133,0),0)))</f>
        <v>341.7</v>
      </c>
      <c r="I38" s="114" t="n">
        <f aca="false">IF(IFERROR(MATCH(25,$AB$40:$AB$133,0),0)=0,"",INDEX($Z$40:$Z$133,IFERROR(MATCH(25,$AB$40:$AB$133,0),0)))</f>
        <v>0</v>
      </c>
      <c r="J38" s="115" t="str">
        <f aca="false">IF(IFERROR(MATCH(25,$AB$40:$AB$133,0),0)=0,"",INDEX($AC$40:$AC$133,IFERROR(MATCH(25,$AB$40:$AB$133,0),0)))</f>
        <v>Confere</v>
      </c>
      <c r="K38" s="116" t="n">
        <f aca="false">IF(IFERROR(MATCH(25,$AB$40:$AB$133,0),0)=0,"",INDEX($AD$40:$AD$133,IFERROR(MATCH(25,$AB$40:$AB$133,0),0)))</f>
        <v>20</v>
      </c>
      <c r="L38" s="117" t="n">
        <f aca="false">IF(IFERROR(MATCH(25,$AB$40:$AB$133,0),0)=0,"",IF(INDEX($BB$40:$BB$133,IFERROR(MATCH(25,$AB$40:$AB$133,0),0))&gt;=99999,"",INDEX($BB$40:$BB$133,IFERROR(MATCH(25,$AB$40:$AB$133,0),0))))</f>
        <v>46288</v>
      </c>
      <c r="M38" s="117" t="n">
        <f aca="false">IF(IFERROR(MATCH(25,$AB$40:$AB$133,0),0)=0,"",IF(INDEX($BC$40:$BC$133,IFERROR(MATCH(25,$AB$40:$AB$133,0),0))=0,"",INDEX($BC$40:$BC$133,IFERROR(MATCH(25,$AB$40:$AB$133,0),0))))</f>
        <v>46295</v>
      </c>
      <c r="N38" s="118" t="str">
        <f aca="false">IF(IFERROR(MATCH(25,$AB$40:$AB$133,0),0)=0,"",INDEX($AE$40:$AE$133,IFERROR(MATCH(25,$AB$40:$AB$133,0),0))&amp;"")</f>
        <v>Sem diferença</v>
      </c>
      <c r="O38" s="119" t="str">
        <f aca="false">IF(IFERROR(MATCH(25,$AB$40:$AB$133,0),0)=0,"",INDEX($BD$40:$BD$133,IFERROR(MATCH(25,$AB$40:$AB$133,0),0))&amp;"")</f>
        <v>Nenhum ajuste necessário</v>
      </c>
      <c r="AS38" s="82" t="s">
        <v>276</v>
      </c>
      <c r="AV38" s="0" t="str">
        <f aca="false">IFERROR(INDEX($AX$1:$AX$94,MATCH(37,$AY$1:$AY$94,0)),"")</f>
        <v>2520443650</v>
      </c>
      <c r="AW38" s="82" t="s">
        <v>343</v>
      </c>
      <c r="AX38" s="82" t="s">
        <v>344</v>
      </c>
      <c r="AY38" s="82" t="n">
        <f aca="false">IF(OR($A$5="Todos",AW38=$A$5),MAX(AY$1:AY37)+1,0)</f>
        <v>38</v>
      </c>
    </row>
    <row r="39" customFormat="false" ht="15" hidden="false" customHeight="false" outlineLevel="0" collapsed="false">
      <c r="A39" s="111" t="str">
        <f aca="false">IF(IFERROR(MATCH(26,$AB$40:$AB$133,0),0)=0,"",INDEX($T$40:$T$133,IFERROR(MATCH(26,$AB$40:$AB$133,0),0)))</f>
        <v>805-BR-D94</v>
      </c>
      <c r="B39" s="111" t="str">
        <f aca="false">IF(IFERROR(MATCH(26,$AB$40:$AB$133,0),0)=0,"",INDEX($AG$40:$AG$133,IFERROR(MATCH(26,$AB$40:$AB$133,0),0)))</f>
        <v>260130779</v>
      </c>
      <c r="C39" s="112" t="str">
        <f aca="false">IF(IFERROR(MATCH(26,$AB$40:$AB$133,0),0)=0,"",INDEX($U$40:$U$133,IFERROR(MATCH(26,$AB$40:$AB$133,0),0)))</f>
        <v>KG</v>
      </c>
      <c r="D39" s="113" t="n">
        <f aca="false">IF(IFERROR(MATCH(26,$AB$40:$AB$133,0),0)=0,"",INDEX($BH$40:$BH$133,IFERROR(MATCH(26,$AB$40:$AB$133,0),0)))</f>
        <v>0</v>
      </c>
      <c r="E39" s="113" t="n">
        <f aca="false">IF(IFERROR(MATCH(26,$AB$40:$AB$133,0),0)=0,"",INDEX($W$40:$W$133,IFERROR(MATCH(26,$AB$40:$AB$133,0),0)))</f>
        <v>142.8</v>
      </c>
      <c r="F39" s="113" t="n">
        <f aca="false">IF(IFERROR(MATCH(26,$AB$40:$AB$133,0),0)=0,"",INDEX($X$40:$X$133,IFERROR(MATCH(26,$AB$40:$AB$133,0),0)))</f>
        <v>0</v>
      </c>
      <c r="G39" s="113" t="n">
        <f aca="false">IF(A39="","",D39+E39-F39)</f>
        <v>142.8</v>
      </c>
      <c r="H39" s="113" t="n">
        <f aca="false">IF(IFERROR(MATCH(26,$AB$40:$AB$133,0),0)=0,"",INDEX($Y$40:$Y$133,IFERROR(MATCH(26,$AB$40:$AB$133,0),0)))</f>
        <v>142.8</v>
      </c>
      <c r="I39" s="114" t="n">
        <f aca="false">IF(IFERROR(MATCH(26,$AB$40:$AB$133,0),0)=0,"",INDEX($Z$40:$Z$133,IFERROR(MATCH(26,$AB$40:$AB$133,0),0)))</f>
        <v>0</v>
      </c>
      <c r="J39" s="115" t="str">
        <f aca="false">IF(IFERROR(MATCH(26,$AB$40:$AB$133,0),0)=0,"",INDEX($AC$40:$AC$133,IFERROR(MATCH(26,$AB$40:$AB$133,0),0)))</f>
        <v>Confere</v>
      </c>
      <c r="K39" s="116" t="n">
        <f aca="false">IF(IFERROR(MATCH(26,$AB$40:$AB$133,0),0)=0,"",INDEX($AD$40:$AD$133,IFERROR(MATCH(26,$AB$40:$AB$133,0),0)))</f>
        <v>1</v>
      </c>
      <c r="L39" s="117" t="n">
        <f aca="false">IF(IFERROR(MATCH(26,$AB$40:$AB$133,0),0)=0,"",IF(INDEX($BB$40:$BB$133,IFERROR(MATCH(26,$AB$40:$AB$133,0),0))&gt;=99999,"",INDEX($BB$40:$BB$133,IFERROR(MATCH(26,$AB$40:$AB$133,0),0))))</f>
        <v>46294</v>
      </c>
      <c r="M39" s="117" t="n">
        <f aca="false">IF(IFERROR(MATCH(26,$AB$40:$AB$133,0),0)=0,"",IF(INDEX($BC$40:$BC$133,IFERROR(MATCH(26,$AB$40:$AB$133,0),0))=0,"",INDEX($BC$40:$BC$133,IFERROR(MATCH(26,$AB$40:$AB$133,0),0))))</f>
        <v>46294</v>
      </c>
      <c r="N39" s="118" t="str">
        <f aca="false">IF(IFERROR(MATCH(26,$AB$40:$AB$133,0),0)=0,"",INDEX($AE$40:$AE$133,IFERROR(MATCH(26,$AB$40:$AB$133,0),0))&amp;"")</f>
        <v>Sem diferença</v>
      </c>
      <c r="O39" s="119" t="str">
        <f aca="false">IF(IFERROR(MATCH(26,$AB$40:$AB$133,0),0)=0,"",INDEX($BD$40:$BD$133,IFERROR(MATCH(26,$AB$40:$AB$133,0),0))&amp;"")</f>
        <v>Nenhum ajuste necessário</v>
      </c>
      <c r="AJ39" s="82" t="s">
        <v>1749</v>
      </c>
      <c r="AK39" s="82" t="s">
        <v>110</v>
      </c>
      <c r="AL39" s="82" t="s">
        <v>111</v>
      </c>
      <c r="AP39" s="82" t="s">
        <v>1750</v>
      </c>
      <c r="AQ39" s="82" t="s">
        <v>1751</v>
      </c>
      <c r="AR39" s="82" t="s">
        <v>1752</v>
      </c>
      <c r="AS39" s="82" t="s">
        <v>372</v>
      </c>
      <c r="AV39" s="0" t="str">
        <f aca="false">IFERROR(INDEX($AX$1:$AX$94,MATCH(38,$AY$1:$AY$94,0)),"")</f>
        <v>261160301</v>
      </c>
      <c r="AW39" s="82" t="s">
        <v>346</v>
      </c>
      <c r="AX39" s="82" t="s">
        <v>347</v>
      </c>
      <c r="AY39" s="82" t="n">
        <f aca="false">IF(OR($A$5="Todos",AW39=$A$5),MAX(AY$1:AY38)+1,0)</f>
        <v>39</v>
      </c>
    </row>
    <row r="40" customFormat="false" ht="15" hidden="false" customHeight="false" outlineLevel="0" collapsed="false">
      <c r="A40" s="111" t="str">
        <f aca="false">IF(IFERROR(MATCH(27,$AB$40:$AB$133,0),0)=0,"",INDEX($T$40:$T$133,IFERROR(MATCH(27,$AB$40:$AB$133,0),0)))</f>
        <v>811NV-132</v>
      </c>
      <c r="B40" s="111" t="str">
        <f aca="false">IF(IFERROR(MATCH(27,$AB$40:$AB$133,0),0)=0,"",INDEX($AG$40:$AG$133,IFERROR(MATCH(27,$AB$40:$AB$133,0),0)))</f>
        <v>252510301</v>
      </c>
      <c r="C40" s="112" t="str">
        <f aca="false">IF(IFERROR(MATCH(27,$AB$40:$AB$133,0),0)=0,"",INDEX($U$40:$U$133,IFERROR(MATCH(27,$AB$40:$AB$133,0),0)))</f>
        <v>KG</v>
      </c>
      <c r="D40" s="113" t="n">
        <f aca="false">IF(IFERROR(MATCH(27,$AB$40:$AB$133,0),0)=0,"",INDEX($BH$40:$BH$133,IFERROR(MATCH(27,$AB$40:$AB$133,0),0)))</f>
        <v>0</v>
      </c>
      <c r="E40" s="113" t="n">
        <f aca="false">IF(IFERROR(MATCH(27,$AB$40:$AB$133,0),0)=0,"",INDEX($W$40:$W$133,IFERROR(MATCH(27,$AB$40:$AB$133,0),0)))</f>
        <v>1500</v>
      </c>
      <c r="F40" s="113" t="n">
        <f aca="false">IF(IFERROR(MATCH(27,$AB$40:$AB$133,0),0)=0,"",INDEX($X$40:$X$133,IFERROR(MATCH(27,$AB$40:$AB$133,0),0)))</f>
        <v>0</v>
      </c>
      <c r="G40" s="113" t="n">
        <f aca="false">IF(A40="","",D40+E40-F40)</f>
        <v>1500</v>
      </c>
      <c r="H40" s="113" t="n">
        <f aca="false">IF(IFERROR(MATCH(27,$AB$40:$AB$133,0),0)=0,"",INDEX($Y$40:$Y$133,IFERROR(MATCH(27,$AB$40:$AB$133,0),0)))</f>
        <v>1500</v>
      </c>
      <c r="I40" s="114" t="n">
        <f aca="false">IF(IFERROR(MATCH(27,$AB$40:$AB$133,0),0)=0,"",INDEX($Z$40:$Z$133,IFERROR(MATCH(27,$AB$40:$AB$133,0),0)))</f>
        <v>0</v>
      </c>
      <c r="J40" s="115" t="str">
        <f aca="false">IF(IFERROR(MATCH(27,$AB$40:$AB$133,0),0)=0,"",INDEX($AC$40:$AC$133,IFERROR(MATCH(27,$AB$40:$AB$133,0),0)))</f>
        <v>Confere</v>
      </c>
      <c r="K40" s="116" t="n">
        <f aca="false">IF(IFERROR(MATCH(27,$AB$40:$AB$133,0),0)=0,"",INDEX($AD$40:$AD$133,IFERROR(MATCH(27,$AB$40:$AB$133,0),0)))</f>
        <v>4</v>
      </c>
      <c r="L40" s="117" t="n">
        <f aca="false">IF(IFERROR(MATCH(27,$AB$40:$AB$133,0),0)=0,"",IF(INDEX($BB$40:$BB$133,IFERROR(MATCH(27,$AB$40:$AB$133,0),0))&gt;=99999,"",INDEX($BB$40:$BB$133,IFERROR(MATCH(27,$AB$40:$AB$133,0),0))))</f>
        <v>46289</v>
      </c>
      <c r="M40" s="117" t="n">
        <f aca="false">IF(IFERROR(MATCH(27,$AB$40:$AB$133,0),0)=0,"",IF(INDEX($BC$40:$BC$133,IFERROR(MATCH(27,$AB$40:$AB$133,0),0))=0,"",INDEX($BC$40:$BC$133,IFERROR(MATCH(27,$AB$40:$AB$133,0),0))))</f>
        <v>46289</v>
      </c>
      <c r="N40" s="118" t="str">
        <f aca="false">IF(IFERROR(MATCH(27,$AB$40:$AB$133,0),0)=0,"",INDEX($AE$40:$AE$133,IFERROR(MATCH(27,$AB$40:$AB$133,0),0))&amp;"")</f>
        <v>Sem diferença</v>
      </c>
      <c r="O40" s="119" t="str">
        <f aca="false">IF(IFERROR(MATCH(27,$AB$40:$AB$133,0),0)=0,"",INDEX($BD$40:$BD$133,IFERROR(MATCH(27,$AB$40:$AB$133,0),0))&amp;"")</f>
        <v>Nenhum ajuste necessário</v>
      </c>
      <c r="T40" s="82" t="s">
        <v>247</v>
      </c>
      <c r="U40" s="82" t="s">
        <v>65</v>
      </c>
      <c r="V40" s="82" t="n">
        <f aca="false">SUMIFS('3 Base Entrada 2008'!$G$2:$G$5000,'3 Base Entrada 2008'!$F$2:$F$5000,"&gt;="&amp;$F$5,'3 Base Entrada 2008'!$F$2:$F$5000,"&lt;="&amp;$H$5,'3 Base Entrada 2008'!$B$2:$B$5000,$T40,'3 Base Entrada 2008'!$C$2:$C$5000,$AG40,'3 Base Entrada 2008'!$K$2:$K$5000,"Recebido no 2008")</f>
        <v>1025.1</v>
      </c>
      <c r="W40" s="82" t="n">
        <f aca="false">SUMIFS('3 Base Entrada 2008'!$L$2:$L$5000,'3 Base Entrada 2008'!$F$2:$F$5000,"&gt;="&amp;$F$5,'3 Base Entrada 2008'!$F$2:$F$5000,"&lt;="&amp;$H$5,'3 Base Entrada 2008'!$B$2:$B$5000,$T40,'3 Base Entrada 2008'!$C$2:$C$5000,$AG40)</f>
        <v>2673.3</v>
      </c>
      <c r="X40" s="82" t="n">
        <f aca="false">SUMIFS('3 Base Saídas'!$R$2:$R$5000,'3 Base Saídas'!$G$2:$G$5000,"&gt;="&amp;$F$5,'3 Base Saídas'!$G$2:$G$5000,"&lt;="&amp;$H$5,'3 Base Saídas'!$B$2:$B$5000,$T40,'3 Base Saídas'!$C$2:$C$5000,$AG40)</f>
        <v>1005</v>
      </c>
      <c r="Y40" s="82" t="n">
        <f aca="false">SUMIFS('3 Base Estoque Físico'!$J$2:$J$5000,'3 Base Estoque Físico'!$A$2:$A$5000,$T40,'3 Base Estoque Físico'!$B$2:$B$5000,$AG40)</f>
        <v>1226.1</v>
      </c>
      <c r="Z40" s="82" t="n">
        <f aca="false">ROUND(Y40-(BH40+W40-X40),3)</f>
        <v>-442.2</v>
      </c>
      <c r="AA40" s="82" t="n">
        <f aca="false">IF(AND(U40=$R$3,OR($R$1="*",T40=$R$1),OR($R$2="*",AG40=$R$2),OR($R$6="*",AC40=$R$6),ABS(V40)+ABS(W40)+ABS(X40)+ABS(Y40)&gt;0),1,0)</f>
        <v>1</v>
      </c>
      <c r="AB40" s="82" t="n">
        <f aca="false">IF(AA40=1,SUM(AA$40:AA40),"")</f>
        <v>1</v>
      </c>
      <c r="AC40" s="0" t="str">
        <f aca="false">IF(ABS(Z40)&lt;=$R$5,"Confere",IF(Z40&gt;0,"Sobrando","Faltando"))</f>
        <v>Faltando</v>
      </c>
      <c r="AD40" s="82" t="n">
        <f aca="false">IF(OR($R$4="*",$R$4="Saída"),COUNTIFS('3 Base Saídas'!$G$2:$G$5000,"&gt;="&amp;$F$5,'3 Base Saídas'!$G$2:$G$5000,"&lt;="&amp;$H$5,'3 Base Saídas'!$B$2:$B$5000,$T40,'3 Base Saídas'!$C$2:$C$5000,$AG40),0)+IF($R$4&lt;&gt;"Saída",COUNTIFS('3 Base Entrada 2008'!$F$2:$F$5000,"&gt;="&amp;$F$5,'3 Base Entrada 2008'!$F$2:$F$5000,"&lt;="&amp;$H$5,'3 Base Entrada 2008'!$B$2:$B$5000,$T40,'3 Base Entrada 2008'!$C$2:$C$5000,$AG40,'3 Base Entrada 2008'!$K$2:$K$5000,$R$4),0)</f>
        <v>17</v>
      </c>
      <c r="AE40" s="0" t="str">
        <f aca="false">'5 Conciliação'!K14</f>
        <v>Estoque físico menor que o esperado: saída, ajuste ou perda não lançada no período</v>
      </c>
      <c r="AF40" s="82" t="n">
        <f aca="false">IF(AND(AA40=1,AC40&lt;&gt;"Confere"),ABS(Z40)+ROW()/10000000,0)</f>
        <v>442.200004</v>
      </c>
      <c r="AG40" s="82" t="s">
        <v>248</v>
      </c>
      <c r="AH40" s="82" t="n">
        <f aca="false">LARGE($AF$40:$AF$133,1)</f>
        <v>5737.2000045</v>
      </c>
      <c r="AI40" s="82" t="n">
        <f aca="false">IF(AH40&gt;0,MATCH(AH40,$AF$40:$AF$133,0),"")</f>
        <v>6</v>
      </c>
      <c r="AJ40" s="0" t="str">
        <f aca="false">IF(AI40="","",INDEX($T$40:$T$133,AI40)&amp;" · "&amp;INDEX($AG$40:$AG$133,AI40))</f>
        <v>811-BR-D94 · 251643289</v>
      </c>
      <c r="AK40" s="82" t="n">
        <f aca="false">IF(AI40="",0,MAX(INDEX($Z$40:$Z$133,AI40),0))</f>
        <v>5737.2</v>
      </c>
      <c r="AL40" s="82" t="n">
        <f aca="false">IF(AI40="",0,MIN(INDEX($Z$40:$Z$133,AI40),0))</f>
        <v>0</v>
      </c>
      <c r="AN40" s="82" t="s">
        <v>1753</v>
      </c>
      <c r="AO40" s="120" t="n">
        <v>46274</v>
      </c>
      <c r="AP40" s="82" t="n">
        <f aca="false">IF(AND(AO40&gt;=$F$5,AO40&lt;=$H$5,$R$4&lt;&gt;"Saída"),SUMIFS('3 Base Entrada 2008'!$L$2:$L$5000,'3 Base Entrada 2008'!$F$2:$F$5000,$AO40,'3 Base Entrada 2008'!$B$2:$B$5000,$R$1,'3 Base Entrada 2008'!$C$2:$C$5000,$R$2,'3 Base Entrada 2008'!$H$2:$H$5000,$R$3,'3 Base Entrada 2008'!$K$2:$K$5000,$R$4),0)</f>
        <v>490.96</v>
      </c>
      <c r="AQ40" s="82" t="n">
        <f aca="false">IF(AND(AO40&gt;=$F$5,AO40&lt;=$H$5,OR($R$4="*",$R$4="Saída")),-SUMIFS('3 Base Saídas'!$R$2:$R$5000,'3 Base Saídas'!$G$2:$G$5000,$AO40,'3 Base Saídas'!$B$2:$B$5000,$R$1,'3 Base Saídas'!$C$2:$C$5000,$R$2,'3 Base Saídas'!$I$2:$I$5000,$R$3),0)</f>
        <v>-11.2</v>
      </c>
      <c r="AR40" s="82" t="n">
        <f aca="false">SUM($AP$40:AP40)+SUM($AQ$40:AQ40)</f>
        <v>479.76</v>
      </c>
      <c r="AS40" s="82" t="s">
        <v>281</v>
      </c>
      <c r="AV40" s="0" t="str">
        <f aca="false">IFERROR(INDEX($AX$1:$AX$94,MATCH(39,$AY$1:$AY$94,0)),"")</f>
        <v>261756201</v>
      </c>
      <c r="AW40" s="82" t="s">
        <v>247</v>
      </c>
      <c r="AX40" s="82" t="s">
        <v>350</v>
      </c>
      <c r="AY40" s="82" t="n">
        <f aca="false">IF(OR($A$5="Todos",AW40=$A$5),MAX(AY$1:AY39)+1,0)</f>
        <v>40</v>
      </c>
      <c r="BB40" s="82" t="n">
        <f aca="false">MIN(IF(_xlfn.MINIFS('3 Base Entrada 2008'!$F$2:$F$5000,'3 Base Entrada 2008'!$F$2:$F$5000,"&gt;="&amp;$F$5,'3 Base Entrada 2008'!$F$2:$F$5000,"&lt;="&amp;$H$5,'3 Base Entrada 2008'!$B$2:$B$5000,$T40,'3 Base Entrada 2008'!$C$2:$C$5000,$AG40)=0,99999,_xlfn.MINIFS('3 Base Entrada 2008'!$F$2:$F$5000,'3 Base Entrada 2008'!$F$2:$F$5000,"&gt;="&amp;$F$5,'3 Base Entrada 2008'!$F$2:$F$5000,"&lt;="&amp;$H$5,'3 Base Entrada 2008'!$B$2:$B$5000,$T40,'3 Base Entrada 2008'!$C$2:$C$5000,$AG40)),IF(_xlfn.MINIFS('3 Base Saídas'!$G$2:$G$5000,'3 Base Saídas'!$G$2:$G$5000,"&gt;="&amp;$F$5,'3 Base Saídas'!$G$2:$G$5000,"&lt;="&amp;$H$5,'3 Base Saídas'!$B$2:$B$5000,$T40,'3 Base Saídas'!$C$2:$C$5000,$AG40)=0,99999,_xlfn.MINIFS('3 Base Saídas'!$G$2:$G$5000,'3 Base Saídas'!$G$2:$G$5000,"&gt;="&amp;$F$5,'3 Base Saídas'!$G$2:$G$5000,"&lt;="&amp;$H$5,'3 Base Saídas'!$B$2:$B$5000,$T40,'3 Base Saídas'!$C$2:$C$5000,$AG40)))</f>
        <v>46275</v>
      </c>
      <c r="BC40" s="82" t="n">
        <f aca="false">MAX(_xlfn.MAXIFS('3 Base Entrada 2008'!$F$2:$F$5000,'3 Base Entrada 2008'!$F$2:$F$5000,"&gt;="&amp;$F$5,'3 Base Entrada 2008'!$F$2:$F$5000,"&lt;="&amp;$H$5,'3 Base Entrada 2008'!$B$2:$B$5000,$T40,'3 Base Entrada 2008'!$C$2:$C$5000,$AG40),_xlfn.MAXIFS('3 Base Saídas'!$G$2:$G$5000,'3 Base Saídas'!$G$2:$G$5000,"&gt;="&amp;$F$5,'3 Base Saídas'!$G$2:$G$5000,"&lt;="&amp;$H$5,'3 Base Saídas'!$B$2:$B$5000,$T40,'3 Base Saídas'!$C$2:$C$5000,$AG40))</f>
        <v>46295</v>
      </c>
      <c r="BD40" s="0" t="str">
        <f aca="false">'5 Conciliação'!L14</f>
        <v>Contar o lote. Se a falta se confirmar: lançar a saída esquecida (601) ou ajuste de inventário de −442.2 KG</v>
      </c>
      <c r="BE40" s="0" t="str">
        <f aca="false">'5 Conciliação'!Q14</f>
        <v>Falta sem explicação</v>
      </c>
      <c r="BF40" s="0" t="str">
        <f aca="false">'5 Conciliação'!R14</f>
        <v>Crítica</v>
      </c>
      <c r="BH40" s="82" t="n">
        <f aca="false">SUMIFS('3 Base Saldo Inicial 08-09'!$E$2:$E$5000,'3 Base Saldo Inicial 08-09'!$A$2:$A$5000,$T40,'3 Base Saldo Inicial 08-09'!$B$2:$B$5000,$AG40)-SUMIFS('3 Base Saldo Inicial 08-09'!$E$2:$E$5000,'3 Base Saldo Inicial 08-09'!$A$2:$A$5000,$T40,'3 Base Saldo Inicial 08-09'!$B$2:$B$5000,$AG40,'3 Base Saldo Inicial 08-09'!$C$2:$C$5000,"2008")</f>
        <v>0</v>
      </c>
    </row>
    <row r="41" customFormat="false" ht="15" hidden="false" customHeight="false" outlineLevel="0" collapsed="false">
      <c r="A41" s="111" t="str">
        <f aca="false">IF(IFERROR(MATCH(28,$AB$40:$AB$133,0),0)=0,"",INDEX($T$40:$T$133,IFERROR(MATCH(28,$AB$40:$AB$133,0),0)))</f>
        <v>811NV-132</v>
      </c>
      <c r="B41" s="111" t="str">
        <f aca="false">IF(IFERROR(MATCH(28,$AB$40:$AB$133,0),0)=0,"",INDEX($AG$40:$AG$133,IFERROR(MATCH(28,$AB$40:$AB$133,0),0)))</f>
        <v>253280301</v>
      </c>
      <c r="C41" s="112" t="str">
        <f aca="false">IF(IFERROR(MATCH(28,$AB$40:$AB$133,0),0)=0,"",INDEX($U$40:$U$133,IFERROR(MATCH(28,$AB$40:$AB$133,0),0)))</f>
        <v>KG</v>
      </c>
      <c r="D41" s="113" t="n">
        <f aca="false">IF(IFERROR(MATCH(28,$AB$40:$AB$133,0),0)=0,"",INDEX($BH$40:$BH$133,IFERROR(MATCH(28,$AB$40:$AB$133,0),0)))</f>
        <v>0</v>
      </c>
      <c r="E41" s="113" t="n">
        <f aca="false">IF(IFERROR(MATCH(28,$AB$40:$AB$133,0),0)=0,"",INDEX($W$40:$W$133,IFERROR(MATCH(28,$AB$40:$AB$133,0),0)))</f>
        <v>1750</v>
      </c>
      <c r="F41" s="113" t="n">
        <f aca="false">IF(IFERROR(MATCH(28,$AB$40:$AB$133,0),0)=0,"",INDEX($X$40:$X$133,IFERROR(MATCH(28,$AB$40:$AB$133,0),0)))</f>
        <v>800</v>
      </c>
      <c r="G41" s="113" t="n">
        <f aca="false">IF(A41="","",D41+E41-F41)</f>
        <v>950</v>
      </c>
      <c r="H41" s="113" t="n">
        <f aca="false">IF(IFERROR(MATCH(28,$AB$40:$AB$133,0),0)=0,"",INDEX($Y$40:$Y$133,IFERROR(MATCH(28,$AB$40:$AB$133,0),0)))</f>
        <v>950</v>
      </c>
      <c r="I41" s="114" t="n">
        <f aca="false">IF(IFERROR(MATCH(28,$AB$40:$AB$133,0),0)=0,"",INDEX($Z$40:$Z$133,IFERROR(MATCH(28,$AB$40:$AB$133,0),0)))</f>
        <v>0</v>
      </c>
      <c r="J41" s="115" t="str">
        <f aca="false">IF(IFERROR(MATCH(28,$AB$40:$AB$133,0),0)=0,"",INDEX($AC$40:$AC$133,IFERROR(MATCH(28,$AB$40:$AB$133,0),0)))</f>
        <v>Confere</v>
      </c>
      <c r="K41" s="116" t="n">
        <f aca="false">IF(IFERROR(MATCH(28,$AB$40:$AB$133,0),0)=0,"",INDEX($AD$40:$AD$133,IFERROR(MATCH(28,$AB$40:$AB$133,0),0)))</f>
        <v>9</v>
      </c>
      <c r="L41" s="117" t="n">
        <f aca="false">IF(IFERROR(MATCH(28,$AB$40:$AB$133,0),0)=0,"",IF(INDEX($BB$40:$BB$133,IFERROR(MATCH(28,$AB$40:$AB$133,0),0))&gt;=99999,"",INDEX($BB$40:$BB$133,IFERROR(MATCH(28,$AB$40:$AB$133,0),0))))</f>
        <v>46289</v>
      </c>
      <c r="M41" s="117" t="n">
        <f aca="false">IF(IFERROR(MATCH(28,$AB$40:$AB$133,0),0)=0,"",IF(INDEX($BC$40:$BC$133,IFERROR(MATCH(28,$AB$40:$AB$133,0),0))=0,"",INDEX($BC$40:$BC$133,IFERROR(MATCH(28,$AB$40:$AB$133,0),0))))</f>
        <v>46294</v>
      </c>
      <c r="N41" s="118" t="str">
        <f aca="false">IF(IFERROR(MATCH(28,$AB$40:$AB$133,0),0)=0,"",INDEX($AE$40:$AE$133,IFERROR(MATCH(28,$AB$40:$AB$133,0),0))&amp;"")</f>
        <v>Sem diferença</v>
      </c>
      <c r="O41" s="119" t="str">
        <f aca="false">IF(IFERROR(MATCH(28,$AB$40:$AB$133,0),0)=0,"",INDEX($BD$40:$BD$133,IFERROR(MATCH(28,$AB$40:$AB$133,0),0))&amp;"")</f>
        <v>Nenhum ajuste necessário</v>
      </c>
      <c r="T41" s="82" t="s">
        <v>263</v>
      </c>
      <c r="U41" s="82" t="s">
        <v>65</v>
      </c>
      <c r="V41" s="82" t="n">
        <f aca="false">SUMIFS('3 Base Entrada 2008'!$G$2:$G$5000,'3 Base Entrada 2008'!$F$2:$F$5000,"&gt;="&amp;$F$5,'3 Base Entrada 2008'!$F$2:$F$5000,"&lt;="&amp;$H$5,'3 Base Entrada 2008'!$B$2:$B$5000,$T41,'3 Base Entrada 2008'!$C$2:$C$5000,$AG41,'3 Base Entrada 2008'!$K$2:$K$5000,"Recebido no 2008")</f>
        <v>0</v>
      </c>
      <c r="W41" s="82" t="n">
        <f aca="false">SUMIFS('3 Base Entrada 2008'!$L$2:$L$5000,'3 Base Entrada 2008'!$F$2:$F$5000,"&gt;="&amp;$F$5,'3 Base Entrada 2008'!$F$2:$F$5000,"&lt;="&amp;$H$5,'3 Base Entrada 2008'!$B$2:$B$5000,$T41,'3 Base Entrada 2008'!$C$2:$C$5000,$AG41)</f>
        <v>261.12</v>
      </c>
      <c r="X41" s="82" t="n">
        <f aca="false">SUMIFS('3 Base Saídas'!$R$2:$R$5000,'3 Base Saídas'!$G$2:$G$5000,"&gt;="&amp;$F$5,'3 Base Saídas'!$G$2:$G$5000,"&lt;="&amp;$H$5,'3 Base Saídas'!$B$2:$B$5000,$T41,'3 Base Saídas'!$C$2:$C$5000,$AG41)</f>
        <v>0</v>
      </c>
      <c r="Y41" s="82" t="n">
        <f aca="false">SUMIFS('3 Base Estoque Físico'!$J$2:$J$5000,'3 Base Estoque Físico'!$A$2:$A$5000,$T41,'3 Base Estoque Físico'!$B$2:$B$5000,$AG41)</f>
        <v>0</v>
      </c>
      <c r="Z41" s="82" t="n">
        <f aca="false">ROUND(Y41-(BH41+W41-X41),3)</f>
        <v>-261.12</v>
      </c>
      <c r="AA41" s="82" t="n">
        <f aca="false">IF(AND(U41=$R$3,OR($R$1="*",T41=$R$1),OR($R$2="*",AG41=$R$2),OR($R$6="*",AC41=$R$6),ABS(V41)+ABS(W41)+ABS(X41)+ABS(Y41)&gt;0),1,0)</f>
        <v>1</v>
      </c>
      <c r="AB41" s="82" t="n">
        <f aca="false">IF(AA41=1,SUM(AA$40:AA41),"")</f>
        <v>2</v>
      </c>
      <c r="AC41" s="0" t="str">
        <f aca="false">IF(ABS(Z41)&lt;=$R$5,"Confere",IF(Z41&gt;0,"Sobrando","Faltando"))</f>
        <v>Faltando</v>
      </c>
      <c r="AD41" s="82" t="n">
        <f aca="false">IF(OR($R$4="*",$R$4="Saída"),COUNTIFS('3 Base Saídas'!$G$2:$G$5000,"&gt;="&amp;$F$5,'3 Base Saídas'!$G$2:$G$5000,"&lt;="&amp;$H$5,'3 Base Saídas'!$B$2:$B$5000,$T41,'3 Base Saídas'!$C$2:$C$5000,$AG41),0)+IF($R$4&lt;&gt;"Saída",COUNTIFS('3 Base Entrada 2008'!$F$2:$F$5000,"&gt;="&amp;$F$5,'3 Base Entrada 2008'!$F$2:$F$5000,"&lt;="&amp;$H$5,'3 Base Entrada 2008'!$B$2:$B$5000,$T41,'3 Base Entrada 2008'!$C$2:$C$5000,$AG41,'3 Base Entrada 2008'!$K$2:$K$5000,$R$4),0)</f>
        <v>1</v>
      </c>
      <c r="AE41" s="0" t="str">
        <f aca="false">'5 Conciliação'!K15</f>
        <v>Entrou no ZBR, mas não está no estoque físico: não chegou ou foi guardado em outro lote</v>
      </c>
      <c r="AF41" s="82" t="n">
        <f aca="false">IF(AND(AA41=1,AC41&lt;&gt;"Confere"),ABS(Z41)+ROW()/10000000,0)</f>
        <v>261.1200041</v>
      </c>
      <c r="AG41" s="82" t="s">
        <v>264</v>
      </c>
      <c r="AH41" s="82" t="n">
        <f aca="false">LARGE($AF$40:$AF$133,2)</f>
        <v>3694.9980046</v>
      </c>
      <c r="AI41" s="82" t="n">
        <f aca="false">IF(AH41&gt;0,MATCH(AH41,$AF$40:$AF$133,0),"")</f>
        <v>7</v>
      </c>
      <c r="AJ41" s="0" t="str">
        <f aca="false">IF(AI41="","",INDEX($T$40:$T$133,AI41)&amp;" · "&amp;INDEX($AG$40:$AG$133,AI41))</f>
        <v>CHM-SP-Z3L-BR-U73 · 251880301</v>
      </c>
      <c r="AK41" s="82" t="n">
        <f aca="false">IF(AI41="",0,MAX(INDEX($Z$40:$Z$133,AI41),0))</f>
        <v>3694.998</v>
      </c>
      <c r="AL41" s="82" t="n">
        <f aca="false">IF(AI41="",0,MIN(INDEX($Z$40:$Z$133,AI41),0))</f>
        <v>0</v>
      </c>
      <c r="AN41" s="82" t="s">
        <v>1754</v>
      </c>
      <c r="AO41" s="120" t="n">
        <v>46275</v>
      </c>
      <c r="AP41" s="82" t="n">
        <f aca="false">IF(AND(AO41&gt;=$F$5,AO41&lt;=$H$5,$R$4&lt;&gt;"Saída"),SUMIFS('3 Base Entrada 2008'!$L$2:$L$5000,'3 Base Entrada 2008'!$F$2:$F$5000,$AO41,'3 Base Entrada 2008'!$B$2:$B$5000,$R$1,'3 Base Entrada 2008'!$C$2:$C$5000,$R$2,'3 Base Entrada 2008'!$H$2:$H$5000,$R$3,'3 Base Entrada 2008'!$K$2:$K$5000,$R$4),0)</f>
        <v>0</v>
      </c>
      <c r="AQ41" s="82" t="n">
        <f aca="false">IF(AND(AO41&gt;=$F$5,AO41&lt;=$H$5,OR($R$4="*",$R$4="Saída")),-SUMIFS('3 Base Saídas'!$R$2:$R$5000,'3 Base Saídas'!$G$2:$G$5000,$AO41,'3 Base Saídas'!$B$2:$B$5000,$R$1,'3 Base Saídas'!$C$2:$C$5000,$R$2,'3 Base Saídas'!$I$2:$I$5000,$R$3),0)</f>
        <v>-559.4</v>
      </c>
      <c r="AR41" s="82" t="n">
        <f aca="false">SUM($AP$40:AP41)+SUM($AQ$40:AQ41)</f>
        <v>-79.64</v>
      </c>
      <c r="AS41" s="82" t="s">
        <v>375</v>
      </c>
      <c r="AV41" s="0" t="str">
        <f aca="false">IFERROR(INDEX($AX$1:$AX$94,MATCH(40,$AY$1:$AY$94,0)),"")</f>
        <v>252750301</v>
      </c>
      <c r="AW41" s="82" t="s">
        <v>247</v>
      </c>
      <c r="AX41" s="82" t="s">
        <v>348</v>
      </c>
      <c r="AY41" s="82" t="n">
        <f aca="false">IF(OR($A$5="Todos",AW41=$A$5),MAX(AY$1:AY40)+1,0)</f>
        <v>41</v>
      </c>
      <c r="BB41" s="82" t="n">
        <f aca="false">MIN(IF(_xlfn.MINIFS('3 Base Entrada 2008'!$F$2:$F$5000,'3 Base Entrada 2008'!$F$2:$F$5000,"&gt;="&amp;$F$5,'3 Base Entrada 2008'!$F$2:$F$5000,"&lt;="&amp;$H$5,'3 Base Entrada 2008'!$B$2:$B$5000,$T41,'3 Base Entrada 2008'!$C$2:$C$5000,$AG41)=0,99999,_xlfn.MINIFS('3 Base Entrada 2008'!$F$2:$F$5000,'3 Base Entrada 2008'!$F$2:$F$5000,"&gt;="&amp;$F$5,'3 Base Entrada 2008'!$F$2:$F$5000,"&lt;="&amp;$H$5,'3 Base Entrada 2008'!$B$2:$B$5000,$T41,'3 Base Entrada 2008'!$C$2:$C$5000,$AG41)),IF(_xlfn.MINIFS('3 Base Saídas'!$G$2:$G$5000,'3 Base Saídas'!$G$2:$G$5000,"&gt;="&amp;$F$5,'3 Base Saídas'!$G$2:$G$5000,"&lt;="&amp;$H$5,'3 Base Saídas'!$B$2:$B$5000,$T41,'3 Base Saídas'!$C$2:$C$5000,$AG41)=0,99999,_xlfn.MINIFS('3 Base Saídas'!$G$2:$G$5000,'3 Base Saídas'!$G$2:$G$5000,"&gt;="&amp;$F$5,'3 Base Saídas'!$G$2:$G$5000,"&lt;="&amp;$H$5,'3 Base Saídas'!$B$2:$B$5000,$T41,'3 Base Saídas'!$C$2:$C$5000,$AG41)))</f>
        <v>46288</v>
      </c>
      <c r="BC41" s="82" t="n">
        <f aca="false">MAX(_xlfn.MAXIFS('3 Base Entrada 2008'!$F$2:$F$5000,'3 Base Entrada 2008'!$F$2:$F$5000,"&gt;="&amp;$F$5,'3 Base Entrada 2008'!$F$2:$F$5000,"&lt;="&amp;$H$5,'3 Base Entrada 2008'!$B$2:$B$5000,$T41,'3 Base Entrada 2008'!$C$2:$C$5000,$AG41),_xlfn.MAXIFS('3 Base Saídas'!$G$2:$G$5000,'3 Base Saídas'!$G$2:$G$5000,"&gt;="&amp;$F$5,'3 Base Saídas'!$G$2:$G$5000,"&lt;="&amp;$H$5,'3 Base Saídas'!$B$2:$B$5000,$T41,'3 Base Saídas'!$C$2:$C$5000,$AG41))</f>
        <v>46288</v>
      </c>
      <c r="BD41" s="0" t="str">
        <f aca="false">'5 Conciliação'!L15</f>
        <v>Procurar a OT de armazenagem pendente no ZBR. Se não achar: contar e lançar ajuste de inventário de −261.1 KG</v>
      </c>
      <c r="BE41" s="0" t="str">
        <f aca="false">'5 Conciliação'!Q15</f>
        <v>Não localizado no estoque</v>
      </c>
      <c r="BF41" s="0" t="str">
        <f aca="false">'5 Conciliação'!R15</f>
        <v>Crítica</v>
      </c>
      <c r="BH41" s="82" t="n">
        <f aca="false">SUMIFS('3 Base Saldo Inicial 08-09'!$E$2:$E$5000,'3 Base Saldo Inicial 08-09'!$A$2:$A$5000,$T41,'3 Base Saldo Inicial 08-09'!$B$2:$B$5000,$AG41)-SUMIFS('3 Base Saldo Inicial 08-09'!$E$2:$E$5000,'3 Base Saldo Inicial 08-09'!$A$2:$A$5000,$T41,'3 Base Saldo Inicial 08-09'!$B$2:$B$5000,$AG41,'3 Base Saldo Inicial 08-09'!$C$2:$C$5000,"2008")</f>
        <v>0</v>
      </c>
    </row>
    <row r="42" customFormat="false" ht="15" hidden="false" customHeight="false" outlineLevel="0" collapsed="false">
      <c r="A42" s="111" t="str">
        <f aca="false">IF(IFERROR(MATCH(29,$AB$40:$AB$133,0),0)=0,"",INDEX($T$40:$T$133,IFERROR(MATCH(29,$AB$40:$AB$133,0),0)))</f>
        <v>811NV-595</v>
      </c>
      <c r="B42" s="111" t="str">
        <f aca="false">IF(IFERROR(MATCH(29,$AB$40:$AB$133,0),0)=0,"",INDEX($AG$40:$AG$133,IFERROR(MATCH(29,$AB$40:$AB$133,0),0)))</f>
        <v>260900702</v>
      </c>
      <c r="C42" s="112" t="str">
        <f aca="false">IF(IFERROR(MATCH(29,$AB$40:$AB$133,0),0)=0,"",INDEX($U$40:$U$133,IFERROR(MATCH(29,$AB$40:$AB$133,0),0)))</f>
        <v>KG</v>
      </c>
      <c r="D42" s="113" t="n">
        <f aca="false">IF(IFERROR(MATCH(29,$AB$40:$AB$133,0),0)=0,"",INDEX($BH$40:$BH$133,IFERROR(MATCH(29,$AB$40:$AB$133,0),0)))</f>
        <v>0</v>
      </c>
      <c r="E42" s="113" t="n">
        <f aca="false">IF(IFERROR(MATCH(29,$AB$40:$AB$133,0),0)=0,"",INDEX($W$40:$W$133,IFERROR(MATCH(29,$AB$40:$AB$133,0),0)))</f>
        <v>1800</v>
      </c>
      <c r="F42" s="113" t="n">
        <f aca="false">IF(IFERROR(MATCH(29,$AB$40:$AB$133,0),0)=0,"",INDEX($X$40:$X$133,IFERROR(MATCH(29,$AB$40:$AB$133,0),0)))</f>
        <v>1780</v>
      </c>
      <c r="G42" s="113" t="n">
        <f aca="false">IF(A42="","",D42+E42-F42)</f>
        <v>20</v>
      </c>
      <c r="H42" s="113" t="n">
        <f aca="false">IF(IFERROR(MATCH(29,$AB$40:$AB$133,0),0)=0,"",INDEX($Y$40:$Y$133,IFERROR(MATCH(29,$AB$40:$AB$133,0),0)))</f>
        <v>20</v>
      </c>
      <c r="I42" s="114" t="n">
        <f aca="false">IF(IFERROR(MATCH(29,$AB$40:$AB$133,0),0)=0,"",INDEX($Z$40:$Z$133,IFERROR(MATCH(29,$AB$40:$AB$133,0),0)))</f>
        <v>0</v>
      </c>
      <c r="J42" s="115" t="str">
        <f aca="false">IF(IFERROR(MATCH(29,$AB$40:$AB$133,0),0)=0,"",INDEX($AC$40:$AC$133,IFERROR(MATCH(29,$AB$40:$AB$133,0),0)))</f>
        <v>Confere</v>
      </c>
      <c r="K42" s="116" t="n">
        <f aca="false">IF(IFERROR(MATCH(29,$AB$40:$AB$133,0),0)=0,"",INDEX($AD$40:$AD$133,IFERROR(MATCH(29,$AB$40:$AB$133,0),0)))</f>
        <v>3</v>
      </c>
      <c r="L42" s="117" t="n">
        <f aca="false">IF(IFERROR(MATCH(29,$AB$40:$AB$133,0),0)=0,"",IF(INDEX($BB$40:$BB$133,IFERROR(MATCH(29,$AB$40:$AB$133,0),0))&gt;=99999,"",INDEX($BB$40:$BB$133,IFERROR(MATCH(29,$AB$40:$AB$133,0),0))))</f>
        <v>46276</v>
      </c>
      <c r="M42" s="117" t="n">
        <f aca="false">IF(IFERROR(MATCH(29,$AB$40:$AB$133,0),0)=0,"",IF(INDEX($BC$40:$BC$133,IFERROR(MATCH(29,$AB$40:$AB$133,0),0))=0,"",INDEX($BC$40:$BC$133,IFERROR(MATCH(29,$AB$40:$AB$133,0),0))))</f>
        <v>46292</v>
      </c>
      <c r="N42" s="118" t="str">
        <f aca="false">IF(IFERROR(MATCH(29,$AB$40:$AB$133,0),0)=0,"",INDEX($AE$40:$AE$133,IFERROR(MATCH(29,$AB$40:$AB$133,0),0))&amp;"")</f>
        <v>Sem diferença</v>
      </c>
      <c r="O42" s="119" t="str">
        <f aca="false">IF(IFERROR(MATCH(29,$AB$40:$AB$133,0),0)=0,"",INDEX($BD$40:$BD$133,IFERROR(MATCH(29,$AB$40:$AB$133,0),0))&amp;"")</f>
        <v>Nenhum ajuste necessário</v>
      </c>
      <c r="T42" s="82" t="s">
        <v>327</v>
      </c>
      <c r="U42" s="82" t="s">
        <v>65</v>
      </c>
      <c r="V42" s="82" t="n">
        <f aca="false">SUMIFS('3 Base Entrada 2008'!$G$2:$G$5000,'3 Base Entrada 2008'!$F$2:$F$5000,"&gt;="&amp;$F$5,'3 Base Entrada 2008'!$F$2:$F$5000,"&lt;="&amp;$H$5,'3 Base Entrada 2008'!$B$2:$B$5000,$T42,'3 Base Entrada 2008'!$C$2:$C$5000,$AG42,'3 Base Entrada 2008'!$K$2:$K$5000,"Recebido no 2008")</f>
        <v>0</v>
      </c>
      <c r="W42" s="82" t="n">
        <f aca="false">SUMIFS('3 Base Entrada 2008'!$L$2:$L$5000,'3 Base Entrada 2008'!$F$2:$F$5000,"&gt;="&amp;$F$5,'3 Base Entrada 2008'!$F$2:$F$5000,"&lt;="&amp;$H$5,'3 Base Entrada 2008'!$B$2:$B$5000,$T42,'3 Base Entrada 2008'!$C$2:$C$5000,$AG42)</f>
        <v>480</v>
      </c>
      <c r="X42" s="82" t="n">
        <f aca="false">SUMIFS('3 Base Saídas'!$R$2:$R$5000,'3 Base Saídas'!$G$2:$G$5000,"&gt;="&amp;$F$5,'3 Base Saídas'!$G$2:$G$5000,"&lt;="&amp;$H$5,'3 Base Saídas'!$B$2:$B$5000,$T42,'3 Base Saídas'!$C$2:$C$5000,$AG42)</f>
        <v>60</v>
      </c>
      <c r="Y42" s="82" t="n">
        <f aca="false">SUMIFS('3 Base Estoque Físico'!$J$2:$J$5000,'3 Base Estoque Físico'!$A$2:$A$5000,$T42,'3 Base Estoque Físico'!$B$2:$B$5000,$AG42)</f>
        <v>210</v>
      </c>
      <c r="Z42" s="82" t="n">
        <f aca="false">ROUND(Y42-(BH42+W42-X42),3)</f>
        <v>-210</v>
      </c>
      <c r="AA42" s="82" t="n">
        <f aca="false">IF(AND(U42=$R$3,OR($R$1="*",T42=$R$1),OR($R$2="*",AG42=$R$2),OR($R$6="*",AC42=$R$6),ABS(V42)+ABS(W42)+ABS(X42)+ABS(Y42)&gt;0),1,0)</f>
        <v>1</v>
      </c>
      <c r="AB42" s="82" t="n">
        <f aca="false">IF(AA42=1,SUM(AA$40:AA42),"")</f>
        <v>3</v>
      </c>
      <c r="AC42" s="0" t="str">
        <f aca="false">IF(ABS(Z42)&lt;=$R$5,"Confere",IF(Z42&gt;0,"Sobrando","Faltando"))</f>
        <v>Faltando</v>
      </c>
      <c r="AD42" s="82" t="n">
        <f aca="false">IF(OR($R$4="*",$R$4="Saída"),COUNTIFS('3 Base Saídas'!$G$2:$G$5000,"&gt;="&amp;$F$5,'3 Base Saídas'!$G$2:$G$5000,"&lt;="&amp;$H$5,'3 Base Saídas'!$B$2:$B$5000,$T42,'3 Base Saídas'!$C$2:$C$5000,$AG42),0)+IF($R$4&lt;&gt;"Saída",COUNTIFS('3 Base Entrada 2008'!$F$2:$F$5000,"&gt;="&amp;$F$5,'3 Base Entrada 2008'!$F$2:$F$5000,"&lt;="&amp;$H$5,'3 Base Entrada 2008'!$B$2:$B$5000,$T42,'3 Base Entrada 2008'!$C$2:$C$5000,$AG42,'3 Base Entrada 2008'!$K$2:$K$5000,$R$4),0)</f>
        <v>5</v>
      </c>
      <c r="AE42" s="0" t="str">
        <f aca="false">'5 Conciliação'!K16</f>
        <v>Estoque físico menor que o esperado: saída, ajuste ou perda não lançada no período</v>
      </c>
      <c r="AF42" s="82" t="n">
        <f aca="false">IF(AND(AA42=1,AC42&lt;&gt;"Confere"),ABS(Z42)+ROW()/10000000,0)</f>
        <v>210.0000042</v>
      </c>
      <c r="AG42" s="82" t="s">
        <v>329</v>
      </c>
      <c r="AH42" s="82" t="n">
        <f aca="false">LARGE($AF$40:$AF$133,3)</f>
        <v>3198.0000047</v>
      </c>
      <c r="AI42" s="82" t="n">
        <f aca="false">IF(AH42&gt;0,MATCH(AH42,$AF$40:$AF$133,0),"")</f>
        <v>8</v>
      </c>
      <c r="AJ42" s="0" t="str">
        <f aca="false">IF(AI42="","",INDEX($T$40:$T$133,AI42)&amp;" · "&amp;INDEX($AG$40:$AG$133,AI42))</f>
        <v>CHD-SP-9Z4-BR-U73 · 250500301</v>
      </c>
      <c r="AK42" s="82" t="n">
        <f aca="false">IF(AI42="",0,MAX(INDEX($Z$40:$Z$133,AI42),0))</f>
        <v>3198</v>
      </c>
      <c r="AL42" s="82" t="n">
        <f aca="false">IF(AI42="",0,MIN(INDEX($Z$40:$Z$133,AI42),0))</f>
        <v>0</v>
      </c>
      <c r="AN42" s="82" t="s">
        <v>1755</v>
      </c>
      <c r="AO42" s="120" t="n">
        <v>46276</v>
      </c>
      <c r="AP42" s="82" t="n">
        <f aca="false">IF(AND(AO42&gt;=$F$5,AO42&lt;=$H$5,$R$4&lt;&gt;"Saída"),SUMIFS('3 Base Entrada 2008'!$L$2:$L$5000,'3 Base Entrada 2008'!$F$2:$F$5000,$AO42,'3 Base Entrada 2008'!$B$2:$B$5000,$R$1,'3 Base Entrada 2008'!$C$2:$C$5000,$R$2,'3 Base Entrada 2008'!$H$2:$H$5000,$R$3,'3 Base Entrada 2008'!$K$2:$K$5000,$R$4),0)</f>
        <v>6720.9</v>
      </c>
      <c r="AQ42" s="82" t="n">
        <f aca="false">IF(AND(AO42&gt;=$F$5,AO42&lt;=$H$5,OR($R$4="*",$R$4="Saída")),-SUMIFS('3 Base Saídas'!$R$2:$R$5000,'3 Base Saídas'!$G$2:$G$5000,$AO42,'3 Base Saídas'!$B$2:$B$5000,$R$1,'3 Base Saídas'!$C$2:$C$5000,$R$2,'3 Base Saídas'!$I$2:$I$5000,$R$3),0)</f>
        <v>-2836.4</v>
      </c>
      <c r="AR42" s="82" t="n">
        <f aca="false">SUM($AP$40:AP42)+SUM($AQ$40:AQ42)</f>
        <v>3804.86</v>
      </c>
      <c r="AS42" s="82" t="s">
        <v>377</v>
      </c>
      <c r="AV42" s="0" t="str">
        <f aca="false">IFERROR(INDEX($AX$1:$AX$94,MATCH(41,$AY$1:$AY$94,0)),"")</f>
        <v>253620301</v>
      </c>
      <c r="AW42" s="82" t="s">
        <v>247</v>
      </c>
      <c r="AX42" s="82" t="s">
        <v>248</v>
      </c>
      <c r="AY42" s="82" t="n">
        <f aca="false">IF(OR($A$5="Todos",AW42=$A$5),MAX(AY$1:AY41)+1,0)</f>
        <v>42</v>
      </c>
      <c r="BB42" s="82" t="n">
        <f aca="false">MIN(IF(_xlfn.MINIFS('3 Base Entrada 2008'!$F$2:$F$5000,'3 Base Entrada 2008'!$F$2:$F$5000,"&gt;="&amp;$F$5,'3 Base Entrada 2008'!$F$2:$F$5000,"&lt;="&amp;$H$5,'3 Base Entrada 2008'!$B$2:$B$5000,$T42,'3 Base Entrada 2008'!$C$2:$C$5000,$AG42)=0,99999,_xlfn.MINIFS('3 Base Entrada 2008'!$F$2:$F$5000,'3 Base Entrada 2008'!$F$2:$F$5000,"&gt;="&amp;$F$5,'3 Base Entrada 2008'!$F$2:$F$5000,"&lt;="&amp;$H$5,'3 Base Entrada 2008'!$B$2:$B$5000,$T42,'3 Base Entrada 2008'!$C$2:$C$5000,$AG42)),IF(_xlfn.MINIFS('3 Base Saídas'!$G$2:$G$5000,'3 Base Saídas'!$G$2:$G$5000,"&gt;="&amp;$F$5,'3 Base Saídas'!$G$2:$G$5000,"&lt;="&amp;$H$5,'3 Base Saídas'!$B$2:$B$5000,$T42,'3 Base Saídas'!$C$2:$C$5000,$AG42)=0,99999,_xlfn.MINIFS('3 Base Saídas'!$G$2:$G$5000,'3 Base Saídas'!$G$2:$G$5000,"&gt;="&amp;$F$5,'3 Base Saídas'!$G$2:$G$5000,"&lt;="&amp;$H$5,'3 Base Saídas'!$B$2:$B$5000,$T42,'3 Base Saídas'!$C$2:$C$5000,$AG42)))</f>
        <v>46275</v>
      </c>
      <c r="BC42" s="82" t="n">
        <f aca="false">MAX(_xlfn.MAXIFS('3 Base Entrada 2008'!$F$2:$F$5000,'3 Base Entrada 2008'!$F$2:$F$5000,"&gt;="&amp;$F$5,'3 Base Entrada 2008'!$F$2:$F$5000,"&lt;="&amp;$H$5,'3 Base Entrada 2008'!$B$2:$B$5000,$T42,'3 Base Entrada 2008'!$C$2:$C$5000,$AG42),_xlfn.MAXIFS('3 Base Saídas'!$G$2:$G$5000,'3 Base Saídas'!$G$2:$G$5000,"&gt;="&amp;$F$5,'3 Base Saídas'!$G$2:$G$5000,"&lt;="&amp;$H$5,'3 Base Saídas'!$B$2:$B$5000,$T42,'3 Base Saídas'!$C$2:$C$5000,$AG42))</f>
        <v>46295</v>
      </c>
      <c r="BD42" s="0" t="str">
        <f aca="false">'5 Conciliação'!L16</f>
        <v>Contar o lote. Se a falta se confirmar: lançar a saída esquecida (601) ou ajuste de inventário de −210.0 KG</v>
      </c>
      <c r="BE42" s="0" t="str">
        <f aca="false">'5 Conciliação'!Q16</f>
        <v>Falta sem explicação</v>
      </c>
      <c r="BF42" s="0" t="str">
        <f aca="false">'5 Conciliação'!R16</f>
        <v>Crítica</v>
      </c>
      <c r="BH42" s="82" t="n">
        <f aca="false">SUMIFS('3 Base Saldo Inicial 08-09'!$E$2:$E$5000,'3 Base Saldo Inicial 08-09'!$A$2:$A$5000,$T42,'3 Base Saldo Inicial 08-09'!$B$2:$B$5000,$AG42)-SUMIFS('3 Base Saldo Inicial 08-09'!$E$2:$E$5000,'3 Base Saldo Inicial 08-09'!$A$2:$A$5000,$T42,'3 Base Saldo Inicial 08-09'!$B$2:$B$5000,$AG42,'3 Base Saldo Inicial 08-09'!$C$2:$C$5000,"2008")</f>
        <v>0</v>
      </c>
    </row>
    <row r="43" customFormat="false" ht="15" hidden="false" customHeight="false" outlineLevel="0" collapsed="false">
      <c r="A43" s="111" t="str">
        <f aca="false">IF(IFERROR(MATCH(30,$AB$40:$AB$133,0),0)=0,"",INDEX($T$40:$T$133,IFERROR(MATCH(30,$AB$40:$AB$133,0),0)))</f>
        <v>811NV-595</v>
      </c>
      <c r="B43" s="111" t="str">
        <f aca="false">IF(IFERROR(MATCH(30,$AB$40:$AB$133,0),0)=0,"",INDEX($AG$40:$AG$133,IFERROR(MATCH(30,$AB$40:$AB$133,0),0)))</f>
        <v>260920702</v>
      </c>
      <c r="C43" s="112" t="str">
        <f aca="false">IF(IFERROR(MATCH(30,$AB$40:$AB$133,0),0)=0,"",INDEX($U$40:$U$133,IFERROR(MATCH(30,$AB$40:$AB$133,0),0)))</f>
        <v>KG</v>
      </c>
      <c r="D43" s="113" t="n">
        <f aca="false">IF(IFERROR(MATCH(30,$AB$40:$AB$133,0),0)=0,"",INDEX($BH$40:$BH$133,IFERROR(MATCH(30,$AB$40:$AB$133,0),0)))</f>
        <v>0</v>
      </c>
      <c r="E43" s="113" t="n">
        <f aca="false">IF(IFERROR(MATCH(30,$AB$40:$AB$133,0),0)=0,"",INDEX($W$40:$W$133,IFERROR(MATCH(30,$AB$40:$AB$133,0),0)))</f>
        <v>600</v>
      </c>
      <c r="F43" s="113" t="n">
        <f aca="false">IF(IFERROR(MATCH(30,$AB$40:$AB$133,0),0)=0,"",INDEX($X$40:$X$133,IFERROR(MATCH(30,$AB$40:$AB$133,0),0)))</f>
        <v>0</v>
      </c>
      <c r="G43" s="113" t="n">
        <f aca="false">IF(A43="","",D43+E43-F43)</f>
        <v>600</v>
      </c>
      <c r="H43" s="113" t="n">
        <f aca="false">IF(IFERROR(MATCH(30,$AB$40:$AB$133,0),0)=0,"",INDEX($Y$40:$Y$133,IFERROR(MATCH(30,$AB$40:$AB$133,0),0)))</f>
        <v>600</v>
      </c>
      <c r="I43" s="114" t="n">
        <f aca="false">IF(IFERROR(MATCH(30,$AB$40:$AB$133,0),0)=0,"",INDEX($Z$40:$Z$133,IFERROR(MATCH(30,$AB$40:$AB$133,0),0)))</f>
        <v>0</v>
      </c>
      <c r="J43" s="115" t="str">
        <f aca="false">IF(IFERROR(MATCH(30,$AB$40:$AB$133,0),0)=0,"",INDEX($AC$40:$AC$133,IFERROR(MATCH(30,$AB$40:$AB$133,0),0)))</f>
        <v>Confere</v>
      </c>
      <c r="K43" s="116" t="n">
        <f aca="false">IF(IFERROR(MATCH(30,$AB$40:$AB$133,0),0)=0,"",INDEX($AD$40:$AD$133,IFERROR(MATCH(30,$AB$40:$AB$133,0),0)))</f>
        <v>1</v>
      </c>
      <c r="L43" s="117" t="n">
        <f aca="false">IF(IFERROR(MATCH(30,$AB$40:$AB$133,0),0)=0,"",IF(INDEX($BB$40:$BB$133,IFERROR(MATCH(30,$AB$40:$AB$133,0),0))&gt;=99999,"",INDEX($BB$40:$BB$133,IFERROR(MATCH(30,$AB$40:$AB$133,0),0))))</f>
        <v>46276</v>
      </c>
      <c r="M43" s="117" t="n">
        <f aca="false">IF(IFERROR(MATCH(30,$AB$40:$AB$133,0),0)=0,"",IF(INDEX($BC$40:$BC$133,IFERROR(MATCH(30,$AB$40:$AB$133,0),0))=0,"",INDEX($BC$40:$BC$133,IFERROR(MATCH(30,$AB$40:$AB$133,0),0))))</f>
        <v>46276</v>
      </c>
      <c r="N43" s="118" t="str">
        <f aca="false">IF(IFERROR(MATCH(30,$AB$40:$AB$133,0),0)=0,"",INDEX($AE$40:$AE$133,IFERROR(MATCH(30,$AB$40:$AB$133,0),0))&amp;"")</f>
        <v>Sem diferença</v>
      </c>
      <c r="O43" s="119" t="str">
        <f aca="false">IF(IFERROR(MATCH(30,$AB$40:$AB$133,0),0)=0,"",INDEX($BD$40:$BD$133,IFERROR(MATCH(30,$AB$40:$AB$133,0),0))&amp;"")</f>
        <v>Nenhum ajuste necessário</v>
      </c>
      <c r="T43" s="82" t="s">
        <v>286</v>
      </c>
      <c r="U43" s="82" t="s">
        <v>147</v>
      </c>
      <c r="V43" s="82" t="n">
        <f aca="false">SUMIFS('3 Base Entrada 2008'!$G$2:$G$5000,'3 Base Entrada 2008'!$F$2:$F$5000,"&gt;="&amp;$F$5,'3 Base Entrada 2008'!$F$2:$F$5000,"&lt;="&amp;$H$5,'3 Base Entrada 2008'!$B$2:$B$5000,$T43,'3 Base Entrada 2008'!$C$2:$C$5000,$AG43,'3 Base Entrada 2008'!$K$2:$K$5000,"Recebido no 2008")</f>
        <v>0</v>
      </c>
      <c r="W43" s="82" t="n">
        <f aca="false">SUMIFS('3 Base Entrada 2008'!$L$2:$L$5000,'3 Base Entrada 2008'!$F$2:$F$5000,"&gt;="&amp;$F$5,'3 Base Entrada 2008'!$F$2:$F$5000,"&lt;="&amp;$H$5,'3 Base Entrada 2008'!$B$2:$B$5000,$T43,'3 Base Entrada 2008'!$C$2:$C$5000,$AG43)</f>
        <v>487</v>
      </c>
      <c r="X43" s="82" t="n">
        <f aca="false">SUMIFS('3 Base Saídas'!$R$2:$R$5000,'3 Base Saídas'!$G$2:$G$5000,"&gt;="&amp;$F$5,'3 Base Saídas'!$G$2:$G$5000,"&lt;="&amp;$H$5,'3 Base Saídas'!$B$2:$B$5000,$T43,'3 Base Saídas'!$C$2:$C$5000,$AG43)</f>
        <v>0</v>
      </c>
      <c r="Y43" s="82" t="n">
        <f aca="false">SUMIFS('3 Base Estoque Físico'!$J$2:$J$5000,'3 Base Estoque Físico'!$A$2:$A$5000,$T43,'3 Base Estoque Físico'!$B$2:$B$5000,$AG43)</f>
        <v>367</v>
      </c>
      <c r="Z43" s="82" t="n">
        <f aca="false">ROUND(Y43-(BH43+W43-X43),3)</f>
        <v>-120</v>
      </c>
      <c r="AA43" s="82" t="n">
        <f aca="false">IF(AND(U43=$R$3,OR($R$1="*",T43=$R$1),OR($R$2="*",AG43=$R$2),OR($R$6="*",AC43=$R$6),ABS(V43)+ABS(W43)+ABS(X43)+ABS(Y43)&gt;0),1,0)</f>
        <v>0</v>
      </c>
      <c r="AB43" s="0" t="str">
        <f aca="false">IF(AA43=1,SUM(AA$40:AA43),"")</f>
        <v/>
      </c>
      <c r="AC43" s="0" t="str">
        <f aca="false">IF(ABS(Z43)&lt;=$R$5,"Confere",IF(Z43&gt;0,"Sobrando","Faltando"))</f>
        <v>Faltando</v>
      </c>
      <c r="AD43" s="82" t="n">
        <f aca="false">IF(OR($R$4="*",$R$4="Saída"),COUNTIFS('3 Base Saídas'!$G$2:$G$5000,"&gt;="&amp;$F$5,'3 Base Saídas'!$G$2:$G$5000,"&lt;="&amp;$H$5,'3 Base Saídas'!$B$2:$B$5000,$T43,'3 Base Saídas'!$C$2:$C$5000,$AG43),0)+IF($R$4&lt;&gt;"Saída",COUNTIFS('3 Base Entrada 2008'!$F$2:$F$5000,"&gt;="&amp;$F$5,'3 Base Entrada 2008'!$F$2:$F$5000,"&lt;="&amp;$H$5,'3 Base Entrada 2008'!$B$2:$B$5000,$T43,'3 Base Entrada 2008'!$C$2:$C$5000,$AG43,'3 Base Entrada 2008'!$K$2:$K$5000,$R$4),0)</f>
        <v>4</v>
      </c>
      <c r="AE43" s="0" t="str">
        <f aca="false">'5 Conciliação'!K17</f>
        <v>Troca de lote: a mesma quantidade aparece com sinal oposto em outro lote deste SKU</v>
      </c>
      <c r="AF43" s="82" t="n">
        <f aca="false">IF(AND(AA43=1,AC43&lt;&gt;"Confere"),ABS(Z43)+ROW()/10000000,0)</f>
        <v>0</v>
      </c>
      <c r="AG43" s="82" t="s">
        <v>294</v>
      </c>
      <c r="AH43" s="82" t="n">
        <f aca="false">LARGE($AF$40:$AF$133,4)</f>
        <v>2528.4000048</v>
      </c>
      <c r="AI43" s="82" t="n">
        <f aca="false">IF(AH43&gt;0,MATCH(AH43,$AF$40:$AF$133,0),"")</f>
        <v>9</v>
      </c>
      <c r="AJ43" s="0" t="str">
        <f aca="false">IF(AI43="","",INDEX($T$40:$T$133,AI43)&amp;" · "&amp;INDEX($AG$40:$AG$133,AI43))</f>
        <v>823-BR-D94 · 252103049</v>
      </c>
      <c r="AK43" s="82" t="n">
        <f aca="false">IF(AI43="",0,MAX(INDEX($Z$40:$Z$133,AI43),0))</f>
        <v>2528.4</v>
      </c>
      <c r="AL43" s="82" t="n">
        <f aca="false">IF(AI43="",0,MIN(INDEX($Z$40:$Z$133,AI43),0))</f>
        <v>0</v>
      </c>
      <c r="AN43" s="82" t="s">
        <v>1756</v>
      </c>
      <c r="AO43" s="120" t="n">
        <v>46277</v>
      </c>
      <c r="AP43" s="82" t="n">
        <f aca="false">IF(AND(AO43&gt;=$F$5,AO43&lt;=$H$5,$R$4&lt;&gt;"Saída"),SUMIFS('3 Base Entrada 2008'!$L$2:$L$5000,'3 Base Entrada 2008'!$F$2:$F$5000,$AO43,'3 Base Entrada 2008'!$B$2:$B$5000,$R$1,'3 Base Entrada 2008'!$C$2:$C$5000,$R$2,'3 Base Entrada 2008'!$H$2:$H$5000,$R$3,'3 Base Entrada 2008'!$K$2:$K$5000,$R$4),0)</f>
        <v>0</v>
      </c>
      <c r="AQ43" s="82" t="n">
        <f aca="false">IF(AND(AO43&gt;=$F$5,AO43&lt;=$H$5,OR($R$4="*",$R$4="Saída")),-SUMIFS('3 Base Saídas'!$R$2:$R$5000,'3 Base Saídas'!$G$2:$G$5000,$AO43,'3 Base Saídas'!$B$2:$B$5000,$R$1,'3 Base Saídas'!$C$2:$C$5000,$R$2,'3 Base Saídas'!$I$2:$I$5000,$R$3),0)</f>
        <v>-173.1</v>
      </c>
      <c r="AR43" s="82" t="n">
        <f aca="false">SUM($AP$40:AP43)+SUM($AQ$40:AQ43)</f>
        <v>3631.76</v>
      </c>
      <c r="AS43" s="82" t="s">
        <v>380</v>
      </c>
      <c r="AV43" s="0" t="str">
        <f aca="false">IFERROR(INDEX($AX$1:$AX$94,MATCH(42,$AY$1:$AY$94,0)),"")</f>
        <v>261130301</v>
      </c>
      <c r="AW43" s="82" t="s">
        <v>250</v>
      </c>
      <c r="AX43" s="82" t="s">
        <v>251</v>
      </c>
      <c r="AY43" s="82" t="n">
        <f aca="false">IF(OR($A$5="Todos",AW43=$A$5),MAX(AY$1:AY42)+1,0)</f>
        <v>43</v>
      </c>
      <c r="BB43" s="82" t="n">
        <f aca="false">MIN(IF(_xlfn.MINIFS('3 Base Entrada 2008'!$F$2:$F$5000,'3 Base Entrada 2008'!$F$2:$F$5000,"&gt;="&amp;$F$5,'3 Base Entrada 2008'!$F$2:$F$5000,"&lt;="&amp;$H$5,'3 Base Entrada 2008'!$B$2:$B$5000,$T43,'3 Base Entrada 2008'!$C$2:$C$5000,$AG43)=0,99999,_xlfn.MINIFS('3 Base Entrada 2008'!$F$2:$F$5000,'3 Base Entrada 2008'!$F$2:$F$5000,"&gt;="&amp;$F$5,'3 Base Entrada 2008'!$F$2:$F$5000,"&lt;="&amp;$H$5,'3 Base Entrada 2008'!$B$2:$B$5000,$T43,'3 Base Entrada 2008'!$C$2:$C$5000,$AG43)),IF(_xlfn.MINIFS('3 Base Saídas'!$G$2:$G$5000,'3 Base Saídas'!$G$2:$G$5000,"&gt;="&amp;$F$5,'3 Base Saídas'!$G$2:$G$5000,"&lt;="&amp;$H$5,'3 Base Saídas'!$B$2:$B$5000,$T43,'3 Base Saídas'!$C$2:$C$5000,$AG43)=0,99999,_xlfn.MINIFS('3 Base Saídas'!$G$2:$G$5000,'3 Base Saídas'!$G$2:$G$5000,"&gt;="&amp;$F$5,'3 Base Saídas'!$G$2:$G$5000,"&lt;="&amp;$H$5,'3 Base Saídas'!$B$2:$B$5000,$T43,'3 Base Saídas'!$C$2:$C$5000,$AG43)))</f>
        <v>46289</v>
      </c>
      <c r="BC43" s="82" t="n">
        <f aca="false">MAX(_xlfn.MAXIFS('3 Base Entrada 2008'!$F$2:$F$5000,'3 Base Entrada 2008'!$F$2:$F$5000,"&gt;="&amp;$F$5,'3 Base Entrada 2008'!$F$2:$F$5000,"&lt;="&amp;$H$5,'3 Base Entrada 2008'!$B$2:$B$5000,$T43,'3 Base Entrada 2008'!$C$2:$C$5000,$AG43),_xlfn.MAXIFS('3 Base Saídas'!$G$2:$G$5000,'3 Base Saídas'!$G$2:$G$5000,"&gt;="&amp;$F$5,'3 Base Saídas'!$G$2:$G$5000,"&lt;="&amp;$H$5,'3 Base Saídas'!$B$2:$B$5000,$T43,'3 Base Saídas'!$C$2:$C$5000,$AG43))</f>
        <v>46291</v>
      </c>
      <c r="BD43" s="0" t="str">
        <f aca="false">'5 Conciliação'!L17</f>
        <v>Transferir 120.0 CX entre os lotes deste SKU (transferência lote a lote, mov. 309) para corrigir o lote</v>
      </c>
      <c r="BE43" s="0" t="str">
        <f aca="false">'5 Conciliação'!Q17</f>
        <v>Troca de lote</v>
      </c>
      <c r="BF43" s="0" t="str">
        <f aca="false">'5 Conciliação'!R17</f>
        <v>Baixa</v>
      </c>
      <c r="BH43" s="82" t="n">
        <f aca="false">SUMIFS('3 Base Saldo Inicial 08-09'!$E$2:$E$5000,'3 Base Saldo Inicial 08-09'!$A$2:$A$5000,$T43,'3 Base Saldo Inicial 08-09'!$B$2:$B$5000,$AG43)-SUMIFS('3 Base Saldo Inicial 08-09'!$E$2:$E$5000,'3 Base Saldo Inicial 08-09'!$A$2:$A$5000,$T43,'3 Base Saldo Inicial 08-09'!$B$2:$B$5000,$AG43,'3 Base Saldo Inicial 08-09'!$C$2:$C$5000,"2008")</f>
        <v>0</v>
      </c>
    </row>
    <row r="44" customFormat="false" ht="15" hidden="false" customHeight="false" outlineLevel="0" collapsed="false">
      <c r="A44" s="111" t="str">
        <f aca="false">IF(IFERROR(MATCH(31,$AB$40:$AB$133,0),0)=0,"",INDEX($T$40:$T$133,IFERROR(MATCH(31,$AB$40:$AB$133,0),0)))</f>
        <v>811NV-595</v>
      </c>
      <c r="B44" s="111" t="str">
        <f aca="false">IF(IFERROR(MATCH(31,$AB$40:$AB$133,0),0)=0,"",INDEX($AG$40:$AG$133,IFERROR(MATCH(31,$AB$40:$AB$133,0),0)))</f>
        <v>261146101</v>
      </c>
      <c r="C44" s="112" t="str">
        <f aca="false">IF(IFERROR(MATCH(31,$AB$40:$AB$133,0),0)=0,"",INDEX($U$40:$U$133,IFERROR(MATCH(31,$AB$40:$AB$133,0),0)))</f>
        <v>KG</v>
      </c>
      <c r="D44" s="113" t="n">
        <f aca="false">IF(IFERROR(MATCH(31,$AB$40:$AB$133,0),0)=0,"",INDEX($BH$40:$BH$133,IFERROR(MATCH(31,$AB$40:$AB$133,0),0)))</f>
        <v>0</v>
      </c>
      <c r="E44" s="113" t="n">
        <f aca="false">IF(IFERROR(MATCH(31,$AB$40:$AB$133,0),0)=0,"",INDEX($W$40:$W$133,IFERROR(MATCH(31,$AB$40:$AB$133,0),0)))</f>
        <v>1180</v>
      </c>
      <c r="F44" s="113" t="n">
        <f aca="false">IF(IFERROR(MATCH(31,$AB$40:$AB$133,0),0)=0,"",INDEX($X$40:$X$133,IFERROR(MATCH(31,$AB$40:$AB$133,0),0)))</f>
        <v>1160</v>
      </c>
      <c r="G44" s="113" t="n">
        <f aca="false">IF(A44="","",D44+E44-F44)</f>
        <v>20</v>
      </c>
      <c r="H44" s="113" t="n">
        <f aca="false">IF(IFERROR(MATCH(31,$AB$40:$AB$133,0),0)=0,"",INDEX($Y$40:$Y$133,IFERROR(MATCH(31,$AB$40:$AB$133,0),0)))</f>
        <v>20</v>
      </c>
      <c r="I44" s="114" t="n">
        <f aca="false">IF(IFERROR(MATCH(31,$AB$40:$AB$133,0),0)=0,"",INDEX($Z$40:$Z$133,IFERROR(MATCH(31,$AB$40:$AB$133,0),0)))</f>
        <v>0</v>
      </c>
      <c r="J44" s="115" t="str">
        <f aca="false">IF(IFERROR(MATCH(31,$AB$40:$AB$133,0),0)=0,"",INDEX($AC$40:$AC$133,IFERROR(MATCH(31,$AB$40:$AB$133,0),0)))</f>
        <v>Confere</v>
      </c>
      <c r="K44" s="116" t="n">
        <f aca="false">IF(IFERROR(MATCH(31,$AB$40:$AB$133,0),0)=0,"",INDEX($AD$40:$AD$133,IFERROR(MATCH(31,$AB$40:$AB$133,0),0)))</f>
        <v>3</v>
      </c>
      <c r="L44" s="117" t="n">
        <f aca="false">IF(IFERROR(MATCH(31,$AB$40:$AB$133,0),0)=0,"",IF(INDEX($BB$40:$BB$133,IFERROR(MATCH(31,$AB$40:$AB$133,0),0))&gt;=99999,"",INDEX($BB$40:$BB$133,IFERROR(MATCH(31,$AB$40:$AB$133,0),0))))</f>
        <v>46275</v>
      </c>
      <c r="M44" s="117" t="n">
        <f aca="false">IF(IFERROR(MATCH(31,$AB$40:$AB$133,0),0)=0,"",IF(INDEX($BC$40:$BC$133,IFERROR(MATCH(31,$AB$40:$AB$133,0),0))=0,"",INDEX($BC$40:$BC$133,IFERROR(MATCH(31,$AB$40:$AB$133,0),0))))</f>
        <v>46290</v>
      </c>
      <c r="N44" s="118" t="str">
        <f aca="false">IF(IFERROR(MATCH(31,$AB$40:$AB$133,0),0)=0,"",INDEX($AE$40:$AE$133,IFERROR(MATCH(31,$AB$40:$AB$133,0),0))&amp;"")</f>
        <v>Sem diferença</v>
      </c>
      <c r="O44" s="119" t="str">
        <f aca="false">IF(IFERROR(MATCH(31,$AB$40:$AB$133,0),0)=0,"",INDEX($BD$40:$BD$133,IFERROR(MATCH(31,$AB$40:$AB$133,0),0))&amp;"")</f>
        <v>Nenhum ajuste necessário</v>
      </c>
      <c r="T44" s="82" t="s">
        <v>232</v>
      </c>
      <c r="U44" s="82" t="s">
        <v>146</v>
      </c>
      <c r="V44" s="82" t="n">
        <f aca="false">SUMIFS('3 Base Entrada 2008'!$G$2:$G$5000,'3 Base Entrada 2008'!$F$2:$F$5000,"&gt;="&amp;$F$5,'3 Base Entrada 2008'!$F$2:$F$5000,"&lt;="&amp;$H$5,'3 Base Entrada 2008'!$B$2:$B$5000,$T44,'3 Base Entrada 2008'!$C$2:$C$5000,$AG44,'3 Base Entrada 2008'!$K$2:$K$5000,"Recebido no 2008")</f>
        <v>0</v>
      </c>
      <c r="W44" s="82" t="n">
        <f aca="false">SUMIFS('3 Base Entrada 2008'!$L$2:$L$5000,'3 Base Entrada 2008'!$F$2:$F$5000,"&gt;="&amp;$F$5,'3 Base Entrada 2008'!$F$2:$F$5000,"&lt;="&amp;$H$5,'3 Base Entrada 2008'!$B$2:$B$5000,$T44,'3 Base Entrada 2008'!$C$2:$C$5000,$AG44)</f>
        <v>30</v>
      </c>
      <c r="X44" s="82" t="n">
        <f aca="false">SUMIFS('3 Base Saídas'!$R$2:$R$5000,'3 Base Saídas'!$G$2:$G$5000,"&gt;="&amp;$F$5,'3 Base Saídas'!$G$2:$G$5000,"&lt;="&amp;$H$5,'3 Base Saídas'!$B$2:$B$5000,$T44,'3 Base Saídas'!$C$2:$C$5000,$AG44)</f>
        <v>0</v>
      </c>
      <c r="Y44" s="82" t="n">
        <f aca="false">SUMIFS('3 Base Estoque Físico'!$J$2:$J$5000,'3 Base Estoque Físico'!$A$2:$A$5000,$T44,'3 Base Estoque Físico'!$B$2:$B$5000,$AG44)</f>
        <v>4.219</v>
      </c>
      <c r="Z44" s="82" t="n">
        <f aca="false">ROUND(Y44-(BH44+W44-X44),3)</f>
        <v>-25.781</v>
      </c>
      <c r="AA44" s="82" t="n">
        <f aca="false">IF(AND(U44=$R$3,OR($R$1="*",T44=$R$1),OR($R$2="*",AG44=$R$2),OR($R$6="*",AC44=$R$6),ABS(V44)+ABS(W44)+ABS(X44)+ABS(Y44)&gt;0),1,0)</f>
        <v>0</v>
      </c>
      <c r="AB44" s="0" t="str">
        <f aca="false">IF(AA44=1,SUM(AA$40:AA44),"")</f>
        <v/>
      </c>
      <c r="AC44" s="0" t="str">
        <f aca="false">IF(ABS(Z44)&lt;=$R$5,"Confere",IF(Z44&gt;0,"Sobrando","Faltando"))</f>
        <v>Faltando</v>
      </c>
      <c r="AD44" s="82" t="n">
        <f aca="false">IF(OR($R$4="*",$R$4="Saída"),COUNTIFS('3 Base Saídas'!$G$2:$G$5000,"&gt;="&amp;$F$5,'3 Base Saídas'!$G$2:$G$5000,"&lt;="&amp;$H$5,'3 Base Saídas'!$B$2:$B$5000,$T44,'3 Base Saídas'!$C$2:$C$5000,$AG44),0)+IF($R$4&lt;&gt;"Saída",COUNTIFS('3 Base Entrada 2008'!$F$2:$F$5000,"&gt;="&amp;$F$5,'3 Base Entrada 2008'!$F$2:$F$5000,"&lt;="&amp;$H$5,'3 Base Entrada 2008'!$B$2:$B$5000,$T44,'3 Base Entrada 2008'!$C$2:$C$5000,$AG44,'3 Base Entrada 2008'!$K$2:$K$5000,$R$4),0)</f>
        <v>1</v>
      </c>
      <c r="AE44" s="0" t="str">
        <f aca="false">'5 Conciliação'!K18</f>
        <v>Estoque físico menor que o esperado: saída, ajuste ou perda não lançada no período</v>
      </c>
      <c r="AF44" s="82" t="n">
        <f aca="false">IF(AND(AA44=1,AC44&lt;&gt;"Confere"),ABS(Z44)+ROW()/10000000,0)</f>
        <v>0</v>
      </c>
      <c r="AG44" s="82" t="s">
        <v>239</v>
      </c>
      <c r="AH44" s="82" t="n">
        <f aca="false">LARGE($AF$40:$AF$133,5)</f>
        <v>1268.4000049</v>
      </c>
      <c r="AI44" s="82" t="n">
        <f aca="false">IF(AH44&gt;0,MATCH(AH44,$AF$40:$AF$133,0),"")</f>
        <v>10</v>
      </c>
      <c r="AJ44" s="0" t="str">
        <f aca="false">IF(AI44="","",INDEX($T$40:$T$133,AI44)&amp;" · "&amp;INDEX($AG$40:$AG$133,AI44))</f>
        <v>805-BR-D94 · 251633359</v>
      </c>
      <c r="AK44" s="82" t="n">
        <f aca="false">IF(AI44="",0,MAX(INDEX($Z$40:$Z$133,AI44),0))</f>
        <v>1268.4</v>
      </c>
      <c r="AL44" s="82" t="n">
        <f aca="false">IF(AI44="",0,MIN(INDEX($Z$40:$Z$133,AI44),0))</f>
        <v>0</v>
      </c>
      <c r="AN44" s="82" t="s">
        <v>1757</v>
      </c>
      <c r="AO44" s="120" t="n">
        <v>46278</v>
      </c>
      <c r="AP44" s="82" t="n">
        <f aca="false">IF(AND(AO44&gt;=$F$5,AO44&lt;=$H$5,$R$4&lt;&gt;"Saída"),SUMIFS('3 Base Entrada 2008'!$L$2:$L$5000,'3 Base Entrada 2008'!$F$2:$F$5000,$AO44,'3 Base Entrada 2008'!$B$2:$B$5000,$R$1,'3 Base Entrada 2008'!$C$2:$C$5000,$R$2,'3 Base Entrada 2008'!$H$2:$H$5000,$R$3,'3 Base Entrada 2008'!$K$2:$K$5000,$R$4),0)</f>
        <v>0</v>
      </c>
      <c r="AQ44" s="82" t="n">
        <f aca="false">IF(AND(AO44&gt;=$F$5,AO44&lt;=$H$5,OR($R$4="*",$R$4="Saída")),-SUMIFS('3 Base Saídas'!$R$2:$R$5000,'3 Base Saídas'!$G$2:$G$5000,$AO44,'3 Base Saídas'!$B$2:$B$5000,$R$1,'3 Base Saídas'!$C$2:$C$5000,$R$2,'3 Base Saídas'!$I$2:$I$5000,$R$3),0)</f>
        <v>-410.8</v>
      </c>
      <c r="AR44" s="82" t="n">
        <f aca="false">SUM($AP$40:AP44)+SUM($AQ$40:AQ44)</f>
        <v>3220.96</v>
      </c>
      <c r="AS44" s="82" t="s">
        <v>284</v>
      </c>
      <c r="AV44" s="0" t="str">
        <f aca="false">IFERROR(INDEX($AX$1:$AX$94,MATCH(43,$AY$1:$AY$94,0)),"")</f>
        <v>260720939</v>
      </c>
      <c r="AW44" s="82" t="s">
        <v>351</v>
      </c>
      <c r="AX44" s="82" t="s">
        <v>352</v>
      </c>
      <c r="AY44" s="82" t="n">
        <f aca="false">IF(OR($A$5="Todos",AW44=$A$5),MAX(AY$1:AY43)+1,0)</f>
        <v>44</v>
      </c>
      <c r="BB44" s="82" t="n">
        <f aca="false">MIN(IF(_xlfn.MINIFS('3 Base Entrada 2008'!$F$2:$F$5000,'3 Base Entrada 2008'!$F$2:$F$5000,"&gt;="&amp;$F$5,'3 Base Entrada 2008'!$F$2:$F$5000,"&lt;="&amp;$H$5,'3 Base Entrada 2008'!$B$2:$B$5000,$T44,'3 Base Entrada 2008'!$C$2:$C$5000,$AG44)=0,99999,_xlfn.MINIFS('3 Base Entrada 2008'!$F$2:$F$5000,'3 Base Entrada 2008'!$F$2:$F$5000,"&gt;="&amp;$F$5,'3 Base Entrada 2008'!$F$2:$F$5000,"&lt;="&amp;$H$5,'3 Base Entrada 2008'!$B$2:$B$5000,$T44,'3 Base Entrada 2008'!$C$2:$C$5000,$AG44)),IF(_xlfn.MINIFS('3 Base Saídas'!$G$2:$G$5000,'3 Base Saídas'!$G$2:$G$5000,"&gt;="&amp;$F$5,'3 Base Saídas'!$G$2:$G$5000,"&lt;="&amp;$H$5,'3 Base Saídas'!$B$2:$B$5000,$T44,'3 Base Saídas'!$C$2:$C$5000,$AG44)=0,99999,_xlfn.MINIFS('3 Base Saídas'!$G$2:$G$5000,'3 Base Saídas'!$G$2:$G$5000,"&gt;="&amp;$F$5,'3 Base Saídas'!$G$2:$G$5000,"&lt;="&amp;$H$5,'3 Base Saídas'!$B$2:$B$5000,$T44,'3 Base Saídas'!$C$2:$C$5000,$AG44)))</f>
        <v>46294</v>
      </c>
      <c r="BC44" s="82" t="n">
        <f aca="false">MAX(_xlfn.MAXIFS('3 Base Entrada 2008'!$F$2:$F$5000,'3 Base Entrada 2008'!$F$2:$F$5000,"&gt;="&amp;$F$5,'3 Base Entrada 2008'!$F$2:$F$5000,"&lt;="&amp;$H$5,'3 Base Entrada 2008'!$B$2:$B$5000,$T44,'3 Base Entrada 2008'!$C$2:$C$5000,$AG44),_xlfn.MAXIFS('3 Base Saídas'!$G$2:$G$5000,'3 Base Saídas'!$G$2:$G$5000,"&gt;="&amp;$F$5,'3 Base Saídas'!$G$2:$G$5000,"&lt;="&amp;$H$5,'3 Base Saídas'!$B$2:$B$5000,$T44,'3 Base Saídas'!$C$2:$C$5000,$AG44))</f>
        <v>46294</v>
      </c>
      <c r="BD44" s="0" t="str">
        <f aca="false">'5 Conciliação'!L18</f>
        <v>Contar o lote. Se a falta se confirmar: lançar a saída esquecida (601) ou ajuste de inventário de −25.8 UN</v>
      </c>
      <c r="BE44" s="0" t="str">
        <f aca="false">'5 Conciliação'!Q18</f>
        <v>Falta sem explicação</v>
      </c>
      <c r="BF44" s="0" t="str">
        <f aca="false">'5 Conciliação'!R18</f>
        <v>Alta</v>
      </c>
      <c r="BH44" s="82" t="n">
        <f aca="false">SUMIFS('3 Base Saldo Inicial 08-09'!$E$2:$E$5000,'3 Base Saldo Inicial 08-09'!$A$2:$A$5000,$T44,'3 Base Saldo Inicial 08-09'!$B$2:$B$5000,$AG44)-SUMIFS('3 Base Saldo Inicial 08-09'!$E$2:$E$5000,'3 Base Saldo Inicial 08-09'!$A$2:$A$5000,$T44,'3 Base Saldo Inicial 08-09'!$B$2:$B$5000,$AG44,'3 Base Saldo Inicial 08-09'!$C$2:$C$5000,"2008")</f>
        <v>0</v>
      </c>
    </row>
    <row r="45" customFormat="false" ht="15" hidden="false" customHeight="false" outlineLevel="0" collapsed="false">
      <c r="A45" s="111" t="str">
        <f aca="false">IF(IFERROR(MATCH(32,$AB$40:$AB$133,0),0)=0,"",INDEX($T$40:$T$133,IFERROR(MATCH(32,$AB$40:$AB$133,0),0)))</f>
        <v>811NV-595</v>
      </c>
      <c r="B45" s="111" t="str">
        <f aca="false">IF(IFERROR(MATCH(32,$AB$40:$AB$133,0),0)=0,"",INDEX($AG$40:$AG$133,IFERROR(MATCH(32,$AB$40:$AB$133,0),0)))</f>
        <v>261146102</v>
      </c>
      <c r="C45" s="112" t="str">
        <f aca="false">IF(IFERROR(MATCH(32,$AB$40:$AB$133,0),0)=0,"",INDEX($U$40:$U$133,IFERROR(MATCH(32,$AB$40:$AB$133,0),0)))</f>
        <v>KG</v>
      </c>
      <c r="D45" s="113" t="n">
        <f aca="false">IF(IFERROR(MATCH(32,$AB$40:$AB$133,0),0)=0,"",INDEX($BH$40:$BH$133,IFERROR(MATCH(32,$AB$40:$AB$133,0),0)))</f>
        <v>0</v>
      </c>
      <c r="E45" s="113" t="n">
        <f aca="false">IF(IFERROR(MATCH(32,$AB$40:$AB$133,0),0)=0,"",INDEX($W$40:$W$133,IFERROR(MATCH(32,$AB$40:$AB$133,0),0)))</f>
        <v>1660</v>
      </c>
      <c r="F45" s="113" t="n">
        <f aca="false">IF(IFERROR(MATCH(32,$AB$40:$AB$133,0),0)=0,"",INDEX($X$40:$X$133,IFERROR(MATCH(32,$AB$40:$AB$133,0),0)))</f>
        <v>580</v>
      </c>
      <c r="G45" s="113" t="n">
        <f aca="false">IF(A45="","",D45+E45-F45)</f>
        <v>1080</v>
      </c>
      <c r="H45" s="113" t="n">
        <f aca="false">IF(IFERROR(MATCH(32,$AB$40:$AB$133,0),0)=0,"",INDEX($Y$40:$Y$133,IFERROR(MATCH(32,$AB$40:$AB$133,0),0)))</f>
        <v>1080</v>
      </c>
      <c r="I45" s="114" t="n">
        <f aca="false">IF(IFERROR(MATCH(32,$AB$40:$AB$133,0),0)=0,"",INDEX($Z$40:$Z$133,IFERROR(MATCH(32,$AB$40:$AB$133,0),0)))</f>
        <v>0</v>
      </c>
      <c r="J45" s="115" t="str">
        <f aca="false">IF(IFERROR(MATCH(32,$AB$40:$AB$133,0),0)=0,"",INDEX($AC$40:$AC$133,IFERROR(MATCH(32,$AB$40:$AB$133,0),0)))</f>
        <v>Confere</v>
      </c>
      <c r="K45" s="116" t="n">
        <f aca="false">IF(IFERROR(MATCH(32,$AB$40:$AB$133,0),0)=0,"",INDEX($AD$40:$AD$133,IFERROR(MATCH(32,$AB$40:$AB$133,0),0)))</f>
        <v>10</v>
      </c>
      <c r="L45" s="117" t="n">
        <f aca="false">IF(IFERROR(MATCH(32,$AB$40:$AB$133,0),0)=0,"",IF(INDEX($BB$40:$BB$133,IFERROR(MATCH(32,$AB$40:$AB$133,0),0))&gt;=99999,"",INDEX($BB$40:$BB$133,IFERROR(MATCH(32,$AB$40:$AB$133,0),0))))</f>
        <v>46275</v>
      </c>
      <c r="M45" s="117" t="n">
        <f aca="false">IF(IFERROR(MATCH(32,$AB$40:$AB$133,0),0)=0,"",IF(INDEX($BC$40:$BC$133,IFERROR(MATCH(32,$AB$40:$AB$133,0),0))=0,"",INDEX($BC$40:$BC$133,IFERROR(MATCH(32,$AB$40:$AB$133,0),0))))</f>
        <v>46295</v>
      </c>
      <c r="N45" s="118" t="str">
        <f aca="false">IF(IFERROR(MATCH(32,$AB$40:$AB$133,0),0)=0,"",INDEX($AE$40:$AE$133,IFERROR(MATCH(32,$AB$40:$AB$133,0),0))&amp;"")</f>
        <v>Sem diferença</v>
      </c>
      <c r="O45" s="119" t="str">
        <f aca="false">IF(IFERROR(MATCH(32,$AB$40:$AB$133,0),0)=0,"",INDEX($BD$40:$BD$133,IFERROR(MATCH(32,$AB$40:$AB$133,0),0))&amp;"")</f>
        <v>Nenhum ajuste necessário</v>
      </c>
      <c r="T45" s="82" t="s">
        <v>314</v>
      </c>
      <c r="U45" s="82" t="s">
        <v>65</v>
      </c>
      <c r="V45" s="82" t="n">
        <f aca="false">SUMIFS('3 Base Entrada 2008'!$G$2:$G$5000,'3 Base Entrada 2008'!$F$2:$F$5000,"&gt;="&amp;$F$5,'3 Base Entrada 2008'!$F$2:$F$5000,"&lt;="&amp;$H$5,'3 Base Entrada 2008'!$B$2:$B$5000,$T45,'3 Base Entrada 2008'!$C$2:$C$5000,$AG45,'3 Base Entrada 2008'!$K$2:$K$5000,"Recebido no 2008")</f>
        <v>0</v>
      </c>
      <c r="W45" s="82" t="n">
        <f aca="false">SUMIFS('3 Base Entrada 2008'!$L$2:$L$5000,'3 Base Entrada 2008'!$F$2:$F$5000,"&gt;="&amp;$F$5,'3 Base Entrada 2008'!$F$2:$F$5000,"&lt;="&amp;$H$5,'3 Base Entrada 2008'!$B$2:$B$5000,$T45,'3 Base Entrada 2008'!$C$2:$C$5000,$AG45)</f>
        <v>2.8</v>
      </c>
      <c r="X45" s="82" t="n">
        <f aca="false">SUMIFS('3 Base Saídas'!$R$2:$R$5000,'3 Base Saídas'!$G$2:$G$5000,"&gt;="&amp;$F$5,'3 Base Saídas'!$G$2:$G$5000,"&lt;="&amp;$H$5,'3 Base Saídas'!$B$2:$B$5000,$T45,'3 Base Saídas'!$C$2:$C$5000,$AG45)</f>
        <v>226.8</v>
      </c>
      <c r="Y45" s="82" t="n">
        <f aca="false">SUMIFS('3 Base Estoque Físico'!$J$2:$J$5000,'3 Base Estoque Físico'!$A$2:$A$5000,$T45,'3 Base Estoque Físico'!$B$2:$B$5000,$AG45)</f>
        <v>5513.2</v>
      </c>
      <c r="Z45" s="82" t="n">
        <f aca="false">ROUND(Y45-(BH45+W45-X45),3)</f>
        <v>5737.2</v>
      </c>
      <c r="AA45" s="82" t="n">
        <f aca="false">IF(AND(U45=$R$3,OR($R$1="*",T45=$R$1),OR($R$2="*",AG45=$R$2),OR($R$6="*",AC45=$R$6),ABS(V45)+ABS(W45)+ABS(X45)+ABS(Y45)&gt;0),1,0)</f>
        <v>1</v>
      </c>
      <c r="AB45" s="82" t="n">
        <f aca="false">IF(AA45=1,SUM(AA$40:AA45),"")</f>
        <v>4</v>
      </c>
      <c r="AC45" s="0" t="str">
        <f aca="false">IF(ABS(Z45)&lt;=$R$5,"Confere",IF(Z45&gt;0,"Sobrando","Faltando"))</f>
        <v>Sobrando</v>
      </c>
      <c r="AD45" s="82" t="n">
        <f aca="false">IF(OR($R$4="*",$R$4="Saída"),COUNTIFS('3 Base Saídas'!$G$2:$G$5000,"&gt;="&amp;$F$5,'3 Base Saídas'!$G$2:$G$5000,"&lt;="&amp;$H$5,'3 Base Saídas'!$B$2:$B$5000,$T45,'3 Base Saídas'!$C$2:$C$5000,$AG45),0)+IF($R$4&lt;&gt;"Saída",COUNTIFS('3 Base Entrada 2008'!$F$2:$F$5000,"&gt;="&amp;$F$5,'3 Base Entrada 2008'!$F$2:$F$5000,"&lt;="&amp;$H$5,'3 Base Entrada 2008'!$B$2:$B$5000,$T45,'3 Base Entrada 2008'!$C$2:$C$5000,$AG45,'3 Base Entrada 2008'!$K$2:$K$5000,$R$4),0)</f>
        <v>17</v>
      </c>
      <c r="AE45" s="0" t="str">
        <f aca="false">'5 Conciliação'!K19</f>
        <v>Explica em parte: estoque antigo 5,328.4 + doca/transferência 0.0; faltam 408.8 a explicar</v>
      </c>
      <c r="AF45" s="82" t="n">
        <f aca="false">IF(AND(AA45=1,AC45&lt;&gt;"Confere"),ABS(Z45)+ROW()/10000000,0)</f>
        <v>5737.2000045</v>
      </c>
      <c r="AG45" s="82" t="s">
        <v>315</v>
      </c>
      <c r="AH45" s="82" t="n">
        <f aca="false">LARGE($AF$40:$AF$133,6)</f>
        <v>1083.390005</v>
      </c>
      <c r="AI45" s="82" t="n">
        <f aca="false">IF(AH45&gt;0,MATCH(AH45,$AF$40:$AF$133,0),"")</f>
        <v>11</v>
      </c>
      <c r="AJ45" s="0" t="str">
        <f aca="false">IF(AI45="","",INDEX($T$40:$T$133,AI45)&amp;" · "&amp;INDEX($AG$40:$AG$133,AI45))</f>
        <v>W3-BR-25A · 253540301</v>
      </c>
      <c r="AK45" s="82" t="n">
        <f aca="false">IF(AI45="",0,MAX(INDEX($Z$40:$Z$133,AI45),0))</f>
        <v>1083.39</v>
      </c>
      <c r="AL45" s="82" t="n">
        <f aca="false">IF(AI45="",0,MIN(INDEX($Z$40:$Z$133,AI45),0))</f>
        <v>0</v>
      </c>
      <c r="AN45" s="82" t="s">
        <v>1758</v>
      </c>
      <c r="AO45" s="120" t="n">
        <v>46279</v>
      </c>
      <c r="AP45" s="82" t="n">
        <f aca="false">IF(AND(AO45&gt;=$F$5,AO45&lt;=$H$5,$R$4&lt;&gt;"Saída"),SUMIFS('3 Base Entrada 2008'!$L$2:$L$5000,'3 Base Entrada 2008'!$F$2:$F$5000,$AO45,'3 Base Entrada 2008'!$B$2:$B$5000,$R$1,'3 Base Entrada 2008'!$C$2:$C$5000,$R$2,'3 Base Entrada 2008'!$H$2:$H$5000,$R$3,'3 Base Entrada 2008'!$K$2:$K$5000,$R$4),0)</f>
        <v>0</v>
      </c>
      <c r="AQ45" s="82" t="n">
        <f aca="false">IF(AND(AO45&gt;=$F$5,AO45&lt;=$H$5,OR($R$4="*",$R$4="Saída")),-SUMIFS('3 Base Saídas'!$R$2:$R$5000,'3 Base Saídas'!$G$2:$G$5000,$AO45,'3 Base Saídas'!$B$2:$B$5000,$R$1,'3 Base Saídas'!$C$2:$C$5000,$R$2,'3 Base Saídas'!$I$2:$I$5000,$R$3),0)</f>
        <v>-163</v>
      </c>
      <c r="AR45" s="82" t="n">
        <f aca="false">SUM($AP$40:AP45)+SUM($AQ$40:AQ45)</f>
        <v>3057.96</v>
      </c>
      <c r="AS45" s="82" t="s">
        <v>286</v>
      </c>
      <c r="AV45" s="0" t="str">
        <f aca="false">IFERROR(INDEX($AX$1:$AX$94,MATCH(44,$AY$1:$AY$94,0)),"")</f>
        <v>260536201</v>
      </c>
      <c r="AW45" s="82" t="s">
        <v>252</v>
      </c>
      <c r="AX45" s="82" t="s">
        <v>253</v>
      </c>
      <c r="AY45" s="82" t="n">
        <f aca="false">IF(OR($A$5="Todos",AW45=$A$5),MAX(AY$1:AY44)+1,0)</f>
        <v>45</v>
      </c>
      <c r="BB45" s="82" t="n">
        <f aca="false">MIN(IF(_xlfn.MINIFS('3 Base Entrada 2008'!$F$2:$F$5000,'3 Base Entrada 2008'!$F$2:$F$5000,"&gt;="&amp;$F$5,'3 Base Entrada 2008'!$F$2:$F$5000,"&lt;="&amp;$H$5,'3 Base Entrada 2008'!$B$2:$B$5000,$T45,'3 Base Entrada 2008'!$C$2:$C$5000,$AG45)=0,99999,_xlfn.MINIFS('3 Base Entrada 2008'!$F$2:$F$5000,'3 Base Entrada 2008'!$F$2:$F$5000,"&gt;="&amp;$F$5,'3 Base Entrada 2008'!$F$2:$F$5000,"&lt;="&amp;$H$5,'3 Base Entrada 2008'!$B$2:$B$5000,$T45,'3 Base Entrada 2008'!$C$2:$C$5000,$AG45)),IF(_xlfn.MINIFS('3 Base Saídas'!$G$2:$G$5000,'3 Base Saídas'!$G$2:$G$5000,"&gt;="&amp;$F$5,'3 Base Saídas'!$G$2:$G$5000,"&lt;="&amp;$H$5,'3 Base Saídas'!$B$2:$B$5000,$T45,'3 Base Saídas'!$C$2:$C$5000,$AG45)=0,99999,_xlfn.MINIFS('3 Base Saídas'!$G$2:$G$5000,'3 Base Saídas'!$G$2:$G$5000,"&gt;="&amp;$F$5,'3 Base Saídas'!$G$2:$G$5000,"&lt;="&amp;$H$5,'3 Base Saídas'!$B$2:$B$5000,$T45,'3 Base Saídas'!$C$2:$C$5000,$AG45)))</f>
        <v>46284</v>
      </c>
      <c r="BC45" s="82" t="n">
        <f aca="false">MAX(_xlfn.MAXIFS('3 Base Entrada 2008'!$F$2:$F$5000,'3 Base Entrada 2008'!$F$2:$F$5000,"&gt;="&amp;$F$5,'3 Base Entrada 2008'!$F$2:$F$5000,"&lt;="&amp;$H$5,'3 Base Entrada 2008'!$B$2:$B$5000,$T45,'3 Base Entrada 2008'!$C$2:$C$5000,$AG45),_xlfn.MAXIFS('3 Base Saídas'!$G$2:$G$5000,'3 Base Saídas'!$G$2:$G$5000,"&gt;="&amp;$F$5,'3 Base Saídas'!$G$2:$G$5000,"&lt;="&amp;$H$5,'3 Base Saídas'!$B$2:$B$5000,$T45,'3 Base Saídas'!$C$2:$C$5000,$AG45))</f>
        <v>46295</v>
      </c>
      <c r="BD45" s="0" t="str">
        <f aca="false">'5 Conciliação'!L19</f>
        <v>Confirmar saldo de 08/09 e OTs de doca; contar o lote para os 408.8 KG restantes e ajustar a sobra se confirmada</v>
      </c>
      <c r="BE45" s="0" t="str">
        <f aca="false">'5 Conciliação'!Q19</f>
        <v>Sobra parcialmente explicada</v>
      </c>
      <c r="BF45" s="0" t="str">
        <f aca="false">'5 Conciliação'!R19</f>
        <v>Média</v>
      </c>
      <c r="BH45" s="82" t="n">
        <f aca="false">SUMIFS('3 Base Saldo Inicial 08-09'!$E$2:$E$5000,'3 Base Saldo Inicial 08-09'!$A$2:$A$5000,$T45,'3 Base Saldo Inicial 08-09'!$B$2:$B$5000,$AG45)-SUMIFS('3 Base Saldo Inicial 08-09'!$E$2:$E$5000,'3 Base Saldo Inicial 08-09'!$A$2:$A$5000,$T45,'3 Base Saldo Inicial 08-09'!$B$2:$B$5000,$AG45,'3 Base Saldo Inicial 08-09'!$C$2:$C$5000,"2008")</f>
        <v>0</v>
      </c>
    </row>
    <row r="46" customFormat="false" ht="15" hidden="false" customHeight="false" outlineLevel="0" collapsed="false">
      <c r="A46" s="111" t="str">
        <f aca="false">IF(IFERROR(MATCH(33,$AB$40:$AB$133,0),0)=0,"",INDEX($T$40:$T$133,IFERROR(MATCH(33,$AB$40:$AB$133,0),0)))</f>
        <v>823-BR-25A</v>
      </c>
      <c r="B46" s="111" t="str">
        <f aca="false">IF(IFERROR(MATCH(33,$AB$40:$AB$133,0),0)=0,"",INDEX($AG$40:$AG$133,IFERROR(MATCH(33,$AB$40:$AB$133,0),0)))</f>
        <v>252100301</v>
      </c>
      <c r="C46" s="112" t="str">
        <f aca="false">IF(IFERROR(MATCH(33,$AB$40:$AB$133,0),0)=0,"",INDEX($U$40:$U$133,IFERROR(MATCH(33,$AB$40:$AB$133,0),0)))</f>
        <v>KG</v>
      </c>
      <c r="D46" s="113" t="n">
        <f aca="false">IF(IFERROR(MATCH(33,$AB$40:$AB$133,0),0)=0,"",INDEX($BH$40:$BH$133,IFERROR(MATCH(33,$AB$40:$AB$133,0),0)))</f>
        <v>0</v>
      </c>
      <c r="E46" s="113" t="n">
        <f aca="false">IF(IFERROR(MATCH(33,$AB$40:$AB$133,0),0)=0,"",INDEX($W$40:$W$133,IFERROR(MATCH(33,$AB$40:$AB$133,0),0)))</f>
        <v>461.9</v>
      </c>
      <c r="F46" s="113" t="n">
        <f aca="false">IF(IFERROR(MATCH(33,$AB$40:$AB$133,0),0)=0,"",INDEX($X$40:$X$133,IFERROR(MATCH(33,$AB$40:$AB$133,0),0)))</f>
        <v>442.2</v>
      </c>
      <c r="G46" s="113" t="n">
        <f aca="false">IF(A46="","",D46+E46-F46)</f>
        <v>19.7</v>
      </c>
      <c r="H46" s="113" t="n">
        <f aca="false">IF(IFERROR(MATCH(33,$AB$40:$AB$133,0),0)=0,"",INDEX($Y$40:$Y$133,IFERROR(MATCH(33,$AB$40:$AB$133,0),0)))</f>
        <v>19.7</v>
      </c>
      <c r="I46" s="114" t="n">
        <f aca="false">IF(IFERROR(MATCH(33,$AB$40:$AB$133,0),0)=0,"",INDEX($Z$40:$Z$133,IFERROR(MATCH(33,$AB$40:$AB$133,0),0)))</f>
        <v>0</v>
      </c>
      <c r="J46" s="115" t="str">
        <f aca="false">IF(IFERROR(MATCH(33,$AB$40:$AB$133,0),0)=0,"",INDEX($AC$40:$AC$133,IFERROR(MATCH(33,$AB$40:$AB$133,0),0)))</f>
        <v>Confere</v>
      </c>
      <c r="K46" s="116" t="n">
        <f aca="false">IF(IFERROR(MATCH(33,$AB$40:$AB$133,0),0)=0,"",INDEX($AD$40:$AD$133,IFERROR(MATCH(33,$AB$40:$AB$133,0),0)))</f>
        <v>2</v>
      </c>
      <c r="L46" s="117" t="n">
        <f aca="false">IF(IFERROR(MATCH(33,$AB$40:$AB$133,0),0)=0,"",IF(INDEX($BB$40:$BB$133,IFERROR(MATCH(33,$AB$40:$AB$133,0),0))&gt;=99999,"",INDEX($BB$40:$BB$133,IFERROR(MATCH(33,$AB$40:$AB$133,0),0))))</f>
        <v>46289</v>
      </c>
      <c r="M46" s="117" t="n">
        <f aca="false">IF(IFERROR(MATCH(33,$AB$40:$AB$133,0),0)=0,"",IF(INDEX($BC$40:$BC$133,IFERROR(MATCH(33,$AB$40:$AB$133,0),0))=0,"",INDEX($BC$40:$BC$133,IFERROR(MATCH(33,$AB$40:$AB$133,0),0))))</f>
        <v>46291</v>
      </c>
      <c r="N46" s="118" t="str">
        <f aca="false">IF(IFERROR(MATCH(33,$AB$40:$AB$133,0),0)=0,"",INDEX($AE$40:$AE$133,IFERROR(MATCH(33,$AB$40:$AB$133,0),0))&amp;"")</f>
        <v>Sem diferença</v>
      </c>
      <c r="O46" s="119" t="str">
        <f aca="false">IF(IFERROR(MATCH(33,$AB$40:$AB$133,0),0)=0,"",INDEX($BD$40:$BD$133,IFERROR(MATCH(33,$AB$40:$AB$133,0),0))&amp;"")</f>
        <v>Nenhum ajuste necessário</v>
      </c>
      <c r="T46" s="82" t="s">
        <v>257</v>
      </c>
      <c r="U46" s="82" t="s">
        <v>65</v>
      </c>
      <c r="V46" s="82" t="n">
        <f aca="false">SUMIFS('3 Base Entrada 2008'!$G$2:$G$5000,'3 Base Entrada 2008'!$F$2:$F$5000,"&gt;="&amp;$F$5,'3 Base Entrada 2008'!$F$2:$F$5000,"&lt;="&amp;$H$5,'3 Base Entrada 2008'!$B$2:$B$5000,$T46,'3 Base Entrada 2008'!$C$2:$C$5000,$AG46,'3 Base Entrada 2008'!$K$2:$K$5000,"Recebido no 2008")</f>
        <v>0</v>
      </c>
      <c r="W46" s="82" t="n">
        <f aca="false">SUMIFS('3 Base Entrada 2008'!$L$2:$L$5000,'3 Base Entrada 2008'!$F$2:$F$5000,"&gt;="&amp;$F$5,'3 Base Entrada 2008'!$F$2:$F$5000,"&lt;="&amp;$H$5,'3 Base Entrada 2008'!$B$2:$B$5000,$T46,'3 Base Entrada 2008'!$C$2:$C$5000,$AG46)</f>
        <v>966</v>
      </c>
      <c r="X46" s="82" t="n">
        <f aca="false">SUMIFS('3 Base Saídas'!$R$2:$R$5000,'3 Base Saídas'!$G$2:$G$5000,"&gt;="&amp;$F$5,'3 Base Saídas'!$G$2:$G$5000,"&lt;="&amp;$H$5,'3 Base Saídas'!$B$2:$B$5000,$T46,'3 Base Saídas'!$C$2:$C$5000,$AG46)</f>
        <v>906</v>
      </c>
      <c r="Y46" s="82" t="n">
        <f aca="false">SUMIFS('3 Base Estoque Físico'!$J$2:$J$5000,'3 Base Estoque Físico'!$A$2:$A$5000,$T46,'3 Base Estoque Físico'!$B$2:$B$5000,$AG46)</f>
        <v>3754.998</v>
      </c>
      <c r="Z46" s="82" t="n">
        <f aca="false">ROUND(Y46-(BH46+W46-X46),3)</f>
        <v>3694.998</v>
      </c>
      <c r="AA46" s="82" t="n">
        <f aca="false">IF(AND(U46=$R$3,OR($R$1="*",T46=$R$1),OR($R$2="*",AG46=$R$2),OR($R$6="*",AC46=$R$6),ABS(V46)+ABS(W46)+ABS(X46)+ABS(Y46)&gt;0),1,0)</f>
        <v>1</v>
      </c>
      <c r="AB46" s="82" t="n">
        <f aca="false">IF(AA46=1,SUM(AA$40:AA46),"")</f>
        <v>5</v>
      </c>
      <c r="AC46" s="0" t="str">
        <f aca="false">IF(ABS(Z46)&lt;=$R$5,"Confere",IF(Z46&gt;0,"Sobrando","Faltando"))</f>
        <v>Sobrando</v>
      </c>
      <c r="AD46" s="82" t="n">
        <f aca="false">IF(OR($R$4="*",$R$4="Saída"),COUNTIFS('3 Base Saídas'!$G$2:$G$5000,"&gt;="&amp;$F$5,'3 Base Saídas'!$G$2:$G$5000,"&lt;="&amp;$H$5,'3 Base Saídas'!$B$2:$B$5000,$T46,'3 Base Saídas'!$C$2:$C$5000,$AG46),0)+IF($R$4&lt;&gt;"Saída",COUNTIFS('3 Base Entrada 2008'!$F$2:$F$5000,"&gt;="&amp;$F$5,'3 Base Entrada 2008'!$F$2:$F$5000,"&lt;="&amp;$H$5,'3 Base Entrada 2008'!$B$2:$B$5000,$T46,'3 Base Entrada 2008'!$C$2:$C$5000,$AG46,'3 Base Entrada 2008'!$K$2:$K$5000,$R$4),0)</f>
        <v>30</v>
      </c>
      <c r="AE46" s="0" t="str">
        <f aca="false">'5 Conciliação'!K20</f>
        <v>Explica em parte: estoque antigo 1,343.0 + doca/transferência 204.0; faltam 2,148.0 a explicar</v>
      </c>
      <c r="AF46" s="82" t="n">
        <f aca="false">IF(AND(AA46=1,AC46&lt;&gt;"Confere"),ABS(Z46)+ROW()/10000000,0)</f>
        <v>3694.9980046</v>
      </c>
      <c r="AG46" s="82" t="s">
        <v>258</v>
      </c>
      <c r="AH46" s="82" t="n">
        <f aca="false">LARGE($AF$40:$AF$133,7)</f>
        <v>924.6000051</v>
      </c>
      <c r="AI46" s="82" t="n">
        <f aca="false">IF(AH46&gt;0,MATCH(AH46,$AF$40:$AF$133,0),"")</f>
        <v>12</v>
      </c>
      <c r="AJ46" s="0" t="str">
        <f aca="false">IF(AI46="","",INDEX($T$40:$T$133,AI46)&amp;" · "&amp;INDEX($AG$40:$AG$133,AI46))</f>
        <v>CW2-BR-25A · 253470301</v>
      </c>
      <c r="AK46" s="82" t="n">
        <f aca="false">IF(AI46="",0,MAX(INDEX($Z$40:$Z$133,AI46),0))</f>
        <v>924.6</v>
      </c>
      <c r="AL46" s="82" t="n">
        <f aca="false">IF(AI46="",0,MIN(INDEX($Z$40:$Z$133,AI46),0))</f>
        <v>0</v>
      </c>
      <c r="AN46" s="82" t="s">
        <v>1759</v>
      </c>
      <c r="AO46" s="120" t="n">
        <v>46280</v>
      </c>
      <c r="AP46" s="82" t="n">
        <f aca="false">IF(AND(AO46&gt;=$F$5,AO46&lt;=$H$5,$R$4&lt;&gt;"Saída"),SUMIFS('3 Base Entrada 2008'!$L$2:$L$5000,'3 Base Entrada 2008'!$F$2:$F$5000,$AO46,'3 Base Entrada 2008'!$B$2:$B$5000,$R$1,'3 Base Entrada 2008'!$C$2:$C$5000,$R$2,'3 Base Entrada 2008'!$H$2:$H$5000,$R$3,'3 Base Entrada 2008'!$K$2:$K$5000,$R$4),0)</f>
        <v>0</v>
      </c>
      <c r="AQ46" s="82" t="n">
        <f aca="false">IF(AND(AO46&gt;=$F$5,AO46&lt;=$H$5,OR($R$4="*",$R$4="Saída")),-SUMIFS('3 Base Saídas'!$R$2:$R$5000,'3 Base Saídas'!$G$2:$G$5000,$AO46,'3 Base Saídas'!$B$2:$B$5000,$R$1,'3 Base Saídas'!$C$2:$C$5000,$R$2,'3 Base Saídas'!$I$2:$I$5000,$R$3),0)</f>
        <v>-340</v>
      </c>
      <c r="AR46" s="82" t="n">
        <f aca="false">SUM($AP$40:AP46)+SUM($AQ$40:AQ46)</f>
        <v>2717.96</v>
      </c>
      <c r="AS46" s="82" t="s">
        <v>301</v>
      </c>
      <c r="AV46" s="0" t="str">
        <f aca="false">IFERROR(INDEX($AX$1:$AX$94,MATCH(45,$AY$1:$AY$94,0)),"")</f>
        <v>260701069</v>
      </c>
      <c r="AW46" s="82" t="s">
        <v>354</v>
      </c>
      <c r="AX46" s="82" t="s">
        <v>355</v>
      </c>
      <c r="AY46" s="82" t="n">
        <f aca="false">IF(OR($A$5="Todos",AW46=$A$5),MAX(AY$1:AY45)+1,0)</f>
        <v>46</v>
      </c>
      <c r="BB46" s="82" t="n">
        <f aca="false">MIN(IF(_xlfn.MINIFS('3 Base Entrada 2008'!$F$2:$F$5000,'3 Base Entrada 2008'!$F$2:$F$5000,"&gt;="&amp;$F$5,'3 Base Entrada 2008'!$F$2:$F$5000,"&lt;="&amp;$H$5,'3 Base Entrada 2008'!$B$2:$B$5000,$T46,'3 Base Entrada 2008'!$C$2:$C$5000,$AG46)=0,99999,_xlfn.MINIFS('3 Base Entrada 2008'!$F$2:$F$5000,'3 Base Entrada 2008'!$F$2:$F$5000,"&gt;="&amp;$F$5,'3 Base Entrada 2008'!$F$2:$F$5000,"&lt;="&amp;$H$5,'3 Base Entrada 2008'!$B$2:$B$5000,$T46,'3 Base Entrada 2008'!$C$2:$C$5000,$AG46)),IF(_xlfn.MINIFS('3 Base Saídas'!$G$2:$G$5000,'3 Base Saídas'!$G$2:$G$5000,"&gt;="&amp;$F$5,'3 Base Saídas'!$G$2:$G$5000,"&lt;="&amp;$H$5,'3 Base Saídas'!$B$2:$B$5000,$T46,'3 Base Saídas'!$C$2:$C$5000,$AG46)=0,99999,_xlfn.MINIFS('3 Base Saídas'!$G$2:$G$5000,'3 Base Saídas'!$G$2:$G$5000,"&gt;="&amp;$F$5,'3 Base Saídas'!$G$2:$G$5000,"&lt;="&amp;$H$5,'3 Base Saídas'!$B$2:$B$5000,$T46,'3 Base Saídas'!$C$2:$C$5000,$AG46)))</f>
        <v>46275</v>
      </c>
      <c r="BC46" s="82" t="n">
        <f aca="false">MAX(_xlfn.MAXIFS('3 Base Entrada 2008'!$F$2:$F$5000,'3 Base Entrada 2008'!$F$2:$F$5000,"&gt;="&amp;$F$5,'3 Base Entrada 2008'!$F$2:$F$5000,"&lt;="&amp;$H$5,'3 Base Entrada 2008'!$B$2:$B$5000,$T46,'3 Base Entrada 2008'!$C$2:$C$5000,$AG46),_xlfn.MAXIFS('3 Base Saídas'!$G$2:$G$5000,'3 Base Saídas'!$G$2:$G$5000,"&gt;="&amp;$F$5,'3 Base Saídas'!$G$2:$G$5000,"&lt;="&amp;$H$5,'3 Base Saídas'!$B$2:$B$5000,$T46,'3 Base Saídas'!$C$2:$C$5000,$AG46))</f>
        <v>46293</v>
      </c>
      <c r="BD46" s="0" t="str">
        <f aca="false">'5 Conciliação'!L20</f>
        <v>Confirmar saldo de 08/09 e OTs de doca; contar o lote para os 2,148.0 KG restantes e ajustar a sobra se confirmada</v>
      </c>
      <c r="BE46" s="0" t="str">
        <f aca="false">'5 Conciliação'!Q20</f>
        <v>Sobra parcialmente explicada</v>
      </c>
      <c r="BF46" s="0" t="str">
        <f aca="false">'5 Conciliação'!R20</f>
        <v>Alta</v>
      </c>
      <c r="BH46" s="82" t="n">
        <f aca="false">SUMIFS('3 Base Saldo Inicial 08-09'!$E$2:$E$5000,'3 Base Saldo Inicial 08-09'!$A$2:$A$5000,$T46,'3 Base Saldo Inicial 08-09'!$B$2:$B$5000,$AG46)-SUMIFS('3 Base Saldo Inicial 08-09'!$E$2:$E$5000,'3 Base Saldo Inicial 08-09'!$A$2:$A$5000,$T46,'3 Base Saldo Inicial 08-09'!$B$2:$B$5000,$AG46,'3 Base Saldo Inicial 08-09'!$C$2:$C$5000,"2008")</f>
        <v>0</v>
      </c>
    </row>
    <row r="47" customFormat="false" ht="15" hidden="false" customHeight="false" outlineLevel="0" collapsed="false">
      <c r="A47" s="111" t="str">
        <f aca="false">IF(IFERROR(MATCH(34,$AB$40:$AB$133,0),0)=0,"",INDEX($T$40:$T$133,IFERROR(MATCH(34,$AB$40:$AB$133,0),0)))</f>
        <v>823-BR-25A</v>
      </c>
      <c r="B47" s="111" t="str">
        <f aca="false">IF(IFERROR(MATCH(34,$AB$40:$AB$133,0),0)=0,"",INDEX($AG$40:$AG$133,IFERROR(MATCH(34,$AB$40:$AB$133,0),0)))</f>
        <v>252940301</v>
      </c>
      <c r="C47" s="112" t="str">
        <f aca="false">IF(IFERROR(MATCH(34,$AB$40:$AB$133,0),0)=0,"",INDEX($U$40:$U$133,IFERROR(MATCH(34,$AB$40:$AB$133,0),0)))</f>
        <v>KG</v>
      </c>
      <c r="D47" s="113" t="n">
        <f aca="false">IF(IFERROR(MATCH(34,$AB$40:$AB$133,0),0)=0,"",INDEX($BH$40:$BH$133,IFERROR(MATCH(34,$AB$40:$AB$133,0),0)))</f>
        <v>0</v>
      </c>
      <c r="E47" s="113" t="n">
        <f aca="false">IF(IFERROR(MATCH(34,$AB$40:$AB$133,0),0)=0,"",INDEX($W$40:$W$133,IFERROR(MATCH(34,$AB$40:$AB$133,0),0)))</f>
        <v>1809</v>
      </c>
      <c r="F47" s="113" t="n">
        <f aca="false">IF(IFERROR(MATCH(34,$AB$40:$AB$133,0),0)=0,"",INDEX($X$40:$X$133,IFERROR(MATCH(34,$AB$40:$AB$133,0),0)))</f>
        <v>1025.1</v>
      </c>
      <c r="G47" s="113" t="n">
        <f aca="false">IF(A47="","",D47+E47-F47)</f>
        <v>783.9</v>
      </c>
      <c r="H47" s="113" t="n">
        <f aca="false">IF(IFERROR(MATCH(34,$AB$40:$AB$133,0),0)=0,"",INDEX($Y$40:$Y$133,IFERROR(MATCH(34,$AB$40:$AB$133,0),0)))</f>
        <v>783.9</v>
      </c>
      <c r="I47" s="114" t="n">
        <f aca="false">IF(IFERROR(MATCH(34,$AB$40:$AB$133,0),0)=0,"",INDEX($Z$40:$Z$133,IFERROR(MATCH(34,$AB$40:$AB$133,0),0)))</f>
        <v>0</v>
      </c>
      <c r="J47" s="115" t="str">
        <f aca="false">IF(IFERROR(MATCH(34,$AB$40:$AB$133,0),0)=0,"",INDEX($AC$40:$AC$133,IFERROR(MATCH(34,$AB$40:$AB$133,0),0)))</f>
        <v>Confere</v>
      </c>
      <c r="K47" s="116" t="n">
        <f aca="false">IF(IFERROR(MATCH(34,$AB$40:$AB$133,0),0)=0,"",INDEX($AD$40:$AD$133,IFERROR(MATCH(34,$AB$40:$AB$133,0),0)))</f>
        <v>9</v>
      </c>
      <c r="L47" s="117" t="n">
        <f aca="false">IF(IFERROR(MATCH(34,$AB$40:$AB$133,0),0)=0,"",IF(INDEX($BB$40:$BB$133,IFERROR(MATCH(34,$AB$40:$AB$133,0),0))&gt;=99999,"",INDEX($BB$40:$BB$133,IFERROR(MATCH(34,$AB$40:$AB$133,0),0))))</f>
        <v>46289</v>
      </c>
      <c r="M47" s="117" t="n">
        <f aca="false">IF(IFERROR(MATCH(34,$AB$40:$AB$133,0),0)=0,"",IF(INDEX($BC$40:$BC$133,IFERROR(MATCH(34,$AB$40:$AB$133,0),0))=0,"",INDEX($BC$40:$BC$133,IFERROR(MATCH(34,$AB$40:$AB$133,0),0))))</f>
        <v>46295</v>
      </c>
      <c r="N47" s="118" t="str">
        <f aca="false">IF(IFERROR(MATCH(34,$AB$40:$AB$133,0),0)=0,"",INDEX($AE$40:$AE$133,IFERROR(MATCH(34,$AB$40:$AB$133,0),0))&amp;"")</f>
        <v>Sem diferença</v>
      </c>
      <c r="O47" s="119" t="str">
        <f aca="false">IF(IFERROR(MATCH(34,$AB$40:$AB$133,0),0)=0,"",INDEX($BD$40:$BD$133,IFERROR(MATCH(34,$AB$40:$AB$133,0),0))&amp;"")</f>
        <v>Nenhum ajuste necessário</v>
      </c>
      <c r="T47" s="82" t="s">
        <v>245</v>
      </c>
      <c r="U47" s="82" t="s">
        <v>65</v>
      </c>
      <c r="V47" s="82" t="n">
        <f aca="false">SUMIFS('3 Base Entrada 2008'!$G$2:$G$5000,'3 Base Entrada 2008'!$F$2:$F$5000,"&gt;="&amp;$F$5,'3 Base Entrada 2008'!$F$2:$F$5000,"&lt;="&amp;$H$5,'3 Base Entrada 2008'!$B$2:$B$5000,$T47,'3 Base Entrada 2008'!$C$2:$C$5000,$AG47,'3 Base Entrada 2008'!$K$2:$K$5000,"Recebido no 2008")</f>
        <v>0</v>
      </c>
      <c r="W47" s="82" t="n">
        <f aca="false">SUMIFS('3 Base Entrada 2008'!$L$2:$L$5000,'3 Base Entrada 2008'!$F$2:$F$5000,"&gt;="&amp;$F$5,'3 Base Entrada 2008'!$F$2:$F$5000,"&lt;="&amp;$H$5,'3 Base Entrada 2008'!$B$2:$B$5000,$T47,'3 Base Entrada 2008'!$C$2:$C$5000,$AG47)</f>
        <v>240</v>
      </c>
      <c r="X47" s="82" t="n">
        <f aca="false">SUMIFS('3 Base Saídas'!$R$2:$R$5000,'3 Base Saídas'!$G$2:$G$5000,"&gt;="&amp;$F$5,'3 Base Saídas'!$G$2:$G$5000,"&lt;="&amp;$H$5,'3 Base Saídas'!$B$2:$B$5000,$T47,'3 Base Saídas'!$C$2:$C$5000,$AG47)</f>
        <v>6</v>
      </c>
      <c r="Y47" s="82" t="n">
        <f aca="false">SUMIFS('3 Base Estoque Físico'!$J$2:$J$5000,'3 Base Estoque Físico'!$A$2:$A$5000,$T47,'3 Base Estoque Físico'!$B$2:$B$5000,$AG47)</f>
        <v>3432</v>
      </c>
      <c r="Z47" s="82" t="n">
        <f aca="false">ROUND(Y47-(BH47+W47-X47),3)</f>
        <v>3198</v>
      </c>
      <c r="AA47" s="82" t="n">
        <f aca="false">IF(AND(U47=$R$3,OR($R$1="*",T47=$R$1),OR($R$2="*",AG47=$R$2),OR($R$6="*",AC47=$R$6),ABS(V47)+ABS(W47)+ABS(X47)+ABS(Y47)&gt;0),1,0)</f>
        <v>1</v>
      </c>
      <c r="AB47" s="82" t="n">
        <f aca="false">IF(AA47=1,SUM(AA$40:AA47),"")</f>
        <v>6</v>
      </c>
      <c r="AC47" s="0" t="str">
        <f aca="false">IF(ABS(Z47)&lt;=$R$5,"Confere",IF(Z47&gt;0,"Sobrando","Faltando"))</f>
        <v>Sobrando</v>
      </c>
      <c r="AD47" s="82" t="n">
        <f aca="false">IF(OR($R$4="*",$R$4="Saída"),COUNTIFS('3 Base Saídas'!$G$2:$G$5000,"&gt;="&amp;$F$5,'3 Base Saídas'!$G$2:$G$5000,"&lt;="&amp;$H$5,'3 Base Saídas'!$B$2:$B$5000,$T47,'3 Base Saídas'!$C$2:$C$5000,$AG47),0)+IF($R$4&lt;&gt;"Saída",COUNTIFS('3 Base Entrada 2008'!$F$2:$F$5000,"&gt;="&amp;$F$5,'3 Base Entrada 2008'!$F$2:$F$5000,"&lt;="&amp;$H$5,'3 Base Entrada 2008'!$B$2:$B$5000,$T47,'3 Base Entrada 2008'!$C$2:$C$5000,$AG47,'3 Base Entrada 2008'!$K$2:$K$5000,$R$4),0)</f>
        <v>2</v>
      </c>
      <c r="AE47" s="0" t="str">
        <f aca="false">'5 Conciliação'!K21</f>
        <v>Explica em parte: estoque antigo 2,898.0 + doca/transferência 0.0; faltam 300.0 a explicar</v>
      </c>
      <c r="AF47" s="82" t="n">
        <f aca="false">IF(AND(AA47=1,AC47&lt;&gt;"Confere"),ABS(Z47)+ROW()/10000000,0)</f>
        <v>3198.0000047</v>
      </c>
      <c r="AG47" s="82" t="s">
        <v>246</v>
      </c>
      <c r="AH47" s="82" t="n">
        <f aca="false">LARGE($AF$40:$AF$133,8)</f>
        <v>540.0000052</v>
      </c>
      <c r="AI47" s="82" t="n">
        <f aca="false">IF(AH47&gt;0,MATCH(AH47,$AF$40:$AF$133,0),"")</f>
        <v>13</v>
      </c>
      <c r="AJ47" s="0" t="str">
        <f aca="false">IF(AI47="","",INDEX($T$40:$T$133,AI47)&amp;" · "&amp;INDEX($AG$40:$AG$133,AI47))</f>
        <v>CHP-20SICHP-760 · 252843369</v>
      </c>
      <c r="AK47" s="82" t="n">
        <f aca="false">IF(AI47="",0,MAX(INDEX($Z$40:$Z$133,AI47),0))</f>
        <v>540</v>
      </c>
      <c r="AL47" s="82" t="n">
        <f aca="false">IF(AI47="",0,MIN(INDEX($Z$40:$Z$133,AI47),0))</f>
        <v>0</v>
      </c>
      <c r="AN47" s="82" t="s">
        <v>1760</v>
      </c>
      <c r="AO47" s="120" t="n">
        <v>46281</v>
      </c>
      <c r="AP47" s="82" t="n">
        <f aca="false">IF(AND(AO47&gt;=$F$5,AO47&lt;=$H$5,$R$4&lt;&gt;"Saída"),SUMIFS('3 Base Entrada 2008'!$L$2:$L$5000,'3 Base Entrada 2008'!$F$2:$F$5000,$AO47,'3 Base Entrada 2008'!$B$2:$B$5000,$R$1,'3 Base Entrada 2008'!$C$2:$C$5000,$R$2,'3 Base Entrada 2008'!$H$2:$H$5000,$R$3,'3 Base Entrada 2008'!$K$2:$K$5000,$R$4),0)</f>
        <v>0</v>
      </c>
      <c r="AQ47" s="82" t="n">
        <f aca="false">IF(AND(AO47&gt;=$F$5,AO47&lt;=$H$5,OR($R$4="*",$R$4="Saída")),-SUMIFS('3 Base Saídas'!$R$2:$R$5000,'3 Base Saídas'!$G$2:$G$5000,$AO47,'3 Base Saídas'!$B$2:$B$5000,$R$1,'3 Base Saídas'!$C$2:$C$5000,$R$2,'3 Base Saídas'!$I$2:$I$5000,$R$3),0)</f>
        <v>-94.6</v>
      </c>
      <c r="AR47" s="82" t="n">
        <f aca="false">SUM($AP$40:AP47)+SUM($AQ$40:AQ47)</f>
        <v>2623.36</v>
      </c>
      <c r="AS47" s="82" t="s">
        <v>305</v>
      </c>
      <c r="AV47" s="0" t="str">
        <f aca="false">IFERROR(INDEX($AX$1:$AX$94,MATCH(46,$AY$1:$AY$94,0)),"")</f>
        <v>2528749307</v>
      </c>
      <c r="AW47" s="82" t="s">
        <v>356</v>
      </c>
      <c r="AX47" s="82" t="s">
        <v>357</v>
      </c>
      <c r="AY47" s="82" t="n">
        <f aca="false">IF(OR($A$5="Todos",AW47=$A$5),MAX(AY$1:AY46)+1,0)</f>
        <v>47</v>
      </c>
      <c r="BB47" s="82" t="n">
        <f aca="false">MIN(IF(_xlfn.MINIFS('3 Base Entrada 2008'!$F$2:$F$5000,'3 Base Entrada 2008'!$F$2:$F$5000,"&gt;="&amp;$F$5,'3 Base Entrada 2008'!$F$2:$F$5000,"&lt;="&amp;$H$5,'3 Base Entrada 2008'!$B$2:$B$5000,$T47,'3 Base Entrada 2008'!$C$2:$C$5000,$AG47)=0,99999,_xlfn.MINIFS('3 Base Entrada 2008'!$F$2:$F$5000,'3 Base Entrada 2008'!$F$2:$F$5000,"&gt;="&amp;$F$5,'3 Base Entrada 2008'!$F$2:$F$5000,"&lt;="&amp;$H$5,'3 Base Entrada 2008'!$B$2:$B$5000,$T47,'3 Base Entrada 2008'!$C$2:$C$5000,$AG47)),IF(_xlfn.MINIFS('3 Base Saídas'!$G$2:$G$5000,'3 Base Saídas'!$G$2:$G$5000,"&gt;="&amp;$F$5,'3 Base Saídas'!$G$2:$G$5000,"&lt;="&amp;$H$5,'3 Base Saídas'!$B$2:$B$5000,$T47,'3 Base Saídas'!$C$2:$C$5000,$AG47)=0,99999,_xlfn.MINIFS('3 Base Saídas'!$G$2:$G$5000,'3 Base Saídas'!$G$2:$G$5000,"&gt;="&amp;$F$5,'3 Base Saídas'!$G$2:$G$5000,"&lt;="&amp;$H$5,'3 Base Saídas'!$B$2:$B$5000,$T47,'3 Base Saídas'!$C$2:$C$5000,$AG47)))</f>
        <v>46279</v>
      </c>
      <c r="BC47" s="82" t="n">
        <f aca="false">MAX(_xlfn.MAXIFS('3 Base Entrada 2008'!$F$2:$F$5000,'3 Base Entrada 2008'!$F$2:$F$5000,"&gt;="&amp;$F$5,'3 Base Entrada 2008'!$F$2:$F$5000,"&lt;="&amp;$H$5,'3 Base Entrada 2008'!$B$2:$B$5000,$T47,'3 Base Entrada 2008'!$C$2:$C$5000,$AG47),_xlfn.MAXIFS('3 Base Saídas'!$G$2:$G$5000,'3 Base Saídas'!$G$2:$G$5000,"&gt;="&amp;$F$5,'3 Base Saídas'!$G$2:$G$5000,"&lt;="&amp;$H$5,'3 Base Saídas'!$B$2:$B$5000,$T47,'3 Base Saídas'!$C$2:$C$5000,$AG47))</f>
        <v>46294</v>
      </c>
      <c r="BD47" s="0" t="str">
        <f aca="false">'5 Conciliação'!L21</f>
        <v>Confirmar saldo de 08/09 e OTs de doca; contar o lote para os 300.0 KG restantes e ajustar a sobra se confirmada</v>
      </c>
      <c r="BE47" s="0" t="str">
        <f aca="false">'5 Conciliação'!Q21</f>
        <v>Sobra parcialmente explicada</v>
      </c>
      <c r="BF47" s="0" t="str">
        <f aca="false">'5 Conciliação'!R21</f>
        <v>Média</v>
      </c>
      <c r="BH47" s="82" t="n">
        <f aca="false">SUMIFS('3 Base Saldo Inicial 08-09'!$E$2:$E$5000,'3 Base Saldo Inicial 08-09'!$A$2:$A$5000,$T47,'3 Base Saldo Inicial 08-09'!$B$2:$B$5000,$AG47)-SUMIFS('3 Base Saldo Inicial 08-09'!$E$2:$E$5000,'3 Base Saldo Inicial 08-09'!$A$2:$A$5000,$T47,'3 Base Saldo Inicial 08-09'!$B$2:$B$5000,$AG47,'3 Base Saldo Inicial 08-09'!$C$2:$C$5000,"2008")</f>
        <v>0</v>
      </c>
    </row>
    <row r="48" customFormat="false" ht="15" hidden="false" customHeight="false" outlineLevel="0" collapsed="false">
      <c r="A48" s="111" t="str">
        <f aca="false">IF(IFERROR(MATCH(35,$AB$40:$AB$133,0),0)=0,"",INDEX($T$40:$T$133,IFERROR(MATCH(35,$AB$40:$AB$133,0),0)))</f>
        <v>823NV-132</v>
      </c>
      <c r="B48" s="111" t="str">
        <f aca="false">IF(IFERROR(MATCH(35,$AB$40:$AB$133,0),0)=0,"",INDEX($AG$40:$AG$133,IFERROR(MATCH(35,$AB$40:$AB$133,0),0)))</f>
        <v>260880201</v>
      </c>
      <c r="C48" s="112" t="str">
        <f aca="false">IF(IFERROR(MATCH(35,$AB$40:$AB$133,0),0)=0,"",INDEX($U$40:$U$133,IFERROR(MATCH(35,$AB$40:$AB$133,0),0)))</f>
        <v>KG</v>
      </c>
      <c r="D48" s="113" t="n">
        <f aca="false">IF(IFERROR(MATCH(35,$AB$40:$AB$133,0),0)=0,"",INDEX($BH$40:$BH$133,IFERROR(MATCH(35,$AB$40:$AB$133,0),0)))</f>
        <v>0</v>
      </c>
      <c r="E48" s="113" t="n">
        <f aca="false">IF(IFERROR(MATCH(35,$AB$40:$AB$133,0),0)=0,"",INDEX($W$40:$W$133,IFERROR(MATCH(35,$AB$40:$AB$133,0),0)))</f>
        <v>1000</v>
      </c>
      <c r="F48" s="113" t="n">
        <f aca="false">IF(IFERROR(MATCH(35,$AB$40:$AB$133,0),0)=0,"",INDEX($X$40:$X$133,IFERROR(MATCH(35,$AB$40:$AB$133,0),0)))</f>
        <v>0</v>
      </c>
      <c r="G48" s="113" t="n">
        <f aca="false">IF(A48="","",D48+E48-F48)</f>
        <v>1000</v>
      </c>
      <c r="H48" s="113" t="n">
        <f aca="false">IF(IFERROR(MATCH(35,$AB$40:$AB$133,0),0)=0,"",INDEX($Y$40:$Y$133,IFERROR(MATCH(35,$AB$40:$AB$133,0),0)))</f>
        <v>1000</v>
      </c>
      <c r="I48" s="114" t="n">
        <f aca="false">IF(IFERROR(MATCH(35,$AB$40:$AB$133,0),0)=0,"",INDEX($Z$40:$Z$133,IFERROR(MATCH(35,$AB$40:$AB$133,0),0)))</f>
        <v>0</v>
      </c>
      <c r="J48" s="115" t="str">
        <f aca="false">IF(IFERROR(MATCH(35,$AB$40:$AB$133,0),0)=0,"",INDEX($AC$40:$AC$133,IFERROR(MATCH(35,$AB$40:$AB$133,0),0)))</f>
        <v>Confere</v>
      </c>
      <c r="K48" s="116" t="n">
        <f aca="false">IF(IFERROR(MATCH(35,$AB$40:$AB$133,0),0)=0,"",INDEX($AD$40:$AD$133,IFERROR(MATCH(35,$AB$40:$AB$133,0),0)))</f>
        <v>1</v>
      </c>
      <c r="L48" s="117" t="n">
        <f aca="false">IF(IFERROR(MATCH(35,$AB$40:$AB$133,0),0)=0,"",IF(INDEX($BB$40:$BB$133,IFERROR(MATCH(35,$AB$40:$AB$133,0),0))&gt;=99999,"",INDEX($BB$40:$BB$133,IFERROR(MATCH(35,$AB$40:$AB$133,0),0))))</f>
        <v>46294</v>
      </c>
      <c r="M48" s="117" t="n">
        <f aca="false">IF(IFERROR(MATCH(35,$AB$40:$AB$133,0),0)=0,"",IF(INDEX($BC$40:$BC$133,IFERROR(MATCH(35,$AB$40:$AB$133,0),0))=0,"",INDEX($BC$40:$BC$133,IFERROR(MATCH(35,$AB$40:$AB$133,0),0))))</f>
        <v>46294</v>
      </c>
      <c r="N48" s="118" t="str">
        <f aca="false">IF(IFERROR(MATCH(35,$AB$40:$AB$133,0),0)=0,"",INDEX($AE$40:$AE$133,IFERROR(MATCH(35,$AB$40:$AB$133,0),0))&amp;"")</f>
        <v>Sem diferença</v>
      </c>
      <c r="O48" s="119" t="str">
        <f aca="false">IF(IFERROR(MATCH(35,$AB$40:$AB$133,0),0)=0,"",INDEX($BD$40:$BD$133,IFERROR(MATCH(35,$AB$40:$AB$133,0),0))&amp;"")</f>
        <v>Nenhum ajuste necessário</v>
      </c>
      <c r="T48" s="82" t="s">
        <v>322</v>
      </c>
      <c r="U48" s="82" t="s">
        <v>65</v>
      </c>
      <c r="V48" s="82" t="n">
        <f aca="false">SUMIFS('3 Base Entrada 2008'!$G$2:$G$5000,'3 Base Entrada 2008'!$F$2:$F$5000,"&gt;="&amp;$F$5,'3 Base Entrada 2008'!$F$2:$F$5000,"&lt;="&amp;$H$5,'3 Base Entrada 2008'!$B$2:$B$5000,$T48,'3 Base Entrada 2008'!$C$2:$C$5000,$AG48,'3 Base Entrada 2008'!$K$2:$K$5000,"Recebido no 2008")</f>
        <v>0</v>
      </c>
      <c r="W48" s="82" t="n">
        <f aca="false">SUMIFS('3 Base Entrada 2008'!$L$2:$L$5000,'3 Base Entrada 2008'!$F$2:$F$5000,"&gt;="&amp;$F$5,'3 Base Entrada 2008'!$F$2:$F$5000,"&lt;="&amp;$H$5,'3 Base Entrada 2008'!$B$2:$B$5000,$T48,'3 Base Entrada 2008'!$C$2:$C$5000,$AG48)</f>
        <v>2.8</v>
      </c>
      <c r="X48" s="82" t="n">
        <f aca="false">SUMIFS('3 Base Saídas'!$R$2:$R$5000,'3 Base Saídas'!$G$2:$G$5000,"&gt;="&amp;$F$5,'3 Base Saídas'!$G$2:$G$5000,"&lt;="&amp;$H$5,'3 Base Saídas'!$B$2:$B$5000,$T48,'3 Base Saídas'!$C$2:$C$5000,$AG48)</f>
        <v>677.6</v>
      </c>
      <c r="Y48" s="82" t="n">
        <f aca="false">SUMIFS('3 Base Estoque Físico'!$J$2:$J$5000,'3 Base Estoque Físico'!$A$2:$A$5000,$T48,'3 Base Estoque Físico'!$B$2:$B$5000,$AG48)</f>
        <v>1853.6</v>
      </c>
      <c r="Z48" s="82" t="n">
        <f aca="false">ROUND(Y48-(BH48+W48-X48),3)</f>
        <v>2528.4</v>
      </c>
      <c r="AA48" s="82" t="n">
        <f aca="false">IF(AND(U48=$R$3,OR($R$1="*",T48=$R$1),OR($R$2="*",AG48=$R$2),OR($R$6="*",AC48=$R$6),ABS(V48)+ABS(W48)+ABS(X48)+ABS(Y48)&gt;0),1,0)</f>
        <v>1</v>
      </c>
      <c r="AB48" s="82" t="n">
        <f aca="false">IF(AA48=1,SUM(AA$40:AA48),"")</f>
        <v>7</v>
      </c>
      <c r="AC48" s="0" t="str">
        <f aca="false">IF(ABS(Z48)&lt;=$R$5,"Confere",IF(Z48&gt;0,"Sobrando","Faltando"))</f>
        <v>Sobrando</v>
      </c>
      <c r="AD48" s="82" t="n">
        <f aca="false">IF(OR($R$4="*",$R$4="Saída"),COUNTIFS('3 Base Saídas'!$G$2:$G$5000,"&gt;="&amp;$F$5,'3 Base Saídas'!$G$2:$G$5000,"&lt;="&amp;$H$5,'3 Base Saídas'!$B$2:$B$5000,$T48,'3 Base Saídas'!$C$2:$C$5000,$AG48),0)+IF($R$4&lt;&gt;"Saída",COUNTIFS('3 Base Entrada 2008'!$F$2:$F$5000,"&gt;="&amp;$F$5,'3 Base Entrada 2008'!$F$2:$F$5000,"&lt;="&amp;$H$5,'3 Base Entrada 2008'!$B$2:$B$5000,$T48,'3 Base Entrada 2008'!$C$2:$C$5000,$AG48,'3 Base Entrada 2008'!$K$2:$K$5000,$R$4),0)</f>
        <v>53</v>
      </c>
      <c r="AE48" s="0" t="str">
        <f aca="false">'5 Conciliação'!K22</f>
        <v>Explica em parte: estoque antigo 1,254.4 + doca/transferência 14.0; faltam 1,260.0 a explicar</v>
      </c>
      <c r="AF48" s="82" t="n">
        <f aca="false">IF(AND(AA48=1,AC48&lt;&gt;"Confere"),ABS(Z48)+ROW()/10000000,0)</f>
        <v>2528.4000048</v>
      </c>
      <c r="AG48" s="82" t="s">
        <v>323</v>
      </c>
      <c r="AH48" s="82" t="n">
        <f aca="false">LARGE($AF$40:$AF$133,9)</f>
        <v>442.200004</v>
      </c>
      <c r="AI48" s="82" t="n">
        <f aca="false">IF(AH48&gt;0,MATCH(AH48,$AF$40:$AF$133,0),"")</f>
        <v>1</v>
      </c>
      <c r="AJ48" s="0" t="str">
        <f aca="false">IF(AI48="","",INDEX($T$40:$T$133,AI48)&amp;" · "&amp;INDEX($AG$40:$AG$133,AI48))</f>
        <v>CHK-R30GOLD-BR-25A · 261130301</v>
      </c>
      <c r="AK48" s="82" t="n">
        <f aca="false">IF(AI48="",0,MAX(INDEX($Z$40:$Z$133,AI48),0))</f>
        <v>0</v>
      </c>
      <c r="AL48" s="82" t="n">
        <f aca="false">IF(AI48="",0,MIN(INDEX($Z$40:$Z$133,AI48),0))</f>
        <v>-442.2</v>
      </c>
      <c r="AN48" s="82" t="s">
        <v>1761</v>
      </c>
      <c r="AO48" s="120" t="n">
        <v>46282</v>
      </c>
      <c r="AP48" s="82" t="n">
        <f aca="false">IF(AND(AO48&gt;=$F$5,AO48&lt;=$H$5,$R$4&lt;&gt;"Saída"),SUMIFS('3 Base Entrada 2008'!$L$2:$L$5000,'3 Base Entrada 2008'!$F$2:$F$5000,$AO48,'3 Base Entrada 2008'!$B$2:$B$5000,$R$1,'3 Base Entrada 2008'!$C$2:$C$5000,$R$2,'3 Base Entrada 2008'!$H$2:$H$5000,$R$3,'3 Base Entrada 2008'!$K$2:$K$5000,$R$4),0)</f>
        <v>0</v>
      </c>
      <c r="AQ48" s="82" t="n">
        <f aca="false">IF(AND(AO48&gt;=$F$5,AO48&lt;=$H$5,OR($R$4="*",$R$4="Saída")),-SUMIFS('3 Base Saídas'!$R$2:$R$5000,'3 Base Saídas'!$G$2:$G$5000,$AO48,'3 Base Saídas'!$B$2:$B$5000,$R$1,'3 Base Saídas'!$C$2:$C$5000,$R$2,'3 Base Saídas'!$I$2:$I$5000,$R$3),0)</f>
        <v>-337.5</v>
      </c>
      <c r="AR48" s="82" t="n">
        <f aca="false">SUM($AP$40:AP48)+SUM($AQ$40:AQ48)</f>
        <v>2285.86</v>
      </c>
      <c r="AS48" s="82" t="s">
        <v>387</v>
      </c>
      <c r="AV48" s="0" t="str">
        <f aca="false">IFERROR(INDEX($AX$1:$AX$94,MATCH(47,$AY$1:$AY$94,0)),"")</f>
        <v>260660303</v>
      </c>
      <c r="AW48" s="82" t="s">
        <v>257</v>
      </c>
      <c r="AX48" s="82" t="s">
        <v>209</v>
      </c>
      <c r="AY48" s="82" t="n">
        <f aca="false">IF(OR($A$5="Todos",AW48=$A$5),MAX(AY$1:AY47)+1,0)</f>
        <v>48</v>
      </c>
      <c r="BB48" s="82" t="n">
        <f aca="false">MIN(IF(_xlfn.MINIFS('3 Base Entrada 2008'!$F$2:$F$5000,'3 Base Entrada 2008'!$F$2:$F$5000,"&gt;="&amp;$F$5,'3 Base Entrada 2008'!$F$2:$F$5000,"&lt;="&amp;$H$5,'3 Base Entrada 2008'!$B$2:$B$5000,$T48,'3 Base Entrada 2008'!$C$2:$C$5000,$AG48)=0,99999,_xlfn.MINIFS('3 Base Entrada 2008'!$F$2:$F$5000,'3 Base Entrada 2008'!$F$2:$F$5000,"&gt;="&amp;$F$5,'3 Base Entrada 2008'!$F$2:$F$5000,"&lt;="&amp;$H$5,'3 Base Entrada 2008'!$B$2:$B$5000,$T48,'3 Base Entrada 2008'!$C$2:$C$5000,$AG48)),IF(_xlfn.MINIFS('3 Base Saídas'!$G$2:$G$5000,'3 Base Saídas'!$G$2:$G$5000,"&gt;="&amp;$F$5,'3 Base Saídas'!$G$2:$G$5000,"&lt;="&amp;$H$5,'3 Base Saídas'!$B$2:$B$5000,$T48,'3 Base Saídas'!$C$2:$C$5000,$AG48)=0,99999,_xlfn.MINIFS('3 Base Saídas'!$G$2:$G$5000,'3 Base Saídas'!$G$2:$G$5000,"&gt;="&amp;$F$5,'3 Base Saídas'!$G$2:$G$5000,"&lt;="&amp;$H$5,'3 Base Saídas'!$B$2:$B$5000,$T48,'3 Base Saídas'!$C$2:$C$5000,$AG48)))</f>
        <v>46274</v>
      </c>
      <c r="BC48" s="82" t="n">
        <f aca="false">MAX(_xlfn.MAXIFS('3 Base Entrada 2008'!$F$2:$F$5000,'3 Base Entrada 2008'!$F$2:$F$5000,"&gt;="&amp;$F$5,'3 Base Entrada 2008'!$F$2:$F$5000,"&lt;="&amp;$H$5,'3 Base Entrada 2008'!$B$2:$B$5000,$T48,'3 Base Entrada 2008'!$C$2:$C$5000,$AG48),_xlfn.MAXIFS('3 Base Saídas'!$G$2:$G$5000,'3 Base Saídas'!$G$2:$G$5000,"&gt;="&amp;$F$5,'3 Base Saídas'!$G$2:$G$5000,"&lt;="&amp;$H$5,'3 Base Saídas'!$B$2:$B$5000,$T48,'3 Base Saídas'!$C$2:$C$5000,$AG48))</f>
        <v>46296</v>
      </c>
      <c r="BD48" s="0" t="str">
        <f aca="false">'5 Conciliação'!L22</f>
        <v>Confirmar saldo de 08/09 e OTs de doca; contar o lote para os 1,260.0 KG restantes e ajustar a sobra se confirmada</v>
      </c>
      <c r="BE48" s="0" t="str">
        <f aca="false">'5 Conciliação'!Q22</f>
        <v>Sobra parcialmente explicada</v>
      </c>
      <c r="BF48" s="0" t="str">
        <f aca="false">'5 Conciliação'!R22</f>
        <v>Alta</v>
      </c>
      <c r="BH48" s="82" t="n">
        <f aca="false">SUMIFS('3 Base Saldo Inicial 08-09'!$E$2:$E$5000,'3 Base Saldo Inicial 08-09'!$A$2:$A$5000,$T48,'3 Base Saldo Inicial 08-09'!$B$2:$B$5000,$AG48)-SUMIFS('3 Base Saldo Inicial 08-09'!$E$2:$E$5000,'3 Base Saldo Inicial 08-09'!$A$2:$A$5000,$T48,'3 Base Saldo Inicial 08-09'!$B$2:$B$5000,$AG48,'3 Base Saldo Inicial 08-09'!$C$2:$C$5000,"2008")</f>
        <v>0</v>
      </c>
    </row>
    <row r="49" customFormat="false" ht="15" hidden="false" customHeight="false" outlineLevel="0" collapsed="false">
      <c r="A49" s="111" t="str">
        <f aca="false">IF(IFERROR(MATCH(36,$AB$40:$AB$133,0),0)=0,"",INDEX($T$40:$T$133,IFERROR(MATCH(36,$AB$40:$AB$133,0),0)))</f>
        <v>823NV-595</v>
      </c>
      <c r="B49" s="111" t="str">
        <f aca="false">IF(IFERROR(MATCH(36,$AB$40:$AB$133,0),0)=0,"",INDEX($AG$40:$AG$133,IFERROR(MATCH(36,$AB$40:$AB$133,0),0)))</f>
        <v>260416102</v>
      </c>
      <c r="C49" s="112" t="str">
        <f aca="false">IF(IFERROR(MATCH(36,$AB$40:$AB$133,0),0)=0,"",INDEX($U$40:$U$133,IFERROR(MATCH(36,$AB$40:$AB$133,0),0)))</f>
        <v>KG</v>
      </c>
      <c r="D49" s="113" t="n">
        <f aca="false">IF(IFERROR(MATCH(36,$AB$40:$AB$133,0),0)=0,"",INDEX($BH$40:$BH$133,IFERROR(MATCH(36,$AB$40:$AB$133,0),0)))</f>
        <v>0</v>
      </c>
      <c r="E49" s="113" t="n">
        <f aca="false">IF(IFERROR(MATCH(36,$AB$40:$AB$133,0),0)=0,"",INDEX($W$40:$W$133,IFERROR(MATCH(36,$AB$40:$AB$133,0),0)))</f>
        <v>1800</v>
      </c>
      <c r="F49" s="113" t="n">
        <f aca="false">IF(IFERROR(MATCH(36,$AB$40:$AB$133,0),0)=0,"",INDEX($X$40:$X$133,IFERROR(MATCH(36,$AB$40:$AB$133,0),0)))</f>
        <v>0</v>
      </c>
      <c r="G49" s="113" t="n">
        <f aca="false">IF(A49="","",D49+E49-F49)</f>
        <v>1800</v>
      </c>
      <c r="H49" s="113" t="n">
        <f aca="false">IF(IFERROR(MATCH(36,$AB$40:$AB$133,0),0)=0,"",INDEX($Y$40:$Y$133,IFERROR(MATCH(36,$AB$40:$AB$133,0),0)))</f>
        <v>1800</v>
      </c>
      <c r="I49" s="114" t="n">
        <f aca="false">IF(IFERROR(MATCH(36,$AB$40:$AB$133,0),0)=0,"",INDEX($Z$40:$Z$133,IFERROR(MATCH(36,$AB$40:$AB$133,0),0)))</f>
        <v>0</v>
      </c>
      <c r="J49" s="115" t="str">
        <f aca="false">IF(IFERROR(MATCH(36,$AB$40:$AB$133,0),0)=0,"",INDEX($AC$40:$AC$133,IFERROR(MATCH(36,$AB$40:$AB$133,0),0)))</f>
        <v>Confere</v>
      </c>
      <c r="K49" s="116" t="n">
        <f aca="false">IF(IFERROR(MATCH(36,$AB$40:$AB$133,0),0)=0,"",INDEX($AD$40:$AD$133,IFERROR(MATCH(36,$AB$40:$AB$133,0),0)))</f>
        <v>1</v>
      </c>
      <c r="L49" s="117" t="n">
        <f aca="false">IF(IFERROR(MATCH(36,$AB$40:$AB$133,0),0)=0,"",IF(INDEX($BB$40:$BB$133,IFERROR(MATCH(36,$AB$40:$AB$133,0),0))&gt;=99999,"",INDEX($BB$40:$BB$133,IFERROR(MATCH(36,$AB$40:$AB$133,0),0))))</f>
        <v>46293</v>
      </c>
      <c r="M49" s="117" t="n">
        <f aca="false">IF(IFERROR(MATCH(36,$AB$40:$AB$133,0),0)=0,"",IF(INDEX($BC$40:$BC$133,IFERROR(MATCH(36,$AB$40:$AB$133,0),0))=0,"",INDEX($BC$40:$BC$133,IFERROR(MATCH(36,$AB$40:$AB$133,0),0))))</f>
        <v>46293</v>
      </c>
      <c r="N49" s="118" t="str">
        <f aca="false">IF(IFERROR(MATCH(36,$AB$40:$AB$133,0),0)=0,"",INDEX($AE$40:$AE$133,IFERROR(MATCH(36,$AB$40:$AB$133,0),0))&amp;"")</f>
        <v>Sem diferença</v>
      </c>
      <c r="O49" s="119" t="str">
        <f aca="false">IF(IFERROR(MATCH(36,$AB$40:$AB$133,0),0)=0,"",INDEX($BD$40:$BD$133,IFERROR(MATCH(36,$AB$40:$AB$133,0),0))&amp;"")</f>
        <v>Nenhum ajuste necessário</v>
      </c>
      <c r="T49" s="82" t="s">
        <v>201</v>
      </c>
      <c r="U49" s="82" t="s">
        <v>65</v>
      </c>
      <c r="V49" s="82" t="n">
        <f aca="false">SUMIFS('3 Base Entrada 2008'!$G$2:$G$5000,'3 Base Entrada 2008'!$F$2:$F$5000,"&gt;="&amp;$F$5,'3 Base Entrada 2008'!$F$2:$F$5000,"&lt;="&amp;$H$5,'3 Base Entrada 2008'!$B$2:$B$5000,$T49,'3 Base Entrada 2008'!$C$2:$C$5000,$AG49,'3 Base Entrada 2008'!$K$2:$K$5000,"Recebido no 2008")</f>
        <v>0</v>
      </c>
      <c r="W49" s="82" t="n">
        <f aca="false">SUMIFS('3 Base Entrada 2008'!$L$2:$L$5000,'3 Base Entrada 2008'!$F$2:$F$5000,"&gt;="&amp;$F$5,'3 Base Entrada 2008'!$F$2:$F$5000,"&lt;="&amp;$H$5,'3 Base Entrada 2008'!$B$2:$B$5000,$T49,'3 Base Entrada 2008'!$C$2:$C$5000,$AG49)</f>
        <v>313.6</v>
      </c>
      <c r="X49" s="82" t="n">
        <f aca="false">SUMIFS('3 Base Saídas'!$R$2:$R$5000,'3 Base Saídas'!$G$2:$G$5000,"&gt;="&amp;$F$5,'3 Base Saídas'!$G$2:$G$5000,"&lt;="&amp;$H$5,'3 Base Saídas'!$B$2:$B$5000,$T49,'3 Base Saídas'!$C$2:$C$5000,$AG49)</f>
        <v>221.2</v>
      </c>
      <c r="Y49" s="82" t="n">
        <f aca="false">SUMIFS('3 Base Estoque Físico'!$J$2:$J$5000,'3 Base Estoque Físico'!$A$2:$A$5000,$T49,'3 Base Estoque Físico'!$B$2:$B$5000,$AG49)</f>
        <v>1360.8</v>
      </c>
      <c r="Z49" s="82" t="n">
        <f aca="false">ROUND(Y49-(BH49+W49-X49),3)</f>
        <v>1268.4</v>
      </c>
      <c r="AA49" s="82" t="n">
        <f aca="false">IF(AND(U49=$R$3,OR($R$1="*",T49=$R$1),OR($R$2="*",AG49=$R$2),OR($R$6="*",AC49=$R$6),ABS(V49)+ABS(W49)+ABS(X49)+ABS(Y49)&gt;0),1,0)</f>
        <v>1</v>
      </c>
      <c r="AB49" s="82" t="n">
        <f aca="false">IF(AA49=1,SUM(AA$40:AA49),"")</f>
        <v>8</v>
      </c>
      <c r="AC49" s="0" t="str">
        <f aca="false">IF(ABS(Z49)&lt;=$R$5,"Confere",IF(Z49&gt;0,"Sobrando","Faltando"))</f>
        <v>Sobrando</v>
      </c>
      <c r="AD49" s="82" t="n">
        <f aca="false">IF(OR($R$4="*",$R$4="Saída"),COUNTIFS('3 Base Saídas'!$G$2:$G$5000,"&gt;="&amp;$F$5,'3 Base Saídas'!$G$2:$G$5000,"&lt;="&amp;$H$5,'3 Base Saídas'!$B$2:$B$5000,$T49,'3 Base Saídas'!$C$2:$C$5000,$AG49),0)+IF($R$4&lt;&gt;"Saída",COUNTIFS('3 Base Entrada 2008'!$F$2:$F$5000,"&gt;="&amp;$F$5,'3 Base Entrada 2008'!$F$2:$F$5000,"&lt;="&amp;$H$5,'3 Base Entrada 2008'!$B$2:$B$5000,$T49,'3 Base Entrada 2008'!$C$2:$C$5000,$AG49,'3 Base Entrada 2008'!$K$2:$K$5000,$R$4),0)</f>
        <v>26</v>
      </c>
      <c r="AE49" s="0" t="str">
        <f aca="false">'5 Conciliação'!K23</f>
        <v>Estoque antigo/doca + saídas do período que não baixaram o estoque físico</v>
      </c>
      <c r="AF49" s="82" t="n">
        <f aca="false">IF(AND(AA49=1,AC49&lt;&gt;"Confere"),ABS(Z49)+ROW()/10000000,0)</f>
        <v>1268.4000049</v>
      </c>
      <c r="AG49" s="82" t="s">
        <v>202</v>
      </c>
      <c r="AH49" s="82" t="n">
        <f aca="false">LARGE($AF$40:$AF$133,10)</f>
        <v>341.7000053</v>
      </c>
      <c r="AI49" s="82" t="n">
        <f aca="false">IF(AH49&gt;0,MATCH(AH49,$AF$40:$AF$133,0),"")</f>
        <v>14</v>
      </c>
      <c r="AJ49" s="0" t="str">
        <f aca="false">IF(AI49="","",INDEX($T$40:$T$133,AI49)&amp;" · "&amp;INDEX($AG$40:$AG$133,AI49))</f>
        <v>70-30-38-BR-25A · 260370301</v>
      </c>
      <c r="AK49" s="82" t="n">
        <f aca="false">IF(AI49="",0,MAX(INDEX($Z$40:$Z$133,AI49),0))</f>
        <v>341.7</v>
      </c>
      <c r="AL49" s="82" t="n">
        <f aca="false">IF(AI49="",0,MIN(INDEX($Z$40:$Z$133,AI49),0))</f>
        <v>0</v>
      </c>
      <c r="AN49" s="82" t="s">
        <v>1762</v>
      </c>
      <c r="AO49" s="120" t="n">
        <v>46283</v>
      </c>
      <c r="AP49" s="82" t="n">
        <f aca="false">IF(AND(AO49&gt;=$F$5,AO49&lt;=$H$5,$R$4&lt;&gt;"Saída"),SUMIFS('3 Base Entrada 2008'!$L$2:$L$5000,'3 Base Entrada 2008'!$F$2:$F$5000,$AO49,'3 Base Entrada 2008'!$B$2:$B$5000,$R$1,'3 Base Entrada 2008'!$C$2:$C$5000,$R$2,'3 Base Entrada 2008'!$H$2:$H$5000,$R$3,'3 Base Entrada 2008'!$K$2:$K$5000,$R$4),0)</f>
        <v>0</v>
      </c>
      <c r="AQ49" s="82" t="n">
        <f aca="false">IF(AND(AO49&gt;=$F$5,AO49&lt;=$H$5,OR($R$4="*",$R$4="Saída")),-SUMIFS('3 Base Saídas'!$R$2:$R$5000,'3 Base Saídas'!$G$2:$G$5000,$AO49,'3 Base Saídas'!$B$2:$B$5000,$R$1,'3 Base Saídas'!$C$2:$C$5000,$R$2,'3 Base Saídas'!$I$2:$I$5000,$R$3),0)</f>
        <v>-10.8</v>
      </c>
      <c r="AR49" s="82" t="n">
        <f aca="false">SUM($AP$40:AP49)+SUM($AQ$40:AQ49)</f>
        <v>2275.06</v>
      </c>
      <c r="AS49" s="82" t="s">
        <v>307</v>
      </c>
      <c r="AV49" s="0" t="str">
        <f aca="false">IFERROR(INDEX($AX$1:$AX$94,MATCH(48,$AY$1:$AY$94,0)),"")</f>
        <v>250880301</v>
      </c>
      <c r="AW49" s="82" t="s">
        <v>257</v>
      </c>
      <c r="AX49" s="82" t="s">
        <v>258</v>
      </c>
      <c r="AY49" s="82" t="n">
        <f aca="false">IF(OR($A$5="Todos",AW49=$A$5),MAX(AY$1:AY48)+1,0)</f>
        <v>49</v>
      </c>
      <c r="BB49" s="82" t="n">
        <f aca="false">MIN(IF(_xlfn.MINIFS('3 Base Entrada 2008'!$F$2:$F$5000,'3 Base Entrada 2008'!$F$2:$F$5000,"&gt;="&amp;$F$5,'3 Base Entrada 2008'!$F$2:$F$5000,"&lt;="&amp;$H$5,'3 Base Entrada 2008'!$B$2:$B$5000,$T49,'3 Base Entrada 2008'!$C$2:$C$5000,$AG49)=0,99999,_xlfn.MINIFS('3 Base Entrada 2008'!$F$2:$F$5000,'3 Base Entrada 2008'!$F$2:$F$5000,"&gt;="&amp;$F$5,'3 Base Entrada 2008'!$F$2:$F$5000,"&lt;="&amp;$H$5,'3 Base Entrada 2008'!$B$2:$B$5000,$T49,'3 Base Entrada 2008'!$C$2:$C$5000,$AG49)),IF(_xlfn.MINIFS('3 Base Saídas'!$G$2:$G$5000,'3 Base Saídas'!$G$2:$G$5000,"&gt;="&amp;$F$5,'3 Base Saídas'!$G$2:$G$5000,"&lt;="&amp;$H$5,'3 Base Saídas'!$B$2:$B$5000,$T49,'3 Base Saídas'!$C$2:$C$5000,$AG49)=0,99999,_xlfn.MINIFS('3 Base Saídas'!$G$2:$G$5000,'3 Base Saídas'!$G$2:$G$5000,"&gt;="&amp;$F$5,'3 Base Saídas'!$G$2:$G$5000,"&lt;="&amp;$H$5,'3 Base Saídas'!$B$2:$B$5000,$T49,'3 Base Saídas'!$C$2:$C$5000,$AG49)))</f>
        <v>46274</v>
      </c>
      <c r="BC49" s="82" t="n">
        <f aca="false">MAX(_xlfn.MAXIFS('3 Base Entrada 2008'!$F$2:$F$5000,'3 Base Entrada 2008'!$F$2:$F$5000,"&gt;="&amp;$F$5,'3 Base Entrada 2008'!$F$2:$F$5000,"&lt;="&amp;$H$5,'3 Base Entrada 2008'!$B$2:$B$5000,$T49,'3 Base Entrada 2008'!$C$2:$C$5000,$AG49),_xlfn.MAXIFS('3 Base Saídas'!$G$2:$G$5000,'3 Base Saídas'!$G$2:$G$5000,"&gt;="&amp;$F$5,'3 Base Saídas'!$G$2:$G$5000,"&lt;="&amp;$H$5,'3 Base Saídas'!$B$2:$B$5000,$T49,'3 Base Saídas'!$C$2:$C$5000,$AG49))</f>
        <v>46294</v>
      </c>
      <c r="BD49" s="0" t="str">
        <f aca="false">'5 Conciliação'!L23</f>
        <v>Confirmar a OT de saída (picking) das remessas para baixar 221.2 KG do estoque físico; conferir também estoque antigo/doca</v>
      </c>
      <c r="BE49" s="0" t="str">
        <f aca="false">'5 Conciliação'!Q23</f>
        <v>Saída sem baixa no estoque</v>
      </c>
      <c r="BF49" s="0" t="str">
        <f aca="false">'5 Conciliação'!R23</f>
        <v>Baixa</v>
      </c>
      <c r="BH49" s="82" t="n">
        <f aca="false">SUMIFS('3 Base Saldo Inicial 08-09'!$E$2:$E$5000,'3 Base Saldo Inicial 08-09'!$A$2:$A$5000,$T49,'3 Base Saldo Inicial 08-09'!$B$2:$B$5000,$AG49)-SUMIFS('3 Base Saldo Inicial 08-09'!$E$2:$E$5000,'3 Base Saldo Inicial 08-09'!$A$2:$A$5000,$T49,'3 Base Saldo Inicial 08-09'!$B$2:$B$5000,$AG49,'3 Base Saldo Inicial 08-09'!$C$2:$C$5000,"2008")</f>
        <v>0</v>
      </c>
    </row>
    <row r="50" customFormat="false" ht="15" hidden="false" customHeight="false" outlineLevel="0" collapsed="false">
      <c r="A50" s="111" t="str">
        <f aca="false">IF(IFERROR(MATCH(37,$AB$40:$AB$133,0),0)=0,"",INDEX($T$40:$T$133,IFERROR(MATCH(37,$AB$40:$AB$133,0),0)))</f>
        <v>823NV-595</v>
      </c>
      <c r="B50" s="111" t="str">
        <f aca="false">IF(IFERROR(MATCH(37,$AB$40:$AB$133,0),0)=0,"",INDEX($AG$40:$AG$133,IFERROR(MATCH(37,$AB$40:$AB$133,0),0)))</f>
        <v>261376101</v>
      </c>
      <c r="C50" s="112" t="str">
        <f aca="false">IF(IFERROR(MATCH(37,$AB$40:$AB$133,0),0)=0,"",INDEX($U$40:$U$133,IFERROR(MATCH(37,$AB$40:$AB$133,0),0)))</f>
        <v>KG</v>
      </c>
      <c r="D50" s="113" t="n">
        <f aca="false">IF(IFERROR(MATCH(37,$AB$40:$AB$133,0),0)=0,"",INDEX($BH$40:$BH$133,IFERROR(MATCH(37,$AB$40:$AB$133,0),0)))</f>
        <v>0</v>
      </c>
      <c r="E50" s="113" t="n">
        <f aca="false">IF(IFERROR(MATCH(37,$AB$40:$AB$133,0),0)=0,"",INDEX($W$40:$W$133,IFERROR(MATCH(37,$AB$40:$AB$133,0),0)))</f>
        <v>5940</v>
      </c>
      <c r="F50" s="113" t="n">
        <f aca="false">IF(IFERROR(MATCH(37,$AB$40:$AB$133,0),0)=0,"",INDEX($X$40:$X$133,IFERROR(MATCH(37,$AB$40:$AB$133,0),0)))</f>
        <v>4940</v>
      </c>
      <c r="G50" s="113" t="n">
        <f aca="false">IF(A50="","",D50+E50-F50)</f>
        <v>1000</v>
      </c>
      <c r="H50" s="113" t="n">
        <f aca="false">IF(IFERROR(MATCH(37,$AB$40:$AB$133,0),0)=0,"",INDEX($Y$40:$Y$133,IFERROR(MATCH(37,$AB$40:$AB$133,0),0)))</f>
        <v>1000</v>
      </c>
      <c r="I50" s="114" t="n">
        <f aca="false">IF(IFERROR(MATCH(37,$AB$40:$AB$133,0),0)=0,"",INDEX($Z$40:$Z$133,IFERROR(MATCH(37,$AB$40:$AB$133,0),0)))</f>
        <v>0</v>
      </c>
      <c r="J50" s="115" t="str">
        <f aca="false">IF(IFERROR(MATCH(37,$AB$40:$AB$133,0),0)=0,"",INDEX($AC$40:$AC$133,IFERROR(MATCH(37,$AB$40:$AB$133,0),0)))</f>
        <v>Confere</v>
      </c>
      <c r="K50" s="116" t="n">
        <f aca="false">IF(IFERROR(MATCH(37,$AB$40:$AB$133,0),0)=0,"",INDEX($AD$40:$AD$133,IFERROR(MATCH(37,$AB$40:$AB$133,0),0)))</f>
        <v>12</v>
      </c>
      <c r="L50" s="117" t="n">
        <f aca="false">IF(IFERROR(MATCH(37,$AB$40:$AB$133,0),0)=0,"",IF(INDEX($BB$40:$BB$133,IFERROR(MATCH(37,$AB$40:$AB$133,0),0))&gt;=99999,"",INDEX($BB$40:$BB$133,IFERROR(MATCH(37,$AB$40:$AB$133,0),0))))</f>
        <v>46275</v>
      </c>
      <c r="M50" s="117" t="n">
        <f aca="false">IF(IFERROR(MATCH(37,$AB$40:$AB$133,0),0)=0,"",IF(INDEX($BC$40:$BC$133,IFERROR(MATCH(37,$AB$40:$AB$133,0),0))=0,"",INDEX($BC$40:$BC$133,IFERROR(MATCH(37,$AB$40:$AB$133,0),0))))</f>
        <v>46295</v>
      </c>
      <c r="N50" s="118" t="str">
        <f aca="false">IF(IFERROR(MATCH(37,$AB$40:$AB$133,0),0)=0,"",INDEX($AE$40:$AE$133,IFERROR(MATCH(37,$AB$40:$AB$133,0),0))&amp;"")</f>
        <v>Sem diferença</v>
      </c>
      <c r="O50" s="119" t="str">
        <f aca="false">IF(IFERROR(MATCH(37,$AB$40:$AB$133,0),0)=0,"",INDEX($BD$40:$BD$133,IFERROR(MATCH(37,$AB$40:$AB$133,0),0))&amp;"")</f>
        <v>Nenhum ajuste necessário</v>
      </c>
      <c r="T50" s="82" t="s">
        <v>309</v>
      </c>
      <c r="U50" s="82" t="s">
        <v>65</v>
      </c>
      <c r="V50" s="82" t="n">
        <f aca="false">SUMIFS('3 Base Entrada 2008'!$G$2:$G$5000,'3 Base Entrada 2008'!$F$2:$F$5000,"&gt;="&amp;$F$5,'3 Base Entrada 2008'!$F$2:$F$5000,"&lt;="&amp;$H$5,'3 Base Entrada 2008'!$B$2:$B$5000,$T50,'3 Base Entrada 2008'!$C$2:$C$5000,$AG50,'3 Base Entrada 2008'!$K$2:$K$5000,"Recebido no 2008")</f>
        <v>20</v>
      </c>
      <c r="W50" s="82" t="n">
        <f aca="false">SUMIFS('3 Base Entrada 2008'!$L$2:$L$5000,'3 Base Entrada 2008'!$F$2:$F$5000,"&gt;="&amp;$F$5,'3 Base Entrada 2008'!$F$2:$F$5000,"&lt;="&amp;$H$5,'3 Base Entrada 2008'!$B$2:$B$5000,$T50,'3 Base Entrada 2008'!$C$2:$C$5000,$AG50)</f>
        <v>0</v>
      </c>
      <c r="X50" s="82" t="n">
        <f aca="false">SUMIFS('3 Base Saídas'!$R$2:$R$5000,'3 Base Saídas'!$G$2:$G$5000,"&gt;="&amp;$F$5,'3 Base Saídas'!$G$2:$G$5000,"&lt;="&amp;$H$5,'3 Base Saídas'!$B$2:$B$5000,$T50,'3 Base Saídas'!$C$2:$C$5000,$AG50)</f>
        <v>542.7</v>
      </c>
      <c r="Y50" s="82" t="n">
        <f aca="false">SUMIFS('3 Base Estoque Físico'!$J$2:$J$5000,'3 Base Estoque Físico'!$A$2:$A$5000,$T50,'3 Base Estoque Físico'!$B$2:$B$5000,$AG50)</f>
        <v>540.69</v>
      </c>
      <c r="Z50" s="82" t="n">
        <f aca="false">ROUND(Y50-(BH50+W50-X50),3)</f>
        <v>1083.39</v>
      </c>
      <c r="AA50" s="82" t="n">
        <f aca="false">IF(AND(U50=$R$3,OR($R$1="*",T50=$R$1),OR($R$2="*",AG50=$R$2),OR($R$6="*",AC50=$R$6),ABS(V50)+ABS(W50)+ABS(X50)+ABS(Y50)&gt;0),1,0)</f>
        <v>1</v>
      </c>
      <c r="AB50" s="82" t="n">
        <f aca="false">IF(AA50=1,SUM(AA$40:AA50),"")</f>
        <v>9</v>
      </c>
      <c r="AC50" s="0" t="str">
        <f aca="false">IF(ABS(Z50)&lt;=$R$5,"Confere",IF(Z50&gt;0,"Sobrando","Faltando"))</f>
        <v>Sobrando</v>
      </c>
      <c r="AD50" s="82" t="n">
        <f aca="false">IF(OR($R$4="*",$R$4="Saída"),COUNTIFS('3 Base Saídas'!$G$2:$G$5000,"&gt;="&amp;$F$5,'3 Base Saídas'!$G$2:$G$5000,"&lt;="&amp;$H$5,'3 Base Saídas'!$B$2:$B$5000,$T50,'3 Base Saídas'!$C$2:$C$5000,$AG50),0)+IF($R$4&lt;&gt;"Saída",COUNTIFS('3 Base Entrada 2008'!$F$2:$F$5000,"&gt;="&amp;$F$5,'3 Base Entrada 2008'!$F$2:$F$5000,"&lt;="&amp;$H$5,'3 Base Entrada 2008'!$B$2:$B$5000,$T50,'3 Base Entrada 2008'!$C$2:$C$5000,$AG50,'3 Base Entrada 2008'!$K$2:$K$5000,$R$4),0)</f>
        <v>15</v>
      </c>
      <c r="AE50" s="0" t="str">
        <f aca="false">'5 Conciliação'!K24</f>
        <v>Explica em parte: estoque antigo 18.1 + doca/transferência 502.5; faltam 562.8 a explicar</v>
      </c>
      <c r="AF50" s="82" t="n">
        <f aca="false">IF(AND(AA50=1,AC50&lt;&gt;"Confere"),ABS(Z50)+ROW()/10000000,0)</f>
        <v>1083.390005</v>
      </c>
      <c r="AG50" s="82" t="s">
        <v>395</v>
      </c>
      <c r="AH50" s="82" t="n">
        <f aca="false">LARGE($AF$40:$AF$133,11)</f>
        <v>273.3600054</v>
      </c>
      <c r="AI50" s="82" t="n">
        <f aca="false">IF(AH50&gt;0,MATCH(AH50,$AF$40:$AF$133,0),"")</f>
        <v>15</v>
      </c>
      <c r="AJ50" s="0" t="str">
        <f aca="false">IF(AI50="","",INDEX($T$40:$T$133,AI50)&amp;" · "&amp;INDEX($AG$40:$AG$133,AI50))</f>
        <v>811-BR-25A · 250880301</v>
      </c>
      <c r="AK50" s="82" t="n">
        <f aca="false">IF(AI50="",0,MAX(INDEX($Z$40:$Z$133,AI50),0))</f>
        <v>273.36</v>
      </c>
      <c r="AL50" s="82" t="n">
        <f aca="false">IF(AI50="",0,MIN(INDEX($Z$40:$Z$133,AI50),0))</f>
        <v>0</v>
      </c>
      <c r="AN50" s="82" t="s">
        <v>1763</v>
      </c>
      <c r="AO50" s="120" t="n">
        <v>46284</v>
      </c>
      <c r="AP50" s="82" t="n">
        <f aca="false">IF(AND(AO50&gt;=$F$5,AO50&lt;=$H$5,$R$4&lt;&gt;"Saída"),SUMIFS('3 Base Entrada 2008'!$L$2:$L$5000,'3 Base Entrada 2008'!$F$2:$F$5000,$AO50,'3 Base Entrada 2008'!$B$2:$B$5000,$R$1,'3 Base Entrada 2008'!$C$2:$C$5000,$R$2,'3 Base Entrada 2008'!$H$2:$H$5000,$R$3,'3 Base Entrada 2008'!$K$2:$K$5000,$R$4),0)</f>
        <v>0</v>
      </c>
      <c r="AQ50" s="82" t="n">
        <f aca="false">IF(AND(AO50&gt;=$F$5,AO50&lt;=$H$5,OR($R$4="*",$R$4="Saída")),-SUMIFS('3 Base Saídas'!$R$2:$R$5000,'3 Base Saídas'!$G$2:$G$5000,$AO50,'3 Base Saídas'!$B$2:$B$5000,$R$1,'3 Base Saídas'!$C$2:$C$5000,$R$2,'3 Base Saídas'!$I$2:$I$5000,$R$3),0)</f>
        <v>-195</v>
      </c>
      <c r="AR50" s="82" t="n">
        <f aca="false">SUM($AP$40:AP50)+SUM($AQ$40:AQ50)</f>
        <v>2080.06</v>
      </c>
      <c r="AS50" s="82" t="s">
        <v>389</v>
      </c>
      <c r="AV50" s="0" t="str">
        <f aca="false">IFERROR(INDEX($AX$1:$AX$94,MATCH(49,$AY$1:$AY$94,0)),"")</f>
        <v>251880301</v>
      </c>
      <c r="AW50" s="82" t="s">
        <v>358</v>
      </c>
      <c r="AX50" s="82" t="s">
        <v>360</v>
      </c>
      <c r="AY50" s="82" t="n">
        <f aca="false">IF(OR($A$5="Todos",AW50=$A$5),MAX(AY$1:AY49)+1,0)</f>
        <v>50</v>
      </c>
      <c r="BB50" s="82" t="n">
        <f aca="false">MIN(IF(_xlfn.MINIFS('3 Base Entrada 2008'!$F$2:$F$5000,'3 Base Entrada 2008'!$F$2:$F$5000,"&gt;="&amp;$F$5,'3 Base Entrada 2008'!$F$2:$F$5000,"&lt;="&amp;$H$5,'3 Base Entrada 2008'!$B$2:$B$5000,$T50,'3 Base Entrada 2008'!$C$2:$C$5000,$AG50)=0,99999,_xlfn.MINIFS('3 Base Entrada 2008'!$F$2:$F$5000,'3 Base Entrada 2008'!$F$2:$F$5000,"&gt;="&amp;$F$5,'3 Base Entrada 2008'!$F$2:$F$5000,"&lt;="&amp;$H$5,'3 Base Entrada 2008'!$B$2:$B$5000,$T50,'3 Base Entrada 2008'!$C$2:$C$5000,$AG50)),IF(_xlfn.MINIFS('3 Base Saídas'!$G$2:$G$5000,'3 Base Saídas'!$G$2:$G$5000,"&gt;="&amp;$F$5,'3 Base Saídas'!$G$2:$G$5000,"&lt;="&amp;$H$5,'3 Base Saídas'!$B$2:$B$5000,$T50,'3 Base Saídas'!$C$2:$C$5000,$AG50)=0,99999,_xlfn.MINIFS('3 Base Saídas'!$G$2:$G$5000,'3 Base Saídas'!$G$2:$G$5000,"&gt;="&amp;$F$5,'3 Base Saídas'!$G$2:$G$5000,"&lt;="&amp;$H$5,'3 Base Saídas'!$B$2:$B$5000,$T50,'3 Base Saídas'!$C$2:$C$5000,$AG50)))</f>
        <v>46275</v>
      </c>
      <c r="BC50" s="82" t="n">
        <f aca="false">MAX(_xlfn.MAXIFS('3 Base Entrada 2008'!$F$2:$F$5000,'3 Base Entrada 2008'!$F$2:$F$5000,"&gt;="&amp;$F$5,'3 Base Entrada 2008'!$F$2:$F$5000,"&lt;="&amp;$H$5,'3 Base Entrada 2008'!$B$2:$B$5000,$T50,'3 Base Entrada 2008'!$C$2:$C$5000,$AG50),_xlfn.MAXIFS('3 Base Saídas'!$G$2:$G$5000,'3 Base Saídas'!$G$2:$G$5000,"&gt;="&amp;$F$5,'3 Base Saídas'!$G$2:$G$5000,"&lt;="&amp;$H$5,'3 Base Saídas'!$B$2:$B$5000,$T50,'3 Base Saídas'!$C$2:$C$5000,$AG50))</f>
        <v>46286</v>
      </c>
      <c r="BD50" s="0" t="str">
        <f aca="false">'5 Conciliação'!L24</f>
        <v>Confirmar saldo de 08/09 e OTs de doca; contar o lote para os 562.8 KG restantes e ajustar a sobra se confirmada</v>
      </c>
      <c r="BE50" s="0" t="str">
        <f aca="false">'5 Conciliação'!Q24</f>
        <v>Sobra parcialmente explicada</v>
      </c>
      <c r="BF50" s="0" t="str">
        <f aca="false">'5 Conciliação'!R24</f>
        <v>Alta</v>
      </c>
      <c r="BH50" s="82" t="n">
        <f aca="false">SUMIFS('3 Base Saldo Inicial 08-09'!$E$2:$E$5000,'3 Base Saldo Inicial 08-09'!$A$2:$A$5000,$T50,'3 Base Saldo Inicial 08-09'!$B$2:$B$5000,$AG50)-SUMIFS('3 Base Saldo Inicial 08-09'!$E$2:$E$5000,'3 Base Saldo Inicial 08-09'!$A$2:$A$5000,$T50,'3 Base Saldo Inicial 08-09'!$B$2:$B$5000,$AG50,'3 Base Saldo Inicial 08-09'!$C$2:$C$5000,"2008")</f>
        <v>0</v>
      </c>
    </row>
    <row r="51" customFormat="false" ht="15" hidden="false" customHeight="false" outlineLevel="0" collapsed="false">
      <c r="A51" s="111" t="str">
        <f aca="false">IF(IFERROR(MATCH(38,$AB$40:$AB$133,0),0)=0,"",INDEX($T$40:$T$133,IFERROR(MATCH(38,$AB$40:$AB$133,0),0)))</f>
        <v>BIG-PF-1BO-401</v>
      </c>
      <c r="B51" s="111" t="str">
        <f aca="false">IF(IFERROR(MATCH(38,$AB$40:$AB$133,0),0)=0,"",INDEX($AG$40:$AG$133,IFERROR(MATCH(38,$AB$40:$AB$133,0),0)))</f>
        <v>26093039</v>
      </c>
      <c r="C51" s="112" t="str">
        <f aca="false">IF(IFERROR(MATCH(38,$AB$40:$AB$133,0),0)=0,"",INDEX($U$40:$U$133,IFERROR(MATCH(38,$AB$40:$AB$133,0),0)))</f>
        <v>KG</v>
      </c>
      <c r="D51" s="113" t="n">
        <f aca="false">IF(IFERROR(MATCH(38,$AB$40:$AB$133,0),0)=0,"",INDEX($BH$40:$BH$133,IFERROR(MATCH(38,$AB$40:$AB$133,0),0)))</f>
        <v>0</v>
      </c>
      <c r="E51" s="113" t="n">
        <f aca="false">IF(IFERROR(MATCH(38,$AB$40:$AB$133,0),0)=0,"",INDEX($W$40:$W$133,IFERROR(MATCH(38,$AB$40:$AB$133,0),0)))</f>
        <v>720</v>
      </c>
      <c r="F51" s="113" t="n">
        <f aca="false">IF(IFERROR(MATCH(38,$AB$40:$AB$133,0),0)=0,"",INDEX($X$40:$X$133,IFERROR(MATCH(38,$AB$40:$AB$133,0),0)))</f>
        <v>240</v>
      </c>
      <c r="G51" s="113" t="n">
        <f aca="false">IF(A51="","",D51+E51-F51)</f>
        <v>480</v>
      </c>
      <c r="H51" s="113" t="n">
        <f aca="false">IF(IFERROR(MATCH(38,$AB$40:$AB$133,0),0)=0,"",INDEX($Y$40:$Y$133,IFERROR(MATCH(38,$AB$40:$AB$133,0),0)))</f>
        <v>480</v>
      </c>
      <c r="I51" s="114" t="n">
        <f aca="false">IF(IFERROR(MATCH(38,$AB$40:$AB$133,0),0)=0,"",INDEX($Z$40:$Z$133,IFERROR(MATCH(38,$AB$40:$AB$133,0),0)))</f>
        <v>0</v>
      </c>
      <c r="J51" s="115" t="str">
        <f aca="false">IF(IFERROR(MATCH(38,$AB$40:$AB$133,0),0)=0,"",INDEX($AC$40:$AC$133,IFERROR(MATCH(38,$AB$40:$AB$133,0),0)))</f>
        <v>Confere</v>
      </c>
      <c r="K51" s="116" t="n">
        <f aca="false">IF(IFERROR(MATCH(38,$AB$40:$AB$133,0),0)=0,"",INDEX($AD$40:$AD$133,IFERROR(MATCH(38,$AB$40:$AB$133,0),0)))</f>
        <v>2</v>
      </c>
      <c r="L51" s="117" t="n">
        <f aca="false">IF(IFERROR(MATCH(38,$AB$40:$AB$133,0),0)=0,"",IF(INDEX($BB$40:$BB$133,IFERROR(MATCH(38,$AB$40:$AB$133,0),0))&gt;=99999,"",INDEX($BB$40:$BB$133,IFERROR(MATCH(38,$AB$40:$AB$133,0),0))))</f>
        <v>46291</v>
      </c>
      <c r="M51" s="117" t="n">
        <f aca="false">IF(IFERROR(MATCH(38,$AB$40:$AB$133,0),0)=0,"",IF(INDEX($BC$40:$BC$133,IFERROR(MATCH(38,$AB$40:$AB$133,0),0))=0,"",INDEX($BC$40:$BC$133,IFERROR(MATCH(38,$AB$40:$AB$133,0),0))))</f>
        <v>46295</v>
      </c>
      <c r="N51" s="118" t="str">
        <f aca="false">IF(IFERROR(MATCH(38,$AB$40:$AB$133,0),0)=0,"",INDEX($AE$40:$AE$133,IFERROR(MATCH(38,$AB$40:$AB$133,0),0))&amp;"")</f>
        <v>Sem diferença</v>
      </c>
      <c r="O51" s="119" t="str">
        <f aca="false">IF(IFERROR(MATCH(38,$AB$40:$AB$133,0),0)=0,"",INDEX($BD$40:$BD$133,IFERROR(MATCH(38,$AB$40:$AB$133,0),0))&amp;"")</f>
        <v>Nenhum ajuste necessário</v>
      </c>
      <c r="T51" s="82" t="s">
        <v>276</v>
      </c>
      <c r="U51" s="82" t="s">
        <v>65</v>
      </c>
      <c r="V51" s="82" t="n">
        <f aca="false">SUMIFS('3 Base Entrada 2008'!$G$2:$G$5000,'3 Base Entrada 2008'!$F$2:$F$5000,"&gt;="&amp;$F$5,'3 Base Entrada 2008'!$F$2:$F$5000,"&lt;="&amp;$H$5,'3 Base Entrada 2008'!$B$2:$B$5000,$T51,'3 Base Entrada 2008'!$C$2:$C$5000,$AG51,'3 Base Entrada 2008'!$K$2:$K$5000,"Recebido no 2008")</f>
        <v>0</v>
      </c>
      <c r="W51" s="82" t="n">
        <f aca="false">SUMIFS('3 Base Entrada 2008'!$L$2:$L$5000,'3 Base Entrada 2008'!$F$2:$F$5000,"&gt;="&amp;$F$5,'3 Base Entrada 2008'!$F$2:$F$5000,"&lt;="&amp;$H$5,'3 Base Entrada 2008'!$B$2:$B$5000,$T51,'3 Base Entrada 2008'!$C$2:$C$5000,$AG51)</f>
        <v>763.8</v>
      </c>
      <c r="X51" s="82" t="n">
        <f aca="false">SUMIFS('3 Base Saídas'!$R$2:$R$5000,'3 Base Saídas'!$G$2:$G$5000,"&gt;="&amp;$F$5,'3 Base Saídas'!$G$2:$G$5000,"&lt;="&amp;$H$5,'3 Base Saídas'!$B$2:$B$5000,$T51,'3 Base Saídas'!$C$2:$C$5000,$AG51)</f>
        <v>924.6</v>
      </c>
      <c r="Y51" s="82" t="n">
        <f aca="false">SUMIFS('3 Base Estoque Físico'!$J$2:$J$5000,'3 Base Estoque Físico'!$A$2:$A$5000,$T51,'3 Base Estoque Físico'!$B$2:$B$5000,$AG51)</f>
        <v>763.8</v>
      </c>
      <c r="Z51" s="82" t="n">
        <f aca="false">ROUND(Y51-(BH51+W51-X51),3)</f>
        <v>924.6</v>
      </c>
      <c r="AA51" s="82" t="n">
        <f aca="false">IF(AND(U51=$R$3,OR($R$1="*",T51=$R$1),OR($R$2="*",AG51=$R$2),OR($R$6="*",AC51=$R$6),ABS(V51)+ABS(W51)+ABS(X51)+ABS(Y51)&gt;0),1,0)</f>
        <v>1</v>
      </c>
      <c r="AB51" s="82" t="n">
        <f aca="false">IF(AA51=1,SUM(AA$40:AA51),"")</f>
        <v>10</v>
      </c>
      <c r="AC51" s="0" t="str">
        <f aca="false">IF(ABS(Z51)&lt;=$R$5,"Confere",IF(Z51&gt;0,"Sobrando","Faltando"))</f>
        <v>Sobrando</v>
      </c>
      <c r="AD51" s="82" t="n">
        <f aca="false">IF(OR($R$4="*",$R$4="Saída"),COUNTIFS('3 Base Saídas'!$G$2:$G$5000,"&gt;="&amp;$F$5,'3 Base Saídas'!$G$2:$G$5000,"&lt;="&amp;$H$5,'3 Base Saídas'!$B$2:$B$5000,$T51,'3 Base Saídas'!$C$2:$C$5000,$AG51),0)+IF($R$4&lt;&gt;"Saída",COUNTIFS('3 Base Entrada 2008'!$F$2:$F$5000,"&gt;="&amp;$F$5,'3 Base Entrada 2008'!$F$2:$F$5000,"&lt;="&amp;$H$5,'3 Base Entrada 2008'!$B$2:$B$5000,$T51,'3 Base Entrada 2008'!$C$2:$C$5000,$AG51,'3 Base Entrada 2008'!$K$2:$K$5000,$R$4),0)</f>
        <v>12</v>
      </c>
      <c r="AE51" s="0" t="str">
        <f aca="false">'5 Conciliação'!K25</f>
        <v>As saídas do período não baixaram o estoque físico</v>
      </c>
      <c r="AF51" s="82" t="n">
        <f aca="false">IF(AND(AA51=1,AC51&lt;&gt;"Confere"),ABS(Z51)+ROW()/10000000,0)</f>
        <v>924.6000051</v>
      </c>
      <c r="AG51" s="82" t="s">
        <v>370</v>
      </c>
      <c r="AH51" s="82" t="n">
        <f aca="false">LARGE($AF$40:$AF$133,12)</f>
        <v>261.1200041</v>
      </c>
      <c r="AI51" s="82" t="n">
        <f aca="false">IF(AH51&gt;0,MATCH(AH51,$AF$40:$AF$133,0),"")</f>
        <v>2</v>
      </c>
      <c r="AJ51" s="0" t="str">
        <f aca="false">IF(AI51="","",INDEX($T$40:$T$133,AI51)&amp;" · "&amp;INDEX($AG$40:$AG$133,AI51))</f>
        <v>CHM-TS-P23-E0-999 · 2605567696</v>
      </c>
      <c r="AK51" s="82" t="n">
        <f aca="false">IF(AI51="",0,MAX(INDEX($Z$40:$Z$133,AI51),0))</f>
        <v>0</v>
      </c>
      <c r="AL51" s="82" t="n">
        <f aca="false">IF(AI51="",0,MIN(INDEX($Z$40:$Z$133,AI51),0))</f>
        <v>-261.12</v>
      </c>
      <c r="AN51" s="82" t="s">
        <v>1764</v>
      </c>
      <c r="AO51" s="120" t="n">
        <v>46285</v>
      </c>
      <c r="AP51" s="82" t="n">
        <f aca="false">IF(AND(AO51&gt;=$F$5,AO51&lt;=$H$5,$R$4&lt;&gt;"Saída"),SUMIFS('3 Base Entrada 2008'!$L$2:$L$5000,'3 Base Entrada 2008'!$F$2:$F$5000,$AO51,'3 Base Entrada 2008'!$B$2:$B$5000,$R$1,'3 Base Entrada 2008'!$C$2:$C$5000,$R$2,'3 Base Entrada 2008'!$H$2:$H$5000,$R$3,'3 Base Entrada 2008'!$K$2:$K$5000,$R$4),0)</f>
        <v>0</v>
      </c>
      <c r="AQ51" s="82" t="n">
        <f aca="false">IF(AND(AO51&gt;=$F$5,AO51&lt;=$H$5,OR($R$4="*",$R$4="Saída")),-SUMIFS('3 Base Saídas'!$R$2:$R$5000,'3 Base Saídas'!$G$2:$G$5000,$AO51,'3 Base Saídas'!$B$2:$B$5000,$R$1,'3 Base Saídas'!$C$2:$C$5000,$R$2,'3 Base Saídas'!$I$2:$I$5000,$R$3),0)</f>
        <v>-302.7</v>
      </c>
      <c r="AR51" s="82" t="n">
        <f aca="false">SUM($AP$40:AP51)+SUM($AQ$40:AQ51)</f>
        <v>1777.36</v>
      </c>
      <c r="AS51" s="82" t="s">
        <v>309</v>
      </c>
      <c r="AV51" s="0" t="str">
        <f aca="false">IFERROR(INDEX($AX$1:$AX$94,MATCH(50,$AY$1:$AY$94,0)),"")</f>
        <v>253100102</v>
      </c>
      <c r="AW51" s="82" t="s">
        <v>358</v>
      </c>
      <c r="AX51" s="82" t="s">
        <v>359</v>
      </c>
      <c r="AY51" s="82" t="n">
        <f aca="false">IF(OR($A$5="Todos",AW51=$A$5),MAX(AY$1:AY50)+1,0)</f>
        <v>51</v>
      </c>
      <c r="BB51" s="82" t="n">
        <f aca="false">MIN(IF(_xlfn.MINIFS('3 Base Entrada 2008'!$F$2:$F$5000,'3 Base Entrada 2008'!$F$2:$F$5000,"&gt;="&amp;$F$5,'3 Base Entrada 2008'!$F$2:$F$5000,"&lt;="&amp;$H$5,'3 Base Entrada 2008'!$B$2:$B$5000,$T51,'3 Base Entrada 2008'!$C$2:$C$5000,$AG51)=0,99999,_xlfn.MINIFS('3 Base Entrada 2008'!$F$2:$F$5000,'3 Base Entrada 2008'!$F$2:$F$5000,"&gt;="&amp;$F$5,'3 Base Entrada 2008'!$F$2:$F$5000,"&lt;="&amp;$H$5,'3 Base Entrada 2008'!$B$2:$B$5000,$T51,'3 Base Entrada 2008'!$C$2:$C$5000,$AG51)),IF(_xlfn.MINIFS('3 Base Saídas'!$G$2:$G$5000,'3 Base Saídas'!$G$2:$G$5000,"&gt;="&amp;$F$5,'3 Base Saídas'!$G$2:$G$5000,"&lt;="&amp;$H$5,'3 Base Saídas'!$B$2:$B$5000,$T51,'3 Base Saídas'!$C$2:$C$5000,$AG51)=0,99999,_xlfn.MINIFS('3 Base Saídas'!$G$2:$G$5000,'3 Base Saídas'!$G$2:$G$5000,"&gt;="&amp;$F$5,'3 Base Saídas'!$G$2:$G$5000,"&lt;="&amp;$H$5,'3 Base Saídas'!$B$2:$B$5000,$T51,'3 Base Saídas'!$C$2:$C$5000,$AG51)))</f>
        <v>46275</v>
      </c>
      <c r="BC51" s="82" t="n">
        <f aca="false">MAX(_xlfn.MAXIFS('3 Base Entrada 2008'!$F$2:$F$5000,'3 Base Entrada 2008'!$F$2:$F$5000,"&gt;="&amp;$F$5,'3 Base Entrada 2008'!$F$2:$F$5000,"&lt;="&amp;$H$5,'3 Base Entrada 2008'!$B$2:$B$5000,$T51,'3 Base Entrada 2008'!$C$2:$C$5000,$AG51),_xlfn.MAXIFS('3 Base Saídas'!$G$2:$G$5000,'3 Base Saídas'!$G$2:$G$5000,"&gt;="&amp;$F$5,'3 Base Saídas'!$G$2:$G$5000,"&lt;="&amp;$H$5,'3 Base Saídas'!$B$2:$B$5000,$T51,'3 Base Saídas'!$C$2:$C$5000,$AG51))</f>
        <v>46293</v>
      </c>
      <c r="BD51" s="0" t="str">
        <f aca="false">'5 Conciliação'!L25</f>
        <v>Confirmar a OT de saída (picking) das remessas para baixar 924.6 KG do estoque físico</v>
      </c>
      <c r="BE51" s="0" t="str">
        <f aca="false">'5 Conciliação'!Q25</f>
        <v>Saída sem baixa no estoque</v>
      </c>
      <c r="BF51" s="0" t="str">
        <f aca="false">'5 Conciliação'!R25</f>
        <v>Baixa</v>
      </c>
      <c r="BH51" s="82" t="n">
        <f aca="false">SUMIFS('3 Base Saldo Inicial 08-09'!$E$2:$E$5000,'3 Base Saldo Inicial 08-09'!$A$2:$A$5000,$T51,'3 Base Saldo Inicial 08-09'!$B$2:$B$5000,$AG51)-SUMIFS('3 Base Saldo Inicial 08-09'!$E$2:$E$5000,'3 Base Saldo Inicial 08-09'!$A$2:$A$5000,$T51,'3 Base Saldo Inicial 08-09'!$B$2:$B$5000,$AG51,'3 Base Saldo Inicial 08-09'!$C$2:$C$5000,"2008")</f>
        <v>0</v>
      </c>
    </row>
    <row r="52" customFormat="false" ht="15" hidden="false" customHeight="false" outlineLevel="0" collapsed="false">
      <c r="A52" s="111" t="str">
        <f aca="false">IF(IFERROR(MATCH(39,$AB$40:$AB$133,0),0)=0,"",INDEX($T$40:$T$133,IFERROR(MATCH(39,$AB$40:$AB$133,0),0)))</f>
        <v>BIG-PF-1BO-401</v>
      </c>
      <c r="B52" s="111" t="str">
        <f aca="false">IF(IFERROR(MATCH(39,$AB$40:$AB$133,0),0)=0,"",INDEX($AG$40:$AG$133,IFERROR(MATCH(39,$AB$40:$AB$133,0),0)))</f>
        <v>26126039</v>
      </c>
      <c r="C52" s="112" t="str">
        <f aca="false">IF(IFERROR(MATCH(39,$AB$40:$AB$133,0),0)=0,"",INDEX($U$40:$U$133,IFERROR(MATCH(39,$AB$40:$AB$133,0),0)))</f>
        <v>KG</v>
      </c>
      <c r="D52" s="113" t="n">
        <f aca="false">IF(IFERROR(MATCH(39,$AB$40:$AB$133,0),0)=0,"",INDEX($BH$40:$BH$133,IFERROR(MATCH(39,$AB$40:$AB$133,0),0)))</f>
        <v>0</v>
      </c>
      <c r="E52" s="113" t="n">
        <f aca="false">IF(IFERROR(MATCH(39,$AB$40:$AB$133,0),0)=0,"",INDEX($W$40:$W$133,IFERROR(MATCH(39,$AB$40:$AB$133,0),0)))</f>
        <v>40</v>
      </c>
      <c r="F52" s="113" t="n">
        <f aca="false">IF(IFERROR(MATCH(39,$AB$40:$AB$133,0),0)=0,"",INDEX($X$40:$X$133,IFERROR(MATCH(39,$AB$40:$AB$133,0),0)))</f>
        <v>0</v>
      </c>
      <c r="G52" s="113" t="n">
        <f aca="false">IF(A52="","",D52+E52-F52)</f>
        <v>40</v>
      </c>
      <c r="H52" s="113" t="n">
        <f aca="false">IF(IFERROR(MATCH(39,$AB$40:$AB$133,0),0)=0,"",INDEX($Y$40:$Y$133,IFERROR(MATCH(39,$AB$40:$AB$133,0),0)))</f>
        <v>40</v>
      </c>
      <c r="I52" s="114" t="n">
        <f aca="false">IF(IFERROR(MATCH(39,$AB$40:$AB$133,0),0)=0,"",INDEX($Z$40:$Z$133,IFERROR(MATCH(39,$AB$40:$AB$133,0),0)))</f>
        <v>0</v>
      </c>
      <c r="J52" s="115" t="str">
        <f aca="false">IF(IFERROR(MATCH(39,$AB$40:$AB$133,0),0)=0,"",INDEX($AC$40:$AC$133,IFERROR(MATCH(39,$AB$40:$AB$133,0),0)))</f>
        <v>Confere</v>
      </c>
      <c r="K52" s="116" t="n">
        <f aca="false">IF(IFERROR(MATCH(39,$AB$40:$AB$133,0),0)=0,"",INDEX($AD$40:$AD$133,IFERROR(MATCH(39,$AB$40:$AB$133,0),0)))</f>
        <v>3</v>
      </c>
      <c r="L52" s="117" t="n">
        <f aca="false">IF(IFERROR(MATCH(39,$AB$40:$AB$133,0),0)=0,"",IF(INDEX($BB$40:$BB$133,IFERROR(MATCH(39,$AB$40:$AB$133,0),0))&gt;=99999,"",INDEX($BB$40:$BB$133,IFERROR(MATCH(39,$AB$40:$AB$133,0),0))))</f>
        <v>46275</v>
      </c>
      <c r="M52" s="117" t="n">
        <f aca="false">IF(IFERROR(MATCH(39,$AB$40:$AB$133,0),0)=0,"",IF(INDEX($BC$40:$BC$133,IFERROR(MATCH(39,$AB$40:$AB$133,0),0))=0,"",INDEX($BC$40:$BC$133,IFERROR(MATCH(39,$AB$40:$AB$133,0),0))))</f>
        <v>46276</v>
      </c>
      <c r="N52" s="118" t="str">
        <f aca="false">IF(IFERROR(MATCH(39,$AB$40:$AB$133,0),0)=0,"",INDEX($AE$40:$AE$133,IFERROR(MATCH(39,$AB$40:$AB$133,0),0))&amp;"")</f>
        <v>Sem diferença</v>
      </c>
      <c r="O52" s="119" t="str">
        <f aca="false">IF(IFERROR(MATCH(39,$AB$40:$AB$133,0),0)=0,"",INDEX($BD$40:$BD$133,IFERROR(MATCH(39,$AB$40:$AB$133,0),0))&amp;"")</f>
        <v>Nenhum ajuste necessário</v>
      </c>
      <c r="T52" s="82" t="s">
        <v>269</v>
      </c>
      <c r="U52" s="82" t="s">
        <v>65</v>
      </c>
      <c r="V52" s="82" t="n">
        <f aca="false">SUMIFS('3 Base Entrada 2008'!$G$2:$G$5000,'3 Base Entrada 2008'!$F$2:$F$5000,"&gt;="&amp;$F$5,'3 Base Entrada 2008'!$F$2:$F$5000,"&lt;="&amp;$H$5,'3 Base Entrada 2008'!$B$2:$B$5000,$T52,'3 Base Entrada 2008'!$C$2:$C$5000,$AG52,'3 Base Entrada 2008'!$K$2:$K$5000,"Recebido no 2008")</f>
        <v>0</v>
      </c>
      <c r="W52" s="82" t="n">
        <f aca="false">SUMIFS('3 Base Entrada 2008'!$L$2:$L$5000,'3 Base Entrada 2008'!$F$2:$F$5000,"&gt;="&amp;$F$5,'3 Base Entrada 2008'!$F$2:$F$5000,"&lt;="&amp;$H$5,'3 Base Entrada 2008'!$B$2:$B$5000,$T52,'3 Base Entrada 2008'!$C$2:$C$5000,$AG52)</f>
        <v>918</v>
      </c>
      <c r="X52" s="82" t="n">
        <f aca="false">SUMIFS('3 Base Saídas'!$R$2:$R$5000,'3 Base Saídas'!$G$2:$G$5000,"&gt;="&amp;$F$5,'3 Base Saídas'!$G$2:$G$5000,"&lt;="&amp;$H$5,'3 Base Saídas'!$B$2:$B$5000,$T52,'3 Base Saídas'!$C$2:$C$5000,$AG52)</f>
        <v>186</v>
      </c>
      <c r="Y52" s="82" t="n">
        <f aca="false">SUMIFS('3 Base Estoque Físico'!$J$2:$J$5000,'3 Base Estoque Físico'!$A$2:$A$5000,$T52,'3 Base Estoque Físico'!$B$2:$B$5000,$AG52)</f>
        <v>1272</v>
      </c>
      <c r="Z52" s="82" t="n">
        <f aca="false">ROUND(Y52-(BH52+W52-X52),3)</f>
        <v>540</v>
      </c>
      <c r="AA52" s="82" t="n">
        <f aca="false">IF(AND(U52=$R$3,OR($R$1="*",T52=$R$1),OR($R$2="*",AG52=$R$2),OR($R$6="*",AC52=$R$6),ABS(V52)+ABS(W52)+ABS(X52)+ABS(Y52)&gt;0),1,0)</f>
        <v>1</v>
      </c>
      <c r="AB52" s="82" t="n">
        <f aca="false">IF(AA52=1,SUM(AA$40:AA52),"")</f>
        <v>11</v>
      </c>
      <c r="AC52" s="0" t="str">
        <f aca="false">IF(ABS(Z52)&lt;=$R$5,"Confere",IF(Z52&gt;0,"Sobrando","Faltando"))</f>
        <v>Sobrando</v>
      </c>
      <c r="AD52" s="82" t="n">
        <f aca="false">IF(OR($R$4="*",$R$4="Saída"),COUNTIFS('3 Base Saídas'!$G$2:$G$5000,"&gt;="&amp;$F$5,'3 Base Saídas'!$G$2:$G$5000,"&lt;="&amp;$H$5,'3 Base Saídas'!$B$2:$B$5000,$T52,'3 Base Saídas'!$C$2:$C$5000,$AG52),0)+IF($R$4&lt;&gt;"Saída",COUNTIFS('3 Base Entrada 2008'!$F$2:$F$5000,"&gt;="&amp;$F$5,'3 Base Entrada 2008'!$F$2:$F$5000,"&lt;="&amp;$H$5,'3 Base Entrada 2008'!$B$2:$B$5000,$T52,'3 Base Entrada 2008'!$C$2:$C$5000,$AG52,'3 Base Entrada 2008'!$K$2:$K$5000,$R$4),0)</f>
        <v>13</v>
      </c>
      <c r="AE52" s="0" t="str">
        <f aca="false">'5 Conciliação'!K26</f>
        <v>Explica em parte: estoque antigo 24.0 + doca/transferência 0.0; faltam 516.0 a explicar</v>
      </c>
      <c r="AF52" s="82" t="n">
        <f aca="false">IF(AND(AA52=1,AC52&lt;&gt;"Confere"),ABS(Z52)+ROW()/10000000,0)</f>
        <v>540.0000052</v>
      </c>
      <c r="AG52" s="82" t="s">
        <v>270</v>
      </c>
      <c r="AN52" s="82" t="s">
        <v>1765</v>
      </c>
      <c r="AO52" s="120" t="n">
        <v>46286</v>
      </c>
      <c r="AP52" s="82" t="n">
        <f aca="false">IF(AND(AO52&gt;=$F$5,AO52&lt;=$H$5,$R$4&lt;&gt;"Saída"),SUMIFS('3 Base Entrada 2008'!$L$2:$L$5000,'3 Base Entrada 2008'!$F$2:$F$5000,$AO52,'3 Base Entrada 2008'!$B$2:$B$5000,$R$1,'3 Base Entrada 2008'!$C$2:$C$5000,$R$2,'3 Base Entrada 2008'!$H$2:$H$5000,$R$3,'3 Base Entrada 2008'!$K$2:$K$5000,$R$4),0)</f>
        <v>918</v>
      </c>
      <c r="AQ52" s="82" t="n">
        <f aca="false">IF(AND(AO52&gt;=$F$5,AO52&lt;=$H$5,OR($R$4="*",$R$4="Saída")),-SUMIFS('3 Base Saídas'!$R$2:$R$5000,'3 Base Saídas'!$G$2:$G$5000,$AO52,'3 Base Saídas'!$B$2:$B$5000,$R$1,'3 Base Saídas'!$C$2:$C$5000,$R$2,'3 Base Saídas'!$I$2:$I$5000,$R$3),0)</f>
        <v>-278.5</v>
      </c>
      <c r="AR52" s="82" t="n">
        <f aca="false">SUM($AP$40:AP52)+SUM($AQ$40:AQ52)</f>
        <v>2416.86</v>
      </c>
      <c r="AV52" s="0" t="str">
        <f aca="false">IFERROR(INDEX($AX$1:$AX$94,MATCH(51,$AY$1:$AY$94,0)),"")</f>
        <v>260580101</v>
      </c>
      <c r="AW52" s="82" t="s">
        <v>260</v>
      </c>
      <c r="AX52" s="82" t="s">
        <v>261</v>
      </c>
      <c r="AY52" s="82" t="n">
        <f aca="false">IF(OR($A$5="Todos",AW52=$A$5),MAX(AY$1:AY51)+1,0)</f>
        <v>52</v>
      </c>
      <c r="BB52" s="82" t="n">
        <f aca="false">MIN(IF(_xlfn.MINIFS('3 Base Entrada 2008'!$F$2:$F$5000,'3 Base Entrada 2008'!$F$2:$F$5000,"&gt;="&amp;$F$5,'3 Base Entrada 2008'!$F$2:$F$5000,"&lt;="&amp;$H$5,'3 Base Entrada 2008'!$B$2:$B$5000,$T52,'3 Base Entrada 2008'!$C$2:$C$5000,$AG52)=0,99999,_xlfn.MINIFS('3 Base Entrada 2008'!$F$2:$F$5000,'3 Base Entrada 2008'!$F$2:$F$5000,"&gt;="&amp;$F$5,'3 Base Entrada 2008'!$F$2:$F$5000,"&lt;="&amp;$H$5,'3 Base Entrada 2008'!$B$2:$B$5000,$T52,'3 Base Entrada 2008'!$C$2:$C$5000,$AG52)),IF(_xlfn.MINIFS('3 Base Saídas'!$G$2:$G$5000,'3 Base Saídas'!$G$2:$G$5000,"&gt;="&amp;$F$5,'3 Base Saídas'!$G$2:$G$5000,"&lt;="&amp;$H$5,'3 Base Saídas'!$B$2:$B$5000,$T52,'3 Base Saídas'!$C$2:$C$5000,$AG52)=0,99999,_xlfn.MINIFS('3 Base Saídas'!$G$2:$G$5000,'3 Base Saídas'!$G$2:$G$5000,"&gt;="&amp;$F$5,'3 Base Saídas'!$G$2:$G$5000,"&lt;="&amp;$H$5,'3 Base Saídas'!$B$2:$B$5000,$T52,'3 Base Saídas'!$C$2:$C$5000,$AG52)))</f>
        <v>46275</v>
      </c>
      <c r="BC52" s="82" t="n">
        <f aca="false">MAX(_xlfn.MAXIFS('3 Base Entrada 2008'!$F$2:$F$5000,'3 Base Entrada 2008'!$F$2:$F$5000,"&gt;="&amp;$F$5,'3 Base Entrada 2008'!$F$2:$F$5000,"&lt;="&amp;$H$5,'3 Base Entrada 2008'!$B$2:$B$5000,$T52,'3 Base Entrada 2008'!$C$2:$C$5000,$AG52),_xlfn.MAXIFS('3 Base Saídas'!$G$2:$G$5000,'3 Base Saídas'!$G$2:$G$5000,"&gt;="&amp;$F$5,'3 Base Saídas'!$G$2:$G$5000,"&lt;="&amp;$H$5,'3 Base Saídas'!$B$2:$B$5000,$T52,'3 Base Saídas'!$C$2:$C$5000,$AG52))</f>
        <v>46294</v>
      </c>
      <c r="BD52" s="0" t="str">
        <f aca="false">'5 Conciliação'!L26</f>
        <v>Confirmar saldo de 08/09 e OTs de doca; contar o lote para os 516.0 KG restantes e ajustar a sobra se confirmada</v>
      </c>
      <c r="BE52" s="0" t="str">
        <f aca="false">'5 Conciliação'!Q26</f>
        <v>Sobra parcialmente explicada</v>
      </c>
      <c r="BF52" s="0" t="str">
        <f aca="false">'5 Conciliação'!R26</f>
        <v>Alta</v>
      </c>
      <c r="BH52" s="82" t="n">
        <f aca="false">SUMIFS('3 Base Saldo Inicial 08-09'!$E$2:$E$5000,'3 Base Saldo Inicial 08-09'!$A$2:$A$5000,$T52,'3 Base Saldo Inicial 08-09'!$B$2:$B$5000,$AG52)-SUMIFS('3 Base Saldo Inicial 08-09'!$E$2:$E$5000,'3 Base Saldo Inicial 08-09'!$A$2:$A$5000,$T52,'3 Base Saldo Inicial 08-09'!$B$2:$B$5000,$AG52,'3 Base Saldo Inicial 08-09'!$C$2:$C$5000,"2008")</f>
        <v>0</v>
      </c>
    </row>
    <row r="53" customFormat="false" ht="15" hidden="false" customHeight="false" outlineLevel="0" collapsed="false">
      <c r="A53" s="111" t="str">
        <f aca="false">IF(IFERROR(MATCH(40,$AB$40:$AB$133,0),0)=0,"",INDEX($T$40:$T$133,IFERROR(MATCH(40,$AB$40:$AB$133,0),0)))</f>
        <v>CHD-DR-75Y5-E1-U68</v>
      </c>
      <c r="B53" s="111" t="str">
        <f aca="false">IF(IFERROR(MATCH(40,$AB$40:$AB$133,0),0)=0,"",INDEX($AG$40:$AG$133,IFERROR(MATCH(40,$AB$40:$AB$133,0),0)))</f>
        <v>252810301</v>
      </c>
      <c r="C53" s="112" t="str">
        <f aca="false">IF(IFERROR(MATCH(40,$AB$40:$AB$133,0),0)=0,"",INDEX($U$40:$U$133,IFERROR(MATCH(40,$AB$40:$AB$133,0),0)))</f>
        <v>KG</v>
      </c>
      <c r="D53" s="113" t="n">
        <f aca="false">IF(IFERROR(MATCH(40,$AB$40:$AB$133,0),0)=0,"",INDEX($BH$40:$BH$133,IFERROR(MATCH(40,$AB$40:$AB$133,0),0)))</f>
        <v>0</v>
      </c>
      <c r="E53" s="113" t="n">
        <f aca="false">IF(IFERROR(MATCH(40,$AB$40:$AB$133,0),0)=0,"",INDEX($W$40:$W$133,IFERROR(MATCH(40,$AB$40:$AB$133,0),0)))</f>
        <v>648</v>
      </c>
      <c r="F53" s="113" t="n">
        <f aca="false">IF(IFERROR(MATCH(40,$AB$40:$AB$133,0),0)=0,"",INDEX($X$40:$X$133,IFERROR(MATCH(40,$AB$40:$AB$133,0),0)))</f>
        <v>54</v>
      </c>
      <c r="G53" s="113" t="n">
        <f aca="false">IF(A53="","",D53+E53-F53)</f>
        <v>594</v>
      </c>
      <c r="H53" s="113" t="n">
        <f aca="false">IF(IFERROR(MATCH(40,$AB$40:$AB$133,0),0)=0,"",INDEX($Y$40:$Y$133,IFERROR(MATCH(40,$AB$40:$AB$133,0),0)))</f>
        <v>594</v>
      </c>
      <c r="I53" s="114" t="n">
        <f aca="false">IF(IFERROR(MATCH(40,$AB$40:$AB$133,0),0)=0,"",INDEX($Z$40:$Z$133,IFERROR(MATCH(40,$AB$40:$AB$133,0),0)))</f>
        <v>0</v>
      </c>
      <c r="J53" s="115" t="str">
        <f aca="false">IF(IFERROR(MATCH(40,$AB$40:$AB$133,0),0)=0,"",INDEX($AC$40:$AC$133,IFERROR(MATCH(40,$AB$40:$AB$133,0),0)))</f>
        <v>Confere</v>
      </c>
      <c r="K53" s="116" t="n">
        <f aca="false">IF(IFERROR(MATCH(40,$AB$40:$AB$133,0),0)=0,"",INDEX($AD$40:$AD$133,IFERROR(MATCH(40,$AB$40:$AB$133,0),0)))</f>
        <v>5</v>
      </c>
      <c r="L53" s="117" t="n">
        <f aca="false">IF(IFERROR(MATCH(40,$AB$40:$AB$133,0),0)=0,"",IF(INDEX($BB$40:$BB$133,IFERROR(MATCH(40,$AB$40:$AB$133,0),0))&gt;=99999,"",INDEX($BB$40:$BB$133,IFERROR(MATCH(40,$AB$40:$AB$133,0),0))))</f>
        <v>46288</v>
      </c>
      <c r="M53" s="117" t="n">
        <f aca="false">IF(IFERROR(MATCH(40,$AB$40:$AB$133,0),0)=0,"",IF(INDEX($BC$40:$BC$133,IFERROR(MATCH(40,$AB$40:$AB$133,0),0))=0,"",INDEX($BC$40:$BC$133,IFERROR(MATCH(40,$AB$40:$AB$133,0),0))))</f>
        <v>46294</v>
      </c>
      <c r="N53" s="118" t="str">
        <f aca="false">IF(IFERROR(MATCH(40,$AB$40:$AB$133,0),0)=0,"",INDEX($AE$40:$AE$133,IFERROR(MATCH(40,$AB$40:$AB$133,0),0))&amp;"")</f>
        <v>Sem diferença</v>
      </c>
      <c r="O53" s="119" t="str">
        <f aca="false">IF(IFERROR(MATCH(40,$AB$40:$AB$133,0),0)=0,"",INDEX($BD$40:$BD$133,IFERROR(MATCH(40,$AB$40:$AB$133,0),0))&amp;"")</f>
        <v>Nenhum ajuste necessário</v>
      </c>
      <c r="T53" s="82" t="s">
        <v>192</v>
      </c>
      <c r="U53" s="82" t="s">
        <v>65</v>
      </c>
      <c r="V53" s="82" t="n">
        <f aca="false">SUMIFS('3 Base Entrada 2008'!$G$2:$G$5000,'3 Base Entrada 2008'!$F$2:$F$5000,"&gt;="&amp;$F$5,'3 Base Entrada 2008'!$F$2:$F$5000,"&lt;="&amp;$H$5,'3 Base Entrada 2008'!$B$2:$B$5000,$T53,'3 Base Entrada 2008'!$C$2:$C$5000,$AG53,'3 Base Entrada 2008'!$K$2:$K$5000,"Recebido no 2008")</f>
        <v>6633</v>
      </c>
      <c r="W53" s="82" t="n">
        <f aca="false">SUMIFS('3 Base Entrada 2008'!$L$2:$L$5000,'3 Base Entrada 2008'!$F$2:$F$5000,"&gt;="&amp;$F$5,'3 Base Entrada 2008'!$F$2:$F$5000,"&lt;="&amp;$H$5,'3 Base Entrada 2008'!$B$2:$B$5000,$T53,'3 Base Entrada 2008'!$C$2:$C$5000,$AG53)</f>
        <v>603</v>
      </c>
      <c r="X53" s="82" t="n">
        <f aca="false">SUMIFS('3 Base Saídas'!$R$2:$R$5000,'3 Base Saídas'!$G$2:$G$5000,"&gt;="&amp;$F$5,'3 Base Saídas'!$G$2:$G$5000,"&lt;="&amp;$H$5,'3 Base Saídas'!$B$2:$B$5000,$T53,'3 Base Saídas'!$C$2:$C$5000,$AG53)</f>
        <v>321.6</v>
      </c>
      <c r="Y53" s="82" t="n">
        <f aca="false">SUMIFS('3 Base Estoque Físico'!$J$2:$J$5000,'3 Base Estoque Físico'!$A$2:$A$5000,$T53,'3 Base Estoque Físico'!$B$2:$B$5000,$AG53)</f>
        <v>623.1</v>
      </c>
      <c r="Z53" s="82" t="n">
        <f aca="false">ROUND(Y53-(BH53+W53-X53),3)</f>
        <v>341.7</v>
      </c>
      <c r="AA53" s="82" t="n">
        <f aca="false">IF(AND(U53=$R$3,OR($R$1="*",T53=$R$1),OR($R$2="*",AG53=$R$2),OR($R$6="*",AC53=$R$6),ABS(V53)+ABS(W53)+ABS(X53)+ABS(Y53)&gt;0),1,0)</f>
        <v>1</v>
      </c>
      <c r="AB53" s="82" t="n">
        <f aca="false">IF(AA53=1,SUM(AA$40:AA53),"")</f>
        <v>12</v>
      </c>
      <c r="AC53" s="0" t="str">
        <f aca="false">IF(ABS(Z53)&lt;=$R$5,"Confere",IF(Z53&gt;0,"Sobrando","Faltando"))</f>
        <v>Sobrando</v>
      </c>
      <c r="AD53" s="82" t="n">
        <f aca="false">IF(OR($R$4="*",$R$4="Saída"),COUNTIFS('3 Base Saídas'!$G$2:$G$5000,"&gt;="&amp;$F$5,'3 Base Saídas'!$G$2:$G$5000,"&lt;="&amp;$H$5,'3 Base Saídas'!$B$2:$B$5000,$T53,'3 Base Saídas'!$C$2:$C$5000,$AG53),0)+IF($R$4&lt;&gt;"Saída",COUNTIFS('3 Base Entrada 2008'!$F$2:$F$5000,"&gt;="&amp;$F$5,'3 Base Entrada 2008'!$F$2:$F$5000,"&lt;="&amp;$H$5,'3 Base Entrada 2008'!$B$2:$B$5000,$T53,'3 Base Entrada 2008'!$C$2:$C$5000,$AG53,'3 Base Entrada 2008'!$K$2:$K$5000,$R$4),0)</f>
        <v>13</v>
      </c>
      <c r="AE53" s="0" t="str">
        <f aca="false">'5 Conciliação'!K27</f>
        <v>Estoque antigo/doca + saídas do período que não baixaram o estoque físico</v>
      </c>
      <c r="AF53" s="82" t="n">
        <f aca="false">IF(AND(AA53=1,AC53&lt;&gt;"Confere"),ABS(Z53)+ROW()/10000000,0)</f>
        <v>341.7000053</v>
      </c>
      <c r="AG53" s="82" t="s">
        <v>193</v>
      </c>
      <c r="AN53" s="82" t="s">
        <v>1766</v>
      </c>
      <c r="AO53" s="120" t="n">
        <v>46287</v>
      </c>
      <c r="AP53" s="82" t="n">
        <f aca="false">IF(AND(AO53&gt;=$F$5,AO53&lt;=$H$5,$R$4&lt;&gt;"Saída"),SUMIFS('3 Base Entrada 2008'!$L$2:$L$5000,'3 Base Entrada 2008'!$F$2:$F$5000,$AO53,'3 Base Entrada 2008'!$B$2:$B$5000,$R$1,'3 Base Entrada 2008'!$C$2:$C$5000,$R$2,'3 Base Entrada 2008'!$H$2:$H$5000,$R$3,'3 Base Entrada 2008'!$K$2:$K$5000,$R$4),0)</f>
        <v>0</v>
      </c>
      <c r="AQ53" s="82" t="n">
        <f aca="false">IF(AND(AO53&gt;=$F$5,AO53&lt;=$H$5,OR($R$4="*",$R$4="Saída")),-SUMIFS('3 Base Saídas'!$R$2:$R$5000,'3 Base Saídas'!$G$2:$G$5000,$AO53,'3 Base Saídas'!$B$2:$B$5000,$R$1,'3 Base Saídas'!$C$2:$C$5000,$R$2,'3 Base Saídas'!$I$2:$I$5000,$R$3),0)</f>
        <v>-120.1</v>
      </c>
      <c r="AR53" s="82" t="n">
        <f aca="false">SUM($AP$40:AP53)+SUM($AQ$40:AQ53)</f>
        <v>2296.76</v>
      </c>
      <c r="AV53" s="0" t="str">
        <f aca="false">IFERROR(INDEX($AX$1:$AX$94,MATCH(52,$AY$1:$AY$94,0)),"")</f>
        <v>2522444420</v>
      </c>
      <c r="AW53" s="82" t="s">
        <v>260</v>
      </c>
      <c r="AX53" s="82" t="s">
        <v>362</v>
      </c>
      <c r="AY53" s="82" t="n">
        <f aca="false">IF(OR($A$5="Todos",AW53=$A$5),MAX(AY$1:AY52)+1,0)</f>
        <v>53</v>
      </c>
      <c r="BB53" s="82" t="n">
        <f aca="false">MIN(IF(_xlfn.MINIFS('3 Base Entrada 2008'!$F$2:$F$5000,'3 Base Entrada 2008'!$F$2:$F$5000,"&gt;="&amp;$F$5,'3 Base Entrada 2008'!$F$2:$F$5000,"&lt;="&amp;$H$5,'3 Base Entrada 2008'!$B$2:$B$5000,$T53,'3 Base Entrada 2008'!$C$2:$C$5000,$AG53)=0,99999,_xlfn.MINIFS('3 Base Entrada 2008'!$F$2:$F$5000,'3 Base Entrada 2008'!$F$2:$F$5000,"&gt;="&amp;$F$5,'3 Base Entrada 2008'!$F$2:$F$5000,"&lt;="&amp;$H$5,'3 Base Entrada 2008'!$B$2:$B$5000,$T53,'3 Base Entrada 2008'!$C$2:$C$5000,$AG53)),IF(_xlfn.MINIFS('3 Base Saídas'!$G$2:$G$5000,'3 Base Saídas'!$G$2:$G$5000,"&gt;="&amp;$F$5,'3 Base Saídas'!$G$2:$G$5000,"&lt;="&amp;$H$5,'3 Base Saídas'!$B$2:$B$5000,$T53,'3 Base Saídas'!$C$2:$C$5000,$AG53)=0,99999,_xlfn.MINIFS('3 Base Saídas'!$G$2:$G$5000,'3 Base Saídas'!$G$2:$G$5000,"&gt;="&amp;$F$5,'3 Base Saídas'!$G$2:$G$5000,"&lt;="&amp;$H$5,'3 Base Saídas'!$B$2:$B$5000,$T53,'3 Base Saídas'!$C$2:$C$5000,$AG53)))</f>
        <v>46275</v>
      </c>
      <c r="BC53" s="82" t="n">
        <f aca="false">MAX(_xlfn.MAXIFS('3 Base Entrada 2008'!$F$2:$F$5000,'3 Base Entrada 2008'!$F$2:$F$5000,"&gt;="&amp;$F$5,'3 Base Entrada 2008'!$F$2:$F$5000,"&lt;="&amp;$H$5,'3 Base Entrada 2008'!$B$2:$B$5000,$T53,'3 Base Entrada 2008'!$C$2:$C$5000,$AG53),_xlfn.MAXIFS('3 Base Saídas'!$G$2:$G$5000,'3 Base Saídas'!$G$2:$G$5000,"&gt;="&amp;$F$5,'3 Base Saídas'!$G$2:$G$5000,"&lt;="&amp;$H$5,'3 Base Saídas'!$B$2:$B$5000,$T53,'3 Base Saídas'!$C$2:$C$5000,$AG53))</f>
        <v>46295</v>
      </c>
      <c r="BD53" s="0" t="str">
        <f aca="false">'5 Conciliação'!L27</f>
        <v>Confirmar a OT de saída (picking) das remessas para baixar 321.6 KG do estoque físico; conferir também estoque antigo/doca</v>
      </c>
      <c r="BE53" s="0" t="str">
        <f aca="false">'5 Conciliação'!Q27</f>
        <v>Saída sem baixa no estoque</v>
      </c>
      <c r="BF53" s="0" t="str">
        <f aca="false">'5 Conciliação'!R27</f>
        <v>Baixa</v>
      </c>
      <c r="BH53" s="82" t="n">
        <f aca="false">SUMIFS('3 Base Saldo Inicial 08-09'!$E$2:$E$5000,'3 Base Saldo Inicial 08-09'!$A$2:$A$5000,$T53,'3 Base Saldo Inicial 08-09'!$B$2:$B$5000,$AG53)-SUMIFS('3 Base Saldo Inicial 08-09'!$E$2:$E$5000,'3 Base Saldo Inicial 08-09'!$A$2:$A$5000,$T53,'3 Base Saldo Inicial 08-09'!$B$2:$B$5000,$AG53,'3 Base Saldo Inicial 08-09'!$C$2:$C$5000,"2008")</f>
        <v>0</v>
      </c>
    </row>
    <row r="54" customFormat="false" ht="15" hidden="false" customHeight="false" outlineLevel="0" collapsed="false">
      <c r="A54" s="111" t="str">
        <f aca="false">IF(IFERROR(MATCH(41,$AB$40:$AB$133,0),0)=0,"",INDEX($T$40:$T$133,IFERROR(MATCH(41,$AB$40:$AB$133,0),0)))</f>
        <v>CHD-SP-1M-2B-U77</v>
      </c>
      <c r="B54" s="111" t="str">
        <f aca="false">IF(IFERROR(MATCH(41,$AB$40:$AB$133,0),0)=0,"",INDEX($AG$40:$AG$133,IFERROR(MATCH(41,$AB$40:$AB$133,0),0)))</f>
        <v>260880101</v>
      </c>
      <c r="C54" s="112" t="str">
        <f aca="false">IF(IFERROR(MATCH(41,$AB$40:$AB$133,0),0)=0,"",INDEX($U$40:$U$133,IFERROR(MATCH(41,$AB$40:$AB$133,0),0)))</f>
        <v>KG</v>
      </c>
      <c r="D54" s="113" t="n">
        <f aca="false">IF(IFERROR(MATCH(41,$AB$40:$AB$133,0),0)=0,"",INDEX($BH$40:$BH$133,IFERROR(MATCH(41,$AB$40:$AB$133,0),0)))</f>
        <v>0</v>
      </c>
      <c r="E54" s="113" t="n">
        <f aca="false">IF(IFERROR(MATCH(41,$AB$40:$AB$133,0),0)=0,"",INDEX($W$40:$W$133,IFERROR(MATCH(41,$AB$40:$AB$133,0),0)))</f>
        <v>0</v>
      </c>
      <c r="F54" s="113" t="n">
        <f aca="false">IF(IFERROR(MATCH(41,$AB$40:$AB$133,0),0)=0,"",INDEX($X$40:$X$133,IFERROR(MATCH(41,$AB$40:$AB$133,0),0)))</f>
        <v>0</v>
      </c>
      <c r="G54" s="113" t="n">
        <f aca="false">IF(A54="","",D54+E54-F54)</f>
        <v>0</v>
      </c>
      <c r="H54" s="113" t="n">
        <f aca="false">IF(IFERROR(MATCH(41,$AB$40:$AB$133,0),0)=0,"",INDEX($Y$40:$Y$133,IFERROR(MATCH(41,$AB$40:$AB$133,0),0)))</f>
        <v>0</v>
      </c>
      <c r="I54" s="114" t="n">
        <f aca="false">IF(IFERROR(MATCH(41,$AB$40:$AB$133,0),0)=0,"",INDEX($Z$40:$Z$133,IFERROR(MATCH(41,$AB$40:$AB$133,0),0)))</f>
        <v>0</v>
      </c>
      <c r="J54" s="115" t="str">
        <f aca="false">IF(IFERROR(MATCH(41,$AB$40:$AB$133,0),0)=0,"",INDEX($AC$40:$AC$133,IFERROR(MATCH(41,$AB$40:$AB$133,0),0)))</f>
        <v>Confere</v>
      </c>
      <c r="K54" s="116" t="n">
        <f aca="false">IF(IFERROR(MATCH(41,$AB$40:$AB$133,0),0)=0,"",INDEX($AD$40:$AD$133,IFERROR(MATCH(41,$AB$40:$AB$133,0),0)))</f>
        <v>2</v>
      </c>
      <c r="L54" s="117" t="n">
        <f aca="false">IF(IFERROR(MATCH(41,$AB$40:$AB$133,0),0)=0,"",IF(INDEX($BB$40:$BB$133,IFERROR(MATCH(41,$AB$40:$AB$133,0),0))&gt;=99999,"",INDEX($BB$40:$BB$133,IFERROR(MATCH(41,$AB$40:$AB$133,0),0))))</f>
        <v>46275</v>
      </c>
      <c r="M54" s="117" t="n">
        <f aca="false">IF(IFERROR(MATCH(41,$AB$40:$AB$133,0),0)=0,"",IF(INDEX($BC$40:$BC$133,IFERROR(MATCH(41,$AB$40:$AB$133,0),0))=0,"",INDEX($BC$40:$BC$133,IFERROR(MATCH(41,$AB$40:$AB$133,0),0))))</f>
        <v>46275</v>
      </c>
      <c r="N54" s="118" t="str">
        <f aca="false">IF(IFERROR(MATCH(41,$AB$40:$AB$133,0),0)=0,"",INDEX($AE$40:$AE$133,IFERROR(MATCH(41,$AB$40:$AB$133,0),0))&amp;"")</f>
        <v>Sem diferença</v>
      </c>
      <c r="O54" s="119" t="str">
        <f aca="false">IF(IFERROR(MATCH(41,$AB$40:$AB$133,0),0)=0,"",INDEX($BD$40:$BD$133,IFERROR(MATCH(41,$AB$40:$AB$133,0),0))&amp;"")</f>
        <v>Nenhum ajuste necessário</v>
      </c>
      <c r="T54" s="82" t="s">
        <v>205</v>
      </c>
      <c r="U54" s="82" t="s">
        <v>65</v>
      </c>
      <c r="V54" s="82" t="n">
        <f aca="false">SUMIFS('3 Base Entrada 2008'!$G$2:$G$5000,'3 Base Entrada 2008'!$F$2:$F$5000,"&gt;="&amp;$F$5,'3 Base Entrada 2008'!$F$2:$F$5000,"&lt;="&amp;$H$5,'3 Base Entrada 2008'!$B$2:$B$5000,$T54,'3 Base Entrada 2008'!$C$2:$C$5000,$AG54,'3 Base Entrada 2008'!$K$2:$K$5000,"Recebido no 2008")</f>
        <v>0</v>
      </c>
      <c r="W54" s="82" t="n">
        <f aca="false">SUMIFS('3 Base Entrada 2008'!$L$2:$L$5000,'3 Base Entrada 2008'!$F$2:$F$5000,"&gt;="&amp;$F$5,'3 Base Entrada 2008'!$F$2:$F$5000,"&lt;="&amp;$H$5,'3 Base Entrada 2008'!$B$2:$B$5000,$T54,'3 Base Entrada 2008'!$C$2:$C$5000,$AG54)</f>
        <v>180.9</v>
      </c>
      <c r="X54" s="82" t="n">
        <f aca="false">SUMIFS('3 Base Saídas'!$R$2:$R$5000,'3 Base Saídas'!$G$2:$G$5000,"&gt;="&amp;$F$5,'3 Base Saídas'!$G$2:$G$5000,"&lt;="&amp;$H$5,'3 Base Saídas'!$B$2:$B$5000,$T54,'3 Base Saídas'!$C$2:$C$5000,$AG54)</f>
        <v>180.9</v>
      </c>
      <c r="Y54" s="82" t="n">
        <f aca="false">SUMIFS('3 Base Estoque Físico'!$J$2:$J$5000,'3 Base Estoque Físico'!$A$2:$A$5000,$T54,'3 Base Estoque Físico'!$B$2:$B$5000,$AG54)</f>
        <v>273.36</v>
      </c>
      <c r="Z54" s="82" t="n">
        <f aca="false">ROUND(Y54-(BH54+W54-X54),3)</f>
        <v>273.36</v>
      </c>
      <c r="AA54" s="82" t="n">
        <f aca="false">IF(AND(U54=$R$3,OR($R$1="*",T54=$R$1),OR($R$2="*",AG54=$R$2),OR($R$6="*",AC54=$R$6),ABS(V54)+ABS(W54)+ABS(X54)+ABS(Y54)&gt;0),1,0)</f>
        <v>1</v>
      </c>
      <c r="AB54" s="82" t="n">
        <f aca="false">IF(AA54=1,SUM(AA$40:AA54),"")</f>
        <v>13</v>
      </c>
      <c r="AC54" s="0" t="str">
        <f aca="false">IF(ABS(Z54)&lt;=$R$5,"Confere",IF(Z54&gt;0,"Sobrando","Faltando"))</f>
        <v>Sobrando</v>
      </c>
      <c r="AD54" s="82" t="n">
        <f aca="false">IF(OR($R$4="*",$R$4="Saída"),COUNTIFS('3 Base Saídas'!$G$2:$G$5000,"&gt;="&amp;$F$5,'3 Base Saídas'!$G$2:$G$5000,"&lt;="&amp;$H$5,'3 Base Saídas'!$B$2:$B$5000,$T54,'3 Base Saídas'!$C$2:$C$5000,$AG54),0)+IF($R$4&lt;&gt;"Saída",COUNTIFS('3 Base Entrada 2008'!$F$2:$F$5000,"&gt;="&amp;$F$5,'3 Base Entrada 2008'!$F$2:$F$5000,"&lt;="&amp;$H$5,'3 Base Entrada 2008'!$B$2:$B$5000,$T54,'3 Base Entrada 2008'!$C$2:$C$5000,$AG54,'3 Base Entrada 2008'!$K$2:$K$5000,$R$4),0)</f>
        <v>5</v>
      </c>
      <c r="AE54" s="0" t="str">
        <f aca="false">'5 Conciliação'!K28</f>
        <v>Estoque antigo: toda a sobra está em posições sem movimento desde antes de 09/09</v>
      </c>
      <c r="AF54" s="82" t="n">
        <f aca="false">IF(AND(AA54=1,AC54&lt;&gt;"Confere"),ABS(Z54)+ROW()/10000000,0)</f>
        <v>273.3600054</v>
      </c>
      <c r="AG54" s="82" t="s">
        <v>209</v>
      </c>
      <c r="AN54" s="82" t="s">
        <v>1767</v>
      </c>
      <c r="AO54" s="120" t="n">
        <v>46288</v>
      </c>
      <c r="AP54" s="82" t="n">
        <f aca="false">IF(AND(AO54&gt;=$F$5,AO54&lt;=$H$5,$R$4&lt;&gt;"Saída"),SUMIFS('3 Base Entrada 2008'!$L$2:$L$5000,'3 Base Entrada 2008'!$F$2:$F$5000,$AO54,'3 Base Entrada 2008'!$B$2:$B$5000,$R$1,'3 Base Entrada 2008'!$C$2:$C$5000,$R$2,'3 Base Entrada 2008'!$H$2:$H$5000,$R$3,'3 Base Entrada 2008'!$K$2:$K$5000,$R$4),0)</f>
        <v>6467.92</v>
      </c>
      <c r="AQ54" s="82" t="n">
        <f aca="false">IF(AND(AO54&gt;=$F$5,AO54&lt;=$H$5,OR($R$4="*",$R$4="Saída")),-SUMIFS('3 Base Saídas'!$R$2:$R$5000,'3 Base Saídas'!$G$2:$G$5000,$AO54,'3 Base Saídas'!$B$2:$B$5000,$R$1,'3 Base Saídas'!$C$2:$C$5000,$R$2,'3 Base Saídas'!$I$2:$I$5000,$R$3),0)</f>
        <v>-134.5</v>
      </c>
      <c r="AR54" s="82" t="n">
        <f aca="false">SUM($AP$40:AP54)+SUM($AQ$40:AQ54)</f>
        <v>8630.18</v>
      </c>
      <c r="AV54" s="0" t="str">
        <f aca="false">IFERROR(INDEX($AX$1:$AX$94,MATCH(53,$AY$1:$AY$94,0)),"")</f>
        <v>2525950306</v>
      </c>
      <c r="AW54" s="82" t="s">
        <v>260</v>
      </c>
      <c r="AX54" s="82" t="s">
        <v>363</v>
      </c>
      <c r="AY54" s="82" t="n">
        <f aca="false">IF(OR($A$5="Todos",AW54=$A$5),MAX(AY$1:AY53)+1,0)</f>
        <v>54</v>
      </c>
      <c r="BB54" s="82" t="n">
        <f aca="false">MIN(IF(_xlfn.MINIFS('3 Base Entrada 2008'!$F$2:$F$5000,'3 Base Entrada 2008'!$F$2:$F$5000,"&gt;="&amp;$F$5,'3 Base Entrada 2008'!$F$2:$F$5000,"&lt;="&amp;$H$5,'3 Base Entrada 2008'!$B$2:$B$5000,$T54,'3 Base Entrada 2008'!$C$2:$C$5000,$AG54)=0,99999,_xlfn.MINIFS('3 Base Entrada 2008'!$F$2:$F$5000,'3 Base Entrada 2008'!$F$2:$F$5000,"&gt;="&amp;$F$5,'3 Base Entrada 2008'!$F$2:$F$5000,"&lt;="&amp;$H$5,'3 Base Entrada 2008'!$B$2:$B$5000,$T54,'3 Base Entrada 2008'!$C$2:$C$5000,$AG54)),IF(_xlfn.MINIFS('3 Base Saídas'!$G$2:$G$5000,'3 Base Saídas'!$G$2:$G$5000,"&gt;="&amp;$F$5,'3 Base Saídas'!$G$2:$G$5000,"&lt;="&amp;$H$5,'3 Base Saídas'!$B$2:$B$5000,$T54,'3 Base Saídas'!$C$2:$C$5000,$AG54)=0,99999,_xlfn.MINIFS('3 Base Saídas'!$G$2:$G$5000,'3 Base Saídas'!$G$2:$G$5000,"&gt;="&amp;$F$5,'3 Base Saídas'!$G$2:$G$5000,"&lt;="&amp;$H$5,'3 Base Saídas'!$B$2:$B$5000,$T54,'3 Base Saídas'!$C$2:$C$5000,$AG54)))</f>
        <v>46276</v>
      </c>
      <c r="BC54" s="82" t="n">
        <f aca="false">MAX(_xlfn.MAXIFS('3 Base Entrada 2008'!$F$2:$F$5000,'3 Base Entrada 2008'!$F$2:$F$5000,"&gt;="&amp;$F$5,'3 Base Entrada 2008'!$F$2:$F$5000,"&lt;="&amp;$H$5,'3 Base Entrada 2008'!$B$2:$B$5000,$T54,'3 Base Entrada 2008'!$C$2:$C$5000,$AG54),_xlfn.MAXIFS('3 Base Saídas'!$G$2:$G$5000,'3 Base Saídas'!$G$2:$G$5000,"&gt;="&amp;$F$5,'3 Base Saídas'!$G$2:$G$5000,"&lt;="&amp;$H$5,'3 Base Saídas'!$B$2:$B$5000,$T54,'3 Base Saídas'!$C$2:$C$5000,$AG54))</f>
        <v>46288</v>
      </c>
      <c r="BD54" s="0" t="str">
        <f aca="false">'5 Conciliação'!L28</f>
        <v>Confirmar no SAP o saldo de 08/09 (273.4 KG). Se estiver certo, não há ajuste</v>
      </c>
      <c r="BE54" s="0" t="str">
        <f aca="false">'5 Conciliação'!Q28</f>
        <v>Estoque anterior a 09/09</v>
      </c>
      <c r="BF54" s="0" t="str">
        <f aca="false">'5 Conciliação'!R28</f>
        <v>Baixa</v>
      </c>
      <c r="BH54" s="82" t="n">
        <f aca="false">SUMIFS('3 Base Saldo Inicial 08-09'!$E$2:$E$5000,'3 Base Saldo Inicial 08-09'!$A$2:$A$5000,$T54,'3 Base Saldo Inicial 08-09'!$B$2:$B$5000,$AG54)-SUMIFS('3 Base Saldo Inicial 08-09'!$E$2:$E$5000,'3 Base Saldo Inicial 08-09'!$A$2:$A$5000,$T54,'3 Base Saldo Inicial 08-09'!$B$2:$B$5000,$AG54,'3 Base Saldo Inicial 08-09'!$C$2:$C$5000,"2008")</f>
        <v>0</v>
      </c>
    </row>
    <row r="55" customFormat="false" ht="15" hidden="false" customHeight="false" outlineLevel="0" collapsed="false">
      <c r="A55" s="111" t="str">
        <f aca="false">IF(IFERROR(MATCH(42,$AB$40:$AB$133,0),0)=0,"",INDEX($T$40:$T$133,IFERROR(MATCH(42,$AB$40:$AB$133,0),0)))</f>
        <v>CHD-SP-1M-BR-U73</v>
      </c>
      <c r="B55" s="111" t="str">
        <f aca="false">IF(IFERROR(MATCH(42,$AB$40:$AB$133,0),0)=0,"",INDEX($AG$40:$AG$133,IFERROR(MATCH(42,$AB$40:$AB$133,0),0)))</f>
        <v>260310301</v>
      </c>
      <c r="C55" s="112" t="str">
        <f aca="false">IF(IFERROR(MATCH(42,$AB$40:$AB$133,0),0)=0,"",INDEX($U$40:$U$133,IFERROR(MATCH(42,$AB$40:$AB$133,0),0)))</f>
        <v>KG</v>
      </c>
      <c r="D55" s="113" t="n">
        <f aca="false">IF(IFERROR(MATCH(42,$AB$40:$AB$133,0),0)=0,"",INDEX($BH$40:$BH$133,IFERROR(MATCH(42,$AB$40:$AB$133,0),0)))</f>
        <v>0</v>
      </c>
      <c r="E55" s="113" t="n">
        <f aca="false">IF(IFERROR(MATCH(42,$AB$40:$AB$133,0),0)=0,"",INDEX($W$40:$W$133,IFERROR(MATCH(42,$AB$40:$AB$133,0),0)))</f>
        <v>0</v>
      </c>
      <c r="F55" s="113" t="n">
        <f aca="false">IF(IFERROR(MATCH(42,$AB$40:$AB$133,0),0)=0,"",INDEX($X$40:$X$133,IFERROR(MATCH(42,$AB$40:$AB$133,0),0)))</f>
        <v>0</v>
      </c>
      <c r="G55" s="113" t="n">
        <f aca="false">IF(A55="","",D55+E55-F55)</f>
        <v>0</v>
      </c>
      <c r="H55" s="113" t="n">
        <f aca="false">IF(IFERROR(MATCH(42,$AB$40:$AB$133,0),0)=0,"",INDEX($Y$40:$Y$133,IFERROR(MATCH(42,$AB$40:$AB$133,0),0)))</f>
        <v>0</v>
      </c>
      <c r="I55" s="114" t="n">
        <f aca="false">IF(IFERROR(MATCH(42,$AB$40:$AB$133,0),0)=0,"",INDEX($Z$40:$Z$133,IFERROR(MATCH(42,$AB$40:$AB$133,0),0)))</f>
        <v>0</v>
      </c>
      <c r="J55" s="115" t="str">
        <f aca="false">IF(IFERROR(MATCH(42,$AB$40:$AB$133,0),0)=0,"",INDEX($AC$40:$AC$133,IFERROR(MATCH(42,$AB$40:$AB$133,0),0)))</f>
        <v>Confere</v>
      </c>
      <c r="K55" s="116" t="n">
        <f aca="false">IF(IFERROR(MATCH(42,$AB$40:$AB$133,0),0)=0,"",INDEX($AD$40:$AD$133,IFERROR(MATCH(42,$AB$40:$AB$133,0),0)))</f>
        <v>1</v>
      </c>
      <c r="L55" s="117" t="n">
        <f aca="false">IF(IFERROR(MATCH(42,$AB$40:$AB$133,0),0)=0,"",IF(INDEX($BB$40:$BB$133,IFERROR(MATCH(42,$AB$40:$AB$133,0),0))&gt;=99999,"",INDEX($BB$40:$BB$133,IFERROR(MATCH(42,$AB$40:$AB$133,0),0))))</f>
        <v>46275</v>
      </c>
      <c r="M55" s="117" t="n">
        <f aca="false">IF(IFERROR(MATCH(42,$AB$40:$AB$133,0),0)=0,"",IF(INDEX($BC$40:$BC$133,IFERROR(MATCH(42,$AB$40:$AB$133,0),0))=0,"",INDEX($BC$40:$BC$133,IFERROR(MATCH(42,$AB$40:$AB$133,0),0))))</f>
        <v>46275</v>
      </c>
      <c r="N55" s="118" t="str">
        <f aca="false">IF(IFERROR(MATCH(42,$AB$40:$AB$133,0),0)=0,"",INDEX($AE$40:$AE$133,IFERROR(MATCH(42,$AB$40:$AB$133,0),0))&amp;"")</f>
        <v>Sem diferença</v>
      </c>
      <c r="O55" s="119" t="str">
        <f aca="false">IF(IFERROR(MATCH(42,$AB$40:$AB$133,0),0)=0,"",INDEX($BD$40:$BD$133,IFERROR(MATCH(42,$AB$40:$AB$133,0),0))&amp;"")</f>
        <v>Nenhum ajuste necessário</v>
      </c>
      <c r="T55" s="82" t="s">
        <v>252</v>
      </c>
      <c r="U55" s="82" t="s">
        <v>65</v>
      </c>
      <c r="V55" s="82" t="n">
        <f aca="false">SUMIFS('3 Base Entrada 2008'!$G$2:$G$5000,'3 Base Entrada 2008'!$F$2:$F$5000,"&gt;="&amp;$F$5,'3 Base Entrada 2008'!$F$2:$F$5000,"&lt;="&amp;$H$5,'3 Base Entrada 2008'!$B$2:$B$5000,$T55,'3 Base Entrada 2008'!$C$2:$C$5000,$AG55,'3 Base Entrada 2008'!$K$2:$K$5000,"Recebido no 2008")</f>
        <v>1920</v>
      </c>
      <c r="W55" s="82" t="n">
        <f aca="false">SUMIFS('3 Base Entrada 2008'!$L$2:$L$5000,'3 Base Entrada 2008'!$F$2:$F$5000,"&gt;="&amp;$F$5,'3 Base Entrada 2008'!$F$2:$F$5000,"&lt;="&amp;$H$5,'3 Base Entrada 2008'!$B$2:$B$5000,$T55,'3 Base Entrada 2008'!$C$2:$C$5000,$AG55)</f>
        <v>960</v>
      </c>
      <c r="X55" s="82" t="n">
        <f aca="false">SUMIFS('3 Base Saídas'!$R$2:$R$5000,'3 Base Saídas'!$G$2:$G$5000,"&gt;="&amp;$F$5,'3 Base Saídas'!$G$2:$G$5000,"&lt;="&amp;$H$5,'3 Base Saídas'!$B$2:$B$5000,$T55,'3 Base Saídas'!$C$2:$C$5000,$AG55)</f>
        <v>176</v>
      </c>
      <c r="Y55" s="82" t="n">
        <f aca="false">SUMIFS('3 Base Estoque Físico'!$J$2:$J$5000,'3 Base Estoque Físico'!$A$2:$A$5000,$T55,'3 Base Estoque Físico'!$B$2:$B$5000,$AG55)</f>
        <v>1032</v>
      </c>
      <c r="Z55" s="82" t="n">
        <f aca="false">ROUND(Y55-(BH55+W55-X55),3)</f>
        <v>248</v>
      </c>
      <c r="AA55" s="82" t="n">
        <f aca="false">IF(AND(U55=$R$3,OR($R$1="*",T55=$R$1),OR($R$2="*",AG55=$R$2),OR($R$6="*",AC55=$R$6),ABS(V55)+ABS(W55)+ABS(X55)+ABS(Y55)&gt;0),1,0)</f>
        <v>1</v>
      </c>
      <c r="AB55" s="82" t="n">
        <f aca="false">IF(AA55=1,SUM(AA$40:AA55),"")</f>
        <v>14</v>
      </c>
      <c r="AC55" s="0" t="str">
        <f aca="false">IF(ABS(Z55)&lt;=$R$5,"Confere",IF(Z55&gt;0,"Sobrando","Faltando"))</f>
        <v>Sobrando</v>
      </c>
      <c r="AD55" s="82" t="n">
        <f aca="false">IF(OR($R$4="*",$R$4="Saída"),COUNTIFS('3 Base Saídas'!$G$2:$G$5000,"&gt;="&amp;$F$5,'3 Base Saídas'!$G$2:$G$5000,"&lt;="&amp;$H$5,'3 Base Saídas'!$B$2:$B$5000,$T55,'3 Base Saídas'!$C$2:$C$5000,$AG55),0)+IF($R$4&lt;&gt;"Saída",COUNTIFS('3 Base Entrada 2008'!$F$2:$F$5000,"&gt;="&amp;$F$5,'3 Base Entrada 2008'!$F$2:$F$5000,"&lt;="&amp;$H$5,'3 Base Entrada 2008'!$B$2:$B$5000,$T55,'3 Base Entrada 2008'!$C$2:$C$5000,$AG55,'3 Base Entrada 2008'!$K$2:$K$5000,$R$4),0)</f>
        <v>20</v>
      </c>
      <c r="AE55" s="0" t="str">
        <f aca="false">'5 Conciliação'!K29</f>
        <v>Estoque acima do esperado: entrada não lançada ou saldo anterior ao período</v>
      </c>
      <c r="AF55" s="82" t="n">
        <f aca="false">IF(AND(AA55=1,AC55&lt;&gt;"Confere"),ABS(Z55)+ROW()/10000000,0)</f>
        <v>248.0000055</v>
      </c>
      <c r="AG55" s="82" t="s">
        <v>253</v>
      </c>
      <c r="AN55" s="82" t="s">
        <v>1768</v>
      </c>
      <c r="AO55" s="120" t="n">
        <v>46289</v>
      </c>
      <c r="AP55" s="82" t="n">
        <f aca="false">IF(AND(AO55&gt;=$F$5,AO55&lt;=$H$5,$R$4&lt;&gt;"Saída"),SUMIFS('3 Base Entrada 2008'!$L$2:$L$5000,'3 Base Entrada 2008'!$F$2:$F$5000,$AO55,'3 Base Entrada 2008'!$B$2:$B$5000,$R$1,'3 Base Entrada 2008'!$C$2:$C$5000,$R$2,'3 Base Entrada 2008'!$H$2:$H$5000,$R$3,'3 Base Entrada 2008'!$K$2:$K$5000,$R$4),0)</f>
        <v>17483.8</v>
      </c>
      <c r="AQ55" s="82" t="n">
        <f aca="false">IF(AND(AO55&gt;=$F$5,AO55&lt;=$H$5,OR($R$4="*",$R$4="Saída")),-SUMIFS('3 Base Saídas'!$R$2:$R$5000,'3 Base Saídas'!$G$2:$G$5000,$AO55,'3 Base Saídas'!$B$2:$B$5000,$R$1,'3 Base Saídas'!$C$2:$C$5000,$R$2,'3 Base Saídas'!$I$2:$I$5000,$R$3),0)</f>
        <v>-310.1</v>
      </c>
      <c r="AR55" s="82" t="n">
        <f aca="false">SUM($AP$40:AP55)+SUM($AQ$40:AQ55)</f>
        <v>25803.88</v>
      </c>
      <c r="AV55" s="0" t="str">
        <f aca="false">IFERROR(INDEX($AX$1:$AX$94,MATCH(54,$AY$1:$AY$94,0)),"")</f>
        <v>2526050307</v>
      </c>
      <c r="AW55" s="82" t="s">
        <v>263</v>
      </c>
      <c r="AX55" s="82" t="s">
        <v>264</v>
      </c>
      <c r="AY55" s="82" t="n">
        <f aca="false">IF(OR($A$5="Todos",AW55=$A$5),MAX(AY$1:AY54)+1,0)</f>
        <v>55</v>
      </c>
      <c r="BB55" s="82" t="n">
        <f aca="false">MIN(IF(_xlfn.MINIFS('3 Base Entrada 2008'!$F$2:$F$5000,'3 Base Entrada 2008'!$F$2:$F$5000,"&gt;="&amp;$F$5,'3 Base Entrada 2008'!$F$2:$F$5000,"&lt;="&amp;$H$5,'3 Base Entrada 2008'!$B$2:$B$5000,$T55,'3 Base Entrada 2008'!$C$2:$C$5000,$AG55)=0,99999,_xlfn.MINIFS('3 Base Entrada 2008'!$F$2:$F$5000,'3 Base Entrada 2008'!$F$2:$F$5000,"&gt;="&amp;$F$5,'3 Base Entrada 2008'!$F$2:$F$5000,"&lt;="&amp;$H$5,'3 Base Entrada 2008'!$B$2:$B$5000,$T55,'3 Base Entrada 2008'!$C$2:$C$5000,$AG55)),IF(_xlfn.MINIFS('3 Base Saídas'!$G$2:$G$5000,'3 Base Saídas'!$G$2:$G$5000,"&gt;="&amp;$F$5,'3 Base Saídas'!$G$2:$G$5000,"&lt;="&amp;$H$5,'3 Base Saídas'!$B$2:$B$5000,$T55,'3 Base Saídas'!$C$2:$C$5000,$AG55)=0,99999,_xlfn.MINIFS('3 Base Saídas'!$G$2:$G$5000,'3 Base Saídas'!$G$2:$G$5000,"&gt;="&amp;$F$5,'3 Base Saídas'!$G$2:$G$5000,"&lt;="&amp;$H$5,'3 Base Saídas'!$B$2:$B$5000,$T55,'3 Base Saídas'!$C$2:$C$5000,$AG55)))</f>
        <v>46275</v>
      </c>
      <c r="BC55" s="82" t="n">
        <f aca="false">MAX(_xlfn.MAXIFS('3 Base Entrada 2008'!$F$2:$F$5000,'3 Base Entrada 2008'!$F$2:$F$5000,"&gt;="&amp;$F$5,'3 Base Entrada 2008'!$F$2:$F$5000,"&lt;="&amp;$H$5,'3 Base Entrada 2008'!$B$2:$B$5000,$T55,'3 Base Entrada 2008'!$C$2:$C$5000,$AG55),_xlfn.MAXIFS('3 Base Saídas'!$G$2:$G$5000,'3 Base Saídas'!$G$2:$G$5000,"&gt;="&amp;$F$5,'3 Base Saídas'!$G$2:$G$5000,"&lt;="&amp;$H$5,'3 Base Saídas'!$B$2:$B$5000,$T55,'3 Base Saídas'!$C$2:$C$5000,$AG55))</f>
        <v>46295</v>
      </c>
      <c r="BD55" s="0" t="str">
        <f aca="false">'5 Conciliação'!L29</f>
        <v>Confirmar saldo de 08/09; se não existir, contar o lote e lançar ajuste de inventário de +248.0 KG</v>
      </c>
      <c r="BE55" s="0" t="str">
        <f aca="false">'5 Conciliação'!Q29</f>
        <v>Sobra sem explicação</v>
      </c>
      <c r="BF55" s="0" t="str">
        <f aca="false">'5 Conciliação'!R29</f>
        <v>Média</v>
      </c>
      <c r="BH55" s="82" t="n">
        <f aca="false">SUMIFS('3 Base Saldo Inicial 08-09'!$E$2:$E$5000,'3 Base Saldo Inicial 08-09'!$A$2:$A$5000,$T55,'3 Base Saldo Inicial 08-09'!$B$2:$B$5000,$AG55)-SUMIFS('3 Base Saldo Inicial 08-09'!$E$2:$E$5000,'3 Base Saldo Inicial 08-09'!$A$2:$A$5000,$T55,'3 Base Saldo Inicial 08-09'!$B$2:$B$5000,$AG55,'3 Base Saldo Inicial 08-09'!$C$2:$C$5000,"2008")</f>
        <v>0</v>
      </c>
    </row>
    <row r="56" customFormat="false" ht="15" hidden="false" customHeight="false" outlineLevel="0" collapsed="false">
      <c r="A56" s="111" t="str">
        <f aca="false">IF(IFERROR(MATCH(43,$AB$40:$AB$133,0),0)=0,"",INDEX($T$40:$T$133,IFERROR(MATCH(43,$AB$40:$AB$133,0),0)))</f>
        <v>CHD-SP-1M-BR-U73</v>
      </c>
      <c r="B56" s="111" t="str">
        <f aca="false">IF(IFERROR(MATCH(43,$AB$40:$AB$133,0),0)=0,"",INDEX($AG$40:$AG$133,IFERROR(MATCH(43,$AB$40:$AB$133,0),0)))</f>
        <v>260880301</v>
      </c>
      <c r="C56" s="112" t="str">
        <f aca="false">IF(IFERROR(MATCH(43,$AB$40:$AB$133,0),0)=0,"",INDEX($U$40:$U$133,IFERROR(MATCH(43,$AB$40:$AB$133,0),0)))</f>
        <v>KG</v>
      </c>
      <c r="D56" s="113" t="n">
        <f aca="false">IF(IFERROR(MATCH(43,$AB$40:$AB$133,0),0)=0,"",INDEX($BH$40:$BH$133,IFERROR(MATCH(43,$AB$40:$AB$133,0),0)))</f>
        <v>0</v>
      </c>
      <c r="E56" s="113" t="n">
        <f aca="false">IF(IFERROR(MATCH(43,$AB$40:$AB$133,0),0)=0,"",INDEX($W$40:$W$133,IFERROR(MATCH(43,$AB$40:$AB$133,0),0)))</f>
        <v>0</v>
      </c>
      <c r="F56" s="113" t="n">
        <f aca="false">IF(IFERROR(MATCH(43,$AB$40:$AB$133,0),0)=0,"",INDEX($X$40:$X$133,IFERROR(MATCH(43,$AB$40:$AB$133,0),0)))</f>
        <v>0</v>
      </c>
      <c r="G56" s="113" t="n">
        <f aca="false">IF(A56="","",D56+E56-F56)</f>
        <v>0</v>
      </c>
      <c r="H56" s="113" t="n">
        <f aca="false">IF(IFERROR(MATCH(43,$AB$40:$AB$133,0),0)=0,"",INDEX($Y$40:$Y$133,IFERROR(MATCH(43,$AB$40:$AB$133,0),0)))</f>
        <v>0</v>
      </c>
      <c r="I56" s="114" t="n">
        <f aca="false">IF(IFERROR(MATCH(43,$AB$40:$AB$133,0),0)=0,"",INDEX($Z$40:$Z$133,IFERROR(MATCH(43,$AB$40:$AB$133,0),0)))</f>
        <v>0</v>
      </c>
      <c r="J56" s="115" t="str">
        <f aca="false">IF(IFERROR(MATCH(43,$AB$40:$AB$133,0),0)=0,"",INDEX($AC$40:$AC$133,IFERROR(MATCH(43,$AB$40:$AB$133,0),0)))</f>
        <v>Confere</v>
      </c>
      <c r="K56" s="116" t="n">
        <f aca="false">IF(IFERROR(MATCH(43,$AB$40:$AB$133,0),0)=0,"",INDEX($AD$40:$AD$133,IFERROR(MATCH(43,$AB$40:$AB$133,0),0)))</f>
        <v>1</v>
      </c>
      <c r="L56" s="117" t="n">
        <f aca="false">IF(IFERROR(MATCH(43,$AB$40:$AB$133,0),0)=0,"",IF(INDEX($BB$40:$BB$133,IFERROR(MATCH(43,$AB$40:$AB$133,0),0))&gt;=99999,"",INDEX($BB$40:$BB$133,IFERROR(MATCH(43,$AB$40:$AB$133,0),0))))</f>
        <v>46275</v>
      </c>
      <c r="M56" s="117" t="n">
        <f aca="false">IF(IFERROR(MATCH(43,$AB$40:$AB$133,0),0)=0,"",IF(INDEX($BC$40:$BC$133,IFERROR(MATCH(43,$AB$40:$AB$133,0),0))=0,"",INDEX($BC$40:$BC$133,IFERROR(MATCH(43,$AB$40:$AB$133,0),0))))</f>
        <v>46275</v>
      </c>
      <c r="N56" s="118" t="str">
        <f aca="false">IF(IFERROR(MATCH(43,$AB$40:$AB$133,0),0)=0,"",INDEX($AE$40:$AE$133,IFERROR(MATCH(43,$AB$40:$AB$133,0),0))&amp;"")</f>
        <v>Sem diferença</v>
      </c>
      <c r="O56" s="119" t="str">
        <f aca="false">IF(IFERROR(MATCH(43,$AB$40:$AB$133,0),0)=0,"",INDEX($BD$40:$BD$133,IFERROR(MATCH(43,$AB$40:$AB$133,0),0))&amp;"")</f>
        <v>Nenhum ajuste necessário</v>
      </c>
      <c r="T56" s="82" t="s">
        <v>198</v>
      </c>
      <c r="U56" s="82" t="s">
        <v>65</v>
      </c>
      <c r="V56" s="82" t="n">
        <f aca="false">SUMIFS('3 Base Entrada 2008'!$G$2:$G$5000,'3 Base Entrada 2008'!$F$2:$F$5000,"&gt;="&amp;$F$5,'3 Base Entrada 2008'!$F$2:$F$5000,"&lt;="&amp;$H$5,'3 Base Entrada 2008'!$B$2:$B$5000,$T56,'3 Base Entrada 2008'!$C$2:$C$5000,$AG56,'3 Base Entrada 2008'!$K$2:$K$5000,"Recebido no 2008")</f>
        <v>0</v>
      </c>
      <c r="W56" s="82" t="n">
        <f aca="false">SUMIFS('3 Base Entrada 2008'!$L$2:$L$5000,'3 Base Entrada 2008'!$F$2:$F$5000,"&gt;="&amp;$F$5,'3 Base Entrada 2008'!$F$2:$F$5000,"&lt;="&amp;$H$5,'3 Base Entrada 2008'!$B$2:$B$5000,$T56,'3 Base Entrada 2008'!$C$2:$C$5000,$AG56)</f>
        <v>940.8</v>
      </c>
      <c r="X56" s="82" t="n">
        <f aca="false">SUMIFS('3 Base Saídas'!$R$2:$R$5000,'3 Base Saídas'!$G$2:$G$5000,"&gt;="&amp;$F$5,'3 Base Saídas'!$G$2:$G$5000,"&lt;="&amp;$H$5,'3 Base Saídas'!$B$2:$B$5000,$T56,'3 Base Saídas'!$C$2:$C$5000,$AG56)</f>
        <v>781.2</v>
      </c>
      <c r="Y56" s="82" t="n">
        <f aca="false">SUMIFS('3 Base Estoque Físico'!$J$2:$J$5000,'3 Base Estoque Físico'!$A$2:$A$5000,$T56,'3 Base Estoque Físico'!$B$2:$B$5000,$AG56)</f>
        <v>333.2</v>
      </c>
      <c r="Z56" s="82" t="n">
        <f aca="false">ROUND(Y56-(BH56+W56-X56),3)</f>
        <v>173.6</v>
      </c>
      <c r="AA56" s="82" t="n">
        <f aca="false">IF(AND(U56=$R$3,OR($R$1="*",T56=$R$1),OR($R$2="*",AG56=$R$2),OR($R$6="*",AC56=$R$6),ABS(V56)+ABS(W56)+ABS(X56)+ABS(Y56)&gt;0),1,0)</f>
        <v>1</v>
      </c>
      <c r="AB56" s="82" t="n">
        <f aca="false">IF(AA56=1,SUM(AA$40:AA56),"")</f>
        <v>15</v>
      </c>
      <c r="AC56" s="0" t="str">
        <f aca="false">IF(ABS(Z56)&lt;=$R$5,"Confere",IF(Z56&gt;0,"Sobrando","Faltando"))</f>
        <v>Sobrando</v>
      </c>
      <c r="AD56" s="82" t="n">
        <f aca="false">IF(OR($R$4="*",$R$4="Saída"),COUNTIFS('3 Base Saídas'!$G$2:$G$5000,"&gt;="&amp;$F$5,'3 Base Saídas'!$G$2:$G$5000,"&lt;="&amp;$H$5,'3 Base Saídas'!$B$2:$B$5000,$T56,'3 Base Saídas'!$C$2:$C$5000,$AG56),0)+IF($R$4&lt;&gt;"Saída",COUNTIFS('3 Base Entrada 2008'!$F$2:$F$5000,"&gt;="&amp;$F$5,'3 Base Entrada 2008'!$F$2:$F$5000,"&lt;="&amp;$H$5,'3 Base Entrada 2008'!$B$2:$B$5000,$T56,'3 Base Entrada 2008'!$C$2:$C$5000,$AG56,'3 Base Entrada 2008'!$K$2:$K$5000,$R$4),0)</f>
        <v>26</v>
      </c>
      <c r="AE56" s="0" t="str">
        <f aca="false">'5 Conciliação'!K30</f>
        <v>Estoque antigo/doca + saídas pelo depósito 0355 que não baixaram o estoque físico</v>
      </c>
      <c r="AF56" s="82" t="n">
        <f aca="false">IF(AND(AA56=1,AC56&lt;&gt;"Confere"),ABS(Z56)+ROW()/10000000,0)</f>
        <v>173.6000056</v>
      </c>
      <c r="AG56" s="82" t="s">
        <v>199</v>
      </c>
      <c r="AN56" s="82" t="s">
        <v>1769</v>
      </c>
      <c r="AO56" s="120" t="n">
        <v>46290</v>
      </c>
      <c r="AP56" s="82" t="n">
        <f aca="false">IF(AND(AO56&gt;=$F$5,AO56&lt;=$H$5,$R$4&lt;&gt;"Saída"),SUMIFS('3 Base Entrada 2008'!$L$2:$L$5000,'3 Base Entrada 2008'!$F$2:$F$5000,$AO56,'3 Base Entrada 2008'!$B$2:$B$5000,$R$1,'3 Base Entrada 2008'!$C$2:$C$5000,$R$2,'3 Base Entrada 2008'!$H$2:$H$5000,$R$3,'3 Base Entrada 2008'!$K$2:$K$5000,$R$4),0)</f>
        <v>0</v>
      </c>
      <c r="AQ56" s="82" t="n">
        <f aca="false">IF(AND(AO56&gt;=$F$5,AO56&lt;=$H$5,OR($R$4="*",$R$4="Saída")),-SUMIFS('3 Base Saídas'!$R$2:$R$5000,'3 Base Saídas'!$G$2:$G$5000,$AO56,'3 Base Saídas'!$B$2:$B$5000,$R$1,'3 Base Saídas'!$C$2:$C$5000,$R$2,'3 Base Saídas'!$I$2:$I$5000,$R$3),0)</f>
        <v>-4832.1</v>
      </c>
      <c r="AR56" s="82" t="n">
        <f aca="false">SUM($AP$40:AP56)+SUM($AQ$40:AQ56)</f>
        <v>20971.78</v>
      </c>
      <c r="AV56" s="0" t="str">
        <f aca="false">IFERROR(INDEX($AX$1:$AX$94,MATCH(55,$AY$1:$AY$94,0)),"")</f>
        <v>2605567696</v>
      </c>
      <c r="AW56" s="82" t="s">
        <v>266</v>
      </c>
      <c r="AX56" s="82" t="s">
        <v>267</v>
      </c>
      <c r="AY56" s="82" t="n">
        <f aca="false">IF(OR($A$5="Todos",AW56=$A$5),MAX(AY$1:AY55)+1,0)</f>
        <v>56</v>
      </c>
      <c r="BB56" s="82" t="n">
        <f aca="false">MIN(IF(_xlfn.MINIFS('3 Base Entrada 2008'!$F$2:$F$5000,'3 Base Entrada 2008'!$F$2:$F$5000,"&gt;="&amp;$F$5,'3 Base Entrada 2008'!$F$2:$F$5000,"&lt;="&amp;$H$5,'3 Base Entrada 2008'!$B$2:$B$5000,$T56,'3 Base Entrada 2008'!$C$2:$C$5000,$AG56)=0,99999,_xlfn.MINIFS('3 Base Entrada 2008'!$F$2:$F$5000,'3 Base Entrada 2008'!$F$2:$F$5000,"&gt;="&amp;$F$5,'3 Base Entrada 2008'!$F$2:$F$5000,"&lt;="&amp;$H$5,'3 Base Entrada 2008'!$B$2:$B$5000,$T56,'3 Base Entrada 2008'!$C$2:$C$5000,$AG56)),IF(_xlfn.MINIFS('3 Base Saídas'!$G$2:$G$5000,'3 Base Saídas'!$G$2:$G$5000,"&gt;="&amp;$F$5,'3 Base Saídas'!$G$2:$G$5000,"&lt;="&amp;$H$5,'3 Base Saídas'!$B$2:$B$5000,$T56,'3 Base Saídas'!$C$2:$C$5000,$AG56)=0,99999,_xlfn.MINIFS('3 Base Saídas'!$G$2:$G$5000,'3 Base Saídas'!$G$2:$G$5000,"&gt;="&amp;$F$5,'3 Base Saídas'!$G$2:$G$5000,"&lt;="&amp;$H$5,'3 Base Saídas'!$B$2:$B$5000,$T56,'3 Base Saídas'!$C$2:$C$5000,$AG56)))</f>
        <v>46275</v>
      </c>
      <c r="BC56" s="82" t="n">
        <f aca="false">MAX(_xlfn.MAXIFS('3 Base Entrada 2008'!$F$2:$F$5000,'3 Base Entrada 2008'!$F$2:$F$5000,"&gt;="&amp;$F$5,'3 Base Entrada 2008'!$F$2:$F$5000,"&lt;="&amp;$H$5,'3 Base Entrada 2008'!$B$2:$B$5000,$T56,'3 Base Entrada 2008'!$C$2:$C$5000,$AG56),_xlfn.MAXIFS('3 Base Saídas'!$G$2:$G$5000,'3 Base Saídas'!$G$2:$G$5000,"&gt;="&amp;$F$5,'3 Base Saídas'!$G$2:$G$5000,"&lt;="&amp;$H$5,'3 Base Saídas'!$B$2:$B$5000,$T56,'3 Base Saídas'!$C$2:$C$5000,$AG56))</f>
        <v>46296</v>
      </c>
      <c r="BD56" s="0" t="str">
        <f aca="false">'5 Conciliação'!L30</f>
        <v>Confirmar a OT de saída (picking) das remessas para baixar 162.4 KG do estoque físico; conferir também estoque antigo/doca</v>
      </c>
      <c r="BE56" s="0" t="str">
        <f aca="false">'5 Conciliação'!Q30</f>
        <v>Saída sem baixa no estoque</v>
      </c>
      <c r="BF56" s="0" t="str">
        <f aca="false">'5 Conciliação'!R30</f>
        <v>Baixa</v>
      </c>
      <c r="BH56" s="82" t="n">
        <f aca="false">SUMIFS('3 Base Saldo Inicial 08-09'!$E$2:$E$5000,'3 Base Saldo Inicial 08-09'!$A$2:$A$5000,$T56,'3 Base Saldo Inicial 08-09'!$B$2:$B$5000,$AG56)-SUMIFS('3 Base Saldo Inicial 08-09'!$E$2:$E$5000,'3 Base Saldo Inicial 08-09'!$A$2:$A$5000,$T56,'3 Base Saldo Inicial 08-09'!$B$2:$B$5000,$AG56,'3 Base Saldo Inicial 08-09'!$C$2:$C$5000,"2008")</f>
        <v>0</v>
      </c>
    </row>
    <row r="57" customFormat="false" ht="15" hidden="false" customHeight="false" outlineLevel="0" collapsed="false">
      <c r="A57" s="111" t="str">
        <f aca="false">IF(IFERROR(MATCH(44,$AB$40:$AB$133,0),0)=0,"",INDEX($T$40:$T$133,IFERROR(MATCH(44,$AB$40:$AB$133,0),0)))</f>
        <v>CHD-TS-22350E0-999</v>
      </c>
      <c r="B57" s="111" t="str">
        <f aca="false">IF(IFERROR(MATCH(44,$AB$40:$AB$133,0),0)=0,"",INDEX($AG$40:$AG$133,IFERROR(MATCH(44,$AB$40:$AB$133,0),0)))</f>
        <v>2520443650</v>
      </c>
      <c r="C57" s="112" t="str">
        <f aca="false">IF(IFERROR(MATCH(44,$AB$40:$AB$133,0),0)=0,"",INDEX($U$40:$U$133,IFERROR(MATCH(44,$AB$40:$AB$133,0),0)))</f>
        <v>KG</v>
      </c>
      <c r="D57" s="113" t="n">
        <f aca="false">IF(IFERROR(MATCH(44,$AB$40:$AB$133,0),0)=0,"",INDEX($BH$40:$BH$133,IFERROR(MATCH(44,$AB$40:$AB$133,0),0)))</f>
        <v>0</v>
      </c>
      <c r="E57" s="113" t="n">
        <f aca="false">IF(IFERROR(MATCH(44,$AB$40:$AB$133,0),0)=0,"",INDEX($W$40:$W$133,IFERROR(MATCH(44,$AB$40:$AB$133,0),0)))</f>
        <v>81.6</v>
      </c>
      <c r="F57" s="113" t="n">
        <f aca="false">IF(IFERROR(MATCH(44,$AB$40:$AB$133,0),0)=0,"",INDEX($X$40:$X$133,IFERROR(MATCH(44,$AB$40:$AB$133,0),0)))</f>
        <v>0</v>
      </c>
      <c r="G57" s="113" t="n">
        <f aca="false">IF(A57="","",D57+E57-F57)</f>
        <v>81.6</v>
      </c>
      <c r="H57" s="113" t="n">
        <f aca="false">IF(IFERROR(MATCH(44,$AB$40:$AB$133,0),0)=0,"",INDEX($Y$40:$Y$133,IFERROR(MATCH(44,$AB$40:$AB$133,0),0)))</f>
        <v>81.6</v>
      </c>
      <c r="I57" s="114" t="n">
        <f aca="false">IF(IFERROR(MATCH(44,$AB$40:$AB$133,0),0)=0,"",INDEX($Z$40:$Z$133,IFERROR(MATCH(44,$AB$40:$AB$133,0),0)))</f>
        <v>0</v>
      </c>
      <c r="J57" s="115" t="str">
        <f aca="false">IF(IFERROR(MATCH(44,$AB$40:$AB$133,0),0)=0,"",INDEX($AC$40:$AC$133,IFERROR(MATCH(44,$AB$40:$AB$133,0),0)))</f>
        <v>Confere</v>
      </c>
      <c r="K57" s="116" t="n">
        <f aca="false">IF(IFERROR(MATCH(44,$AB$40:$AB$133,0),0)=0,"",INDEX($AD$40:$AD$133,IFERROR(MATCH(44,$AB$40:$AB$133,0),0)))</f>
        <v>1</v>
      </c>
      <c r="L57" s="117" t="n">
        <f aca="false">IF(IFERROR(MATCH(44,$AB$40:$AB$133,0),0)=0,"",IF(INDEX($BB$40:$BB$133,IFERROR(MATCH(44,$AB$40:$AB$133,0),0))&gt;=99999,"",INDEX($BB$40:$BB$133,IFERROR(MATCH(44,$AB$40:$AB$133,0),0))))</f>
        <v>46291</v>
      </c>
      <c r="M57" s="117" t="n">
        <f aca="false">IF(IFERROR(MATCH(44,$AB$40:$AB$133,0),0)=0,"",IF(INDEX($BC$40:$BC$133,IFERROR(MATCH(44,$AB$40:$AB$133,0),0))=0,"",INDEX($BC$40:$BC$133,IFERROR(MATCH(44,$AB$40:$AB$133,0),0))))</f>
        <v>46291</v>
      </c>
      <c r="N57" s="118" t="str">
        <f aca="false">IF(IFERROR(MATCH(44,$AB$40:$AB$133,0),0)=0,"",INDEX($AE$40:$AE$133,IFERROR(MATCH(44,$AB$40:$AB$133,0),0))&amp;"")</f>
        <v>Sem diferença</v>
      </c>
      <c r="O57" s="119" t="str">
        <f aca="false">IF(IFERROR(MATCH(44,$AB$40:$AB$133,0),0)=0,"",INDEX($BD$40:$BD$133,IFERROR(MATCH(44,$AB$40:$AB$133,0),0))&amp;"")</f>
        <v>Nenhum ajuste necessário</v>
      </c>
      <c r="T57" s="82" t="s">
        <v>276</v>
      </c>
      <c r="U57" s="82" t="s">
        <v>65</v>
      </c>
      <c r="V57" s="82" t="n">
        <f aca="false">SUMIFS('3 Base Entrada 2008'!$G$2:$G$5000,'3 Base Entrada 2008'!$F$2:$F$5000,"&gt;="&amp;$F$5,'3 Base Entrada 2008'!$F$2:$F$5000,"&lt;="&amp;$H$5,'3 Base Entrada 2008'!$B$2:$B$5000,$T57,'3 Base Entrada 2008'!$C$2:$C$5000,$AG57,'3 Base Entrada 2008'!$K$2:$K$5000,"Recebido no 2008")</f>
        <v>40</v>
      </c>
      <c r="W57" s="82" t="n">
        <f aca="false">SUMIFS('3 Base Entrada 2008'!$L$2:$L$5000,'3 Base Entrada 2008'!$F$2:$F$5000,"&gt;="&amp;$F$5,'3 Base Entrada 2008'!$F$2:$F$5000,"&lt;="&amp;$H$5,'3 Base Entrada 2008'!$B$2:$B$5000,$T57,'3 Base Entrada 2008'!$C$2:$C$5000,$AG57)</f>
        <v>2271.3</v>
      </c>
      <c r="X57" s="82" t="n">
        <f aca="false">SUMIFS('3 Base Saídas'!$R$2:$R$5000,'3 Base Saídas'!$G$2:$G$5000,"&gt;="&amp;$F$5,'3 Base Saídas'!$G$2:$G$5000,"&lt;="&amp;$H$5,'3 Base Saídas'!$B$2:$B$5000,$T57,'3 Base Saídas'!$C$2:$C$5000,$AG57)</f>
        <v>562.8</v>
      </c>
      <c r="Y57" s="82" t="n">
        <f aca="false">SUMIFS('3 Base Estoque Físico'!$J$2:$J$5000,'3 Base Estoque Físico'!$A$2:$A$5000,$T57,'3 Base Estoque Físico'!$B$2:$B$5000,$AG57)</f>
        <v>1829.1</v>
      </c>
      <c r="Z57" s="82" t="n">
        <f aca="false">ROUND(Y57-(BH57+W57-X57),3)</f>
        <v>120.6</v>
      </c>
      <c r="AA57" s="82" t="n">
        <f aca="false">IF(AND(U57=$R$3,OR($R$1="*",T57=$R$1),OR($R$2="*",AG57=$R$2),OR($R$6="*",AC57=$R$6),ABS(V57)+ABS(W57)+ABS(X57)+ABS(Y57)&gt;0),1,0)</f>
        <v>1</v>
      </c>
      <c r="AB57" s="82" t="n">
        <f aca="false">IF(AA57=1,SUM(AA$40:AA57),"")</f>
        <v>16</v>
      </c>
      <c r="AC57" s="0" t="str">
        <f aca="false">IF(ABS(Z57)&lt;=$R$5,"Confere",IF(Z57&gt;0,"Sobrando","Faltando"))</f>
        <v>Sobrando</v>
      </c>
      <c r="AD57" s="82" t="n">
        <f aca="false">IF(OR($R$4="*",$R$4="Saída"),COUNTIFS('3 Base Saídas'!$G$2:$G$5000,"&gt;="&amp;$F$5,'3 Base Saídas'!$G$2:$G$5000,"&lt;="&amp;$H$5,'3 Base Saídas'!$B$2:$B$5000,$T57,'3 Base Saídas'!$C$2:$C$5000,$AG57),0)+IF($R$4&lt;&gt;"Saída",COUNTIFS('3 Base Entrada 2008'!$F$2:$F$5000,"&gt;="&amp;$F$5,'3 Base Entrada 2008'!$F$2:$F$5000,"&lt;="&amp;$H$5,'3 Base Entrada 2008'!$B$2:$B$5000,$T57,'3 Base Entrada 2008'!$C$2:$C$5000,$AG57,'3 Base Entrada 2008'!$K$2:$K$5000,$R$4),0)</f>
        <v>15</v>
      </c>
      <c r="AE57" s="0" t="str">
        <f aca="false">'5 Conciliação'!K31</f>
        <v>Explica em parte: estoque antigo 0.0 + doca/transferência 20.1; faltam 100.5 a explicar</v>
      </c>
      <c r="AF57" s="82" t="n">
        <f aca="false">IF(AND(AA57=1,AC57&lt;&gt;"Confere"),ABS(Z57)+ROW()/10000000,0)</f>
        <v>120.6000057</v>
      </c>
      <c r="AG57" s="82" t="s">
        <v>278</v>
      </c>
      <c r="AN57" s="82" t="s">
        <v>1770</v>
      </c>
      <c r="AO57" s="120" t="n">
        <v>46291</v>
      </c>
      <c r="AP57" s="82" t="n">
        <f aca="false">IF(AND(AO57&gt;=$F$5,AO57&lt;=$H$5,$R$4&lt;&gt;"Saída"),SUMIFS('3 Base Entrada 2008'!$L$2:$L$5000,'3 Base Entrada 2008'!$F$2:$F$5000,$AO57,'3 Base Entrada 2008'!$B$2:$B$5000,$R$1,'3 Base Entrada 2008'!$C$2:$C$5000,$R$2,'3 Base Entrada 2008'!$H$2:$H$5000,$R$3,'3 Base Entrada 2008'!$K$2:$K$5000,$R$4),0)</f>
        <v>9865.5</v>
      </c>
      <c r="AQ57" s="82" t="n">
        <f aca="false">IF(AND(AO57&gt;=$F$5,AO57&lt;=$H$5,OR($R$4="*",$R$4="Saída")),-SUMIFS('3 Base Saídas'!$R$2:$R$5000,'3 Base Saídas'!$G$2:$G$5000,$AO57,'3 Base Saídas'!$B$2:$B$5000,$R$1,'3 Base Saídas'!$C$2:$C$5000,$R$2,'3 Base Saídas'!$I$2:$I$5000,$R$3),0)</f>
        <v>-3904.2</v>
      </c>
      <c r="AR57" s="82" t="n">
        <f aca="false">SUM($AP$40:AP57)+SUM($AQ$40:AQ57)</f>
        <v>26933.08</v>
      </c>
      <c r="AV57" s="0" t="str">
        <f aca="false">IFERROR(INDEX($AX$1:$AX$94,MATCH(56,$AY$1:$AY$94,0)),"")</f>
        <v>260400301</v>
      </c>
      <c r="AW57" s="82" t="s">
        <v>364</v>
      </c>
      <c r="AX57" s="82" t="s">
        <v>365</v>
      </c>
      <c r="AY57" s="82" t="n">
        <f aca="false">IF(OR($A$5="Todos",AW57=$A$5),MAX(AY$1:AY56)+1,0)</f>
        <v>57</v>
      </c>
      <c r="BB57" s="82" t="n">
        <f aca="false">MIN(IF(_xlfn.MINIFS('3 Base Entrada 2008'!$F$2:$F$5000,'3 Base Entrada 2008'!$F$2:$F$5000,"&gt;="&amp;$F$5,'3 Base Entrada 2008'!$F$2:$F$5000,"&lt;="&amp;$H$5,'3 Base Entrada 2008'!$B$2:$B$5000,$T57,'3 Base Entrada 2008'!$C$2:$C$5000,$AG57)=0,99999,_xlfn.MINIFS('3 Base Entrada 2008'!$F$2:$F$5000,'3 Base Entrada 2008'!$F$2:$F$5000,"&gt;="&amp;$F$5,'3 Base Entrada 2008'!$F$2:$F$5000,"&lt;="&amp;$H$5,'3 Base Entrada 2008'!$B$2:$B$5000,$T57,'3 Base Entrada 2008'!$C$2:$C$5000,$AG57)),IF(_xlfn.MINIFS('3 Base Saídas'!$G$2:$G$5000,'3 Base Saídas'!$G$2:$G$5000,"&gt;="&amp;$F$5,'3 Base Saídas'!$G$2:$G$5000,"&lt;="&amp;$H$5,'3 Base Saídas'!$B$2:$B$5000,$T57,'3 Base Saídas'!$C$2:$C$5000,$AG57)=0,99999,_xlfn.MINIFS('3 Base Saídas'!$G$2:$G$5000,'3 Base Saídas'!$G$2:$G$5000,"&gt;="&amp;$F$5,'3 Base Saídas'!$G$2:$G$5000,"&lt;="&amp;$H$5,'3 Base Saídas'!$B$2:$B$5000,$T57,'3 Base Saídas'!$C$2:$C$5000,$AG57)))</f>
        <v>46275</v>
      </c>
      <c r="BC57" s="82" t="n">
        <f aca="false">MAX(_xlfn.MAXIFS('3 Base Entrada 2008'!$F$2:$F$5000,'3 Base Entrada 2008'!$F$2:$F$5000,"&gt;="&amp;$F$5,'3 Base Entrada 2008'!$F$2:$F$5000,"&lt;="&amp;$H$5,'3 Base Entrada 2008'!$B$2:$B$5000,$T57,'3 Base Entrada 2008'!$C$2:$C$5000,$AG57),_xlfn.MAXIFS('3 Base Saídas'!$G$2:$G$5000,'3 Base Saídas'!$G$2:$G$5000,"&gt;="&amp;$F$5,'3 Base Saídas'!$G$2:$G$5000,"&lt;="&amp;$H$5,'3 Base Saídas'!$B$2:$B$5000,$T57,'3 Base Saídas'!$C$2:$C$5000,$AG57))</f>
        <v>46295</v>
      </c>
      <c r="BD57" s="0" t="str">
        <f aca="false">'5 Conciliação'!L31</f>
        <v>Confirmar saldo de 08/09 e OTs de doca; contar o lote para os 100.5 KG restantes e ajustar a sobra se confirmada</v>
      </c>
      <c r="BE57" s="0" t="str">
        <f aca="false">'5 Conciliação'!Q31</f>
        <v>Sobra parcialmente explicada</v>
      </c>
      <c r="BF57" s="0" t="str">
        <f aca="false">'5 Conciliação'!R31</f>
        <v>Média</v>
      </c>
      <c r="BH57" s="82" t="n">
        <f aca="false">SUMIFS('3 Base Saldo Inicial 08-09'!$E$2:$E$5000,'3 Base Saldo Inicial 08-09'!$A$2:$A$5000,$T57,'3 Base Saldo Inicial 08-09'!$B$2:$B$5000,$AG57)-SUMIFS('3 Base Saldo Inicial 08-09'!$E$2:$E$5000,'3 Base Saldo Inicial 08-09'!$A$2:$A$5000,$T57,'3 Base Saldo Inicial 08-09'!$B$2:$B$5000,$AG57,'3 Base Saldo Inicial 08-09'!$C$2:$C$5000,"2008")</f>
        <v>0</v>
      </c>
    </row>
    <row r="58" customFormat="false" ht="15" hidden="false" customHeight="false" outlineLevel="0" collapsed="false">
      <c r="A58" s="111" t="str">
        <f aca="false">IF(IFERROR(MATCH(45,$AB$40:$AB$133,0),0)=0,"",INDEX($T$40:$T$133,IFERROR(MATCH(45,$AB$40:$AB$133,0),0)))</f>
        <v>CHD-VR-Z2S-E0-U68</v>
      </c>
      <c r="B58" s="111" t="str">
        <f aca="false">IF(IFERROR(MATCH(45,$AB$40:$AB$133,0),0)=0,"",INDEX($AG$40:$AG$133,IFERROR(MATCH(45,$AB$40:$AB$133,0),0)))</f>
        <v>261160301</v>
      </c>
      <c r="C58" s="112" t="str">
        <f aca="false">IF(IFERROR(MATCH(45,$AB$40:$AB$133,0),0)=0,"",INDEX($U$40:$U$133,IFERROR(MATCH(45,$AB$40:$AB$133,0),0)))</f>
        <v>KG</v>
      </c>
      <c r="D58" s="113" t="n">
        <f aca="false">IF(IFERROR(MATCH(45,$AB$40:$AB$133,0),0)=0,"",INDEX($BH$40:$BH$133,IFERROR(MATCH(45,$AB$40:$AB$133,0),0)))</f>
        <v>0</v>
      </c>
      <c r="E58" s="113" t="n">
        <f aca="false">IF(IFERROR(MATCH(45,$AB$40:$AB$133,0),0)=0,"",INDEX($W$40:$W$133,IFERROR(MATCH(45,$AB$40:$AB$133,0),0)))</f>
        <v>0</v>
      </c>
      <c r="F58" s="113" t="n">
        <f aca="false">IF(IFERROR(MATCH(45,$AB$40:$AB$133,0),0)=0,"",INDEX($X$40:$X$133,IFERROR(MATCH(45,$AB$40:$AB$133,0),0)))</f>
        <v>0</v>
      </c>
      <c r="G58" s="113" t="n">
        <f aca="false">IF(A58="","",D58+E58-F58)</f>
        <v>0</v>
      </c>
      <c r="H58" s="113" t="n">
        <f aca="false">IF(IFERROR(MATCH(45,$AB$40:$AB$133,0),0)=0,"",INDEX($Y$40:$Y$133,IFERROR(MATCH(45,$AB$40:$AB$133,0),0)))</f>
        <v>0</v>
      </c>
      <c r="I58" s="114" t="n">
        <f aca="false">IF(IFERROR(MATCH(45,$AB$40:$AB$133,0),0)=0,"",INDEX($Z$40:$Z$133,IFERROR(MATCH(45,$AB$40:$AB$133,0),0)))</f>
        <v>0</v>
      </c>
      <c r="J58" s="115" t="str">
        <f aca="false">IF(IFERROR(MATCH(45,$AB$40:$AB$133,0),0)=0,"",INDEX($AC$40:$AC$133,IFERROR(MATCH(45,$AB$40:$AB$133,0),0)))</f>
        <v>Confere</v>
      </c>
      <c r="K58" s="116" t="n">
        <f aca="false">IF(IFERROR(MATCH(45,$AB$40:$AB$133,0),0)=0,"",INDEX($AD$40:$AD$133,IFERROR(MATCH(45,$AB$40:$AB$133,0),0)))</f>
        <v>1</v>
      </c>
      <c r="L58" s="117" t="n">
        <f aca="false">IF(IFERROR(MATCH(45,$AB$40:$AB$133,0),0)=0,"",IF(INDEX($BB$40:$BB$133,IFERROR(MATCH(45,$AB$40:$AB$133,0),0))&gt;=99999,"",INDEX($BB$40:$BB$133,IFERROR(MATCH(45,$AB$40:$AB$133,0),0))))</f>
        <v>46275</v>
      </c>
      <c r="M58" s="117" t="n">
        <f aca="false">IF(IFERROR(MATCH(45,$AB$40:$AB$133,0),0)=0,"",IF(INDEX($BC$40:$BC$133,IFERROR(MATCH(45,$AB$40:$AB$133,0),0))=0,"",INDEX($BC$40:$BC$133,IFERROR(MATCH(45,$AB$40:$AB$133,0),0))))</f>
        <v>46275</v>
      </c>
      <c r="N58" s="118" t="str">
        <f aca="false">IF(IFERROR(MATCH(45,$AB$40:$AB$133,0),0)=0,"",INDEX($AE$40:$AE$133,IFERROR(MATCH(45,$AB$40:$AB$133,0),0))&amp;"")</f>
        <v>Sem diferença</v>
      </c>
      <c r="O58" s="119" t="str">
        <f aca="false">IF(IFERROR(MATCH(45,$AB$40:$AB$133,0),0)=0,"",INDEX($BD$40:$BD$133,IFERROR(MATCH(45,$AB$40:$AB$133,0),0))&amp;"")</f>
        <v>Nenhum ajuste necessário</v>
      </c>
      <c r="T58" s="82" t="s">
        <v>286</v>
      </c>
      <c r="U58" s="82" t="s">
        <v>147</v>
      </c>
      <c r="V58" s="82" t="n">
        <f aca="false">SUMIFS('3 Base Entrada 2008'!$G$2:$G$5000,'3 Base Entrada 2008'!$F$2:$F$5000,"&gt;="&amp;$F$5,'3 Base Entrada 2008'!$F$2:$F$5000,"&lt;="&amp;$H$5,'3 Base Entrada 2008'!$B$2:$B$5000,$T58,'3 Base Entrada 2008'!$C$2:$C$5000,$AG58,'3 Base Entrada 2008'!$K$2:$K$5000,"Recebido no 2008")</f>
        <v>0</v>
      </c>
      <c r="W58" s="82" t="n">
        <f aca="false">SUMIFS('3 Base Entrada 2008'!$L$2:$L$5000,'3 Base Entrada 2008'!$F$2:$F$5000,"&gt;="&amp;$F$5,'3 Base Entrada 2008'!$F$2:$F$5000,"&lt;="&amp;$H$5,'3 Base Entrada 2008'!$B$2:$B$5000,$T58,'3 Base Entrada 2008'!$C$2:$C$5000,$AG58)</f>
        <v>-120</v>
      </c>
      <c r="X58" s="82" t="n">
        <f aca="false">SUMIFS('3 Base Saídas'!$R$2:$R$5000,'3 Base Saídas'!$G$2:$G$5000,"&gt;="&amp;$F$5,'3 Base Saídas'!$G$2:$G$5000,"&lt;="&amp;$H$5,'3 Base Saídas'!$B$2:$B$5000,$T58,'3 Base Saídas'!$C$2:$C$5000,$AG58)</f>
        <v>0</v>
      </c>
      <c r="Y58" s="82" t="n">
        <f aca="false">SUMIFS('3 Base Estoque Físico'!$J$2:$J$5000,'3 Base Estoque Físico'!$A$2:$A$5000,$T58,'3 Base Estoque Físico'!$B$2:$B$5000,$AG58)</f>
        <v>0</v>
      </c>
      <c r="Z58" s="82" t="n">
        <f aca="false">ROUND(Y58-(BH58+W58-X58),3)</f>
        <v>120</v>
      </c>
      <c r="AA58" s="82" t="n">
        <f aca="false">IF(AND(U58=$R$3,OR($R$1="*",T58=$R$1),OR($R$2="*",AG58=$R$2),OR($R$6="*",AC58=$R$6),ABS(V58)+ABS(W58)+ABS(X58)+ABS(Y58)&gt;0),1,0)</f>
        <v>0</v>
      </c>
      <c r="AB58" s="0" t="str">
        <f aca="false">IF(AA58=1,SUM(AA$40:AA58),"")</f>
        <v/>
      </c>
      <c r="AC58" s="0" t="str">
        <f aca="false">IF(ABS(Z58)&lt;=$R$5,"Confere",IF(Z58&gt;0,"Sobrando","Faltando"))</f>
        <v>Sobrando</v>
      </c>
      <c r="AD58" s="82" t="n">
        <f aca="false">IF(OR($R$4="*",$R$4="Saída"),COUNTIFS('3 Base Saídas'!$G$2:$G$5000,"&gt;="&amp;$F$5,'3 Base Saídas'!$G$2:$G$5000,"&lt;="&amp;$H$5,'3 Base Saídas'!$B$2:$B$5000,$T58,'3 Base Saídas'!$C$2:$C$5000,$AG58),0)+IF($R$4&lt;&gt;"Saída",COUNTIFS('3 Base Entrada 2008'!$F$2:$F$5000,"&gt;="&amp;$F$5,'3 Base Entrada 2008'!$F$2:$F$5000,"&lt;="&amp;$H$5,'3 Base Entrada 2008'!$B$2:$B$5000,$T58,'3 Base Entrada 2008'!$C$2:$C$5000,$AG58,'3 Base Entrada 2008'!$K$2:$K$5000,$R$4),0)</f>
        <v>1</v>
      </c>
      <c r="AE58" s="0" t="str">
        <f aca="false">'5 Conciliação'!K32</f>
        <v>Troca de lote: a mesma quantidade aparece com sinal oposto em outro lote deste SKU</v>
      </c>
      <c r="AF58" s="82" t="n">
        <f aca="false">IF(AND(AA58=1,AC58&lt;&gt;"Confere"),ABS(Z58)+ROW()/10000000,0)</f>
        <v>0</v>
      </c>
      <c r="AG58" s="82" t="s">
        <v>299</v>
      </c>
      <c r="AN58" s="82" t="s">
        <v>1771</v>
      </c>
      <c r="AO58" s="120" t="n">
        <v>46292</v>
      </c>
      <c r="AP58" s="82" t="n">
        <f aca="false">IF(AND(AO58&gt;=$F$5,AO58&lt;=$H$5,$R$4&lt;&gt;"Saída"),SUMIFS('3 Base Entrada 2008'!$L$2:$L$5000,'3 Base Entrada 2008'!$F$2:$F$5000,$AO58,'3 Base Entrada 2008'!$B$2:$B$5000,$R$1,'3 Base Entrada 2008'!$C$2:$C$5000,$R$2,'3 Base Entrada 2008'!$H$2:$H$5000,$R$3,'3 Base Entrada 2008'!$K$2:$K$5000,$R$4),0)</f>
        <v>0</v>
      </c>
      <c r="AQ58" s="82" t="n">
        <f aca="false">IF(AND(AO58&gt;=$F$5,AO58&lt;=$H$5,OR($R$4="*",$R$4="Saída")),-SUMIFS('3 Base Saídas'!$R$2:$R$5000,'3 Base Saídas'!$G$2:$G$5000,$AO58,'3 Base Saídas'!$B$2:$B$5000,$R$1,'3 Base Saídas'!$C$2:$C$5000,$R$2,'3 Base Saídas'!$I$2:$I$5000,$R$3),0)</f>
        <v>-2188.2</v>
      </c>
      <c r="AR58" s="82" t="n">
        <f aca="false">SUM($AP$40:AP58)+SUM($AQ$40:AQ58)</f>
        <v>24744.88</v>
      </c>
      <c r="AV58" s="0" t="str">
        <f aca="false">IFERROR(INDEX($AX$1:$AX$94,MATCH(57,$AY$1:$AY$94,0)),"")</f>
        <v>260600103</v>
      </c>
      <c r="AW58" s="82" t="s">
        <v>269</v>
      </c>
      <c r="AX58" s="82" t="s">
        <v>270</v>
      </c>
      <c r="AY58" s="82" t="n">
        <f aca="false">IF(OR($A$5="Todos",AW58=$A$5),MAX(AY$1:AY57)+1,0)</f>
        <v>58</v>
      </c>
      <c r="BB58" s="82" t="n">
        <f aca="false">MIN(IF(_xlfn.MINIFS('3 Base Entrada 2008'!$F$2:$F$5000,'3 Base Entrada 2008'!$F$2:$F$5000,"&gt;="&amp;$F$5,'3 Base Entrada 2008'!$F$2:$F$5000,"&lt;="&amp;$H$5,'3 Base Entrada 2008'!$B$2:$B$5000,$T58,'3 Base Entrada 2008'!$C$2:$C$5000,$AG58)=0,99999,_xlfn.MINIFS('3 Base Entrada 2008'!$F$2:$F$5000,'3 Base Entrada 2008'!$F$2:$F$5000,"&gt;="&amp;$F$5,'3 Base Entrada 2008'!$F$2:$F$5000,"&lt;="&amp;$H$5,'3 Base Entrada 2008'!$B$2:$B$5000,$T58,'3 Base Entrada 2008'!$C$2:$C$5000,$AG58)),IF(_xlfn.MINIFS('3 Base Saídas'!$G$2:$G$5000,'3 Base Saídas'!$G$2:$G$5000,"&gt;="&amp;$F$5,'3 Base Saídas'!$G$2:$G$5000,"&lt;="&amp;$H$5,'3 Base Saídas'!$B$2:$B$5000,$T58,'3 Base Saídas'!$C$2:$C$5000,$AG58)=0,99999,_xlfn.MINIFS('3 Base Saídas'!$G$2:$G$5000,'3 Base Saídas'!$G$2:$G$5000,"&gt;="&amp;$F$5,'3 Base Saídas'!$G$2:$G$5000,"&lt;="&amp;$H$5,'3 Base Saídas'!$B$2:$B$5000,$T58,'3 Base Saídas'!$C$2:$C$5000,$AG58)))</f>
        <v>46289</v>
      </c>
      <c r="BC58" s="82" t="n">
        <f aca="false">MAX(_xlfn.MAXIFS('3 Base Entrada 2008'!$F$2:$F$5000,'3 Base Entrada 2008'!$F$2:$F$5000,"&gt;="&amp;$F$5,'3 Base Entrada 2008'!$F$2:$F$5000,"&lt;="&amp;$H$5,'3 Base Entrada 2008'!$B$2:$B$5000,$T58,'3 Base Entrada 2008'!$C$2:$C$5000,$AG58),_xlfn.MAXIFS('3 Base Saídas'!$G$2:$G$5000,'3 Base Saídas'!$G$2:$G$5000,"&gt;="&amp;$F$5,'3 Base Saídas'!$G$2:$G$5000,"&lt;="&amp;$H$5,'3 Base Saídas'!$B$2:$B$5000,$T58,'3 Base Saídas'!$C$2:$C$5000,$AG58))</f>
        <v>46289</v>
      </c>
      <c r="BD58" s="0" t="str">
        <f aca="false">'5 Conciliação'!L32</f>
        <v>Transferir 120.0 CX entre os lotes deste SKU (transferência lote a lote, mov. 309) para corrigir o lote</v>
      </c>
      <c r="BE58" s="0" t="str">
        <f aca="false">'5 Conciliação'!Q32</f>
        <v>Troca de lote</v>
      </c>
      <c r="BF58" s="0" t="str">
        <f aca="false">'5 Conciliação'!R32</f>
        <v>Baixa</v>
      </c>
      <c r="BH58" s="82" t="n">
        <f aca="false">SUMIFS('3 Base Saldo Inicial 08-09'!$E$2:$E$5000,'3 Base Saldo Inicial 08-09'!$A$2:$A$5000,$T58,'3 Base Saldo Inicial 08-09'!$B$2:$B$5000,$AG58)-SUMIFS('3 Base Saldo Inicial 08-09'!$E$2:$E$5000,'3 Base Saldo Inicial 08-09'!$A$2:$A$5000,$T58,'3 Base Saldo Inicial 08-09'!$B$2:$B$5000,$AG58,'3 Base Saldo Inicial 08-09'!$C$2:$C$5000,"2008")</f>
        <v>0</v>
      </c>
    </row>
    <row r="59" customFormat="false" ht="15" hidden="false" customHeight="false" outlineLevel="0" collapsed="false">
      <c r="A59" s="111" t="str">
        <f aca="false">IF(IFERROR(MATCH(46,$AB$40:$AB$133,0),0)=0,"",INDEX($T$40:$T$133,IFERROR(MATCH(46,$AB$40:$AB$133,0),0)))</f>
        <v>CHK-D-413</v>
      </c>
      <c r="B59" s="111" t="str">
        <f aca="false">IF(IFERROR(MATCH(46,$AB$40:$AB$133,0),0)=0,"",INDEX($AG$40:$AG$133,IFERROR(MATCH(46,$AB$40:$AB$133,0),0)))</f>
        <v>261756201</v>
      </c>
      <c r="C59" s="112" t="str">
        <f aca="false">IF(IFERROR(MATCH(46,$AB$40:$AB$133,0),0)=0,"",INDEX($U$40:$U$133,IFERROR(MATCH(46,$AB$40:$AB$133,0),0)))</f>
        <v>KG</v>
      </c>
      <c r="D59" s="113" t="n">
        <f aca="false">IF(IFERROR(MATCH(46,$AB$40:$AB$133,0),0)=0,"",INDEX($BH$40:$BH$133,IFERROR(MATCH(46,$AB$40:$AB$133,0),0)))</f>
        <v>0</v>
      </c>
      <c r="E59" s="113" t="n">
        <f aca="false">IF(IFERROR(MATCH(46,$AB$40:$AB$133,0),0)=0,"",INDEX($W$40:$W$133,IFERROR(MATCH(46,$AB$40:$AB$133,0),0)))</f>
        <v>0</v>
      </c>
      <c r="F59" s="113" t="n">
        <f aca="false">IF(IFERROR(MATCH(46,$AB$40:$AB$133,0),0)=0,"",INDEX($X$40:$X$133,IFERROR(MATCH(46,$AB$40:$AB$133,0),0)))</f>
        <v>0</v>
      </c>
      <c r="G59" s="113" t="n">
        <f aca="false">IF(A59="","",D59+E59-F59)</f>
        <v>0</v>
      </c>
      <c r="H59" s="113" t="n">
        <f aca="false">IF(IFERROR(MATCH(46,$AB$40:$AB$133,0),0)=0,"",INDEX($Y$40:$Y$133,IFERROR(MATCH(46,$AB$40:$AB$133,0),0)))</f>
        <v>0</v>
      </c>
      <c r="I59" s="114" t="n">
        <f aca="false">IF(IFERROR(MATCH(46,$AB$40:$AB$133,0),0)=0,"",INDEX($Z$40:$Z$133,IFERROR(MATCH(46,$AB$40:$AB$133,0),0)))</f>
        <v>0</v>
      </c>
      <c r="J59" s="115" t="str">
        <f aca="false">IF(IFERROR(MATCH(46,$AB$40:$AB$133,0),0)=0,"",INDEX($AC$40:$AC$133,IFERROR(MATCH(46,$AB$40:$AB$133,0),0)))</f>
        <v>Confere</v>
      </c>
      <c r="K59" s="116" t="n">
        <f aca="false">IF(IFERROR(MATCH(46,$AB$40:$AB$133,0),0)=0,"",INDEX($AD$40:$AD$133,IFERROR(MATCH(46,$AB$40:$AB$133,0),0)))</f>
        <v>1</v>
      </c>
      <c r="L59" s="117" t="n">
        <f aca="false">IF(IFERROR(MATCH(46,$AB$40:$AB$133,0),0)=0,"",IF(INDEX($BB$40:$BB$133,IFERROR(MATCH(46,$AB$40:$AB$133,0),0))&gt;=99999,"",INDEX($BB$40:$BB$133,IFERROR(MATCH(46,$AB$40:$AB$133,0),0))))</f>
        <v>46280</v>
      </c>
      <c r="M59" s="117" t="n">
        <f aca="false">IF(IFERROR(MATCH(46,$AB$40:$AB$133,0),0)=0,"",IF(INDEX($BC$40:$BC$133,IFERROR(MATCH(46,$AB$40:$AB$133,0),0))=0,"",INDEX($BC$40:$BC$133,IFERROR(MATCH(46,$AB$40:$AB$133,0),0))))</f>
        <v>46280</v>
      </c>
      <c r="N59" s="118" t="str">
        <f aca="false">IF(IFERROR(MATCH(46,$AB$40:$AB$133,0),0)=0,"",INDEX($AE$40:$AE$133,IFERROR(MATCH(46,$AB$40:$AB$133,0),0))&amp;"")</f>
        <v>Sem diferença</v>
      </c>
      <c r="O59" s="119" t="str">
        <f aca="false">IF(IFERROR(MATCH(46,$AB$40:$AB$133,0),0)=0,"",INDEX($BD$40:$BD$133,IFERROR(MATCH(46,$AB$40:$AB$133,0),0))&amp;"")</f>
        <v>Nenhum ajuste necessário</v>
      </c>
      <c r="T59" s="82" t="s">
        <v>247</v>
      </c>
      <c r="U59" s="82" t="s">
        <v>65</v>
      </c>
      <c r="V59" s="82" t="n">
        <f aca="false">SUMIFS('3 Base Entrada 2008'!$G$2:$G$5000,'3 Base Entrada 2008'!$F$2:$F$5000,"&gt;="&amp;$F$5,'3 Base Entrada 2008'!$F$2:$F$5000,"&lt;="&amp;$H$5,'3 Base Entrada 2008'!$B$2:$B$5000,$T59,'3 Base Entrada 2008'!$C$2:$C$5000,$AG59,'3 Base Entrada 2008'!$K$2:$K$5000,"Recebido no 2008")</f>
        <v>0</v>
      </c>
      <c r="W59" s="82" t="n">
        <f aca="false">SUMIFS('3 Base Entrada 2008'!$L$2:$L$5000,'3 Base Entrada 2008'!$F$2:$F$5000,"&gt;="&amp;$F$5,'3 Base Entrada 2008'!$F$2:$F$5000,"&lt;="&amp;$H$5,'3 Base Entrada 2008'!$B$2:$B$5000,$T59,'3 Base Entrada 2008'!$C$2:$C$5000,$AG59)</f>
        <v>40.2</v>
      </c>
      <c r="X59" s="82" t="n">
        <f aca="false">SUMIFS('3 Base Saídas'!$R$2:$R$5000,'3 Base Saídas'!$G$2:$G$5000,"&gt;="&amp;$F$5,'3 Base Saídas'!$G$2:$G$5000,"&lt;="&amp;$H$5,'3 Base Saídas'!$B$2:$B$5000,$T59,'3 Base Saídas'!$C$2:$C$5000,$AG59)</f>
        <v>40.2</v>
      </c>
      <c r="Y59" s="82" t="n">
        <f aca="false">SUMIFS('3 Base Estoque Físico'!$J$2:$J$5000,'3 Base Estoque Físico'!$A$2:$A$5000,$T59,'3 Base Estoque Físico'!$B$2:$B$5000,$AG59)</f>
        <v>116.58</v>
      </c>
      <c r="Z59" s="82" t="n">
        <f aca="false">ROUND(Y59-(BH59+W59-X59),3)</f>
        <v>116.58</v>
      </c>
      <c r="AA59" s="82" t="n">
        <f aca="false">IF(AND(U59=$R$3,OR($R$1="*",T59=$R$1),OR($R$2="*",AG59=$R$2),OR($R$6="*",AC59=$R$6),ABS(V59)+ABS(W59)+ABS(X59)+ABS(Y59)&gt;0),1,0)</f>
        <v>1</v>
      </c>
      <c r="AB59" s="82" t="n">
        <f aca="false">IF(AA59=1,SUM(AA$40:AA59),"")</f>
        <v>17</v>
      </c>
      <c r="AC59" s="0" t="str">
        <f aca="false">IF(ABS(Z59)&lt;=$R$5,"Confere",IF(Z59&gt;0,"Sobrando","Faltando"))</f>
        <v>Sobrando</v>
      </c>
      <c r="AD59" s="82" t="n">
        <f aca="false">IF(OR($R$4="*",$R$4="Saída"),COUNTIFS('3 Base Saídas'!$G$2:$G$5000,"&gt;="&amp;$F$5,'3 Base Saídas'!$G$2:$G$5000,"&lt;="&amp;$H$5,'3 Base Saídas'!$B$2:$B$5000,$T59,'3 Base Saídas'!$C$2:$C$5000,$AG59),0)+IF($R$4&lt;&gt;"Saída",COUNTIFS('3 Base Entrada 2008'!$F$2:$F$5000,"&gt;="&amp;$F$5,'3 Base Entrada 2008'!$F$2:$F$5000,"&lt;="&amp;$H$5,'3 Base Entrada 2008'!$B$2:$B$5000,$T59,'3 Base Entrada 2008'!$C$2:$C$5000,$AG59,'3 Base Entrada 2008'!$K$2:$K$5000,$R$4),0)</f>
        <v>3</v>
      </c>
      <c r="AE59" s="0" t="str">
        <f aca="false">'5 Conciliação'!K33</f>
        <v>Estoque antigo + quantidade em doca/chão/transferência</v>
      </c>
      <c r="AF59" s="82" t="n">
        <f aca="false">IF(AND(AA59=1,AC59&lt;&gt;"Confere"),ABS(Z59)+ROW()/10000000,0)</f>
        <v>116.5800059</v>
      </c>
      <c r="AG59" s="82" t="s">
        <v>348</v>
      </c>
      <c r="AN59" s="82" t="s">
        <v>1772</v>
      </c>
      <c r="AO59" s="120" t="n">
        <v>46293</v>
      </c>
      <c r="AP59" s="82" t="n">
        <f aca="false">IF(AND(AO59&gt;=$F$5,AO59&lt;=$H$5,$R$4&lt;&gt;"Saída"),SUMIFS('3 Base Entrada 2008'!$L$2:$L$5000,'3 Base Entrada 2008'!$F$2:$F$5000,$AO59,'3 Base Entrada 2008'!$B$2:$B$5000,$R$1,'3 Base Entrada 2008'!$C$2:$C$5000,$R$2,'3 Base Entrada 2008'!$H$2:$H$5000,$R$3,'3 Base Entrada 2008'!$K$2:$K$5000,$R$4),0)</f>
        <v>7172.8</v>
      </c>
      <c r="AQ59" s="82" t="n">
        <f aca="false">IF(AND(AO59&gt;=$F$5,AO59&lt;=$H$5,OR($R$4="*",$R$4="Saída")),-SUMIFS('3 Base Saídas'!$R$2:$R$5000,'3 Base Saídas'!$G$2:$G$5000,$AO59,'3 Base Saídas'!$B$2:$B$5000,$R$1,'3 Base Saídas'!$C$2:$C$5000,$R$2,'3 Base Saídas'!$I$2:$I$5000,$R$3),0)</f>
        <v>-179.6</v>
      </c>
      <c r="AR59" s="82" t="n">
        <f aca="false">SUM($AP$40:AP59)+SUM($AQ$40:AQ59)</f>
        <v>31738.08</v>
      </c>
      <c r="AV59" s="0" t="str">
        <f aca="false">IFERROR(INDEX($AX$1:$AX$94,MATCH(58,$AY$1:$AY$94,0)),"")</f>
        <v>252843369</v>
      </c>
      <c r="AW59" s="82" t="s">
        <v>271</v>
      </c>
      <c r="AX59" s="82" t="s">
        <v>272</v>
      </c>
      <c r="AY59" s="82" t="n">
        <f aca="false">IF(OR($A$5="Todos",AW59=$A$5),MAX(AY$1:AY58)+1,0)</f>
        <v>59</v>
      </c>
      <c r="BB59" s="82" t="n">
        <f aca="false">MIN(IF(_xlfn.MINIFS('3 Base Entrada 2008'!$F$2:$F$5000,'3 Base Entrada 2008'!$F$2:$F$5000,"&gt;="&amp;$F$5,'3 Base Entrada 2008'!$F$2:$F$5000,"&lt;="&amp;$H$5,'3 Base Entrada 2008'!$B$2:$B$5000,$T59,'3 Base Entrada 2008'!$C$2:$C$5000,$AG59)=0,99999,_xlfn.MINIFS('3 Base Entrada 2008'!$F$2:$F$5000,'3 Base Entrada 2008'!$F$2:$F$5000,"&gt;="&amp;$F$5,'3 Base Entrada 2008'!$F$2:$F$5000,"&lt;="&amp;$H$5,'3 Base Entrada 2008'!$B$2:$B$5000,$T59,'3 Base Entrada 2008'!$C$2:$C$5000,$AG59)),IF(_xlfn.MINIFS('3 Base Saídas'!$G$2:$G$5000,'3 Base Saídas'!$G$2:$G$5000,"&gt;="&amp;$F$5,'3 Base Saídas'!$G$2:$G$5000,"&lt;="&amp;$H$5,'3 Base Saídas'!$B$2:$B$5000,$T59,'3 Base Saídas'!$C$2:$C$5000,$AG59)=0,99999,_xlfn.MINIFS('3 Base Saídas'!$G$2:$G$5000,'3 Base Saídas'!$G$2:$G$5000,"&gt;="&amp;$F$5,'3 Base Saídas'!$G$2:$G$5000,"&lt;="&amp;$H$5,'3 Base Saídas'!$B$2:$B$5000,$T59,'3 Base Saídas'!$C$2:$C$5000,$AG59)))</f>
        <v>46291</v>
      </c>
      <c r="BC59" s="82" t="n">
        <f aca="false">MAX(_xlfn.MAXIFS('3 Base Entrada 2008'!$F$2:$F$5000,'3 Base Entrada 2008'!$F$2:$F$5000,"&gt;="&amp;$F$5,'3 Base Entrada 2008'!$F$2:$F$5000,"&lt;="&amp;$H$5,'3 Base Entrada 2008'!$B$2:$B$5000,$T59,'3 Base Entrada 2008'!$C$2:$C$5000,$AG59),_xlfn.MAXIFS('3 Base Saídas'!$G$2:$G$5000,'3 Base Saídas'!$G$2:$G$5000,"&gt;="&amp;$F$5,'3 Base Saídas'!$G$2:$G$5000,"&lt;="&amp;$H$5,'3 Base Saídas'!$B$2:$B$5000,$T59,'3 Base Saídas'!$C$2:$C$5000,$AG59))</f>
        <v>46294</v>
      </c>
      <c r="BD59" s="0" t="str">
        <f aca="false">'5 Conciliação'!L33</f>
        <v>Confirmar saldo de 08/09 (36.2 KG) e tratar as OTs em doca/transferência (80.4 KG)</v>
      </c>
      <c r="BE59" s="0" t="str">
        <f aca="false">'5 Conciliação'!Q33</f>
        <v>Estoque anterior a 09/09</v>
      </c>
      <c r="BF59" s="0" t="str">
        <f aca="false">'5 Conciliação'!R33</f>
        <v>Baixa</v>
      </c>
      <c r="BH59" s="82" t="n">
        <f aca="false">SUMIFS('3 Base Saldo Inicial 08-09'!$E$2:$E$5000,'3 Base Saldo Inicial 08-09'!$A$2:$A$5000,$T59,'3 Base Saldo Inicial 08-09'!$B$2:$B$5000,$AG59)-SUMIFS('3 Base Saldo Inicial 08-09'!$E$2:$E$5000,'3 Base Saldo Inicial 08-09'!$A$2:$A$5000,$T59,'3 Base Saldo Inicial 08-09'!$B$2:$B$5000,$AG59,'3 Base Saldo Inicial 08-09'!$C$2:$C$5000,"2008")</f>
        <v>0</v>
      </c>
    </row>
    <row r="60" customFormat="false" ht="15" hidden="false" customHeight="false" outlineLevel="0" collapsed="false">
      <c r="A60" s="111" t="str">
        <f aca="false">IF(IFERROR(MATCH(47,$AB$40:$AB$133,0),0)=0,"",INDEX($T$40:$T$133,IFERROR(MATCH(47,$AB$40:$AB$133,0),0)))</f>
        <v>CHK-R30GOLD-BR-25A</v>
      </c>
      <c r="B60" s="111" t="str">
        <f aca="false">IF(IFERROR(MATCH(47,$AB$40:$AB$133,0),0)=0,"",INDEX($AG$40:$AG$133,IFERROR(MATCH(47,$AB$40:$AB$133,0),0)))</f>
        <v>252750301</v>
      </c>
      <c r="C60" s="112" t="str">
        <f aca="false">IF(IFERROR(MATCH(47,$AB$40:$AB$133,0),0)=0,"",INDEX($U$40:$U$133,IFERROR(MATCH(47,$AB$40:$AB$133,0),0)))</f>
        <v>KG</v>
      </c>
      <c r="D60" s="113" t="n">
        <f aca="false">IF(IFERROR(MATCH(47,$AB$40:$AB$133,0),0)=0,"",INDEX($BH$40:$BH$133,IFERROR(MATCH(47,$AB$40:$AB$133,0),0)))</f>
        <v>0</v>
      </c>
      <c r="E60" s="113" t="n">
        <f aca="false">IF(IFERROR(MATCH(47,$AB$40:$AB$133,0),0)=0,"",INDEX($W$40:$W$133,IFERROR(MATCH(47,$AB$40:$AB$133,0),0)))</f>
        <v>0</v>
      </c>
      <c r="F60" s="113" t="n">
        <f aca="false">IF(IFERROR(MATCH(47,$AB$40:$AB$133,0),0)=0,"",INDEX($X$40:$X$133,IFERROR(MATCH(47,$AB$40:$AB$133,0),0)))</f>
        <v>0</v>
      </c>
      <c r="G60" s="113" t="n">
        <f aca="false">IF(A60="","",D60+E60-F60)</f>
        <v>0</v>
      </c>
      <c r="H60" s="113" t="n">
        <f aca="false">IF(IFERROR(MATCH(47,$AB$40:$AB$133,0),0)=0,"",INDEX($Y$40:$Y$133,IFERROR(MATCH(47,$AB$40:$AB$133,0),0)))</f>
        <v>0</v>
      </c>
      <c r="I60" s="114" t="n">
        <f aca="false">IF(IFERROR(MATCH(47,$AB$40:$AB$133,0),0)=0,"",INDEX($Z$40:$Z$133,IFERROR(MATCH(47,$AB$40:$AB$133,0),0)))</f>
        <v>0</v>
      </c>
      <c r="J60" s="115" t="str">
        <f aca="false">IF(IFERROR(MATCH(47,$AB$40:$AB$133,0),0)=0,"",INDEX($AC$40:$AC$133,IFERROR(MATCH(47,$AB$40:$AB$133,0),0)))</f>
        <v>Confere</v>
      </c>
      <c r="K60" s="116" t="n">
        <f aca="false">IF(IFERROR(MATCH(47,$AB$40:$AB$133,0),0)=0,"",INDEX($AD$40:$AD$133,IFERROR(MATCH(47,$AB$40:$AB$133,0),0)))</f>
        <v>1</v>
      </c>
      <c r="L60" s="117" t="n">
        <f aca="false">IF(IFERROR(MATCH(47,$AB$40:$AB$133,0),0)=0,"",IF(INDEX($BB$40:$BB$133,IFERROR(MATCH(47,$AB$40:$AB$133,0),0))&gt;=99999,"",INDEX($BB$40:$BB$133,IFERROR(MATCH(47,$AB$40:$AB$133,0),0))))</f>
        <v>46275</v>
      </c>
      <c r="M60" s="117" t="n">
        <f aca="false">IF(IFERROR(MATCH(47,$AB$40:$AB$133,0),0)=0,"",IF(INDEX($BC$40:$BC$133,IFERROR(MATCH(47,$AB$40:$AB$133,0),0))=0,"",INDEX($BC$40:$BC$133,IFERROR(MATCH(47,$AB$40:$AB$133,0),0))))</f>
        <v>46275</v>
      </c>
      <c r="N60" s="118" t="str">
        <f aca="false">IF(IFERROR(MATCH(47,$AB$40:$AB$133,0),0)=0,"",INDEX($AE$40:$AE$133,IFERROR(MATCH(47,$AB$40:$AB$133,0),0))&amp;"")</f>
        <v>Sem diferença</v>
      </c>
      <c r="O60" s="119" t="str">
        <f aca="false">IF(IFERROR(MATCH(47,$AB$40:$AB$133,0),0)=0,"",INDEX($BD$40:$BD$133,IFERROR(MATCH(47,$AB$40:$AB$133,0),0))&amp;"")</f>
        <v>Nenhum ajuste necessário</v>
      </c>
      <c r="T60" s="82" t="s">
        <v>220</v>
      </c>
      <c r="U60" s="82" t="s">
        <v>65</v>
      </c>
      <c r="V60" s="82" t="n">
        <f aca="false">SUMIFS('3 Base Entrada 2008'!$G$2:$G$5000,'3 Base Entrada 2008'!$F$2:$F$5000,"&gt;="&amp;$F$5,'3 Base Entrada 2008'!$F$2:$F$5000,"&lt;="&amp;$H$5,'3 Base Entrada 2008'!$B$2:$B$5000,$T60,'3 Base Entrada 2008'!$C$2:$C$5000,$AG60,'3 Base Entrada 2008'!$K$2:$K$5000,"Recebido no 2008")</f>
        <v>0</v>
      </c>
      <c r="W60" s="82" t="n">
        <f aca="false">SUMIFS('3 Base Entrada 2008'!$L$2:$L$5000,'3 Base Entrada 2008'!$F$2:$F$5000,"&gt;="&amp;$F$5,'3 Base Entrada 2008'!$F$2:$F$5000,"&lt;="&amp;$H$5,'3 Base Entrada 2008'!$B$2:$B$5000,$T60,'3 Base Entrada 2008'!$C$2:$C$5000,$AG60)</f>
        <v>3612</v>
      </c>
      <c r="X60" s="82" t="n">
        <f aca="false">SUMIFS('3 Base Saídas'!$R$2:$R$5000,'3 Base Saídas'!$G$2:$G$5000,"&gt;="&amp;$F$5,'3 Base Saídas'!$G$2:$G$5000,"&lt;="&amp;$H$5,'3 Base Saídas'!$B$2:$B$5000,$T60,'3 Base Saídas'!$C$2:$C$5000,$AG60)</f>
        <v>80.4</v>
      </c>
      <c r="Y60" s="82" t="n">
        <f aca="false">SUMIFS('3 Base Estoque Físico'!$J$2:$J$5000,'3 Base Estoque Físico'!$A$2:$A$5000,$T60,'3 Base Estoque Físico'!$B$2:$B$5000,$AG60)</f>
        <v>3612</v>
      </c>
      <c r="Z60" s="82" t="n">
        <f aca="false">ROUND(Y60-(BH60+W60-X60),3)</f>
        <v>80.4</v>
      </c>
      <c r="AA60" s="82" t="n">
        <f aca="false">IF(AND(U60=$R$3,OR($R$1="*",T60=$R$1),OR($R$2="*",AG60=$R$2),OR($R$6="*",AC60=$R$6),ABS(V60)+ABS(W60)+ABS(X60)+ABS(Y60)&gt;0),1,0)</f>
        <v>1</v>
      </c>
      <c r="AB60" s="82" t="n">
        <f aca="false">IF(AA60=1,SUM(AA$40:AA60),"")</f>
        <v>18</v>
      </c>
      <c r="AC60" s="0" t="str">
        <f aca="false">IF(ABS(Z60)&lt;=$R$5,"Confere",IF(Z60&gt;0,"Sobrando","Faltando"))</f>
        <v>Sobrando</v>
      </c>
      <c r="AD60" s="82" t="n">
        <f aca="false">IF(OR($R$4="*",$R$4="Saída"),COUNTIFS('3 Base Saídas'!$G$2:$G$5000,"&gt;="&amp;$F$5,'3 Base Saídas'!$G$2:$G$5000,"&lt;="&amp;$H$5,'3 Base Saídas'!$B$2:$B$5000,$T60,'3 Base Saídas'!$C$2:$C$5000,$AG60),0)+IF($R$4&lt;&gt;"Saída",COUNTIFS('3 Base Entrada 2008'!$F$2:$F$5000,"&gt;="&amp;$F$5,'3 Base Entrada 2008'!$F$2:$F$5000,"&lt;="&amp;$H$5,'3 Base Entrada 2008'!$B$2:$B$5000,$T60,'3 Base Entrada 2008'!$C$2:$C$5000,$AG60,'3 Base Entrada 2008'!$K$2:$K$5000,$R$4),0)</f>
        <v>8</v>
      </c>
      <c r="AE60" s="0" t="str">
        <f aca="false">'5 Conciliação'!K34</f>
        <v>As saídas do período não baixaram o estoque físico</v>
      </c>
      <c r="AF60" s="82" t="n">
        <f aca="false">IF(AND(AA60=1,AC60&lt;&gt;"Confere"),ABS(Z60)+ROW()/10000000,0)</f>
        <v>80.400006</v>
      </c>
      <c r="AG60" s="82" t="s">
        <v>221</v>
      </c>
      <c r="AN60" s="82" t="s">
        <v>1773</v>
      </c>
      <c r="AO60" s="120" t="n">
        <v>46294</v>
      </c>
      <c r="AP60" s="82" t="n">
        <f aca="false">IF(AND(AO60&gt;=$F$5,AO60&lt;=$H$5,$R$4&lt;&gt;"Saída"),SUMIFS('3 Base Entrada 2008'!$L$2:$L$5000,'3 Base Entrada 2008'!$F$2:$F$5000,$AO60,'3 Base Entrada 2008'!$B$2:$B$5000,$R$1,'3 Base Entrada 2008'!$C$2:$C$5000,$R$2,'3 Base Entrada 2008'!$H$2:$H$5000,$R$3,'3 Base Entrada 2008'!$K$2:$K$5000,$R$4),0)</f>
        <v>15789.3</v>
      </c>
      <c r="AQ60" s="82" t="n">
        <f aca="false">IF(AND(AO60&gt;=$F$5,AO60&lt;=$H$5,OR($R$4="*",$R$4="Saída")),-SUMIFS('3 Base Saídas'!$R$2:$R$5000,'3 Base Saídas'!$G$2:$G$5000,$AO60,'3 Base Saídas'!$B$2:$B$5000,$R$1,'3 Base Saídas'!$C$2:$C$5000,$R$2,'3 Base Saídas'!$I$2:$I$5000,$R$3),0)</f>
        <v>-2433.6</v>
      </c>
      <c r="AR60" s="82" t="n">
        <f aca="false">SUM($AP$40:AP60)+SUM($AQ$40:AQ60)</f>
        <v>45093.78</v>
      </c>
      <c r="AV60" s="0" t="str">
        <f aca="false">IFERROR(INDEX($AX$1:$AX$94,MATCH(59,$AY$1:$AY$94,0)),"")</f>
        <v>261320202</v>
      </c>
      <c r="AW60" s="82" t="s">
        <v>271</v>
      </c>
      <c r="AX60" s="82" t="s">
        <v>273</v>
      </c>
      <c r="AY60" s="82" t="n">
        <f aca="false">IF(OR($A$5="Todos",AW60=$A$5),MAX(AY$1:AY59)+1,0)</f>
        <v>60</v>
      </c>
      <c r="BB60" s="82" t="n">
        <f aca="false">MIN(IF(_xlfn.MINIFS('3 Base Entrada 2008'!$F$2:$F$5000,'3 Base Entrada 2008'!$F$2:$F$5000,"&gt;="&amp;$F$5,'3 Base Entrada 2008'!$F$2:$F$5000,"&lt;="&amp;$H$5,'3 Base Entrada 2008'!$B$2:$B$5000,$T60,'3 Base Entrada 2008'!$C$2:$C$5000,$AG60)=0,99999,_xlfn.MINIFS('3 Base Entrada 2008'!$F$2:$F$5000,'3 Base Entrada 2008'!$F$2:$F$5000,"&gt;="&amp;$F$5,'3 Base Entrada 2008'!$F$2:$F$5000,"&lt;="&amp;$H$5,'3 Base Entrada 2008'!$B$2:$B$5000,$T60,'3 Base Entrada 2008'!$C$2:$C$5000,$AG60)),IF(_xlfn.MINIFS('3 Base Saídas'!$G$2:$G$5000,'3 Base Saídas'!$G$2:$G$5000,"&gt;="&amp;$F$5,'3 Base Saídas'!$G$2:$G$5000,"&lt;="&amp;$H$5,'3 Base Saídas'!$B$2:$B$5000,$T60,'3 Base Saídas'!$C$2:$C$5000,$AG60)=0,99999,_xlfn.MINIFS('3 Base Saídas'!$G$2:$G$5000,'3 Base Saídas'!$G$2:$G$5000,"&gt;="&amp;$F$5,'3 Base Saídas'!$G$2:$G$5000,"&lt;="&amp;$H$5,'3 Base Saídas'!$B$2:$B$5000,$T60,'3 Base Saídas'!$C$2:$C$5000,$AG60)))</f>
        <v>46277</v>
      </c>
      <c r="BC60" s="82" t="n">
        <f aca="false">MAX(_xlfn.MAXIFS('3 Base Entrada 2008'!$F$2:$F$5000,'3 Base Entrada 2008'!$F$2:$F$5000,"&gt;="&amp;$F$5,'3 Base Entrada 2008'!$F$2:$F$5000,"&lt;="&amp;$H$5,'3 Base Entrada 2008'!$B$2:$B$5000,$T60,'3 Base Entrada 2008'!$C$2:$C$5000,$AG60),_xlfn.MAXIFS('3 Base Saídas'!$G$2:$G$5000,'3 Base Saídas'!$G$2:$G$5000,"&gt;="&amp;$F$5,'3 Base Saídas'!$G$2:$G$5000,"&lt;="&amp;$H$5,'3 Base Saídas'!$B$2:$B$5000,$T60,'3 Base Saídas'!$C$2:$C$5000,$AG60))</f>
        <v>46294</v>
      </c>
      <c r="BD60" s="0" t="str">
        <f aca="false">'5 Conciliação'!L34</f>
        <v>Confirmar a OT de saída (picking) das remessas para baixar 1,119.6 KG do estoque físico; conferir também estoque antigo/doca</v>
      </c>
      <c r="BE60" s="0" t="str">
        <f aca="false">'5 Conciliação'!Q34</f>
        <v>Saída sem baixa no estoque</v>
      </c>
      <c r="BF60" s="0" t="str">
        <f aca="false">'5 Conciliação'!R34</f>
        <v>Baixa</v>
      </c>
      <c r="BH60" s="82" t="n">
        <f aca="false">SUMIFS('3 Base Saldo Inicial 08-09'!$E$2:$E$5000,'3 Base Saldo Inicial 08-09'!$A$2:$A$5000,$T60,'3 Base Saldo Inicial 08-09'!$B$2:$B$5000,$AG60)-SUMIFS('3 Base Saldo Inicial 08-09'!$E$2:$E$5000,'3 Base Saldo Inicial 08-09'!$A$2:$A$5000,$T60,'3 Base Saldo Inicial 08-09'!$B$2:$B$5000,$AG60,'3 Base Saldo Inicial 08-09'!$C$2:$C$5000,"2008")</f>
        <v>0</v>
      </c>
    </row>
    <row r="61" customFormat="false" ht="15" hidden="false" customHeight="false" outlineLevel="0" collapsed="false">
      <c r="A61" s="111" t="str">
        <f aca="false">IF(IFERROR(MATCH(48,$AB$40:$AB$133,0),0)=0,"",INDEX($T$40:$T$133,IFERROR(MATCH(48,$AB$40:$AB$133,0),0)))</f>
        <v>CHK-W-413</v>
      </c>
      <c r="B61" s="111" t="str">
        <f aca="false">IF(IFERROR(MATCH(48,$AB$40:$AB$133,0),0)=0,"",INDEX($AG$40:$AG$133,IFERROR(MATCH(48,$AB$40:$AB$133,0),0)))</f>
        <v>260536201</v>
      </c>
      <c r="C61" s="112" t="str">
        <f aca="false">IF(IFERROR(MATCH(48,$AB$40:$AB$133,0),0)=0,"",INDEX($U$40:$U$133,IFERROR(MATCH(48,$AB$40:$AB$133,0),0)))</f>
        <v>KG</v>
      </c>
      <c r="D61" s="113" t="n">
        <f aca="false">IF(IFERROR(MATCH(48,$AB$40:$AB$133,0),0)=0,"",INDEX($BH$40:$BH$133,IFERROR(MATCH(48,$AB$40:$AB$133,0),0)))</f>
        <v>0</v>
      </c>
      <c r="E61" s="113" t="n">
        <f aca="false">IF(IFERROR(MATCH(48,$AB$40:$AB$133,0),0)=0,"",INDEX($W$40:$W$133,IFERROR(MATCH(48,$AB$40:$AB$133,0),0)))</f>
        <v>0</v>
      </c>
      <c r="F61" s="113" t="n">
        <f aca="false">IF(IFERROR(MATCH(48,$AB$40:$AB$133,0),0)=0,"",INDEX($X$40:$X$133,IFERROR(MATCH(48,$AB$40:$AB$133,0),0)))</f>
        <v>0</v>
      </c>
      <c r="G61" s="113" t="n">
        <f aca="false">IF(A61="","",D61+E61-F61)</f>
        <v>0</v>
      </c>
      <c r="H61" s="113" t="n">
        <f aca="false">IF(IFERROR(MATCH(48,$AB$40:$AB$133,0),0)=0,"",INDEX($Y$40:$Y$133,IFERROR(MATCH(48,$AB$40:$AB$133,0),0)))</f>
        <v>0</v>
      </c>
      <c r="I61" s="114" t="n">
        <f aca="false">IF(IFERROR(MATCH(48,$AB$40:$AB$133,0),0)=0,"",INDEX($Z$40:$Z$133,IFERROR(MATCH(48,$AB$40:$AB$133,0),0)))</f>
        <v>0</v>
      </c>
      <c r="J61" s="115" t="str">
        <f aca="false">IF(IFERROR(MATCH(48,$AB$40:$AB$133,0),0)=0,"",INDEX($AC$40:$AC$133,IFERROR(MATCH(48,$AB$40:$AB$133,0),0)))</f>
        <v>Confere</v>
      </c>
      <c r="K61" s="116" t="n">
        <f aca="false">IF(IFERROR(MATCH(48,$AB$40:$AB$133,0),0)=0,"",INDEX($AD$40:$AD$133,IFERROR(MATCH(48,$AB$40:$AB$133,0),0)))</f>
        <v>1</v>
      </c>
      <c r="L61" s="117" t="n">
        <f aca="false">IF(IFERROR(MATCH(48,$AB$40:$AB$133,0),0)=0,"",IF(INDEX($BB$40:$BB$133,IFERROR(MATCH(48,$AB$40:$AB$133,0),0))&gt;=99999,"",INDEX($BB$40:$BB$133,IFERROR(MATCH(48,$AB$40:$AB$133,0),0))))</f>
        <v>46280</v>
      </c>
      <c r="M61" s="117" t="n">
        <f aca="false">IF(IFERROR(MATCH(48,$AB$40:$AB$133,0),0)=0,"",IF(INDEX($BC$40:$BC$133,IFERROR(MATCH(48,$AB$40:$AB$133,0),0))=0,"",INDEX($BC$40:$BC$133,IFERROR(MATCH(48,$AB$40:$AB$133,0),0))))</f>
        <v>46280</v>
      </c>
      <c r="N61" s="118" t="str">
        <f aca="false">IF(IFERROR(MATCH(48,$AB$40:$AB$133,0),0)=0,"",INDEX($AE$40:$AE$133,IFERROR(MATCH(48,$AB$40:$AB$133,0),0))&amp;"")</f>
        <v>Sem diferença</v>
      </c>
      <c r="O61" s="119" t="str">
        <f aca="false">IF(IFERROR(MATCH(48,$AB$40:$AB$133,0),0)=0,"",INDEX($BD$40:$BD$133,IFERROR(MATCH(48,$AB$40:$AB$133,0),0))&amp;"")</f>
        <v>Nenhum ajuste necessário</v>
      </c>
      <c r="T61" s="82" t="s">
        <v>250</v>
      </c>
      <c r="U61" s="82" t="s">
        <v>65</v>
      </c>
      <c r="V61" s="82" t="n">
        <f aca="false">SUMIFS('3 Base Entrada 2008'!$G$2:$G$5000,'3 Base Entrada 2008'!$F$2:$F$5000,"&gt;="&amp;$F$5,'3 Base Entrada 2008'!$F$2:$F$5000,"&lt;="&amp;$H$5,'3 Base Entrada 2008'!$B$2:$B$5000,$T61,'3 Base Entrada 2008'!$C$2:$C$5000,$AG61,'3 Base Entrada 2008'!$K$2:$K$5000,"Recebido no 2008")</f>
        <v>0</v>
      </c>
      <c r="W61" s="82" t="n">
        <f aca="false">SUMIFS('3 Base Entrada 2008'!$L$2:$L$5000,'3 Base Entrada 2008'!$F$2:$F$5000,"&gt;="&amp;$F$5,'3 Base Entrada 2008'!$F$2:$F$5000,"&lt;="&amp;$H$5,'3 Base Entrada 2008'!$B$2:$B$5000,$T61,'3 Base Entrada 2008'!$C$2:$C$5000,$AG61)</f>
        <v>806.4</v>
      </c>
      <c r="X61" s="82" t="n">
        <f aca="false">SUMIFS('3 Base Saídas'!$R$2:$R$5000,'3 Base Saídas'!$G$2:$G$5000,"&gt;="&amp;$F$5,'3 Base Saídas'!$G$2:$G$5000,"&lt;="&amp;$H$5,'3 Base Saídas'!$B$2:$B$5000,$T61,'3 Base Saídas'!$C$2:$C$5000,$AG61)</f>
        <v>53.2</v>
      </c>
      <c r="Y61" s="82" t="n">
        <f aca="false">SUMIFS('3 Base Estoque Físico'!$J$2:$J$5000,'3 Base Estoque Físico'!$A$2:$A$5000,$T61,'3 Base Estoque Físico'!$B$2:$B$5000,$AG61)</f>
        <v>825.999</v>
      </c>
      <c r="Z61" s="82" t="n">
        <f aca="false">ROUND(Y61-(BH61+W61-X61),3)</f>
        <v>72.799</v>
      </c>
      <c r="AA61" s="82" t="n">
        <f aca="false">IF(AND(U61=$R$3,OR($R$1="*",T61=$R$1),OR($R$2="*",AG61=$R$2),OR($R$6="*",AC61=$R$6),ABS(V61)+ABS(W61)+ABS(X61)+ABS(Y61)&gt;0),1,0)</f>
        <v>1</v>
      </c>
      <c r="AB61" s="82" t="n">
        <f aca="false">IF(AA61=1,SUM(AA$40:AA61),"")</f>
        <v>19</v>
      </c>
      <c r="AC61" s="0" t="str">
        <f aca="false">IF(ABS(Z61)&lt;=$R$5,"Confere",IF(Z61&gt;0,"Sobrando","Faltando"))</f>
        <v>Sobrando</v>
      </c>
      <c r="AD61" s="82" t="n">
        <f aca="false">IF(OR($R$4="*",$R$4="Saída"),COUNTIFS('3 Base Saídas'!$G$2:$G$5000,"&gt;="&amp;$F$5,'3 Base Saídas'!$G$2:$G$5000,"&lt;="&amp;$H$5,'3 Base Saídas'!$B$2:$B$5000,$T61,'3 Base Saídas'!$C$2:$C$5000,$AG61),0)+IF($R$4&lt;&gt;"Saída",COUNTIFS('3 Base Entrada 2008'!$F$2:$F$5000,"&gt;="&amp;$F$5,'3 Base Entrada 2008'!$F$2:$F$5000,"&lt;="&amp;$H$5,'3 Base Entrada 2008'!$B$2:$B$5000,$T61,'3 Base Entrada 2008'!$C$2:$C$5000,$AG61,'3 Base Entrada 2008'!$K$2:$K$5000,$R$4),0)</f>
        <v>7</v>
      </c>
      <c r="AE61" s="0" t="str">
        <f aca="false">'5 Conciliação'!K35</f>
        <v>Estoque antigo/doca + saídas do período que não baixaram o estoque físico</v>
      </c>
      <c r="AF61" s="82" t="n">
        <f aca="false">IF(AND(AA61=1,AC61&lt;&gt;"Confere"),ABS(Z61)+ROW()/10000000,0)</f>
        <v>72.7990061</v>
      </c>
      <c r="AG61" s="82" t="s">
        <v>251</v>
      </c>
      <c r="AN61" s="82" t="s">
        <v>1774</v>
      </c>
      <c r="AO61" s="120" t="n">
        <v>46295</v>
      </c>
      <c r="AP61" s="82" t="n">
        <f aca="false">IF(AND(AO61&gt;=$F$5,AO61&lt;=$H$5,$R$4&lt;&gt;"Saída"),SUMIFS('3 Base Entrada 2008'!$L$2:$L$5000,'3 Base Entrada 2008'!$F$2:$F$5000,$AO61,'3 Base Entrada 2008'!$B$2:$B$5000,$R$1,'3 Base Entrada 2008'!$C$2:$C$5000,$R$2,'3 Base Entrada 2008'!$H$2:$H$5000,$R$3,'3 Base Entrada 2008'!$K$2:$K$5000,$R$4),0)</f>
        <v>1021.1</v>
      </c>
      <c r="AQ61" s="82" t="n">
        <f aca="false">IF(AND(AO61&gt;=$F$5,AO61&lt;=$H$5,OR($R$4="*",$R$4="Saída")),-SUMIFS('3 Base Saídas'!$R$2:$R$5000,'3 Base Saídas'!$G$2:$G$5000,$AO61,'3 Base Saídas'!$B$2:$B$5000,$R$1,'3 Base Saídas'!$C$2:$C$5000,$R$2,'3 Base Saídas'!$I$2:$I$5000,$R$3),0)</f>
        <v>-5962.6</v>
      </c>
      <c r="AR61" s="82" t="n">
        <f aca="false">SUM($AP$40:AP61)+SUM($AQ$40:AQ61)</f>
        <v>40152.28</v>
      </c>
      <c r="AV61" s="0" t="str">
        <f aca="false">IFERROR(INDEX($AX$1:$AX$94,MATCH(60,$AY$1:$AY$94,0)),"")</f>
        <v>261320203</v>
      </c>
      <c r="AW61" s="82" t="s">
        <v>368</v>
      </c>
      <c r="AX61" s="82" t="s">
        <v>369</v>
      </c>
      <c r="AY61" s="82" t="n">
        <f aca="false">IF(OR($A$5="Todos",AW61=$A$5),MAX(AY$1:AY60)+1,0)</f>
        <v>61</v>
      </c>
      <c r="BB61" s="82" t="n">
        <f aca="false">MIN(IF(_xlfn.MINIFS('3 Base Entrada 2008'!$F$2:$F$5000,'3 Base Entrada 2008'!$F$2:$F$5000,"&gt;="&amp;$F$5,'3 Base Entrada 2008'!$F$2:$F$5000,"&lt;="&amp;$H$5,'3 Base Entrada 2008'!$B$2:$B$5000,$T61,'3 Base Entrada 2008'!$C$2:$C$5000,$AG61)=0,99999,_xlfn.MINIFS('3 Base Entrada 2008'!$F$2:$F$5000,'3 Base Entrada 2008'!$F$2:$F$5000,"&gt;="&amp;$F$5,'3 Base Entrada 2008'!$F$2:$F$5000,"&lt;="&amp;$H$5,'3 Base Entrada 2008'!$B$2:$B$5000,$T61,'3 Base Entrada 2008'!$C$2:$C$5000,$AG61)),IF(_xlfn.MINIFS('3 Base Saídas'!$G$2:$G$5000,'3 Base Saídas'!$G$2:$G$5000,"&gt;="&amp;$F$5,'3 Base Saídas'!$G$2:$G$5000,"&lt;="&amp;$H$5,'3 Base Saídas'!$B$2:$B$5000,$T61,'3 Base Saídas'!$C$2:$C$5000,$AG61)=0,99999,_xlfn.MINIFS('3 Base Saídas'!$G$2:$G$5000,'3 Base Saídas'!$G$2:$G$5000,"&gt;="&amp;$F$5,'3 Base Saídas'!$G$2:$G$5000,"&lt;="&amp;$H$5,'3 Base Saídas'!$B$2:$B$5000,$T61,'3 Base Saídas'!$C$2:$C$5000,$AG61)))</f>
        <v>46282</v>
      </c>
      <c r="BC61" s="82" t="n">
        <f aca="false">MAX(_xlfn.MAXIFS('3 Base Entrada 2008'!$F$2:$F$5000,'3 Base Entrada 2008'!$F$2:$F$5000,"&gt;="&amp;$F$5,'3 Base Entrada 2008'!$F$2:$F$5000,"&lt;="&amp;$H$5,'3 Base Entrada 2008'!$B$2:$B$5000,$T61,'3 Base Entrada 2008'!$C$2:$C$5000,$AG61),_xlfn.MAXIFS('3 Base Saídas'!$G$2:$G$5000,'3 Base Saídas'!$G$2:$G$5000,"&gt;="&amp;$F$5,'3 Base Saídas'!$G$2:$G$5000,"&lt;="&amp;$H$5,'3 Base Saídas'!$B$2:$B$5000,$T61,'3 Base Saídas'!$C$2:$C$5000,$AG61))</f>
        <v>46294</v>
      </c>
      <c r="BD61" s="0" t="str">
        <f aca="false">'5 Conciliação'!L35</f>
        <v>Confirmar a OT de saída (picking) das remessas para baixar 53.2 KG do estoque físico; conferir também estoque antigo/doca</v>
      </c>
      <c r="BE61" s="0" t="str">
        <f aca="false">'5 Conciliação'!Q35</f>
        <v>Saída sem baixa no estoque</v>
      </c>
      <c r="BF61" s="0" t="str">
        <f aca="false">'5 Conciliação'!R35</f>
        <v>Baixa</v>
      </c>
      <c r="BH61" s="82" t="n">
        <f aca="false">SUMIFS('3 Base Saldo Inicial 08-09'!$E$2:$E$5000,'3 Base Saldo Inicial 08-09'!$A$2:$A$5000,$T61,'3 Base Saldo Inicial 08-09'!$B$2:$B$5000,$AG61)-SUMIFS('3 Base Saldo Inicial 08-09'!$E$2:$E$5000,'3 Base Saldo Inicial 08-09'!$A$2:$A$5000,$T61,'3 Base Saldo Inicial 08-09'!$B$2:$B$5000,$AG61,'3 Base Saldo Inicial 08-09'!$C$2:$C$5000,"2008")</f>
        <v>0</v>
      </c>
    </row>
    <row r="62" customFormat="false" ht="15" hidden="false" customHeight="false" outlineLevel="0" collapsed="false">
      <c r="A62" s="111" t="str">
        <f aca="false">IF(IFERROR(MATCH(49,$AB$40:$AB$133,0),0)=0,"",INDEX($T$40:$T$133,IFERROR(MATCH(49,$AB$40:$AB$133,0),0)))</f>
        <v>CHM-Q41ALUN-2B-U73</v>
      </c>
      <c r="B62" s="111" t="str">
        <f aca="false">IF(IFERROR(MATCH(49,$AB$40:$AB$133,0),0)=0,"",INDEX($AG$40:$AG$133,IFERROR(MATCH(49,$AB$40:$AB$133,0),0)))</f>
        <v>260660303</v>
      </c>
      <c r="C62" s="112" t="str">
        <f aca="false">IF(IFERROR(MATCH(49,$AB$40:$AB$133,0),0)=0,"",INDEX($U$40:$U$133,IFERROR(MATCH(49,$AB$40:$AB$133,0),0)))</f>
        <v>KG</v>
      </c>
      <c r="D62" s="113" t="n">
        <f aca="false">IF(IFERROR(MATCH(49,$AB$40:$AB$133,0),0)=0,"",INDEX($BH$40:$BH$133,IFERROR(MATCH(49,$AB$40:$AB$133,0),0)))</f>
        <v>0</v>
      </c>
      <c r="E62" s="113" t="n">
        <f aca="false">IF(IFERROR(MATCH(49,$AB$40:$AB$133,0),0)=0,"",INDEX($W$40:$W$133,IFERROR(MATCH(49,$AB$40:$AB$133,0),0)))</f>
        <v>0</v>
      </c>
      <c r="F62" s="113" t="n">
        <f aca="false">IF(IFERROR(MATCH(49,$AB$40:$AB$133,0),0)=0,"",INDEX($X$40:$X$133,IFERROR(MATCH(49,$AB$40:$AB$133,0),0)))</f>
        <v>0</v>
      </c>
      <c r="G62" s="113" t="n">
        <f aca="false">IF(A62="","",D62+E62-F62)</f>
        <v>0</v>
      </c>
      <c r="H62" s="113" t="n">
        <f aca="false">IF(IFERROR(MATCH(49,$AB$40:$AB$133,0),0)=0,"",INDEX($Y$40:$Y$133,IFERROR(MATCH(49,$AB$40:$AB$133,0),0)))</f>
        <v>0</v>
      </c>
      <c r="I62" s="114" t="n">
        <f aca="false">IF(IFERROR(MATCH(49,$AB$40:$AB$133,0),0)=0,"",INDEX($Z$40:$Z$133,IFERROR(MATCH(49,$AB$40:$AB$133,0),0)))</f>
        <v>0</v>
      </c>
      <c r="J62" s="115" t="str">
        <f aca="false">IF(IFERROR(MATCH(49,$AB$40:$AB$133,0),0)=0,"",INDEX($AC$40:$AC$133,IFERROR(MATCH(49,$AB$40:$AB$133,0),0)))</f>
        <v>Confere</v>
      </c>
      <c r="K62" s="116" t="n">
        <f aca="false">IF(IFERROR(MATCH(49,$AB$40:$AB$133,0),0)=0,"",INDEX($AD$40:$AD$133,IFERROR(MATCH(49,$AB$40:$AB$133,0),0)))</f>
        <v>1</v>
      </c>
      <c r="L62" s="117" t="n">
        <f aca="false">IF(IFERROR(MATCH(49,$AB$40:$AB$133,0),0)=0,"",IF(INDEX($BB$40:$BB$133,IFERROR(MATCH(49,$AB$40:$AB$133,0),0))&gt;=99999,"",INDEX($BB$40:$BB$133,IFERROR(MATCH(49,$AB$40:$AB$133,0),0))))</f>
        <v>46275</v>
      </c>
      <c r="M62" s="117" t="n">
        <f aca="false">IF(IFERROR(MATCH(49,$AB$40:$AB$133,0),0)=0,"",IF(INDEX($BC$40:$BC$133,IFERROR(MATCH(49,$AB$40:$AB$133,0),0))=0,"",INDEX($BC$40:$BC$133,IFERROR(MATCH(49,$AB$40:$AB$133,0),0))))</f>
        <v>46275</v>
      </c>
      <c r="N62" s="118" t="str">
        <f aca="false">IF(IFERROR(MATCH(49,$AB$40:$AB$133,0),0)=0,"",INDEX($AE$40:$AE$133,IFERROR(MATCH(49,$AB$40:$AB$133,0),0))&amp;"")</f>
        <v>Sem diferença</v>
      </c>
      <c r="O62" s="119" t="str">
        <f aca="false">IF(IFERROR(MATCH(49,$AB$40:$AB$133,0),0)=0,"",INDEX($BD$40:$BD$133,IFERROR(MATCH(49,$AB$40:$AB$133,0),0))&amp;"")</f>
        <v>Nenhum ajuste necessário</v>
      </c>
      <c r="T62" s="82" t="s">
        <v>232</v>
      </c>
      <c r="U62" s="82" t="s">
        <v>146</v>
      </c>
      <c r="V62" s="82" t="n">
        <f aca="false">SUMIFS('3 Base Entrada 2008'!$G$2:$G$5000,'3 Base Entrada 2008'!$F$2:$F$5000,"&gt;="&amp;$F$5,'3 Base Entrada 2008'!$F$2:$F$5000,"&lt;="&amp;$H$5,'3 Base Entrada 2008'!$B$2:$B$5000,$T62,'3 Base Entrada 2008'!$C$2:$C$5000,$AG62,'3 Base Entrada 2008'!$K$2:$K$5000,"Recebido no 2008")</f>
        <v>0</v>
      </c>
      <c r="W62" s="82" t="n">
        <f aca="false">SUMIFS('3 Base Entrada 2008'!$L$2:$L$5000,'3 Base Entrada 2008'!$F$2:$F$5000,"&gt;="&amp;$F$5,'3 Base Entrada 2008'!$F$2:$F$5000,"&lt;="&amp;$H$5,'3 Base Entrada 2008'!$B$2:$B$5000,$T62,'3 Base Entrada 2008'!$C$2:$C$5000,$AG62)</f>
        <v>450</v>
      </c>
      <c r="X62" s="82" t="n">
        <f aca="false">SUMIFS('3 Base Saídas'!$R$2:$R$5000,'3 Base Saídas'!$G$2:$G$5000,"&gt;="&amp;$F$5,'3 Base Saídas'!$G$2:$G$5000,"&lt;="&amp;$H$5,'3 Base Saídas'!$B$2:$B$5000,$T62,'3 Base Saídas'!$C$2:$C$5000,$AG62)</f>
        <v>510</v>
      </c>
      <c r="Y62" s="82" t="n">
        <f aca="false">SUMIFS('3 Base Estoque Físico'!$J$2:$J$5000,'3 Base Estoque Físico'!$A$2:$A$5000,$T62,'3 Base Estoque Físico'!$B$2:$B$5000,$AG62)</f>
        <v>0</v>
      </c>
      <c r="Z62" s="82" t="n">
        <f aca="false">ROUND(Y62-(BH62+W62-X62),3)</f>
        <v>60</v>
      </c>
      <c r="AA62" s="82" t="n">
        <f aca="false">IF(AND(U62=$R$3,OR($R$1="*",T62=$R$1),OR($R$2="*",AG62=$R$2),OR($R$6="*",AC62=$R$6),ABS(V62)+ABS(W62)+ABS(X62)+ABS(Y62)&gt;0),1,0)</f>
        <v>0</v>
      </c>
      <c r="AB62" s="0" t="str">
        <f aca="false">IF(AA62=1,SUM(AA$40:AA62),"")</f>
        <v/>
      </c>
      <c r="AC62" s="0" t="str">
        <f aca="false">IF(ABS(Z62)&lt;=$R$5,"Confere",IF(Z62&gt;0,"Sobrando","Faltando"))</f>
        <v>Sobrando</v>
      </c>
      <c r="AD62" s="82" t="n">
        <f aca="false">IF(OR($R$4="*",$R$4="Saída"),COUNTIFS('3 Base Saídas'!$G$2:$G$5000,"&gt;="&amp;$F$5,'3 Base Saídas'!$G$2:$G$5000,"&lt;="&amp;$H$5,'3 Base Saídas'!$B$2:$B$5000,$T62,'3 Base Saídas'!$C$2:$C$5000,$AG62),0)+IF($R$4&lt;&gt;"Saída",COUNTIFS('3 Base Entrada 2008'!$F$2:$F$5000,"&gt;="&amp;$F$5,'3 Base Entrada 2008'!$F$2:$F$5000,"&lt;="&amp;$H$5,'3 Base Entrada 2008'!$B$2:$B$5000,$T62,'3 Base Entrada 2008'!$C$2:$C$5000,$AG62,'3 Base Entrada 2008'!$K$2:$K$5000,$R$4),0)</f>
        <v>16</v>
      </c>
      <c r="AE62" s="0" t="str">
        <f aca="false">'5 Conciliação'!K36</f>
        <v>Saídas pelo depósito 0355 que não baixaram o estoque físico</v>
      </c>
      <c r="AF62" s="82" t="n">
        <f aca="false">IF(AND(AA62=1,AC62&lt;&gt;"Confere"),ABS(Z62)+ROW()/10000000,0)</f>
        <v>0</v>
      </c>
      <c r="AG62" s="82" t="s">
        <v>241</v>
      </c>
      <c r="AN62" s="82" t="s">
        <v>1775</v>
      </c>
      <c r="AO62" s="120" t="n">
        <v>46296</v>
      </c>
      <c r="AP62" s="82" t="n">
        <f aca="false">IF(AND(AO62&gt;=$F$5,AO62&lt;=$H$5,$R$4&lt;&gt;"Saída"),SUMIFS('3 Base Entrada 2008'!$L$2:$L$5000,'3 Base Entrada 2008'!$F$2:$F$5000,$AO62,'3 Base Entrada 2008'!$B$2:$B$5000,$R$1,'3 Base Entrada 2008'!$C$2:$C$5000,$R$2,'3 Base Entrada 2008'!$H$2:$H$5000,$R$3,'3 Base Entrada 2008'!$K$2:$K$5000,$R$4),0)</f>
        <v>0</v>
      </c>
      <c r="AQ62" s="82" t="n">
        <f aca="false">IF(AND(AO62&gt;=$F$5,AO62&lt;=$H$5,OR($R$4="*",$R$4="Saída")),-SUMIFS('3 Base Saídas'!$R$2:$R$5000,'3 Base Saídas'!$G$2:$G$5000,$AO62,'3 Base Saídas'!$B$2:$B$5000,$R$1,'3 Base Saídas'!$C$2:$C$5000,$R$2,'3 Base Saídas'!$I$2:$I$5000,$R$3),0)</f>
        <v>-490.8</v>
      </c>
      <c r="AR62" s="82" t="n">
        <f aca="false">SUM($AP$40:AP62)+SUM($AQ$40:AQ62)</f>
        <v>39661.48</v>
      </c>
      <c r="AV62" s="0" t="str">
        <f aca="false">IFERROR(INDEX($AX$1:$AX$94,MATCH(61,$AY$1:$AY$94,0)),"")</f>
        <v>261301539</v>
      </c>
      <c r="AW62" s="82" t="s">
        <v>276</v>
      </c>
      <c r="AX62" s="82" t="s">
        <v>277</v>
      </c>
      <c r="AY62" s="82" t="n">
        <f aca="false">IF(OR($A$5="Todos",AW62=$A$5),MAX(AY$1:AY61)+1,0)</f>
        <v>62</v>
      </c>
      <c r="BB62" s="82" t="n">
        <f aca="false">MIN(IF(_xlfn.MINIFS('3 Base Entrada 2008'!$F$2:$F$5000,'3 Base Entrada 2008'!$F$2:$F$5000,"&gt;="&amp;$F$5,'3 Base Entrada 2008'!$F$2:$F$5000,"&lt;="&amp;$H$5,'3 Base Entrada 2008'!$B$2:$B$5000,$T62,'3 Base Entrada 2008'!$C$2:$C$5000,$AG62)=0,99999,_xlfn.MINIFS('3 Base Entrada 2008'!$F$2:$F$5000,'3 Base Entrada 2008'!$F$2:$F$5000,"&gt;="&amp;$F$5,'3 Base Entrada 2008'!$F$2:$F$5000,"&lt;="&amp;$H$5,'3 Base Entrada 2008'!$B$2:$B$5000,$T62,'3 Base Entrada 2008'!$C$2:$C$5000,$AG62)),IF(_xlfn.MINIFS('3 Base Saídas'!$G$2:$G$5000,'3 Base Saídas'!$G$2:$G$5000,"&gt;="&amp;$F$5,'3 Base Saídas'!$G$2:$G$5000,"&lt;="&amp;$H$5,'3 Base Saídas'!$B$2:$B$5000,$T62,'3 Base Saídas'!$C$2:$C$5000,$AG62)=0,99999,_xlfn.MINIFS('3 Base Saídas'!$G$2:$G$5000,'3 Base Saídas'!$G$2:$G$5000,"&gt;="&amp;$F$5,'3 Base Saídas'!$G$2:$G$5000,"&lt;="&amp;$H$5,'3 Base Saídas'!$B$2:$B$5000,$T62,'3 Base Saídas'!$C$2:$C$5000,$AG62)))</f>
        <v>46280</v>
      </c>
      <c r="BC62" s="82" t="n">
        <f aca="false">MAX(_xlfn.MAXIFS('3 Base Entrada 2008'!$F$2:$F$5000,'3 Base Entrada 2008'!$F$2:$F$5000,"&gt;="&amp;$F$5,'3 Base Entrada 2008'!$F$2:$F$5000,"&lt;="&amp;$H$5,'3 Base Entrada 2008'!$B$2:$B$5000,$T62,'3 Base Entrada 2008'!$C$2:$C$5000,$AG62),_xlfn.MAXIFS('3 Base Saídas'!$G$2:$G$5000,'3 Base Saídas'!$G$2:$G$5000,"&gt;="&amp;$F$5,'3 Base Saídas'!$G$2:$G$5000,"&lt;="&amp;$H$5,'3 Base Saídas'!$B$2:$B$5000,$T62,'3 Base Saídas'!$C$2:$C$5000,$AG62))</f>
        <v>46295</v>
      </c>
      <c r="BD62" s="0" t="str">
        <f aca="false">'5 Conciliação'!L36</f>
        <v>Confirmar a OT de saída (picking) das remessas para baixar 60.0 UN do estoque físico</v>
      </c>
      <c r="BE62" s="0" t="str">
        <f aca="false">'5 Conciliação'!Q36</f>
        <v>Saída sem baixa no estoque</v>
      </c>
      <c r="BF62" s="0" t="str">
        <f aca="false">'5 Conciliação'!R36</f>
        <v>Baixa</v>
      </c>
      <c r="BH62" s="82" t="n">
        <f aca="false">SUMIFS('3 Base Saldo Inicial 08-09'!$E$2:$E$5000,'3 Base Saldo Inicial 08-09'!$A$2:$A$5000,$T62,'3 Base Saldo Inicial 08-09'!$B$2:$B$5000,$AG62)-SUMIFS('3 Base Saldo Inicial 08-09'!$E$2:$E$5000,'3 Base Saldo Inicial 08-09'!$A$2:$A$5000,$T62,'3 Base Saldo Inicial 08-09'!$B$2:$B$5000,$AG62,'3 Base Saldo Inicial 08-09'!$C$2:$C$5000,"2008")</f>
        <v>0</v>
      </c>
    </row>
    <row r="63" customFormat="false" ht="15" hidden="false" customHeight="false" outlineLevel="0" collapsed="false">
      <c r="A63" s="111" t="str">
        <f aca="false">IF(IFERROR(MATCH(50,$AB$40:$AB$133,0),0)=0,"",INDEX($T$40:$T$133,IFERROR(MATCH(50,$AB$40:$AB$133,0),0)))</f>
        <v>CHM-SP-Z3L-BR-U73</v>
      </c>
      <c r="B63" s="111" t="str">
        <f aca="false">IF(IFERROR(MATCH(50,$AB$40:$AB$133,0),0)=0,"",INDEX($AG$40:$AG$133,IFERROR(MATCH(50,$AB$40:$AB$133,0),0)))</f>
        <v>250880301</v>
      </c>
      <c r="C63" s="112" t="str">
        <f aca="false">IF(IFERROR(MATCH(50,$AB$40:$AB$133,0),0)=0,"",INDEX($U$40:$U$133,IFERROR(MATCH(50,$AB$40:$AB$133,0),0)))</f>
        <v>KG</v>
      </c>
      <c r="D63" s="113" t="n">
        <f aca="false">IF(IFERROR(MATCH(50,$AB$40:$AB$133,0),0)=0,"",INDEX($BH$40:$BH$133,IFERROR(MATCH(50,$AB$40:$AB$133,0),0)))</f>
        <v>0</v>
      </c>
      <c r="E63" s="113" t="n">
        <f aca="false">IF(IFERROR(MATCH(50,$AB$40:$AB$133,0),0)=0,"",INDEX($W$40:$W$133,IFERROR(MATCH(50,$AB$40:$AB$133,0),0)))</f>
        <v>288</v>
      </c>
      <c r="F63" s="113" t="n">
        <f aca="false">IF(IFERROR(MATCH(50,$AB$40:$AB$133,0),0)=0,"",INDEX($X$40:$X$133,IFERROR(MATCH(50,$AB$40:$AB$133,0),0)))</f>
        <v>0</v>
      </c>
      <c r="G63" s="113" t="n">
        <f aca="false">IF(A63="","",D63+E63-F63)</f>
        <v>288</v>
      </c>
      <c r="H63" s="113" t="n">
        <f aca="false">IF(IFERROR(MATCH(50,$AB$40:$AB$133,0),0)=0,"",INDEX($Y$40:$Y$133,IFERROR(MATCH(50,$AB$40:$AB$133,0),0)))</f>
        <v>288</v>
      </c>
      <c r="I63" s="114" t="n">
        <f aca="false">IF(IFERROR(MATCH(50,$AB$40:$AB$133,0),0)=0,"",INDEX($Z$40:$Z$133,IFERROR(MATCH(50,$AB$40:$AB$133,0),0)))</f>
        <v>0</v>
      </c>
      <c r="J63" s="115" t="str">
        <f aca="false">IF(IFERROR(MATCH(50,$AB$40:$AB$133,0),0)=0,"",INDEX($AC$40:$AC$133,IFERROR(MATCH(50,$AB$40:$AB$133,0),0)))</f>
        <v>Confere</v>
      </c>
      <c r="K63" s="116" t="n">
        <f aca="false">IF(IFERROR(MATCH(50,$AB$40:$AB$133,0),0)=0,"",INDEX($AD$40:$AD$133,IFERROR(MATCH(50,$AB$40:$AB$133,0),0)))</f>
        <v>1</v>
      </c>
      <c r="L63" s="117" t="n">
        <f aca="false">IF(IFERROR(MATCH(50,$AB$40:$AB$133,0),0)=0,"",IF(INDEX($BB$40:$BB$133,IFERROR(MATCH(50,$AB$40:$AB$133,0),0))&gt;=99999,"",INDEX($BB$40:$BB$133,IFERROR(MATCH(50,$AB$40:$AB$133,0),0))))</f>
        <v>46291</v>
      </c>
      <c r="M63" s="117" t="n">
        <f aca="false">IF(IFERROR(MATCH(50,$AB$40:$AB$133,0),0)=0,"",IF(INDEX($BC$40:$BC$133,IFERROR(MATCH(50,$AB$40:$AB$133,0),0))=0,"",INDEX($BC$40:$BC$133,IFERROR(MATCH(50,$AB$40:$AB$133,0),0))))</f>
        <v>46291</v>
      </c>
      <c r="N63" s="118" t="str">
        <f aca="false">IF(IFERROR(MATCH(50,$AB$40:$AB$133,0),0)=0,"",INDEX($AE$40:$AE$133,IFERROR(MATCH(50,$AB$40:$AB$133,0),0))&amp;"")</f>
        <v>Sem diferença</v>
      </c>
      <c r="O63" s="119" t="str">
        <f aca="false">IF(IFERROR(MATCH(50,$AB$40:$AB$133,0),0)=0,"",INDEX($BD$40:$BD$133,IFERROR(MATCH(50,$AB$40:$AB$133,0),0))&amp;"")</f>
        <v>Nenhum ajuste necessário</v>
      </c>
      <c r="T63" s="82" t="s">
        <v>354</v>
      </c>
      <c r="U63" s="82" t="s">
        <v>65</v>
      </c>
      <c r="V63" s="82" t="n">
        <f aca="false">SUMIFS('3 Base Entrada 2008'!$G$2:$G$5000,'3 Base Entrada 2008'!$F$2:$F$5000,"&gt;="&amp;$F$5,'3 Base Entrada 2008'!$F$2:$F$5000,"&lt;="&amp;$H$5,'3 Base Entrada 2008'!$B$2:$B$5000,$T63,'3 Base Entrada 2008'!$C$2:$C$5000,$AG63,'3 Base Entrada 2008'!$K$2:$K$5000,"Recebido no 2008")</f>
        <v>0</v>
      </c>
      <c r="W63" s="82" t="n">
        <f aca="false">SUMIFS('3 Base Entrada 2008'!$L$2:$L$5000,'3 Base Entrada 2008'!$F$2:$F$5000,"&gt;="&amp;$F$5,'3 Base Entrada 2008'!$F$2:$F$5000,"&lt;="&amp;$H$5,'3 Base Entrada 2008'!$B$2:$B$5000,$T63,'3 Base Entrada 2008'!$C$2:$C$5000,$AG63)</f>
        <v>10</v>
      </c>
      <c r="X63" s="82" t="n">
        <f aca="false">SUMIFS('3 Base Saídas'!$R$2:$R$5000,'3 Base Saídas'!$G$2:$G$5000,"&gt;="&amp;$F$5,'3 Base Saídas'!$G$2:$G$5000,"&lt;="&amp;$H$5,'3 Base Saídas'!$B$2:$B$5000,$T63,'3 Base Saídas'!$C$2:$C$5000,$AG63)</f>
        <v>60</v>
      </c>
      <c r="Y63" s="82" t="n">
        <f aca="false">SUMIFS('3 Base Estoque Físico'!$J$2:$J$5000,'3 Base Estoque Físico'!$A$2:$A$5000,$T63,'3 Base Estoque Físico'!$B$2:$B$5000,$AG63)</f>
        <v>10</v>
      </c>
      <c r="Z63" s="82" t="n">
        <f aca="false">ROUND(Y63-(BH63+W63-X63),3)</f>
        <v>60</v>
      </c>
      <c r="AA63" s="82" t="n">
        <f aca="false">IF(AND(U63=$R$3,OR($R$1="*",T63=$R$1),OR($R$2="*",AG63=$R$2),OR($R$6="*",AC63=$R$6),ABS(V63)+ABS(W63)+ABS(X63)+ABS(Y63)&gt;0),1,0)</f>
        <v>1</v>
      </c>
      <c r="AB63" s="82" t="n">
        <f aca="false">IF(AA63=1,SUM(AA$40:AA63),"")</f>
        <v>20</v>
      </c>
      <c r="AC63" s="0" t="str">
        <f aca="false">IF(ABS(Z63)&lt;=$R$5,"Confere",IF(Z63&gt;0,"Sobrando","Faltando"))</f>
        <v>Sobrando</v>
      </c>
      <c r="AD63" s="82" t="n">
        <f aca="false">IF(OR($R$4="*",$R$4="Saída"),COUNTIFS('3 Base Saídas'!$G$2:$G$5000,"&gt;="&amp;$F$5,'3 Base Saídas'!$G$2:$G$5000,"&lt;="&amp;$H$5,'3 Base Saídas'!$B$2:$B$5000,$T63,'3 Base Saídas'!$C$2:$C$5000,$AG63),0)+IF($R$4&lt;&gt;"Saída",COUNTIFS('3 Base Entrada 2008'!$F$2:$F$5000,"&gt;="&amp;$F$5,'3 Base Entrada 2008'!$F$2:$F$5000,"&lt;="&amp;$H$5,'3 Base Entrada 2008'!$B$2:$B$5000,$T63,'3 Base Entrada 2008'!$C$2:$C$5000,$AG63,'3 Base Entrada 2008'!$K$2:$K$5000,$R$4),0)</f>
        <v>3</v>
      </c>
      <c r="AE63" s="0" t="str">
        <f aca="false">'5 Conciliação'!K37</f>
        <v>As saídas do período não baixaram o estoque físico</v>
      </c>
      <c r="AF63" s="82" t="n">
        <f aca="false">IF(AND(AA63=1,AC63&lt;&gt;"Confere"),ABS(Z63)+ROW()/10000000,0)</f>
        <v>60.0000063</v>
      </c>
      <c r="AG63" s="82" t="s">
        <v>355</v>
      </c>
      <c r="AV63" s="0" t="str">
        <f aca="false">IFERROR(INDEX($AX$1:$AX$94,MATCH(62,$AY$1:$AY$94,0)),"")</f>
        <v>252350301</v>
      </c>
      <c r="AW63" s="82" t="s">
        <v>276</v>
      </c>
      <c r="AX63" s="82" t="s">
        <v>371</v>
      </c>
      <c r="AY63" s="82" t="n">
        <f aca="false">IF(OR($A$5="Todos",AW63=$A$5),MAX(AY$1:AY62)+1,0)</f>
        <v>63</v>
      </c>
      <c r="BB63" s="82" t="n">
        <f aca="false">MIN(IF(_xlfn.MINIFS('3 Base Entrada 2008'!$F$2:$F$5000,'3 Base Entrada 2008'!$F$2:$F$5000,"&gt;="&amp;$F$5,'3 Base Entrada 2008'!$F$2:$F$5000,"&lt;="&amp;$H$5,'3 Base Entrada 2008'!$B$2:$B$5000,$T63,'3 Base Entrada 2008'!$C$2:$C$5000,$AG63)=0,99999,_xlfn.MINIFS('3 Base Entrada 2008'!$F$2:$F$5000,'3 Base Entrada 2008'!$F$2:$F$5000,"&gt;="&amp;$F$5,'3 Base Entrada 2008'!$F$2:$F$5000,"&lt;="&amp;$H$5,'3 Base Entrada 2008'!$B$2:$B$5000,$T63,'3 Base Entrada 2008'!$C$2:$C$5000,$AG63)),IF(_xlfn.MINIFS('3 Base Saídas'!$G$2:$G$5000,'3 Base Saídas'!$G$2:$G$5000,"&gt;="&amp;$F$5,'3 Base Saídas'!$G$2:$G$5000,"&lt;="&amp;$H$5,'3 Base Saídas'!$B$2:$B$5000,$T63,'3 Base Saídas'!$C$2:$C$5000,$AG63)=0,99999,_xlfn.MINIFS('3 Base Saídas'!$G$2:$G$5000,'3 Base Saídas'!$G$2:$G$5000,"&gt;="&amp;$F$5,'3 Base Saídas'!$G$2:$G$5000,"&lt;="&amp;$H$5,'3 Base Saídas'!$B$2:$B$5000,$T63,'3 Base Saídas'!$C$2:$C$5000,$AG63)))</f>
        <v>46291</v>
      </c>
      <c r="BC63" s="82" t="n">
        <f aca="false">MAX(_xlfn.MAXIFS('3 Base Entrada 2008'!$F$2:$F$5000,'3 Base Entrada 2008'!$F$2:$F$5000,"&gt;="&amp;$F$5,'3 Base Entrada 2008'!$F$2:$F$5000,"&lt;="&amp;$H$5,'3 Base Entrada 2008'!$B$2:$B$5000,$T63,'3 Base Entrada 2008'!$C$2:$C$5000,$AG63),_xlfn.MAXIFS('3 Base Saídas'!$G$2:$G$5000,'3 Base Saídas'!$G$2:$G$5000,"&gt;="&amp;$F$5,'3 Base Saídas'!$G$2:$G$5000,"&lt;="&amp;$H$5,'3 Base Saídas'!$B$2:$B$5000,$T63,'3 Base Saídas'!$C$2:$C$5000,$AG63))</f>
        <v>46295</v>
      </c>
      <c r="BD63" s="0" t="str">
        <f aca="false">'5 Conciliação'!L37</f>
        <v>Confirmar a OT de saída (picking) das remessas para baixar 50.0 KG do estoque físico; conferir também estoque antigo/doca</v>
      </c>
      <c r="BE63" s="0" t="str">
        <f aca="false">'5 Conciliação'!Q37</f>
        <v>Saída sem baixa no estoque</v>
      </c>
      <c r="BF63" s="0" t="str">
        <f aca="false">'5 Conciliação'!R37</f>
        <v>Baixa</v>
      </c>
      <c r="BH63" s="82" t="n">
        <f aca="false">SUMIFS('3 Base Saldo Inicial 08-09'!$E$2:$E$5000,'3 Base Saldo Inicial 08-09'!$A$2:$A$5000,$T63,'3 Base Saldo Inicial 08-09'!$B$2:$B$5000,$AG63)-SUMIFS('3 Base Saldo Inicial 08-09'!$E$2:$E$5000,'3 Base Saldo Inicial 08-09'!$A$2:$A$5000,$T63,'3 Base Saldo Inicial 08-09'!$B$2:$B$5000,$AG63,'3 Base Saldo Inicial 08-09'!$C$2:$C$5000,"2008")</f>
        <v>0</v>
      </c>
    </row>
    <row r="64" customFormat="false" ht="15" hidden="false" customHeight="false" outlineLevel="0" collapsed="false">
      <c r="A64" s="111" t="str">
        <f aca="false">IF(IFERROR(MATCH(51,$AB$40:$AB$133,0),0)=0,"",INDEX($T$40:$T$133,IFERROR(MATCH(51,$AB$40:$AB$133,0),0)))</f>
        <v>CHM-SP-Z3L-E0-U72</v>
      </c>
      <c r="B64" s="111" t="str">
        <f aca="false">IF(IFERROR(MATCH(51,$AB$40:$AB$133,0),0)=0,"",INDEX($AG$40:$AG$133,IFERROR(MATCH(51,$AB$40:$AB$133,0),0)))</f>
        <v>253100102</v>
      </c>
      <c r="C64" s="112" t="str">
        <f aca="false">IF(IFERROR(MATCH(51,$AB$40:$AB$133,0),0)=0,"",INDEX($U$40:$U$133,IFERROR(MATCH(51,$AB$40:$AB$133,0),0)))</f>
        <v>KG</v>
      </c>
      <c r="D64" s="113" t="n">
        <f aca="false">IF(IFERROR(MATCH(51,$AB$40:$AB$133,0),0)=0,"",INDEX($BH$40:$BH$133,IFERROR(MATCH(51,$AB$40:$AB$133,0),0)))</f>
        <v>0</v>
      </c>
      <c r="E64" s="113" t="n">
        <f aca="false">IF(IFERROR(MATCH(51,$AB$40:$AB$133,0),0)=0,"",INDEX($W$40:$W$133,IFERROR(MATCH(51,$AB$40:$AB$133,0),0)))</f>
        <v>0</v>
      </c>
      <c r="F64" s="113" t="n">
        <f aca="false">IF(IFERROR(MATCH(51,$AB$40:$AB$133,0),0)=0,"",INDEX($X$40:$X$133,IFERROR(MATCH(51,$AB$40:$AB$133,0),0)))</f>
        <v>0</v>
      </c>
      <c r="G64" s="113" t="n">
        <f aca="false">IF(A64="","",D64+E64-F64)</f>
        <v>0</v>
      </c>
      <c r="H64" s="113" t="n">
        <f aca="false">IF(IFERROR(MATCH(51,$AB$40:$AB$133,0),0)=0,"",INDEX($Y$40:$Y$133,IFERROR(MATCH(51,$AB$40:$AB$133,0),0)))</f>
        <v>0</v>
      </c>
      <c r="I64" s="114" t="n">
        <f aca="false">IF(IFERROR(MATCH(51,$AB$40:$AB$133,0),0)=0,"",INDEX($Z$40:$Z$133,IFERROR(MATCH(51,$AB$40:$AB$133,0),0)))</f>
        <v>0</v>
      </c>
      <c r="J64" s="115" t="str">
        <f aca="false">IF(IFERROR(MATCH(51,$AB$40:$AB$133,0),0)=0,"",INDEX($AC$40:$AC$133,IFERROR(MATCH(51,$AB$40:$AB$133,0),0)))</f>
        <v>Confere</v>
      </c>
      <c r="K64" s="116" t="n">
        <f aca="false">IF(IFERROR(MATCH(51,$AB$40:$AB$133,0),0)=0,"",INDEX($AD$40:$AD$133,IFERROR(MATCH(51,$AB$40:$AB$133,0),0)))</f>
        <v>1</v>
      </c>
      <c r="L64" s="117" t="n">
        <f aca="false">IF(IFERROR(MATCH(51,$AB$40:$AB$133,0),0)=0,"",IF(INDEX($BB$40:$BB$133,IFERROR(MATCH(51,$AB$40:$AB$133,0),0))&gt;=99999,"",INDEX($BB$40:$BB$133,IFERROR(MATCH(51,$AB$40:$AB$133,0),0))))</f>
        <v>46280</v>
      </c>
      <c r="M64" s="117" t="n">
        <f aca="false">IF(IFERROR(MATCH(51,$AB$40:$AB$133,0),0)=0,"",IF(INDEX($BC$40:$BC$133,IFERROR(MATCH(51,$AB$40:$AB$133,0),0))=0,"",INDEX($BC$40:$BC$133,IFERROR(MATCH(51,$AB$40:$AB$133,0),0))))</f>
        <v>46280</v>
      </c>
      <c r="N64" s="118" t="str">
        <f aca="false">IF(IFERROR(MATCH(51,$AB$40:$AB$133,0),0)=0,"",INDEX($AE$40:$AE$133,IFERROR(MATCH(51,$AB$40:$AB$133,0),0))&amp;"")</f>
        <v>Sem diferença</v>
      </c>
      <c r="O64" s="119" t="str">
        <f aca="false">IF(IFERROR(MATCH(51,$AB$40:$AB$133,0),0)=0,"",INDEX($BD$40:$BD$133,IFERROR(MATCH(51,$AB$40:$AB$133,0),0))&amp;"")</f>
        <v>Nenhum ajuste necessário</v>
      </c>
      <c r="T64" s="82" t="s">
        <v>232</v>
      </c>
      <c r="U64" s="82" t="s">
        <v>146</v>
      </c>
      <c r="V64" s="82" t="n">
        <f aca="false">SUMIFS('3 Base Entrada 2008'!$G$2:$G$5000,'3 Base Entrada 2008'!$F$2:$F$5000,"&gt;="&amp;$F$5,'3 Base Entrada 2008'!$F$2:$F$5000,"&lt;="&amp;$H$5,'3 Base Entrada 2008'!$B$2:$B$5000,$T64,'3 Base Entrada 2008'!$C$2:$C$5000,$AG64,'3 Base Entrada 2008'!$K$2:$K$5000,"Recebido no 2008")</f>
        <v>0</v>
      </c>
      <c r="W64" s="82" t="n">
        <f aca="false">SUMIFS('3 Base Entrada 2008'!$L$2:$L$5000,'3 Base Entrada 2008'!$F$2:$F$5000,"&gt;="&amp;$F$5,'3 Base Entrada 2008'!$F$2:$F$5000,"&lt;="&amp;$H$5,'3 Base Entrada 2008'!$B$2:$B$5000,$T64,'3 Base Entrada 2008'!$C$2:$C$5000,$AG64)</f>
        <v>1320</v>
      </c>
      <c r="X64" s="82" t="n">
        <f aca="false">SUMIFS('3 Base Saídas'!$R$2:$R$5000,'3 Base Saídas'!$G$2:$G$5000,"&gt;="&amp;$F$5,'3 Base Saídas'!$G$2:$G$5000,"&lt;="&amp;$H$5,'3 Base Saídas'!$B$2:$B$5000,$T64,'3 Base Saídas'!$C$2:$C$5000,$AG64)</f>
        <v>330</v>
      </c>
      <c r="Y64" s="82" t="n">
        <f aca="false">SUMIFS('3 Base Estoque Físico'!$J$2:$J$5000,'3 Base Estoque Físico'!$A$2:$A$5000,$T64,'3 Base Estoque Físico'!$B$2:$B$5000,$AG64)</f>
        <v>1020</v>
      </c>
      <c r="Z64" s="82" t="n">
        <f aca="false">ROUND(Y64-(BH64+W64-X64),3)</f>
        <v>30</v>
      </c>
      <c r="AA64" s="82" t="n">
        <f aca="false">IF(AND(U64=$R$3,OR($R$1="*",T64=$R$1),OR($R$2="*",AG64=$R$2),OR($R$6="*",AC64=$R$6),ABS(V64)+ABS(W64)+ABS(X64)+ABS(Y64)&gt;0),1,0)</f>
        <v>0</v>
      </c>
      <c r="AB64" s="0" t="str">
        <f aca="false">IF(AA64=1,SUM(AA$40:AA64),"")</f>
        <v/>
      </c>
      <c r="AC64" s="0" t="str">
        <f aca="false">IF(ABS(Z64)&lt;=$R$5,"Confere",IF(Z64&gt;0,"Sobrando","Faltando"))</f>
        <v>Sobrando</v>
      </c>
      <c r="AD64" s="82" t="n">
        <f aca="false">IF(OR($R$4="*",$R$4="Saída"),COUNTIFS('3 Base Saídas'!$G$2:$G$5000,"&gt;="&amp;$F$5,'3 Base Saídas'!$G$2:$G$5000,"&lt;="&amp;$H$5,'3 Base Saídas'!$B$2:$B$5000,$T64,'3 Base Saídas'!$C$2:$C$5000,$AG64),0)+IF($R$4&lt;&gt;"Saída",COUNTIFS('3 Base Entrada 2008'!$F$2:$F$5000,"&gt;="&amp;$F$5,'3 Base Entrada 2008'!$F$2:$F$5000,"&lt;="&amp;$H$5,'3 Base Entrada 2008'!$B$2:$B$5000,$T64,'3 Base Entrada 2008'!$C$2:$C$5000,$AG64,'3 Base Entrada 2008'!$K$2:$K$5000,$R$4),0)</f>
        <v>7</v>
      </c>
      <c r="AE64" s="0" t="str">
        <f aca="false">'5 Conciliação'!K38</f>
        <v>Estoque acima do esperado: entrada não lançada ou saldo anterior ao período</v>
      </c>
      <c r="AF64" s="82" t="n">
        <f aca="false">IF(AND(AA64=1,AC64&lt;&gt;"Confere"),ABS(Z64)+ROW()/10000000,0)</f>
        <v>0</v>
      </c>
      <c r="AG64" s="82" t="s">
        <v>237</v>
      </c>
      <c r="AV64" s="0" t="str">
        <f aca="false">IFERROR(INDEX($AX$1:$AX$94,MATCH(63,$AY$1:$AY$94,0)),"")</f>
        <v>252590301</v>
      </c>
      <c r="AW64" s="82" t="s">
        <v>276</v>
      </c>
      <c r="AX64" s="82" t="s">
        <v>278</v>
      </c>
      <c r="AY64" s="82" t="n">
        <f aca="false">IF(OR($A$5="Todos",AW64=$A$5),MAX(AY$1:AY63)+1,0)</f>
        <v>64</v>
      </c>
      <c r="BB64" s="82" t="n">
        <f aca="false">MIN(IF(_xlfn.MINIFS('3 Base Entrada 2008'!$F$2:$F$5000,'3 Base Entrada 2008'!$F$2:$F$5000,"&gt;="&amp;$F$5,'3 Base Entrada 2008'!$F$2:$F$5000,"&lt;="&amp;$H$5,'3 Base Entrada 2008'!$B$2:$B$5000,$T64,'3 Base Entrada 2008'!$C$2:$C$5000,$AG64)=0,99999,_xlfn.MINIFS('3 Base Entrada 2008'!$F$2:$F$5000,'3 Base Entrada 2008'!$F$2:$F$5000,"&gt;="&amp;$F$5,'3 Base Entrada 2008'!$F$2:$F$5000,"&lt;="&amp;$H$5,'3 Base Entrada 2008'!$B$2:$B$5000,$T64,'3 Base Entrada 2008'!$C$2:$C$5000,$AG64)),IF(_xlfn.MINIFS('3 Base Saídas'!$G$2:$G$5000,'3 Base Saídas'!$G$2:$G$5000,"&gt;="&amp;$F$5,'3 Base Saídas'!$G$2:$G$5000,"&lt;="&amp;$H$5,'3 Base Saídas'!$B$2:$B$5000,$T64,'3 Base Saídas'!$C$2:$C$5000,$AG64)=0,99999,_xlfn.MINIFS('3 Base Saídas'!$G$2:$G$5000,'3 Base Saídas'!$G$2:$G$5000,"&gt;="&amp;$F$5,'3 Base Saídas'!$G$2:$G$5000,"&lt;="&amp;$H$5,'3 Base Saídas'!$B$2:$B$5000,$T64,'3 Base Saídas'!$C$2:$C$5000,$AG64)))</f>
        <v>46293</v>
      </c>
      <c r="BC64" s="82" t="n">
        <f aca="false">MAX(_xlfn.MAXIFS('3 Base Entrada 2008'!$F$2:$F$5000,'3 Base Entrada 2008'!$F$2:$F$5000,"&gt;="&amp;$F$5,'3 Base Entrada 2008'!$F$2:$F$5000,"&lt;="&amp;$H$5,'3 Base Entrada 2008'!$B$2:$B$5000,$T64,'3 Base Entrada 2008'!$C$2:$C$5000,$AG64),_xlfn.MAXIFS('3 Base Saídas'!$G$2:$G$5000,'3 Base Saídas'!$G$2:$G$5000,"&gt;="&amp;$F$5,'3 Base Saídas'!$G$2:$G$5000,"&lt;="&amp;$H$5,'3 Base Saídas'!$B$2:$B$5000,$T64,'3 Base Saídas'!$C$2:$C$5000,$AG64))</f>
        <v>46295</v>
      </c>
      <c r="BD64" s="0" t="str">
        <f aca="false">'5 Conciliação'!L38</f>
        <v>Confirmar saldo de 08/09; se não existir, contar o lote e lançar ajuste de inventário de +30.0 UN</v>
      </c>
      <c r="BE64" s="0" t="str">
        <f aca="false">'5 Conciliação'!Q38</f>
        <v>Sobra sem explicação</v>
      </c>
      <c r="BF64" s="0" t="str">
        <f aca="false">'5 Conciliação'!R38</f>
        <v>Média</v>
      </c>
      <c r="BH64" s="82" t="n">
        <f aca="false">SUMIFS('3 Base Saldo Inicial 08-09'!$E$2:$E$5000,'3 Base Saldo Inicial 08-09'!$A$2:$A$5000,$T64,'3 Base Saldo Inicial 08-09'!$B$2:$B$5000,$AG64)-SUMIFS('3 Base Saldo Inicial 08-09'!$E$2:$E$5000,'3 Base Saldo Inicial 08-09'!$A$2:$A$5000,$T64,'3 Base Saldo Inicial 08-09'!$B$2:$B$5000,$AG64,'3 Base Saldo Inicial 08-09'!$C$2:$C$5000,"2008")</f>
        <v>0</v>
      </c>
    </row>
    <row r="65" customFormat="false" ht="15" hidden="false" customHeight="false" outlineLevel="0" collapsed="false">
      <c r="A65" s="111" t="str">
        <f aca="false">IF(IFERROR(MATCH(52,$AB$40:$AB$133,0),0)=0,"",INDEX($T$40:$T$133,IFERROR(MATCH(52,$AB$40:$AB$133,0),0)))</f>
        <v>CHM-SP-Z3L-E0-U72</v>
      </c>
      <c r="B65" s="111" t="str">
        <f aca="false">IF(IFERROR(MATCH(52,$AB$40:$AB$133,0),0)=0,"",INDEX($AG$40:$AG$133,IFERROR(MATCH(52,$AB$40:$AB$133,0),0)))</f>
        <v>260580101</v>
      </c>
      <c r="C65" s="112" t="str">
        <f aca="false">IF(IFERROR(MATCH(52,$AB$40:$AB$133,0),0)=0,"",INDEX($U$40:$U$133,IFERROR(MATCH(52,$AB$40:$AB$133,0),0)))</f>
        <v>KG</v>
      </c>
      <c r="D65" s="113" t="n">
        <f aca="false">IF(IFERROR(MATCH(52,$AB$40:$AB$133,0),0)=0,"",INDEX($BH$40:$BH$133,IFERROR(MATCH(52,$AB$40:$AB$133,0),0)))</f>
        <v>0</v>
      </c>
      <c r="E65" s="113" t="n">
        <f aca="false">IF(IFERROR(MATCH(52,$AB$40:$AB$133,0),0)=0,"",INDEX($W$40:$W$133,IFERROR(MATCH(52,$AB$40:$AB$133,0),0)))</f>
        <v>0</v>
      </c>
      <c r="F65" s="113" t="n">
        <f aca="false">IF(IFERROR(MATCH(52,$AB$40:$AB$133,0),0)=0,"",INDEX($X$40:$X$133,IFERROR(MATCH(52,$AB$40:$AB$133,0),0)))</f>
        <v>0</v>
      </c>
      <c r="G65" s="113" t="n">
        <f aca="false">IF(A65="","",D65+E65-F65)</f>
        <v>0</v>
      </c>
      <c r="H65" s="113" t="n">
        <f aca="false">IF(IFERROR(MATCH(52,$AB$40:$AB$133,0),0)=0,"",INDEX($Y$40:$Y$133,IFERROR(MATCH(52,$AB$40:$AB$133,0),0)))</f>
        <v>0</v>
      </c>
      <c r="I65" s="114" t="n">
        <f aca="false">IF(IFERROR(MATCH(52,$AB$40:$AB$133,0),0)=0,"",INDEX($Z$40:$Z$133,IFERROR(MATCH(52,$AB$40:$AB$133,0),0)))</f>
        <v>0</v>
      </c>
      <c r="J65" s="115" t="str">
        <f aca="false">IF(IFERROR(MATCH(52,$AB$40:$AB$133,0),0)=0,"",INDEX($AC$40:$AC$133,IFERROR(MATCH(52,$AB$40:$AB$133,0),0)))</f>
        <v>Confere</v>
      </c>
      <c r="K65" s="116" t="n">
        <f aca="false">IF(IFERROR(MATCH(52,$AB$40:$AB$133,0),0)=0,"",INDEX($AD$40:$AD$133,IFERROR(MATCH(52,$AB$40:$AB$133,0),0)))</f>
        <v>1</v>
      </c>
      <c r="L65" s="117" t="n">
        <f aca="false">IF(IFERROR(MATCH(52,$AB$40:$AB$133,0),0)=0,"",IF(INDEX($BB$40:$BB$133,IFERROR(MATCH(52,$AB$40:$AB$133,0),0))&gt;=99999,"",INDEX($BB$40:$BB$133,IFERROR(MATCH(52,$AB$40:$AB$133,0),0))))</f>
        <v>46280</v>
      </c>
      <c r="M65" s="117" t="n">
        <f aca="false">IF(IFERROR(MATCH(52,$AB$40:$AB$133,0),0)=0,"",IF(INDEX($BC$40:$BC$133,IFERROR(MATCH(52,$AB$40:$AB$133,0),0))=0,"",INDEX($BC$40:$BC$133,IFERROR(MATCH(52,$AB$40:$AB$133,0),0))))</f>
        <v>46280</v>
      </c>
      <c r="N65" s="118" t="str">
        <f aca="false">IF(IFERROR(MATCH(52,$AB$40:$AB$133,0),0)=0,"",INDEX($AE$40:$AE$133,IFERROR(MATCH(52,$AB$40:$AB$133,0),0))&amp;"")</f>
        <v>Sem diferença</v>
      </c>
      <c r="O65" s="119" t="str">
        <f aca="false">IF(IFERROR(MATCH(52,$AB$40:$AB$133,0),0)=0,"",INDEX($BD$40:$BD$133,IFERROR(MATCH(52,$AB$40:$AB$133,0),0))&amp;"")</f>
        <v>Nenhum ajuste necessário</v>
      </c>
      <c r="T65" s="82" t="s">
        <v>276</v>
      </c>
      <c r="U65" s="82" t="s">
        <v>65</v>
      </c>
      <c r="V65" s="82" t="n">
        <f aca="false">SUMIFS('3 Base Entrada 2008'!$G$2:$G$5000,'3 Base Entrada 2008'!$F$2:$F$5000,"&gt;="&amp;$F$5,'3 Base Entrada 2008'!$F$2:$F$5000,"&lt;="&amp;$H$5,'3 Base Entrada 2008'!$B$2:$B$5000,$T65,'3 Base Entrada 2008'!$C$2:$C$5000,$AG65,'3 Base Entrada 2008'!$K$2:$K$5000,"Recebido no 2008")</f>
        <v>0</v>
      </c>
      <c r="W65" s="82" t="n">
        <f aca="false">SUMIFS('3 Base Entrada 2008'!$L$2:$L$5000,'3 Base Entrada 2008'!$F$2:$F$5000,"&gt;="&amp;$F$5,'3 Base Entrada 2008'!$F$2:$F$5000,"&lt;="&amp;$H$5,'3 Base Entrada 2008'!$B$2:$B$5000,$T65,'3 Base Entrada 2008'!$C$2:$C$5000,$AG65)</f>
        <v>602.9</v>
      </c>
      <c r="X65" s="82" t="n">
        <f aca="false">SUMIFS('3 Base Saídas'!$R$2:$R$5000,'3 Base Saídas'!$G$2:$G$5000,"&gt;="&amp;$F$5,'3 Base Saídas'!$G$2:$G$5000,"&lt;="&amp;$H$5,'3 Base Saídas'!$B$2:$B$5000,$T65,'3 Base Saídas'!$C$2:$C$5000,$AG65)</f>
        <v>301.5</v>
      </c>
      <c r="Y65" s="82" t="n">
        <f aca="false">SUMIFS('3 Base Estoque Físico'!$J$2:$J$5000,'3 Base Estoque Físico'!$A$2:$A$5000,$T65,'3 Base Estoque Físico'!$B$2:$B$5000,$AG65)</f>
        <v>321.5</v>
      </c>
      <c r="Z65" s="82" t="n">
        <f aca="false">ROUND(Y65-(BH65+W65-X65),3)</f>
        <v>20.1</v>
      </c>
      <c r="AA65" s="82" t="n">
        <f aca="false">IF(AND(U65=$R$3,OR($R$1="*",T65=$R$1),OR($R$2="*",AG65=$R$2),OR($R$6="*",AC65=$R$6),ABS(V65)+ABS(W65)+ABS(X65)+ABS(Y65)&gt;0),1,0)</f>
        <v>1</v>
      </c>
      <c r="AB65" s="82" t="n">
        <f aca="false">IF(AA65=1,SUM(AA$40:AA65),"")</f>
        <v>21</v>
      </c>
      <c r="AC65" s="0" t="str">
        <f aca="false">IF(ABS(Z65)&lt;=$R$5,"Confere",IF(Z65&gt;0,"Sobrando","Faltando"))</f>
        <v>Sobrando</v>
      </c>
      <c r="AD65" s="82" t="n">
        <f aca="false">IF(OR($R$4="*",$R$4="Saída"),COUNTIFS('3 Base Saídas'!$G$2:$G$5000,"&gt;="&amp;$F$5,'3 Base Saídas'!$G$2:$G$5000,"&lt;="&amp;$H$5,'3 Base Saídas'!$B$2:$B$5000,$T65,'3 Base Saídas'!$C$2:$C$5000,$AG65),0)+IF($R$4&lt;&gt;"Saída",COUNTIFS('3 Base Entrada 2008'!$F$2:$F$5000,"&gt;="&amp;$F$5,'3 Base Entrada 2008'!$F$2:$F$5000,"&lt;="&amp;$H$5,'3 Base Entrada 2008'!$B$2:$B$5000,$T65,'3 Base Entrada 2008'!$C$2:$C$5000,$AG65,'3 Base Entrada 2008'!$K$2:$K$5000,$R$4),0)</f>
        <v>5</v>
      </c>
      <c r="AE65" s="0" t="str">
        <f aca="false">'5 Conciliação'!K39</f>
        <v>Quantidade parada em doca, chão ou transferência: entrega ou devolução não baixada</v>
      </c>
      <c r="AF65" s="82" t="n">
        <f aca="false">IF(AND(AA65=1,AC65&lt;&gt;"Confere"),ABS(Z65)+ROW()/10000000,0)</f>
        <v>20.1000065</v>
      </c>
      <c r="AG65" s="82" t="s">
        <v>277</v>
      </c>
      <c r="AV65" s="0" t="str">
        <f aca="false">IFERROR(INDEX($AX$1:$AX$94,MATCH(64,$AY$1:$AY$94,0)),"")</f>
        <v>252650301</v>
      </c>
      <c r="AW65" s="82" t="s">
        <v>276</v>
      </c>
      <c r="AX65" s="82" t="s">
        <v>370</v>
      </c>
      <c r="AY65" s="82" t="n">
        <f aca="false">IF(OR($A$5="Todos",AW65=$A$5),MAX(AY$1:AY64)+1,0)</f>
        <v>65</v>
      </c>
      <c r="BB65" s="82" t="n">
        <f aca="false">MIN(IF(_xlfn.MINIFS('3 Base Entrada 2008'!$F$2:$F$5000,'3 Base Entrada 2008'!$F$2:$F$5000,"&gt;="&amp;$F$5,'3 Base Entrada 2008'!$F$2:$F$5000,"&lt;="&amp;$H$5,'3 Base Entrada 2008'!$B$2:$B$5000,$T65,'3 Base Entrada 2008'!$C$2:$C$5000,$AG65)=0,99999,_xlfn.MINIFS('3 Base Entrada 2008'!$F$2:$F$5000,'3 Base Entrada 2008'!$F$2:$F$5000,"&gt;="&amp;$F$5,'3 Base Entrada 2008'!$F$2:$F$5000,"&lt;="&amp;$H$5,'3 Base Entrada 2008'!$B$2:$B$5000,$T65,'3 Base Entrada 2008'!$C$2:$C$5000,$AG65)),IF(_xlfn.MINIFS('3 Base Saídas'!$G$2:$G$5000,'3 Base Saídas'!$G$2:$G$5000,"&gt;="&amp;$F$5,'3 Base Saídas'!$G$2:$G$5000,"&lt;="&amp;$H$5,'3 Base Saídas'!$B$2:$B$5000,$T65,'3 Base Saídas'!$C$2:$C$5000,$AG65)=0,99999,_xlfn.MINIFS('3 Base Saídas'!$G$2:$G$5000,'3 Base Saídas'!$G$2:$G$5000,"&gt;="&amp;$F$5,'3 Base Saídas'!$G$2:$G$5000,"&lt;="&amp;$H$5,'3 Base Saídas'!$B$2:$B$5000,$T65,'3 Base Saídas'!$C$2:$C$5000,$AG65)))</f>
        <v>46289</v>
      </c>
      <c r="BC65" s="82" t="n">
        <f aca="false">MAX(_xlfn.MAXIFS('3 Base Entrada 2008'!$F$2:$F$5000,'3 Base Entrada 2008'!$F$2:$F$5000,"&gt;="&amp;$F$5,'3 Base Entrada 2008'!$F$2:$F$5000,"&lt;="&amp;$H$5,'3 Base Entrada 2008'!$B$2:$B$5000,$T65,'3 Base Entrada 2008'!$C$2:$C$5000,$AG65),_xlfn.MAXIFS('3 Base Saídas'!$G$2:$G$5000,'3 Base Saídas'!$G$2:$G$5000,"&gt;="&amp;$F$5,'3 Base Saídas'!$G$2:$G$5000,"&lt;="&amp;$H$5,'3 Base Saídas'!$B$2:$B$5000,$T65,'3 Base Saídas'!$C$2:$C$5000,$AG65))</f>
        <v>46294</v>
      </c>
      <c r="BD65" s="0" t="str">
        <f aca="false">'5 Conciliação'!L39</f>
        <v>Confirmar ou estornar as OTs em doca/transferência (20.1 KG): guardar na posição ou baixar a entrega</v>
      </c>
      <c r="BE65" s="0" t="str">
        <f aca="false">'5 Conciliação'!Q39</f>
        <v>Doca/transferência pendente</v>
      </c>
      <c r="BF65" s="0" t="str">
        <f aca="false">'5 Conciliação'!R39</f>
        <v>Baixa</v>
      </c>
      <c r="BH65" s="82" t="n">
        <f aca="false">SUMIFS('3 Base Saldo Inicial 08-09'!$E$2:$E$5000,'3 Base Saldo Inicial 08-09'!$A$2:$A$5000,$T65,'3 Base Saldo Inicial 08-09'!$B$2:$B$5000,$AG65)-SUMIFS('3 Base Saldo Inicial 08-09'!$E$2:$E$5000,'3 Base Saldo Inicial 08-09'!$A$2:$A$5000,$T65,'3 Base Saldo Inicial 08-09'!$B$2:$B$5000,$AG65,'3 Base Saldo Inicial 08-09'!$C$2:$C$5000,"2008")</f>
        <v>0</v>
      </c>
    </row>
    <row r="66" customFormat="false" ht="15" hidden="false" customHeight="false" outlineLevel="0" collapsed="false">
      <c r="A66" s="111" t="str">
        <f aca="false">IF(IFERROR(MATCH(53,$AB$40:$AB$133,0),0)=0,"",INDEX($T$40:$T$133,IFERROR(MATCH(53,$AB$40:$AB$133,0),0)))</f>
        <v>CHM-TS-22351E0-999</v>
      </c>
      <c r="B66" s="111" t="str">
        <f aca="false">IF(IFERROR(MATCH(53,$AB$40:$AB$133,0),0)=0,"",INDEX($AG$40:$AG$133,IFERROR(MATCH(53,$AB$40:$AB$133,0),0)))</f>
        <v>2522444420</v>
      </c>
      <c r="C66" s="112" t="str">
        <f aca="false">IF(IFERROR(MATCH(53,$AB$40:$AB$133,0),0)=0,"",INDEX($U$40:$U$133,IFERROR(MATCH(53,$AB$40:$AB$133,0),0)))</f>
        <v>KG</v>
      </c>
      <c r="D66" s="113" t="n">
        <f aca="false">IF(IFERROR(MATCH(53,$AB$40:$AB$133,0),0)=0,"",INDEX($BH$40:$BH$133,IFERROR(MATCH(53,$AB$40:$AB$133,0),0)))</f>
        <v>0</v>
      </c>
      <c r="E66" s="113" t="n">
        <f aca="false">IF(IFERROR(MATCH(53,$AB$40:$AB$133,0),0)=0,"",INDEX($W$40:$W$133,IFERROR(MATCH(53,$AB$40:$AB$133,0),0)))</f>
        <v>108.8</v>
      </c>
      <c r="F66" s="113" t="n">
        <f aca="false">IF(IFERROR(MATCH(53,$AB$40:$AB$133,0),0)=0,"",INDEX($X$40:$X$133,IFERROR(MATCH(53,$AB$40:$AB$133,0),0)))</f>
        <v>0</v>
      </c>
      <c r="G66" s="113" t="n">
        <f aca="false">IF(A66="","",D66+E66-F66)</f>
        <v>108.8</v>
      </c>
      <c r="H66" s="113" t="n">
        <f aca="false">IF(IFERROR(MATCH(53,$AB$40:$AB$133,0),0)=0,"",INDEX($Y$40:$Y$133,IFERROR(MATCH(53,$AB$40:$AB$133,0),0)))</f>
        <v>108.8</v>
      </c>
      <c r="I66" s="114" t="n">
        <f aca="false">IF(IFERROR(MATCH(53,$AB$40:$AB$133,0),0)=0,"",INDEX($Z$40:$Z$133,IFERROR(MATCH(53,$AB$40:$AB$133,0),0)))</f>
        <v>0</v>
      </c>
      <c r="J66" s="115" t="str">
        <f aca="false">IF(IFERROR(MATCH(53,$AB$40:$AB$133,0),0)=0,"",INDEX($AC$40:$AC$133,IFERROR(MATCH(53,$AB$40:$AB$133,0),0)))</f>
        <v>Confere</v>
      </c>
      <c r="K66" s="116" t="n">
        <f aca="false">IF(IFERROR(MATCH(53,$AB$40:$AB$133,0),0)=0,"",INDEX($AD$40:$AD$133,IFERROR(MATCH(53,$AB$40:$AB$133,0),0)))</f>
        <v>1</v>
      </c>
      <c r="L66" s="117" t="n">
        <f aca="false">IF(IFERROR(MATCH(53,$AB$40:$AB$133,0),0)=0,"",IF(INDEX($BB$40:$BB$133,IFERROR(MATCH(53,$AB$40:$AB$133,0),0))&gt;=99999,"",INDEX($BB$40:$BB$133,IFERROR(MATCH(53,$AB$40:$AB$133,0),0))))</f>
        <v>46293</v>
      </c>
      <c r="M66" s="117" t="n">
        <f aca="false">IF(IFERROR(MATCH(53,$AB$40:$AB$133,0),0)=0,"",IF(INDEX($BC$40:$BC$133,IFERROR(MATCH(53,$AB$40:$AB$133,0),0))=0,"",INDEX($BC$40:$BC$133,IFERROR(MATCH(53,$AB$40:$AB$133,0),0))))</f>
        <v>46293</v>
      </c>
      <c r="N66" s="118" t="str">
        <f aca="false">IF(IFERROR(MATCH(53,$AB$40:$AB$133,0),0)=0,"",INDEX($AE$40:$AE$133,IFERROR(MATCH(53,$AB$40:$AB$133,0),0))&amp;"")</f>
        <v>Sem diferença</v>
      </c>
      <c r="O66" s="119" t="str">
        <f aca="false">IF(IFERROR(MATCH(53,$AB$40:$AB$133,0),0)=0,"",INDEX($BD$40:$BD$133,IFERROR(MATCH(53,$AB$40:$AB$133,0),0))&amp;"")</f>
        <v>Nenhum ajuste necessário</v>
      </c>
      <c r="T66" s="82" t="s">
        <v>205</v>
      </c>
      <c r="U66" s="82" t="s">
        <v>65</v>
      </c>
      <c r="V66" s="82" t="n">
        <f aca="false">SUMIFS('3 Base Entrada 2008'!$G$2:$G$5000,'3 Base Entrada 2008'!$F$2:$F$5000,"&gt;="&amp;$F$5,'3 Base Entrada 2008'!$F$2:$F$5000,"&lt;="&amp;$H$5,'3 Base Entrada 2008'!$B$2:$B$5000,$T66,'3 Base Entrada 2008'!$C$2:$C$5000,$AG66,'3 Base Entrada 2008'!$K$2:$K$5000,"Recebido no 2008")</f>
        <v>0</v>
      </c>
      <c r="W66" s="82" t="n">
        <f aca="false">SUMIFS('3 Base Entrada 2008'!$L$2:$L$5000,'3 Base Entrada 2008'!$F$2:$F$5000,"&gt;="&amp;$F$5,'3 Base Entrada 2008'!$F$2:$F$5000,"&lt;="&amp;$H$5,'3 Base Entrada 2008'!$B$2:$B$5000,$T66,'3 Base Entrada 2008'!$C$2:$C$5000,$AG66)</f>
        <v>2733.6</v>
      </c>
      <c r="X66" s="82" t="n">
        <f aca="false">SUMIFS('3 Base Saídas'!$R$2:$R$5000,'3 Base Saídas'!$G$2:$G$5000,"&gt;="&amp;$F$5,'3 Base Saídas'!$G$2:$G$5000,"&lt;="&amp;$H$5,'3 Base Saídas'!$B$2:$B$5000,$T66,'3 Base Saídas'!$C$2:$C$5000,$AG66)</f>
        <v>1206</v>
      </c>
      <c r="Y66" s="82" t="n">
        <f aca="false">SUMIFS('3 Base Estoque Físico'!$J$2:$J$5000,'3 Base Estoque Físico'!$A$2:$A$5000,$T66,'3 Base Estoque Físico'!$B$2:$B$5000,$AG66)</f>
        <v>1547.7</v>
      </c>
      <c r="Z66" s="82" t="n">
        <f aca="false">ROUND(Y66-(BH66+W66-X66),3)</f>
        <v>20.1</v>
      </c>
      <c r="AA66" s="82" t="n">
        <f aca="false">IF(AND(U66=$R$3,OR($R$1="*",T66=$R$1),OR($R$2="*",AG66=$R$2),OR($R$6="*",AC66=$R$6),ABS(V66)+ABS(W66)+ABS(X66)+ABS(Y66)&gt;0),1,0)</f>
        <v>1</v>
      </c>
      <c r="AB66" s="82" t="n">
        <f aca="false">IF(AA66=1,SUM(AA$40:AA66),"")</f>
        <v>22</v>
      </c>
      <c r="AC66" s="0" t="str">
        <f aca="false">IF(ABS(Z66)&lt;=$R$5,"Confere",IF(Z66&gt;0,"Sobrando","Faltando"))</f>
        <v>Sobrando</v>
      </c>
      <c r="AD66" s="82" t="n">
        <f aca="false">IF(OR($R$4="*",$R$4="Saída"),COUNTIFS('3 Base Saídas'!$G$2:$G$5000,"&gt;="&amp;$F$5,'3 Base Saídas'!$G$2:$G$5000,"&lt;="&amp;$H$5,'3 Base Saídas'!$B$2:$B$5000,$T66,'3 Base Saídas'!$C$2:$C$5000,$AG66),0)+IF($R$4&lt;&gt;"Saída",COUNTIFS('3 Base Entrada 2008'!$F$2:$F$5000,"&gt;="&amp;$F$5,'3 Base Entrada 2008'!$F$2:$F$5000,"&lt;="&amp;$H$5,'3 Base Entrada 2008'!$B$2:$B$5000,$T66,'3 Base Entrada 2008'!$C$2:$C$5000,$AG66,'3 Base Entrada 2008'!$K$2:$K$5000,$R$4),0)</f>
        <v>7</v>
      </c>
      <c r="AE66" s="0" t="str">
        <f aca="false">'5 Conciliação'!K40</f>
        <v>Estoque antigo: toda a sobra está em posições sem movimento desde antes de 09/09</v>
      </c>
      <c r="AF66" s="82" t="n">
        <f aca="false">IF(AND(AA66=1,AC66&lt;&gt;"Confere"),ABS(Z66)+ROW()/10000000,0)</f>
        <v>20.1000066</v>
      </c>
      <c r="AG66" s="82" t="s">
        <v>206</v>
      </c>
      <c r="AV66" s="0" t="str">
        <f aca="false">IFERROR(INDEX($AX$1:$AX$94,MATCH(65,$AY$1:$AY$94,0)),"")</f>
        <v>253470301</v>
      </c>
      <c r="AW66" s="82" t="s">
        <v>276</v>
      </c>
      <c r="AX66" s="82" t="s">
        <v>280</v>
      </c>
      <c r="AY66" s="82" t="n">
        <f aca="false">IF(OR($A$5="Todos",AW66=$A$5),MAX(AY$1:AY65)+1,0)</f>
        <v>66</v>
      </c>
      <c r="BB66" s="82" t="n">
        <f aca="false">MIN(IF(_xlfn.MINIFS('3 Base Entrada 2008'!$F$2:$F$5000,'3 Base Entrada 2008'!$F$2:$F$5000,"&gt;="&amp;$F$5,'3 Base Entrada 2008'!$F$2:$F$5000,"&lt;="&amp;$H$5,'3 Base Entrada 2008'!$B$2:$B$5000,$T66,'3 Base Entrada 2008'!$C$2:$C$5000,$AG66)=0,99999,_xlfn.MINIFS('3 Base Entrada 2008'!$F$2:$F$5000,'3 Base Entrada 2008'!$F$2:$F$5000,"&gt;="&amp;$F$5,'3 Base Entrada 2008'!$F$2:$F$5000,"&lt;="&amp;$H$5,'3 Base Entrada 2008'!$B$2:$B$5000,$T66,'3 Base Entrada 2008'!$C$2:$C$5000,$AG66)),IF(_xlfn.MINIFS('3 Base Saídas'!$G$2:$G$5000,'3 Base Saídas'!$G$2:$G$5000,"&gt;="&amp;$F$5,'3 Base Saídas'!$G$2:$G$5000,"&lt;="&amp;$H$5,'3 Base Saídas'!$B$2:$B$5000,$T66,'3 Base Saídas'!$C$2:$C$5000,$AG66)=0,99999,_xlfn.MINIFS('3 Base Saídas'!$G$2:$G$5000,'3 Base Saídas'!$G$2:$G$5000,"&gt;="&amp;$F$5,'3 Base Saídas'!$G$2:$G$5000,"&lt;="&amp;$H$5,'3 Base Saídas'!$B$2:$B$5000,$T66,'3 Base Saídas'!$C$2:$C$5000,$AG66)))</f>
        <v>46294</v>
      </c>
      <c r="BC66" s="82" t="n">
        <f aca="false">MAX(_xlfn.MAXIFS('3 Base Entrada 2008'!$F$2:$F$5000,'3 Base Entrada 2008'!$F$2:$F$5000,"&gt;="&amp;$F$5,'3 Base Entrada 2008'!$F$2:$F$5000,"&lt;="&amp;$H$5,'3 Base Entrada 2008'!$B$2:$B$5000,$T66,'3 Base Entrada 2008'!$C$2:$C$5000,$AG66),_xlfn.MAXIFS('3 Base Saídas'!$G$2:$G$5000,'3 Base Saídas'!$G$2:$G$5000,"&gt;="&amp;$F$5,'3 Base Saídas'!$G$2:$G$5000,"&lt;="&amp;$H$5,'3 Base Saídas'!$B$2:$B$5000,$T66,'3 Base Saídas'!$C$2:$C$5000,$AG66))</f>
        <v>46295</v>
      </c>
      <c r="BD66" s="0" t="str">
        <f aca="false">'5 Conciliação'!L40</f>
        <v>Confirmar no SAP o saldo de 08/09 (20.1 KG). Se estiver certo, não há ajuste</v>
      </c>
      <c r="BE66" s="0" t="str">
        <f aca="false">'5 Conciliação'!Q40</f>
        <v>Estoque anterior a 09/09</v>
      </c>
      <c r="BF66" s="0" t="str">
        <f aca="false">'5 Conciliação'!R40</f>
        <v>Baixa</v>
      </c>
      <c r="BH66" s="82" t="n">
        <f aca="false">SUMIFS('3 Base Saldo Inicial 08-09'!$E$2:$E$5000,'3 Base Saldo Inicial 08-09'!$A$2:$A$5000,$T66,'3 Base Saldo Inicial 08-09'!$B$2:$B$5000,$AG66)-SUMIFS('3 Base Saldo Inicial 08-09'!$E$2:$E$5000,'3 Base Saldo Inicial 08-09'!$A$2:$A$5000,$T66,'3 Base Saldo Inicial 08-09'!$B$2:$B$5000,$AG66,'3 Base Saldo Inicial 08-09'!$C$2:$C$5000,"2008")</f>
        <v>0</v>
      </c>
    </row>
    <row r="67" customFormat="false" ht="15" hidden="false" customHeight="false" outlineLevel="0" collapsed="false">
      <c r="A67" s="111" t="str">
        <f aca="false">IF(IFERROR(MATCH(54,$AB$40:$AB$133,0),0)=0,"",INDEX($T$40:$T$133,IFERROR(MATCH(54,$AB$40:$AB$133,0),0)))</f>
        <v>CHM-TS-22351E0-999</v>
      </c>
      <c r="B67" s="111" t="str">
        <f aca="false">IF(IFERROR(MATCH(54,$AB$40:$AB$133,0),0)=0,"",INDEX($AG$40:$AG$133,IFERROR(MATCH(54,$AB$40:$AB$133,0),0)))</f>
        <v>2525950306</v>
      </c>
      <c r="C67" s="112" t="str">
        <f aca="false">IF(IFERROR(MATCH(54,$AB$40:$AB$133,0),0)=0,"",INDEX($U$40:$U$133,IFERROR(MATCH(54,$AB$40:$AB$133,0),0)))</f>
        <v>KG</v>
      </c>
      <c r="D67" s="113" t="n">
        <f aca="false">IF(IFERROR(MATCH(54,$AB$40:$AB$133,0),0)=0,"",INDEX($BH$40:$BH$133,IFERROR(MATCH(54,$AB$40:$AB$133,0),0)))</f>
        <v>0</v>
      </c>
      <c r="E67" s="113" t="n">
        <f aca="false">IF(IFERROR(MATCH(54,$AB$40:$AB$133,0),0)=0,"",INDEX($W$40:$W$133,IFERROR(MATCH(54,$AB$40:$AB$133,0),0)))</f>
        <v>195.84</v>
      </c>
      <c r="F67" s="113" t="n">
        <f aca="false">IF(IFERROR(MATCH(54,$AB$40:$AB$133,0),0)=0,"",INDEX($X$40:$X$133,IFERROR(MATCH(54,$AB$40:$AB$133,0),0)))</f>
        <v>0</v>
      </c>
      <c r="G67" s="113" t="n">
        <f aca="false">IF(A67="","",D67+E67-F67)</f>
        <v>195.84</v>
      </c>
      <c r="H67" s="113" t="n">
        <f aca="false">IF(IFERROR(MATCH(54,$AB$40:$AB$133,0),0)=0,"",INDEX($Y$40:$Y$133,IFERROR(MATCH(54,$AB$40:$AB$133,0),0)))</f>
        <v>195.84</v>
      </c>
      <c r="I67" s="114" t="n">
        <f aca="false">IF(IFERROR(MATCH(54,$AB$40:$AB$133,0),0)=0,"",INDEX($Z$40:$Z$133,IFERROR(MATCH(54,$AB$40:$AB$133,0),0)))</f>
        <v>0</v>
      </c>
      <c r="J67" s="115" t="str">
        <f aca="false">IF(IFERROR(MATCH(54,$AB$40:$AB$133,0),0)=0,"",INDEX($AC$40:$AC$133,IFERROR(MATCH(54,$AB$40:$AB$133,0),0)))</f>
        <v>Confere</v>
      </c>
      <c r="K67" s="116" t="n">
        <f aca="false">IF(IFERROR(MATCH(54,$AB$40:$AB$133,0),0)=0,"",INDEX($AD$40:$AD$133,IFERROR(MATCH(54,$AB$40:$AB$133,0),0)))</f>
        <v>1</v>
      </c>
      <c r="L67" s="117" t="n">
        <f aca="false">IF(IFERROR(MATCH(54,$AB$40:$AB$133,0),0)=0,"",IF(INDEX($BB$40:$BB$133,IFERROR(MATCH(54,$AB$40:$AB$133,0),0))&gt;=99999,"",INDEX($BB$40:$BB$133,IFERROR(MATCH(54,$AB$40:$AB$133,0),0))))</f>
        <v>46274</v>
      </c>
      <c r="M67" s="117" t="n">
        <f aca="false">IF(IFERROR(MATCH(54,$AB$40:$AB$133,0),0)=0,"",IF(INDEX($BC$40:$BC$133,IFERROR(MATCH(54,$AB$40:$AB$133,0),0))=0,"",INDEX($BC$40:$BC$133,IFERROR(MATCH(54,$AB$40:$AB$133,0),0))))</f>
        <v>46274</v>
      </c>
      <c r="N67" s="118" t="str">
        <f aca="false">IF(IFERROR(MATCH(54,$AB$40:$AB$133,0),0)=0,"",INDEX($AE$40:$AE$133,IFERROR(MATCH(54,$AB$40:$AB$133,0),0))&amp;"")</f>
        <v>Sem diferença</v>
      </c>
      <c r="O67" s="119" t="str">
        <f aca="false">IF(IFERROR(MATCH(54,$AB$40:$AB$133,0),0)=0,"",INDEX($BD$40:$BD$133,IFERROR(MATCH(54,$AB$40:$AB$133,0),0))&amp;"")</f>
        <v>Nenhum ajuste necessário</v>
      </c>
      <c r="T67" s="82" t="s">
        <v>309</v>
      </c>
      <c r="U67" s="82" t="s">
        <v>65</v>
      </c>
      <c r="V67" s="82" t="n">
        <f aca="false">SUMIFS('3 Base Entrada 2008'!$G$2:$G$5000,'3 Base Entrada 2008'!$F$2:$F$5000,"&gt;="&amp;$F$5,'3 Base Entrada 2008'!$F$2:$F$5000,"&lt;="&amp;$H$5,'3 Base Entrada 2008'!$B$2:$B$5000,$T67,'3 Base Entrada 2008'!$C$2:$C$5000,$AG67,'3 Base Entrada 2008'!$K$2:$K$5000,"Recebido no 2008")</f>
        <v>2995</v>
      </c>
      <c r="W67" s="82" t="n">
        <f aca="false">SUMIFS('3 Base Entrada 2008'!$L$2:$L$5000,'3 Base Entrada 2008'!$F$2:$F$5000,"&gt;="&amp;$F$5,'3 Base Entrada 2008'!$F$2:$F$5000,"&lt;="&amp;$H$5,'3 Base Entrada 2008'!$B$2:$B$5000,$T67,'3 Base Entrada 2008'!$C$2:$C$5000,$AG67)</f>
        <v>3025.7</v>
      </c>
      <c r="X67" s="82" t="n">
        <f aca="false">SUMIFS('3 Base Saídas'!$R$2:$R$5000,'3 Base Saídas'!$G$2:$G$5000,"&gt;="&amp;$F$5,'3 Base Saídas'!$G$2:$G$5000,"&lt;="&amp;$H$5,'3 Base Saídas'!$B$2:$B$5000,$T67,'3 Base Saídas'!$C$2:$C$5000,$AG67)</f>
        <v>1366.8</v>
      </c>
      <c r="Y67" s="82" t="n">
        <f aca="false">SUMIFS('3 Base Estoque Físico'!$J$2:$J$5000,'3 Base Estoque Físico'!$A$2:$A$5000,$T67,'3 Base Estoque Físico'!$B$2:$B$5000,$AG67)</f>
        <v>1679</v>
      </c>
      <c r="Z67" s="82" t="n">
        <f aca="false">ROUND(Y67-(BH67+W67-X67),3)</f>
        <v>20.1</v>
      </c>
      <c r="AA67" s="82" t="n">
        <f aca="false">IF(AND(U67=$R$3,OR($R$1="*",T67=$R$1),OR($R$2="*",AG67=$R$2),OR($R$6="*",AC67=$R$6),ABS(V67)+ABS(W67)+ABS(X67)+ABS(Y67)&gt;0),1,0)</f>
        <v>1</v>
      </c>
      <c r="AB67" s="82" t="n">
        <f aca="false">IF(AA67=1,SUM(AA$40:AA67),"")</f>
        <v>23</v>
      </c>
      <c r="AC67" s="0" t="str">
        <f aca="false">IF(ABS(Z67)&lt;=$R$5,"Confere",IF(Z67&gt;0,"Sobrando","Faltando"))</f>
        <v>Sobrando</v>
      </c>
      <c r="AD67" s="82" t="n">
        <f aca="false">IF(OR($R$4="*",$R$4="Saída"),COUNTIFS('3 Base Saídas'!$G$2:$G$5000,"&gt;="&amp;$F$5,'3 Base Saídas'!$G$2:$G$5000,"&lt;="&amp;$H$5,'3 Base Saídas'!$B$2:$B$5000,$T67,'3 Base Saídas'!$C$2:$C$5000,$AG67),0)+IF($R$4&lt;&gt;"Saída",COUNTIFS('3 Base Entrada 2008'!$F$2:$F$5000,"&gt;="&amp;$F$5,'3 Base Entrada 2008'!$F$2:$F$5000,"&lt;="&amp;$H$5,'3 Base Entrada 2008'!$B$2:$B$5000,$T67,'3 Base Entrada 2008'!$C$2:$C$5000,$AG67,'3 Base Entrada 2008'!$K$2:$K$5000,$R$4),0)</f>
        <v>18</v>
      </c>
      <c r="AE67" s="0" t="str">
        <f aca="false">'5 Conciliação'!K41</f>
        <v>Saídas pelo depósito 0355 que não baixaram o estoque físico</v>
      </c>
      <c r="AF67" s="82" t="n">
        <f aca="false">IF(AND(AA67=1,AC67&lt;&gt;"Confere"),ABS(Z67)+ROW()/10000000,0)</f>
        <v>20.1000067</v>
      </c>
      <c r="AG67" s="82" t="s">
        <v>310</v>
      </c>
      <c r="AV67" s="0" t="str">
        <f aca="false">IFERROR(INDEX($AX$1:$AX$94,MATCH(66,$AY$1:$AY$94,0)),"")</f>
        <v>261070301</v>
      </c>
      <c r="AW67" s="82" t="s">
        <v>372</v>
      </c>
      <c r="AX67" s="82" t="s">
        <v>373</v>
      </c>
      <c r="AY67" s="82" t="n">
        <f aca="false">IF(OR($A$5="Todos",AW67=$A$5),MAX(AY$1:AY66)+1,0)</f>
        <v>67</v>
      </c>
      <c r="BB67" s="82" t="n">
        <f aca="false">MIN(IF(_xlfn.MINIFS('3 Base Entrada 2008'!$F$2:$F$5000,'3 Base Entrada 2008'!$F$2:$F$5000,"&gt;="&amp;$F$5,'3 Base Entrada 2008'!$F$2:$F$5000,"&lt;="&amp;$H$5,'3 Base Entrada 2008'!$B$2:$B$5000,$T67,'3 Base Entrada 2008'!$C$2:$C$5000,$AG67)=0,99999,_xlfn.MINIFS('3 Base Entrada 2008'!$F$2:$F$5000,'3 Base Entrada 2008'!$F$2:$F$5000,"&gt;="&amp;$F$5,'3 Base Entrada 2008'!$F$2:$F$5000,"&lt;="&amp;$H$5,'3 Base Entrada 2008'!$B$2:$B$5000,$T67,'3 Base Entrada 2008'!$C$2:$C$5000,$AG67)),IF(_xlfn.MINIFS('3 Base Saídas'!$G$2:$G$5000,'3 Base Saídas'!$G$2:$G$5000,"&gt;="&amp;$F$5,'3 Base Saídas'!$G$2:$G$5000,"&lt;="&amp;$H$5,'3 Base Saídas'!$B$2:$B$5000,$T67,'3 Base Saídas'!$C$2:$C$5000,$AG67)=0,99999,_xlfn.MINIFS('3 Base Saídas'!$G$2:$G$5000,'3 Base Saídas'!$G$2:$G$5000,"&gt;="&amp;$F$5,'3 Base Saídas'!$G$2:$G$5000,"&lt;="&amp;$H$5,'3 Base Saídas'!$B$2:$B$5000,$T67,'3 Base Saídas'!$C$2:$C$5000,$AG67)))</f>
        <v>46275</v>
      </c>
      <c r="BC67" s="82" t="n">
        <f aca="false">MAX(_xlfn.MAXIFS('3 Base Entrada 2008'!$F$2:$F$5000,'3 Base Entrada 2008'!$F$2:$F$5000,"&gt;="&amp;$F$5,'3 Base Entrada 2008'!$F$2:$F$5000,"&lt;="&amp;$H$5,'3 Base Entrada 2008'!$B$2:$B$5000,$T67,'3 Base Entrada 2008'!$C$2:$C$5000,$AG67),_xlfn.MAXIFS('3 Base Saídas'!$G$2:$G$5000,'3 Base Saídas'!$G$2:$G$5000,"&gt;="&amp;$F$5,'3 Base Saídas'!$G$2:$G$5000,"&lt;="&amp;$H$5,'3 Base Saídas'!$B$2:$B$5000,$T67,'3 Base Saídas'!$C$2:$C$5000,$AG67))</f>
        <v>46295</v>
      </c>
      <c r="BD67" s="0" t="str">
        <f aca="false">'5 Conciliação'!L41</f>
        <v>Confirmar a OT de saída (picking) das remessas para baixar 20.1 KG do estoque físico</v>
      </c>
      <c r="BE67" s="0" t="str">
        <f aca="false">'5 Conciliação'!Q41</f>
        <v>Saída sem baixa no estoque</v>
      </c>
      <c r="BF67" s="0" t="str">
        <f aca="false">'5 Conciliação'!R41</f>
        <v>Baixa</v>
      </c>
      <c r="BH67" s="82" t="n">
        <f aca="false">SUMIFS('3 Base Saldo Inicial 08-09'!$E$2:$E$5000,'3 Base Saldo Inicial 08-09'!$A$2:$A$5000,$T67,'3 Base Saldo Inicial 08-09'!$B$2:$B$5000,$AG67)-SUMIFS('3 Base Saldo Inicial 08-09'!$E$2:$E$5000,'3 Base Saldo Inicial 08-09'!$A$2:$A$5000,$T67,'3 Base Saldo Inicial 08-09'!$B$2:$B$5000,$AG67,'3 Base Saldo Inicial 08-09'!$C$2:$C$5000,"2008")</f>
        <v>0</v>
      </c>
    </row>
    <row r="68" customFormat="false" ht="15" hidden="false" customHeight="false" outlineLevel="0" collapsed="false">
      <c r="A68" s="111" t="str">
        <f aca="false">IF(IFERROR(MATCH(55,$AB$40:$AB$133,0),0)=0,"",INDEX($T$40:$T$133,IFERROR(MATCH(55,$AB$40:$AB$133,0),0)))</f>
        <v>CHM-TS-22351E0-999</v>
      </c>
      <c r="B68" s="111" t="str">
        <f aca="false">IF(IFERROR(MATCH(55,$AB$40:$AB$133,0),0)=0,"",INDEX($AG$40:$AG$133,IFERROR(MATCH(55,$AB$40:$AB$133,0),0)))</f>
        <v>2526050307</v>
      </c>
      <c r="C68" s="112" t="str">
        <f aca="false">IF(IFERROR(MATCH(55,$AB$40:$AB$133,0),0)=0,"",INDEX($U$40:$U$133,IFERROR(MATCH(55,$AB$40:$AB$133,0),0)))</f>
        <v>KG</v>
      </c>
      <c r="D68" s="113" t="n">
        <f aca="false">IF(IFERROR(MATCH(55,$AB$40:$AB$133,0),0)=0,"",INDEX($BH$40:$BH$133,IFERROR(MATCH(55,$AB$40:$AB$133,0),0)))</f>
        <v>0</v>
      </c>
      <c r="E68" s="113" t="n">
        <f aca="false">IF(IFERROR(MATCH(55,$AB$40:$AB$133,0),0)=0,"",INDEX($W$40:$W$133,IFERROR(MATCH(55,$AB$40:$AB$133,0),0)))</f>
        <v>295.12</v>
      </c>
      <c r="F68" s="113" t="n">
        <f aca="false">IF(IFERROR(MATCH(55,$AB$40:$AB$133,0),0)=0,"",INDEX($X$40:$X$133,IFERROR(MATCH(55,$AB$40:$AB$133,0),0)))</f>
        <v>0</v>
      </c>
      <c r="G68" s="113" t="n">
        <f aca="false">IF(A68="","",D68+E68-F68)</f>
        <v>295.12</v>
      </c>
      <c r="H68" s="113" t="n">
        <f aca="false">IF(IFERROR(MATCH(55,$AB$40:$AB$133,0),0)=0,"",INDEX($Y$40:$Y$133,IFERROR(MATCH(55,$AB$40:$AB$133,0),0)))</f>
        <v>295.12</v>
      </c>
      <c r="I68" s="114" t="n">
        <f aca="false">IF(IFERROR(MATCH(55,$AB$40:$AB$133,0),0)=0,"",INDEX($Z$40:$Z$133,IFERROR(MATCH(55,$AB$40:$AB$133,0),0)))</f>
        <v>0</v>
      </c>
      <c r="J68" s="115" t="str">
        <f aca="false">IF(IFERROR(MATCH(55,$AB$40:$AB$133,0),0)=0,"",INDEX($AC$40:$AC$133,IFERROR(MATCH(55,$AB$40:$AB$133,0),0)))</f>
        <v>Confere</v>
      </c>
      <c r="K68" s="116" t="n">
        <f aca="false">IF(IFERROR(MATCH(55,$AB$40:$AB$133,0),0)=0,"",INDEX($AD$40:$AD$133,IFERROR(MATCH(55,$AB$40:$AB$133,0),0)))</f>
        <v>1</v>
      </c>
      <c r="L68" s="117" t="n">
        <f aca="false">IF(IFERROR(MATCH(55,$AB$40:$AB$133,0),0)=0,"",IF(INDEX($BB$40:$BB$133,IFERROR(MATCH(55,$AB$40:$AB$133,0),0))&gt;=99999,"",INDEX($BB$40:$BB$133,IFERROR(MATCH(55,$AB$40:$AB$133,0),0))))</f>
        <v>46274</v>
      </c>
      <c r="M68" s="117" t="n">
        <f aca="false">IF(IFERROR(MATCH(55,$AB$40:$AB$133,0),0)=0,"",IF(INDEX($BC$40:$BC$133,IFERROR(MATCH(55,$AB$40:$AB$133,0),0))=0,"",INDEX($BC$40:$BC$133,IFERROR(MATCH(55,$AB$40:$AB$133,0),0))))</f>
        <v>46274</v>
      </c>
      <c r="N68" s="118" t="str">
        <f aca="false">IF(IFERROR(MATCH(55,$AB$40:$AB$133,0),0)=0,"",INDEX($AE$40:$AE$133,IFERROR(MATCH(55,$AB$40:$AB$133,0),0))&amp;"")</f>
        <v>Sem diferença</v>
      </c>
      <c r="O68" s="119" t="str">
        <f aca="false">IF(IFERROR(MATCH(55,$AB$40:$AB$133,0),0)=0,"",INDEX($BD$40:$BD$133,IFERROR(MATCH(55,$AB$40:$AB$133,0),0))&amp;"")</f>
        <v>Nenhum ajuste necessário</v>
      </c>
      <c r="T68" s="82" t="s">
        <v>186</v>
      </c>
      <c r="U68" s="82" t="s">
        <v>65</v>
      </c>
      <c r="V68" s="82" t="n">
        <f aca="false">SUMIFS('3 Base Entrada 2008'!$G$2:$G$5000,'3 Base Entrada 2008'!$F$2:$F$5000,"&gt;="&amp;$F$5,'3 Base Entrada 2008'!$F$2:$F$5000,"&lt;="&amp;$H$5,'3 Base Entrada 2008'!$B$2:$B$5000,$T68,'3 Base Entrada 2008'!$C$2:$C$5000,$AG68,'3 Base Entrada 2008'!$K$2:$K$5000,"Recebido no 2008")</f>
        <v>0</v>
      </c>
      <c r="W68" s="82" t="n">
        <f aca="false">SUMIFS('3 Base Entrada 2008'!$L$2:$L$5000,'3 Base Entrada 2008'!$F$2:$F$5000,"&gt;="&amp;$F$5,'3 Base Entrada 2008'!$F$2:$F$5000,"&lt;="&amp;$H$5,'3 Base Entrada 2008'!$B$2:$B$5000,$T68,'3 Base Entrada 2008'!$C$2:$C$5000,$AG68)</f>
        <v>1200</v>
      </c>
      <c r="X68" s="82" t="n">
        <f aca="false">SUMIFS('3 Base Saídas'!$R$2:$R$5000,'3 Base Saídas'!$G$2:$G$5000,"&gt;="&amp;$F$5,'3 Base Saídas'!$G$2:$G$5000,"&lt;="&amp;$H$5,'3 Base Saídas'!$B$2:$B$5000,$T68,'3 Base Saídas'!$C$2:$C$5000,$AG68)</f>
        <v>0</v>
      </c>
      <c r="Y68" s="82" t="n">
        <f aca="false">SUMIFS('3 Base Estoque Físico'!$J$2:$J$5000,'3 Base Estoque Físico'!$A$2:$A$5000,$T68,'3 Base Estoque Físico'!$B$2:$B$5000,$AG68)</f>
        <v>1200</v>
      </c>
      <c r="Z68" s="82" t="n">
        <f aca="false">ROUND(Y68-(BH68+W68-X68),3)</f>
        <v>0</v>
      </c>
      <c r="AA68" s="82" t="n">
        <f aca="false">IF(AND(U68=$R$3,OR($R$1="*",T68=$R$1),OR($R$2="*",AG68=$R$2),OR($R$6="*",AC68=$R$6),ABS(V68)+ABS(W68)+ABS(X68)+ABS(Y68)&gt;0),1,0)</f>
        <v>1</v>
      </c>
      <c r="AB68" s="82" t="n">
        <f aca="false">IF(AA68=1,SUM(AA$40:AA68),"")</f>
        <v>24</v>
      </c>
      <c r="AC68" s="0" t="str">
        <f aca="false">IF(ABS(Z68)&lt;=$R$5,"Confere",IF(Z68&gt;0,"Sobrando","Faltando"))</f>
        <v>Confere</v>
      </c>
      <c r="AD68" s="82" t="n">
        <f aca="false">IF(OR($R$4="*",$R$4="Saída"),COUNTIFS('3 Base Saídas'!$G$2:$G$5000,"&gt;="&amp;$F$5,'3 Base Saídas'!$G$2:$G$5000,"&lt;="&amp;$H$5,'3 Base Saídas'!$B$2:$B$5000,$T68,'3 Base Saídas'!$C$2:$C$5000,$AG68),0)+IF($R$4&lt;&gt;"Saída",COUNTIFS('3 Base Entrada 2008'!$F$2:$F$5000,"&gt;="&amp;$F$5,'3 Base Entrada 2008'!$F$2:$F$5000,"&lt;="&amp;$H$5,'3 Base Entrada 2008'!$B$2:$B$5000,$T68,'3 Base Entrada 2008'!$C$2:$C$5000,$AG68,'3 Base Entrada 2008'!$K$2:$K$5000,$R$4),0)</f>
        <v>2</v>
      </c>
      <c r="AE68" s="0" t="str">
        <f aca="false">'5 Conciliação'!K42</f>
        <v>Sem diferença</v>
      </c>
      <c r="AF68" s="82" t="n">
        <f aca="false">IF(AND(AA68=1,AC68&lt;&gt;"Confere"),ABS(Z68)+ROW()/10000000,0)</f>
        <v>0</v>
      </c>
      <c r="AG68" s="82" t="s">
        <v>187</v>
      </c>
      <c r="AV68" s="0" t="str">
        <f aca="false">IFERROR(INDEX($AX$1:$AX$94,MATCH(67,$AY$1:$AY$94,0)),"")</f>
        <v>260850602</v>
      </c>
      <c r="AW68" s="82" t="s">
        <v>372</v>
      </c>
      <c r="AX68" s="82" t="s">
        <v>374</v>
      </c>
      <c r="AY68" s="82" t="n">
        <f aca="false">IF(OR($A$5="Todos",AW68=$A$5),MAX(AY$1:AY67)+1,0)</f>
        <v>68</v>
      </c>
      <c r="BB68" s="82" t="n">
        <f aca="false">MIN(IF(_xlfn.MINIFS('3 Base Entrada 2008'!$F$2:$F$5000,'3 Base Entrada 2008'!$F$2:$F$5000,"&gt;="&amp;$F$5,'3 Base Entrada 2008'!$F$2:$F$5000,"&lt;="&amp;$H$5,'3 Base Entrada 2008'!$B$2:$B$5000,$T68,'3 Base Entrada 2008'!$C$2:$C$5000,$AG68)=0,99999,_xlfn.MINIFS('3 Base Entrada 2008'!$F$2:$F$5000,'3 Base Entrada 2008'!$F$2:$F$5000,"&gt;="&amp;$F$5,'3 Base Entrada 2008'!$F$2:$F$5000,"&lt;="&amp;$H$5,'3 Base Entrada 2008'!$B$2:$B$5000,$T68,'3 Base Entrada 2008'!$C$2:$C$5000,$AG68)),IF(_xlfn.MINIFS('3 Base Saídas'!$G$2:$G$5000,'3 Base Saídas'!$G$2:$G$5000,"&gt;="&amp;$F$5,'3 Base Saídas'!$G$2:$G$5000,"&lt;="&amp;$H$5,'3 Base Saídas'!$B$2:$B$5000,$T68,'3 Base Saídas'!$C$2:$C$5000,$AG68)=0,99999,_xlfn.MINIFS('3 Base Saídas'!$G$2:$G$5000,'3 Base Saídas'!$G$2:$G$5000,"&gt;="&amp;$F$5,'3 Base Saídas'!$G$2:$G$5000,"&lt;="&amp;$H$5,'3 Base Saídas'!$B$2:$B$5000,$T68,'3 Base Saídas'!$C$2:$C$5000,$AG68)))</f>
        <v>46289</v>
      </c>
      <c r="BC68" s="82" t="n">
        <f aca="false">MAX(_xlfn.MAXIFS('3 Base Entrada 2008'!$F$2:$F$5000,'3 Base Entrada 2008'!$F$2:$F$5000,"&gt;="&amp;$F$5,'3 Base Entrada 2008'!$F$2:$F$5000,"&lt;="&amp;$H$5,'3 Base Entrada 2008'!$B$2:$B$5000,$T68,'3 Base Entrada 2008'!$C$2:$C$5000,$AG68),_xlfn.MAXIFS('3 Base Saídas'!$G$2:$G$5000,'3 Base Saídas'!$G$2:$G$5000,"&gt;="&amp;$F$5,'3 Base Saídas'!$G$2:$G$5000,"&lt;="&amp;$H$5,'3 Base Saídas'!$B$2:$B$5000,$T68,'3 Base Saídas'!$C$2:$C$5000,$AG68))</f>
        <v>46289</v>
      </c>
      <c r="BD68" s="0" t="str">
        <f aca="false">'5 Conciliação'!L42</f>
        <v>Nenhum ajuste necessário</v>
      </c>
      <c r="BE68" s="0" t="str">
        <f aca="false">'5 Conciliação'!Q42</f>
        <v>—</v>
      </c>
      <c r="BF68" s="0" t="str">
        <f aca="false">'5 Conciliação'!R42</f>
        <v>—</v>
      </c>
      <c r="BH68" s="82" t="n">
        <f aca="false">SUMIFS('3 Base Saldo Inicial 08-09'!$E$2:$E$5000,'3 Base Saldo Inicial 08-09'!$A$2:$A$5000,$T68,'3 Base Saldo Inicial 08-09'!$B$2:$B$5000,$AG68)-SUMIFS('3 Base Saldo Inicial 08-09'!$E$2:$E$5000,'3 Base Saldo Inicial 08-09'!$A$2:$A$5000,$T68,'3 Base Saldo Inicial 08-09'!$B$2:$B$5000,$AG68,'3 Base Saldo Inicial 08-09'!$C$2:$C$5000,"2008")</f>
        <v>0</v>
      </c>
    </row>
    <row r="69" customFormat="false" ht="15" hidden="false" customHeight="false" outlineLevel="0" collapsed="false">
      <c r="A69" s="111" t="str">
        <f aca="false">IF(IFERROR(MATCH(56,$AB$40:$AB$133,0),0)=0,"",INDEX($T$40:$T$133,IFERROR(MATCH(56,$AB$40:$AB$133,0),0)))</f>
        <v>CHM-VR-Z3S-E0-U68</v>
      </c>
      <c r="B69" s="111" t="str">
        <f aca="false">IF(IFERROR(MATCH(56,$AB$40:$AB$133,0),0)=0,"",INDEX($AG$40:$AG$133,IFERROR(MATCH(56,$AB$40:$AB$133,0),0)))</f>
        <v>260400301</v>
      </c>
      <c r="C69" s="112" t="str">
        <f aca="false">IF(IFERROR(MATCH(56,$AB$40:$AB$133,0),0)=0,"",INDEX($U$40:$U$133,IFERROR(MATCH(56,$AB$40:$AB$133,0),0)))</f>
        <v>KG</v>
      </c>
      <c r="D69" s="113" t="n">
        <f aca="false">IF(IFERROR(MATCH(56,$AB$40:$AB$133,0),0)=0,"",INDEX($BH$40:$BH$133,IFERROR(MATCH(56,$AB$40:$AB$133,0),0)))</f>
        <v>0</v>
      </c>
      <c r="E69" s="113" t="n">
        <f aca="false">IF(IFERROR(MATCH(56,$AB$40:$AB$133,0),0)=0,"",INDEX($W$40:$W$133,IFERROR(MATCH(56,$AB$40:$AB$133,0),0)))</f>
        <v>432</v>
      </c>
      <c r="F69" s="113" t="n">
        <f aca="false">IF(IFERROR(MATCH(56,$AB$40:$AB$133,0),0)=0,"",INDEX($X$40:$X$133,IFERROR(MATCH(56,$AB$40:$AB$133,0),0)))</f>
        <v>0</v>
      </c>
      <c r="G69" s="113" t="n">
        <f aca="false">IF(A69="","",D69+E69-F69)</f>
        <v>432</v>
      </c>
      <c r="H69" s="113" t="n">
        <f aca="false">IF(IFERROR(MATCH(56,$AB$40:$AB$133,0),0)=0,"",INDEX($Y$40:$Y$133,IFERROR(MATCH(56,$AB$40:$AB$133,0),0)))</f>
        <v>432</v>
      </c>
      <c r="I69" s="114" t="n">
        <f aca="false">IF(IFERROR(MATCH(56,$AB$40:$AB$133,0),0)=0,"",INDEX($Z$40:$Z$133,IFERROR(MATCH(56,$AB$40:$AB$133,0),0)))</f>
        <v>0</v>
      </c>
      <c r="J69" s="115" t="str">
        <f aca="false">IF(IFERROR(MATCH(56,$AB$40:$AB$133,0),0)=0,"",INDEX($AC$40:$AC$133,IFERROR(MATCH(56,$AB$40:$AB$133,0),0)))</f>
        <v>Confere</v>
      </c>
      <c r="K69" s="116" t="n">
        <f aca="false">IF(IFERROR(MATCH(56,$AB$40:$AB$133,0),0)=0,"",INDEX($AD$40:$AD$133,IFERROR(MATCH(56,$AB$40:$AB$133,0),0)))</f>
        <v>1</v>
      </c>
      <c r="L69" s="117" t="n">
        <f aca="false">IF(IFERROR(MATCH(56,$AB$40:$AB$133,0),0)=0,"",IF(INDEX($BB$40:$BB$133,IFERROR(MATCH(56,$AB$40:$AB$133,0),0))&gt;=99999,"",INDEX($BB$40:$BB$133,IFERROR(MATCH(56,$AB$40:$AB$133,0),0))))</f>
        <v>46294</v>
      </c>
      <c r="M69" s="117" t="n">
        <f aca="false">IF(IFERROR(MATCH(56,$AB$40:$AB$133,0),0)=0,"",IF(INDEX($BC$40:$BC$133,IFERROR(MATCH(56,$AB$40:$AB$133,0),0))=0,"",INDEX($BC$40:$BC$133,IFERROR(MATCH(56,$AB$40:$AB$133,0),0))))</f>
        <v>46294</v>
      </c>
      <c r="N69" s="118" t="str">
        <f aca="false">IF(IFERROR(MATCH(56,$AB$40:$AB$133,0),0)=0,"",INDEX($AE$40:$AE$133,IFERROR(MATCH(56,$AB$40:$AB$133,0),0))&amp;"")</f>
        <v>Sem diferença</v>
      </c>
      <c r="O69" s="119" t="str">
        <f aca="false">IF(IFERROR(MATCH(56,$AB$40:$AB$133,0),0)=0,"",INDEX($BD$40:$BD$133,IFERROR(MATCH(56,$AB$40:$AB$133,0),0))&amp;"")</f>
        <v>Nenhum ajuste necessário</v>
      </c>
      <c r="T69" s="82" t="s">
        <v>192</v>
      </c>
      <c r="U69" s="82" t="s">
        <v>65</v>
      </c>
      <c r="V69" s="82" t="n">
        <f aca="false">SUMIFS('3 Base Entrada 2008'!$G$2:$G$5000,'3 Base Entrada 2008'!$F$2:$F$5000,"&gt;="&amp;$F$5,'3 Base Entrada 2008'!$F$2:$F$5000,"&lt;="&amp;$H$5,'3 Base Entrada 2008'!$B$2:$B$5000,$T69,'3 Base Entrada 2008'!$C$2:$C$5000,$AG69,'3 Base Entrada 2008'!$K$2:$K$5000,"Recebido no 2008")</f>
        <v>0</v>
      </c>
      <c r="W69" s="82" t="n">
        <f aca="false">SUMIFS('3 Base Entrada 2008'!$L$2:$L$5000,'3 Base Entrada 2008'!$F$2:$F$5000,"&gt;="&amp;$F$5,'3 Base Entrada 2008'!$F$2:$F$5000,"&lt;="&amp;$H$5,'3 Base Entrada 2008'!$B$2:$B$5000,$T69,'3 Base Entrada 2008'!$C$2:$C$5000,$AG69)</f>
        <v>3015</v>
      </c>
      <c r="X69" s="82" t="n">
        <f aca="false">SUMIFS('3 Base Saídas'!$R$2:$R$5000,'3 Base Saídas'!$G$2:$G$5000,"&gt;="&amp;$F$5,'3 Base Saídas'!$G$2:$G$5000,"&lt;="&amp;$H$5,'3 Base Saídas'!$B$2:$B$5000,$T69,'3 Base Saídas'!$C$2:$C$5000,$AG69)</f>
        <v>2673.3</v>
      </c>
      <c r="Y69" s="82" t="n">
        <f aca="false">SUMIFS('3 Base Estoque Físico'!$J$2:$J$5000,'3 Base Estoque Físico'!$A$2:$A$5000,$T69,'3 Base Estoque Físico'!$B$2:$B$5000,$AG69)</f>
        <v>341.7</v>
      </c>
      <c r="Z69" s="82" t="n">
        <f aca="false">ROUND(Y69-(BH69+W69-X69),3)</f>
        <v>0</v>
      </c>
      <c r="AA69" s="82" t="n">
        <f aca="false">IF(AND(U69=$R$3,OR($R$1="*",T69=$R$1),OR($R$2="*",AG69=$R$2),OR($R$6="*",AC69=$R$6),ABS(V69)+ABS(W69)+ABS(X69)+ABS(Y69)&gt;0),1,0)</f>
        <v>1</v>
      </c>
      <c r="AB69" s="82" t="n">
        <f aca="false">IF(AA69=1,SUM(AA$40:AA69),"")</f>
        <v>25</v>
      </c>
      <c r="AC69" s="0" t="str">
        <f aca="false">IF(ABS(Z69)&lt;=$R$5,"Confere",IF(Z69&gt;0,"Sobrando","Faltando"))</f>
        <v>Confere</v>
      </c>
      <c r="AD69" s="82" t="n">
        <f aca="false">IF(OR($R$4="*",$R$4="Saída"),COUNTIFS('3 Base Saídas'!$G$2:$G$5000,"&gt;="&amp;$F$5,'3 Base Saídas'!$G$2:$G$5000,"&lt;="&amp;$H$5,'3 Base Saídas'!$B$2:$B$5000,$T69,'3 Base Saídas'!$C$2:$C$5000,$AG69),0)+IF($R$4&lt;&gt;"Saída",COUNTIFS('3 Base Entrada 2008'!$F$2:$F$5000,"&gt;="&amp;$F$5,'3 Base Entrada 2008'!$F$2:$F$5000,"&lt;="&amp;$H$5,'3 Base Entrada 2008'!$B$2:$B$5000,$T69,'3 Base Entrada 2008'!$C$2:$C$5000,$AG69,'3 Base Entrada 2008'!$K$2:$K$5000,$R$4),0)</f>
        <v>20</v>
      </c>
      <c r="AE69" s="0" t="str">
        <f aca="false">'5 Conciliação'!K43</f>
        <v>Sem diferença</v>
      </c>
      <c r="AF69" s="82" t="n">
        <f aca="false">IF(AND(AA69=1,AC69&lt;&gt;"Confere"),ABS(Z69)+ROW()/10000000,0)</f>
        <v>0</v>
      </c>
      <c r="AG69" s="82" t="s">
        <v>195</v>
      </c>
      <c r="AV69" s="0" t="str">
        <f aca="false">IFERROR(INDEX($AX$1:$AX$94,MATCH(68,$AY$1:$AY$94,0)),"")</f>
        <v>261070601</v>
      </c>
      <c r="AW69" s="82" t="s">
        <v>281</v>
      </c>
      <c r="AX69" s="82" t="s">
        <v>282</v>
      </c>
      <c r="AY69" s="82" t="n">
        <f aca="false">IF(OR($A$5="Todos",AW69=$A$5),MAX(AY$1:AY68)+1,0)</f>
        <v>69</v>
      </c>
      <c r="BB69" s="82" t="n">
        <f aca="false">MIN(IF(_xlfn.MINIFS('3 Base Entrada 2008'!$F$2:$F$5000,'3 Base Entrada 2008'!$F$2:$F$5000,"&gt;="&amp;$F$5,'3 Base Entrada 2008'!$F$2:$F$5000,"&lt;="&amp;$H$5,'3 Base Entrada 2008'!$B$2:$B$5000,$T69,'3 Base Entrada 2008'!$C$2:$C$5000,$AG69)=0,99999,_xlfn.MINIFS('3 Base Entrada 2008'!$F$2:$F$5000,'3 Base Entrada 2008'!$F$2:$F$5000,"&gt;="&amp;$F$5,'3 Base Entrada 2008'!$F$2:$F$5000,"&lt;="&amp;$H$5,'3 Base Entrada 2008'!$B$2:$B$5000,$T69,'3 Base Entrada 2008'!$C$2:$C$5000,$AG69)),IF(_xlfn.MINIFS('3 Base Saídas'!$G$2:$G$5000,'3 Base Saídas'!$G$2:$G$5000,"&gt;="&amp;$F$5,'3 Base Saídas'!$G$2:$G$5000,"&lt;="&amp;$H$5,'3 Base Saídas'!$B$2:$B$5000,$T69,'3 Base Saídas'!$C$2:$C$5000,$AG69)=0,99999,_xlfn.MINIFS('3 Base Saídas'!$G$2:$G$5000,'3 Base Saídas'!$G$2:$G$5000,"&gt;="&amp;$F$5,'3 Base Saídas'!$G$2:$G$5000,"&lt;="&amp;$H$5,'3 Base Saídas'!$B$2:$B$5000,$T69,'3 Base Saídas'!$C$2:$C$5000,$AG69)))</f>
        <v>46288</v>
      </c>
      <c r="BC69" s="82" t="n">
        <f aca="false">MAX(_xlfn.MAXIFS('3 Base Entrada 2008'!$F$2:$F$5000,'3 Base Entrada 2008'!$F$2:$F$5000,"&gt;="&amp;$F$5,'3 Base Entrada 2008'!$F$2:$F$5000,"&lt;="&amp;$H$5,'3 Base Entrada 2008'!$B$2:$B$5000,$T69,'3 Base Entrada 2008'!$C$2:$C$5000,$AG69),_xlfn.MAXIFS('3 Base Saídas'!$G$2:$G$5000,'3 Base Saídas'!$G$2:$G$5000,"&gt;="&amp;$F$5,'3 Base Saídas'!$G$2:$G$5000,"&lt;="&amp;$H$5,'3 Base Saídas'!$B$2:$B$5000,$T69,'3 Base Saídas'!$C$2:$C$5000,$AG69))</f>
        <v>46295</v>
      </c>
      <c r="BD69" s="0" t="str">
        <f aca="false">'5 Conciliação'!L43</f>
        <v>Nenhum ajuste necessário</v>
      </c>
      <c r="BE69" s="0" t="str">
        <f aca="false">'5 Conciliação'!Q43</f>
        <v>—</v>
      </c>
      <c r="BF69" s="0" t="str">
        <f aca="false">'5 Conciliação'!R43</f>
        <v>—</v>
      </c>
      <c r="BH69" s="82" t="n">
        <f aca="false">SUMIFS('3 Base Saldo Inicial 08-09'!$E$2:$E$5000,'3 Base Saldo Inicial 08-09'!$A$2:$A$5000,$T69,'3 Base Saldo Inicial 08-09'!$B$2:$B$5000,$AG69)-SUMIFS('3 Base Saldo Inicial 08-09'!$E$2:$E$5000,'3 Base Saldo Inicial 08-09'!$A$2:$A$5000,$T69,'3 Base Saldo Inicial 08-09'!$B$2:$B$5000,$AG69,'3 Base Saldo Inicial 08-09'!$C$2:$C$5000,"2008")</f>
        <v>0</v>
      </c>
    </row>
    <row r="70" customFormat="false" ht="15" hidden="false" customHeight="false" outlineLevel="0" collapsed="false">
      <c r="A70" s="111" t="str">
        <f aca="false">IF(IFERROR(MATCH(57,$AB$40:$AB$133,0),0)=0,"",INDEX($T$40:$T$133,IFERROR(MATCH(57,$AB$40:$AB$133,0),0)))</f>
        <v>CHM-VR-Z3S-E0-U72</v>
      </c>
      <c r="B70" s="111" t="str">
        <f aca="false">IF(IFERROR(MATCH(57,$AB$40:$AB$133,0),0)=0,"",INDEX($AG$40:$AG$133,IFERROR(MATCH(57,$AB$40:$AB$133,0),0)))</f>
        <v>260600103</v>
      </c>
      <c r="C70" s="112" t="str">
        <f aca="false">IF(IFERROR(MATCH(57,$AB$40:$AB$133,0),0)=0,"",INDEX($U$40:$U$133,IFERROR(MATCH(57,$AB$40:$AB$133,0),0)))</f>
        <v>KG</v>
      </c>
      <c r="D70" s="113" t="n">
        <f aca="false">IF(IFERROR(MATCH(57,$AB$40:$AB$133,0),0)=0,"",INDEX($BH$40:$BH$133,IFERROR(MATCH(57,$AB$40:$AB$133,0),0)))</f>
        <v>0</v>
      </c>
      <c r="E70" s="113" t="n">
        <f aca="false">IF(IFERROR(MATCH(57,$AB$40:$AB$133,0),0)=0,"",INDEX($W$40:$W$133,IFERROR(MATCH(57,$AB$40:$AB$133,0),0)))</f>
        <v>0</v>
      </c>
      <c r="F70" s="113" t="n">
        <f aca="false">IF(IFERROR(MATCH(57,$AB$40:$AB$133,0),0)=0,"",INDEX($X$40:$X$133,IFERROR(MATCH(57,$AB$40:$AB$133,0),0)))</f>
        <v>0</v>
      </c>
      <c r="G70" s="113" t="n">
        <f aca="false">IF(A70="","",D70+E70-F70)</f>
        <v>0</v>
      </c>
      <c r="H70" s="113" t="n">
        <f aca="false">IF(IFERROR(MATCH(57,$AB$40:$AB$133,0),0)=0,"",INDEX($Y$40:$Y$133,IFERROR(MATCH(57,$AB$40:$AB$133,0),0)))</f>
        <v>0</v>
      </c>
      <c r="I70" s="114" t="n">
        <f aca="false">IF(IFERROR(MATCH(57,$AB$40:$AB$133,0),0)=0,"",INDEX($Z$40:$Z$133,IFERROR(MATCH(57,$AB$40:$AB$133,0),0)))</f>
        <v>0</v>
      </c>
      <c r="J70" s="115" t="str">
        <f aca="false">IF(IFERROR(MATCH(57,$AB$40:$AB$133,0),0)=0,"",INDEX($AC$40:$AC$133,IFERROR(MATCH(57,$AB$40:$AB$133,0),0)))</f>
        <v>Confere</v>
      </c>
      <c r="K70" s="116" t="n">
        <f aca="false">IF(IFERROR(MATCH(57,$AB$40:$AB$133,0),0)=0,"",INDEX($AD$40:$AD$133,IFERROR(MATCH(57,$AB$40:$AB$133,0),0)))</f>
        <v>1</v>
      </c>
      <c r="L70" s="117" t="n">
        <f aca="false">IF(IFERROR(MATCH(57,$AB$40:$AB$133,0),0)=0,"",IF(INDEX($BB$40:$BB$133,IFERROR(MATCH(57,$AB$40:$AB$133,0),0))&gt;=99999,"",INDEX($BB$40:$BB$133,IFERROR(MATCH(57,$AB$40:$AB$133,0),0))))</f>
        <v>46280</v>
      </c>
      <c r="M70" s="117" t="n">
        <f aca="false">IF(IFERROR(MATCH(57,$AB$40:$AB$133,0),0)=0,"",IF(INDEX($BC$40:$BC$133,IFERROR(MATCH(57,$AB$40:$AB$133,0),0))=0,"",INDEX($BC$40:$BC$133,IFERROR(MATCH(57,$AB$40:$AB$133,0),0))))</f>
        <v>46280</v>
      </c>
      <c r="N70" s="118" t="str">
        <f aca="false">IF(IFERROR(MATCH(57,$AB$40:$AB$133,0),0)=0,"",INDEX($AE$40:$AE$133,IFERROR(MATCH(57,$AB$40:$AB$133,0),0))&amp;"")</f>
        <v>Sem diferença</v>
      </c>
      <c r="O70" s="119" t="str">
        <f aca="false">IF(IFERROR(MATCH(57,$AB$40:$AB$133,0),0)=0,"",INDEX($BD$40:$BD$133,IFERROR(MATCH(57,$AB$40:$AB$133,0),0))&amp;"")</f>
        <v>Nenhum ajuste necessário</v>
      </c>
      <c r="T70" s="82" t="s">
        <v>201</v>
      </c>
      <c r="U70" s="82" t="s">
        <v>65</v>
      </c>
      <c r="V70" s="82" t="n">
        <f aca="false">SUMIFS('3 Base Entrada 2008'!$G$2:$G$5000,'3 Base Entrada 2008'!$F$2:$F$5000,"&gt;="&amp;$F$5,'3 Base Entrada 2008'!$F$2:$F$5000,"&lt;="&amp;$H$5,'3 Base Entrada 2008'!$B$2:$B$5000,$T70,'3 Base Entrada 2008'!$C$2:$C$5000,$AG70,'3 Base Entrada 2008'!$K$2:$K$5000,"Recebido no 2008")</f>
        <v>0</v>
      </c>
      <c r="W70" s="82" t="n">
        <f aca="false">SUMIFS('3 Base Entrada 2008'!$L$2:$L$5000,'3 Base Entrada 2008'!$F$2:$F$5000,"&gt;="&amp;$F$5,'3 Base Entrada 2008'!$F$2:$F$5000,"&lt;="&amp;$H$5,'3 Base Entrada 2008'!$B$2:$B$5000,$T70,'3 Base Entrada 2008'!$C$2:$C$5000,$AG70)</f>
        <v>142.8</v>
      </c>
      <c r="X70" s="82" t="n">
        <f aca="false">SUMIFS('3 Base Saídas'!$R$2:$R$5000,'3 Base Saídas'!$G$2:$G$5000,"&gt;="&amp;$F$5,'3 Base Saídas'!$G$2:$G$5000,"&lt;="&amp;$H$5,'3 Base Saídas'!$B$2:$B$5000,$T70,'3 Base Saídas'!$C$2:$C$5000,$AG70)</f>
        <v>0</v>
      </c>
      <c r="Y70" s="82" t="n">
        <f aca="false">SUMIFS('3 Base Estoque Físico'!$J$2:$J$5000,'3 Base Estoque Físico'!$A$2:$A$5000,$T70,'3 Base Estoque Físico'!$B$2:$B$5000,$AG70)</f>
        <v>142.8</v>
      </c>
      <c r="Z70" s="82" t="n">
        <f aca="false">ROUND(Y70-(BH70+W70-X70),3)</f>
        <v>0</v>
      </c>
      <c r="AA70" s="82" t="n">
        <f aca="false">IF(AND(U70=$R$3,OR($R$1="*",T70=$R$1),OR($R$2="*",AG70=$R$2),OR($R$6="*",AC70=$R$6),ABS(V70)+ABS(W70)+ABS(X70)+ABS(Y70)&gt;0),1,0)</f>
        <v>1</v>
      </c>
      <c r="AB70" s="82" t="n">
        <f aca="false">IF(AA70=1,SUM(AA$40:AA70),"")</f>
        <v>26</v>
      </c>
      <c r="AC70" s="0" t="str">
        <f aca="false">IF(ABS(Z70)&lt;=$R$5,"Confere",IF(Z70&gt;0,"Sobrando","Faltando"))</f>
        <v>Confere</v>
      </c>
      <c r="AD70" s="82" t="n">
        <f aca="false">IF(OR($R$4="*",$R$4="Saída"),COUNTIFS('3 Base Saídas'!$G$2:$G$5000,"&gt;="&amp;$F$5,'3 Base Saídas'!$G$2:$G$5000,"&lt;="&amp;$H$5,'3 Base Saídas'!$B$2:$B$5000,$T70,'3 Base Saídas'!$C$2:$C$5000,$AG70),0)+IF($R$4&lt;&gt;"Saída",COUNTIFS('3 Base Entrada 2008'!$F$2:$F$5000,"&gt;="&amp;$F$5,'3 Base Entrada 2008'!$F$2:$F$5000,"&lt;="&amp;$H$5,'3 Base Entrada 2008'!$B$2:$B$5000,$T70,'3 Base Entrada 2008'!$C$2:$C$5000,$AG70,'3 Base Entrada 2008'!$K$2:$K$5000,$R$4),0)</f>
        <v>1</v>
      </c>
      <c r="AE70" s="0" t="str">
        <f aca="false">'5 Conciliação'!K44</f>
        <v>Sem diferença</v>
      </c>
      <c r="AF70" s="82" t="n">
        <f aca="false">IF(AND(AA70=1,AC70&lt;&gt;"Confere"),ABS(Z70)+ROW()/10000000,0)</f>
        <v>0</v>
      </c>
      <c r="AG70" s="82" t="s">
        <v>203</v>
      </c>
      <c r="AV70" s="0" t="str">
        <f aca="false">IFERROR(INDEX($AX$1:$AX$94,MATCH(69,$AY$1:$AY$94,0)),"")</f>
        <v>260778132</v>
      </c>
      <c r="AW70" s="82" t="s">
        <v>375</v>
      </c>
      <c r="AX70" s="82" t="s">
        <v>376</v>
      </c>
      <c r="AY70" s="82" t="n">
        <f aca="false">IF(OR($A$5="Todos",AW70=$A$5),MAX(AY$1:AY69)+1,0)</f>
        <v>70</v>
      </c>
      <c r="BB70" s="82" t="n">
        <f aca="false">MIN(IF(_xlfn.MINIFS('3 Base Entrada 2008'!$F$2:$F$5000,'3 Base Entrada 2008'!$F$2:$F$5000,"&gt;="&amp;$F$5,'3 Base Entrada 2008'!$F$2:$F$5000,"&lt;="&amp;$H$5,'3 Base Entrada 2008'!$B$2:$B$5000,$T70,'3 Base Entrada 2008'!$C$2:$C$5000,$AG70)=0,99999,_xlfn.MINIFS('3 Base Entrada 2008'!$F$2:$F$5000,'3 Base Entrada 2008'!$F$2:$F$5000,"&gt;="&amp;$F$5,'3 Base Entrada 2008'!$F$2:$F$5000,"&lt;="&amp;$H$5,'3 Base Entrada 2008'!$B$2:$B$5000,$T70,'3 Base Entrada 2008'!$C$2:$C$5000,$AG70)),IF(_xlfn.MINIFS('3 Base Saídas'!$G$2:$G$5000,'3 Base Saídas'!$G$2:$G$5000,"&gt;="&amp;$F$5,'3 Base Saídas'!$G$2:$G$5000,"&lt;="&amp;$H$5,'3 Base Saídas'!$B$2:$B$5000,$T70,'3 Base Saídas'!$C$2:$C$5000,$AG70)=0,99999,_xlfn.MINIFS('3 Base Saídas'!$G$2:$G$5000,'3 Base Saídas'!$G$2:$G$5000,"&gt;="&amp;$F$5,'3 Base Saídas'!$G$2:$G$5000,"&lt;="&amp;$H$5,'3 Base Saídas'!$B$2:$B$5000,$T70,'3 Base Saídas'!$C$2:$C$5000,$AG70)))</f>
        <v>46294</v>
      </c>
      <c r="BC70" s="82" t="n">
        <f aca="false">MAX(_xlfn.MAXIFS('3 Base Entrada 2008'!$F$2:$F$5000,'3 Base Entrada 2008'!$F$2:$F$5000,"&gt;="&amp;$F$5,'3 Base Entrada 2008'!$F$2:$F$5000,"&lt;="&amp;$H$5,'3 Base Entrada 2008'!$B$2:$B$5000,$T70,'3 Base Entrada 2008'!$C$2:$C$5000,$AG70),_xlfn.MAXIFS('3 Base Saídas'!$G$2:$G$5000,'3 Base Saídas'!$G$2:$G$5000,"&gt;="&amp;$F$5,'3 Base Saídas'!$G$2:$G$5000,"&lt;="&amp;$H$5,'3 Base Saídas'!$B$2:$B$5000,$T70,'3 Base Saídas'!$C$2:$C$5000,$AG70))</f>
        <v>46294</v>
      </c>
      <c r="BD70" s="0" t="str">
        <f aca="false">'5 Conciliação'!L44</f>
        <v>Nenhum ajuste necessário</v>
      </c>
      <c r="BE70" s="0" t="str">
        <f aca="false">'5 Conciliação'!Q44</f>
        <v>—</v>
      </c>
      <c r="BF70" s="0" t="str">
        <f aca="false">'5 Conciliação'!R44</f>
        <v>—</v>
      </c>
      <c r="BH70" s="82" t="n">
        <f aca="false">SUMIFS('3 Base Saldo Inicial 08-09'!$E$2:$E$5000,'3 Base Saldo Inicial 08-09'!$A$2:$A$5000,$T70,'3 Base Saldo Inicial 08-09'!$B$2:$B$5000,$AG70)-SUMIFS('3 Base Saldo Inicial 08-09'!$E$2:$E$5000,'3 Base Saldo Inicial 08-09'!$A$2:$A$5000,$T70,'3 Base Saldo Inicial 08-09'!$B$2:$B$5000,$AG70,'3 Base Saldo Inicial 08-09'!$C$2:$C$5000,"2008")</f>
        <v>0</v>
      </c>
    </row>
    <row r="71" customFormat="false" ht="15" hidden="false" customHeight="false" outlineLevel="0" collapsed="false">
      <c r="A71" s="111" t="str">
        <f aca="false">IF(IFERROR(MATCH(58,$AB$40:$AB$133,0),0)=0,"",INDEX($T$40:$T$133,IFERROR(MATCH(58,$AB$40:$AB$133,0),0)))</f>
        <v>CHR-Q37RB2-2B-U75</v>
      </c>
      <c r="B71" s="111" t="str">
        <f aca="false">IF(IFERROR(MATCH(58,$AB$40:$AB$133,0),0)=0,"",INDEX($AG$40:$AG$133,IFERROR(MATCH(58,$AB$40:$AB$133,0),0)))</f>
        <v>261320202</v>
      </c>
      <c r="C71" s="112" t="str">
        <f aca="false">IF(IFERROR(MATCH(58,$AB$40:$AB$133,0),0)=0,"",INDEX($U$40:$U$133,IFERROR(MATCH(58,$AB$40:$AB$133,0),0)))</f>
        <v>KG</v>
      </c>
      <c r="D71" s="113" t="n">
        <f aca="false">IF(IFERROR(MATCH(58,$AB$40:$AB$133,0),0)=0,"",INDEX($BH$40:$BH$133,IFERROR(MATCH(58,$AB$40:$AB$133,0),0)))</f>
        <v>0</v>
      </c>
      <c r="E71" s="113" t="n">
        <f aca="false">IF(IFERROR(MATCH(58,$AB$40:$AB$133,0),0)=0,"",INDEX($W$40:$W$133,IFERROR(MATCH(58,$AB$40:$AB$133,0),0)))</f>
        <v>1860</v>
      </c>
      <c r="F71" s="113" t="n">
        <f aca="false">IF(IFERROR(MATCH(58,$AB$40:$AB$133,0),0)=0,"",INDEX($X$40:$X$133,IFERROR(MATCH(58,$AB$40:$AB$133,0),0)))</f>
        <v>770</v>
      </c>
      <c r="G71" s="113" t="n">
        <f aca="false">IF(A71="","",D71+E71-F71)</f>
        <v>1090</v>
      </c>
      <c r="H71" s="113" t="n">
        <f aca="false">IF(IFERROR(MATCH(58,$AB$40:$AB$133,0),0)=0,"",INDEX($Y$40:$Y$133,IFERROR(MATCH(58,$AB$40:$AB$133,0),0)))</f>
        <v>1090</v>
      </c>
      <c r="I71" s="114" t="n">
        <f aca="false">IF(IFERROR(MATCH(58,$AB$40:$AB$133,0),0)=0,"",INDEX($Z$40:$Z$133,IFERROR(MATCH(58,$AB$40:$AB$133,0),0)))</f>
        <v>0</v>
      </c>
      <c r="J71" s="115" t="str">
        <f aca="false">IF(IFERROR(MATCH(58,$AB$40:$AB$133,0),0)=0,"",INDEX($AC$40:$AC$133,IFERROR(MATCH(58,$AB$40:$AB$133,0),0)))</f>
        <v>Confere</v>
      </c>
      <c r="K71" s="116" t="n">
        <f aca="false">IF(IFERROR(MATCH(58,$AB$40:$AB$133,0),0)=0,"",INDEX($AD$40:$AD$133,IFERROR(MATCH(58,$AB$40:$AB$133,0),0)))</f>
        <v>33</v>
      </c>
      <c r="L71" s="117" t="n">
        <f aca="false">IF(IFERROR(MATCH(58,$AB$40:$AB$133,0),0)=0,"",IF(INDEX($BB$40:$BB$133,IFERROR(MATCH(58,$AB$40:$AB$133,0),0))&gt;=99999,"",INDEX($BB$40:$BB$133,IFERROR(MATCH(58,$AB$40:$AB$133,0),0))))</f>
        <v>46289</v>
      </c>
      <c r="M71" s="117" t="n">
        <f aca="false">IF(IFERROR(MATCH(58,$AB$40:$AB$133,0),0)=0,"",IF(INDEX($BC$40:$BC$133,IFERROR(MATCH(58,$AB$40:$AB$133,0),0))=0,"",INDEX($BC$40:$BC$133,IFERROR(MATCH(58,$AB$40:$AB$133,0),0))))</f>
        <v>46295</v>
      </c>
      <c r="N71" s="118" t="str">
        <f aca="false">IF(IFERROR(MATCH(58,$AB$40:$AB$133,0),0)=0,"",INDEX($AE$40:$AE$133,IFERROR(MATCH(58,$AB$40:$AB$133,0),0))&amp;"")</f>
        <v>Sem diferença</v>
      </c>
      <c r="O71" s="119" t="str">
        <f aca="false">IF(IFERROR(MATCH(58,$AB$40:$AB$133,0),0)=0,"",INDEX($BD$40:$BD$133,IFERROR(MATCH(58,$AB$40:$AB$133,0),0))&amp;"")</f>
        <v>Nenhum ajuste necessário</v>
      </c>
      <c r="T71" s="82" t="s">
        <v>211</v>
      </c>
      <c r="U71" s="82" t="s">
        <v>65</v>
      </c>
      <c r="V71" s="82" t="n">
        <f aca="false">SUMIFS('3 Base Entrada 2008'!$G$2:$G$5000,'3 Base Entrada 2008'!$F$2:$F$5000,"&gt;="&amp;$F$5,'3 Base Entrada 2008'!$F$2:$F$5000,"&lt;="&amp;$H$5,'3 Base Entrada 2008'!$B$2:$B$5000,$T71,'3 Base Entrada 2008'!$C$2:$C$5000,$AG71,'3 Base Entrada 2008'!$K$2:$K$5000,"Recebido no 2008")</f>
        <v>0</v>
      </c>
      <c r="W71" s="82" t="n">
        <f aca="false">SUMIFS('3 Base Entrada 2008'!$L$2:$L$5000,'3 Base Entrada 2008'!$F$2:$F$5000,"&gt;="&amp;$F$5,'3 Base Entrada 2008'!$F$2:$F$5000,"&lt;="&amp;$H$5,'3 Base Entrada 2008'!$B$2:$B$5000,$T71,'3 Base Entrada 2008'!$C$2:$C$5000,$AG71)</f>
        <v>1500</v>
      </c>
      <c r="X71" s="82" t="n">
        <f aca="false">SUMIFS('3 Base Saídas'!$R$2:$R$5000,'3 Base Saídas'!$G$2:$G$5000,"&gt;="&amp;$F$5,'3 Base Saídas'!$G$2:$G$5000,"&lt;="&amp;$H$5,'3 Base Saídas'!$B$2:$B$5000,$T71,'3 Base Saídas'!$C$2:$C$5000,$AG71)</f>
        <v>0</v>
      </c>
      <c r="Y71" s="82" t="n">
        <f aca="false">SUMIFS('3 Base Estoque Físico'!$J$2:$J$5000,'3 Base Estoque Físico'!$A$2:$A$5000,$T71,'3 Base Estoque Físico'!$B$2:$B$5000,$AG71)</f>
        <v>1500</v>
      </c>
      <c r="Z71" s="82" t="n">
        <f aca="false">ROUND(Y71-(BH71+W71-X71),3)</f>
        <v>0</v>
      </c>
      <c r="AA71" s="82" t="n">
        <f aca="false">IF(AND(U71=$R$3,OR($R$1="*",T71=$R$1),OR($R$2="*",AG71=$R$2),OR($R$6="*",AC71=$R$6),ABS(V71)+ABS(W71)+ABS(X71)+ABS(Y71)&gt;0),1,0)</f>
        <v>1</v>
      </c>
      <c r="AB71" s="82" t="n">
        <f aca="false">IF(AA71=1,SUM(AA$40:AA71),"")</f>
        <v>27</v>
      </c>
      <c r="AC71" s="0" t="str">
        <f aca="false">IF(ABS(Z71)&lt;=$R$5,"Confere",IF(Z71&gt;0,"Sobrando","Faltando"))</f>
        <v>Confere</v>
      </c>
      <c r="AD71" s="82" t="n">
        <f aca="false">IF(OR($R$4="*",$R$4="Saída"),COUNTIFS('3 Base Saídas'!$G$2:$G$5000,"&gt;="&amp;$F$5,'3 Base Saídas'!$G$2:$G$5000,"&lt;="&amp;$H$5,'3 Base Saídas'!$B$2:$B$5000,$T71,'3 Base Saídas'!$C$2:$C$5000,$AG71),0)+IF($R$4&lt;&gt;"Saída",COUNTIFS('3 Base Entrada 2008'!$F$2:$F$5000,"&gt;="&amp;$F$5,'3 Base Entrada 2008'!$F$2:$F$5000,"&lt;="&amp;$H$5,'3 Base Entrada 2008'!$B$2:$B$5000,$T71,'3 Base Entrada 2008'!$C$2:$C$5000,$AG71,'3 Base Entrada 2008'!$K$2:$K$5000,$R$4),0)</f>
        <v>4</v>
      </c>
      <c r="AE71" s="0" t="str">
        <f aca="false">'5 Conciliação'!K45</f>
        <v>Sem diferença</v>
      </c>
      <c r="AF71" s="82" t="n">
        <f aca="false">IF(AND(AA71=1,AC71&lt;&gt;"Confere"),ABS(Z71)+ROW()/10000000,0)</f>
        <v>0</v>
      </c>
      <c r="AG71" s="82" t="s">
        <v>214</v>
      </c>
      <c r="AV71" s="0" t="str">
        <f aca="false">IFERROR(INDEX($AX$1:$AX$94,MATCH(70,$AY$1:$AY$94,0)),"")</f>
        <v>261388131</v>
      </c>
      <c r="AW71" s="82" t="s">
        <v>377</v>
      </c>
      <c r="AX71" s="82" t="s">
        <v>378</v>
      </c>
      <c r="AY71" s="82" t="n">
        <f aca="false">IF(OR($A$5="Todos",AW71=$A$5),MAX(AY$1:AY70)+1,0)</f>
        <v>71</v>
      </c>
      <c r="BB71" s="82" t="n">
        <f aca="false">MIN(IF(_xlfn.MINIFS('3 Base Entrada 2008'!$F$2:$F$5000,'3 Base Entrada 2008'!$F$2:$F$5000,"&gt;="&amp;$F$5,'3 Base Entrada 2008'!$F$2:$F$5000,"&lt;="&amp;$H$5,'3 Base Entrada 2008'!$B$2:$B$5000,$T71,'3 Base Entrada 2008'!$C$2:$C$5000,$AG71)=0,99999,_xlfn.MINIFS('3 Base Entrada 2008'!$F$2:$F$5000,'3 Base Entrada 2008'!$F$2:$F$5000,"&gt;="&amp;$F$5,'3 Base Entrada 2008'!$F$2:$F$5000,"&lt;="&amp;$H$5,'3 Base Entrada 2008'!$B$2:$B$5000,$T71,'3 Base Entrada 2008'!$C$2:$C$5000,$AG71)),IF(_xlfn.MINIFS('3 Base Saídas'!$G$2:$G$5000,'3 Base Saídas'!$G$2:$G$5000,"&gt;="&amp;$F$5,'3 Base Saídas'!$G$2:$G$5000,"&lt;="&amp;$H$5,'3 Base Saídas'!$B$2:$B$5000,$T71,'3 Base Saídas'!$C$2:$C$5000,$AG71)=0,99999,_xlfn.MINIFS('3 Base Saídas'!$G$2:$G$5000,'3 Base Saídas'!$G$2:$G$5000,"&gt;="&amp;$F$5,'3 Base Saídas'!$G$2:$G$5000,"&lt;="&amp;$H$5,'3 Base Saídas'!$B$2:$B$5000,$T71,'3 Base Saídas'!$C$2:$C$5000,$AG71)))</f>
        <v>46289</v>
      </c>
      <c r="BC71" s="82" t="n">
        <f aca="false">MAX(_xlfn.MAXIFS('3 Base Entrada 2008'!$F$2:$F$5000,'3 Base Entrada 2008'!$F$2:$F$5000,"&gt;="&amp;$F$5,'3 Base Entrada 2008'!$F$2:$F$5000,"&lt;="&amp;$H$5,'3 Base Entrada 2008'!$B$2:$B$5000,$T71,'3 Base Entrada 2008'!$C$2:$C$5000,$AG71),_xlfn.MAXIFS('3 Base Saídas'!$G$2:$G$5000,'3 Base Saídas'!$G$2:$G$5000,"&gt;="&amp;$F$5,'3 Base Saídas'!$G$2:$G$5000,"&lt;="&amp;$H$5,'3 Base Saídas'!$B$2:$B$5000,$T71,'3 Base Saídas'!$C$2:$C$5000,$AG71))</f>
        <v>46289</v>
      </c>
      <c r="BD71" s="0" t="str">
        <f aca="false">'5 Conciliação'!L45</f>
        <v>Nenhum ajuste necessário</v>
      </c>
      <c r="BE71" s="0" t="str">
        <f aca="false">'5 Conciliação'!Q45</f>
        <v>—</v>
      </c>
      <c r="BF71" s="0" t="str">
        <f aca="false">'5 Conciliação'!R45</f>
        <v>—</v>
      </c>
      <c r="BH71" s="82" t="n">
        <f aca="false">SUMIFS('3 Base Saldo Inicial 08-09'!$E$2:$E$5000,'3 Base Saldo Inicial 08-09'!$A$2:$A$5000,$T71,'3 Base Saldo Inicial 08-09'!$B$2:$B$5000,$AG71)-SUMIFS('3 Base Saldo Inicial 08-09'!$E$2:$E$5000,'3 Base Saldo Inicial 08-09'!$A$2:$A$5000,$T71,'3 Base Saldo Inicial 08-09'!$B$2:$B$5000,$AG71,'3 Base Saldo Inicial 08-09'!$C$2:$C$5000,"2008")</f>
        <v>0</v>
      </c>
    </row>
    <row r="72" customFormat="false" ht="15" hidden="false" customHeight="false" outlineLevel="0" collapsed="false">
      <c r="A72" s="111" t="str">
        <f aca="false">IF(IFERROR(MATCH(59,$AB$40:$AB$133,0),0)=0,"",INDEX($T$40:$T$133,IFERROR(MATCH(59,$AB$40:$AB$133,0),0)))</f>
        <v>CHR-Q37RB2-2B-U75</v>
      </c>
      <c r="B72" s="111" t="str">
        <f aca="false">IF(IFERROR(MATCH(59,$AB$40:$AB$133,0),0)=0,"",INDEX($AG$40:$AG$133,IFERROR(MATCH(59,$AB$40:$AB$133,0),0)))</f>
        <v>261320203</v>
      </c>
      <c r="C72" s="112" t="str">
        <f aca="false">IF(IFERROR(MATCH(59,$AB$40:$AB$133,0),0)=0,"",INDEX($U$40:$U$133,IFERROR(MATCH(59,$AB$40:$AB$133,0),0)))</f>
        <v>KG</v>
      </c>
      <c r="D72" s="113" t="n">
        <f aca="false">IF(IFERROR(MATCH(59,$AB$40:$AB$133,0),0)=0,"",INDEX($BH$40:$BH$133,IFERROR(MATCH(59,$AB$40:$AB$133,0),0)))</f>
        <v>0</v>
      </c>
      <c r="E72" s="113" t="n">
        <f aca="false">IF(IFERROR(MATCH(59,$AB$40:$AB$133,0),0)=0,"",INDEX($W$40:$W$133,IFERROR(MATCH(59,$AB$40:$AB$133,0),0)))</f>
        <v>1200</v>
      </c>
      <c r="F72" s="113" t="n">
        <f aca="false">IF(IFERROR(MATCH(59,$AB$40:$AB$133,0),0)=0,"",INDEX($X$40:$X$133,IFERROR(MATCH(59,$AB$40:$AB$133,0),0)))</f>
        <v>0</v>
      </c>
      <c r="G72" s="113" t="n">
        <f aca="false">IF(A72="","",D72+E72-F72)</f>
        <v>1200</v>
      </c>
      <c r="H72" s="113" t="n">
        <f aca="false">IF(IFERROR(MATCH(59,$AB$40:$AB$133,0),0)=0,"",INDEX($Y$40:$Y$133,IFERROR(MATCH(59,$AB$40:$AB$133,0),0)))</f>
        <v>1200</v>
      </c>
      <c r="I72" s="114" t="n">
        <f aca="false">IF(IFERROR(MATCH(59,$AB$40:$AB$133,0),0)=0,"",INDEX($Z$40:$Z$133,IFERROR(MATCH(59,$AB$40:$AB$133,0),0)))</f>
        <v>0</v>
      </c>
      <c r="J72" s="115" t="str">
        <f aca="false">IF(IFERROR(MATCH(59,$AB$40:$AB$133,0),0)=0,"",INDEX($AC$40:$AC$133,IFERROR(MATCH(59,$AB$40:$AB$133,0),0)))</f>
        <v>Confere</v>
      </c>
      <c r="K72" s="116" t="n">
        <f aca="false">IF(IFERROR(MATCH(59,$AB$40:$AB$133,0),0)=0,"",INDEX($AD$40:$AD$133,IFERROR(MATCH(59,$AB$40:$AB$133,0),0)))</f>
        <v>2</v>
      </c>
      <c r="L72" s="117" t="n">
        <f aca="false">IF(IFERROR(MATCH(59,$AB$40:$AB$133,0),0)=0,"",IF(INDEX($BB$40:$BB$133,IFERROR(MATCH(59,$AB$40:$AB$133,0),0))&gt;=99999,"",INDEX($BB$40:$BB$133,IFERROR(MATCH(59,$AB$40:$AB$133,0),0))))</f>
        <v>46275</v>
      </c>
      <c r="M72" s="117" t="n">
        <f aca="false">IF(IFERROR(MATCH(59,$AB$40:$AB$133,0),0)=0,"",IF(INDEX($BC$40:$BC$133,IFERROR(MATCH(59,$AB$40:$AB$133,0),0))=0,"",INDEX($BC$40:$BC$133,IFERROR(MATCH(59,$AB$40:$AB$133,0),0))))</f>
        <v>46293</v>
      </c>
      <c r="N72" s="118" t="str">
        <f aca="false">IF(IFERROR(MATCH(59,$AB$40:$AB$133,0),0)=0,"",INDEX($AE$40:$AE$133,IFERROR(MATCH(59,$AB$40:$AB$133,0),0))&amp;"")</f>
        <v>Sem diferença</v>
      </c>
      <c r="O72" s="119" t="str">
        <f aca="false">IF(IFERROR(MATCH(59,$AB$40:$AB$133,0),0)=0,"",INDEX($BD$40:$BD$133,IFERROR(MATCH(59,$AB$40:$AB$133,0),0))&amp;"")</f>
        <v>Nenhum ajuste necessário</v>
      </c>
      <c r="T72" s="82" t="s">
        <v>211</v>
      </c>
      <c r="U72" s="82" t="s">
        <v>65</v>
      </c>
      <c r="V72" s="82" t="n">
        <f aca="false">SUMIFS('3 Base Entrada 2008'!$G$2:$G$5000,'3 Base Entrada 2008'!$F$2:$F$5000,"&gt;="&amp;$F$5,'3 Base Entrada 2008'!$F$2:$F$5000,"&lt;="&amp;$H$5,'3 Base Entrada 2008'!$B$2:$B$5000,$T72,'3 Base Entrada 2008'!$C$2:$C$5000,$AG72,'3 Base Entrada 2008'!$K$2:$K$5000,"Recebido no 2008")</f>
        <v>0</v>
      </c>
      <c r="W72" s="82" t="n">
        <f aca="false">SUMIFS('3 Base Entrada 2008'!$L$2:$L$5000,'3 Base Entrada 2008'!$F$2:$F$5000,"&gt;="&amp;$F$5,'3 Base Entrada 2008'!$F$2:$F$5000,"&lt;="&amp;$H$5,'3 Base Entrada 2008'!$B$2:$B$5000,$T72,'3 Base Entrada 2008'!$C$2:$C$5000,$AG72)</f>
        <v>1750</v>
      </c>
      <c r="X72" s="82" t="n">
        <f aca="false">SUMIFS('3 Base Saídas'!$R$2:$R$5000,'3 Base Saídas'!$G$2:$G$5000,"&gt;="&amp;$F$5,'3 Base Saídas'!$G$2:$G$5000,"&lt;="&amp;$H$5,'3 Base Saídas'!$B$2:$B$5000,$T72,'3 Base Saídas'!$C$2:$C$5000,$AG72)</f>
        <v>800</v>
      </c>
      <c r="Y72" s="82" t="n">
        <f aca="false">SUMIFS('3 Base Estoque Físico'!$J$2:$J$5000,'3 Base Estoque Físico'!$A$2:$A$5000,$T72,'3 Base Estoque Físico'!$B$2:$B$5000,$AG72)</f>
        <v>950</v>
      </c>
      <c r="Z72" s="82" t="n">
        <f aca="false">ROUND(Y72-(BH72+W72-X72),3)</f>
        <v>0</v>
      </c>
      <c r="AA72" s="82" t="n">
        <f aca="false">IF(AND(U72=$R$3,OR($R$1="*",T72=$R$1),OR($R$2="*",AG72=$R$2),OR($R$6="*",AC72=$R$6),ABS(V72)+ABS(W72)+ABS(X72)+ABS(Y72)&gt;0),1,0)</f>
        <v>1</v>
      </c>
      <c r="AB72" s="82" t="n">
        <f aca="false">IF(AA72=1,SUM(AA$40:AA72),"")</f>
        <v>28</v>
      </c>
      <c r="AC72" s="0" t="str">
        <f aca="false">IF(ABS(Z72)&lt;=$R$5,"Confere",IF(Z72&gt;0,"Sobrando","Faltando"))</f>
        <v>Confere</v>
      </c>
      <c r="AD72" s="82" t="n">
        <f aca="false">IF(OR($R$4="*",$R$4="Saída"),COUNTIFS('3 Base Saídas'!$G$2:$G$5000,"&gt;="&amp;$F$5,'3 Base Saídas'!$G$2:$G$5000,"&lt;="&amp;$H$5,'3 Base Saídas'!$B$2:$B$5000,$T72,'3 Base Saídas'!$C$2:$C$5000,$AG72),0)+IF($R$4&lt;&gt;"Saída",COUNTIFS('3 Base Entrada 2008'!$F$2:$F$5000,"&gt;="&amp;$F$5,'3 Base Entrada 2008'!$F$2:$F$5000,"&lt;="&amp;$H$5,'3 Base Entrada 2008'!$B$2:$B$5000,$T72,'3 Base Entrada 2008'!$C$2:$C$5000,$AG72,'3 Base Entrada 2008'!$K$2:$K$5000,$R$4),0)</f>
        <v>9</v>
      </c>
      <c r="AE72" s="0" t="str">
        <f aca="false">'5 Conciliação'!K46</f>
        <v>Sem diferença</v>
      </c>
      <c r="AF72" s="82" t="n">
        <f aca="false">IF(AND(AA72=1,AC72&lt;&gt;"Confere"),ABS(Z72)+ROW()/10000000,0)</f>
        <v>0</v>
      </c>
      <c r="AG72" s="82" t="s">
        <v>212</v>
      </c>
      <c r="AV72" s="0" t="str">
        <f aca="false">IFERROR(INDEX($AX$1:$AX$94,MATCH(71,$AY$1:$AY$94,0)),"")</f>
        <v>260348131</v>
      </c>
      <c r="AW72" s="82" t="s">
        <v>377</v>
      </c>
      <c r="AX72" s="82" t="s">
        <v>379</v>
      </c>
      <c r="AY72" s="82" t="n">
        <f aca="false">IF(OR($A$5="Todos",AW72=$A$5),MAX(AY$1:AY71)+1,0)</f>
        <v>72</v>
      </c>
      <c r="BB72" s="82" t="n">
        <f aca="false">MIN(IF(_xlfn.MINIFS('3 Base Entrada 2008'!$F$2:$F$5000,'3 Base Entrada 2008'!$F$2:$F$5000,"&gt;="&amp;$F$5,'3 Base Entrada 2008'!$F$2:$F$5000,"&lt;="&amp;$H$5,'3 Base Entrada 2008'!$B$2:$B$5000,$T72,'3 Base Entrada 2008'!$C$2:$C$5000,$AG72)=0,99999,_xlfn.MINIFS('3 Base Entrada 2008'!$F$2:$F$5000,'3 Base Entrada 2008'!$F$2:$F$5000,"&gt;="&amp;$F$5,'3 Base Entrada 2008'!$F$2:$F$5000,"&lt;="&amp;$H$5,'3 Base Entrada 2008'!$B$2:$B$5000,$T72,'3 Base Entrada 2008'!$C$2:$C$5000,$AG72)),IF(_xlfn.MINIFS('3 Base Saídas'!$G$2:$G$5000,'3 Base Saídas'!$G$2:$G$5000,"&gt;="&amp;$F$5,'3 Base Saídas'!$G$2:$G$5000,"&lt;="&amp;$H$5,'3 Base Saídas'!$B$2:$B$5000,$T72,'3 Base Saídas'!$C$2:$C$5000,$AG72)=0,99999,_xlfn.MINIFS('3 Base Saídas'!$G$2:$G$5000,'3 Base Saídas'!$G$2:$G$5000,"&gt;="&amp;$F$5,'3 Base Saídas'!$G$2:$G$5000,"&lt;="&amp;$H$5,'3 Base Saídas'!$B$2:$B$5000,$T72,'3 Base Saídas'!$C$2:$C$5000,$AG72)))</f>
        <v>46289</v>
      </c>
      <c r="BC72" s="82" t="n">
        <f aca="false">MAX(_xlfn.MAXIFS('3 Base Entrada 2008'!$F$2:$F$5000,'3 Base Entrada 2008'!$F$2:$F$5000,"&gt;="&amp;$F$5,'3 Base Entrada 2008'!$F$2:$F$5000,"&lt;="&amp;$H$5,'3 Base Entrada 2008'!$B$2:$B$5000,$T72,'3 Base Entrada 2008'!$C$2:$C$5000,$AG72),_xlfn.MAXIFS('3 Base Saídas'!$G$2:$G$5000,'3 Base Saídas'!$G$2:$G$5000,"&gt;="&amp;$F$5,'3 Base Saídas'!$G$2:$G$5000,"&lt;="&amp;$H$5,'3 Base Saídas'!$B$2:$B$5000,$T72,'3 Base Saídas'!$C$2:$C$5000,$AG72))</f>
        <v>46294</v>
      </c>
      <c r="BD72" s="0" t="str">
        <f aca="false">'5 Conciliação'!L46</f>
        <v>Nenhum ajuste necessário</v>
      </c>
      <c r="BE72" s="0" t="str">
        <f aca="false">'5 Conciliação'!Q46</f>
        <v>—</v>
      </c>
      <c r="BF72" s="0" t="str">
        <f aca="false">'5 Conciliação'!R46</f>
        <v>—</v>
      </c>
      <c r="BH72" s="82" t="n">
        <f aca="false">SUMIFS('3 Base Saldo Inicial 08-09'!$E$2:$E$5000,'3 Base Saldo Inicial 08-09'!$A$2:$A$5000,$T72,'3 Base Saldo Inicial 08-09'!$B$2:$B$5000,$AG72)-SUMIFS('3 Base Saldo Inicial 08-09'!$E$2:$E$5000,'3 Base Saldo Inicial 08-09'!$A$2:$A$5000,$T72,'3 Base Saldo Inicial 08-09'!$B$2:$B$5000,$AG72,'3 Base Saldo Inicial 08-09'!$C$2:$C$5000,"2008")</f>
        <v>0</v>
      </c>
    </row>
    <row r="73" customFormat="false" ht="15" hidden="false" customHeight="false" outlineLevel="0" collapsed="false">
      <c r="A73" s="111" t="str">
        <f aca="false">IF(IFERROR(MATCH(60,$AB$40:$AB$133,0),0)=0,"",INDEX($T$40:$T$133,IFERROR(MATCH(60,$AB$40:$AB$133,0),0)))</f>
        <v>CHR-Q37RB2-E0-D94</v>
      </c>
      <c r="B73" s="111" t="str">
        <f aca="false">IF(IFERROR(MATCH(60,$AB$40:$AB$133,0),0)=0,"",INDEX($AG$40:$AG$133,IFERROR(MATCH(60,$AB$40:$AB$133,0),0)))</f>
        <v>261301539</v>
      </c>
      <c r="C73" s="112" t="str">
        <f aca="false">IF(IFERROR(MATCH(60,$AB$40:$AB$133,0),0)=0,"",INDEX($U$40:$U$133,IFERROR(MATCH(60,$AB$40:$AB$133,0),0)))</f>
        <v>KG</v>
      </c>
      <c r="D73" s="113" t="n">
        <f aca="false">IF(IFERROR(MATCH(60,$AB$40:$AB$133,0),0)=0,"",INDEX($BH$40:$BH$133,IFERROR(MATCH(60,$AB$40:$AB$133,0),0)))</f>
        <v>0</v>
      </c>
      <c r="E73" s="113" t="n">
        <f aca="false">IF(IFERROR(MATCH(60,$AB$40:$AB$133,0),0)=0,"",INDEX($W$40:$W$133,IFERROR(MATCH(60,$AB$40:$AB$133,0),0)))</f>
        <v>313.6</v>
      </c>
      <c r="F73" s="113" t="n">
        <f aca="false">IF(IFERROR(MATCH(60,$AB$40:$AB$133,0),0)=0,"",INDEX($X$40:$X$133,IFERROR(MATCH(60,$AB$40:$AB$133,0),0)))</f>
        <v>0</v>
      </c>
      <c r="G73" s="113" t="n">
        <f aca="false">IF(A73="","",D73+E73-F73)</f>
        <v>313.6</v>
      </c>
      <c r="H73" s="113" t="n">
        <f aca="false">IF(IFERROR(MATCH(60,$AB$40:$AB$133,0),0)=0,"",INDEX($Y$40:$Y$133,IFERROR(MATCH(60,$AB$40:$AB$133,0),0)))</f>
        <v>313.6</v>
      </c>
      <c r="I73" s="114" t="n">
        <f aca="false">IF(IFERROR(MATCH(60,$AB$40:$AB$133,0),0)=0,"",INDEX($Z$40:$Z$133,IFERROR(MATCH(60,$AB$40:$AB$133,0),0)))</f>
        <v>0</v>
      </c>
      <c r="J73" s="115" t="str">
        <f aca="false">IF(IFERROR(MATCH(60,$AB$40:$AB$133,0),0)=0,"",INDEX($AC$40:$AC$133,IFERROR(MATCH(60,$AB$40:$AB$133,0),0)))</f>
        <v>Confere</v>
      </c>
      <c r="K73" s="116" t="n">
        <f aca="false">IF(IFERROR(MATCH(60,$AB$40:$AB$133,0),0)=0,"",INDEX($AD$40:$AD$133,IFERROR(MATCH(60,$AB$40:$AB$133,0),0)))</f>
        <v>3</v>
      </c>
      <c r="L73" s="117" t="n">
        <f aca="false">IF(IFERROR(MATCH(60,$AB$40:$AB$133,0),0)=0,"",IF(INDEX($BB$40:$BB$133,IFERROR(MATCH(60,$AB$40:$AB$133,0),0))&gt;=99999,"",INDEX($BB$40:$BB$133,IFERROR(MATCH(60,$AB$40:$AB$133,0),0))))</f>
        <v>46275</v>
      </c>
      <c r="M73" s="117" t="n">
        <f aca="false">IF(IFERROR(MATCH(60,$AB$40:$AB$133,0),0)=0,"",IF(INDEX($BC$40:$BC$133,IFERROR(MATCH(60,$AB$40:$AB$133,0),0))=0,"",INDEX($BC$40:$BC$133,IFERROR(MATCH(60,$AB$40:$AB$133,0),0))))</f>
        <v>46291</v>
      </c>
      <c r="N73" s="118" t="str">
        <f aca="false">IF(IFERROR(MATCH(60,$AB$40:$AB$133,0),0)=0,"",INDEX($AE$40:$AE$133,IFERROR(MATCH(60,$AB$40:$AB$133,0),0))&amp;"")</f>
        <v>Sem diferença</v>
      </c>
      <c r="O73" s="119" t="str">
        <f aca="false">IF(IFERROR(MATCH(60,$AB$40:$AB$133,0),0)=0,"",INDEX($BD$40:$BD$133,IFERROR(MATCH(60,$AB$40:$AB$133,0),0))&amp;"")</f>
        <v>Nenhum ajuste necessário</v>
      </c>
      <c r="T73" s="82" t="s">
        <v>218</v>
      </c>
      <c r="U73" s="82" t="s">
        <v>65</v>
      </c>
      <c r="V73" s="82" t="n">
        <f aca="false">SUMIFS('3 Base Entrada 2008'!$G$2:$G$5000,'3 Base Entrada 2008'!$F$2:$F$5000,"&gt;="&amp;$F$5,'3 Base Entrada 2008'!$F$2:$F$5000,"&lt;="&amp;$H$5,'3 Base Entrada 2008'!$B$2:$B$5000,$T73,'3 Base Entrada 2008'!$C$2:$C$5000,$AG73,'3 Base Entrada 2008'!$K$2:$K$5000,"Recebido no 2008")</f>
        <v>0</v>
      </c>
      <c r="W73" s="82" t="n">
        <f aca="false">SUMIFS('3 Base Entrada 2008'!$L$2:$L$5000,'3 Base Entrada 2008'!$F$2:$F$5000,"&gt;="&amp;$F$5,'3 Base Entrada 2008'!$F$2:$F$5000,"&lt;="&amp;$H$5,'3 Base Entrada 2008'!$B$2:$B$5000,$T73,'3 Base Entrada 2008'!$C$2:$C$5000,$AG73)</f>
        <v>1800</v>
      </c>
      <c r="X73" s="82" t="n">
        <f aca="false">SUMIFS('3 Base Saídas'!$R$2:$R$5000,'3 Base Saídas'!$G$2:$G$5000,"&gt;="&amp;$F$5,'3 Base Saídas'!$G$2:$G$5000,"&lt;="&amp;$H$5,'3 Base Saídas'!$B$2:$B$5000,$T73,'3 Base Saídas'!$C$2:$C$5000,$AG73)</f>
        <v>1780</v>
      </c>
      <c r="Y73" s="82" t="n">
        <f aca="false">SUMIFS('3 Base Estoque Físico'!$J$2:$J$5000,'3 Base Estoque Físico'!$A$2:$A$5000,$T73,'3 Base Estoque Físico'!$B$2:$B$5000,$AG73)</f>
        <v>20</v>
      </c>
      <c r="Z73" s="82" t="n">
        <f aca="false">ROUND(Y73-(BH73+W73-X73),3)</f>
        <v>0</v>
      </c>
      <c r="AA73" s="82" t="n">
        <f aca="false">IF(AND(U73=$R$3,OR($R$1="*",T73=$R$1),OR($R$2="*",AG73=$R$2),OR($R$6="*",AC73=$R$6),ABS(V73)+ABS(W73)+ABS(X73)+ABS(Y73)&gt;0),1,0)</f>
        <v>1</v>
      </c>
      <c r="AB73" s="82" t="n">
        <f aca="false">IF(AA73=1,SUM(AA$40:AA73),"")</f>
        <v>29</v>
      </c>
      <c r="AC73" s="0" t="str">
        <f aca="false">IF(ABS(Z73)&lt;=$R$5,"Confere",IF(Z73&gt;0,"Sobrando","Faltando"))</f>
        <v>Confere</v>
      </c>
      <c r="AD73" s="82" t="n">
        <f aca="false">IF(OR($R$4="*",$R$4="Saída"),COUNTIFS('3 Base Saídas'!$G$2:$G$5000,"&gt;="&amp;$F$5,'3 Base Saídas'!$G$2:$G$5000,"&lt;="&amp;$H$5,'3 Base Saídas'!$B$2:$B$5000,$T73,'3 Base Saídas'!$C$2:$C$5000,$AG73),0)+IF($R$4&lt;&gt;"Saída",COUNTIFS('3 Base Entrada 2008'!$F$2:$F$5000,"&gt;="&amp;$F$5,'3 Base Entrada 2008'!$F$2:$F$5000,"&lt;="&amp;$H$5,'3 Base Entrada 2008'!$B$2:$B$5000,$T73,'3 Base Entrada 2008'!$C$2:$C$5000,$AG73,'3 Base Entrada 2008'!$K$2:$K$5000,$R$4),0)</f>
        <v>3</v>
      </c>
      <c r="AE73" s="0" t="str">
        <f aca="false">'5 Conciliação'!K47</f>
        <v>Sem diferença</v>
      </c>
      <c r="AF73" s="82" t="n">
        <f aca="false">IF(AND(AA73=1,AC73&lt;&gt;"Confere"),ABS(Z73)+ROW()/10000000,0)</f>
        <v>0</v>
      </c>
      <c r="AG73" s="82" t="s">
        <v>317</v>
      </c>
      <c r="AV73" s="0" t="str">
        <f aca="false">IFERROR(INDEX($AX$1:$AX$94,MATCH(72,$AY$1:$AY$94,0)),"")</f>
        <v>260358131</v>
      </c>
      <c r="AW73" s="82" t="s">
        <v>380</v>
      </c>
      <c r="AX73" s="82" t="s">
        <v>381</v>
      </c>
      <c r="AY73" s="82" t="n">
        <f aca="false">IF(OR($A$5="Todos",AW73=$A$5),MAX(AY$1:AY72)+1,0)</f>
        <v>73</v>
      </c>
      <c r="BB73" s="82" t="n">
        <f aca="false">MIN(IF(_xlfn.MINIFS('3 Base Entrada 2008'!$F$2:$F$5000,'3 Base Entrada 2008'!$F$2:$F$5000,"&gt;="&amp;$F$5,'3 Base Entrada 2008'!$F$2:$F$5000,"&lt;="&amp;$H$5,'3 Base Entrada 2008'!$B$2:$B$5000,$T73,'3 Base Entrada 2008'!$C$2:$C$5000,$AG73)=0,99999,_xlfn.MINIFS('3 Base Entrada 2008'!$F$2:$F$5000,'3 Base Entrada 2008'!$F$2:$F$5000,"&gt;="&amp;$F$5,'3 Base Entrada 2008'!$F$2:$F$5000,"&lt;="&amp;$H$5,'3 Base Entrada 2008'!$B$2:$B$5000,$T73,'3 Base Entrada 2008'!$C$2:$C$5000,$AG73)),IF(_xlfn.MINIFS('3 Base Saídas'!$G$2:$G$5000,'3 Base Saídas'!$G$2:$G$5000,"&gt;="&amp;$F$5,'3 Base Saídas'!$G$2:$G$5000,"&lt;="&amp;$H$5,'3 Base Saídas'!$B$2:$B$5000,$T73,'3 Base Saídas'!$C$2:$C$5000,$AG73)=0,99999,_xlfn.MINIFS('3 Base Saídas'!$G$2:$G$5000,'3 Base Saídas'!$G$2:$G$5000,"&gt;="&amp;$F$5,'3 Base Saídas'!$G$2:$G$5000,"&lt;="&amp;$H$5,'3 Base Saídas'!$B$2:$B$5000,$T73,'3 Base Saídas'!$C$2:$C$5000,$AG73)))</f>
        <v>46276</v>
      </c>
      <c r="BC73" s="82" t="n">
        <f aca="false">MAX(_xlfn.MAXIFS('3 Base Entrada 2008'!$F$2:$F$5000,'3 Base Entrada 2008'!$F$2:$F$5000,"&gt;="&amp;$F$5,'3 Base Entrada 2008'!$F$2:$F$5000,"&lt;="&amp;$H$5,'3 Base Entrada 2008'!$B$2:$B$5000,$T73,'3 Base Entrada 2008'!$C$2:$C$5000,$AG73),_xlfn.MAXIFS('3 Base Saídas'!$G$2:$G$5000,'3 Base Saídas'!$G$2:$G$5000,"&gt;="&amp;$F$5,'3 Base Saídas'!$G$2:$G$5000,"&lt;="&amp;$H$5,'3 Base Saídas'!$B$2:$B$5000,$T73,'3 Base Saídas'!$C$2:$C$5000,$AG73))</f>
        <v>46292</v>
      </c>
      <c r="BD73" s="0" t="str">
        <f aca="false">'5 Conciliação'!L47</f>
        <v>Nenhum ajuste necessário</v>
      </c>
      <c r="BE73" s="0" t="str">
        <f aca="false">'5 Conciliação'!Q47</f>
        <v>—</v>
      </c>
      <c r="BF73" s="0" t="str">
        <f aca="false">'5 Conciliação'!R47</f>
        <v>—</v>
      </c>
      <c r="BH73" s="82" t="n">
        <f aca="false">SUMIFS('3 Base Saldo Inicial 08-09'!$E$2:$E$5000,'3 Base Saldo Inicial 08-09'!$A$2:$A$5000,$T73,'3 Base Saldo Inicial 08-09'!$B$2:$B$5000,$AG73)-SUMIFS('3 Base Saldo Inicial 08-09'!$E$2:$E$5000,'3 Base Saldo Inicial 08-09'!$A$2:$A$5000,$T73,'3 Base Saldo Inicial 08-09'!$B$2:$B$5000,$AG73,'3 Base Saldo Inicial 08-09'!$C$2:$C$5000,"2008")</f>
        <v>0</v>
      </c>
    </row>
    <row r="74" customFormat="false" ht="15" hidden="false" customHeight="false" outlineLevel="0" collapsed="false">
      <c r="A74" s="111" t="str">
        <f aca="false">IF(IFERROR(MATCH(61,$AB$40:$AB$133,0),0)=0,"",INDEX($T$40:$T$133,IFERROR(MATCH(61,$AB$40:$AB$133,0),0)))</f>
        <v>CW2-BR-25A</v>
      </c>
      <c r="B74" s="111" t="str">
        <f aca="false">IF(IFERROR(MATCH(61,$AB$40:$AB$133,0),0)=0,"",INDEX($AG$40:$AG$133,IFERROR(MATCH(61,$AB$40:$AB$133,0),0)))</f>
        <v>252590301</v>
      </c>
      <c r="C74" s="112" t="str">
        <f aca="false">IF(IFERROR(MATCH(61,$AB$40:$AB$133,0),0)=0,"",INDEX($U$40:$U$133,IFERROR(MATCH(61,$AB$40:$AB$133,0),0)))</f>
        <v>KG</v>
      </c>
      <c r="D74" s="113" t="n">
        <f aca="false">IF(IFERROR(MATCH(61,$AB$40:$AB$133,0),0)=0,"",INDEX($BH$40:$BH$133,IFERROR(MATCH(61,$AB$40:$AB$133,0),0)))</f>
        <v>0</v>
      </c>
      <c r="E74" s="113" t="n">
        <f aca="false">IF(IFERROR(MATCH(61,$AB$40:$AB$133,0),0)=0,"",INDEX($W$40:$W$133,IFERROR(MATCH(61,$AB$40:$AB$133,0),0)))</f>
        <v>603</v>
      </c>
      <c r="F74" s="113" t="n">
        <f aca="false">IF(IFERROR(MATCH(61,$AB$40:$AB$133,0),0)=0,"",INDEX($X$40:$X$133,IFERROR(MATCH(61,$AB$40:$AB$133,0),0)))</f>
        <v>0</v>
      </c>
      <c r="G74" s="113" t="n">
        <f aca="false">IF(A74="","",D74+E74-F74)</f>
        <v>603</v>
      </c>
      <c r="H74" s="113" t="n">
        <f aca="false">IF(IFERROR(MATCH(61,$AB$40:$AB$133,0),0)=0,"",INDEX($Y$40:$Y$133,IFERROR(MATCH(61,$AB$40:$AB$133,0),0)))</f>
        <v>603</v>
      </c>
      <c r="I74" s="114" t="n">
        <f aca="false">IF(IFERROR(MATCH(61,$AB$40:$AB$133,0),0)=0,"",INDEX($Z$40:$Z$133,IFERROR(MATCH(61,$AB$40:$AB$133,0),0)))</f>
        <v>0</v>
      </c>
      <c r="J74" s="115" t="str">
        <f aca="false">IF(IFERROR(MATCH(61,$AB$40:$AB$133,0),0)=0,"",INDEX($AC$40:$AC$133,IFERROR(MATCH(61,$AB$40:$AB$133,0),0)))</f>
        <v>Confere</v>
      </c>
      <c r="K74" s="116" t="n">
        <f aca="false">IF(IFERROR(MATCH(61,$AB$40:$AB$133,0),0)=0,"",INDEX($AD$40:$AD$133,IFERROR(MATCH(61,$AB$40:$AB$133,0),0)))</f>
        <v>1</v>
      </c>
      <c r="L74" s="117" t="n">
        <f aca="false">IF(IFERROR(MATCH(61,$AB$40:$AB$133,0),0)=0,"",IF(INDEX($BB$40:$BB$133,IFERROR(MATCH(61,$AB$40:$AB$133,0),0))&gt;=99999,"",INDEX($BB$40:$BB$133,IFERROR(MATCH(61,$AB$40:$AB$133,0),0))))</f>
        <v>46291</v>
      </c>
      <c r="M74" s="117" t="n">
        <f aca="false">IF(IFERROR(MATCH(61,$AB$40:$AB$133,0),0)=0,"",IF(INDEX($BC$40:$BC$133,IFERROR(MATCH(61,$AB$40:$AB$133,0),0))=0,"",INDEX($BC$40:$BC$133,IFERROR(MATCH(61,$AB$40:$AB$133,0),0))))</f>
        <v>46291</v>
      </c>
      <c r="N74" s="118" t="str">
        <f aca="false">IF(IFERROR(MATCH(61,$AB$40:$AB$133,0),0)=0,"",INDEX($AE$40:$AE$133,IFERROR(MATCH(61,$AB$40:$AB$133,0),0))&amp;"")</f>
        <v>Sem diferença</v>
      </c>
      <c r="O74" s="119" t="str">
        <f aca="false">IF(IFERROR(MATCH(61,$AB$40:$AB$133,0),0)=0,"",INDEX($BD$40:$BD$133,IFERROR(MATCH(61,$AB$40:$AB$133,0),0))&amp;"")</f>
        <v>Nenhum ajuste necessário</v>
      </c>
      <c r="T74" s="82" t="s">
        <v>218</v>
      </c>
      <c r="U74" s="82" t="s">
        <v>65</v>
      </c>
      <c r="V74" s="82" t="n">
        <f aca="false">SUMIFS('3 Base Entrada 2008'!$G$2:$G$5000,'3 Base Entrada 2008'!$F$2:$F$5000,"&gt;="&amp;$F$5,'3 Base Entrada 2008'!$F$2:$F$5000,"&lt;="&amp;$H$5,'3 Base Entrada 2008'!$B$2:$B$5000,$T74,'3 Base Entrada 2008'!$C$2:$C$5000,$AG74,'3 Base Entrada 2008'!$K$2:$K$5000,"Recebido no 2008")</f>
        <v>0</v>
      </c>
      <c r="W74" s="82" t="n">
        <f aca="false">SUMIFS('3 Base Entrada 2008'!$L$2:$L$5000,'3 Base Entrada 2008'!$F$2:$F$5000,"&gt;="&amp;$F$5,'3 Base Entrada 2008'!$F$2:$F$5000,"&lt;="&amp;$H$5,'3 Base Entrada 2008'!$B$2:$B$5000,$T74,'3 Base Entrada 2008'!$C$2:$C$5000,$AG74)</f>
        <v>600</v>
      </c>
      <c r="X74" s="82" t="n">
        <f aca="false">SUMIFS('3 Base Saídas'!$R$2:$R$5000,'3 Base Saídas'!$G$2:$G$5000,"&gt;="&amp;$F$5,'3 Base Saídas'!$G$2:$G$5000,"&lt;="&amp;$H$5,'3 Base Saídas'!$B$2:$B$5000,$T74,'3 Base Saídas'!$C$2:$C$5000,$AG74)</f>
        <v>0</v>
      </c>
      <c r="Y74" s="82" t="n">
        <f aca="false">SUMIFS('3 Base Estoque Físico'!$J$2:$J$5000,'3 Base Estoque Físico'!$A$2:$A$5000,$T74,'3 Base Estoque Físico'!$B$2:$B$5000,$AG74)</f>
        <v>600</v>
      </c>
      <c r="Z74" s="82" t="n">
        <f aca="false">ROUND(Y74-(BH74+W74-X74),3)</f>
        <v>0</v>
      </c>
      <c r="AA74" s="82" t="n">
        <f aca="false">IF(AND(U74=$R$3,OR($R$1="*",T74=$R$1),OR($R$2="*",AG74=$R$2),OR($R$6="*",AC74=$R$6),ABS(V74)+ABS(W74)+ABS(X74)+ABS(Y74)&gt;0),1,0)</f>
        <v>1</v>
      </c>
      <c r="AB74" s="82" t="n">
        <f aca="false">IF(AA74=1,SUM(AA$40:AA74),"")</f>
        <v>30</v>
      </c>
      <c r="AC74" s="0" t="str">
        <f aca="false">IF(ABS(Z74)&lt;=$R$5,"Confere",IF(Z74&gt;0,"Sobrando","Faltando"))</f>
        <v>Confere</v>
      </c>
      <c r="AD74" s="82" t="n">
        <f aca="false">IF(OR($R$4="*",$R$4="Saída"),COUNTIFS('3 Base Saídas'!$G$2:$G$5000,"&gt;="&amp;$F$5,'3 Base Saídas'!$G$2:$G$5000,"&lt;="&amp;$H$5,'3 Base Saídas'!$B$2:$B$5000,$T74,'3 Base Saídas'!$C$2:$C$5000,$AG74),0)+IF($R$4&lt;&gt;"Saída",COUNTIFS('3 Base Entrada 2008'!$F$2:$F$5000,"&gt;="&amp;$F$5,'3 Base Entrada 2008'!$F$2:$F$5000,"&lt;="&amp;$H$5,'3 Base Entrada 2008'!$B$2:$B$5000,$T74,'3 Base Entrada 2008'!$C$2:$C$5000,$AG74,'3 Base Entrada 2008'!$K$2:$K$5000,$R$4),0)</f>
        <v>1</v>
      </c>
      <c r="AE74" s="0" t="str">
        <f aca="false">'5 Conciliação'!K48</f>
        <v>Sem diferença</v>
      </c>
      <c r="AF74" s="82" t="n">
        <f aca="false">IF(AND(AA74=1,AC74&lt;&gt;"Confere"),ABS(Z74)+ROW()/10000000,0)</f>
        <v>0</v>
      </c>
      <c r="AG74" s="82" t="s">
        <v>318</v>
      </c>
      <c r="AV74" s="0" t="str">
        <f aca="false">IFERROR(INDEX($AX$1:$AX$94,MATCH(73,$AY$1:$AY$94,0)),"")</f>
        <v>2518442009</v>
      </c>
      <c r="AW74" s="82" t="s">
        <v>284</v>
      </c>
      <c r="AX74" s="82" t="s">
        <v>285</v>
      </c>
      <c r="AY74" s="82" t="n">
        <f aca="false">IF(OR($A$5="Todos",AW74=$A$5),MAX(AY$1:AY73)+1,0)</f>
        <v>74</v>
      </c>
      <c r="BB74" s="82" t="n">
        <f aca="false">MIN(IF(_xlfn.MINIFS('3 Base Entrada 2008'!$F$2:$F$5000,'3 Base Entrada 2008'!$F$2:$F$5000,"&gt;="&amp;$F$5,'3 Base Entrada 2008'!$F$2:$F$5000,"&lt;="&amp;$H$5,'3 Base Entrada 2008'!$B$2:$B$5000,$T74,'3 Base Entrada 2008'!$C$2:$C$5000,$AG74)=0,99999,_xlfn.MINIFS('3 Base Entrada 2008'!$F$2:$F$5000,'3 Base Entrada 2008'!$F$2:$F$5000,"&gt;="&amp;$F$5,'3 Base Entrada 2008'!$F$2:$F$5000,"&lt;="&amp;$H$5,'3 Base Entrada 2008'!$B$2:$B$5000,$T74,'3 Base Entrada 2008'!$C$2:$C$5000,$AG74)),IF(_xlfn.MINIFS('3 Base Saídas'!$G$2:$G$5000,'3 Base Saídas'!$G$2:$G$5000,"&gt;="&amp;$F$5,'3 Base Saídas'!$G$2:$G$5000,"&lt;="&amp;$H$5,'3 Base Saídas'!$B$2:$B$5000,$T74,'3 Base Saídas'!$C$2:$C$5000,$AG74)=0,99999,_xlfn.MINIFS('3 Base Saídas'!$G$2:$G$5000,'3 Base Saídas'!$G$2:$G$5000,"&gt;="&amp;$F$5,'3 Base Saídas'!$G$2:$G$5000,"&lt;="&amp;$H$5,'3 Base Saídas'!$B$2:$B$5000,$T74,'3 Base Saídas'!$C$2:$C$5000,$AG74)))</f>
        <v>46276</v>
      </c>
      <c r="BC74" s="82" t="n">
        <f aca="false">MAX(_xlfn.MAXIFS('3 Base Entrada 2008'!$F$2:$F$5000,'3 Base Entrada 2008'!$F$2:$F$5000,"&gt;="&amp;$F$5,'3 Base Entrada 2008'!$F$2:$F$5000,"&lt;="&amp;$H$5,'3 Base Entrada 2008'!$B$2:$B$5000,$T74,'3 Base Entrada 2008'!$C$2:$C$5000,$AG74),_xlfn.MAXIFS('3 Base Saídas'!$G$2:$G$5000,'3 Base Saídas'!$G$2:$G$5000,"&gt;="&amp;$F$5,'3 Base Saídas'!$G$2:$G$5000,"&lt;="&amp;$H$5,'3 Base Saídas'!$B$2:$B$5000,$T74,'3 Base Saídas'!$C$2:$C$5000,$AG74))</f>
        <v>46276</v>
      </c>
      <c r="BD74" s="0" t="str">
        <f aca="false">'5 Conciliação'!L48</f>
        <v>Nenhum ajuste necessário</v>
      </c>
      <c r="BE74" s="0" t="str">
        <f aca="false">'5 Conciliação'!Q48</f>
        <v>—</v>
      </c>
      <c r="BF74" s="0" t="str">
        <f aca="false">'5 Conciliação'!R48</f>
        <v>—</v>
      </c>
      <c r="BH74" s="82" t="n">
        <f aca="false">SUMIFS('3 Base Saldo Inicial 08-09'!$E$2:$E$5000,'3 Base Saldo Inicial 08-09'!$A$2:$A$5000,$T74,'3 Base Saldo Inicial 08-09'!$B$2:$B$5000,$AG74)-SUMIFS('3 Base Saldo Inicial 08-09'!$E$2:$E$5000,'3 Base Saldo Inicial 08-09'!$A$2:$A$5000,$T74,'3 Base Saldo Inicial 08-09'!$B$2:$B$5000,$AG74,'3 Base Saldo Inicial 08-09'!$C$2:$C$5000,"2008")</f>
        <v>0</v>
      </c>
    </row>
    <row r="75" customFormat="false" ht="15" hidden="false" customHeight="false" outlineLevel="0" collapsed="false">
      <c r="A75" s="111" t="str">
        <f aca="false">IF(IFERROR(MATCH(62,$AB$40:$AB$133,0),0)=0,"",INDEX($T$40:$T$133,IFERROR(MATCH(62,$AB$40:$AB$133,0),0)))</f>
        <v>CW2-BR-25A</v>
      </c>
      <c r="B75" s="111" t="str">
        <f aca="false">IF(IFERROR(MATCH(62,$AB$40:$AB$133,0),0)=0,"",INDEX($AG$40:$AG$133,IFERROR(MATCH(62,$AB$40:$AB$133,0),0)))</f>
        <v>261070301</v>
      </c>
      <c r="C75" s="112" t="str">
        <f aca="false">IF(IFERROR(MATCH(62,$AB$40:$AB$133,0),0)=0,"",INDEX($U$40:$U$133,IFERROR(MATCH(62,$AB$40:$AB$133,0),0)))</f>
        <v>KG</v>
      </c>
      <c r="D75" s="113" t="n">
        <f aca="false">IF(IFERROR(MATCH(62,$AB$40:$AB$133,0),0)=0,"",INDEX($BH$40:$BH$133,IFERROR(MATCH(62,$AB$40:$AB$133,0),0)))</f>
        <v>0</v>
      </c>
      <c r="E75" s="113" t="n">
        <f aca="false">IF(IFERROR(MATCH(62,$AB$40:$AB$133,0),0)=0,"",INDEX($W$40:$W$133,IFERROR(MATCH(62,$AB$40:$AB$133,0),0)))</f>
        <v>603</v>
      </c>
      <c r="F75" s="113" t="n">
        <f aca="false">IF(IFERROR(MATCH(62,$AB$40:$AB$133,0),0)=0,"",INDEX($X$40:$X$133,IFERROR(MATCH(62,$AB$40:$AB$133,0),0)))</f>
        <v>422.1</v>
      </c>
      <c r="G75" s="113" t="n">
        <f aca="false">IF(A75="","",D75+E75-F75)</f>
        <v>180.9</v>
      </c>
      <c r="H75" s="113" t="n">
        <f aca="false">IF(IFERROR(MATCH(62,$AB$40:$AB$133,0),0)=0,"",INDEX($Y$40:$Y$133,IFERROR(MATCH(62,$AB$40:$AB$133,0),0)))</f>
        <v>180.9</v>
      </c>
      <c r="I75" s="114" t="n">
        <f aca="false">IF(IFERROR(MATCH(62,$AB$40:$AB$133,0),0)=0,"",INDEX($Z$40:$Z$133,IFERROR(MATCH(62,$AB$40:$AB$133,0),0)))</f>
        <v>0</v>
      </c>
      <c r="J75" s="115" t="str">
        <f aca="false">IF(IFERROR(MATCH(62,$AB$40:$AB$133,0),0)=0,"",INDEX($AC$40:$AC$133,IFERROR(MATCH(62,$AB$40:$AB$133,0),0)))</f>
        <v>Confere</v>
      </c>
      <c r="K75" s="116" t="n">
        <f aca="false">IF(IFERROR(MATCH(62,$AB$40:$AB$133,0),0)=0,"",INDEX($AD$40:$AD$133,IFERROR(MATCH(62,$AB$40:$AB$133,0),0)))</f>
        <v>4</v>
      </c>
      <c r="L75" s="117" t="n">
        <f aca="false">IF(IFERROR(MATCH(62,$AB$40:$AB$133,0),0)=0,"",IF(INDEX($BB$40:$BB$133,IFERROR(MATCH(62,$AB$40:$AB$133,0),0))&gt;=99999,"",INDEX($BB$40:$BB$133,IFERROR(MATCH(62,$AB$40:$AB$133,0),0))))</f>
        <v>46275</v>
      </c>
      <c r="M75" s="117" t="n">
        <f aca="false">IF(IFERROR(MATCH(62,$AB$40:$AB$133,0),0)=0,"",IF(INDEX($BC$40:$BC$133,IFERROR(MATCH(62,$AB$40:$AB$133,0),0))=0,"",INDEX($BC$40:$BC$133,IFERROR(MATCH(62,$AB$40:$AB$133,0),0))))</f>
        <v>46291</v>
      </c>
      <c r="N75" s="118" t="str">
        <f aca="false">IF(IFERROR(MATCH(62,$AB$40:$AB$133,0),0)=0,"",INDEX($AE$40:$AE$133,IFERROR(MATCH(62,$AB$40:$AB$133,0),0))&amp;"")</f>
        <v>Sem diferença</v>
      </c>
      <c r="O75" s="119" t="str">
        <f aca="false">IF(IFERROR(MATCH(62,$AB$40:$AB$133,0),0)=0,"",INDEX($BD$40:$BD$133,IFERROR(MATCH(62,$AB$40:$AB$133,0),0))&amp;"")</f>
        <v>Nenhum ajuste necessário</v>
      </c>
      <c r="T75" s="82" t="s">
        <v>218</v>
      </c>
      <c r="U75" s="82" t="s">
        <v>65</v>
      </c>
      <c r="V75" s="82" t="n">
        <f aca="false">SUMIFS('3 Base Entrada 2008'!$G$2:$G$5000,'3 Base Entrada 2008'!$F$2:$F$5000,"&gt;="&amp;$F$5,'3 Base Entrada 2008'!$F$2:$F$5000,"&lt;="&amp;$H$5,'3 Base Entrada 2008'!$B$2:$B$5000,$T75,'3 Base Entrada 2008'!$C$2:$C$5000,$AG75,'3 Base Entrada 2008'!$K$2:$K$5000,"Recebido no 2008")</f>
        <v>4360</v>
      </c>
      <c r="W75" s="82" t="n">
        <f aca="false">SUMIFS('3 Base Entrada 2008'!$L$2:$L$5000,'3 Base Entrada 2008'!$F$2:$F$5000,"&gt;="&amp;$F$5,'3 Base Entrada 2008'!$F$2:$F$5000,"&lt;="&amp;$H$5,'3 Base Entrada 2008'!$B$2:$B$5000,$T75,'3 Base Entrada 2008'!$C$2:$C$5000,$AG75)</f>
        <v>1180</v>
      </c>
      <c r="X75" s="82" t="n">
        <f aca="false">SUMIFS('3 Base Saídas'!$R$2:$R$5000,'3 Base Saídas'!$G$2:$G$5000,"&gt;="&amp;$F$5,'3 Base Saídas'!$G$2:$G$5000,"&lt;="&amp;$H$5,'3 Base Saídas'!$B$2:$B$5000,$T75,'3 Base Saídas'!$C$2:$C$5000,$AG75)</f>
        <v>1160</v>
      </c>
      <c r="Y75" s="82" t="n">
        <f aca="false">SUMIFS('3 Base Estoque Físico'!$J$2:$J$5000,'3 Base Estoque Físico'!$A$2:$A$5000,$T75,'3 Base Estoque Físico'!$B$2:$B$5000,$AG75)</f>
        <v>20</v>
      </c>
      <c r="Z75" s="82" t="n">
        <f aca="false">ROUND(Y75-(BH75+W75-X75),3)</f>
        <v>0</v>
      </c>
      <c r="AA75" s="82" t="n">
        <f aca="false">IF(AND(U75=$R$3,OR($R$1="*",T75=$R$1),OR($R$2="*",AG75=$R$2),OR($R$6="*",AC75=$R$6),ABS(V75)+ABS(W75)+ABS(X75)+ABS(Y75)&gt;0),1,0)</f>
        <v>1</v>
      </c>
      <c r="AB75" s="82" t="n">
        <f aca="false">IF(AA75=1,SUM(AA$40:AA75),"")</f>
        <v>31</v>
      </c>
      <c r="AC75" s="0" t="str">
        <f aca="false">IF(ABS(Z75)&lt;=$R$5,"Confere",IF(Z75&gt;0,"Sobrando","Faltando"))</f>
        <v>Confere</v>
      </c>
      <c r="AD75" s="82" t="n">
        <f aca="false">IF(OR($R$4="*",$R$4="Saída"),COUNTIFS('3 Base Saídas'!$G$2:$G$5000,"&gt;="&amp;$F$5,'3 Base Saídas'!$G$2:$G$5000,"&lt;="&amp;$H$5,'3 Base Saídas'!$B$2:$B$5000,$T75,'3 Base Saídas'!$C$2:$C$5000,$AG75),0)+IF($R$4&lt;&gt;"Saída",COUNTIFS('3 Base Entrada 2008'!$F$2:$F$5000,"&gt;="&amp;$F$5,'3 Base Entrada 2008'!$F$2:$F$5000,"&lt;="&amp;$H$5,'3 Base Entrada 2008'!$B$2:$B$5000,$T75,'3 Base Entrada 2008'!$C$2:$C$5000,$AG75,'3 Base Entrada 2008'!$K$2:$K$5000,$R$4),0)</f>
        <v>3</v>
      </c>
      <c r="AE75" s="0" t="str">
        <f aca="false">'5 Conciliação'!K49</f>
        <v>Sem diferença</v>
      </c>
      <c r="AF75" s="82" t="n">
        <f aca="false">IF(AND(AA75=1,AC75&lt;&gt;"Confere"),ABS(Z75)+ROW()/10000000,0)</f>
        <v>0</v>
      </c>
      <c r="AG75" s="82" t="s">
        <v>319</v>
      </c>
      <c r="AV75" s="0" t="str">
        <f aca="false">IFERROR(INDEX($AX$1:$AX$94,MATCH(74,$AY$1:$AY$94,0)),"")</f>
        <v>261060203</v>
      </c>
      <c r="AW75" s="82" t="s">
        <v>286</v>
      </c>
      <c r="AX75" s="82" t="s">
        <v>299</v>
      </c>
      <c r="AY75" s="82" t="n">
        <f aca="false">IF(OR($A$5="Todos",AW75=$A$5),MAX(AY$1:AY74)+1,0)</f>
        <v>75</v>
      </c>
      <c r="BB75" s="82" t="n">
        <f aca="false">MIN(IF(_xlfn.MINIFS('3 Base Entrada 2008'!$F$2:$F$5000,'3 Base Entrada 2008'!$F$2:$F$5000,"&gt;="&amp;$F$5,'3 Base Entrada 2008'!$F$2:$F$5000,"&lt;="&amp;$H$5,'3 Base Entrada 2008'!$B$2:$B$5000,$T75,'3 Base Entrada 2008'!$C$2:$C$5000,$AG75)=0,99999,_xlfn.MINIFS('3 Base Entrada 2008'!$F$2:$F$5000,'3 Base Entrada 2008'!$F$2:$F$5000,"&gt;="&amp;$F$5,'3 Base Entrada 2008'!$F$2:$F$5000,"&lt;="&amp;$H$5,'3 Base Entrada 2008'!$B$2:$B$5000,$T75,'3 Base Entrada 2008'!$C$2:$C$5000,$AG75)),IF(_xlfn.MINIFS('3 Base Saídas'!$G$2:$G$5000,'3 Base Saídas'!$G$2:$G$5000,"&gt;="&amp;$F$5,'3 Base Saídas'!$G$2:$G$5000,"&lt;="&amp;$H$5,'3 Base Saídas'!$B$2:$B$5000,$T75,'3 Base Saídas'!$C$2:$C$5000,$AG75)=0,99999,_xlfn.MINIFS('3 Base Saídas'!$G$2:$G$5000,'3 Base Saídas'!$G$2:$G$5000,"&gt;="&amp;$F$5,'3 Base Saídas'!$G$2:$G$5000,"&lt;="&amp;$H$5,'3 Base Saídas'!$B$2:$B$5000,$T75,'3 Base Saídas'!$C$2:$C$5000,$AG75)))</f>
        <v>46275</v>
      </c>
      <c r="BC75" s="82" t="n">
        <f aca="false">MAX(_xlfn.MAXIFS('3 Base Entrada 2008'!$F$2:$F$5000,'3 Base Entrada 2008'!$F$2:$F$5000,"&gt;="&amp;$F$5,'3 Base Entrada 2008'!$F$2:$F$5000,"&lt;="&amp;$H$5,'3 Base Entrada 2008'!$B$2:$B$5000,$T75,'3 Base Entrada 2008'!$C$2:$C$5000,$AG75),_xlfn.MAXIFS('3 Base Saídas'!$G$2:$G$5000,'3 Base Saídas'!$G$2:$G$5000,"&gt;="&amp;$F$5,'3 Base Saídas'!$G$2:$G$5000,"&lt;="&amp;$H$5,'3 Base Saídas'!$B$2:$B$5000,$T75,'3 Base Saídas'!$C$2:$C$5000,$AG75))</f>
        <v>46290</v>
      </c>
      <c r="BD75" s="0" t="str">
        <f aca="false">'5 Conciliação'!L49</f>
        <v>Nenhum ajuste necessário</v>
      </c>
      <c r="BE75" s="0" t="str">
        <f aca="false">'5 Conciliação'!Q49</f>
        <v>—</v>
      </c>
      <c r="BF75" s="0" t="str">
        <f aca="false">'5 Conciliação'!R49</f>
        <v>—</v>
      </c>
      <c r="BH75" s="82" t="n">
        <f aca="false">SUMIFS('3 Base Saldo Inicial 08-09'!$E$2:$E$5000,'3 Base Saldo Inicial 08-09'!$A$2:$A$5000,$T75,'3 Base Saldo Inicial 08-09'!$B$2:$B$5000,$AG75)-SUMIFS('3 Base Saldo Inicial 08-09'!$E$2:$E$5000,'3 Base Saldo Inicial 08-09'!$A$2:$A$5000,$T75,'3 Base Saldo Inicial 08-09'!$B$2:$B$5000,$AG75,'3 Base Saldo Inicial 08-09'!$C$2:$C$5000,"2008")</f>
        <v>0</v>
      </c>
    </row>
    <row r="76" customFormat="false" ht="15" hidden="false" customHeight="false" outlineLevel="0" collapsed="false">
      <c r="A76" s="111" t="str">
        <f aca="false">IF(IFERROR(MATCH(63,$AB$40:$AB$133,0),0)=0,"",INDEX($T$40:$T$133,IFERROR(MATCH(63,$AB$40:$AB$133,0),0)))</f>
        <v>CW2NV-595</v>
      </c>
      <c r="B76" s="111" t="str">
        <f aca="false">IF(IFERROR(MATCH(63,$AB$40:$AB$133,0),0)=0,"",INDEX($AG$40:$AG$133,IFERROR(MATCH(63,$AB$40:$AB$133,0),0)))</f>
        <v>260850602</v>
      </c>
      <c r="C76" s="112" t="str">
        <f aca="false">IF(IFERROR(MATCH(63,$AB$40:$AB$133,0),0)=0,"",INDEX($U$40:$U$133,IFERROR(MATCH(63,$AB$40:$AB$133,0),0)))</f>
        <v>KG</v>
      </c>
      <c r="D76" s="113" t="n">
        <f aca="false">IF(IFERROR(MATCH(63,$AB$40:$AB$133,0),0)=0,"",INDEX($BH$40:$BH$133,IFERROR(MATCH(63,$AB$40:$AB$133,0),0)))</f>
        <v>0</v>
      </c>
      <c r="E76" s="113" t="n">
        <f aca="false">IF(IFERROR(MATCH(63,$AB$40:$AB$133,0),0)=0,"",INDEX($W$40:$W$133,IFERROR(MATCH(63,$AB$40:$AB$133,0),0)))</f>
        <v>1200</v>
      </c>
      <c r="F76" s="113" t="n">
        <f aca="false">IF(IFERROR(MATCH(63,$AB$40:$AB$133,0),0)=0,"",INDEX($X$40:$X$133,IFERROR(MATCH(63,$AB$40:$AB$133,0),0)))</f>
        <v>0</v>
      </c>
      <c r="G76" s="113" t="n">
        <f aca="false">IF(A76="","",D76+E76-F76)</f>
        <v>1200</v>
      </c>
      <c r="H76" s="113" t="n">
        <f aca="false">IF(IFERROR(MATCH(63,$AB$40:$AB$133,0),0)=0,"",INDEX($Y$40:$Y$133,IFERROR(MATCH(63,$AB$40:$AB$133,0),0)))</f>
        <v>1200</v>
      </c>
      <c r="I76" s="114" t="n">
        <f aca="false">IF(IFERROR(MATCH(63,$AB$40:$AB$133,0),0)=0,"",INDEX($Z$40:$Z$133,IFERROR(MATCH(63,$AB$40:$AB$133,0),0)))</f>
        <v>0</v>
      </c>
      <c r="J76" s="115" t="str">
        <f aca="false">IF(IFERROR(MATCH(63,$AB$40:$AB$133,0),0)=0,"",INDEX($AC$40:$AC$133,IFERROR(MATCH(63,$AB$40:$AB$133,0),0)))</f>
        <v>Confere</v>
      </c>
      <c r="K76" s="116" t="n">
        <f aca="false">IF(IFERROR(MATCH(63,$AB$40:$AB$133,0),0)=0,"",INDEX($AD$40:$AD$133,IFERROR(MATCH(63,$AB$40:$AB$133,0),0)))</f>
        <v>1</v>
      </c>
      <c r="L76" s="117" t="n">
        <f aca="false">IF(IFERROR(MATCH(63,$AB$40:$AB$133,0),0)=0,"",IF(INDEX($BB$40:$BB$133,IFERROR(MATCH(63,$AB$40:$AB$133,0),0))&gt;=99999,"",INDEX($BB$40:$BB$133,IFERROR(MATCH(63,$AB$40:$AB$133,0),0))))</f>
        <v>46291</v>
      </c>
      <c r="M76" s="117" t="n">
        <f aca="false">IF(IFERROR(MATCH(63,$AB$40:$AB$133,0),0)=0,"",IF(INDEX($BC$40:$BC$133,IFERROR(MATCH(63,$AB$40:$AB$133,0),0))=0,"",INDEX($BC$40:$BC$133,IFERROR(MATCH(63,$AB$40:$AB$133,0),0))))</f>
        <v>46291</v>
      </c>
      <c r="N76" s="118" t="str">
        <f aca="false">IF(IFERROR(MATCH(63,$AB$40:$AB$133,0),0)=0,"",INDEX($AE$40:$AE$133,IFERROR(MATCH(63,$AB$40:$AB$133,0),0))&amp;"")</f>
        <v>Sem diferença</v>
      </c>
      <c r="O76" s="119" t="str">
        <f aca="false">IF(IFERROR(MATCH(63,$AB$40:$AB$133,0),0)=0,"",INDEX($BD$40:$BD$133,IFERROR(MATCH(63,$AB$40:$AB$133,0),0))&amp;"")</f>
        <v>Nenhum ajuste necessário</v>
      </c>
      <c r="T76" s="82" t="s">
        <v>218</v>
      </c>
      <c r="U76" s="82" t="s">
        <v>65</v>
      </c>
      <c r="V76" s="82" t="n">
        <f aca="false">SUMIFS('3 Base Entrada 2008'!$G$2:$G$5000,'3 Base Entrada 2008'!$F$2:$F$5000,"&gt;="&amp;$F$5,'3 Base Entrada 2008'!$F$2:$F$5000,"&lt;="&amp;$H$5,'3 Base Entrada 2008'!$B$2:$B$5000,$T76,'3 Base Entrada 2008'!$C$2:$C$5000,$AG76,'3 Base Entrada 2008'!$K$2:$K$5000,"Recebido no 2008")</f>
        <v>5240</v>
      </c>
      <c r="W76" s="82" t="n">
        <f aca="false">SUMIFS('3 Base Entrada 2008'!$L$2:$L$5000,'3 Base Entrada 2008'!$F$2:$F$5000,"&gt;="&amp;$F$5,'3 Base Entrada 2008'!$F$2:$F$5000,"&lt;="&amp;$H$5,'3 Base Entrada 2008'!$B$2:$B$5000,$T76,'3 Base Entrada 2008'!$C$2:$C$5000,$AG76)</f>
        <v>1660</v>
      </c>
      <c r="X76" s="82" t="n">
        <f aca="false">SUMIFS('3 Base Saídas'!$R$2:$R$5000,'3 Base Saídas'!$G$2:$G$5000,"&gt;="&amp;$F$5,'3 Base Saídas'!$G$2:$G$5000,"&lt;="&amp;$H$5,'3 Base Saídas'!$B$2:$B$5000,$T76,'3 Base Saídas'!$C$2:$C$5000,$AG76)</f>
        <v>580</v>
      </c>
      <c r="Y76" s="82" t="n">
        <f aca="false">SUMIFS('3 Base Estoque Físico'!$J$2:$J$5000,'3 Base Estoque Físico'!$A$2:$A$5000,$T76,'3 Base Estoque Físico'!$B$2:$B$5000,$AG76)</f>
        <v>1080</v>
      </c>
      <c r="Z76" s="82" t="n">
        <f aca="false">ROUND(Y76-(BH76+W76-X76),3)</f>
        <v>0</v>
      </c>
      <c r="AA76" s="82" t="n">
        <f aca="false">IF(AND(U76=$R$3,OR($R$1="*",T76=$R$1),OR($R$2="*",AG76=$R$2),OR($R$6="*",AC76=$R$6),ABS(V76)+ABS(W76)+ABS(X76)+ABS(Y76)&gt;0),1,0)</f>
        <v>1</v>
      </c>
      <c r="AB76" s="82" t="n">
        <f aca="false">IF(AA76=1,SUM(AA$40:AA76),"")</f>
        <v>32</v>
      </c>
      <c r="AC76" s="0" t="str">
        <f aca="false">IF(ABS(Z76)&lt;=$R$5,"Confere",IF(Z76&gt;0,"Sobrando","Faltando"))</f>
        <v>Confere</v>
      </c>
      <c r="AD76" s="82" t="n">
        <f aca="false">IF(OR($R$4="*",$R$4="Saída"),COUNTIFS('3 Base Saídas'!$G$2:$G$5000,"&gt;="&amp;$F$5,'3 Base Saídas'!$G$2:$G$5000,"&lt;="&amp;$H$5,'3 Base Saídas'!$B$2:$B$5000,$T76,'3 Base Saídas'!$C$2:$C$5000,$AG76),0)+IF($R$4&lt;&gt;"Saída",COUNTIFS('3 Base Entrada 2008'!$F$2:$F$5000,"&gt;="&amp;$F$5,'3 Base Entrada 2008'!$F$2:$F$5000,"&lt;="&amp;$H$5,'3 Base Entrada 2008'!$B$2:$B$5000,$T76,'3 Base Entrada 2008'!$C$2:$C$5000,$AG76,'3 Base Entrada 2008'!$K$2:$K$5000,$R$4),0)</f>
        <v>10</v>
      </c>
      <c r="AE76" s="0" t="str">
        <f aca="false">'5 Conciliação'!K50</f>
        <v>Sem diferença</v>
      </c>
      <c r="AF76" s="82" t="n">
        <f aca="false">IF(AND(AA76=1,AC76&lt;&gt;"Confere"),ABS(Z76)+ROW()/10000000,0)</f>
        <v>0</v>
      </c>
      <c r="AG76" s="82" t="s">
        <v>219</v>
      </c>
      <c r="AV76" s="0" t="str">
        <f aca="false">IFERROR(INDEX($AX$1:$AX$94,MATCH(75,$AY$1:$AY$94,0)),"")</f>
        <v>242643099</v>
      </c>
      <c r="AW76" s="82" t="s">
        <v>286</v>
      </c>
      <c r="AX76" s="82" t="s">
        <v>290</v>
      </c>
      <c r="AY76" s="82" t="n">
        <f aca="false">IF(OR($A$5="Todos",AW76=$A$5),MAX(AY$1:AY75)+1,0)</f>
        <v>76</v>
      </c>
      <c r="BB76" s="82" t="n">
        <f aca="false">MIN(IF(_xlfn.MINIFS('3 Base Entrada 2008'!$F$2:$F$5000,'3 Base Entrada 2008'!$F$2:$F$5000,"&gt;="&amp;$F$5,'3 Base Entrada 2008'!$F$2:$F$5000,"&lt;="&amp;$H$5,'3 Base Entrada 2008'!$B$2:$B$5000,$T76,'3 Base Entrada 2008'!$C$2:$C$5000,$AG76)=0,99999,_xlfn.MINIFS('3 Base Entrada 2008'!$F$2:$F$5000,'3 Base Entrada 2008'!$F$2:$F$5000,"&gt;="&amp;$F$5,'3 Base Entrada 2008'!$F$2:$F$5000,"&lt;="&amp;$H$5,'3 Base Entrada 2008'!$B$2:$B$5000,$T76,'3 Base Entrada 2008'!$C$2:$C$5000,$AG76)),IF(_xlfn.MINIFS('3 Base Saídas'!$G$2:$G$5000,'3 Base Saídas'!$G$2:$G$5000,"&gt;="&amp;$F$5,'3 Base Saídas'!$G$2:$G$5000,"&lt;="&amp;$H$5,'3 Base Saídas'!$B$2:$B$5000,$T76,'3 Base Saídas'!$C$2:$C$5000,$AG76)=0,99999,_xlfn.MINIFS('3 Base Saídas'!$G$2:$G$5000,'3 Base Saídas'!$G$2:$G$5000,"&gt;="&amp;$F$5,'3 Base Saídas'!$G$2:$G$5000,"&lt;="&amp;$H$5,'3 Base Saídas'!$B$2:$B$5000,$T76,'3 Base Saídas'!$C$2:$C$5000,$AG76)))</f>
        <v>46275</v>
      </c>
      <c r="BC76" s="82" t="n">
        <f aca="false">MAX(_xlfn.MAXIFS('3 Base Entrada 2008'!$F$2:$F$5000,'3 Base Entrada 2008'!$F$2:$F$5000,"&gt;="&amp;$F$5,'3 Base Entrada 2008'!$F$2:$F$5000,"&lt;="&amp;$H$5,'3 Base Entrada 2008'!$B$2:$B$5000,$T76,'3 Base Entrada 2008'!$C$2:$C$5000,$AG76),_xlfn.MAXIFS('3 Base Saídas'!$G$2:$G$5000,'3 Base Saídas'!$G$2:$G$5000,"&gt;="&amp;$F$5,'3 Base Saídas'!$G$2:$G$5000,"&lt;="&amp;$H$5,'3 Base Saídas'!$B$2:$B$5000,$T76,'3 Base Saídas'!$C$2:$C$5000,$AG76))</f>
        <v>46295</v>
      </c>
      <c r="BD76" s="0" t="str">
        <f aca="false">'5 Conciliação'!L50</f>
        <v>Nenhum ajuste necessário</v>
      </c>
      <c r="BE76" s="0" t="str">
        <f aca="false">'5 Conciliação'!Q50</f>
        <v>—</v>
      </c>
      <c r="BF76" s="0" t="str">
        <f aca="false">'5 Conciliação'!R50</f>
        <v>—</v>
      </c>
      <c r="BH76" s="82" t="n">
        <f aca="false">SUMIFS('3 Base Saldo Inicial 08-09'!$E$2:$E$5000,'3 Base Saldo Inicial 08-09'!$A$2:$A$5000,$T76,'3 Base Saldo Inicial 08-09'!$B$2:$B$5000,$AG76)-SUMIFS('3 Base Saldo Inicial 08-09'!$E$2:$E$5000,'3 Base Saldo Inicial 08-09'!$A$2:$A$5000,$T76,'3 Base Saldo Inicial 08-09'!$B$2:$B$5000,$AG76,'3 Base Saldo Inicial 08-09'!$C$2:$C$5000,"2008")</f>
        <v>0</v>
      </c>
    </row>
    <row r="77" customFormat="false" ht="15" hidden="false" customHeight="false" outlineLevel="0" collapsed="false">
      <c r="A77" s="111" t="str">
        <f aca="false">IF(IFERROR(MATCH(64,$AB$40:$AB$133,0),0)=0,"",INDEX($T$40:$T$133,IFERROR(MATCH(64,$AB$40:$AB$133,0),0)))</f>
        <v>CW2NV-595</v>
      </c>
      <c r="B77" s="111" t="str">
        <f aca="false">IF(IFERROR(MATCH(64,$AB$40:$AB$133,0),0)=0,"",INDEX($AG$40:$AG$133,IFERROR(MATCH(64,$AB$40:$AB$133,0),0)))</f>
        <v>261070601</v>
      </c>
      <c r="C77" s="112" t="str">
        <f aca="false">IF(IFERROR(MATCH(64,$AB$40:$AB$133,0),0)=0,"",INDEX($U$40:$U$133,IFERROR(MATCH(64,$AB$40:$AB$133,0),0)))</f>
        <v>KG</v>
      </c>
      <c r="D77" s="113" t="n">
        <f aca="false">IF(IFERROR(MATCH(64,$AB$40:$AB$133,0),0)=0,"",INDEX($BH$40:$BH$133,IFERROR(MATCH(64,$AB$40:$AB$133,0),0)))</f>
        <v>0</v>
      </c>
      <c r="E77" s="113" t="n">
        <f aca="false">IF(IFERROR(MATCH(64,$AB$40:$AB$133,0),0)=0,"",INDEX($W$40:$W$133,IFERROR(MATCH(64,$AB$40:$AB$133,0),0)))</f>
        <v>0</v>
      </c>
      <c r="F77" s="113" t="n">
        <f aca="false">IF(IFERROR(MATCH(64,$AB$40:$AB$133,0),0)=0,"",INDEX($X$40:$X$133,IFERROR(MATCH(64,$AB$40:$AB$133,0),0)))</f>
        <v>0</v>
      </c>
      <c r="G77" s="113" t="n">
        <f aca="false">IF(A77="","",D77+E77-F77)</f>
        <v>0</v>
      </c>
      <c r="H77" s="113" t="n">
        <f aca="false">IF(IFERROR(MATCH(64,$AB$40:$AB$133,0),0)=0,"",INDEX($Y$40:$Y$133,IFERROR(MATCH(64,$AB$40:$AB$133,0),0)))</f>
        <v>0</v>
      </c>
      <c r="I77" s="114" t="n">
        <f aca="false">IF(IFERROR(MATCH(64,$AB$40:$AB$133,0),0)=0,"",INDEX($Z$40:$Z$133,IFERROR(MATCH(64,$AB$40:$AB$133,0),0)))</f>
        <v>0</v>
      </c>
      <c r="J77" s="115" t="str">
        <f aca="false">IF(IFERROR(MATCH(64,$AB$40:$AB$133,0),0)=0,"",INDEX($AC$40:$AC$133,IFERROR(MATCH(64,$AB$40:$AB$133,0),0)))</f>
        <v>Confere</v>
      </c>
      <c r="K77" s="116" t="n">
        <f aca="false">IF(IFERROR(MATCH(64,$AB$40:$AB$133,0),0)=0,"",INDEX($AD$40:$AD$133,IFERROR(MATCH(64,$AB$40:$AB$133,0),0)))</f>
        <v>2</v>
      </c>
      <c r="L77" s="117" t="n">
        <f aca="false">IF(IFERROR(MATCH(64,$AB$40:$AB$133,0),0)=0,"",IF(INDEX($BB$40:$BB$133,IFERROR(MATCH(64,$AB$40:$AB$133,0),0))&gt;=99999,"",INDEX($BB$40:$BB$133,IFERROR(MATCH(64,$AB$40:$AB$133,0),0))))</f>
        <v>46275</v>
      </c>
      <c r="M77" s="117" t="n">
        <f aca="false">IF(IFERROR(MATCH(64,$AB$40:$AB$133,0),0)=0,"",IF(INDEX($BC$40:$BC$133,IFERROR(MATCH(64,$AB$40:$AB$133,0),0))=0,"",INDEX($BC$40:$BC$133,IFERROR(MATCH(64,$AB$40:$AB$133,0),0))))</f>
        <v>46275</v>
      </c>
      <c r="N77" s="118" t="str">
        <f aca="false">IF(IFERROR(MATCH(64,$AB$40:$AB$133,0),0)=0,"",INDEX($AE$40:$AE$133,IFERROR(MATCH(64,$AB$40:$AB$133,0),0))&amp;"")</f>
        <v>Sem diferença</v>
      </c>
      <c r="O77" s="119" t="str">
        <f aca="false">IF(IFERROR(MATCH(64,$AB$40:$AB$133,0),0)=0,"",INDEX($BD$40:$BD$133,IFERROR(MATCH(64,$AB$40:$AB$133,0),0))&amp;"")</f>
        <v>Nenhum ajuste necessário</v>
      </c>
      <c r="T77" s="82" t="s">
        <v>220</v>
      </c>
      <c r="U77" s="82" t="s">
        <v>65</v>
      </c>
      <c r="V77" s="82" t="n">
        <f aca="false">SUMIFS('3 Base Entrada 2008'!$G$2:$G$5000,'3 Base Entrada 2008'!$F$2:$F$5000,"&gt;="&amp;$F$5,'3 Base Entrada 2008'!$F$2:$F$5000,"&lt;="&amp;$H$5,'3 Base Entrada 2008'!$B$2:$B$5000,$T77,'3 Base Entrada 2008'!$C$2:$C$5000,$AG77,'3 Base Entrada 2008'!$K$2:$K$5000,"Recebido no 2008")</f>
        <v>0</v>
      </c>
      <c r="W77" s="82" t="n">
        <f aca="false">SUMIFS('3 Base Entrada 2008'!$L$2:$L$5000,'3 Base Entrada 2008'!$F$2:$F$5000,"&gt;="&amp;$F$5,'3 Base Entrada 2008'!$F$2:$F$5000,"&lt;="&amp;$H$5,'3 Base Entrada 2008'!$B$2:$B$5000,$T77,'3 Base Entrada 2008'!$C$2:$C$5000,$AG77)</f>
        <v>461.9</v>
      </c>
      <c r="X77" s="82" t="n">
        <f aca="false">SUMIFS('3 Base Saídas'!$R$2:$R$5000,'3 Base Saídas'!$G$2:$G$5000,"&gt;="&amp;$F$5,'3 Base Saídas'!$G$2:$G$5000,"&lt;="&amp;$H$5,'3 Base Saídas'!$B$2:$B$5000,$T77,'3 Base Saídas'!$C$2:$C$5000,$AG77)</f>
        <v>442.2</v>
      </c>
      <c r="Y77" s="82" t="n">
        <f aca="false">SUMIFS('3 Base Estoque Físico'!$J$2:$J$5000,'3 Base Estoque Físico'!$A$2:$A$5000,$T77,'3 Base Estoque Físico'!$B$2:$B$5000,$AG77)</f>
        <v>19.7</v>
      </c>
      <c r="Z77" s="82" t="n">
        <f aca="false">ROUND(Y77-(BH77+W77-X77),3)</f>
        <v>0</v>
      </c>
      <c r="AA77" s="82" t="n">
        <f aca="false">IF(AND(U77=$R$3,OR($R$1="*",T77=$R$1),OR($R$2="*",AG77=$R$2),OR($R$6="*",AC77=$R$6),ABS(V77)+ABS(W77)+ABS(X77)+ABS(Y77)&gt;0),1,0)</f>
        <v>1</v>
      </c>
      <c r="AB77" s="82" t="n">
        <f aca="false">IF(AA77=1,SUM(AA$40:AA77),"")</f>
        <v>33</v>
      </c>
      <c r="AC77" s="0" t="str">
        <f aca="false">IF(ABS(Z77)&lt;=$R$5,"Confere",IF(Z77&gt;0,"Sobrando","Faltando"))</f>
        <v>Confere</v>
      </c>
      <c r="AD77" s="82" t="n">
        <f aca="false">IF(OR($R$4="*",$R$4="Saída"),COUNTIFS('3 Base Saídas'!$G$2:$G$5000,"&gt;="&amp;$F$5,'3 Base Saídas'!$G$2:$G$5000,"&lt;="&amp;$H$5,'3 Base Saídas'!$B$2:$B$5000,$T77,'3 Base Saídas'!$C$2:$C$5000,$AG77),0)+IF($R$4&lt;&gt;"Saída",COUNTIFS('3 Base Entrada 2008'!$F$2:$F$5000,"&gt;="&amp;$F$5,'3 Base Entrada 2008'!$F$2:$F$5000,"&lt;="&amp;$H$5,'3 Base Entrada 2008'!$B$2:$B$5000,$T77,'3 Base Entrada 2008'!$C$2:$C$5000,$AG77,'3 Base Entrada 2008'!$K$2:$K$5000,$R$4),0)</f>
        <v>2</v>
      </c>
      <c r="AE77" s="0" t="str">
        <f aca="false">'5 Conciliação'!K51</f>
        <v>Sem diferença</v>
      </c>
      <c r="AF77" s="82" t="n">
        <f aca="false">IF(AND(AA77=1,AC77&lt;&gt;"Confere"),ABS(Z77)+ROW()/10000000,0)</f>
        <v>0</v>
      </c>
      <c r="AG77" s="82" t="s">
        <v>223</v>
      </c>
      <c r="AV77" s="0" t="str">
        <f aca="false">IFERROR(INDEX($AX$1:$AX$94,MATCH(76,$AY$1:$AY$94,0)),"")</f>
        <v>252643099</v>
      </c>
      <c r="AW77" s="82" t="s">
        <v>286</v>
      </c>
      <c r="AX77" s="82" t="s">
        <v>291</v>
      </c>
      <c r="AY77" s="82" t="n">
        <f aca="false">IF(OR($A$5="Todos",AW77=$A$5),MAX(AY$1:AY76)+1,0)</f>
        <v>77</v>
      </c>
      <c r="BB77" s="82" t="n">
        <f aca="false">MIN(IF(_xlfn.MINIFS('3 Base Entrada 2008'!$F$2:$F$5000,'3 Base Entrada 2008'!$F$2:$F$5000,"&gt;="&amp;$F$5,'3 Base Entrada 2008'!$F$2:$F$5000,"&lt;="&amp;$H$5,'3 Base Entrada 2008'!$B$2:$B$5000,$T77,'3 Base Entrada 2008'!$C$2:$C$5000,$AG77)=0,99999,_xlfn.MINIFS('3 Base Entrada 2008'!$F$2:$F$5000,'3 Base Entrada 2008'!$F$2:$F$5000,"&gt;="&amp;$F$5,'3 Base Entrada 2008'!$F$2:$F$5000,"&lt;="&amp;$H$5,'3 Base Entrada 2008'!$B$2:$B$5000,$T77,'3 Base Entrada 2008'!$C$2:$C$5000,$AG77)),IF(_xlfn.MINIFS('3 Base Saídas'!$G$2:$G$5000,'3 Base Saídas'!$G$2:$G$5000,"&gt;="&amp;$F$5,'3 Base Saídas'!$G$2:$G$5000,"&lt;="&amp;$H$5,'3 Base Saídas'!$B$2:$B$5000,$T77,'3 Base Saídas'!$C$2:$C$5000,$AG77)=0,99999,_xlfn.MINIFS('3 Base Saídas'!$G$2:$G$5000,'3 Base Saídas'!$G$2:$G$5000,"&gt;="&amp;$F$5,'3 Base Saídas'!$G$2:$G$5000,"&lt;="&amp;$H$5,'3 Base Saídas'!$B$2:$B$5000,$T77,'3 Base Saídas'!$C$2:$C$5000,$AG77)))</f>
        <v>46289</v>
      </c>
      <c r="BC77" s="82" t="n">
        <f aca="false">MAX(_xlfn.MAXIFS('3 Base Entrada 2008'!$F$2:$F$5000,'3 Base Entrada 2008'!$F$2:$F$5000,"&gt;="&amp;$F$5,'3 Base Entrada 2008'!$F$2:$F$5000,"&lt;="&amp;$H$5,'3 Base Entrada 2008'!$B$2:$B$5000,$T77,'3 Base Entrada 2008'!$C$2:$C$5000,$AG77),_xlfn.MAXIFS('3 Base Saídas'!$G$2:$G$5000,'3 Base Saídas'!$G$2:$G$5000,"&gt;="&amp;$F$5,'3 Base Saídas'!$G$2:$G$5000,"&lt;="&amp;$H$5,'3 Base Saídas'!$B$2:$B$5000,$T77,'3 Base Saídas'!$C$2:$C$5000,$AG77))</f>
        <v>46291</v>
      </c>
      <c r="BD77" s="0" t="str">
        <f aca="false">'5 Conciliação'!L51</f>
        <v>Nenhum ajuste necessário</v>
      </c>
      <c r="BE77" s="0" t="str">
        <f aca="false">'5 Conciliação'!Q51</f>
        <v>—</v>
      </c>
      <c r="BF77" s="0" t="str">
        <f aca="false">'5 Conciliação'!R51</f>
        <v>—</v>
      </c>
      <c r="BH77" s="82" t="n">
        <f aca="false">SUMIFS('3 Base Saldo Inicial 08-09'!$E$2:$E$5000,'3 Base Saldo Inicial 08-09'!$A$2:$A$5000,$T77,'3 Base Saldo Inicial 08-09'!$B$2:$B$5000,$AG77)-SUMIFS('3 Base Saldo Inicial 08-09'!$E$2:$E$5000,'3 Base Saldo Inicial 08-09'!$A$2:$A$5000,$T77,'3 Base Saldo Inicial 08-09'!$B$2:$B$5000,$AG77,'3 Base Saldo Inicial 08-09'!$C$2:$C$5000,"2008")</f>
        <v>0</v>
      </c>
    </row>
    <row r="78" customFormat="false" ht="15" hidden="false" customHeight="false" outlineLevel="0" collapsed="false">
      <c r="A78" s="111" t="str">
        <f aca="false">IF(IFERROR(MATCH(65,$AB$40:$AB$133,0),0)=0,"",INDEX($T$40:$T$133,IFERROR(MATCH(65,$AB$40:$AB$133,0),0)))</f>
        <v>DCP-10BONOI-89B</v>
      </c>
      <c r="B78" s="111" t="str">
        <f aca="false">IF(IFERROR(MATCH(65,$AB$40:$AB$133,0),0)=0,"",INDEX($AG$40:$AG$133,IFERROR(MATCH(65,$AB$40:$AB$133,0),0)))</f>
        <v>260778132</v>
      </c>
      <c r="C78" s="112" t="str">
        <f aca="false">IF(IFERROR(MATCH(65,$AB$40:$AB$133,0),0)=0,"",INDEX($U$40:$U$133,IFERROR(MATCH(65,$AB$40:$AB$133,0),0)))</f>
        <v>KG</v>
      </c>
      <c r="D78" s="113" t="n">
        <f aca="false">IF(IFERROR(MATCH(65,$AB$40:$AB$133,0),0)=0,"",INDEX($BH$40:$BH$133,IFERROR(MATCH(65,$AB$40:$AB$133,0),0)))</f>
        <v>0</v>
      </c>
      <c r="E78" s="113" t="n">
        <f aca="false">IF(IFERROR(MATCH(65,$AB$40:$AB$133,0),0)=0,"",INDEX($W$40:$W$133,IFERROR(MATCH(65,$AB$40:$AB$133,0),0)))</f>
        <v>864</v>
      </c>
      <c r="F78" s="113" t="n">
        <f aca="false">IF(IFERROR(MATCH(65,$AB$40:$AB$133,0),0)=0,"",INDEX($X$40:$X$133,IFERROR(MATCH(65,$AB$40:$AB$133,0),0)))</f>
        <v>306</v>
      </c>
      <c r="G78" s="113" t="n">
        <f aca="false">IF(A78="","",D78+E78-F78)</f>
        <v>558</v>
      </c>
      <c r="H78" s="113" t="n">
        <f aca="false">IF(IFERROR(MATCH(65,$AB$40:$AB$133,0),0)=0,"",INDEX($Y$40:$Y$133,IFERROR(MATCH(65,$AB$40:$AB$133,0),0)))</f>
        <v>558</v>
      </c>
      <c r="I78" s="114" t="n">
        <f aca="false">IF(IFERROR(MATCH(65,$AB$40:$AB$133,0),0)=0,"",INDEX($Z$40:$Z$133,IFERROR(MATCH(65,$AB$40:$AB$133,0),0)))</f>
        <v>0</v>
      </c>
      <c r="J78" s="115" t="str">
        <f aca="false">IF(IFERROR(MATCH(65,$AB$40:$AB$133,0),0)=0,"",INDEX($AC$40:$AC$133,IFERROR(MATCH(65,$AB$40:$AB$133,0),0)))</f>
        <v>Confere</v>
      </c>
      <c r="K78" s="116" t="n">
        <f aca="false">IF(IFERROR(MATCH(65,$AB$40:$AB$133,0),0)=0,"",INDEX($AD$40:$AD$133,IFERROR(MATCH(65,$AB$40:$AB$133,0),0)))</f>
        <v>3</v>
      </c>
      <c r="L78" s="117" t="n">
        <f aca="false">IF(IFERROR(MATCH(65,$AB$40:$AB$133,0),0)=0,"",IF(INDEX($BB$40:$BB$133,IFERROR(MATCH(65,$AB$40:$AB$133,0),0))&gt;=99999,"",INDEX($BB$40:$BB$133,IFERROR(MATCH(65,$AB$40:$AB$133,0),0))))</f>
        <v>46275</v>
      </c>
      <c r="M78" s="117" t="n">
        <f aca="false">IF(IFERROR(MATCH(65,$AB$40:$AB$133,0),0)=0,"",IF(INDEX($BC$40:$BC$133,IFERROR(MATCH(65,$AB$40:$AB$133,0),0))=0,"",INDEX($BC$40:$BC$133,IFERROR(MATCH(65,$AB$40:$AB$133,0),0))))</f>
        <v>46296</v>
      </c>
      <c r="N78" s="118" t="str">
        <f aca="false">IF(IFERROR(MATCH(65,$AB$40:$AB$133,0),0)=0,"",INDEX($AE$40:$AE$133,IFERROR(MATCH(65,$AB$40:$AB$133,0),0))&amp;"")</f>
        <v>Sem diferença</v>
      </c>
      <c r="O78" s="119" t="str">
        <f aca="false">IF(IFERROR(MATCH(65,$AB$40:$AB$133,0),0)=0,"",INDEX($BD$40:$BD$133,IFERROR(MATCH(65,$AB$40:$AB$133,0),0))&amp;"")</f>
        <v>Nenhum ajuste necessário</v>
      </c>
      <c r="T78" s="82" t="s">
        <v>220</v>
      </c>
      <c r="U78" s="82" t="s">
        <v>65</v>
      </c>
      <c r="V78" s="82" t="n">
        <f aca="false">SUMIFS('3 Base Entrada 2008'!$G$2:$G$5000,'3 Base Entrada 2008'!$F$2:$F$5000,"&gt;="&amp;$F$5,'3 Base Entrada 2008'!$F$2:$F$5000,"&lt;="&amp;$H$5,'3 Base Entrada 2008'!$B$2:$B$5000,$T78,'3 Base Entrada 2008'!$C$2:$C$5000,$AG78,'3 Base Entrada 2008'!$K$2:$K$5000,"Recebido no 2008")</f>
        <v>0</v>
      </c>
      <c r="W78" s="82" t="n">
        <f aca="false">SUMIFS('3 Base Entrada 2008'!$L$2:$L$5000,'3 Base Entrada 2008'!$F$2:$F$5000,"&gt;="&amp;$F$5,'3 Base Entrada 2008'!$F$2:$F$5000,"&lt;="&amp;$H$5,'3 Base Entrada 2008'!$B$2:$B$5000,$T78,'3 Base Entrada 2008'!$C$2:$C$5000,$AG78)</f>
        <v>1809</v>
      </c>
      <c r="X78" s="82" t="n">
        <f aca="false">SUMIFS('3 Base Saídas'!$R$2:$R$5000,'3 Base Saídas'!$G$2:$G$5000,"&gt;="&amp;$F$5,'3 Base Saídas'!$G$2:$G$5000,"&lt;="&amp;$H$5,'3 Base Saídas'!$B$2:$B$5000,$T78,'3 Base Saídas'!$C$2:$C$5000,$AG78)</f>
        <v>1025.1</v>
      </c>
      <c r="Y78" s="82" t="n">
        <f aca="false">SUMIFS('3 Base Estoque Físico'!$J$2:$J$5000,'3 Base Estoque Físico'!$A$2:$A$5000,$T78,'3 Base Estoque Físico'!$B$2:$B$5000,$AG78)</f>
        <v>783.9</v>
      </c>
      <c r="Z78" s="82" t="n">
        <f aca="false">ROUND(Y78-(BH78+W78-X78),3)</f>
        <v>0</v>
      </c>
      <c r="AA78" s="82" t="n">
        <f aca="false">IF(AND(U78=$R$3,OR($R$1="*",T78=$R$1),OR($R$2="*",AG78=$R$2),OR($R$6="*",AC78=$R$6),ABS(V78)+ABS(W78)+ABS(X78)+ABS(Y78)&gt;0),1,0)</f>
        <v>1</v>
      </c>
      <c r="AB78" s="82" t="n">
        <f aca="false">IF(AA78=1,SUM(AA$40:AA78),"")</f>
        <v>34</v>
      </c>
      <c r="AC78" s="0" t="str">
        <f aca="false">IF(ABS(Z78)&lt;=$R$5,"Confere",IF(Z78&gt;0,"Sobrando","Faltando"))</f>
        <v>Confere</v>
      </c>
      <c r="AD78" s="82" t="n">
        <f aca="false">IF(OR($R$4="*",$R$4="Saída"),COUNTIFS('3 Base Saídas'!$G$2:$G$5000,"&gt;="&amp;$F$5,'3 Base Saídas'!$G$2:$G$5000,"&lt;="&amp;$H$5,'3 Base Saídas'!$B$2:$B$5000,$T78,'3 Base Saídas'!$C$2:$C$5000,$AG78),0)+IF($R$4&lt;&gt;"Saída",COUNTIFS('3 Base Entrada 2008'!$F$2:$F$5000,"&gt;="&amp;$F$5,'3 Base Entrada 2008'!$F$2:$F$5000,"&lt;="&amp;$H$5,'3 Base Entrada 2008'!$B$2:$B$5000,$T78,'3 Base Entrada 2008'!$C$2:$C$5000,$AG78,'3 Base Entrada 2008'!$K$2:$K$5000,$R$4),0)</f>
        <v>9</v>
      </c>
      <c r="AE78" s="0" t="str">
        <f aca="false">'5 Conciliação'!K52</f>
        <v>Sem diferença</v>
      </c>
      <c r="AF78" s="82" t="n">
        <f aca="false">IF(AND(AA78=1,AC78&lt;&gt;"Confere"),ABS(Z78)+ROW()/10000000,0)</f>
        <v>0</v>
      </c>
      <c r="AG78" s="82" t="s">
        <v>224</v>
      </c>
      <c r="AV78" s="0" t="str">
        <f aca="false">IFERROR(INDEX($AX$1:$AX$94,MATCH(77,$AY$1:$AY$94,0)),"")</f>
        <v>252683099</v>
      </c>
      <c r="AW78" s="82" t="s">
        <v>286</v>
      </c>
      <c r="AX78" s="82" t="s">
        <v>294</v>
      </c>
      <c r="AY78" s="82" t="n">
        <f aca="false">IF(OR($A$5="Todos",AW78=$A$5),MAX(AY$1:AY77)+1,0)</f>
        <v>78</v>
      </c>
      <c r="BB78" s="82" t="n">
        <f aca="false">MIN(IF(_xlfn.MINIFS('3 Base Entrada 2008'!$F$2:$F$5000,'3 Base Entrada 2008'!$F$2:$F$5000,"&gt;="&amp;$F$5,'3 Base Entrada 2008'!$F$2:$F$5000,"&lt;="&amp;$H$5,'3 Base Entrada 2008'!$B$2:$B$5000,$T78,'3 Base Entrada 2008'!$C$2:$C$5000,$AG78)=0,99999,_xlfn.MINIFS('3 Base Entrada 2008'!$F$2:$F$5000,'3 Base Entrada 2008'!$F$2:$F$5000,"&gt;="&amp;$F$5,'3 Base Entrada 2008'!$F$2:$F$5000,"&lt;="&amp;$H$5,'3 Base Entrada 2008'!$B$2:$B$5000,$T78,'3 Base Entrada 2008'!$C$2:$C$5000,$AG78)),IF(_xlfn.MINIFS('3 Base Saídas'!$G$2:$G$5000,'3 Base Saídas'!$G$2:$G$5000,"&gt;="&amp;$F$5,'3 Base Saídas'!$G$2:$G$5000,"&lt;="&amp;$H$5,'3 Base Saídas'!$B$2:$B$5000,$T78,'3 Base Saídas'!$C$2:$C$5000,$AG78)=0,99999,_xlfn.MINIFS('3 Base Saídas'!$G$2:$G$5000,'3 Base Saídas'!$G$2:$G$5000,"&gt;="&amp;$F$5,'3 Base Saídas'!$G$2:$G$5000,"&lt;="&amp;$H$5,'3 Base Saídas'!$B$2:$B$5000,$T78,'3 Base Saídas'!$C$2:$C$5000,$AG78)))</f>
        <v>46289</v>
      </c>
      <c r="BC78" s="82" t="n">
        <f aca="false">MAX(_xlfn.MAXIFS('3 Base Entrada 2008'!$F$2:$F$5000,'3 Base Entrada 2008'!$F$2:$F$5000,"&gt;="&amp;$F$5,'3 Base Entrada 2008'!$F$2:$F$5000,"&lt;="&amp;$H$5,'3 Base Entrada 2008'!$B$2:$B$5000,$T78,'3 Base Entrada 2008'!$C$2:$C$5000,$AG78),_xlfn.MAXIFS('3 Base Saídas'!$G$2:$G$5000,'3 Base Saídas'!$G$2:$G$5000,"&gt;="&amp;$F$5,'3 Base Saídas'!$G$2:$G$5000,"&lt;="&amp;$H$5,'3 Base Saídas'!$B$2:$B$5000,$T78,'3 Base Saídas'!$C$2:$C$5000,$AG78))</f>
        <v>46295</v>
      </c>
      <c r="BD78" s="0" t="str">
        <f aca="false">'5 Conciliação'!L52</f>
        <v>Nenhum ajuste necessário</v>
      </c>
      <c r="BE78" s="0" t="str">
        <f aca="false">'5 Conciliação'!Q52</f>
        <v>—</v>
      </c>
      <c r="BF78" s="0" t="str">
        <f aca="false">'5 Conciliação'!R52</f>
        <v>—</v>
      </c>
      <c r="BH78" s="82" t="n">
        <f aca="false">SUMIFS('3 Base Saldo Inicial 08-09'!$E$2:$E$5000,'3 Base Saldo Inicial 08-09'!$A$2:$A$5000,$T78,'3 Base Saldo Inicial 08-09'!$B$2:$B$5000,$AG78)-SUMIFS('3 Base Saldo Inicial 08-09'!$E$2:$E$5000,'3 Base Saldo Inicial 08-09'!$A$2:$A$5000,$T78,'3 Base Saldo Inicial 08-09'!$B$2:$B$5000,$AG78,'3 Base Saldo Inicial 08-09'!$C$2:$C$5000,"2008")</f>
        <v>0</v>
      </c>
    </row>
    <row r="79" customFormat="false" ht="15" hidden="false" customHeight="false" outlineLevel="0" collapsed="false">
      <c r="A79" s="111" t="str">
        <f aca="false">IF(IFERROR(MATCH(66,$AB$40:$AB$133,0),0)=0,"",INDEX($T$40:$T$133,IFERROR(MATCH(66,$AB$40:$AB$133,0),0)))</f>
        <v>DCP-20BODEC-89B</v>
      </c>
      <c r="B79" s="111" t="str">
        <f aca="false">IF(IFERROR(MATCH(66,$AB$40:$AB$133,0),0)=0,"",INDEX($AG$40:$AG$133,IFERROR(MATCH(66,$AB$40:$AB$133,0),0)))</f>
        <v>261388131</v>
      </c>
      <c r="C79" s="112" t="str">
        <f aca="false">IF(IFERROR(MATCH(66,$AB$40:$AB$133,0),0)=0,"",INDEX($U$40:$U$133,IFERROR(MATCH(66,$AB$40:$AB$133,0),0)))</f>
        <v>KG</v>
      </c>
      <c r="D79" s="113" t="n">
        <f aca="false">IF(IFERROR(MATCH(66,$AB$40:$AB$133,0),0)=0,"",INDEX($BH$40:$BH$133,IFERROR(MATCH(66,$AB$40:$AB$133,0),0)))</f>
        <v>0</v>
      </c>
      <c r="E79" s="113" t="n">
        <f aca="false">IF(IFERROR(MATCH(66,$AB$40:$AB$133,0),0)=0,"",INDEX($W$40:$W$133,IFERROR(MATCH(66,$AB$40:$AB$133,0),0)))</f>
        <v>0</v>
      </c>
      <c r="F79" s="113" t="n">
        <f aca="false">IF(IFERROR(MATCH(66,$AB$40:$AB$133,0),0)=0,"",INDEX($X$40:$X$133,IFERROR(MATCH(66,$AB$40:$AB$133,0),0)))</f>
        <v>0</v>
      </c>
      <c r="G79" s="113" t="n">
        <f aca="false">IF(A79="","",D79+E79-F79)</f>
        <v>0</v>
      </c>
      <c r="H79" s="113" t="n">
        <f aca="false">IF(IFERROR(MATCH(66,$AB$40:$AB$133,0),0)=0,"",INDEX($Y$40:$Y$133,IFERROR(MATCH(66,$AB$40:$AB$133,0),0)))</f>
        <v>0</v>
      </c>
      <c r="I79" s="114" t="n">
        <f aca="false">IF(IFERROR(MATCH(66,$AB$40:$AB$133,0),0)=0,"",INDEX($Z$40:$Z$133,IFERROR(MATCH(66,$AB$40:$AB$133,0),0)))</f>
        <v>0</v>
      </c>
      <c r="J79" s="115" t="str">
        <f aca="false">IF(IFERROR(MATCH(66,$AB$40:$AB$133,0),0)=0,"",INDEX($AC$40:$AC$133,IFERROR(MATCH(66,$AB$40:$AB$133,0),0)))</f>
        <v>Confere</v>
      </c>
      <c r="K79" s="116" t="n">
        <f aca="false">IF(IFERROR(MATCH(66,$AB$40:$AB$133,0),0)=0,"",INDEX($AD$40:$AD$133,IFERROR(MATCH(66,$AB$40:$AB$133,0),0)))</f>
        <v>1</v>
      </c>
      <c r="L79" s="117" t="n">
        <f aca="false">IF(IFERROR(MATCH(66,$AB$40:$AB$133,0),0)=0,"",IF(INDEX($BB$40:$BB$133,IFERROR(MATCH(66,$AB$40:$AB$133,0),0))&gt;=99999,"",INDEX($BB$40:$BB$133,IFERROR(MATCH(66,$AB$40:$AB$133,0),0))))</f>
        <v>46275</v>
      </c>
      <c r="M79" s="117" t="n">
        <f aca="false">IF(IFERROR(MATCH(66,$AB$40:$AB$133,0),0)=0,"",IF(INDEX($BC$40:$BC$133,IFERROR(MATCH(66,$AB$40:$AB$133,0),0))=0,"",INDEX($BC$40:$BC$133,IFERROR(MATCH(66,$AB$40:$AB$133,0),0))))</f>
        <v>46275</v>
      </c>
      <c r="N79" s="118" t="str">
        <f aca="false">IF(IFERROR(MATCH(66,$AB$40:$AB$133,0),0)=0,"",INDEX($AE$40:$AE$133,IFERROR(MATCH(66,$AB$40:$AB$133,0),0))&amp;"")</f>
        <v>Sem diferença</v>
      </c>
      <c r="O79" s="119" t="str">
        <f aca="false">IF(IFERROR(MATCH(66,$AB$40:$AB$133,0),0)=0,"",INDEX($BD$40:$BD$133,IFERROR(MATCH(66,$AB$40:$AB$133,0),0))&amp;"")</f>
        <v>Nenhum ajuste necessário</v>
      </c>
      <c r="T79" s="82" t="s">
        <v>225</v>
      </c>
      <c r="U79" s="82" t="s">
        <v>65</v>
      </c>
      <c r="V79" s="82" t="n">
        <f aca="false">SUMIFS('3 Base Entrada 2008'!$G$2:$G$5000,'3 Base Entrada 2008'!$F$2:$F$5000,"&gt;="&amp;$F$5,'3 Base Entrada 2008'!$F$2:$F$5000,"&lt;="&amp;$H$5,'3 Base Entrada 2008'!$B$2:$B$5000,$T79,'3 Base Entrada 2008'!$C$2:$C$5000,$AG79,'3 Base Entrada 2008'!$K$2:$K$5000,"Recebido no 2008")</f>
        <v>0</v>
      </c>
      <c r="W79" s="82" t="n">
        <f aca="false">SUMIFS('3 Base Entrada 2008'!$L$2:$L$5000,'3 Base Entrada 2008'!$F$2:$F$5000,"&gt;="&amp;$F$5,'3 Base Entrada 2008'!$F$2:$F$5000,"&lt;="&amp;$H$5,'3 Base Entrada 2008'!$B$2:$B$5000,$T79,'3 Base Entrada 2008'!$C$2:$C$5000,$AG79)</f>
        <v>1000</v>
      </c>
      <c r="X79" s="82" t="n">
        <f aca="false">SUMIFS('3 Base Saídas'!$R$2:$R$5000,'3 Base Saídas'!$G$2:$G$5000,"&gt;="&amp;$F$5,'3 Base Saídas'!$G$2:$G$5000,"&lt;="&amp;$H$5,'3 Base Saídas'!$B$2:$B$5000,$T79,'3 Base Saídas'!$C$2:$C$5000,$AG79)</f>
        <v>0</v>
      </c>
      <c r="Y79" s="82" t="n">
        <f aca="false">SUMIFS('3 Base Estoque Físico'!$J$2:$J$5000,'3 Base Estoque Físico'!$A$2:$A$5000,$T79,'3 Base Estoque Físico'!$B$2:$B$5000,$AG79)</f>
        <v>1000</v>
      </c>
      <c r="Z79" s="82" t="n">
        <f aca="false">ROUND(Y79-(BH79+W79-X79),3)</f>
        <v>0</v>
      </c>
      <c r="AA79" s="82" t="n">
        <f aca="false">IF(AND(U79=$R$3,OR($R$1="*",T79=$R$1),OR($R$2="*",AG79=$R$2),OR($R$6="*",AC79=$R$6),ABS(V79)+ABS(W79)+ABS(X79)+ABS(Y79)&gt;0),1,0)</f>
        <v>1</v>
      </c>
      <c r="AB79" s="82" t="n">
        <f aca="false">IF(AA79=1,SUM(AA$40:AA79),"")</f>
        <v>35</v>
      </c>
      <c r="AC79" s="0" t="str">
        <f aca="false">IF(ABS(Z79)&lt;=$R$5,"Confere",IF(Z79&gt;0,"Sobrando","Faltando"))</f>
        <v>Confere</v>
      </c>
      <c r="AD79" s="82" t="n">
        <f aca="false">IF(OR($R$4="*",$R$4="Saída"),COUNTIFS('3 Base Saídas'!$G$2:$G$5000,"&gt;="&amp;$F$5,'3 Base Saídas'!$G$2:$G$5000,"&lt;="&amp;$H$5,'3 Base Saídas'!$B$2:$B$5000,$T79,'3 Base Saídas'!$C$2:$C$5000,$AG79),0)+IF($R$4&lt;&gt;"Saída",COUNTIFS('3 Base Entrada 2008'!$F$2:$F$5000,"&gt;="&amp;$F$5,'3 Base Entrada 2008'!$F$2:$F$5000,"&lt;="&amp;$H$5,'3 Base Entrada 2008'!$B$2:$B$5000,$T79,'3 Base Entrada 2008'!$C$2:$C$5000,$AG79,'3 Base Entrada 2008'!$K$2:$K$5000,$R$4),0)</f>
        <v>1</v>
      </c>
      <c r="AE79" s="0" t="str">
        <f aca="false">'5 Conciliação'!K53</f>
        <v>Sem diferença</v>
      </c>
      <c r="AF79" s="82" t="n">
        <f aca="false">IF(AND(AA79=1,AC79&lt;&gt;"Confere"),ABS(Z79)+ROW()/10000000,0)</f>
        <v>0</v>
      </c>
      <c r="AG79" s="82" t="s">
        <v>226</v>
      </c>
      <c r="AV79" s="0" t="str">
        <f aca="false">IFERROR(INDEX($AX$1:$AX$94,MATCH(78,$AY$1:$AY$94,0)),"")</f>
        <v>253490619</v>
      </c>
      <c r="AW79" s="82" t="s">
        <v>286</v>
      </c>
      <c r="AX79" s="82" t="s">
        <v>382</v>
      </c>
      <c r="AY79" s="82" t="n">
        <f aca="false">IF(OR($A$5="Todos",AW79=$A$5),MAX(AY$1:AY78)+1,0)</f>
        <v>79</v>
      </c>
      <c r="BB79" s="82" t="n">
        <f aca="false">MIN(IF(_xlfn.MINIFS('3 Base Entrada 2008'!$F$2:$F$5000,'3 Base Entrada 2008'!$F$2:$F$5000,"&gt;="&amp;$F$5,'3 Base Entrada 2008'!$F$2:$F$5000,"&lt;="&amp;$H$5,'3 Base Entrada 2008'!$B$2:$B$5000,$T79,'3 Base Entrada 2008'!$C$2:$C$5000,$AG79)=0,99999,_xlfn.MINIFS('3 Base Entrada 2008'!$F$2:$F$5000,'3 Base Entrada 2008'!$F$2:$F$5000,"&gt;="&amp;$F$5,'3 Base Entrada 2008'!$F$2:$F$5000,"&lt;="&amp;$H$5,'3 Base Entrada 2008'!$B$2:$B$5000,$T79,'3 Base Entrada 2008'!$C$2:$C$5000,$AG79)),IF(_xlfn.MINIFS('3 Base Saídas'!$G$2:$G$5000,'3 Base Saídas'!$G$2:$G$5000,"&gt;="&amp;$F$5,'3 Base Saídas'!$G$2:$G$5000,"&lt;="&amp;$H$5,'3 Base Saídas'!$B$2:$B$5000,$T79,'3 Base Saídas'!$C$2:$C$5000,$AG79)=0,99999,_xlfn.MINIFS('3 Base Saídas'!$G$2:$G$5000,'3 Base Saídas'!$G$2:$G$5000,"&gt;="&amp;$F$5,'3 Base Saídas'!$G$2:$G$5000,"&lt;="&amp;$H$5,'3 Base Saídas'!$B$2:$B$5000,$T79,'3 Base Saídas'!$C$2:$C$5000,$AG79)))</f>
        <v>46294</v>
      </c>
      <c r="BC79" s="82" t="n">
        <f aca="false">MAX(_xlfn.MAXIFS('3 Base Entrada 2008'!$F$2:$F$5000,'3 Base Entrada 2008'!$F$2:$F$5000,"&gt;="&amp;$F$5,'3 Base Entrada 2008'!$F$2:$F$5000,"&lt;="&amp;$H$5,'3 Base Entrada 2008'!$B$2:$B$5000,$T79,'3 Base Entrada 2008'!$C$2:$C$5000,$AG79),_xlfn.MAXIFS('3 Base Saídas'!$G$2:$G$5000,'3 Base Saídas'!$G$2:$G$5000,"&gt;="&amp;$F$5,'3 Base Saídas'!$G$2:$G$5000,"&lt;="&amp;$H$5,'3 Base Saídas'!$B$2:$B$5000,$T79,'3 Base Saídas'!$C$2:$C$5000,$AG79))</f>
        <v>46294</v>
      </c>
      <c r="BD79" s="0" t="str">
        <f aca="false">'5 Conciliação'!L53</f>
        <v>Nenhum ajuste necessário</v>
      </c>
      <c r="BE79" s="0" t="str">
        <f aca="false">'5 Conciliação'!Q53</f>
        <v>—</v>
      </c>
      <c r="BF79" s="0" t="str">
        <f aca="false">'5 Conciliação'!R53</f>
        <v>—</v>
      </c>
      <c r="BH79" s="82" t="n">
        <f aca="false">SUMIFS('3 Base Saldo Inicial 08-09'!$E$2:$E$5000,'3 Base Saldo Inicial 08-09'!$A$2:$A$5000,$T79,'3 Base Saldo Inicial 08-09'!$B$2:$B$5000,$AG79)-SUMIFS('3 Base Saldo Inicial 08-09'!$E$2:$E$5000,'3 Base Saldo Inicial 08-09'!$A$2:$A$5000,$T79,'3 Base Saldo Inicial 08-09'!$B$2:$B$5000,$AG79,'3 Base Saldo Inicial 08-09'!$C$2:$C$5000,"2008")</f>
        <v>0</v>
      </c>
    </row>
    <row r="80" customFormat="false" ht="15" hidden="false" customHeight="false" outlineLevel="0" collapsed="false">
      <c r="A80" s="111" t="str">
        <f aca="false">IF(IFERROR(MATCH(67,$AB$40:$AB$133,0),0)=0,"",INDEX($T$40:$T$133,IFERROR(MATCH(67,$AB$40:$AB$133,0),0)))</f>
        <v>DCP-22ZEPLA-89B</v>
      </c>
      <c r="B80" s="111" t="str">
        <f aca="false">IF(IFERROR(MATCH(67,$AB$40:$AB$133,0),0)=0,"",INDEX($AG$40:$AG$133,IFERROR(MATCH(67,$AB$40:$AB$133,0),0)))</f>
        <v>260348131</v>
      </c>
      <c r="C80" s="112" t="str">
        <f aca="false">IF(IFERROR(MATCH(67,$AB$40:$AB$133,0),0)=0,"",INDEX($U$40:$U$133,IFERROR(MATCH(67,$AB$40:$AB$133,0),0)))</f>
        <v>KG</v>
      </c>
      <c r="D80" s="113" t="n">
        <f aca="false">IF(IFERROR(MATCH(67,$AB$40:$AB$133,0),0)=0,"",INDEX($BH$40:$BH$133,IFERROR(MATCH(67,$AB$40:$AB$133,0),0)))</f>
        <v>0</v>
      </c>
      <c r="E80" s="113" t="n">
        <f aca="false">IF(IFERROR(MATCH(67,$AB$40:$AB$133,0),0)=0,"",INDEX($W$40:$W$133,IFERROR(MATCH(67,$AB$40:$AB$133,0),0)))</f>
        <v>0</v>
      </c>
      <c r="F80" s="113" t="n">
        <f aca="false">IF(IFERROR(MATCH(67,$AB$40:$AB$133,0),0)=0,"",INDEX($X$40:$X$133,IFERROR(MATCH(67,$AB$40:$AB$133,0),0)))</f>
        <v>0</v>
      </c>
      <c r="G80" s="113" t="n">
        <f aca="false">IF(A80="","",D80+E80-F80)</f>
        <v>0</v>
      </c>
      <c r="H80" s="113" t="n">
        <f aca="false">IF(IFERROR(MATCH(67,$AB$40:$AB$133,0),0)=0,"",INDEX($Y$40:$Y$133,IFERROR(MATCH(67,$AB$40:$AB$133,0),0)))</f>
        <v>0</v>
      </c>
      <c r="I80" s="114" t="n">
        <f aca="false">IF(IFERROR(MATCH(67,$AB$40:$AB$133,0),0)=0,"",INDEX($Z$40:$Z$133,IFERROR(MATCH(67,$AB$40:$AB$133,0),0)))</f>
        <v>0</v>
      </c>
      <c r="J80" s="115" t="str">
        <f aca="false">IF(IFERROR(MATCH(67,$AB$40:$AB$133,0),0)=0,"",INDEX($AC$40:$AC$133,IFERROR(MATCH(67,$AB$40:$AB$133,0),0)))</f>
        <v>Confere</v>
      </c>
      <c r="K80" s="116" t="n">
        <f aca="false">IF(IFERROR(MATCH(67,$AB$40:$AB$133,0),0)=0,"",INDEX($AD$40:$AD$133,IFERROR(MATCH(67,$AB$40:$AB$133,0),0)))</f>
        <v>1</v>
      </c>
      <c r="L80" s="117" t="n">
        <f aca="false">IF(IFERROR(MATCH(67,$AB$40:$AB$133,0),0)=0,"",IF(INDEX($BB$40:$BB$133,IFERROR(MATCH(67,$AB$40:$AB$133,0),0))&gt;=99999,"",INDEX($BB$40:$BB$133,IFERROR(MATCH(67,$AB$40:$AB$133,0),0))))</f>
        <v>46275</v>
      </c>
      <c r="M80" s="117" t="n">
        <f aca="false">IF(IFERROR(MATCH(67,$AB$40:$AB$133,0),0)=0,"",IF(INDEX($BC$40:$BC$133,IFERROR(MATCH(67,$AB$40:$AB$133,0),0))=0,"",INDEX($BC$40:$BC$133,IFERROR(MATCH(67,$AB$40:$AB$133,0),0))))</f>
        <v>46275</v>
      </c>
      <c r="N80" s="118" t="str">
        <f aca="false">IF(IFERROR(MATCH(67,$AB$40:$AB$133,0),0)=0,"",INDEX($AE$40:$AE$133,IFERROR(MATCH(67,$AB$40:$AB$133,0),0))&amp;"")</f>
        <v>Sem diferença</v>
      </c>
      <c r="O80" s="119" t="str">
        <f aca="false">IF(IFERROR(MATCH(67,$AB$40:$AB$133,0),0)=0,"",INDEX($BD$40:$BD$133,IFERROR(MATCH(67,$AB$40:$AB$133,0),0))&amp;"")</f>
        <v>Nenhum ajuste necessário</v>
      </c>
      <c r="T80" s="82" t="s">
        <v>227</v>
      </c>
      <c r="U80" s="82" t="s">
        <v>65</v>
      </c>
      <c r="V80" s="82" t="n">
        <f aca="false">SUMIFS('3 Base Entrada 2008'!$G$2:$G$5000,'3 Base Entrada 2008'!$F$2:$F$5000,"&gt;="&amp;$F$5,'3 Base Entrada 2008'!$F$2:$F$5000,"&lt;="&amp;$H$5,'3 Base Entrada 2008'!$B$2:$B$5000,$T80,'3 Base Entrada 2008'!$C$2:$C$5000,$AG80,'3 Base Entrada 2008'!$K$2:$K$5000,"Recebido no 2008")</f>
        <v>0</v>
      </c>
      <c r="W80" s="82" t="n">
        <f aca="false">SUMIFS('3 Base Entrada 2008'!$L$2:$L$5000,'3 Base Entrada 2008'!$F$2:$F$5000,"&gt;="&amp;$F$5,'3 Base Entrada 2008'!$F$2:$F$5000,"&lt;="&amp;$H$5,'3 Base Entrada 2008'!$B$2:$B$5000,$T80,'3 Base Entrada 2008'!$C$2:$C$5000,$AG80)</f>
        <v>1800</v>
      </c>
      <c r="X80" s="82" t="n">
        <f aca="false">SUMIFS('3 Base Saídas'!$R$2:$R$5000,'3 Base Saídas'!$G$2:$G$5000,"&gt;="&amp;$F$5,'3 Base Saídas'!$G$2:$G$5000,"&lt;="&amp;$H$5,'3 Base Saídas'!$B$2:$B$5000,$T80,'3 Base Saídas'!$C$2:$C$5000,$AG80)</f>
        <v>0</v>
      </c>
      <c r="Y80" s="82" t="n">
        <f aca="false">SUMIFS('3 Base Estoque Físico'!$J$2:$J$5000,'3 Base Estoque Físico'!$A$2:$A$5000,$T80,'3 Base Estoque Físico'!$B$2:$B$5000,$AG80)</f>
        <v>1800</v>
      </c>
      <c r="Z80" s="82" t="n">
        <f aca="false">ROUND(Y80-(BH80+W80-X80),3)</f>
        <v>0</v>
      </c>
      <c r="AA80" s="82" t="n">
        <f aca="false">IF(AND(U80=$R$3,OR($R$1="*",T80=$R$1),OR($R$2="*",AG80=$R$2),OR($R$6="*",AC80=$R$6),ABS(V80)+ABS(W80)+ABS(X80)+ABS(Y80)&gt;0),1,0)</f>
        <v>1</v>
      </c>
      <c r="AB80" s="82" t="n">
        <f aca="false">IF(AA80=1,SUM(AA$40:AA80),"")</f>
        <v>36</v>
      </c>
      <c r="AC80" s="0" t="str">
        <f aca="false">IF(ABS(Z80)&lt;=$R$5,"Confere",IF(Z80&gt;0,"Sobrando","Faltando"))</f>
        <v>Confere</v>
      </c>
      <c r="AD80" s="82" t="n">
        <f aca="false">IF(OR($R$4="*",$R$4="Saída"),COUNTIFS('3 Base Saídas'!$G$2:$G$5000,"&gt;="&amp;$F$5,'3 Base Saídas'!$G$2:$G$5000,"&lt;="&amp;$H$5,'3 Base Saídas'!$B$2:$B$5000,$T80,'3 Base Saídas'!$C$2:$C$5000,$AG80),0)+IF($R$4&lt;&gt;"Saída",COUNTIFS('3 Base Entrada 2008'!$F$2:$F$5000,"&gt;="&amp;$F$5,'3 Base Entrada 2008'!$F$2:$F$5000,"&lt;="&amp;$H$5,'3 Base Entrada 2008'!$B$2:$B$5000,$T80,'3 Base Entrada 2008'!$C$2:$C$5000,$AG80,'3 Base Entrada 2008'!$K$2:$K$5000,$R$4),0)</f>
        <v>1</v>
      </c>
      <c r="AE80" s="0" t="str">
        <f aca="false">'5 Conciliação'!K54</f>
        <v>Sem diferença</v>
      </c>
      <c r="AF80" s="82" t="n">
        <f aca="false">IF(AND(AA80=1,AC80&lt;&gt;"Confere"),ABS(Z80)+ROW()/10000000,0)</f>
        <v>0</v>
      </c>
      <c r="AG80" s="82" t="s">
        <v>228</v>
      </c>
      <c r="AV80" s="0" t="str">
        <f aca="false">IFERROR(INDEX($AX$1:$AX$94,MATCH(79,$AY$1:$AY$94,0)),"")</f>
        <v>260341149</v>
      </c>
      <c r="AW80" s="82" t="s">
        <v>286</v>
      </c>
      <c r="AX80" s="82" t="s">
        <v>383</v>
      </c>
      <c r="AY80" s="82" t="n">
        <f aca="false">IF(OR($A$5="Todos",AW80=$A$5),MAX(AY$1:AY79)+1,0)</f>
        <v>80</v>
      </c>
      <c r="BB80" s="82" t="n">
        <f aca="false">MIN(IF(_xlfn.MINIFS('3 Base Entrada 2008'!$F$2:$F$5000,'3 Base Entrada 2008'!$F$2:$F$5000,"&gt;="&amp;$F$5,'3 Base Entrada 2008'!$F$2:$F$5000,"&lt;="&amp;$H$5,'3 Base Entrada 2008'!$B$2:$B$5000,$T80,'3 Base Entrada 2008'!$C$2:$C$5000,$AG80)=0,99999,_xlfn.MINIFS('3 Base Entrada 2008'!$F$2:$F$5000,'3 Base Entrada 2008'!$F$2:$F$5000,"&gt;="&amp;$F$5,'3 Base Entrada 2008'!$F$2:$F$5000,"&lt;="&amp;$H$5,'3 Base Entrada 2008'!$B$2:$B$5000,$T80,'3 Base Entrada 2008'!$C$2:$C$5000,$AG80)),IF(_xlfn.MINIFS('3 Base Saídas'!$G$2:$G$5000,'3 Base Saídas'!$G$2:$G$5000,"&gt;="&amp;$F$5,'3 Base Saídas'!$G$2:$G$5000,"&lt;="&amp;$H$5,'3 Base Saídas'!$B$2:$B$5000,$T80,'3 Base Saídas'!$C$2:$C$5000,$AG80)=0,99999,_xlfn.MINIFS('3 Base Saídas'!$G$2:$G$5000,'3 Base Saídas'!$G$2:$G$5000,"&gt;="&amp;$F$5,'3 Base Saídas'!$G$2:$G$5000,"&lt;="&amp;$H$5,'3 Base Saídas'!$B$2:$B$5000,$T80,'3 Base Saídas'!$C$2:$C$5000,$AG80)))</f>
        <v>46293</v>
      </c>
      <c r="BC80" s="82" t="n">
        <f aca="false">MAX(_xlfn.MAXIFS('3 Base Entrada 2008'!$F$2:$F$5000,'3 Base Entrada 2008'!$F$2:$F$5000,"&gt;="&amp;$F$5,'3 Base Entrada 2008'!$F$2:$F$5000,"&lt;="&amp;$H$5,'3 Base Entrada 2008'!$B$2:$B$5000,$T80,'3 Base Entrada 2008'!$C$2:$C$5000,$AG80),_xlfn.MAXIFS('3 Base Saídas'!$G$2:$G$5000,'3 Base Saídas'!$G$2:$G$5000,"&gt;="&amp;$F$5,'3 Base Saídas'!$G$2:$G$5000,"&lt;="&amp;$H$5,'3 Base Saídas'!$B$2:$B$5000,$T80,'3 Base Saídas'!$C$2:$C$5000,$AG80))</f>
        <v>46293</v>
      </c>
      <c r="BD80" s="0" t="str">
        <f aca="false">'5 Conciliação'!L54</f>
        <v>Nenhum ajuste necessário</v>
      </c>
      <c r="BE80" s="0" t="str">
        <f aca="false">'5 Conciliação'!Q54</f>
        <v>—</v>
      </c>
      <c r="BF80" s="0" t="str">
        <f aca="false">'5 Conciliação'!R54</f>
        <v>—</v>
      </c>
      <c r="BH80" s="82" t="n">
        <f aca="false">SUMIFS('3 Base Saldo Inicial 08-09'!$E$2:$E$5000,'3 Base Saldo Inicial 08-09'!$A$2:$A$5000,$T80,'3 Base Saldo Inicial 08-09'!$B$2:$B$5000,$AG80)-SUMIFS('3 Base Saldo Inicial 08-09'!$E$2:$E$5000,'3 Base Saldo Inicial 08-09'!$A$2:$A$5000,$T80,'3 Base Saldo Inicial 08-09'!$B$2:$B$5000,$AG80,'3 Base Saldo Inicial 08-09'!$C$2:$C$5000,"2008")</f>
        <v>0</v>
      </c>
    </row>
    <row r="81" customFormat="false" ht="15" hidden="false" customHeight="false" outlineLevel="0" collapsed="false">
      <c r="A81" s="111" t="str">
        <f aca="false">IF(IFERROR(MATCH(68,$AB$40:$AB$133,0),0)=0,"",INDEX($T$40:$T$133,IFERROR(MATCH(68,$AB$40:$AB$133,0),0)))</f>
        <v>DCP-22ZEPLA-89B</v>
      </c>
      <c r="B81" s="111" t="str">
        <f aca="false">IF(IFERROR(MATCH(68,$AB$40:$AB$133,0),0)=0,"",INDEX($AG$40:$AG$133,IFERROR(MATCH(68,$AB$40:$AB$133,0),0)))</f>
        <v>260358131</v>
      </c>
      <c r="C81" s="112" t="str">
        <f aca="false">IF(IFERROR(MATCH(68,$AB$40:$AB$133,0),0)=0,"",INDEX($U$40:$U$133,IFERROR(MATCH(68,$AB$40:$AB$133,0),0)))</f>
        <v>KG</v>
      </c>
      <c r="D81" s="113" t="n">
        <f aca="false">IF(IFERROR(MATCH(68,$AB$40:$AB$133,0),0)=0,"",INDEX($BH$40:$BH$133,IFERROR(MATCH(68,$AB$40:$AB$133,0),0)))</f>
        <v>0</v>
      </c>
      <c r="E81" s="113" t="n">
        <f aca="false">IF(IFERROR(MATCH(68,$AB$40:$AB$133,0),0)=0,"",INDEX($W$40:$W$133,IFERROR(MATCH(68,$AB$40:$AB$133,0),0)))</f>
        <v>0</v>
      </c>
      <c r="F81" s="113" t="n">
        <f aca="false">IF(IFERROR(MATCH(68,$AB$40:$AB$133,0),0)=0,"",INDEX($X$40:$X$133,IFERROR(MATCH(68,$AB$40:$AB$133,0),0)))</f>
        <v>0</v>
      </c>
      <c r="G81" s="113" t="n">
        <f aca="false">IF(A81="","",D81+E81-F81)</f>
        <v>0</v>
      </c>
      <c r="H81" s="113" t="n">
        <f aca="false">IF(IFERROR(MATCH(68,$AB$40:$AB$133,0),0)=0,"",INDEX($Y$40:$Y$133,IFERROR(MATCH(68,$AB$40:$AB$133,0),0)))</f>
        <v>0</v>
      </c>
      <c r="I81" s="114" t="n">
        <f aca="false">IF(IFERROR(MATCH(68,$AB$40:$AB$133,0),0)=0,"",INDEX($Z$40:$Z$133,IFERROR(MATCH(68,$AB$40:$AB$133,0),0)))</f>
        <v>0</v>
      </c>
      <c r="J81" s="115" t="str">
        <f aca="false">IF(IFERROR(MATCH(68,$AB$40:$AB$133,0),0)=0,"",INDEX($AC$40:$AC$133,IFERROR(MATCH(68,$AB$40:$AB$133,0),0)))</f>
        <v>Confere</v>
      </c>
      <c r="K81" s="116" t="n">
        <f aca="false">IF(IFERROR(MATCH(68,$AB$40:$AB$133,0),0)=0,"",INDEX($AD$40:$AD$133,IFERROR(MATCH(68,$AB$40:$AB$133,0),0)))</f>
        <v>2</v>
      </c>
      <c r="L81" s="117" t="n">
        <f aca="false">IF(IFERROR(MATCH(68,$AB$40:$AB$133,0),0)=0,"",IF(INDEX($BB$40:$BB$133,IFERROR(MATCH(68,$AB$40:$AB$133,0),0))&gt;=99999,"",INDEX($BB$40:$BB$133,IFERROR(MATCH(68,$AB$40:$AB$133,0),0))))</f>
        <v>46275</v>
      </c>
      <c r="M81" s="117" t="n">
        <f aca="false">IF(IFERROR(MATCH(68,$AB$40:$AB$133,0),0)=0,"",IF(INDEX($BC$40:$BC$133,IFERROR(MATCH(68,$AB$40:$AB$133,0),0))=0,"",INDEX($BC$40:$BC$133,IFERROR(MATCH(68,$AB$40:$AB$133,0),0))))</f>
        <v>46275</v>
      </c>
      <c r="N81" s="118" t="str">
        <f aca="false">IF(IFERROR(MATCH(68,$AB$40:$AB$133,0),0)=0,"",INDEX($AE$40:$AE$133,IFERROR(MATCH(68,$AB$40:$AB$133,0),0))&amp;"")</f>
        <v>Sem diferença</v>
      </c>
      <c r="O81" s="119" t="str">
        <f aca="false">IF(IFERROR(MATCH(68,$AB$40:$AB$133,0),0)=0,"",INDEX($BD$40:$BD$133,IFERROR(MATCH(68,$AB$40:$AB$133,0),0))&amp;"")</f>
        <v>Nenhum ajuste necessário</v>
      </c>
      <c r="T81" s="82" t="s">
        <v>227</v>
      </c>
      <c r="U81" s="82" t="s">
        <v>65</v>
      </c>
      <c r="V81" s="82" t="n">
        <f aca="false">SUMIFS('3 Base Entrada 2008'!$G$2:$G$5000,'3 Base Entrada 2008'!$F$2:$F$5000,"&gt;="&amp;$F$5,'3 Base Entrada 2008'!$F$2:$F$5000,"&lt;="&amp;$H$5,'3 Base Entrada 2008'!$B$2:$B$5000,$T81,'3 Base Entrada 2008'!$C$2:$C$5000,$AG81,'3 Base Entrada 2008'!$K$2:$K$5000,"Recebido no 2008")</f>
        <v>6000</v>
      </c>
      <c r="W81" s="82" t="n">
        <f aca="false">SUMIFS('3 Base Entrada 2008'!$L$2:$L$5000,'3 Base Entrada 2008'!$F$2:$F$5000,"&gt;="&amp;$F$5,'3 Base Entrada 2008'!$F$2:$F$5000,"&lt;="&amp;$H$5,'3 Base Entrada 2008'!$B$2:$B$5000,$T81,'3 Base Entrada 2008'!$C$2:$C$5000,$AG81)</f>
        <v>5940</v>
      </c>
      <c r="X81" s="82" t="n">
        <f aca="false">SUMIFS('3 Base Saídas'!$R$2:$R$5000,'3 Base Saídas'!$G$2:$G$5000,"&gt;="&amp;$F$5,'3 Base Saídas'!$G$2:$G$5000,"&lt;="&amp;$H$5,'3 Base Saídas'!$B$2:$B$5000,$T81,'3 Base Saídas'!$C$2:$C$5000,$AG81)</f>
        <v>4940</v>
      </c>
      <c r="Y81" s="82" t="n">
        <f aca="false">SUMIFS('3 Base Estoque Físico'!$J$2:$J$5000,'3 Base Estoque Físico'!$A$2:$A$5000,$T81,'3 Base Estoque Físico'!$B$2:$B$5000,$AG81)</f>
        <v>1000</v>
      </c>
      <c r="Z81" s="82" t="n">
        <f aca="false">ROUND(Y81-(BH81+W81-X81),3)</f>
        <v>0</v>
      </c>
      <c r="AA81" s="82" t="n">
        <f aca="false">IF(AND(U81=$R$3,OR($R$1="*",T81=$R$1),OR($R$2="*",AG81=$R$2),OR($R$6="*",AC81=$R$6),ABS(V81)+ABS(W81)+ABS(X81)+ABS(Y81)&gt;0),1,0)</f>
        <v>1</v>
      </c>
      <c r="AB81" s="82" t="n">
        <f aca="false">IF(AA81=1,SUM(AA$40:AA81),"")</f>
        <v>37</v>
      </c>
      <c r="AC81" s="0" t="str">
        <f aca="false">IF(ABS(Z81)&lt;=$R$5,"Confere",IF(Z81&gt;0,"Sobrando","Faltando"))</f>
        <v>Confere</v>
      </c>
      <c r="AD81" s="82" t="n">
        <f aca="false">IF(OR($R$4="*",$R$4="Saída"),COUNTIFS('3 Base Saídas'!$G$2:$G$5000,"&gt;="&amp;$F$5,'3 Base Saídas'!$G$2:$G$5000,"&lt;="&amp;$H$5,'3 Base Saídas'!$B$2:$B$5000,$T81,'3 Base Saídas'!$C$2:$C$5000,$AG81),0)+IF($R$4&lt;&gt;"Saída",COUNTIFS('3 Base Entrada 2008'!$F$2:$F$5000,"&gt;="&amp;$F$5,'3 Base Entrada 2008'!$F$2:$F$5000,"&lt;="&amp;$H$5,'3 Base Entrada 2008'!$B$2:$B$5000,$T81,'3 Base Entrada 2008'!$C$2:$C$5000,$AG81,'3 Base Entrada 2008'!$K$2:$K$5000,$R$4),0)</f>
        <v>12</v>
      </c>
      <c r="AE81" s="0" t="str">
        <f aca="false">'5 Conciliação'!K55</f>
        <v>Sem diferença</v>
      </c>
      <c r="AF81" s="82" t="n">
        <f aca="false">IF(AND(AA81=1,AC81&lt;&gt;"Confere"),ABS(Z81)+ROW()/10000000,0)</f>
        <v>0</v>
      </c>
      <c r="AG81" s="82" t="s">
        <v>230</v>
      </c>
      <c r="AV81" s="0" t="str">
        <f aca="false">IFERROR(INDEX($AX$1:$AX$94,MATCH(80,$AY$1:$AY$94,0)),"")</f>
        <v>260611429</v>
      </c>
      <c r="AW81" s="82" t="s">
        <v>286</v>
      </c>
      <c r="AX81" s="82" t="s">
        <v>287</v>
      </c>
      <c r="AY81" s="82" t="n">
        <f aca="false">IF(OR($A$5="Todos",AW81=$A$5),MAX(AY$1:AY80)+1,0)</f>
        <v>81</v>
      </c>
      <c r="BB81" s="82" t="n">
        <f aca="false">MIN(IF(_xlfn.MINIFS('3 Base Entrada 2008'!$F$2:$F$5000,'3 Base Entrada 2008'!$F$2:$F$5000,"&gt;="&amp;$F$5,'3 Base Entrada 2008'!$F$2:$F$5000,"&lt;="&amp;$H$5,'3 Base Entrada 2008'!$B$2:$B$5000,$T81,'3 Base Entrada 2008'!$C$2:$C$5000,$AG81)=0,99999,_xlfn.MINIFS('3 Base Entrada 2008'!$F$2:$F$5000,'3 Base Entrada 2008'!$F$2:$F$5000,"&gt;="&amp;$F$5,'3 Base Entrada 2008'!$F$2:$F$5000,"&lt;="&amp;$H$5,'3 Base Entrada 2008'!$B$2:$B$5000,$T81,'3 Base Entrada 2008'!$C$2:$C$5000,$AG81)),IF(_xlfn.MINIFS('3 Base Saídas'!$G$2:$G$5000,'3 Base Saídas'!$G$2:$G$5000,"&gt;="&amp;$F$5,'3 Base Saídas'!$G$2:$G$5000,"&lt;="&amp;$H$5,'3 Base Saídas'!$B$2:$B$5000,$T81,'3 Base Saídas'!$C$2:$C$5000,$AG81)=0,99999,_xlfn.MINIFS('3 Base Saídas'!$G$2:$G$5000,'3 Base Saídas'!$G$2:$G$5000,"&gt;="&amp;$F$5,'3 Base Saídas'!$G$2:$G$5000,"&lt;="&amp;$H$5,'3 Base Saídas'!$B$2:$B$5000,$T81,'3 Base Saídas'!$C$2:$C$5000,$AG81)))</f>
        <v>46275</v>
      </c>
      <c r="BC81" s="82" t="n">
        <f aca="false">MAX(_xlfn.MAXIFS('3 Base Entrada 2008'!$F$2:$F$5000,'3 Base Entrada 2008'!$F$2:$F$5000,"&gt;="&amp;$F$5,'3 Base Entrada 2008'!$F$2:$F$5000,"&lt;="&amp;$H$5,'3 Base Entrada 2008'!$B$2:$B$5000,$T81,'3 Base Entrada 2008'!$C$2:$C$5000,$AG81),_xlfn.MAXIFS('3 Base Saídas'!$G$2:$G$5000,'3 Base Saídas'!$G$2:$G$5000,"&gt;="&amp;$F$5,'3 Base Saídas'!$G$2:$G$5000,"&lt;="&amp;$H$5,'3 Base Saídas'!$B$2:$B$5000,$T81,'3 Base Saídas'!$C$2:$C$5000,$AG81))</f>
        <v>46295</v>
      </c>
      <c r="BD81" s="0" t="str">
        <f aca="false">'5 Conciliação'!L55</f>
        <v>Nenhum ajuste necessário</v>
      </c>
      <c r="BE81" s="0" t="str">
        <f aca="false">'5 Conciliação'!Q55</f>
        <v>—</v>
      </c>
      <c r="BF81" s="0" t="str">
        <f aca="false">'5 Conciliação'!R55</f>
        <v>—</v>
      </c>
      <c r="BH81" s="82" t="n">
        <f aca="false">SUMIFS('3 Base Saldo Inicial 08-09'!$E$2:$E$5000,'3 Base Saldo Inicial 08-09'!$A$2:$A$5000,$T81,'3 Base Saldo Inicial 08-09'!$B$2:$B$5000,$AG81)-SUMIFS('3 Base Saldo Inicial 08-09'!$E$2:$E$5000,'3 Base Saldo Inicial 08-09'!$A$2:$A$5000,$T81,'3 Base Saldo Inicial 08-09'!$B$2:$B$5000,$AG81,'3 Base Saldo Inicial 08-09'!$C$2:$C$5000,"2008")</f>
        <v>0</v>
      </c>
    </row>
    <row r="82" customFormat="false" ht="15" hidden="false" customHeight="false" outlineLevel="0" collapsed="false">
      <c r="A82" s="111" t="str">
        <f aca="false">IF(IFERROR(MATCH(69,$AB$40:$AB$133,0),0)=0,"",INDEX($T$40:$T$133,IFERROR(MATCH(69,$AB$40:$AB$133,0),0)))</f>
        <v>GIA-145</v>
      </c>
      <c r="B82" s="111" t="str">
        <f aca="false">IF(IFERROR(MATCH(69,$AB$40:$AB$133,0),0)=0,"",INDEX($AG$40:$AG$133,IFERROR(MATCH(69,$AB$40:$AB$133,0),0)))</f>
        <v>2518442009</v>
      </c>
      <c r="C82" s="112" t="str">
        <f aca="false">IF(IFERROR(MATCH(69,$AB$40:$AB$133,0),0)=0,"",INDEX($U$40:$U$133,IFERROR(MATCH(69,$AB$40:$AB$133,0),0)))</f>
        <v>KG</v>
      </c>
      <c r="D82" s="113" t="n">
        <f aca="false">IF(IFERROR(MATCH(69,$AB$40:$AB$133,0),0)=0,"",INDEX($BH$40:$BH$133,IFERROR(MATCH(69,$AB$40:$AB$133,0),0)))</f>
        <v>0</v>
      </c>
      <c r="E82" s="113" t="n">
        <f aca="false">IF(IFERROR(MATCH(69,$AB$40:$AB$133,0),0)=0,"",INDEX($W$40:$W$133,IFERROR(MATCH(69,$AB$40:$AB$133,0),0)))</f>
        <v>850</v>
      </c>
      <c r="F82" s="113" t="n">
        <f aca="false">IF(IFERROR(MATCH(69,$AB$40:$AB$133,0),0)=0,"",INDEX($X$40:$X$133,IFERROR(MATCH(69,$AB$40:$AB$133,0),0)))</f>
        <v>50</v>
      </c>
      <c r="G82" s="113" t="n">
        <f aca="false">IF(A82="","",D82+E82-F82)</f>
        <v>800</v>
      </c>
      <c r="H82" s="113" t="n">
        <f aca="false">IF(IFERROR(MATCH(69,$AB$40:$AB$133,0),0)=0,"",INDEX($Y$40:$Y$133,IFERROR(MATCH(69,$AB$40:$AB$133,0),0)))</f>
        <v>800</v>
      </c>
      <c r="I82" s="114" t="n">
        <f aca="false">IF(IFERROR(MATCH(69,$AB$40:$AB$133,0),0)=0,"",INDEX($Z$40:$Z$133,IFERROR(MATCH(69,$AB$40:$AB$133,0),0)))</f>
        <v>0</v>
      </c>
      <c r="J82" s="115" t="str">
        <f aca="false">IF(IFERROR(MATCH(69,$AB$40:$AB$133,0),0)=0,"",INDEX($AC$40:$AC$133,IFERROR(MATCH(69,$AB$40:$AB$133,0),0)))</f>
        <v>Confere</v>
      </c>
      <c r="K82" s="116" t="n">
        <f aca="false">IF(IFERROR(MATCH(69,$AB$40:$AB$133,0),0)=0,"",INDEX($AD$40:$AD$133,IFERROR(MATCH(69,$AB$40:$AB$133,0),0)))</f>
        <v>3</v>
      </c>
      <c r="L82" s="117" t="n">
        <f aca="false">IF(IFERROR(MATCH(69,$AB$40:$AB$133,0),0)=0,"",IF(INDEX($BB$40:$BB$133,IFERROR(MATCH(69,$AB$40:$AB$133,0),0))&gt;=99999,"",INDEX($BB$40:$BB$133,IFERROR(MATCH(69,$AB$40:$AB$133,0),0))))</f>
        <v>46291</v>
      </c>
      <c r="M82" s="117" t="n">
        <f aca="false">IF(IFERROR(MATCH(69,$AB$40:$AB$133,0),0)=0,"",IF(INDEX($BC$40:$BC$133,IFERROR(MATCH(69,$AB$40:$AB$133,0),0))=0,"",INDEX($BC$40:$BC$133,IFERROR(MATCH(69,$AB$40:$AB$133,0),0))))</f>
        <v>46295</v>
      </c>
      <c r="N82" s="118" t="str">
        <f aca="false">IF(IFERROR(MATCH(69,$AB$40:$AB$133,0),0)=0,"",INDEX($AE$40:$AE$133,IFERROR(MATCH(69,$AB$40:$AB$133,0),0))&amp;"")</f>
        <v>Sem diferença</v>
      </c>
      <c r="O82" s="119" t="str">
        <f aca="false">IF(IFERROR(MATCH(69,$AB$40:$AB$133,0),0)=0,"",INDEX($BD$40:$BD$133,IFERROR(MATCH(69,$AB$40:$AB$133,0),0))&amp;"")</f>
        <v>Nenhum ajuste necessário</v>
      </c>
      <c r="T82" s="82" t="s">
        <v>327</v>
      </c>
      <c r="U82" s="82" t="s">
        <v>65</v>
      </c>
      <c r="V82" s="82" t="n">
        <f aca="false">SUMIFS('3 Base Entrada 2008'!$G$2:$G$5000,'3 Base Entrada 2008'!$F$2:$F$5000,"&gt;="&amp;$F$5,'3 Base Entrada 2008'!$F$2:$F$5000,"&lt;="&amp;$H$5,'3 Base Entrada 2008'!$B$2:$B$5000,$T82,'3 Base Entrada 2008'!$C$2:$C$5000,$AG82,'3 Base Entrada 2008'!$K$2:$K$5000,"Recebido no 2008")</f>
        <v>0</v>
      </c>
      <c r="W82" s="82" t="n">
        <f aca="false">SUMIFS('3 Base Entrada 2008'!$L$2:$L$5000,'3 Base Entrada 2008'!$F$2:$F$5000,"&gt;="&amp;$F$5,'3 Base Entrada 2008'!$F$2:$F$5000,"&lt;="&amp;$H$5,'3 Base Entrada 2008'!$B$2:$B$5000,$T82,'3 Base Entrada 2008'!$C$2:$C$5000,$AG82)</f>
        <v>720</v>
      </c>
      <c r="X82" s="82" t="n">
        <f aca="false">SUMIFS('3 Base Saídas'!$R$2:$R$5000,'3 Base Saídas'!$G$2:$G$5000,"&gt;="&amp;$F$5,'3 Base Saídas'!$G$2:$G$5000,"&lt;="&amp;$H$5,'3 Base Saídas'!$B$2:$B$5000,$T82,'3 Base Saídas'!$C$2:$C$5000,$AG82)</f>
        <v>240</v>
      </c>
      <c r="Y82" s="82" t="n">
        <f aca="false">SUMIFS('3 Base Estoque Físico'!$J$2:$J$5000,'3 Base Estoque Físico'!$A$2:$A$5000,$T82,'3 Base Estoque Físico'!$B$2:$B$5000,$AG82)</f>
        <v>480</v>
      </c>
      <c r="Z82" s="82" t="n">
        <f aca="false">ROUND(Y82-(BH82+W82-X82),3)</f>
        <v>0</v>
      </c>
      <c r="AA82" s="82" t="n">
        <f aca="false">IF(AND(U82=$R$3,OR($R$1="*",T82=$R$1),OR($R$2="*",AG82=$R$2),OR($R$6="*",AC82=$R$6),ABS(V82)+ABS(W82)+ABS(X82)+ABS(Y82)&gt;0),1,0)</f>
        <v>1</v>
      </c>
      <c r="AB82" s="82" t="n">
        <f aca="false">IF(AA82=1,SUM(AA$40:AA82),"")</f>
        <v>38</v>
      </c>
      <c r="AC82" s="0" t="str">
        <f aca="false">IF(ABS(Z82)&lt;=$R$5,"Confere",IF(Z82&gt;0,"Sobrando","Faltando"))</f>
        <v>Confere</v>
      </c>
      <c r="AD82" s="82" t="n">
        <f aca="false">IF(OR($R$4="*",$R$4="Saída"),COUNTIFS('3 Base Saídas'!$G$2:$G$5000,"&gt;="&amp;$F$5,'3 Base Saídas'!$G$2:$G$5000,"&lt;="&amp;$H$5,'3 Base Saídas'!$B$2:$B$5000,$T82,'3 Base Saídas'!$C$2:$C$5000,$AG82),0)+IF($R$4&lt;&gt;"Saída",COUNTIFS('3 Base Entrada 2008'!$F$2:$F$5000,"&gt;="&amp;$F$5,'3 Base Entrada 2008'!$F$2:$F$5000,"&lt;="&amp;$H$5,'3 Base Entrada 2008'!$B$2:$B$5000,$T82,'3 Base Entrada 2008'!$C$2:$C$5000,$AG82,'3 Base Entrada 2008'!$K$2:$K$5000,$R$4),0)</f>
        <v>2</v>
      </c>
      <c r="AE82" s="0" t="str">
        <f aca="false">'5 Conciliação'!K56</f>
        <v>Sem diferença</v>
      </c>
      <c r="AF82" s="82" t="n">
        <f aca="false">IF(AND(AA82=1,AC82&lt;&gt;"Confere"),ABS(Z82)+ROW()/10000000,0)</f>
        <v>0</v>
      </c>
      <c r="AG82" s="82" t="s">
        <v>328</v>
      </c>
      <c r="AV82" s="0" t="str">
        <f aca="false">IFERROR(INDEX($AX$1:$AX$94,MATCH(81,$AY$1:$AY$94,0)),"")</f>
        <v>260691479</v>
      </c>
      <c r="AW82" s="82" t="s">
        <v>301</v>
      </c>
      <c r="AX82" s="82" t="s">
        <v>385</v>
      </c>
      <c r="AY82" s="82" t="n">
        <f aca="false">IF(OR($A$5="Todos",AW82=$A$5),MAX(AY$1:AY81)+1,0)</f>
        <v>82</v>
      </c>
      <c r="BB82" s="82" t="n">
        <f aca="false">MIN(IF(_xlfn.MINIFS('3 Base Entrada 2008'!$F$2:$F$5000,'3 Base Entrada 2008'!$F$2:$F$5000,"&gt;="&amp;$F$5,'3 Base Entrada 2008'!$F$2:$F$5000,"&lt;="&amp;$H$5,'3 Base Entrada 2008'!$B$2:$B$5000,$T82,'3 Base Entrada 2008'!$C$2:$C$5000,$AG82)=0,99999,_xlfn.MINIFS('3 Base Entrada 2008'!$F$2:$F$5000,'3 Base Entrada 2008'!$F$2:$F$5000,"&gt;="&amp;$F$5,'3 Base Entrada 2008'!$F$2:$F$5000,"&lt;="&amp;$H$5,'3 Base Entrada 2008'!$B$2:$B$5000,$T82,'3 Base Entrada 2008'!$C$2:$C$5000,$AG82)),IF(_xlfn.MINIFS('3 Base Saídas'!$G$2:$G$5000,'3 Base Saídas'!$G$2:$G$5000,"&gt;="&amp;$F$5,'3 Base Saídas'!$G$2:$G$5000,"&lt;="&amp;$H$5,'3 Base Saídas'!$B$2:$B$5000,$T82,'3 Base Saídas'!$C$2:$C$5000,$AG82)=0,99999,_xlfn.MINIFS('3 Base Saídas'!$G$2:$G$5000,'3 Base Saídas'!$G$2:$G$5000,"&gt;="&amp;$F$5,'3 Base Saídas'!$G$2:$G$5000,"&lt;="&amp;$H$5,'3 Base Saídas'!$B$2:$B$5000,$T82,'3 Base Saídas'!$C$2:$C$5000,$AG82)))</f>
        <v>46291</v>
      </c>
      <c r="BC82" s="82" t="n">
        <f aca="false">MAX(_xlfn.MAXIFS('3 Base Entrada 2008'!$F$2:$F$5000,'3 Base Entrada 2008'!$F$2:$F$5000,"&gt;="&amp;$F$5,'3 Base Entrada 2008'!$F$2:$F$5000,"&lt;="&amp;$H$5,'3 Base Entrada 2008'!$B$2:$B$5000,$T82,'3 Base Entrada 2008'!$C$2:$C$5000,$AG82),_xlfn.MAXIFS('3 Base Saídas'!$G$2:$G$5000,'3 Base Saídas'!$G$2:$G$5000,"&gt;="&amp;$F$5,'3 Base Saídas'!$G$2:$G$5000,"&lt;="&amp;$H$5,'3 Base Saídas'!$B$2:$B$5000,$T82,'3 Base Saídas'!$C$2:$C$5000,$AG82))</f>
        <v>46295</v>
      </c>
      <c r="BD82" s="0" t="str">
        <f aca="false">'5 Conciliação'!L56</f>
        <v>Nenhum ajuste necessário</v>
      </c>
      <c r="BE82" s="0" t="str">
        <f aca="false">'5 Conciliação'!Q56</f>
        <v>—</v>
      </c>
      <c r="BF82" s="0" t="str">
        <f aca="false">'5 Conciliação'!R56</f>
        <v>—</v>
      </c>
      <c r="BH82" s="82" t="n">
        <f aca="false">SUMIFS('3 Base Saldo Inicial 08-09'!$E$2:$E$5000,'3 Base Saldo Inicial 08-09'!$A$2:$A$5000,$T82,'3 Base Saldo Inicial 08-09'!$B$2:$B$5000,$AG82)-SUMIFS('3 Base Saldo Inicial 08-09'!$E$2:$E$5000,'3 Base Saldo Inicial 08-09'!$A$2:$A$5000,$T82,'3 Base Saldo Inicial 08-09'!$B$2:$B$5000,$AG82,'3 Base Saldo Inicial 08-09'!$C$2:$C$5000,"2008")</f>
        <v>0</v>
      </c>
    </row>
    <row r="83" customFormat="false" ht="15" hidden="false" customHeight="false" outlineLevel="0" collapsed="false">
      <c r="A83" s="111" t="str">
        <f aca="false">IF(IFERROR(MATCH(70,$AB$40:$AB$133,0),0)=0,"",INDEX($T$40:$T$133,IFERROR(MATCH(70,$AB$40:$AB$133,0),0)))</f>
        <v>MALCHOC-D-123</v>
      </c>
      <c r="B83" s="111" t="str">
        <f aca="false">IF(IFERROR(MATCH(70,$AB$40:$AB$133,0),0)=0,"",INDEX($AG$40:$AG$133,IFERROR(MATCH(70,$AB$40:$AB$133,0),0)))</f>
        <v>261060203</v>
      </c>
      <c r="C83" s="112" t="str">
        <f aca="false">IF(IFERROR(MATCH(70,$AB$40:$AB$133,0),0)=0,"",INDEX($U$40:$U$133,IFERROR(MATCH(70,$AB$40:$AB$133,0),0)))</f>
        <v>KG</v>
      </c>
      <c r="D83" s="113" t="n">
        <f aca="false">IF(IFERROR(MATCH(70,$AB$40:$AB$133,0),0)=0,"",INDEX($BH$40:$BH$133,IFERROR(MATCH(70,$AB$40:$AB$133,0),0)))</f>
        <v>0</v>
      </c>
      <c r="E83" s="113" t="n">
        <f aca="false">IF(IFERROR(MATCH(70,$AB$40:$AB$133,0),0)=0,"",INDEX($W$40:$W$133,IFERROR(MATCH(70,$AB$40:$AB$133,0),0)))</f>
        <v>1000</v>
      </c>
      <c r="F83" s="113" t="n">
        <f aca="false">IF(IFERROR(MATCH(70,$AB$40:$AB$133,0),0)=0,"",INDEX($X$40:$X$133,IFERROR(MATCH(70,$AB$40:$AB$133,0),0)))</f>
        <v>0</v>
      </c>
      <c r="G83" s="113" t="n">
        <f aca="false">IF(A83="","",D83+E83-F83)</f>
        <v>1000</v>
      </c>
      <c r="H83" s="113" t="n">
        <f aca="false">IF(IFERROR(MATCH(70,$AB$40:$AB$133,0),0)=0,"",INDEX($Y$40:$Y$133,IFERROR(MATCH(70,$AB$40:$AB$133,0),0)))</f>
        <v>1000</v>
      </c>
      <c r="I83" s="114" t="n">
        <f aca="false">IF(IFERROR(MATCH(70,$AB$40:$AB$133,0),0)=0,"",INDEX($Z$40:$Z$133,IFERROR(MATCH(70,$AB$40:$AB$133,0),0)))</f>
        <v>0</v>
      </c>
      <c r="J83" s="115" t="str">
        <f aca="false">IF(IFERROR(MATCH(70,$AB$40:$AB$133,0),0)=0,"",INDEX($AC$40:$AC$133,IFERROR(MATCH(70,$AB$40:$AB$133,0),0)))</f>
        <v>Confere</v>
      </c>
      <c r="K83" s="116" t="n">
        <f aca="false">IF(IFERROR(MATCH(70,$AB$40:$AB$133,0),0)=0,"",INDEX($AD$40:$AD$133,IFERROR(MATCH(70,$AB$40:$AB$133,0),0)))</f>
        <v>1</v>
      </c>
      <c r="L83" s="117" t="n">
        <f aca="false">IF(IFERROR(MATCH(70,$AB$40:$AB$133,0),0)=0,"",IF(INDEX($BB$40:$BB$133,IFERROR(MATCH(70,$AB$40:$AB$133,0),0))&gt;=99999,"",INDEX($BB$40:$BB$133,IFERROR(MATCH(70,$AB$40:$AB$133,0),0))))</f>
        <v>46288</v>
      </c>
      <c r="M83" s="117" t="n">
        <f aca="false">IF(IFERROR(MATCH(70,$AB$40:$AB$133,0),0)=0,"",IF(INDEX($BC$40:$BC$133,IFERROR(MATCH(70,$AB$40:$AB$133,0),0))=0,"",INDEX($BC$40:$BC$133,IFERROR(MATCH(70,$AB$40:$AB$133,0),0))))</f>
        <v>46288</v>
      </c>
      <c r="N83" s="118" t="str">
        <f aca="false">IF(IFERROR(MATCH(70,$AB$40:$AB$133,0),0)=0,"",INDEX($AE$40:$AE$133,IFERROR(MATCH(70,$AB$40:$AB$133,0),0))&amp;"")</f>
        <v>Sem diferença</v>
      </c>
      <c r="O83" s="119" t="str">
        <f aca="false">IF(IFERROR(MATCH(70,$AB$40:$AB$133,0),0)=0,"",INDEX($BD$40:$BD$133,IFERROR(MATCH(70,$AB$40:$AB$133,0),0))&amp;"")</f>
        <v>Nenhum ajuste necessário</v>
      </c>
      <c r="T83" s="82" t="s">
        <v>327</v>
      </c>
      <c r="U83" s="82" t="s">
        <v>65</v>
      </c>
      <c r="V83" s="82" t="n">
        <f aca="false">SUMIFS('3 Base Entrada 2008'!$G$2:$G$5000,'3 Base Entrada 2008'!$F$2:$F$5000,"&gt;="&amp;$F$5,'3 Base Entrada 2008'!$F$2:$F$5000,"&lt;="&amp;$H$5,'3 Base Entrada 2008'!$B$2:$B$5000,$T83,'3 Base Entrada 2008'!$C$2:$C$5000,$AG83,'3 Base Entrada 2008'!$K$2:$K$5000,"Recebido no 2008")</f>
        <v>2880</v>
      </c>
      <c r="W83" s="82" t="n">
        <f aca="false">SUMIFS('3 Base Entrada 2008'!$L$2:$L$5000,'3 Base Entrada 2008'!$F$2:$F$5000,"&gt;="&amp;$F$5,'3 Base Entrada 2008'!$F$2:$F$5000,"&lt;="&amp;$H$5,'3 Base Entrada 2008'!$B$2:$B$5000,$T83,'3 Base Entrada 2008'!$C$2:$C$5000,$AG83)</f>
        <v>40</v>
      </c>
      <c r="X83" s="82" t="n">
        <f aca="false">SUMIFS('3 Base Saídas'!$R$2:$R$5000,'3 Base Saídas'!$G$2:$G$5000,"&gt;="&amp;$F$5,'3 Base Saídas'!$G$2:$G$5000,"&lt;="&amp;$H$5,'3 Base Saídas'!$B$2:$B$5000,$T83,'3 Base Saídas'!$C$2:$C$5000,$AG83)</f>
        <v>0</v>
      </c>
      <c r="Y83" s="82" t="n">
        <f aca="false">SUMIFS('3 Base Estoque Físico'!$J$2:$J$5000,'3 Base Estoque Físico'!$A$2:$A$5000,$T83,'3 Base Estoque Físico'!$B$2:$B$5000,$AG83)</f>
        <v>40</v>
      </c>
      <c r="Z83" s="82" t="n">
        <f aca="false">ROUND(Y83-(BH83+W83-X83),3)</f>
        <v>0</v>
      </c>
      <c r="AA83" s="82" t="n">
        <f aca="false">IF(AND(U83=$R$3,OR($R$1="*",T83=$R$1),OR($R$2="*",AG83=$R$2),OR($R$6="*",AC83=$R$6),ABS(V83)+ABS(W83)+ABS(X83)+ABS(Y83)&gt;0),1,0)</f>
        <v>1</v>
      </c>
      <c r="AB83" s="82" t="n">
        <f aca="false">IF(AA83=1,SUM(AA$40:AA83),"")</f>
        <v>39</v>
      </c>
      <c r="AC83" s="0" t="str">
        <f aca="false">IF(ABS(Z83)&lt;=$R$5,"Confere",IF(Z83&gt;0,"Sobrando","Faltando"))</f>
        <v>Confere</v>
      </c>
      <c r="AD83" s="82" t="n">
        <f aca="false">IF(OR($R$4="*",$R$4="Saída"),COUNTIFS('3 Base Saídas'!$G$2:$G$5000,"&gt;="&amp;$F$5,'3 Base Saídas'!$G$2:$G$5000,"&lt;="&amp;$H$5,'3 Base Saídas'!$B$2:$B$5000,$T83,'3 Base Saídas'!$C$2:$C$5000,$AG83),0)+IF($R$4&lt;&gt;"Saída",COUNTIFS('3 Base Entrada 2008'!$F$2:$F$5000,"&gt;="&amp;$F$5,'3 Base Entrada 2008'!$F$2:$F$5000,"&lt;="&amp;$H$5,'3 Base Entrada 2008'!$B$2:$B$5000,$T83,'3 Base Entrada 2008'!$C$2:$C$5000,$AG83,'3 Base Entrada 2008'!$K$2:$K$5000,$R$4),0)</f>
        <v>3</v>
      </c>
      <c r="AE83" s="0" t="str">
        <f aca="false">'5 Conciliação'!K57</f>
        <v>Sem diferença</v>
      </c>
      <c r="AF83" s="82" t="n">
        <f aca="false">IF(AND(AA83=1,AC83&lt;&gt;"Confere"),ABS(Z83)+ROW()/10000000,0)</f>
        <v>0</v>
      </c>
      <c r="AG83" s="82" t="s">
        <v>330</v>
      </c>
      <c r="AV83" s="0" t="str">
        <f aca="false">IFERROR(INDEX($AX$1:$AX$94,MATCH(82,$AY$1:$AY$94,0)),"")</f>
        <v>2608294084</v>
      </c>
      <c r="AW83" s="82" t="s">
        <v>301</v>
      </c>
      <c r="AX83" s="82" t="s">
        <v>302</v>
      </c>
      <c r="AY83" s="82" t="n">
        <f aca="false">IF(OR($A$5="Todos",AW83=$A$5),MAX(AY$1:AY82)+1,0)</f>
        <v>83</v>
      </c>
      <c r="BB83" s="82" t="n">
        <f aca="false">MIN(IF(_xlfn.MINIFS('3 Base Entrada 2008'!$F$2:$F$5000,'3 Base Entrada 2008'!$F$2:$F$5000,"&gt;="&amp;$F$5,'3 Base Entrada 2008'!$F$2:$F$5000,"&lt;="&amp;$H$5,'3 Base Entrada 2008'!$B$2:$B$5000,$T83,'3 Base Entrada 2008'!$C$2:$C$5000,$AG83)=0,99999,_xlfn.MINIFS('3 Base Entrada 2008'!$F$2:$F$5000,'3 Base Entrada 2008'!$F$2:$F$5000,"&gt;="&amp;$F$5,'3 Base Entrada 2008'!$F$2:$F$5000,"&lt;="&amp;$H$5,'3 Base Entrada 2008'!$B$2:$B$5000,$T83,'3 Base Entrada 2008'!$C$2:$C$5000,$AG83)),IF(_xlfn.MINIFS('3 Base Saídas'!$G$2:$G$5000,'3 Base Saídas'!$G$2:$G$5000,"&gt;="&amp;$F$5,'3 Base Saídas'!$G$2:$G$5000,"&lt;="&amp;$H$5,'3 Base Saídas'!$B$2:$B$5000,$T83,'3 Base Saídas'!$C$2:$C$5000,$AG83)=0,99999,_xlfn.MINIFS('3 Base Saídas'!$G$2:$G$5000,'3 Base Saídas'!$G$2:$G$5000,"&gt;="&amp;$F$5,'3 Base Saídas'!$G$2:$G$5000,"&lt;="&amp;$H$5,'3 Base Saídas'!$B$2:$B$5000,$T83,'3 Base Saídas'!$C$2:$C$5000,$AG83)))</f>
        <v>46275</v>
      </c>
      <c r="BC83" s="82" t="n">
        <f aca="false">MAX(_xlfn.MAXIFS('3 Base Entrada 2008'!$F$2:$F$5000,'3 Base Entrada 2008'!$F$2:$F$5000,"&gt;="&amp;$F$5,'3 Base Entrada 2008'!$F$2:$F$5000,"&lt;="&amp;$H$5,'3 Base Entrada 2008'!$B$2:$B$5000,$T83,'3 Base Entrada 2008'!$C$2:$C$5000,$AG83),_xlfn.MAXIFS('3 Base Saídas'!$G$2:$G$5000,'3 Base Saídas'!$G$2:$G$5000,"&gt;="&amp;$F$5,'3 Base Saídas'!$G$2:$G$5000,"&lt;="&amp;$H$5,'3 Base Saídas'!$B$2:$B$5000,$T83,'3 Base Saídas'!$C$2:$C$5000,$AG83))</f>
        <v>46276</v>
      </c>
      <c r="BD83" s="0" t="str">
        <f aca="false">'5 Conciliação'!L57</f>
        <v>Nenhum ajuste necessário</v>
      </c>
      <c r="BE83" s="0" t="str">
        <f aca="false">'5 Conciliação'!Q57</f>
        <v>—</v>
      </c>
      <c r="BF83" s="0" t="str">
        <f aca="false">'5 Conciliação'!R57</f>
        <v>—</v>
      </c>
      <c r="BH83" s="82" t="n">
        <f aca="false">SUMIFS('3 Base Saldo Inicial 08-09'!$E$2:$E$5000,'3 Base Saldo Inicial 08-09'!$A$2:$A$5000,$T83,'3 Base Saldo Inicial 08-09'!$B$2:$B$5000,$AG83)-SUMIFS('3 Base Saldo Inicial 08-09'!$E$2:$E$5000,'3 Base Saldo Inicial 08-09'!$A$2:$A$5000,$T83,'3 Base Saldo Inicial 08-09'!$B$2:$B$5000,$AG83,'3 Base Saldo Inicial 08-09'!$C$2:$C$5000,"2008")</f>
        <v>0</v>
      </c>
    </row>
    <row r="84" customFormat="false" ht="15" hidden="false" customHeight="false" outlineLevel="0" collapsed="false">
      <c r="A84" s="111" t="str">
        <f aca="false">IF(IFERROR(MATCH(71,$AB$40:$AB$133,0),0)=0,"",INDEX($T$40:$T$133,IFERROR(MATCH(71,$AB$40:$AB$133,0),0)))</f>
        <v>PNP-T14</v>
      </c>
      <c r="B84" s="111" t="str">
        <f aca="false">IF(IFERROR(MATCH(71,$AB$40:$AB$133,0),0)=0,"",INDEX($AG$40:$AG$133,IFERROR(MATCH(71,$AB$40:$AB$133,0),0)))</f>
        <v>2608294084</v>
      </c>
      <c r="C84" s="112" t="str">
        <f aca="false">IF(IFERROR(MATCH(71,$AB$40:$AB$133,0),0)=0,"",INDEX($U$40:$U$133,IFERROR(MATCH(71,$AB$40:$AB$133,0),0)))</f>
        <v>KG</v>
      </c>
      <c r="D84" s="113" t="n">
        <f aca="false">IF(IFERROR(MATCH(71,$AB$40:$AB$133,0),0)=0,"",INDEX($BH$40:$BH$133,IFERROR(MATCH(71,$AB$40:$AB$133,0),0)))</f>
        <v>0</v>
      </c>
      <c r="E84" s="113" t="n">
        <f aca="false">IF(IFERROR(MATCH(71,$AB$40:$AB$133,0),0)=0,"",INDEX($W$40:$W$133,IFERROR(MATCH(71,$AB$40:$AB$133,0),0)))</f>
        <v>1000</v>
      </c>
      <c r="F84" s="113" t="n">
        <f aca="false">IF(IFERROR(MATCH(71,$AB$40:$AB$133,0),0)=0,"",INDEX($X$40:$X$133,IFERROR(MATCH(71,$AB$40:$AB$133,0),0)))</f>
        <v>1000</v>
      </c>
      <c r="G84" s="113" t="n">
        <f aca="false">IF(A84="","",D84+E84-F84)</f>
        <v>0</v>
      </c>
      <c r="H84" s="113" t="n">
        <f aca="false">IF(IFERROR(MATCH(71,$AB$40:$AB$133,0),0)=0,"",INDEX($Y$40:$Y$133,IFERROR(MATCH(71,$AB$40:$AB$133,0),0)))</f>
        <v>0</v>
      </c>
      <c r="I84" s="114" t="n">
        <f aca="false">IF(IFERROR(MATCH(71,$AB$40:$AB$133,0),0)=0,"",INDEX($Z$40:$Z$133,IFERROR(MATCH(71,$AB$40:$AB$133,0),0)))</f>
        <v>0</v>
      </c>
      <c r="J84" s="115" t="str">
        <f aca="false">IF(IFERROR(MATCH(71,$AB$40:$AB$133,0),0)=0,"",INDEX($AC$40:$AC$133,IFERROR(MATCH(71,$AB$40:$AB$133,0),0)))</f>
        <v>Confere</v>
      </c>
      <c r="K84" s="116" t="n">
        <f aca="false">IF(IFERROR(MATCH(71,$AB$40:$AB$133,0),0)=0,"",INDEX($AD$40:$AD$133,IFERROR(MATCH(71,$AB$40:$AB$133,0),0)))</f>
        <v>3</v>
      </c>
      <c r="L84" s="117" t="n">
        <f aca="false">IF(IFERROR(MATCH(71,$AB$40:$AB$133,0),0)=0,"",IF(INDEX($BB$40:$BB$133,IFERROR(MATCH(71,$AB$40:$AB$133,0),0))&gt;=99999,"",INDEX($BB$40:$BB$133,IFERROR(MATCH(71,$AB$40:$AB$133,0),0))))</f>
        <v>46291</v>
      </c>
      <c r="M84" s="117" t="n">
        <f aca="false">IF(IFERROR(MATCH(71,$AB$40:$AB$133,0),0)=0,"",IF(INDEX($BC$40:$BC$133,IFERROR(MATCH(71,$AB$40:$AB$133,0),0))=0,"",INDEX($BC$40:$BC$133,IFERROR(MATCH(71,$AB$40:$AB$133,0),0))))</f>
        <v>46294</v>
      </c>
      <c r="N84" s="118" t="str">
        <f aca="false">IF(IFERROR(MATCH(71,$AB$40:$AB$133,0),0)=0,"",INDEX($AE$40:$AE$133,IFERROR(MATCH(71,$AB$40:$AB$133,0),0))&amp;"")</f>
        <v>Sem diferença</v>
      </c>
      <c r="O84" s="119" t="str">
        <f aca="false">IF(IFERROR(MATCH(71,$AB$40:$AB$133,0),0)=0,"",INDEX($BD$40:$BD$133,IFERROR(MATCH(71,$AB$40:$AB$133,0),0))&amp;"")</f>
        <v>Nenhum ajuste necessário</v>
      </c>
      <c r="T84" s="82" t="s">
        <v>232</v>
      </c>
      <c r="U84" s="82" t="s">
        <v>146</v>
      </c>
      <c r="V84" s="82" t="n">
        <f aca="false">SUMIFS('3 Base Entrada 2008'!$G$2:$G$5000,'3 Base Entrada 2008'!$F$2:$F$5000,"&gt;="&amp;$F$5,'3 Base Entrada 2008'!$F$2:$F$5000,"&lt;="&amp;$H$5,'3 Base Entrada 2008'!$B$2:$B$5000,$T84,'3 Base Entrada 2008'!$C$2:$C$5000,$AG84,'3 Base Entrada 2008'!$K$2:$K$5000,"Recebido no 2008")</f>
        <v>0</v>
      </c>
      <c r="W84" s="82" t="n">
        <f aca="false">SUMIFS('3 Base Entrada 2008'!$L$2:$L$5000,'3 Base Entrada 2008'!$F$2:$F$5000,"&gt;="&amp;$F$5,'3 Base Entrada 2008'!$F$2:$F$5000,"&lt;="&amp;$H$5,'3 Base Entrada 2008'!$B$2:$B$5000,$T84,'3 Base Entrada 2008'!$C$2:$C$5000,$AG84)</f>
        <v>2250</v>
      </c>
      <c r="X84" s="82" t="n">
        <f aca="false">SUMIFS('3 Base Saídas'!$R$2:$R$5000,'3 Base Saídas'!$G$2:$G$5000,"&gt;="&amp;$F$5,'3 Base Saídas'!$G$2:$G$5000,"&lt;="&amp;$H$5,'3 Base Saídas'!$B$2:$B$5000,$T84,'3 Base Saídas'!$C$2:$C$5000,$AG84)</f>
        <v>885</v>
      </c>
      <c r="Y84" s="82" t="n">
        <f aca="false">SUMIFS('3 Base Estoque Físico'!$J$2:$J$5000,'3 Base Estoque Físico'!$A$2:$A$5000,$T84,'3 Base Estoque Físico'!$B$2:$B$5000,$AG84)</f>
        <v>1365</v>
      </c>
      <c r="Z84" s="82" t="n">
        <f aca="false">ROUND(Y84-(BH84+W84-X84),3)</f>
        <v>0</v>
      </c>
      <c r="AA84" s="82" t="n">
        <f aca="false">IF(AND(U84=$R$3,OR($R$1="*",T84=$R$1),OR($R$2="*",AG84=$R$2),OR($R$6="*",AC84=$R$6),ABS(V84)+ABS(W84)+ABS(X84)+ABS(Y84)&gt;0),1,0)</f>
        <v>0</v>
      </c>
      <c r="AB84" s="0" t="str">
        <f aca="false">IF(AA84=1,SUM(AA$40:AA84),"")</f>
        <v/>
      </c>
      <c r="AC84" s="0" t="str">
        <f aca="false">IF(ABS(Z84)&lt;=$R$5,"Confere",IF(Z84&gt;0,"Sobrando","Faltando"))</f>
        <v>Confere</v>
      </c>
      <c r="AD84" s="82" t="n">
        <f aca="false">IF(OR($R$4="*",$R$4="Saída"),COUNTIFS('3 Base Saídas'!$G$2:$G$5000,"&gt;="&amp;$F$5,'3 Base Saídas'!$G$2:$G$5000,"&lt;="&amp;$H$5,'3 Base Saídas'!$B$2:$B$5000,$T84,'3 Base Saídas'!$C$2:$C$5000,$AG84),0)+IF($R$4&lt;&gt;"Saída",COUNTIFS('3 Base Entrada 2008'!$F$2:$F$5000,"&gt;="&amp;$F$5,'3 Base Entrada 2008'!$F$2:$F$5000,"&lt;="&amp;$H$5,'3 Base Entrada 2008'!$B$2:$B$5000,$T84,'3 Base Entrada 2008'!$C$2:$C$5000,$AG84,'3 Base Entrada 2008'!$K$2:$K$5000,$R$4),0)</f>
        <v>22</v>
      </c>
      <c r="AE84" s="0" t="str">
        <f aca="false">'5 Conciliação'!K58</f>
        <v>Sem diferença</v>
      </c>
      <c r="AF84" s="82" t="n">
        <f aca="false">IF(AND(AA84=1,AC84&lt;&gt;"Confere"),ABS(Z84)+ROW()/10000000,0)</f>
        <v>0</v>
      </c>
      <c r="AG84" s="82" t="s">
        <v>233</v>
      </c>
      <c r="AV84" s="0" t="str">
        <f aca="false">IFERROR(INDEX($AX$1:$AX$94,MATCH(83,$AY$1:$AY$94,0)),"")</f>
        <v>2613495951</v>
      </c>
      <c r="AW84" s="82" t="s">
        <v>305</v>
      </c>
      <c r="AX84" s="82" t="s">
        <v>386</v>
      </c>
      <c r="AY84" s="82" t="n">
        <f aca="false">IF(OR($A$5="Todos",AW84=$A$5),MAX(AY$1:AY83)+1,0)</f>
        <v>84</v>
      </c>
      <c r="BB84" s="82" t="n">
        <f aca="false">MIN(IF(_xlfn.MINIFS('3 Base Entrada 2008'!$F$2:$F$5000,'3 Base Entrada 2008'!$F$2:$F$5000,"&gt;="&amp;$F$5,'3 Base Entrada 2008'!$F$2:$F$5000,"&lt;="&amp;$H$5,'3 Base Entrada 2008'!$B$2:$B$5000,$T84,'3 Base Entrada 2008'!$C$2:$C$5000,$AG84)=0,99999,_xlfn.MINIFS('3 Base Entrada 2008'!$F$2:$F$5000,'3 Base Entrada 2008'!$F$2:$F$5000,"&gt;="&amp;$F$5,'3 Base Entrada 2008'!$F$2:$F$5000,"&lt;="&amp;$H$5,'3 Base Entrada 2008'!$B$2:$B$5000,$T84,'3 Base Entrada 2008'!$C$2:$C$5000,$AG84)),IF(_xlfn.MINIFS('3 Base Saídas'!$G$2:$G$5000,'3 Base Saídas'!$G$2:$G$5000,"&gt;="&amp;$F$5,'3 Base Saídas'!$G$2:$G$5000,"&lt;="&amp;$H$5,'3 Base Saídas'!$B$2:$B$5000,$T84,'3 Base Saídas'!$C$2:$C$5000,$AG84)=0,99999,_xlfn.MINIFS('3 Base Saídas'!$G$2:$G$5000,'3 Base Saídas'!$G$2:$G$5000,"&gt;="&amp;$F$5,'3 Base Saídas'!$G$2:$G$5000,"&lt;="&amp;$H$5,'3 Base Saídas'!$B$2:$B$5000,$T84,'3 Base Saídas'!$C$2:$C$5000,$AG84)))</f>
        <v>46289</v>
      </c>
      <c r="BC84" s="82" t="n">
        <f aca="false">MAX(_xlfn.MAXIFS('3 Base Entrada 2008'!$F$2:$F$5000,'3 Base Entrada 2008'!$F$2:$F$5000,"&gt;="&amp;$F$5,'3 Base Entrada 2008'!$F$2:$F$5000,"&lt;="&amp;$H$5,'3 Base Entrada 2008'!$B$2:$B$5000,$T84,'3 Base Entrada 2008'!$C$2:$C$5000,$AG84),_xlfn.MAXIFS('3 Base Saídas'!$G$2:$G$5000,'3 Base Saídas'!$G$2:$G$5000,"&gt;="&amp;$F$5,'3 Base Saídas'!$G$2:$G$5000,"&lt;="&amp;$H$5,'3 Base Saídas'!$B$2:$B$5000,$T84,'3 Base Saídas'!$C$2:$C$5000,$AG84))</f>
        <v>46295</v>
      </c>
      <c r="BD84" s="0" t="str">
        <f aca="false">'5 Conciliação'!L58</f>
        <v>Nenhum ajuste necessário</v>
      </c>
      <c r="BE84" s="0" t="str">
        <f aca="false">'5 Conciliação'!Q58</f>
        <v>—</v>
      </c>
      <c r="BF84" s="0" t="str">
        <f aca="false">'5 Conciliação'!R58</f>
        <v>—</v>
      </c>
      <c r="BH84" s="82" t="n">
        <f aca="false">SUMIFS('3 Base Saldo Inicial 08-09'!$E$2:$E$5000,'3 Base Saldo Inicial 08-09'!$A$2:$A$5000,$T84,'3 Base Saldo Inicial 08-09'!$B$2:$B$5000,$AG84)-SUMIFS('3 Base Saldo Inicial 08-09'!$E$2:$E$5000,'3 Base Saldo Inicial 08-09'!$A$2:$A$5000,$T84,'3 Base Saldo Inicial 08-09'!$B$2:$B$5000,$AG84,'3 Base Saldo Inicial 08-09'!$C$2:$C$5000,"2008")</f>
        <v>0</v>
      </c>
    </row>
    <row r="85" customFormat="false" ht="15" hidden="false" customHeight="false" outlineLevel="0" collapsed="false">
      <c r="A85" s="111" t="str">
        <f aca="false">IF(IFERROR(MATCH(72,$AB$40:$AB$133,0),0)=0,"",INDEX($T$40:$T$133,IFERROR(MATCH(72,$AB$40:$AB$133,0),0)))</f>
        <v>PNP-T14</v>
      </c>
      <c r="B85" s="111" t="str">
        <f aca="false">IF(IFERROR(MATCH(72,$AB$40:$AB$133,0),0)=0,"",INDEX($AG$40:$AG$133,IFERROR(MATCH(72,$AB$40:$AB$133,0),0)))</f>
        <v>2613495951</v>
      </c>
      <c r="C85" s="112" t="str">
        <f aca="false">IF(IFERROR(MATCH(72,$AB$40:$AB$133,0),0)=0,"",INDEX($U$40:$U$133,IFERROR(MATCH(72,$AB$40:$AB$133,0),0)))</f>
        <v>KG</v>
      </c>
      <c r="D85" s="113" t="n">
        <f aca="false">IF(IFERROR(MATCH(72,$AB$40:$AB$133,0),0)=0,"",INDEX($BH$40:$BH$133,IFERROR(MATCH(72,$AB$40:$AB$133,0),0)))</f>
        <v>0</v>
      </c>
      <c r="E85" s="113" t="n">
        <f aca="false">IF(IFERROR(MATCH(72,$AB$40:$AB$133,0),0)=0,"",INDEX($W$40:$W$133,IFERROR(MATCH(72,$AB$40:$AB$133,0),0)))</f>
        <v>5280</v>
      </c>
      <c r="F85" s="113" t="n">
        <f aca="false">IF(IFERROR(MATCH(72,$AB$40:$AB$133,0),0)=0,"",INDEX($X$40:$X$133,IFERROR(MATCH(72,$AB$40:$AB$133,0),0)))</f>
        <v>0</v>
      </c>
      <c r="G85" s="113" t="n">
        <f aca="false">IF(A85="","",D85+E85-F85)</f>
        <v>5280</v>
      </c>
      <c r="H85" s="113" t="n">
        <f aca="false">IF(IFERROR(MATCH(72,$AB$40:$AB$133,0),0)=0,"",INDEX($Y$40:$Y$133,IFERROR(MATCH(72,$AB$40:$AB$133,0),0)))</f>
        <v>5280</v>
      </c>
      <c r="I85" s="114" t="n">
        <f aca="false">IF(IFERROR(MATCH(72,$AB$40:$AB$133,0),0)=0,"",INDEX($Z$40:$Z$133,IFERROR(MATCH(72,$AB$40:$AB$133,0),0)))</f>
        <v>0</v>
      </c>
      <c r="J85" s="115" t="str">
        <f aca="false">IF(IFERROR(MATCH(72,$AB$40:$AB$133,0),0)=0,"",INDEX($AC$40:$AC$133,IFERROR(MATCH(72,$AB$40:$AB$133,0),0)))</f>
        <v>Confere</v>
      </c>
      <c r="K85" s="116" t="n">
        <f aca="false">IF(IFERROR(MATCH(72,$AB$40:$AB$133,0),0)=0,"",INDEX($AD$40:$AD$133,IFERROR(MATCH(72,$AB$40:$AB$133,0),0)))</f>
        <v>14</v>
      </c>
      <c r="L85" s="117" t="n">
        <f aca="false">IF(IFERROR(MATCH(72,$AB$40:$AB$133,0),0)=0,"",IF(INDEX($BB$40:$BB$133,IFERROR(MATCH(72,$AB$40:$AB$133,0),0))&gt;=99999,"",INDEX($BB$40:$BB$133,IFERROR(MATCH(72,$AB$40:$AB$133,0),0))))</f>
        <v>46275</v>
      </c>
      <c r="M85" s="117" t="n">
        <f aca="false">IF(IFERROR(MATCH(72,$AB$40:$AB$133,0),0)=0,"",IF(INDEX($BC$40:$BC$133,IFERROR(MATCH(72,$AB$40:$AB$133,0),0))=0,"",INDEX($BC$40:$BC$133,IFERROR(MATCH(72,$AB$40:$AB$133,0),0))))</f>
        <v>46295</v>
      </c>
      <c r="N85" s="118" t="str">
        <f aca="false">IF(IFERROR(MATCH(72,$AB$40:$AB$133,0),0)=0,"",INDEX($AE$40:$AE$133,IFERROR(MATCH(72,$AB$40:$AB$133,0),0))&amp;"")</f>
        <v>Sem diferença</v>
      </c>
      <c r="O85" s="119" t="str">
        <f aca="false">IF(IFERROR(MATCH(72,$AB$40:$AB$133,0),0)=0,"",INDEX($BD$40:$BD$133,IFERROR(MATCH(72,$AB$40:$AB$133,0),0))&amp;"")</f>
        <v>Nenhum ajuste necessário</v>
      </c>
      <c r="T85" s="82" t="s">
        <v>232</v>
      </c>
      <c r="U85" s="82" t="s">
        <v>146</v>
      </c>
      <c r="V85" s="82" t="n">
        <f aca="false">SUMIFS('3 Base Entrada 2008'!$G$2:$G$5000,'3 Base Entrada 2008'!$F$2:$F$5000,"&gt;="&amp;$F$5,'3 Base Entrada 2008'!$F$2:$F$5000,"&lt;="&amp;$H$5,'3 Base Entrada 2008'!$B$2:$B$5000,$T85,'3 Base Entrada 2008'!$C$2:$C$5000,$AG85,'3 Base Entrada 2008'!$K$2:$K$5000,"Recebido no 2008")</f>
        <v>0</v>
      </c>
      <c r="W85" s="82" t="n">
        <f aca="false">SUMIFS('3 Base Entrada 2008'!$L$2:$L$5000,'3 Base Entrada 2008'!$F$2:$F$5000,"&gt;="&amp;$F$5,'3 Base Entrada 2008'!$F$2:$F$5000,"&lt;="&amp;$H$5,'3 Base Entrada 2008'!$B$2:$B$5000,$T85,'3 Base Entrada 2008'!$C$2:$C$5000,$AG85)</f>
        <v>450</v>
      </c>
      <c r="X85" s="82" t="n">
        <f aca="false">SUMIFS('3 Base Saídas'!$R$2:$R$5000,'3 Base Saídas'!$G$2:$G$5000,"&gt;="&amp;$F$5,'3 Base Saídas'!$G$2:$G$5000,"&lt;="&amp;$H$5,'3 Base Saídas'!$B$2:$B$5000,$T85,'3 Base Saídas'!$C$2:$C$5000,$AG85)</f>
        <v>450</v>
      </c>
      <c r="Y85" s="82" t="n">
        <f aca="false">SUMIFS('3 Base Estoque Físico'!$J$2:$J$5000,'3 Base Estoque Físico'!$A$2:$A$5000,$T85,'3 Base Estoque Físico'!$B$2:$B$5000,$AG85)</f>
        <v>0</v>
      </c>
      <c r="Z85" s="82" t="n">
        <f aca="false">ROUND(Y85-(BH85+W85-X85),3)</f>
        <v>0</v>
      </c>
      <c r="AA85" s="82" t="n">
        <f aca="false">IF(AND(U85=$R$3,OR($R$1="*",T85=$R$1),OR($R$2="*",AG85=$R$2),OR($R$6="*",AC85=$R$6),ABS(V85)+ABS(W85)+ABS(X85)+ABS(Y85)&gt;0),1,0)</f>
        <v>0</v>
      </c>
      <c r="AB85" s="0" t="str">
        <f aca="false">IF(AA85=1,SUM(AA$40:AA85),"")</f>
        <v/>
      </c>
      <c r="AC85" s="0" t="str">
        <f aca="false">IF(ABS(Z85)&lt;=$R$5,"Confere",IF(Z85&gt;0,"Sobrando","Faltando"))</f>
        <v>Confere</v>
      </c>
      <c r="AD85" s="82" t="n">
        <f aca="false">IF(OR($R$4="*",$R$4="Saída"),COUNTIFS('3 Base Saídas'!$G$2:$G$5000,"&gt;="&amp;$F$5,'3 Base Saídas'!$G$2:$G$5000,"&lt;="&amp;$H$5,'3 Base Saídas'!$B$2:$B$5000,$T85,'3 Base Saídas'!$C$2:$C$5000,$AG85),0)+IF($R$4&lt;&gt;"Saída",COUNTIFS('3 Base Entrada 2008'!$F$2:$F$5000,"&gt;="&amp;$F$5,'3 Base Entrada 2008'!$F$2:$F$5000,"&lt;="&amp;$H$5,'3 Base Entrada 2008'!$B$2:$B$5000,$T85,'3 Base Entrada 2008'!$C$2:$C$5000,$AG85,'3 Base Entrada 2008'!$K$2:$K$5000,$R$4),0)</f>
        <v>2</v>
      </c>
      <c r="AE85" s="0" t="str">
        <f aca="false">'5 Conciliação'!K59</f>
        <v>Sem diferença</v>
      </c>
      <c r="AF85" s="82" t="n">
        <f aca="false">IF(AND(AA85=1,AC85&lt;&gt;"Confere"),ABS(Z85)+ROW()/10000000,0)</f>
        <v>0</v>
      </c>
      <c r="AG85" s="82" t="s">
        <v>235</v>
      </c>
      <c r="AV85" s="0" t="str">
        <f aca="false">IFERROR(INDEX($AX$1:$AX$94,MATCH(84,$AY$1:$AY$94,0)),"")</f>
        <v>2611295089</v>
      </c>
      <c r="AW85" s="82" t="s">
        <v>305</v>
      </c>
      <c r="AX85" s="82" t="s">
        <v>306</v>
      </c>
      <c r="AY85" s="82" t="n">
        <f aca="false">IF(OR($A$5="Todos",AW85=$A$5),MAX(AY$1:AY84)+1,0)</f>
        <v>85</v>
      </c>
      <c r="BB85" s="82" t="n">
        <f aca="false">MIN(IF(_xlfn.MINIFS('3 Base Entrada 2008'!$F$2:$F$5000,'3 Base Entrada 2008'!$F$2:$F$5000,"&gt;="&amp;$F$5,'3 Base Entrada 2008'!$F$2:$F$5000,"&lt;="&amp;$H$5,'3 Base Entrada 2008'!$B$2:$B$5000,$T85,'3 Base Entrada 2008'!$C$2:$C$5000,$AG85)=0,99999,_xlfn.MINIFS('3 Base Entrada 2008'!$F$2:$F$5000,'3 Base Entrada 2008'!$F$2:$F$5000,"&gt;="&amp;$F$5,'3 Base Entrada 2008'!$F$2:$F$5000,"&lt;="&amp;$H$5,'3 Base Entrada 2008'!$B$2:$B$5000,$T85,'3 Base Entrada 2008'!$C$2:$C$5000,$AG85)),IF(_xlfn.MINIFS('3 Base Saídas'!$G$2:$G$5000,'3 Base Saídas'!$G$2:$G$5000,"&gt;="&amp;$F$5,'3 Base Saídas'!$G$2:$G$5000,"&lt;="&amp;$H$5,'3 Base Saídas'!$B$2:$B$5000,$T85,'3 Base Saídas'!$C$2:$C$5000,$AG85)=0,99999,_xlfn.MINIFS('3 Base Saídas'!$G$2:$G$5000,'3 Base Saídas'!$G$2:$G$5000,"&gt;="&amp;$F$5,'3 Base Saídas'!$G$2:$G$5000,"&lt;="&amp;$H$5,'3 Base Saídas'!$B$2:$B$5000,$T85,'3 Base Saídas'!$C$2:$C$5000,$AG85)))</f>
        <v>46294</v>
      </c>
      <c r="BC85" s="82" t="n">
        <f aca="false">MAX(_xlfn.MAXIFS('3 Base Entrada 2008'!$F$2:$F$5000,'3 Base Entrada 2008'!$F$2:$F$5000,"&gt;="&amp;$F$5,'3 Base Entrada 2008'!$F$2:$F$5000,"&lt;="&amp;$H$5,'3 Base Entrada 2008'!$B$2:$B$5000,$T85,'3 Base Entrada 2008'!$C$2:$C$5000,$AG85),_xlfn.MAXIFS('3 Base Saídas'!$G$2:$G$5000,'3 Base Saídas'!$G$2:$G$5000,"&gt;="&amp;$F$5,'3 Base Saídas'!$G$2:$G$5000,"&lt;="&amp;$H$5,'3 Base Saídas'!$B$2:$B$5000,$T85,'3 Base Saídas'!$C$2:$C$5000,$AG85))</f>
        <v>46295</v>
      </c>
      <c r="BD85" s="0" t="str">
        <f aca="false">'5 Conciliação'!L59</f>
        <v>Nenhum ajuste necessário</v>
      </c>
      <c r="BE85" s="0" t="str">
        <f aca="false">'5 Conciliação'!Q59</f>
        <v>—</v>
      </c>
      <c r="BF85" s="0" t="str">
        <f aca="false">'5 Conciliação'!R59</f>
        <v>—</v>
      </c>
      <c r="BH85" s="82" t="n">
        <f aca="false">SUMIFS('3 Base Saldo Inicial 08-09'!$E$2:$E$5000,'3 Base Saldo Inicial 08-09'!$A$2:$A$5000,$T85,'3 Base Saldo Inicial 08-09'!$B$2:$B$5000,$AG85)-SUMIFS('3 Base Saldo Inicial 08-09'!$E$2:$E$5000,'3 Base Saldo Inicial 08-09'!$A$2:$A$5000,$T85,'3 Base Saldo Inicial 08-09'!$B$2:$B$5000,$AG85,'3 Base Saldo Inicial 08-09'!$C$2:$C$5000,"2008")</f>
        <v>0</v>
      </c>
    </row>
    <row r="86" customFormat="false" ht="15" hidden="false" customHeight="false" outlineLevel="0" collapsed="false">
      <c r="A86" s="111" t="str">
        <f aca="false">IF(IFERROR(MATCH(73,$AB$40:$AB$133,0),0)=0,"",INDEX($T$40:$T$133,IFERROR(MATCH(73,$AB$40:$AB$133,0),0)))</f>
        <v>PRA-T14</v>
      </c>
      <c r="B86" s="111" t="str">
        <f aca="false">IF(IFERROR(MATCH(73,$AB$40:$AB$133,0),0)=0,"",INDEX($AG$40:$AG$133,IFERROR(MATCH(73,$AB$40:$AB$133,0),0)))</f>
        <v>2611295089</v>
      </c>
      <c r="C86" s="112" t="str">
        <f aca="false">IF(IFERROR(MATCH(73,$AB$40:$AB$133,0),0)=0,"",INDEX($U$40:$U$133,IFERROR(MATCH(73,$AB$40:$AB$133,0),0)))</f>
        <v>KG</v>
      </c>
      <c r="D86" s="113" t="n">
        <f aca="false">IF(IFERROR(MATCH(73,$AB$40:$AB$133,0),0)=0,"",INDEX($BH$40:$BH$133,IFERROR(MATCH(73,$AB$40:$AB$133,0),0)))</f>
        <v>0</v>
      </c>
      <c r="E86" s="113" t="n">
        <f aca="false">IF(IFERROR(MATCH(73,$AB$40:$AB$133,0),0)=0,"",INDEX($W$40:$W$133,IFERROR(MATCH(73,$AB$40:$AB$133,0),0)))</f>
        <v>0</v>
      </c>
      <c r="F86" s="113" t="n">
        <f aca="false">IF(IFERROR(MATCH(73,$AB$40:$AB$133,0),0)=0,"",INDEX($X$40:$X$133,IFERROR(MATCH(73,$AB$40:$AB$133,0),0)))</f>
        <v>0</v>
      </c>
      <c r="G86" s="113" t="n">
        <f aca="false">IF(A86="","",D86+E86-F86)</f>
        <v>0</v>
      </c>
      <c r="H86" s="113" t="n">
        <f aca="false">IF(IFERROR(MATCH(73,$AB$40:$AB$133,0),0)=0,"",INDEX($Y$40:$Y$133,IFERROR(MATCH(73,$AB$40:$AB$133,0),0)))</f>
        <v>0</v>
      </c>
      <c r="I86" s="114" t="n">
        <f aca="false">IF(IFERROR(MATCH(73,$AB$40:$AB$133,0),0)=0,"",INDEX($Z$40:$Z$133,IFERROR(MATCH(73,$AB$40:$AB$133,0),0)))</f>
        <v>0</v>
      </c>
      <c r="J86" s="115" t="str">
        <f aca="false">IF(IFERROR(MATCH(73,$AB$40:$AB$133,0),0)=0,"",INDEX($AC$40:$AC$133,IFERROR(MATCH(73,$AB$40:$AB$133,0),0)))</f>
        <v>Confere</v>
      </c>
      <c r="K86" s="116" t="n">
        <f aca="false">IF(IFERROR(MATCH(73,$AB$40:$AB$133,0),0)=0,"",INDEX($AD$40:$AD$133,IFERROR(MATCH(73,$AB$40:$AB$133,0),0)))</f>
        <v>1</v>
      </c>
      <c r="L86" s="117" t="n">
        <f aca="false">IF(IFERROR(MATCH(73,$AB$40:$AB$133,0),0)=0,"",IF(INDEX($BB$40:$BB$133,IFERROR(MATCH(73,$AB$40:$AB$133,0),0))&gt;=99999,"",INDEX($BB$40:$BB$133,IFERROR(MATCH(73,$AB$40:$AB$133,0),0))))</f>
        <v>46275</v>
      </c>
      <c r="M86" s="117" t="n">
        <f aca="false">IF(IFERROR(MATCH(73,$AB$40:$AB$133,0),0)=0,"",IF(INDEX($BC$40:$BC$133,IFERROR(MATCH(73,$AB$40:$AB$133,0),0))=0,"",INDEX($BC$40:$BC$133,IFERROR(MATCH(73,$AB$40:$AB$133,0),0))))</f>
        <v>46275</v>
      </c>
      <c r="N86" s="118" t="str">
        <f aca="false">IF(IFERROR(MATCH(73,$AB$40:$AB$133,0),0)=0,"",INDEX($AE$40:$AE$133,IFERROR(MATCH(73,$AB$40:$AB$133,0),0))&amp;"")</f>
        <v>Sem diferença</v>
      </c>
      <c r="O86" s="119" t="str">
        <f aca="false">IF(IFERROR(MATCH(73,$AB$40:$AB$133,0),0)=0,"",INDEX($BD$40:$BD$133,IFERROR(MATCH(73,$AB$40:$AB$133,0),0))&amp;"")</f>
        <v>Nenhum ajuste necessário</v>
      </c>
      <c r="T86" s="82" t="s">
        <v>232</v>
      </c>
      <c r="U86" s="82" t="s">
        <v>146</v>
      </c>
      <c r="V86" s="82" t="n">
        <f aca="false">SUMIFS('3 Base Entrada 2008'!$G$2:$G$5000,'3 Base Entrada 2008'!$F$2:$F$5000,"&gt;="&amp;$F$5,'3 Base Entrada 2008'!$F$2:$F$5000,"&lt;="&amp;$H$5,'3 Base Entrada 2008'!$B$2:$B$5000,$T86,'3 Base Entrada 2008'!$C$2:$C$5000,$AG86,'3 Base Entrada 2008'!$K$2:$K$5000,"Recebido no 2008")</f>
        <v>0</v>
      </c>
      <c r="W86" s="82" t="n">
        <f aca="false">SUMIFS('3 Base Entrada 2008'!$L$2:$L$5000,'3 Base Entrada 2008'!$F$2:$F$5000,"&gt;="&amp;$F$5,'3 Base Entrada 2008'!$F$2:$F$5000,"&lt;="&amp;$H$5,'3 Base Entrada 2008'!$B$2:$B$5000,$T86,'3 Base Entrada 2008'!$C$2:$C$5000,$AG86)</f>
        <v>900</v>
      </c>
      <c r="X86" s="82" t="n">
        <f aca="false">SUMIFS('3 Base Saídas'!$R$2:$R$5000,'3 Base Saídas'!$G$2:$G$5000,"&gt;="&amp;$F$5,'3 Base Saídas'!$G$2:$G$5000,"&lt;="&amp;$H$5,'3 Base Saídas'!$B$2:$B$5000,$T86,'3 Base Saídas'!$C$2:$C$5000,$AG86)</f>
        <v>840</v>
      </c>
      <c r="Y86" s="82" t="n">
        <f aca="false">SUMIFS('3 Base Estoque Físico'!$J$2:$J$5000,'3 Base Estoque Físico'!$A$2:$A$5000,$T86,'3 Base Estoque Físico'!$B$2:$B$5000,$AG86)</f>
        <v>60</v>
      </c>
      <c r="Z86" s="82" t="n">
        <f aca="false">ROUND(Y86-(BH86+W86-X86),3)</f>
        <v>0</v>
      </c>
      <c r="AA86" s="82" t="n">
        <f aca="false">IF(AND(U86=$R$3,OR($R$1="*",T86=$R$1),OR($R$2="*",AG86=$R$2),OR($R$6="*",AC86=$R$6),ABS(V86)+ABS(W86)+ABS(X86)+ABS(Y86)&gt;0),1,0)</f>
        <v>0</v>
      </c>
      <c r="AB86" s="0" t="str">
        <f aca="false">IF(AA86=1,SUM(AA$40:AA86),"")</f>
        <v/>
      </c>
      <c r="AC86" s="0" t="str">
        <f aca="false">IF(ABS(Z86)&lt;=$R$5,"Confere",IF(Z86&gt;0,"Sobrando","Faltando"))</f>
        <v>Confere</v>
      </c>
      <c r="AD86" s="82" t="n">
        <f aca="false">IF(OR($R$4="*",$R$4="Saída"),COUNTIFS('3 Base Saídas'!$G$2:$G$5000,"&gt;="&amp;$F$5,'3 Base Saídas'!$G$2:$G$5000,"&lt;="&amp;$H$5,'3 Base Saídas'!$B$2:$B$5000,$T86,'3 Base Saídas'!$C$2:$C$5000,$AG86),0)+IF($R$4&lt;&gt;"Saída",COUNTIFS('3 Base Entrada 2008'!$F$2:$F$5000,"&gt;="&amp;$F$5,'3 Base Entrada 2008'!$F$2:$F$5000,"&lt;="&amp;$H$5,'3 Base Entrada 2008'!$B$2:$B$5000,$T86,'3 Base Entrada 2008'!$C$2:$C$5000,$AG86,'3 Base Entrada 2008'!$K$2:$K$5000,$R$4),0)</f>
        <v>6</v>
      </c>
      <c r="AE86" s="0" t="str">
        <f aca="false">'5 Conciliação'!K60</f>
        <v>Sem diferença</v>
      </c>
      <c r="AF86" s="82" t="n">
        <f aca="false">IF(AND(AA86=1,AC86&lt;&gt;"Confere"),ABS(Z86)+ROW()/10000000,0)</f>
        <v>0</v>
      </c>
      <c r="AG86" s="82" t="s">
        <v>334</v>
      </c>
      <c r="AV86" s="0" t="str">
        <f aca="false">IFERROR(INDEX($AX$1:$AX$94,MATCH(85,$AY$1:$AY$94,0)),"")</f>
        <v>2611895339</v>
      </c>
      <c r="AW86" s="82" t="s">
        <v>387</v>
      </c>
      <c r="AX86" s="82" t="s">
        <v>388</v>
      </c>
      <c r="AY86" s="82" t="n">
        <f aca="false">IF(OR($A$5="Todos",AW86=$A$5),MAX(AY$1:AY85)+1,0)</f>
        <v>86</v>
      </c>
      <c r="BB86" s="82" t="n">
        <f aca="false">MIN(IF(_xlfn.MINIFS('3 Base Entrada 2008'!$F$2:$F$5000,'3 Base Entrada 2008'!$F$2:$F$5000,"&gt;="&amp;$F$5,'3 Base Entrada 2008'!$F$2:$F$5000,"&lt;="&amp;$H$5,'3 Base Entrada 2008'!$B$2:$B$5000,$T86,'3 Base Entrada 2008'!$C$2:$C$5000,$AG86)=0,99999,_xlfn.MINIFS('3 Base Entrada 2008'!$F$2:$F$5000,'3 Base Entrada 2008'!$F$2:$F$5000,"&gt;="&amp;$F$5,'3 Base Entrada 2008'!$F$2:$F$5000,"&lt;="&amp;$H$5,'3 Base Entrada 2008'!$B$2:$B$5000,$T86,'3 Base Entrada 2008'!$C$2:$C$5000,$AG86)),IF(_xlfn.MINIFS('3 Base Saídas'!$G$2:$G$5000,'3 Base Saídas'!$G$2:$G$5000,"&gt;="&amp;$F$5,'3 Base Saídas'!$G$2:$G$5000,"&lt;="&amp;$H$5,'3 Base Saídas'!$B$2:$B$5000,$T86,'3 Base Saídas'!$C$2:$C$5000,$AG86)=0,99999,_xlfn.MINIFS('3 Base Saídas'!$G$2:$G$5000,'3 Base Saídas'!$G$2:$G$5000,"&gt;="&amp;$F$5,'3 Base Saídas'!$G$2:$G$5000,"&lt;="&amp;$H$5,'3 Base Saídas'!$B$2:$B$5000,$T86,'3 Base Saídas'!$C$2:$C$5000,$AG86)))</f>
        <v>46291</v>
      </c>
      <c r="BC86" s="82" t="n">
        <f aca="false">MAX(_xlfn.MAXIFS('3 Base Entrada 2008'!$F$2:$F$5000,'3 Base Entrada 2008'!$F$2:$F$5000,"&gt;="&amp;$F$5,'3 Base Entrada 2008'!$F$2:$F$5000,"&lt;="&amp;$H$5,'3 Base Entrada 2008'!$B$2:$B$5000,$T86,'3 Base Entrada 2008'!$C$2:$C$5000,$AG86),_xlfn.MAXIFS('3 Base Saídas'!$G$2:$G$5000,'3 Base Saídas'!$G$2:$G$5000,"&gt;="&amp;$F$5,'3 Base Saídas'!$G$2:$G$5000,"&lt;="&amp;$H$5,'3 Base Saídas'!$B$2:$B$5000,$T86,'3 Base Saídas'!$C$2:$C$5000,$AG86))</f>
        <v>46295</v>
      </c>
      <c r="BD86" s="0" t="str">
        <f aca="false">'5 Conciliação'!L60</f>
        <v>Nenhum ajuste necessário</v>
      </c>
      <c r="BE86" s="0" t="str">
        <f aca="false">'5 Conciliação'!Q60</f>
        <v>—</v>
      </c>
      <c r="BF86" s="0" t="str">
        <f aca="false">'5 Conciliação'!R60</f>
        <v>—</v>
      </c>
      <c r="BH86" s="82" t="n">
        <f aca="false">SUMIFS('3 Base Saldo Inicial 08-09'!$E$2:$E$5000,'3 Base Saldo Inicial 08-09'!$A$2:$A$5000,$T86,'3 Base Saldo Inicial 08-09'!$B$2:$B$5000,$AG86)-SUMIFS('3 Base Saldo Inicial 08-09'!$E$2:$E$5000,'3 Base Saldo Inicial 08-09'!$A$2:$A$5000,$T86,'3 Base Saldo Inicial 08-09'!$B$2:$B$5000,$AG86,'3 Base Saldo Inicial 08-09'!$C$2:$C$5000,"2008")</f>
        <v>0</v>
      </c>
    </row>
    <row r="87" customFormat="false" ht="15" hidden="false" customHeight="false" outlineLevel="0" collapsed="false">
      <c r="A87" s="111" t="str">
        <f aca="false">IF(IFERROR(MATCH(74,$AB$40:$AB$133,0),0)=0,"",INDEX($T$40:$T$133,IFERROR(MATCH(74,$AB$40:$AB$133,0),0)))</f>
        <v>PRA-T14</v>
      </c>
      <c r="B87" s="111" t="str">
        <f aca="false">IF(IFERROR(MATCH(74,$AB$40:$AB$133,0),0)=0,"",INDEX($AG$40:$AG$133,IFERROR(MATCH(74,$AB$40:$AB$133,0),0)))</f>
        <v>2611895339</v>
      </c>
      <c r="C87" s="112" t="str">
        <f aca="false">IF(IFERROR(MATCH(74,$AB$40:$AB$133,0),0)=0,"",INDEX($U$40:$U$133,IFERROR(MATCH(74,$AB$40:$AB$133,0),0)))</f>
        <v>KG</v>
      </c>
      <c r="D87" s="113" t="n">
        <f aca="false">IF(IFERROR(MATCH(74,$AB$40:$AB$133,0),0)=0,"",INDEX($BH$40:$BH$133,IFERROR(MATCH(74,$AB$40:$AB$133,0),0)))</f>
        <v>0</v>
      </c>
      <c r="E87" s="113" t="n">
        <f aca="false">IF(IFERROR(MATCH(74,$AB$40:$AB$133,0),0)=0,"",INDEX($W$40:$W$133,IFERROR(MATCH(74,$AB$40:$AB$133,0),0)))</f>
        <v>400</v>
      </c>
      <c r="F87" s="113" t="n">
        <f aca="false">IF(IFERROR(MATCH(74,$AB$40:$AB$133,0),0)=0,"",INDEX($X$40:$X$133,IFERROR(MATCH(74,$AB$40:$AB$133,0),0)))</f>
        <v>120</v>
      </c>
      <c r="G87" s="113" t="n">
        <f aca="false">IF(A87="","",D87+E87-F87)</f>
        <v>280</v>
      </c>
      <c r="H87" s="113" t="n">
        <f aca="false">IF(IFERROR(MATCH(74,$AB$40:$AB$133,0),0)=0,"",INDEX($Y$40:$Y$133,IFERROR(MATCH(74,$AB$40:$AB$133,0),0)))</f>
        <v>280</v>
      </c>
      <c r="I87" s="114" t="n">
        <f aca="false">IF(IFERROR(MATCH(74,$AB$40:$AB$133,0),0)=0,"",INDEX($Z$40:$Z$133,IFERROR(MATCH(74,$AB$40:$AB$133,0),0)))</f>
        <v>0</v>
      </c>
      <c r="J87" s="115" t="str">
        <f aca="false">IF(IFERROR(MATCH(74,$AB$40:$AB$133,0),0)=0,"",INDEX($AC$40:$AC$133,IFERROR(MATCH(74,$AB$40:$AB$133,0),0)))</f>
        <v>Confere</v>
      </c>
      <c r="K87" s="116" t="n">
        <f aca="false">IF(IFERROR(MATCH(74,$AB$40:$AB$133,0),0)=0,"",INDEX($AD$40:$AD$133,IFERROR(MATCH(74,$AB$40:$AB$133,0),0)))</f>
        <v>13</v>
      </c>
      <c r="L87" s="117" t="n">
        <f aca="false">IF(IFERROR(MATCH(74,$AB$40:$AB$133,0),0)=0,"",IF(INDEX($BB$40:$BB$133,IFERROR(MATCH(74,$AB$40:$AB$133,0),0))&gt;=99999,"",INDEX($BB$40:$BB$133,IFERROR(MATCH(74,$AB$40:$AB$133,0),0))))</f>
        <v>46289</v>
      </c>
      <c r="M87" s="117" t="n">
        <f aca="false">IF(IFERROR(MATCH(74,$AB$40:$AB$133,0),0)=0,"",IF(INDEX($BC$40:$BC$133,IFERROR(MATCH(74,$AB$40:$AB$133,0),0))=0,"",INDEX($BC$40:$BC$133,IFERROR(MATCH(74,$AB$40:$AB$133,0),0))))</f>
        <v>46295</v>
      </c>
      <c r="N87" s="118" t="str">
        <f aca="false">IF(IFERROR(MATCH(74,$AB$40:$AB$133,0),0)=0,"",INDEX($AE$40:$AE$133,IFERROR(MATCH(74,$AB$40:$AB$133,0),0))&amp;"")</f>
        <v>Sem diferença</v>
      </c>
      <c r="O87" s="119" t="str">
        <f aca="false">IF(IFERROR(MATCH(74,$AB$40:$AB$133,0),0)=0,"",INDEX($BD$40:$BD$133,IFERROR(MATCH(74,$AB$40:$AB$133,0),0))&amp;"")</f>
        <v>Nenhum ajuste necessário</v>
      </c>
      <c r="T87" s="82" t="s">
        <v>243</v>
      </c>
      <c r="U87" s="82" t="s">
        <v>65</v>
      </c>
      <c r="V87" s="82" t="n">
        <f aca="false">SUMIFS('3 Base Entrada 2008'!$G$2:$G$5000,'3 Base Entrada 2008'!$F$2:$F$5000,"&gt;="&amp;$F$5,'3 Base Entrada 2008'!$F$2:$F$5000,"&lt;="&amp;$H$5,'3 Base Entrada 2008'!$B$2:$B$5000,$T87,'3 Base Entrada 2008'!$C$2:$C$5000,$AG87,'3 Base Entrada 2008'!$K$2:$K$5000,"Recebido no 2008")</f>
        <v>0</v>
      </c>
      <c r="W87" s="82" t="n">
        <f aca="false">SUMIFS('3 Base Entrada 2008'!$L$2:$L$5000,'3 Base Entrada 2008'!$F$2:$F$5000,"&gt;="&amp;$F$5,'3 Base Entrada 2008'!$F$2:$F$5000,"&lt;="&amp;$H$5,'3 Base Entrada 2008'!$B$2:$B$5000,$T87,'3 Base Entrada 2008'!$C$2:$C$5000,$AG87)</f>
        <v>648</v>
      </c>
      <c r="X87" s="82" t="n">
        <f aca="false">SUMIFS('3 Base Saídas'!$R$2:$R$5000,'3 Base Saídas'!$G$2:$G$5000,"&gt;="&amp;$F$5,'3 Base Saídas'!$G$2:$G$5000,"&lt;="&amp;$H$5,'3 Base Saídas'!$B$2:$B$5000,$T87,'3 Base Saídas'!$C$2:$C$5000,$AG87)</f>
        <v>54</v>
      </c>
      <c r="Y87" s="82" t="n">
        <f aca="false">SUMIFS('3 Base Estoque Físico'!$J$2:$J$5000,'3 Base Estoque Físico'!$A$2:$A$5000,$T87,'3 Base Estoque Físico'!$B$2:$B$5000,$AG87)</f>
        <v>594</v>
      </c>
      <c r="Z87" s="82" t="n">
        <f aca="false">ROUND(Y87-(BH87+W87-X87),3)</f>
        <v>0</v>
      </c>
      <c r="AA87" s="82" t="n">
        <f aca="false">IF(AND(U87=$R$3,OR($R$1="*",T87=$R$1),OR($R$2="*",AG87=$R$2),OR($R$6="*",AC87=$R$6),ABS(V87)+ABS(W87)+ABS(X87)+ABS(Y87)&gt;0),1,0)</f>
        <v>1</v>
      </c>
      <c r="AB87" s="82" t="n">
        <f aca="false">IF(AA87=1,SUM(AA$40:AA87),"")</f>
        <v>40</v>
      </c>
      <c r="AC87" s="0" t="str">
        <f aca="false">IF(ABS(Z87)&lt;=$R$5,"Confere",IF(Z87&gt;0,"Sobrando","Faltando"))</f>
        <v>Confere</v>
      </c>
      <c r="AD87" s="82" t="n">
        <f aca="false">IF(OR($R$4="*",$R$4="Saída"),COUNTIFS('3 Base Saídas'!$G$2:$G$5000,"&gt;="&amp;$F$5,'3 Base Saídas'!$G$2:$G$5000,"&lt;="&amp;$H$5,'3 Base Saídas'!$B$2:$B$5000,$T87,'3 Base Saídas'!$C$2:$C$5000,$AG87),0)+IF($R$4&lt;&gt;"Saída",COUNTIFS('3 Base Entrada 2008'!$F$2:$F$5000,"&gt;="&amp;$F$5,'3 Base Entrada 2008'!$F$2:$F$5000,"&lt;="&amp;$H$5,'3 Base Entrada 2008'!$B$2:$B$5000,$T87,'3 Base Entrada 2008'!$C$2:$C$5000,$AG87,'3 Base Entrada 2008'!$K$2:$K$5000,$R$4),0)</f>
        <v>5</v>
      </c>
      <c r="AE87" s="0" t="str">
        <f aca="false">'5 Conciliação'!K61</f>
        <v>Sem diferença</v>
      </c>
      <c r="AF87" s="82" t="n">
        <f aca="false">IF(AND(AA87=1,AC87&lt;&gt;"Confere"),ABS(Z87)+ROW()/10000000,0)</f>
        <v>0</v>
      </c>
      <c r="AG87" s="82" t="s">
        <v>244</v>
      </c>
      <c r="AV87" s="0" t="str">
        <f aca="false">IFERROR(INDEX($AX$1:$AX$94,MATCH(86,$AY$1:$AY$94,0)),"")</f>
        <v>261826201</v>
      </c>
      <c r="AW87" s="82" t="s">
        <v>307</v>
      </c>
      <c r="AX87" s="82" t="s">
        <v>308</v>
      </c>
      <c r="AY87" s="82" t="n">
        <f aca="false">IF(OR($A$5="Todos",AW87=$A$5),MAX(AY$1:AY86)+1,0)</f>
        <v>87</v>
      </c>
      <c r="BB87" s="82" t="n">
        <f aca="false">MIN(IF(_xlfn.MINIFS('3 Base Entrada 2008'!$F$2:$F$5000,'3 Base Entrada 2008'!$F$2:$F$5000,"&gt;="&amp;$F$5,'3 Base Entrada 2008'!$F$2:$F$5000,"&lt;="&amp;$H$5,'3 Base Entrada 2008'!$B$2:$B$5000,$T87,'3 Base Entrada 2008'!$C$2:$C$5000,$AG87)=0,99999,_xlfn.MINIFS('3 Base Entrada 2008'!$F$2:$F$5000,'3 Base Entrada 2008'!$F$2:$F$5000,"&gt;="&amp;$F$5,'3 Base Entrada 2008'!$F$2:$F$5000,"&lt;="&amp;$H$5,'3 Base Entrada 2008'!$B$2:$B$5000,$T87,'3 Base Entrada 2008'!$C$2:$C$5000,$AG87)),IF(_xlfn.MINIFS('3 Base Saídas'!$G$2:$G$5000,'3 Base Saídas'!$G$2:$G$5000,"&gt;="&amp;$F$5,'3 Base Saídas'!$G$2:$G$5000,"&lt;="&amp;$H$5,'3 Base Saídas'!$B$2:$B$5000,$T87,'3 Base Saídas'!$C$2:$C$5000,$AG87)=0,99999,_xlfn.MINIFS('3 Base Saídas'!$G$2:$G$5000,'3 Base Saídas'!$G$2:$G$5000,"&gt;="&amp;$F$5,'3 Base Saídas'!$G$2:$G$5000,"&lt;="&amp;$H$5,'3 Base Saídas'!$B$2:$B$5000,$T87,'3 Base Saídas'!$C$2:$C$5000,$AG87)))</f>
        <v>46288</v>
      </c>
      <c r="BC87" s="82" t="n">
        <f aca="false">MAX(_xlfn.MAXIFS('3 Base Entrada 2008'!$F$2:$F$5000,'3 Base Entrada 2008'!$F$2:$F$5000,"&gt;="&amp;$F$5,'3 Base Entrada 2008'!$F$2:$F$5000,"&lt;="&amp;$H$5,'3 Base Entrada 2008'!$B$2:$B$5000,$T87,'3 Base Entrada 2008'!$C$2:$C$5000,$AG87),_xlfn.MAXIFS('3 Base Saídas'!$G$2:$G$5000,'3 Base Saídas'!$G$2:$G$5000,"&gt;="&amp;$F$5,'3 Base Saídas'!$G$2:$G$5000,"&lt;="&amp;$H$5,'3 Base Saídas'!$B$2:$B$5000,$T87,'3 Base Saídas'!$C$2:$C$5000,$AG87))</f>
        <v>46294</v>
      </c>
      <c r="BD87" s="0" t="str">
        <f aca="false">'5 Conciliação'!L61</f>
        <v>Nenhum ajuste necessário</v>
      </c>
      <c r="BE87" s="0" t="str">
        <f aca="false">'5 Conciliação'!Q61</f>
        <v>—</v>
      </c>
      <c r="BF87" s="0" t="str">
        <f aca="false">'5 Conciliação'!R61</f>
        <v>—</v>
      </c>
      <c r="BH87" s="82" t="n">
        <f aca="false">SUMIFS('3 Base Saldo Inicial 08-09'!$E$2:$E$5000,'3 Base Saldo Inicial 08-09'!$A$2:$A$5000,$T87,'3 Base Saldo Inicial 08-09'!$B$2:$B$5000,$AG87)-SUMIFS('3 Base Saldo Inicial 08-09'!$E$2:$E$5000,'3 Base Saldo Inicial 08-09'!$A$2:$A$5000,$T87,'3 Base Saldo Inicial 08-09'!$B$2:$B$5000,$AG87,'3 Base Saldo Inicial 08-09'!$C$2:$C$5000,"2008")</f>
        <v>0</v>
      </c>
    </row>
    <row r="88" customFormat="false" ht="15" hidden="false" customHeight="false" outlineLevel="0" collapsed="false">
      <c r="A88" s="111" t="str">
        <f aca="false">IF(IFERROR(MATCH(75,$AB$40:$AB$133,0),0)=0,"",INDEX($T$40:$T$133,IFERROR(MATCH(75,$AB$40:$AB$133,0),0)))</f>
        <v>SPLIT-4-D-413</v>
      </c>
      <c r="B88" s="111" t="str">
        <f aca="false">IF(IFERROR(MATCH(75,$AB$40:$AB$133,0),0)=0,"",INDEX($AG$40:$AG$133,IFERROR(MATCH(75,$AB$40:$AB$133,0),0)))</f>
        <v>261826201</v>
      </c>
      <c r="C88" s="112" t="str">
        <f aca="false">IF(IFERROR(MATCH(75,$AB$40:$AB$133,0),0)=0,"",INDEX($U$40:$U$133,IFERROR(MATCH(75,$AB$40:$AB$133,0),0)))</f>
        <v>KG</v>
      </c>
      <c r="D88" s="113" t="n">
        <f aca="false">IF(IFERROR(MATCH(75,$AB$40:$AB$133,0),0)=0,"",INDEX($BH$40:$BH$133,IFERROR(MATCH(75,$AB$40:$AB$133,0),0)))</f>
        <v>0</v>
      </c>
      <c r="E88" s="113" t="n">
        <f aca="false">IF(IFERROR(MATCH(75,$AB$40:$AB$133,0),0)=0,"",INDEX($W$40:$W$133,IFERROR(MATCH(75,$AB$40:$AB$133,0),0)))</f>
        <v>0</v>
      </c>
      <c r="F88" s="113" t="n">
        <f aca="false">IF(IFERROR(MATCH(75,$AB$40:$AB$133,0),0)=0,"",INDEX($X$40:$X$133,IFERROR(MATCH(75,$AB$40:$AB$133,0),0)))</f>
        <v>0</v>
      </c>
      <c r="G88" s="113" t="n">
        <f aca="false">IF(A88="","",D88+E88-F88)</f>
        <v>0</v>
      </c>
      <c r="H88" s="113" t="n">
        <f aca="false">IF(IFERROR(MATCH(75,$AB$40:$AB$133,0),0)=0,"",INDEX($Y$40:$Y$133,IFERROR(MATCH(75,$AB$40:$AB$133,0),0)))</f>
        <v>0</v>
      </c>
      <c r="I88" s="114" t="n">
        <f aca="false">IF(IFERROR(MATCH(75,$AB$40:$AB$133,0),0)=0,"",INDEX($Z$40:$Z$133,IFERROR(MATCH(75,$AB$40:$AB$133,0),0)))</f>
        <v>0</v>
      </c>
      <c r="J88" s="115" t="str">
        <f aca="false">IF(IFERROR(MATCH(75,$AB$40:$AB$133,0),0)=0,"",INDEX($AC$40:$AC$133,IFERROR(MATCH(75,$AB$40:$AB$133,0),0)))</f>
        <v>Confere</v>
      </c>
      <c r="K88" s="116" t="n">
        <f aca="false">IF(IFERROR(MATCH(75,$AB$40:$AB$133,0),0)=0,"",INDEX($AD$40:$AD$133,IFERROR(MATCH(75,$AB$40:$AB$133,0),0)))</f>
        <v>1</v>
      </c>
      <c r="L88" s="117" t="n">
        <f aca="false">IF(IFERROR(MATCH(75,$AB$40:$AB$133,0),0)=0,"",IF(INDEX($BB$40:$BB$133,IFERROR(MATCH(75,$AB$40:$AB$133,0),0))&gt;=99999,"",INDEX($BB$40:$BB$133,IFERROR(MATCH(75,$AB$40:$AB$133,0),0))))</f>
        <v>46280</v>
      </c>
      <c r="M88" s="117" t="n">
        <f aca="false">IF(IFERROR(MATCH(75,$AB$40:$AB$133,0),0)=0,"",IF(INDEX($BC$40:$BC$133,IFERROR(MATCH(75,$AB$40:$AB$133,0),0))=0,"",INDEX($BC$40:$BC$133,IFERROR(MATCH(75,$AB$40:$AB$133,0),0))))</f>
        <v>46280</v>
      </c>
      <c r="N88" s="118" t="str">
        <f aca="false">IF(IFERROR(MATCH(75,$AB$40:$AB$133,0),0)=0,"",INDEX($AE$40:$AE$133,IFERROR(MATCH(75,$AB$40:$AB$133,0),0))&amp;"")</f>
        <v>Sem diferença</v>
      </c>
      <c r="O88" s="119" t="str">
        <f aca="false">IF(IFERROR(MATCH(75,$AB$40:$AB$133,0),0)=0,"",INDEX($BD$40:$BD$133,IFERROR(MATCH(75,$AB$40:$AB$133,0),0))&amp;"")</f>
        <v>Nenhum ajuste necessário</v>
      </c>
      <c r="T88" s="82" t="s">
        <v>336</v>
      </c>
      <c r="U88" s="82" t="s">
        <v>65</v>
      </c>
      <c r="V88" s="82" t="n">
        <f aca="false">SUMIFS('3 Base Entrada 2008'!$G$2:$G$5000,'3 Base Entrada 2008'!$F$2:$F$5000,"&gt;="&amp;$F$5,'3 Base Entrada 2008'!$F$2:$F$5000,"&lt;="&amp;$H$5,'3 Base Entrada 2008'!$B$2:$B$5000,$T88,'3 Base Entrada 2008'!$C$2:$C$5000,$AG88,'3 Base Entrada 2008'!$K$2:$K$5000,"Recebido no 2008")</f>
        <v>2400</v>
      </c>
      <c r="W88" s="82" t="n">
        <f aca="false">SUMIFS('3 Base Entrada 2008'!$L$2:$L$5000,'3 Base Entrada 2008'!$F$2:$F$5000,"&gt;="&amp;$F$5,'3 Base Entrada 2008'!$F$2:$F$5000,"&lt;="&amp;$H$5,'3 Base Entrada 2008'!$B$2:$B$5000,$T88,'3 Base Entrada 2008'!$C$2:$C$5000,$AG88)</f>
        <v>0</v>
      </c>
      <c r="X88" s="82" t="n">
        <f aca="false">SUMIFS('3 Base Saídas'!$R$2:$R$5000,'3 Base Saídas'!$G$2:$G$5000,"&gt;="&amp;$F$5,'3 Base Saídas'!$G$2:$G$5000,"&lt;="&amp;$H$5,'3 Base Saídas'!$B$2:$B$5000,$T88,'3 Base Saídas'!$C$2:$C$5000,$AG88)</f>
        <v>0</v>
      </c>
      <c r="Y88" s="82" t="n">
        <f aca="false">SUMIFS('3 Base Estoque Físico'!$J$2:$J$5000,'3 Base Estoque Físico'!$A$2:$A$5000,$T88,'3 Base Estoque Físico'!$B$2:$B$5000,$AG88)</f>
        <v>0</v>
      </c>
      <c r="Z88" s="82" t="n">
        <f aca="false">ROUND(Y88-(BH88+W88-X88),3)</f>
        <v>0</v>
      </c>
      <c r="AA88" s="82" t="n">
        <f aca="false">IF(AND(U88=$R$3,OR($R$1="*",T88=$R$1),OR($R$2="*",AG88=$R$2),OR($R$6="*",AC88=$R$6),ABS(V88)+ABS(W88)+ABS(X88)+ABS(Y88)&gt;0),1,0)</f>
        <v>1</v>
      </c>
      <c r="AB88" s="82" t="n">
        <f aca="false">IF(AA88=1,SUM(AA$40:AA88),"")</f>
        <v>41</v>
      </c>
      <c r="AC88" s="0" t="str">
        <f aca="false">IF(ABS(Z88)&lt;=$R$5,"Confere",IF(Z88&gt;0,"Sobrando","Faltando"))</f>
        <v>Confere</v>
      </c>
      <c r="AD88" s="82" t="n">
        <f aca="false">IF(OR($R$4="*",$R$4="Saída"),COUNTIFS('3 Base Saídas'!$G$2:$G$5000,"&gt;="&amp;$F$5,'3 Base Saídas'!$G$2:$G$5000,"&lt;="&amp;$H$5,'3 Base Saídas'!$B$2:$B$5000,$T88,'3 Base Saídas'!$C$2:$C$5000,$AG88),0)+IF($R$4&lt;&gt;"Saída",COUNTIFS('3 Base Entrada 2008'!$F$2:$F$5000,"&gt;="&amp;$F$5,'3 Base Entrada 2008'!$F$2:$F$5000,"&lt;="&amp;$H$5,'3 Base Entrada 2008'!$B$2:$B$5000,$T88,'3 Base Entrada 2008'!$C$2:$C$5000,$AG88,'3 Base Entrada 2008'!$K$2:$K$5000,$R$4),0)</f>
        <v>2</v>
      </c>
      <c r="AE88" s="0" t="str">
        <f aca="false">'5 Conciliação'!K62</f>
        <v>Sem diferença</v>
      </c>
      <c r="AF88" s="82" t="n">
        <f aca="false">IF(AND(AA88=1,AC88&lt;&gt;"Confere"),ABS(Z88)+ROW()/10000000,0)</f>
        <v>0</v>
      </c>
      <c r="AG88" s="82" t="s">
        <v>337</v>
      </c>
      <c r="AV88" s="0" t="str">
        <f aca="false">IFERROR(INDEX($AX$1:$AX$94,MATCH(87,$AY$1:$AY$94,0)),"")</f>
        <v>261596201</v>
      </c>
      <c r="AW88" s="82" t="s">
        <v>389</v>
      </c>
      <c r="AX88" s="82" t="s">
        <v>390</v>
      </c>
      <c r="AY88" s="82" t="n">
        <f aca="false">IF(OR($A$5="Todos",AW88=$A$5),MAX(AY$1:AY87)+1,0)</f>
        <v>88</v>
      </c>
      <c r="BB88" s="82" t="n">
        <f aca="false">MIN(IF(_xlfn.MINIFS('3 Base Entrada 2008'!$F$2:$F$5000,'3 Base Entrada 2008'!$F$2:$F$5000,"&gt;="&amp;$F$5,'3 Base Entrada 2008'!$F$2:$F$5000,"&lt;="&amp;$H$5,'3 Base Entrada 2008'!$B$2:$B$5000,$T88,'3 Base Entrada 2008'!$C$2:$C$5000,$AG88)=0,99999,_xlfn.MINIFS('3 Base Entrada 2008'!$F$2:$F$5000,'3 Base Entrada 2008'!$F$2:$F$5000,"&gt;="&amp;$F$5,'3 Base Entrada 2008'!$F$2:$F$5000,"&lt;="&amp;$H$5,'3 Base Entrada 2008'!$B$2:$B$5000,$T88,'3 Base Entrada 2008'!$C$2:$C$5000,$AG88)),IF(_xlfn.MINIFS('3 Base Saídas'!$G$2:$G$5000,'3 Base Saídas'!$G$2:$G$5000,"&gt;="&amp;$F$5,'3 Base Saídas'!$G$2:$G$5000,"&lt;="&amp;$H$5,'3 Base Saídas'!$B$2:$B$5000,$T88,'3 Base Saídas'!$C$2:$C$5000,$AG88)=0,99999,_xlfn.MINIFS('3 Base Saídas'!$G$2:$G$5000,'3 Base Saídas'!$G$2:$G$5000,"&gt;="&amp;$F$5,'3 Base Saídas'!$G$2:$G$5000,"&lt;="&amp;$H$5,'3 Base Saídas'!$B$2:$B$5000,$T88,'3 Base Saídas'!$C$2:$C$5000,$AG88)))</f>
        <v>46275</v>
      </c>
      <c r="BC88" s="82" t="n">
        <f aca="false">MAX(_xlfn.MAXIFS('3 Base Entrada 2008'!$F$2:$F$5000,'3 Base Entrada 2008'!$F$2:$F$5000,"&gt;="&amp;$F$5,'3 Base Entrada 2008'!$F$2:$F$5000,"&lt;="&amp;$H$5,'3 Base Entrada 2008'!$B$2:$B$5000,$T88,'3 Base Entrada 2008'!$C$2:$C$5000,$AG88),_xlfn.MAXIFS('3 Base Saídas'!$G$2:$G$5000,'3 Base Saídas'!$G$2:$G$5000,"&gt;="&amp;$F$5,'3 Base Saídas'!$G$2:$G$5000,"&lt;="&amp;$H$5,'3 Base Saídas'!$B$2:$B$5000,$T88,'3 Base Saídas'!$C$2:$C$5000,$AG88))</f>
        <v>46275</v>
      </c>
      <c r="BD88" s="0" t="str">
        <f aca="false">'5 Conciliação'!L62</f>
        <v>Nenhum ajuste necessário</v>
      </c>
      <c r="BE88" s="0" t="str">
        <f aca="false">'5 Conciliação'!Q62</f>
        <v>—</v>
      </c>
      <c r="BF88" s="0" t="str">
        <f aca="false">'5 Conciliação'!R62</f>
        <v>—</v>
      </c>
      <c r="BH88" s="82" t="n">
        <f aca="false">SUMIFS('3 Base Saldo Inicial 08-09'!$E$2:$E$5000,'3 Base Saldo Inicial 08-09'!$A$2:$A$5000,$T88,'3 Base Saldo Inicial 08-09'!$B$2:$B$5000,$AG88)-SUMIFS('3 Base Saldo Inicial 08-09'!$E$2:$E$5000,'3 Base Saldo Inicial 08-09'!$A$2:$A$5000,$T88,'3 Base Saldo Inicial 08-09'!$B$2:$B$5000,$AG88,'3 Base Saldo Inicial 08-09'!$C$2:$C$5000,"2008")</f>
        <v>0</v>
      </c>
    </row>
    <row r="89" customFormat="false" ht="15" hidden="false" customHeight="false" outlineLevel="0" collapsed="false">
      <c r="A89" s="111" t="str">
        <f aca="false">IF(IFERROR(MATCH(76,$AB$40:$AB$133,0),0)=0,"",INDEX($T$40:$T$133,IFERROR(MATCH(76,$AB$40:$AB$133,0),0)))</f>
        <v>SPLIT-4-M-413</v>
      </c>
      <c r="B89" s="111" t="str">
        <f aca="false">IF(IFERROR(MATCH(76,$AB$40:$AB$133,0),0)=0,"",INDEX($AG$40:$AG$133,IFERROR(MATCH(76,$AB$40:$AB$133,0),0)))</f>
        <v>261596201</v>
      </c>
      <c r="C89" s="112" t="str">
        <f aca="false">IF(IFERROR(MATCH(76,$AB$40:$AB$133,0),0)=0,"",INDEX($U$40:$U$133,IFERROR(MATCH(76,$AB$40:$AB$133,0),0)))</f>
        <v>KG</v>
      </c>
      <c r="D89" s="113" t="n">
        <f aca="false">IF(IFERROR(MATCH(76,$AB$40:$AB$133,0),0)=0,"",INDEX($BH$40:$BH$133,IFERROR(MATCH(76,$AB$40:$AB$133,0),0)))</f>
        <v>0</v>
      </c>
      <c r="E89" s="113" t="n">
        <f aca="false">IF(IFERROR(MATCH(76,$AB$40:$AB$133,0),0)=0,"",INDEX($W$40:$W$133,IFERROR(MATCH(76,$AB$40:$AB$133,0),0)))</f>
        <v>1000</v>
      </c>
      <c r="F89" s="113" t="n">
        <f aca="false">IF(IFERROR(MATCH(76,$AB$40:$AB$133,0),0)=0,"",INDEX($X$40:$X$133,IFERROR(MATCH(76,$AB$40:$AB$133,0),0)))</f>
        <v>0</v>
      </c>
      <c r="G89" s="113" t="n">
        <f aca="false">IF(A89="","",D89+E89-F89)</f>
        <v>1000</v>
      </c>
      <c r="H89" s="113" t="n">
        <f aca="false">IF(IFERROR(MATCH(76,$AB$40:$AB$133,0),0)=0,"",INDEX($Y$40:$Y$133,IFERROR(MATCH(76,$AB$40:$AB$133,0),0)))</f>
        <v>1000</v>
      </c>
      <c r="I89" s="114" t="n">
        <f aca="false">IF(IFERROR(MATCH(76,$AB$40:$AB$133,0),0)=0,"",INDEX($Z$40:$Z$133,IFERROR(MATCH(76,$AB$40:$AB$133,0),0)))</f>
        <v>0</v>
      </c>
      <c r="J89" s="115" t="str">
        <f aca="false">IF(IFERROR(MATCH(76,$AB$40:$AB$133,0),0)=0,"",INDEX($AC$40:$AC$133,IFERROR(MATCH(76,$AB$40:$AB$133,0),0)))</f>
        <v>Confere</v>
      </c>
      <c r="K89" s="116" t="n">
        <f aca="false">IF(IFERROR(MATCH(76,$AB$40:$AB$133,0),0)=0,"",INDEX($AD$40:$AD$133,IFERROR(MATCH(76,$AB$40:$AB$133,0),0)))</f>
        <v>2</v>
      </c>
      <c r="L89" s="117" t="n">
        <f aca="false">IF(IFERROR(MATCH(76,$AB$40:$AB$133,0),0)=0,"",IF(INDEX($BB$40:$BB$133,IFERROR(MATCH(76,$AB$40:$AB$133,0),0))&gt;=99999,"",INDEX($BB$40:$BB$133,IFERROR(MATCH(76,$AB$40:$AB$133,0),0))))</f>
        <v>46280</v>
      </c>
      <c r="M89" s="117" t="n">
        <f aca="false">IF(IFERROR(MATCH(76,$AB$40:$AB$133,0),0)=0,"",IF(INDEX($BC$40:$BC$133,IFERROR(MATCH(76,$AB$40:$AB$133,0),0))=0,"",INDEX($BC$40:$BC$133,IFERROR(MATCH(76,$AB$40:$AB$133,0),0))))</f>
        <v>46293</v>
      </c>
      <c r="N89" s="118" t="str">
        <f aca="false">IF(IFERROR(MATCH(76,$AB$40:$AB$133,0),0)=0,"",INDEX($AE$40:$AE$133,IFERROR(MATCH(76,$AB$40:$AB$133,0),0))&amp;"")</f>
        <v>Sem diferença</v>
      </c>
      <c r="O89" s="119" t="str">
        <f aca="false">IF(IFERROR(MATCH(76,$AB$40:$AB$133,0),0)=0,"",INDEX($BD$40:$BD$133,IFERROR(MATCH(76,$AB$40:$AB$133,0),0))&amp;"")</f>
        <v>Nenhum ajuste necessário</v>
      </c>
      <c r="T89" s="82" t="s">
        <v>338</v>
      </c>
      <c r="U89" s="82" t="s">
        <v>65</v>
      </c>
      <c r="V89" s="82" t="n">
        <f aca="false">SUMIFS('3 Base Entrada 2008'!$G$2:$G$5000,'3 Base Entrada 2008'!$F$2:$F$5000,"&gt;="&amp;$F$5,'3 Base Entrada 2008'!$F$2:$F$5000,"&lt;="&amp;$H$5,'3 Base Entrada 2008'!$B$2:$B$5000,$T89,'3 Base Entrada 2008'!$C$2:$C$5000,$AG89,'3 Base Entrada 2008'!$K$2:$K$5000,"Recebido no 2008")</f>
        <v>798</v>
      </c>
      <c r="W89" s="82" t="n">
        <f aca="false">SUMIFS('3 Base Entrada 2008'!$L$2:$L$5000,'3 Base Entrada 2008'!$F$2:$F$5000,"&gt;="&amp;$F$5,'3 Base Entrada 2008'!$F$2:$F$5000,"&lt;="&amp;$H$5,'3 Base Entrada 2008'!$B$2:$B$5000,$T89,'3 Base Entrada 2008'!$C$2:$C$5000,$AG89)</f>
        <v>0</v>
      </c>
      <c r="X89" s="82" t="n">
        <f aca="false">SUMIFS('3 Base Saídas'!$R$2:$R$5000,'3 Base Saídas'!$G$2:$G$5000,"&gt;="&amp;$F$5,'3 Base Saídas'!$G$2:$G$5000,"&lt;="&amp;$H$5,'3 Base Saídas'!$B$2:$B$5000,$T89,'3 Base Saídas'!$C$2:$C$5000,$AG89)</f>
        <v>0</v>
      </c>
      <c r="Y89" s="82" t="n">
        <f aca="false">SUMIFS('3 Base Estoque Físico'!$J$2:$J$5000,'3 Base Estoque Físico'!$A$2:$A$5000,$T89,'3 Base Estoque Físico'!$B$2:$B$5000,$AG89)</f>
        <v>0</v>
      </c>
      <c r="Z89" s="82" t="n">
        <f aca="false">ROUND(Y89-(BH89+W89-X89),3)</f>
        <v>0</v>
      </c>
      <c r="AA89" s="82" t="n">
        <f aca="false">IF(AND(U89=$R$3,OR($R$1="*",T89=$R$1),OR($R$2="*",AG89=$R$2),OR($R$6="*",AC89=$R$6),ABS(V89)+ABS(W89)+ABS(X89)+ABS(Y89)&gt;0),1,0)</f>
        <v>1</v>
      </c>
      <c r="AB89" s="82" t="n">
        <f aca="false">IF(AA89=1,SUM(AA$40:AA89),"")</f>
        <v>42</v>
      </c>
      <c r="AC89" s="0" t="str">
        <f aca="false">IF(ABS(Z89)&lt;=$R$5,"Confere",IF(Z89&gt;0,"Sobrando","Faltando"))</f>
        <v>Confere</v>
      </c>
      <c r="AD89" s="82" t="n">
        <f aca="false">IF(OR($R$4="*",$R$4="Saída"),COUNTIFS('3 Base Saídas'!$G$2:$G$5000,"&gt;="&amp;$F$5,'3 Base Saídas'!$G$2:$G$5000,"&lt;="&amp;$H$5,'3 Base Saídas'!$B$2:$B$5000,$T89,'3 Base Saídas'!$C$2:$C$5000,$AG89),0)+IF($R$4&lt;&gt;"Saída",COUNTIFS('3 Base Entrada 2008'!$F$2:$F$5000,"&gt;="&amp;$F$5,'3 Base Entrada 2008'!$F$2:$F$5000,"&lt;="&amp;$H$5,'3 Base Entrada 2008'!$B$2:$B$5000,$T89,'3 Base Entrada 2008'!$C$2:$C$5000,$AG89,'3 Base Entrada 2008'!$K$2:$K$5000,$R$4),0)</f>
        <v>1</v>
      </c>
      <c r="AE89" s="0" t="str">
        <f aca="false">'5 Conciliação'!K63</f>
        <v>Sem diferença</v>
      </c>
      <c r="AF89" s="82" t="n">
        <f aca="false">IF(AND(AA89=1,AC89&lt;&gt;"Confere"),ABS(Z89)+ROW()/10000000,0)</f>
        <v>0</v>
      </c>
      <c r="AG89" s="82" t="s">
        <v>340</v>
      </c>
      <c r="AV89" s="0" t="str">
        <f aca="false">IFERROR(INDEX($AX$1:$AX$94,MATCH(88,$AY$1:$AY$94,0)),"")</f>
        <v>252232739</v>
      </c>
      <c r="AW89" s="82" t="s">
        <v>389</v>
      </c>
      <c r="AX89" s="82" t="s">
        <v>391</v>
      </c>
      <c r="AY89" s="82" t="n">
        <f aca="false">IF(OR($A$5="Todos",AW89=$A$5),MAX(AY$1:AY88)+1,0)</f>
        <v>89</v>
      </c>
      <c r="BB89" s="82" t="n">
        <f aca="false">MIN(IF(_xlfn.MINIFS('3 Base Entrada 2008'!$F$2:$F$5000,'3 Base Entrada 2008'!$F$2:$F$5000,"&gt;="&amp;$F$5,'3 Base Entrada 2008'!$F$2:$F$5000,"&lt;="&amp;$H$5,'3 Base Entrada 2008'!$B$2:$B$5000,$T89,'3 Base Entrada 2008'!$C$2:$C$5000,$AG89)=0,99999,_xlfn.MINIFS('3 Base Entrada 2008'!$F$2:$F$5000,'3 Base Entrada 2008'!$F$2:$F$5000,"&gt;="&amp;$F$5,'3 Base Entrada 2008'!$F$2:$F$5000,"&lt;="&amp;$H$5,'3 Base Entrada 2008'!$B$2:$B$5000,$T89,'3 Base Entrada 2008'!$C$2:$C$5000,$AG89)),IF(_xlfn.MINIFS('3 Base Saídas'!$G$2:$G$5000,'3 Base Saídas'!$G$2:$G$5000,"&gt;="&amp;$F$5,'3 Base Saídas'!$G$2:$G$5000,"&lt;="&amp;$H$5,'3 Base Saídas'!$B$2:$B$5000,$T89,'3 Base Saídas'!$C$2:$C$5000,$AG89)=0,99999,_xlfn.MINIFS('3 Base Saídas'!$G$2:$G$5000,'3 Base Saídas'!$G$2:$G$5000,"&gt;="&amp;$F$5,'3 Base Saídas'!$G$2:$G$5000,"&lt;="&amp;$H$5,'3 Base Saídas'!$B$2:$B$5000,$T89,'3 Base Saídas'!$C$2:$C$5000,$AG89)))</f>
        <v>46275</v>
      </c>
      <c r="BC89" s="82" t="n">
        <f aca="false">MAX(_xlfn.MAXIFS('3 Base Entrada 2008'!$F$2:$F$5000,'3 Base Entrada 2008'!$F$2:$F$5000,"&gt;="&amp;$F$5,'3 Base Entrada 2008'!$F$2:$F$5000,"&lt;="&amp;$H$5,'3 Base Entrada 2008'!$B$2:$B$5000,$T89,'3 Base Entrada 2008'!$C$2:$C$5000,$AG89),_xlfn.MAXIFS('3 Base Saídas'!$G$2:$G$5000,'3 Base Saídas'!$G$2:$G$5000,"&gt;="&amp;$F$5,'3 Base Saídas'!$G$2:$G$5000,"&lt;="&amp;$H$5,'3 Base Saídas'!$B$2:$B$5000,$T89,'3 Base Saídas'!$C$2:$C$5000,$AG89))</f>
        <v>46275</v>
      </c>
      <c r="BD89" s="0" t="str">
        <f aca="false">'5 Conciliação'!L63</f>
        <v>Nenhum ajuste necessário</v>
      </c>
      <c r="BE89" s="0" t="str">
        <f aca="false">'5 Conciliação'!Q63</f>
        <v>—</v>
      </c>
      <c r="BF89" s="0" t="str">
        <f aca="false">'5 Conciliação'!R63</f>
        <v>—</v>
      </c>
      <c r="BH89" s="82" t="n">
        <f aca="false">SUMIFS('3 Base Saldo Inicial 08-09'!$E$2:$E$5000,'3 Base Saldo Inicial 08-09'!$A$2:$A$5000,$T89,'3 Base Saldo Inicial 08-09'!$B$2:$B$5000,$AG89)-SUMIFS('3 Base Saldo Inicial 08-09'!$E$2:$E$5000,'3 Base Saldo Inicial 08-09'!$A$2:$A$5000,$T89,'3 Base Saldo Inicial 08-09'!$B$2:$B$5000,$AG89,'3 Base Saldo Inicial 08-09'!$C$2:$C$5000,"2008")</f>
        <v>0</v>
      </c>
    </row>
    <row r="90" customFormat="false" ht="15" hidden="false" customHeight="false" outlineLevel="0" collapsed="false">
      <c r="A90" s="111" t="str">
        <f aca="false">IF(IFERROR(MATCH(77,$AB$40:$AB$133,0),0)=0,"",INDEX($T$40:$T$133,IFERROR(MATCH(77,$AB$40:$AB$133,0),0)))</f>
        <v>W2-BR-D94</v>
      </c>
      <c r="B90" s="111" t="str">
        <f aca="false">IF(IFERROR(MATCH(77,$AB$40:$AB$133,0),0)=0,"",INDEX($AG$40:$AG$133,IFERROR(MATCH(77,$AB$40:$AB$133,0),0)))</f>
        <v>252232739</v>
      </c>
      <c r="C90" s="112" t="str">
        <f aca="false">IF(IFERROR(MATCH(77,$AB$40:$AB$133,0),0)=0,"",INDEX($U$40:$U$133,IFERROR(MATCH(77,$AB$40:$AB$133,0),0)))</f>
        <v>KG</v>
      </c>
      <c r="D90" s="113" t="n">
        <f aca="false">IF(IFERROR(MATCH(77,$AB$40:$AB$133,0),0)=0,"",INDEX($BH$40:$BH$133,IFERROR(MATCH(77,$AB$40:$AB$133,0),0)))</f>
        <v>0</v>
      </c>
      <c r="E90" s="113" t="n">
        <f aca="false">IF(IFERROR(MATCH(77,$AB$40:$AB$133,0),0)=0,"",INDEX($W$40:$W$133,IFERROR(MATCH(77,$AB$40:$AB$133,0),0)))</f>
        <v>53.2</v>
      </c>
      <c r="F90" s="113" t="n">
        <f aca="false">IF(IFERROR(MATCH(77,$AB$40:$AB$133,0),0)=0,"",INDEX($X$40:$X$133,IFERROR(MATCH(77,$AB$40:$AB$133,0),0)))</f>
        <v>19.6</v>
      </c>
      <c r="G90" s="113" t="n">
        <f aca="false">IF(A90="","",D90+E90-F90)</f>
        <v>33.6</v>
      </c>
      <c r="H90" s="113" t="n">
        <f aca="false">IF(IFERROR(MATCH(77,$AB$40:$AB$133,0),0)=0,"",INDEX($Y$40:$Y$133,IFERROR(MATCH(77,$AB$40:$AB$133,0),0)))</f>
        <v>33.6</v>
      </c>
      <c r="I90" s="114" t="n">
        <f aca="false">IF(IFERROR(MATCH(77,$AB$40:$AB$133,0),0)=0,"",INDEX($Z$40:$Z$133,IFERROR(MATCH(77,$AB$40:$AB$133,0),0)))</f>
        <v>0</v>
      </c>
      <c r="J90" s="115" t="str">
        <f aca="false">IF(IFERROR(MATCH(77,$AB$40:$AB$133,0),0)=0,"",INDEX($AC$40:$AC$133,IFERROR(MATCH(77,$AB$40:$AB$133,0),0)))</f>
        <v>Confere</v>
      </c>
      <c r="K90" s="116" t="n">
        <f aca="false">IF(IFERROR(MATCH(77,$AB$40:$AB$133,0),0)=0,"",INDEX($AD$40:$AD$133,IFERROR(MATCH(77,$AB$40:$AB$133,0),0)))</f>
        <v>2</v>
      </c>
      <c r="L90" s="117" t="n">
        <f aca="false">IF(IFERROR(MATCH(77,$AB$40:$AB$133,0),0)=0,"",IF(INDEX($BB$40:$BB$133,IFERROR(MATCH(77,$AB$40:$AB$133,0),0))&gt;=99999,"",INDEX($BB$40:$BB$133,IFERROR(MATCH(77,$AB$40:$AB$133,0),0))))</f>
        <v>46291</v>
      </c>
      <c r="M90" s="117" t="n">
        <f aca="false">IF(IFERROR(MATCH(77,$AB$40:$AB$133,0),0)=0,"",IF(INDEX($BC$40:$BC$133,IFERROR(MATCH(77,$AB$40:$AB$133,0),0))=0,"",INDEX($BC$40:$BC$133,IFERROR(MATCH(77,$AB$40:$AB$133,0),0))))</f>
        <v>46294</v>
      </c>
      <c r="N90" s="118" t="str">
        <f aca="false">IF(IFERROR(MATCH(77,$AB$40:$AB$133,0),0)=0,"",INDEX($AE$40:$AE$133,IFERROR(MATCH(77,$AB$40:$AB$133,0),0))&amp;"")</f>
        <v>Sem diferença</v>
      </c>
      <c r="O90" s="119" t="str">
        <f aca="false">IF(IFERROR(MATCH(77,$AB$40:$AB$133,0),0)=0,"",INDEX($BD$40:$BD$133,IFERROR(MATCH(77,$AB$40:$AB$133,0),0))&amp;"")</f>
        <v>Nenhum ajuste necessário</v>
      </c>
      <c r="T90" s="82" t="s">
        <v>338</v>
      </c>
      <c r="U90" s="82" t="s">
        <v>65</v>
      </c>
      <c r="V90" s="82" t="n">
        <f aca="false">SUMIFS('3 Base Entrada 2008'!$G$2:$G$5000,'3 Base Entrada 2008'!$F$2:$F$5000,"&gt;="&amp;$F$5,'3 Base Entrada 2008'!$F$2:$F$5000,"&lt;="&amp;$H$5,'3 Base Entrada 2008'!$B$2:$B$5000,$T90,'3 Base Entrada 2008'!$C$2:$C$5000,$AG90,'3 Base Entrada 2008'!$K$2:$K$5000,"Recebido no 2008")</f>
        <v>1122</v>
      </c>
      <c r="W90" s="82" t="n">
        <f aca="false">SUMIFS('3 Base Entrada 2008'!$L$2:$L$5000,'3 Base Entrada 2008'!$F$2:$F$5000,"&gt;="&amp;$F$5,'3 Base Entrada 2008'!$F$2:$F$5000,"&lt;="&amp;$H$5,'3 Base Entrada 2008'!$B$2:$B$5000,$T90,'3 Base Entrada 2008'!$C$2:$C$5000,$AG90)</f>
        <v>0</v>
      </c>
      <c r="X90" s="82" t="n">
        <f aca="false">SUMIFS('3 Base Saídas'!$R$2:$R$5000,'3 Base Saídas'!$G$2:$G$5000,"&gt;="&amp;$F$5,'3 Base Saídas'!$G$2:$G$5000,"&lt;="&amp;$H$5,'3 Base Saídas'!$B$2:$B$5000,$T90,'3 Base Saídas'!$C$2:$C$5000,$AG90)</f>
        <v>0</v>
      </c>
      <c r="Y90" s="82" t="n">
        <f aca="false">SUMIFS('3 Base Estoque Físico'!$J$2:$J$5000,'3 Base Estoque Físico'!$A$2:$A$5000,$T90,'3 Base Estoque Físico'!$B$2:$B$5000,$AG90)</f>
        <v>0</v>
      </c>
      <c r="Z90" s="82" t="n">
        <f aca="false">ROUND(Y90-(BH90+W90-X90),3)</f>
        <v>0</v>
      </c>
      <c r="AA90" s="82" t="n">
        <f aca="false">IF(AND(U90=$R$3,OR($R$1="*",T90=$R$1),OR($R$2="*",AG90=$R$2),OR($R$6="*",AC90=$R$6),ABS(V90)+ABS(W90)+ABS(X90)+ABS(Y90)&gt;0),1,0)</f>
        <v>1</v>
      </c>
      <c r="AB90" s="82" t="n">
        <f aca="false">IF(AA90=1,SUM(AA$40:AA90),"")</f>
        <v>43</v>
      </c>
      <c r="AC90" s="0" t="str">
        <f aca="false">IF(ABS(Z90)&lt;=$R$5,"Confere",IF(Z90&gt;0,"Sobrando","Faltando"))</f>
        <v>Confere</v>
      </c>
      <c r="AD90" s="82" t="n">
        <f aca="false">IF(OR($R$4="*",$R$4="Saída"),COUNTIFS('3 Base Saídas'!$G$2:$G$5000,"&gt;="&amp;$F$5,'3 Base Saídas'!$G$2:$G$5000,"&lt;="&amp;$H$5,'3 Base Saídas'!$B$2:$B$5000,$T90,'3 Base Saídas'!$C$2:$C$5000,$AG90),0)+IF($R$4&lt;&gt;"Saída",COUNTIFS('3 Base Entrada 2008'!$F$2:$F$5000,"&gt;="&amp;$F$5,'3 Base Entrada 2008'!$F$2:$F$5000,"&lt;="&amp;$H$5,'3 Base Entrada 2008'!$B$2:$B$5000,$T90,'3 Base Entrada 2008'!$C$2:$C$5000,$AG90,'3 Base Entrada 2008'!$K$2:$K$5000,$R$4),0)</f>
        <v>1</v>
      </c>
      <c r="AE90" s="0" t="str">
        <f aca="false">'5 Conciliação'!K64</f>
        <v>Sem diferença</v>
      </c>
      <c r="AF90" s="82" t="n">
        <f aca="false">IF(AND(AA90=1,AC90&lt;&gt;"Confere"),ABS(Z90)+ROW()/10000000,0)</f>
        <v>0</v>
      </c>
      <c r="AG90" s="82" t="s">
        <v>339</v>
      </c>
      <c r="AV90" s="0" t="str">
        <f aca="false">IFERROR(INDEX($AX$1:$AX$94,MATCH(89,$AY$1:$AY$94,0)),"")</f>
        <v>260700919</v>
      </c>
      <c r="AW90" s="82" t="s">
        <v>389</v>
      </c>
      <c r="AX90" s="82" t="s">
        <v>394</v>
      </c>
      <c r="AY90" s="82" t="n">
        <f aca="false">IF(OR($A$5="Todos",AW90=$A$5),MAX(AY$1:AY89)+1,0)</f>
        <v>90</v>
      </c>
      <c r="BB90" s="82" t="n">
        <f aca="false">MIN(IF(_xlfn.MINIFS('3 Base Entrada 2008'!$F$2:$F$5000,'3 Base Entrada 2008'!$F$2:$F$5000,"&gt;="&amp;$F$5,'3 Base Entrada 2008'!$F$2:$F$5000,"&lt;="&amp;$H$5,'3 Base Entrada 2008'!$B$2:$B$5000,$T90,'3 Base Entrada 2008'!$C$2:$C$5000,$AG90)=0,99999,_xlfn.MINIFS('3 Base Entrada 2008'!$F$2:$F$5000,'3 Base Entrada 2008'!$F$2:$F$5000,"&gt;="&amp;$F$5,'3 Base Entrada 2008'!$F$2:$F$5000,"&lt;="&amp;$H$5,'3 Base Entrada 2008'!$B$2:$B$5000,$T90,'3 Base Entrada 2008'!$C$2:$C$5000,$AG90)),IF(_xlfn.MINIFS('3 Base Saídas'!$G$2:$G$5000,'3 Base Saídas'!$G$2:$G$5000,"&gt;="&amp;$F$5,'3 Base Saídas'!$G$2:$G$5000,"&lt;="&amp;$H$5,'3 Base Saídas'!$B$2:$B$5000,$T90,'3 Base Saídas'!$C$2:$C$5000,$AG90)=0,99999,_xlfn.MINIFS('3 Base Saídas'!$G$2:$G$5000,'3 Base Saídas'!$G$2:$G$5000,"&gt;="&amp;$F$5,'3 Base Saídas'!$G$2:$G$5000,"&lt;="&amp;$H$5,'3 Base Saídas'!$B$2:$B$5000,$T90,'3 Base Saídas'!$C$2:$C$5000,$AG90)))</f>
        <v>46275</v>
      </c>
      <c r="BC90" s="82" t="n">
        <f aca="false">MAX(_xlfn.MAXIFS('3 Base Entrada 2008'!$F$2:$F$5000,'3 Base Entrada 2008'!$F$2:$F$5000,"&gt;="&amp;$F$5,'3 Base Entrada 2008'!$F$2:$F$5000,"&lt;="&amp;$H$5,'3 Base Entrada 2008'!$B$2:$B$5000,$T90,'3 Base Entrada 2008'!$C$2:$C$5000,$AG90),_xlfn.MAXIFS('3 Base Saídas'!$G$2:$G$5000,'3 Base Saídas'!$G$2:$G$5000,"&gt;="&amp;$F$5,'3 Base Saídas'!$G$2:$G$5000,"&lt;="&amp;$H$5,'3 Base Saídas'!$B$2:$B$5000,$T90,'3 Base Saídas'!$C$2:$C$5000,$AG90))</f>
        <v>46275</v>
      </c>
      <c r="BD90" s="0" t="str">
        <f aca="false">'5 Conciliação'!L64</f>
        <v>Nenhum ajuste necessário</v>
      </c>
      <c r="BE90" s="0" t="str">
        <f aca="false">'5 Conciliação'!Q64</f>
        <v>—</v>
      </c>
      <c r="BF90" s="0" t="str">
        <f aca="false">'5 Conciliação'!R64</f>
        <v>—</v>
      </c>
      <c r="BH90" s="82" t="n">
        <f aca="false">SUMIFS('3 Base Saldo Inicial 08-09'!$E$2:$E$5000,'3 Base Saldo Inicial 08-09'!$A$2:$A$5000,$T90,'3 Base Saldo Inicial 08-09'!$B$2:$B$5000,$AG90)-SUMIFS('3 Base Saldo Inicial 08-09'!$E$2:$E$5000,'3 Base Saldo Inicial 08-09'!$A$2:$A$5000,$T90,'3 Base Saldo Inicial 08-09'!$B$2:$B$5000,$AG90,'3 Base Saldo Inicial 08-09'!$C$2:$C$5000,"2008")</f>
        <v>0</v>
      </c>
    </row>
    <row r="91" customFormat="false" ht="15" hidden="false" customHeight="false" outlineLevel="0" collapsed="false">
      <c r="A91" s="111" t="str">
        <f aca="false">IF(IFERROR(MATCH(78,$AB$40:$AB$133,0),0)=0,"",INDEX($T$40:$T$133,IFERROR(MATCH(78,$AB$40:$AB$133,0),0)))</f>
        <v>W2-BR-D94</v>
      </c>
      <c r="B91" s="111" t="str">
        <f aca="false">IF(IFERROR(MATCH(78,$AB$40:$AB$133,0),0)=0,"",INDEX($AG$40:$AG$133,IFERROR(MATCH(78,$AB$40:$AB$133,0),0)))</f>
        <v>260700919</v>
      </c>
      <c r="C91" s="112" t="str">
        <f aca="false">IF(IFERROR(MATCH(78,$AB$40:$AB$133,0),0)=0,"",INDEX($U$40:$U$133,IFERROR(MATCH(78,$AB$40:$AB$133,0),0)))</f>
        <v>KG</v>
      </c>
      <c r="D91" s="113" t="n">
        <f aca="false">IF(IFERROR(MATCH(78,$AB$40:$AB$133,0),0)=0,"",INDEX($BH$40:$BH$133,IFERROR(MATCH(78,$AB$40:$AB$133,0),0)))</f>
        <v>0</v>
      </c>
      <c r="E91" s="113" t="n">
        <f aca="false">IF(IFERROR(MATCH(78,$AB$40:$AB$133,0),0)=0,"",INDEX($W$40:$W$133,IFERROR(MATCH(78,$AB$40:$AB$133,0),0)))</f>
        <v>627.2</v>
      </c>
      <c r="F91" s="113" t="n">
        <f aca="false">IF(IFERROR(MATCH(78,$AB$40:$AB$133,0),0)=0,"",INDEX($X$40:$X$133,IFERROR(MATCH(78,$AB$40:$AB$133,0),0)))</f>
        <v>0</v>
      </c>
      <c r="G91" s="113" t="n">
        <f aca="false">IF(A91="","",D91+E91-F91)</f>
        <v>627.2</v>
      </c>
      <c r="H91" s="113" t="n">
        <f aca="false">IF(IFERROR(MATCH(78,$AB$40:$AB$133,0),0)=0,"",INDEX($Y$40:$Y$133,IFERROR(MATCH(78,$AB$40:$AB$133,0),0)))</f>
        <v>627.2</v>
      </c>
      <c r="I91" s="114" t="n">
        <f aca="false">IF(IFERROR(MATCH(78,$AB$40:$AB$133,0),0)=0,"",INDEX($Z$40:$Z$133,IFERROR(MATCH(78,$AB$40:$AB$133,0),0)))</f>
        <v>0</v>
      </c>
      <c r="J91" s="115" t="str">
        <f aca="false">IF(IFERROR(MATCH(78,$AB$40:$AB$133,0),0)=0,"",INDEX($AC$40:$AC$133,IFERROR(MATCH(78,$AB$40:$AB$133,0),0)))</f>
        <v>Confere</v>
      </c>
      <c r="K91" s="116" t="n">
        <f aca="false">IF(IFERROR(MATCH(78,$AB$40:$AB$133,0),0)=0,"",INDEX($AD$40:$AD$133,IFERROR(MATCH(78,$AB$40:$AB$133,0),0)))</f>
        <v>1</v>
      </c>
      <c r="L91" s="117" t="n">
        <f aca="false">IF(IFERROR(MATCH(78,$AB$40:$AB$133,0),0)=0,"",IF(INDEX($BB$40:$BB$133,IFERROR(MATCH(78,$AB$40:$AB$133,0),0))&gt;=99999,"",INDEX($BB$40:$BB$133,IFERROR(MATCH(78,$AB$40:$AB$133,0),0))))</f>
        <v>46291</v>
      </c>
      <c r="M91" s="117" t="n">
        <f aca="false">IF(IFERROR(MATCH(78,$AB$40:$AB$133,0),0)=0,"",IF(INDEX($BC$40:$BC$133,IFERROR(MATCH(78,$AB$40:$AB$133,0),0))=0,"",INDEX($BC$40:$BC$133,IFERROR(MATCH(78,$AB$40:$AB$133,0),0))))</f>
        <v>46291</v>
      </c>
      <c r="N91" s="118" t="str">
        <f aca="false">IF(IFERROR(MATCH(78,$AB$40:$AB$133,0),0)=0,"",INDEX($AE$40:$AE$133,IFERROR(MATCH(78,$AB$40:$AB$133,0),0))&amp;"")</f>
        <v>Sem diferença</v>
      </c>
      <c r="O91" s="119" t="str">
        <f aca="false">IF(IFERROR(MATCH(78,$AB$40:$AB$133,0),0)=0,"",INDEX($BD$40:$BD$133,IFERROR(MATCH(78,$AB$40:$AB$133,0),0))&amp;"")</f>
        <v>Nenhum ajuste necessário</v>
      </c>
      <c r="T91" s="82" t="s">
        <v>341</v>
      </c>
      <c r="U91" s="82" t="s">
        <v>65</v>
      </c>
      <c r="V91" s="82" t="n">
        <f aca="false">SUMIFS('3 Base Entrada 2008'!$G$2:$G$5000,'3 Base Entrada 2008'!$F$2:$F$5000,"&gt;="&amp;$F$5,'3 Base Entrada 2008'!$F$2:$F$5000,"&lt;="&amp;$H$5,'3 Base Entrada 2008'!$B$2:$B$5000,$T91,'3 Base Entrada 2008'!$C$2:$C$5000,$AG91,'3 Base Entrada 2008'!$K$2:$K$5000,"Recebido no 2008")</f>
        <v>0</v>
      </c>
      <c r="W91" s="82" t="n">
        <f aca="false">SUMIFS('3 Base Entrada 2008'!$L$2:$L$5000,'3 Base Entrada 2008'!$F$2:$F$5000,"&gt;="&amp;$F$5,'3 Base Entrada 2008'!$F$2:$F$5000,"&lt;="&amp;$H$5,'3 Base Entrada 2008'!$B$2:$B$5000,$T91,'3 Base Entrada 2008'!$C$2:$C$5000,$AG91)</f>
        <v>81.6</v>
      </c>
      <c r="X91" s="82" t="n">
        <f aca="false">SUMIFS('3 Base Saídas'!$R$2:$R$5000,'3 Base Saídas'!$G$2:$G$5000,"&gt;="&amp;$F$5,'3 Base Saídas'!$G$2:$G$5000,"&lt;="&amp;$H$5,'3 Base Saídas'!$B$2:$B$5000,$T91,'3 Base Saídas'!$C$2:$C$5000,$AG91)</f>
        <v>0</v>
      </c>
      <c r="Y91" s="82" t="n">
        <f aca="false">SUMIFS('3 Base Estoque Físico'!$J$2:$J$5000,'3 Base Estoque Físico'!$A$2:$A$5000,$T91,'3 Base Estoque Físico'!$B$2:$B$5000,$AG91)</f>
        <v>81.6</v>
      </c>
      <c r="Z91" s="82" t="n">
        <f aca="false">ROUND(Y91-(BH91+W91-X91),3)</f>
        <v>0</v>
      </c>
      <c r="AA91" s="82" t="n">
        <f aca="false">IF(AND(U91=$R$3,OR($R$1="*",T91=$R$1),OR($R$2="*",AG91=$R$2),OR($R$6="*",AC91=$R$6),ABS(V91)+ABS(W91)+ABS(X91)+ABS(Y91)&gt;0),1,0)</f>
        <v>1</v>
      </c>
      <c r="AB91" s="82" t="n">
        <f aca="false">IF(AA91=1,SUM(AA$40:AA91),"")</f>
        <v>44</v>
      </c>
      <c r="AC91" s="0" t="str">
        <f aca="false">IF(ABS(Z91)&lt;=$R$5,"Confere",IF(Z91&gt;0,"Sobrando","Faltando"))</f>
        <v>Confere</v>
      </c>
      <c r="AD91" s="82" t="n">
        <f aca="false">IF(OR($R$4="*",$R$4="Saída"),COUNTIFS('3 Base Saídas'!$G$2:$G$5000,"&gt;="&amp;$F$5,'3 Base Saídas'!$G$2:$G$5000,"&lt;="&amp;$H$5,'3 Base Saídas'!$B$2:$B$5000,$T91,'3 Base Saídas'!$C$2:$C$5000,$AG91),0)+IF($R$4&lt;&gt;"Saída",COUNTIFS('3 Base Entrada 2008'!$F$2:$F$5000,"&gt;="&amp;$F$5,'3 Base Entrada 2008'!$F$2:$F$5000,"&lt;="&amp;$H$5,'3 Base Entrada 2008'!$B$2:$B$5000,$T91,'3 Base Entrada 2008'!$C$2:$C$5000,$AG91,'3 Base Entrada 2008'!$K$2:$K$5000,$R$4),0)</f>
        <v>1</v>
      </c>
      <c r="AE91" s="0" t="str">
        <f aca="false">'5 Conciliação'!K65</f>
        <v>Sem diferença</v>
      </c>
      <c r="AF91" s="82" t="n">
        <f aca="false">IF(AND(AA91=1,AC91&lt;&gt;"Confere"),ABS(Z91)+ROW()/10000000,0)</f>
        <v>0</v>
      </c>
      <c r="AG91" s="82" t="s">
        <v>342</v>
      </c>
      <c r="AV91" s="0" t="str">
        <f aca="false">IFERROR(INDEX($AX$1:$AX$94,MATCH(90,$AY$1:$AY$94,0)),"")</f>
        <v>261131599</v>
      </c>
      <c r="AW91" s="82" t="s">
        <v>389</v>
      </c>
      <c r="AX91" s="82" t="s">
        <v>393</v>
      </c>
      <c r="AY91" s="82" t="n">
        <f aca="false">IF(OR($A$5="Todos",AW91=$A$5),MAX(AY$1:AY90)+1,0)</f>
        <v>91</v>
      </c>
      <c r="BB91" s="82" t="n">
        <f aca="false">MIN(IF(_xlfn.MINIFS('3 Base Entrada 2008'!$F$2:$F$5000,'3 Base Entrada 2008'!$F$2:$F$5000,"&gt;="&amp;$F$5,'3 Base Entrada 2008'!$F$2:$F$5000,"&lt;="&amp;$H$5,'3 Base Entrada 2008'!$B$2:$B$5000,$T91,'3 Base Entrada 2008'!$C$2:$C$5000,$AG91)=0,99999,_xlfn.MINIFS('3 Base Entrada 2008'!$F$2:$F$5000,'3 Base Entrada 2008'!$F$2:$F$5000,"&gt;="&amp;$F$5,'3 Base Entrada 2008'!$F$2:$F$5000,"&lt;="&amp;$H$5,'3 Base Entrada 2008'!$B$2:$B$5000,$T91,'3 Base Entrada 2008'!$C$2:$C$5000,$AG91)),IF(_xlfn.MINIFS('3 Base Saídas'!$G$2:$G$5000,'3 Base Saídas'!$G$2:$G$5000,"&gt;="&amp;$F$5,'3 Base Saídas'!$G$2:$G$5000,"&lt;="&amp;$H$5,'3 Base Saídas'!$B$2:$B$5000,$T91,'3 Base Saídas'!$C$2:$C$5000,$AG91)=0,99999,_xlfn.MINIFS('3 Base Saídas'!$G$2:$G$5000,'3 Base Saídas'!$G$2:$G$5000,"&gt;="&amp;$F$5,'3 Base Saídas'!$G$2:$G$5000,"&lt;="&amp;$H$5,'3 Base Saídas'!$B$2:$B$5000,$T91,'3 Base Saídas'!$C$2:$C$5000,$AG91)))</f>
        <v>46291</v>
      </c>
      <c r="BC91" s="82" t="n">
        <f aca="false">MAX(_xlfn.MAXIFS('3 Base Entrada 2008'!$F$2:$F$5000,'3 Base Entrada 2008'!$F$2:$F$5000,"&gt;="&amp;$F$5,'3 Base Entrada 2008'!$F$2:$F$5000,"&lt;="&amp;$H$5,'3 Base Entrada 2008'!$B$2:$B$5000,$T91,'3 Base Entrada 2008'!$C$2:$C$5000,$AG91),_xlfn.MAXIFS('3 Base Saídas'!$G$2:$G$5000,'3 Base Saídas'!$G$2:$G$5000,"&gt;="&amp;$F$5,'3 Base Saídas'!$G$2:$G$5000,"&lt;="&amp;$H$5,'3 Base Saídas'!$B$2:$B$5000,$T91,'3 Base Saídas'!$C$2:$C$5000,$AG91))</f>
        <v>46291</v>
      </c>
      <c r="BD91" s="0" t="str">
        <f aca="false">'5 Conciliação'!L65</f>
        <v>Nenhum ajuste necessário</v>
      </c>
      <c r="BE91" s="0" t="str">
        <f aca="false">'5 Conciliação'!Q65</f>
        <v>—</v>
      </c>
      <c r="BF91" s="0" t="str">
        <f aca="false">'5 Conciliação'!R65</f>
        <v>—</v>
      </c>
      <c r="BH91" s="82" t="n">
        <f aca="false">SUMIFS('3 Base Saldo Inicial 08-09'!$E$2:$E$5000,'3 Base Saldo Inicial 08-09'!$A$2:$A$5000,$T91,'3 Base Saldo Inicial 08-09'!$B$2:$B$5000,$AG91)-SUMIFS('3 Base Saldo Inicial 08-09'!$E$2:$E$5000,'3 Base Saldo Inicial 08-09'!$A$2:$A$5000,$T91,'3 Base Saldo Inicial 08-09'!$B$2:$B$5000,$AG91,'3 Base Saldo Inicial 08-09'!$C$2:$C$5000,"2008")</f>
        <v>0</v>
      </c>
    </row>
    <row r="92" customFormat="false" ht="15" hidden="false" customHeight="false" outlineLevel="0" collapsed="false">
      <c r="A92" s="111" t="str">
        <f aca="false">IF(IFERROR(MATCH(79,$AB$40:$AB$133,0),0)=0,"",INDEX($T$40:$T$133,IFERROR(MATCH(79,$AB$40:$AB$133,0),0)))</f>
        <v>W2-BR-D94</v>
      </c>
      <c r="B92" s="111" t="str">
        <f aca="false">IF(IFERROR(MATCH(79,$AB$40:$AB$133,0),0)=0,"",INDEX($AG$40:$AG$133,IFERROR(MATCH(79,$AB$40:$AB$133,0),0)))</f>
        <v>261131599</v>
      </c>
      <c r="C92" s="112" t="str">
        <f aca="false">IF(IFERROR(MATCH(79,$AB$40:$AB$133,0),0)=0,"",INDEX($U$40:$U$133,IFERROR(MATCH(79,$AB$40:$AB$133,0),0)))</f>
        <v>KG</v>
      </c>
      <c r="D92" s="113" t="n">
        <f aca="false">IF(IFERROR(MATCH(79,$AB$40:$AB$133,0),0)=0,"",INDEX($BH$40:$BH$133,IFERROR(MATCH(79,$AB$40:$AB$133,0),0)))</f>
        <v>0</v>
      </c>
      <c r="E92" s="113" t="n">
        <f aca="false">IF(IFERROR(MATCH(79,$AB$40:$AB$133,0),0)=0,"",INDEX($W$40:$W$133,IFERROR(MATCH(79,$AB$40:$AB$133,0),0)))</f>
        <v>0</v>
      </c>
      <c r="F92" s="113" t="n">
        <f aca="false">IF(IFERROR(MATCH(79,$AB$40:$AB$133,0),0)=0,"",INDEX($X$40:$X$133,IFERROR(MATCH(79,$AB$40:$AB$133,0),0)))</f>
        <v>0</v>
      </c>
      <c r="G92" s="113" t="n">
        <f aca="false">IF(A92="","",D92+E92-F92)</f>
        <v>0</v>
      </c>
      <c r="H92" s="113" t="n">
        <f aca="false">IF(IFERROR(MATCH(79,$AB$40:$AB$133,0),0)=0,"",INDEX($Y$40:$Y$133,IFERROR(MATCH(79,$AB$40:$AB$133,0),0)))</f>
        <v>0</v>
      </c>
      <c r="I92" s="114" t="n">
        <f aca="false">IF(IFERROR(MATCH(79,$AB$40:$AB$133,0),0)=0,"",INDEX($Z$40:$Z$133,IFERROR(MATCH(79,$AB$40:$AB$133,0),0)))</f>
        <v>0</v>
      </c>
      <c r="J92" s="115" t="str">
        <f aca="false">IF(IFERROR(MATCH(79,$AB$40:$AB$133,0),0)=0,"",INDEX($AC$40:$AC$133,IFERROR(MATCH(79,$AB$40:$AB$133,0),0)))</f>
        <v>Confere</v>
      </c>
      <c r="K92" s="116" t="n">
        <f aca="false">IF(IFERROR(MATCH(79,$AB$40:$AB$133,0),0)=0,"",INDEX($AD$40:$AD$133,IFERROR(MATCH(79,$AB$40:$AB$133,0),0)))</f>
        <v>1</v>
      </c>
      <c r="L92" s="117" t="n">
        <f aca="false">IF(IFERROR(MATCH(79,$AB$40:$AB$133,0),0)=0,"",IF(INDEX($BB$40:$BB$133,IFERROR(MATCH(79,$AB$40:$AB$133,0),0))&gt;=99999,"",INDEX($BB$40:$BB$133,IFERROR(MATCH(79,$AB$40:$AB$133,0),0))))</f>
        <v>46275</v>
      </c>
      <c r="M92" s="117" t="n">
        <f aca="false">IF(IFERROR(MATCH(79,$AB$40:$AB$133,0),0)=0,"",IF(INDEX($BC$40:$BC$133,IFERROR(MATCH(79,$AB$40:$AB$133,0),0))=0,"",INDEX($BC$40:$BC$133,IFERROR(MATCH(79,$AB$40:$AB$133,0),0))))</f>
        <v>46275</v>
      </c>
      <c r="N92" s="118" t="str">
        <f aca="false">IF(IFERROR(MATCH(79,$AB$40:$AB$133,0),0)=0,"",INDEX($AE$40:$AE$133,IFERROR(MATCH(79,$AB$40:$AB$133,0),0))&amp;"")</f>
        <v>Sem diferença</v>
      </c>
      <c r="O92" s="119" t="str">
        <f aca="false">IF(IFERROR(MATCH(79,$AB$40:$AB$133,0),0)=0,"",INDEX($BD$40:$BD$133,IFERROR(MATCH(79,$AB$40:$AB$133,0),0))&amp;"")</f>
        <v>Nenhum ajuste necessário</v>
      </c>
      <c r="T92" s="82" t="s">
        <v>343</v>
      </c>
      <c r="U92" s="82" t="s">
        <v>65</v>
      </c>
      <c r="V92" s="82" t="n">
        <f aca="false">SUMIFS('3 Base Entrada 2008'!$G$2:$G$5000,'3 Base Entrada 2008'!$F$2:$F$5000,"&gt;="&amp;$F$5,'3 Base Entrada 2008'!$F$2:$F$5000,"&lt;="&amp;$H$5,'3 Base Entrada 2008'!$B$2:$B$5000,$T92,'3 Base Entrada 2008'!$C$2:$C$5000,$AG92,'3 Base Entrada 2008'!$K$2:$K$5000,"Recebido no 2008")</f>
        <v>1296</v>
      </c>
      <c r="W92" s="82" t="n">
        <f aca="false">SUMIFS('3 Base Entrada 2008'!$L$2:$L$5000,'3 Base Entrada 2008'!$F$2:$F$5000,"&gt;="&amp;$F$5,'3 Base Entrada 2008'!$F$2:$F$5000,"&lt;="&amp;$H$5,'3 Base Entrada 2008'!$B$2:$B$5000,$T92,'3 Base Entrada 2008'!$C$2:$C$5000,$AG92)</f>
        <v>0</v>
      </c>
      <c r="X92" s="82" t="n">
        <f aca="false">SUMIFS('3 Base Saídas'!$R$2:$R$5000,'3 Base Saídas'!$G$2:$G$5000,"&gt;="&amp;$F$5,'3 Base Saídas'!$G$2:$G$5000,"&lt;="&amp;$H$5,'3 Base Saídas'!$B$2:$B$5000,$T92,'3 Base Saídas'!$C$2:$C$5000,$AG92)</f>
        <v>0</v>
      </c>
      <c r="Y92" s="82" t="n">
        <f aca="false">SUMIFS('3 Base Estoque Físico'!$J$2:$J$5000,'3 Base Estoque Físico'!$A$2:$A$5000,$T92,'3 Base Estoque Físico'!$B$2:$B$5000,$AG92)</f>
        <v>0</v>
      </c>
      <c r="Z92" s="82" t="n">
        <f aca="false">ROUND(Y92-(BH92+W92-X92),3)</f>
        <v>0</v>
      </c>
      <c r="AA92" s="82" t="n">
        <f aca="false">IF(AND(U92=$R$3,OR($R$1="*",T92=$R$1),OR($R$2="*",AG92=$R$2),OR($R$6="*",AC92=$R$6),ABS(V92)+ABS(W92)+ABS(X92)+ABS(Y92)&gt;0),1,0)</f>
        <v>1</v>
      </c>
      <c r="AB92" s="82" t="n">
        <f aca="false">IF(AA92=1,SUM(AA$40:AA92),"")</f>
        <v>45</v>
      </c>
      <c r="AC92" s="0" t="str">
        <f aca="false">IF(ABS(Z92)&lt;=$R$5,"Confere",IF(Z92&gt;0,"Sobrando","Faltando"))</f>
        <v>Confere</v>
      </c>
      <c r="AD92" s="82" t="n">
        <f aca="false">IF(OR($R$4="*",$R$4="Saída"),COUNTIFS('3 Base Saídas'!$G$2:$G$5000,"&gt;="&amp;$F$5,'3 Base Saídas'!$G$2:$G$5000,"&lt;="&amp;$H$5,'3 Base Saídas'!$B$2:$B$5000,$T92,'3 Base Saídas'!$C$2:$C$5000,$AG92),0)+IF($R$4&lt;&gt;"Saída",COUNTIFS('3 Base Entrada 2008'!$F$2:$F$5000,"&gt;="&amp;$F$5,'3 Base Entrada 2008'!$F$2:$F$5000,"&lt;="&amp;$H$5,'3 Base Entrada 2008'!$B$2:$B$5000,$T92,'3 Base Entrada 2008'!$C$2:$C$5000,$AG92,'3 Base Entrada 2008'!$K$2:$K$5000,$R$4),0)</f>
        <v>1</v>
      </c>
      <c r="AE92" s="0" t="str">
        <f aca="false">'5 Conciliação'!K66</f>
        <v>Sem diferença</v>
      </c>
      <c r="AF92" s="82" t="n">
        <f aca="false">IF(AND(AA92=1,AC92&lt;&gt;"Confere"),ABS(Z92)+ROW()/10000000,0)</f>
        <v>0</v>
      </c>
      <c r="AG92" s="82" t="s">
        <v>344</v>
      </c>
      <c r="AV92" s="0" t="str">
        <f aca="false">IFERROR(INDEX($AX$1:$AX$94,MATCH(91,$AY$1:$AY$94,0)),"")</f>
        <v>261181599</v>
      </c>
      <c r="AW92" s="82" t="s">
        <v>389</v>
      </c>
      <c r="AX92" s="82" t="s">
        <v>392</v>
      </c>
      <c r="AY92" s="82" t="n">
        <f aca="false">IF(OR($A$5="Todos",AW92=$A$5),MAX(AY$1:AY91)+1,0)</f>
        <v>92</v>
      </c>
      <c r="BB92" s="82" t="n">
        <f aca="false">MIN(IF(_xlfn.MINIFS('3 Base Entrada 2008'!$F$2:$F$5000,'3 Base Entrada 2008'!$F$2:$F$5000,"&gt;="&amp;$F$5,'3 Base Entrada 2008'!$F$2:$F$5000,"&lt;="&amp;$H$5,'3 Base Entrada 2008'!$B$2:$B$5000,$T92,'3 Base Entrada 2008'!$C$2:$C$5000,$AG92)=0,99999,_xlfn.MINIFS('3 Base Entrada 2008'!$F$2:$F$5000,'3 Base Entrada 2008'!$F$2:$F$5000,"&gt;="&amp;$F$5,'3 Base Entrada 2008'!$F$2:$F$5000,"&lt;="&amp;$H$5,'3 Base Entrada 2008'!$B$2:$B$5000,$T92,'3 Base Entrada 2008'!$C$2:$C$5000,$AG92)),IF(_xlfn.MINIFS('3 Base Saídas'!$G$2:$G$5000,'3 Base Saídas'!$G$2:$G$5000,"&gt;="&amp;$F$5,'3 Base Saídas'!$G$2:$G$5000,"&lt;="&amp;$H$5,'3 Base Saídas'!$B$2:$B$5000,$T92,'3 Base Saídas'!$C$2:$C$5000,$AG92)=0,99999,_xlfn.MINIFS('3 Base Saídas'!$G$2:$G$5000,'3 Base Saídas'!$G$2:$G$5000,"&gt;="&amp;$F$5,'3 Base Saídas'!$G$2:$G$5000,"&lt;="&amp;$H$5,'3 Base Saídas'!$B$2:$B$5000,$T92,'3 Base Saídas'!$C$2:$C$5000,$AG92)))</f>
        <v>46275</v>
      </c>
      <c r="BC92" s="82" t="n">
        <f aca="false">MAX(_xlfn.MAXIFS('3 Base Entrada 2008'!$F$2:$F$5000,'3 Base Entrada 2008'!$F$2:$F$5000,"&gt;="&amp;$F$5,'3 Base Entrada 2008'!$F$2:$F$5000,"&lt;="&amp;$H$5,'3 Base Entrada 2008'!$B$2:$B$5000,$T92,'3 Base Entrada 2008'!$C$2:$C$5000,$AG92),_xlfn.MAXIFS('3 Base Saídas'!$G$2:$G$5000,'3 Base Saídas'!$G$2:$G$5000,"&gt;="&amp;$F$5,'3 Base Saídas'!$G$2:$G$5000,"&lt;="&amp;$H$5,'3 Base Saídas'!$B$2:$B$5000,$T92,'3 Base Saídas'!$C$2:$C$5000,$AG92))</f>
        <v>46275</v>
      </c>
      <c r="BD92" s="0" t="str">
        <f aca="false">'5 Conciliação'!L66</f>
        <v>Nenhum ajuste necessário</v>
      </c>
      <c r="BE92" s="0" t="str">
        <f aca="false">'5 Conciliação'!Q66</f>
        <v>—</v>
      </c>
      <c r="BF92" s="0" t="str">
        <f aca="false">'5 Conciliação'!R66</f>
        <v>—</v>
      </c>
      <c r="BH92" s="82" t="n">
        <f aca="false">SUMIFS('3 Base Saldo Inicial 08-09'!$E$2:$E$5000,'3 Base Saldo Inicial 08-09'!$A$2:$A$5000,$T92,'3 Base Saldo Inicial 08-09'!$B$2:$B$5000,$AG92)-SUMIFS('3 Base Saldo Inicial 08-09'!$E$2:$E$5000,'3 Base Saldo Inicial 08-09'!$A$2:$A$5000,$T92,'3 Base Saldo Inicial 08-09'!$B$2:$B$5000,$AG92,'3 Base Saldo Inicial 08-09'!$C$2:$C$5000,"2008")</f>
        <v>0</v>
      </c>
    </row>
    <row r="93" customFormat="false" ht="15" hidden="false" customHeight="false" outlineLevel="0" collapsed="false">
      <c r="A93" s="111" t="str">
        <f aca="false">IF(IFERROR(MATCH(80,$AB$40:$AB$133,0),0)=0,"",INDEX($T$40:$T$133,IFERROR(MATCH(80,$AB$40:$AB$133,0),0)))</f>
        <v>W2-BR-D94</v>
      </c>
      <c r="B93" s="111" t="str">
        <f aca="false">IF(IFERROR(MATCH(80,$AB$40:$AB$133,0),0)=0,"",INDEX($AG$40:$AG$133,IFERROR(MATCH(80,$AB$40:$AB$133,0),0)))</f>
        <v>261181599</v>
      </c>
      <c r="C93" s="112" t="str">
        <f aca="false">IF(IFERROR(MATCH(80,$AB$40:$AB$133,0),0)=0,"",INDEX($U$40:$U$133,IFERROR(MATCH(80,$AB$40:$AB$133,0),0)))</f>
        <v>KG</v>
      </c>
      <c r="D93" s="113" t="n">
        <f aca="false">IF(IFERROR(MATCH(80,$AB$40:$AB$133,0),0)=0,"",INDEX($BH$40:$BH$133,IFERROR(MATCH(80,$AB$40:$AB$133,0),0)))</f>
        <v>0</v>
      </c>
      <c r="E93" s="113" t="n">
        <f aca="false">IF(IFERROR(MATCH(80,$AB$40:$AB$133,0),0)=0,"",INDEX($W$40:$W$133,IFERROR(MATCH(80,$AB$40:$AB$133,0),0)))</f>
        <v>0</v>
      </c>
      <c r="F93" s="113" t="n">
        <f aca="false">IF(IFERROR(MATCH(80,$AB$40:$AB$133,0),0)=0,"",INDEX($X$40:$X$133,IFERROR(MATCH(80,$AB$40:$AB$133,0),0)))</f>
        <v>0</v>
      </c>
      <c r="G93" s="113" t="n">
        <f aca="false">IF(A93="","",D93+E93-F93)</f>
        <v>0</v>
      </c>
      <c r="H93" s="113" t="n">
        <f aca="false">IF(IFERROR(MATCH(80,$AB$40:$AB$133,0),0)=0,"",INDEX($Y$40:$Y$133,IFERROR(MATCH(80,$AB$40:$AB$133,0),0)))</f>
        <v>0</v>
      </c>
      <c r="I93" s="114" t="n">
        <f aca="false">IF(IFERROR(MATCH(80,$AB$40:$AB$133,0),0)=0,"",INDEX($Z$40:$Z$133,IFERROR(MATCH(80,$AB$40:$AB$133,0),0)))</f>
        <v>0</v>
      </c>
      <c r="J93" s="115" t="str">
        <f aca="false">IF(IFERROR(MATCH(80,$AB$40:$AB$133,0),0)=0,"",INDEX($AC$40:$AC$133,IFERROR(MATCH(80,$AB$40:$AB$133,0),0)))</f>
        <v>Confere</v>
      </c>
      <c r="K93" s="116" t="n">
        <f aca="false">IF(IFERROR(MATCH(80,$AB$40:$AB$133,0),0)=0,"",INDEX($AD$40:$AD$133,IFERROR(MATCH(80,$AB$40:$AB$133,0),0)))</f>
        <v>2</v>
      </c>
      <c r="L93" s="117" t="n">
        <f aca="false">IF(IFERROR(MATCH(80,$AB$40:$AB$133,0),0)=0,"",IF(INDEX($BB$40:$BB$133,IFERROR(MATCH(80,$AB$40:$AB$133,0),0))&gt;=99999,"",INDEX($BB$40:$BB$133,IFERROR(MATCH(80,$AB$40:$AB$133,0),0))))</f>
        <v>46275</v>
      </c>
      <c r="M93" s="117" t="n">
        <f aca="false">IF(IFERROR(MATCH(80,$AB$40:$AB$133,0),0)=0,"",IF(INDEX($BC$40:$BC$133,IFERROR(MATCH(80,$AB$40:$AB$133,0),0))=0,"",INDEX($BC$40:$BC$133,IFERROR(MATCH(80,$AB$40:$AB$133,0),0))))</f>
        <v>46275</v>
      </c>
      <c r="N93" s="118" t="str">
        <f aca="false">IF(IFERROR(MATCH(80,$AB$40:$AB$133,0),0)=0,"",INDEX($AE$40:$AE$133,IFERROR(MATCH(80,$AB$40:$AB$133,0),0))&amp;"")</f>
        <v>Sem diferença</v>
      </c>
      <c r="O93" s="119" t="str">
        <f aca="false">IF(IFERROR(MATCH(80,$AB$40:$AB$133,0),0)=0,"",INDEX($BD$40:$BD$133,IFERROR(MATCH(80,$AB$40:$AB$133,0),0))&amp;"")</f>
        <v>Nenhum ajuste necessário</v>
      </c>
      <c r="T93" s="82" t="s">
        <v>346</v>
      </c>
      <c r="U93" s="82" t="s">
        <v>65</v>
      </c>
      <c r="V93" s="82" t="n">
        <f aca="false">SUMIFS('3 Base Entrada 2008'!$G$2:$G$5000,'3 Base Entrada 2008'!$F$2:$F$5000,"&gt;="&amp;$F$5,'3 Base Entrada 2008'!$F$2:$F$5000,"&lt;="&amp;$H$5,'3 Base Entrada 2008'!$B$2:$B$5000,$T93,'3 Base Entrada 2008'!$C$2:$C$5000,$AG93,'3 Base Entrada 2008'!$K$2:$K$5000,"Recebido no 2008")</f>
        <v>1280</v>
      </c>
      <c r="W93" s="82" t="n">
        <f aca="false">SUMIFS('3 Base Entrada 2008'!$L$2:$L$5000,'3 Base Entrada 2008'!$F$2:$F$5000,"&gt;="&amp;$F$5,'3 Base Entrada 2008'!$F$2:$F$5000,"&lt;="&amp;$H$5,'3 Base Entrada 2008'!$B$2:$B$5000,$T93,'3 Base Entrada 2008'!$C$2:$C$5000,$AG93)</f>
        <v>0</v>
      </c>
      <c r="X93" s="82" t="n">
        <f aca="false">SUMIFS('3 Base Saídas'!$R$2:$R$5000,'3 Base Saídas'!$G$2:$G$5000,"&gt;="&amp;$F$5,'3 Base Saídas'!$G$2:$G$5000,"&lt;="&amp;$H$5,'3 Base Saídas'!$B$2:$B$5000,$T93,'3 Base Saídas'!$C$2:$C$5000,$AG93)</f>
        <v>0</v>
      </c>
      <c r="Y93" s="82" t="n">
        <f aca="false">SUMIFS('3 Base Estoque Físico'!$J$2:$J$5000,'3 Base Estoque Físico'!$A$2:$A$5000,$T93,'3 Base Estoque Físico'!$B$2:$B$5000,$AG93)</f>
        <v>0</v>
      </c>
      <c r="Z93" s="82" t="n">
        <f aca="false">ROUND(Y93-(BH93+W93-X93),3)</f>
        <v>0</v>
      </c>
      <c r="AA93" s="82" t="n">
        <f aca="false">IF(AND(U93=$R$3,OR($R$1="*",T93=$R$1),OR($R$2="*",AG93=$R$2),OR($R$6="*",AC93=$R$6),ABS(V93)+ABS(W93)+ABS(X93)+ABS(Y93)&gt;0),1,0)</f>
        <v>1</v>
      </c>
      <c r="AB93" s="82" t="n">
        <f aca="false">IF(AA93=1,SUM(AA$40:AA93),"")</f>
        <v>46</v>
      </c>
      <c r="AC93" s="0" t="str">
        <f aca="false">IF(ABS(Z93)&lt;=$R$5,"Confere",IF(Z93&gt;0,"Sobrando","Faltando"))</f>
        <v>Confere</v>
      </c>
      <c r="AD93" s="82" t="n">
        <f aca="false">IF(OR($R$4="*",$R$4="Saída"),COUNTIFS('3 Base Saídas'!$G$2:$G$5000,"&gt;="&amp;$F$5,'3 Base Saídas'!$G$2:$G$5000,"&lt;="&amp;$H$5,'3 Base Saídas'!$B$2:$B$5000,$T93,'3 Base Saídas'!$C$2:$C$5000,$AG93),0)+IF($R$4&lt;&gt;"Saída",COUNTIFS('3 Base Entrada 2008'!$F$2:$F$5000,"&gt;="&amp;$F$5,'3 Base Entrada 2008'!$F$2:$F$5000,"&lt;="&amp;$H$5,'3 Base Entrada 2008'!$B$2:$B$5000,$T93,'3 Base Entrada 2008'!$C$2:$C$5000,$AG93,'3 Base Entrada 2008'!$K$2:$K$5000,$R$4),0)</f>
        <v>1</v>
      </c>
      <c r="AE93" s="0" t="str">
        <f aca="false">'5 Conciliação'!K67</f>
        <v>Sem diferença</v>
      </c>
      <c r="AF93" s="82" t="n">
        <f aca="false">IF(AND(AA93=1,AC93&lt;&gt;"Confere"),ABS(Z93)+ROW()/10000000,0)</f>
        <v>0</v>
      </c>
      <c r="AG93" s="82" t="s">
        <v>347</v>
      </c>
      <c r="AV93" s="0" t="str">
        <f aca="false">IFERROR(INDEX($AX$1:$AX$94,MATCH(92,$AY$1:$AY$94,0)),"")</f>
        <v>261391599</v>
      </c>
      <c r="AW93" s="82" t="s">
        <v>309</v>
      </c>
      <c r="AX93" s="82" t="s">
        <v>395</v>
      </c>
      <c r="AY93" s="82" t="n">
        <f aca="false">IF(OR($A$5="Todos",AW93=$A$5),MAX(AY$1:AY92)+1,0)</f>
        <v>93</v>
      </c>
      <c r="BB93" s="82" t="n">
        <f aca="false">MIN(IF(_xlfn.MINIFS('3 Base Entrada 2008'!$F$2:$F$5000,'3 Base Entrada 2008'!$F$2:$F$5000,"&gt;="&amp;$F$5,'3 Base Entrada 2008'!$F$2:$F$5000,"&lt;="&amp;$H$5,'3 Base Entrada 2008'!$B$2:$B$5000,$T93,'3 Base Entrada 2008'!$C$2:$C$5000,$AG93)=0,99999,_xlfn.MINIFS('3 Base Entrada 2008'!$F$2:$F$5000,'3 Base Entrada 2008'!$F$2:$F$5000,"&gt;="&amp;$F$5,'3 Base Entrada 2008'!$F$2:$F$5000,"&lt;="&amp;$H$5,'3 Base Entrada 2008'!$B$2:$B$5000,$T93,'3 Base Entrada 2008'!$C$2:$C$5000,$AG93)),IF(_xlfn.MINIFS('3 Base Saídas'!$G$2:$G$5000,'3 Base Saídas'!$G$2:$G$5000,"&gt;="&amp;$F$5,'3 Base Saídas'!$G$2:$G$5000,"&lt;="&amp;$H$5,'3 Base Saídas'!$B$2:$B$5000,$T93,'3 Base Saídas'!$C$2:$C$5000,$AG93)=0,99999,_xlfn.MINIFS('3 Base Saídas'!$G$2:$G$5000,'3 Base Saídas'!$G$2:$G$5000,"&gt;="&amp;$F$5,'3 Base Saídas'!$G$2:$G$5000,"&lt;="&amp;$H$5,'3 Base Saídas'!$B$2:$B$5000,$T93,'3 Base Saídas'!$C$2:$C$5000,$AG93)))</f>
        <v>46280</v>
      </c>
      <c r="BC93" s="82" t="n">
        <f aca="false">MAX(_xlfn.MAXIFS('3 Base Entrada 2008'!$F$2:$F$5000,'3 Base Entrada 2008'!$F$2:$F$5000,"&gt;="&amp;$F$5,'3 Base Entrada 2008'!$F$2:$F$5000,"&lt;="&amp;$H$5,'3 Base Entrada 2008'!$B$2:$B$5000,$T93,'3 Base Entrada 2008'!$C$2:$C$5000,$AG93),_xlfn.MAXIFS('3 Base Saídas'!$G$2:$G$5000,'3 Base Saídas'!$G$2:$G$5000,"&gt;="&amp;$F$5,'3 Base Saídas'!$G$2:$G$5000,"&lt;="&amp;$H$5,'3 Base Saídas'!$B$2:$B$5000,$T93,'3 Base Saídas'!$C$2:$C$5000,$AG93))</f>
        <v>46280</v>
      </c>
      <c r="BD93" s="0" t="str">
        <f aca="false">'5 Conciliação'!L67</f>
        <v>Nenhum ajuste necessário</v>
      </c>
      <c r="BE93" s="0" t="str">
        <f aca="false">'5 Conciliação'!Q67</f>
        <v>—</v>
      </c>
      <c r="BF93" s="0" t="str">
        <f aca="false">'5 Conciliação'!R67</f>
        <v>—</v>
      </c>
      <c r="BH93" s="82" t="n">
        <f aca="false">SUMIFS('3 Base Saldo Inicial 08-09'!$E$2:$E$5000,'3 Base Saldo Inicial 08-09'!$A$2:$A$5000,$T93,'3 Base Saldo Inicial 08-09'!$B$2:$B$5000,$AG93)-SUMIFS('3 Base Saldo Inicial 08-09'!$E$2:$E$5000,'3 Base Saldo Inicial 08-09'!$A$2:$A$5000,$T93,'3 Base Saldo Inicial 08-09'!$B$2:$B$5000,$AG93,'3 Base Saldo Inicial 08-09'!$C$2:$C$5000,"2008")</f>
        <v>0</v>
      </c>
    </row>
    <row r="94" customFormat="false" ht="15" hidden="false" customHeight="false" outlineLevel="0" collapsed="false">
      <c r="A94" s="111" t="str">
        <f aca="false">IF(IFERROR(MATCH(81,$AB$40:$AB$133,0),0)=0,"",INDEX($T$40:$T$133,IFERROR(MATCH(81,$AB$40:$AB$133,0),0)))</f>
        <v>W2-BR-D94</v>
      </c>
      <c r="B94" s="111" t="str">
        <f aca="false">IF(IFERROR(MATCH(81,$AB$40:$AB$133,0),0)=0,"",INDEX($AG$40:$AG$133,IFERROR(MATCH(81,$AB$40:$AB$133,0),0)))</f>
        <v>261391599</v>
      </c>
      <c r="C94" s="112" t="str">
        <f aca="false">IF(IFERROR(MATCH(81,$AB$40:$AB$133,0),0)=0,"",INDEX($U$40:$U$133,IFERROR(MATCH(81,$AB$40:$AB$133,0),0)))</f>
        <v>KG</v>
      </c>
      <c r="D94" s="113" t="n">
        <f aca="false">IF(IFERROR(MATCH(81,$AB$40:$AB$133,0),0)=0,"",INDEX($BH$40:$BH$133,IFERROR(MATCH(81,$AB$40:$AB$133,0),0)))</f>
        <v>0</v>
      </c>
      <c r="E94" s="113" t="n">
        <f aca="false">IF(IFERROR(MATCH(81,$AB$40:$AB$133,0),0)=0,"",INDEX($W$40:$W$133,IFERROR(MATCH(81,$AB$40:$AB$133,0),0)))</f>
        <v>0</v>
      </c>
      <c r="F94" s="113" t="n">
        <f aca="false">IF(IFERROR(MATCH(81,$AB$40:$AB$133,0),0)=0,"",INDEX($X$40:$X$133,IFERROR(MATCH(81,$AB$40:$AB$133,0),0)))</f>
        <v>0</v>
      </c>
      <c r="G94" s="113" t="n">
        <f aca="false">IF(A94="","",D94+E94-F94)</f>
        <v>0</v>
      </c>
      <c r="H94" s="113" t="n">
        <f aca="false">IF(IFERROR(MATCH(81,$AB$40:$AB$133,0),0)=0,"",INDEX($Y$40:$Y$133,IFERROR(MATCH(81,$AB$40:$AB$133,0),0)))</f>
        <v>0</v>
      </c>
      <c r="I94" s="114" t="n">
        <f aca="false">IF(IFERROR(MATCH(81,$AB$40:$AB$133,0),0)=0,"",INDEX($Z$40:$Z$133,IFERROR(MATCH(81,$AB$40:$AB$133,0),0)))</f>
        <v>0</v>
      </c>
      <c r="J94" s="115" t="str">
        <f aca="false">IF(IFERROR(MATCH(81,$AB$40:$AB$133,0),0)=0,"",INDEX($AC$40:$AC$133,IFERROR(MATCH(81,$AB$40:$AB$133,0),0)))</f>
        <v>Confere</v>
      </c>
      <c r="K94" s="116" t="n">
        <f aca="false">IF(IFERROR(MATCH(81,$AB$40:$AB$133,0),0)=0,"",INDEX($AD$40:$AD$133,IFERROR(MATCH(81,$AB$40:$AB$133,0),0)))</f>
        <v>2</v>
      </c>
      <c r="L94" s="117" t="n">
        <f aca="false">IF(IFERROR(MATCH(81,$AB$40:$AB$133,0),0)=0,"",IF(INDEX($BB$40:$BB$133,IFERROR(MATCH(81,$AB$40:$AB$133,0),0))&gt;=99999,"",INDEX($BB$40:$BB$133,IFERROR(MATCH(81,$AB$40:$AB$133,0),0))))</f>
        <v>46275</v>
      </c>
      <c r="M94" s="117" t="n">
        <f aca="false">IF(IFERROR(MATCH(81,$AB$40:$AB$133,0),0)=0,"",IF(INDEX($BC$40:$BC$133,IFERROR(MATCH(81,$AB$40:$AB$133,0),0))=0,"",INDEX($BC$40:$BC$133,IFERROR(MATCH(81,$AB$40:$AB$133,0),0))))</f>
        <v>46275</v>
      </c>
      <c r="N94" s="118" t="str">
        <f aca="false">IF(IFERROR(MATCH(81,$AB$40:$AB$133,0),0)=0,"",INDEX($AE$40:$AE$133,IFERROR(MATCH(81,$AB$40:$AB$133,0),0))&amp;"")</f>
        <v>Sem diferença</v>
      </c>
      <c r="O94" s="119" t="str">
        <f aca="false">IF(IFERROR(MATCH(81,$AB$40:$AB$133,0),0)=0,"",INDEX($BD$40:$BD$133,IFERROR(MATCH(81,$AB$40:$AB$133,0),0))&amp;"")</f>
        <v>Nenhum ajuste necessário</v>
      </c>
      <c r="T94" s="82" t="s">
        <v>247</v>
      </c>
      <c r="U94" s="82" t="s">
        <v>65</v>
      </c>
      <c r="V94" s="82" t="n">
        <f aca="false">SUMIFS('3 Base Entrada 2008'!$G$2:$G$5000,'3 Base Entrada 2008'!$F$2:$F$5000,"&gt;="&amp;$F$5,'3 Base Entrada 2008'!$F$2:$F$5000,"&lt;="&amp;$H$5,'3 Base Entrada 2008'!$B$2:$B$5000,$T94,'3 Base Entrada 2008'!$C$2:$C$5000,$AG94,'3 Base Entrada 2008'!$K$2:$K$5000,"Recebido no 2008")</f>
        <v>160.8</v>
      </c>
      <c r="W94" s="82" t="n">
        <f aca="false">SUMIFS('3 Base Entrada 2008'!$L$2:$L$5000,'3 Base Entrada 2008'!$F$2:$F$5000,"&gt;="&amp;$F$5,'3 Base Entrada 2008'!$F$2:$F$5000,"&lt;="&amp;$H$5,'3 Base Entrada 2008'!$B$2:$B$5000,$T94,'3 Base Entrada 2008'!$C$2:$C$5000,$AG94)</f>
        <v>0</v>
      </c>
      <c r="X94" s="82" t="n">
        <f aca="false">SUMIFS('3 Base Saídas'!$R$2:$R$5000,'3 Base Saídas'!$G$2:$G$5000,"&gt;="&amp;$F$5,'3 Base Saídas'!$G$2:$G$5000,"&lt;="&amp;$H$5,'3 Base Saídas'!$B$2:$B$5000,$T94,'3 Base Saídas'!$C$2:$C$5000,$AG94)</f>
        <v>0</v>
      </c>
      <c r="Y94" s="82" t="n">
        <f aca="false">SUMIFS('3 Base Estoque Físico'!$J$2:$J$5000,'3 Base Estoque Físico'!$A$2:$A$5000,$T94,'3 Base Estoque Físico'!$B$2:$B$5000,$AG94)</f>
        <v>0</v>
      </c>
      <c r="Z94" s="82" t="n">
        <f aca="false">ROUND(Y94-(BH94+W94-X94),3)</f>
        <v>0</v>
      </c>
      <c r="AA94" s="82" t="n">
        <f aca="false">IF(AND(U94=$R$3,OR($R$1="*",T94=$R$1),OR($R$2="*",AG94=$R$2),OR($R$6="*",AC94=$R$6),ABS(V94)+ABS(W94)+ABS(X94)+ABS(Y94)&gt;0),1,0)</f>
        <v>1</v>
      </c>
      <c r="AB94" s="82" t="n">
        <f aca="false">IF(AA94=1,SUM(AA$40:AA94),"")</f>
        <v>47</v>
      </c>
      <c r="AC94" s="0" t="str">
        <f aca="false">IF(ABS(Z94)&lt;=$R$5,"Confere",IF(Z94&gt;0,"Sobrando","Faltando"))</f>
        <v>Confere</v>
      </c>
      <c r="AD94" s="82" t="n">
        <f aca="false">IF(OR($R$4="*",$R$4="Saída"),COUNTIFS('3 Base Saídas'!$G$2:$G$5000,"&gt;="&amp;$F$5,'3 Base Saídas'!$G$2:$G$5000,"&lt;="&amp;$H$5,'3 Base Saídas'!$B$2:$B$5000,$T94,'3 Base Saídas'!$C$2:$C$5000,$AG94),0)+IF($R$4&lt;&gt;"Saída",COUNTIFS('3 Base Entrada 2008'!$F$2:$F$5000,"&gt;="&amp;$F$5,'3 Base Entrada 2008'!$F$2:$F$5000,"&lt;="&amp;$H$5,'3 Base Entrada 2008'!$B$2:$B$5000,$T94,'3 Base Entrada 2008'!$C$2:$C$5000,$AG94,'3 Base Entrada 2008'!$K$2:$K$5000,$R$4),0)</f>
        <v>1</v>
      </c>
      <c r="AE94" s="0" t="str">
        <f aca="false">'5 Conciliação'!K68</f>
        <v>Sem diferença</v>
      </c>
      <c r="AF94" s="82" t="n">
        <f aca="false">IF(AND(AA94=1,AC94&lt;&gt;"Confere"),ABS(Z94)+ROW()/10000000,0)</f>
        <v>0</v>
      </c>
      <c r="AG94" s="82" t="s">
        <v>350</v>
      </c>
      <c r="AV94" s="0" t="str">
        <f aca="false">IFERROR(INDEX($AX$1:$AX$94,MATCH(93,$AY$1:$AY$94,0)),"")</f>
        <v>253540301</v>
      </c>
      <c r="AW94" s="82" t="s">
        <v>309</v>
      </c>
      <c r="AX94" s="82" t="s">
        <v>310</v>
      </c>
      <c r="AY94" s="82" t="n">
        <f aca="false">IF(OR($A$5="Todos",AW94=$A$5),MAX(AY$1:AY93)+1,0)</f>
        <v>94</v>
      </c>
      <c r="BB94" s="82" t="n">
        <f aca="false">MIN(IF(_xlfn.MINIFS('3 Base Entrada 2008'!$F$2:$F$5000,'3 Base Entrada 2008'!$F$2:$F$5000,"&gt;="&amp;$F$5,'3 Base Entrada 2008'!$F$2:$F$5000,"&lt;="&amp;$H$5,'3 Base Entrada 2008'!$B$2:$B$5000,$T94,'3 Base Entrada 2008'!$C$2:$C$5000,$AG94)=0,99999,_xlfn.MINIFS('3 Base Entrada 2008'!$F$2:$F$5000,'3 Base Entrada 2008'!$F$2:$F$5000,"&gt;="&amp;$F$5,'3 Base Entrada 2008'!$F$2:$F$5000,"&lt;="&amp;$H$5,'3 Base Entrada 2008'!$B$2:$B$5000,$T94,'3 Base Entrada 2008'!$C$2:$C$5000,$AG94)),IF(_xlfn.MINIFS('3 Base Saídas'!$G$2:$G$5000,'3 Base Saídas'!$G$2:$G$5000,"&gt;="&amp;$F$5,'3 Base Saídas'!$G$2:$G$5000,"&lt;="&amp;$H$5,'3 Base Saídas'!$B$2:$B$5000,$T94,'3 Base Saídas'!$C$2:$C$5000,$AG94)=0,99999,_xlfn.MINIFS('3 Base Saídas'!$G$2:$G$5000,'3 Base Saídas'!$G$2:$G$5000,"&gt;="&amp;$F$5,'3 Base Saídas'!$G$2:$G$5000,"&lt;="&amp;$H$5,'3 Base Saídas'!$B$2:$B$5000,$T94,'3 Base Saídas'!$C$2:$C$5000,$AG94)))</f>
        <v>46275</v>
      </c>
      <c r="BC94" s="82" t="n">
        <f aca="false">MAX(_xlfn.MAXIFS('3 Base Entrada 2008'!$F$2:$F$5000,'3 Base Entrada 2008'!$F$2:$F$5000,"&gt;="&amp;$F$5,'3 Base Entrada 2008'!$F$2:$F$5000,"&lt;="&amp;$H$5,'3 Base Entrada 2008'!$B$2:$B$5000,$T94,'3 Base Entrada 2008'!$C$2:$C$5000,$AG94),_xlfn.MAXIFS('3 Base Saídas'!$G$2:$G$5000,'3 Base Saídas'!$G$2:$G$5000,"&gt;="&amp;$F$5,'3 Base Saídas'!$G$2:$G$5000,"&lt;="&amp;$H$5,'3 Base Saídas'!$B$2:$B$5000,$T94,'3 Base Saídas'!$C$2:$C$5000,$AG94))</f>
        <v>46275</v>
      </c>
      <c r="BD94" s="0" t="str">
        <f aca="false">'5 Conciliação'!L68</f>
        <v>Nenhum ajuste necessário</v>
      </c>
      <c r="BE94" s="0" t="str">
        <f aca="false">'5 Conciliação'!Q68</f>
        <v>—</v>
      </c>
      <c r="BF94" s="0" t="str">
        <f aca="false">'5 Conciliação'!R68</f>
        <v>—</v>
      </c>
      <c r="BH94" s="82" t="n">
        <f aca="false">SUMIFS('3 Base Saldo Inicial 08-09'!$E$2:$E$5000,'3 Base Saldo Inicial 08-09'!$A$2:$A$5000,$T94,'3 Base Saldo Inicial 08-09'!$B$2:$B$5000,$AG94)-SUMIFS('3 Base Saldo Inicial 08-09'!$E$2:$E$5000,'3 Base Saldo Inicial 08-09'!$A$2:$A$5000,$T94,'3 Base Saldo Inicial 08-09'!$B$2:$B$5000,$AG94,'3 Base Saldo Inicial 08-09'!$C$2:$C$5000,"2008")</f>
        <v>0</v>
      </c>
    </row>
    <row r="95" customFormat="false" ht="15" hidden="false" customHeight="false" outlineLevel="0" collapsed="false">
      <c r="A95" s="111" t="str">
        <f aca="false">IF(IFERROR(MATCH(82,$AB$40:$AB$133,0),0)=0,"",INDEX($T$40:$T$133,IFERROR(MATCH(82,$AB$40:$AB$133,0),0)))</f>
        <v/>
      </c>
      <c r="B95" s="111" t="str">
        <f aca="false">IF(IFERROR(MATCH(82,$AB$40:$AB$133,0),0)=0,"",INDEX($AG$40:$AG$133,IFERROR(MATCH(82,$AB$40:$AB$133,0),0)))</f>
        <v/>
      </c>
      <c r="C95" s="112" t="str">
        <f aca="false">IF(IFERROR(MATCH(82,$AB$40:$AB$133,0),0)=0,"",INDEX($U$40:$U$133,IFERROR(MATCH(82,$AB$40:$AB$133,0),0)))</f>
        <v/>
      </c>
      <c r="D95" s="113" t="str">
        <f aca="false">IF(IFERROR(MATCH(82,$AB$40:$AB$133,0),0)=0,"",INDEX($BH$40:$BH$133,IFERROR(MATCH(82,$AB$40:$AB$133,0),0)))</f>
        <v/>
      </c>
      <c r="E95" s="113" t="str">
        <f aca="false">IF(IFERROR(MATCH(82,$AB$40:$AB$133,0),0)=0,"",INDEX($W$40:$W$133,IFERROR(MATCH(82,$AB$40:$AB$133,0),0)))</f>
        <v/>
      </c>
      <c r="F95" s="113" t="str">
        <f aca="false">IF(IFERROR(MATCH(82,$AB$40:$AB$133,0),0)=0,"",INDEX($X$40:$X$133,IFERROR(MATCH(82,$AB$40:$AB$133,0),0)))</f>
        <v/>
      </c>
      <c r="G95" s="113" t="str">
        <f aca="false">IF(A95="","",D95+E95-F95)</f>
        <v/>
      </c>
      <c r="H95" s="113" t="str">
        <f aca="false">IF(IFERROR(MATCH(82,$AB$40:$AB$133,0),0)=0,"",INDEX($Y$40:$Y$133,IFERROR(MATCH(82,$AB$40:$AB$133,0),0)))</f>
        <v/>
      </c>
      <c r="I95" s="114" t="str">
        <f aca="false">IF(IFERROR(MATCH(82,$AB$40:$AB$133,0),0)=0,"",INDEX($Z$40:$Z$133,IFERROR(MATCH(82,$AB$40:$AB$133,0),0)))</f>
        <v/>
      </c>
      <c r="J95" s="115" t="str">
        <f aca="false">IF(IFERROR(MATCH(82,$AB$40:$AB$133,0),0)=0,"",INDEX($AC$40:$AC$133,IFERROR(MATCH(82,$AB$40:$AB$133,0),0)))</f>
        <v/>
      </c>
      <c r="K95" s="116" t="str">
        <f aca="false">IF(IFERROR(MATCH(82,$AB$40:$AB$133,0),0)=0,"",INDEX($AD$40:$AD$133,IFERROR(MATCH(82,$AB$40:$AB$133,0),0)))</f>
        <v/>
      </c>
      <c r="L95" s="117" t="str">
        <f aca="false">IF(IFERROR(MATCH(82,$AB$40:$AB$133,0),0)=0,"",IF(INDEX($BB$40:$BB$133,IFERROR(MATCH(82,$AB$40:$AB$133,0),0))&gt;=99999,"",INDEX($BB$40:$BB$133,IFERROR(MATCH(82,$AB$40:$AB$133,0),0))))</f>
        <v/>
      </c>
      <c r="M95" s="117" t="str">
        <f aca="false">IF(IFERROR(MATCH(82,$AB$40:$AB$133,0),0)=0,"",IF(INDEX($BC$40:$BC$133,IFERROR(MATCH(82,$AB$40:$AB$133,0),0))=0,"",INDEX($BC$40:$BC$133,IFERROR(MATCH(82,$AB$40:$AB$133,0),0))))</f>
        <v/>
      </c>
      <c r="N95" s="118" t="str">
        <f aca="false">IF(IFERROR(MATCH(82,$AB$40:$AB$133,0),0)=0,"",INDEX($AE$40:$AE$133,IFERROR(MATCH(82,$AB$40:$AB$133,0),0))&amp;"")</f>
        <v/>
      </c>
      <c r="O95" s="119" t="str">
        <f aca="false">IF(IFERROR(MATCH(82,$AB$40:$AB$133,0),0)=0,"",INDEX($BD$40:$BD$133,IFERROR(MATCH(82,$AB$40:$AB$133,0),0))&amp;"")</f>
        <v/>
      </c>
      <c r="T95" s="82" t="s">
        <v>351</v>
      </c>
      <c r="U95" s="82" t="s">
        <v>65</v>
      </c>
      <c r="V95" s="82" t="n">
        <f aca="false">SUMIFS('3 Base Entrada 2008'!$G$2:$G$5000,'3 Base Entrada 2008'!$F$2:$F$5000,"&gt;="&amp;$F$5,'3 Base Entrada 2008'!$F$2:$F$5000,"&lt;="&amp;$H$5,'3 Base Entrada 2008'!$B$2:$B$5000,$T95,'3 Base Entrada 2008'!$C$2:$C$5000,$AG95,'3 Base Entrada 2008'!$K$2:$K$5000,"Recebido no 2008")</f>
        <v>640</v>
      </c>
      <c r="W95" s="82" t="n">
        <f aca="false">SUMIFS('3 Base Entrada 2008'!$L$2:$L$5000,'3 Base Entrada 2008'!$F$2:$F$5000,"&gt;="&amp;$F$5,'3 Base Entrada 2008'!$F$2:$F$5000,"&lt;="&amp;$H$5,'3 Base Entrada 2008'!$B$2:$B$5000,$T95,'3 Base Entrada 2008'!$C$2:$C$5000,$AG95)</f>
        <v>0</v>
      </c>
      <c r="X95" s="82" t="n">
        <f aca="false">SUMIFS('3 Base Saídas'!$R$2:$R$5000,'3 Base Saídas'!$G$2:$G$5000,"&gt;="&amp;$F$5,'3 Base Saídas'!$G$2:$G$5000,"&lt;="&amp;$H$5,'3 Base Saídas'!$B$2:$B$5000,$T95,'3 Base Saídas'!$C$2:$C$5000,$AG95)</f>
        <v>0</v>
      </c>
      <c r="Y95" s="82" t="n">
        <f aca="false">SUMIFS('3 Base Estoque Físico'!$J$2:$J$5000,'3 Base Estoque Físico'!$A$2:$A$5000,$T95,'3 Base Estoque Físico'!$B$2:$B$5000,$AG95)</f>
        <v>0</v>
      </c>
      <c r="Z95" s="82" t="n">
        <f aca="false">ROUND(Y95-(BH95+W95-X95),3)</f>
        <v>0</v>
      </c>
      <c r="AA95" s="82" t="n">
        <f aca="false">IF(AND(U95=$R$3,OR($R$1="*",T95=$R$1),OR($R$2="*",AG95=$R$2),OR($R$6="*",AC95=$R$6),ABS(V95)+ABS(W95)+ABS(X95)+ABS(Y95)&gt;0),1,0)</f>
        <v>1</v>
      </c>
      <c r="AB95" s="82" t="n">
        <f aca="false">IF(AA95=1,SUM(AA$40:AA95),"")</f>
        <v>48</v>
      </c>
      <c r="AC95" s="0" t="str">
        <f aca="false">IF(ABS(Z95)&lt;=$R$5,"Confere",IF(Z95&gt;0,"Sobrando","Faltando"))</f>
        <v>Confere</v>
      </c>
      <c r="AD95" s="82" t="n">
        <f aca="false">IF(OR($R$4="*",$R$4="Saída"),COUNTIFS('3 Base Saídas'!$G$2:$G$5000,"&gt;="&amp;$F$5,'3 Base Saídas'!$G$2:$G$5000,"&lt;="&amp;$H$5,'3 Base Saídas'!$B$2:$B$5000,$T95,'3 Base Saídas'!$C$2:$C$5000,$AG95),0)+IF($R$4&lt;&gt;"Saída",COUNTIFS('3 Base Entrada 2008'!$F$2:$F$5000,"&gt;="&amp;$F$5,'3 Base Entrada 2008'!$F$2:$F$5000,"&lt;="&amp;$H$5,'3 Base Entrada 2008'!$B$2:$B$5000,$T95,'3 Base Entrada 2008'!$C$2:$C$5000,$AG95,'3 Base Entrada 2008'!$K$2:$K$5000,$R$4),0)</f>
        <v>1</v>
      </c>
      <c r="AE95" s="0" t="str">
        <f aca="false">'5 Conciliação'!K69</f>
        <v>Sem diferença</v>
      </c>
      <c r="AF95" s="82" t="n">
        <f aca="false">IF(AND(AA95=1,AC95&lt;&gt;"Confere"),ABS(Z95)+ROW()/10000000,0)</f>
        <v>0</v>
      </c>
      <c r="AG95" s="82" t="s">
        <v>352</v>
      </c>
      <c r="AV95" s="0" t="str">
        <f aca="false">IFERROR(INDEX($AX$1:$AX$94,MATCH(94,$AY$1:$AY$94,0)),"")</f>
        <v>261080301</v>
      </c>
      <c r="BB95" s="82" t="n">
        <f aca="false">MIN(IF(_xlfn.MINIFS('3 Base Entrada 2008'!$F$2:$F$5000,'3 Base Entrada 2008'!$F$2:$F$5000,"&gt;="&amp;$F$5,'3 Base Entrada 2008'!$F$2:$F$5000,"&lt;="&amp;$H$5,'3 Base Entrada 2008'!$B$2:$B$5000,$T95,'3 Base Entrada 2008'!$C$2:$C$5000,$AG95)=0,99999,_xlfn.MINIFS('3 Base Entrada 2008'!$F$2:$F$5000,'3 Base Entrada 2008'!$F$2:$F$5000,"&gt;="&amp;$F$5,'3 Base Entrada 2008'!$F$2:$F$5000,"&lt;="&amp;$H$5,'3 Base Entrada 2008'!$B$2:$B$5000,$T95,'3 Base Entrada 2008'!$C$2:$C$5000,$AG95)),IF(_xlfn.MINIFS('3 Base Saídas'!$G$2:$G$5000,'3 Base Saídas'!$G$2:$G$5000,"&gt;="&amp;$F$5,'3 Base Saídas'!$G$2:$G$5000,"&lt;="&amp;$H$5,'3 Base Saídas'!$B$2:$B$5000,$T95,'3 Base Saídas'!$C$2:$C$5000,$AG95)=0,99999,_xlfn.MINIFS('3 Base Saídas'!$G$2:$G$5000,'3 Base Saídas'!$G$2:$G$5000,"&gt;="&amp;$F$5,'3 Base Saídas'!$G$2:$G$5000,"&lt;="&amp;$H$5,'3 Base Saídas'!$B$2:$B$5000,$T95,'3 Base Saídas'!$C$2:$C$5000,$AG95)))</f>
        <v>46280</v>
      </c>
      <c r="BC95" s="82" t="n">
        <f aca="false">MAX(_xlfn.MAXIFS('3 Base Entrada 2008'!$F$2:$F$5000,'3 Base Entrada 2008'!$F$2:$F$5000,"&gt;="&amp;$F$5,'3 Base Entrada 2008'!$F$2:$F$5000,"&lt;="&amp;$H$5,'3 Base Entrada 2008'!$B$2:$B$5000,$T95,'3 Base Entrada 2008'!$C$2:$C$5000,$AG95),_xlfn.MAXIFS('3 Base Saídas'!$G$2:$G$5000,'3 Base Saídas'!$G$2:$G$5000,"&gt;="&amp;$F$5,'3 Base Saídas'!$G$2:$G$5000,"&lt;="&amp;$H$5,'3 Base Saídas'!$B$2:$B$5000,$T95,'3 Base Saídas'!$C$2:$C$5000,$AG95))</f>
        <v>46280</v>
      </c>
      <c r="BD95" s="0" t="str">
        <f aca="false">'5 Conciliação'!L69</f>
        <v>Nenhum ajuste necessário</v>
      </c>
      <c r="BE95" s="0" t="str">
        <f aca="false">'5 Conciliação'!Q69</f>
        <v>—</v>
      </c>
      <c r="BF95" s="0" t="str">
        <f aca="false">'5 Conciliação'!R69</f>
        <v>—</v>
      </c>
      <c r="BH95" s="82" t="n">
        <f aca="false">SUMIFS('3 Base Saldo Inicial 08-09'!$E$2:$E$5000,'3 Base Saldo Inicial 08-09'!$A$2:$A$5000,$T95,'3 Base Saldo Inicial 08-09'!$B$2:$B$5000,$AG95)-SUMIFS('3 Base Saldo Inicial 08-09'!$E$2:$E$5000,'3 Base Saldo Inicial 08-09'!$A$2:$A$5000,$T95,'3 Base Saldo Inicial 08-09'!$B$2:$B$5000,$AG95,'3 Base Saldo Inicial 08-09'!$C$2:$C$5000,"2008")</f>
        <v>0</v>
      </c>
    </row>
    <row r="96" customFormat="false" ht="15" hidden="false" customHeight="false" outlineLevel="0" collapsed="false">
      <c r="A96" s="111" t="str">
        <f aca="false">IF(IFERROR(MATCH(83,$AB$40:$AB$133,0),0)=0,"",INDEX($T$40:$T$133,IFERROR(MATCH(83,$AB$40:$AB$133,0),0)))</f>
        <v/>
      </c>
      <c r="B96" s="111" t="str">
        <f aca="false">IF(IFERROR(MATCH(83,$AB$40:$AB$133,0),0)=0,"",INDEX($AG$40:$AG$133,IFERROR(MATCH(83,$AB$40:$AB$133,0),0)))</f>
        <v/>
      </c>
      <c r="C96" s="112" t="str">
        <f aca="false">IF(IFERROR(MATCH(83,$AB$40:$AB$133,0),0)=0,"",INDEX($U$40:$U$133,IFERROR(MATCH(83,$AB$40:$AB$133,0),0)))</f>
        <v/>
      </c>
      <c r="D96" s="113" t="str">
        <f aca="false">IF(IFERROR(MATCH(83,$AB$40:$AB$133,0),0)=0,"",INDEX($BH$40:$BH$133,IFERROR(MATCH(83,$AB$40:$AB$133,0),0)))</f>
        <v/>
      </c>
      <c r="E96" s="113" t="str">
        <f aca="false">IF(IFERROR(MATCH(83,$AB$40:$AB$133,0),0)=0,"",INDEX($W$40:$W$133,IFERROR(MATCH(83,$AB$40:$AB$133,0),0)))</f>
        <v/>
      </c>
      <c r="F96" s="113" t="str">
        <f aca="false">IF(IFERROR(MATCH(83,$AB$40:$AB$133,0),0)=0,"",INDEX($X$40:$X$133,IFERROR(MATCH(83,$AB$40:$AB$133,0),0)))</f>
        <v/>
      </c>
      <c r="G96" s="113" t="str">
        <f aca="false">IF(A96="","",D96+E96-F96)</f>
        <v/>
      </c>
      <c r="H96" s="113" t="str">
        <f aca="false">IF(IFERROR(MATCH(83,$AB$40:$AB$133,0),0)=0,"",INDEX($Y$40:$Y$133,IFERROR(MATCH(83,$AB$40:$AB$133,0),0)))</f>
        <v/>
      </c>
      <c r="I96" s="114" t="str">
        <f aca="false">IF(IFERROR(MATCH(83,$AB$40:$AB$133,0),0)=0,"",INDEX($Z$40:$Z$133,IFERROR(MATCH(83,$AB$40:$AB$133,0),0)))</f>
        <v/>
      </c>
      <c r="J96" s="115" t="str">
        <f aca="false">IF(IFERROR(MATCH(83,$AB$40:$AB$133,0),0)=0,"",INDEX($AC$40:$AC$133,IFERROR(MATCH(83,$AB$40:$AB$133,0),0)))</f>
        <v/>
      </c>
      <c r="K96" s="116" t="str">
        <f aca="false">IF(IFERROR(MATCH(83,$AB$40:$AB$133,0),0)=0,"",INDEX($AD$40:$AD$133,IFERROR(MATCH(83,$AB$40:$AB$133,0),0)))</f>
        <v/>
      </c>
      <c r="L96" s="117" t="str">
        <f aca="false">IF(IFERROR(MATCH(83,$AB$40:$AB$133,0),0)=0,"",IF(INDEX($BB$40:$BB$133,IFERROR(MATCH(83,$AB$40:$AB$133,0),0))&gt;=99999,"",INDEX($BB$40:$BB$133,IFERROR(MATCH(83,$AB$40:$AB$133,0),0))))</f>
        <v/>
      </c>
      <c r="M96" s="117" t="str">
        <f aca="false">IF(IFERROR(MATCH(83,$AB$40:$AB$133,0),0)=0,"",IF(INDEX($BC$40:$BC$133,IFERROR(MATCH(83,$AB$40:$AB$133,0),0))=0,"",INDEX($BC$40:$BC$133,IFERROR(MATCH(83,$AB$40:$AB$133,0),0))))</f>
        <v/>
      </c>
      <c r="N96" s="118" t="str">
        <f aca="false">IF(IFERROR(MATCH(83,$AB$40:$AB$133,0),0)=0,"",INDEX($AE$40:$AE$133,IFERROR(MATCH(83,$AB$40:$AB$133,0),0))&amp;"")</f>
        <v/>
      </c>
      <c r="O96" s="119" t="str">
        <f aca="false">IF(IFERROR(MATCH(83,$AB$40:$AB$133,0),0)=0,"",INDEX($BD$40:$BD$133,IFERROR(MATCH(83,$AB$40:$AB$133,0),0))&amp;"")</f>
        <v/>
      </c>
      <c r="T96" s="82" t="s">
        <v>356</v>
      </c>
      <c r="U96" s="82" t="s">
        <v>65</v>
      </c>
      <c r="V96" s="82" t="n">
        <f aca="false">SUMIFS('3 Base Entrada 2008'!$G$2:$G$5000,'3 Base Entrada 2008'!$F$2:$F$5000,"&gt;="&amp;$F$5,'3 Base Entrada 2008'!$F$2:$F$5000,"&lt;="&amp;$H$5,'3 Base Entrada 2008'!$B$2:$B$5000,$T96,'3 Base Entrada 2008'!$C$2:$C$5000,$AG96,'3 Base Entrada 2008'!$K$2:$K$5000,"Recebido no 2008")</f>
        <v>384</v>
      </c>
      <c r="W96" s="82" t="n">
        <f aca="false">SUMIFS('3 Base Entrada 2008'!$L$2:$L$5000,'3 Base Entrada 2008'!$F$2:$F$5000,"&gt;="&amp;$F$5,'3 Base Entrada 2008'!$F$2:$F$5000,"&lt;="&amp;$H$5,'3 Base Entrada 2008'!$B$2:$B$5000,$T96,'3 Base Entrada 2008'!$C$2:$C$5000,$AG96)</f>
        <v>0</v>
      </c>
      <c r="X96" s="82" t="n">
        <f aca="false">SUMIFS('3 Base Saídas'!$R$2:$R$5000,'3 Base Saídas'!$G$2:$G$5000,"&gt;="&amp;$F$5,'3 Base Saídas'!$G$2:$G$5000,"&lt;="&amp;$H$5,'3 Base Saídas'!$B$2:$B$5000,$T96,'3 Base Saídas'!$C$2:$C$5000,$AG96)</f>
        <v>0</v>
      </c>
      <c r="Y96" s="82" t="n">
        <f aca="false">SUMIFS('3 Base Estoque Físico'!$J$2:$J$5000,'3 Base Estoque Físico'!$A$2:$A$5000,$T96,'3 Base Estoque Físico'!$B$2:$B$5000,$AG96)</f>
        <v>0</v>
      </c>
      <c r="Z96" s="82" t="n">
        <f aca="false">ROUND(Y96-(BH96+W96-X96),3)</f>
        <v>0</v>
      </c>
      <c r="AA96" s="82" t="n">
        <f aca="false">IF(AND(U96=$R$3,OR($R$1="*",T96=$R$1),OR($R$2="*",AG96=$R$2),OR($R$6="*",AC96=$R$6),ABS(V96)+ABS(W96)+ABS(X96)+ABS(Y96)&gt;0),1,0)</f>
        <v>1</v>
      </c>
      <c r="AB96" s="82" t="n">
        <f aca="false">IF(AA96=1,SUM(AA$40:AA96),"")</f>
        <v>49</v>
      </c>
      <c r="AC96" s="0" t="str">
        <f aca="false">IF(ABS(Z96)&lt;=$R$5,"Confere",IF(Z96&gt;0,"Sobrando","Faltando"))</f>
        <v>Confere</v>
      </c>
      <c r="AD96" s="82" t="n">
        <f aca="false">IF(OR($R$4="*",$R$4="Saída"),COUNTIFS('3 Base Saídas'!$G$2:$G$5000,"&gt;="&amp;$F$5,'3 Base Saídas'!$G$2:$G$5000,"&lt;="&amp;$H$5,'3 Base Saídas'!$B$2:$B$5000,$T96,'3 Base Saídas'!$C$2:$C$5000,$AG96),0)+IF($R$4&lt;&gt;"Saída",COUNTIFS('3 Base Entrada 2008'!$F$2:$F$5000,"&gt;="&amp;$F$5,'3 Base Entrada 2008'!$F$2:$F$5000,"&lt;="&amp;$H$5,'3 Base Entrada 2008'!$B$2:$B$5000,$T96,'3 Base Entrada 2008'!$C$2:$C$5000,$AG96,'3 Base Entrada 2008'!$K$2:$K$5000,$R$4),0)</f>
        <v>1</v>
      </c>
      <c r="AE96" s="0" t="str">
        <f aca="false">'5 Conciliação'!K70</f>
        <v>Sem diferença</v>
      </c>
      <c r="AF96" s="82" t="n">
        <f aca="false">IF(AND(AA96=1,AC96&lt;&gt;"Confere"),ABS(Z96)+ROW()/10000000,0)</f>
        <v>0</v>
      </c>
      <c r="AG96" s="82" t="s">
        <v>357</v>
      </c>
      <c r="BB96" s="82" t="n">
        <f aca="false">MIN(IF(_xlfn.MINIFS('3 Base Entrada 2008'!$F$2:$F$5000,'3 Base Entrada 2008'!$F$2:$F$5000,"&gt;="&amp;$F$5,'3 Base Entrada 2008'!$F$2:$F$5000,"&lt;="&amp;$H$5,'3 Base Entrada 2008'!$B$2:$B$5000,$T96,'3 Base Entrada 2008'!$C$2:$C$5000,$AG96)=0,99999,_xlfn.MINIFS('3 Base Entrada 2008'!$F$2:$F$5000,'3 Base Entrada 2008'!$F$2:$F$5000,"&gt;="&amp;$F$5,'3 Base Entrada 2008'!$F$2:$F$5000,"&lt;="&amp;$H$5,'3 Base Entrada 2008'!$B$2:$B$5000,$T96,'3 Base Entrada 2008'!$C$2:$C$5000,$AG96)),IF(_xlfn.MINIFS('3 Base Saídas'!$G$2:$G$5000,'3 Base Saídas'!$G$2:$G$5000,"&gt;="&amp;$F$5,'3 Base Saídas'!$G$2:$G$5000,"&lt;="&amp;$H$5,'3 Base Saídas'!$B$2:$B$5000,$T96,'3 Base Saídas'!$C$2:$C$5000,$AG96)=0,99999,_xlfn.MINIFS('3 Base Saídas'!$G$2:$G$5000,'3 Base Saídas'!$G$2:$G$5000,"&gt;="&amp;$F$5,'3 Base Saídas'!$G$2:$G$5000,"&lt;="&amp;$H$5,'3 Base Saídas'!$B$2:$B$5000,$T96,'3 Base Saídas'!$C$2:$C$5000,$AG96)))</f>
        <v>46275</v>
      </c>
      <c r="BC96" s="82" t="n">
        <f aca="false">MAX(_xlfn.MAXIFS('3 Base Entrada 2008'!$F$2:$F$5000,'3 Base Entrada 2008'!$F$2:$F$5000,"&gt;="&amp;$F$5,'3 Base Entrada 2008'!$F$2:$F$5000,"&lt;="&amp;$H$5,'3 Base Entrada 2008'!$B$2:$B$5000,$T96,'3 Base Entrada 2008'!$C$2:$C$5000,$AG96),_xlfn.MAXIFS('3 Base Saídas'!$G$2:$G$5000,'3 Base Saídas'!$G$2:$G$5000,"&gt;="&amp;$F$5,'3 Base Saídas'!$G$2:$G$5000,"&lt;="&amp;$H$5,'3 Base Saídas'!$B$2:$B$5000,$T96,'3 Base Saídas'!$C$2:$C$5000,$AG96))</f>
        <v>46275</v>
      </c>
      <c r="BD96" s="0" t="str">
        <f aca="false">'5 Conciliação'!L70</f>
        <v>Nenhum ajuste necessário</v>
      </c>
      <c r="BE96" s="0" t="str">
        <f aca="false">'5 Conciliação'!Q70</f>
        <v>—</v>
      </c>
      <c r="BF96" s="0" t="str">
        <f aca="false">'5 Conciliação'!R70</f>
        <v>—</v>
      </c>
      <c r="BH96" s="82" t="n">
        <f aca="false">SUMIFS('3 Base Saldo Inicial 08-09'!$E$2:$E$5000,'3 Base Saldo Inicial 08-09'!$A$2:$A$5000,$T96,'3 Base Saldo Inicial 08-09'!$B$2:$B$5000,$AG96)-SUMIFS('3 Base Saldo Inicial 08-09'!$E$2:$E$5000,'3 Base Saldo Inicial 08-09'!$A$2:$A$5000,$T96,'3 Base Saldo Inicial 08-09'!$B$2:$B$5000,$AG96,'3 Base Saldo Inicial 08-09'!$C$2:$C$5000,"2008")</f>
        <v>0</v>
      </c>
    </row>
    <row r="97" customFormat="false" ht="15" hidden="false" customHeight="false" outlineLevel="0" collapsed="false">
      <c r="A97" s="111" t="str">
        <f aca="false">IF(IFERROR(MATCH(84,$AB$40:$AB$133,0),0)=0,"",INDEX($T$40:$T$133,IFERROR(MATCH(84,$AB$40:$AB$133,0),0)))</f>
        <v/>
      </c>
      <c r="B97" s="111" t="str">
        <f aca="false">IF(IFERROR(MATCH(84,$AB$40:$AB$133,0),0)=0,"",INDEX($AG$40:$AG$133,IFERROR(MATCH(84,$AB$40:$AB$133,0),0)))</f>
        <v/>
      </c>
      <c r="C97" s="112" t="str">
        <f aca="false">IF(IFERROR(MATCH(84,$AB$40:$AB$133,0),0)=0,"",INDEX($U$40:$U$133,IFERROR(MATCH(84,$AB$40:$AB$133,0),0)))</f>
        <v/>
      </c>
      <c r="D97" s="113" t="str">
        <f aca="false">IF(IFERROR(MATCH(84,$AB$40:$AB$133,0),0)=0,"",INDEX($BH$40:$BH$133,IFERROR(MATCH(84,$AB$40:$AB$133,0),0)))</f>
        <v/>
      </c>
      <c r="E97" s="113" t="str">
        <f aca="false">IF(IFERROR(MATCH(84,$AB$40:$AB$133,0),0)=0,"",INDEX($W$40:$W$133,IFERROR(MATCH(84,$AB$40:$AB$133,0),0)))</f>
        <v/>
      </c>
      <c r="F97" s="113" t="str">
        <f aca="false">IF(IFERROR(MATCH(84,$AB$40:$AB$133,0),0)=0,"",INDEX($X$40:$X$133,IFERROR(MATCH(84,$AB$40:$AB$133,0),0)))</f>
        <v/>
      </c>
      <c r="G97" s="113" t="str">
        <f aca="false">IF(A97="","",D97+E97-F97)</f>
        <v/>
      </c>
      <c r="H97" s="113" t="str">
        <f aca="false">IF(IFERROR(MATCH(84,$AB$40:$AB$133,0),0)=0,"",INDEX($Y$40:$Y$133,IFERROR(MATCH(84,$AB$40:$AB$133,0),0)))</f>
        <v/>
      </c>
      <c r="I97" s="114" t="str">
        <f aca="false">IF(IFERROR(MATCH(84,$AB$40:$AB$133,0),0)=0,"",INDEX($Z$40:$Z$133,IFERROR(MATCH(84,$AB$40:$AB$133,0),0)))</f>
        <v/>
      </c>
      <c r="J97" s="115" t="str">
        <f aca="false">IF(IFERROR(MATCH(84,$AB$40:$AB$133,0),0)=0,"",INDEX($AC$40:$AC$133,IFERROR(MATCH(84,$AB$40:$AB$133,0),0)))</f>
        <v/>
      </c>
      <c r="K97" s="116" t="str">
        <f aca="false">IF(IFERROR(MATCH(84,$AB$40:$AB$133,0),0)=0,"",INDEX($AD$40:$AD$133,IFERROR(MATCH(84,$AB$40:$AB$133,0),0)))</f>
        <v/>
      </c>
      <c r="L97" s="117" t="str">
        <f aca="false">IF(IFERROR(MATCH(84,$AB$40:$AB$133,0),0)=0,"",IF(INDEX($BB$40:$BB$133,IFERROR(MATCH(84,$AB$40:$AB$133,0),0))&gt;=99999,"",INDEX($BB$40:$BB$133,IFERROR(MATCH(84,$AB$40:$AB$133,0),0))))</f>
        <v/>
      </c>
      <c r="M97" s="117" t="str">
        <f aca="false">IF(IFERROR(MATCH(84,$AB$40:$AB$133,0),0)=0,"",IF(INDEX($BC$40:$BC$133,IFERROR(MATCH(84,$AB$40:$AB$133,0),0))=0,"",INDEX($BC$40:$BC$133,IFERROR(MATCH(84,$AB$40:$AB$133,0),0))))</f>
        <v/>
      </c>
      <c r="N97" s="118" t="str">
        <f aca="false">IF(IFERROR(MATCH(84,$AB$40:$AB$133,0),0)=0,"",INDEX($AE$40:$AE$133,IFERROR(MATCH(84,$AB$40:$AB$133,0),0))&amp;"")</f>
        <v/>
      </c>
      <c r="O97" s="119" t="str">
        <f aca="false">IF(IFERROR(MATCH(84,$AB$40:$AB$133,0),0)=0,"",INDEX($BD$40:$BD$133,IFERROR(MATCH(84,$AB$40:$AB$133,0),0))&amp;"")</f>
        <v/>
      </c>
      <c r="T97" s="82" t="s">
        <v>257</v>
      </c>
      <c r="U97" s="82" t="s">
        <v>65</v>
      </c>
      <c r="V97" s="82" t="n">
        <f aca="false">SUMIFS('3 Base Entrada 2008'!$G$2:$G$5000,'3 Base Entrada 2008'!$F$2:$F$5000,"&gt;="&amp;$F$5,'3 Base Entrada 2008'!$F$2:$F$5000,"&lt;="&amp;$H$5,'3 Base Entrada 2008'!$B$2:$B$5000,$T97,'3 Base Entrada 2008'!$C$2:$C$5000,$AG97,'3 Base Entrada 2008'!$K$2:$K$5000,"Recebido no 2008")</f>
        <v>0</v>
      </c>
      <c r="W97" s="82" t="n">
        <f aca="false">SUMIFS('3 Base Entrada 2008'!$L$2:$L$5000,'3 Base Entrada 2008'!$F$2:$F$5000,"&gt;="&amp;$F$5,'3 Base Entrada 2008'!$F$2:$F$5000,"&lt;="&amp;$H$5,'3 Base Entrada 2008'!$B$2:$B$5000,$T97,'3 Base Entrada 2008'!$C$2:$C$5000,$AG97)</f>
        <v>288</v>
      </c>
      <c r="X97" s="82" t="n">
        <f aca="false">SUMIFS('3 Base Saídas'!$R$2:$R$5000,'3 Base Saídas'!$G$2:$G$5000,"&gt;="&amp;$F$5,'3 Base Saídas'!$G$2:$G$5000,"&lt;="&amp;$H$5,'3 Base Saídas'!$B$2:$B$5000,$T97,'3 Base Saídas'!$C$2:$C$5000,$AG97)</f>
        <v>0</v>
      </c>
      <c r="Y97" s="82" t="n">
        <f aca="false">SUMIFS('3 Base Estoque Físico'!$J$2:$J$5000,'3 Base Estoque Físico'!$A$2:$A$5000,$T97,'3 Base Estoque Físico'!$B$2:$B$5000,$AG97)</f>
        <v>288</v>
      </c>
      <c r="Z97" s="82" t="n">
        <f aca="false">ROUND(Y97-(BH97+W97-X97),3)</f>
        <v>0</v>
      </c>
      <c r="AA97" s="82" t="n">
        <f aca="false">IF(AND(U97=$R$3,OR($R$1="*",T97=$R$1),OR($R$2="*",AG97=$R$2),OR($R$6="*",AC97=$R$6),ABS(V97)+ABS(W97)+ABS(X97)+ABS(Y97)&gt;0),1,0)</f>
        <v>1</v>
      </c>
      <c r="AB97" s="82" t="n">
        <f aca="false">IF(AA97=1,SUM(AA$40:AA97),"")</f>
        <v>50</v>
      </c>
      <c r="AC97" s="0" t="str">
        <f aca="false">IF(ABS(Z97)&lt;=$R$5,"Confere",IF(Z97&gt;0,"Sobrando","Faltando"))</f>
        <v>Confere</v>
      </c>
      <c r="AD97" s="82" t="n">
        <f aca="false">IF(OR($R$4="*",$R$4="Saída"),COUNTIFS('3 Base Saídas'!$G$2:$G$5000,"&gt;="&amp;$F$5,'3 Base Saídas'!$G$2:$G$5000,"&lt;="&amp;$H$5,'3 Base Saídas'!$B$2:$B$5000,$T97,'3 Base Saídas'!$C$2:$C$5000,$AG97),0)+IF($R$4&lt;&gt;"Saída",COUNTIFS('3 Base Entrada 2008'!$F$2:$F$5000,"&gt;="&amp;$F$5,'3 Base Entrada 2008'!$F$2:$F$5000,"&lt;="&amp;$H$5,'3 Base Entrada 2008'!$B$2:$B$5000,$T97,'3 Base Entrada 2008'!$C$2:$C$5000,$AG97,'3 Base Entrada 2008'!$K$2:$K$5000,$R$4),0)</f>
        <v>1</v>
      </c>
      <c r="AE97" s="0" t="str">
        <f aca="false">'5 Conciliação'!K71</f>
        <v>Sem diferença</v>
      </c>
      <c r="AF97" s="82" t="n">
        <f aca="false">IF(AND(AA97=1,AC97&lt;&gt;"Confere"),ABS(Z97)+ROW()/10000000,0)</f>
        <v>0</v>
      </c>
      <c r="AG97" s="82" t="s">
        <v>209</v>
      </c>
      <c r="BB97" s="82" t="n">
        <f aca="false">MIN(IF(_xlfn.MINIFS('3 Base Entrada 2008'!$F$2:$F$5000,'3 Base Entrada 2008'!$F$2:$F$5000,"&gt;="&amp;$F$5,'3 Base Entrada 2008'!$F$2:$F$5000,"&lt;="&amp;$H$5,'3 Base Entrada 2008'!$B$2:$B$5000,$T97,'3 Base Entrada 2008'!$C$2:$C$5000,$AG97)=0,99999,_xlfn.MINIFS('3 Base Entrada 2008'!$F$2:$F$5000,'3 Base Entrada 2008'!$F$2:$F$5000,"&gt;="&amp;$F$5,'3 Base Entrada 2008'!$F$2:$F$5000,"&lt;="&amp;$H$5,'3 Base Entrada 2008'!$B$2:$B$5000,$T97,'3 Base Entrada 2008'!$C$2:$C$5000,$AG97)),IF(_xlfn.MINIFS('3 Base Saídas'!$G$2:$G$5000,'3 Base Saídas'!$G$2:$G$5000,"&gt;="&amp;$F$5,'3 Base Saídas'!$G$2:$G$5000,"&lt;="&amp;$H$5,'3 Base Saídas'!$B$2:$B$5000,$T97,'3 Base Saídas'!$C$2:$C$5000,$AG97)=0,99999,_xlfn.MINIFS('3 Base Saídas'!$G$2:$G$5000,'3 Base Saídas'!$G$2:$G$5000,"&gt;="&amp;$F$5,'3 Base Saídas'!$G$2:$G$5000,"&lt;="&amp;$H$5,'3 Base Saídas'!$B$2:$B$5000,$T97,'3 Base Saídas'!$C$2:$C$5000,$AG97)))</f>
        <v>46291</v>
      </c>
      <c r="BC97" s="82" t="n">
        <f aca="false">MAX(_xlfn.MAXIFS('3 Base Entrada 2008'!$F$2:$F$5000,'3 Base Entrada 2008'!$F$2:$F$5000,"&gt;="&amp;$F$5,'3 Base Entrada 2008'!$F$2:$F$5000,"&lt;="&amp;$H$5,'3 Base Entrada 2008'!$B$2:$B$5000,$T97,'3 Base Entrada 2008'!$C$2:$C$5000,$AG97),_xlfn.MAXIFS('3 Base Saídas'!$G$2:$G$5000,'3 Base Saídas'!$G$2:$G$5000,"&gt;="&amp;$F$5,'3 Base Saídas'!$G$2:$G$5000,"&lt;="&amp;$H$5,'3 Base Saídas'!$B$2:$B$5000,$T97,'3 Base Saídas'!$C$2:$C$5000,$AG97))</f>
        <v>46291</v>
      </c>
      <c r="BD97" s="0" t="str">
        <f aca="false">'5 Conciliação'!L71</f>
        <v>Nenhum ajuste necessário</v>
      </c>
      <c r="BE97" s="0" t="str">
        <f aca="false">'5 Conciliação'!Q71</f>
        <v>—</v>
      </c>
      <c r="BF97" s="0" t="str">
        <f aca="false">'5 Conciliação'!R71</f>
        <v>—</v>
      </c>
      <c r="BH97" s="82" t="n">
        <f aca="false">SUMIFS('3 Base Saldo Inicial 08-09'!$E$2:$E$5000,'3 Base Saldo Inicial 08-09'!$A$2:$A$5000,$T97,'3 Base Saldo Inicial 08-09'!$B$2:$B$5000,$AG97)-SUMIFS('3 Base Saldo Inicial 08-09'!$E$2:$E$5000,'3 Base Saldo Inicial 08-09'!$A$2:$A$5000,$T97,'3 Base Saldo Inicial 08-09'!$B$2:$B$5000,$AG97,'3 Base Saldo Inicial 08-09'!$C$2:$C$5000,"2008")</f>
        <v>0</v>
      </c>
    </row>
    <row r="98" customFormat="false" ht="15" hidden="false" customHeight="false" outlineLevel="0" collapsed="false">
      <c r="A98" s="111" t="str">
        <f aca="false">IF(IFERROR(MATCH(85,$AB$40:$AB$133,0),0)=0,"",INDEX($T$40:$T$133,IFERROR(MATCH(85,$AB$40:$AB$133,0),0)))</f>
        <v/>
      </c>
      <c r="B98" s="111" t="str">
        <f aca="false">IF(IFERROR(MATCH(85,$AB$40:$AB$133,0),0)=0,"",INDEX($AG$40:$AG$133,IFERROR(MATCH(85,$AB$40:$AB$133,0),0)))</f>
        <v/>
      </c>
      <c r="C98" s="112" t="str">
        <f aca="false">IF(IFERROR(MATCH(85,$AB$40:$AB$133,0),0)=0,"",INDEX($U$40:$U$133,IFERROR(MATCH(85,$AB$40:$AB$133,0),0)))</f>
        <v/>
      </c>
      <c r="D98" s="113" t="str">
        <f aca="false">IF(IFERROR(MATCH(85,$AB$40:$AB$133,0),0)=0,"",INDEX($BH$40:$BH$133,IFERROR(MATCH(85,$AB$40:$AB$133,0),0)))</f>
        <v/>
      </c>
      <c r="E98" s="113" t="str">
        <f aca="false">IF(IFERROR(MATCH(85,$AB$40:$AB$133,0),0)=0,"",INDEX($W$40:$W$133,IFERROR(MATCH(85,$AB$40:$AB$133,0),0)))</f>
        <v/>
      </c>
      <c r="F98" s="113" t="str">
        <f aca="false">IF(IFERROR(MATCH(85,$AB$40:$AB$133,0),0)=0,"",INDEX($X$40:$X$133,IFERROR(MATCH(85,$AB$40:$AB$133,0),0)))</f>
        <v/>
      </c>
      <c r="G98" s="113" t="str">
        <f aca="false">IF(A98="","",D98+E98-F98)</f>
        <v/>
      </c>
      <c r="H98" s="113" t="str">
        <f aca="false">IF(IFERROR(MATCH(85,$AB$40:$AB$133,0),0)=0,"",INDEX($Y$40:$Y$133,IFERROR(MATCH(85,$AB$40:$AB$133,0),0)))</f>
        <v/>
      </c>
      <c r="I98" s="114" t="str">
        <f aca="false">IF(IFERROR(MATCH(85,$AB$40:$AB$133,0),0)=0,"",INDEX($Z$40:$Z$133,IFERROR(MATCH(85,$AB$40:$AB$133,0),0)))</f>
        <v/>
      </c>
      <c r="J98" s="115" t="str">
        <f aca="false">IF(IFERROR(MATCH(85,$AB$40:$AB$133,0),0)=0,"",INDEX($AC$40:$AC$133,IFERROR(MATCH(85,$AB$40:$AB$133,0),0)))</f>
        <v/>
      </c>
      <c r="K98" s="116" t="str">
        <f aca="false">IF(IFERROR(MATCH(85,$AB$40:$AB$133,0),0)=0,"",INDEX($AD$40:$AD$133,IFERROR(MATCH(85,$AB$40:$AB$133,0),0)))</f>
        <v/>
      </c>
      <c r="L98" s="117" t="str">
        <f aca="false">IF(IFERROR(MATCH(85,$AB$40:$AB$133,0),0)=0,"",IF(INDEX($BB$40:$BB$133,IFERROR(MATCH(85,$AB$40:$AB$133,0),0))&gt;=99999,"",INDEX($BB$40:$BB$133,IFERROR(MATCH(85,$AB$40:$AB$133,0),0))))</f>
        <v/>
      </c>
      <c r="M98" s="117" t="str">
        <f aca="false">IF(IFERROR(MATCH(85,$AB$40:$AB$133,0),0)=0,"",IF(INDEX($BC$40:$BC$133,IFERROR(MATCH(85,$AB$40:$AB$133,0),0))=0,"",INDEX($BC$40:$BC$133,IFERROR(MATCH(85,$AB$40:$AB$133,0),0))))</f>
        <v/>
      </c>
      <c r="N98" s="118" t="str">
        <f aca="false">IF(IFERROR(MATCH(85,$AB$40:$AB$133,0),0)=0,"",INDEX($AE$40:$AE$133,IFERROR(MATCH(85,$AB$40:$AB$133,0),0))&amp;"")</f>
        <v/>
      </c>
      <c r="O98" s="119" t="str">
        <f aca="false">IF(IFERROR(MATCH(85,$AB$40:$AB$133,0),0)=0,"",INDEX($BD$40:$BD$133,IFERROR(MATCH(85,$AB$40:$AB$133,0),0))&amp;"")</f>
        <v/>
      </c>
      <c r="T98" s="82" t="s">
        <v>358</v>
      </c>
      <c r="U98" s="82" t="s">
        <v>65</v>
      </c>
      <c r="V98" s="82" t="n">
        <f aca="false">SUMIFS('3 Base Entrada 2008'!$G$2:$G$5000,'3 Base Entrada 2008'!$F$2:$F$5000,"&gt;="&amp;$F$5,'3 Base Entrada 2008'!$F$2:$F$5000,"&lt;="&amp;$H$5,'3 Base Entrada 2008'!$B$2:$B$5000,$T98,'3 Base Entrada 2008'!$C$2:$C$5000,$AG98,'3 Base Entrada 2008'!$K$2:$K$5000,"Recebido no 2008")</f>
        <v>1300</v>
      </c>
      <c r="W98" s="82" t="n">
        <f aca="false">SUMIFS('3 Base Entrada 2008'!$L$2:$L$5000,'3 Base Entrada 2008'!$F$2:$F$5000,"&gt;="&amp;$F$5,'3 Base Entrada 2008'!$F$2:$F$5000,"&lt;="&amp;$H$5,'3 Base Entrada 2008'!$B$2:$B$5000,$T98,'3 Base Entrada 2008'!$C$2:$C$5000,$AG98)</f>
        <v>0</v>
      </c>
      <c r="X98" s="82" t="n">
        <f aca="false">SUMIFS('3 Base Saídas'!$R$2:$R$5000,'3 Base Saídas'!$G$2:$G$5000,"&gt;="&amp;$F$5,'3 Base Saídas'!$G$2:$G$5000,"&lt;="&amp;$H$5,'3 Base Saídas'!$B$2:$B$5000,$T98,'3 Base Saídas'!$C$2:$C$5000,$AG98)</f>
        <v>0</v>
      </c>
      <c r="Y98" s="82" t="n">
        <f aca="false">SUMIFS('3 Base Estoque Físico'!$J$2:$J$5000,'3 Base Estoque Físico'!$A$2:$A$5000,$T98,'3 Base Estoque Físico'!$B$2:$B$5000,$AG98)</f>
        <v>0</v>
      </c>
      <c r="Z98" s="82" t="n">
        <f aca="false">ROUND(Y98-(BH98+W98-X98),3)</f>
        <v>0</v>
      </c>
      <c r="AA98" s="82" t="n">
        <f aca="false">IF(AND(U98=$R$3,OR($R$1="*",T98=$R$1),OR($R$2="*",AG98=$R$2),OR($R$6="*",AC98=$R$6),ABS(V98)+ABS(W98)+ABS(X98)+ABS(Y98)&gt;0),1,0)</f>
        <v>1</v>
      </c>
      <c r="AB98" s="82" t="n">
        <f aca="false">IF(AA98=1,SUM(AA$40:AA98),"")</f>
        <v>51</v>
      </c>
      <c r="AC98" s="0" t="str">
        <f aca="false">IF(ABS(Z98)&lt;=$R$5,"Confere",IF(Z98&gt;0,"Sobrando","Faltando"))</f>
        <v>Confere</v>
      </c>
      <c r="AD98" s="82" t="n">
        <f aca="false">IF(OR($R$4="*",$R$4="Saída"),COUNTIFS('3 Base Saídas'!$G$2:$G$5000,"&gt;="&amp;$F$5,'3 Base Saídas'!$G$2:$G$5000,"&lt;="&amp;$H$5,'3 Base Saídas'!$B$2:$B$5000,$T98,'3 Base Saídas'!$C$2:$C$5000,$AG98),0)+IF($R$4&lt;&gt;"Saída",COUNTIFS('3 Base Entrada 2008'!$F$2:$F$5000,"&gt;="&amp;$F$5,'3 Base Entrada 2008'!$F$2:$F$5000,"&lt;="&amp;$H$5,'3 Base Entrada 2008'!$B$2:$B$5000,$T98,'3 Base Entrada 2008'!$C$2:$C$5000,$AG98,'3 Base Entrada 2008'!$K$2:$K$5000,$R$4),0)</f>
        <v>1</v>
      </c>
      <c r="AE98" s="0" t="str">
        <f aca="false">'5 Conciliação'!K72</f>
        <v>Sem diferença</v>
      </c>
      <c r="AF98" s="82" t="n">
        <f aca="false">IF(AND(AA98=1,AC98&lt;&gt;"Confere"),ABS(Z98)+ROW()/10000000,0)</f>
        <v>0</v>
      </c>
      <c r="AG98" s="82" t="s">
        <v>360</v>
      </c>
      <c r="BB98" s="82" t="n">
        <f aca="false">MIN(IF(_xlfn.MINIFS('3 Base Entrada 2008'!$F$2:$F$5000,'3 Base Entrada 2008'!$F$2:$F$5000,"&gt;="&amp;$F$5,'3 Base Entrada 2008'!$F$2:$F$5000,"&lt;="&amp;$H$5,'3 Base Entrada 2008'!$B$2:$B$5000,$T98,'3 Base Entrada 2008'!$C$2:$C$5000,$AG98)=0,99999,_xlfn.MINIFS('3 Base Entrada 2008'!$F$2:$F$5000,'3 Base Entrada 2008'!$F$2:$F$5000,"&gt;="&amp;$F$5,'3 Base Entrada 2008'!$F$2:$F$5000,"&lt;="&amp;$H$5,'3 Base Entrada 2008'!$B$2:$B$5000,$T98,'3 Base Entrada 2008'!$C$2:$C$5000,$AG98)),IF(_xlfn.MINIFS('3 Base Saídas'!$G$2:$G$5000,'3 Base Saídas'!$G$2:$G$5000,"&gt;="&amp;$F$5,'3 Base Saídas'!$G$2:$G$5000,"&lt;="&amp;$H$5,'3 Base Saídas'!$B$2:$B$5000,$T98,'3 Base Saídas'!$C$2:$C$5000,$AG98)=0,99999,_xlfn.MINIFS('3 Base Saídas'!$G$2:$G$5000,'3 Base Saídas'!$G$2:$G$5000,"&gt;="&amp;$F$5,'3 Base Saídas'!$G$2:$G$5000,"&lt;="&amp;$H$5,'3 Base Saídas'!$B$2:$B$5000,$T98,'3 Base Saídas'!$C$2:$C$5000,$AG98)))</f>
        <v>46280</v>
      </c>
      <c r="BC98" s="82" t="n">
        <f aca="false">MAX(_xlfn.MAXIFS('3 Base Entrada 2008'!$F$2:$F$5000,'3 Base Entrada 2008'!$F$2:$F$5000,"&gt;="&amp;$F$5,'3 Base Entrada 2008'!$F$2:$F$5000,"&lt;="&amp;$H$5,'3 Base Entrada 2008'!$B$2:$B$5000,$T98,'3 Base Entrada 2008'!$C$2:$C$5000,$AG98),_xlfn.MAXIFS('3 Base Saídas'!$G$2:$G$5000,'3 Base Saídas'!$G$2:$G$5000,"&gt;="&amp;$F$5,'3 Base Saídas'!$G$2:$G$5000,"&lt;="&amp;$H$5,'3 Base Saídas'!$B$2:$B$5000,$T98,'3 Base Saídas'!$C$2:$C$5000,$AG98))</f>
        <v>46280</v>
      </c>
      <c r="BD98" s="0" t="str">
        <f aca="false">'5 Conciliação'!L72</f>
        <v>Nenhum ajuste necessário</v>
      </c>
      <c r="BE98" s="0" t="str">
        <f aca="false">'5 Conciliação'!Q72</f>
        <v>—</v>
      </c>
      <c r="BF98" s="0" t="str">
        <f aca="false">'5 Conciliação'!R72</f>
        <v>—</v>
      </c>
      <c r="BH98" s="82" t="n">
        <f aca="false">SUMIFS('3 Base Saldo Inicial 08-09'!$E$2:$E$5000,'3 Base Saldo Inicial 08-09'!$A$2:$A$5000,$T98,'3 Base Saldo Inicial 08-09'!$B$2:$B$5000,$AG98)-SUMIFS('3 Base Saldo Inicial 08-09'!$E$2:$E$5000,'3 Base Saldo Inicial 08-09'!$A$2:$A$5000,$T98,'3 Base Saldo Inicial 08-09'!$B$2:$B$5000,$AG98,'3 Base Saldo Inicial 08-09'!$C$2:$C$5000,"2008")</f>
        <v>0</v>
      </c>
    </row>
    <row r="99" customFormat="false" ht="15" hidden="false" customHeight="false" outlineLevel="0" collapsed="false">
      <c r="A99" s="111" t="str">
        <f aca="false">IF(IFERROR(MATCH(86,$AB$40:$AB$133,0),0)=0,"",INDEX($T$40:$T$133,IFERROR(MATCH(86,$AB$40:$AB$133,0),0)))</f>
        <v/>
      </c>
      <c r="B99" s="111" t="str">
        <f aca="false">IF(IFERROR(MATCH(86,$AB$40:$AB$133,0),0)=0,"",INDEX($AG$40:$AG$133,IFERROR(MATCH(86,$AB$40:$AB$133,0),0)))</f>
        <v/>
      </c>
      <c r="C99" s="112" t="str">
        <f aca="false">IF(IFERROR(MATCH(86,$AB$40:$AB$133,0),0)=0,"",INDEX($U$40:$U$133,IFERROR(MATCH(86,$AB$40:$AB$133,0),0)))</f>
        <v/>
      </c>
      <c r="D99" s="113" t="str">
        <f aca="false">IF(IFERROR(MATCH(86,$AB$40:$AB$133,0),0)=0,"",INDEX($BH$40:$BH$133,IFERROR(MATCH(86,$AB$40:$AB$133,0),0)))</f>
        <v/>
      </c>
      <c r="E99" s="113" t="str">
        <f aca="false">IF(IFERROR(MATCH(86,$AB$40:$AB$133,0),0)=0,"",INDEX($W$40:$W$133,IFERROR(MATCH(86,$AB$40:$AB$133,0),0)))</f>
        <v/>
      </c>
      <c r="F99" s="113" t="str">
        <f aca="false">IF(IFERROR(MATCH(86,$AB$40:$AB$133,0),0)=0,"",INDEX($X$40:$X$133,IFERROR(MATCH(86,$AB$40:$AB$133,0),0)))</f>
        <v/>
      </c>
      <c r="G99" s="113" t="str">
        <f aca="false">IF(A99="","",D99+E99-F99)</f>
        <v/>
      </c>
      <c r="H99" s="113" t="str">
        <f aca="false">IF(IFERROR(MATCH(86,$AB$40:$AB$133,0),0)=0,"",INDEX($Y$40:$Y$133,IFERROR(MATCH(86,$AB$40:$AB$133,0),0)))</f>
        <v/>
      </c>
      <c r="I99" s="114" t="str">
        <f aca="false">IF(IFERROR(MATCH(86,$AB$40:$AB$133,0),0)=0,"",INDEX($Z$40:$Z$133,IFERROR(MATCH(86,$AB$40:$AB$133,0),0)))</f>
        <v/>
      </c>
      <c r="J99" s="115" t="str">
        <f aca="false">IF(IFERROR(MATCH(86,$AB$40:$AB$133,0),0)=0,"",INDEX($AC$40:$AC$133,IFERROR(MATCH(86,$AB$40:$AB$133,0),0)))</f>
        <v/>
      </c>
      <c r="K99" s="116" t="str">
        <f aca="false">IF(IFERROR(MATCH(86,$AB$40:$AB$133,0),0)=0,"",INDEX($AD$40:$AD$133,IFERROR(MATCH(86,$AB$40:$AB$133,0),0)))</f>
        <v/>
      </c>
      <c r="L99" s="117" t="str">
        <f aca="false">IF(IFERROR(MATCH(86,$AB$40:$AB$133,0),0)=0,"",IF(INDEX($BB$40:$BB$133,IFERROR(MATCH(86,$AB$40:$AB$133,0),0))&gt;=99999,"",INDEX($BB$40:$BB$133,IFERROR(MATCH(86,$AB$40:$AB$133,0),0))))</f>
        <v/>
      </c>
      <c r="M99" s="117" t="str">
        <f aca="false">IF(IFERROR(MATCH(86,$AB$40:$AB$133,0),0)=0,"",IF(INDEX($BC$40:$BC$133,IFERROR(MATCH(86,$AB$40:$AB$133,0),0))=0,"",INDEX($BC$40:$BC$133,IFERROR(MATCH(86,$AB$40:$AB$133,0),0))))</f>
        <v/>
      </c>
      <c r="N99" s="118" t="str">
        <f aca="false">IF(IFERROR(MATCH(86,$AB$40:$AB$133,0),0)=0,"",INDEX($AE$40:$AE$133,IFERROR(MATCH(86,$AB$40:$AB$133,0),0))&amp;"")</f>
        <v/>
      </c>
      <c r="O99" s="119" t="str">
        <f aca="false">IF(IFERROR(MATCH(86,$AB$40:$AB$133,0),0)=0,"",INDEX($BD$40:$BD$133,IFERROR(MATCH(86,$AB$40:$AB$133,0),0))&amp;"")</f>
        <v/>
      </c>
      <c r="T99" s="82" t="s">
        <v>358</v>
      </c>
      <c r="U99" s="82" t="s">
        <v>65</v>
      </c>
      <c r="V99" s="82" t="n">
        <f aca="false">SUMIFS('3 Base Entrada 2008'!$G$2:$G$5000,'3 Base Entrada 2008'!$F$2:$F$5000,"&gt;="&amp;$F$5,'3 Base Entrada 2008'!$F$2:$F$5000,"&lt;="&amp;$H$5,'3 Base Entrada 2008'!$B$2:$B$5000,$T99,'3 Base Entrada 2008'!$C$2:$C$5000,$AG99,'3 Base Entrada 2008'!$K$2:$K$5000,"Recebido no 2008")</f>
        <v>2900</v>
      </c>
      <c r="W99" s="82" t="n">
        <f aca="false">SUMIFS('3 Base Entrada 2008'!$L$2:$L$5000,'3 Base Entrada 2008'!$F$2:$F$5000,"&gt;="&amp;$F$5,'3 Base Entrada 2008'!$F$2:$F$5000,"&lt;="&amp;$H$5,'3 Base Entrada 2008'!$B$2:$B$5000,$T99,'3 Base Entrada 2008'!$C$2:$C$5000,$AG99)</f>
        <v>0</v>
      </c>
      <c r="X99" s="82" t="n">
        <f aca="false">SUMIFS('3 Base Saídas'!$R$2:$R$5000,'3 Base Saídas'!$G$2:$G$5000,"&gt;="&amp;$F$5,'3 Base Saídas'!$G$2:$G$5000,"&lt;="&amp;$H$5,'3 Base Saídas'!$B$2:$B$5000,$T99,'3 Base Saídas'!$C$2:$C$5000,$AG99)</f>
        <v>0</v>
      </c>
      <c r="Y99" s="82" t="n">
        <f aca="false">SUMIFS('3 Base Estoque Físico'!$J$2:$J$5000,'3 Base Estoque Físico'!$A$2:$A$5000,$T99,'3 Base Estoque Físico'!$B$2:$B$5000,$AG99)</f>
        <v>0</v>
      </c>
      <c r="Z99" s="82" t="n">
        <f aca="false">ROUND(Y99-(BH99+W99-X99),3)</f>
        <v>0</v>
      </c>
      <c r="AA99" s="82" t="n">
        <f aca="false">IF(AND(U99=$R$3,OR($R$1="*",T99=$R$1),OR($R$2="*",AG99=$R$2),OR($R$6="*",AC99=$R$6),ABS(V99)+ABS(W99)+ABS(X99)+ABS(Y99)&gt;0),1,0)</f>
        <v>1</v>
      </c>
      <c r="AB99" s="82" t="n">
        <f aca="false">IF(AA99=1,SUM(AA$40:AA99),"")</f>
        <v>52</v>
      </c>
      <c r="AC99" s="0" t="str">
        <f aca="false">IF(ABS(Z99)&lt;=$R$5,"Confere",IF(Z99&gt;0,"Sobrando","Faltando"))</f>
        <v>Confere</v>
      </c>
      <c r="AD99" s="82" t="n">
        <f aca="false">IF(OR($R$4="*",$R$4="Saída"),COUNTIFS('3 Base Saídas'!$G$2:$G$5000,"&gt;="&amp;$F$5,'3 Base Saídas'!$G$2:$G$5000,"&lt;="&amp;$H$5,'3 Base Saídas'!$B$2:$B$5000,$T99,'3 Base Saídas'!$C$2:$C$5000,$AG99),0)+IF($R$4&lt;&gt;"Saída",COUNTIFS('3 Base Entrada 2008'!$F$2:$F$5000,"&gt;="&amp;$F$5,'3 Base Entrada 2008'!$F$2:$F$5000,"&lt;="&amp;$H$5,'3 Base Entrada 2008'!$B$2:$B$5000,$T99,'3 Base Entrada 2008'!$C$2:$C$5000,$AG99,'3 Base Entrada 2008'!$K$2:$K$5000,$R$4),0)</f>
        <v>1</v>
      </c>
      <c r="AE99" s="0" t="str">
        <f aca="false">'5 Conciliação'!K73</f>
        <v>Sem diferença</v>
      </c>
      <c r="AF99" s="82" t="n">
        <f aca="false">IF(AND(AA99=1,AC99&lt;&gt;"Confere"),ABS(Z99)+ROW()/10000000,0)</f>
        <v>0</v>
      </c>
      <c r="AG99" s="82" t="s">
        <v>359</v>
      </c>
      <c r="BB99" s="82" t="n">
        <f aca="false">MIN(IF(_xlfn.MINIFS('3 Base Entrada 2008'!$F$2:$F$5000,'3 Base Entrada 2008'!$F$2:$F$5000,"&gt;="&amp;$F$5,'3 Base Entrada 2008'!$F$2:$F$5000,"&lt;="&amp;$H$5,'3 Base Entrada 2008'!$B$2:$B$5000,$T99,'3 Base Entrada 2008'!$C$2:$C$5000,$AG99)=0,99999,_xlfn.MINIFS('3 Base Entrada 2008'!$F$2:$F$5000,'3 Base Entrada 2008'!$F$2:$F$5000,"&gt;="&amp;$F$5,'3 Base Entrada 2008'!$F$2:$F$5000,"&lt;="&amp;$H$5,'3 Base Entrada 2008'!$B$2:$B$5000,$T99,'3 Base Entrada 2008'!$C$2:$C$5000,$AG99)),IF(_xlfn.MINIFS('3 Base Saídas'!$G$2:$G$5000,'3 Base Saídas'!$G$2:$G$5000,"&gt;="&amp;$F$5,'3 Base Saídas'!$G$2:$G$5000,"&lt;="&amp;$H$5,'3 Base Saídas'!$B$2:$B$5000,$T99,'3 Base Saídas'!$C$2:$C$5000,$AG99)=0,99999,_xlfn.MINIFS('3 Base Saídas'!$G$2:$G$5000,'3 Base Saídas'!$G$2:$G$5000,"&gt;="&amp;$F$5,'3 Base Saídas'!$G$2:$G$5000,"&lt;="&amp;$H$5,'3 Base Saídas'!$B$2:$B$5000,$T99,'3 Base Saídas'!$C$2:$C$5000,$AG99)))</f>
        <v>46280</v>
      </c>
      <c r="BC99" s="82" t="n">
        <f aca="false">MAX(_xlfn.MAXIFS('3 Base Entrada 2008'!$F$2:$F$5000,'3 Base Entrada 2008'!$F$2:$F$5000,"&gt;="&amp;$F$5,'3 Base Entrada 2008'!$F$2:$F$5000,"&lt;="&amp;$H$5,'3 Base Entrada 2008'!$B$2:$B$5000,$T99,'3 Base Entrada 2008'!$C$2:$C$5000,$AG99),_xlfn.MAXIFS('3 Base Saídas'!$G$2:$G$5000,'3 Base Saídas'!$G$2:$G$5000,"&gt;="&amp;$F$5,'3 Base Saídas'!$G$2:$G$5000,"&lt;="&amp;$H$5,'3 Base Saídas'!$B$2:$B$5000,$T99,'3 Base Saídas'!$C$2:$C$5000,$AG99))</f>
        <v>46280</v>
      </c>
      <c r="BD99" s="0" t="str">
        <f aca="false">'5 Conciliação'!L73</f>
        <v>Nenhum ajuste necessário</v>
      </c>
      <c r="BE99" s="0" t="str">
        <f aca="false">'5 Conciliação'!Q73</f>
        <v>—</v>
      </c>
      <c r="BF99" s="0" t="str">
        <f aca="false">'5 Conciliação'!R73</f>
        <v>—</v>
      </c>
      <c r="BH99" s="82" t="n">
        <f aca="false">SUMIFS('3 Base Saldo Inicial 08-09'!$E$2:$E$5000,'3 Base Saldo Inicial 08-09'!$A$2:$A$5000,$T99,'3 Base Saldo Inicial 08-09'!$B$2:$B$5000,$AG99)-SUMIFS('3 Base Saldo Inicial 08-09'!$E$2:$E$5000,'3 Base Saldo Inicial 08-09'!$A$2:$A$5000,$T99,'3 Base Saldo Inicial 08-09'!$B$2:$B$5000,$AG99,'3 Base Saldo Inicial 08-09'!$C$2:$C$5000,"2008")</f>
        <v>0</v>
      </c>
    </row>
    <row r="100" customFormat="false" ht="15" hidden="false" customHeight="false" outlineLevel="0" collapsed="false">
      <c r="A100" s="111" t="str">
        <f aca="false">IF(IFERROR(MATCH(87,$AB$40:$AB$133,0),0)=0,"",INDEX($T$40:$T$133,IFERROR(MATCH(87,$AB$40:$AB$133,0),0)))</f>
        <v/>
      </c>
      <c r="B100" s="111" t="str">
        <f aca="false">IF(IFERROR(MATCH(87,$AB$40:$AB$133,0),0)=0,"",INDEX($AG$40:$AG$133,IFERROR(MATCH(87,$AB$40:$AB$133,0),0)))</f>
        <v/>
      </c>
      <c r="C100" s="112" t="str">
        <f aca="false">IF(IFERROR(MATCH(87,$AB$40:$AB$133,0),0)=0,"",INDEX($U$40:$U$133,IFERROR(MATCH(87,$AB$40:$AB$133,0),0)))</f>
        <v/>
      </c>
      <c r="D100" s="113" t="str">
        <f aca="false">IF(IFERROR(MATCH(87,$AB$40:$AB$133,0),0)=0,"",INDEX($BH$40:$BH$133,IFERROR(MATCH(87,$AB$40:$AB$133,0),0)))</f>
        <v/>
      </c>
      <c r="E100" s="113" t="str">
        <f aca="false">IF(IFERROR(MATCH(87,$AB$40:$AB$133,0),0)=0,"",INDEX($W$40:$W$133,IFERROR(MATCH(87,$AB$40:$AB$133,0),0)))</f>
        <v/>
      </c>
      <c r="F100" s="113" t="str">
        <f aca="false">IF(IFERROR(MATCH(87,$AB$40:$AB$133,0),0)=0,"",INDEX($X$40:$X$133,IFERROR(MATCH(87,$AB$40:$AB$133,0),0)))</f>
        <v/>
      </c>
      <c r="G100" s="113" t="str">
        <f aca="false">IF(A100="","",D100+E100-F100)</f>
        <v/>
      </c>
      <c r="H100" s="113" t="str">
        <f aca="false">IF(IFERROR(MATCH(87,$AB$40:$AB$133,0),0)=0,"",INDEX($Y$40:$Y$133,IFERROR(MATCH(87,$AB$40:$AB$133,0),0)))</f>
        <v/>
      </c>
      <c r="I100" s="114" t="str">
        <f aca="false">IF(IFERROR(MATCH(87,$AB$40:$AB$133,0),0)=0,"",INDEX($Z$40:$Z$133,IFERROR(MATCH(87,$AB$40:$AB$133,0),0)))</f>
        <v/>
      </c>
      <c r="J100" s="115" t="str">
        <f aca="false">IF(IFERROR(MATCH(87,$AB$40:$AB$133,0),0)=0,"",INDEX($AC$40:$AC$133,IFERROR(MATCH(87,$AB$40:$AB$133,0),0)))</f>
        <v/>
      </c>
      <c r="K100" s="116" t="str">
        <f aca="false">IF(IFERROR(MATCH(87,$AB$40:$AB$133,0),0)=0,"",INDEX($AD$40:$AD$133,IFERROR(MATCH(87,$AB$40:$AB$133,0),0)))</f>
        <v/>
      </c>
      <c r="L100" s="117" t="str">
        <f aca="false">IF(IFERROR(MATCH(87,$AB$40:$AB$133,0),0)=0,"",IF(INDEX($BB$40:$BB$133,IFERROR(MATCH(87,$AB$40:$AB$133,0),0))&gt;=99999,"",INDEX($BB$40:$BB$133,IFERROR(MATCH(87,$AB$40:$AB$133,0),0))))</f>
        <v/>
      </c>
      <c r="M100" s="117" t="str">
        <f aca="false">IF(IFERROR(MATCH(87,$AB$40:$AB$133,0),0)=0,"",IF(INDEX($BC$40:$BC$133,IFERROR(MATCH(87,$AB$40:$AB$133,0),0))=0,"",INDEX($BC$40:$BC$133,IFERROR(MATCH(87,$AB$40:$AB$133,0),0))))</f>
        <v/>
      </c>
      <c r="N100" s="118" t="str">
        <f aca="false">IF(IFERROR(MATCH(87,$AB$40:$AB$133,0),0)=0,"",INDEX($AE$40:$AE$133,IFERROR(MATCH(87,$AB$40:$AB$133,0),0))&amp;"")</f>
        <v/>
      </c>
      <c r="O100" s="119" t="str">
        <f aca="false">IF(IFERROR(MATCH(87,$AB$40:$AB$133,0),0)=0,"",INDEX($BD$40:$BD$133,IFERROR(MATCH(87,$AB$40:$AB$133,0),0))&amp;"")</f>
        <v/>
      </c>
      <c r="T100" s="82" t="s">
        <v>260</v>
      </c>
      <c r="U100" s="82" t="s">
        <v>65</v>
      </c>
      <c r="V100" s="82" t="n">
        <f aca="false">SUMIFS('3 Base Entrada 2008'!$G$2:$G$5000,'3 Base Entrada 2008'!$F$2:$F$5000,"&gt;="&amp;$F$5,'3 Base Entrada 2008'!$F$2:$F$5000,"&lt;="&amp;$H$5,'3 Base Entrada 2008'!$B$2:$B$5000,$T100,'3 Base Entrada 2008'!$C$2:$C$5000,$AG100,'3 Base Entrada 2008'!$K$2:$K$5000,"Recebido no 2008")</f>
        <v>0</v>
      </c>
      <c r="W100" s="82" t="n">
        <f aca="false">SUMIFS('3 Base Entrada 2008'!$L$2:$L$5000,'3 Base Entrada 2008'!$F$2:$F$5000,"&gt;="&amp;$F$5,'3 Base Entrada 2008'!$F$2:$F$5000,"&lt;="&amp;$H$5,'3 Base Entrada 2008'!$B$2:$B$5000,$T100,'3 Base Entrada 2008'!$C$2:$C$5000,$AG100)</f>
        <v>108.8</v>
      </c>
      <c r="X100" s="82" t="n">
        <f aca="false">SUMIFS('3 Base Saídas'!$R$2:$R$5000,'3 Base Saídas'!$G$2:$G$5000,"&gt;="&amp;$F$5,'3 Base Saídas'!$G$2:$G$5000,"&lt;="&amp;$H$5,'3 Base Saídas'!$B$2:$B$5000,$T100,'3 Base Saídas'!$C$2:$C$5000,$AG100)</f>
        <v>0</v>
      </c>
      <c r="Y100" s="82" t="n">
        <f aca="false">SUMIFS('3 Base Estoque Físico'!$J$2:$J$5000,'3 Base Estoque Físico'!$A$2:$A$5000,$T100,'3 Base Estoque Físico'!$B$2:$B$5000,$AG100)</f>
        <v>108.8</v>
      </c>
      <c r="Z100" s="82" t="n">
        <f aca="false">ROUND(Y100-(BH100+W100-X100),3)</f>
        <v>0</v>
      </c>
      <c r="AA100" s="82" t="n">
        <f aca="false">IF(AND(U100=$R$3,OR($R$1="*",T100=$R$1),OR($R$2="*",AG100=$R$2),OR($R$6="*",AC100=$R$6),ABS(V100)+ABS(W100)+ABS(X100)+ABS(Y100)&gt;0),1,0)</f>
        <v>1</v>
      </c>
      <c r="AB100" s="82" t="n">
        <f aca="false">IF(AA100=1,SUM(AA$40:AA100),"")</f>
        <v>53</v>
      </c>
      <c r="AC100" s="0" t="str">
        <f aca="false">IF(ABS(Z100)&lt;=$R$5,"Confere",IF(Z100&gt;0,"Sobrando","Faltando"))</f>
        <v>Confere</v>
      </c>
      <c r="AD100" s="82" t="n">
        <f aca="false">IF(OR($R$4="*",$R$4="Saída"),COUNTIFS('3 Base Saídas'!$G$2:$G$5000,"&gt;="&amp;$F$5,'3 Base Saídas'!$G$2:$G$5000,"&lt;="&amp;$H$5,'3 Base Saídas'!$B$2:$B$5000,$T100,'3 Base Saídas'!$C$2:$C$5000,$AG100),0)+IF($R$4&lt;&gt;"Saída",COUNTIFS('3 Base Entrada 2008'!$F$2:$F$5000,"&gt;="&amp;$F$5,'3 Base Entrada 2008'!$F$2:$F$5000,"&lt;="&amp;$H$5,'3 Base Entrada 2008'!$B$2:$B$5000,$T100,'3 Base Entrada 2008'!$C$2:$C$5000,$AG100,'3 Base Entrada 2008'!$K$2:$K$5000,$R$4),0)</f>
        <v>1</v>
      </c>
      <c r="AE100" s="0" t="str">
        <f aca="false">'5 Conciliação'!K74</f>
        <v>Sem diferença</v>
      </c>
      <c r="AF100" s="82" t="n">
        <f aca="false">IF(AND(AA100=1,AC100&lt;&gt;"Confere"),ABS(Z100)+ROW()/10000000,0)</f>
        <v>0</v>
      </c>
      <c r="AG100" s="82" t="s">
        <v>261</v>
      </c>
      <c r="BB100" s="82" t="n">
        <f aca="false">MIN(IF(_xlfn.MINIFS('3 Base Entrada 2008'!$F$2:$F$5000,'3 Base Entrada 2008'!$F$2:$F$5000,"&gt;="&amp;$F$5,'3 Base Entrada 2008'!$F$2:$F$5000,"&lt;="&amp;$H$5,'3 Base Entrada 2008'!$B$2:$B$5000,$T100,'3 Base Entrada 2008'!$C$2:$C$5000,$AG100)=0,99999,_xlfn.MINIFS('3 Base Entrada 2008'!$F$2:$F$5000,'3 Base Entrada 2008'!$F$2:$F$5000,"&gt;="&amp;$F$5,'3 Base Entrada 2008'!$F$2:$F$5000,"&lt;="&amp;$H$5,'3 Base Entrada 2008'!$B$2:$B$5000,$T100,'3 Base Entrada 2008'!$C$2:$C$5000,$AG100)),IF(_xlfn.MINIFS('3 Base Saídas'!$G$2:$G$5000,'3 Base Saídas'!$G$2:$G$5000,"&gt;="&amp;$F$5,'3 Base Saídas'!$G$2:$G$5000,"&lt;="&amp;$H$5,'3 Base Saídas'!$B$2:$B$5000,$T100,'3 Base Saídas'!$C$2:$C$5000,$AG100)=0,99999,_xlfn.MINIFS('3 Base Saídas'!$G$2:$G$5000,'3 Base Saídas'!$G$2:$G$5000,"&gt;="&amp;$F$5,'3 Base Saídas'!$G$2:$G$5000,"&lt;="&amp;$H$5,'3 Base Saídas'!$B$2:$B$5000,$T100,'3 Base Saídas'!$C$2:$C$5000,$AG100)))</f>
        <v>46293</v>
      </c>
      <c r="BC100" s="82" t="n">
        <f aca="false">MAX(_xlfn.MAXIFS('3 Base Entrada 2008'!$F$2:$F$5000,'3 Base Entrada 2008'!$F$2:$F$5000,"&gt;="&amp;$F$5,'3 Base Entrada 2008'!$F$2:$F$5000,"&lt;="&amp;$H$5,'3 Base Entrada 2008'!$B$2:$B$5000,$T100,'3 Base Entrada 2008'!$C$2:$C$5000,$AG100),_xlfn.MAXIFS('3 Base Saídas'!$G$2:$G$5000,'3 Base Saídas'!$G$2:$G$5000,"&gt;="&amp;$F$5,'3 Base Saídas'!$G$2:$G$5000,"&lt;="&amp;$H$5,'3 Base Saídas'!$B$2:$B$5000,$T100,'3 Base Saídas'!$C$2:$C$5000,$AG100))</f>
        <v>46293</v>
      </c>
      <c r="BD100" s="0" t="str">
        <f aca="false">'5 Conciliação'!L74</f>
        <v>Nenhum ajuste necessário</v>
      </c>
      <c r="BE100" s="0" t="str">
        <f aca="false">'5 Conciliação'!Q74</f>
        <v>—</v>
      </c>
      <c r="BF100" s="0" t="str">
        <f aca="false">'5 Conciliação'!R74</f>
        <v>—</v>
      </c>
      <c r="BH100" s="82" t="n">
        <f aca="false">SUMIFS('3 Base Saldo Inicial 08-09'!$E$2:$E$5000,'3 Base Saldo Inicial 08-09'!$A$2:$A$5000,$T100,'3 Base Saldo Inicial 08-09'!$B$2:$B$5000,$AG100)-SUMIFS('3 Base Saldo Inicial 08-09'!$E$2:$E$5000,'3 Base Saldo Inicial 08-09'!$A$2:$A$5000,$T100,'3 Base Saldo Inicial 08-09'!$B$2:$B$5000,$AG100,'3 Base Saldo Inicial 08-09'!$C$2:$C$5000,"2008")</f>
        <v>0</v>
      </c>
    </row>
    <row r="101" customFormat="false" ht="15" hidden="false" customHeight="false" outlineLevel="0" collapsed="false">
      <c r="A101" s="111" t="str">
        <f aca="false">IF(IFERROR(MATCH(88,$AB$40:$AB$133,0),0)=0,"",INDEX($T$40:$T$133,IFERROR(MATCH(88,$AB$40:$AB$133,0),0)))</f>
        <v/>
      </c>
      <c r="B101" s="111" t="str">
        <f aca="false">IF(IFERROR(MATCH(88,$AB$40:$AB$133,0),0)=0,"",INDEX($AG$40:$AG$133,IFERROR(MATCH(88,$AB$40:$AB$133,0),0)))</f>
        <v/>
      </c>
      <c r="C101" s="112" t="str">
        <f aca="false">IF(IFERROR(MATCH(88,$AB$40:$AB$133,0),0)=0,"",INDEX($U$40:$U$133,IFERROR(MATCH(88,$AB$40:$AB$133,0),0)))</f>
        <v/>
      </c>
      <c r="D101" s="113" t="str">
        <f aca="false">IF(IFERROR(MATCH(88,$AB$40:$AB$133,0),0)=0,"",INDEX($BH$40:$BH$133,IFERROR(MATCH(88,$AB$40:$AB$133,0),0)))</f>
        <v/>
      </c>
      <c r="E101" s="113" t="str">
        <f aca="false">IF(IFERROR(MATCH(88,$AB$40:$AB$133,0),0)=0,"",INDEX($W$40:$W$133,IFERROR(MATCH(88,$AB$40:$AB$133,0),0)))</f>
        <v/>
      </c>
      <c r="F101" s="113" t="str">
        <f aca="false">IF(IFERROR(MATCH(88,$AB$40:$AB$133,0),0)=0,"",INDEX($X$40:$X$133,IFERROR(MATCH(88,$AB$40:$AB$133,0),0)))</f>
        <v/>
      </c>
      <c r="G101" s="113" t="str">
        <f aca="false">IF(A101="","",D101+E101-F101)</f>
        <v/>
      </c>
      <c r="H101" s="113" t="str">
        <f aca="false">IF(IFERROR(MATCH(88,$AB$40:$AB$133,0),0)=0,"",INDEX($Y$40:$Y$133,IFERROR(MATCH(88,$AB$40:$AB$133,0),0)))</f>
        <v/>
      </c>
      <c r="I101" s="114" t="str">
        <f aca="false">IF(IFERROR(MATCH(88,$AB$40:$AB$133,0),0)=0,"",INDEX($Z$40:$Z$133,IFERROR(MATCH(88,$AB$40:$AB$133,0),0)))</f>
        <v/>
      </c>
      <c r="J101" s="115" t="str">
        <f aca="false">IF(IFERROR(MATCH(88,$AB$40:$AB$133,0),0)=0,"",INDEX($AC$40:$AC$133,IFERROR(MATCH(88,$AB$40:$AB$133,0),0)))</f>
        <v/>
      </c>
      <c r="K101" s="116" t="str">
        <f aca="false">IF(IFERROR(MATCH(88,$AB$40:$AB$133,0),0)=0,"",INDEX($AD$40:$AD$133,IFERROR(MATCH(88,$AB$40:$AB$133,0),0)))</f>
        <v/>
      </c>
      <c r="L101" s="117" t="str">
        <f aca="false">IF(IFERROR(MATCH(88,$AB$40:$AB$133,0),0)=0,"",IF(INDEX($BB$40:$BB$133,IFERROR(MATCH(88,$AB$40:$AB$133,0),0))&gt;=99999,"",INDEX($BB$40:$BB$133,IFERROR(MATCH(88,$AB$40:$AB$133,0),0))))</f>
        <v/>
      </c>
      <c r="M101" s="117" t="str">
        <f aca="false">IF(IFERROR(MATCH(88,$AB$40:$AB$133,0),0)=0,"",IF(INDEX($BC$40:$BC$133,IFERROR(MATCH(88,$AB$40:$AB$133,0),0))=0,"",INDEX($BC$40:$BC$133,IFERROR(MATCH(88,$AB$40:$AB$133,0),0))))</f>
        <v/>
      </c>
      <c r="N101" s="118" t="str">
        <f aca="false">IF(IFERROR(MATCH(88,$AB$40:$AB$133,0),0)=0,"",INDEX($AE$40:$AE$133,IFERROR(MATCH(88,$AB$40:$AB$133,0),0))&amp;"")</f>
        <v/>
      </c>
      <c r="O101" s="119" t="str">
        <f aca="false">IF(IFERROR(MATCH(88,$AB$40:$AB$133,0),0)=0,"",INDEX($BD$40:$BD$133,IFERROR(MATCH(88,$AB$40:$AB$133,0),0))&amp;"")</f>
        <v/>
      </c>
      <c r="T101" s="82" t="s">
        <v>260</v>
      </c>
      <c r="U101" s="82" t="s">
        <v>65</v>
      </c>
      <c r="V101" s="82" t="n">
        <f aca="false">SUMIFS('3 Base Entrada 2008'!$G$2:$G$5000,'3 Base Entrada 2008'!$F$2:$F$5000,"&gt;="&amp;$F$5,'3 Base Entrada 2008'!$F$2:$F$5000,"&lt;="&amp;$H$5,'3 Base Entrada 2008'!$B$2:$B$5000,$T101,'3 Base Entrada 2008'!$C$2:$C$5000,$AG101,'3 Base Entrada 2008'!$K$2:$K$5000,"Recebido no 2008")</f>
        <v>0</v>
      </c>
      <c r="W101" s="82" t="n">
        <f aca="false">SUMIFS('3 Base Entrada 2008'!$L$2:$L$5000,'3 Base Entrada 2008'!$F$2:$F$5000,"&gt;="&amp;$F$5,'3 Base Entrada 2008'!$F$2:$F$5000,"&lt;="&amp;$H$5,'3 Base Entrada 2008'!$B$2:$B$5000,$T101,'3 Base Entrada 2008'!$C$2:$C$5000,$AG101)</f>
        <v>195.84</v>
      </c>
      <c r="X101" s="82" t="n">
        <f aca="false">SUMIFS('3 Base Saídas'!$R$2:$R$5000,'3 Base Saídas'!$G$2:$G$5000,"&gt;="&amp;$F$5,'3 Base Saídas'!$G$2:$G$5000,"&lt;="&amp;$H$5,'3 Base Saídas'!$B$2:$B$5000,$T101,'3 Base Saídas'!$C$2:$C$5000,$AG101)</f>
        <v>0</v>
      </c>
      <c r="Y101" s="82" t="n">
        <f aca="false">SUMIFS('3 Base Estoque Físico'!$J$2:$J$5000,'3 Base Estoque Físico'!$A$2:$A$5000,$T101,'3 Base Estoque Físico'!$B$2:$B$5000,$AG101)</f>
        <v>195.84</v>
      </c>
      <c r="Z101" s="82" t="n">
        <f aca="false">ROUND(Y101-(BH101+W101-X101),3)</f>
        <v>0</v>
      </c>
      <c r="AA101" s="82" t="n">
        <f aca="false">IF(AND(U101=$R$3,OR($R$1="*",T101=$R$1),OR($R$2="*",AG101=$R$2),OR($R$6="*",AC101=$R$6),ABS(V101)+ABS(W101)+ABS(X101)+ABS(Y101)&gt;0),1,0)</f>
        <v>1</v>
      </c>
      <c r="AB101" s="82" t="n">
        <f aca="false">IF(AA101=1,SUM(AA$40:AA101),"")</f>
        <v>54</v>
      </c>
      <c r="AC101" s="0" t="str">
        <f aca="false">IF(ABS(Z101)&lt;=$R$5,"Confere",IF(Z101&gt;0,"Sobrando","Faltando"))</f>
        <v>Confere</v>
      </c>
      <c r="AD101" s="82" t="n">
        <f aca="false">IF(OR($R$4="*",$R$4="Saída"),COUNTIFS('3 Base Saídas'!$G$2:$G$5000,"&gt;="&amp;$F$5,'3 Base Saídas'!$G$2:$G$5000,"&lt;="&amp;$H$5,'3 Base Saídas'!$B$2:$B$5000,$T101,'3 Base Saídas'!$C$2:$C$5000,$AG101),0)+IF($R$4&lt;&gt;"Saída",COUNTIFS('3 Base Entrada 2008'!$F$2:$F$5000,"&gt;="&amp;$F$5,'3 Base Entrada 2008'!$F$2:$F$5000,"&lt;="&amp;$H$5,'3 Base Entrada 2008'!$B$2:$B$5000,$T101,'3 Base Entrada 2008'!$C$2:$C$5000,$AG101,'3 Base Entrada 2008'!$K$2:$K$5000,$R$4),0)</f>
        <v>1</v>
      </c>
      <c r="AE101" s="0" t="str">
        <f aca="false">'5 Conciliação'!K75</f>
        <v>Sem diferença</v>
      </c>
      <c r="AF101" s="82" t="n">
        <f aca="false">IF(AND(AA101=1,AC101&lt;&gt;"Confere"),ABS(Z101)+ROW()/10000000,0)</f>
        <v>0</v>
      </c>
      <c r="AG101" s="82" t="s">
        <v>362</v>
      </c>
      <c r="BB101" s="82" t="n">
        <f aca="false">MIN(IF(_xlfn.MINIFS('3 Base Entrada 2008'!$F$2:$F$5000,'3 Base Entrada 2008'!$F$2:$F$5000,"&gt;="&amp;$F$5,'3 Base Entrada 2008'!$F$2:$F$5000,"&lt;="&amp;$H$5,'3 Base Entrada 2008'!$B$2:$B$5000,$T101,'3 Base Entrada 2008'!$C$2:$C$5000,$AG101)=0,99999,_xlfn.MINIFS('3 Base Entrada 2008'!$F$2:$F$5000,'3 Base Entrada 2008'!$F$2:$F$5000,"&gt;="&amp;$F$5,'3 Base Entrada 2008'!$F$2:$F$5000,"&lt;="&amp;$H$5,'3 Base Entrada 2008'!$B$2:$B$5000,$T101,'3 Base Entrada 2008'!$C$2:$C$5000,$AG101)),IF(_xlfn.MINIFS('3 Base Saídas'!$G$2:$G$5000,'3 Base Saídas'!$G$2:$G$5000,"&gt;="&amp;$F$5,'3 Base Saídas'!$G$2:$G$5000,"&lt;="&amp;$H$5,'3 Base Saídas'!$B$2:$B$5000,$T101,'3 Base Saídas'!$C$2:$C$5000,$AG101)=0,99999,_xlfn.MINIFS('3 Base Saídas'!$G$2:$G$5000,'3 Base Saídas'!$G$2:$G$5000,"&gt;="&amp;$F$5,'3 Base Saídas'!$G$2:$G$5000,"&lt;="&amp;$H$5,'3 Base Saídas'!$B$2:$B$5000,$T101,'3 Base Saídas'!$C$2:$C$5000,$AG101)))</f>
        <v>46274</v>
      </c>
      <c r="BC101" s="82" t="n">
        <f aca="false">MAX(_xlfn.MAXIFS('3 Base Entrada 2008'!$F$2:$F$5000,'3 Base Entrada 2008'!$F$2:$F$5000,"&gt;="&amp;$F$5,'3 Base Entrada 2008'!$F$2:$F$5000,"&lt;="&amp;$H$5,'3 Base Entrada 2008'!$B$2:$B$5000,$T101,'3 Base Entrada 2008'!$C$2:$C$5000,$AG101),_xlfn.MAXIFS('3 Base Saídas'!$G$2:$G$5000,'3 Base Saídas'!$G$2:$G$5000,"&gt;="&amp;$F$5,'3 Base Saídas'!$G$2:$G$5000,"&lt;="&amp;$H$5,'3 Base Saídas'!$B$2:$B$5000,$T101,'3 Base Saídas'!$C$2:$C$5000,$AG101))</f>
        <v>46274</v>
      </c>
      <c r="BD101" s="0" t="str">
        <f aca="false">'5 Conciliação'!L75</f>
        <v>Nenhum ajuste necessário</v>
      </c>
      <c r="BE101" s="0" t="str">
        <f aca="false">'5 Conciliação'!Q75</f>
        <v>—</v>
      </c>
      <c r="BF101" s="0" t="str">
        <f aca="false">'5 Conciliação'!R75</f>
        <v>—</v>
      </c>
      <c r="BH101" s="82" t="n">
        <f aca="false">SUMIFS('3 Base Saldo Inicial 08-09'!$E$2:$E$5000,'3 Base Saldo Inicial 08-09'!$A$2:$A$5000,$T101,'3 Base Saldo Inicial 08-09'!$B$2:$B$5000,$AG101)-SUMIFS('3 Base Saldo Inicial 08-09'!$E$2:$E$5000,'3 Base Saldo Inicial 08-09'!$A$2:$A$5000,$T101,'3 Base Saldo Inicial 08-09'!$B$2:$B$5000,$AG101,'3 Base Saldo Inicial 08-09'!$C$2:$C$5000,"2008")</f>
        <v>0</v>
      </c>
    </row>
    <row r="102" customFormat="false" ht="15" hidden="false" customHeight="false" outlineLevel="0" collapsed="false">
      <c r="A102" s="111" t="str">
        <f aca="false">IF(IFERROR(MATCH(89,$AB$40:$AB$133,0),0)=0,"",INDEX($T$40:$T$133,IFERROR(MATCH(89,$AB$40:$AB$133,0),0)))</f>
        <v/>
      </c>
      <c r="B102" s="111" t="str">
        <f aca="false">IF(IFERROR(MATCH(89,$AB$40:$AB$133,0),0)=0,"",INDEX($AG$40:$AG$133,IFERROR(MATCH(89,$AB$40:$AB$133,0),0)))</f>
        <v/>
      </c>
      <c r="C102" s="112" t="str">
        <f aca="false">IF(IFERROR(MATCH(89,$AB$40:$AB$133,0),0)=0,"",INDEX($U$40:$U$133,IFERROR(MATCH(89,$AB$40:$AB$133,0),0)))</f>
        <v/>
      </c>
      <c r="D102" s="113" t="str">
        <f aca="false">IF(IFERROR(MATCH(89,$AB$40:$AB$133,0),0)=0,"",INDEX($BH$40:$BH$133,IFERROR(MATCH(89,$AB$40:$AB$133,0),0)))</f>
        <v/>
      </c>
      <c r="E102" s="113" t="str">
        <f aca="false">IF(IFERROR(MATCH(89,$AB$40:$AB$133,0),0)=0,"",INDEX($W$40:$W$133,IFERROR(MATCH(89,$AB$40:$AB$133,0),0)))</f>
        <v/>
      </c>
      <c r="F102" s="113" t="str">
        <f aca="false">IF(IFERROR(MATCH(89,$AB$40:$AB$133,0),0)=0,"",INDEX($X$40:$X$133,IFERROR(MATCH(89,$AB$40:$AB$133,0),0)))</f>
        <v/>
      </c>
      <c r="G102" s="113" t="str">
        <f aca="false">IF(A102="","",D102+E102-F102)</f>
        <v/>
      </c>
      <c r="H102" s="113" t="str">
        <f aca="false">IF(IFERROR(MATCH(89,$AB$40:$AB$133,0),0)=0,"",INDEX($Y$40:$Y$133,IFERROR(MATCH(89,$AB$40:$AB$133,0),0)))</f>
        <v/>
      </c>
      <c r="I102" s="114" t="str">
        <f aca="false">IF(IFERROR(MATCH(89,$AB$40:$AB$133,0),0)=0,"",INDEX($Z$40:$Z$133,IFERROR(MATCH(89,$AB$40:$AB$133,0),0)))</f>
        <v/>
      </c>
      <c r="J102" s="115" t="str">
        <f aca="false">IF(IFERROR(MATCH(89,$AB$40:$AB$133,0),0)=0,"",INDEX($AC$40:$AC$133,IFERROR(MATCH(89,$AB$40:$AB$133,0),0)))</f>
        <v/>
      </c>
      <c r="K102" s="116" t="str">
        <f aca="false">IF(IFERROR(MATCH(89,$AB$40:$AB$133,0),0)=0,"",INDEX($AD$40:$AD$133,IFERROR(MATCH(89,$AB$40:$AB$133,0),0)))</f>
        <v/>
      </c>
      <c r="L102" s="117" t="str">
        <f aca="false">IF(IFERROR(MATCH(89,$AB$40:$AB$133,0),0)=0,"",IF(INDEX($BB$40:$BB$133,IFERROR(MATCH(89,$AB$40:$AB$133,0),0))&gt;=99999,"",INDEX($BB$40:$BB$133,IFERROR(MATCH(89,$AB$40:$AB$133,0),0))))</f>
        <v/>
      </c>
      <c r="M102" s="117" t="str">
        <f aca="false">IF(IFERROR(MATCH(89,$AB$40:$AB$133,0),0)=0,"",IF(INDEX($BC$40:$BC$133,IFERROR(MATCH(89,$AB$40:$AB$133,0),0))=0,"",INDEX($BC$40:$BC$133,IFERROR(MATCH(89,$AB$40:$AB$133,0),0))))</f>
        <v/>
      </c>
      <c r="N102" s="118" t="str">
        <f aca="false">IF(IFERROR(MATCH(89,$AB$40:$AB$133,0),0)=0,"",INDEX($AE$40:$AE$133,IFERROR(MATCH(89,$AB$40:$AB$133,0),0))&amp;"")</f>
        <v/>
      </c>
      <c r="O102" s="119" t="str">
        <f aca="false">IF(IFERROR(MATCH(89,$AB$40:$AB$133,0),0)=0,"",INDEX($BD$40:$BD$133,IFERROR(MATCH(89,$AB$40:$AB$133,0),0))&amp;"")</f>
        <v/>
      </c>
      <c r="T102" s="82" t="s">
        <v>260</v>
      </c>
      <c r="U102" s="82" t="s">
        <v>65</v>
      </c>
      <c r="V102" s="82" t="n">
        <f aca="false">SUMIFS('3 Base Entrada 2008'!$G$2:$G$5000,'3 Base Entrada 2008'!$F$2:$F$5000,"&gt;="&amp;$F$5,'3 Base Entrada 2008'!$F$2:$F$5000,"&lt;="&amp;$H$5,'3 Base Entrada 2008'!$B$2:$B$5000,$T102,'3 Base Entrada 2008'!$C$2:$C$5000,$AG102,'3 Base Entrada 2008'!$K$2:$K$5000,"Recebido no 2008")</f>
        <v>0</v>
      </c>
      <c r="W102" s="82" t="n">
        <f aca="false">SUMIFS('3 Base Entrada 2008'!$L$2:$L$5000,'3 Base Entrada 2008'!$F$2:$F$5000,"&gt;="&amp;$F$5,'3 Base Entrada 2008'!$F$2:$F$5000,"&lt;="&amp;$H$5,'3 Base Entrada 2008'!$B$2:$B$5000,$T102,'3 Base Entrada 2008'!$C$2:$C$5000,$AG102)</f>
        <v>295.12</v>
      </c>
      <c r="X102" s="82" t="n">
        <f aca="false">SUMIFS('3 Base Saídas'!$R$2:$R$5000,'3 Base Saídas'!$G$2:$G$5000,"&gt;="&amp;$F$5,'3 Base Saídas'!$G$2:$G$5000,"&lt;="&amp;$H$5,'3 Base Saídas'!$B$2:$B$5000,$T102,'3 Base Saídas'!$C$2:$C$5000,$AG102)</f>
        <v>0</v>
      </c>
      <c r="Y102" s="82" t="n">
        <f aca="false">SUMIFS('3 Base Estoque Físico'!$J$2:$J$5000,'3 Base Estoque Físico'!$A$2:$A$5000,$T102,'3 Base Estoque Físico'!$B$2:$B$5000,$AG102)</f>
        <v>295.12</v>
      </c>
      <c r="Z102" s="82" t="n">
        <f aca="false">ROUND(Y102-(BH102+W102-X102),3)</f>
        <v>0</v>
      </c>
      <c r="AA102" s="82" t="n">
        <f aca="false">IF(AND(U102=$R$3,OR($R$1="*",T102=$R$1),OR($R$2="*",AG102=$R$2),OR($R$6="*",AC102=$R$6),ABS(V102)+ABS(W102)+ABS(X102)+ABS(Y102)&gt;0),1,0)</f>
        <v>1</v>
      </c>
      <c r="AB102" s="82" t="n">
        <f aca="false">IF(AA102=1,SUM(AA$40:AA102),"")</f>
        <v>55</v>
      </c>
      <c r="AC102" s="0" t="str">
        <f aca="false">IF(ABS(Z102)&lt;=$R$5,"Confere",IF(Z102&gt;0,"Sobrando","Faltando"))</f>
        <v>Confere</v>
      </c>
      <c r="AD102" s="82" t="n">
        <f aca="false">IF(OR($R$4="*",$R$4="Saída"),COUNTIFS('3 Base Saídas'!$G$2:$G$5000,"&gt;="&amp;$F$5,'3 Base Saídas'!$G$2:$G$5000,"&lt;="&amp;$H$5,'3 Base Saídas'!$B$2:$B$5000,$T102,'3 Base Saídas'!$C$2:$C$5000,$AG102),0)+IF($R$4&lt;&gt;"Saída",COUNTIFS('3 Base Entrada 2008'!$F$2:$F$5000,"&gt;="&amp;$F$5,'3 Base Entrada 2008'!$F$2:$F$5000,"&lt;="&amp;$H$5,'3 Base Entrada 2008'!$B$2:$B$5000,$T102,'3 Base Entrada 2008'!$C$2:$C$5000,$AG102,'3 Base Entrada 2008'!$K$2:$K$5000,$R$4),0)</f>
        <v>1</v>
      </c>
      <c r="AE102" s="0" t="str">
        <f aca="false">'5 Conciliação'!K76</f>
        <v>Sem diferença</v>
      </c>
      <c r="AF102" s="82" t="n">
        <f aca="false">IF(AND(AA102=1,AC102&lt;&gt;"Confere"),ABS(Z102)+ROW()/10000000,0)</f>
        <v>0</v>
      </c>
      <c r="AG102" s="82" t="s">
        <v>363</v>
      </c>
      <c r="BB102" s="82" t="n">
        <f aca="false">MIN(IF(_xlfn.MINIFS('3 Base Entrada 2008'!$F$2:$F$5000,'3 Base Entrada 2008'!$F$2:$F$5000,"&gt;="&amp;$F$5,'3 Base Entrada 2008'!$F$2:$F$5000,"&lt;="&amp;$H$5,'3 Base Entrada 2008'!$B$2:$B$5000,$T102,'3 Base Entrada 2008'!$C$2:$C$5000,$AG102)=0,99999,_xlfn.MINIFS('3 Base Entrada 2008'!$F$2:$F$5000,'3 Base Entrada 2008'!$F$2:$F$5000,"&gt;="&amp;$F$5,'3 Base Entrada 2008'!$F$2:$F$5000,"&lt;="&amp;$H$5,'3 Base Entrada 2008'!$B$2:$B$5000,$T102,'3 Base Entrada 2008'!$C$2:$C$5000,$AG102)),IF(_xlfn.MINIFS('3 Base Saídas'!$G$2:$G$5000,'3 Base Saídas'!$G$2:$G$5000,"&gt;="&amp;$F$5,'3 Base Saídas'!$G$2:$G$5000,"&lt;="&amp;$H$5,'3 Base Saídas'!$B$2:$B$5000,$T102,'3 Base Saídas'!$C$2:$C$5000,$AG102)=0,99999,_xlfn.MINIFS('3 Base Saídas'!$G$2:$G$5000,'3 Base Saídas'!$G$2:$G$5000,"&gt;="&amp;$F$5,'3 Base Saídas'!$G$2:$G$5000,"&lt;="&amp;$H$5,'3 Base Saídas'!$B$2:$B$5000,$T102,'3 Base Saídas'!$C$2:$C$5000,$AG102)))</f>
        <v>46274</v>
      </c>
      <c r="BC102" s="82" t="n">
        <f aca="false">MAX(_xlfn.MAXIFS('3 Base Entrada 2008'!$F$2:$F$5000,'3 Base Entrada 2008'!$F$2:$F$5000,"&gt;="&amp;$F$5,'3 Base Entrada 2008'!$F$2:$F$5000,"&lt;="&amp;$H$5,'3 Base Entrada 2008'!$B$2:$B$5000,$T102,'3 Base Entrada 2008'!$C$2:$C$5000,$AG102),_xlfn.MAXIFS('3 Base Saídas'!$G$2:$G$5000,'3 Base Saídas'!$G$2:$G$5000,"&gt;="&amp;$F$5,'3 Base Saídas'!$G$2:$G$5000,"&lt;="&amp;$H$5,'3 Base Saídas'!$B$2:$B$5000,$T102,'3 Base Saídas'!$C$2:$C$5000,$AG102))</f>
        <v>46274</v>
      </c>
      <c r="BD102" s="0" t="str">
        <f aca="false">'5 Conciliação'!L76</f>
        <v>Nenhum ajuste necessário</v>
      </c>
      <c r="BE102" s="0" t="str">
        <f aca="false">'5 Conciliação'!Q76</f>
        <v>—</v>
      </c>
      <c r="BF102" s="0" t="str">
        <f aca="false">'5 Conciliação'!R76</f>
        <v>—</v>
      </c>
      <c r="BH102" s="82" t="n">
        <f aca="false">SUMIFS('3 Base Saldo Inicial 08-09'!$E$2:$E$5000,'3 Base Saldo Inicial 08-09'!$A$2:$A$5000,$T102,'3 Base Saldo Inicial 08-09'!$B$2:$B$5000,$AG102)-SUMIFS('3 Base Saldo Inicial 08-09'!$E$2:$E$5000,'3 Base Saldo Inicial 08-09'!$A$2:$A$5000,$T102,'3 Base Saldo Inicial 08-09'!$B$2:$B$5000,$AG102,'3 Base Saldo Inicial 08-09'!$C$2:$C$5000,"2008")</f>
        <v>0</v>
      </c>
    </row>
    <row r="103" customFormat="false" ht="15" hidden="false" customHeight="false" outlineLevel="0" collapsed="false">
      <c r="A103" s="111" t="str">
        <f aca="false">IF(IFERROR(MATCH(90,$AB$40:$AB$133,0),0)=0,"",INDEX($T$40:$T$133,IFERROR(MATCH(90,$AB$40:$AB$133,0),0)))</f>
        <v/>
      </c>
      <c r="B103" s="111" t="str">
        <f aca="false">IF(IFERROR(MATCH(90,$AB$40:$AB$133,0),0)=0,"",INDEX($AG$40:$AG$133,IFERROR(MATCH(90,$AB$40:$AB$133,0),0)))</f>
        <v/>
      </c>
      <c r="C103" s="112" t="str">
        <f aca="false">IF(IFERROR(MATCH(90,$AB$40:$AB$133,0),0)=0,"",INDEX($U$40:$U$133,IFERROR(MATCH(90,$AB$40:$AB$133,0),0)))</f>
        <v/>
      </c>
      <c r="D103" s="113" t="str">
        <f aca="false">IF(IFERROR(MATCH(90,$AB$40:$AB$133,0),0)=0,"",INDEX($BH$40:$BH$133,IFERROR(MATCH(90,$AB$40:$AB$133,0),0)))</f>
        <v/>
      </c>
      <c r="E103" s="113" t="str">
        <f aca="false">IF(IFERROR(MATCH(90,$AB$40:$AB$133,0),0)=0,"",INDEX($W$40:$W$133,IFERROR(MATCH(90,$AB$40:$AB$133,0),0)))</f>
        <v/>
      </c>
      <c r="F103" s="113" t="str">
        <f aca="false">IF(IFERROR(MATCH(90,$AB$40:$AB$133,0),0)=0,"",INDEX($X$40:$X$133,IFERROR(MATCH(90,$AB$40:$AB$133,0),0)))</f>
        <v/>
      </c>
      <c r="G103" s="113" t="str">
        <f aca="false">IF(A103="","",D103+E103-F103)</f>
        <v/>
      </c>
      <c r="H103" s="113" t="str">
        <f aca="false">IF(IFERROR(MATCH(90,$AB$40:$AB$133,0),0)=0,"",INDEX($Y$40:$Y$133,IFERROR(MATCH(90,$AB$40:$AB$133,0),0)))</f>
        <v/>
      </c>
      <c r="I103" s="114" t="str">
        <f aca="false">IF(IFERROR(MATCH(90,$AB$40:$AB$133,0),0)=0,"",INDEX($Z$40:$Z$133,IFERROR(MATCH(90,$AB$40:$AB$133,0),0)))</f>
        <v/>
      </c>
      <c r="J103" s="115" t="str">
        <f aca="false">IF(IFERROR(MATCH(90,$AB$40:$AB$133,0),0)=0,"",INDEX($AC$40:$AC$133,IFERROR(MATCH(90,$AB$40:$AB$133,0),0)))</f>
        <v/>
      </c>
      <c r="K103" s="116" t="str">
        <f aca="false">IF(IFERROR(MATCH(90,$AB$40:$AB$133,0),0)=0,"",INDEX($AD$40:$AD$133,IFERROR(MATCH(90,$AB$40:$AB$133,0),0)))</f>
        <v/>
      </c>
      <c r="L103" s="117" t="str">
        <f aca="false">IF(IFERROR(MATCH(90,$AB$40:$AB$133,0),0)=0,"",IF(INDEX($BB$40:$BB$133,IFERROR(MATCH(90,$AB$40:$AB$133,0),0))&gt;=99999,"",INDEX($BB$40:$BB$133,IFERROR(MATCH(90,$AB$40:$AB$133,0),0))))</f>
        <v/>
      </c>
      <c r="M103" s="117" t="str">
        <f aca="false">IF(IFERROR(MATCH(90,$AB$40:$AB$133,0),0)=0,"",IF(INDEX($BC$40:$BC$133,IFERROR(MATCH(90,$AB$40:$AB$133,0),0))=0,"",INDEX($BC$40:$BC$133,IFERROR(MATCH(90,$AB$40:$AB$133,0),0))))</f>
        <v/>
      </c>
      <c r="N103" s="118" t="str">
        <f aca="false">IF(IFERROR(MATCH(90,$AB$40:$AB$133,0),0)=0,"",INDEX($AE$40:$AE$133,IFERROR(MATCH(90,$AB$40:$AB$133,0),0))&amp;"")</f>
        <v/>
      </c>
      <c r="O103" s="119" t="str">
        <f aca="false">IF(IFERROR(MATCH(90,$AB$40:$AB$133,0),0)=0,"",INDEX($BD$40:$BD$133,IFERROR(MATCH(90,$AB$40:$AB$133,0),0))&amp;"")</f>
        <v/>
      </c>
      <c r="T103" s="82" t="s">
        <v>266</v>
      </c>
      <c r="U103" s="82" t="s">
        <v>65</v>
      </c>
      <c r="V103" s="82" t="n">
        <f aca="false">SUMIFS('3 Base Entrada 2008'!$G$2:$G$5000,'3 Base Entrada 2008'!$F$2:$F$5000,"&gt;="&amp;$F$5,'3 Base Entrada 2008'!$F$2:$F$5000,"&lt;="&amp;$H$5,'3 Base Entrada 2008'!$B$2:$B$5000,$T103,'3 Base Entrada 2008'!$C$2:$C$5000,$AG103,'3 Base Entrada 2008'!$K$2:$K$5000,"Recebido no 2008")</f>
        <v>0</v>
      </c>
      <c r="W103" s="82" t="n">
        <f aca="false">SUMIFS('3 Base Entrada 2008'!$L$2:$L$5000,'3 Base Entrada 2008'!$F$2:$F$5000,"&gt;="&amp;$F$5,'3 Base Entrada 2008'!$F$2:$F$5000,"&lt;="&amp;$H$5,'3 Base Entrada 2008'!$B$2:$B$5000,$T103,'3 Base Entrada 2008'!$C$2:$C$5000,$AG103)</f>
        <v>432</v>
      </c>
      <c r="X103" s="82" t="n">
        <f aca="false">SUMIFS('3 Base Saídas'!$R$2:$R$5000,'3 Base Saídas'!$G$2:$G$5000,"&gt;="&amp;$F$5,'3 Base Saídas'!$G$2:$G$5000,"&lt;="&amp;$H$5,'3 Base Saídas'!$B$2:$B$5000,$T103,'3 Base Saídas'!$C$2:$C$5000,$AG103)</f>
        <v>0</v>
      </c>
      <c r="Y103" s="82" t="n">
        <f aca="false">SUMIFS('3 Base Estoque Físico'!$J$2:$J$5000,'3 Base Estoque Físico'!$A$2:$A$5000,$T103,'3 Base Estoque Físico'!$B$2:$B$5000,$AG103)</f>
        <v>432</v>
      </c>
      <c r="Z103" s="82" t="n">
        <f aca="false">ROUND(Y103-(BH103+W103-X103),3)</f>
        <v>0</v>
      </c>
      <c r="AA103" s="82" t="n">
        <f aca="false">IF(AND(U103=$R$3,OR($R$1="*",T103=$R$1),OR($R$2="*",AG103=$R$2),OR($R$6="*",AC103=$R$6),ABS(V103)+ABS(W103)+ABS(X103)+ABS(Y103)&gt;0),1,0)</f>
        <v>1</v>
      </c>
      <c r="AB103" s="82" t="n">
        <f aca="false">IF(AA103=1,SUM(AA$40:AA103),"")</f>
        <v>56</v>
      </c>
      <c r="AC103" s="0" t="str">
        <f aca="false">IF(ABS(Z103)&lt;=$R$5,"Confere",IF(Z103&gt;0,"Sobrando","Faltando"))</f>
        <v>Confere</v>
      </c>
      <c r="AD103" s="82" t="n">
        <f aca="false">IF(OR($R$4="*",$R$4="Saída"),COUNTIFS('3 Base Saídas'!$G$2:$G$5000,"&gt;="&amp;$F$5,'3 Base Saídas'!$G$2:$G$5000,"&lt;="&amp;$H$5,'3 Base Saídas'!$B$2:$B$5000,$T103,'3 Base Saídas'!$C$2:$C$5000,$AG103),0)+IF($R$4&lt;&gt;"Saída",COUNTIFS('3 Base Entrada 2008'!$F$2:$F$5000,"&gt;="&amp;$F$5,'3 Base Entrada 2008'!$F$2:$F$5000,"&lt;="&amp;$H$5,'3 Base Entrada 2008'!$B$2:$B$5000,$T103,'3 Base Entrada 2008'!$C$2:$C$5000,$AG103,'3 Base Entrada 2008'!$K$2:$K$5000,$R$4),0)</f>
        <v>1</v>
      </c>
      <c r="AE103" s="0" t="str">
        <f aca="false">'5 Conciliação'!K77</f>
        <v>Sem diferença</v>
      </c>
      <c r="AF103" s="82" t="n">
        <f aca="false">IF(AND(AA103=1,AC103&lt;&gt;"Confere"),ABS(Z103)+ROW()/10000000,0)</f>
        <v>0</v>
      </c>
      <c r="AG103" s="82" t="s">
        <v>267</v>
      </c>
      <c r="BB103" s="82" t="n">
        <f aca="false">MIN(IF(_xlfn.MINIFS('3 Base Entrada 2008'!$F$2:$F$5000,'3 Base Entrada 2008'!$F$2:$F$5000,"&gt;="&amp;$F$5,'3 Base Entrada 2008'!$F$2:$F$5000,"&lt;="&amp;$H$5,'3 Base Entrada 2008'!$B$2:$B$5000,$T103,'3 Base Entrada 2008'!$C$2:$C$5000,$AG103)=0,99999,_xlfn.MINIFS('3 Base Entrada 2008'!$F$2:$F$5000,'3 Base Entrada 2008'!$F$2:$F$5000,"&gt;="&amp;$F$5,'3 Base Entrada 2008'!$F$2:$F$5000,"&lt;="&amp;$H$5,'3 Base Entrada 2008'!$B$2:$B$5000,$T103,'3 Base Entrada 2008'!$C$2:$C$5000,$AG103)),IF(_xlfn.MINIFS('3 Base Saídas'!$G$2:$G$5000,'3 Base Saídas'!$G$2:$G$5000,"&gt;="&amp;$F$5,'3 Base Saídas'!$G$2:$G$5000,"&lt;="&amp;$H$5,'3 Base Saídas'!$B$2:$B$5000,$T103,'3 Base Saídas'!$C$2:$C$5000,$AG103)=0,99999,_xlfn.MINIFS('3 Base Saídas'!$G$2:$G$5000,'3 Base Saídas'!$G$2:$G$5000,"&gt;="&amp;$F$5,'3 Base Saídas'!$G$2:$G$5000,"&lt;="&amp;$H$5,'3 Base Saídas'!$B$2:$B$5000,$T103,'3 Base Saídas'!$C$2:$C$5000,$AG103)))</f>
        <v>46294</v>
      </c>
      <c r="BC103" s="82" t="n">
        <f aca="false">MAX(_xlfn.MAXIFS('3 Base Entrada 2008'!$F$2:$F$5000,'3 Base Entrada 2008'!$F$2:$F$5000,"&gt;="&amp;$F$5,'3 Base Entrada 2008'!$F$2:$F$5000,"&lt;="&amp;$H$5,'3 Base Entrada 2008'!$B$2:$B$5000,$T103,'3 Base Entrada 2008'!$C$2:$C$5000,$AG103),_xlfn.MAXIFS('3 Base Saídas'!$G$2:$G$5000,'3 Base Saídas'!$G$2:$G$5000,"&gt;="&amp;$F$5,'3 Base Saídas'!$G$2:$G$5000,"&lt;="&amp;$H$5,'3 Base Saídas'!$B$2:$B$5000,$T103,'3 Base Saídas'!$C$2:$C$5000,$AG103))</f>
        <v>46294</v>
      </c>
      <c r="BD103" s="0" t="str">
        <f aca="false">'5 Conciliação'!L77</f>
        <v>Nenhum ajuste necessário</v>
      </c>
      <c r="BE103" s="0" t="str">
        <f aca="false">'5 Conciliação'!Q77</f>
        <v>—</v>
      </c>
      <c r="BF103" s="0" t="str">
        <f aca="false">'5 Conciliação'!R77</f>
        <v>—</v>
      </c>
      <c r="BH103" s="82" t="n">
        <f aca="false">SUMIFS('3 Base Saldo Inicial 08-09'!$E$2:$E$5000,'3 Base Saldo Inicial 08-09'!$A$2:$A$5000,$T103,'3 Base Saldo Inicial 08-09'!$B$2:$B$5000,$AG103)-SUMIFS('3 Base Saldo Inicial 08-09'!$E$2:$E$5000,'3 Base Saldo Inicial 08-09'!$A$2:$A$5000,$T103,'3 Base Saldo Inicial 08-09'!$B$2:$B$5000,$AG103,'3 Base Saldo Inicial 08-09'!$C$2:$C$5000,"2008")</f>
        <v>0</v>
      </c>
    </row>
    <row r="104" customFormat="false" ht="15" hidden="false" customHeight="false" outlineLevel="0" collapsed="false">
      <c r="A104" s="111" t="str">
        <f aca="false">IF(IFERROR(MATCH(91,$AB$40:$AB$133,0),0)=0,"",INDEX($T$40:$T$133,IFERROR(MATCH(91,$AB$40:$AB$133,0),0)))</f>
        <v/>
      </c>
      <c r="B104" s="111" t="str">
        <f aca="false">IF(IFERROR(MATCH(91,$AB$40:$AB$133,0),0)=0,"",INDEX($AG$40:$AG$133,IFERROR(MATCH(91,$AB$40:$AB$133,0),0)))</f>
        <v/>
      </c>
      <c r="C104" s="112" t="str">
        <f aca="false">IF(IFERROR(MATCH(91,$AB$40:$AB$133,0),0)=0,"",INDEX($U$40:$U$133,IFERROR(MATCH(91,$AB$40:$AB$133,0),0)))</f>
        <v/>
      </c>
      <c r="D104" s="113" t="str">
        <f aca="false">IF(IFERROR(MATCH(91,$AB$40:$AB$133,0),0)=0,"",INDEX($BH$40:$BH$133,IFERROR(MATCH(91,$AB$40:$AB$133,0),0)))</f>
        <v/>
      </c>
      <c r="E104" s="113" t="str">
        <f aca="false">IF(IFERROR(MATCH(91,$AB$40:$AB$133,0),0)=0,"",INDEX($W$40:$W$133,IFERROR(MATCH(91,$AB$40:$AB$133,0),0)))</f>
        <v/>
      </c>
      <c r="F104" s="113" t="str">
        <f aca="false">IF(IFERROR(MATCH(91,$AB$40:$AB$133,0),0)=0,"",INDEX($X$40:$X$133,IFERROR(MATCH(91,$AB$40:$AB$133,0),0)))</f>
        <v/>
      </c>
      <c r="G104" s="113" t="str">
        <f aca="false">IF(A104="","",D104+E104-F104)</f>
        <v/>
      </c>
      <c r="H104" s="113" t="str">
        <f aca="false">IF(IFERROR(MATCH(91,$AB$40:$AB$133,0),0)=0,"",INDEX($Y$40:$Y$133,IFERROR(MATCH(91,$AB$40:$AB$133,0),0)))</f>
        <v/>
      </c>
      <c r="I104" s="114" t="str">
        <f aca="false">IF(IFERROR(MATCH(91,$AB$40:$AB$133,0),0)=0,"",INDEX($Z$40:$Z$133,IFERROR(MATCH(91,$AB$40:$AB$133,0),0)))</f>
        <v/>
      </c>
      <c r="J104" s="115" t="str">
        <f aca="false">IF(IFERROR(MATCH(91,$AB$40:$AB$133,0),0)=0,"",INDEX($AC$40:$AC$133,IFERROR(MATCH(91,$AB$40:$AB$133,0),0)))</f>
        <v/>
      </c>
      <c r="K104" s="116" t="str">
        <f aca="false">IF(IFERROR(MATCH(91,$AB$40:$AB$133,0),0)=0,"",INDEX($AD$40:$AD$133,IFERROR(MATCH(91,$AB$40:$AB$133,0),0)))</f>
        <v/>
      </c>
      <c r="L104" s="117" t="str">
        <f aca="false">IF(IFERROR(MATCH(91,$AB$40:$AB$133,0),0)=0,"",IF(INDEX($BB$40:$BB$133,IFERROR(MATCH(91,$AB$40:$AB$133,0),0))&gt;=99999,"",INDEX($BB$40:$BB$133,IFERROR(MATCH(91,$AB$40:$AB$133,0),0))))</f>
        <v/>
      </c>
      <c r="M104" s="117" t="str">
        <f aca="false">IF(IFERROR(MATCH(91,$AB$40:$AB$133,0),0)=0,"",IF(INDEX($BC$40:$BC$133,IFERROR(MATCH(91,$AB$40:$AB$133,0),0))=0,"",INDEX($BC$40:$BC$133,IFERROR(MATCH(91,$AB$40:$AB$133,0),0))))</f>
        <v/>
      </c>
      <c r="N104" s="118" t="str">
        <f aca="false">IF(IFERROR(MATCH(91,$AB$40:$AB$133,0),0)=0,"",INDEX($AE$40:$AE$133,IFERROR(MATCH(91,$AB$40:$AB$133,0),0))&amp;"")</f>
        <v/>
      </c>
      <c r="O104" s="119" t="str">
        <f aca="false">IF(IFERROR(MATCH(91,$AB$40:$AB$133,0),0)=0,"",INDEX($BD$40:$BD$133,IFERROR(MATCH(91,$AB$40:$AB$133,0),0))&amp;"")</f>
        <v/>
      </c>
      <c r="T104" s="82" t="s">
        <v>364</v>
      </c>
      <c r="U104" s="82" t="s">
        <v>65</v>
      </c>
      <c r="V104" s="82" t="n">
        <f aca="false">SUMIFS('3 Base Entrada 2008'!$G$2:$G$5000,'3 Base Entrada 2008'!$F$2:$F$5000,"&gt;="&amp;$F$5,'3 Base Entrada 2008'!$F$2:$F$5000,"&lt;="&amp;$H$5,'3 Base Entrada 2008'!$B$2:$B$5000,$T104,'3 Base Entrada 2008'!$C$2:$C$5000,$AG104,'3 Base Entrada 2008'!$K$2:$K$5000,"Recebido no 2008")</f>
        <v>1200</v>
      </c>
      <c r="W104" s="82" t="n">
        <f aca="false">SUMIFS('3 Base Entrada 2008'!$L$2:$L$5000,'3 Base Entrada 2008'!$F$2:$F$5000,"&gt;="&amp;$F$5,'3 Base Entrada 2008'!$F$2:$F$5000,"&lt;="&amp;$H$5,'3 Base Entrada 2008'!$B$2:$B$5000,$T104,'3 Base Entrada 2008'!$C$2:$C$5000,$AG104)</f>
        <v>0</v>
      </c>
      <c r="X104" s="82" t="n">
        <f aca="false">SUMIFS('3 Base Saídas'!$R$2:$R$5000,'3 Base Saídas'!$G$2:$G$5000,"&gt;="&amp;$F$5,'3 Base Saídas'!$G$2:$G$5000,"&lt;="&amp;$H$5,'3 Base Saídas'!$B$2:$B$5000,$T104,'3 Base Saídas'!$C$2:$C$5000,$AG104)</f>
        <v>0</v>
      </c>
      <c r="Y104" s="82" t="n">
        <f aca="false">SUMIFS('3 Base Estoque Físico'!$J$2:$J$5000,'3 Base Estoque Físico'!$A$2:$A$5000,$T104,'3 Base Estoque Físico'!$B$2:$B$5000,$AG104)</f>
        <v>0</v>
      </c>
      <c r="Z104" s="82" t="n">
        <f aca="false">ROUND(Y104-(BH104+W104-X104),3)</f>
        <v>0</v>
      </c>
      <c r="AA104" s="82" t="n">
        <f aca="false">IF(AND(U104=$R$3,OR($R$1="*",T104=$R$1),OR($R$2="*",AG104=$R$2),OR($R$6="*",AC104=$R$6),ABS(V104)+ABS(W104)+ABS(X104)+ABS(Y104)&gt;0),1,0)</f>
        <v>1</v>
      </c>
      <c r="AB104" s="82" t="n">
        <f aca="false">IF(AA104=1,SUM(AA$40:AA104),"")</f>
        <v>57</v>
      </c>
      <c r="AC104" s="0" t="str">
        <f aca="false">IF(ABS(Z104)&lt;=$R$5,"Confere",IF(Z104&gt;0,"Sobrando","Faltando"))</f>
        <v>Confere</v>
      </c>
      <c r="AD104" s="82" t="n">
        <f aca="false">IF(OR($R$4="*",$R$4="Saída"),COUNTIFS('3 Base Saídas'!$G$2:$G$5000,"&gt;="&amp;$F$5,'3 Base Saídas'!$G$2:$G$5000,"&lt;="&amp;$H$5,'3 Base Saídas'!$B$2:$B$5000,$T104,'3 Base Saídas'!$C$2:$C$5000,$AG104),0)+IF($R$4&lt;&gt;"Saída",COUNTIFS('3 Base Entrada 2008'!$F$2:$F$5000,"&gt;="&amp;$F$5,'3 Base Entrada 2008'!$F$2:$F$5000,"&lt;="&amp;$H$5,'3 Base Entrada 2008'!$B$2:$B$5000,$T104,'3 Base Entrada 2008'!$C$2:$C$5000,$AG104,'3 Base Entrada 2008'!$K$2:$K$5000,$R$4),0)</f>
        <v>1</v>
      </c>
      <c r="AE104" s="0" t="str">
        <f aca="false">'5 Conciliação'!K78</f>
        <v>Sem diferença</v>
      </c>
      <c r="AF104" s="82" t="n">
        <f aca="false">IF(AND(AA104=1,AC104&lt;&gt;"Confere"),ABS(Z104)+ROW()/10000000,0)</f>
        <v>0</v>
      </c>
      <c r="AG104" s="82" t="s">
        <v>365</v>
      </c>
      <c r="BB104" s="82" t="n">
        <f aca="false">MIN(IF(_xlfn.MINIFS('3 Base Entrada 2008'!$F$2:$F$5000,'3 Base Entrada 2008'!$F$2:$F$5000,"&gt;="&amp;$F$5,'3 Base Entrada 2008'!$F$2:$F$5000,"&lt;="&amp;$H$5,'3 Base Entrada 2008'!$B$2:$B$5000,$T104,'3 Base Entrada 2008'!$C$2:$C$5000,$AG104)=0,99999,_xlfn.MINIFS('3 Base Entrada 2008'!$F$2:$F$5000,'3 Base Entrada 2008'!$F$2:$F$5000,"&gt;="&amp;$F$5,'3 Base Entrada 2008'!$F$2:$F$5000,"&lt;="&amp;$H$5,'3 Base Entrada 2008'!$B$2:$B$5000,$T104,'3 Base Entrada 2008'!$C$2:$C$5000,$AG104)),IF(_xlfn.MINIFS('3 Base Saídas'!$G$2:$G$5000,'3 Base Saídas'!$G$2:$G$5000,"&gt;="&amp;$F$5,'3 Base Saídas'!$G$2:$G$5000,"&lt;="&amp;$H$5,'3 Base Saídas'!$B$2:$B$5000,$T104,'3 Base Saídas'!$C$2:$C$5000,$AG104)=0,99999,_xlfn.MINIFS('3 Base Saídas'!$G$2:$G$5000,'3 Base Saídas'!$G$2:$G$5000,"&gt;="&amp;$F$5,'3 Base Saídas'!$G$2:$G$5000,"&lt;="&amp;$H$5,'3 Base Saídas'!$B$2:$B$5000,$T104,'3 Base Saídas'!$C$2:$C$5000,$AG104)))</f>
        <v>46280</v>
      </c>
      <c r="BC104" s="82" t="n">
        <f aca="false">MAX(_xlfn.MAXIFS('3 Base Entrada 2008'!$F$2:$F$5000,'3 Base Entrada 2008'!$F$2:$F$5000,"&gt;="&amp;$F$5,'3 Base Entrada 2008'!$F$2:$F$5000,"&lt;="&amp;$H$5,'3 Base Entrada 2008'!$B$2:$B$5000,$T104,'3 Base Entrada 2008'!$C$2:$C$5000,$AG104),_xlfn.MAXIFS('3 Base Saídas'!$G$2:$G$5000,'3 Base Saídas'!$G$2:$G$5000,"&gt;="&amp;$F$5,'3 Base Saídas'!$G$2:$G$5000,"&lt;="&amp;$H$5,'3 Base Saídas'!$B$2:$B$5000,$T104,'3 Base Saídas'!$C$2:$C$5000,$AG104))</f>
        <v>46280</v>
      </c>
      <c r="BD104" s="0" t="str">
        <f aca="false">'5 Conciliação'!L78</f>
        <v>Nenhum ajuste necessário</v>
      </c>
      <c r="BE104" s="0" t="str">
        <f aca="false">'5 Conciliação'!Q78</f>
        <v>—</v>
      </c>
      <c r="BF104" s="0" t="str">
        <f aca="false">'5 Conciliação'!R78</f>
        <v>—</v>
      </c>
      <c r="BH104" s="82" t="n">
        <f aca="false">SUMIFS('3 Base Saldo Inicial 08-09'!$E$2:$E$5000,'3 Base Saldo Inicial 08-09'!$A$2:$A$5000,$T104,'3 Base Saldo Inicial 08-09'!$B$2:$B$5000,$AG104)-SUMIFS('3 Base Saldo Inicial 08-09'!$E$2:$E$5000,'3 Base Saldo Inicial 08-09'!$A$2:$A$5000,$T104,'3 Base Saldo Inicial 08-09'!$B$2:$B$5000,$AG104,'3 Base Saldo Inicial 08-09'!$C$2:$C$5000,"2008")</f>
        <v>0</v>
      </c>
    </row>
    <row r="105" customFormat="false" ht="15" hidden="false" customHeight="false" outlineLevel="0" collapsed="false">
      <c r="A105" s="111" t="str">
        <f aca="false">IF(IFERROR(MATCH(92,$AB$40:$AB$133,0),0)=0,"",INDEX($T$40:$T$133,IFERROR(MATCH(92,$AB$40:$AB$133,0),0)))</f>
        <v/>
      </c>
      <c r="B105" s="111" t="str">
        <f aca="false">IF(IFERROR(MATCH(92,$AB$40:$AB$133,0),0)=0,"",INDEX($AG$40:$AG$133,IFERROR(MATCH(92,$AB$40:$AB$133,0),0)))</f>
        <v/>
      </c>
      <c r="C105" s="112" t="str">
        <f aca="false">IF(IFERROR(MATCH(92,$AB$40:$AB$133,0),0)=0,"",INDEX($U$40:$U$133,IFERROR(MATCH(92,$AB$40:$AB$133,0),0)))</f>
        <v/>
      </c>
      <c r="D105" s="113" t="str">
        <f aca="false">IF(IFERROR(MATCH(92,$AB$40:$AB$133,0),0)=0,"",INDEX($BH$40:$BH$133,IFERROR(MATCH(92,$AB$40:$AB$133,0),0)))</f>
        <v/>
      </c>
      <c r="E105" s="113" t="str">
        <f aca="false">IF(IFERROR(MATCH(92,$AB$40:$AB$133,0),0)=0,"",INDEX($W$40:$W$133,IFERROR(MATCH(92,$AB$40:$AB$133,0),0)))</f>
        <v/>
      </c>
      <c r="F105" s="113" t="str">
        <f aca="false">IF(IFERROR(MATCH(92,$AB$40:$AB$133,0),0)=0,"",INDEX($X$40:$X$133,IFERROR(MATCH(92,$AB$40:$AB$133,0),0)))</f>
        <v/>
      </c>
      <c r="G105" s="113" t="str">
        <f aca="false">IF(A105="","",D105+E105-F105)</f>
        <v/>
      </c>
      <c r="H105" s="113" t="str">
        <f aca="false">IF(IFERROR(MATCH(92,$AB$40:$AB$133,0),0)=0,"",INDEX($Y$40:$Y$133,IFERROR(MATCH(92,$AB$40:$AB$133,0),0)))</f>
        <v/>
      </c>
      <c r="I105" s="114" t="str">
        <f aca="false">IF(IFERROR(MATCH(92,$AB$40:$AB$133,0),0)=0,"",INDEX($Z$40:$Z$133,IFERROR(MATCH(92,$AB$40:$AB$133,0),0)))</f>
        <v/>
      </c>
      <c r="J105" s="115" t="str">
        <f aca="false">IF(IFERROR(MATCH(92,$AB$40:$AB$133,0),0)=0,"",INDEX($AC$40:$AC$133,IFERROR(MATCH(92,$AB$40:$AB$133,0),0)))</f>
        <v/>
      </c>
      <c r="K105" s="116" t="str">
        <f aca="false">IF(IFERROR(MATCH(92,$AB$40:$AB$133,0),0)=0,"",INDEX($AD$40:$AD$133,IFERROR(MATCH(92,$AB$40:$AB$133,0),0)))</f>
        <v/>
      </c>
      <c r="L105" s="117" t="str">
        <f aca="false">IF(IFERROR(MATCH(92,$AB$40:$AB$133,0),0)=0,"",IF(INDEX($BB$40:$BB$133,IFERROR(MATCH(92,$AB$40:$AB$133,0),0))&gt;=99999,"",INDEX($BB$40:$BB$133,IFERROR(MATCH(92,$AB$40:$AB$133,0),0))))</f>
        <v/>
      </c>
      <c r="M105" s="117" t="str">
        <f aca="false">IF(IFERROR(MATCH(92,$AB$40:$AB$133,0),0)=0,"",IF(INDEX($BC$40:$BC$133,IFERROR(MATCH(92,$AB$40:$AB$133,0),0))=0,"",INDEX($BC$40:$BC$133,IFERROR(MATCH(92,$AB$40:$AB$133,0),0))))</f>
        <v/>
      </c>
      <c r="N105" s="118" t="str">
        <f aca="false">IF(IFERROR(MATCH(92,$AB$40:$AB$133,0),0)=0,"",INDEX($AE$40:$AE$133,IFERROR(MATCH(92,$AB$40:$AB$133,0),0))&amp;"")</f>
        <v/>
      </c>
      <c r="O105" s="119" t="str">
        <f aca="false">IF(IFERROR(MATCH(92,$AB$40:$AB$133,0),0)=0,"",INDEX($BD$40:$BD$133,IFERROR(MATCH(92,$AB$40:$AB$133,0),0))&amp;"")</f>
        <v/>
      </c>
      <c r="T105" s="82" t="s">
        <v>271</v>
      </c>
      <c r="U105" s="82" t="s">
        <v>65</v>
      </c>
      <c r="V105" s="82" t="n">
        <f aca="false">SUMIFS('3 Base Entrada 2008'!$G$2:$G$5000,'3 Base Entrada 2008'!$F$2:$F$5000,"&gt;="&amp;$F$5,'3 Base Entrada 2008'!$F$2:$F$5000,"&lt;="&amp;$H$5,'3 Base Entrada 2008'!$B$2:$B$5000,$T105,'3 Base Entrada 2008'!$C$2:$C$5000,$AG105,'3 Base Entrada 2008'!$K$2:$K$5000,"Recebido no 2008")</f>
        <v>0</v>
      </c>
      <c r="W105" s="82" t="n">
        <f aca="false">SUMIFS('3 Base Entrada 2008'!$L$2:$L$5000,'3 Base Entrada 2008'!$F$2:$F$5000,"&gt;="&amp;$F$5,'3 Base Entrada 2008'!$F$2:$F$5000,"&lt;="&amp;$H$5,'3 Base Entrada 2008'!$B$2:$B$5000,$T105,'3 Base Entrada 2008'!$C$2:$C$5000,$AG105)</f>
        <v>1860</v>
      </c>
      <c r="X105" s="82" t="n">
        <f aca="false">SUMIFS('3 Base Saídas'!$R$2:$R$5000,'3 Base Saídas'!$G$2:$G$5000,"&gt;="&amp;$F$5,'3 Base Saídas'!$G$2:$G$5000,"&lt;="&amp;$H$5,'3 Base Saídas'!$B$2:$B$5000,$T105,'3 Base Saídas'!$C$2:$C$5000,$AG105)</f>
        <v>770</v>
      </c>
      <c r="Y105" s="82" t="n">
        <f aca="false">SUMIFS('3 Base Estoque Físico'!$J$2:$J$5000,'3 Base Estoque Físico'!$A$2:$A$5000,$T105,'3 Base Estoque Físico'!$B$2:$B$5000,$AG105)</f>
        <v>1090</v>
      </c>
      <c r="Z105" s="82" t="n">
        <f aca="false">ROUND(Y105-(BH105+W105-X105),3)</f>
        <v>0</v>
      </c>
      <c r="AA105" s="82" t="n">
        <f aca="false">IF(AND(U105=$R$3,OR($R$1="*",T105=$R$1),OR($R$2="*",AG105=$R$2),OR($R$6="*",AC105=$R$6),ABS(V105)+ABS(W105)+ABS(X105)+ABS(Y105)&gt;0),1,0)</f>
        <v>1</v>
      </c>
      <c r="AB105" s="82" t="n">
        <f aca="false">IF(AA105=1,SUM(AA$40:AA105),"")</f>
        <v>58</v>
      </c>
      <c r="AC105" s="0" t="str">
        <f aca="false">IF(ABS(Z105)&lt;=$R$5,"Confere",IF(Z105&gt;0,"Sobrando","Faltando"))</f>
        <v>Confere</v>
      </c>
      <c r="AD105" s="82" t="n">
        <f aca="false">IF(OR($R$4="*",$R$4="Saída"),COUNTIFS('3 Base Saídas'!$G$2:$G$5000,"&gt;="&amp;$F$5,'3 Base Saídas'!$G$2:$G$5000,"&lt;="&amp;$H$5,'3 Base Saídas'!$B$2:$B$5000,$T105,'3 Base Saídas'!$C$2:$C$5000,$AG105),0)+IF($R$4&lt;&gt;"Saída",COUNTIFS('3 Base Entrada 2008'!$F$2:$F$5000,"&gt;="&amp;$F$5,'3 Base Entrada 2008'!$F$2:$F$5000,"&lt;="&amp;$H$5,'3 Base Entrada 2008'!$B$2:$B$5000,$T105,'3 Base Entrada 2008'!$C$2:$C$5000,$AG105,'3 Base Entrada 2008'!$K$2:$K$5000,$R$4),0)</f>
        <v>33</v>
      </c>
      <c r="AE105" s="0" t="str">
        <f aca="false">'5 Conciliação'!K79</f>
        <v>Sem diferença</v>
      </c>
      <c r="AF105" s="82" t="n">
        <f aca="false">IF(AND(AA105=1,AC105&lt;&gt;"Confere"),ABS(Z105)+ROW()/10000000,0)</f>
        <v>0</v>
      </c>
      <c r="AG105" s="82" t="s">
        <v>272</v>
      </c>
      <c r="BB105" s="82" t="n">
        <f aca="false">MIN(IF(_xlfn.MINIFS('3 Base Entrada 2008'!$F$2:$F$5000,'3 Base Entrada 2008'!$F$2:$F$5000,"&gt;="&amp;$F$5,'3 Base Entrada 2008'!$F$2:$F$5000,"&lt;="&amp;$H$5,'3 Base Entrada 2008'!$B$2:$B$5000,$T105,'3 Base Entrada 2008'!$C$2:$C$5000,$AG105)=0,99999,_xlfn.MINIFS('3 Base Entrada 2008'!$F$2:$F$5000,'3 Base Entrada 2008'!$F$2:$F$5000,"&gt;="&amp;$F$5,'3 Base Entrada 2008'!$F$2:$F$5000,"&lt;="&amp;$H$5,'3 Base Entrada 2008'!$B$2:$B$5000,$T105,'3 Base Entrada 2008'!$C$2:$C$5000,$AG105)),IF(_xlfn.MINIFS('3 Base Saídas'!$G$2:$G$5000,'3 Base Saídas'!$G$2:$G$5000,"&gt;="&amp;$F$5,'3 Base Saídas'!$G$2:$G$5000,"&lt;="&amp;$H$5,'3 Base Saídas'!$B$2:$B$5000,$T105,'3 Base Saídas'!$C$2:$C$5000,$AG105)=0,99999,_xlfn.MINIFS('3 Base Saídas'!$G$2:$G$5000,'3 Base Saídas'!$G$2:$G$5000,"&gt;="&amp;$F$5,'3 Base Saídas'!$G$2:$G$5000,"&lt;="&amp;$H$5,'3 Base Saídas'!$B$2:$B$5000,$T105,'3 Base Saídas'!$C$2:$C$5000,$AG105)))</f>
        <v>46289</v>
      </c>
      <c r="BC105" s="82" t="n">
        <f aca="false">MAX(_xlfn.MAXIFS('3 Base Entrada 2008'!$F$2:$F$5000,'3 Base Entrada 2008'!$F$2:$F$5000,"&gt;="&amp;$F$5,'3 Base Entrada 2008'!$F$2:$F$5000,"&lt;="&amp;$H$5,'3 Base Entrada 2008'!$B$2:$B$5000,$T105,'3 Base Entrada 2008'!$C$2:$C$5000,$AG105),_xlfn.MAXIFS('3 Base Saídas'!$G$2:$G$5000,'3 Base Saídas'!$G$2:$G$5000,"&gt;="&amp;$F$5,'3 Base Saídas'!$G$2:$G$5000,"&lt;="&amp;$H$5,'3 Base Saídas'!$B$2:$B$5000,$T105,'3 Base Saídas'!$C$2:$C$5000,$AG105))</f>
        <v>46295</v>
      </c>
      <c r="BD105" s="0" t="str">
        <f aca="false">'5 Conciliação'!L79</f>
        <v>Nenhum ajuste necessário</v>
      </c>
      <c r="BE105" s="0" t="str">
        <f aca="false">'5 Conciliação'!Q79</f>
        <v>—</v>
      </c>
      <c r="BF105" s="0" t="str">
        <f aca="false">'5 Conciliação'!R79</f>
        <v>—</v>
      </c>
      <c r="BH105" s="82" t="n">
        <f aca="false">SUMIFS('3 Base Saldo Inicial 08-09'!$E$2:$E$5000,'3 Base Saldo Inicial 08-09'!$A$2:$A$5000,$T105,'3 Base Saldo Inicial 08-09'!$B$2:$B$5000,$AG105)-SUMIFS('3 Base Saldo Inicial 08-09'!$E$2:$E$5000,'3 Base Saldo Inicial 08-09'!$A$2:$A$5000,$T105,'3 Base Saldo Inicial 08-09'!$B$2:$B$5000,$AG105,'3 Base Saldo Inicial 08-09'!$C$2:$C$5000,"2008")</f>
        <v>0</v>
      </c>
    </row>
    <row r="106" customFormat="false" ht="15" hidden="false" customHeight="false" outlineLevel="0" collapsed="false">
      <c r="A106" s="111" t="str">
        <f aca="false">IF(IFERROR(MATCH(93,$AB$40:$AB$133,0),0)=0,"",INDEX($T$40:$T$133,IFERROR(MATCH(93,$AB$40:$AB$133,0),0)))</f>
        <v/>
      </c>
      <c r="B106" s="111" t="str">
        <f aca="false">IF(IFERROR(MATCH(93,$AB$40:$AB$133,0),0)=0,"",INDEX($AG$40:$AG$133,IFERROR(MATCH(93,$AB$40:$AB$133,0),0)))</f>
        <v/>
      </c>
      <c r="C106" s="112" t="str">
        <f aca="false">IF(IFERROR(MATCH(93,$AB$40:$AB$133,0),0)=0,"",INDEX($U$40:$U$133,IFERROR(MATCH(93,$AB$40:$AB$133,0),0)))</f>
        <v/>
      </c>
      <c r="D106" s="113" t="str">
        <f aca="false">IF(IFERROR(MATCH(93,$AB$40:$AB$133,0),0)=0,"",INDEX($BH$40:$BH$133,IFERROR(MATCH(93,$AB$40:$AB$133,0),0)))</f>
        <v/>
      </c>
      <c r="E106" s="113" t="str">
        <f aca="false">IF(IFERROR(MATCH(93,$AB$40:$AB$133,0),0)=0,"",INDEX($W$40:$W$133,IFERROR(MATCH(93,$AB$40:$AB$133,0),0)))</f>
        <v/>
      </c>
      <c r="F106" s="113" t="str">
        <f aca="false">IF(IFERROR(MATCH(93,$AB$40:$AB$133,0),0)=0,"",INDEX($X$40:$X$133,IFERROR(MATCH(93,$AB$40:$AB$133,0),0)))</f>
        <v/>
      </c>
      <c r="G106" s="113" t="str">
        <f aca="false">IF(A106="","",D106+E106-F106)</f>
        <v/>
      </c>
      <c r="H106" s="113" t="str">
        <f aca="false">IF(IFERROR(MATCH(93,$AB$40:$AB$133,0),0)=0,"",INDEX($Y$40:$Y$133,IFERROR(MATCH(93,$AB$40:$AB$133,0),0)))</f>
        <v/>
      </c>
      <c r="I106" s="114" t="str">
        <f aca="false">IF(IFERROR(MATCH(93,$AB$40:$AB$133,0),0)=0,"",INDEX($Z$40:$Z$133,IFERROR(MATCH(93,$AB$40:$AB$133,0),0)))</f>
        <v/>
      </c>
      <c r="J106" s="115" t="str">
        <f aca="false">IF(IFERROR(MATCH(93,$AB$40:$AB$133,0),0)=0,"",INDEX($AC$40:$AC$133,IFERROR(MATCH(93,$AB$40:$AB$133,0),0)))</f>
        <v/>
      </c>
      <c r="K106" s="116" t="str">
        <f aca="false">IF(IFERROR(MATCH(93,$AB$40:$AB$133,0),0)=0,"",INDEX($AD$40:$AD$133,IFERROR(MATCH(93,$AB$40:$AB$133,0),0)))</f>
        <v/>
      </c>
      <c r="L106" s="117" t="str">
        <f aca="false">IF(IFERROR(MATCH(93,$AB$40:$AB$133,0),0)=0,"",IF(INDEX($BB$40:$BB$133,IFERROR(MATCH(93,$AB$40:$AB$133,0),0))&gt;=99999,"",INDEX($BB$40:$BB$133,IFERROR(MATCH(93,$AB$40:$AB$133,0),0))))</f>
        <v/>
      </c>
      <c r="M106" s="117" t="str">
        <f aca="false">IF(IFERROR(MATCH(93,$AB$40:$AB$133,0),0)=0,"",IF(INDEX($BC$40:$BC$133,IFERROR(MATCH(93,$AB$40:$AB$133,0),0))=0,"",INDEX($BC$40:$BC$133,IFERROR(MATCH(93,$AB$40:$AB$133,0),0))))</f>
        <v/>
      </c>
      <c r="N106" s="118" t="str">
        <f aca="false">IF(IFERROR(MATCH(93,$AB$40:$AB$133,0),0)=0,"",INDEX($AE$40:$AE$133,IFERROR(MATCH(93,$AB$40:$AB$133,0),0))&amp;"")</f>
        <v/>
      </c>
      <c r="O106" s="119" t="str">
        <f aca="false">IF(IFERROR(MATCH(93,$AB$40:$AB$133,0),0)=0,"",INDEX($BD$40:$BD$133,IFERROR(MATCH(93,$AB$40:$AB$133,0),0))&amp;"")</f>
        <v/>
      </c>
      <c r="T106" s="82" t="s">
        <v>271</v>
      </c>
      <c r="U106" s="82" t="s">
        <v>65</v>
      </c>
      <c r="V106" s="82" t="n">
        <f aca="false">SUMIFS('3 Base Entrada 2008'!$G$2:$G$5000,'3 Base Entrada 2008'!$F$2:$F$5000,"&gt;="&amp;$F$5,'3 Base Entrada 2008'!$F$2:$F$5000,"&lt;="&amp;$H$5,'3 Base Entrada 2008'!$B$2:$B$5000,$T106,'3 Base Entrada 2008'!$C$2:$C$5000,$AG106,'3 Base Entrada 2008'!$K$2:$K$5000,"Recebido no 2008")</f>
        <v>840</v>
      </c>
      <c r="W106" s="82" t="n">
        <f aca="false">SUMIFS('3 Base Entrada 2008'!$L$2:$L$5000,'3 Base Entrada 2008'!$F$2:$F$5000,"&gt;="&amp;$F$5,'3 Base Entrada 2008'!$F$2:$F$5000,"&lt;="&amp;$H$5,'3 Base Entrada 2008'!$B$2:$B$5000,$T106,'3 Base Entrada 2008'!$C$2:$C$5000,$AG106)</f>
        <v>1200</v>
      </c>
      <c r="X106" s="82" t="n">
        <f aca="false">SUMIFS('3 Base Saídas'!$R$2:$R$5000,'3 Base Saídas'!$G$2:$G$5000,"&gt;="&amp;$F$5,'3 Base Saídas'!$G$2:$G$5000,"&lt;="&amp;$H$5,'3 Base Saídas'!$B$2:$B$5000,$T106,'3 Base Saídas'!$C$2:$C$5000,$AG106)</f>
        <v>0</v>
      </c>
      <c r="Y106" s="82" t="n">
        <f aca="false">SUMIFS('3 Base Estoque Físico'!$J$2:$J$5000,'3 Base Estoque Físico'!$A$2:$A$5000,$T106,'3 Base Estoque Físico'!$B$2:$B$5000,$AG106)</f>
        <v>1200</v>
      </c>
      <c r="Z106" s="82" t="n">
        <f aca="false">ROUND(Y106-(BH106+W106-X106),3)</f>
        <v>0</v>
      </c>
      <c r="AA106" s="82" t="n">
        <f aca="false">IF(AND(U106=$R$3,OR($R$1="*",T106=$R$1),OR($R$2="*",AG106=$R$2),OR($R$6="*",AC106=$R$6),ABS(V106)+ABS(W106)+ABS(X106)+ABS(Y106)&gt;0),1,0)</f>
        <v>1</v>
      </c>
      <c r="AB106" s="82" t="n">
        <f aca="false">IF(AA106=1,SUM(AA$40:AA106),"")</f>
        <v>59</v>
      </c>
      <c r="AC106" s="0" t="str">
        <f aca="false">IF(ABS(Z106)&lt;=$R$5,"Confere",IF(Z106&gt;0,"Sobrando","Faltando"))</f>
        <v>Confere</v>
      </c>
      <c r="AD106" s="82" t="n">
        <f aca="false">IF(OR($R$4="*",$R$4="Saída"),COUNTIFS('3 Base Saídas'!$G$2:$G$5000,"&gt;="&amp;$F$5,'3 Base Saídas'!$G$2:$G$5000,"&lt;="&amp;$H$5,'3 Base Saídas'!$B$2:$B$5000,$T106,'3 Base Saídas'!$C$2:$C$5000,$AG106),0)+IF($R$4&lt;&gt;"Saída",COUNTIFS('3 Base Entrada 2008'!$F$2:$F$5000,"&gt;="&amp;$F$5,'3 Base Entrada 2008'!$F$2:$F$5000,"&lt;="&amp;$H$5,'3 Base Entrada 2008'!$B$2:$B$5000,$T106,'3 Base Entrada 2008'!$C$2:$C$5000,$AG106,'3 Base Entrada 2008'!$K$2:$K$5000,$R$4),0)</f>
        <v>2</v>
      </c>
      <c r="AE106" s="0" t="str">
        <f aca="false">'5 Conciliação'!K80</f>
        <v>Sem diferença</v>
      </c>
      <c r="AF106" s="82" t="n">
        <f aca="false">IF(AND(AA106=1,AC106&lt;&gt;"Confere"),ABS(Z106)+ROW()/10000000,0)</f>
        <v>0</v>
      </c>
      <c r="AG106" s="82" t="s">
        <v>273</v>
      </c>
      <c r="BB106" s="82" t="n">
        <f aca="false">MIN(IF(_xlfn.MINIFS('3 Base Entrada 2008'!$F$2:$F$5000,'3 Base Entrada 2008'!$F$2:$F$5000,"&gt;="&amp;$F$5,'3 Base Entrada 2008'!$F$2:$F$5000,"&lt;="&amp;$H$5,'3 Base Entrada 2008'!$B$2:$B$5000,$T106,'3 Base Entrada 2008'!$C$2:$C$5000,$AG106)=0,99999,_xlfn.MINIFS('3 Base Entrada 2008'!$F$2:$F$5000,'3 Base Entrada 2008'!$F$2:$F$5000,"&gt;="&amp;$F$5,'3 Base Entrada 2008'!$F$2:$F$5000,"&lt;="&amp;$H$5,'3 Base Entrada 2008'!$B$2:$B$5000,$T106,'3 Base Entrada 2008'!$C$2:$C$5000,$AG106)),IF(_xlfn.MINIFS('3 Base Saídas'!$G$2:$G$5000,'3 Base Saídas'!$G$2:$G$5000,"&gt;="&amp;$F$5,'3 Base Saídas'!$G$2:$G$5000,"&lt;="&amp;$H$5,'3 Base Saídas'!$B$2:$B$5000,$T106,'3 Base Saídas'!$C$2:$C$5000,$AG106)=0,99999,_xlfn.MINIFS('3 Base Saídas'!$G$2:$G$5000,'3 Base Saídas'!$G$2:$G$5000,"&gt;="&amp;$F$5,'3 Base Saídas'!$G$2:$G$5000,"&lt;="&amp;$H$5,'3 Base Saídas'!$B$2:$B$5000,$T106,'3 Base Saídas'!$C$2:$C$5000,$AG106)))</f>
        <v>46275</v>
      </c>
      <c r="BC106" s="82" t="n">
        <f aca="false">MAX(_xlfn.MAXIFS('3 Base Entrada 2008'!$F$2:$F$5000,'3 Base Entrada 2008'!$F$2:$F$5000,"&gt;="&amp;$F$5,'3 Base Entrada 2008'!$F$2:$F$5000,"&lt;="&amp;$H$5,'3 Base Entrada 2008'!$B$2:$B$5000,$T106,'3 Base Entrada 2008'!$C$2:$C$5000,$AG106),_xlfn.MAXIFS('3 Base Saídas'!$G$2:$G$5000,'3 Base Saídas'!$G$2:$G$5000,"&gt;="&amp;$F$5,'3 Base Saídas'!$G$2:$G$5000,"&lt;="&amp;$H$5,'3 Base Saídas'!$B$2:$B$5000,$T106,'3 Base Saídas'!$C$2:$C$5000,$AG106))</f>
        <v>46293</v>
      </c>
      <c r="BD106" s="0" t="str">
        <f aca="false">'5 Conciliação'!L80</f>
        <v>Nenhum ajuste necessário</v>
      </c>
      <c r="BE106" s="0" t="str">
        <f aca="false">'5 Conciliação'!Q80</f>
        <v>—</v>
      </c>
      <c r="BF106" s="0" t="str">
        <f aca="false">'5 Conciliação'!R80</f>
        <v>—</v>
      </c>
      <c r="BH106" s="82" t="n">
        <f aca="false">SUMIFS('3 Base Saldo Inicial 08-09'!$E$2:$E$5000,'3 Base Saldo Inicial 08-09'!$A$2:$A$5000,$T106,'3 Base Saldo Inicial 08-09'!$B$2:$B$5000,$AG106)-SUMIFS('3 Base Saldo Inicial 08-09'!$E$2:$E$5000,'3 Base Saldo Inicial 08-09'!$A$2:$A$5000,$T106,'3 Base Saldo Inicial 08-09'!$B$2:$B$5000,$AG106,'3 Base Saldo Inicial 08-09'!$C$2:$C$5000,"2008")</f>
        <v>0</v>
      </c>
    </row>
    <row r="107" customFormat="false" ht="15" hidden="false" customHeight="false" outlineLevel="0" collapsed="false">
      <c r="A107" s="111" t="str">
        <f aca="false">IF(IFERROR(MATCH(94,$AB$40:$AB$133,0),0)=0,"",INDEX($T$40:$T$133,IFERROR(MATCH(94,$AB$40:$AB$133,0),0)))</f>
        <v/>
      </c>
      <c r="B107" s="111" t="str">
        <f aca="false">IF(IFERROR(MATCH(94,$AB$40:$AB$133,0),0)=0,"",INDEX($AG$40:$AG$133,IFERROR(MATCH(94,$AB$40:$AB$133,0),0)))</f>
        <v/>
      </c>
      <c r="C107" s="112" t="str">
        <f aca="false">IF(IFERROR(MATCH(94,$AB$40:$AB$133,0),0)=0,"",INDEX($U$40:$U$133,IFERROR(MATCH(94,$AB$40:$AB$133,0),0)))</f>
        <v/>
      </c>
      <c r="D107" s="113" t="str">
        <f aca="false">IF(IFERROR(MATCH(94,$AB$40:$AB$133,0),0)=0,"",INDEX($BH$40:$BH$133,IFERROR(MATCH(94,$AB$40:$AB$133,0),0)))</f>
        <v/>
      </c>
      <c r="E107" s="113" t="str">
        <f aca="false">IF(IFERROR(MATCH(94,$AB$40:$AB$133,0),0)=0,"",INDEX($W$40:$W$133,IFERROR(MATCH(94,$AB$40:$AB$133,0),0)))</f>
        <v/>
      </c>
      <c r="F107" s="113" t="str">
        <f aca="false">IF(IFERROR(MATCH(94,$AB$40:$AB$133,0),0)=0,"",INDEX($X$40:$X$133,IFERROR(MATCH(94,$AB$40:$AB$133,0),0)))</f>
        <v/>
      </c>
      <c r="G107" s="113" t="str">
        <f aca="false">IF(A107="","",D107+E107-F107)</f>
        <v/>
      </c>
      <c r="H107" s="113" t="str">
        <f aca="false">IF(IFERROR(MATCH(94,$AB$40:$AB$133,0),0)=0,"",INDEX($Y$40:$Y$133,IFERROR(MATCH(94,$AB$40:$AB$133,0),0)))</f>
        <v/>
      </c>
      <c r="I107" s="114" t="str">
        <f aca="false">IF(IFERROR(MATCH(94,$AB$40:$AB$133,0),0)=0,"",INDEX($Z$40:$Z$133,IFERROR(MATCH(94,$AB$40:$AB$133,0),0)))</f>
        <v/>
      </c>
      <c r="J107" s="115" t="str">
        <f aca="false">IF(IFERROR(MATCH(94,$AB$40:$AB$133,0),0)=0,"",INDEX($AC$40:$AC$133,IFERROR(MATCH(94,$AB$40:$AB$133,0),0)))</f>
        <v/>
      </c>
      <c r="K107" s="116" t="str">
        <f aca="false">IF(IFERROR(MATCH(94,$AB$40:$AB$133,0),0)=0,"",INDEX($AD$40:$AD$133,IFERROR(MATCH(94,$AB$40:$AB$133,0),0)))</f>
        <v/>
      </c>
      <c r="L107" s="117" t="str">
        <f aca="false">IF(IFERROR(MATCH(94,$AB$40:$AB$133,0),0)=0,"",IF(INDEX($BB$40:$BB$133,IFERROR(MATCH(94,$AB$40:$AB$133,0),0))&gt;=99999,"",INDEX($BB$40:$BB$133,IFERROR(MATCH(94,$AB$40:$AB$133,0),0))))</f>
        <v/>
      </c>
      <c r="M107" s="117" t="str">
        <f aca="false">IF(IFERROR(MATCH(94,$AB$40:$AB$133,0),0)=0,"",IF(INDEX($BC$40:$BC$133,IFERROR(MATCH(94,$AB$40:$AB$133,0),0))=0,"",INDEX($BC$40:$BC$133,IFERROR(MATCH(94,$AB$40:$AB$133,0),0))))</f>
        <v/>
      </c>
      <c r="N107" s="118" t="str">
        <f aca="false">IF(IFERROR(MATCH(94,$AB$40:$AB$133,0),0)=0,"",INDEX($AE$40:$AE$133,IFERROR(MATCH(94,$AB$40:$AB$133,0),0))&amp;"")</f>
        <v/>
      </c>
      <c r="O107" s="119" t="str">
        <f aca="false">IF(IFERROR(MATCH(94,$AB$40:$AB$133,0),0)=0,"",INDEX($BD$40:$BD$133,IFERROR(MATCH(94,$AB$40:$AB$133,0),0))&amp;"")</f>
        <v/>
      </c>
      <c r="T107" s="82" t="s">
        <v>368</v>
      </c>
      <c r="U107" s="82" t="s">
        <v>65</v>
      </c>
      <c r="V107" s="82" t="n">
        <f aca="false">SUMIFS('3 Base Entrada 2008'!$G$2:$G$5000,'3 Base Entrada 2008'!$F$2:$F$5000,"&gt;="&amp;$F$5,'3 Base Entrada 2008'!$F$2:$F$5000,"&lt;="&amp;$H$5,'3 Base Entrada 2008'!$B$2:$B$5000,$T107,'3 Base Entrada 2008'!$C$2:$C$5000,$AG107,'3 Base Entrada 2008'!$K$2:$K$5000,"Recebido no 2008")</f>
        <v>1873.2</v>
      </c>
      <c r="W107" s="82" t="n">
        <f aca="false">SUMIFS('3 Base Entrada 2008'!$L$2:$L$5000,'3 Base Entrada 2008'!$F$2:$F$5000,"&gt;="&amp;$F$5,'3 Base Entrada 2008'!$F$2:$F$5000,"&lt;="&amp;$H$5,'3 Base Entrada 2008'!$B$2:$B$5000,$T107,'3 Base Entrada 2008'!$C$2:$C$5000,$AG107)</f>
        <v>313.6</v>
      </c>
      <c r="X107" s="82" t="n">
        <f aca="false">SUMIFS('3 Base Saídas'!$R$2:$R$5000,'3 Base Saídas'!$G$2:$G$5000,"&gt;="&amp;$F$5,'3 Base Saídas'!$G$2:$G$5000,"&lt;="&amp;$H$5,'3 Base Saídas'!$B$2:$B$5000,$T107,'3 Base Saídas'!$C$2:$C$5000,$AG107)</f>
        <v>0</v>
      </c>
      <c r="Y107" s="82" t="n">
        <f aca="false">SUMIFS('3 Base Estoque Físico'!$J$2:$J$5000,'3 Base Estoque Físico'!$A$2:$A$5000,$T107,'3 Base Estoque Físico'!$B$2:$B$5000,$AG107)</f>
        <v>313.6</v>
      </c>
      <c r="Z107" s="82" t="n">
        <f aca="false">ROUND(Y107-(BH107+W107-X107),3)</f>
        <v>0</v>
      </c>
      <c r="AA107" s="82" t="n">
        <f aca="false">IF(AND(U107=$R$3,OR($R$1="*",T107=$R$1),OR($R$2="*",AG107=$R$2),OR($R$6="*",AC107=$R$6),ABS(V107)+ABS(W107)+ABS(X107)+ABS(Y107)&gt;0),1,0)</f>
        <v>1</v>
      </c>
      <c r="AB107" s="82" t="n">
        <f aca="false">IF(AA107=1,SUM(AA$40:AA107),"")</f>
        <v>60</v>
      </c>
      <c r="AC107" s="0" t="str">
        <f aca="false">IF(ABS(Z107)&lt;=$R$5,"Confere",IF(Z107&gt;0,"Sobrando","Faltando"))</f>
        <v>Confere</v>
      </c>
      <c r="AD107" s="82" t="n">
        <f aca="false">IF(OR($R$4="*",$R$4="Saída"),COUNTIFS('3 Base Saídas'!$G$2:$G$5000,"&gt;="&amp;$F$5,'3 Base Saídas'!$G$2:$G$5000,"&lt;="&amp;$H$5,'3 Base Saídas'!$B$2:$B$5000,$T107,'3 Base Saídas'!$C$2:$C$5000,$AG107),0)+IF($R$4&lt;&gt;"Saída",COUNTIFS('3 Base Entrada 2008'!$F$2:$F$5000,"&gt;="&amp;$F$5,'3 Base Entrada 2008'!$F$2:$F$5000,"&lt;="&amp;$H$5,'3 Base Entrada 2008'!$B$2:$B$5000,$T107,'3 Base Entrada 2008'!$C$2:$C$5000,$AG107,'3 Base Entrada 2008'!$K$2:$K$5000,$R$4),0)</f>
        <v>3</v>
      </c>
      <c r="AE107" s="0" t="str">
        <f aca="false">'5 Conciliação'!K81</f>
        <v>Sem diferença</v>
      </c>
      <c r="AF107" s="82" t="n">
        <f aca="false">IF(AND(AA107=1,AC107&lt;&gt;"Confere"),ABS(Z107)+ROW()/10000000,0)</f>
        <v>0</v>
      </c>
      <c r="AG107" s="82" t="s">
        <v>369</v>
      </c>
      <c r="BB107" s="82" t="n">
        <f aca="false">MIN(IF(_xlfn.MINIFS('3 Base Entrada 2008'!$F$2:$F$5000,'3 Base Entrada 2008'!$F$2:$F$5000,"&gt;="&amp;$F$5,'3 Base Entrada 2008'!$F$2:$F$5000,"&lt;="&amp;$H$5,'3 Base Entrada 2008'!$B$2:$B$5000,$T107,'3 Base Entrada 2008'!$C$2:$C$5000,$AG107)=0,99999,_xlfn.MINIFS('3 Base Entrada 2008'!$F$2:$F$5000,'3 Base Entrada 2008'!$F$2:$F$5000,"&gt;="&amp;$F$5,'3 Base Entrada 2008'!$F$2:$F$5000,"&lt;="&amp;$H$5,'3 Base Entrada 2008'!$B$2:$B$5000,$T107,'3 Base Entrada 2008'!$C$2:$C$5000,$AG107)),IF(_xlfn.MINIFS('3 Base Saídas'!$G$2:$G$5000,'3 Base Saídas'!$G$2:$G$5000,"&gt;="&amp;$F$5,'3 Base Saídas'!$G$2:$G$5000,"&lt;="&amp;$H$5,'3 Base Saídas'!$B$2:$B$5000,$T107,'3 Base Saídas'!$C$2:$C$5000,$AG107)=0,99999,_xlfn.MINIFS('3 Base Saídas'!$G$2:$G$5000,'3 Base Saídas'!$G$2:$G$5000,"&gt;="&amp;$F$5,'3 Base Saídas'!$G$2:$G$5000,"&lt;="&amp;$H$5,'3 Base Saídas'!$B$2:$B$5000,$T107,'3 Base Saídas'!$C$2:$C$5000,$AG107)))</f>
        <v>46275</v>
      </c>
      <c r="BC107" s="82" t="n">
        <f aca="false">MAX(_xlfn.MAXIFS('3 Base Entrada 2008'!$F$2:$F$5000,'3 Base Entrada 2008'!$F$2:$F$5000,"&gt;="&amp;$F$5,'3 Base Entrada 2008'!$F$2:$F$5000,"&lt;="&amp;$H$5,'3 Base Entrada 2008'!$B$2:$B$5000,$T107,'3 Base Entrada 2008'!$C$2:$C$5000,$AG107),_xlfn.MAXIFS('3 Base Saídas'!$G$2:$G$5000,'3 Base Saídas'!$G$2:$G$5000,"&gt;="&amp;$F$5,'3 Base Saídas'!$G$2:$G$5000,"&lt;="&amp;$H$5,'3 Base Saídas'!$B$2:$B$5000,$T107,'3 Base Saídas'!$C$2:$C$5000,$AG107))</f>
        <v>46291</v>
      </c>
      <c r="BD107" s="0" t="str">
        <f aca="false">'5 Conciliação'!L81</f>
        <v>Nenhum ajuste necessário</v>
      </c>
      <c r="BE107" s="0" t="str">
        <f aca="false">'5 Conciliação'!Q81</f>
        <v>—</v>
      </c>
      <c r="BF107" s="0" t="str">
        <f aca="false">'5 Conciliação'!R81</f>
        <v>—</v>
      </c>
      <c r="BH107" s="82" t="n">
        <f aca="false">SUMIFS('3 Base Saldo Inicial 08-09'!$E$2:$E$5000,'3 Base Saldo Inicial 08-09'!$A$2:$A$5000,$T107,'3 Base Saldo Inicial 08-09'!$B$2:$B$5000,$AG107)-SUMIFS('3 Base Saldo Inicial 08-09'!$E$2:$E$5000,'3 Base Saldo Inicial 08-09'!$A$2:$A$5000,$T107,'3 Base Saldo Inicial 08-09'!$B$2:$B$5000,$AG107,'3 Base Saldo Inicial 08-09'!$C$2:$C$5000,"2008")</f>
        <v>0</v>
      </c>
    </row>
    <row r="108" customFormat="false" ht="15" hidden="false" customHeight="false" outlineLevel="0" collapsed="false">
      <c r="A108" s="1"/>
      <c r="B108" s="1"/>
      <c r="C108" s="1"/>
      <c r="D108" s="1"/>
      <c r="E108" s="1"/>
      <c r="F108" s="1"/>
      <c r="G108" s="1"/>
      <c r="H108" s="1"/>
      <c r="I108" s="1"/>
      <c r="J108" s="1"/>
      <c r="K108" s="1"/>
      <c r="L108" s="1"/>
      <c r="M108" s="1"/>
      <c r="N108" s="1"/>
      <c r="O108" s="1"/>
      <c r="T108" s="82" t="s">
        <v>276</v>
      </c>
      <c r="U108" s="82" t="s">
        <v>65</v>
      </c>
      <c r="V108" s="82" t="n">
        <f aca="false">SUMIFS('3 Base Entrada 2008'!$G$2:$G$5000,'3 Base Entrada 2008'!$F$2:$F$5000,"&gt;="&amp;$F$5,'3 Base Entrada 2008'!$F$2:$F$5000,"&lt;="&amp;$H$5,'3 Base Entrada 2008'!$B$2:$B$5000,$T108,'3 Base Entrada 2008'!$C$2:$C$5000,$AG108,'3 Base Entrada 2008'!$K$2:$K$5000,"Recebido no 2008")</f>
        <v>0</v>
      </c>
      <c r="W108" s="82" t="n">
        <f aca="false">SUMIFS('3 Base Entrada 2008'!$L$2:$L$5000,'3 Base Entrada 2008'!$F$2:$F$5000,"&gt;="&amp;$F$5,'3 Base Entrada 2008'!$F$2:$F$5000,"&lt;="&amp;$H$5,'3 Base Entrada 2008'!$B$2:$B$5000,$T108,'3 Base Entrada 2008'!$C$2:$C$5000,$AG108)</f>
        <v>603</v>
      </c>
      <c r="X108" s="82" t="n">
        <f aca="false">SUMIFS('3 Base Saídas'!$R$2:$R$5000,'3 Base Saídas'!$G$2:$G$5000,"&gt;="&amp;$F$5,'3 Base Saídas'!$G$2:$G$5000,"&lt;="&amp;$H$5,'3 Base Saídas'!$B$2:$B$5000,$T108,'3 Base Saídas'!$C$2:$C$5000,$AG108)</f>
        <v>0</v>
      </c>
      <c r="Y108" s="82" t="n">
        <f aca="false">SUMIFS('3 Base Estoque Físico'!$J$2:$J$5000,'3 Base Estoque Físico'!$A$2:$A$5000,$T108,'3 Base Estoque Físico'!$B$2:$B$5000,$AG108)</f>
        <v>603</v>
      </c>
      <c r="Z108" s="82" t="n">
        <f aca="false">ROUND(Y108-(BH108+W108-X108),3)</f>
        <v>0</v>
      </c>
      <c r="AA108" s="82" t="n">
        <f aca="false">IF(AND(U108=$R$3,OR($R$1="*",T108=$R$1),OR($R$2="*",AG108=$R$2),OR($R$6="*",AC108=$R$6),ABS(V108)+ABS(W108)+ABS(X108)+ABS(Y108)&gt;0),1,0)</f>
        <v>1</v>
      </c>
      <c r="AB108" s="82" t="n">
        <f aca="false">IF(AA108=1,SUM(AA$40:AA108),"")</f>
        <v>61</v>
      </c>
      <c r="AC108" s="0" t="str">
        <f aca="false">IF(ABS(Z108)&lt;=$R$5,"Confere",IF(Z108&gt;0,"Sobrando","Faltando"))</f>
        <v>Confere</v>
      </c>
      <c r="AD108" s="82" t="n">
        <f aca="false">IF(OR($R$4="*",$R$4="Saída"),COUNTIFS('3 Base Saídas'!$G$2:$G$5000,"&gt;="&amp;$F$5,'3 Base Saídas'!$G$2:$G$5000,"&lt;="&amp;$H$5,'3 Base Saídas'!$B$2:$B$5000,$T108,'3 Base Saídas'!$C$2:$C$5000,$AG108),0)+IF($R$4&lt;&gt;"Saída",COUNTIFS('3 Base Entrada 2008'!$F$2:$F$5000,"&gt;="&amp;$F$5,'3 Base Entrada 2008'!$F$2:$F$5000,"&lt;="&amp;$H$5,'3 Base Entrada 2008'!$B$2:$B$5000,$T108,'3 Base Entrada 2008'!$C$2:$C$5000,$AG108,'3 Base Entrada 2008'!$K$2:$K$5000,$R$4),0)</f>
        <v>1</v>
      </c>
      <c r="AE108" s="0" t="str">
        <f aca="false">'5 Conciliação'!K82</f>
        <v>Sem diferença</v>
      </c>
      <c r="AF108" s="82" t="n">
        <f aca="false">IF(AND(AA108=1,AC108&lt;&gt;"Confere"),ABS(Z108)+ROW()/10000000,0)</f>
        <v>0</v>
      </c>
      <c r="AG108" s="82" t="s">
        <v>371</v>
      </c>
      <c r="BB108" s="82" t="n">
        <f aca="false">MIN(IF(_xlfn.MINIFS('3 Base Entrada 2008'!$F$2:$F$5000,'3 Base Entrada 2008'!$F$2:$F$5000,"&gt;="&amp;$F$5,'3 Base Entrada 2008'!$F$2:$F$5000,"&lt;="&amp;$H$5,'3 Base Entrada 2008'!$B$2:$B$5000,$T108,'3 Base Entrada 2008'!$C$2:$C$5000,$AG108)=0,99999,_xlfn.MINIFS('3 Base Entrada 2008'!$F$2:$F$5000,'3 Base Entrada 2008'!$F$2:$F$5000,"&gt;="&amp;$F$5,'3 Base Entrada 2008'!$F$2:$F$5000,"&lt;="&amp;$H$5,'3 Base Entrada 2008'!$B$2:$B$5000,$T108,'3 Base Entrada 2008'!$C$2:$C$5000,$AG108)),IF(_xlfn.MINIFS('3 Base Saídas'!$G$2:$G$5000,'3 Base Saídas'!$G$2:$G$5000,"&gt;="&amp;$F$5,'3 Base Saídas'!$G$2:$G$5000,"&lt;="&amp;$H$5,'3 Base Saídas'!$B$2:$B$5000,$T108,'3 Base Saídas'!$C$2:$C$5000,$AG108)=0,99999,_xlfn.MINIFS('3 Base Saídas'!$G$2:$G$5000,'3 Base Saídas'!$G$2:$G$5000,"&gt;="&amp;$F$5,'3 Base Saídas'!$G$2:$G$5000,"&lt;="&amp;$H$5,'3 Base Saídas'!$B$2:$B$5000,$T108,'3 Base Saídas'!$C$2:$C$5000,$AG108)))</f>
        <v>46291</v>
      </c>
      <c r="BC108" s="82" t="n">
        <f aca="false">MAX(_xlfn.MAXIFS('3 Base Entrada 2008'!$F$2:$F$5000,'3 Base Entrada 2008'!$F$2:$F$5000,"&gt;="&amp;$F$5,'3 Base Entrada 2008'!$F$2:$F$5000,"&lt;="&amp;$H$5,'3 Base Entrada 2008'!$B$2:$B$5000,$T108,'3 Base Entrada 2008'!$C$2:$C$5000,$AG108),_xlfn.MAXIFS('3 Base Saídas'!$G$2:$G$5000,'3 Base Saídas'!$G$2:$G$5000,"&gt;="&amp;$F$5,'3 Base Saídas'!$G$2:$G$5000,"&lt;="&amp;$H$5,'3 Base Saídas'!$B$2:$B$5000,$T108,'3 Base Saídas'!$C$2:$C$5000,$AG108))</f>
        <v>46291</v>
      </c>
      <c r="BD108" s="0" t="str">
        <f aca="false">'5 Conciliação'!L82</f>
        <v>Nenhum ajuste necessário</v>
      </c>
      <c r="BE108" s="0" t="str">
        <f aca="false">'5 Conciliação'!Q82</f>
        <v>—</v>
      </c>
      <c r="BF108" s="0" t="str">
        <f aca="false">'5 Conciliação'!R82</f>
        <v>—</v>
      </c>
      <c r="BH108" s="82" t="n">
        <f aca="false">SUMIFS('3 Base Saldo Inicial 08-09'!$E$2:$E$5000,'3 Base Saldo Inicial 08-09'!$A$2:$A$5000,$T108,'3 Base Saldo Inicial 08-09'!$B$2:$B$5000,$AG108)-SUMIFS('3 Base Saldo Inicial 08-09'!$E$2:$E$5000,'3 Base Saldo Inicial 08-09'!$A$2:$A$5000,$T108,'3 Base Saldo Inicial 08-09'!$B$2:$B$5000,$AG108,'3 Base Saldo Inicial 08-09'!$C$2:$C$5000,"2008")</f>
        <v>0</v>
      </c>
    </row>
    <row r="109" customFormat="false" ht="15" hidden="false" customHeight="false" outlineLevel="0" collapsed="false">
      <c r="A109" s="121" t="s">
        <v>1776</v>
      </c>
      <c r="B109" s="1"/>
      <c r="C109" s="1"/>
      <c r="D109" s="1"/>
      <c r="E109" s="1"/>
      <c r="F109" s="1"/>
      <c r="G109" s="1"/>
      <c r="H109" s="1"/>
      <c r="I109" s="1"/>
      <c r="J109" s="1"/>
      <c r="K109" s="1"/>
      <c r="L109" s="1"/>
      <c r="M109" s="1"/>
      <c r="N109" s="1"/>
      <c r="O109" s="1"/>
      <c r="T109" s="82" t="s">
        <v>276</v>
      </c>
      <c r="U109" s="82" t="s">
        <v>65</v>
      </c>
      <c r="V109" s="82" t="n">
        <f aca="false">SUMIFS('3 Base Entrada 2008'!$G$2:$G$5000,'3 Base Entrada 2008'!$F$2:$F$5000,"&gt;="&amp;$F$5,'3 Base Entrada 2008'!$F$2:$F$5000,"&lt;="&amp;$H$5,'3 Base Entrada 2008'!$B$2:$B$5000,$T109,'3 Base Entrada 2008'!$C$2:$C$5000,$AG109,'3 Base Entrada 2008'!$K$2:$K$5000,"Recebido no 2008")</f>
        <v>1166</v>
      </c>
      <c r="W109" s="82" t="n">
        <f aca="false">SUMIFS('3 Base Entrada 2008'!$L$2:$L$5000,'3 Base Entrada 2008'!$F$2:$F$5000,"&gt;="&amp;$F$5,'3 Base Entrada 2008'!$F$2:$F$5000,"&lt;="&amp;$H$5,'3 Base Entrada 2008'!$B$2:$B$5000,$T109,'3 Base Entrada 2008'!$C$2:$C$5000,$AG109)</f>
        <v>603</v>
      </c>
      <c r="X109" s="82" t="n">
        <f aca="false">SUMIFS('3 Base Saídas'!$R$2:$R$5000,'3 Base Saídas'!$G$2:$G$5000,"&gt;="&amp;$F$5,'3 Base Saídas'!$G$2:$G$5000,"&lt;="&amp;$H$5,'3 Base Saídas'!$B$2:$B$5000,$T109,'3 Base Saídas'!$C$2:$C$5000,$AG109)</f>
        <v>422.1</v>
      </c>
      <c r="Y109" s="82" t="n">
        <f aca="false">SUMIFS('3 Base Estoque Físico'!$J$2:$J$5000,'3 Base Estoque Físico'!$A$2:$A$5000,$T109,'3 Base Estoque Físico'!$B$2:$B$5000,$AG109)</f>
        <v>180.9</v>
      </c>
      <c r="Z109" s="82" t="n">
        <f aca="false">ROUND(Y109-(BH109+W109-X109),3)</f>
        <v>0</v>
      </c>
      <c r="AA109" s="82" t="n">
        <f aca="false">IF(AND(U109=$R$3,OR($R$1="*",T109=$R$1),OR($R$2="*",AG109=$R$2),OR($R$6="*",AC109=$R$6),ABS(V109)+ABS(W109)+ABS(X109)+ABS(Y109)&gt;0),1,0)</f>
        <v>1</v>
      </c>
      <c r="AB109" s="82" t="n">
        <f aca="false">IF(AA109=1,SUM(AA$40:AA109),"")</f>
        <v>62</v>
      </c>
      <c r="AC109" s="0" t="str">
        <f aca="false">IF(ABS(Z109)&lt;=$R$5,"Confere",IF(Z109&gt;0,"Sobrando","Faltando"))</f>
        <v>Confere</v>
      </c>
      <c r="AD109" s="82" t="n">
        <f aca="false">IF(OR($R$4="*",$R$4="Saída"),COUNTIFS('3 Base Saídas'!$G$2:$G$5000,"&gt;="&amp;$F$5,'3 Base Saídas'!$G$2:$G$5000,"&lt;="&amp;$H$5,'3 Base Saídas'!$B$2:$B$5000,$T109,'3 Base Saídas'!$C$2:$C$5000,$AG109),0)+IF($R$4&lt;&gt;"Saída",COUNTIFS('3 Base Entrada 2008'!$F$2:$F$5000,"&gt;="&amp;$F$5,'3 Base Entrada 2008'!$F$2:$F$5000,"&lt;="&amp;$H$5,'3 Base Entrada 2008'!$B$2:$B$5000,$T109,'3 Base Entrada 2008'!$C$2:$C$5000,$AG109,'3 Base Entrada 2008'!$K$2:$K$5000,$R$4),0)</f>
        <v>4</v>
      </c>
      <c r="AE109" s="0" t="str">
        <f aca="false">'5 Conciliação'!K83</f>
        <v>Sem diferença</v>
      </c>
      <c r="AF109" s="82" t="n">
        <f aca="false">IF(AND(AA109=1,AC109&lt;&gt;"Confere"),ABS(Z109)+ROW()/10000000,0)</f>
        <v>0</v>
      </c>
      <c r="AG109" s="82" t="s">
        <v>280</v>
      </c>
      <c r="BB109" s="82" t="n">
        <f aca="false">MIN(IF(_xlfn.MINIFS('3 Base Entrada 2008'!$F$2:$F$5000,'3 Base Entrada 2008'!$F$2:$F$5000,"&gt;="&amp;$F$5,'3 Base Entrada 2008'!$F$2:$F$5000,"&lt;="&amp;$H$5,'3 Base Entrada 2008'!$B$2:$B$5000,$T109,'3 Base Entrada 2008'!$C$2:$C$5000,$AG109)=0,99999,_xlfn.MINIFS('3 Base Entrada 2008'!$F$2:$F$5000,'3 Base Entrada 2008'!$F$2:$F$5000,"&gt;="&amp;$F$5,'3 Base Entrada 2008'!$F$2:$F$5000,"&lt;="&amp;$H$5,'3 Base Entrada 2008'!$B$2:$B$5000,$T109,'3 Base Entrada 2008'!$C$2:$C$5000,$AG109)),IF(_xlfn.MINIFS('3 Base Saídas'!$G$2:$G$5000,'3 Base Saídas'!$G$2:$G$5000,"&gt;="&amp;$F$5,'3 Base Saídas'!$G$2:$G$5000,"&lt;="&amp;$H$5,'3 Base Saídas'!$B$2:$B$5000,$T109,'3 Base Saídas'!$C$2:$C$5000,$AG109)=0,99999,_xlfn.MINIFS('3 Base Saídas'!$G$2:$G$5000,'3 Base Saídas'!$G$2:$G$5000,"&gt;="&amp;$F$5,'3 Base Saídas'!$G$2:$G$5000,"&lt;="&amp;$H$5,'3 Base Saídas'!$B$2:$B$5000,$T109,'3 Base Saídas'!$C$2:$C$5000,$AG109)))</f>
        <v>46275</v>
      </c>
      <c r="BC109" s="82" t="n">
        <f aca="false">MAX(_xlfn.MAXIFS('3 Base Entrada 2008'!$F$2:$F$5000,'3 Base Entrada 2008'!$F$2:$F$5000,"&gt;="&amp;$F$5,'3 Base Entrada 2008'!$F$2:$F$5000,"&lt;="&amp;$H$5,'3 Base Entrada 2008'!$B$2:$B$5000,$T109,'3 Base Entrada 2008'!$C$2:$C$5000,$AG109),_xlfn.MAXIFS('3 Base Saídas'!$G$2:$G$5000,'3 Base Saídas'!$G$2:$G$5000,"&gt;="&amp;$F$5,'3 Base Saídas'!$G$2:$G$5000,"&lt;="&amp;$H$5,'3 Base Saídas'!$B$2:$B$5000,$T109,'3 Base Saídas'!$C$2:$C$5000,$AG109))</f>
        <v>46291</v>
      </c>
      <c r="BD109" s="0" t="str">
        <f aca="false">'5 Conciliação'!L83</f>
        <v>Nenhum ajuste necessário</v>
      </c>
      <c r="BE109" s="0" t="str">
        <f aca="false">'5 Conciliação'!Q83</f>
        <v>—</v>
      </c>
      <c r="BF109" s="0" t="str">
        <f aca="false">'5 Conciliação'!R83</f>
        <v>—</v>
      </c>
      <c r="BH109" s="82" t="n">
        <f aca="false">SUMIFS('3 Base Saldo Inicial 08-09'!$E$2:$E$5000,'3 Base Saldo Inicial 08-09'!$A$2:$A$5000,$T109,'3 Base Saldo Inicial 08-09'!$B$2:$B$5000,$AG109)-SUMIFS('3 Base Saldo Inicial 08-09'!$E$2:$E$5000,'3 Base Saldo Inicial 08-09'!$A$2:$A$5000,$T109,'3 Base Saldo Inicial 08-09'!$B$2:$B$5000,$AG109,'3 Base Saldo Inicial 08-09'!$C$2:$C$5000,"2008")</f>
        <v>0</v>
      </c>
    </row>
    <row r="110" customFormat="false" ht="15" hidden="false" customHeight="false" outlineLevel="0" collapsed="false">
      <c r="A110" s="121" t="s">
        <v>1777</v>
      </c>
      <c r="B110" s="1"/>
      <c r="C110" s="1"/>
      <c r="D110" s="1"/>
      <c r="E110" s="1"/>
      <c r="F110" s="1"/>
      <c r="G110" s="1"/>
      <c r="H110" s="1"/>
      <c r="I110" s="1"/>
      <c r="J110" s="1"/>
      <c r="K110" s="1"/>
      <c r="L110" s="1"/>
      <c r="M110" s="1"/>
      <c r="N110" s="1"/>
      <c r="O110" s="1"/>
      <c r="T110" s="82" t="s">
        <v>372</v>
      </c>
      <c r="U110" s="82" t="s">
        <v>65</v>
      </c>
      <c r="V110" s="82" t="n">
        <f aca="false">SUMIFS('3 Base Entrada 2008'!$G$2:$G$5000,'3 Base Entrada 2008'!$F$2:$F$5000,"&gt;="&amp;$F$5,'3 Base Entrada 2008'!$F$2:$F$5000,"&lt;="&amp;$H$5,'3 Base Entrada 2008'!$B$2:$B$5000,$T110,'3 Base Entrada 2008'!$C$2:$C$5000,$AG110,'3 Base Entrada 2008'!$K$2:$K$5000,"Recebido no 2008")</f>
        <v>0</v>
      </c>
      <c r="W110" s="82" t="n">
        <f aca="false">SUMIFS('3 Base Entrada 2008'!$L$2:$L$5000,'3 Base Entrada 2008'!$F$2:$F$5000,"&gt;="&amp;$F$5,'3 Base Entrada 2008'!$F$2:$F$5000,"&lt;="&amp;$H$5,'3 Base Entrada 2008'!$B$2:$B$5000,$T110,'3 Base Entrada 2008'!$C$2:$C$5000,$AG110)</f>
        <v>1200</v>
      </c>
      <c r="X110" s="82" t="n">
        <f aca="false">SUMIFS('3 Base Saídas'!$R$2:$R$5000,'3 Base Saídas'!$G$2:$G$5000,"&gt;="&amp;$F$5,'3 Base Saídas'!$G$2:$G$5000,"&lt;="&amp;$H$5,'3 Base Saídas'!$B$2:$B$5000,$T110,'3 Base Saídas'!$C$2:$C$5000,$AG110)</f>
        <v>0</v>
      </c>
      <c r="Y110" s="82" t="n">
        <f aca="false">SUMIFS('3 Base Estoque Físico'!$J$2:$J$5000,'3 Base Estoque Físico'!$A$2:$A$5000,$T110,'3 Base Estoque Físico'!$B$2:$B$5000,$AG110)</f>
        <v>1200</v>
      </c>
      <c r="Z110" s="82" t="n">
        <f aca="false">ROUND(Y110-(BH110+W110-X110),3)</f>
        <v>0</v>
      </c>
      <c r="AA110" s="82" t="n">
        <f aca="false">IF(AND(U110=$R$3,OR($R$1="*",T110=$R$1),OR($R$2="*",AG110=$R$2),OR($R$6="*",AC110=$R$6),ABS(V110)+ABS(W110)+ABS(X110)+ABS(Y110)&gt;0),1,0)</f>
        <v>1</v>
      </c>
      <c r="AB110" s="82" t="n">
        <f aca="false">IF(AA110=1,SUM(AA$40:AA110),"")</f>
        <v>63</v>
      </c>
      <c r="AC110" s="0" t="str">
        <f aca="false">IF(ABS(Z110)&lt;=$R$5,"Confere",IF(Z110&gt;0,"Sobrando","Faltando"))</f>
        <v>Confere</v>
      </c>
      <c r="AD110" s="82" t="n">
        <f aca="false">IF(OR($R$4="*",$R$4="Saída"),COUNTIFS('3 Base Saídas'!$G$2:$G$5000,"&gt;="&amp;$F$5,'3 Base Saídas'!$G$2:$G$5000,"&lt;="&amp;$H$5,'3 Base Saídas'!$B$2:$B$5000,$T110,'3 Base Saídas'!$C$2:$C$5000,$AG110),0)+IF($R$4&lt;&gt;"Saída",COUNTIFS('3 Base Entrada 2008'!$F$2:$F$5000,"&gt;="&amp;$F$5,'3 Base Entrada 2008'!$F$2:$F$5000,"&lt;="&amp;$H$5,'3 Base Entrada 2008'!$B$2:$B$5000,$T110,'3 Base Entrada 2008'!$C$2:$C$5000,$AG110,'3 Base Entrada 2008'!$K$2:$K$5000,$R$4),0)</f>
        <v>1</v>
      </c>
      <c r="AE110" s="0" t="str">
        <f aca="false">'5 Conciliação'!K84</f>
        <v>Sem diferença</v>
      </c>
      <c r="AF110" s="82" t="n">
        <f aca="false">IF(AND(AA110=1,AC110&lt;&gt;"Confere"),ABS(Z110)+ROW()/10000000,0)</f>
        <v>0</v>
      </c>
      <c r="AG110" s="82" t="s">
        <v>373</v>
      </c>
      <c r="BB110" s="82" t="n">
        <f aca="false">MIN(IF(_xlfn.MINIFS('3 Base Entrada 2008'!$F$2:$F$5000,'3 Base Entrada 2008'!$F$2:$F$5000,"&gt;="&amp;$F$5,'3 Base Entrada 2008'!$F$2:$F$5000,"&lt;="&amp;$H$5,'3 Base Entrada 2008'!$B$2:$B$5000,$T110,'3 Base Entrada 2008'!$C$2:$C$5000,$AG110)=0,99999,_xlfn.MINIFS('3 Base Entrada 2008'!$F$2:$F$5000,'3 Base Entrada 2008'!$F$2:$F$5000,"&gt;="&amp;$F$5,'3 Base Entrada 2008'!$F$2:$F$5000,"&lt;="&amp;$H$5,'3 Base Entrada 2008'!$B$2:$B$5000,$T110,'3 Base Entrada 2008'!$C$2:$C$5000,$AG110)),IF(_xlfn.MINIFS('3 Base Saídas'!$G$2:$G$5000,'3 Base Saídas'!$G$2:$G$5000,"&gt;="&amp;$F$5,'3 Base Saídas'!$G$2:$G$5000,"&lt;="&amp;$H$5,'3 Base Saídas'!$B$2:$B$5000,$T110,'3 Base Saídas'!$C$2:$C$5000,$AG110)=0,99999,_xlfn.MINIFS('3 Base Saídas'!$G$2:$G$5000,'3 Base Saídas'!$G$2:$G$5000,"&gt;="&amp;$F$5,'3 Base Saídas'!$G$2:$G$5000,"&lt;="&amp;$H$5,'3 Base Saídas'!$B$2:$B$5000,$T110,'3 Base Saídas'!$C$2:$C$5000,$AG110)))</f>
        <v>46291</v>
      </c>
      <c r="BC110" s="82" t="n">
        <f aca="false">MAX(_xlfn.MAXIFS('3 Base Entrada 2008'!$F$2:$F$5000,'3 Base Entrada 2008'!$F$2:$F$5000,"&gt;="&amp;$F$5,'3 Base Entrada 2008'!$F$2:$F$5000,"&lt;="&amp;$H$5,'3 Base Entrada 2008'!$B$2:$B$5000,$T110,'3 Base Entrada 2008'!$C$2:$C$5000,$AG110),_xlfn.MAXIFS('3 Base Saídas'!$G$2:$G$5000,'3 Base Saídas'!$G$2:$G$5000,"&gt;="&amp;$F$5,'3 Base Saídas'!$G$2:$G$5000,"&lt;="&amp;$H$5,'3 Base Saídas'!$B$2:$B$5000,$T110,'3 Base Saídas'!$C$2:$C$5000,$AG110))</f>
        <v>46291</v>
      </c>
      <c r="BD110" s="0" t="str">
        <f aca="false">'5 Conciliação'!L84</f>
        <v>Nenhum ajuste necessário</v>
      </c>
      <c r="BE110" s="0" t="str">
        <f aca="false">'5 Conciliação'!Q84</f>
        <v>—</v>
      </c>
      <c r="BF110" s="0" t="str">
        <f aca="false">'5 Conciliação'!R84</f>
        <v>—</v>
      </c>
      <c r="BH110" s="82" t="n">
        <f aca="false">SUMIFS('3 Base Saldo Inicial 08-09'!$E$2:$E$5000,'3 Base Saldo Inicial 08-09'!$A$2:$A$5000,$T110,'3 Base Saldo Inicial 08-09'!$B$2:$B$5000,$AG110)-SUMIFS('3 Base Saldo Inicial 08-09'!$E$2:$E$5000,'3 Base Saldo Inicial 08-09'!$A$2:$A$5000,$T110,'3 Base Saldo Inicial 08-09'!$B$2:$B$5000,$AG110,'3 Base Saldo Inicial 08-09'!$C$2:$C$5000,"2008")</f>
        <v>0</v>
      </c>
    </row>
    <row r="111" customFormat="false" ht="15" hidden="false" customHeight="false" outlineLevel="0" collapsed="false">
      <c r="A111" s="1"/>
      <c r="B111" s="1"/>
      <c r="C111" s="1"/>
      <c r="D111" s="1"/>
      <c r="E111" s="1"/>
      <c r="F111" s="1"/>
      <c r="G111" s="1"/>
      <c r="H111" s="1"/>
      <c r="I111" s="1"/>
      <c r="J111" s="1"/>
      <c r="K111" s="1"/>
      <c r="L111" s="1"/>
      <c r="M111" s="1"/>
      <c r="N111" s="1"/>
      <c r="O111" s="1"/>
      <c r="T111" s="82" t="s">
        <v>372</v>
      </c>
      <c r="U111" s="82" t="s">
        <v>65</v>
      </c>
      <c r="V111" s="82" t="n">
        <f aca="false">SUMIFS('3 Base Entrada 2008'!$G$2:$G$5000,'3 Base Entrada 2008'!$F$2:$F$5000,"&gt;="&amp;$F$5,'3 Base Entrada 2008'!$F$2:$F$5000,"&lt;="&amp;$H$5,'3 Base Entrada 2008'!$B$2:$B$5000,$T111,'3 Base Entrada 2008'!$C$2:$C$5000,$AG111,'3 Base Entrada 2008'!$K$2:$K$5000,"Recebido no 2008")</f>
        <v>2400</v>
      </c>
      <c r="W111" s="82" t="n">
        <f aca="false">SUMIFS('3 Base Entrada 2008'!$L$2:$L$5000,'3 Base Entrada 2008'!$F$2:$F$5000,"&gt;="&amp;$F$5,'3 Base Entrada 2008'!$F$2:$F$5000,"&lt;="&amp;$H$5,'3 Base Entrada 2008'!$B$2:$B$5000,$T111,'3 Base Entrada 2008'!$C$2:$C$5000,$AG111)</f>
        <v>0</v>
      </c>
      <c r="X111" s="82" t="n">
        <f aca="false">SUMIFS('3 Base Saídas'!$R$2:$R$5000,'3 Base Saídas'!$G$2:$G$5000,"&gt;="&amp;$F$5,'3 Base Saídas'!$G$2:$G$5000,"&lt;="&amp;$H$5,'3 Base Saídas'!$B$2:$B$5000,$T111,'3 Base Saídas'!$C$2:$C$5000,$AG111)</f>
        <v>0</v>
      </c>
      <c r="Y111" s="82" t="n">
        <f aca="false">SUMIFS('3 Base Estoque Físico'!$J$2:$J$5000,'3 Base Estoque Físico'!$A$2:$A$5000,$T111,'3 Base Estoque Físico'!$B$2:$B$5000,$AG111)</f>
        <v>0</v>
      </c>
      <c r="Z111" s="82" t="n">
        <f aca="false">ROUND(Y111-(BH111+W111-X111),3)</f>
        <v>0</v>
      </c>
      <c r="AA111" s="82" t="n">
        <f aca="false">IF(AND(U111=$R$3,OR($R$1="*",T111=$R$1),OR($R$2="*",AG111=$R$2),OR($R$6="*",AC111=$R$6),ABS(V111)+ABS(W111)+ABS(X111)+ABS(Y111)&gt;0),1,0)</f>
        <v>1</v>
      </c>
      <c r="AB111" s="82" t="n">
        <f aca="false">IF(AA111=1,SUM(AA$40:AA111),"")</f>
        <v>64</v>
      </c>
      <c r="AC111" s="0" t="str">
        <f aca="false">IF(ABS(Z111)&lt;=$R$5,"Confere",IF(Z111&gt;0,"Sobrando","Faltando"))</f>
        <v>Confere</v>
      </c>
      <c r="AD111" s="82" t="n">
        <f aca="false">IF(OR($R$4="*",$R$4="Saída"),COUNTIFS('3 Base Saídas'!$G$2:$G$5000,"&gt;="&amp;$F$5,'3 Base Saídas'!$G$2:$G$5000,"&lt;="&amp;$H$5,'3 Base Saídas'!$B$2:$B$5000,$T111,'3 Base Saídas'!$C$2:$C$5000,$AG111),0)+IF($R$4&lt;&gt;"Saída",COUNTIFS('3 Base Entrada 2008'!$F$2:$F$5000,"&gt;="&amp;$F$5,'3 Base Entrada 2008'!$F$2:$F$5000,"&lt;="&amp;$H$5,'3 Base Entrada 2008'!$B$2:$B$5000,$T111,'3 Base Entrada 2008'!$C$2:$C$5000,$AG111,'3 Base Entrada 2008'!$K$2:$K$5000,$R$4),0)</f>
        <v>2</v>
      </c>
      <c r="AE111" s="0" t="str">
        <f aca="false">'5 Conciliação'!K85</f>
        <v>Sem diferença</v>
      </c>
      <c r="AF111" s="82" t="n">
        <f aca="false">IF(AND(AA111=1,AC111&lt;&gt;"Confere"),ABS(Z111)+ROW()/10000000,0)</f>
        <v>0</v>
      </c>
      <c r="AG111" s="82" t="s">
        <v>374</v>
      </c>
      <c r="BB111" s="82" t="n">
        <f aca="false">MIN(IF(_xlfn.MINIFS('3 Base Entrada 2008'!$F$2:$F$5000,'3 Base Entrada 2008'!$F$2:$F$5000,"&gt;="&amp;$F$5,'3 Base Entrada 2008'!$F$2:$F$5000,"&lt;="&amp;$H$5,'3 Base Entrada 2008'!$B$2:$B$5000,$T111,'3 Base Entrada 2008'!$C$2:$C$5000,$AG111)=0,99999,_xlfn.MINIFS('3 Base Entrada 2008'!$F$2:$F$5000,'3 Base Entrada 2008'!$F$2:$F$5000,"&gt;="&amp;$F$5,'3 Base Entrada 2008'!$F$2:$F$5000,"&lt;="&amp;$H$5,'3 Base Entrada 2008'!$B$2:$B$5000,$T111,'3 Base Entrada 2008'!$C$2:$C$5000,$AG111)),IF(_xlfn.MINIFS('3 Base Saídas'!$G$2:$G$5000,'3 Base Saídas'!$G$2:$G$5000,"&gt;="&amp;$F$5,'3 Base Saídas'!$G$2:$G$5000,"&lt;="&amp;$H$5,'3 Base Saídas'!$B$2:$B$5000,$T111,'3 Base Saídas'!$C$2:$C$5000,$AG111)=0,99999,_xlfn.MINIFS('3 Base Saídas'!$G$2:$G$5000,'3 Base Saídas'!$G$2:$G$5000,"&gt;="&amp;$F$5,'3 Base Saídas'!$G$2:$G$5000,"&lt;="&amp;$H$5,'3 Base Saídas'!$B$2:$B$5000,$T111,'3 Base Saídas'!$C$2:$C$5000,$AG111)))</f>
        <v>46275</v>
      </c>
      <c r="BC111" s="82" t="n">
        <f aca="false">MAX(_xlfn.MAXIFS('3 Base Entrada 2008'!$F$2:$F$5000,'3 Base Entrada 2008'!$F$2:$F$5000,"&gt;="&amp;$F$5,'3 Base Entrada 2008'!$F$2:$F$5000,"&lt;="&amp;$H$5,'3 Base Entrada 2008'!$B$2:$B$5000,$T111,'3 Base Entrada 2008'!$C$2:$C$5000,$AG111),_xlfn.MAXIFS('3 Base Saídas'!$G$2:$G$5000,'3 Base Saídas'!$G$2:$G$5000,"&gt;="&amp;$F$5,'3 Base Saídas'!$G$2:$G$5000,"&lt;="&amp;$H$5,'3 Base Saídas'!$B$2:$B$5000,$T111,'3 Base Saídas'!$C$2:$C$5000,$AG111))</f>
        <v>46275</v>
      </c>
      <c r="BD111" s="0" t="str">
        <f aca="false">'5 Conciliação'!L85</f>
        <v>Nenhum ajuste necessário</v>
      </c>
      <c r="BE111" s="0" t="str">
        <f aca="false">'5 Conciliação'!Q85</f>
        <v>—</v>
      </c>
      <c r="BF111" s="0" t="str">
        <f aca="false">'5 Conciliação'!R85</f>
        <v>—</v>
      </c>
      <c r="BH111" s="82" t="n">
        <f aca="false">SUMIFS('3 Base Saldo Inicial 08-09'!$E$2:$E$5000,'3 Base Saldo Inicial 08-09'!$A$2:$A$5000,$T111,'3 Base Saldo Inicial 08-09'!$B$2:$B$5000,$AG111)-SUMIFS('3 Base Saldo Inicial 08-09'!$E$2:$E$5000,'3 Base Saldo Inicial 08-09'!$A$2:$A$5000,$T111,'3 Base Saldo Inicial 08-09'!$B$2:$B$5000,$AG111,'3 Base Saldo Inicial 08-09'!$C$2:$C$5000,"2008")</f>
        <v>0</v>
      </c>
    </row>
    <row r="112" customFormat="false" ht="15" hidden="false" customHeight="false" outlineLevel="0" collapsed="false">
      <c r="A112" s="1"/>
      <c r="B112" s="1"/>
      <c r="C112" s="1"/>
      <c r="D112" s="1"/>
      <c r="E112" s="1"/>
      <c r="F112" s="1"/>
      <c r="G112" s="1"/>
      <c r="H112" s="1"/>
      <c r="I112" s="1"/>
      <c r="J112" s="1"/>
      <c r="K112" s="1"/>
      <c r="L112" s="1"/>
      <c r="M112" s="1"/>
      <c r="N112" s="1"/>
      <c r="O112" s="1"/>
      <c r="T112" s="82" t="s">
        <v>281</v>
      </c>
      <c r="U112" s="82" t="s">
        <v>65</v>
      </c>
      <c r="V112" s="82" t="n">
        <f aca="false">SUMIFS('3 Base Entrada 2008'!$G$2:$G$5000,'3 Base Entrada 2008'!$F$2:$F$5000,"&gt;="&amp;$F$5,'3 Base Entrada 2008'!$F$2:$F$5000,"&lt;="&amp;$H$5,'3 Base Entrada 2008'!$B$2:$B$5000,$T112,'3 Base Entrada 2008'!$C$2:$C$5000,$AG112,'3 Base Entrada 2008'!$K$2:$K$5000,"Recebido no 2008")</f>
        <v>864</v>
      </c>
      <c r="W112" s="82" t="n">
        <f aca="false">SUMIFS('3 Base Entrada 2008'!$L$2:$L$5000,'3 Base Entrada 2008'!$F$2:$F$5000,"&gt;="&amp;$F$5,'3 Base Entrada 2008'!$F$2:$F$5000,"&lt;="&amp;$H$5,'3 Base Entrada 2008'!$B$2:$B$5000,$T112,'3 Base Entrada 2008'!$C$2:$C$5000,$AG112)</f>
        <v>864</v>
      </c>
      <c r="X112" s="82" t="n">
        <f aca="false">SUMIFS('3 Base Saídas'!$R$2:$R$5000,'3 Base Saídas'!$G$2:$G$5000,"&gt;="&amp;$F$5,'3 Base Saídas'!$G$2:$G$5000,"&lt;="&amp;$H$5,'3 Base Saídas'!$B$2:$B$5000,$T112,'3 Base Saídas'!$C$2:$C$5000,$AG112)</f>
        <v>306</v>
      </c>
      <c r="Y112" s="82" t="n">
        <f aca="false">SUMIFS('3 Base Estoque Físico'!$J$2:$J$5000,'3 Base Estoque Físico'!$A$2:$A$5000,$T112,'3 Base Estoque Físico'!$B$2:$B$5000,$AG112)</f>
        <v>558</v>
      </c>
      <c r="Z112" s="82" t="n">
        <f aca="false">ROUND(Y112-(BH112+W112-X112),3)</f>
        <v>0</v>
      </c>
      <c r="AA112" s="82" t="n">
        <f aca="false">IF(AND(U112=$R$3,OR($R$1="*",T112=$R$1),OR($R$2="*",AG112=$R$2),OR($R$6="*",AC112=$R$6),ABS(V112)+ABS(W112)+ABS(X112)+ABS(Y112)&gt;0),1,0)</f>
        <v>1</v>
      </c>
      <c r="AB112" s="82" t="n">
        <f aca="false">IF(AA112=1,SUM(AA$40:AA112),"")</f>
        <v>65</v>
      </c>
      <c r="AC112" s="0" t="str">
        <f aca="false">IF(ABS(Z112)&lt;=$R$5,"Confere",IF(Z112&gt;0,"Sobrando","Faltando"))</f>
        <v>Confere</v>
      </c>
      <c r="AD112" s="82" t="n">
        <f aca="false">IF(OR($R$4="*",$R$4="Saída"),COUNTIFS('3 Base Saídas'!$G$2:$G$5000,"&gt;="&amp;$F$5,'3 Base Saídas'!$G$2:$G$5000,"&lt;="&amp;$H$5,'3 Base Saídas'!$B$2:$B$5000,$T112,'3 Base Saídas'!$C$2:$C$5000,$AG112),0)+IF($R$4&lt;&gt;"Saída",COUNTIFS('3 Base Entrada 2008'!$F$2:$F$5000,"&gt;="&amp;$F$5,'3 Base Entrada 2008'!$F$2:$F$5000,"&lt;="&amp;$H$5,'3 Base Entrada 2008'!$B$2:$B$5000,$T112,'3 Base Entrada 2008'!$C$2:$C$5000,$AG112,'3 Base Entrada 2008'!$K$2:$K$5000,$R$4),0)</f>
        <v>3</v>
      </c>
      <c r="AE112" s="0" t="str">
        <f aca="false">'5 Conciliação'!K86</f>
        <v>Sem diferença</v>
      </c>
      <c r="AF112" s="82" t="n">
        <f aca="false">IF(AND(AA112=1,AC112&lt;&gt;"Confere"),ABS(Z112)+ROW()/10000000,0)</f>
        <v>0</v>
      </c>
      <c r="AG112" s="82" t="s">
        <v>282</v>
      </c>
      <c r="BB112" s="82" t="n">
        <f aca="false">MIN(IF(_xlfn.MINIFS('3 Base Entrada 2008'!$F$2:$F$5000,'3 Base Entrada 2008'!$F$2:$F$5000,"&gt;="&amp;$F$5,'3 Base Entrada 2008'!$F$2:$F$5000,"&lt;="&amp;$H$5,'3 Base Entrada 2008'!$B$2:$B$5000,$T112,'3 Base Entrada 2008'!$C$2:$C$5000,$AG112)=0,99999,_xlfn.MINIFS('3 Base Entrada 2008'!$F$2:$F$5000,'3 Base Entrada 2008'!$F$2:$F$5000,"&gt;="&amp;$F$5,'3 Base Entrada 2008'!$F$2:$F$5000,"&lt;="&amp;$H$5,'3 Base Entrada 2008'!$B$2:$B$5000,$T112,'3 Base Entrada 2008'!$C$2:$C$5000,$AG112)),IF(_xlfn.MINIFS('3 Base Saídas'!$G$2:$G$5000,'3 Base Saídas'!$G$2:$G$5000,"&gt;="&amp;$F$5,'3 Base Saídas'!$G$2:$G$5000,"&lt;="&amp;$H$5,'3 Base Saídas'!$B$2:$B$5000,$T112,'3 Base Saídas'!$C$2:$C$5000,$AG112)=0,99999,_xlfn.MINIFS('3 Base Saídas'!$G$2:$G$5000,'3 Base Saídas'!$G$2:$G$5000,"&gt;="&amp;$F$5,'3 Base Saídas'!$G$2:$G$5000,"&lt;="&amp;$H$5,'3 Base Saídas'!$B$2:$B$5000,$T112,'3 Base Saídas'!$C$2:$C$5000,$AG112)))</f>
        <v>46275</v>
      </c>
      <c r="BC112" s="82" t="n">
        <f aca="false">MAX(_xlfn.MAXIFS('3 Base Entrada 2008'!$F$2:$F$5000,'3 Base Entrada 2008'!$F$2:$F$5000,"&gt;="&amp;$F$5,'3 Base Entrada 2008'!$F$2:$F$5000,"&lt;="&amp;$H$5,'3 Base Entrada 2008'!$B$2:$B$5000,$T112,'3 Base Entrada 2008'!$C$2:$C$5000,$AG112),_xlfn.MAXIFS('3 Base Saídas'!$G$2:$G$5000,'3 Base Saídas'!$G$2:$G$5000,"&gt;="&amp;$F$5,'3 Base Saídas'!$G$2:$G$5000,"&lt;="&amp;$H$5,'3 Base Saídas'!$B$2:$B$5000,$T112,'3 Base Saídas'!$C$2:$C$5000,$AG112))</f>
        <v>46296</v>
      </c>
      <c r="BD112" s="0" t="str">
        <f aca="false">'5 Conciliação'!L86</f>
        <v>Nenhum ajuste necessário</v>
      </c>
      <c r="BE112" s="0" t="str">
        <f aca="false">'5 Conciliação'!Q86</f>
        <v>—</v>
      </c>
      <c r="BF112" s="0" t="str">
        <f aca="false">'5 Conciliação'!R86</f>
        <v>—</v>
      </c>
      <c r="BH112" s="82" t="n">
        <f aca="false">SUMIFS('3 Base Saldo Inicial 08-09'!$E$2:$E$5000,'3 Base Saldo Inicial 08-09'!$A$2:$A$5000,$T112,'3 Base Saldo Inicial 08-09'!$B$2:$B$5000,$AG112)-SUMIFS('3 Base Saldo Inicial 08-09'!$E$2:$E$5000,'3 Base Saldo Inicial 08-09'!$A$2:$A$5000,$T112,'3 Base Saldo Inicial 08-09'!$B$2:$B$5000,$AG112,'3 Base Saldo Inicial 08-09'!$C$2:$C$5000,"2008")</f>
        <v>0</v>
      </c>
    </row>
    <row r="113" customFormat="false" ht="15" hidden="false" customHeight="false" outlineLevel="0" collapsed="false">
      <c r="A113" s="1"/>
      <c r="B113" s="1"/>
      <c r="C113" s="1"/>
      <c r="D113" s="1"/>
      <c r="E113" s="1"/>
      <c r="F113" s="1"/>
      <c r="G113" s="1"/>
      <c r="H113" s="1"/>
      <c r="I113" s="1"/>
      <c r="J113" s="1"/>
      <c r="K113" s="1"/>
      <c r="L113" s="1"/>
      <c r="M113" s="1"/>
      <c r="N113" s="1"/>
      <c r="O113" s="1"/>
      <c r="T113" s="82" t="s">
        <v>375</v>
      </c>
      <c r="U113" s="82" t="s">
        <v>65</v>
      </c>
      <c r="V113" s="82" t="n">
        <f aca="false">SUMIFS('3 Base Entrada 2008'!$G$2:$G$5000,'3 Base Entrada 2008'!$F$2:$F$5000,"&gt;="&amp;$F$5,'3 Base Entrada 2008'!$F$2:$F$5000,"&lt;="&amp;$H$5,'3 Base Entrada 2008'!$B$2:$B$5000,$T113,'3 Base Entrada 2008'!$C$2:$C$5000,$AG113,'3 Base Entrada 2008'!$K$2:$K$5000,"Recebido no 2008")</f>
        <v>432</v>
      </c>
      <c r="W113" s="82" t="n">
        <f aca="false">SUMIFS('3 Base Entrada 2008'!$L$2:$L$5000,'3 Base Entrada 2008'!$F$2:$F$5000,"&gt;="&amp;$F$5,'3 Base Entrada 2008'!$F$2:$F$5000,"&lt;="&amp;$H$5,'3 Base Entrada 2008'!$B$2:$B$5000,$T113,'3 Base Entrada 2008'!$C$2:$C$5000,$AG113)</f>
        <v>0</v>
      </c>
      <c r="X113" s="82" t="n">
        <f aca="false">SUMIFS('3 Base Saídas'!$R$2:$R$5000,'3 Base Saídas'!$G$2:$G$5000,"&gt;="&amp;$F$5,'3 Base Saídas'!$G$2:$G$5000,"&lt;="&amp;$H$5,'3 Base Saídas'!$B$2:$B$5000,$T113,'3 Base Saídas'!$C$2:$C$5000,$AG113)</f>
        <v>0</v>
      </c>
      <c r="Y113" s="82" t="n">
        <f aca="false">SUMIFS('3 Base Estoque Físico'!$J$2:$J$5000,'3 Base Estoque Físico'!$A$2:$A$5000,$T113,'3 Base Estoque Físico'!$B$2:$B$5000,$AG113)</f>
        <v>0</v>
      </c>
      <c r="Z113" s="82" t="n">
        <f aca="false">ROUND(Y113-(BH113+W113-X113),3)</f>
        <v>0</v>
      </c>
      <c r="AA113" s="82" t="n">
        <f aca="false">IF(AND(U113=$R$3,OR($R$1="*",T113=$R$1),OR($R$2="*",AG113=$R$2),OR($R$6="*",AC113=$R$6),ABS(V113)+ABS(W113)+ABS(X113)+ABS(Y113)&gt;0),1,0)</f>
        <v>1</v>
      </c>
      <c r="AB113" s="82" t="n">
        <f aca="false">IF(AA113=1,SUM(AA$40:AA113),"")</f>
        <v>66</v>
      </c>
      <c r="AC113" s="0" t="str">
        <f aca="false">IF(ABS(Z113)&lt;=$R$5,"Confere",IF(Z113&gt;0,"Sobrando","Faltando"))</f>
        <v>Confere</v>
      </c>
      <c r="AD113" s="82" t="n">
        <f aca="false">IF(OR($R$4="*",$R$4="Saída"),COUNTIFS('3 Base Saídas'!$G$2:$G$5000,"&gt;="&amp;$F$5,'3 Base Saídas'!$G$2:$G$5000,"&lt;="&amp;$H$5,'3 Base Saídas'!$B$2:$B$5000,$T113,'3 Base Saídas'!$C$2:$C$5000,$AG113),0)+IF($R$4&lt;&gt;"Saída",COUNTIFS('3 Base Entrada 2008'!$F$2:$F$5000,"&gt;="&amp;$F$5,'3 Base Entrada 2008'!$F$2:$F$5000,"&lt;="&amp;$H$5,'3 Base Entrada 2008'!$B$2:$B$5000,$T113,'3 Base Entrada 2008'!$C$2:$C$5000,$AG113,'3 Base Entrada 2008'!$K$2:$K$5000,$R$4),0)</f>
        <v>1</v>
      </c>
      <c r="AE113" s="0" t="str">
        <f aca="false">'5 Conciliação'!K87</f>
        <v>Sem diferença</v>
      </c>
      <c r="AF113" s="82" t="n">
        <f aca="false">IF(AND(AA113=1,AC113&lt;&gt;"Confere"),ABS(Z113)+ROW()/10000000,0)</f>
        <v>0</v>
      </c>
      <c r="AG113" s="82" t="s">
        <v>376</v>
      </c>
      <c r="BB113" s="82" t="n">
        <f aca="false">MIN(IF(_xlfn.MINIFS('3 Base Entrada 2008'!$F$2:$F$5000,'3 Base Entrada 2008'!$F$2:$F$5000,"&gt;="&amp;$F$5,'3 Base Entrada 2008'!$F$2:$F$5000,"&lt;="&amp;$H$5,'3 Base Entrada 2008'!$B$2:$B$5000,$T113,'3 Base Entrada 2008'!$C$2:$C$5000,$AG113)=0,99999,_xlfn.MINIFS('3 Base Entrada 2008'!$F$2:$F$5000,'3 Base Entrada 2008'!$F$2:$F$5000,"&gt;="&amp;$F$5,'3 Base Entrada 2008'!$F$2:$F$5000,"&lt;="&amp;$H$5,'3 Base Entrada 2008'!$B$2:$B$5000,$T113,'3 Base Entrada 2008'!$C$2:$C$5000,$AG113)),IF(_xlfn.MINIFS('3 Base Saídas'!$G$2:$G$5000,'3 Base Saídas'!$G$2:$G$5000,"&gt;="&amp;$F$5,'3 Base Saídas'!$G$2:$G$5000,"&lt;="&amp;$H$5,'3 Base Saídas'!$B$2:$B$5000,$T113,'3 Base Saídas'!$C$2:$C$5000,$AG113)=0,99999,_xlfn.MINIFS('3 Base Saídas'!$G$2:$G$5000,'3 Base Saídas'!$G$2:$G$5000,"&gt;="&amp;$F$5,'3 Base Saídas'!$G$2:$G$5000,"&lt;="&amp;$H$5,'3 Base Saídas'!$B$2:$B$5000,$T113,'3 Base Saídas'!$C$2:$C$5000,$AG113)))</f>
        <v>46275</v>
      </c>
      <c r="BC113" s="82" t="n">
        <f aca="false">MAX(_xlfn.MAXIFS('3 Base Entrada 2008'!$F$2:$F$5000,'3 Base Entrada 2008'!$F$2:$F$5000,"&gt;="&amp;$F$5,'3 Base Entrada 2008'!$F$2:$F$5000,"&lt;="&amp;$H$5,'3 Base Entrada 2008'!$B$2:$B$5000,$T113,'3 Base Entrada 2008'!$C$2:$C$5000,$AG113),_xlfn.MAXIFS('3 Base Saídas'!$G$2:$G$5000,'3 Base Saídas'!$G$2:$G$5000,"&gt;="&amp;$F$5,'3 Base Saídas'!$G$2:$G$5000,"&lt;="&amp;$H$5,'3 Base Saídas'!$B$2:$B$5000,$T113,'3 Base Saídas'!$C$2:$C$5000,$AG113))</f>
        <v>46275</v>
      </c>
      <c r="BD113" s="0" t="str">
        <f aca="false">'5 Conciliação'!L87</f>
        <v>Nenhum ajuste necessário</v>
      </c>
      <c r="BE113" s="0" t="str">
        <f aca="false">'5 Conciliação'!Q87</f>
        <v>—</v>
      </c>
      <c r="BF113" s="0" t="str">
        <f aca="false">'5 Conciliação'!R87</f>
        <v>—</v>
      </c>
      <c r="BH113" s="82" t="n">
        <f aca="false">SUMIFS('3 Base Saldo Inicial 08-09'!$E$2:$E$5000,'3 Base Saldo Inicial 08-09'!$A$2:$A$5000,$T113,'3 Base Saldo Inicial 08-09'!$B$2:$B$5000,$AG113)-SUMIFS('3 Base Saldo Inicial 08-09'!$E$2:$E$5000,'3 Base Saldo Inicial 08-09'!$A$2:$A$5000,$T113,'3 Base Saldo Inicial 08-09'!$B$2:$B$5000,$AG113,'3 Base Saldo Inicial 08-09'!$C$2:$C$5000,"2008")</f>
        <v>0</v>
      </c>
    </row>
    <row r="114" customFormat="false" ht="15" hidden="false" customHeight="false" outlineLevel="0" collapsed="false">
      <c r="A114" s="1"/>
      <c r="B114" s="1"/>
      <c r="C114" s="1"/>
      <c r="D114" s="1"/>
      <c r="E114" s="1"/>
      <c r="F114" s="1"/>
      <c r="G114" s="1"/>
      <c r="H114" s="1"/>
      <c r="I114" s="1"/>
      <c r="J114" s="1"/>
      <c r="K114" s="1"/>
      <c r="L114" s="1"/>
      <c r="M114" s="1"/>
      <c r="N114" s="1"/>
      <c r="O114" s="1"/>
      <c r="T114" s="82" t="s">
        <v>377</v>
      </c>
      <c r="U114" s="82" t="s">
        <v>65</v>
      </c>
      <c r="V114" s="82" t="n">
        <f aca="false">SUMIFS('3 Base Entrada 2008'!$G$2:$G$5000,'3 Base Entrada 2008'!$F$2:$F$5000,"&gt;="&amp;$F$5,'3 Base Entrada 2008'!$F$2:$F$5000,"&lt;="&amp;$H$5,'3 Base Entrada 2008'!$B$2:$B$5000,$T114,'3 Base Entrada 2008'!$C$2:$C$5000,$AG114,'3 Base Entrada 2008'!$K$2:$K$5000,"Recebido no 2008")</f>
        <v>4296</v>
      </c>
      <c r="W114" s="82" t="n">
        <f aca="false">SUMIFS('3 Base Entrada 2008'!$L$2:$L$5000,'3 Base Entrada 2008'!$F$2:$F$5000,"&gt;="&amp;$F$5,'3 Base Entrada 2008'!$F$2:$F$5000,"&lt;="&amp;$H$5,'3 Base Entrada 2008'!$B$2:$B$5000,$T114,'3 Base Entrada 2008'!$C$2:$C$5000,$AG114)</f>
        <v>0</v>
      </c>
      <c r="X114" s="82" t="n">
        <f aca="false">SUMIFS('3 Base Saídas'!$R$2:$R$5000,'3 Base Saídas'!$G$2:$G$5000,"&gt;="&amp;$F$5,'3 Base Saídas'!$G$2:$G$5000,"&lt;="&amp;$H$5,'3 Base Saídas'!$B$2:$B$5000,$T114,'3 Base Saídas'!$C$2:$C$5000,$AG114)</f>
        <v>0</v>
      </c>
      <c r="Y114" s="82" t="n">
        <f aca="false">SUMIFS('3 Base Estoque Físico'!$J$2:$J$5000,'3 Base Estoque Físico'!$A$2:$A$5000,$T114,'3 Base Estoque Físico'!$B$2:$B$5000,$AG114)</f>
        <v>0</v>
      </c>
      <c r="Z114" s="82" t="n">
        <f aca="false">ROUND(Y114-(BH114+W114-X114),3)</f>
        <v>0</v>
      </c>
      <c r="AA114" s="82" t="n">
        <f aca="false">IF(AND(U114=$R$3,OR($R$1="*",T114=$R$1),OR($R$2="*",AG114=$R$2),OR($R$6="*",AC114=$R$6),ABS(V114)+ABS(W114)+ABS(X114)+ABS(Y114)&gt;0),1,0)</f>
        <v>1</v>
      </c>
      <c r="AB114" s="82" t="n">
        <f aca="false">IF(AA114=1,SUM(AA$40:AA114),"")</f>
        <v>67</v>
      </c>
      <c r="AC114" s="0" t="str">
        <f aca="false">IF(ABS(Z114)&lt;=$R$5,"Confere",IF(Z114&gt;0,"Sobrando","Faltando"))</f>
        <v>Confere</v>
      </c>
      <c r="AD114" s="82" t="n">
        <f aca="false">IF(OR($R$4="*",$R$4="Saída"),COUNTIFS('3 Base Saídas'!$G$2:$G$5000,"&gt;="&amp;$F$5,'3 Base Saídas'!$G$2:$G$5000,"&lt;="&amp;$H$5,'3 Base Saídas'!$B$2:$B$5000,$T114,'3 Base Saídas'!$C$2:$C$5000,$AG114),0)+IF($R$4&lt;&gt;"Saída",COUNTIFS('3 Base Entrada 2008'!$F$2:$F$5000,"&gt;="&amp;$F$5,'3 Base Entrada 2008'!$F$2:$F$5000,"&lt;="&amp;$H$5,'3 Base Entrada 2008'!$B$2:$B$5000,$T114,'3 Base Entrada 2008'!$C$2:$C$5000,$AG114,'3 Base Entrada 2008'!$K$2:$K$5000,$R$4),0)</f>
        <v>1</v>
      </c>
      <c r="AE114" s="0" t="str">
        <f aca="false">'5 Conciliação'!K88</f>
        <v>Sem diferença</v>
      </c>
      <c r="AF114" s="82" t="n">
        <f aca="false">IF(AND(AA114=1,AC114&lt;&gt;"Confere"),ABS(Z114)+ROW()/10000000,0)</f>
        <v>0</v>
      </c>
      <c r="AG114" s="82" t="s">
        <v>378</v>
      </c>
      <c r="BB114" s="82" t="n">
        <f aca="false">MIN(IF(_xlfn.MINIFS('3 Base Entrada 2008'!$F$2:$F$5000,'3 Base Entrada 2008'!$F$2:$F$5000,"&gt;="&amp;$F$5,'3 Base Entrada 2008'!$F$2:$F$5000,"&lt;="&amp;$H$5,'3 Base Entrada 2008'!$B$2:$B$5000,$T114,'3 Base Entrada 2008'!$C$2:$C$5000,$AG114)=0,99999,_xlfn.MINIFS('3 Base Entrada 2008'!$F$2:$F$5000,'3 Base Entrada 2008'!$F$2:$F$5000,"&gt;="&amp;$F$5,'3 Base Entrada 2008'!$F$2:$F$5000,"&lt;="&amp;$H$5,'3 Base Entrada 2008'!$B$2:$B$5000,$T114,'3 Base Entrada 2008'!$C$2:$C$5000,$AG114)),IF(_xlfn.MINIFS('3 Base Saídas'!$G$2:$G$5000,'3 Base Saídas'!$G$2:$G$5000,"&gt;="&amp;$F$5,'3 Base Saídas'!$G$2:$G$5000,"&lt;="&amp;$H$5,'3 Base Saídas'!$B$2:$B$5000,$T114,'3 Base Saídas'!$C$2:$C$5000,$AG114)=0,99999,_xlfn.MINIFS('3 Base Saídas'!$G$2:$G$5000,'3 Base Saídas'!$G$2:$G$5000,"&gt;="&amp;$F$5,'3 Base Saídas'!$G$2:$G$5000,"&lt;="&amp;$H$5,'3 Base Saídas'!$B$2:$B$5000,$T114,'3 Base Saídas'!$C$2:$C$5000,$AG114)))</f>
        <v>46275</v>
      </c>
      <c r="BC114" s="82" t="n">
        <f aca="false">MAX(_xlfn.MAXIFS('3 Base Entrada 2008'!$F$2:$F$5000,'3 Base Entrada 2008'!$F$2:$F$5000,"&gt;="&amp;$F$5,'3 Base Entrada 2008'!$F$2:$F$5000,"&lt;="&amp;$H$5,'3 Base Entrada 2008'!$B$2:$B$5000,$T114,'3 Base Entrada 2008'!$C$2:$C$5000,$AG114),_xlfn.MAXIFS('3 Base Saídas'!$G$2:$G$5000,'3 Base Saídas'!$G$2:$G$5000,"&gt;="&amp;$F$5,'3 Base Saídas'!$G$2:$G$5000,"&lt;="&amp;$H$5,'3 Base Saídas'!$B$2:$B$5000,$T114,'3 Base Saídas'!$C$2:$C$5000,$AG114))</f>
        <v>46275</v>
      </c>
      <c r="BD114" s="0" t="str">
        <f aca="false">'5 Conciliação'!L88</f>
        <v>Nenhum ajuste necessário</v>
      </c>
      <c r="BE114" s="0" t="str">
        <f aca="false">'5 Conciliação'!Q88</f>
        <v>—</v>
      </c>
      <c r="BF114" s="0" t="str">
        <f aca="false">'5 Conciliação'!R88</f>
        <v>—</v>
      </c>
      <c r="BH114" s="82" t="n">
        <f aca="false">SUMIFS('3 Base Saldo Inicial 08-09'!$E$2:$E$5000,'3 Base Saldo Inicial 08-09'!$A$2:$A$5000,$T114,'3 Base Saldo Inicial 08-09'!$B$2:$B$5000,$AG114)-SUMIFS('3 Base Saldo Inicial 08-09'!$E$2:$E$5000,'3 Base Saldo Inicial 08-09'!$A$2:$A$5000,$T114,'3 Base Saldo Inicial 08-09'!$B$2:$B$5000,$AG114,'3 Base Saldo Inicial 08-09'!$C$2:$C$5000,"2008")</f>
        <v>0</v>
      </c>
    </row>
    <row r="115" customFormat="false" ht="15" hidden="false" customHeight="false" outlineLevel="0" collapsed="false">
      <c r="T115" s="0" t="s">
        <v>377</v>
      </c>
      <c r="U115" s="0" t="s">
        <v>65</v>
      </c>
      <c r="V115" s="0" t="n">
        <f aca="false">SUMIFS('3 Base Entrada 2008'!$G$2:$G$5000,'3 Base Entrada 2008'!$F$2:$F$5000,"&gt;="&amp;$F$5,'3 Base Entrada 2008'!$F$2:$F$5000,"&lt;="&amp;$H$5,'3 Base Entrada 2008'!$B$2:$B$5000,$T115,'3 Base Entrada 2008'!$C$2:$C$5000,$AG115,'3 Base Entrada 2008'!$K$2:$K$5000,"Recebido no 2008")</f>
        <v>6912</v>
      </c>
      <c r="W115" s="0" t="n">
        <f aca="false">SUMIFS('3 Base Entrada 2008'!$L$2:$L$5000,'3 Base Entrada 2008'!$F$2:$F$5000,"&gt;="&amp;$F$5,'3 Base Entrada 2008'!$F$2:$F$5000,"&lt;="&amp;$H$5,'3 Base Entrada 2008'!$B$2:$B$5000,$T115,'3 Base Entrada 2008'!$C$2:$C$5000,$AG115)</f>
        <v>0</v>
      </c>
      <c r="X115" s="0" t="n">
        <f aca="false">SUMIFS('3 Base Saídas'!$R$2:$R$5000,'3 Base Saídas'!$G$2:$G$5000,"&gt;="&amp;$F$5,'3 Base Saídas'!$G$2:$G$5000,"&lt;="&amp;$H$5,'3 Base Saídas'!$B$2:$B$5000,$T115,'3 Base Saídas'!$C$2:$C$5000,$AG115)</f>
        <v>0</v>
      </c>
      <c r="Y115" s="0" t="n">
        <f aca="false">SUMIFS('3 Base Estoque Físico'!$J$2:$J$5000,'3 Base Estoque Físico'!$A$2:$A$5000,$T115,'3 Base Estoque Físico'!$B$2:$B$5000,$AG115)</f>
        <v>0</v>
      </c>
      <c r="Z115" s="0" t="n">
        <f aca="false">ROUND(Y115-(BH115+W115-X115),3)</f>
        <v>0</v>
      </c>
      <c r="AA115" s="0" t="n">
        <f aca="false">IF(AND(U115=$R$3,OR($R$1="*",T115=$R$1),OR($R$2="*",AG115=$R$2),OR($R$6="*",AC115=$R$6),ABS(V115)+ABS(W115)+ABS(X115)+ABS(Y115)&gt;0),1,0)</f>
        <v>1</v>
      </c>
      <c r="AB115" s="0" t="n">
        <f aca="false">IF(AA115=1,SUM(AA$40:AA115),"")</f>
        <v>68</v>
      </c>
      <c r="AC115" s="0" t="str">
        <f aca="false">IF(ABS(Z115)&lt;=$R$5,"Confere",IF(Z115&gt;0,"Sobrando","Faltando"))</f>
        <v>Confere</v>
      </c>
      <c r="AD115" s="0" t="n">
        <f aca="false">IF(OR($R$4="*",$R$4="Saída"),COUNTIFS('3 Base Saídas'!$G$2:$G$5000,"&gt;="&amp;$F$5,'3 Base Saídas'!$G$2:$G$5000,"&lt;="&amp;$H$5,'3 Base Saídas'!$B$2:$B$5000,$T115,'3 Base Saídas'!$C$2:$C$5000,$AG115),0)+IF($R$4&lt;&gt;"Saída",COUNTIFS('3 Base Entrada 2008'!$F$2:$F$5000,"&gt;="&amp;$F$5,'3 Base Entrada 2008'!$F$2:$F$5000,"&lt;="&amp;$H$5,'3 Base Entrada 2008'!$B$2:$B$5000,$T115,'3 Base Entrada 2008'!$C$2:$C$5000,$AG115,'3 Base Entrada 2008'!$K$2:$K$5000,$R$4),0)</f>
        <v>2</v>
      </c>
      <c r="AE115" s="0" t="str">
        <f aca="false">'5 Conciliação'!K89</f>
        <v>Sem diferença</v>
      </c>
      <c r="AF115" s="0" t="n">
        <f aca="false">IF(AND(AA115=1,AC115&lt;&gt;"Confere"),ABS(Z115)+ROW()/10000000,0)</f>
        <v>0</v>
      </c>
      <c r="AG115" s="0" t="s">
        <v>379</v>
      </c>
      <c r="BB115" s="0" t="n">
        <f aca="false">MIN(IF(_xlfn.MINIFS('3 Base Entrada 2008'!$F$2:$F$5000,'3 Base Entrada 2008'!$F$2:$F$5000,"&gt;="&amp;$F$5,'3 Base Entrada 2008'!$F$2:$F$5000,"&lt;="&amp;$H$5,'3 Base Entrada 2008'!$B$2:$B$5000,$T115,'3 Base Entrada 2008'!$C$2:$C$5000,$AG115)=0,99999,_xlfn.MINIFS('3 Base Entrada 2008'!$F$2:$F$5000,'3 Base Entrada 2008'!$F$2:$F$5000,"&gt;="&amp;$F$5,'3 Base Entrada 2008'!$F$2:$F$5000,"&lt;="&amp;$H$5,'3 Base Entrada 2008'!$B$2:$B$5000,$T115,'3 Base Entrada 2008'!$C$2:$C$5000,$AG115)),IF(_xlfn.MINIFS('3 Base Saídas'!$G$2:$G$5000,'3 Base Saídas'!$G$2:$G$5000,"&gt;="&amp;$F$5,'3 Base Saídas'!$G$2:$G$5000,"&lt;="&amp;$H$5,'3 Base Saídas'!$B$2:$B$5000,$T115,'3 Base Saídas'!$C$2:$C$5000,$AG115)=0,99999,_xlfn.MINIFS('3 Base Saídas'!$G$2:$G$5000,'3 Base Saídas'!$G$2:$G$5000,"&gt;="&amp;$F$5,'3 Base Saídas'!$G$2:$G$5000,"&lt;="&amp;$H$5,'3 Base Saídas'!$B$2:$B$5000,$T115,'3 Base Saídas'!$C$2:$C$5000,$AG115)))</f>
        <v>46275</v>
      </c>
      <c r="BC115" s="0" t="n">
        <f aca="false">MAX(_xlfn.MAXIFS('3 Base Entrada 2008'!$F$2:$F$5000,'3 Base Entrada 2008'!$F$2:$F$5000,"&gt;="&amp;$F$5,'3 Base Entrada 2008'!$F$2:$F$5000,"&lt;="&amp;$H$5,'3 Base Entrada 2008'!$B$2:$B$5000,$T115,'3 Base Entrada 2008'!$C$2:$C$5000,$AG115),_xlfn.MAXIFS('3 Base Saídas'!$G$2:$G$5000,'3 Base Saídas'!$G$2:$G$5000,"&gt;="&amp;$F$5,'3 Base Saídas'!$G$2:$G$5000,"&lt;="&amp;$H$5,'3 Base Saídas'!$B$2:$B$5000,$T115,'3 Base Saídas'!$C$2:$C$5000,$AG115))</f>
        <v>46275</v>
      </c>
      <c r="BD115" s="0" t="str">
        <f aca="false">'5 Conciliação'!L89</f>
        <v>Nenhum ajuste necessário</v>
      </c>
      <c r="BE115" s="0" t="str">
        <f aca="false">'5 Conciliação'!Q89</f>
        <v>—</v>
      </c>
      <c r="BF115" s="0" t="str">
        <f aca="false">'5 Conciliação'!R89</f>
        <v>—</v>
      </c>
      <c r="BH115" s="0" t="n">
        <f aca="false">SUMIFS('3 Base Saldo Inicial 08-09'!$E$2:$E$5000,'3 Base Saldo Inicial 08-09'!$A$2:$A$5000,$T115,'3 Base Saldo Inicial 08-09'!$B$2:$B$5000,$AG115)-SUMIFS('3 Base Saldo Inicial 08-09'!$E$2:$E$5000,'3 Base Saldo Inicial 08-09'!$A$2:$A$5000,$T115,'3 Base Saldo Inicial 08-09'!$B$2:$B$5000,$AG115,'3 Base Saldo Inicial 08-09'!$C$2:$C$5000,"2008")</f>
        <v>0</v>
      </c>
    </row>
    <row r="116" customFormat="false" ht="15" hidden="false" customHeight="false" outlineLevel="0" collapsed="false">
      <c r="T116" s="0" t="s">
        <v>380</v>
      </c>
      <c r="U116" s="0" t="s">
        <v>65</v>
      </c>
      <c r="V116" s="0" t="n">
        <f aca="false">SUMIFS('3 Base Entrada 2008'!$G$2:$G$5000,'3 Base Entrada 2008'!$F$2:$F$5000,"&gt;="&amp;$F$5,'3 Base Entrada 2008'!$F$2:$F$5000,"&lt;="&amp;$H$5,'3 Base Entrada 2008'!$B$2:$B$5000,$T116,'3 Base Entrada 2008'!$C$2:$C$5000,$AG116,'3 Base Entrada 2008'!$K$2:$K$5000,"Recebido no 2008")</f>
        <v>0</v>
      </c>
      <c r="W116" s="0" t="n">
        <f aca="false">SUMIFS('3 Base Entrada 2008'!$L$2:$L$5000,'3 Base Entrada 2008'!$F$2:$F$5000,"&gt;="&amp;$F$5,'3 Base Entrada 2008'!$F$2:$F$5000,"&lt;="&amp;$H$5,'3 Base Entrada 2008'!$B$2:$B$5000,$T116,'3 Base Entrada 2008'!$C$2:$C$5000,$AG116)</f>
        <v>850</v>
      </c>
      <c r="X116" s="0" t="n">
        <f aca="false">SUMIFS('3 Base Saídas'!$R$2:$R$5000,'3 Base Saídas'!$G$2:$G$5000,"&gt;="&amp;$F$5,'3 Base Saídas'!$G$2:$G$5000,"&lt;="&amp;$H$5,'3 Base Saídas'!$B$2:$B$5000,$T116,'3 Base Saídas'!$C$2:$C$5000,$AG116)</f>
        <v>50</v>
      </c>
      <c r="Y116" s="0" t="n">
        <f aca="false">SUMIFS('3 Base Estoque Físico'!$J$2:$J$5000,'3 Base Estoque Físico'!$A$2:$A$5000,$T116,'3 Base Estoque Físico'!$B$2:$B$5000,$AG116)</f>
        <v>800</v>
      </c>
      <c r="Z116" s="0" t="n">
        <f aca="false">ROUND(Y116-(BH116+W116-X116),3)</f>
        <v>0</v>
      </c>
      <c r="AA116" s="0" t="n">
        <f aca="false">IF(AND(U116=$R$3,OR($R$1="*",T116=$R$1),OR($R$2="*",AG116=$R$2),OR($R$6="*",AC116=$R$6),ABS(V116)+ABS(W116)+ABS(X116)+ABS(Y116)&gt;0),1,0)</f>
        <v>1</v>
      </c>
      <c r="AB116" s="0" t="n">
        <f aca="false">IF(AA116=1,SUM(AA$40:AA116),"")</f>
        <v>69</v>
      </c>
      <c r="AC116" s="0" t="str">
        <f aca="false">IF(ABS(Z116)&lt;=$R$5,"Confere",IF(Z116&gt;0,"Sobrando","Faltando"))</f>
        <v>Confere</v>
      </c>
      <c r="AD116" s="0" t="n">
        <f aca="false">IF(OR($R$4="*",$R$4="Saída"),COUNTIFS('3 Base Saídas'!$G$2:$G$5000,"&gt;="&amp;$F$5,'3 Base Saídas'!$G$2:$G$5000,"&lt;="&amp;$H$5,'3 Base Saídas'!$B$2:$B$5000,$T116,'3 Base Saídas'!$C$2:$C$5000,$AG116),0)+IF($R$4&lt;&gt;"Saída",COUNTIFS('3 Base Entrada 2008'!$F$2:$F$5000,"&gt;="&amp;$F$5,'3 Base Entrada 2008'!$F$2:$F$5000,"&lt;="&amp;$H$5,'3 Base Entrada 2008'!$B$2:$B$5000,$T116,'3 Base Entrada 2008'!$C$2:$C$5000,$AG116,'3 Base Entrada 2008'!$K$2:$K$5000,$R$4),0)</f>
        <v>3</v>
      </c>
      <c r="AE116" s="0" t="str">
        <f aca="false">'5 Conciliação'!K90</f>
        <v>Sem diferença</v>
      </c>
      <c r="AF116" s="0" t="n">
        <f aca="false">IF(AND(AA116=1,AC116&lt;&gt;"Confere"),ABS(Z116)+ROW()/10000000,0)</f>
        <v>0</v>
      </c>
      <c r="AG116" s="0" t="s">
        <v>381</v>
      </c>
      <c r="BB116" s="0" t="n">
        <f aca="false">MIN(IF(_xlfn.MINIFS('3 Base Entrada 2008'!$F$2:$F$5000,'3 Base Entrada 2008'!$F$2:$F$5000,"&gt;="&amp;$F$5,'3 Base Entrada 2008'!$F$2:$F$5000,"&lt;="&amp;$H$5,'3 Base Entrada 2008'!$B$2:$B$5000,$T116,'3 Base Entrada 2008'!$C$2:$C$5000,$AG116)=0,99999,_xlfn.MINIFS('3 Base Entrada 2008'!$F$2:$F$5000,'3 Base Entrada 2008'!$F$2:$F$5000,"&gt;="&amp;$F$5,'3 Base Entrada 2008'!$F$2:$F$5000,"&lt;="&amp;$H$5,'3 Base Entrada 2008'!$B$2:$B$5000,$T116,'3 Base Entrada 2008'!$C$2:$C$5000,$AG116)),IF(_xlfn.MINIFS('3 Base Saídas'!$G$2:$G$5000,'3 Base Saídas'!$G$2:$G$5000,"&gt;="&amp;$F$5,'3 Base Saídas'!$G$2:$G$5000,"&lt;="&amp;$H$5,'3 Base Saídas'!$B$2:$B$5000,$T116,'3 Base Saídas'!$C$2:$C$5000,$AG116)=0,99999,_xlfn.MINIFS('3 Base Saídas'!$G$2:$G$5000,'3 Base Saídas'!$G$2:$G$5000,"&gt;="&amp;$F$5,'3 Base Saídas'!$G$2:$G$5000,"&lt;="&amp;$H$5,'3 Base Saídas'!$B$2:$B$5000,$T116,'3 Base Saídas'!$C$2:$C$5000,$AG116)))</f>
        <v>46291</v>
      </c>
      <c r="BC116" s="0" t="n">
        <f aca="false">MAX(_xlfn.MAXIFS('3 Base Entrada 2008'!$F$2:$F$5000,'3 Base Entrada 2008'!$F$2:$F$5000,"&gt;="&amp;$F$5,'3 Base Entrada 2008'!$F$2:$F$5000,"&lt;="&amp;$H$5,'3 Base Entrada 2008'!$B$2:$B$5000,$T116,'3 Base Entrada 2008'!$C$2:$C$5000,$AG116),_xlfn.MAXIFS('3 Base Saídas'!$G$2:$G$5000,'3 Base Saídas'!$G$2:$G$5000,"&gt;="&amp;$F$5,'3 Base Saídas'!$G$2:$G$5000,"&lt;="&amp;$H$5,'3 Base Saídas'!$B$2:$B$5000,$T116,'3 Base Saídas'!$C$2:$C$5000,$AG116))</f>
        <v>46295</v>
      </c>
      <c r="BD116" s="0" t="str">
        <f aca="false">'5 Conciliação'!L90</f>
        <v>Nenhum ajuste necessário</v>
      </c>
      <c r="BE116" s="0" t="str">
        <f aca="false">'5 Conciliação'!Q90</f>
        <v>—</v>
      </c>
      <c r="BF116" s="0" t="str">
        <f aca="false">'5 Conciliação'!R90</f>
        <v>—</v>
      </c>
      <c r="BH116" s="0" t="n">
        <f aca="false">SUMIFS('3 Base Saldo Inicial 08-09'!$E$2:$E$5000,'3 Base Saldo Inicial 08-09'!$A$2:$A$5000,$T116,'3 Base Saldo Inicial 08-09'!$B$2:$B$5000,$AG116)-SUMIFS('3 Base Saldo Inicial 08-09'!$E$2:$E$5000,'3 Base Saldo Inicial 08-09'!$A$2:$A$5000,$T116,'3 Base Saldo Inicial 08-09'!$B$2:$B$5000,$AG116,'3 Base Saldo Inicial 08-09'!$C$2:$C$5000,"2008")</f>
        <v>0</v>
      </c>
    </row>
    <row r="117" customFormat="false" ht="15" hidden="false" customHeight="false" outlineLevel="0" collapsed="false">
      <c r="T117" s="0" t="s">
        <v>284</v>
      </c>
      <c r="U117" s="0" t="s">
        <v>65</v>
      </c>
      <c r="V117" s="0" t="n">
        <f aca="false">SUMIFS('3 Base Entrada 2008'!$G$2:$G$5000,'3 Base Entrada 2008'!$F$2:$F$5000,"&gt;="&amp;$F$5,'3 Base Entrada 2008'!$F$2:$F$5000,"&lt;="&amp;$H$5,'3 Base Entrada 2008'!$B$2:$B$5000,$T117,'3 Base Entrada 2008'!$C$2:$C$5000,$AG117,'3 Base Entrada 2008'!$K$2:$K$5000,"Recebido no 2008")</f>
        <v>0</v>
      </c>
      <c r="W117" s="0" t="n">
        <f aca="false">SUMIFS('3 Base Entrada 2008'!$L$2:$L$5000,'3 Base Entrada 2008'!$F$2:$F$5000,"&gt;="&amp;$F$5,'3 Base Entrada 2008'!$F$2:$F$5000,"&lt;="&amp;$H$5,'3 Base Entrada 2008'!$B$2:$B$5000,$T117,'3 Base Entrada 2008'!$C$2:$C$5000,$AG117)</f>
        <v>1000</v>
      </c>
      <c r="X117" s="0" t="n">
        <f aca="false">SUMIFS('3 Base Saídas'!$R$2:$R$5000,'3 Base Saídas'!$G$2:$G$5000,"&gt;="&amp;$F$5,'3 Base Saídas'!$G$2:$G$5000,"&lt;="&amp;$H$5,'3 Base Saídas'!$B$2:$B$5000,$T117,'3 Base Saídas'!$C$2:$C$5000,$AG117)</f>
        <v>0</v>
      </c>
      <c r="Y117" s="0" t="n">
        <f aca="false">SUMIFS('3 Base Estoque Físico'!$J$2:$J$5000,'3 Base Estoque Físico'!$A$2:$A$5000,$T117,'3 Base Estoque Físico'!$B$2:$B$5000,$AG117)</f>
        <v>1000</v>
      </c>
      <c r="Z117" s="0" t="n">
        <f aca="false">ROUND(Y117-(BH117+W117-X117),3)</f>
        <v>0</v>
      </c>
      <c r="AA117" s="0" t="n">
        <f aca="false">IF(AND(U117=$R$3,OR($R$1="*",T117=$R$1),OR($R$2="*",AG117=$R$2),OR($R$6="*",AC117=$R$6),ABS(V117)+ABS(W117)+ABS(X117)+ABS(Y117)&gt;0),1,0)</f>
        <v>1</v>
      </c>
      <c r="AB117" s="0" t="n">
        <f aca="false">IF(AA117=1,SUM(AA$40:AA117),"")</f>
        <v>70</v>
      </c>
      <c r="AC117" s="0" t="str">
        <f aca="false">IF(ABS(Z117)&lt;=$R$5,"Confere",IF(Z117&gt;0,"Sobrando","Faltando"))</f>
        <v>Confere</v>
      </c>
      <c r="AD117" s="0" t="n">
        <f aca="false">IF(OR($R$4="*",$R$4="Saída"),COUNTIFS('3 Base Saídas'!$G$2:$G$5000,"&gt;="&amp;$F$5,'3 Base Saídas'!$G$2:$G$5000,"&lt;="&amp;$H$5,'3 Base Saídas'!$B$2:$B$5000,$T117,'3 Base Saídas'!$C$2:$C$5000,$AG117),0)+IF($R$4&lt;&gt;"Saída",COUNTIFS('3 Base Entrada 2008'!$F$2:$F$5000,"&gt;="&amp;$F$5,'3 Base Entrada 2008'!$F$2:$F$5000,"&lt;="&amp;$H$5,'3 Base Entrada 2008'!$B$2:$B$5000,$T117,'3 Base Entrada 2008'!$C$2:$C$5000,$AG117,'3 Base Entrada 2008'!$K$2:$K$5000,$R$4),0)</f>
        <v>1</v>
      </c>
      <c r="AE117" s="0" t="str">
        <f aca="false">'5 Conciliação'!K91</f>
        <v>Sem diferença</v>
      </c>
      <c r="AF117" s="0" t="n">
        <f aca="false">IF(AND(AA117=1,AC117&lt;&gt;"Confere"),ABS(Z117)+ROW()/10000000,0)</f>
        <v>0</v>
      </c>
      <c r="AG117" s="0" t="s">
        <v>285</v>
      </c>
      <c r="BB117" s="0" t="n">
        <f aca="false">MIN(IF(_xlfn.MINIFS('3 Base Entrada 2008'!$F$2:$F$5000,'3 Base Entrada 2008'!$F$2:$F$5000,"&gt;="&amp;$F$5,'3 Base Entrada 2008'!$F$2:$F$5000,"&lt;="&amp;$H$5,'3 Base Entrada 2008'!$B$2:$B$5000,$T117,'3 Base Entrada 2008'!$C$2:$C$5000,$AG117)=0,99999,_xlfn.MINIFS('3 Base Entrada 2008'!$F$2:$F$5000,'3 Base Entrada 2008'!$F$2:$F$5000,"&gt;="&amp;$F$5,'3 Base Entrada 2008'!$F$2:$F$5000,"&lt;="&amp;$H$5,'3 Base Entrada 2008'!$B$2:$B$5000,$T117,'3 Base Entrada 2008'!$C$2:$C$5000,$AG117)),IF(_xlfn.MINIFS('3 Base Saídas'!$G$2:$G$5000,'3 Base Saídas'!$G$2:$G$5000,"&gt;="&amp;$F$5,'3 Base Saídas'!$G$2:$G$5000,"&lt;="&amp;$H$5,'3 Base Saídas'!$B$2:$B$5000,$T117,'3 Base Saídas'!$C$2:$C$5000,$AG117)=0,99999,_xlfn.MINIFS('3 Base Saídas'!$G$2:$G$5000,'3 Base Saídas'!$G$2:$G$5000,"&gt;="&amp;$F$5,'3 Base Saídas'!$G$2:$G$5000,"&lt;="&amp;$H$5,'3 Base Saídas'!$B$2:$B$5000,$T117,'3 Base Saídas'!$C$2:$C$5000,$AG117)))</f>
        <v>46288</v>
      </c>
      <c r="BC117" s="0" t="n">
        <f aca="false">MAX(_xlfn.MAXIFS('3 Base Entrada 2008'!$F$2:$F$5000,'3 Base Entrada 2008'!$F$2:$F$5000,"&gt;="&amp;$F$5,'3 Base Entrada 2008'!$F$2:$F$5000,"&lt;="&amp;$H$5,'3 Base Entrada 2008'!$B$2:$B$5000,$T117,'3 Base Entrada 2008'!$C$2:$C$5000,$AG117),_xlfn.MAXIFS('3 Base Saídas'!$G$2:$G$5000,'3 Base Saídas'!$G$2:$G$5000,"&gt;="&amp;$F$5,'3 Base Saídas'!$G$2:$G$5000,"&lt;="&amp;$H$5,'3 Base Saídas'!$B$2:$B$5000,$T117,'3 Base Saídas'!$C$2:$C$5000,$AG117))</f>
        <v>46288</v>
      </c>
      <c r="BD117" s="0" t="str">
        <f aca="false">'5 Conciliação'!L91</f>
        <v>Nenhum ajuste necessário</v>
      </c>
      <c r="BE117" s="0" t="str">
        <f aca="false">'5 Conciliação'!Q91</f>
        <v>—</v>
      </c>
      <c r="BF117" s="0" t="str">
        <f aca="false">'5 Conciliação'!R91</f>
        <v>—</v>
      </c>
      <c r="BH117" s="0" t="n">
        <f aca="false">SUMIFS('3 Base Saldo Inicial 08-09'!$E$2:$E$5000,'3 Base Saldo Inicial 08-09'!$A$2:$A$5000,$T117,'3 Base Saldo Inicial 08-09'!$B$2:$B$5000,$AG117)-SUMIFS('3 Base Saldo Inicial 08-09'!$E$2:$E$5000,'3 Base Saldo Inicial 08-09'!$A$2:$A$5000,$T117,'3 Base Saldo Inicial 08-09'!$B$2:$B$5000,$AG117,'3 Base Saldo Inicial 08-09'!$C$2:$C$5000,"2008")</f>
        <v>0</v>
      </c>
    </row>
    <row r="118" customFormat="false" ht="15" hidden="false" customHeight="false" outlineLevel="0" collapsed="false">
      <c r="T118" s="0" t="s">
        <v>286</v>
      </c>
      <c r="U118" s="0" t="s">
        <v>147</v>
      </c>
      <c r="V118" s="0" t="n">
        <f aca="false">SUMIFS('3 Base Entrada 2008'!$G$2:$G$5000,'3 Base Entrada 2008'!$F$2:$F$5000,"&gt;="&amp;$F$5,'3 Base Entrada 2008'!$F$2:$F$5000,"&lt;="&amp;$H$5,'3 Base Entrada 2008'!$B$2:$B$5000,$T118,'3 Base Entrada 2008'!$C$2:$C$5000,$AG118,'3 Base Entrada 2008'!$K$2:$K$5000,"Recebido no 2008")</f>
        <v>0</v>
      </c>
      <c r="W118" s="0" t="n">
        <f aca="false">SUMIFS('3 Base Entrada 2008'!$L$2:$L$5000,'3 Base Entrada 2008'!$F$2:$F$5000,"&gt;="&amp;$F$5,'3 Base Entrada 2008'!$F$2:$F$5000,"&lt;="&amp;$H$5,'3 Base Entrada 2008'!$B$2:$B$5000,$T118,'3 Base Entrada 2008'!$C$2:$C$5000,$AG118)</f>
        <v>506</v>
      </c>
      <c r="X118" s="0" t="n">
        <f aca="false">SUMIFS('3 Base Saídas'!$R$2:$R$5000,'3 Base Saídas'!$G$2:$G$5000,"&gt;="&amp;$F$5,'3 Base Saídas'!$G$2:$G$5000,"&lt;="&amp;$H$5,'3 Base Saídas'!$B$2:$B$5000,$T118,'3 Base Saídas'!$C$2:$C$5000,$AG118)</f>
        <v>101</v>
      </c>
      <c r="Y118" s="0" t="n">
        <f aca="false">SUMIFS('3 Base Estoque Físico'!$J$2:$J$5000,'3 Base Estoque Físico'!$A$2:$A$5000,$T118,'3 Base Estoque Físico'!$B$2:$B$5000,$AG118)</f>
        <v>405</v>
      </c>
      <c r="Z118" s="0" t="n">
        <f aca="false">ROUND(Y118-(BH118+W118-X118),3)</f>
        <v>0</v>
      </c>
      <c r="AA118" s="0" t="n">
        <f aca="false">IF(AND(U118=$R$3,OR($R$1="*",T118=$R$1),OR($R$2="*",AG118=$R$2),OR($R$6="*",AC118=$R$6),ABS(V118)+ABS(W118)+ABS(X118)+ABS(Y118)&gt;0),1,0)</f>
        <v>0</v>
      </c>
      <c r="AB118" s="0" t="str">
        <f aca="false">IF(AA118=1,SUM(AA$40:AA118),"")</f>
        <v/>
      </c>
      <c r="AC118" s="0" t="str">
        <f aca="false">IF(ABS(Z118)&lt;=$R$5,"Confere",IF(Z118&gt;0,"Sobrando","Faltando"))</f>
        <v>Confere</v>
      </c>
      <c r="AD118" s="0" t="n">
        <f aca="false">IF(OR($R$4="*",$R$4="Saída"),COUNTIFS('3 Base Saídas'!$G$2:$G$5000,"&gt;="&amp;$F$5,'3 Base Saídas'!$G$2:$G$5000,"&lt;="&amp;$H$5,'3 Base Saídas'!$B$2:$B$5000,$T118,'3 Base Saídas'!$C$2:$C$5000,$AG118),0)+IF($R$4&lt;&gt;"Saída",COUNTIFS('3 Base Entrada 2008'!$F$2:$F$5000,"&gt;="&amp;$F$5,'3 Base Entrada 2008'!$F$2:$F$5000,"&lt;="&amp;$H$5,'3 Base Entrada 2008'!$B$2:$B$5000,$T118,'3 Base Entrada 2008'!$C$2:$C$5000,$AG118,'3 Base Entrada 2008'!$K$2:$K$5000,$R$4),0)</f>
        <v>11</v>
      </c>
      <c r="AE118" s="0" t="str">
        <f aca="false">'5 Conciliação'!K92</f>
        <v>Sem diferença</v>
      </c>
      <c r="AF118" s="0" t="n">
        <f aca="false">IF(AND(AA118=1,AC118&lt;&gt;"Confere"),ABS(Z118)+ROW()/10000000,0)</f>
        <v>0</v>
      </c>
      <c r="AG118" s="0" t="s">
        <v>290</v>
      </c>
      <c r="BB118" s="0" t="n">
        <f aca="false">MIN(IF(_xlfn.MINIFS('3 Base Entrada 2008'!$F$2:$F$5000,'3 Base Entrada 2008'!$F$2:$F$5000,"&gt;="&amp;$F$5,'3 Base Entrada 2008'!$F$2:$F$5000,"&lt;="&amp;$H$5,'3 Base Entrada 2008'!$B$2:$B$5000,$T118,'3 Base Entrada 2008'!$C$2:$C$5000,$AG118)=0,99999,_xlfn.MINIFS('3 Base Entrada 2008'!$F$2:$F$5000,'3 Base Entrada 2008'!$F$2:$F$5000,"&gt;="&amp;$F$5,'3 Base Entrada 2008'!$F$2:$F$5000,"&lt;="&amp;$H$5,'3 Base Entrada 2008'!$B$2:$B$5000,$T118,'3 Base Entrada 2008'!$C$2:$C$5000,$AG118)),IF(_xlfn.MINIFS('3 Base Saídas'!$G$2:$G$5000,'3 Base Saídas'!$G$2:$G$5000,"&gt;="&amp;$F$5,'3 Base Saídas'!$G$2:$G$5000,"&lt;="&amp;$H$5,'3 Base Saídas'!$B$2:$B$5000,$T118,'3 Base Saídas'!$C$2:$C$5000,$AG118)=0,99999,_xlfn.MINIFS('3 Base Saídas'!$G$2:$G$5000,'3 Base Saídas'!$G$2:$G$5000,"&gt;="&amp;$F$5,'3 Base Saídas'!$G$2:$G$5000,"&lt;="&amp;$H$5,'3 Base Saídas'!$B$2:$B$5000,$T118,'3 Base Saídas'!$C$2:$C$5000,$AG118)))</f>
        <v>46289</v>
      </c>
      <c r="BC118" s="0" t="n">
        <f aca="false">MAX(_xlfn.MAXIFS('3 Base Entrada 2008'!$F$2:$F$5000,'3 Base Entrada 2008'!$F$2:$F$5000,"&gt;="&amp;$F$5,'3 Base Entrada 2008'!$F$2:$F$5000,"&lt;="&amp;$H$5,'3 Base Entrada 2008'!$B$2:$B$5000,$T118,'3 Base Entrada 2008'!$C$2:$C$5000,$AG118),_xlfn.MAXIFS('3 Base Saídas'!$G$2:$G$5000,'3 Base Saídas'!$G$2:$G$5000,"&gt;="&amp;$F$5,'3 Base Saídas'!$G$2:$G$5000,"&lt;="&amp;$H$5,'3 Base Saídas'!$B$2:$B$5000,$T118,'3 Base Saídas'!$C$2:$C$5000,$AG118))</f>
        <v>46295</v>
      </c>
      <c r="BD118" s="0" t="str">
        <f aca="false">'5 Conciliação'!L92</f>
        <v>Nenhum ajuste necessário</v>
      </c>
      <c r="BE118" s="0" t="str">
        <f aca="false">'5 Conciliação'!Q92</f>
        <v>—</v>
      </c>
      <c r="BF118" s="0" t="str">
        <f aca="false">'5 Conciliação'!R92</f>
        <v>—</v>
      </c>
      <c r="BH118" s="0" t="n">
        <f aca="false">SUMIFS('3 Base Saldo Inicial 08-09'!$E$2:$E$5000,'3 Base Saldo Inicial 08-09'!$A$2:$A$5000,$T118,'3 Base Saldo Inicial 08-09'!$B$2:$B$5000,$AG118)-SUMIFS('3 Base Saldo Inicial 08-09'!$E$2:$E$5000,'3 Base Saldo Inicial 08-09'!$A$2:$A$5000,$T118,'3 Base Saldo Inicial 08-09'!$B$2:$B$5000,$AG118,'3 Base Saldo Inicial 08-09'!$C$2:$C$5000,"2008")</f>
        <v>0</v>
      </c>
    </row>
    <row r="119" customFormat="false" ht="15" hidden="false" customHeight="false" outlineLevel="0" collapsed="false">
      <c r="T119" s="0" t="s">
        <v>286</v>
      </c>
      <c r="U119" s="0" t="s">
        <v>147</v>
      </c>
      <c r="V119" s="0" t="n">
        <f aca="false">SUMIFS('3 Base Entrada 2008'!$G$2:$G$5000,'3 Base Entrada 2008'!$F$2:$F$5000,"&gt;="&amp;$F$5,'3 Base Entrada 2008'!$F$2:$F$5000,"&lt;="&amp;$H$5,'3 Base Entrada 2008'!$B$2:$B$5000,$T119,'3 Base Entrada 2008'!$C$2:$C$5000,$AG119,'3 Base Entrada 2008'!$K$2:$K$5000,"Recebido no 2008")</f>
        <v>0</v>
      </c>
      <c r="W119" s="0" t="n">
        <f aca="false">SUMIFS('3 Base Entrada 2008'!$L$2:$L$5000,'3 Base Entrada 2008'!$F$2:$F$5000,"&gt;="&amp;$F$5,'3 Base Entrada 2008'!$F$2:$F$5000,"&lt;="&amp;$H$5,'3 Base Entrada 2008'!$B$2:$B$5000,$T119,'3 Base Entrada 2008'!$C$2:$C$5000,$AG119)</f>
        <v>524.75</v>
      </c>
      <c r="X119" s="0" t="n">
        <f aca="false">SUMIFS('3 Base Saídas'!$R$2:$R$5000,'3 Base Saídas'!$G$2:$G$5000,"&gt;="&amp;$F$5,'3 Base Saídas'!$G$2:$G$5000,"&lt;="&amp;$H$5,'3 Base Saídas'!$B$2:$B$5000,$T119,'3 Base Saídas'!$C$2:$C$5000,$AG119)</f>
        <v>0</v>
      </c>
      <c r="Y119" s="0" t="n">
        <f aca="false">SUMIFS('3 Base Estoque Físico'!$J$2:$J$5000,'3 Base Estoque Físico'!$A$2:$A$5000,$T119,'3 Base Estoque Físico'!$B$2:$B$5000,$AG119)</f>
        <v>524.75</v>
      </c>
      <c r="Z119" s="0" t="n">
        <f aca="false">ROUND(Y119-(BH119+W119-X119),3)</f>
        <v>0</v>
      </c>
      <c r="AA119" s="0" t="n">
        <f aca="false">IF(AND(U119=$R$3,OR($R$1="*",T119=$R$1),OR($R$2="*",AG119=$R$2),OR($R$6="*",AC119=$R$6),ABS(V119)+ABS(W119)+ABS(X119)+ABS(Y119)&gt;0),1,0)</f>
        <v>0</v>
      </c>
      <c r="AB119" s="0" t="str">
        <f aca="false">IF(AA119=1,SUM(AA$40:AA119),"")</f>
        <v/>
      </c>
      <c r="AC119" s="0" t="str">
        <f aca="false">IF(ABS(Z119)&lt;=$R$5,"Confere",IF(Z119&gt;0,"Sobrando","Faltando"))</f>
        <v>Confere</v>
      </c>
      <c r="AD119" s="0" t="n">
        <f aca="false">IF(OR($R$4="*",$R$4="Saída"),COUNTIFS('3 Base Saídas'!$G$2:$G$5000,"&gt;="&amp;$F$5,'3 Base Saídas'!$G$2:$G$5000,"&lt;="&amp;$H$5,'3 Base Saídas'!$B$2:$B$5000,$T119,'3 Base Saídas'!$C$2:$C$5000,$AG119),0)+IF($R$4&lt;&gt;"Saída",COUNTIFS('3 Base Entrada 2008'!$F$2:$F$5000,"&gt;="&amp;$F$5,'3 Base Entrada 2008'!$F$2:$F$5000,"&lt;="&amp;$H$5,'3 Base Entrada 2008'!$B$2:$B$5000,$T119,'3 Base Entrada 2008'!$C$2:$C$5000,$AG119,'3 Base Entrada 2008'!$K$2:$K$5000,$R$4),0)</f>
        <v>4</v>
      </c>
      <c r="AE119" s="0" t="str">
        <f aca="false">'5 Conciliação'!K93</f>
        <v>Sem diferença</v>
      </c>
      <c r="AF119" s="0" t="n">
        <f aca="false">IF(AND(AA119=1,AC119&lt;&gt;"Confere"),ABS(Z119)+ROW()/10000000,0)</f>
        <v>0</v>
      </c>
      <c r="AG119" s="0" t="s">
        <v>291</v>
      </c>
      <c r="BB119" s="0" t="n">
        <f aca="false">MIN(IF(_xlfn.MINIFS('3 Base Entrada 2008'!$F$2:$F$5000,'3 Base Entrada 2008'!$F$2:$F$5000,"&gt;="&amp;$F$5,'3 Base Entrada 2008'!$F$2:$F$5000,"&lt;="&amp;$H$5,'3 Base Entrada 2008'!$B$2:$B$5000,$T119,'3 Base Entrada 2008'!$C$2:$C$5000,$AG119)=0,99999,_xlfn.MINIFS('3 Base Entrada 2008'!$F$2:$F$5000,'3 Base Entrada 2008'!$F$2:$F$5000,"&gt;="&amp;$F$5,'3 Base Entrada 2008'!$F$2:$F$5000,"&lt;="&amp;$H$5,'3 Base Entrada 2008'!$B$2:$B$5000,$T119,'3 Base Entrada 2008'!$C$2:$C$5000,$AG119)),IF(_xlfn.MINIFS('3 Base Saídas'!$G$2:$G$5000,'3 Base Saídas'!$G$2:$G$5000,"&gt;="&amp;$F$5,'3 Base Saídas'!$G$2:$G$5000,"&lt;="&amp;$H$5,'3 Base Saídas'!$B$2:$B$5000,$T119,'3 Base Saídas'!$C$2:$C$5000,$AG119)=0,99999,_xlfn.MINIFS('3 Base Saídas'!$G$2:$G$5000,'3 Base Saídas'!$G$2:$G$5000,"&gt;="&amp;$F$5,'3 Base Saídas'!$G$2:$G$5000,"&lt;="&amp;$H$5,'3 Base Saídas'!$B$2:$B$5000,$T119,'3 Base Saídas'!$C$2:$C$5000,$AG119)))</f>
        <v>46289</v>
      </c>
      <c r="BC119" s="0" t="n">
        <f aca="false">MAX(_xlfn.MAXIFS('3 Base Entrada 2008'!$F$2:$F$5000,'3 Base Entrada 2008'!$F$2:$F$5000,"&gt;="&amp;$F$5,'3 Base Entrada 2008'!$F$2:$F$5000,"&lt;="&amp;$H$5,'3 Base Entrada 2008'!$B$2:$B$5000,$T119,'3 Base Entrada 2008'!$C$2:$C$5000,$AG119),_xlfn.MAXIFS('3 Base Saídas'!$G$2:$G$5000,'3 Base Saídas'!$G$2:$G$5000,"&gt;="&amp;$F$5,'3 Base Saídas'!$G$2:$G$5000,"&lt;="&amp;$H$5,'3 Base Saídas'!$B$2:$B$5000,$T119,'3 Base Saídas'!$C$2:$C$5000,$AG119))</f>
        <v>46294</v>
      </c>
      <c r="BD119" s="0" t="str">
        <f aca="false">'5 Conciliação'!L93</f>
        <v>Nenhum ajuste necessário</v>
      </c>
      <c r="BE119" s="0" t="str">
        <f aca="false">'5 Conciliação'!Q93</f>
        <v>—</v>
      </c>
      <c r="BF119" s="0" t="str">
        <f aca="false">'5 Conciliação'!R93</f>
        <v>—</v>
      </c>
      <c r="BH119" s="0" t="n">
        <f aca="false">SUMIFS('3 Base Saldo Inicial 08-09'!$E$2:$E$5000,'3 Base Saldo Inicial 08-09'!$A$2:$A$5000,$T119,'3 Base Saldo Inicial 08-09'!$B$2:$B$5000,$AG119)-SUMIFS('3 Base Saldo Inicial 08-09'!$E$2:$E$5000,'3 Base Saldo Inicial 08-09'!$A$2:$A$5000,$T119,'3 Base Saldo Inicial 08-09'!$B$2:$B$5000,$AG119,'3 Base Saldo Inicial 08-09'!$C$2:$C$5000,"2008")</f>
        <v>0</v>
      </c>
    </row>
    <row r="120" customFormat="false" ht="15" hidden="false" customHeight="false" outlineLevel="0" collapsed="false">
      <c r="T120" s="0" t="s">
        <v>286</v>
      </c>
      <c r="U120" s="0" t="s">
        <v>147</v>
      </c>
      <c r="V120" s="0" t="n">
        <f aca="false">SUMIFS('3 Base Entrada 2008'!$G$2:$G$5000,'3 Base Entrada 2008'!$F$2:$F$5000,"&gt;="&amp;$F$5,'3 Base Entrada 2008'!$F$2:$F$5000,"&lt;="&amp;$H$5,'3 Base Entrada 2008'!$B$2:$B$5000,$T120,'3 Base Entrada 2008'!$C$2:$C$5000,$AG120,'3 Base Entrada 2008'!$K$2:$K$5000,"Recebido no 2008")</f>
        <v>900</v>
      </c>
      <c r="W120" s="0" t="n">
        <f aca="false">SUMIFS('3 Base Entrada 2008'!$L$2:$L$5000,'3 Base Entrada 2008'!$F$2:$F$5000,"&gt;="&amp;$F$5,'3 Base Entrada 2008'!$F$2:$F$5000,"&lt;="&amp;$H$5,'3 Base Entrada 2008'!$B$2:$B$5000,$T120,'3 Base Entrada 2008'!$C$2:$C$5000,$AG120)</f>
        <v>0</v>
      </c>
      <c r="X120" s="0" t="n">
        <f aca="false">SUMIFS('3 Base Saídas'!$R$2:$R$5000,'3 Base Saídas'!$G$2:$G$5000,"&gt;="&amp;$F$5,'3 Base Saídas'!$G$2:$G$5000,"&lt;="&amp;$H$5,'3 Base Saídas'!$B$2:$B$5000,$T120,'3 Base Saídas'!$C$2:$C$5000,$AG120)</f>
        <v>0</v>
      </c>
      <c r="Y120" s="0" t="n">
        <f aca="false">SUMIFS('3 Base Estoque Físico'!$J$2:$J$5000,'3 Base Estoque Físico'!$A$2:$A$5000,$T120,'3 Base Estoque Físico'!$B$2:$B$5000,$AG120)</f>
        <v>0</v>
      </c>
      <c r="Z120" s="0" t="n">
        <f aca="false">ROUND(Y120-(BH120+W120-X120),3)</f>
        <v>0</v>
      </c>
      <c r="AA120" s="0" t="n">
        <f aca="false">IF(AND(U120=$R$3,OR($R$1="*",T120=$R$1),OR($R$2="*",AG120=$R$2),OR($R$6="*",AC120=$R$6),ABS(V120)+ABS(W120)+ABS(X120)+ABS(Y120)&gt;0),1,0)</f>
        <v>0</v>
      </c>
      <c r="AB120" s="0" t="str">
        <f aca="false">IF(AA120=1,SUM(AA$40:AA120),"")</f>
        <v/>
      </c>
      <c r="AC120" s="0" t="str">
        <f aca="false">IF(ABS(Z120)&lt;=$R$5,"Confere",IF(Z120&gt;0,"Sobrando","Faltando"))</f>
        <v>Confere</v>
      </c>
      <c r="AD120" s="0" t="n">
        <f aca="false">IF(OR($R$4="*",$R$4="Saída"),COUNTIFS('3 Base Saídas'!$G$2:$G$5000,"&gt;="&amp;$F$5,'3 Base Saídas'!$G$2:$G$5000,"&lt;="&amp;$H$5,'3 Base Saídas'!$B$2:$B$5000,$T120,'3 Base Saídas'!$C$2:$C$5000,$AG120),0)+IF($R$4&lt;&gt;"Saída",COUNTIFS('3 Base Entrada 2008'!$F$2:$F$5000,"&gt;="&amp;$F$5,'3 Base Entrada 2008'!$F$2:$F$5000,"&lt;="&amp;$H$5,'3 Base Entrada 2008'!$B$2:$B$5000,$T120,'3 Base Entrada 2008'!$C$2:$C$5000,$AG120,'3 Base Entrada 2008'!$K$2:$K$5000,$R$4),0)</f>
        <v>2</v>
      </c>
      <c r="AE120" s="0" t="str">
        <f aca="false">'5 Conciliação'!K94</f>
        <v>Sem diferença</v>
      </c>
      <c r="AF120" s="0" t="n">
        <f aca="false">IF(AND(AA120=1,AC120&lt;&gt;"Confere"),ABS(Z120)+ROW()/10000000,0)</f>
        <v>0</v>
      </c>
      <c r="AG120" s="0" t="s">
        <v>382</v>
      </c>
      <c r="BB120" s="0" t="n">
        <f aca="false">MIN(IF(_xlfn.MINIFS('3 Base Entrada 2008'!$F$2:$F$5000,'3 Base Entrada 2008'!$F$2:$F$5000,"&gt;="&amp;$F$5,'3 Base Entrada 2008'!$F$2:$F$5000,"&lt;="&amp;$H$5,'3 Base Entrada 2008'!$B$2:$B$5000,$T120,'3 Base Entrada 2008'!$C$2:$C$5000,$AG120)=0,99999,_xlfn.MINIFS('3 Base Entrada 2008'!$F$2:$F$5000,'3 Base Entrada 2008'!$F$2:$F$5000,"&gt;="&amp;$F$5,'3 Base Entrada 2008'!$F$2:$F$5000,"&lt;="&amp;$H$5,'3 Base Entrada 2008'!$B$2:$B$5000,$T120,'3 Base Entrada 2008'!$C$2:$C$5000,$AG120)),IF(_xlfn.MINIFS('3 Base Saídas'!$G$2:$G$5000,'3 Base Saídas'!$G$2:$G$5000,"&gt;="&amp;$F$5,'3 Base Saídas'!$G$2:$G$5000,"&lt;="&amp;$H$5,'3 Base Saídas'!$B$2:$B$5000,$T120,'3 Base Saídas'!$C$2:$C$5000,$AG120)=0,99999,_xlfn.MINIFS('3 Base Saídas'!$G$2:$G$5000,'3 Base Saídas'!$G$2:$G$5000,"&gt;="&amp;$F$5,'3 Base Saídas'!$G$2:$G$5000,"&lt;="&amp;$H$5,'3 Base Saídas'!$B$2:$B$5000,$T120,'3 Base Saídas'!$C$2:$C$5000,$AG120)))</f>
        <v>46275</v>
      </c>
      <c r="BC120" s="0" t="n">
        <f aca="false">MAX(_xlfn.MAXIFS('3 Base Entrada 2008'!$F$2:$F$5000,'3 Base Entrada 2008'!$F$2:$F$5000,"&gt;="&amp;$F$5,'3 Base Entrada 2008'!$F$2:$F$5000,"&lt;="&amp;$H$5,'3 Base Entrada 2008'!$B$2:$B$5000,$T120,'3 Base Entrada 2008'!$C$2:$C$5000,$AG120),_xlfn.MAXIFS('3 Base Saídas'!$G$2:$G$5000,'3 Base Saídas'!$G$2:$G$5000,"&gt;="&amp;$F$5,'3 Base Saídas'!$G$2:$G$5000,"&lt;="&amp;$H$5,'3 Base Saídas'!$B$2:$B$5000,$T120,'3 Base Saídas'!$C$2:$C$5000,$AG120))</f>
        <v>46275</v>
      </c>
      <c r="BD120" s="0" t="str">
        <f aca="false">'5 Conciliação'!L94</f>
        <v>Nenhum ajuste necessário</v>
      </c>
      <c r="BE120" s="0" t="str">
        <f aca="false">'5 Conciliação'!Q94</f>
        <v>—</v>
      </c>
      <c r="BF120" s="0" t="str">
        <f aca="false">'5 Conciliação'!R94</f>
        <v>—</v>
      </c>
      <c r="BH120" s="0" t="n">
        <f aca="false">SUMIFS('3 Base Saldo Inicial 08-09'!$E$2:$E$5000,'3 Base Saldo Inicial 08-09'!$A$2:$A$5000,$T120,'3 Base Saldo Inicial 08-09'!$B$2:$B$5000,$AG120)-SUMIFS('3 Base Saldo Inicial 08-09'!$E$2:$E$5000,'3 Base Saldo Inicial 08-09'!$A$2:$A$5000,$T120,'3 Base Saldo Inicial 08-09'!$B$2:$B$5000,$AG120,'3 Base Saldo Inicial 08-09'!$C$2:$C$5000,"2008")</f>
        <v>0</v>
      </c>
    </row>
    <row r="121" customFormat="false" ht="15" hidden="false" customHeight="false" outlineLevel="0" collapsed="false">
      <c r="T121" s="0" t="s">
        <v>286</v>
      </c>
      <c r="U121" s="0" t="s">
        <v>147</v>
      </c>
      <c r="V121" s="0" t="n">
        <f aca="false">SUMIFS('3 Base Entrada 2008'!$G$2:$G$5000,'3 Base Entrada 2008'!$F$2:$F$5000,"&gt;="&amp;$F$5,'3 Base Entrada 2008'!$F$2:$F$5000,"&lt;="&amp;$H$5,'3 Base Entrada 2008'!$B$2:$B$5000,$T121,'3 Base Entrada 2008'!$C$2:$C$5000,$AG121,'3 Base Entrada 2008'!$K$2:$K$5000,"Recebido no 2008")</f>
        <v>300</v>
      </c>
      <c r="W121" s="0" t="n">
        <f aca="false">SUMIFS('3 Base Entrada 2008'!$L$2:$L$5000,'3 Base Entrada 2008'!$F$2:$F$5000,"&gt;="&amp;$F$5,'3 Base Entrada 2008'!$F$2:$F$5000,"&lt;="&amp;$H$5,'3 Base Entrada 2008'!$B$2:$B$5000,$T121,'3 Base Entrada 2008'!$C$2:$C$5000,$AG121)</f>
        <v>0</v>
      </c>
      <c r="X121" s="0" t="n">
        <f aca="false">SUMIFS('3 Base Saídas'!$R$2:$R$5000,'3 Base Saídas'!$G$2:$G$5000,"&gt;="&amp;$F$5,'3 Base Saídas'!$G$2:$G$5000,"&lt;="&amp;$H$5,'3 Base Saídas'!$B$2:$B$5000,$T121,'3 Base Saídas'!$C$2:$C$5000,$AG121)</f>
        <v>0</v>
      </c>
      <c r="Y121" s="0" t="n">
        <f aca="false">SUMIFS('3 Base Estoque Físico'!$J$2:$J$5000,'3 Base Estoque Físico'!$A$2:$A$5000,$T121,'3 Base Estoque Físico'!$B$2:$B$5000,$AG121)</f>
        <v>0</v>
      </c>
      <c r="Z121" s="0" t="n">
        <f aca="false">ROUND(Y121-(BH121+W121-X121),3)</f>
        <v>0</v>
      </c>
      <c r="AA121" s="0" t="n">
        <f aca="false">IF(AND(U121=$R$3,OR($R$1="*",T121=$R$1),OR($R$2="*",AG121=$R$2),OR($R$6="*",AC121=$R$6),ABS(V121)+ABS(W121)+ABS(X121)+ABS(Y121)&gt;0),1,0)</f>
        <v>0</v>
      </c>
      <c r="AB121" s="0" t="str">
        <f aca="false">IF(AA121=1,SUM(AA$40:AA121),"")</f>
        <v/>
      </c>
      <c r="AC121" s="0" t="str">
        <f aca="false">IF(ABS(Z121)&lt;=$R$5,"Confere",IF(Z121&gt;0,"Sobrando","Faltando"))</f>
        <v>Confere</v>
      </c>
      <c r="AD121" s="0" t="n">
        <f aca="false">IF(OR($R$4="*",$R$4="Saída"),COUNTIFS('3 Base Saídas'!$G$2:$G$5000,"&gt;="&amp;$F$5,'3 Base Saídas'!$G$2:$G$5000,"&lt;="&amp;$H$5,'3 Base Saídas'!$B$2:$B$5000,$T121,'3 Base Saídas'!$C$2:$C$5000,$AG121),0)+IF($R$4&lt;&gt;"Saída",COUNTIFS('3 Base Entrada 2008'!$F$2:$F$5000,"&gt;="&amp;$F$5,'3 Base Entrada 2008'!$F$2:$F$5000,"&lt;="&amp;$H$5,'3 Base Entrada 2008'!$B$2:$B$5000,$T121,'3 Base Entrada 2008'!$C$2:$C$5000,$AG121,'3 Base Entrada 2008'!$K$2:$K$5000,$R$4),0)</f>
        <v>1</v>
      </c>
      <c r="AE121" s="0" t="str">
        <f aca="false">'5 Conciliação'!K95</f>
        <v>Sem diferença</v>
      </c>
      <c r="AF121" s="0" t="n">
        <f aca="false">IF(AND(AA121=1,AC121&lt;&gt;"Confere"),ABS(Z121)+ROW()/10000000,0)</f>
        <v>0</v>
      </c>
      <c r="AG121" s="0" t="s">
        <v>383</v>
      </c>
      <c r="BB121" s="0" t="n">
        <f aca="false">MIN(IF(_xlfn.MINIFS('3 Base Entrada 2008'!$F$2:$F$5000,'3 Base Entrada 2008'!$F$2:$F$5000,"&gt;="&amp;$F$5,'3 Base Entrada 2008'!$F$2:$F$5000,"&lt;="&amp;$H$5,'3 Base Entrada 2008'!$B$2:$B$5000,$T121,'3 Base Entrada 2008'!$C$2:$C$5000,$AG121)=0,99999,_xlfn.MINIFS('3 Base Entrada 2008'!$F$2:$F$5000,'3 Base Entrada 2008'!$F$2:$F$5000,"&gt;="&amp;$F$5,'3 Base Entrada 2008'!$F$2:$F$5000,"&lt;="&amp;$H$5,'3 Base Entrada 2008'!$B$2:$B$5000,$T121,'3 Base Entrada 2008'!$C$2:$C$5000,$AG121)),IF(_xlfn.MINIFS('3 Base Saídas'!$G$2:$G$5000,'3 Base Saídas'!$G$2:$G$5000,"&gt;="&amp;$F$5,'3 Base Saídas'!$G$2:$G$5000,"&lt;="&amp;$H$5,'3 Base Saídas'!$B$2:$B$5000,$T121,'3 Base Saídas'!$C$2:$C$5000,$AG121)=0,99999,_xlfn.MINIFS('3 Base Saídas'!$G$2:$G$5000,'3 Base Saídas'!$G$2:$G$5000,"&gt;="&amp;$F$5,'3 Base Saídas'!$G$2:$G$5000,"&lt;="&amp;$H$5,'3 Base Saídas'!$B$2:$B$5000,$T121,'3 Base Saídas'!$C$2:$C$5000,$AG121)))</f>
        <v>46275</v>
      </c>
      <c r="BC121" s="0" t="n">
        <f aca="false">MAX(_xlfn.MAXIFS('3 Base Entrada 2008'!$F$2:$F$5000,'3 Base Entrada 2008'!$F$2:$F$5000,"&gt;="&amp;$F$5,'3 Base Entrada 2008'!$F$2:$F$5000,"&lt;="&amp;$H$5,'3 Base Entrada 2008'!$B$2:$B$5000,$T121,'3 Base Entrada 2008'!$C$2:$C$5000,$AG121),_xlfn.MAXIFS('3 Base Saídas'!$G$2:$G$5000,'3 Base Saídas'!$G$2:$G$5000,"&gt;="&amp;$F$5,'3 Base Saídas'!$G$2:$G$5000,"&lt;="&amp;$H$5,'3 Base Saídas'!$B$2:$B$5000,$T121,'3 Base Saídas'!$C$2:$C$5000,$AG121))</f>
        <v>46275</v>
      </c>
      <c r="BD121" s="0" t="str">
        <f aca="false">'5 Conciliação'!L95</f>
        <v>Nenhum ajuste necessário</v>
      </c>
      <c r="BE121" s="0" t="str">
        <f aca="false">'5 Conciliação'!Q95</f>
        <v>—</v>
      </c>
      <c r="BF121" s="0" t="str">
        <f aca="false">'5 Conciliação'!R95</f>
        <v>—</v>
      </c>
      <c r="BH121" s="0" t="n">
        <f aca="false">SUMIFS('3 Base Saldo Inicial 08-09'!$E$2:$E$5000,'3 Base Saldo Inicial 08-09'!$A$2:$A$5000,$T121,'3 Base Saldo Inicial 08-09'!$B$2:$B$5000,$AG121)-SUMIFS('3 Base Saldo Inicial 08-09'!$E$2:$E$5000,'3 Base Saldo Inicial 08-09'!$A$2:$A$5000,$T121,'3 Base Saldo Inicial 08-09'!$B$2:$B$5000,$AG121,'3 Base Saldo Inicial 08-09'!$C$2:$C$5000,"2008")</f>
        <v>0</v>
      </c>
    </row>
    <row r="122" customFormat="false" ht="15" hidden="false" customHeight="false" outlineLevel="0" collapsed="false">
      <c r="T122" s="0" t="s">
        <v>286</v>
      </c>
      <c r="U122" s="0" t="s">
        <v>147</v>
      </c>
      <c r="V122" s="0" t="n">
        <f aca="false">SUMIFS('3 Base Entrada 2008'!$G$2:$G$5000,'3 Base Entrada 2008'!$F$2:$F$5000,"&gt;="&amp;$F$5,'3 Base Entrada 2008'!$F$2:$F$5000,"&lt;="&amp;$H$5,'3 Base Entrada 2008'!$B$2:$B$5000,$T122,'3 Base Entrada 2008'!$C$2:$C$5000,$AG122,'3 Base Entrada 2008'!$K$2:$K$5000,"Recebido no 2008")</f>
        <v>240</v>
      </c>
      <c r="W122" s="0" t="n">
        <f aca="false">SUMIFS('3 Base Entrada 2008'!$L$2:$L$5000,'3 Base Entrada 2008'!$F$2:$F$5000,"&gt;="&amp;$F$5,'3 Base Entrada 2008'!$F$2:$F$5000,"&lt;="&amp;$H$5,'3 Base Entrada 2008'!$B$2:$B$5000,$T122,'3 Base Entrada 2008'!$C$2:$C$5000,$AG122)</f>
        <v>240</v>
      </c>
      <c r="X122" s="0" t="n">
        <f aca="false">SUMIFS('3 Base Saídas'!$R$2:$R$5000,'3 Base Saídas'!$G$2:$G$5000,"&gt;="&amp;$F$5,'3 Base Saídas'!$G$2:$G$5000,"&lt;="&amp;$H$5,'3 Base Saídas'!$B$2:$B$5000,$T122,'3 Base Saídas'!$C$2:$C$5000,$AG122)</f>
        <v>0</v>
      </c>
      <c r="Y122" s="0" t="n">
        <f aca="false">SUMIFS('3 Base Estoque Físico'!$J$2:$J$5000,'3 Base Estoque Físico'!$A$2:$A$5000,$T122,'3 Base Estoque Físico'!$B$2:$B$5000,$AG122)</f>
        <v>240</v>
      </c>
      <c r="Z122" s="0" t="n">
        <f aca="false">ROUND(Y122-(BH122+W122-X122),3)</f>
        <v>0</v>
      </c>
      <c r="AA122" s="0" t="n">
        <f aca="false">IF(AND(U122=$R$3,OR($R$1="*",T122=$R$1),OR($R$2="*",AG122=$R$2),OR($R$6="*",AC122=$R$6),ABS(V122)+ABS(W122)+ABS(X122)+ABS(Y122)&gt;0),1,0)</f>
        <v>0</v>
      </c>
      <c r="AB122" s="0" t="str">
        <f aca="false">IF(AA122=1,SUM(AA$40:AA122),"")</f>
        <v/>
      </c>
      <c r="AC122" s="0" t="str">
        <f aca="false">IF(ABS(Z122)&lt;=$R$5,"Confere",IF(Z122&gt;0,"Sobrando","Faltando"))</f>
        <v>Confere</v>
      </c>
      <c r="AD122" s="0" t="n">
        <f aca="false">IF(OR($R$4="*",$R$4="Saída"),COUNTIFS('3 Base Saídas'!$G$2:$G$5000,"&gt;="&amp;$F$5,'3 Base Saídas'!$G$2:$G$5000,"&lt;="&amp;$H$5,'3 Base Saídas'!$B$2:$B$5000,$T122,'3 Base Saídas'!$C$2:$C$5000,$AG122),0)+IF($R$4&lt;&gt;"Saída",COUNTIFS('3 Base Entrada 2008'!$F$2:$F$5000,"&gt;="&amp;$F$5,'3 Base Entrada 2008'!$F$2:$F$5000,"&lt;="&amp;$H$5,'3 Base Entrada 2008'!$B$2:$B$5000,$T122,'3 Base Entrada 2008'!$C$2:$C$5000,$AG122,'3 Base Entrada 2008'!$K$2:$K$5000,$R$4),0)</f>
        <v>3</v>
      </c>
      <c r="AE122" s="0" t="str">
        <f aca="false">'5 Conciliação'!K96</f>
        <v>Sem diferença</v>
      </c>
      <c r="AF122" s="0" t="n">
        <f aca="false">IF(AND(AA122=1,AC122&lt;&gt;"Confere"),ABS(Z122)+ROW()/10000000,0)</f>
        <v>0</v>
      </c>
      <c r="AG122" s="0" t="s">
        <v>287</v>
      </c>
      <c r="BB122" s="0" t="n">
        <f aca="false">MIN(IF(_xlfn.MINIFS('3 Base Entrada 2008'!$F$2:$F$5000,'3 Base Entrada 2008'!$F$2:$F$5000,"&gt;="&amp;$F$5,'3 Base Entrada 2008'!$F$2:$F$5000,"&lt;="&amp;$H$5,'3 Base Entrada 2008'!$B$2:$B$5000,$T122,'3 Base Entrada 2008'!$C$2:$C$5000,$AG122)=0,99999,_xlfn.MINIFS('3 Base Entrada 2008'!$F$2:$F$5000,'3 Base Entrada 2008'!$F$2:$F$5000,"&gt;="&amp;$F$5,'3 Base Entrada 2008'!$F$2:$F$5000,"&lt;="&amp;$H$5,'3 Base Entrada 2008'!$B$2:$B$5000,$T122,'3 Base Entrada 2008'!$C$2:$C$5000,$AG122)),IF(_xlfn.MINIFS('3 Base Saídas'!$G$2:$G$5000,'3 Base Saídas'!$G$2:$G$5000,"&gt;="&amp;$F$5,'3 Base Saídas'!$G$2:$G$5000,"&lt;="&amp;$H$5,'3 Base Saídas'!$B$2:$B$5000,$T122,'3 Base Saídas'!$C$2:$C$5000,$AG122)=0,99999,_xlfn.MINIFS('3 Base Saídas'!$G$2:$G$5000,'3 Base Saídas'!$G$2:$G$5000,"&gt;="&amp;$F$5,'3 Base Saídas'!$G$2:$G$5000,"&lt;="&amp;$H$5,'3 Base Saídas'!$B$2:$B$5000,$T122,'3 Base Saídas'!$C$2:$C$5000,$AG122)))</f>
        <v>46275</v>
      </c>
      <c r="BC122" s="0" t="n">
        <f aca="false">MAX(_xlfn.MAXIFS('3 Base Entrada 2008'!$F$2:$F$5000,'3 Base Entrada 2008'!$F$2:$F$5000,"&gt;="&amp;$F$5,'3 Base Entrada 2008'!$F$2:$F$5000,"&lt;="&amp;$H$5,'3 Base Entrada 2008'!$B$2:$B$5000,$T122,'3 Base Entrada 2008'!$C$2:$C$5000,$AG122),_xlfn.MAXIFS('3 Base Saídas'!$G$2:$G$5000,'3 Base Saídas'!$G$2:$G$5000,"&gt;="&amp;$F$5,'3 Base Saídas'!$G$2:$G$5000,"&lt;="&amp;$H$5,'3 Base Saídas'!$B$2:$B$5000,$T122,'3 Base Saídas'!$C$2:$C$5000,$AG122))</f>
        <v>46294</v>
      </c>
      <c r="BD122" s="0" t="str">
        <f aca="false">'5 Conciliação'!L96</f>
        <v>Nenhum ajuste necessário</v>
      </c>
      <c r="BE122" s="0" t="str">
        <f aca="false">'5 Conciliação'!Q96</f>
        <v>—</v>
      </c>
      <c r="BF122" s="0" t="str">
        <f aca="false">'5 Conciliação'!R96</f>
        <v>—</v>
      </c>
      <c r="BH122" s="0" t="n">
        <f aca="false">SUMIFS('3 Base Saldo Inicial 08-09'!$E$2:$E$5000,'3 Base Saldo Inicial 08-09'!$A$2:$A$5000,$T122,'3 Base Saldo Inicial 08-09'!$B$2:$B$5000,$AG122)-SUMIFS('3 Base Saldo Inicial 08-09'!$E$2:$E$5000,'3 Base Saldo Inicial 08-09'!$A$2:$A$5000,$T122,'3 Base Saldo Inicial 08-09'!$B$2:$B$5000,$AG122,'3 Base Saldo Inicial 08-09'!$C$2:$C$5000,"2008")</f>
        <v>0</v>
      </c>
    </row>
    <row r="123" customFormat="false" ht="15" hidden="false" customHeight="false" outlineLevel="0" collapsed="false">
      <c r="T123" s="0" t="s">
        <v>301</v>
      </c>
      <c r="U123" s="0" t="s">
        <v>65</v>
      </c>
      <c r="V123" s="0" t="n">
        <f aca="false">SUMIFS('3 Base Entrada 2008'!$G$2:$G$5000,'3 Base Entrada 2008'!$F$2:$F$5000,"&gt;="&amp;$F$5,'3 Base Entrada 2008'!$F$2:$F$5000,"&lt;="&amp;$H$5,'3 Base Entrada 2008'!$B$2:$B$5000,$T123,'3 Base Entrada 2008'!$C$2:$C$5000,$AG123,'3 Base Entrada 2008'!$K$2:$K$5000,"Recebido no 2008")</f>
        <v>0</v>
      </c>
      <c r="W123" s="0" t="n">
        <f aca="false">SUMIFS('3 Base Entrada 2008'!$L$2:$L$5000,'3 Base Entrada 2008'!$F$2:$F$5000,"&gt;="&amp;$F$5,'3 Base Entrada 2008'!$F$2:$F$5000,"&lt;="&amp;$H$5,'3 Base Entrada 2008'!$B$2:$B$5000,$T123,'3 Base Entrada 2008'!$C$2:$C$5000,$AG123)</f>
        <v>1000</v>
      </c>
      <c r="X123" s="0" t="n">
        <f aca="false">SUMIFS('3 Base Saídas'!$R$2:$R$5000,'3 Base Saídas'!$G$2:$G$5000,"&gt;="&amp;$F$5,'3 Base Saídas'!$G$2:$G$5000,"&lt;="&amp;$H$5,'3 Base Saídas'!$B$2:$B$5000,$T123,'3 Base Saídas'!$C$2:$C$5000,$AG123)</f>
        <v>1000</v>
      </c>
      <c r="Y123" s="0" t="n">
        <f aca="false">SUMIFS('3 Base Estoque Físico'!$J$2:$J$5000,'3 Base Estoque Físico'!$A$2:$A$5000,$T123,'3 Base Estoque Físico'!$B$2:$B$5000,$AG123)</f>
        <v>0</v>
      </c>
      <c r="Z123" s="0" t="n">
        <f aca="false">ROUND(Y123-(BH123+W123-X123),3)</f>
        <v>0</v>
      </c>
      <c r="AA123" s="0" t="n">
        <f aca="false">IF(AND(U123=$R$3,OR($R$1="*",T123=$R$1),OR($R$2="*",AG123=$R$2),OR($R$6="*",AC123=$R$6),ABS(V123)+ABS(W123)+ABS(X123)+ABS(Y123)&gt;0),1,0)</f>
        <v>1</v>
      </c>
      <c r="AB123" s="0" t="n">
        <f aca="false">IF(AA123=1,SUM(AA$40:AA123),"")</f>
        <v>71</v>
      </c>
      <c r="AC123" s="0" t="str">
        <f aca="false">IF(ABS(Z123)&lt;=$R$5,"Confere",IF(Z123&gt;0,"Sobrando","Faltando"))</f>
        <v>Confere</v>
      </c>
      <c r="AD123" s="0" t="n">
        <f aca="false">IF(OR($R$4="*",$R$4="Saída"),COUNTIFS('3 Base Saídas'!$G$2:$G$5000,"&gt;="&amp;$F$5,'3 Base Saídas'!$G$2:$G$5000,"&lt;="&amp;$H$5,'3 Base Saídas'!$B$2:$B$5000,$T123,'3 Base Saídas'!$C$2:$C$5000,$AG123),0)+IF($R$4&lt;&gt;"Saída",COUNTIFS('3 Base Entrada 2008'!$F$2:$F$5000,"&gt;="&amp;$F$5,'3 Base Entrada 2008'!$F$2:$F$5000,"&lt;="&amp;$H$5,'3 Base Entrada 2008'!$B$2:$B$5000,$T123,'3 Base Entrada 2008'!$C$2:$C$5000,$AG123,'3 Base Entrada 2008'!$K$2:$K$5000,$R$4),0)</f>
        <v>3</v>
      </c>
      <c r="AE123" s="0" t="str">
        <f aca="false">'5 Conciliação'!K97</f>
        <v>Sem diferença</v>
      </c>
      <c r="AF123" s="0" t="n">
        <f aca="false">IF(AND(AA123=1,AC123&lt;&gt;"Confere"),ABS(Z123)+ROW()/10000000,0)</f>
        <v>0</v>
      </c>
      <c r="AG123" s="0" t="s">
        <v>385</v>
      </c>
      <c r="BB123" s="0" t="n">
        <f aca="false">MIN(IF(_xlfn.MINIFS('3 Base Entrada 2008'!$F$2:$F$5000,'3 Base Entrada 2008'!$F$2:$F$5000,"&gt;="&amp;$F$5,'3 Base Entrada 2008'!$F$2:$F$5000,"&lt;="&amp;$H$5,'3 Base Entrada 2008'!$B$2:$B$5000,$T123,'3 Base Entrada 2008'!$C$2:$C$5000,$AG123)=0,99999,_xlfn.MINIFS('3 Base Entrada 2008'!$F$2:$F$5000,'3 Base Entrada 2008'!$F$2:$F$5000,"&gt;="&amp;$F$5,'3 Base Entrada 2008'!$F$2:$F$5000,"&lt;="&amp;$H$5,'3 Base Entrada 2008'!$B$2:$B$5000,$T123,'3 Base Entrada 2008'!$C$2:$C$5000,$AG123)),IF(_xlfn.MINIFS('3 Base Saídas'!$G$2:$G$5000,'3 Base Saídas'!$G$2:$G$5000,"&gt;="&amp;$F$5,'3 Base Saídas'!$G$2:$G$5000,"&lt;="&amp;$H$5,'3 Base Saídas'!$B$2:$B$5000,$T123,'3 Base Saídas'!$C$2:$C$5000,$AG123)=0,99999,_xlfn.MINIFS('3 Base Saídas'!$G$2:$G$5000,'3 Base Saídas'!$G$2:$G$5000,"&gt;="&amp;$F$5,'3 Base Saídas'!$G$2:$G$5000,"&lt;="&amp;$H$5,'3 Base Saídas'!$B$2:$B$5000,$T123,'3 Base Saídas'!$C$2:$C$5000,$AG123)))</f>
        <v>46291</v>
      </c>
      <c r="BC123" s="0" t="n">
        <f aca="false">MAX(_xlfn.MAXIFS('3 Base Entrada 2008'!$F$2:$F$5000,'3 Base Entrada 2008'!$F$2:$F$5000,"&gt;="&amp;$F$5,'3 Base Entrada 2008'!$F$2:$F$5000,"&lt;="&amp;$H$5,'3 Base Entrada 2008'!$B$2:$B$5000,$T123,'3 Base Entrada 2008'!$C$2:$C$5000,$AG123),_xlfn.MAXIFS('3 Base Saídas'!$G$2:$G$5000,'3 Base Saídas'!$G$2:$G$5000,"&gt;="&amp;$F$5,'3 Base Saídas'!$G$2:$G$5000,"&lt;="&amp;$H$5,'3 Base Saídas'!$B$2:$B$5000,$T123,'3 Base Saídas'!$C$2:$C$5000,$AG123))</f>
        <v>46294</v>
      </c>
      <c r="BD123" s="0" t="str">
        <f aca="false">'5 Conciliação'!L97</f>
        <v>Nenhum ajuste necessário</v>
      </c>
      <c r="BE123" s="0" t="str">
        <f aca="false">'5 Conciliação'!Q97</f>
        <v>—</v>
      </c>
      <c r="BF123" s="0" t="str">
        <f aca="false">'5 Conciliação'!R97</f>
        <v>—</v>
      </c>
      <c r="BH123" s="0" t="n">
        <f aca="false">SUMIFS('3 Base Saldo Inicial 08-09'!$E$2:$E$5000,'3 Base Saldo Inicial 08-09'!$A$2:$A$5000,$T123,'3 Base Saldo Inicial 08-09'!$B$2:$B$5000,$AG123)-SUMIFS('3 Base Saldo Inicial 08-09'!$E$2:$E$5000,'3 Base Saldo Inicial 08-09'!$A$2:$A$5000,$T123,'3 Base Saldo Inicial 08-09'!$B$2:$B$5000,$AG123,'3 Base Saldo Inicial 08-09'!$C$2:$C$5000,"2008")</f>
        <v>0</v>
      </c>
    </row>
    <row r="124" customFormat="false" ht="15" hidden="false" customHeight="false" outlineLevel="0" collapsed="false">
      <c r="T124" s="0" t="s">
        <v>301</v>
      </c>
      <c r="U124" s="0" t="s">
        <v>65</v>
      </c>
      <c r="V124" s="0" t="n">
        <f aca="false">SUMIFS('3 Base Entrada 2008'!$G$2:$G$5000,'3 Base Entrada 2008'!$F$2:$F$5000,"&gt;="&amp;$F$5,'3 Base Entrada 2008'!$F$2:$F$5000,"&lt;="&amp;$H$5,'3 Base Entrada 2008'!$B$2:$B$5000,$T124,'3 Base Entrada 2008'!$C$2:$C$5000,$AG124,'3 Base Entrada 2008'!$K$2:$K$5000,"Recebido no 2008")</f>
        <v>4800</v>
      </c>
      <c r="W124" s="0" t="n">
        <f aca="false">SUMIFS('3 Base Entrada 2008'!$L$2:$L$5000,'3 Base Entrada 2008'!$F$2:$F$5000,"&gt;="&amp;$F$5,'3 Base Entrada 2008'!$F$2:$F$5000,"&lt;="&amp;$H$5,'3 Base Entrada 2008'!$B$2:$B$5000,$T124,'3 Base Entrada 2008'!$C$2:$C$5000,$AG124)</f>
        <v>5280</v>
      </c>
      <c r="X124" s="0" t="n">
        <f aca="false">SUMIFS('3 Base Saídas'!$R$2:$R$5000,'3 Base Saídas'!$G$2:$G$5000,"&gt;="&amp;$F$5,'3 Base Saídas'!$G$2:$G$5000,"&lt;="&amp;$H$5,'3 Base Saídas'!$B$2:$B$5000,$T124,'3 Base Saídas'!$C$2:$C$5000,$AG124)</f>
        <v>0</v>
      </c>
      <c r="Y124" s="0" t="n">
        <f aca="false">SUMIFS('3 Base Estoque Físico'!$J$2:$J$5000,'3 Base Estoque Físico'!$A$2:$A$5000,$T124,'3 Base Estoque Físico'!$B$2:$B$5000,$AG124)</f>
        <v>5280</v>
      </c>
      <c r="Z124" s="0" t="n">
        <f aca="false">ROUND(Y124-(BH124+W124-X124),3)</f>
        <v>0</v>
      </c>
      <c r="AA124" s="0" t="n">
        <f aca="false">IF(AND(U124=$R$3,OR($R$1="*",T124=$R$1),OR($R$2="*",AG124=$R$2),OR($R$6="*",AC124=$R$6),ABS(V124)+ABS(W124)+ABS(X124)+ABS(Y124)&gt;0),1,0)</f>
        <v>1</v>
      </c>
      <c r="AB124" s="0" t="n">
        <f aca="false">IF(AA124=1,SUM(AA$40:AA124),"")</f>
        <v>72</v>
      </c>
      <c r="AC124" s="0" t="str">
        <f aca="false">IF(ABS(Z124)&lt;=$R$5,"Confere",IF(Z124&gt;0,"Sobrando","Faltando"))</f>
        <v>Confere</v>
      </c>
      <c r="AD124" s="0" t="n">
        <f aca="false">IF(OR($R$4="*",$R$4="Saída"),COUNTIFS('3 Base Saídas'!$G$2:$G$5000,"&gt;="&amp;$F$5,'3 Base Saídas'!$G$2:$G$5000,"&lt;="&amp;$H$5,'3 Base Saídas'!$B$2:$B$5000,$T124,'3 Base Saídas'!$C$2:$C$5000,$AG124),0)+IF($R$4&lt;&gt;"Saída",COUNTIFS('3 Base Entrada 2008'!$F$2:$F$5000,"&gt;="&amp;$F$5,'3 Base Entrada 2008'!$F$2:$F$5000,"&lt;="&amp;$H$5,'3 Base Entrada 2008'!$B$2:$B$5000,$T124,'3 Base Entrada 2008'!$C$2:$C$5000,$AG124,'3 Base Entrada 2008'!$K$2:$K$5000,$R$4),0)</f>
        <v>14</v>
      </c>
      <c r="AE124" s="0" t="str">
        <f aca="false">'5 Conciliação'!K98</f>
        <v>Sem diferença</v>
      </c>
      <c r="AF124" s="0" t="n">
        <f aca="false">IF(AND(AA124=1,AC124&lt;&gt;"Confere"),ABS(Z124)+ROW()/10000000,0)</f>
        <v>0</v>
      </c>
      <c r="AG124" s="0" t="s">
        <v>302</v>
      </c>
      <c r="BB124" s="0" t="n">
        <f aca="false">MIN(IF(_xlfn.MINIFS('3 Base Entrada 2008'!$F$2:$F$5000,'3 Base Entrada 2008'!$F$2:$F$5000,"&gt;="&amp;$F$5,'3 Base Entrada 2008'!$F$2:$F$5000,"&lt;="&amp;$H$5,'3 Base Entrada 2008'!$B$2:$B$5000,$T124,'3 Base Entrada 2008'!$C$2:$C$5000,$AG124)=0,99999,_xlfn.MINIFS('3 Base Entrada 2008'!$F$2:$F$5000,'3 Base Entrada 2008'!$F$2:$F$5000,"&gt;="&amp;$F$5,'3 Base Entrada 2008'!$F$2:$F$5000,"&lt;="&amp;$H$5,'3 Base Entrada 2008'!$B$2:$B$5000,$T124,'3 Base Entrada 2008'!$C$2:$C$5000,$AG124)),IF(_xlfn.MINIFS('3 Base Saídas'!$G$2:$G$5000,'3 Base Saídas'!$G$2:$G$5000,"&gt;="&amp;$F$5,'3 Base Saídas'!$G$2:$G$5000,"&lt;="&amp;$H$5,'3 Base Saídas'!$B$2:$B$5000,$T124,'3 Base Saídas'!$C$2:$C$5000,$AG124)=0,99999,_xlfn.MINIFS('3 Base Saídas'!$G$2:$G$5000,'3 Base Saídas'!$G$2:$G$5000,"&gt;="&amp;$F$5,'3 Base Saídas'!$G$2:$G$5000,"&lt;="&amp;$H$5,'3 Base Saídas'!$B$2:$B$5000,$T124,'3 Base Saídas'!$C$2:$C$5000,$AG124)))</f>
        <v>46275</v>
      </c>
      <c r="BC124" s="0" t="n">
        <f aca="false">MAX(_xlfn.MAXIFS('3 Base Entrada 2008'!$F$2:$F$5000,'3 Base Entrada 2008'!$F$2:$F$5000,"&gt;="&amp;$F$5,'3 Base Entrada 2008'!$F$2:$F$5000,"&lt;="&amp;$H$5,'3 Base Entrada 2008'!$B$2:$B$5000,$T124,'3 Base Entrada 2008'!$C$2:$C$5000,$AG124),_xlfn.MAXIFS('3 Base Saídas'!$G$2:$G$5000,'3 Base Saídas'!$G$2:$G$5000,"&gt;="&amp;$F$5,'3 Base Saídas'!$G$2:$G$5000,"&lt;="&amp;$H$5,'3 Base Saídas'!$B$2:$B$5000,$T124,'3 Base Saídas'!$C$2:$C$5000,$AG124))</f>
        <v>46295</v>
      </c>
      <c r="BD124" s="0" t="str">
        <f aca="false">'5 Conciliação'!L98</f>
        <v>Nenhum ajuste necessário</v>
      </c>
      <c r="BE124" s="0" t="str">
        <f aca="false">'5 Conciliação'!Q98</f>
        <v>—</v>
      </c>
      <c r="BF124" s="0" t="str">
        <f aca="false">'5 Conciliação'!R98</f>
        <v>—</v>
      </c>
      <c r="BH124" s="0" t="n">
        <f aca="false">SUMIFS('3 Base Saldo Inicial 08-09'!$E$2:$E$5000,'3 Base Saldo Inicial 08-09'!$A$2:$A$5000,$T124,'3 Base Saldo Inicial 08-09'!$B$2:$B$5000,$AG124)-SUMIFS('3 Base Saldo Inicial 08-09'!$E$2:$E$5000,'3 Base Saldo Inicial 08-09'!$A$2:$A$5000,$T124,'3 Base Saldo Inicial 08-09'!$B$2:$B$5000,$AG124,'3 Base Saldo Inicial 08-09'!$C$2:$C$5000,"2008")</f>
        <v>0</v>
      </c>
    </row>
    <row r="125" customFormat="false" ht="15" hidden="false" customHeight="false" outlineLevel="0" collapsed="false">
      <c r="T125" s="0" t="s">
        <v>305</v>
      </c>
      <c r="U125" s="0" t="s">
        <v>65</v>
      </c>
      <c r="V125" s="0" t="n">
        <f aca="false">SUMIFS('3 Base Entrada 2008'!$G$2:$G$5000,'3 Base Entrada 2008'!$F$2:$F$5000,"&gt;="&amp;$F$5,'3 Base Entrada 2008'!$F$2:$F$5000,"&lt;="&amp;$H$5,'3 Base Entrada 2008'!$B$2:$B$5000,$T125,'3 Base Entrada 2008'!$C$2:$C$5000,$AG125,'3 Base Entrada 2008'!$K$2:$K$5000,"Recebido no 2008")</f>
        <v>400</v>
      </c>
      <c r="W125" s="0" t="n">
        <f aca="false">SUMIFS('3 Base Entrada 2008'!$L$2:$L$5000,'3 Base Entrada 2008'!$F$2:$F$5000,"&gt;="&amp;$F$5,'3 Base Entrada 2008'!$F$2:$F$5000,"&lt;="&amp;$H$5,'3 Base Entrada 2008'!$B$2:$B$5000,$T125,'3 Base Entrada 2008'!$C$2:$C$5000,$AG125)</f>
        <v>0</v>
      </c>
      <c r="X125" s="0" t="n">
        <f aca="false">SUMIFS('3 Base Saídas'!$R$2:$R$5000,'3 Base Saídas'!$G$2:$G$5000,"&gt;="&amp;$F$5,'3 Base Saídas'!$G$2:$G$5000,"&lt;="&amp;$H$5,'3 Base Saídas'!$B$2:$B$5000,$T125,'3 Base Saídas'!$C$2:$C$5000,$AG125)</f>
        <v>0</v>
      </c>
      <c r="Y125" s="0" t="n">
        <f aca="false">SUMIFS('3 Base Estoque Físico'!$J$2:$J$5000,'3 Base Estoque Físico'!$A$2:$A$5000,$T125,'3 Base Estoque Físico'!$B$2:$B$5000,$AG125)</f>
        <v>0</v>
      </c>
      <c r="Z125" s="0" t="n">
        <f aca="false">ROUND(Y125-(BH125+W125-X125),3)</f>
        <v>0</v>
      </c>
      <c r="AA125" s="0" t="n">
        <f aca="false">IF(AND(U125=$R$3,OR($R$1="*",T125=$R$1),OR($R$2="*",AG125=$R$2),OR($R$6="*",AC125=$R$6),ABS(V125)+ABS(W125)+ABS(X125)+ABS(Y125)&gt;0),1,0)</f>
        <v>1</v>
      </c>
      <c r="AB125" s="0" t="n">
        <f aca="false">IF(AA125=1,SUM(AA$40:AA125),"")</f>
        <v>73</v>
      </c>
      <c r="AC125" s="0" t="str">
        <f aca="false">IF(ABS(Z125)&lt;=$R$5,"Confere",IF(Z125&gt;0,"Sobrando","Faltando"))</f>
        <v>Confere</v>
      </c>
      <c r="AD125" s="0" t="n">
        <f aca="false">IF(OR($R$4="*",$R$4="Saída"),COUNTIFS('3 Base Saídas'!$G$2:$G$5000,"&gt;="&amp;$F$5,'3 Base Saídas'!$G$2:$G$5000,"&lt;="&amp;$H$5,'3 Base Saídas'!$B$2:$B$5000,$T125,'3 Base Saídas'!$C$2:$C$5000,$AG125),0)+IF($R$4&lt;&gt;"Saída",COUNTIFS('3 Base Entrada 2008'!$F$2:$F$5000,"&gt;="&amp;$F$5,'3 Base Entrada 2008'!$F$2:$F$5000,"&lt;="&amp;$H$5,'3 Base Entrada 2008'!$B$2:$B$5000,$T125,'3 Base Entrada 2008'!$C$2:$C$5000,$AG125,'3 Base Entrada 2008'!$K$2:$K$5000,$R$4),0)</f>
        <v>1</v>
      </c>
      <c r="AE125" s="0" t="str">
        <f aca="false">'5 Conciliação'!K99</f>
        <v>Sem diferença</v>
      </c>
      <c r="AF125" s="0" t="n">
        <f aca="false">IF(AND(AA125=1,AC125&lt;&gt;"Confere"),ABS(Z125)+ROW()/10000000,0)</f>
        <v>0</v>
      </c>
      <c r="AG125" s="0" t="s">
        <v>386</v>
      </c>
      <c r="BB125" s="0" t="n">
        <f aca="false">MIN(IF(_xlfn.MINIFS('3 Base Entrada 2008'!$F$2:$F$5000,'3 Base Entrada 2008'!$F$2:$F$5000,"&gt;="&amp;$F$5,'3 Base Entrada 2008'!$F$2:$F$5000,"&lt;="&amp;$H$5,'3 Base Entrada 2008'!$B$2:$B$5000,$T125,'3 Base Entrada 2008'!$C$2:$C$5000,$AG125)=0,99999,_xlfn.MINIFS('3 Base Entrada 2008'!$F$2:$F$5000,'3 Base Entrada 2008'!$F$2:$F$5000,"&gt;="&amp;$F$5,'3 Base Entrada 2008'!$F$2:$F$5000,"&lt;="&amp;$H$5,'3 Base Entrada 2008'!$B$2:$B$5000,$T125,'3 Base Entrada 2008'!$C$2:$C$5000,$AG125)),IF(_xlfn.MINIFS('3 Base Saídas'!$G$2:$G$5000,'3 Base Saídas'!$G$2:$G$5000,"&gt;="&amp;$F$5,'3 Base Saídas'!$G$2:$G$5000,"&lt;="&amp;$H$5,'3 Base Saídas'!$B$2:$B$5000,$T125,'3 Base Saídas'!$C$2:$C$5000,$AG125)=0,99999,_xlfn.MINIFS('3 Base Saídas'!$G$2:$G$5000,'3 Base Saídas'!$G$2:$G$5000,"&gt;="&amp;$F$5,'3 Base Saídas'!$G$2:$G$5000,"&lt;="&amp;$H$5,'3 Base Saídas'!$B$2:$B$5000,$T125,'3 Base Saídas'!$C$2:$C$5000,$AG125)))</f>
        <v>46275</v>
      </c>
      <c r="BC125" s="0" t="n">
        <f aca="false">MAX(_xlfn.MAXIFS('3 Base Entrada 2008'!$F$2:$F$5000,'3 Base Entrada 2008'!$F$2:$F$5000,"&gt;="&amp;$F$5,'3 Base Entrada 2008'!$F$2:$F$5000,"&lt;="&amp;$H$5,'3 Base Entrada 2008'!$B$2:$B$5000,$T125,'3 Base Entrada 2008'!$C$2:$C$5000,$AG125),_xlfn.MAXIFS('3 Base Saídas'!$G$2:$G$5000,'3 Base Saídas'!$G$2:$G$5000,"&gt;="&amp;$F$5,'3 Base Saídas'!$G$2:$G$5000,"&lt;="&amp;$H$5,'3 Base Saídas'!$B$2:$B$5000,$T125,'3 Base Saídas'!$C$2:$C$5000,$AG125))</f>
        <v>46275</v>
      </c>
      <c r="BD125" s="0" t="str">
        <f aca="false">'5 Conciliação'!L99</f>
        <v>Nenhum ajuste necessário</v>
      </c>
      <c r="BE125" s="0" t="str">
        <f aca="false">'5 Conciliação'!Q99</f>
        <v>—</v>
      </c>
      <c r="BF125" s="0" t="str">
        <f aca="false">'5 Conciliação'!R99</f>
        <v>—</v>
      </c>
      <c r="BH125" s="0" t="n">
        <f aca="false">SUMIFS('3 Base Saldo Inicial 08-09'!$E$2:$E$5000,'3 Base Saldo Inicial 08-09'!$A$2:$A$5000,$T125,'3 Base Saldo Inicial 08-09'!$B$2:$B$5000,$AG125)-SUMIFS('3 Base Saldo Inicial 08-09'!$E$2:$E$5000,'3 Base Saldo Inicial 08-09'!$A$2:$A$5000,$T125,'3 Base Saldo Inicial 08-09'!$B$2:$B$5000,$AG125,'3 Base Saldo Inicial 08-09'!$C$2:$C$5000,"2008")</f>
        <v>0</v>
      </c>
    </row>
    <row r="126" customFormat="false" ht="15" hidden="false" customHeight="false" outlineLevel="0" collapsed="false">
      <c r="T126" s="0" t="s">
        <v>305</v>
      </c>
      <c r="U126" s="0" t="s">
        <v>65</v>
      </c>
      <c r="V126" s="0" t="n">
        <f aca="false">SUMIFS('3 Base Entrada 2008'!$G$2:$G$5000,'3 Base Entrada 2008'!$F$2:$F$5000,"&gt;="&amp;$F$5,'3 Base Entrada 2008'!$F$2:$F$5000,"&lt;="&amp;$H$5,'3 Base Entrada 2008'!$B$2:$B$5000,$T126,'3 Base Entrada 2008'!$C$2:$C$5000,$AG126,'3 Base Entrada 2008'!$K$2:$K$5000,"Recebido no 2008")</f>
        <v>0</v>
      </c>
      <c r="W126" s="0" t="n">
        <f aca="false">SUMIFS('3 Base Entrada 2008'!$L$2:$L$5000,'3 Base Entrada 2008'!$F$2:$F$5000,"&gt;="&amp;$F$5,'3 Base Entrada 2008'!$F$2:$F$5000,"&lt;="&amp;$H$5,'3 Base Entrada 2008'!$B$2:$B$5000,$T126,'3 Base Entrada 2008'!$C$2:$C$5000,$AG126)</f>
        <v>400</v>
      </c>
      <c r="X126" s="0" t="n">
        <f aca="false">SUMIFS('3 Base Saídas'!$R$2:$R$5000,'3 Base Saídas'!$G$2:$G$5000,"&gt;="&amp;$F$5,'3 Base Saídas'!$G$2:$G$5000,"&lt;="&amp;$H$5,'3 Base Saídas'!$B$2:$B$5000,$T126,'3 Base Saídas'!$C$2:$C$5000,$AG126)</f>
        <v>120</v>
      </c>
      <c r="Y126" s="0" t="n">
        <f aca="false">SUMIFS('3 Base Estoque Físico'!$J$2:$J$5000,'3 Base Estoque Físico'!$A$2:$A$5000,$T126,'3 Base Estoque Físico'!$B$2:$B$5000,$AG126)</f>
        <v>280</v>
      </c>
      <c r="Z126" s="0" t="n">
        <f aca="false">ROUND(Y126-(BH126+W126-X126),3)</f>
        <v>0</v>
      </c>
      <c r="AA126" s="0" t="n">
        <f aca="false">IF(AND(U126=$R$3,OR($R$1="*",T126=$R$1),OR($R$2="*",AG126=$R$2),OR($R$6="*",AC126=$R$6),ABS(V126)+ABS(W126)+ABS(X126)+ABS(Y126)&gt;0),1,0)</f>
        <v>1</v>
      </c>
      <c r="AB126" s="0" t="n">
        <f aca="false">IF(AA126=1,SUM(AA$40:AA126),"")</f>
        <v>74</v>
      </c>
      <c r="AC126" s="0" t="str">
        <f aca="false">IF(ABS(Z126)&lt;=$R$5,"Confere",IF(Z126&gt;0,"Sobrando","Faltando"))</f>
        <v>Confere</v>
      </c>
      <c r="AD126" s="0" t="n">
        <f aca="false">IF(OR($R$4="*",$R$4="Saída"),COUNTIFS('3 Base Saídas'!$G$2:$G$5000,"&gt;="&amp;$F$5,'3 Base Saídas'!$G$2:$G$5000,"&lt;="&amp;$H$5,'3 Base Saídas'!$B$2:$B$5000,$T126,'3 Base Saídas'!$C$2:$C$5000,$AG126),0)+IF($R$4&lt;&gt;"Saída",COUNTIFS('3 Base Entrada 2008'!$F$2:$F$5000,"&gt;="&amp;$F$5,'3 Base Entrada 2008'!$F$2:$F$5000,"&lt;="&amp;$H$5,'3 Base Entrada 2008'!$B$2:$B$5000,$T126,'3 Base Entrada 2008'!$C$2:$C$5000,$AG126,'3 Base Entrada 2008'!$K$2:$K$5000,$R$4),0)</f>
        <v>13</v>
      </c>
      <c r="AE126" s="0" t="str">
        <f aca="false">'5 Conciliação'!K100</f>
        <v>Sem diferença</v>
      </c>
      <c r="AF126" s="0" t="n">
        <f aca="false">IF(AND(AA126=1,AC126&lt;&gt;"Confere"),ABS(Z126)+ROW()/10000000,0)</f>
        <v>0</v>
      </c>
      <c r="AG126" s="0" t="s">
        <v>306</v>
      </c>
      <c r="BB126" s="0" t="n">
        <f aca="false">MIN(IF(_xlfn.MINIFS('3 Base Entrada 2008'!$F$2:$F$5000,'3 Base Entrada 2008'!$F$2:$F$5000,"&gt;="&amp;$F$5,'3 Base Entrada 2008'!$F$2:$F$5000,"&lt;="&amp;$H$5,'3 Base Entrada 2008'!$B$2:$B$5000,$T126,'3 Base Entrada 2008'!$C$2:$C$5000,$AG126)=0,99999,_xlfn.MINIFS('3 Base Entrada 2008'!$F$2:$F$5000,'3 Base Entrada 2008'!$F$2:$F$5000,"&gt;="&amp;$F$5,'3 Base Entrada 2008'!$F$2:$F$5000,"&lt;="&amp;$H$5,'3 Base Entrada 2008'!$B$2:$B$5000,$T126,'3 Base Entrada 2008'!$C$2:$C$5000,$AG126)),IF(_xlfn.MINIFS('3 Base Saídas'!$G$2:$G$5000,'3 Base Saídas'!$G$2:$G$5000,"&gt;="&amp;$F$5,'3 Base Saídas'!$G$2:$G$5000,"&lt;="&amp;$H$5,'3 Base Saídas'!$B$2:$B$5000,$T126,'3 Base Saídas'!$C$2:$C$5000,$AG126)=0,99999,_xlfn.MINIFS('3 Base Saídas'!$G$2:$G$5000,'3 Base Saídas'!$G$2:$G$5000,"&gt;="&amp;$F$5,'3 Base Saídas'!$G$2:$G$5000,"&lt;="&amp;$H$5,'3 Base Saídas'!$B$2:$B$5000,$T126,'3 Base Saídas'!$C$2:$C$5000,$AG126)))</f>
        <v>46289</v>
      </c>
      <c r="BC126" s="0" t="n">
        <f aca="false">MAX(_xlfn.MAXIFS('3 Base Entrada 2008'!$F$2:$F$5000,'3 Base Entrada 2008'!$F$2:$F$5000,"&gt;="&amp;$F$5,'3 Base Entrada 2008'!$F$2:$F$5000,"&lt;="&amp;$H$5,'3 Base Entrada 2008'!$B$2:$B$5000,$T126,'3 Base Entrada 2008'!$C$2:$C$5000,$AG126),_xlfn.MAXIFS('3 Base Saídas'!$G$2:$G$5000,'3 Base Saídas'!$G$2:$G$5000,"&gt;="&amp;$F$5,'3 Base Saídas'!$G$2:$G$5000,"&lt;="&amp;$H$5,'3 Base Saídas'!$B$2:$B$5000,$T126,'3 Base Saídas'!$C$2:$C$5000,$AG126))</f>
        <v>46295</v>
      </c>
      <c r="BD126" s="0" t="str">
        <f aca="false">'5 Conciliação'!L100</f>
        <v>Nenhum ajuste necessário</v>
      </c>
      <c r="BE126" s="0" t="str">
        <f aca="false">'5 Conciliação'!Q100</f>
        <v>—</v>
      </c>
      <c r="BF126" s="0" t="str">
        <f aca="false">'5 Conciliação'!R100</f>
        <v>—</v>
      </c>
      <c r="BH126" s="0" t="n">
        <f aca="false">SUMIFS('3 Base Saldo Inicial 08-09'!$E$2:$E$5000,'3 Base Saldo Inicial 08-09'!$A$2:$A$5000,$T126,'3 Base Saldo Inicial 08-09'!$B$2:$B$5000,$AG126)-SUMIFS('3 Base Saldo Inicial 08-09'!$E$2:$E$5000,'3 Base Saldo Inicial 08-09'!$A$2:$A$5000,$T126,'3 Base Saldo Inicial 08-09'!$B$2:$B$5000,$AG126,'3 Base Saldo Inicial 08-09'!$C$2:$C$5000,"2008")</f>
        <v>0</v>
      </c>
    </row>
    <row r="127" customFormat="false" ht="15" hidden="false" customHeight="false" outlineLevel="0" collapsed="false">
      <c r="T127" s="0" t="s">
        <v>387</v>
      </c>
      <c r="U127" s="0" t="s">
        <v>65</v>
      </c>
      <c r="V127" s="0" t="n">
        <f aca="false">SUMIFS('3 Base Entrada 2008'!$G$2:$G$5000,'3 Base Entrada 2008'!$F$2:$F$5000,"&gt;="&amp;$F$5,'3 Base Entrada 2008'!$F$2:$F$5000,"&lt;="&amp;$H$5,'3 Base Entrada 2008'!$B$2:$B$5000,$T127,'3 Base Entrada 2008'!$C$2:$C$5000,$AG127,'3 Base Entrada 2008'!$K$2:$K$5000,"Recebido no 2008")</f>
        <v>1920</v>
      </c>
      <c r="W127" s="0" t="n">
        <f aca="false">SUMIFS('3 Base Entrada 2008'!$L$2:$L$5000,'3 Base Entrada 2008'!$F$2:$F$5000,"&gt;="&amp;$F$5,'3 Base Entrada 2008'!$F$2:$F$5000,"&lt;="&amp;$H$5,'3 Base Entrada 2008'!$B$2:$B$5000,$T127,'3 Base Entrada 2008'!$C$2:$C$5000,$AG127)</f>
        <v>0</v>
      </c>
      <c r="X127" s="0" t="n">
        <f aca="false">SUMIFS('3 Base Saídas'!$R$2:$R$5000,'3 Base Saídas'!$G$2:$G$5000,"&gt;="&amp;$F$5,'3 Base Saídas'!$G$2:$G$5000,"&lt;="&amp;$H$5,'3 Base Saídas'!$B$2:$B$5000,$T127,'3 Base Saídas'!$C$2:$C$5000,$AG127)</f>
        <v>0</v>
      </c>
      <c r="Y127" s="0" t="n">
        <f aca="false">SUMIFS('3 Base Estoque Físico'!$J$2:$J$5000,'3 Base Estoque Físico'!$A$2:$A$5000,$T127,'3 Base Estoque Físico'!$B$2:$B$5000,$AG127)</f>
        <v>0</v>
      </c>
      <c r="Z127" s="0" t="n">
        <f aca="false">ROUND(Y127-(BH127+W127-X127),3)</f>
        <v>0</v>
      </c>
      <c r="AA127" s="0" t="n">
        <f aca="false">IF(AND(U127=$R$3,OR($R$1="*",T127=$R$1),OR($R$2="*",AG127=$R$2),OR($R$6="*",AC127=$R$6),ABS(V127)+ABS(W127)+ABS(X127)+ABS(Y127)&gt;0),1,0)</f>
        <v>1</v>
      </c>
      <c r="AB127" s="0" t="n">
        <f aca="false">IF(AA127=1,SUM(AA$40:AA127),"")</f>
        <v>75</v>
      </c>
      <c r="AC127" s="0" t="str">
        <f aca="false">IF(ABS(Z127)&lt;=$R$5,"Confere",IF(Z127&gt;0,"Sobrando","Faltando"))</f>
        <v>Confere</v>
      </c>
      <c r="AD127" s="0" t="n">
        <f aca="false">IF(OR($R$4="*",$R$4="Saída"),COUNTIFS('3 Base Saídas'!$G$2:$G$5000,"&gt;="&amp;$F$5,'3 Base Saídas'!$G$2:$G$5000,"&lt;="&amp;$H$5,'3 Base Saídas'!$B$2:$B$5000,$T127,'3 Base Saídas'!$C$2:$C$5000,$AG127),0)+IF($R$4&lt;&gt;"Saída",COUNTIFS('3 Base Entrada 2008'!$F$2:$F$5000,"&gt;="&amp;$F$5,'3 Base Entrada 2008'!$F$2:$F$5000,"&lt;="&amp;$H$5,'3 Base Entrada 2008'!$B$2:$B$5000,$T127,'3 Base Entrada 2008'!$C$2:$C$5000,$AG127,'3 Base Entrada 2008'!$K$2:$K$5000,$R$4),0)</f>
        <v>1</v>
      </c>
      <c r="AE127" s="0" t="str">
        <f aca="false">'5 Conciliação'!K101</f>
        <v>Sem diferença</v>
      </c>
      <c r="AF127" s="0" t="n">
        <f aca="false">IF(AND(AA127=1,AC127&lt;&gt;"Confere"),ABS(Z127)+ROW()/10000000,0)</f>
        <v>0</v>
      </c>
      <c r="AG127" s="0" t="s">
        <v>388</v>
      </c>
      <c r="BB127" s="0" t="n">
        <f aca="false">MIN(IF(_xlfn.MINIFS('3 Base Entrada 2008'!$F$2:$F$5000,'3 Base Entrada 2008'!$F$2:$F$5000,"&gt;="&amp;$F$5,'3 Base Entrada 2008'!$F$2:$F$5000,"&lt;="&amp;$H$5,'3 Base Entrada 2008'!$B$2:$B$5000,$T127,'3 Base Entrada 2008'!$C$2:$C$5000,$AG127)=0,99999,_xlfn.MINIFS('3 Base Entrada 2008'!$F$2:$F$5000,'3 Base Entrada 2008'!$F$2:$F$5000,"&gt;="&amp;$F$5,'3 Base Entrada 2008'!$F$2:$F$5000,"&lt;="&amp;$H$5,'3 Base Entrada 2008'!$B$2:$B$5000,$T127,'3 Base Entrada 2008'!$C$2:$C$5000,$AG127)),IF(_xlfn.MINIFS('3 Base Saídas'!$G$2:$G$5000,'3 Base Saídas'!$G$2:$G$5000,"&gt;="&amp;$F$5,'3 Base Saídas'!$G$2:$G$5000,"&lt;="&amp;$H$5,'3 Base Saídas'!$B$2:$B$5000,$T127,'3 Base Saídas'!$C$2:$C$5000,$AG127)=0,99999,_xlfn.MINIFS('3 Base Saídas'!$G$2:$G$5000,'3 Base Saídas'!$G$2:$G$5000,"&gt;="&amp;$F$5,'3 Base Saídas'!$G$2:$G$5000,"&lt;="&amp;$H$5,'3 Base Saídas'!$B$2:$B$5000,$T127,'3 Base Saídas'!$C$2:$C$5000,$AG127)))</f>
        <v>46280</v>
      </c>
      <c r="BC127" s="0" t="n">
        <f aca="false">MAX(_xlfn.MAXIFS('3 Base Entrada 2008'!$F$2:$F$5000,'3 Base Entrada 2008'!$F$2:$F$5000,"&gt;="&amp;$F$5,'3 Base Entrada 2008'!$F$2:$F$5000,"&lt;="&amp;$H$5,'3 Base Entrada 2008'!$B$2:$B$5000,$T127,'3 Base Entrada 2008'!$C$2:$C$5000,$AG127),_xlfn.MAXIFS('3 Base Saídas'!$G$2:$G$5000,'3 Base Saídas'!$G$2:$G$5000,"&gt;="&amp;$F$5,'3 Base Saídas'!$G$2:$G$5000,"&lt;="&amp;$H$5,'3 Base Saídas'!$B$2:$B$5000,$T127,'3 Base Saídas'!$C$2:$C$5000,$AG127))</f>
        <v>46280</v>
      </c>
      <c r="BD127" s="0" t="str">
        <f aca="false">'5 Conciliação'!L101</f>
        <v>Nenhum ajuste necessário</v>
      </c>
      <c r="BE127" s="0" t="str">
        <f aca="false">'5 Conciliação'!Q101</f>
        <v>—</v>
      </c>
      <c r="BF127" s="0" t="str">
        <f aca="false">'5 Conciliação'!R101</f>
        <v>—</v>
      </c>
      <c r="BH127" s="0" t="n">
        <f aca="false">SUMIFS('3 Base Saldo Inicial 08-09'!$E$2:$E$5000,'3 Base Saldo Inicial 08-09'!$A$2:$A$5000,$T127,'3 Base Saldo Inicial 08-09'!$B$2:$B$5000,$AG127)-SUMIFS('3 Base Saldo Inicial 08-09'!$E$2:$E$5000,'3 Base Saldo Inicial 08-09'!$A$2:$A$5000,$T127,'3 Base Saldo Inicial 08-09'!$B$2:$B$5000,$AG127,'3 Base Saldo Inicial 08-09'!$C$2:$C$5000,"2008")</f>
        <v>0</v>
      </c>
    </row>
    <row r="128" customFormat="false" ht="15" hidden="false" customHeight="false" outlineLevel="0" collapsed="false">
      <c r="T128" s="0" t="s">
        <v>307</v>
      </c>
      <c r="U128" s="0" t="s">
        <v>65</v>
      </c>
      <c r="V128" s="0" t="n">
        <f aca="false">SUMIFS('3 Base Entrada 2008'!$G$2:$G$5000,'3 Base Entrada 2008'!$F$2:$F$5000,"&gt;="&amp;$F$5,'3 Base Entrada 2008'!$F$2:$F$5000,"&lt;="&amp;$H$5,'3 Base Entrada 2008'!$B$2:$B$5000,$T128,'3 Base Entrada 2008'!$C$2:$C$5000,$AG128,'3 Base Entrada 2008'!$K$2:$K$5000,"Recebido no 2008")</f>
        <v>3840</v>
      </c>
      <c r="W128" s="0" t="n">
        <f aca="false">SUMIFS('3 Base Entrada 2008'!$L$2:$L$5000,'3 Base Entrada 2008'!$F$2:$F$5000,"&gt;="&amp;$F$5,'3 Base Entrada 2008'!$F$2:$F$5000,"&lt;="&amp;$H$5,'3 Base Entrada 2008'!$B$2:$B$5000,$T128,'3 Base Entrada 2008'!$C$2:$C$5000,$AG128)</f>
        <v>1000</v>
      </c>
      <c r="X128" s="0" t="n">
        <f aca="false">SUMIFS('3 Base Saídas'!$R$2:$R$5000,'3 Base Saídas'!$G$2:$G$5000,"&gt;="&amp;$F$5,'3 Base Saídas'!$G$2:$G$5000,"&lt;="&amp;$H$5,'3 Base Saídas'!$B$2:$B$5000,$T128,'3 Base Saídas'!$C$2:$C$5000,$AG128)</f>
        <v>0</v>
      </c>
      <c r="Y128" s="0" t="n">
        <f aca="false">SUMIFS('3 Base Estoque Físico'!$J$2:$J$5000,'3 Base Estoque Físico'!$A$2:$A$5000,$T128,'3 Base Estoque Físico'!$B$2:$B$5000,$AG128)</f>
        <v>1000</v>
      </c>
      <c r="Z128" s="0" t="n">
        <f aca="false">ROUND(Y128-(BH128+W128-X128),3)</f>
        <v>0</v>
      </c>
      <c r="AA128" s="0" t="n">
        <f aca="false">IF(AND(U128=$R$3,OR($R$1="*",T128=$R$1),OR($R$2="*",AG128=$R$2),OR($R$6="*",AC128=$R$6),ABS(V128)+ABS(W128)+ABS(X128)+ABS(Y128)&gt;0),1,0)</f>
        <v>1</v>
      </c>
      <c r="AB128" s="0" t="n">
        <f aca="false">IF(AA128=1,SUM(AA$40:AA128),"")</f>
        <v>76</v>
      </c>
      <c r="AC128" s="0" t="str">
        <f aca="false">IF(ABS(Z128)&lt;=$R$5,"Confere",IF(Z128&gt;0,"Sobrando","Faltando"))</f>
        <v>Confere</v>
      </c>
      <c r="AD128" s="0" t="n">
        <f aca="false">IF(OR($R$4="*",$R$4="Saída"),COUNTIFS('3 Base Saídas'!$G$2:$G$5000,"&gt;="&amp;$F$5,'3 Base Saídas'!$G$2:$G$5000,"&lt;="&amp;$H$5,'3 Base Saídas'!$B$2:$B$5000,$T128,'3 Base Saídas'!$C$2:$C$5000,$AG128),0)+IF($R$4&lt;&gt;"Saída",COUNTIFS('3 Base Entrada 2008'!$F$2:$F$5000,"&gt;="&amp;$F$5,'3 Base Entrada 2008'!$F$2:$F$5000,"&lt;="&amp;$H$5,'3 Base Entrada 2008'!$B$2:$B$5000,$T128,'3 Base Entrada 2008'!$C$2:$C$5000,$AG128,'3 Base Entrada 2008'!$K$2:$K$5000,$R$4),0)</f>
        <v>2</v>
      </c>
      <c r="AE128" s="0" t="str">
        <f aca="false">'5 Conciliação'!K102</f>
        <v>Sem diferença</v>
      </c>
      <c r="AF128" s="0" t="n">
        <f aca="false">IF(AND(AA128=1,AC128&lt;&gt;"Confere"),ABS(Z128)+ROW()/10000000,0)</f>
        <v>0</v>
      </c>
      <c r="AG128" s="0" t="s">
        <v>308</v>
      </c>
      <c r="BB128" s="0" t="n">
        <f aca="false">MIN(IF(_xlfn.MINIFS('3 Base Entrada 2008'!$F$2:$F$5000,'3 Base Entrada 2008'!$F$2:$F$5000,"&gt;="&amp;$F$5,'3 Base Entrada 2008'!$F$2:$F$5000,"&lt;="&amp;$H$5,'3 Base Entrada 2008'!$B$2:$B$5000,$T128,'3 Base Entrada 2008'!$C$2:$C$5000,$AG128)=0,99999,_xlfn.MINIFS('3 Base Entrada 2008'!$F$2:$F$5000,'3 Base Entrada 2008'!$F$2:$F$5000,"&gt;="&amp;$F$5,'3 Base Entrada 2008'!$F$2:$F$5000,"&lt;="&amp;$H$5,'3 Base Entrada 2008'!$B$2:$B$5000,$T128,'3 Base Entrada 2008'!$C$2:$C$5000,$AG128)),IF(_xlfn.MINIFS('3 Base Saídas'!$G$2:$G$5000,'3 Base Saídas'!$G$2:$G$5000,"&gt;="&amp;$F$5,'3 Base Saídas'!$G$2:$G$5000,"&lt;="&amp;$H$5,'3 Base Saídas'!$B$2:$B$5000,$T128,'3 Base Saídas'!$C$2:$C$5000,$AG128)=0,99999,_xlfn.MINIFS('3 Base Saídas'!$G$2:$G$5000,'3 Base Saídas'!$G$2:$G$5000,"&gt;="&amp;$F$5,'3 Base Saídas'!$G$2:$G$5000,"&lt;="&amp;$H$5,'3 Base Saídas'!$B$2:$B$5000,$T128,'3 Base Saídas'!$C$2:$C$5000,$AG128)))</f>
        <v>46280</v>
      </c>
      <c r="BC128" s="0" t="n">
        <f aca="false">MAX(_xlfn.MAXIFS('3 Base Entrada 2008'!$F$2:$F$5000,'3 Base Entrada 2008'!$F$2:$F$5000,"&gt;="&amp;$F$5,'3 Base Entrada 2008'!$F$2:$F$5000,"&lt;="&amp;$H$5,'3 Base Entrada 2008'!$B$2:$B$5000,$T128,'3 Base Entrada 2008'!$C$2:$C$5000,$AG128),_xlfn.MAXIFS('3 Base Saídas'!$G$2:$G$5000,'3 Base Saídas'!$G$2:$G$5000,"&gt;="&amp;$F$5,'3 Base Saídas'!$G$2:$G$5000,"&lt;="&amp;$H$5,'3 Base Saídas'!$B$2:$B$5000,$T128,'3 Base Saídas'!$C$2:$C$5000,$AG128))</f>
        <v>46293</v>
      </c>
      <c r="BD128" s="0" t="str">
        <f aca="false">'5 Conciliação'!L102</f>
        <v>Nenhum ajuste necessário</v>
      </c>
      <c r="BE128" s="0" t="str">
        <f aca="false">'5 Conciliação'!Q102</f>
        <v>—</v>
      </c>
      <c r="BF128" s="0" t="str">
        <f aca="false">'5 Conciliação'!R102</f>
        <v>—</v>
      </c>
      <c r="BH128" s="0" t="n">
        <f aca="false">SUMIFS('3 Base Saldo Inicial 08-09'!$E$2:$E$5000,'3 Base Saldo Inicial 08-09'!$A$2:$A$5000,$T128,'3 Base Saldo Inicial 08-09'!$B$2:$B$5000,$AG128)-SUMIFS('3 Base Saldo Inicial 08-09'!$E$2:$E$5000,'3 Base Saldo Inicial 08-09'!$A$2:$A$5000,$T128,'3 Base Saldo Inicial 08-09'!$B$2:$B$5000,$AG128,'3 Base Saldo Inicial 08-09'!$C$2:$C$5000,"2008")</f>
        <v>0</v>
      </c>
    </row>
    <row r="129" customFormat="false" ht="15" hidden="false" customHeight="false" outlineLevel="0" collapsed="false">
      <c r="T129" s="0" t="s">
        <v>389</v>
      </c>
      <c r="U129" s="0" t="s">
        <v>65</v>
      </c>
      <c r="V129" s="0" t="n">
        <f aca="false">SUMIFS('3 Base Entrada 2008'!$G$2:$G$5000,'3 Base Entrada 2008'!$F$2:$F$5000,"&gt;="&amp;$F$5,'3 Base Entrada 2008'!$F$2:$F$5000,"&lt;="&amp;$H$5,'3 Base Entrada 2008'!$B$2:$B$5000,$T129,'3 Base Entrada 2008'!$C$2:$C$5000,$AG129,'3 Base Entrada 2008'!$K$2:$K$5000,"Recebido no 2008")</f>
        <v>0</v>
      </c>
      <c r="W129" s="0" t="n">
        <f aca="false">SUMIFS('3 Base Entrada 2008'!$L$2:$L$5000,'3 Base Entrada 2008'!$F$2:$F$5000,"&gt;="&amp;$F$5,'3 Base Entrada 2008'!$F$2:$F$5000,"&lt;="&amp;$H$5,'3 Base Entrada 2008'!$B$2:$B$5000,$T129,'3 Base Entrada 2008'!$C$2:$C$5000,$AG129)</f>
        <v>53.2</v>
      </c>
      <c r="X129" s="0" t="n">
        <f aca="false">SUMIFS('3 Base Saídas'!$R$2:$R$5000,'3 Base Saídas'!$G$2:$G$5000,"&gt;="&amp;$F$5,'3 Base Saídas'!$G$2:$G$5000,"&lt;="&amp;$H$5,'3 Base Saídas'!$B$2:$B$5000,$T129,'3 Base Saídas'!$C$2:$C$5000,$AG129)</f>
        <v>19.6</v>
      </c>
      <c r="Y129" s="0" t="n">
        <f aca="false">SUMIFS('3 Base Estoque Físico'!$J$2:$J$5000,'3 Base Estoque Físico'!$A$2:$A$5000,$T129,'3 Base Estoque Físico'!$B$2:$B$5000,$AG129)</f>
        <v>33.6</v>
      </c>
      <c r="Z129" s="0" t="n">
        <f aca="false">ROUND(Y129-(BH129+W129-X129),3)</f>
        <v>0</v>
      </c>
      <c r="AA129" s="0" t="n">
        <f aca="false">IF(AND(U129=$R$3,OR($R$1="*",T129=$R$1),OR($R$2="*",AG129=$R$2),OR($R$6="*",AC129=$R$6),ABS(V129)+ABS(W129)+ABS(X129)+ABS(Y129)&gt;0),1,0)</f>
        <v>1</v>
      </c>
      <c r="AB129" s="0" t="n">
        <f aca="false">IF(AA129=1,SUM(AA$40:AA129),"")</f>
        <v>77</v>
      </c>
      <c r="AC129" s="0" t="str">
        <f aca="false">IF(ABS(Z129)&lt;=$R$5,"Confere",IF(Z129&gt;0,"Sobrando","Faltando"))</f>
        <v>Confere</v>
      </c>
      <c r="AD129" s="0" t="n">
        <f aca="false">IF(OR($R$4="*",$R$4="Saída"),COUNTIFS('3 Base Saídas'!$G$2:$G$5000,"&gt;="&amp;$F$5,'3 Base Saídas'!$G$2:$G$5000,"&lt;="&amp;$H$5,'3 Base Saídas'!$B$2:$B$5000,$T129,'3 Base Saídas'!$C$2:$C$5000,$AG129),0)+IF($R$4&lt;&gt;"Saída",COUNTIFS('3 Base Entrada 2008'!$F$2:$F$5000,"&gt;="&amp;$F$5,'3 Base Entrada 2008'!$F$2:$F$5000,"&lt;="&amp;$H$5,'3 Base Entrada 2008'!$B$2:$B$5000,$T129,'3 Base Entrada 2008'!$C$2:$C$5000,$AG129,'3 Base Entrada 2008'!$K$2:$K$5000,$R$4),0)</f>
        <v>2</v>
      </c>
      <c r="AE129" s="0" t="str">
        <f aca="false">'5 Conciliação'!K103</f>
        <v>Sem diferença</v>
      </c>
      <c r="AF129" s="0" t="n">
        <f aca="false">IF(AND(AA129=1,AC129&lt;&gt;"Confere"),ABS(Z129)+ROW()/10000000,0)</f>
        <v>0</v>
      </c>
      <c r="AG129" s="0" t="s">
        <v>390</v>
      </c>
      <c r="BB129" s="0" t="n">
        <f aca="false">MIN(IF(_xlfn.MINIFS('3 Base Entrada 2008'!$F$2:$F$5000,'3 Base Entrada 2008'!$F$2:$F$5000,"&gt;="&amp;$F$5,'3 Base Entrada 2008'!$F$2:$F$5000,"&lt;="&amp;$H$5,'3 Base Entrada 2008'!$B$2:$B$5000,$T129,'3 Base Entrada 2008'!$C$2:$C$5000,$AG129)=0,99999,_xlfn.MINIFS('3 Base Entrada 2008'!$F$2:$F$5000,'3 Base Entrada 2008'!$F$2:$F$5000,"&gt;="&amp;$F$5,'3 Base Entrada 2008'!$F$2:$F$5000,"&lt;="&amp;$H$5,'3 Base Entrada 2008'!$B$2:$B$5000,$T129,'3 Base Entrada 2008'!$C$2:$C$5000,$AG129)),IF(_xlfn.MINIFS('3 Base Saídas'!$G$2:$G$5000,'3 Base Saídas'!$G$2:$G$5000,"&gt;="&amp;$F$5,'3 Base Saídas'!$G$2:$G$5000,"&lt;="&amp;$H$5,'3 Base Saídas'!$B$2:$B$5000,$T129,'3 Base Saídas'!$C$2:$C$5000,$AG129)=0,99999,_xlfn.MINIFS('3 Base Saídas'!$G$2:$G$5000,'3 Base Saídas'!$G$2:$G$5000,"&gt;="&amp;$F$5,'3 Base Saídas'!$G$2:$G$5000,"&lt;="&amp;$H$5,'3 Base Saídas'!$B$2:$B$5000,$T129,'3 Base Saídas'!$C$2:$C$5000,$AG129)))</f>
        <v>46291</v>
      </c>
      <c r="BC129" s="0" t="n">
        <f aca="false">MAX(_xlfn.MAXIFS('3 Base Entrada 2008'!$F$2:$F$5000,'3 Base Entrada 2008'!$F$2:$F$5000,"&gt;="&amp;$F$5,'3 Base Entrada 2008'!$F$2:$F$5000,"&lt;="&amp;$H$5,'3 Base Entrada 2008'!$B$2:$B$5000,$T129,'3 Base Entrada 2008'!$C$2:$C$5000,$AG129),_xlfn.MAXIFS('3 Base Saídas'!$G$2:$G$5000,'3 Base Saídas'!$G$2:$G$5000,"&gt;="&amp;$F$5,'3 Base Saídas'!$G$2:$G$5000,"&lt;="&amp;$H$5,'3 Base Saídas'!$B$2:$B$5000,$T129,'3 Base Saídas'!$C$2:$C$5000,$AG129))</f>
        <v>46294</v>
      </c>
      <c r="BD129" s="0" t="str">
        <f aca="false">'5 Conciliação'!L103</f>
        <v>Nenhum ajuste necessário</v>
      </c>
      <c r="BE129" s="0" t="str">
        <f aca="false">'5 Conciliação'!Q103</f>
        <v>—</v>
      </c>
      <c r="BF129" s="0" t="str">
        <f aca="false">'5 Conciliação'!R103</f>
        <v>—</v>
      </c>
      <c r="BH129" s="0" t="n">
        <f aca="false">SUMIFS('3 Base Saldo Inicial 08-09'!$E$2:$E$5000,'3 Base Saldo Inicial 08-09'!$A$2:$A$5000,$T129,'3 Base Saldo Inicial 08-09'!$B$2:$B$5000,$AG129)-SUMIFS('3 Base Saldo Inicial 08-09'!$E$2:$E$5000,'3 Base Saldo Inicial 08-09'!$A$2:$A$5000,$T129,'3 Base Saldo Inicial 08-09'!$B$2:$B$5000,$AG129,'3 Base Saldo Inicial 08-09'!$C$2:$C$5000,"2008")</f>
        <v>0</v>
      </c>
    </row>
    <row r="130" customFormat="false" ht="15" hidden="false" customHeight="false" outlineLevel="0" collapsed="false">
      <c r="T130" s="0" t="s">
        <v>389</v>
      </c>
      <c r="U130" s="0" t="s">
        <v>65</v>
      </c>
      <c r="V130" s="0" t="n">
        <f aca="false">SUMIFS('3 Base Entrada 2008'!$G$2:$G$5000,'3 Base Entrada 2008'!$F$2:$F$5000,"&gt;="&amp;$F$5,'3 Base Entrada 2008'!$F$2:$F$5000,"&lt;="&amp;$H$5,'3 Base Entrada 2008'!$B$2:$B$5000,$T130,'3 Base Entrada 2008'!$C$2:$C$5000,$AG130,'3 Base Entrada 2008'!$K$2:$K$5000,"Recebido no 2008")</f>
        <v>0</v>
      </c>
      <c r="W130" s="0" t="n">
        <f aca="false">SUMIFS('3 Base Entrada 2008'!$L$2:$L$5000,'3 Base Entrada 2008'!$F$2:$F$5000,"&gt;="&amp;$F$5,'3 Base Entrada 2008'!$F$2:$F$5000,"&lt;="&amp;$H$5,'3 Base Entrada 2008'!$B$2:$B$5000,$T130,'3 Base Entrada 2008'!$C$2:$C$5000,$AG130)</f>
        <v>627.2</v>
      </c>
      <c r="X130" s="0" t="n">
        <f aca="false">SUMIFS('3 Base Saídas'!$R$2:$R$5000,'3 Base Saídas'!$G$2:$G$5000,"&gt;="&amp;$F$5,'3 Base Saídas'!$G$2:$G$5000,"&lt;="&amp;$H$5,'3 Base Saídas'!$B$2:$B$5000,$T130,'3 Base Saídas'!$C$2:$C$5000,$AG130)</f>
        <v>0</v>
      </c>
      <c r="Y130" s="0" t="n">
        <f aca="false">SUMIFS('3 Base Estoque Físico'!$J$2:$J$5000,'3 Base Estoque Físico'!$A$2:$A$5000,$T130,'3 Base Estoque Físico'!$B$2:$B$5000,$AG130)</f>
        <v>627.2</v>
      </c>
      <c r="Z130" s="0" t="n">
        <f aca="false">ROUND(Y130-(BH130+W130-X130),3)</f>
        <v>0</v>
      </c>
      <c r="AA130" s="0" t="n">
        <f aca="false">IF(AND(U130=$R$3,OR($R$1="*",T130=$R$1),OR($R$2="*",AG130=$R$2),OR($R$6="*",AC130=$R$6),ABS(V130)+ABS(W130)+ABS(X130)+ABS(Y130)&gt;0),1,0)</f>
        <v>1</v>
      </c>
      <c r="AB130" s="0" t="n">
        <f aca="false">IF(AA130=1,SUM(AA$40:AA130),"")</f>
        <v>78</v>
      </c>
      <c r="AC130" s="0" t="str">
        <f aca="false">IF(ABS(Z130)&lt;=$R$5,"Confere",IF(Z130&gt;0,"Sobrando","Faltando"))</f>
        <v>Confere</v>
      </c>
      <c r="AD130" s="0" t="n">
        <f aca="false">IF(OR($R$4="*",$R$4="Saída"),COUNTIFS('3 Base Saídas'!$G$2:$G$5000,"&gt;="&amp;$F$5,'3 Base Saídas'!$G$2:$G$5000,"&lt;="&amp;$H$5,'3 Base Saídas'!$B$2:$B$5000,$T130,'3 Base Saídas'!$C$2:$C$5000,$AG130),0)+IF($R$4&lt;&gt;"Saída",COUNTIFS('3 Base Entrada 2008'!$F$2:$F$5000,"&gt;="&amp;$F$5,'3 Base Entrada 2008'!$F$2:$F$5000,"&lt;="&amp;$H$5,'3 Base Entrada 2008'!$B$2:$B$5000,$T130,'3 Base Entrada 2008'!$C$2:$C$5000,$AG130,'3 Base Entrada 2008'!$K$2:$K$5000,$R$4),0)</f>
        <v>1</v>
      </c>
      <c r="AE130" s="0" t="str">
        <f aca="false">'5 Conciliação'!K104</f>
        <v>Sem diferença</v>
      </c>
      <c r="AF130" s="0" t="n">
        <f aca="false">IF(AND(AA130=1,AC130&lt;&gt;"Confere"),ABS(Z130)+ROW()/10000000,0)</f>
        <v>0</v>
      </c>
      <c r="AG130" s="0" t="s">
        <v>391</v>
      </c>
      <c r="BB130" s="0" t="n">
        <f aca="false">MIN(IF(_xlfn.MINIFS('3 Base Entrada 2008'!$F$2:$F$5000,'3 Base Entrada 2008'!$F$2:$F$5000,"&gt;="&amp;$F$5,'3 Base Entrada 2008'!$F$2:$F$5000,"&lt;="&amp;$H$5,'3 Base Entrada 2008'!$B$2:$B$5000,$T130,'3 Base Entrada 2008'!$C$2:$C$5000,$AG130)=0,99999,_xlfn.MINIFS('3 Base Entrada 2008'!$F$2:$F$5000,'3 Base Entrada 2008'!$F$2:$F$5000,"&gt;="&amp;$F$5,'3 Base Entrada 2008'!$F$2:$F$5000,"&lt;="&amp;$H$5,'3 Base Entrada 2008'!$B$2:$B$5000,$T130,'3 Base Entrada 2008'!$C$2:$C$5000,$AG130)),IF(_xlfn.MINIFS('3 Base Saídas'!$G$2:$G$5000,'3 Base Saídas'!$G$2:$G$5000,"&gt;="&amp;$F$5,'3 Base Saídas'!$G$2:$G$5000,"&lt;="&amp;$H$5,'3 Base Saídas'!$B$2:$B$5000,$T130,'3 Base Saídas'!$C$2:$C$5000,$AG130)=0,99999,_xlfn.MINIFS('3 Base Saídas'!$G$2:$G$5000,'3 Base Saídas'!$G$2:$G$5000,"&gt;="&amp;$F$5,'3 Base Saídas'!$G$2:$G$5000,"&lt;="&amp;$H$5,'3 Base Saídas'!$B$2:$B$5000,$T130,'3 Base Saídas'!$C$2:$C$5000,$AG130)))</f>
        <v>46291</v>
      </c>
      <c r="BC130" s="0" t="n">
        <f aca="false">MAX(_xlfn.MAXIFS('3 Base Entrada 2008'!$F$2:$F$5000,'3 Base Entrada 2008'!$F$2:$F$5000,"&gt;="&amp;$F$5,'3 Base Entrada 2008'!$F$2:$F$5000,"&lt;="&amp;$H$5,'3 Base Entrada 2008'!$B$2:$B$5000,$T130,'3 Base Entrada 2008'!$C$2:$C$5000,$AG130),_xlfn.MAXIFS('3 Base Saídas'!$G$2:$G$5000,'3 Base Saídas'!$G$2:$G$5000,"&gt;="&amp;$F$5,'3 Base Saídas'!$G$2:$G$5000,"&lt;="&amp;$H$5,'3 Base Saídas'!$B$2:$B$5000,$T130,'3 Base Saídas'!$C$2:$C$5000,$AG130))</f>
        <v>46291</v>
      </c>
      <c r="BD130" s="0" t="str">
        <f aca="false">'5 Conciliação'!L104</f>
        <v>Nenhum ajuste necessário</v>
      </c>
      <c r="BE130" s="0" t="str">
        <f aca="false">'5 Conciliação'!Q104</f>
        <v>—</v>
      </c>
      <c r="BF130" s="0" t="str">
        <f aca="false">'5 Conciliação'!R104</f>
        <v>—</v>
      </c>
      <c r="BH130" s="0" t="n">
        <f aca="false">SUMIFS('3 Base Saldo Inicial 08-09'!$E$2:$E$5000,'3 Base Saldo Inicial 08-09'!$A$2:$A$5000,$T130,'3 Base Saldo Inicial 08-09'!$B$2:$B$5000,$AG130)-SUMIFS('3 Base Saldo Inicial 08-09'!$E$2:$E$5000,'3 Base Saldo Inicial 08-09'!$A$2:$A$5000,$T130,'3 Base Saldo Inicial 08-09'!$B$2:$B$5000,$AG130,'3 Base Saldo Inicial 08-09'!$C$2:$C$5000,"2008")</f>
        <v>0</v>
      </c>
    </row>
    <row r="131" customFormat="false" ht="15" hidden="false" customHeight="false" outlineLevel="0" collapsed="false">
      <c r="T131" s="0" t="s">
        <v>389</v>
      </c>
      <c r="U131" s="0" t="s">
        <v>65</v>
      </c>
      <c r="V131" s="0" t="n">
        <f aca="false">SUMIFS('3 Base Entrada 2008'!$G$2:$G$5000,'3 Base Entrada 2008'!$F$2:$F$5000,"&gt;="&amp;$F$5,'3 Base Entrada 2008'!$F$2:$F$5000,"&lt;="&amp;$H$5,'3 Base Entrada 2008'!$B$2:$B$5000,$T131,'3 Base Entrada 2008'!$C$2:$C$5000,$AG131,'3 Base Entrada 2008'!$K$2:$K$5000,"Recebido no 2008")</f>
        <v>204.4</v>
      </c>
      <c r="W131" s="0" t="n">
        <f aca="false">SUMIFS('3 Base Entrada 2008'!$L$2:$L$5000,'3 Base Entrada 2008'!$F$2:$F$5000,"&gt;="&amp;$F$5,'3 Base Entrada 2008'!$F$2:$F$5000,"&lt;="&amp;$H$5,'3 Base Entrada 2008'!$B$2:$B$5000,$T131,'3 Base Entrada 2008'!$C$2:$C$5000,$AG131)</f>
        <v>0</v>
      </c>
      <c r="X131" s="0" t="n">
        <f aca="false">SUMIFS('3 Base Saídas'!$R$2:$R$5000,'3 Base Saídas'!$G$2:$G$5000,"&gt;="&amp;$F$5,'3 Base Saídas'!$G$2:$G$5000,"&lt;="&amp;$H$5,'3 Base Saídas'!$B$2:$B$5000,$T131,'3 Base Saídas'!$C$2:$C$5000,$AG131)</f>
        <v>0</v>
      </c>
      <c r="Y131" s="0" t="n">
        <f aca="false">SUMIFS('3 Base Estoque Físico'!$J$2:$J$5000,'3 Base Estoque Físico'!$A$2:$A$5000,$T131,'3 Base Estoque Físico'!$B$2:$B$5000,$AG131)</f>
        <v>0</v>
      </c>
      <c r="Z131" s="0" t="n">
        <f aca="false">ROUND(Y131-(BH131+W131-X131),3)</f>
        <v>0</v>
      </c>
      <c r="AA131" s="0" t="n">
        <f aca="false">IF(AND(U131=$R$3,OR($R$1="*",T131=$R$1),OR($R$2="*",AG131=$R$2),OR($R$6="*",AC131=$R$6),ABS(V131)+ABS(W131)+ABS(X131)+ABS(Y131)&gt;0),1,0)</f>
        <v>1</v>
      </c>
      <c r="AB131" s="0" t="n">
        <f aca="false">IF(AA131=1,SUM(AA$40:AA131),"")</f>
        <v>79</v>
      </c>
      <c r="AC131" s="0" t="str">
        <f aca="false">IF(ABS(Z131)&lt;=$R$5,"Confere",IF(Z131&gt;0,"Sobrando","Faltando"))</f>
        <v>Confere</v>
      </c>
      <c r="AD131" s="0" t="n">
        <f aca="false">IF(OR($R$4="*",$R$4="Saída"),COUNTIFS('3 Base Saídas'!$G$2:$G$5000,"&gt;="&amp;$F$5,'3 Base Saídas'!$G$2:$G$5000,"&lt;="&amp;$H$5,'3 Base Saídas'!$B$2:$B$5000,$T131,'3 Base Saídas'!$C$2:$C$5000,$AG131),0)+IF($R$4&lt;&gt;"Saída",COUNTIFS('3 Base Entrada 2008'!$F$2:$F$5000,"&gt;="&amp;$F$5,'3 Base Entrada 2008'!$F$2:$F$5000,"&lt;="&amp;$H$5,'3 Base Entrada 2008'!$B$2:$B$5000,$T131,'3 Base Entrada 2008'!$C$2:$C$5000,$AG131,'3 Base Entrada 2008'!$K$2:$K$5000,$R$4),0)</f>
        <v>1</v>
      </c>
      <c r="AE131" s="0" t="str">
        <f aca="false">'5 Conciliação'!K105</f>
        <v>Sem diferença</v>
      </c>
      <c r="AF131" s="0" t="n">
        <f aca="false">IF(AND(AA131=1,AC131&lt;&gt;"Confere"),ABS(Z131)+ROW()/10000000,0)</f>
        <v>0</v>
      </c>
      <c r="AG131" s="0" t="s">
        <v>394</v>
      </c>
      <c r="BB131" s="0" t="n">
        <f aca="false">MIN(IF(_xlfn.MINIFS('3 Base Entrada 2008'!$F$2:$F$5000,'3 Base Entrada 2008'!$F$2:$F$5000,"&gt;="&amp;$F$5,'3 Base Entrada 2008'!$F$2:$F$5000,"&lt;="&amp;$H$5,'3 Base Entrada 2008'!$B$2:$B$5000,$T131,'3 Base Entrada 2008'!$C$2:$C$5000,$AG131)=0,99999,_xlfn.MINIFS('3 Base Entrada 2008'!$F$2:$F$5000,'3 Base Entrada 2008'!$F$2:$F$5000,"&gt;="&amp;$F$5,'3 Base Entrada 2008'!$F$2:$F$5000,"&lt;="&amp;$H$5,'3 Base Entrada 2008'!$B$2:$B$5000,$T131,'3 Base Entrada 2008'!$C$2:$C$5000,$AG131)),IF(_xlfn.MINIFS('3 Base Saídas'!$G$2:$G$5000,'3 Base Saídas'!$G$2:$G$5000,"&gt;="&amp;$F$5,'3 Base Saídas'!$G$2:$G$5000,"&lt;="&amp;$H$5,'3 Base Saídas'!$B$2:$B$5000,$T131,'3 Base Saídas'!$C$2:$C$5000,$AG131)=0,99999,_xlfn.MINIFS('3 Base Saídas'!$G$2:$G$5000,'3 Base Saídas'!$G$2:$G$5000,"&gt;="&amp;$F$5,'3 Base Saídas'!$G$2:$G$5000,"&lt;="&amp;$H$5,'3 Base Saídas'!$B$2:$B$5000,$T131,'3 Base Saídas'!$C$2:$C$5000,$AG131)))</f>
        <v>46275</v>
      </c>
      <c r="BC131" s="0" t="n">
        <f aca="false">MAX(_xlfn.MAXIFS('3 Base Entrada 2008'!$F$2:$F$5000,'3 Base Entrada 2008'!$F$2:$F$5000,"&gt;="&amp;$F$5,'3 Base Entrada 2008'!$F$2:$F$5000,"&lt;="&amp;$H$5,'3 Base Entrada 2008'!$B$2:$B$5000,$T131,'3 Base Entrada 2008'!$C$2:$C$5000,$AG131),_xlfn.MAXIFS('3 Base Saídas'!$G$2:$G$5000,'3 Base Saídas'!$G$2:$G$5000,"&gt;="&amp;$F$5,'3 Base Saídas'!$G$2:$G$5000,"&lt;="&amp;$H$5,'3 Base Saídas'!$B$2:$B$5000,$T131,'3 Base Saídas'!$C$2:$C$5000,$AG131))</f>
        <v>46275</v>
      </c>
      <c r="BD131" s="0" t="str">
        <f aca="false">'5 Conciliação'!L105</f>
        <v>Nenhum ajuste necessário</v>
      </c>
      <c r="BE131" s="0" t="str">
        <f aca="false">'5 Conciliação'!Q105</f>
        <v>—</v>
      </c>
      <c r="BF131" s="0" t="str">
        <f aca="false">'5 Conciliação'!R105</f>
        <v>—</v>
      </c>
      <c r="BH131" s="0" t="n">
        <f aca="false">SUMIFS('3 Base Saldo Inicial 08-09'!$E$2:$E$5000,'3 Base Saldo Inicial 08-09'!$A$2:$A$5000,$T131,'3 Base Saldo Inicial 08-09'!$B$2:$B$5000,$AG131)-SUMIFS('3 Base Saldo Inicial 08-09'!$E$2:$E$5000,'3 Base Saldo Inicial 08-09'!$A$2:$A$5000,$T131,'3 Base Saldo Inicial 08-09'!$B$2:$B$5000,$AG131,'3 Base Saldo Inicial 08-09'!$C$2:$C$5000,"2008")</f>
        <v>0</v>
      </c>
    </row>
    <row r="132" customFormat="false" ht="15" hidden="false" customHeight="false" outlineLevel="0" collapsed="false">
      <c r="T132" s="0" t="s">
        <v>389</v>
      </c>
      <c r="U132" s="0" t="s">
        <v>65</v>
      </c>
      <c r="V132" s="0" t="n">
        <f aca="false">SUMIFS('3 Base Entrada 2008'!$G$2:$G$5000,'3 Base Entrada 2008'!$F$2:$F$5000,"&gt;="&amp;$F$5,'3 Base Entrada 2008'!$F$2:$F$5000,"&lt;="&amp;$H$5,'3 Base Entrada 2008'!$B$2:$B$5000,$T132,'3 Base Entrada 2008'!$C$2:$C$5000,$AG132,'3 Base Entrada 2008'!$K$2:$K$5000,"Recebido no 2008")</f>
        <v>638.4</v>
      </c>
      <c r="W132" s="0" t="n">
        <f aca="false">SUMIFS('3 Base Entrada 2008'!$L$2:$L$5000,'3 Base Entrada 2008'!$F$2:$F$5000,"&gt;="&amp;$F$5,'3 Base Entrada 2008'!$F$2:$F$5000,"&lt;="&amp;$H$5,'3 Base Entrada 2008'!$B$2:$B$5000,$T132,'3 Base Entrada 2008'!$C$2:$C$5000,$AG132)</f>
        <v>0</v>
      </c>
      <c r="X132" s="0" t="n">
        <f aca="false">SUMIFS('3 Base Saídas'!$R$2:$R$5000,'3 Base Saídas'!$G$2:$G$5000,"&gt;="&amp;$F$5,'3 Base Saídas'!$G$2:$G$5000,"&lt;="&amp;$H$5,'3 Base Saídas'!$B$2:$B$5000,$T132,'3 Base Saídas'!$C$2:$C$5000,$AG132)</f>
        <v>0</v>
      </c>
      <c r="Y132" s="0" t="n">
        <f aca="false">SUMIFS('3 Base Estoque Físico'!$J$2:$J$5000,'3 Base Estoque Físico'!$A$2:$A$5000,$T132,'3 Base Estoque Físico'!$B$2:$B$5000,$AG132)</f>
        <v>0</v>
      </c>
      <c r="Z132" s="0" t="n">
        <f aca="false">ROUND(Y132-(BH132+W132-X132),3)</f>
        <v>0</v>
      </c>
      <c r="AA132" s="0" t="n">
        <f aca="false">IF(AND(U132=$R$3,OR($R$1="*",T132=$R$1),OR($R$2="*",AG132=$R$2),OR($R$6="*",AC132=$R$6),ABS(V132)+ABS(W132)+ABS(X132)+ABS(Y132)&gt;0),1,0)</f>
        <v>1</v>
      </c>
      <c r="AB132" s="0" t="n">
        <f aca="false">IF(AA132=1,SUM(AA$40:AA132),"")</f>
        <v>80</v>
      </c>
      <c r="AC132" s="0" t="str">
        <f aca="false">IF(ABS(Z132)&lt;=$R$5,"Confere",IF(Z132&gt;0,"Sobrando","Faltando"))</f>
        <v>Confere</v>
      </c>
      <c r="AD132" s="0" t="n">
        <f aca="false">IF(OR($R$4="*",$R$4="Saída"),COUNTIFS('3 Base Saídas'!$G$2:$G$5000,"&gt;="&amp;$F$5,'3 Base Saídas'!$G$2:$G$5000,"&lt;="&amp;$H$5,'3 Base Saídas'!$B$2:$B$5000,$T132,'3 Base Saídas'!$C$2:$C$5000,$AG132),0)+IF($R$4&lt;&gt;"Saída",COUNTIFS('3 Base Entrada 2008'!$F$2:$F$5000,"&gt;="&amp;$F$5,'3 Base Entrada 2008'!$F$2:$F$5000,"&lt;="&amp;$H$5,'3 Base Entrada 2008'!$B$2:$B$5000,$T132,'3 Base Entrada 2008'!$C$2:$C$5000,$AG132,'3 Base Entrada 2008'!$K$2:$K$5000,$R$4),0)</f>
        <v>2</v>
      </c>
      <c r="AE132" s="0" t="str">
        <f aca="false">'5 Conciliação'!K106</f>
        <v>Sem diferença</v>
      </c>
      <c r="AF132" s="0" t="n">
        <f aca="false">IF(AND(AA132=1,AC132&lt;&gt;"Confere"),ABS(Z132)+ROW()/10000000,0)</f>
        <v>0</v>
      </c>
      <c r="AG132" s="0" t="s">
        <v>393</v>
      </c>
      <c r="BB132" s="0" t="n">
        <f aca="false">MIN(IF(_xlfn.MINIFS('3 Base Entrada 2008'!$F$2:$F$5000,'3 Base Entrada 2008'!$F$2:$F$5000,"&gt;="&amp;$F$5,'3 Base Entrada 2008'!$F$2:$F$5000,"&lt;="&amp;$H$5,'3 Base Entrada 2008'!$B$2:$B$5000,$T132,'3 Base Entrada 2008'!$C$2:$C$5000,$AG132)=0,99999,_xlfn.MINIFS('3 Base Entrada 2008'!$F$2:$F$5000,'3 Base Entrada 2008'!$F$2:$F$5000,"&gt;="&amp;$F$5,'3 Base Entrada 2008'!$F$2:$F$5000,"&lt;="&amp;$H$5,'3 Base Entrada 2008'!$B$2:$B$5000,$T132,'3 Base Entrada 2008'!$C$2:$C$5000,$AG132)),IF(_xlfn.MINIFS('3 Base Saídas'!$G$2:$G$5000,'3 Base Saídas'!$G$2:$G$5000,"&gt;="&amp;$F$5,'3 Base Saídas'!$G$2:$G$5000,"&lt;="&amp;$H$5,'3 Base Saídas'!$B$2:$B$5000,$T132,'3 Base Saídas'!$C$2:$C$5000,$AG132)=0,99999,_xlfn.MINIFS('3 Base Saídas'!$G$2:$G$5000,'3 Base Saídas'!$G$2:$G$5000,"&gt;="&amp;$F$5,'3 Base Saídas'!$G$2:$G$5000,"&lt;="&amp;$H$5,'3 Base Saídas'!$B$2:$B$5000,$T132,'3 Base Saídas'!$C$2:$C$5000,$AG132)))</f>
        <v>46275</v>
      </c>
      <c r="BC132" s="0" t="n">
        <f aca="false">MAX(_xlfn.MAXIFS('3 Base Entrada 2008'!$F$2:$F$5000,'3 Base Entrada 2008'!$F$2:$F$5000,"&gt;="&amp;$F$5,'3 Base Entrada 2008'!$F$2:$F$5000,"&lt;="&amp;$H$5,'3 Base Entrada 2008'!$B$2:$B$5000,$T132,'3 Base Entrada 2008'!$C$2:$C$5000,$AG132),_xlfn.MAXIFS('3 Base Saídas'!$G$2:$G$5000,'3 Base Saídas'!$G$2:$G$5000,"&gt;="&amp;$F$5,'3 Base Saídas'!$G$2:$G$5000,"&lt;="&amp;$H$5,'3 Base Saídas'!$B$2:$B$5000,$T132,'3 Base Saídas'!$C$2:$C$5000,$AG132))</f>
        <v>46275</v>
      </c>
      <c r="BD132" s="0" t="str">
        <f aca="false">'5 Conciliação'!L106</f>
        <v>Nenhum ajuste necessário</v>
      </c>
      <c r="BE132" s="0" t="str">
        <f aca="false">'5 Conciliação'!Q106</f>
        <v>—</v>
      </c>
      <c r="BF132" s="0" t="str">
        <f aca="false">'5 Conciliação'!R106</f>
        <v>—</v>
      </c>
      <c r="BH132" s="0" t="n">
        <f aca="false">SUMIFS('3 Base Saldo Inicial 08-09'!$E$2:$E$5000,'3 Base Saldo Inicial 08-09'!$A$2:$A$5000,$T132,'3 Base Saldo Inicial 08-09'!$B$2:$B$5000,$AG132)-SUMIFS('3 Base Saldo Inicial 08-09'!$E$2:$E$5000,'3 Base Saldo Inicial 08-09'!$A$2:$A$5000,$T132,'3 Base Saldo Inicial 08-09'!$B$2:$B$5000,$AG132,'3 Base Saldo Inicial 08-09'!$C$2:$C$5000,"2008")</f>
        <v>0</v>
      </c>
    </row>
    <row r="133" customFormat="false" ht="15" hidden="false" customHeight="false" outlineLevel="0" collapsed="false">
      <c r="T133" s="0" t="s">
        <v>389</v>
      </c>
      <c r="U133" s="0" t="s">
        <v>65</v>
      </c>
      <c r="V133" s="0" t="n">
        <f aca="false">SUMIFS('3 Base Entrada 2008'!$G$2:$G$5000,'3 Base Entrada 2008'!$F$2:$F$5000,"&gt;="&amp;$F$5,'3 Base Entrada 2008'!$F$2:$F$5000,"&lt;="&amp;$H$5,'3 Base Entrada 2008'!$B$2:$B$5000,$T133,'3 Base Entrada 2008'!$C$2:$C$5000,$AG133,'3 Base Entrada 2008'!$K$2:$K$5000,"Recebido no 2008")</f>
        <v>1979.6</v>
      </c>
      <c r="W133" s="0" t="n">
        <f aca="false">SUMIFS('3 Base Entrada 2008'!$L$2:$L$5000,'3 Base Entrada 2008'!$F$2:$F$5000,"&gt;="&amp;$F$5,'3 Base Entrada 2008'!$F$2:$F$5000,"&lt;="&amp;$H$5,'3 Base Entrada 2008'!$B$2:$B$5000,$T133,'3 Base Entrada 2008'!$C$2:$C$5000,$AG133)</f>
        <v>0</v>
      </c>
      <c r="X133" s="0" t="n">
        <f aca="false">SUMIFS('3 Base Saídas'!$R$2:$R$5000,'3 Base Saídas'!$G$2:$G$5000,"&gt;="&amp;$F$5,'3 Base Saídas'!$G$2:$G$5000,"&lt;="&amp;$H$5,'3 Base Saídas'!$B$2:$B$5000,$T133,'3 Base Saídas'!$C$2:$C$5000,$AG133)</f>
        <v>0</v>
      </c>
      <c r="Y133" s="0" t="n">
        <f aca="false">SUMIFS('3 Base Estoque Físico'!$J$2:$J$5000,'3 Base Estoque Físico'!$A$2:$A$5000,$T133,'3 Base Estoque Físico'!$B$2:$B$5000,$AG133)</f>
        <v>0</v>
      </c>
      <c r="Z133" s="0" t="n">
        <f aca="false">ROUND(Y133-(BH133+W133-X133),3)</f>
        <v>0</v>
      </c>
      <c r="AA133" s="0" t="n">
        <f aca="false">IF(AND(U133=$R$3,OR($R$1="*",T133=$R$1),OR($R$2="*",AG133=$R$2),OR($R$6="*",AC133=$R$6),ABS(V133)+ABS(W133)+ABS(X133)+ABS(Y133)&gt;0),1,0)</f>
        <v>1</v>
      </c>
      <c r="AB133" s="0" t="n">
        <f aca="false">IF(AA133=1,SUM(AA$40:AA133),"")</f>
        <v>81</v>
      </c>
      <c r="AC133" s="0" t="str">
        <f aca="false">IF(ABS(Z133)&lt;=$R$5,"Confere",IF(Z133&gt;0,"Sobrando","Faltando"))</f>
        <v>Confere</v>
      </c>
      <c r="AD133" s="0" t="n">
        <f aca="false">IF(OR($R$4="*",$R$4="Saída"),COUNTIFS('3 Base Saídas'!$G$2:$G$5000,"&gt;="&amp;$F$5,'3 Base Saídas'!$G$2:$G$5000,"&lt;="&amp;$H$5,'3 Base Saídas'!$B$2:$B$5000,$T133,'3 Base Saídas'!$C$2:$C$5000,$AG133),0)+IF($R$4&lt;&gt;"Saída",COUNTIFS('3 Base Entrada 2008'!$F$2:$F$5000,"&gt;="&amp;$F$5,'3 Base Entrada 2008'!$F$2:$F$5000,"&lt;="&amp;$H$5,'3 Base Entrada 2008'!$B$2:$B$5000,$T133,'3 Base Entrada 2008'!$C$2:$C$5000,$AG133,'3 Base Entrada 2008'!$K$2:$K$5000,$R$4),0)</f>
        <v>2</v>
      </c>
      <c r="AE133" s="0" t="str">
        <f aca="false">'5 Conciliação'!K107</f>
        <v>Sem diferença</v>
      </c>
      <c r="AF133" s="0" t="n">
        <f aca="false">IF(AND(AA133=1,AC133&lt;&gt;"Confere"),ABS(Z133)+ROW()/10000000,0)</f>
        <v>0</v>
      </c>
      <c r="AG133" s="0" t="s">
        <v>392</v>
      </c>
      <c r="BB133" s="0" t="n">
        <f aca="false">MIN(IF(_xlfn.MINIFS('3 Base Entrada 2008'!$F$2:$F$5000,'3 Base Entrada 2008'!$F$2:$F$5000,"&gt;="&amp;$F$5,'3 Base Entrada 2008'!$F$2:$F$5000,"&lt;="&amp;$H$5,'3 Base Entrada 2008'!$B$2:$B$5000,$T133,'3 Base Entrada 2008'!$C$2:$C$5000,$AG133)=0,99999,_xlfn.MINIFS('3 Base Entrada 2008'!$F$2:$F$5000,'3 Base Entrada 2008'!$F$2:$F$5000,"&gt;="&amp;$F$5,'3 Base Entrada 2008'!$F$2:$F$5000,"&lt;="&amp;$H$5,'3 Base Entrada 2008'!$B$2:$B$5000,$T133,'3 Base Entrada 2008'!$C$2:$C$5000,$AG133)),IF(_xlfn.MINIFS('3 Base Saídas'!$G$2:$G$5000,'3 Base Saídas'!$G$2:$G$5000,"&gt;="&amp;$F$5,'3 Base Saídas'!$G$2:$G$5000,"&lt;="&amp;$H$5,'3 Base Saídas'!$B$2:$B$5000,$T133,'3 Base Saídas'!$C$2:$C$5000,$AG133)=0,99999,_xlfn.MINIFS('3 Base Saídas'!$G$2:$G$5000,'3 Base Saídas'!$G$2:$G$5000,"&gt;="&amp;$F$5,'3 Base Saídas'!$G$2:$G$5000,"&lt;="&amp;$H$5,'3 Base Saídas'!$B$2:$B$5000,$T133,'3 Base Saídas'!$C$2:$C$5000,$AG133)))</f>
        <v>46275</v>
      </c>
      <c r="BC133" s="0" t="n">
        <f aca="false">MAX(_xlfn.MAXIFS('3 Base Entrada 2008'!$F$2:$F$5000,'3 Base Entrada 2008'!$F$2:$F$5000,"&gt;="&amp;$F$5,'3 Base Entrada 2008'!$F$2:$F$5000,"&lt;="&amp;$H$5,'3 Base Entrada 2008'!$B$2:$B$5000,$T133,'3 Base Entrada 2008'!$C$2:$C$5000,$AG133),_xlfn.MAXIFS('3 Base Saídas'!$G$2:$G$5000,'3 Base Saídas'!$G$2:$G$5000,"&gt;="&amp;$F$5,'3 Base Saídas'!$G$2:$G$5000,"&lt;="&amp;$H$5,'3 Base Saídas'!$B$2:$B$5000,$T133,'3 Base Saídas'!$C$2:$C$5000,$AG133))</f>
        <v>46275</v>
      </c>
      <c r="BD133" s="0" t="str">
        <f aca="false">'5 Conciliação'!L107</f>
        <v>Nenhum ajuste necessário</v>
      </c>
      <c r="BE133" s="0" t="str">
        <f aca="false">'5 Conciliação'!Q107</f>
        <v>—</v>
      </c>
      <c r="BF133" s="0" t="str">
        <f aca="false">'5 Conciliação'!R107</f>
        <v>—</v>
      </c>
      <c r="BH133" s="0" t="n">
        <f aca="false">SUMIFS('3 Base Saldo Inicial 08-09'!$E$2:$E$5000,'3 Base Saldo Inicial 08-09'!$A$2:$A$5000,$T133,'3 Base Saldo Inicial 08-09'!$B$2:$B$5000,$AG133)-SUMIFS('3 Base Saldo Inicial 08-09'!$E$2:$E$5000,'3 Base Saldo Inicial 08-09'!$A$2:$A$5000,$T133,'3 Base Saldo Inicial 08-09'!$B$2:$B$5000,$AG133,'3 Base Saldo Inicial 08-09'!$C$2:$C$5000,"2008")</f>
        <v>0</v>
      </c>
    </row>
  </sheetData>
  <autoFilter ref="A13:O107"/>
  <mergeCells count="23">
    <mergeCell ref="A5:C5"/>
    <mergeCell ref="D5:E5"/>
    <mergeCell ref="F5:G5"/>
    <mergeCell ref="H5:I5"/>
    <mergeCell ref="K5:M5"/>
    <mergeCell ref="A9:B9"/>
    <mergeCell ref="C9:E9"/>
    <mergeCell ref="F9:G9"/>
    <mergeCell ref="H9:I9"/>
    <mergeCell ref="J9:K9"/>
    <mergeCell ref="L9:M9"/>
    <mergeCell ref="A10:B10"/>
    <mergeCell ref="C10:E10"/>
    <mergeCell ref="F10:G10"/>
    <mergeCell ref="H10:I10"/>
    <mergeCell ref="J10:K10"/>
    <mergeCell ref="L10:M10"/>
    <mergeCell ref="A11:B11"/>
    <mergeCell ref="C11:E11"/>
    <mergeCell ref="F11:G11"/>
    <mergeCell ref="H11:I11"/>
    <mergeCell ref="J11:K11"/>
    <mergeCell ref="L11:M11"/>
  </mergeCells>
  <conditionalFormatting sqref="J10">
    <cfRule type="cellIs" priority="2" operator="lessThan" aboveAverage="0" equalAverage="0" bottom="0" percent="0" rank="0" text="" dxfId="2">
      <formula>-$R$5</formula>
    </cfRule>
    <cfRule type="cellIs" priority="3" operator="greaterThan" aboveAverage="0" equalAverage="0" bottom="0" percent="0" rank="0" text="" dxfId="16">
      <formula>$R$5</formula>
    </cfRule>
    <cfRule type="expression" priority="4" aboveAverage="0" equalAverage="0" bottom="0" percent="0" rank="0" text="" dxfId="17">
      <formula>ABS($J$10)&lt;=$R$5</formula>
    </cfRule>
  </conditionalFormatting>
  <conditionalFormatting sqref="J14:J107">
    <cfRule type="expression" priority="5" aboveAverage="0" equalAverage="0" bottom="0" percent="0" rank="0" text="" dxfId="18">
      <formula>J14="Confere"</formula>
    </cfRule>
    <cfRule type="expression" priority="6" aboveAverage="0" equalAverage="0" bottom="0" percent="0" rank="0" text="" dxfId="19">
      <formula>J14="Sobrando"</formula>
    </cfRule>
    <cfRule type="expression" priority="7" aboveAverage="0" equalAverage="0" bottom="0" percent="0" rank="0" text="" dxfId="20">
      <formula>J14="Faltando"</formula>
    </cfRule>
  </conditionalFormatting>
  <conditionalFormatting sqref="I14:I107">
    <cfRule type="expression" priority="8" aboveAverage="0" equalAverage="0" bottom="0" percent="0" rank="0" text="" dxfId="21">
      <formula>AND(ISNUMBER(I14),I14&lt;-$R$5)</formula>
    </cfRule>
  </conditionalFormatting>
  <conditionalFormatting sqref="A14:O107">
    <cfRule type="expression" priority="9" aboveAverage="0" equalAverage="0" bottom="0" percent="0" rank="0" text="" dxfId="22">
      <formula>$A14=""</formula>
    </cfRule>
  </conditionalFormatting>
  <hyperlinks>
    <hyperlink ref="O1" r:id="rId1" location="'MENU'!A1" display="◄ MENU"/>
    <hyperlink ref="A6" r:id="rId2" location="'1%20Dashboard'!A5" display="Filtros definidos no Dashboard (fonte única para todas as análises). Para filtrar só esta tabela, use as setas do cabeçalho."/>
    <hyperlink ref="N9" r:id="rId3" location="'1%20Dashboard'!A1" display="Indicadores e gráficos: aba Dashboard →"/>
  </hyperlinks>
  <printOptions headings="false" gridLines="false" gridLinesSet="true" horizontalCentered="true" verticalCentered="false"/>
  <pageMargins left="0.4" right="0.4" top="0.6" bottom="0.6" header="0.25" footer="0.25"/>
  <pageSetup paperSize="8"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A81"/>
    <pageSetUpPr fitToPage="true"/>
  </sheetPr>
  <dimension ref="A1:BA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7"/>
    <col collapsed="false" customWidth="true" hidden="false" outlineLevel="0" max="5" min="4" style="0" width="13"/>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22"/>
    <col collapsed="false" customWidth="true" hidden="false" outlineLevel="0" max="10" min="10" style="0" width="11"/>
    <col collapsed="false" customWidth="true" hidden="false" outlineLevel="0" max="13" min="11" style="0" width="12"/>
    <col collapsed="false" customWidth="true" hidden="false" outlineLevel="0" max="14" min="14" style="0" width="34"/>
    <col collapsed="false" customWidth="true" hidden="false" outlineLevel="0" max="15" min="15" style="0" width="46"/>
    <col collapsed="false" customWidth="true" hidden="true" outlineLevel="0" max="53" min="18" style="0" width="13"/>
  </cols>
  <sheetData>
    <row r="1" customFormat="false" ht="30" hidden="false" customHeight="true" outlineLevel="0" collapsed="false">
      <c r="A1" s="80" t="s">
        <v>1778</v>
      </c>
      <c r="B1" s="1"/>
      <c r="C1" s="1"/>
      <c r="D1" s="1"/>
      <c r="E1" s="1"/>
      <c r="F1" s="1"/>
      <c r="G1" s="1"/>
      <c r="H1" s="1"/>
      <c r="I1" s="1"/>
      <c r="J1" s="1"/>
      <c r="K1" s="1"/>
      <c r="L1" s="1"/>
      <c r="M1" s="1"/>
      <c r="N1" s="1"/>
      <c r="O1" s="81" t="s">
        <v>55</v>
      </c>
      <c r="R1" s="0" t="str">
        <f aca="false">IF(A5="Todos","*",A5)</f>
        <v>*</v>
      </c>
      <c r="AT1" s="82" t="s">
        <v>64</v>
      </c>
      <c r="AV1" s="82" t="s">
        <v>64</v>
      </c>
      <c r="AW1" s="82" t="s">
        <v>186</v>
      </c>
      <c r="AX1" s="82" t="s">
        <v>187</v>
      </c>
      <c r="AY1" s="82" t="n">
        <f aca="false">IF(OR($A$5="Todos",AW1=$A$5),1,0)</f>
        <v>1</v>
      </c>
      <c r="AZ1" s="82" t="s">
        <v>66</v>
      </c>
    </row>
    <row r="2" customFormat="false" ht="15" hidden="false" customHeight="false" outlineLevel="0" collapsed="false">
      <c r="A2" s="84" t="s">
        <v>1779</v>
      </c>
      <c r="B2" s="1"/>
      <c r="C2" s="1"/>
      <c r="D2" s="1"/>
      <c r="E2" s="1"/>
      <c r="F2" s="1"/>
      <c r="G2" s="1"/>
      <c r="H2" s="1"/>
      <c r="I2" s="1"/>
      <c r="J2" s="1"/>
      <c r="K2" s="1"/>
      <c r="L2" s="1"/>
      <c r="M2" s="1"/>
      <c r="N2" s="1"/>
      <c r="O2" s="1"/>
      <c r="R2" s="0" t="str">
        <f aca="false">IF(OR(D5="Todos",D5=""),"*",D5)</f>
        <v>*</v>
      </c>
      <c r="AT2" s="82" t="s">
        <v>186</v>
      </c>
      <c r="AV2" s="0" t="str">
        <f aca="false">IFERROR(INDEX($AX$1:$AX$94,MATCH(1,$AY$1:$AY$94,0)),"")</f>
        <v>252800202</v>
      </c>
      <c r="AW2" s="82" t="s">
        <v>192</v>
      </c>
      <c r="AX2" s="82" t="s">
        <v>195</v>
      </c>
      <c r="AY2" s="82" t="n">
        <f aca="false">IF(OR($A$5="Todos",AW2=$A$5),MAX(AY$1:AY1)+1,0)</f>
        <v>2</v>
      </c>
      <c r="AZ2" s="82" t="s">
        <v>1780</v>
      </c>
    </row>
    <row r="3" customFormat="false" ht="15" hidden="false" customHeight="false" outlineLevel="0" collapsed="false">
      <c r="A3" s="1"/>
      <c r="B3" s="1"/>
      <c r="C3" s="1"/>
      <c r="D3" s="1"/>
      <c r="E3" s="1"/>
      <c r="F3" s="1"/>
      <c r="G3" s="1"/>
      <c r="H3" s="1"/>
      <c r="I3" s="1"/>
      <c r="J3" s="1"/>
      <c r="K3" s="1"/>
      <c r="L3" s="1"/>
      <c r="M3" s="1"/>
      <c r="N3" s="1"/>
      <c r="O3" s="1"/>
      <c r="R3" s="0" t="str">
        <f aca="false">IF(A5="Todos",J5,IFERROR(INDEX($U$40:$U$133,MATCH(A5,$T$40:$T$133,0)),J5))</f>
        <v>KG</v>
      </c>
      <c r="AT3" s="82" t="s">
        <v>192</v>
      </c>
      <c r="AV3" s="0" t="str">
        <f aca="false">IFERROR(INDEX($AX$1:$AX$94,MATCH(2,$AY$1:$AY$94,0)),"")</f>
        <v>260070301</v>
      </c>
      <c r="AW3" s="82" t="s">
        <v>192</v>
      </c>
      <c r="AX3" s="82" t="s">
        <v>193</v>
      </c>
      <c r="AY3" s="82" t="n">
        <f aca="false">IF(OR($A$5="Todos",AW3=$A$5),MAX(AY$1:AY2)+1,0)</f>
        <v>3</v>
      </c>
      <c r="AZ3" s="82" t="s">
        <v>1781</v>
      </c>
    </row>
    <row r="4" customFormat="false" ht="15" hidden="false" customHeight="false" outlineLevel="0" collapsed="false">
      <c r="A4" s="122" t="s">
        <v>157</v>
      </c>
      <c r="B4" s="123"/>
      <c r="C4" s="123"/>
      <c r="D4" s="124" t="s">
        <v>60</v>
      </c>
      <c r="E4" s="123"/>
      <c r="F4" s="124" t="s">
        <v>57</v>
      </c>
      <c r="G4" s="123"/>
      <c r="H4" s="124" t="s">
        <v>58</v>
      </c>
      <c r="I4" s="123"/>
      <c r="J4" s="124" t="s">
        <v>61</v>
      </c>
      <c r="K4" s="124" t="s">
        <v>1743</v>
      </c>
      <c r="L4" s="123"/>
      <c r="M4" s="123"/>
      <c r="N4" s="123"/>
      <c r="O4" s="125"/>
      <c r="AT4" s="82" t="s">
        <v>198</v>
      </c>
      <c r="AV4" s="0" t="str">
        <f aca="false">IFERROR(INDEX($AX$1:$AX$94,MATCH(3,$AY$1:$AY$94,0)),"")</f>
        <v>260370301</v>
      </c>
      <c r="AW4" s="82" t="s">
        <v>198</v>
      </c>
      <c r="AX4" s="82" t="s">
        <v>199</v>
      </c>
      <c r="AY4" s="82" t="n">
        <f aca="false">IF(OR($A$5="Todos",AW4=$A$5),MAX(AY$1:AY3)+1,0)</f>
        <v>4</v>
      </c>
      <c r="AZ4" s="82" t="s">
        <v>1782</v>
      </c>
    </row>
    <row r="5" customFormat="false" ht="24" hidden="false" customHeight="true" outlineLevel="0" collapsed="false">
      <c r="A5" s="89" t="str">
        <f aca="false">'1 Dashboard'!E5</f>
        <v>Todos</v>
      </c>
      <c r="B5" s="89"/>
      <c r="C5" s="89"/>
      <c r="D5" s="89" t="str">
        <f aca="false">'1 Dashboard'!H5</f>
        <v>Todos</v>
      </c>
      <c r="E5" s="89"/>
      <c r="F5" s="90" t="n">
        <f aca="false">'1 Dashboard'!A5</f>
        <v>46274</v>
      </c>
      <c r="G5" s="90"/>
      <c r="H5" s="90" t="n">
        <f aca="false">'1 Dashboard'!C5</f>
        <v>46296</v>
      </c>
      <c r="I5" s="90"/>
      <c r="J5" s="89" t="str">
        <f aca="false">'1 Dashboard'!J5</f>
        <v>KG</v>
      </c>
      <c r="K5" s="126" t="s">
        <v>66</v>
      </c>
      <c r="L5" s="126"/>
      <c r="M5" s="126"/>
      <c r="N5" s="127"/>
      <c r="O5" s="128"/>
      <c r="R5" s="93" t="n">
        <f aca="false">Parâmetros!$C$7</f>
        <v>0.01</v>
      </c>
      <c r="AT5" s="82" t="s">
        <v>201</v>
      </c>
      <c r="AV5" s="0" t="str">
        <f aca="false">IFERROR(INDEX($AX$1:$AX$94,MATCH(4,$AY$1:$AY$94,0)),"")</f>
        <v>253213449</v>
      </c>
      <c r="AW5" s="82" t="s">
        <v>201</v>
      </c>
      <c r="AX5" s="82" t="s">
        <v>202</v>
      </c>
      <c r="AY5" s="82" t="n">
        <f aca="false">IF(OR($A$5="Todos",AW5=$A$5),MAX(AY$1:AY4)+1,0)</f>
        <v>5</v>
      </c>
    </row>
    <row r="6" customFormat="false" ht="15" hidden="false" customHeight="false" outlineLevel="0" collapsed="false">
      <c r="A6" s="129" t="s">
        <v>1783</v>
      </c>
      <c r="B6" s="127"/>
      <c r="C6" s="127"/>
      <c r="D6" s="127"/>
      <c r="E6" s="127"/>
      <c r="F6" s="127"/>
      <c r="G6" s="127"/>
      <c r="H6" s="127"/>
      <c r="I6" s="127"/>
      <c r="J6" s="127"/>
      <c r="K6" s="127"/>
      <c r="L6" s="127"/>
      <c r="M6" s="127"/>
      <c r="N6" s="127"/>
      <c r="O6" s="128"/>
      <c r="AT6" s="82" t="s">
        <v>205</v>
      </c>
      <c r="AV6" s="0" t="str">
        <f aca="false">IFERROR(INDEX($AX$1:$AX$94,MATCH(5,$AY$1:$AY$94,0)),"")</f>
        <v>251633359</v>
      </c>
      <c r="AW6" s="82" t="s">
        <v>201</v>
      </c>
      <c r="AX6" s="82" t="s">
        <v>203</v>
      </c>
      <c r="AY6" s="82" t="n">
        <f aca="false">IF(OR($A$5="Todos",AW6=$A$5),MAX(AY$1:AY5)+1,0)</f>
        <v>6</v>
      </c>
    </row>
    <row r="7" customFormat="false" ht="15" hidden="false" customHeight="false" outlineLevel="0" collapsed="false">
      <c r="A7" s="130" t="str">
        <f aca="false">"Mostrando: "&amp;IF(A5="Todos","todos os SKUs",A5)&amp;IF(D5="Todos",""," · lote "&amp;D5)&amp;" · "&amp;DAY(F5)&amp;"/"&amp;MONTH(F5)&amp;"/"&amp;YEAR(F5)&amp;" a "&amp;DAY(H5)&amp;"/"&amp;MONTH(H5)&amp;"/"&amp;YEAR(H5)&amp;" · unidade "&amp;$R$3&amp;IF(K5="Todas",""," · "&amp;K5)</f>
        <v>Mostrando: todos os SKUs · 9/9/2026 a 1/10/2026 · unidade KG</v>
      </c>
      <c r="B7" s="131"/>
      <c r="C7" s="131"/>
      <c r="D7" s="131"/>
      <c r="E7" s="131"/>
      <c r="F7" s="131"/>
      <c r="G7" s="131"/>
      <c r="H7" s="131"/>
      <c r="I7" s="131"/>
      <c r="J7" s="131"/>
      <c r="K7" s="131"/>
      <c r="L7" s="131"/>
      <c r="M7" s="131"/>
      <c r="N7" s="131"/>
      <c r="O7" s="132"/>
      <c r="AT7" s="82" t="s">
        <v>314</v>
      </c>
      <c r="AV7" s="0" t="str">
        <f aca="false">IFERROR(INDEX($AX$1:$AX$94,MATCH(6,$AY$1:$AY$94,0)),"")</f>
        <v>260130779</v>
      </c>
      <c r="AW7" s="82" t="s">
        <v>205</v>
      </c>
      <c r="AX7" s="82" t="s">
        <v>209</v>
      </c>
      <c r="AY7" s="82" t="n">
        <f aca="false">IF(OR($A$5="Todos",AW7=$A$5),MAX(AY$1:AY6)+1,0)</f>
        <v>7</v>
      </c>
    </row>
    <row r="8" customFormat="false" ht="15" hidden="false" customHeight="false" outlineLevel="0" collapsed="false">
      <c r="A8" s="1"/>
      <c r="B8" s="1"/>
      <c r="C8" s="1"/>
      <c r="D8" s="1"/>
      <c r="E8" s="1"/>
      <c r="F8" s="1"/>
      <c r="G8" s="1"/>
      <c r="H8" s="1"/>
      <c r="I8" s="1"/>
      <c r="J8" s="1"/>
      <c r="K8" s="1"/>
      <c r="L8" s="1"/>
      <c r="M8" s="1"/>
      <c r="N8" s="1"/>
      <c r="O8" s="1"/>
      <c r="AT8" s="82" t="s">
        <v>211</v>
      </c>
      <c r="AV8" s="0" t="str">
        <f aca="false">IFERROR(INDEX($AX$1:$AX$94,MATCH(7,$AY$1:$AY$94,0)),"")</f>
        <v>250880301</v>
      </c>
      <c r="AW8" s="82" t="s">
        <v>205</v>
      </c>
      <c r="AX8" s="82" t="s">
        <v>206</v>
      </c>
      <c r="AY8" s="82" t="n">
        <f aca="false">IF(OR($A$5="Todos",AW8=$A$5),MAX(AY$1:AY7)+1,0)</f>
        <v>8</v>
      </c>
    </row>
    <row r="9" customFormat="false" ht="21.75" hidden="false" customHeight="true" outlineLevel="0" collapsed="false">
      <c r="A9" s="133" t="str">
        <f aca="false">"RECEBIDO NO 2008 · "&amp;$R$3</f>
        <v>RECEBIDO NO 2008 · KG</v>
      </c>
      <c r="B9" s="133"/>
      <c r="C9" s="134" t="str">
        <f aca="false">"TRANSFERIDO AO ZBR · "&amp;$R$3</f>
        <v>TRANSFERIDO AO ZBR · KG</v>
      </c>
      <c r="D9" s="134"/>
      <c r="E9" s="134"/>
      <c r="F9" s="135" t="str">
        <f aca="false">"ESTORNOS · "&amp;$R$3</f>
        <v>ESTORNOS · KG</v>
      </c>
      <c r="G9" s="135"/>
      <c r="H9" s="136" t="str">
        <f aca="false">"SALDO NO 2008 · "&amp;$R$3</f>
        <v>SALDO NO 2008 · KG</v>
      </c>
      <c r="I9" s="136"/>
      <c r="J9" s="135" t="s">
        <v>1744</v>
      </c>
      <c r="K9" s="135"/>
      <c r="L9" s="137" t="str">
        <f aca="false">"Aguardando transferência: "&amp;COUNTIFS($Z$40:$Z$133,1,$AB$40:$AB$133,"Aguardando transferência")</f>
        <v>Aguardando transferência: 30</v>
      </c>
      <c r="M9" s="137"/>
      <c r="N9" s="103" t="s">
        <v>1784</v>
      </c>
      <c r="O9" s="1"/>
      <c r="AT9" s="82" t="s">
        <v>218</v>
      </c>
      <c r="AV9" s="0" t="str">
        <f aca="false">IFERROR(INDEX($AX$1:$AX$94,MATCH(8,$AY$1:$AY$94,0)),"")</f>
        <v>252450301</v>
      </c>
      <c r="AW9" s="82" t="s">
        <v>314</v>
      </c>
      <c r="AX9" s="82" t="s">
        <v>315</v>
      </c>
      <c r="AY9" s="82" t="n">
        <f aca="false">IF(OR($A$5="Todos",AW9=$A$5),MAX(AY$1:AY8)+1,0)</f>
        <v>9</v>
      </c>
    </row>
    <row r="10" customFormat="false" ht="33.75" hidden="false" customHeight="true" outlineLevel="0" collapsed="false">
      <c r="A10" s="138" t="n">
        <f aca="false">SUMPRODUCT($Z$40:$Z$133,$V$40:$V$133)</f>
        <v>77159.5</v>
      </c>
      <c r="B10" s="138"/>
      <c r="C10" s="138" t="n">
        <f aca="false">SUMPRODUCT($Z$40:$Z$133,$W$40:$W$133)</f>
        <v>67865.28</v>
      </c>
      <c r="D10" s="138"/>
      <c r="E10" s="138"/>
      <c r="F10" s="138" t="n">
        <f aca="false">SUMPRODUCT($Z$40:$Z$133,$X$40:$X$133)</f>
        <v>1935</v>
      </c>
      <c r="G10" s="138"/>
      <c r="H10" s="139" t="n">
        <f aca="false">ROUND(SUMPRODUCT($Z$40:$Z$133,$BA$40:$BA$133)+A10-C10+F10,3)</f>
        <v>11229.22</v>
      </c>
      <c r="I10" s="139"/>
      <c r="J10" s="140" t="n">
        <f aca="false">SUMPRODUCT($Z$40:$Z$133,$AC$40:$AC$133)</f>
        <v>170</v>
      </c>
      <c r="K10" s="140"/>
      <c r="L10" s="141" t="str">
        <f aca="false">"Transferido 100%: "&amp;COUNTIFS($Z$40:$Z$133,1,$AB$40:$AB$133,"Transferido 100%")</f>
        <v>Transferido 100%: 1</v>
      </c>
      <c r="M10" s="141"/>
      <c r="N10" s="1"/>
      <c r="O10" s="1"/>
      <c r="AT10" s="82" t="s">
        <v>220</v>
      </c>
      <c r="AV10" s="0" t="str">
        <f aca="false">IFERROR(INDEX($AX$1:$AX$94,MATCH(9,$AY$1:$AY$94,0)),"")</f>
        <v>251643289</v>
      </c>
      <c r="AW10" s="82" t="s">
        <v>211</v>
      </c>
      <c r="AX10" s="82" t="s">
        <v>214</v>
      </c>
      <c r="AY10" s="82" t="n">
        <f aca="false">IF(OR($A$5="Todos",AW10=$A$5),MAX(AY$1:AY9)+1,0)</f>
        <v>10</v>
      </c>
    </row>
    <row r="11" customFormat="false" ht="21.75" hidden="false" customHeight="true" outlineLevel="0" collapsed="false">
      <c r="A11" s="142" t="s">
        <v>1785</v>
      </c>
      <c r="B11" s="142"/>
      <c r="C11" s="142" t="s">
        <v>1786</v>
      </c>
      <c r="D11" s="142"/>
      <c r="E11" s="142"/>
      <c r="F11" s="142" t="s">
        <v>1787</v>
      </c>
      <c r="G11" s="142"/>
      <c r="H11" s="143" t="s">
        <v>1788</v>
      </c>
      <c r="I11" s="143"/>
      <c r="J11" s="142" t="s">
        <v>1789</v>
      </c>
      <c r="K11" s="142"/>
      <c r="L11" s="144" t="str">
        <f aca="false">"Saiu saldo anterior a 09/09: "&amp;COUNTIFS($Z$40:$Z$133,1,$AB$40:$AB$133,"Saiu saldo anterior a 09/09")</f>
        <v>Saiu saldo anterior a 09/09: 50</v>
      </c>
      <c r="M11" s="144"/>
      <c r="N11" s="1"/>
      <c r="O11" s="1"/>
      <c r="AT11" s="82" t="s">
        <v>322</v>
      </c>
      <c r="AV11" s="0" t="str">
        <f aca="false">IFERROR(INDEX($AX$1:$AX$94,MATCH(10,$AY$1:$AY$94,0)),"")</f>
        <v>252510301</v>
      </c>
      <c r="AW11" s="82" t="s">
        <v>211</v>
      </c>
      <c r="AX11" s="82" t="s">
        <v>212</v>
      </c>
      <c r="AY11" s="82" t="n">
        <f aca="false">IF(OR($A$5="Todos",AW11=$A$5),MAX(AY$1:AY10)+1,0)</f>
        <v>11</v>
      </c>
    </row>
    <row r="12" customFormat="false" ht="15" hidden="false" customHeight="false" outlineLevel="0" collapsed="false">
      <c r="A12" s="1"/>
      <c r="B12" s="1"/>
      <c r="C12" s="1"/>
      <c r="D12" s="1"/>
      <c r="E12" s="1"/>
      <c r="F12" s="1"/>
      <c r="G12" s="1"/>
      <c r="H12" s="1"/>
      <c r="I12" s="1"/>
      <c r="J12" s="1"/>
      <c r="K12" s="1"/>
      <c r="L12" s="1"/>
      <c r="M12" s="1"/>
      <c r="N12" s="1"/>
      <c r="O12" s="1"/>
      <c r="AT12" s="82" t="s">
        <v>225</v>
      </c>
      <c r="AV12" s="0" t="str">
        <f aca="false">IFERROR(INDEX($AX$1:$AX$94,MATCH(11,$AY$1:$AY$94,0)),"")</f>
        <v>253280301</v>
      </c>
      <c r="AW12" s="82" t="s">
        <v>218</v>
      </c>
      <c r="AX12" s="82" t="s">
        <v>317</v>
      </c>
      <c r="AY12" s="82" t="n">
        <f aca="false">IF(OR($A$5="Todos",AW12=$A$5),MAX(AY$1:AY11)+1,0)</f>
        <v>12</v>
      </c>
    </row>
    <row r="13" customFormat="false" ht="30" hidden="false" customHeight="true" outlineLevel="0" collapsed="false">
      <c r="A13" s="15" t="s">
        <v>157</v>
      </c>
      <c r="B13" s="15" t="s">
        <v>60</v>
      </c>
      <c r="C13" s="15" t="s">
        <v>159</v>
      </c>
      <c r="D13" s="57" t="s">
        <v>1790</v>
      </c>
      <c r="E13" s="57" t="s">
        <v>1791</v>
      </c>
      <c r="F13" s="57" t="s">
        <v>1792</v>
      </c>
      <c r="G13" s="57" t="s">
        <v>1793</v>
      </c>
      <c r="H13" s="57" t="s">
        <v>1794</v>
      </c>
      <c r="I13" s="16" t="s">
        <v>1743</v>
      </c>
      <c r="J13" s="16" t="s">
        <v>1744</v>
      </c>
      <c r="K13" s="16" t="s">
        <v>1795</v>
      </c>
      <c r="L13" s="16" t="s">
        <v>1459</v>
      </c>
      <c r="M13" s="110" t="s">
        <v>396</v>
      </c>
      <c r="N13" s="110" t="s">
        <v>1796</v>
      </c>
      <c r="O13" s="1"/>
      <c r="AT13" s="82" t="s">
        <v>227</v>
      </c>
      <c r="AV13" s="0" t="str">
        <f aca="false">IFERROR(INDEX($AX$1:$AX$94,MATCH(12,$AY$1:$AY$94,0)),"")</f>
        <v>260900702</v>
      </c>
      <c r="AW13" s="82" t="s">
        <v>218</v>
      </c>
      <c r="AX13" s="82" t="s">
        <v>318</v>
      </c>
      <c r="AY13" s="82" t="n">
        <f aca="false">IF(OR($A$5="Todos",AW13=$A$5),MAX(AY$1:AY12)+1,0)</f>
        <v>13</v>
      </c>
    </row>
    <row r="14" customFormat="false" ht="15" hidden="false" customHeight="false" outlineLevel="0" collapsed="false">
      <c r="A14" s="111" t="str">
        <f aca="false">IF(IFERROR(MATCH(1,$AA$40:$AA$133,0),0)=0,"",INDEX($T$40:$T$133,IFERROR(MATCH(1,$AA$40:$AA$133,0),0)))</f>
        <v>DCP-22ZEPLA-89B</v>
      </c>
      <c r="B14" s="111" t="str">
        <f aca="false">IF(IFERROR(MATCH(1,$AA$40:$AA$133,0),0)=0,"",INDEX($AG$40:$AG$133,IFERROR(MATCH(1,$AA$40:$AA$133,0),0)))</f>
        <v>260358131</v>
      </c>
      <c r="C14" s="112" t="str">
        <f aca="false">IF(IFERROR(MATCH(1,$AA$40:$AA$133,0),0)=0,"",INDEX($U$40:$U$133,IFERROR(MATCH(1,$AA$40:$AA$133,0),0)))</f>
        <v>KG</v>
      </c>
      <c r="D14" s="113" t="n">
        <f aca="false">IF(IFERROR(MATCH(1,$AA$40:$AA$133,0),0)=0,"",INDEX($V$40:$V$133,IFERROR(MATCH(1,$AA$40:$AA$133,0),0)))</f>
        <v>6912</v>
      </c>
      <c r="E14" s="113" t="n">
        <f aca="false">IF(IFERROR(MATCH(1,$AA$40:$AA$133,0),0)=0,"",INDEX($W$40:$W$133,IFERROR(MATCH(1,$AA$40:$AA$133,0),0)))</f>
        <v>-0</v>
      </c>
      <c r="F14" s="113" t="n">
        <f aca="false">IF(IFERROR(MATCH(1,$AA$40:$AA$133,0),0)=0,"",INDEX($X$40:$X$133,IFERROR(MATCH(1,$AA$40:$AA$133,0),0)))</f>
        <v>0</v>
      </c>
      <c r="G14" s="114" t="n">
        <f aca="false">IF(IFERROR(MATCH(1,$AA$40:$AA$133,0),0)=0,"",INDEX($Y$40:$Y$133,IFERROR(MATCH(1,$AA$40:$AA$133,0),0)))</f>
        <v>6912</v>
      </c>
      <c r="H14" s="145" t="n">
        <f aca="false">IF(A14="","",IF(D14&gt;0,(E14-F14)/D14,""))</f>
        <v>-0</v>
      </c>
      <c r="I14" s="115" t="str">
        <f aca="false">IF(IFERROR(MATCH(1,$AA$40:$AA$133,0),0)=0,"",INDEX($AB$40:$AB$133,IFERROR(MATCH(1,$AA$40:$AA$133,0),0)))</f>
        <v>Aguardando transferência</v>
      </c>
      <c r="J14" s="116" t="n">
        <f aca="false">IF(IFERROR(MATCH(1,$AA$40:$AA$133,0),0)=0,"",INDEX($AC$40:$AC$133,IFERROR(MATCH(1,$AA$40:$AA$133,0),0)))</f>
        <v>2</v>
      </c>
      <c r="K14" s="117" t="n">
        <f aca="false">IF(IFERROR(MATCH(1,$AA$40:$AA$133,0),0)=0,"",IF(INDEX($AD$40:$AD$133,IFERROR(MATCH(1,$AA$40:$AA$133,0),0))=0,"",INDEX($AD$40:$AD$133,IFERROR(MATCH(1,$AA$40:$AA$133,0),0))))</f>
        <v>46275</v>
      </c>
      <c r="L14" s="117" t="n">
        <f aca="false">IF(IFERROR(MATCH(1,$AA$40:$AA$133,0),0)=0,"",IF(INDEX($AE$40:$AE$133,IFERROR(MATCH(1,$AA$40:$AA$133,0),0))=0,"",INDEX($AE$40:$AE$133,IFERROR(MATCH(1,$AA$40:$AA$133,0),0))))</f>
        <v>46275</v>
      </c>
      <c r="M14" s="119" t="str">
        <f aca="false">IF(IFERROR(MATCH(1,$AA$40:$AA$133,0),0)=0,"",INDEX($AF$40:$AF$133,IFERROR(MATCH(1,$AA$40:$AA$133,0),0))&amp;"")</f>
        <v/>
      </c>
      <c r="N14" s="118" t="str">
        <f aca="false">IF(A14="","",IF(I14="Aguardando transferência","Transferir "&amp;FIXED(G14,1)&amp;" "&amp;C14&amp;" do 2008 para o ZBR (verificar se já há OT aberta)",IF(I14="Transferido 100%","Nada a fazer","Sem ação: saíram "&amp;FIXED(-G14,1)&amp;" "&amp;C14&amp;" que já estavam no 2008 antes de 09/09 (conferir só se não havia saldo)")))</f>
        <v>Transferir 6,912.0 KG do 2008 para o ZBR (verificar se já há OT aberta)</v>
      </c>
      <c r="O14" s="1"/>
      <c r="AT14" s="82" t="s">
        <v>327</v>
      </c>
      <c r="AV14" s="0" t="str">
        <f aca="false">IFERROR(INDEX($AX$1:$AX$94,MATCH(13,$AY$1:$AY$94,0)),"")</f>
        <v>260920702</v>
      </c>
      <c r="AW14" s="82" t="s">
        <v>218</v>
      </c>
      <c r="AX14" s="82" t="s">
        <v>319</v>
      </c>
      <c r="AY14" s="82" t="n">
        <f aca="false">IF(OR($A$5="Todos",AW14=$A$5),MAX(AY$1:AY13)+1,0)</f>
        <v>14</v>
      </c>
    </row>
    <row r="15" customFormat="false" ht="15" hidden="false" customHeight="false" outlineLevel="0" collapsed="false">
      <c r="A15" s="111" t="str">
        <f aca="false">IF(IFERROR(MATCH(2,$AA$40:$AA$133,0),0)=0,"",INDEX($T$40:$T$133,IFERROR(MATCH(2,$AA$40:$AA$133,0),0)))</f>
        <v>70-30-38-BR-25A</v>
      </c>
      <c r="B15" s="111" t="str">
        <f aca="false">IF(IFERROR(MATCH(2,$AA$40:$AA$133,0),0)=0,"",INDEX($AG$40:$AG$133,IFERROR(MATCH(2,$AA$40:$AA$133,0),0)))</f>
        <v>260370301</v>
      </c>
      <c r="C15" s="112" t="str">
        <f aca="false">IF(IFERROR(MATCH(2,$AA$40:$AA$133,0),0)=0,"",INDEX($U$40:$U$133,IFERROR(MATCH(2,$AA$40:$AA$133,0),0)))</f>
        <v>KG</v>
      </c>
      <c r="D15" s="113" t="n">
        <f aca="false">IF(IFERROR(MATCH(2,$AA$40:$AA$133,0),0)=0,"",INDEX($V$40:$V$133,IFERROR(MATCH(2,$AA$40:$AA$133,0),0)))</f>
        <v>6633</v>
      </c>
      <c r="E15" s="113" t="n">
        <f aca="false">IF(IFERROR(MATCH(2,$AA$40:$AA$133,0),0)=0,"",INDEX($W$40:$W$133,IFERROR(MATCH(2,$AA$40:$AA$133,0),0)))</f>
        <v>603</v>
      </c>
      <c r="F15" s="113" t="n">
        <f aca="false">IF(IFERROR(MATCH(2,$AA$40:$AA$133,0),0)=0,"",INDEX($X$40:$X$133,IFERROR(MATCH(2,$AA$40:$AA$133,0),0)))</f>
        <v>0</v>
      </c>
      <c r="G15" s="114" t="n">
        <f aca="false">IF(IFERROR(MATCH(2,$AA$40:$AA$133,0),0)=0,"",INDEX($Y$40:$Y$133,IFERROR(MATCH(2,$AA$40:$AA$133,0),0)))</f>
        <v>6030</v>
      </c>
      <c r="H15" s="145" t="n">
        <f aca="false">IF(A15="","",IF(D15&gt;0,(E15-F15)/D15,""))</f>
        <v>0.0909090909090909</v>
      </c>
      <c r="I15" s="115" t="str">
        <f aca="false">IF(IFERROR(MATCH(2,$AA$40:$AA$133,0),0)=0,"",INDEX($AB$40:$AB$133,IFERROR(MATCH(2,$AA$40:$AA$133,0),0)))</f>
        <v>Aguardando transferência</v>
      </c>
      <c r="J15" s="116" t="n">
        <f aca="false">IF(IFERROR(MATCH(2,$AA$40:$AA$133,0),0)=0,"",INDEX($AC$40:$AC$133,IFERROR(MATCH(2,$AA$40:$AA$133,0),0)))</f>
        <v>2</v>
      </c>
      <c r="K15" s="117" t="n">
        <f aca="false">IF(IFERROR(MATCH(2,$AA$40:$AA$133,0),0)=0,"",IF(INDEX($AD$40:$AD$133,IFERROR(MATCH(2,$AA$40:$AA$133,0),0))=0,"",INDEX($AD$40:$AD$133,IFERROR(MATCH(2,$AA$40:$AA$133,0),0))))</f>
        <v>46275</v>
      </c>
      <c r="L15" s="117" t="n">
        <f aca="false">IF(IFERROR(MATCH(2,$AA$40:$AA$133,0),0)=0,"",IF(INDEX($AE$40:$AE$133,IFERROR(MATCH(2,$AA$40:$AA$133,0),0))=0,"",INDEX($AE$40:$AE$133,IFERROR(MATCH(2,$AA$40:$AA$133,0),0))))</f>
        <v>46294</v>
      </c>
      <c r="M15" s="119" t="str">
        <f aca="false">IF(IFERROR(MATCH(2,$AA$40:$AA$133,0),0)=0,"",INDEX($AF$40:$AF$133,IFERROR(MATCH(2,$AA$40:$AA$133,0),0))&amp;"")</f>
        <v>CA MOEDAS 2,01KG/UC 10UC/CX 30CX/PAL</v>
      </c>
      <c r="N15" s="118" t="str">
        <f aca="false">IF(A15="","",IF(I15="Aguardando transferência","Transferir "&amp;FIXED(G15,1)&amp;" "&amp;C15&amp;" do 2008 para o ZBR (verificar se já há OT aberta)",IF(I15="Transferido 100%","Nada a fazer","Sem ação: saíram "&amp;FIXED(-G15,1)&amp;" "&amp;C15&amp;" que já estavam no 2008 antes de 09/09 (conferir só se não havia saldo)")))</f>
        <v>Transferir 6,030.0 KG do 2008 para o ZBR (verificar se já há OT aberta)</v>
      </c>
      <c r="O15" s="1"/>
      <c r="AT15" s="82" t="s">
        <v>232</v>
      </c>
      <c r="AV15" s="0" t="str">
        <f aca="false">IFERROR(INDEX($AX$1:$AX$94,MATCH(14,$AY$1:$AY$94,0)),"")</f>
        <v>261146101</v>
      </c>
      <c r="AW15" s="82" t="s">
        <v>218</v>
      </c>
      <c r="AX15" s="82" t="s">
        <v>219</v>
      </c>
      <c r="AY15" s="82" t="n">
        <f aca="false">IF(OR($A$5="Todos",AW15=$A$5),MAX(AY$1:AY14)+1,0)</f>
        <v>15</v>
      </c>
    </row>
    <row r="16" customFormat="false" ht="15" hidden="false" customHeight="false" outlineLevel="0" collapsed="false">
      <c r="A16" s="111" t="str">
        <f aca="false">IF(IFERROR(MATCH(3,$AA$40:$AA$133,0),0)=0,"",INDEX($T$40:$T$133,IFERROR(MATCH(3,$AA$40:$AA$133,0),0)))</f>
        <v>DCP-22ZEPLA-89B</v>
      </c>
      <c r="B16" s="111" t="str">
        <f aca="false">IF(IFERROR(MATCH(3,$AA$40:$AA$133,0),0)=0,"",INDEX($AG$40:$AG$133,IFERROR(MATCH(3,$AA$40:$AA$133,0),0)))</f>
        <v>260348131</v>
      </c>
      <c r="C16" s="112" t="str">
        <f aca="false">IF(IFERROR(MATCH(3,$AA$40:$AA$133,0),0)=0,"",INDEX($U$40:$U$133,IFERROR(MATCH(3,$AA$40:$AA$133,0),0)))</f>
        <v>KG</v>
      </c>
      <c r="D16" s="113" t="n">
        <f aca="false">IF(IFERROR(MATCH(3,$AA$40:$AA$133,0),0)=0,"",INDEX($V$40:$V$133,IFERROR(MATCH(3,$AA$40:$AA$133,0),0)))</f>
        <v>4296</v>
      </c>
      <c r="E16" s="113" t="n">
        <f aca="false">IF(IFERROR(MATCH(3,$AA$40:$AA$133,0),0)=0,"",INDEX($W$40:$W$133,IFERROR(MATCH(3,$AA$40:$AA$133,0),0)))</f>
        <v>-0</v>
      </c>
      <c r="F16" s="113" t="n">
        <f aca="false">IF(IFERROR(MATCH(3,$AA$40:$AA$133,0),0)=0,"",INDEX($X$40:$X$133,IFERROR(MATCH(3,$AA$40:$AA$133,0),0)))</f>
        <v>0</v>
      </c>
      <c r="G16" s="114" t="n">
        <f aca="false">IF(IFERROR(MATCH(3,$AA$40:$AA$133,0),0)=0,"",INDEX($Y$40:$Y$133,IFERROR(MATCH(3,$AA$40:$AA$133,0),0)))</f>
        <v>4296</v>
      </c>
      <c r="H16" s="145" t="n">
        <f aca="false">IF(A16="","",IF(D16&gt;0,(E16-F16)/D16,""))</f>
        <v>-0</v>
      </c>
      <c r="I16" s="115" t="str">
        <f aca="false">IF(IFERROR(MATCH(3,$AA$40:$AA$133,0),0)=0,"",INDEX($AB$40:$AB$133,IFERROR(MATCH(3,$AA$40:$AA$133,0),0)))</f>
        <v>Aguardando transferência</v>
      </c>
      <c r="J16" s="116" t="n">
        <f aca="false">IF(IFERROR(MATCH(3,$AA$40:$AA$133,0),0)=0,"",INDEX($AC$40:$AC$133,IFERROR(MATCH(3,$AA$40:$AA$133,0),0)))</f>
        <v>1</v>
      </c>
      <c r="K16" s="117" t="n">
        <f aca="false">IF(IFERROR(MATCH(3,$AA$40:$AA$133,0),0)=0,"",IF(INDEX($AD$40:$AD$133,IFERROR(MATCH(3,$AA$40:$AA$133,0),0))=0,"",INDEX($AD$40:$AD$133,IFERROR(MATCH(3,$AA$40:$AA$133,0),0))))</f>
        <v>46275</v>
      </c>
      <c r="L16" s="117" t="n">
        <f aca="false">IF(IFERROR(MATCH(3,$AA$40:$AA$133,0),0)=0,"",IF(INDEX($AE$40:$AE$133,IFERROR(MATCH(3,$AA$40:$AA$133,0),0))=0,"",INDEX($AE$40:$AE$133,IFERROR(MATCH(3,$AA$40:$AA$133,0),0))))</f>
        <v>46275</v>
      </c>
      <c r="M16" s="119" t="str">
        <f aca="false">IF(IFERROR(MATCH(3,$AA$40:$AA$133,0),0)=0,"",INDEX($AF$40:$AF$133,IFERROR(MATCH(3,$AA$40:$AA$133,0),0))&amp;"")</f>
        <v/>
      </c>
      <c r="N16" s="118" t="str">
        <f aca="false">IF(A16="","",IF(I16="Aguardando transferência","Transferir "&amp;FIXED(G16,1)&amp;" "&amp;C16&amp;" do 2008 para o ZBR (verificar se já há OT aberta)",IF(I16="Transferido 100%","Nada a fazer","Sem ação: saíram "&amp;FIXED(-G16,1)&amp;" "&amp;C16&amp;" que já estavam no 2008 antes de 09/09 (conferir só se não havia saldo)")))</f>
        <v>Transferir 4,296.0 KG do 2008 para o ZBR (verificar se já há OT aberta)</v>
      </c>
      <c r="O16" s="1"/>
      <c r="AT16" s="82" t="s">
        <v>243</v>
      </c>
      <c r="AV16" s="0" t="str">
        <f aca="false">IFERROR(INDEX($AX$1:$AX$94,MATCH(15,$AY$1:$AY$94,0)),"")</f>
        <v>261146102</v>
      </c>
      <c r="AW16" s="82" t="s">
        <v>220</v>
      </c>
      <c r="AX16" s="82" t="s">
        <v>223</v>
      </c>
      <c r="AY16" s="82" t="n">
        <f aca="false">IF(OR($A$5="Todos",AW16=$A$5),MAX(AY$1:AY15)+1,0)</f>
        <v>16</v>
      </c>
    </row>
    <row r="17" customFormat="false" ht="15" hidden="false" customHeight="false" outlineLevel="0" collapsed="false">
      <c r="A17" s="111" t="str">
        <f aca="false">IF(IFERROR(MATCH(4,$AA$40:$AA$133,0),0)=0,"",INDEX($T$40:$T$133,IFERROR(MATCH(4,$AA$40:$AA$133,0),0)))</f>
        <v>811NV-595</v>
      </c>
      <c r="B17" s="111" t="str">
        <f aca="false">IF(IFERROR(MATCH(4,$AA$40:$AA$133,0),0)=0,"",INDEX($AG$40:$AG$133,IFERROR(MATCH(4,$AA$40:$AA$133,0),0)))</f>
        <v>261146102</v>
      </c>
      <c r="C17" s="112" t="str">
        <f aca="false">IF(IFERROR(MATCH(4,$AA$40:$AA$133,0),0)=0,"",INDEX($U$40:$U$133,IFERROR(MATCH(4,$AA$40:$AA$133,0),0)))</f>
        <v>KG</v>
      </c>
      <c r="D17" s="113" t="n">
        <f aca="false">IF(IFERROR(MATCH(4,$AA$40:$AA$133,0),0)=0,"",INDEX($V$40:$V$133,IFERROR(MATCH(4,$AA$40:$AA$133,0),0)))</f>
        <v>5240</v>
      </c>
      <c r="E17" s="113" t="n">
        <f aca="false">IF(IFERROR(MATCH(4,$AA$40:$AA$133,0),0)=0,"",INDEX($W$40:$W$133,IFERROR(MATCH(4,$AA$40:$AA$133,0),0)))</f>
        <v>1660</v>
      </c>
      <c r="F17" s="113" t="n">
        <f aca="false">IF(IFERROR(MATCH(4,$AA$40:$AA$133,0),0)=0,"",INDEX($X$40:$X$133,IFERROR(MATCH(4,$AA$40:$AA$133,0),0)))</f>
        <v>0</v>
      </c>
      <c r="G17" s="114" t="n">
        <f aca="false">IF(IFERROR(MATCH(4,$AA$40:$AA$133,0),0)=0,"",INDEX($Y$40:$Y$133,IFERROR(MATCH(4,$AA$40:$AA$133,0),0)))</f>
        <v>3580</v>
      </c>
      <c r="H17" s="145" t="n">
        <f aca="false">IF(A17="","",IF(D17&gt;0,(E17-F17)/D17,""))</f>
        <v>0.316793893129771</v>
      </c>
      <c r="I17" s="115" t="str">
        <f aca="false">IF(IFERROR(MATCH(4,$AA$40:$AA$133,0),0)=0,"",INDEX($AB$40:$AB$133,IFERROR(MATCH(4,$AA$40:$AA$133,0),0)))</f>
        <v>Aguardando transferência</v>
      </c>
      <c r="J17" s="116" t="n">
        <f aca="false">IF(IFERROR(MATCH(4,$AA$40:$AA$133,0),0)=0,"",INDEX($AC$40:$AC$133,IFERROR(MATCH(4,$AA$40:$AA$133,0),0)))</f>
        <v>4</v>
      </c>
      <c r="K17" s="117" t="n">
        <f aca="false">IF(IFERROR(MATCH(4,$AA$40:$AA$133,0),0)=0,"",IF(INDEX($AD$40:$AD$133,IFERROR(MATCH(4,$AA$40:$AA$133,0),0))=0,"",INDEX($AD$40:$AD$133,IFERROR(MATCH(4,$AA$40:$AA$133,0),0))))</f>
        <v>46275</v>
      </c>
      <c r="L17" s="117" t="n">
        <f aca="false">IF(IFERROR(MATCH(4,$AA$40:$AA$133,0),0)=0,"",IF(INDEX($AE$40:$AE$133,IFERROR(MATCH(4,$AA$40:$AA$133,0),0))=0,"",INDEX($AE$40:$AE$133,IFERROR(MATCH(4,$AA$40:$AA$133,0),0))))</f>
        <v>46294</v>
      </c>
      <c r="M17" s="119" t="str">
        <f aca="false">IF(IFERROR(MATCH(4,$AA$40:$AA$133,0),0)=0,"",INDEX($AF$40:$AF$133,IFERROR(MATCH(4,$AA$40:$AA$133,0),0))&amp;"")</f>
        <v>CA CALLETS 10KG/UC 2UC/BOX 30BOX/PAL</v>
      </c>
      <c r="N17" s="118" t="str">
        <f aca="false">IF(A17="","",IF(I17="Aguardando transferência","Transferir "&amp;FIXED(G17,1)&amp;" "&amp;C17&amp;" do 2008 para o ZBR (verificar se já há OT aberta)",IF(I17="Transferido 100%","Nada a fazer","Sem ação: saíram "&amp;FIXED(-G17,1)&amp;" "&amp;C17&amp;" que já estavam no 2008 antes de 09/09 (conferir só se não havia saldo)")))</f>
        <v>Transferir 3,580.0 KG do 2008 para o ZBR (verificar se já há OT aberta)</v>
      </c>
      <c r="O17" s="1"/>
      <c r="AT17" s="82" t="s">
        <v>336</v>
      </c>
      <c r="AV17" s="0" t="str">
        <f aca="false">IFERROR(INDEX($AX$1:$AX$94,MATCH(16,$AY$1:$AY$94,0)),"")</f>
        <v>252100301</v>
      </c>
      <c r="AW17" s="82" t="s">
        <v>220</v>
      </c>
      <c r="AX17" s="82" t="s">
        <v>221</v>
      </c>
      <c r="AY17" s="82" t="n">
        <f aca="false">IF(OR($A$5="Todos",AW17=$A$5),MAX(AY$1:AY16)+1,0)</f>
        <v>17</v>
      </c>
    </row>
    <row r="18" customFormat="false" ht="15" hidden="false" customHeight="false" outlineLevel="0" collapsed="false">
      <c r="A18" s="111" t="str">
        <f aca="false">IF(IFERROR(MATCH(5,$AA$40:$AA$133,0),0)=0,"",INDEX($T$40:$T$133,IFERROR(MATCH(5,$AA$40:$AA$133,0),0)))</f>
        <v>811NV-595</v>
      </c>
      <c r="B18" s="111" t="str">
        <f aca="false">IF(IFERROR(MATCH(5,$AA$40:$AA$133,0),0)=0,"",INDEX($AG$40:$AG$133,IFERROR(MATCH(5,$AA$40:$AA$133,0),0)))</f>
        <v>261146101</v>
      </c>
      <c r="C18" s="112" t="str">
        <f aca="false">IF(IFERROR(MATCH(5,$AA$40:$AA$133,0),0)=0,"",INDEX($U$40:$U$133,IFERROR(MATCH(5,$AA$40:$AA$133,0),0)))</f>
        <v>KG</v>
      </c>
      <c r="D18" s="113" t="n">
        <f aca="false">IF(IFERROR(MATCH(5,$AA$40:$AA$133,0),0)=0,"",INDEX($V$40:$V$133,IFERROR(MATCH(5,$AA$40:$AA$133,0),0)))</f>
        <v>4360</v>
      </c>
      <c r="E18" s="113" t="n">
        <f aca="false">IF(IFERROR(MATCH(5,$AA$40:$AA$133,0),0)=0,"",INDEX($W$40:$W$133,IFERROR(MATCH(5,$AA$40:$AA$133,0),0)))</f>
        <v>1180</v>
      </c>
      <c r="F18" s="113" t="n">
        <f aca="false">IF(IFERROR(MATCH(5,$AA$40:$AA$133,0),0)=0,"",INDEX($X$40:$X$133,IFERROR(MATCH(5,$AA$40:$AA$133,0),0)))</f>
        <v>0</v>
      </c>
      <c r="G18" s="114" t="n">
        <f aca="false">IF(IFERROR(MATCH(5,$AA$40:$AA$133,0),0)=0,"",INDEX($Y$40:$Y$133,IFERROR(MATCH(5,$AA$40:$AA$133,0),0)))</f>
        <v>3180</v>
      </c>
      <c r="H18" s="145" t="n">
        <f aca="false">IF(A18="","",IF(D18&gt;0,(E18-F18)/D18,""))</f>
        <v>0.270642201834862</v>
      </c>
      <c r="I18" s="115" t="str">
        <f aca="false">IF(IFERROR(MATCH(5,$AA$40:$AA$133,0),0)=0,"",INDEX($AB$40:$AB$133,IFERROR(MATCH(5,$AA$40:$AA$133,0),0)))</f>
        <v>Aguardando transferência</v>
      </c>
      <c r="J18" s="116" t="n">
        <f aca="false">IF(IFERROR(MATCH(5,$AA$40:$AA$133,0),0)=0,"",INDEX($AC$40:$AC$133,IFERROR(MATCH(5,$AA$40:$AA$133,0),0)))</f>
        <v>2</v>
      </c>
      <c r="K18" s="117" t="n">
        <f aca="false">IF(IFERROR(MATCH(5,$AA$40:$AA$133,0),0)=0,"",IF(INDEX($AD$40:$AD$133,IFERROR(MATCH(5,$AA$40:$AA$133,0),0))=0,"",INDEX($AD$40:$AD$133,IFERROR(MATCH(5,$AA$40:$AA$133,0),0))))</f>
        <v>46275</v>
      </c>
      <c r="L18" s="117" t="n">
        <f aca="false">IF(IFERROR(MATCH(5,$AA$40:$AA$133,0),0)=0,"",IF(INDEX($AE$40:$AE$133,IFERROR(MATCH(5,$AA$40:$AA$133,0),0))=0,"",INDEX($AE$40:$AE$133,IFERROR(MATCH(5,$AA$40:$AA$133,0),0))))</f>
        <v>46276</v>
      </c>
      <c r="M18" s="119" t="str">
        <f aca="false">IF(IFERROR(MATCH(5,$AA$40:$AA$133,0),0)=0,"",INDEX($AF$40:$AF$133,IFERROR(MATCH(5,$AA$40:$AA$133,0),0))&amp;"")</f>
        <v>CA CALLETS 10KG/UC 2UC/BOX 30BOX/PAL</v>
      </c>
      <c r="N18" s="118" t="str">
        <f aca="false">IF(A18="","",IF(I18="Aguardando transferência","Transferir "&amp;FIXED(G18,1)&amp;" "&amp;C18&amp;" do 2008 para o ZBR (verificar se já há OT aberta)",IF(I18="Transferido 100%","Nada a fazer","Sem ação: saíram "&amp;FIXED(-G18,1)&amp;" "&amp;C18&amp;" que já estavam no 2008 antes de 09/09 (conferir só se não havia saldo)")))</f>
        <v>Transferir 3,180.0 KG do 2008 para o ZBR (verificar se já há OT aberta)</v>
      </c>
      <c r="O18" s="1"/>
      <c r="AT18" s="82" t="s">
        <v>338</v>
      </c>
      <c r="AV18" s="0" t="str">
        <f aca="false">IFERROR(INDEX($AX$1:$AX$94,MATCH(17,$AY$1:$AY$94,0)),"")</f>
        <v>252900303</v>
      </c>
      <c r="AW18" s="82" t="s">
        <v>220</v>
      </c>
      <c r="AX18" s="82" t="s">
        <v>224</v>
      </c>
      <c r="AY18" s="82" t="n">
        <f aca="false">IF(OR($A$5="Todos",AW18=$A$5),MAX(AY$1:AY17)+1,0)</f>
        <v>18</v>
      </c>
    </row>
    <row r="19" customFormat="false" ht="15" hidden="false" customHeight="false" outlineLevel="0" collapsed="false">
      <c r="A19" s="111" t="str">
        <f aca="false">IF(IFERROR(MATCH(6,$AA$40:$AA$133,0),0)=0,"",INDEX($T$40:$T$133,IFERROR(MATCH(6,$AA$40:$AA$133,0),0)))</f>
        <v>CHM-SP-Z3L-E0-U72</v>
      </c>
      <c r="B19" s="111" t="str">
        <f aca="false">IF(IFERROR(MATCH(6,$AA$40:$AA$133,0),0)=0,"",INDEX($AG$40:$AG$133,IFERROR(MATCH(6,$AA$40:$AA$133,0),0)))</f>
        <v>260580101</v>
      </c>
      <c r="C19" s="112" t="str">
        <f aca="false">IF(IFERROR(MATCH(6,$AA$40:$AA$133,0),0)=0,"",INDEX($U$40:$U$133,IFERROR(MATCH(6,$AA$40:$AA$133,0),0)))</f>
        <v>KG</v>
      </c>
      <c r="D19" s="113" t="n">
        <f aca="false">IF(IFERROR(MATCH(6,$AA$40:$AA$133,0),0)=0,"",INDEX($V$40:$V$133,IFERROR(MATCH(6,$AA$40:$AA$133,0),0)))</f>
        <v>2900</v>
      </c>
      <c r="E19" s="113" t="n">
        <f aca="false">IF(IFERROR(MATCH(6,$AA$40:$AA$133,0),0)=0,"",INDEX($W$40:$W$133,IFERROR(MATCH(6,$AA$40:$AA$133,0),0)))</f>
        <v>-0</v>
      </c>
      <c r="F19" s="113" t="n">
        <f aca="false">IF(IFERROR(MATCH(6,$AA$40:$AA$133,0),0)=0,"",INDEX($X$40:$X$133,IFERROR(MATCH(6,$AA$40:$AA$133,0),0)))</f>
        <v>0</v>
      </c>
      <c r="G19" s="114" t="n">
        <f aca="false">IF(IFERROR(MATCH(6,$AA$40:$AA$133,0),0)=0,"",INDEX($Y$40:$Y$133,IFERROR(MATCH(6,$AA$40:$AA$133,0),0)))</f>
        <v>2900</v>
      </c>
      <c r="H19" s="145" t="n">
        <f aca="false">IF(A19="","",IF(D19&gt;0,(E19-F19)/D19,""))</f>
        <v>-0</v>
      </c>
      <c r="I19" s="115" t="str">
        <f aca="false">IF(IFERROR(MATCH(6,$AA$40:$AA$133,0),0)=0,"",INDEX($AB$40:$AB$133,IFERROR(MATCH(6,$AA$40:$AA$133,0),0)))</f>
        <v>Aguardando transferência</v>
      </c>
      <c r="J19" s="116" t="n">
        <f aca="false">IF(IFERROR(MATCH(6,$AA$40:$AA$133,0),0)=0,"",INDEX($AC$40:$AC$133,IFERROR(MATCH(6,$AA$40:$AA$133,0),0)))</f>
        <v>1</v>
      </c>
      <c r="K19" s="117" t="n">
        <f aca="false">IF(IFERROR(MATCH(6,$AA$40:$AA$133,0),0)=0,"",IF(INDEX($AD$40:$AD$133,IFERROR(MATCH(6,$AA$40:$AA$133,0),0))=0,"",INDEX($AD$40:$AD$133,IFERROR(MATCH(6,$AA$40:$AA$133,0),0))))</f>
        <v>46280</v>
      </c>
      <c r="L19" s="117" t="n">
        <f aca="false">IF(IFERROR(MATCH(6,$AA$40:$AA$133,0),0)=0,"",IF(INDEX($AE$40:$AE$133,IFERROR(MATCH(6,$AA$40:$AA$133,0),0))=0,"",INDEX($AE$40:$AE$133,IFERROR(MATCH(6,$AA$40:$AA$133,0),0))))</f>
        <v>46280</v>
      </c>
      <c r="M19" s="119" t="str">
        <f aca="false">IF(IFERROR(MATCH(6,$AA$40:$AA$133,0),0)=0,"",INDEX($AF$40:$AF$133,IFERROR(MATCH(6,$AA$40:$AA$133,0),0))&amp;"")</f>
        <v/>
      </c>
      <c r="N19" s="118" t="str">
        <f aca="false">IF(A19="","",IF(I19="Aguardando transferência","Transferir "&amp;FIXED(G19,1)&amp;" "&amp;C19&amp;" do 2008 para o ZBR (verificar se já há OT aberta)",IF(I19="Transferido 100%","Nada a fazer","Sem ação: saíram "&amp;FIXED(-G19,1)&amp;" "&amp;C19&amp;" que já estavam no 2008 antes de 09/09 (conferir só se não havia saldo)")))</f>
        <v>Transferir 2,900.0 KG do 2008 para o ZBR (verificar se já há OT aberta)</v>
      </c>
      <c r="O19" s="1"/>
      <c r="AT19" s="82" t="s">
        <v>245</v>
      </c>
      <c r="AV19" s="0" t="str">
        <f aca="false">IFERROR(INDEX($AX$1:$AX$94,MATCH(18,$AY$1:$AY$94,0)),"")</f>
        <v>252940301</v>
      </c>
      <c r="AW19" s="82" t="s">
        <v>322</v>
      </c>
      <c r="AX19" s="82" t="s">
        <v>323</v>
      </c>
      <c r="AY19" s="82" t="n">
        <f aca="false">IF(OR($A$5="Todos",AW19=$A$5),MAX(AY$1:AY18)+1,0)</f>
        <v>19</v>
      </c>
    </row>
    <row r="20" customFormat="false" ht="15" hidden="false" customHeight="false" outlineLevel="0" collapsed="false">
      <c r="A20" s="111" t="str">
        <f aca="false">IF(IFERROR(MATCH(7,$AA$40:$AA$133,0),0)=0,"",INDEX($T$40:$T$133,IFERROR(MATCH(7,$AA$40:$AA$133,0),0)))</f>
        <v>BIG-PF-1BO-401</v>
      </c>
      <c r="B20" s="111" t="str">
        <f aca="false">IF(IFERROR(MATCH(7,$AA$40:$AA$133,0),0)=0,"",INDEX($AG$40:$AG$133,IFERROR(MATCH(7,$AA$40:$AA$133,0),0)))</f>
        <v>26126039</v>
      </c>
      <c r="C20" s="112" t="str">
        <f aca="false">IF(IFERROR(MATCH(7,$AA$40:$AA$133,0),0)=0,"",INDEX($U$40:$U$133,IFERROR(MATCH(7,$AA$40:$AA$133,0),0)))</f>
        <v>KG</v>
      </c>
      <c r="D20" s="113" t="n">
        <f aca="false">IF(IFERROR(MATCH(7,$AA$40:$AA$133,0),0)=0,"",INDEX($V$40:$V$133,IFERROR(MATCH(7,$AA$40:$AA$133,0),0)))</f>
        <v>2880</v>
      </c>
      <c r="E20" s="113" t="n">
        <f aca="false">IF(IFERROR(MATCH(7,$AA$40:$AA$133,0),0)=0,"",INDEX($W$40:$W$133,IFERROR(MATCH(7,$AA$40:$AA$133,0),0)))</f>
        <v>40</v>
      </c>
      <c r="F20" s="113" t="n">
        <f aca="false">IF(IFERROR(MATCH(7,$AA$40:$AA$133,0),0)=0,"",INDEX($X$40:$X$133,IFERROR(MATCH(7,$AA$40:$AA$133,0),0)))</f>
        <v>0</v>
      </c>
      <c r="G20" s="114" t="n">
        <f aca="false">IF(IFERROR(MATCH(7,$AA$40:$AA$133,0),0)=0,"",INDEX($Y$40:$Y$133,IFERROR(MATCH(7,$AA$40:$AA$133,0),0)))</f>
        <v>2840</v>
      </c>
      <c r="H20" s="145" t="n">
        <f aca="false">IF(A20="","",IF(D20&gt;0,(E20-F20)/D20,""))</f>
        <v>0.0138888888888889</v>
      </c>
      <c r="I20" s="115" t="str">
        <f aca="false">IF(IFERROR(MATCH(7,$AA$40:$AA$133,0),0)=0,"",INDEX($AB$40:$AB$133,IFERROR(MATCH(7,$AA$40:$AA$133,0),0)))</f>
        <v>Aguardando transferência</v>
      </c>
      <c r="J20" s="116" t="n">
        <f aca="false">IF(IFERROR(MATCH(7,$AA$40:$AA$133,0),0)=0,"",INDEX($AC$40:$AC$133,IFERROR(MATCH(7,$AA$40:$AA$133,0),0)))</f>
        <v>3</v>
      </c>
      <c r="K20" s="117" t="n">
        <f aca="false">IF(IFERROR(MATCH(7,$AA$40:$AA$133,0),0)=0,"",IF(INDEX($AD$40:$AD$133,IFERROR(MATCH(7,$AA$40:$AA$133,0),0))=0,"",INDEX($AD$40:$AD$133,IFERROR(MATCH(7,$AA$40:$AA$133,0),0))))</f>
        <v>46275</v>
      </c>
      <c r="L20" s="117" t="n">
        <f aca="false">IF(IFERROR(MATCH(7,$AA$40:$AA$133,0),0)=0,"",IF(INDEX($AE$40:$AE$133,IFERROR(MATCH(7,$AA$40:$AA$133,0),0))=0,"",INDEX($AE$40:$AE$133,IFERROR(MATCH(7,$AA$40:$AA$133,0),0))))</f>
        <v>46276</v>
      </c>
      <c r="M20" s="119" t="str">
        <f aca="false">IF(IFERROR(MATCH(7,$AA$40:$AA$133,0),0)=0,"",INDEX($AF$40:$AF$133,IFERROR(MATCH(7,$AA$40:$AA$133,0),0))&amp;"")</f>
        <v>CB PAILLETÉ FEUILLETINE 2.5KG/UC 4UC/BOX</v>
      </c>
      <c r="N20" s="118" t="str">
        <f aca="false">IF(A20="","",IF(I20="Aguardando transferência","Transferir "&amp;FIXED(G20,1)&amp;" "&amp;C20&amp;" do 2008 para o ZBR (verificar se já há OT aberta)",IF(I20="Transferido 100%","Nada a fazer","Sem ação: saíram "&amp;FIXED(-G20,1)&amp;" "&amp;C20&amp;" que já estavam no 2008 antes de 09/09 (conferir só se não havia saldo)")))</f>
        <v>Transferir 2,840.0 KG do 2008 para o ZBR (verificar se já há OT aberta)</v>
      </c>
      <c r="O20" s="1"/>
      <c r="AT20" s="82" t="s">
        <v>341</v>
      </c>
      <c r="AV20" s="0" t="str">
        <f aca="false">IFERROR(INDEX($AX$1:$AX$94,MATCH(19,$AY$1:$AY$94,0)),"")</f>
        <v>252103049</v>
      </c>
      <c r="AW20" s="82" t="s">
        <v>225</v>
      </c>
      <c r="AX20" s="82" t="s">
        <v>226</v>
      </c>
      <c r="AY20" s="82" t="n">
        <f aca="false">IF(OR($A$5="Todos",AW20=$A$5),MAX(AY$1:AY19)+1,0)</f>
        <v>20</v>
      </c>
    </row>
    <row r="21" customFormat="false" ht="15" hidden="false" customHeight="false" outlineLevel="0" collapsed="false">
      <c r="A21" s="111" t="str">
        <f aca="false">IF(IFERROR(MATCH(8,$AA$40:$AA$133,0),0)=0,"",INDEX($T$40:$T$133,IFERROR(MATCH(8,$AA$40:$AA$133,0),0)))</f>
        <v>SPLIT-4-M-413</v>
      </c>
      <c r="B21" s="111" t="str">
        <f aca="false">IF(IFERROR(MATCH(8,$AA$40:$AA$133,0),0)=0,"",INDEX($AG$40:$AG$133,IFERROR(MATCH(8,$AA$40:$AA$133,0),0)))</f>
        <v>261596201</v>
      </c>
      <c r="C21" s="112" t="str">
        <f aca="false">IF(IFERROR(MATCH(8,$AA$40:$AA$133,0),0)=0,"",INDEX($U$40:$U$133,IFERROR(MATCH(8,$AA$40:$AA$133,0),0)))</f>
        <v>KG</v>
      </c>
      <c r="D21" s="113" t="n">
        <f aca="false">IF(IFERROR(MATCH(8,$AA$40:$AA$133,0),0)=0,"",INDEX($V$40:$V$133,IFERROR(MATCH(8,$AA$40:$AA$133,0),0)))</f>
        <v>3840</v>
      </c>
      <c r="E21" s="113" t="n">
        <f aca="false">IF(IFERROR(MATCH(8,$AA$40:$AA$133,0),0)=0,"",INDEX($W$40:$W$133,IFERROR(MATCH(8,$AA$40:$AA$133,0),0)))</f>
        <v>1000</v>
      </c>
      <c r="F21" s="113" t="n">
        <f aca="false">IF(IFERROR(MATCH(8,$AA$40:$AA$133,0),0)=0,"",INDEX($X$40:$X$133,IFERROR(MATCH(8,$AA$40:$AA$133,0),0)))</f>
        <v>0</v>
      </c>
      <c r="G21" s="114" t="n">
        <f aca="false">IF(IFERROR(MATCH(8,$AA$40:$AA$133,0),0)=0,"",INDEX($Y$40:$Y$133,IFERROR(MATCH(8,$AA$40:$AA$133,0),0)))</f>
        <v>2840</v>
      </c>
      <c r="H21" s="145" t="n">
        <f aca="false">IF(A21="","",IF(D21&gt;0,(E21-F21)/D21,""))</f>
        <v>0.260416666666667</v>
      </c>
      <c r="I21" s="115" t="str">
        <f aca="false">IF(IFERROR(MATCH(8,$AA$40:$AA$133,0),0)=0,"",INDEX($AB$40:$AB$133,IFERROR(MATCH(8,$AA$40:$AA$133,0),0)))</f>
        <v>Aguardando transferência</v>
      </c>
      <c r="J21" s="116" t="n">
        <f aca="false">IF(IFERROR(MATCH(8,$AA$40:$AA$133,0),0)=0,"",INDEX($AC$40:$AC$133,IFERROR(MATCH(8,$AA$40:$AA$133,0),0)))</f>
        <v>2</v>
      </c>
      <c r="K21" s="117" t="n">
        <f aca="false">IF(IFERROR(MATCH(8,$AA$40:$AA$133,0),0)=0,"",IF(INDEX($AD$40:$AD$133,IFERROR(MATCH(8,$AA$40:$AA$133,0),0))=0,"",INDEX($AD$40:$AD$133,IFERROR(MATCH(8,$AA$40:$AA$133,0),0))))</f>
        <v>46280</v>
      </c>
      <c r="L21" s="117" t="n">
        <f aca="false">IF(IFERROR(MATCH(8,$AA$40:$AA$133,0),0)=0,"",IF(INDEX($AE$40:$AE$133,IFERROR(MATCH(8,$AA$40:$AA$133,0),0))=0,"",INDEX($AE$40:$AE$133,IFERROR(MATCH(8,$AA$40:$AA$133,0),0))))</f>
        <v>46293</v>
      </c>
      <c r="M21" s="119" t="str">
        <f aca="false">IF(IFERROR(MATCH(8,$AA$40:$AA$133,0),0)=0,"",INDEX($AF$40:$AF$133,IFERROR(MATCH(8,$AA$40:$AA$133,0),0))&amp;"")</f>
        <v/>
      </c>
      <c r="N21" s="118" t="str">
        <f aca="false">IF(A21="","",IF(I21="Aguardando transferência","Transferir "&amp;FIXED(G21,1)&amp;" "&amp;C21&amp;" do 2008 para o ZBR (verificar se já há OT aberta)",IF(I21="Transferido 100%","Nada a fazer","Sem ação: saíram "&amp;FIXED(-G21,1)&amp;" "&amp;C21&amp;" que já estavam no 2008 antes de 09/09 (conferir só se não havia saldo)")))</f>
        <v>Transferir 2,840.0 KG do 2008 para o ZBR (verificar se já há OT aberta)</v>
      </c>
      <c r="O21" s="1"/>
      <c r="AT21" s="82" t="s">
        <v>343</v>
      </c>
      <c r="AV21" s="0" t="str">
        <f aca="false">IFERROR(INDEX($AX$1:$AX$94,MATCH(20,$AY$1:$AY$94,0)),"")</f>
        <v>260880201</v>
      </c>
      <c r="AW21" s="82" t="s">
        <v>227</v>
      </c>
      <c r="AX21" s="82" t="s">
        <v>228</v>
      </c>
      <c r="AY21" s="82" t="n">
        <f aca="false">IF(OR($A$5="Todos",AW21=$A$5),MAX(AY$1:AY20)+1,0)</f>
        <v>21</v>
      </c>
    </row>
    <row r="22" customFormat="false" ht="15" hidden="false" customHeight="false" outlineLevel="0" collapsed="false">
      <c r="A22" s="111" t="str">
        <f aca="false">IF(IFERROR(MATCH(9,$AA$40:$AA$133,0),0)=0,"",INDEX($T$40:$T$133,IFERROR(MATCH(9,$AA$40:$AA$133,0),0)))</f>
        <v>CHD-SP-1M-2B-U77</v>
      </c>
      <c r="B22" s="111" t="str">
        <f aca="false">IF(IFERROR(MATCH(9,$AA$40:$AA$133,0),0)=0,"",INDEX($AG$40:$AG$133,IFERROR(MATCH(9,$AA$40:$AA$133,0),0)))</f>
        <v>260880101</v>
      </c>
      <c r="C22" s="112" t="str">
        <f aca="false">IF(IFERROR(MATCH(9,$AA$40:$AA$133,0),0)=0,"",INDEX($U$40:$U$133,IFERROR(MATCH(9,$AA$40:$AA$133,0),0)))</f>
        <v>KG</v>
      </c>
      <c r="D22" s="113" t="n">
        <f aca="false">IF(IFERROR(MATCH(9,$AA$40:$AA$133,0),0)=0,"",INDEX($V$40:$V$133,IFERROR(MATCH(9,$AA$40:$AA$133,0),0)))</f>
        <v>2400</v>
      </c>
      <c r="E22" s="113" t="n">
        <f aca="false">IF(IFERROR(MATCH(9,$AA$40:$AA$133,0),0)=0,"",INDEX($W$40:$W$133,IFERROR(MATCH(9,$AA$40:$AA$133,0),0)))</f>
        <v>-0</v>
      </c>
      <c r="F22" s="113" t="n">
        <f aca="false">IF(IFERROR(MATCH(9,$AA$40:$AA$133,0),0)=0,"",INDEX($X$40:$X$133,IFERROR(MATCH(9,$AA$40:$AA$133,0),0)))</f>
        <v>0</v>
      </c>
      <c r="G22" s="114" t="n">
        <f aca="false">IF(IFERROR(MATCH(9,$AA$40:$AA$133,0),0)=0,"",INDEX($Y$40:$Y$133,IFERROR(MATCH(9,$AA$40:$AA$133,0),0)))</f>
        <v>2400</v>
      </c>
      <c r="H22" s="145" t="n">
        <f aca="false">IF(A22="","",IF(D22&gt;0,(E22-F22)/D22,""))</f>
        <v>-0</v>
      </c>
      <c r="I22" s="115" t="str">
        <f aca="false">IF(IFERROR(MATCH(9,$AA$40:$AA$133,0),0)=0,"",INDEX($AB$40:$AB$133,IFERROR(MATCH(9,$AA$40:$AA$133,0),0)))</f>
        <v>Aguardando transferência</v>
      </c>
      <c r="J22" s="116" t="n">
        <f aca="false">IF(IFERROR(MATCH(9,$AA$40:$AA$133,0),0)=0,"",INDEX($AC$40:$AC$133,IFERROR(MATCH(9,$AA$40:$AA$133,0),0)))</f>
        <v>2</v>
      </c>
      <c r="K22" s="117" t="n">
        <f aca="false">IF(IFERROR(MATCH(9,$AA$40:$AA$133,0),0)=0,"",IF(INDEX($AD$40:$AD$133,IFERROR(MATCH(9,$AA$40:$AA$133,0),0))=0,"",INDEX($AD$40:$AD$133,IFERROR(MATCH(9,$AA$40:$AA$133,0),0))))</f>
        <v>46275</v>
      </c>
      <c r="L22" s="117" t="n">
        <f aca="false">IF(IFERROR(MATCH(9,$AA$40:$AA$133,0),0)=0,"",IF(INDEX($AE$40:$AE$133,IFERROR(MATCH(9,$AA$40:$AA$133,0),0))=0,"",INDEX($AE$40:$AE$133,IFERROR(MATCH(9,$AA$40:$AA$133,0),0))))</f>
        <v>46275</v>
      </c>
      <c r="M22" s="119" t="str">
        <f aca="false">IF(IFERROR(MATCH(9,$AA$40:$AA$133,0),0)=0,"",INDEX($AF$40:$AF$133,IFERROR(MATCH(9,$AA$40:$AA$133,0),0))&amp;"")</f>
        <v/>
      </c>
      <c r="N22" s="118" t="str">
        <f aca="false">IF(A22="","",IF(I22="Aguardando transferência","Transferir "&amp;FIXED(G22,1)&amp;" "&amp;C22&amp;" do 2008 para o ZBR (verificar se já há OT aberta)",IF(I22="Transferido 100%","Nada a fazer","Sem ação: saíram "&amp;FIXED(-G22,1)&amp;" "&amp;C22&amp;" que já estavam no 2008 antes de 09/09 (conferir só se não havia saldo)")))</f>
        <v>Transferir 2,400.0 KG do 2008 para o ZBR (verificar se já há OT aberta)</v>
      </c>
      <c r="O22" s="1"/>
      <c r="AT22" s="82" t="s">
        <v>346</v>
      </c>
      <c r="AV22" s="0" t="str">
        <f aca="false">IFERROR(INDEX($AX$1:$AX$94,MATCH(21,$AY$1:$AY$94,0)),"")</f>
        <v>260416102</v>
      </c>
      <c r="AW22" s="82" t="s">
        <v>227</v>
      </c>
      <c r="AX22" s="82" t="s">
        <v>230</v>
      </c>
      <c r="AY22" s="82" t="n">
        <f aca="false">IF(OR($A$5="Todos",AW22=$A$5),MAX(AY$1:AY21)+1,0)</f>
        <v>22</v>
      </c>
    </row>
    <row r="23" customFormat="false" ht="15" hidden="false" customHeight="false" outlineLevel="0" collapsed="false">
      <c r="A23" s="111" t="str">
        <f aca="false">IF(IFERROR(MATCH(10,$AA$40:$AA$133,0),0)=0,"",INDEX($T$40:$T$133,IFERROR(MATCH(10,$AA$40:$AA$133,0),0)))</f>
        <v>CW2NV-595</v>
      </c>
      <c r="B23" s="111" t="str">
        <f aca="false">IF(IFERROR(MATCH(10,$AA$40:$AA$133,0),0)=0,"",INDEX($AG$40:$AG$133,IFERROR(MATCH(10,$AA$40:$AA$133,0),0)))</f>
        <v>261070601</v>
      </c>
      <c r="C23" s="112" t="str">
        <f aca="false">IF(IFERROR(MATCH(10,$AA$40:$AA$133,0),0)=0,"",INDEX($U$40:$U$133,IFERROR(MATCH(10,$AA$40:$AA$133,0),0)))</f>
        <v>KG</v>
      </c>
      <c r="D23" s="113" t="n">
        <f aca="false">IF(IFERROR(MATCH(10,$AA$40:$AA$133,0),0)=0,"",INDEX($V$40:$V$133,IFERROR(MATCH(10,$AA$40:$AA$133,0),0)))</f>
        <v>2400</v>
      </c>
      <c r="E23" s="113" t="n">
        <f aca="false">IF(IFERROR(MATCH(10,$AA$40:$AA$133,0),0)=0,"",INDEX($W$40:$W$133,IFERROR(MATCH(10,$AA$40:$AA$133,0),0)))</f>
        <v>-0</v>
      </c>
      <c r="F23" s="113" t="n">
        <f aca="false">IF(IFERROR(MATCH(10,$AA$40:$AA$133,0),0)=0,"",INDEX($X$40:$X$133,IFERROR(MATCH(10,$AA$40:$AA$133,0),0)))</f>
        <v>0</v>
      </c>
      <c r="G23" s="114" t="n">
        <f aca="false">IF(IFERROR(MATCH(10,$AA$40:$AA$133,0),0)=0,"",INDEX($Y$40:$Y$133,IFERROR(MATCH(10,$AA$40:$AA$133,0),0)))</f>
        <v>2400</v>
      </c>
      <c r="H23" s="145" t="n">
        <f aca="false">IF(A23="","",IF(D23&gt;0,(E23-F23)/D23,""))</f>
        <v>-0</v>
      </c>
      <c r="I23" s="115" t="str">
        <f aca="false">IF(IFERROR(MATCH(10,$AA$40:$AA$133,0),0)=0,"",INDEX($AB$40:$AB$133,IFERROR(MATCH(10,$AA$40:$AA$133,0),0)))</f>
        <v>Aguardando transferência</v>
      </c>
      <c r="J23" s="116" t="n">
        <f aca="false">IF(IFERROR(MATCH(10,$AA$40:$AA$133,0),0)=0,"",INDEX($AC$40:$AC$133,IFERROR(MATCH(10,$AA$40:$AA$133,0),0)))</f>
        <v>2</v>
      </c>
      <c r="K23" s="117" t="n">
        <f aca="false">IF(IFERROR(MATCH(10,$AA$40:$AA$133,0),0)=0,"",IF(INDEX($AD$40:$AD$133,IFERROR(MATCH(10,$AA$40:$AA$133,0),0))=0,"",INDEX($AD$40:$AD$133,IFERROR(MATCH(10,$AA$40:$AA$133,0),0))))</f>
        <v>46275</v>
      </c>
      <c r="L23" s="117" t="n">
        <f aca="false">IF(IFERROR(MATCH(10,$AA$40:$AA$133,0),0)=0,"",IF(INDEX($AE$40:$AE$133,IFERROR(MATCH(10,$AA$40:$AA$133,0),0))=0,"",INDEX($AE$40:$AE$133,IFERROR(MATCH(10,$AA$40:$AA$133,0),0))))</f>
        <v>46275</v>
      </c>
      <c r="M23" s="119" t="str">
        <f aca="false">IF(IFERROR(MATCH(10,$AA$40:$AA$133,0),0)=0,"",INDEX($AF$40:$AF$133,IFERROR(MATCH(10,$AA$40:$AA$133,0),0))&amp;"")</f>
        <v/>
      </c>
      <c r="N23" s="118" t="str">
        <f aca="false">IF(A23="","",IF(I23="Aguardando transferência","Transferir "&amp;FIXED(G23,1)&amp;" "&amp;C23&amp;" do 2008 para o ZBR (verificar se já há OT aberta)",IF(I23="Transferido 100%","Nada a fazer","Sem ação: saíram "&amp;FIXED(-G23,1)&amp;" "&amp;C23&amp;" que já estavam no 2008 antes de 09/09 (conferir só se não havia saldo)")))</f>
        <v>Transferir 2,400.0 KG do 2008 para o ZBR (verificar se já há OT aberta)</v>
      </c>
      <c r="O23" s="1"/>
      <c r="AT23" s="82" t="s">
        <v>247</v>
      </c>
      <c r="AV23" s="0" t="str">
        <f aca="false">IFERROR(INDEX($AX$1:$AX$94,MATCH(22,$AY$1:$AY$94,0)),"")</f>
        <v>261376101</v>
      </c>
      <c r="AW23" s="82" t="s">
        <v>327</v>
      </c>
      <c r="AX23" s="82" t="s">
        <v>329</v>
      </c>
      <c r="AY23" s="82" t="n">
        <f aca="false">IF(OR($A$5="Todos",AW23=$A$5),MAX(AY$1:AY22)+1,0)</f>
        <v>23</v>
      </c>
    </row>
    <row r="24" customFormat="false" ht="15" hidden="false" customHeight="false" outlineLevel="0" collapsed="false">
      <c r="A24" s="111" t="str">
        <f aca="false">IF(IFERROR(MATCH(11,$AA$40:$AA$133,0),0)=0,"",INDEX($T$40:$T$133,IFERROR(MATCH(11,$AA$40:$AA$133,0),0)))</f>
        <v>W2-BR-D94</v>
      </c>
      <c r="B24" s="111" t="str">
        <f aca="false">IF(IFERROR(MATCH(11,$AA$40:$AA$133,0),0)=0,"",INDEX($AG$40:$AG$133,IFERROR(MATCH(11,$AA$40:$AA$133,0),0)))</f>
        <v>261391599</v>
      </c>
      <c r="C24" s="112" t="str">
        <f aca="false">IF(IFERROR(MATCH(11,$AA$40:$AA$133,0),0)=0,"",INDEX($U$40:$U$133,IFERROR(MATCH(11,$AA$40:$AA$133,0),0)))</f>
        <v>KG</v>
      </c>
      <c r="D24" s="113" t="n">
        <f aca="false">IF(IFERROR(MATCH(11,$AA$40:$AA$133,0),0)=0,"",INDEX($V$40:$V$133,IFERROR(MATCH(11,$AA$40:$AA$133,0),0)))</f>
        <v>1979.6</v>
      </c>
      <c r="E24" s="113" t="n">
        <f aca="false">IF(IFERROR(MATCH(11,$AA$40:$AA$133,0),0)=0,"",INDEX($W$40:$W$133,IFERROR(MATCH(11,$AA$40:$AA$133,0),0)))</f>
        <v>-0</v>
      </c>
      <c r="F24" s="113" t="n">
        <f aca="false">IF(IFERROR(MATCH(11,$AA$40:$AA$133,0),0)=0,"",INDEX($X$40:$X$133,IFERROR(MATCH(11,$AA$40:$AA$133,0),0)))</f>
        <v>0</v>
      </c>
      <c r="G24" s="114" t="n">
        <f aca="false">IF(IFERROR(MATCH(11,$AA$40:$AA$133,0),0)=0,"",INDEX($Y$40:$Y$133,IFERROR(MATCH(11,$AA$40:$AA$133,0),0)))</f>
        <v>1979.6</v>
      </c>
      <c r="H24" s="145" t="n">
        <f aca="false">IF(A24="","",IF(D24&gt;0,(E24-F24)/D24,""))</f>
        <v>-0</v>
      </c>
      <c r="I24" s="115" t="str">
        <f aca="false">IF(IFERROR(MATCH(11,$AA$40:$AA$133,0),0)=0,"",INDEX($AB$40:$AB$133,IFERROR(MATCH(11,$AA$40:$AA$133,0),0)))</f>
        <v>Aguardando transferência</v>
      </c>
      <c r="J24" s="116" t="n">
        <f aca="false">IF(IFERROR(MATCH(11,$AA$40:$AA$133,0),0)=0,"",INDEX($AC$40:$AC$133,IFERROR(MATCH(11,$AA$40:$AA$133,0),0)))</f>
        <v>2</v>
      </c>
      <c r="K24" s="117" t="n">
        <f aca="false">IF(IFERROR(MATCH(11,$AA$40:$AA$133,0),0)=0,"",IF(INDEX($AD$40:$AD$133,IFERROR(MATCH(11,$AA$40:$AA$133,0),0))=0,"",INDEX($AD$40:$AD$133,IFERROR(MATCH(11,$AA$40:$AA$133,0),0))))</f>
        <v>46275</v>
      </c>
      <c r="L24" s="117" t="n">
        <f aca="false">IF(IFERROR(MATCH(11,$AA$40:$AA$133,0),0)=0,"",IF(INDEX($AE$40:$AE$133,IFERROR(MATCH(11,$AA$40:$AA$133,0),0))=0,"",INDEX($AE$40:$AE$133,IFERROR(MATCH(11,$AA$40:$AA$133,0),0))))</f>
        <v>46275</v>
      </c>
      <c r="M24" s="119" t="str">
        <f aca="false">IF(IFERROR(MATCH(11,$AA$40:$AA$133,0),0)=0,"",INDEX($AF$40:$AF$133,IFERROR(MATCH(11,$AA$40:$AA$133,0),0))&amp;"")</f>
        <v>CA CALLETS 0.4KG/UC 7UC/BOX 144BOX/PAL</v>
      </c>
      <c r="N24" s="118" t="str">
        <f aca="false">IF(A24="","",IF(I24="Aguardando transferência","Transferir "&amp;FIXED(G24,1)&amp;" "&amp;C24&amp;" do 2008 para o ZBR (verificar se já há OT aberta)",IF(I24="Transferido 100%","Nada a fazer","Sem ação: saíram "&amp;FIXED(-G24,1)&amp;" "&amp;C24&amp;" que já estavam no 2008 antes de 09/09 (conferir só se não havia saldo)")))</f>
        <v>Transferir 1,979.6 KG do 2008 para o ZBR (verificar se já há OT aberta)</v>
      </c>
      <c r="O24" s="1"/>
      <c r="AT24" s="82" t="s">
        <v>250</v>
      </c>
      <c r="AV24" s="0" t="str">
        <f aca="false">IFERROR(INDEX($AX$1:$AX$94,MATCH(23,$AY$1:$AY$94,0)),"")</f>
        <v>26044019</v>
      </c>
      <c r="AW24" s="82" t="s">
        <v>327</v>
      </c>
      <c r="AX24" s="82" t="s">
        <v>328</v>
      </c>
      <c r="AY24" s="82" t="n">
        <f aca="false">IF(OR($A$5="Todos",AW24=$A$5),MAX(AY$1:AY23)+1,0)</f>
        <v>24</v>
      </c>
    </row>
    <row r="25" customFormat="false" ht="15" hidden="false" customHeight="false" outlineLevel="0" collapsed="false">
      <c r="A25" s="111" t="str">
        <f aca="false">IF(IFERROR(MATCH(12,$AA$40:$AA$133,0),0)=0,"",INDEX($T$40:$T$133,IFERROR(MATCH(12,$AA$40:$AA$133,0),0)))</f>
        <v>SPLIT-4-D-413</v>
      </c>
      <c r="B25" s="111" t="str">
        <f aca="false">IF(IFERROR(MATCH(12,$AA$40:$AA$133,0),0)=0,"",INDEX($AG$40:$AG$133,IFERROR(MATCH(12,$AA$40:$AA$133,0),0)))</f>
        <v>261826201</v>
      </c>
      <c r="C25" s="112" t="str">
        <f aca="false">IF(IFERROR(MATCH(12,$AA$40:$AA$133,0),0)=0,"",INDEX($U$40:$U$133,IFERROR(MATCH(12,$AA$40:$AA$133,0),0)))</f>
        <v>KG</v>
      </c>
      <c r="D25" s="113" t="n">
        <f aca="false">IF(IFERROR(MATCH(12,$AA$40:$AA$133,0),0)=0,"",INDEX($V$40:$V$133,IFERROR(MATCH(12,$AA$40:$AA$133,0),0)))</f>
        <v>1920</v>
      </c>
      <c r="E25" s="113" t="n">
        <f aca="false">IF(IFERROR(MATCH(12,$AA$40:$AA$133,0),0)=0,"",INDEX($W$40:$W$133,IFERROR(MATCH(12,$AA$40:$AA$133,0),0)))</f>
        <v>-0</v>
      </c>
      <c r="F25" s="113" t="n">
        <f aca="false">IF(IFERROR(MATCH(12,$AA$40:$AA$133,0),0)=0,"",INDEX($X$40:$X$133,IFERROR(MATCH(12,$AA$40:$AA$133,0),0)))</f>
        <v>0</v>
      </c>
      <c r="G25" s="114" t="n">
        <f aca="false">IF(IFERROR(MATCH(12,$AA$40:$AA$133,0),0)=0,"",INDEX($Y$40:$Y$133,IFERROR(MATCH(12,$AA$40:$AA$133,0),0)))</f>
        <v>1920</v>
      </c>
      <c r="H25" s="145" t="n">
        <f aca="false">IF(A25="","",IF(D25&gt;0,(E25-F25)/D25,""))</f>
        <v>-0</v>
      </c>
      <c r="I25" s="115" t="str">
        <f aca="false">IF(IFERROR(MATCH(12,$AA$40:$AA$133,0),0)=0,"",INDEX($AB$40:$AB$133,IFERROR(MATCH(12,$AA$40:$AA$133,0),0)))</f>
        <v>Aguardando transferência</v>
      </c>
      <c r="J25" s="116" t="n">
        <f aca="false">IF(IFERROR(MATCH(12,$AA$40:$AA$133,0),0)=0,"",INDEX($AC$40:$AC$133,IFERROR(MATCH(12,$AA$40:$AA$133,0),0)))</f>
        <v>1</v>
      </c>
      <c r="K25" s="117" t="n">
        <f aca="false">IF(IFERROR(MATCH(12,$AA$40:$AA$133,0),0)=0,"",IF(INDEX($AD$40:$AD$133,IFERROR(MATCH(12,$AA$40:$AA$133,0),0))=0,"",INDEX($AD$40:$AD$133,IFERROR(MATCH(12,$AA$40:$AA$133,0),0))))</f>
        <v>46280</v>
      </c>
      <c r="L25" s="117" t="n">
        <f aca="false">IF(IFERROR(MATCH(12,$AA$40:$AA$133,0),0)=0,"",IF(INDEX($AE$40:$AE$133,IFERROR(MATCH(12,$AA$40:$AA$133,0),0))=0,"",INDEX($AE$40:$AE$133,IFERROR(MATCH(12,$AA$40:$AA$133,0),0))))</f>
        <v>46280</v>
      </c>
      <c r="M25" s="119" t="str">
        <f aca="false">IF(IFERROR(MATCH(12,$AA$40:$AA$133,0),0)=0,"",INDEX($AF$40:$AF$133,IFERROR(MATCH(12,$AA$40:$AA$133,0),0))&amp;"")</f>
        <v/>
      </c>
      <c r="N25" s="118" t="str">
        <f aca="false">IF(A25="","",IF(I25="Aguardando transferência","Transferir "&amp;FIXED(G25,1)&amp;" "&amp;C25&amp;" do 2008 para o ZBR (verificar se já há OT aberta)",IF(I25="Transferido 100%","Nada a fazer","Sem ação: saíram "&amp;FIXED(-G25,1)&amp;" "&amp;C25&amp;" que já estavam no 2008 antes de 09/09 (conferir só se não havia saldo)")))</f>
        <v>Transferir 1,920.0 KG do 2008 para o ZBR (verificar se já há OT aberta)</v>
      </c>
      <c r="O25" s="1"/>
      <c r="AT25" s="82" t="s">
        <v>351</v>
      </c>
      <c r="AV25" s="0" t="str">
        <f aca="false">IFERROR(INDEX($AX$1:$AX$94,MATCH(24,$AY$1:$AY$94,0)),"")</f>
        <v>26093039</v>
      </c>
      <c r="AW25" s="82" t="s">
        <v>327</v>
      </c>
      <c r="AX25" s="82" t="s">
        <v>330</v>
      </c>
      <c r="AY25" s="82" t="n">
        <f aca="false">IF(OR($A$5="Todos",AW25=$A$5),MAX(AY$1:AY24)+1,0)</f>
        <v>25</v>
      </c>
    </row>
    <row r="26" customFormat="false" ht="15" hidden="false" customHeight="false" outlineLevel="0" collapsed="false">
      <c r="A26" s="111" t="str">
        <f aca="false">IF(IFERROR(MATCH(13,$AA$40:$AA$133,0),0)=0,"",INDEX($T$40:$T$133,IFERROR(MATCH(13,$AA$40:$AA$133,0),0)))</f>
        <v>CHR-Q37RB2-E0-D94</v>
      </c>
      <c r="B26" s="111" t="str">
        <f aca="false">IF(IFERROR(MATCH(13,$AA$40:$AA$133,0),0)=0,"",INDEX($AG$40:$AG$133,IFERROR(MATCH(13,$AA$40:$AA$133,0),0)))</f>
        <v>261301539</v>
      </c>
      <c r="C26" s="112" t="str">
        <f aca="false">IF(IFERROR(MATCH(13,$AA$40:$AA$133,0),0)=0,"",INDEX($U$40:$U$133,IFERROR(MATCH(13,$AA$40:$AA$133,0),0)))</f>
        <v>KG</v>
      </c>
      <c r="D26" s="113" t="n">
        <f aca="false">IF(IFERROR(MATCH(13,$AA$40:$AA$133,0),0)=0,"",INDEX($V$40:$V$133,IFERROR(MATCH(13,$AA$40:$AA$133,0),0)))</f>
        <v>1873.2</v>
      </c>
      <c r="E26" s="113" t="n">
        <f aca="false">IF(IFERROR(MATCH(13,$AA$40:$AA$133,0),0)=0,"",INDEX($W$40:$W$133,IFERROR(MATCH(13,$AA$40:$AA$133,0),0)))</f>
        <v>313.6</v>
      </c>
      <c r="F26" s="113" t="n">
        <f aca="false">IF(IFERROR(MATCH(13,$AA$40:$AA$133,0),0)=0,"",INDEX($X$40:$X$133,IFERROR(MATCH(13,$AA$40:$AA$133,0),0)))</f>
        <v>0</v>
      </c>
      <c r="G26" s="114" t="n">
        <f aca="false">IF(IFERROR(MATCH(13,$AA$40:$AA$133,0),0)=0,"",INDEX($Y$40:$Y$133,IFERROR(MATCH(13,$AA$40:$AA$133,0),0)))</f>
        <v>1559.6</v>
      </c>
      <c r="H26" s="145" t="n">
        <f aca="false">IF(A26="","",IF(D26&gt;0,(E26-F26)/D26,""))</f>
        <v>0.167414050822123</v>
      </c>
      <c r="I26" s="115" t="str">
        <f aca="false">IF(IFERROR(MATCH(13,$AA$40:$AA$133,0),0)=0,"",INDEX($AB$40:$AB$133,IFERROR(MATCH(13,$AA$40:$AA$133,0),0)))</f>
        <v>Aguardando transferência</v>
      </c>
      <c r="J26" s="116" t="n">
        <f aca="false">IF(IFERROR(MATCH(13,$AA$40:$AA$133,0),0)=0,"",INDEX($AC$40:$AC$133,IFERROR(MATCH(13,$AA$40:$AA$133,0),0)))</f>
        <v>3</v>
      </c>
      <c r="K26" s="117" t="n">
        <f aca="false">IF(IFERROR(MATCH(13,$AA$40:$AA$133,0),0)=0,"",IF(INDEX($AD$40:$AD$133,IFERROR(MATCH(13,$AA$40:$AA$133,0),0))=0,"",INDEX($AD$40:$AD$133,IFERROR(MATCH(13,$AA$40:$AA$133,0),0))))</f>
        <v>46275</v>
      </c>
      <c r="L26" s="117" t="n">
        <f aca="false">IF(IFERROR(MATCH(13,$AA$40:$AA$133,0),0)=0,"",IF(INDEX($AE$40:$AE$133,IFERROR(MATCH(13,$AA$40:$AA$133,0),0))=0,"",INDEX($AE$40:$AE$133,IFERROR(MATCH(13,$AA$40:$AA$133,0),0))))</f>
        <v>46291</v>
      </c>
      <c r="M26" s="119" t="str">
        <f aca="false">IF(IFERROR(MATCH(13,$AA$40:$AA$133,0),0)=0,"",INDEX($AF$40:$AF$133,IFERROR(MATCH(13,$AA$40:$AA$133,0),0))&amp;"")</f>
        <v/>
      </c>
      <c r="N26" s="118" t="str">
        <f aca="false">IF(A26="","",IF(I26="Aguardando transferência","Transferir "&amp;FIXED(G26,1)&amp;" "&amp;C26&amp;" do 2008 para o ZBR (verificar se já há OT aberta)",IF(I26="Transferido 100%","Nada a fazer","Sem ação: saíram "&amp;FIXED(-G26,1)&amp;" "&amp;C26&amp;" que já estavam no 2008 antes de 09/09 (conferir só se não havia saldo)")))</f>
        <v>Transferir 1,559.6 KG do 2008 para o ZBR (verificar se já há OT aberta)</v>
      </c>
      <c r="O26" s="1"/>
      <c r="AT26" s="82" t="s">
        <v>252</v>
      </c>
      <c r="AV26" s="0" t="str">
        <f aca="false">IFERROR(INDEX($AX$1:$AX$94,MATCH(25,$AY$1:$AY$94,0)),"")</f>
        <v>26126039</v>
      </c>
      <c r="AW26" s="82" t="s">
        <v>232</v>
      </c>
      <c r="AX26" s="82" t="s">
        <v>239</v>
      </c>
      <c r="AY26" s="82" t="n">
        <f aca="false">IF(OR($A$5="Todos",AW26=$A$5),MAX(AY$1:AY25)+1,0)</f>
        <v>26</v>
      </c>
    </row>
    <row r="27" customFormat="false" ht="15" hidden="false" customHeight="false" outlineLevel="0" collapsed="false">
      <c r="A27" s="111" t="str">
        <f aca="false">IF(IFERROR(MATCH(14,$AA$40:$AA$133,0),0)=0,"",INDEX($T$40:$T$133,IFERROR(MATCH(14,$AA$40:$AA$133,0),0)))</f>
        <v>CHM-SP-Z3L-E0-U72</v>
      </c>
      <c r="B27" s="111" t="str">
        <f aca="false">IF(IFERROR(MATCH(14,$AA$40:$AA$133,0),0)=0,"",INDEX($AG$40:$AG$133,IFERROR(MATCH(14,$AA$40:$AA$133,0),0)))</f>
        <v>253100102</v>
      </c>
      <c r="C27" s="112" t="str">
        <f aca="false">IF(IFERROR(MATCH(14,$AA$40:$AA$133,0),0)=0,"",INDEX($U$40:$U$133,IFERROR(MATCH(14,$AA$40:$AA$133,0),0)))</f>
        <v>KG</v>
      </c>
      <c r="D27" s="113" t="n">
        <f aca="false">IF(IFERROR(MATCH(14,$AA$40:$AA$133,0),0)=0,"",INDEX($V$40:$V$133,IFERROR(MATCH(14,$AA$40:$AA$133,0),0)))</f>
        <v>1300</v>
      </c>
      <c r="E27" s="113" t="n">
        <f aca="false">IF(IFERROR(MATCH(14,$AA$40:$AA$133,0),0)=0,"",INDEX($W$40:$W$133,IFERROR(MATCH(14,$AA$40:$AA$133,0),0)))</f>
        <v>-0</v>
      </c>
      <c r="F27" s="113" t="n">
        <f aca="false">IF(IFERROR(MATCH(14,$AA$40:$AA$133,0),0)=0,"",INDEX($X$40:$X$133,IFERROR(MATCH(14,$AA$40:$AA$133,0),0)))</f>
        <v>0</v>
      </c>
      <c r="G27" s="114" t="n">
        <f aca="false">IF(IFERROR(MATCH(14,$AA$40:$AA$133,0),0)=0,"",INDEX($Y$40:$Y$133,IFERROR(MATCH(14,$AA$40:$AA$133,0),0)))</f>
        <v>1300</v>
      </c>
      <c r="H27" s="145" t="n">
        <f aca="false">IF(A27="","",IF(D27&gt;0,(E27-F27)/D27,""))</f>
        <v>-0</v>
      </c>
      <c r="I27" s="115" t="str">
        <f aca="false">IF(IFERROR(MATCH(14,$AA$40:$AA$133,0),0)=0,"",INDEX($AB$40:$AB$133,IFERROR(MATCH(14,$AA$40:$AA$133,0),0)))</f>
        <v>Aguardando transferência</v>
      </c>
      <c r="J27" s="116" t="n">
        <f aca="false">IF(IFERROR(MATCH(14,$AA$40:$AA$133,0),0)=0,"",INDEX($AC$40:$AC$133,IFERROR(MATCH(14,$AA$40:$AA$133,0),0)))</f>
        <v>1</v>
      </c>
      <c r="K27" s="117" t="n">
        <f aca="false">IF(IFERROR(MATCH(14,$AA$40:$AA$133,0),0)=0,"",IF(INDEX($AD$40:$AD$133,IFERROR(MATCH(14,$AA$40:$AA$133,0),0))=0,"",INDEX($AD$40:$AD$133,IFERROR(MATCH(14,$AA$40:$AA$133,0),0))))</f>
        <v>46280</v>
      </c>
      <c r="L27" s="117" t="n">
        <f aca="false">IF(IFERROR(MATCH(14,$AA$40:$AA$133,0),0)=0,"",IF(INDEX($AE$40:$AE$133,IFERROR(MATCH(14,$AA$40:$AA$133,0),0))=0,"",INDEX($AE$40:$AE$133,IFERROR(MATCH(14,$AA$40:$AA$133,0),0))))</f>
        <v>46280</v>
      </c>
      <c r="M27" s="119" t="str">
        <f aca="false">IF(IFERROR(MATCH(14,$AA$40:$AA$133,0),0)=0,"",INDEX($AF$40:$AF$133,IFERROR(MATCH(14,$AA$40:$AA$133,0),0))&amp;"")</f>
        <v/>
      </c>
      <c r="N27" s="118" t="str">
        <f aca="false">IF(A27="","",IF(I27="Aguardando transferência","Transferir "&amp;FIXED(G27,1)&amp;" "&amp;C27&amp;" do 2008 para o ZBR (verificar se já há OT aberta)",IF(I27="Transferido 100%","Nada a fazer","Sem ação: saíram "&amp;FIXED(-G27,1)&amp;" "&amp;C27&amp;" que já estavam no 2008 antes de 09/09 (conferir só se não havia saldo)")))</f>
        <v>Transferir 1,300.0 KG do 2008 para o ZBR (verificar se já há OT aberta)</v>
      </c>
      <c r="O27" s="1"/>
      <c r="AT27" s="82" t="s">
        <v>354</v>
      </c>
      <c r="AV27" s="0" t="str">
        <f aca="false">IFERROR(INDEX($AX$1:$AX$94,MATCH(26,$AY$1:$AY$94,0)),"")</f>
        <v>250827800</v>
      </c>
      <c r="AW27" s="82" t="s">
        <v>232</v>
      </c>
      <c r="AX27" s="82" t="s">
        <v>241</v>
      </c>
      <c r="AY27" s="82" t="n">
        <f aca="false">IF(OR($A$5="Todos",AW27=$A$5),MAX(AY$1:AY26)+1,0)</f>
        <v>27</v>
      </c>
    </row>
    <row r="28" customFormat="false" ht="15" hidden="false" customHeight="false" outlineLevel="0" collapsed="false">
      <c r="A28" s="111" t="str">
        <f aca="false">IF(IFERROR(MATCH(15,$AA$40:$AA$133,0),0)=0,"",INDEX($T$40:$T$133,IFERROR(MATCH(15,$AA$40:$AA$133,0),0)))</f>
        <v>CHD-VR-Z2S-E0-U68</v>
      </c>
      <c r="B28" s="111" t="str">
        <f aca="false">IF(IFERROR(MATCH(15,$AA$40:$AA$133,0),0)=0,"",INDEX($AG$40:$AG$133,IFERROR(MATCH(15,$AA$40:$AA$133,0),0)))</f>
        <v>261160301</v>
      </c>
      <c r="C28" s="112" t="str">
        <f aca="false">IF(IFERROR(MATCH(15,$AA$40:$AA$133,0),0)=0,"",INDEX($U$40:$U$133,IFERROR(MATCH(15,$AA$40:$AA$133,0),0)))</f>
        <v>KG</v>
      </c>
      <c r="D28" s="113" t="n">
        <f aca="false">IF(IFERROR(MATCH(15,$AA$40:$AA$133,0),0)=0,"",INDEX($V$40:$V$133,IFERROR(MATCH(15,$AA$40:$AA$133,0),0)))</f>
        <v>1296</v>
      </c>
      <c r="E28" s="113" t="n">
        <f aca="false">IF(IFERROR(MATCH(15,$AA$40:$AA$133,0),0)=0,"",INDEX($W$40:$W$133,IFERROR(MATCH(15,$AA$40:$AA$133,0),0)))</f>
        <v>-0</v>
      </c>
      <c r="F28" s="113" t="n">
        <f aca="false">IF(IFERROR(MATCH(15,$AA$40:$AA$133,0),0)=0,"",INDEX($X$40:$X$133,IFERROR(MATCH(15,$AA$40:$AA$133,0),0)))</f>
        <v>0</v>
      </c>
      <c r="G28" s="114" t="n">
        <f aca="false">IF(IFERROR(MATCH(15,$AA$40:$AA$133,0),0)=0,"",INDEX($Y$40:$Y$133,IFERROR(MATCH(15,$AA$40:$AA$133,0),0)))</f>
        <v>1296</v>
      </c>
      <c r="H28" s="145" t="n">
        <f aca="false">IF(A28="","",IF(D28&gt;0,(E28-F28)/D28,""))</f>
        <v>-0</v>
      </c>
      <c r="I28" s="115" t="str">
        <f aca="false">IF(IFERROR(MATCH(15,$AA$40:$AA$133,0),0)=0,"",INDEX($AB$40:$AB$133,IFERROR(MATCH(15,$AA$40:$AA$133,0),0)))</f>
        <v>Aguardando transferência</v>
      </c>
      <c r="J28" s="116" t="n">
        <f aca="false">IF(IFERROR(MATCH(15,$AA$40:$AA$133,0),0)=0,"",INDEX($AC$40:$AC$133,IFERROR(MATCH(15,$AA$40:$AA$133,0),0)))</f>
        <v>1</v>
      </c>
      <c r="K28" s="117" t="n">
        <f aca="false">IF(IFERROR(MATCH(15,$AA$40:$AA$133,0),0)=0,"",IF(INDEX($AD$40:$AD$133,IFERROR(MATCH(15,$AA$40:$AA$133,0),0))=0,"",INDEX($AD$40:$AD$133,IFERROR(MATCH(15,$AA$40:$AA$133,0),0))))</f>
        <v>46275</v>
      </c>
      <c r="L28" s="117" t="n">
        <f aca="false">IF(IFERROR(MATCH(15,$AA$40:$AA$133,0),0)=0,"",IF(INDEX($AE$40:$AE$133,IFERROR(MATCH(15,$AA$40:$AA$133,0),0))=0,"",INDEX($AE$40:$AE$133,IFERROR(MATCH(15,$AA$40:$AA$133,0),0))))</f>
        <v>46275</v>
      </c>
      <c r="M28" s="119" t="str">
        <f aca="false">IF(IFERROR(MATCH(15,$AA$40:$AA$133,0),0)=0,"",INDEX($AF$40:$AF$133,IFERROR(MATCH(15,$AA$40:$AA$133,0),0))&amp;"")</f>
        <v/>
      </c>
      <c r="N28" s="118" t="str">
        <f aca="false">IF(A28="","",IF(I28="Aguardando transferência","Transferir "&amp;FIXED(G28,1)&amp;" "&amp;C28&amp;" do 2008 para o ZBR (verificar se já há OT aberta)",IF(I28="Transferido 100%","Nada a fazer","Sem ação: saíram "&amp;FIXED(-G28,1)&amp;" "&amp;C28&amp;" que já estavam no 2008 antes de 09/09 (conferir só se não havia saldo)")))</f>
        <v>Transferir 1,296.0 KG do 2008 para o ZBR (verificar se já há OT aberta)</v>
      </c>
      <c r="O28" s="1"/>
      <c r="AT28" s="82" t="s">
        <v>356</v>
      </c>
      <c r="AV28" s="0" t="str">
        <f aca="false">IFERROR(INDEX($AX$1:$AX$94,MATCH(27,$AY$1:$AY$94,0)),"")</f>
        <v>2529678000</v>
      </c>
      <c r="AW28" s="82" t="s">
        <v>232</v>
      </c>
      <c r="AX28" s="82" t="s">
        <v>233</v>
      </c>
      <c r="AY28" s="82" t="n">
        <f aca="false">IF(OR($A$5="Todos",AW28=$A$5),MAX(AY$1:AY27)+1,0)</f>
        <v>28</v>
      </c>
    </row>
    <row r="29" customFormat="false" ht="15" hidden="false" customHeight="false" outlineLevel="0" collapsed="false">
      <c r="A29" s="111" t="str">
        <f aca="false">IF(IFERROR(MATCH(16,$AA$40:$AA$133,0),0)=0,"",INDEX($T$40:$T$133,IFERROR(MATCH(16,$AA$40:$AA$133,0),0)))</f>
        <v>CHK-D-413</v>
      </c>
      <c r="B29" s="111" t="str">
        <f aca="false">IF(IFERROR(MATCH(16,$AA$40:$AA$133,0),0)=0,"",INDEX($AG$40:$AG$133,IFERROR(MATCH(16,$AA$40:$AA$133,0),0)))</f>
        <v>261756201</v>
      </c>
      <c r="C29" s="112" t="str">
        <f aca="false">IF(IFERROR(MATCH(16,$AA$40:$AA$133,0),0)=0,"",INDEX($U$40:$U$133,IFERROR(MATCH(16,$AA$40:$AA$133,0),0)))</f>
        <v>KG</v>
      </c>
      <c r="D29" s="113" t="n">
        <f aca="false">IF(IFERROR(MATCH(16,$AA$40:$AA$133,0),0)=0,"",INDEX($V$40:$V$133,IFERROR(MATCH(16,$AA$40:$AA$133,0),0)))</f>
        <v>1280</v>
      </c>
      <c r="E29" s="113" t="n">
        <f aca="false">IF(IFERROR(MATCH(16,$AA$40:$AA$133,0),0)=0,"",INDEX($W$40:$W$133,IFERROR(MATCH(16,$AA$40:$AA$133,0),0)))</f>
        <v>-0</v>
      </c>
      <c r="F29" s="113" t="n">
        <f aca="false">IF(IFERROR(MATCH(16,$AA$40:$AA$133,0),0)=0,"",INDEX($X$40:$X$133,IFERROR(MATCH(16,$AA$40:$AA$133,0),0)))</f>
        <v>0</v>
      </c>
      <c r="G29" s="114" t="n">
        <f aca="false">IF(IFERROR(MATCH(16,$AA$40:$AA$133,0),0)=0,"",INDEX($Y$40:$Y$133,IFERROR(MATCH(16,$AA$40:$AA$133,0),0)))</f>
        <v>1280</v>
      </c>
      <c r="H29" s="145" t="n">
        <f aca="false">IF(A29="","",IF(D29&gt;0,(E29-F29)/D29,""))</f>
        <v>-0</v>
      </c>
      <c r="I29" s="115" t="str">
        <f aca="false">IF(IFERROR(MATCH(16,$AA$40:$AA$133,0),0)=0,"",INDEX($AB$40:$AB$133,IFERROR(MATCH(16,$AA$40:$AA$133,0),0)))</f>
        <v>Aguardando transferência</v>
      </c>
      <c r="J29" s="116" t="n">
        <f aca="false">IF(IFERROR(MATCH(16,$AA$40:$AA$133,0),0)=0,"",INDEX($AC$40:$AC$133,IFERROR(MATCH(16,$AA$40:$AA$133,0),0)))</f>
        <v>1</v>
      </c>
      <c r="K29" s="117" t="n">
        <f aca="false">IF(IFERROR(MATCH(16,$AA$40:$AA$133,0),0)=0,"",IF(INDEX($AD$40:$AD$133,IFERROR(MATCH(16,$AA$40:$AA$133,0),0))=0,"",INDEX($AD$40:$AD$133,IFERROR(MATCH(16,$AA$40:$AA$133,0),0))))</f>
        <v>46280</v>
      </c>
      <c r="L29" s="117" t="n">
        <f aca="false">IF(IFERROR(MATCH(16,$AA$40:$AA$133,0),0)=0,"",IF(INDEX($AE$40:$AE$133,IFERROR(MATCH(16,$AA$40:$AA$133,0),0))=0,"",INDEX($AE$40:$AE$133,IFERROR(MATCH(16,$AA$40:$AA$133,0),0))))</f>
        <v>46280</v>
      </c>
      <c r="M29" s="119" t="str">
        <f aca="false">IF(IFERROR(MATCH(16,$AA$40:$AA$133,0),0)=0,"",INDEX($AF$40:$AF$133,IFERROR(MATCH(16,$AA$40:$AA$133,0),0))&amp;"")</f>
        <v/>
      </c>
      <c r="N29" s="118" t="str">
        <f aca="false">IF(A29="","",IF(I29="Aguardando transferência","Transferir "&amp;FIXED(G29,1)&amp;" "&amp;C29&amp;" do 2008 para o ZBR (verificar se já há OT aberta)",IF(I29="Transferido 100%","Nada a fazer","Sem ação: saíram "&amp;FIXED(-G29,1)&amp;" "&amp;C29&amp;" que já estavam no 2008 antes de 09/09 (conferir só se não havia saldo)")))</f>
        <v>Transferir 1,280.0 KG do 2008 para o ZBR (verificar se já há OT aberta)</v>
      </c>
      <c r="O29" s="1"/>
      <c r="AT29" s="82" t="s">
        <v>257</v>
      </c>
      <c r="AV29" s="0" t="str">
        <f aca="false">IFERROR(INDEX($AX$1:$AX$94,MATCH(28,$AY$1:$AY$94,0)),"")</f>
        <v>2529778000</v>
      </c>
      <c r="AW29" s="82" t="s">
        <v>232</v>
      </c>
      <c r="AX29" s="82" t="s">
        <v>235</v>
      </c>
      <c r="AY29" s="82" t="n">
        <f aca="false">IF(OR($A$5="Todos",AW29=$A$5),MAX(AY$1:AY28)+1,0)</f>
        <v>29</v>
      </c>
    </row>
    <row r="30" customFormat="false" ht="15" hidden="false" customHeight="false" outlineLevel="0" collapsed="false">
      <c r="A30" s="111" t="str">
        <f aca="false">IF(IFERROR(MATCH(17,$AA$40:$AA$133,0),0)=0,"",INDEX($T$40:$T$133,IFERROR(MATCH(17,$AA$40:$AA$133,0),0)))</f>
        <v>CHM-VR-Z3S-E0-U72</v>
      </c>
      <c r="B30" s="111" t="str">
        <f aca="false">IF(IFERROR(MATCH(17,$AA$40:$AA$133,0),0)=0,"",INDEX($AG$40:$AG$133,IFERROR(MATCH(17,$AA$40:$AA$133,0),0)))</f>
        <v>260600103</v>
      </c>
      <c r="C30" s="112" t="str">
        <f aca="false">IF(IFERROR(MATCH(17,$AA$40:$AA$133,0),0)=0,"",INDEX($U$40:$U$133,IFERROR(MATCH(17,$AA$40:$AA$133,0),0)))</f>
        <v>KG</v>
      </c>
      <c r="D30" s="113" t="n">
        <f aca="false">IF(IFERROR(MATCH(17,$AA$40:$AA$133,0),0)=0,"",INDEX($V$40:$V$133,IFERROR(MATCH(17,$AA$40:$AA$133,0),0)))</f>
        <v>1200</v>
      </c>
      <c r="E30" s="113" t="n">
        <f aca="false">IF(IFERROR(MATCH(17,$AA$40:$AA$133,0),0)=0,"",INDEX($W$40:$W$133,IFERROR(MATCH(17,$AA$40:$AA$133,0),0)))</f>
        <v>-0</v>
      </c>
      <c r="F30" s="113" t="n">
        <f aca="false">IF(IFERROR(MATCH(17,$AA$40:$AA$133,0),0)=0,"",INDEX($X$40:$X$133,IFERROR(MATCH(17,$AA$40:$AA$133,0),0)))</f>
        <v>0</v>
      </c>
      <c r="G30" s="114" t="n">
        <f aca="false">IF(IFERROR(MATCH(17,$AA$40:$AA$133,0),0)=0,"",INDEX($Y$40:$Y$133,IFERROR(MATCH(17,$AA$40:$AA$133,0),0)))</f>
        <v>1200</v>
      </c>
      <c r="H30" s="145" t="n">
        <f aca="false">IF(A30="","",IF(D30&gt;0,(E30-F30)/D30,""))</f>
        <v>-0</v>
      </c>
      <c r="I30" s="115" t="str">
        <f aca="false">IF(IFERROR(MATCH(17,$AA$40:$AA$133,0),0)=0,"",INDEX($AB$40:$AB$133,IFERROR(MATCH(17,$AA$40:$AA$133,0),0)))</f>
        <v>Aguardando transferência</v>
      </c>
      <c r="J30" s="116" t="n">
        <f aca="false">IF(IFERROR(MATCH(17,$AA$40:$AA$133,0),0)=0,"",INDEX($AC$40:$AC$133,IFERROR(MATCH(17,$AA$40:$AA$133,0),0)))</f>
        <v>1</v>
      </c>
      <c r="K30" s="117" t="n">
        <f aca="false">IF(IFERROR(MATCH(17,$AA$40:$AA$133,0),0)=0,"",IF(INDEX($AD$40:$AD$133,IFERROR(MATCH(17,$AA$40:$AA$133,0),0))=0,"",INDEX($AD$40:$AD$133,IFERROR(MATCH(17,$AA$40:$AA$133,0),0))))</f>
        <v>46280</v>
      </c>
      <c r="L30" s="117" t="n">
        <f aca="false">IF(IFERROR(MATCH(17,$AA$40:$AA$133,0),0)=0,"",IF(INDEX($AE$40:$AE$133,IFERROR(MATCH(17,$AA$40:$AA$133,0),0))=0,"",INDEX($AE$40:$AE$133,IFERROR(MATCH(17,$AA$40:$AA$133,0),0))))</f>
        <v>46280</v>
      </c>
      <c r="M30" s="119" t="str">
        <f aca="false">IF(IFERROR(MATCH(17,$AA$40:$AA$133,0),0)=0,"",INDEX($AF$40:$AF$133,IFERROR(MATCH(17,$AA$40:$AA$133,0),0))&amp;"")</f>
        <v/>
      </c>
      <c r="N30" s="118" t="str">
        <f aca="false">IF(A30="","",IF(I30="Aguardando transferência","Transferir "&amp;FIXED(G30,1)&amp;" "&amp;C30&amp;" do 2008 para o ZBR (verificar se já há OT aberta)",IF(I30="Transferido 100%","Nada a fazer","Sem ação: saíram "&amp;FIXED(-G30,1)&amp;" "&amp;C30&amp;" que já estavam no 2008 antes de 09/09 (conferir só se não havia saldo)")))</f>
        <v>Transferir 1,200.0 KG do 2008 para o ZBR (verificar se já há OT aberta)</v>
      </c>
      <c r="O30" s="1"/>
      <c r="AT30" s="82" t="s">
        <v>358</v>
      </c>
      <c r="AV30" s="0" t="str">
        <f aca="false">IFERROR(INDEX($AX$1:$AX$94,MATCH(29,$AY$1:$AY$94,0)),"")</f>
        <v>2609078000</v>
      </c>
      <c r="AW30" s="82" t="s">
        <v>232</v>
      </c>
      <c r="AX30" s="82" t="s">
        <v>334</v>
      </c>
      <c r="AY30" s="82" t="n">
        <f aca="false">IF(OR($A$5="Todos",AW30=$A$5),MAX(AY$1:AY29)+1,0)</f>
        <v>30</v>
      </c>
    </row>
    <row r="31" customFormat="false" ht="15" hidden="false" customHeight="false" outlineLevel="0" collapsed="false">
      <c r="A31" s="111" t="str">
        <f aca="false">IF(IFERROR(MATCH(18,$AA$40:$AA$133,0),0)=0,"",INDEX($T$40:$T$133,IFERROR(MATCH(18,$AA$40:$AA$133,0),0)))</f>
        <v>CHD-SP-1M-BR-U73</v>
      </c>
      <c r="B31" s="111" t="str">
        <f aca="false">IF(IFERROR(MATCH(18,$AA$40:$AA$133,0),0)=0,"",INDEX($AG$40:$AG$133,IFERROR(MATCH(18,$AA$40:$AA$133,0),0)))</f>
        <v>260880301</v>
      </c>
      <c r="C31" s="112" t="str">
        <f aca="false">IF(IFERROR(MATCH(18,$AA$40:$AA$133,0),0)=0,"",INDEX($U$40:$U$133,IFERROR(MATCH(18,$AA$40:$AA$133,0),0)))</f>
        <v>KG</v>
      </c>
      <c r="D31" s="113" t="n">
        <f aca="false">IF(IFERROR(MATCH(18,$AA$40:$AA$133,0),0)=0,"",INDEX($V$40:$V$133,IFERROR(MATCH(18,$AA$40:$AA$133,0),0)))</f>
        <v>1122</v>
      </c>
      <c r="E31" s="113" t="n">
        <f aca="false">IF(IFERROR(MATCH(18,$AA$40:$AA$133,0),0)=0,"",INDEX($W$40:$W$133,IFERROR(MATCH(18,$AA$40:$AA$133,0),0)))</f>
        <v>-0</v>
      </c>
      <c r="F31" s="113" t="n">
        <f aca="false">IF(IFERROR(MATCH(18,$AA$40:$AA$133,0),0)=0,"",INDEX($X$40:$X$133,IFERROR(MATCH(18,$AA$40:$AA$133,0),0)))</f>
        <v>0</v>
      </c>
      <c r="G31" s="114" t="n">
        <f aca="false">IF(IFERROR(MATCH(18,$AA$40:$AA$133,0),0)=0,"",INDEX($Y$40:$Y$133,IFERROR(MATCH(18,$AA$40:$AA$133,0),0)))</f>
        <v>1122</v>
      </c>
      <c r="H31" s="145" t="n">
        <f aca="false">IF(A31="","",IF(D31&gt;0,(E31-F31)/D31,""))</f>
        <v>-0</v>
      </c>
      <c r="I31" s="115" t="str">
        <f aca="false">IF(IFERROR(MATCH(18,$AA$40:$AA$133,0),0)=0,"",INDEX($AB$40:$AB$133,IFERROR(MATCH(18,$AA$40:$AA$133,0),0)))</f>
        <v>Aguardando transferência</v>
      </c>
      <c r="J31" s="116" t="n">
        <f aca="false">IF(IFERROR(MATCH(18,$AA$40:$AA$133,0),0)=0,"",INDEX($AC$40:$AC$133,IFERROR(MATCH(18,$AA$40:$AA$133,0),0)))</f>
        <v>1</v>
      </c>
      <c r="K31" s="117" t="n">
        <f aca="false">IF(IFERROR(MATCH(18,$AA$40:$AA$133,0),0)=0,"",IF(INDEX($AD$40:$AD$133,IFERROR(MATCH(18,$AA$40:$AA$133,0),0))=0,"",INDEX($AD$40:$AD$133,IFERROR(MATCH(18,$AA$40:$AA$133,0),0))))</f>
        <v>46275</v>
      </c>
      <c r="L31" s="117" t="n">
        <f aca="false">IF(IFERROR(MATCH(18,$AA$40:$AA$133,0),0)=0,"",IF(INDEX($AE$40:$AE$133,IFERROR(MATCH(18,$AA$40:$AA$133,0),0))=0,"",INDEX($AE$40:$AE$133,IFERROR(MATCH(18,$AA$40:$AA$133,0),0))))</f>
        <v>46275</v>
      </c>
      <c r="M31" s="119" t="str">
        <f aca="false">IF(IFERROR(MATCH(18,$AA$40:$AA$133,0),0)=0,"",INDEX($AF$40:$AF$133,IFERROR(MATCH(18,$AA$40:$AA$133,0),0))&amp;"")</f>
        <v/>
      </c>
      <c r="N31" s="118" t="str">
        <f aca="false">IF(A31="","",IF(I31="Aguardando transferência","Transferir "&amp;FIXED(G31,1)&amp;" "&amp;C31&amp;" do 2008 para o ZBR (verificar se já há OT aberta)",IF(I31="Transferido 100%","Nada a fazer","Sem ação: saíram "&amp;FIXED(-G31,1)&amp;" "&amp;C31&amp;" que já estavam no 2008 antes de 09/09 (conferir só se não havia saldo)")))</f>
        <v>Transferir 1,122.0 KG do 2008 para o ZBR (verificar se já há OT aberta)</v>
      </c>
      <c r="O31" s="1"/>
      <c r="AT31" s="82" t="s">
        <v>260</v>
      </c>
      <c r="AV31" s="0" t="str">
        <f aca="false">IFERROR(INDEX($AX$1:$AX$94,MATCH(30,$AY$1:$AY$94,0)),"")</f>
        <v>2609178000</v>
      </c>
      <c r="AW31" s="82" t="s">
        <v>232</v>
      </c>
      <c r="AX31" s="82" t="s">
        <v>237</v>
      </c>
      <c r="AY31" s="82" t="n">
        <f aca="false">IF(OR($A$5="Todos",AW31=$A$5),MAX(AY$1:AY30)+1,0)</f>
        <v>31</v>
      </c>
    </row>
    <row r="32" customFormat="false" ht="15" hidden="false" customHeight="false" outlineLevel="0" collapsed="false">
      <c r="A32" s="111" t="str">
        <f aca="false">IF(IFERROR(MATCH(19,$AA$40:$AA$133,0),0)=0,"",INDEX($T$40:$T$133,IFERROR(MATCH(19,$AA$40:$AA$133,0),0)))</f>
        <v>CHM-BS-9U15-E0-07B</v>
      </c>
      <c r="B32" s="111" t="str">
        <f aca="false">IF(IFERROR(MATCH(19,$AA$40:$AA$133,0),0)=0,"",INDEX($AG$40:$AG$133,IFERROR(MATCH(19,$AA$40:$AA$133,0),0)))</f>
        <v>260701069</v>
      </c>
      <c r="C32" s="112" t="str">
        <f aca="false">IF(IFERROR(MATCH(19,$AA$40:$AA$133,0),0)=0,"",INDEX($U$40:$U$133,IFERROR(MATCH(19,$AA$40:$AA$133,0),0)))</f>
        <v>KG</v>
      </c>
      <c r="D32" s="113" t="n">
        <f aca="false">IF(IFERROR(MATCH(19,$AA$40:$AA$133,0),0)=0,"",INDEX($V$40:$V$133,IFERROR(MATCH(19,$AA$40:$AA$133,0),0)))</f>
        <v>1920</v>
      </c>
      <c r="E32" s="113" t="n">
        <f aca="false">IF(IFERROR(MATCH(19,$AA$40:$AA$133,0),0)=0,"",INDEX($W$40:$W$133,IFERROR(MATCH(19,$AA$40:$AA$133,0),0)))</f>
        <v>2160</v>
      </c>
      <c r="F32" s="113" t="n">
        <f aca="false">IF(IFERROR(MATCH(19,$AA$40:$AA$133,0),0)=0,"",INDEX($X$40:$X$133,IFERROR(MATCH(19,$AA$40:$AA$133,0),0)))</f>
        <v>1200</v>
      </c>
      <c r="G32" s="114" t="n">
        <f aca="false">IF(IFERROR(MATCH(19,$AA$40:$AA$133,0),0)=0,"",INDEX($Y$40:$Y$133,IFERROR(MATCH(19,$AA$40:$AA$133,0),0)))</f>
        <v>960</v>
      </c>
      <c r="H32" s="145" t="n">
        <f aca="false">IF(A32="","",IF(D32&gt;0,(E32-F32)/D32,""))</f>
        <v>0.5</v>
      </c>
      <c r="I32" s="115" t="str">
        <f aca="false">IF(IFERROR(MATCH(19,$AA$40:$AA$133,0),0)=0,"",INDEX($AB$40:$AB$133,IFERROR(MATCH(19,$AA$40:$AA$133,0),0)))</f>
        <v>Aguardando transferência</v>
      </c>
      <c r="J32" s="116" t="n">
        <f aca="false">IF(IFERROR(MATCH(19,$AA$40:$AA$133,0),0)=0,"",INDEX($AC$40:$AC$133,IFERROR(MATCH(19,$AA$40:$AA$133,0),0)))</f>
        <v>7</v>
      </c>
      <c r="K32" s="117" t="n">
        <f aca="false">IF(IFERROR(MATCH(19,$AA$40:$AA$133,0),0)=0,"",IF(INDEX($AD$40:$AD$133,IFERROR(MATCH(19,$AA$40:$AA$133,0),0))=0,"",INDEX($AD$40:$AD$133,IFERROR(MATCH(19,$AA$40:$AA$133,0),0))))</f>
        <v>46275</v>
      </c>
      <c r="L32" s="117" t="n">
        <f aca="false">IF(IFERROR(MATCH(19,$AA$40:$AA$133,0),0)=0,"",IF(INDEX($AE$40:$AE$133,IFERROR(MATCH(19,$AA$40:$AA$133,0),0))=0,"",INDEX($AE$40:$AE$133,IFERROR(MATCH(19,$AA$40:$AA$133,0),0))))</f>
        <v>46289</v>
      </c>
      <c r="M32" s="119" t="str">
        <f aca="false">IF(IFERROR(MATCH(19,$AA$40:$AA$133,0),0)=0,"",INDEX($AF$40:$AF$133,IFERROR(MATCH(19,$AA$40:$AA$133,0),0))&amp;"")</f>
        <v>CA MILK BLOSSOMS BLOSSOMS 1KG/UC 4UC/BOX</v>
      </c>
      <c r="N32" s="118" t="str">
        <f aca="false">IF(A32="","",IF(I32="Aguardando transferência","Transferir "&amp;FIXED(G32,1)&amp;" "&amp;C32&amp;" do 2008 para o ZBR (verificar se já há OT aberta)",IF(I32="Transferido 100%","Nada a fazer","Sem ação: saíram "&amp;FIXED(-G32,1)&amp;" "&amp;C32&amp;" que já estavam no 2008 antes de 09/09 (conferir só se não havia saldo)")))</f>
        <v>Transferir 960.0 KG do 2008 para o ZBR (verificar se já há OT aberta)</v>
      </c>
      <c r="O32" s="1"/>
      <c r="AT32" s="82" t="s">
        <v>263</v>
      </c>
      <c r="AV32" s="0" t="str">
        <f aca="false">IFERROR(INDEX($AX$1:$AX$94,MATCH(31,$AY$1:$AY$94,0)),"")</f>
        <v>2611378000</v>
      </c>
      <c r="AW32" s="82" t="s">
        <v>243</v>
      </c>
      <c r="AX32" s="82" t="s">
        <v>244</v>
      </c>
      <c r="AY32" s="82" t="n">
        <f aca="false">IF(OR($A$5="Todos",AW32=$A$5),MAX(AY$1:AY31)+1,0)</f>
        <v>32</v>
      </c>
    </row>
    <row r="33" customFormat="false" ht="15" hidden="false" customHeight="false" outlineLevel="0" collapsed="false">
      <c r="A33" s="111" t="str">
        <f aca="false">IF(IFERROR(MATCH(20,$AA$40:$AA$133,0),0)=0,"",INDEX($T$40:$T$133,IFERROR(MATCH(20,$AA$40:$AA$133,0),0)))</f>
        <v>CHD-SP-1M-BR-U73</v>
      </c>
      <c r="B33" s="111" t="str">
        <f aca="false">IF(IFERROR(MATCH(20,$AA$40:$AA$133,0),0)=0,"",INDEX($AG$40:$AG$133,IFERROR(MATCH(20,$AA$40:$AA$133,0),0)))</f>
        <v>260310301</v>
      </c>
      <c r="C33" s="112" t="str">
        <f aca="false">IF(IFERROR(MATCH(20,$AA$40:$AA$133,0),0)=0,"",INDEX($U$40:$U$133,IFERROR(MATCH(20,$AA$40:$AA$133,0),0)))</f>
        <v>KG</v>
      </c>
      <c r="D33" s="113" t="n">
        <f aca="false">IF(IFERROR(MATCH(20,$AA$40:$AA$133,0),0)=0,"",INDEX($V$40:$V$133,IFERROR(MATCH(20,$AA$40:$AA$133,0),0)))</f>
        <v>798</v>
      </c>
      <c r="E33" s="113" t="n">
        <f aca="false">IF(IFERROR(MATCH(20,$AA$40:$AA$133,0),0)=0,"",INDEX($W$40:$W$133,IFERROR(MATCH(20,$AA$40:$AA$133,0),0)))</f>
        <v>-0</v>
      </c>
      <c r="F33" s="113" t="n">
        <f aca="false">IF(IFERROR(MATCH(20,$AA$40:$AA$133,0),0)=0,"",INDEX($X$40:$X$133,IFERROR(MATCH(20,$AA$40:$AA$133,0),0)))</f>
        <v>0</v>
      </c>
      <c r="G33" s="114" t="n">
        <f aca="false">IF(IFERROR(MATCH(20,$AA$40:$AA$133,0),0)=0,"",INDEX($Y$40:$Y$133,IFERROR(MATCH(20,$AA$40:$AA$133,0),0)))</f>
        <v>798</v>
      </c>
      <c r="H33" s="145" t="n">
        <f aca="false">IF(A33="","",IF(D33&gt;0,(E33-F33)/D33,""))</f>
        <v>-0</v>
      </c>
      <c r="I33" s="115" t="str">
        <f aca="false">IF(IFERROR(MATCH(20,$AA$40:$AA$133,0),0)=0,"",INDEX($AB$40:$AB$133,IFERROR(MATCH(20,$AA$40:$AA$133,0),0)))</f>
        <v>Aguardando transferência</v>
      </c>
      <c r="J33" s="116" t="n">
        <f aca="false">IF(IFERROR(MATCH(20,$AA$40:$AA$133,0),0)=0,"",INDEX($AC$40:$AC$133,IFERROR(MATCH(20,$AA$40:$AA$133,0),0)))</f>
        <v>1</v>
      </c>
      <c r="K33" s="117" t="n">
        <f aca="false">IF(IFERROR(MATCH(20,$AA$40:$AA$133,0),0)=0,"",IF(INDEX($AD$40:$AD$133,IFERROR(MATCH(20,$AA$40:$AA$133,0),0))=0,"",INDEX($AD$40:$AD$133,IFERROR(MATCH(20,$AA$40:$AA$133,0),0))))</f>
        <v>46275</v>
      </c>
      <c r="L33" s="117" t="n">
        <f aca="false">IF(IFERROR(MATCH(20,$AA$40:$AA$133,0),0)=0,"",IF(INDEX($AE$40:$AE$133,IFERROR(MATCH(20,$AA$40:$AA$133,0),0))=0,"",INDEX($AE$40:$AE$133,IFERROR(MATCH(20,$AA$40:$AA$133,0),0))))</f>
        <v>46275</v>
      </c>
      <c r="M33" s="119" t="str">
        <f aca="false">IF(IFERROR(MATCH(20,$AA$40:$AA$133,0),0)=0,"",INDEX($AF$40:$AF$133,IFERROR(MATCH(20,$AA$40:$AA$133,0),0))&amp;"")</f>
        <v/>
      </c>
      <c r="N33" s="118" t="str">
        <f aca="false">IF(A33="","",IF(I33="Aguardando transferência","Transferir "&amp;FIXED(G33,1)&amp;" "&amp;C33&amp;" do 2008 para o ZBR (verificar se já há OT aberta)",IF(I33="Transferido 100%","Nada a fazer","Sem ação: saíram "&amp;FIXED(-G33,1)&amp;" "&amp;C33&amp;" que já estavam no 2008 antes de 09/09 (conferir só se não havia saldo)")))</f>
        <v>Transferir 798.0 KG do 2008 para o ZBR (verificar se já há OT aberta)</v>
      </c>
      <c r="O33" s="1"/>
      <c r="AT33" s="82" t="s">
        <v>266</v>
      </c>
      <c r="AV33" s="0" t="str">
        <f aca="false">IFERROR(INDEX($AX$1:$AX$94,MATCH(32,$AY$1:$AY$94,0)),"")</f>
        <v>252810301</v>
      </c>
      <c r="AW33" s="82" t="s">
        <v>336</v>
      </c>
      <c r="AX33" s="82" t="s">
        <v>337</v>
      </c>
      <c r="AY33" s="82" t="n">
        <f aca="false">IF(OR($A$5="Todos",AW33=$A$5),MAX(AY$1:AY32)+1,0)</f>
        <v>33</v>
      </c>
    </row>
    <row r="34" customFormat="false" ht="15" hidden="false" customHeight="false" outlineLevel="0" collapsed="false">
      <c r="A34" s="111" t="str">
        <f aca="false">IF(IFERROR(MATCH(21,$AA$40:$AA$133,0),0)=0,"",INDEX($T$40:$T$133,IFERROR(MATCH(21,$AA$40:$AA$133,0),0)))</f>
        <v>CHK-W-413</v>
      </c>
      <c r="B34" s="111" t="str">
        <f aca="false">IF(IFERROR(MATCH(21,$AA$40:$AA$133,0),0)=0,"",INDEX($AG$40:$AG$133,IFERROR(MATCH(21,$AA$40:$AA$133,0),0)))</f>
        <v>260536201</v>
      </c>
      <c r="C34" s="112" t="str">
        <f aca="false">IF(IFERROR(MATCH(21,$AA$40:$AA$133,0),0)=0,"",INDEX($U$40:$U$133,IFERROR(MATCH(21,$AA$40:$AA$133,0),0)))</f>
        <v>KG</v>
      </c>
      <c r="D34" s="113" t="n">
        <f aca="false">IF(IFERROR(MATCH(21,$AA$40:$AA$133,0),0)=0,"",INDEX($V$40:$V$133,IFERROR(MATCH(21,$AA$40:$AA$133,0),0)))</f>
        <v>640</v>
      </c>
      <c r="E34" s="113" t="n">
        <f aca="false">IF(IFERROR(MATCH(21,$AA$40:$AA$133,0),0)=0,"",INDEX($W$40:$W$133,IFERROR(MATCH(21,$AA$40:$AA$133,0),0)))</f>
        <v>-0</v>
      </c>
      <c r="F34" s="113" t="n">
        <f aca="false">IF(IFERROR(MATCH(21,$AA$40:$AA$133,0),0)=0,"",INDEX($X$40:$X$133,IFERROR(MATCH(21,$AA$40:$AA$133,0),0)))</f>
        <v>0</v>
      </c>
      <c r="G34" s="114" t="n">
        <f aca="false">IF(IFERROR(MATCH(21,$AA$40:$AA$133,0),0)=0,"",INDEX($Y$40:$Y$133,IFERROR(MATCH(21,$AA$40:$AA$133,0),0)))</f>
        <v>640</v>
      </c>
      <c r="H34" s="145" t="n">
        <f aca="false">IF(A34="","",IF(D34&gt;0,(E34-F34)/D34,""))</f>
        <v>-0</v>
      </c>
      <c r="I34" s="115" t="str">
        <f aca="false">IF(IFERROR(MATCH(21,$AA$40:$AA$133,0),0)=0,"",INDEX($AB$40:$AB$133,IFERROR(MATCH(21,$AA$40:$AA$133,0),0)))</f>
        <v>Aguardando transferência</v>
      </c>
      <c r="J34" s="116" t="n">
        <f aca="false">IF(IFERROR(MATCH(21,$AA$40:$AA$133,0),0)=0,"",INDEX($AC$40:$AC$133,IFERROR(MATCH(21,$AA$40:$AA$133,0),0)))</f>
        <v>1</v>
      </c>
      <c r="K34" s="117" t="n">
        <f aca="false">IF(IFERROR(MATCH(21,$AA$40:$AA$133,0),0)=0,"",IF(INDEX($AD$40:$AD$133,IFERROR(MATCH(21,$AA$40:$AA$133,0),0))=0,"",INDEX($AD$40:$AD$133,IFERROR(MATCH(21,$AA$40:$AA$133,0),0))))</f>
        <v>46280</v>
      </c>
      <c r="L34" s="117" t="n">
        <f aca="false">IF(IFERROR(MATCH(21,$AA$40:$AA$133,0),0)=0,"",IF(INDEX($AE$40:$AE$133,IFERROR(MATCH(21,$AA$40:$AA$133,0),0))=0,"",INDEX($AE$40:$AE$133,IFERROR(MATCH(21,$AA$40:$AA$133,0),0))))</f>
        <v>46280</v>
      </c>
      <c r="M34" s="119" t="str">
        <f aca="false">IF(IFERROR(MATCH(21,$AA$40:$AA$133,0),0)=0,"",INDEX($AF$40:$AF$133,IFERROR(MATCH(21,$AA$40:$AA$133,0),0))&amp;"")</f>
        <v/>
      </c>
      <c r="N34" s="118" t="str">
        <f aca="false">IF(A34="","",IF(I34="Aguardando transferência","Transferir "&amp;FIXED(G34,1)&amp;" "&amp;C34&amp;" do 2008 para o ZBR (verificar se já há OT aberta)",IF(I34="Transferido 100%","Nada a fazer","Sem ação: saíram "&amp;FIXED(-G34,1)&amp;" "&amp;C34&amp;" que já estavam no 2008 antes de 09/09 (conferir só se não havia saldo)")))</f>
        <v>Transferir 640.0 KG do 2008 para o ZBR (verificar se já há OT aberta)</v>
      </c>
      <c r="O34" s="1"/>
      <c r="AT34" s="82" t="s">
        <v>364</v>
      </c>
      <c r="AV34" s="0" t="str">
        <f aca="false">IFERROR(INDEX($AX$1:$AX$94,MATCH(33,$AY$1:$AY$94,0)),"")</f>
        <v>260880101</v>
      </c>
      <c r="AW34" s="82" t="s">
        <v>338</v>
      </c>
      <c r="AX34" s="82" t="s">
        <v>340</v>
      </c>
      <c r="AY34" s="82" t="n">
        <f aca="false">IF(OR($A$5="Todos",AW34=$A$5),MAX(AY$1:AY33)+1,0)</f>
        <v>34</v>
      </c>
    </row>
    <row r="35" customFormat="false" ht="15" hidden="false" customHeight="false" outlineLevel="0" collapsed="false">
      <c r="A35" s="111" t="str">
        <f aca="false">IF(IFERROR(MATCH(22,$AA$40:$AA$133,0),0)=0,"",INDEX($T$40:$T$133,IFERROR(MATCH(22,$AA$40:$AA$133,0),0)))</f>
        <v>W2-BR-D94</v>
      </c>
      <c r="B35" s="111" t="str">
        <f aca="false">IF(IFERROR(MATCH(22,$AA$40:$AA$133,0),0)=0,"",INDEX($AG$40:$AG$133,IFERROR(MATCH(22,$AA$40:$AA$133,0),0)))</f>
        <v>261181599</v>
      </c>
      <c r="C35" s="112" t="str">
        <f aca="false">IF(IFERROR(MATCH(22,$AA$40:$AA$133,0),0)=0,"",INDEX($U$40:$U$133,IFERROR(MATCH(22,$AA$40:$AA$133,0),0)))</f>
        <v>KG</v>
      </c>
      <c r="D35" s="113" t="n">
        <f aca="false">IF(IFERROR(MATCH(22,$AA$40:$AA$133,0),0)=0,"",INDEX($V$40:$V$133,IFERROR(MATCH(22,$AA$40:$AA$133,0),0)))</f>
        <v>638.4</v>
      </c>
      <c r="E35" s="113" t="n">
        <f aca="false">IF(IFERROR(MATCH(22,$AA$40:$AA$133,0),0)=0,"",INDEX($W$40:$W$133,IFERROR(MATCH(22,$AA$40:$AA$133,0),0)))</f>
        <v>-0</v>
      </c>
      <c r="F35" s="113" t="n">
        <f aca="false">IF(IFERROR(MATCH(22,$AA$40:$AA$133,0),0)=0,"",INDEX($X$40:$X$133,IFERROR(MATCH(22,$AA$40:$AA$133,0),0)))</f>
        <v>0</v>
      </c>
      <c r="G35" s="114" t="n">
        <f aca="false">IF(IFERROR(MATCH(22,$AA$40:$AA$133,0),0)=0,"",INDEX($Y$40:$Y$133,IFERROR(MATCH(22,$AA$40:$AA$133,0),0)))</f>
        <v>638.4</v>
      </c>
      <c r="H35" s="145" t="n">
        <f aca="false">IF(A35="","",IF(D35&gt;0,(E35-F35)/D35,""))</f>
        <v>-0</v>
      </c>
      <c r="I35" s="115" t="str">
        <f aca="false">IF(IFERROR(MATCH(22,$AA$40:$AA$133,0),0)=0,"",INDEX($AB$40:$AB$133,IFERROR(MATCH(22,$AA$40:$AA$133,0),0)))</f>
        <v>Aguardando transferência</v>
      </c>
      <c r="J35" s="116" t="n">
        <f aca="false">IF(IFERROR(MATCH(22,$AA$40:$AA$133,0),0)=0,"",INDEX($AC$40:$AC$133,IFERROR(MATCH(22,$AA$40:$AA$133,0),0)))</f>
        <v>2</v>
      </c>
      <c r="K35" s="117" t="n">
        <f aca="false">IF(IFERROR(MATCH(22,$AA$40:$AA$133,0),0)=0,"",IF(INDEX($AD$40:$AD$133,IFERROR(MATCH(22,$AA$40:$AA$133,0),0))=0,"",INDEX($AD$40:$AD$133,IFERROR(MATCH(22,$AA$40:$AA$133,0),0))))</f>
        <v>46275</v>
      </c>
      <c r="L35" s="117" t="n">
        <f aca="false">IF(IFERROR(MATCH(22,$AA$40:$AA$133,0),0)=0,"",IF(INDEX($AE$40:$AE$133,IFERROR(MATCH(22,$AA$40:$AA$133,0),0))=0,"",INDEX($AE$40:$AE$133,IFERROR(MATCH(22,$AA$40:$AA$133,0),0))))</f>
        <v>46275</v>
      </c>
      <c r="M35" s="119" t="str">
        <f aca="false">IF(IFERROR(MATCH(22,$AA$40:$AA$133,0),0)=0,"",INDEX($AF$40:$AF$133,IFERROR(MATCH(22,$AA$40:$AA$133,0),0))&amp;"")</f>
        <v>CA CALLETS 0.4KG/UC 7UC/BOX 144BOX/PAL</v>
      </c>
      <c r="N35" s="118" t="str">
        <f aca="false">IF(A35="","",IF(I35="Aguardando transferência","Transferir "&amp;FIXED(G35,1)&amp;" "&amp;C35&amp;" do 2008 para o ZBR (verificar se já há OT aberta)",IF(I35="Transferido 100%","Nada a fazer","Sem ação: saíram "&amp;FIXED(-G35,1)&amp;" "&amp;C35&amp;" que já estavam no 2008 antes de 09/09 (conferir só se não havia saldo)")))</f>
        <v>Transferir 638.4 KG do 2008 para o ZBR (verificar se já há OT aberta)</v>
      </c>
      <c r="O35" s="1"/>
      <c r="AT35" s="82" t="s">
        <v>269</v>
      </c>
      <c r="AV35" s="0" t="str">
        <f aca="false">IFERROR(INDEX($AX$1:$AX$94,MATCH(34,$AY$1:$AY$94,0)),"")</f>
        <v>260310301</v>
      </c>
      <c r="AW35" s="82" t="s">
        <v>338</v>
      </c>
      <c r="AX35" s="82" t="s">
        <v>339</v>
      </c>
      <c r="AY35" s="82" t="n">
        <f aca="false">IF(OR($A$5="Todos",AW35=$A$5),MAX(AY$1:AY34)+1,0)</f>
        <v>35</v>
      </c>
    </row>
    <row r="36" customFormat="false" ht="15" hidden="false" customHeight="false" outlineLevel="0" collapsed="false">
      <c r="A36" s="111" t="str">
        <f aca="false">IF(IFERROR(MATCH(23,$AA$40:$AA$133,0),0)=0,"",INDEX($T$40:$T$133,IFERROR(MATCH(23,$AA$40:$AA$133,0),0)))</f>
        <v>CW2-BR-25A</v>
      </c>
      <c r="B36" s="111" t="str">
        <f aca="false">IF(IFERROR(MATCH(23,$AA$40:$AA$133,0),0)=0,"",INDEX($AG$40:$AG$133,IFERROR(MATCH(23,$AA$40:$AA$133,0),0)))</f>
        <v>261070301</v>
      </c>
      <c r="C36" s="112" t="str">
        <f aca="false">IF(IFERROR(MATCH(23,$AA$40:$AA$133,0),0)=0,"",INDEX($U$40:$U$133,IFERROR(MATCH(23,$AA$40:$AA$133,0),0)))</f>
        <v>KG</v>
      </c>
      <c r="D36" s="113" t="n">
        <f aca="false">IF(IFERROR(MATCH(23,$AA$40:$AA$133,0),0)=0,"",INDEX($V$40:$V$133,IFERROR(MATCH(23,$AA$40:$AA$133,0),0)))</f>
        <v>1166</v>
      </c>
      <c r="E36" s="113" t="n">
        <f aca="false">IF(IFERROR(MATCH(23,$AA$40:$AA$133,0),0)=0,"",INDEX($W$40:$W$133,IFERROR(MATCH(23,$AA$40:$AA$133,0),0)))</f>
        <v>603</v>
      </c>
      <c r="F36" s="113" t="n">
        <f aca="false">IF(IFERROR(MATCH(23,$AA$40:$AA$133,0),0)=0,"",INDEX($X$40:$X$133,IFERROR(MATCH(23,$AA$40:$AA$133,0),0)))</f>
        <v>0</v>
      </c>
      <c r="G36" s="114" t="n">
        <f aca="false">IF(IFERROR(MATCH(23,$AA$40:$AA$133,0),0)=0,"",INDEX($Y$40:$Y$133,IFERROR(MATCH(23,$AA$40:$AA$133,0),0)))</f>
        <v>563</v>
      </c>
      <c r="H36" s="145" t="n">
        <f aca="false">IF(A36="","",IF(D36&gt;0,(E36-F36)/D36,""))</f>
        <v>0.517152658662093</v>
      </c>
      <c r="I36" s="115" t="str">
        <f aca="false">IF(IFERROR(MATCH(23,$AA$40:$AA$133,0),0)=0,"",INDEX($AB$40:$AB$133,IFERROR(MATCH(23,$AA$40:$AA$133,0),0)))</f>
        <v>Aguardando transferência</v>
      </c>
      <c r="J36" s="116" t="n">
        <f aca="false">IF(IFERROR(MATCH(23,$AA$40:$AA$133,0),0)=0,"",INDEX($AC$40:$AC$133,IFERROR(MATCH(23,$AA$40:$AA$133,0),0)))</f>
        <v>2</v>
      </c>
      <c r="K36" s="117" t="n">
        <f aca="false">IF(IFERROR(MATCH(23,$AA$40:$AA$133,0),0)=0,"",IF(INDEX($AD$40:$AD$133,IFERROR(MATCH(23,$AA$40:$AA$133,0),0))=0,"",INDEX($AD$40:$AD$133,IFERROR(MATCH(23,$AA$40:$AA$133,0),0))))</f>
        <v>46275</v>
      </c>
      <c r="L36" s="117" t="n">
        <f aca="false">IF(IFERROR(MATCH(23,$AA$40:$AA$133,0),0)=0,"",IF(INDEX($AE$40:$AE$133,IFERROR(MATCH(23,$AA$40:$AA$133,0),0))=0,"",INDEX($AE$40:$AE$133,IFERROR(MATCH(23,$AA$40:$AA$133,0),0))))</f>
        <v>46288</v>
      </c>
      <c r="M36" s="119" t="str">
        <f aca="false">IF(IFERROR(MATCH(23,$AA$40:$AA$133,0),0)=0,"",INDEX($AF$40:$AF$133,IFERROR(MATCH(23,$AA$40:$AA$133,0),0))&amp;"")</f>
        <v>CA MOEDAS 2,01KG/UC 10UC/CX 30CX/PAL</v>
      </c>
      <c r="N36" s="118" t="str">
        <f aca="false">IF(A36="","",IF(I36="Aguardando transferência","Transferir "&amp;FIXED(G36,1)&amp;" "&amp;C36&amp;" do 2008 para o ZBR (verificar se já há OT aberta)",IF(I36="Transferido 100%","Nada a fazer","Sem ação: saíram "&amp;FIXED(-G36,1)&amp;" "&amp;C36&amp;" que já estavam no 2008 antes de 09/09 (conferir só se não havia saldo)")))</f>
        <v>Transferir 563.0 KG do 2008 para o ZBR (verificar se já há OT aberta)</v>
      </c>
      <c r="O36" s="1"/>
      <c r="AT36" s="82" t="s">
        <v>271</v>
      </c>
      <c r="AV36" s="0" t="str">
        <f aca="false">IFERROR(INDEX($AX$1:$AX$94,MATCH(35,$AY$1:$AY$94,0)),"")</f>
        <v>260880301</v>
      </c>
      <c r="AW36" s="82" t="s">
        <v>245</v>
      </c>
      <c r="AX36" s="82" t="s">
        <v>246</v>
      </c>
      <c r="AY36" s="82" t="n">
        <f aca="false">IF(OR($A$5="Todos",AW36=$A$5),MAX(AY$1:AY35)+1,0)</f>
        <v>36</v>
      </c>
    </row>
    <row r="37" customFormat="false" ht="15" hidden="false" customHeight="false" outlineLevel="0" collapsed="false">
      <c r="A37" s="111" t="str">
        <f aca="false">IF(IFERROR(MATCH(24,$AA$40:$AA$133,0),0)=0,"",INDEX($T$40:$T$133,IFERROR(MATCH(24,$AA$40:$AA$133,0),0)))</f>
        <v>DCP-20BODEC-89B</v>
      </c>
      <c r="B37" s="111" t="str">
        <f aca="false">IF(IFERROR(MATCH(24,$AA$40:$AA$133,0),0)=0,"",INDEX($AG$40:$AG$133,IFERROR(MATCH(24,$AA$40:$AA$133,0),0)))</f>
        <v>261388131</v>
      </c>
      <c r="C37" s="112" t="str">
        <f aca="false">IF(IFERROR(MATCH(24,$AA$40:$AA$133,0),0)=0,"",INDEX($U$40:$U$133,IFERROR(MATCH(24,$AA$40:$AA$133,0),0)))</f>
        <v>KG</v>
      </c>
      <c r="D37" s="113" t="n">
        <f aca="false">IF(IFERROR(MATCH(24,$AA$40:$AA$133,0),0)=0,"",INDEX($V$40:$V$133,IFERROR(MATCH(24,$AA$40:$AA$133,0),0)))</f>
        <v>432</v>
      </c>
      <c r="E37" s="113" t="n">
        <f aca="false">IF(IFERROR(MATCH(24,$AA$40:$AA$133,0),0)=0,"",INDEX($W$40:$W$133,IFERROR(MATCH(24,$AA$40:$AA$133,0),0)))</f>
        <v>-0</v>
      </c>
      <c r="F37" s="113" t="n">
        <f aca="false">IF(IFERROR(MATCH(24,$AA$40:$AA$133,0),0)=0,"",INDEX($X$40:$X$133,IFERROR(MATCH(24,$AA$40:$AA$133,0),0)))</f>
        <v>0</v>
      </c>
      <c r="G37" s="114" t="n">
        <f aca="false">IF(IFERROR(MATCH(24,$AA$40:$AA$133,0),0)=0,"",INDEX($Y$40:$Y$133,IFERROR(MATCH(24,$AA$40:$AA$133,0),0)))</f>
        <v>432</v>
      </c>
      <c r="H37" s="145" t="n">
        <f aca="false">IF(A37="","",IF(D37&gt;0,(E37-F37)/D37,""))</f>
        <v>-0</v>
      </c>
      <c r="I37" s="115" t="str">
        <f aca="false">IF(IFERROR(MATCH(24,$AA$40:$AA$133,0),0)=0,"",INDEX($AB$40:$AB$133,IFERROR(MATCH(24,$AA$40:$AA$133,0),0)))</f>
        <v>Aguardando transferência</v>
      </c>
      <c r="J37" s="116" t="n">
        <f aca="false">IF(IFERROR(MATCH(24,$AA$40:$AA$133,0),0)=0,"",INDEX($AC$40:$AC$133,IFERROR(MATCH(24,$AA$40:$AA$133,0),0)))</f>
        <v>1</v>
      </c>
      <c r="K37" s="117" t="n">
        <f aca="false">IF(IFERROR(MATCH(24,$AA$40:$AA$133,0),0)=0,"",IF(INDEX($AD$40:$AD$133,IFERROR(MATCH(24,$AA$40:$AA$133,0),0))=0,"",INDEX($AD$40:$AD$133,IFERROR(MATCH(24,$AA$40:$AA$133,0),0))))</f>
        <v>46275</v>
      </c>
      <c r="L37" s="117" t="n">
        <f aca="false">IF(IFERROR(MATCH(24,$AA$40:$AA$133,0),0)=0,"",IF(INDEX($AE$40:$AE$133,IFERROR(MATCH(24,$AA$40:$AA$133,0),0))=0,"",INDEX($AE$40:$AE$133,IFERROR(MATCH(24,$AA$40:$AA$133,0),0))))</f>
        <v>46275</v>
      </c>
      <c r="M37" s="119" t="str">
        <f aca="false">IF(IFERROR(MATCH(24,$AA$40:$AA$133,0),0)=0,"",INDEX($AF$40:$AF$133,IFERROR(MATCH(24,$AA$40:$AA$133,0),0))&amp;"")</f>
        <v/>
      </c>
      <c r="N37" s="118" t="str">
        <f aca="false">IF(A37="","",IF(I37="Aguardando transferência","Transferir "&amp;FIXED(G37,1)&amp;" "&amp;C37&amp;" do 2008 para o ZBR (verificar se já há OT aberta)",IF(I37="Transferido 100%","Nada a fazer","Sem ação: saíram "&amp;FIXED(-G37,1)&amp;" "&amp;C37&amp;" que já estavam no 2008 antes de 09/09 (conferir só se não havia saldo)")))</f>
        <v>Transferir 432.0 KG do 2008 para o ZBR (verificar se já há OT aberta)</v>
      </c>
      <c r="O37" s="1"/>
      <c r="AT37" s="82" t="s">
        <v>368</v>
      </c>
      <c r="AV37" s="0" t="str">
        <f aca="false">IFERROR(INDEX($AX$1:$AX$94,MATCH(36,$AY$1:$AY$94,0)),"")</f>
        <v>250500301</v>
      </c>
      <c r="AW37" s="82" t="s">
        <v>341</v>
      </c>
      <c r="AX37" s="82" t="s">
        <v>342</v>
      </c>
      <c r="AY37" s="82" t="n">
        <f aca="false">IF(OR($A$5="Todos",AW37=$A$5),MAX(AY$1:AY36)+1,0)</f>
        <v>37</v>
      </c>
    </row>
    <row r="38" customFormat="false" ht="15" hidden="false" customHeight="false" outlineLevel="0" collapsed="false">
      <c r="A38" s="111" t="str">
        <f aca="false">IF(IFERROR(MATCH(25,$AA$40:$AA$133,0),0)=0,"",INDEX($T$40:$T$133,IFERROR(MATCH(25,$AA$40:$AA$133,0),0)))</f>
        <v>PRA-T14</v>
      </c>
      <c r="B38" s="111" t="str">
        <f aca="false">IF(IFERROR(MATCH(25,$AA$40:$AA$133,0),0)=0,"",INDEX($AG$40:$AG$133,IFERROR(MATCH(25,$AA$40:$AA$133,0),0)))</f>
        <v>2611295089</v>
      </c>
      <c r="C38" s="112" t="str">
        <f aca="false">IF(IFERROR(MATCH(25,$AA$40:$AA$133,0),0)=0,"",INDEX($U$40:$U$133,IFERROR(MATCH(25,$AA$40:$AA$133,0),0)))</f>
        <v>KG</v>
      </c>
      <c r="D38" s="113" t="n">
        <f aca="false">IF(IFERROR(MATCH(25,$AA$40:$AA$133,0),0)=0,"",INDEX($V$40:$V$133,IFERROR(MATCH(25,$AA$40:$AA$133,0),0)))</f>
        <v>400</v>
      </c>
      <c r="E38" s="113" t="n">
        <f aca="false">IF(IFERROR(MATCH(25,$AA$40:$AA$133,0),0)=0,"",INDEX($W$40:$W$133,IFERROR(MATCH(25,$AA$40:$AA$133,0),0)))</f>
        <v>-0</v>
      </c>
      <c r="F38" s="113" t="n">
        <f aca="false">IF(IFERROR(MATCH(25,$AA$40:$AA$133,0),0)=0,"",INDEX($X$40:$X$133,IFERROR(MATCH(25,$AA$40:$AA$133,0),0)))</f>
        <v>0</v>
      </c>
      <c r="G38" s="114" t="n">
        <f aca="false">IF(IFERROR(MATCH(25,$AA$40:$AA$133,0),0)=0,"",INDEX($Y$40:$Y$133,IFERROR(MATCH(25,$AA$40:$AA$133,0),0)))</f>
        <v>400</v>
      </c>
      <c r="H38" s="145" t="n">
        <f aca="false">IF(A38="","",IF(D38&gt;0,(E38-F38)/D38,""))</f>
        <v>-0</v>
      </c>
      <c r="I38" s="115" t="str">
        <f aca="false">IF(IFERROR(MATCH(25,$AA$40:$AA$133,0),0)=0,"",INDEX($AB$40:$AB$133,IFERROR(MATCH(25,$AA$40:$AA$133,0),0)))</f>
        <v>Aguardando transferência</v>
      </c>
      <c r="J38" s="116" t="n">
        <f aca="false">IF(IFERROR(MATCH(25,$AA$40:$AA$133,0),0)=0,"",INDEX($AC$40:$AC$133,IFERROR(MATCH(25,$AA$40:$AA$133,0),0)))</f>
        <v>1</v>
      </c>
      <c r="K38" s="117" t="n">
        <f aca="false">IF(IFERROR(MATCH(25,$AA$40:$AA$133,0),0)=0,"",IF(INDEX($AD$40:$AD$133,IFERROR(MATCH(25,$AA$40:$AA$133,0),0))=0,"",INDEX($AD$40:$AD$133,IFERROR(MATCH(25,$AA$40:$AA$133,0),0))))</f>
        <v>46275</v>
      </c>
      <c r="L38" s="117" t="n">
        <f aca="false">IF(IFERROR(MATCH(25,$AA$40:$AA$133,0),0)=0,"",IF(INDEX($AE$40:$AE$133,IFERROR(MATCH(25,$AA$40:$AA$133,0),0))=0,"",INDEX($AE$40:$AE$133,IFERROR(MATCH(25,$AA$40:$AA$133,0),0))))</f>
        <v>46275</v>
      </c>
      <c r="M38" s="119" t="str">
        <f aca="false">IF(IFERROR(MATCH(25,$AA$40:$AA$133,0),0)=0,"",INDEX($AF$40:$AF$133,IFERROR(MATCH(25,$AA$40:$AA$133,0),0))&amp;"")</f>
        <v>CA 5KG/UC 2UC/BOX 50BOX/PAL</v>
      </c>
      <c r="N38" s="118" t="str">
        <f aca="false">IF(A38="","",IF(I38="Aguardando transferência","Transferir "&amp;FIXED(G38,1)&amp;" "&amp;C38&amp;" do 2008 para o ZBR (verificar se já há OT aberta)",IF(I38="Transferido 100%","Nada a fazer","Sem ação: saíram "&amp;FIXED(-G38,1)&amp;" "&amp;C38&amp;" que já estavam no 2008 antes de 09/09 (conferir só se não havia saldo)")))</f>
        <v>Transferir 400.0 KG do 2008 para o ZBR (verificar se já há OT aberta)</v>
      </c>
      <c r="O38" s="1"/>
      <c r="AT38" s="82" t="s">
        <v>276</v>
      </c>
      <c r="AV38" s="0" t="str">
        <f aca="false">IFERROR(INDEX($AX$1:$AX$94,MATCH(37,$AY$1:$AY$94,0)),"")</f>
        <v>2520443650</v>
      </c>
      <c r="AW38" s="82" t="s">
        <v>343</v>
      </c>
      <c r="AX38" s="82" t="s">
        <v>344</v>
      </c>
      <c r="AY38" s="82" t="n">
        <f aca="false">IF(OR($A$5="Todos",AW38=$A$5),MAX(AY$1:AY37)+1,0)</f>
        <v>38</v>
      </c>
    </row>
    <row r="39" customFormat="false" ht="15" hidden="false" customHeight="false" outlineLevel="0" collapsed="false">
      <c r="A39" s="111" t="str">
        <f aca="false">IF(IFERROR(MATCH(26,$AA$40:$AA$133,0),0)=0,"",INDEX($T$40:$T$133,IFERROR(MATCH(26,$AA$40:$AA$133,0),0)))</f>
        <v>CHM-Q41ALUN-2B-U73</v>
      </c>
      <c r="B39" s="111" t="str">
        <f aca="false">IF(IFERROR(MATCH(26,$AA$40:$AA$133,0),0)=0,"",INDEX($AG$40:$AG$133,IFERROR(MATCH(26,$AA$40:$AA$133,0),0)))</f>
        <v>260660303</v>
      </c>
      <c r="C39" s="112" t="str">
        <f aca="false">IF(IFERROR(MATCH(26,$AA$40:$AA$133,0),0)=0,"",INDEX($U$40:$U$133,IFERROR(MATCH(26,$AA$40:$AA$133,0),0)))</f>
        <v>KG</v>
      </c>
      <c r="D39" s="113" t="n">
        <f aca="false">IF(IFERROR(MATCH(26,$AA$40:$AA$133,0),0)=0,"",INDEX($V$40:$V$133,IFERROR(MATCH(26,$AA$40:$AA$133,0),0)))</f>
        <v>384</v>
      </c>
      <c r="E39" s="113" t="n">
        <f aca="false">IF(IFERROR(MATCH(26,$AA$40:$AA$133,0),0)=0,"",INDEX($W$40:$W$133,IFERROR(MATCH(26,$AA$40:$AA$133,0),0)))</f>
        <v>-0</v>
      </c>
      <c r="F39" s="113" t="n">
        <f aca="false">IF(IFERROR(MATCH(26,$AA$40:$AA$133,0),0)=0,"",INDEX($X$40:$X$133,IFERROR(MATCH(26,$AA$40:$AA$133,0),0)))</f>
        <v>0</v>
      </c>
      <c r="G39" s="114" t="n">
        <f aca="false">IF(IFERROR(MATCH(26,$AA$40:$AA$133,0),0)=0,"",INDEX($Y$40:$Y$133,IFERROR(MATCH(26,$AA$40:$AA$133,0),0)))</f>
        <v>384</v>
      </c>
      <c r="H39" s="145" t="n">
        <f aca="false">IF(A39="","",IF(D39&gt;0,(E39-F39)/D39,""))</f>
        <v>-0</v>
      </c>
      <c r="I39" s="115" t="str">
        <f aca="false">IF(IFERROR(MATCH(26,$AA$40:$AA$133,0),0)=0,"",INDEX($AB$40:$AB$133,IFERROR(MATCH(26,$AA$40:$AA$133,0),0)))</f>
        <v>Aguardando transferência</v>
      </c>
      <c r="J39" s="116" t="n">
        <f aca="false">IF(IFERROR(MATCH(26,$AA$40:$AA$133,0),0)=0,"",INDEX($AC$40:$AC$133,IFERROR(MATCH(26,$AA$40:$AA$133,0),0)))</f>
        <v>1</v>
      </c>
      <c r="K39" s="117" t="n">
        <f aca="false">IF(IFERROR(MATCH(26,$AA$40:$AA$133,0),0)=0,"",IF(INDEX($AD$40:$AD$133,IFERROR(MATCH(26,$AA$40:$AA$133,0),0))=0,"",INDEX($AD$40:$AD$133,IFERROR(MATCH(26,$AA$40:$AA$133,0),0))))</f>
        <v>46275</v>
      </c>
      <c r="L39" s="117" t="n">
        <f aca="false">IF(IFERROR(MATCH(26,$AA$40:$AA$133,0),0)=0,"",IF(INDEX($AE$40:$AE$133,IFERROR(MATCH(26,$AA$40:$AA$133,0),0))=0,"",INDEX($AE$40:$AE$133,IFERROR(MATCH(26,$AA$40:$AA$133,0),0))))</f>
        <v>46275</v>
      </c>
      <c r="M39" s="119" t="str">
        <f aca="false">IF(IFERROR(MATCH(26,$AA$40:$AA$133,0),0)=0,"",INDEX($AF$40:$AF$133,IFERROR(MATCH(26,$AA$40:$AA$133,0),0))&amp;"")</f>
        <v/>
      </c>
      <c r="N39" s="118" t="str">
        <f aca="false">IF(A39="","",IF(I39="Aguardando transferência","Transferir "&amp;FIXED(G39,1)&amp;" "&amp;C39&amp;" do 2008 para o ZBR (verificar se já há OT aberta)",IF(I39="Transferido 100%","Nada a fazer","Sem ação: saíram "&amp;FIXED(-G39,1)&amp;" "&amp;C39&amp;" que já estavam no 2008 antes de 09/09 (conferir só se não havia saldo)")))</f>
        <v>Transferir 384.0 KG do 2008 para o ZBR (verificar se já há OT aberta)</v>
      </c>
      <c r="O39" s="1"/>
      <c r="AL39" s="82" t="s">
        <v>1749</v>
      </c>
      <c r="AM39" s="82" t="s">
        <v>1797</v>
      </c>
      <c r="AQ39" s="82" t="s">
        <v>163</v>
      </c>
      <c r="AR39" s="82" t="s">
        <v>1798</v>
      </c>
      <c r="AT39" s="82" t="s">
        <v>372</v>
      </c>
      <c r="AV39" s="0" t="str">
        <f aca="false">IFERROR(INDEX($AX$1:$AX$94,MATCH(38,$AY$1:$AY$94,0)),"")</f>
        <v>261160301</v>
      </c>
      <c r="AW39" s="82" t="s">
        <v>346</v>
      </c>
      <c r="AX39" s="82" t="s">
        <v>347</v>
      </c>
      <c r="AY39" s="82" t="n">
        <f aca="false">IF(OR($A$5="Todos",AW39=$A$5),MAX(AY$1:AY38)+1,0)</f>
        <v>39</v>
      </c>
    </row>
    <row r="40" customFormat="false" ht="15" hidden="false" customHeight="false" outlineLevel="0" collapsed="false">
      <c r="A40" s="111" t="str">
        <f aca="false">IF(IFERROR(MATCH(27,$AA$40:$AA$133,0),0)=0,"",INDEX($T$40:$T$133,IFERROR(MATCH(27,$AA$40:$AA$133,0),0)))</f>
        <v>W2-BR-D94</v>
      </c>
      <c r="B40" s="111" t="str">
        <f aca="false">IF(IFERROR(MATCH(27,$AA$40:$AA$133,0),0)=0,"",INDEX($AG$40:$AG$133,IFERROR(MATCH(27,$AA$40:$AA$133,0),0)))</f>
        <v>261131599</v>
      </c>
      <c r="C40" s="112" t="str">
        <f aca="false">IF(IFERROR(MATCH(27,$AA$40:$AA$133,0),0)=0,"",INDEX($U$40:$U$133,IFERROR(MATCH(27,$AA$40:$AA$133,0),0)))</f>
        <v>KG</v>
      </c>
      <c r="D40" s="113" t="n">
        <f aca="false">IF(IFERROR(MATCH(27,$AA$40:$AA$133,0),0)=0,"",INDEX($V$40:$V$133,IFERROR(MATCH(27,$AA$40:$AA$133,0),0)))</f>
        <v>204.4</v>
      </c>
      <c r="E40" s="113" t="n">
        <f aca="false">IF(IFERROR(MATCH(27,$AA$40:$AA$133,0),0)=0,"",INDEX($W$40:$W$133,IFERROR(MATCH(27,$AA$40:$AA$133,0),0)))</f>
        <v>-0</v>
      </c>
      <c r="F40" s="113" t="n">
        <f aca="false">IF(IFERROR(MATCH(27,$AA$40:$AA$133,0),0)=0,"",INDEX($X$40:$X$133,IFERROR(MATCH(27,$AA$40:$AA$133,0),0)))</f>
        <v>0</v>
      </c>
      <c r="G40" s="114" t="n">
        <f aca="false">IF(IFERROR(MATCH(27,$AA$40:$AA$133,0),0)=0,"",INDEX($Y$40:$Y$133,IFERROR(MATCH(27,$AA$40:$AA$133,0),0)))</f>
        <v>204.4</v>
      </c>
      <c r="H40" s="145" t="n">
        <f aca="false">IF(A40="","",IF(D40&gt;0,(E40-F40)/D40,""))</f>
        <v>-0</v>
      </c>
      <c r="I40" s="115" t="str">
        <f aca="false">IF(IFERROR(MATCH(27,$AA$40:$AA$133,0),0)=0,"",INDEX($AB$40:$AB$133,IFERROR(MATCH(27,$AA$40:$AA$133,0),0)))</f>
        <v>Aguardando transferência</v>
      </c>
      <c r="J40" s="116" t="n">
        <f aca="false">IF(IFERROR(MATCH(27,$AA$40:$AA$133,0),0)=0,"",INDEX($AC$40:$AC$133,IFERROR(MATCH(27,$AA$40:$AA$133,0),0)))</f>
        <v>1</v>
      </c>
      <c r="K40" s="117" t="n">
        <f aca="false">IF(IFERROR(MATCH(27,$AA$40:$AA$133,0),0)=0,"",IF(INDEX($AD$40:$AD$133,IFERROR(MATCH(27,$AA$40:$AA$133,0),0))=0,"",INDEX($AD$40:$AD$133,IFERROR(MATCH(27,$AA$40:$AA$133,0),0))))</f>
        <v>46275</v>
      </c>
      <c r="L40" s="117" t="n">
        <f aca="false">IF(IFERROR(MATCH(27,$AA$40:$AA$133,0),0)=0,"",IF(INDEX($AE$40:$AE$133,IFERROR(MATCH(27,$AA$40:$AA$133,0),0))=0,"",INDEX($AE$40:$AE$133,IFERROR(MATCH(27,$AA$40:$AA$133,0),0))))</f>
        <v>46275</v>
      </c>
      <c r="M40" s="119" t="str">
        <f aca="false">IF(IFERROR(MATCH(27,$AA$40:$AA$133,0),0)=0,"",INDEX($AF$40:$AF$133,IFERROR(MATCH(27,$AA$40:$AA$133,0),0))&amp;"")</f>
        <v>CA CALLETS 0.4KG/UC 7UC/BOX 144BOX/PAL</v>
      </c>
      <c r="N40" s="118" t="str">
        <f aca="false">IF(A40="","",IF(I40="Aguardando transferência","Transferir "&amp;FIXED(G40,1)&amp;" "&amp;C40&amp;" do 2008 para o ZBR (verificar se já há OT aberta)",IF(I40="Transferido 100%","Nada a fazer","Sem ação: saíram "&amp;FIXED(-G40,1)&amp;" "&amp;C40&amp;" que já estavam no 2008 antes de 09/09 (conferir só se não havia saldo)")))</f>
        <v>Transferir 204.4 KG do 2008 para o ZBR (verificar se já há OT aberta)</v>
      </c>
      <c r="O40" s="1"/>
      <c r="T40" s="82" t="s">
        <v>377</v>
      </c>
      <c r="U40" s="82" t="s">
        <v>65</v>
      </c>
      <c r="V40" s="82" t="n">
        <f aca="false">SUMIFS('3 Base Entrada 2008'!$G$2:$G$5000,'3 Base Entrada 2008'!$F$2:$F$5000,"&gt;="&amp;$F$5,'3 Base Entrada 2008'!$F$2:$F$5000,"&lt;="&amp;$H$5,'3 Base Entrada 2008'!$B$2:$B$5000,$T40,'3 Base Entrada 2008'!$C$2:$C$5000,$AG40,'3 Base Entrada 2008'!$K$2:$K$5000,"Recebido no 2008")</f>
        <v>6912</v>
      </c>
      <c r="W40" s="82" t="n">
        <f aca="false">-SUMIFS('3 Base Entrada 2008'!$G$2:$G$5000,'3 Base Entrada 2008'!$F$2:$F$5000,"&gt;="&amp;$F$5,'3 Base Entrada 2008'!$F$2:$F$5000,"&lt;="&amp;$H$5,'3 Base Entrada 2008'!$B$2:$B$5000,$T40,'3 Base Entrada 2008'!$C$2:$C$5000,$AG40,'3 Base Entrada 2008'!$K$2:$K$5000,"Entrada")</f>
        <v>-0</v>
      </c>
      <c r="X40" s="82" t="n">
        <f aca="false">SUMIFS('3 Base Entrada 2008'!$G$2:$G$5000,'3 Base Entrada 2008'!$F$2:$F$5000,"&gt;="&amp;$F$5,'3 Base Entrada 2008'!$F$2:$F$5000,"&lt;="&amp;$H$5,'3 Base Entrada 2008'!$B$2:$B$5000,$T40,'3 Base Entrada 2008'!$C$2:$C$5000,$AG40,'3 Base Entrada 2008'!$K$2:$K$5000,"Estorno")</f>
        <v>0</v>
      </c>
      <c r="Y40" s="82" t="n">
        <f aca="false">ROUND(BA40+V40-W40+X40,3)</f>
        <v>6912</v>
      </c>
      <c r="Z40" s="82" t="n">
        <f aca="false">IF(AND(U40=$R$3,OR($R$1="*",T40=$R$1),OR($R$2="*",AG40=$R$2),OR($K$5="Todas",AB40=$K$5),ABS(V40)+ABS(W40)+ABS(X40)&gt;0),1,0)</f>
        <v>1</v>
      </c>
      <c r="AA40" s="82" t="n">
        <f aca="false">IF(Z40=1,SUM(Z$40:Z40),"")</f>
        <v>1</v>
      </c>
      <c r="AB40" s="0" t="str">
        <f aca="false">IF(ABS(Y40)&lt;=$R$5,"Transferido 100%",IF(Y40&gt;0,"Aguardando transferência","Saiu saldo anterior a 09/09"))</f>
        <v>Aguardando transferência</v>
      </c>
      <c r="AC40" s="82" t="n">
        <f aca="false">COUNTIFS('3 Base Entrada 2008'!$F$2:$F$5000,"&gt;="&amp;$F$5,'3 Base Entrada 2008'!$F$2:$F$5000,"&lt;="&amp;$H$5,'3 Base Entrada 2008'!$B$2:$B$5000,$T40,'3 Base Entrada 2008'!$C$2:$C$5000,$AG40)</f>
        <v>2</v>
      </c>
      <c r="AD40" s="82" t="n">
        <f aca="false">_xlfn.MINIFS('3 Base Entrada 2008'!$F$2:$F$5000,'3 Base Entrada 2008'!$F$2:$F$5000,"&gt;="&amp;$F$5,'3 Base Entrada 2008'!$F$2:$F$5000,"&lt;="&amp;$H$5,'3 Base Entrada 2008'!$B$2:$B$5000,$T40,'3 Base Entrada 2008'!$C$2:$C$5000,$AG40)</f>
        <v>46275</v>
      </c>
      <c r="AE40" s="82" t="n">
        <f aca="false">_xlfn.MAXIFS('3 Base Entrada 2008'!$F$2:$F$5000,'3 Base Entrada 2008'!$F$2:$F$5000,"&gt;="&amp;$F$5,'3 Base Entrada 2008'!$F$2:$F$5000,"&lt;="&amp;$H$5,'3 Base Entrada 2008'!$B$2:$B$5000,$T40,'3 Base Entrada 2008'!$C$2:$C$5000,$AG40)</f>
        <v>46275</v>
      </c>
      <c r="AG40" s="82" t="s">
        <v>379</v>
      </c>
      <c r="AH40" s="82" t="n">
        <f aca="false">IF(AND(Z40=1,Y40&gt;$R$5),Y40+ROW()/10000000,0)</f>
        <v>6912.000004</v>
      </c>
      <c r="AJ40" s="82" t="n">
        <f aca="false">LARGE($AH$40:$AH$133,1)</f>
        <v>6912.000004</v>
      </c>
      <c r="AK40" s="82" t="n">
        <f aca="false">IF(AJ40&gt;0,MATCH(AJ40,$AH$40:$AH$133,0),"")</f>
        <v>1</v>
      </c>
      <c r="AL40" s="0" t="str">
        <f aca="false">IF(AK40="","",INDEX($T$40:$T$133,AK40)&amp;" · "&amp;INDEX($AG$40:$AG$133,AK40))</f>
        <v>DCP-22ZEPLA-89B · 260358131</v>
      </c>
      <c r="AM40" s="82" t="n">
        <f aca="false">IF(AK40="",0,INDEX($Y$40:$Y$133,AK40))</f>
        <v>6912</v>
      </c>
      <c r="AO40" s="82" t="s">
        <v>1753</v>
      </c>
      <c r="AP40" s="120" t="n">
        <v>46274</v>
      </c>
      <c r="AQ40" s="82" t="n">
        <f aca="false">IF(AND(AP40&gt;=$F$5,AP40&lt;=$H$5),SUMIFS('3 Base Entrada 2008'!$G$2:$G$5000,'3 Base Entrada 2008'!$F$2:$F$5000,$AP40,'3 Base Entrada 2008'!$B$2:$B$5000,$R$1,'3 Base Entrada 2008'!$C$2:$C$5000,$R$2,'3 Base Entrada 2008'!$H$2:$H$5000,$R$3,'3 Base Entrada 2008'!$K$2:$K$5000,"Recebido no 2008"),0)</f>
        <v>0</v>
      </c>
      <c r="AR40" s="82" t="n">
        <f aca="false">IF(AND(AP40&gt;=$F$5,AP40&lt;=$H$5),SUMIFS('3 Base Entrada 2008'!$G$2:$G$5000,'3 Base Entrada 2008'!$F$2:$F$5000,$AP40,'3 Base Entrada 2008'!$B$2:$B$5000,$R$1,'3 Base Entrada 2008'!$C$2:$C$5000,$R$2,'3 Base Entrada 2008'!$H$2:$H$5000,$R$3,'3 Base Entrada 2008'!$K$2:$K$5000,"Entrada")+SUMIFS('3 Base Entrada 2008'!$G$2:$G$5000,'3 Base Entrada 2008'!$F$2:$F$5000,$AP40,'3 Base Entrada 2008'!$B$2:$B$5000,$R$1,'3 Base Entrada 2008'!$C$2:$C$5000,$R$2,'3 Base Entrada 2008'!$H$2:$H$5000,$R$3,'3 Base Entrada 2008'!$K$2:$K$5000,"Estorno"),0)</f>
        <v>-490.96</v>
      </c>
      <c r="AT40" s="82" t="s">
        <v>281</v>
      </c>
      <c r="AV40" s="0" t="str">
        <f aca="false">IFERROR(INDEX($AX$1:$AX$94,MATCH(39,$AY$1:$AY$94,0)),"")</f>
        <v>261756201</v>
      </c>
      <c r="AW40" s="82" t="s">
        <v>247</v>
      </c>
      <c r="AX40" s="82" t="s">
        <v>350</v>
      </c>
      <c r="AY40" s="82" t="n">
        <f aca="false">IF(OR($A$5="Todos",AW40=$A$5),MAX(AY$1:AY39)+1,0)</f>
        <v>40</v>
      </c>
      <c r="BA40" s="82" t="n">
        <f aca="false">SUMIFS('3 Base Saldo Inicial 08-09'!$E$2:$E$5000,'3 Base Saldo Inicial 08-09'!$A$2:$A$5000,$T40,'3 Base Saldo Inicial 08-09'!$B$2:$B$5000,$AG40,'3 Base Saldo Inicial 08-09'!$C$2:$C$5000,"2008")</f>
        <v>0</v>
      </c>
    </row>
    <row r="41" customFormat="false" ht="15" hidden="false" customHeight="false" outlineLevel="0" collapsed="false">
      <c r="A41" s="111" t="str">
        <f aca="false">IF(IFERROR(MATCH(28,$AA$40:$AA$133,0),0)=0,"",INDEX($T$40:$T$133,IFERROR(MATCH(28,$AA$40:$AA$133,0),0)))</f>
        <v>CHK-R30GOLD-BR-25A</v>
      </c>
      <c r="B41" s="111" t="str">
        <f aca="false">IF(IFERROR(MATCH(28,$AA$40:$AA$133,0),0)=0,"",INDEX($AG$40:$AG$133,IFERROR(MATCH(28,$AA$40:$AA$133,0),0)))</f>
        <v>252750301</v>
      </c>
      <c r="C41" s="112" t="str">
        <f aca="false">IF(IFERROR(MATCH(28,$AA$40:$AA$133,0),0)=0,"",INDEX($U$40:$U$133,IFERROR(MATCH(28,$AA$40:$AA$133,0),0)))</f>
        <v>KG</v>
      </c>
      <c r="D41" s="113" t="n">
        <f aca="false">IF(IFERROR(MATCH(28,$AA$40:$AA$133,0),0)=0,"",INDEX($V$40:$V$133,IFERROR(MATCH(28,$AA$40:$AA$133,0),0)))</f>
        <v>160.8</v>
      </c>
      <c r="E41" s="113" t="n">
        <f aca="false">IF(IFERROR(MATCH(28,$AA$40:$AA$133,0),0)=0,"",INDEX($W$40:$W$133,IFERROR(MATCH(28,$AA$40:$AA$133,0),0)))</f>
        <v>-0</v>
      </c>
      <c r="F41" s="113" t="n">
        <f aca="false">IF(IFERROR(MATCH(28,$AA$40:$AA$133,0),0)=0,"",INDEX($X$40:$X$133,IFERROR(MATCH(28,$AA$40:$AA$133,0),0)))</f>
        <v>0</v>
      </c>
      <c r="G41" s="114" t="n">
        <f aca="false">IF(IFERROR(MATCH(28,$AA$40:$AA$133,0),0)=0,"",INDEX($Y$40:$Y$133,IFERROR(MATCH(28,$AA$40:$AA$133,0),0)))</f>
        <v>160.8</v>
      </c>
      <c r="H41" s="145" t="n">
        <f aca="false">IF(A41="","",IF(D41&gt;0,(E41-F41)/D41,""))</f>
        <v>-0</v>
      </c>
      <c r="I41" s="115" t="str">
        <f aca="false">IF(IFERROR(MATCH(28,$AA$40:$AA$133,0),0)=0,"",INDEX($AB$40:$AB$133,IFERROR(MATCH(28,$AA$40:$AA$133,0),0)))</f>
        <v>Aguardando transferência</v>
      </c>
      <c r="J41" s="116" t="n">
        <f aca="false">IF(IFERROR(MATCH(28,$AA$40:$AA$133,0),0)=0,"",INDEX($AC$40:$AC$133,IFERROR(MATCH(28,$AA$40:$AA$133,0),0)))</f>
        <v>1</v>
      </c>
      <c r="K41" s="117" t="n">
        <f aca="false">IF(IFERROR(MATCH(28,$AA$40:$AA$133,0),0)=0,"",IF(INDEX($AD$40:$AD$133,IFERROR(MATCH(28,$AA$40:$AA$133,0),0))=0,"",INDEX($AD$40:$AD$133,IFERROR(MATCH(28,$AA$40:$AA$133,0),0))))</f>
        <v>46275</v>
      </c>
      <c r="L41" s="117" t="n">
        <f aca="false">IF(IFERROR(MATCH(28,$AA$40:$AA$133,0),0)=0,"",IF(INDEX($AE$40:$AE$133,IFERROR(MATCH(28,$AA$40:$AA$133,0),0))=0,"",INDEX($AE$40:$AE$133,IFERROR(MATCH(28,$AA$40:$AA$133,0),0))))</f>
        <v>46275</v>
      </c>
      <c r="M41" s="119" t="str">
        <f aca="false">IF(IFERROR(MATCH(28,$AA$40:$AA$133,0),0)=0,"",INDEX($AF$40:$AF$133,IFERROR(MATCH(28,$AA$40:$AA$133,0),0))&amp;"")</f>
        <v>CA MOEDAS 2,01KG/UC 10UC/CX 30CX/PAL</v>
      </c>
      <c r="N41" s="118" t="str">
        <f aca="false">IF(A41="","",IF(I41="Aguardando transferência","Transferir "&amp;FIXED(G41,1)&amp;" "&amp;C41&amp;" do 2008 para o ZBR (verificar se já há OT aberta)",IF(I41="Transferido 100%","Nada a fazer","Sem ação: saíram "&amp;FIXED(-G41,1)&amp;" "&amp;C41&amp;" que já estavam no 2008 antes de 09/09 (conferir só se não havia saldo)")))</f>
        <v>Transferir 160.8 KG do 2008 para o ZBR (verificar se já há OT aberta)</v>
      </c>
      <c r="O41" s="1"/>
      <c r="T41" s="82" t="s">
        <v>192</v>
      </c>
      <c r="U41" s="82" t="s">
        <v>65</v>
      </c>
      <c r="V41" s="82" t="n">
        <f aca="false">SUMIFS('3 Base Entrada 2008'!$G$2:$G$5000,'3 Base Entrada 2008'!$F$2:$F$5000,"&gt;="&amp;$F$5,'3 Base Entrada 2008'!$F$2:$F$5000,"&lt;="&amp;$H$5,'3 Base Entrada 2008'!$B$2:$B$5000,$T41,'3 Base Entrada 2008'!$C$2:$C$5000,$AG41,'3 Base Entrada 2008'!$K$2:$K$5000,"Recebido no 2008")</f>
        <v>6633</v>
      </c>
      <c r="W41" s="82" t="n">
        <f aca="false">-SUMIFS('3 Base Entrada 2008'!$G$2:$G$5000,'3 Base Entrada 2008'!$F$2:$F$5000,"&gt;="&amp;$F$5,'3 Base Entrada 2008'!$F$2:$F$5000,"&lt;="&amp;$H$5,'3 Base Entrada 2008'!$B$2:$B$5000,$T41,'3 Base Entrada 2008'!$C$2:$C$5000,$AG41,'3 Base Entrada 2008'!$K$2:$K$5000,"Entrada")</f>
        <v>603</v>
      </c>
      <c r="X41" s="82" t="n">
        <f aca="false">SUMIFS('3 Base Entrada 2008'!$G$2:$G$5000,'3 Base Entrada 2008'!$F$2:$F$5000,"&gt;="&amp;$F$5,'3 Base Entrada 2008'!$F$2:$F$5000,"&lt;="&amp;$H$5,'3 Base Entrada 2008'!$B$2:$B$5000,$T41,'3 Base Entrada 2008'!$C$2:$C$5000,$AG41,'3 Base Entrada 2008'!$K$2:$K$5000,"Estorno")</f>
        <v>0</v>
      </c>
      <c r="Y41" s="82" t="n">
        <f aca="false">ROUND(BA41+V41-W41+X41,3)</f>
        <v>6030</v>
      </c>
      <c r="Z41" s="82" t="n">
        <f aca="false">IF(AND(U41=$R$3,OR($R$1="*",T41=$R$1),OR($R$2="*",AG41=$R$2),OR($K$5="Todas",AB41=$K$5),ABS(V41)+ABS(W41)+ABS(X41)&gt;0),1,0)</f>
        <v>1</v>
      </c>
      <c r="AA41" s="82" t="n">
        <f aca="false">IF(Z41=1,SUM(Z$40:Z41),"")</f>
        <v>2</v>
      </c>
      <c r="AB41" s="0" t="str">
        <f aca="false">IF(ABS(Y41)&lt;=$R$5,"Transferido 100%",IF(Y41&gt;0,"Aguardando transferência","Saiu saldo anterior a 09/09"))</f>
        <v>Aguardando transferência</v>
      </c>
      <c r="AC41" s="82" t="n">
        <f aca="false">COUNTIFS('3 Base Entrada 2008'!$F$2:$F$5000,"&gt;="&amp;$F$5,'3 Base Entrada 2008'!$F$2:$F$5000,"&lt;="&amp;$H$5,'3 Base Entrada 2008'!$B$2:$B$5000,$T41,'3 Base Entrada 2008'!$C$2:$C$5000,$AG41)</f>
        <v>2</v>
      </c>
      <c r="AD41" s="82" t="n">
        <f aca="false">_xlfn.MINIFS('3 Base Entrada 2008'!$F$2:$F$5000,'3 Base Entrada 2008'!$F$2:$F$5000,"&gt;="&amp;$F$5,'3 Base Entrada 2008'!$F$2:$F$5000,"&lt;="&amp;$H$5,'3 Base Entrada 2008'!$B$2:$B$5000,$T41,'3 Base Entrada 2008'!$C$2:$C$5000,$AG41)</f>
        <v>46275</v>
      </c>
      <c r="AE41" s="82" t="n">
        <f aca="false">_xlfn.MAXIFS('3 Base Entrada 2008'!$F$2:$F$5000,'3 Base Entrada 2008'!$F$2:$F$5000,"&gt;="&amp;$F$5,'3 Base Entrada 2008'!$F$2:$F$5000,"&lt;="&amp;$H$5,'3 Base Entrada 2008'!$B$2:$B$5000,$T41,'3 Base Entrada 2008'!$C$2:$C$5000,$AG41)</f>
        <v>46294</v>
      </c>
      <c r="AF41" s="82" t="s">
        <v>404</v>
      </c>
      <c r="AG41" s="82" t="s">
        <v>193</v>
      </c>
      <c r="AH41" s="82" t="n">
        <f aca="false">IF(AND(Z41=1,Y41&gt;$R$5),Y41+ROW()/10000000,0)</f>
        <v>6030.0000041</v>
      </c>
      <c r="AJ41" s="82" t="n">
        <f aca="false">LARGE($AH$40:$AH$133,2)</f>
        <v>6030.0000041</v>
      </c>
      <c r="AK41" s="82" t="n">
        <f aca="false">IF(AJ41&gt;0,MATCH(AJ41,$AH$40:$AH$133,0),"")</f>
        <v>2</v>
      </c>
      <c r="AL41" s="0" t="str">
        <f aca="false">IF(AK41="","",INDEX($T$40:$T$133,AK41)&amp;" · "&amp;INDEX($AG$40:$AG$133,AK41))</f>
        <v>70-30-38-BR-25A · 260370301</v>
      </c>
      <c r="AM41" s="82" t="n">
        <f aca="false">IF(AK41="",0,INDEX($Y$40:$Y$133,AK41))</f>
        <v>6030</v>
      </c>
      <c r="AO41" s="82" t="s">
        <v>1754</v>
      </c>
      <c r="AP41" s="120" t="n">
        <v>46275</v>
      </c>
      <c r="AQ41" s="82" t="n">
        <f aca="false">IF(AND(AP41&gt;=$F$5,AP41&lt;=$H$5),SUMIFS('3 Base Entrada 2008'!$G$2:$G$5000,'3 Base Entrada 2008'!$F$2:$F$5000,$AP41,'3 Base Entrada 2008'!$B$2:$B$5000,$R$1,'3 Base Entrada 2008'!$C$2:$C$5000,$R$2,'3 Base Entrada 2008'!$H$2:$H$5000,$R$3,'3 Base Entrada 2008'!$K$2:$K$5000,"Recebido no 2008"),0)</f>
        <v>64079.5</v>
      </c>
      <c r="AR41" s="82" t="n">
        <f aca="false">IF(AND(AP41&gt;=$F$5,AP41&lt;=$H$5),SUMIFS('3 Base Entrada 2008'!$G$2:$G$5000,'3 Base Entrada 2008'!$F$2:$F$5000,$AP41,'3 Base Entrada 2008'!$B$2:$B$5000,$R$1,'3 Base Entrada 2008'!$C$2:$C$5000,$R$2,'3 Base Entrada 2008'!$H$2:$H$5000,$R$3,'3 Base Entrada 2008'!$K$2:$K$5000,"Entrada")+SUMIFS('3 Base Entrada 2008'!$G$2:$G$5000,'3 Base Entrada 2008'!$F$2:$F$5000,$AP41,'3 Base Entrada 2008'!$B$2:$B$5000,$R$1,'3 Base Entrada 2008'!$C$2:$C$5000,$R$2,'3 Base Entrada 2008'!$H$2:$H$5000,$R$3,'3 Base Entrada 2008'!$K$2:$K$5000,"Estorno"),0)</f>
        <v>0</v>
      </c>
      <c r="AT41" s="82" t="s">
        <v>375</v>
      </c>
      <c r="AV41" s="0" t="str">
        <f aca="false">IFERROR(INDEX($AX$1:$AX$94,MATCH(40,$AY$1:$AY$94,0)),"")</f>
        <v>252750301</v>
      </c>
      <c r="AW41" s="82" t="s">
        <v>247</v>
      </c>
      <c r="AX41" s="82" t="s">
        <v>348</v>
      </c>
      <c r="AY41" s="82" t="n">
        <f aca="false">IF(OR($A$5="Todos",AW41=$A$5),MAX(AY$1:AY40)+1,0)</f>
        <v>41</v>
      </c>
      <c r="BA41" s="82" t="n">
        <f aca="false">SUMIFS('3 Base Saldo Inicial 08-09'!$E$2:$E$5000,'3 Base Saldo Inicial 08-09'!$A$2:$A$5000,$T41,'3 Base Saldo Inicial 08-09'!$B$2:$B$5000,$AG41,'3 Base Saldo Inicial 08-09'!$C$2:$C$5000,"2008")</f>
        <v>0</v>
      </c>
    </row>
    <row r="42" customFormat="false" ht="15" hidden="false" customHeight="false" outlineLevel="0" collapsed="false">
      <c r="A42" s="111" t="str">
        <f aca="false">IF(IFERROR(MATCH(29,$AA$40:$AA$133,0),0)=0,"",INDEX($T$40:$T$133,IFERROR(MATCH(29,$AA$40:$AA$133,0),0)))</f>
        <v>823NV-595</v>
      </c>
      <c r="B42" s="111" t="str">
        <f aca="false">IF(IFERROR(MATCH(29,$AA$40:$AA$133,0),0)=0,"",INDEX($AG$40:$AG$133,IFERROR(MATCH(29,$AA$40:$AA$133,0),0)))</f>
        <v>261376101</v>
      </c>
      <c r="C42" s="112" t="str">
        <f aca="false">IF(IFERROR(MATCH(29,$AA$40:$AA$133,0),0)=0,"",INDEX($U$40:$U$133,IFERROR(MATCH(29,$AA$40:$AA$133,0),0)))</f>
        <v>KG</v>
      </c>
      <c r="D42" s="113" t="n">
        <f aca="false">IF(IFERROR(MATCH(29,$AA$40:$AA$133,0),0)=0,"",INDEX($V$40:$V$133,IFERROR(MATCH(29,$AA$40:$AA$133,0),0)))</f>
        <v>6000</v>
      </c>
      <c r="E42" s="113" t="n">
        <f aca="false">IF(IFERROR(MATCH(29,$AA$40:$AA$133,0),0)=0,"",INDEX($W$40:$W$133,IFERROR(MATCH(29,$AA$40:$AA$133,0),0)))</f>
        <v>6145</v>
      </c>
      <c r="F42" s="113" t="n">
        <f aca="false">IF(IFERROR(MATCH(29,$AA$40:$AA$133,0),0)=0,"",INDEX($X$40:$X$133,IFERROR(MATCH(29,$AA$40:$AA$133,0),0)))</f>
        <v>205</v>
      </c>
      <c r="G42" s="114" t="n">
        <f aca="false">IF(IFERROR(MATCH(29,$AA$40:$AA$133,0),0)=0,"",INDEX($Y$40:$Y$133,IFERROR(MATCH(29,$AA$40:$AA$133,0),0)))</f>
        <v>60</v>
      </c>
      <c r="H42" s="145" t="n">
        <f aca="false">IF(A42="","",IF(D42&gt;0,(E42-F42)/D42,""))</f>
        <v>0.99</v>
      </c>
      <c r="I42" s="115" t="str">
        <f aca="false">IF(IFERROR(MATCH(29,$AA$40:$AA$133,0),0)=0,"",INDEX($AB$40:$AB$133,IFERROR(MATCH(29,$AA$40:$AA$133,0),0)))</f>
        <v>Aguardando transferência</v>
      </c>
      <c r="J42" s="116" t="n">
        <f aca="false">IF(IFERROR(MATCH(29,$AA$40:$AA$133,0),0)=0,"",INDEX($AC$40:$AC$133,IFERROR(MATCH(29,$AA$40:$AA$133,0),0)))</f>
        <v>6</v>
      </c>
      <c r="K42" s="117" t="n">
        <f aca="false">IF(IFERROR(MATCH(29,$AA$40:$AA$133,0),0)=0,"",IF(INDEX($AD$40:$AD$133,IFERROR(MATCH(29,$AA$40:$AA$133,0),0))=0,"",INDEX($AD$40:$AD$133,IFERROR(MATCH(29,$AA$40:$AA$133,0),0))))</f>
        <v>46275</v>
      </c>
      <c r="L42" s="117" t="n">
        <f aca="false">IF(IFERROR(MATCH(29,$AA$40:$AA$133,0),0)=0,"",IF(INDEX($AE$40:$AE$133,IFERROR(MATCH(29,$AA$40:$AA$133,0),0))=0,"",INDEX($AE$40:$AE$133,IFERROR(MATCH(29,$AA$40:$AA$133,0),0))))</f>
        <v>46289</v>
      </c>
      <c r="M42" s="119" t="str">
        <f aca="false">IF(IFERROR(MATCH(29,$AA$40:$AA$133,0),0)=0,"",INDEX($AF$40:$AF$133,IFERROR(MATCH(29,$AA$40:$AA$133,0),0))&amp;"")</f>
        <v>CA CALLETS 10KG/UC 2UC/BOX 30BOX/PAL</v>
      </c>
      <c r="N42" s="118" t="str">
        <f aca="false">IF(A42="","",IF(I42="Aguardando transferência","Transferir "&amp;FIXED(G42,1)&amp;" "&amp;C42&amp;" do 2008 para o ZBR (verificar se já há OT aberta)",IF(I42="Transferido 100%","Nada a fazer","Sem ação: saíram "&amp;FIXED(-G42,1)&amp;" "&amp;C42&amp;" que já estavam no 2008 antes de 09/09 (conferir só se não havia saldo)")))</f>
        <v>Transferir 60.0 KG do 2008 para o ZBR (verificar se já há OT aberta)</v>
      </c>
      <c r="O42" s="1"/>
      <c r="T42" s="82" t="s">
        <v>377</v>
      </c>
      <c r="U42" s="82" t="s">
        <v>65</v>
      </c>
      <c r="V42" s="82" t="n">
        <f aca="false">SUMIFS('3 Base Entrada 2008'!$G$2:$G$5000,'3 Base Entrada 2008'!$F$2:$F$5000,"&gt;="&amp;$F$5,'3 Base Entrada 2008'!$F$2:$F$5000,"&lt;="&amp;$H$5,'3 Base Entrada 2008'!$B$2:$B$5000,$T42,'3 Base Entrada 2008'!$C$2:$C$5000,$AG42,'3 Base Entrada 2008'!$K$2:$K$5000,"Recebido no 2008")</f>
        <v>4296</v>
      </c>
      <c r="W42" s="82" t="n">
        <f aca="false">-SUMIFS('3 Base Entrada 2008'!$G$2:$G$5000,'3 Base Entrada 2008'!$F$2:$F$5000,"&gt;="&amp;$F$5,'3 Base Entrada 2008'!$F$2:$F$5000,"&lt;="&amp;$H$5,'3 Base Entrada 2008'!$B$2:$B$5000,$T42,'3 Base Entrada 2008'!$C$2:$C$5000,$AG42,'3 Base Entrada 2008'!$K$2:$K$5000,"Entrada")</f>
        <v>-0</v>
      </c>
      <c r="X42" s="82" t="n">
        <f aca="false">SUMIFS('3 Base Entrada 2008'!$G$2:$G$5000,'3 Base Entrada 2008'!$F$2:$F$5000,"&gt;="&amp;$F$5,'3 Base Entrada 2008'!$F$2:$F$5000,"&lt;="&amp;$H$5,'3 Base Entrada 2008'!$B$2:$B$5000,$T42,'3 Base Entrada 2008'!$C$2:$C$5000,$AG42,'3 Base Entrada 2008'!$K$2:$K$5000,"Estorno")</f>
        <v>0</v>
      </c>
      <c r="Y42" s="82" t="n">
        <f aca="false">ROUND(BA42+V42-W42+X42,3)</f>
        <v>4296</v>
      </c>
      <c r="Z42" s="82" t="n">
        <f aca="false">IF(AND(U42=$R$3,OR($R$1="*",T42=$R$1),OR($R$2="*",AG42=$R$2),OR($K$5="Todas",AB42=$K$5),ABS(V42)+ABS(W42)+ABS(X42)&gt;0),1,0)</f>
        <v>1</v>
      </c>
      <c r="AA42" s="82" t="n">
        <f aca="false">IF(Z42=1,SUM(Z$40:Z42),"")</f>
        <v>3</v>
      </c>
      <c r="AB42" s="0" t="str">
        <f aca="false">IF(ABS(Y42)&lt;=$R$5,"Transferido 100%",IF(Y42&gt;0,"Aguardando transferência","Saiu saldo anterior a 09/09"))</f>
        <v>Aguardando transferência</v>
      </c>
      <c r="AC42" s="82" t="n">
        <f aca="false">COUNTIFS('3 Base Entrada 2008'!$F$2:$F$5000,"&gt;="&amp;$F$5,'3 Base Entrada 2008'!$F$2:$F$5000,"&lt;="&amp;$H$5,'3 Base Entrada 2008'!$B$2:$B$5000,$T42,'3 Base Entrada 2008'!$C$2:$C$5000,$AG42)</f>
        <v>1</v>
      </c>
      <c r="AD42" s="82" t="n">
        <f aca="false">_xlfn.MINIFS('3 Base Entrada 2008'!$F$2:$F$5000,'3 Base Entrada 2008'!$F$2:$F$5000,"&gt;="&amp;$F$5,'3 Base Entrada 2008'!$F$2:$F$5000,"&lt;="&amp;$H$5,'3 Base Entrada 2008'!$B$2:$B$5000,$T42,'3 Base Entrada 2008'!$C$2:$C$5000,$AG42)</f>
        <v>46275</v>
      </c>
      <c r="AE42" s="82" t="n">
        <f aca="false">_xlfn.MAXIFS('3 Base Entrada 2008'!$F$2:$F$5000,'3 Base Entrada 2008'!$F$2:$F$5000,"&gt;="&amp;$F$5,'3 Base Entrada 2008'!$F$2:$F$5000,"&lt;="&amp;$H$5,'3 Base Entrada 2008'!$B$2:$B$5000,$T42,'3 Base Entrada 2008'!$C$2:$C$5000,$AG42)</f>
        <v>46275</v>
      </c>
      <c r="AG42" s="82" t="s">
        <v>378</v>
      </c>
      <c r="AH42" s="82" t="n">
        <f aca="false">IF(AND(Z42=1,Y42&gt;$R$5),Y42+ROW()/10000000,0)</f>
        <v>4296.0000042</v>
      </c>
      <c r="AJ42" s="82" t="n">
        <f aca="false">LARGE($AH$40:$AH$133,3)</f>
        <v>4296.0000042</v>
      </c>
      <c r="AK42" s="82" t="n">
        <f aca="false">IF(AJ42&gt;0,MATCH(AJ42,$AH$40:$AH$133,0),"")</f>
        <v>3</v>
      </c>
      <c r="AL42" s="0" t="str">
        <f aca="false">IF(AK42="","",INDEX($T$40:$T$133,AK42)&amp;" · "&amp;INDEX($AG$40:$AG$133,AK42))</f>
        <v>DCP-22ZEPLA-89B · 260348131</v>
      </c>
      <c r="AM42" s="82" t="n">
        <f aca="false">IF(AK42="",0,INDEX($Y$40:$Y$133,AK42))</f>
        <v>4296</v>
      </c>
      <c r="AO42" s="82" t="s">
        <v>1755</v>
      </c>
      <c r="AP42" s="120" t="n">
        <v>46276</v>
      </c>
      <c r="AQ42" s="82" t="n">
        <f aca="false">IF(AND(AP42&gt;=$F$5,AP42&lt;=$H$5),SUMIFS('3 Base Entrada 2008'!$G$2:$G$5000,'3 Base Entrada 2008'!$F$2:$F$5000,$AP42,'3 Base Entrada 2008'!$B$2:$B$5000,$R$1,'3 Base Entrada 2008'!$C$2:$C$5000,$R$2,'3 Base Entrada 2008'!$H$2:$H$5000,$R$3,'3 Base Entrada 2008'!$K$2:$K$5000,"Recebido no 2008"),0)</f>
        <v>0</v>
      </c>
      <c r="AR42" s="82" t="n">
        <f aca="false">IF(AND(AP42&gt;=$F$5,AP42&lt;=$H$5),SUMIFS('3 Base Entrada 2008'!$G$2:$G$5000,'3 Base Entrada 2008'!$F$2:$F$5000,$AP42,'3 Base Entrada 2008'!$B$2:$B$5000,$R$1,'3 Base Entrada 2008'!$C$2:$C$5000,$R$2,'3 Base Entrada 2008'!$H$2:$H$5000,$R$3,'3 Base Entrada 2008'!$K$2:$K$5000,"Entrada")+SUMIFS('3 Base Entrada 2008'!$G$2:$G$5000,'3 Base Entrada 2008'!$F$2:$F$5000,$AP42,'3 Base Entrada 2008'!$B$2:$B$5000,$R$1,'3 Base Entrada 2008'!$C$2:$C$5000,$R$2,'3 Base Entrada 2008'!$H$2:$H$5000,$R$3,'3 Base Entrada 2008'!$K$2:$K$5000,"Estorno"),0)</f>
        <v>-6720.9</v>
      </c>
      <c r="AT42" s="82" t="s">
        <v>377</v>
      </c>
      <c r="AV42" s="0" t="str">
        <f aca="false">IFERROR(INDEX($AX$1:$AX$94,MATCH(41,$AY$1:$AY$94,0)),"")</f>
        <v>253620301</v>
      </c>
      <c r="AW42" s="82" t="s">
        <v>247</v>
      </c>
      <c r="AX42" s="82" t="s">
        <v>248</v>
      </c>
      <c r="AY42" s="82" t="n">
        <f aca="false">IF(OR($A$5="Todos",AW42=$A$5),MAX(AY$1:AY41)+1,0)</f>
        <v>42</v>
      </c>
      <c r="BA42" s="82" t="n">
        <f aca="false">SUMIFS('3 Base Saldo Inicial 08-09'!$E$2:$E$5000,'3 Base Saldo Inicial 08-09'!$A$2:$A$5000,$T42,'3 Base Saldo Inicial 08-09'!$B$2:$B$5000,$AG42,'3 Base Saldo Inicial 08-09'!$C$2:$C$5000,"2008")</f>
        <v>0</v>
      </c>
    </row>
    <row r="43" customFormat="false" ht="15" hidden="false" customHeight="false" outlineLevel="0" collapsed="false">
      <c r="A43" s="111" t="str">
        <f aca="false">IF(IFERROR(MATCH(30,$AA$40:$AA$133,0),0)=0,"",INDEX($T$40:$T$133,IFERROR(MATCH(30,$AA$40:$AA$133,0),0)))</f>
        <v>W3-BR-25A</v>
      </c>
      <c r="B43" s="111" t="str">
        <f aca="false">IF(IFERROR(MATCH(30,$AA$40:$AA$133,0),0)=0,"",INDEX($AG$40:$AG$133,IFERROR(MATCH(30,$AA$40:$AA$133,0),0)))</f>
        <v>253540301</v>
      </c>
      <c r="C43" s="112" t="str">
        <f aca="false">IF(IFERROR(MATCH(30,$AA$40:$AA$133,0),0)=0,"",INDEX($U$40:$U$133,IFERROR(MATCH(30,$AA$40:$AA$133,0),0)))</f>
        <v>KG</v>
      </c>
      <c r="D43" s="113" t="n">
        <f aca="false">IF(IFERROR(MATCH(30,$AA$40:$AA$133,0),0)=0,"",INDEX($V$40:$V$133,IFERROR(MATCH(30,$AA$40:$AA$133,0),0)))</f>
        <v>20</v>
      </c>
      <c r="E43" s="113" t="n">
        <f aca="false">IF(IFERROR(MATCH(30,$AA$40:$AA$133,0),0)=0,"",INDEX($W$40:$W$133,IFERROR(MATCH(30,$AA$40:$AA$133,0),0)))</f>
        <v>-0</v>
      </c>
      <c r="F43" s="113" t="n">
        <f aca="false">IF(IFERROR(MATCH(30,$AA$40:$AA$133,0),0)=0,"",INDEX($X$40:$X$133,IFERROR(MATCH(30,$AA$40:$AA$133,0),0)))</f>
        <v>0</v>
      </c>
      <c r="G43" s="114" t="n">
        <f aca="false">IF(IFERROR(MATCH(30,$AA$40:$AA$133,0),0)=0,"",INDEX($Y$40:$Y$133,IFERROR(MATCH(30,$AA$40:$AA$133,0),0)))</f>
        <v>20</v>
      </c>
      <c r="H43" s="145" t="n">
        <f aca="false">IF(A43="","",IF(D43&gt;0,(E43-F43)/D43,""))</f>
        <v>-0</v>
      </c>
      <c r="I43" s="115" t="str">
        <f aca="false">IF(IFERROR(MATCH(30,$AA$40:$AA$133,0),0)=0,"",INDEX($AB$40:$AB$133,IFERROR(MATCH(30,$AA$40:$AA$133,0),0)))</f>
        <v>Aguardando transferência</v>
      </c>
      <c r="J43" s="116" t="n">
        <f aca="false">IF(IFERROR(MATCH(30,$AA$40:$AA$133,0),0)=0,"",INDEX($AC$40:$AC$133,IFERROR(MATCH(30,$AA$40:$AA$133,0),0)))</f>
        <v>1</v>
      </c>
      <c r="K43" s="117" t="n">
        <f aca="false">IF(IFERROR(MATCH(30,$AA$40:$AA$133,0),0)=0,"",IF(INDEX($AD$40:$AD$133,IFERROR(MATCH(30,$AA$40:$AA$133,0),0))=0,"",INDEX($AD$40:$AD$133,IFERROR(MATCH(30,$AA$40:$AA$133,0),0))))</f>
        <v>46275</v>
      </c>
      <c r="L43" s="117" t="n">
        <f aca="false">IF(IFERROR(MATCH(30,$AA$40:$AA$133,0),0)=0,"",IF(INDEX($AE$40:$AE$133,IFERROR(MATCH(30,$AA$40:$AA$133,0),0))=0,"",INDEX($AE$40:$AE$133,IFERROR(MATCH(30,$AA$40:$AA$133,0),0))))</f>
        <v>46275</v>
      </c>
      <c r="M43" s="119" t="str">
        <f aca="false">IF(IFERROR(MATCH(30,$AA$40:$AA$133,0),0)=0,"",INDEX($AF$40:$AF$133,IFERROR(MATCH(30,$AA$40:$AA$133,0),0))&amp;"")</f>
        <v>CA MOEDAS 2,01KG/UC 10UC/CX 30CX/PAL</v>
      </c>
      <c r="N43" s="118" t="str">
        <f aca="false">IF(A43="","",IF(I43="Aguardando transferência","Transferir "&amp;FIXED(G43,1)&amp;" "&amp;C43&amp;" do 2008 para o ZBR (verificar se já há OT aberta)",IF(I43="Transferido 100%","Nada a fazer","Sem ação: saíram "&amp;FIXED(-G43,1)&amp;" "&amp;C43&amp;" que já estavam no 2008 antes de 09/09 (conferir só se não havia saldo)")))</f>
        <v>Transferir 20.0 KG do 2008 para o ZBR (verificar se já há OT aberta)</v>
      </c>
      <c r="O43" s="1"/>
      <c r="T43" s="82" t="s">
        <v>218</v>
      </c>
      <c r="U43" s="82" t="s">
        <v>65</v>
      </c>
      <c r="V43" s="82" t="n">
        <f aca="false">SUMIFS('3 Base Entrada 2008'!$G$2:$G$5000,'3 Base Entrada 2008'!$F$2:$F$5000,"&gt;="&amp;$F$5,'3 Base Entrada 2008'!$F$2:$F$5000,"&lt;="&amp;$H$5,'3 Base Entrada 2008'!$B$2:$B$5000,$T43,'3 Base Entrada 2008'!$C$2:$C$5000,$AG43,'3 Base Entrada 2008'!$K$2:$K$5000,"Recebido no 2008")</f>
        <v>5240</v>
      </c>
      <c r="W43" s="82" t="n">
        <f aca="false">-SUMIFS('3 Base Entrada 2008'!$G$2:$G$5000,'3 Base Entrada 2008'!$F$2:$F$5000,"&gt;="&amp;$F$5,'3 Base Entrada 2008'!$F$2:$F$5000,"&lt;="&amp;$H$5,'3 Base Entrada 2008'!$B$2:$B$5000,$T43,'3 Base Entrada 2008'!$C$2:$C$5000,$AG43,'3 Base Entrada 2008'!$K$2:$K$5000,"Entrada")</f>
        <v>1660</v>
      </c>
      <c r="X43" s="82" t="n">
        <f aca="false">SUMIFS('3 Base Entrada 2008'!$G$2:$G$5000,'3 Base Entrada 2008'!$F$2:$F$5000,"&gt;="&amp;$F$5,'3 Base Entrada 2008'!$F$2:$F$5000,"&lt;="&amp;$H$5,'3 Base Entrada 2008'!$B$2:$B$5000,$T43,'3 Base Entrada 2008'!$C$2:$C$5000,$AG43,'3 Base Entrada 2008'!$K$2:$K$5000,"Estorno")</f>
        <v>0</v>
      </c>
      <c r="Y43" s="82" t="n">
        <f aca="false">ROUND(BA43+V43-W43+X43,3)</f>
        <v>3580</v>
      </c>
      <c r="Z43" s="82" t="n">
        <f aca="false">IF(AND(U43=$R$3,OR($R$1="*",T43=$R$1),OR($R$2="*",AG43=$R$2),OR($K$5="Todas",AB43=$K$5),ABS(V43)+ABS(W43)+ABS(X43)&gt;0),1,0)</f>
        <v>1</v>
      </c>
      <c r="AA43" s="82" t="n">
        <f aca="false">IF(Z43=1,SUM(Z$40:Z43),"")</f>
        <v>4</v>
      </c>
      <c r="AB43" s="0" t="str">
        <f aca="false">IF(ABS(Y43)&lt;=$R$5,"Transferido 100%",IF(Y43&gt;0,"Aguardando transferência","Saiu saldo anterior a 09/09"))</f>
        <v>Aguardando transferência</v>
      </c>
      <c r="AC43" s="82" t="n">
        <f aca="false">COUNTIFS('3 Base Entrada 2008'!$F$2:$F$5000,"&gt;="&amp;$F$5,'3 Base Entrada 2008'!$F$2:$F$5000,"&lt;="&amp;$H$5,'3 Base Entrada 2008'!$B$2:$B$5000,$T43,'3 Base Entrada 2008'!$C$2:$C$5000,$AG43)</f>
        <v>4</v>
      </c>
      <c r="AD43" s="82" t="n">
        <f aca="false">_xlfn.MINIFS('3 Base Entrada 2008'!$F$2:$F$5000,'3 Base Entrada 2008'!$F$2:$F$5000,"&gt;="&amp;$F$5,'3 Base Entrada 2008'!$F$2:$F$5000,"&lt;="&amp;$H$5,'3 Base Entrada 2008'!$B$2:$B$5000,$T43,'3 Base Entrada 2008'!$C$2:$C$5000,$AG43)</f>
        <v>46275</v>
      </c>
      <c r="AE43" s="82" t="n">
        <f aca="false">_xlfn.MAXIFS('3 Base Entrada 2008'!$F$2:$F$5000,'3 Base Entrada 2008'!$F$2:$F$5000,"&gt;="&amp;$F$5,'3 Base Entrada 2008'!$F$2:$F$5000,"&lt;="&amp;$H$5,'3 Base Entrada 2008'!$B$2:$B$5000,$T43,'3 Base Entrada 2008'!$C$2:$C$5000,$AG43)</f>
        <v>46294</v>
      </c>
      <c r="AF43" s="82" t="s">
        <v>756</v>
      </c>
      <c r="AG43" s="82" t="s">
        <v>219</v>
      </c>
      <c r="AH43" s="82" t="n">
        <f aca="false">IF(AND(Z43=1,Y43&gt;$R$5),Y43+ROW()/10000000,0)</f>
        <v>3580.0000043</v>
      </c>
      <c r="AJ43" s="82" t="n">
        <f aca="false">LARGE($AH$40:$AH$133,4)</f>
        <v>3580.0000043</v>
      </c>
      <c r="AK43" s="82" t="n">
        <f aca="false">IF(AJ43&gt;0,MATCH(AJ43,$AH$40:$AH$133,0),"")</f>
        <v>4</v>
      </c>
      <c r="AL43" s="0" t="str">
        <f aca="false">IF(AK43="","",INDEX($T$40:$T$133,AK43)&amp;" · "&amp;INDEX($AG$40:$AG$133,AK43))</f>
        <v>811NV-595 · 261146102</v>
      </c>
      <c r="AM43" s="82" t="n">
        <f aca="false">IF(AK43="",0,INDEX($Y$40:$Y$133,AK43))</f>
        <v>3580</v>
      </c>
      <c r="AO43" s="82" t="s">
        <v>1756</v>
      </c>
      <c r="AP43" s="120" t="n">
        <v>46277</v>
      </c>
      <c r="AQ43" s="82" t="n">
        <f aca="false">IF(AND(AP43&gt;=$F$5,AP43&lt;=$H$5),SUMIFS('3 Base Entrada 2008'!$G$2:$G$5000,'3 Base Entrada 2008'!$F$2:$F$5000,$AP43,'3 Base Entrada 2008'!$B$2:$B$5000,$R$1,'3 Base Entrada 2008'!$C$2:$C$5000,$R$2,'3 Base Entrada 2008'!$H$2:$H$5000,$R$3,'3 Base Entrada 2008'!$K$2:$K$5000,"Recebido no 2008"),0)</f>
        <v>0</v>
      </c>
      <c r="AR43" s="82" t="n">
        <f aca="false">IF(AND(AP43&gt;=$F$5,AP43&lt;=$H$5),SUMIFS('3 Base Entrada 2008'!$G$2:$G$5000,'3 Base Entrada 2008'!$F$2:$F$5000,$AP43,'3 Base Entrada 2008'!$B$2:$B$5000,$R$1,'3 Base Entrada 2008'!$C$2:$C$5000,$R$2,'3 Base Entrada 2008'!$H$2:$H$5000,$R$3,'3 Base Entrada 2008'!$K$2:$K$5000,"Entrada")+SUMIFS('3 Base Entrada 2008'!$G$2:$G$5000,'3 Base Entrada 2008'!$F$2:$F$5000,$AP43,'3 Base Entrada 2008'!$B$2:$B$5000,$R$1,'3 Base Entrada 2008'!$C$2:$C$5000,$R$2,'3 Base Entrada 2008'!$H$2:$H$5000,$R$3,'3 Base Entrada 2008'!$K$2:$K$5000,"Estorno"),0)</f>
        <v>0</v>
      </c>
      <c r="AT43" s="82" t="s">
        <v>380</v>
      </c>
      <c r="AV43" s="0" t="str">
        <f aca="false">IFERROR(INDEX($AX$1:$AX$94,MATCH(42,$AY$1:$AY$94,0)),"")</f>
        <v>261130301</v>
      </c>
      <c r="AW43" s="82" t="s">
        <v>250</v>
      </c>
      <c r="AX43" s="82" t="s">
        <v>251</v>
      </c>
      <c r="AY43" s="82" t="n">
        <f aca="false">IF(OR($A$5="Todos",AW43=$A$5),MAX(AY$1:AY42)+1,0)</f>
        <v>43</v>
      </c>
      <c r="BA43" s="82" t="n">
        <f aca="false">SUMIFS('3 Base Saldo Inicial 08-09'!$E$2:$E$5000,'3 Base Saldo Inicial 08-09'!$A$2:$A$5000,$T43,'3 Base Saldo Inicial 08-09'!$B$2:$B$5000,$AG43,'3 Base Saldo Inicial 08-09'!$C$2:$C$5000,"2008")</f>
        <v>0</v>
      </c>
    </row>
    <row r="44" customFormat="false" ht="15" hidden="false" customHeight="false" outlineLevel="0" collapsed="false">
      <c r="A44" s="111" t="str">
        <f aca="false">IF(IFERROR(MATCH(31,$AA$40:$AA$133,0),0)=0,"",INDEX($T$40:$T$133,IFERROR(MATCH(31,$AA$40:$AA$133,0),0)))</f>
        <v>DCP-10BONOI-89B</v>
      </c>
      <c r="B44" s="111" t="str">
        <f aca="false">IF(IFERROR(MATCH(31,$AA$40:$AA$133,0),0)=0,"",INDEX($AG$40:$AG$133,IFERROR(MATCH(31,$AA$40:$AA$133,0),0)))</f>
        <v>260778132</v>
      </c>
      <c r="C44" s="112" t="str">
        <f aca="false">IF(IFERROR(MATCH(31,$AA$40:$AA$133,0),0)=0,"",INDEX($U$40:$U$133,IFERROR(MATCH(31,$AA$40:$AA$133,0),0)))</f>
        <v>KG</v>
      </c>
      <c r="D44" s="113" t="n">
        <f aca="false">IF(IFERROR(MATCH(31,$AA$40:$AA$133,0),0)=0,"",INDEX($V$40:$V$133,IFERROR(MATCH(31,$AA$40:$AA$133,0),0)))</f>
        <v>864</v>
      </c>
      <c r="E44" s="113" t="n">
        <f aca="false">IF(IFERROR(MATCH(31,$AA$40:$AA$133,0),0)=0,"",INDEX($W$40:$W$133,IFERROR(MATCH(31,$AA$40:$AA$133,0),0)))</f>
        <v>864</v>
      </c>
      <c r="F44" s="113" t="n">
        <f aca="false">IF(IFERROR(MATCH(31,$AA$40:$AA$133,0),0)=0,"",INDEX($X$40:$X$133,IFERROR(MATCH(31,$AA$40:$AA$133,0),0)))</f>
        <v>0</v>
      </c>
      <c r="G44" s="114" t="n">
        <f aca="false">IF(IFERROR(MATCH(31,$AA$40:$AA$133,0),0)=0,"",INDEX($Y$40:$Y$133,IFERROR(MATCH(31,$AA$40:$AA$133,0),0)))</f>
        <v>0</v>
      </c>
      <c r="H44" s="145" t="n">
        <f aca="false">IF(A44="","",IF(D44&gt;0,(E44-F44)/D44,""))</f>
        <v>1</v>
      </c>
      <c r="I44" s="115" t="str">
        <f aca="false">IF(IFERROR(MATCH(31,$AA$40:$AA$133,0),0)=0,"",INDEX($AB$40:$AB$133,IFERROR(MATCH(31,$AA$40:$AA$133,0),0)))</f>
        <v>Transferido 100%</v>
      </c>
      <c r="J44" s="116" t="n">
        <f aca="false">IF(IFERROR(MATCH(31,$AA$40:$AA$133,0),0)=0,"",INDEX($AC$40:$AC$133,IFERROR(MATCH(31,$AA$40:$AA$133,0),0)))</f>
        <v>2</v>
      </c>
      <c r="K44" s="117" t="n">
        <f aca="false">IF(IFERROR(MATCH(31,$AA$40:$AA$133,0),0)=0,"",IF(INDEX($AD$40:$AD$133,IFERROR(MATCH(31,$AA$40:$AA$133,0),0))=0,"",INDEX($AD$40:$AD$133,IFERROR(MATCH(31,$AA$40:$AA$133,0),0))))</f>
        <v>46275</v>
      </c>
      <c r="L44" s="117" t="n">
        <f aca="false">IF(IFERROR(MATCH(31,$AA$40:$AA$133,0),0)=0,"",IF(INDEX($AE$40:$AE$133,IFERROR(MATCH(31,$AA$40:$AA$133,0),0))=0,"",INDEX($AE$40:$AE$133,IFERROR(MATCH(31,$AA$40:$AA$133,0),0))))</f>
        <v>46293</v>
      </c>
      <c r="M44" s="119" t="str">
        <f aca="false">IF(IFERROR(MATCH(31,$AA$40:$AA$133,0),0)=0,"",INDEX($AF$40:$AF$133,IFERROR(MATCH(31,$AA$40:$AA$133,0),0))&amp;"")</f>
        <v>CA BOTANICAL NOIR INTENSE 1KG/UC 6UC/BOX</v>
      </c>
      <c r="N44" s="118" t="str">
        <f aca="false">IF(A44="","",IF(I44="Aguardando transferência","Transferir "&amp;FIXED(G44,1)&amp;" "&amp;C44&amp;" do 2008 para o ZBR (verificar se já há OT aberta)",IF(I44="Transferido 100%","Nada a fazer","Sem ação: saíram "&amp;FIXED(-G44,1)&amp;" "&amp;C44&amp;" que já estavam no 2008 antes de 09/09 (conferir só se não havia saldo)")))</f>
        <v>Nada a fazer</v>
      </c>
      <c r="O44" s="1"/>
      <c r="T44" s="82" t="s">
        <v>218</v>
      </c>
      <c r="U44" s="82" t="s">
        <v>65</v>
      </c>
      <c r="V44" s="82" t="n">
        <f aca="false">SUMIFS('3 Base Entrada 2008'!$G$2:$G$5000,'3 Base Entrada 2008'!$F$2:$F$5000,"&gt;="&amp;$F$5,'3 Base Entrada 2008'!$F$2:$F$5000,"&lt;="&amp;$H$5,'3 Base Entrada 2008'!$B$2:$B$5000,$T44,'3 Base Entrada 2008'!$C$2:$C$5000,$AG44,'3 Base Entrada 2008'!$K$2:$K$5000,"Recebido no 2008")</f>
        <v>4360</v>
      </c>
      <c r="W44" s="82" t="n">
        <f aca="false">-SUMIFS('3 Base Entrada 2008'!$G$2:$G$5000,'3 Base Entrada 2008'!$F$2:$F$5000,"&gt;="&amp;$F$5,'3 Base Entrada 2008'!$F$2:$F$5000,"&lt;="&amp;$H$5,'3 Base Entrada 2008'!$B$2:$B$5000,$T44,'3 Base Entrada 2008'!$C$2:$C$5000,$AG44,'3 Base Entrada 2008'!$K$2:$K$5000,"Entrada")</f>
        <v>1180</v>
      </c>
      <c r="X44" s="82" t="n">
        <f aca="false">SUMIFS('3 Base Entrada 2008'!$G$2:$G$5000,'3 Base Entrada 2008'!$F$2:$F$5000,"&gt;="&amp;$F$5,'3 Base Entrada 2008'!$F$2:$F$5000,"&lt;="&amp;$H$5,'3 Base Entrada 2008'!$B$2:$B$5000,$T44,'3 Base Entrada 2008'!$C$2:$C$5000,$AG44,'3 Base Entrada 2008'!$K$2:$K$5000,"Estorno")</f>
        <v>0</v>
      </c>
      <c r="Y44" s="82" t="n">
        <f aca="false">ROUND(BA44+V44-W44+X44,3)</f>
        <v>3180</v>
      </c>
      <c r="Z44" s="82" t="n">
        <f aca="false">IF(AND(U44=$R$3,OR($R$1="*",T44=$R$1),OR($R$2="*",AG44=$R$2),OR($K$5="Todas",AB44=$K$5),ABS(V44)+ABS(W44)+ABS(X44)&gt;0),1,0)</f>
        <v>1</v>
      </c>
      <c r="AA44" s="82" t="n">
        <f aca="false">IF(Z44=1,SUM(Z$40:Z44),"")</f>
        <v>5</v>
      </c>
      <c r="AB44" s="0" t="str">
        <f aca="false">IF(ABS(Y44)&lt;=$R$5,"Transferido 100%",IF(Y44&gt;0,"Aguardando transferência","Saiu saldo anterior a 09/09"))</f>
        <v>Aguardando transferência</v>
      </c>
      <c r="AC44" s="82" t="n">
        <f aca="false">COUNTIFS('3 Base Entrada 2008'!$F$2:$F$5000,"&gt;="&amp;$F$5,'3 Base Entrada 2008'!$F$2:$F$5000,"&lt;="&amp;$H$5,'3 Base Entrada 2008'!$B$2:$B$5000,$T44,'3 Base Entrada 2008'!$C$2:$C$5000,$AG44)</f>
        <v>2</v>
      </c>
      <c r="AD44" s="82" t="n">
        <f aca="false">_xlfn.MINIFS('3 Base Entrada 2008'!$F$2:$F$5000,'3 Base Entrada 2008'!$F$2:$F$5000,"&gt;="&amp;$F$5,'3 Base Entrada 2008'!$F$2:$F$5000,"&lt;="&amp;$H$5,'3 Base Entrada 2008'!$B$2:$B$5000,$T44,'3 Base Entrada 2008'!$C$2:$C$5000,$AG44)</f>
        <v>46275</v>
      </c>
      <c r="AE44" s="82" t="n">
        <f aca="false">_xlfn.MAXIFS('3 Base Entrada 2008'!$F$2:$F$5000,'3 Base Entrada 2008'!$F$2:$F$5000,"&gt;="&amp;$F$5,'3 Base Entrada 2008'!$F$2:$F$5000,"&lt;="&amp;$H$5,'3 Base Entrada 2008'!$B$2:$B$5000,$T44,'3 Base Entrada 2008'!$C$2:$C$5000,$AG44)</f>
        <v>46276</v>
      </c>
      <c r="AF44" s="82" t="s">
        <v>756</v>
      </c>
      <c r="AG44" s="82" t="s">
        <v>319</v>
      </c>
      <c r="AH44" s="82" t="n">
        <f aca="false">IF(AND(Z44=1,Y44&gt;$R$5),Y44+ROW()/10000000,0)</f>
        <v>3180.0000044</v>
      </c>
      <c r="AJ44" s="82" t="n">
        <f aca="false">LARGE($AH$40:$AH$133,5)</f>
        <v>3180.0000044</v>
      </c>
      <c r="AK44" s="82" t="n">
        <f aca="false">IF(AJ44&gt;0,MATCH(AJ44,$AH$40:$AH$133,0),"")</f>
        <v>5</v>
      </c>
      <c r="AL44" s="0" t="str">
        <f aca="false">IF(AK44="","",INDEX($T$40:$T$133,AK44)&amp;" · "&amp;INDEX($AG$40:$AG$133,AK44))</f>
        <v>811NV-595 · 261146101</v>
      </c>
      <c r="AM44" s="82" t="n">
        <f aca="false">IF(AK44="",0,INDEX($Y$40:$Y$133,AK44))</f>
        <v>3180</v>
      </c>
      <c r="AO44" s="82" t="s">
        <v>1757</v>
      </c>
      <c r="AP44" s="120" t="n">
        <v>46278</v>
      </c>
      <c r="AQ44" s="82" t="n">
        <f aca="false">IF(AND(AP44&gt;=$F$5,AP44&lt;=$H$5),SUMIFS('3 Base Entrada 2008'!$G$2:$G$5000,'3 Base Entrada 2008'!$F$2:$F$5000,$AP44,'3 Base Entrada 2008'!$B$2:$B$5000,$R$1,'3 Base Entrada 2008'!$C$2:$C$5000,$R$2,'3 Base Entrada 2008'!$H$2:$H$5000,$R$3,'3 Base Entrada 2008'!$K$2:$K$5000,"Recebido no 2008"),0)</f>
        <v>0</v>
      </c>
      <c r="AR44" s="82" t="n">
        <f aca="false">IF(AND(AP44&gt;=$F$5,AP44&lt;=$H$5),SUMIFS('3 Base Entrada 2008'!$G$2:$G$5000,'3 Base Entrada 2008'!$F$2:$F$5000,$AP44,'3 Base Entrada 2008'!$B$2:$B$5000,$R$1,'3 Base Entrada 2008'!$C$2:$C$5000,$R$2,'3 Base Entrada 2008'!$H$2:$H$5000,$R$3,'3 Base Entrada 2008'!$K$2:$K$5000,"Entrada")+SUMIFS('3 Base Entrada 2008'!$G$2:$G$5000,'3 Base Entrada 2008'!$F$2:$F$5000,$AP44,'3 Base Entrada 2008'!$B$2:$B$5000,$R$1,'3 Base Entrada 2008'!$C$2:$C$5000,$R$2,'3 Base Entrada 2008'!$H$2:$H$5000,$R$3,'3 Base Entrada 2008'!$K$2:$K$5000,"Estorno"),0)</f>
        <v>0</v>
      </c>
      <c r="AT44" s="82" t="s">
        <v>284</v>
      </c>
      <c r="AV44" s="0" t="str">
        <f aca="false">IFERROR(INDEX($AX$1:$AX$94,MATCH(43,$AY$1:$AY$94,0)),"")</f>
        <v>260720939</v>
      </c>
      <c r="AW44" s="82" t="s">
        <v>351</v>
      </c>
      <c r="AX44" s="82" t="s">
        <v>352</v>
      </c>
      <c r="AY44" s="82" t="n">
        <f aca="false">IF(OR($A$5="Todos",AW44=$A$5),MAX(AY$1:AY43)+1,0)</f>
        <v>44</v>
      </c>
      <c r="BA44" s="82" t="n">
        <f aca="false">SUMIFS('3 Base Saldo Inicial 08-09'!$E$2:$E$5000,'3 Base Saldo Inicial 08-09'!$A$2:$A$5000,$T44,'3 Base Saldo Inicial 08-09'!$B$2:$B$5000,$AG44,'3 Base Saldo Inicial 08-09'!$C$2:$C$5000,"2008")</f>
        <v>0</v>
      </c>
    </row>
    <row r="45" customFormat="false" ht="15" hidden="false" customHeight="false" outlineLevel="0" collapsed="false">
      <c r="A45" s="111" t="str">
        <f aca="false">IF(IFERROR(MATCH(32,$AA$40:$AA$133,0),0)=0,"",INDEX($T$40:$T$133,IFERROR(MATCH(32,$AA$40:$AA$133,0),0)))</f>
        <v>811-BR-D94</v>
      </c>
      <c r="B45" s="111" t="str">
        <f aca="false">IF(IFERROR(MATCH(32,$AA$40:$AA$133,0),0)=0,"",INDEX($AG$40:$AG$133,IFERROR(MATCH(32,$AA$40:$AA$133,0),0)))</f>
        <v>251643289</v>
      </c>
      <c r="C45" s="112" t="str">
        <f aca="false">IF(IFERROR(MATCH(32,$AA$40:$AA$133,0),0)=0,"",INDEX($U$40:$U$133,IFERROR(MATCH(32,$AA$40:$AA$133,0),0)))</f>
        <v>KG</v>
      </c>
      <c r="D45" s="113" t="n">
        <f aca="false">IF(IFERROR(MATCH(32,$AA$40:$AA$133,0),0)=0,"",INDEX($V$40:$V$133,IFERROR(MATCH(32,$AA$40:$AA$133,0),0)))</f>
        <v>0</v>
      </c>
      <c r="E45" s="113" t="n">
        <f aca="false">IF(IFERROR(MATCH(32,$AA$40:$AA$133,0),0)=0,"",INDEX($W$40:$W$133,IFERROR(MATCH(32,$AA$40:$AA$133,0),0)))</f>
        <v>2.8</v>
      </c>
      <c r="F45" s="113" t="n">
        <f aca="false">IF(IFERROR(MATCH(32,$AA$40:$AA$133,0),0)=0,"",INDEX($X$40:$X$133,IFERROR(MATCH(32,$AA$40:$AA$133,0),0)))</f>
        <v>0</v>
      </c>
      <c r="G45" s="114" t="n">
        <f aca="false">IF(IFERROR(MATCH(32,$AA$40:$AA$133,0),0)=0,"",INDEX($Y$40:$Y$133,IFERROR(MATCH(32,$AA$40:$AA$133,0),0)))</f>
        <v>-2.8</v>
      </c>
      <c r="H45" s="145" t="str">
        <f aca="false">IF(A45="","",IF(D45&gt;0,(E45-F45)/D45,""))</f>
        <v/>
      </c>
      <c r="I45" s="115" t="str">
        <f aca="false">IF(IFERROR(MATCH(32,$AA$40:$AA$133,0),0)=0,"",INDEX($AB$40:$AB$133,IFERROR(MATCH(32,$AA$40:$AA$133,0),0)))</f>
        <v>Saiu saldo anterior a 09/09</v>
      </c>
      <c r="J45" s="116" t="n">
        <f aca="false">IF(IFERROR(MATCH(32,$AA$40:$AA$133,0),0)=0,"",INDEX($AC$40:$AC$133,IFERROR(MATCH(32,$AA$40:$AA$133,0),0)))</f>
        <v>1</v>
      </c>
      <c r="K45" s="117" t="n">
        <f aca="false">IF(IFERROR(MATCH(32,$AA$40:$AA$133,0),0)=0,"",IF(INDEX($AD$40:$AD$133,IFERROR(MATCH(32,$AA$40:$AA$133,0),0))=0,"",INDEX($AD$40:$AD$133,IFERROR(MATCH(32,$AA$40:$AA$133,0),0))))</f>
        <v>46291</v>
      </c>
      <c r="L45" s="117" t="n">
        <f aca="false">IF(IFERROR(MATCH(32,$AA$40:$AA$133,0),0)=0,"",IF(INDEX($AE$40:$AE$133,IFERROR(MATCH(32,$AA$40:$AA$133,0),0))=0,"",INDEX($AE$40:$AE$133,IFERROR(MATCH(32,$AA$40:$AA$133,0),0))))</f>
        <v>46291</v>
      </c>
      <c r="M45" s="119" t="str">
        <f aca="false">IF(IFERROR(MATCH(32,$AA$40:$AA$133,0),0)=0,"",INDEX($AF$40:$AF$133,IFERROR(MATCH(32,$AA$40:$AA$133,0),0))&amp;"")</f>
        <v>CA MOEDAS 0,4KG/UC 7UC/CX 144CX/PAL</v>
      </c>
      <c r="N45" s="118" t="str">
        <f aca="false">IF(A45="","",IF(I45="Aguardando transferência","Transferir "&amp;FIXED(G45,1)&amp;" "&amp;C45&amp;" do 2008 para o ZBR (verificar se já há OT aberta)",IF(I45="Transferido 100%","Nada a fazer","Sem ação: saíram "&amp;FIXED(-G45,1)&amp;" "&amp;C45&amp;" que já estavam no 2008 antes de 09/09 (conferir só se não havia saldo)")))</f>
        <v>Sem ação: saíram 2.8 KG que já estavam no 2008 antes de 09/09 (conferir só se não havia saldo)</v>
      </c>
      <c r="O45" s="1"/>
      <c r="T45" s="82" t="s">
        <v>358</v>
      </c>
      <c r="U45" s="82" t="s">
        <v>65</v>
      </c>
      <c r="V45" s="82" t="n">
        <f aca="false">SUMIFS('3 Base Entrada 2008'!$G$2:$G$5000,'3 Base Entrada 2008'!$F$2:$F$5000,"&gt;="&amp;$F$5,'3 Base Entrada 2008'!$F$2:$F$5000,"&lt;="&amp;$H$5,'3 Base Entrada 2008'!$B$2:$B$5000,$T45,'3 Base Entrada 2008'!$C$2:$C$5000,$AG45,'3 Base Entrada 2008'!$K$2:$K$5000,"Recebido no 2008")</f>
        <v>2900</v>
      </c>
      <c r="W45" s="82" t="n">
        <f aca="false">-SUMIFS('3 Base Entrada 2008'!$G$2:$G$5000,'3 Base Entrada 2008'!$F$2:$F$5000,"&gt;="&amp;$F$5,'3 Base Entrada 2008'!$F$2:$F$5000,"&lt;="&amp;$H$5,'3 Base Entrada 2008'!$B$2:$B$5000,$T45,'3 Base Entrada 2008'!$C$2:$C$5000,$AG45,'3 Base Entrada 2008'!$K$2:$K$5000,"Entrada")</f>
        <v>-0</v>
      </c>
      <c r="X45" s="82" t="n">
        <f aca="false">SUMIFS('3 Base Entrada 2008'!$G$2:$G$5000,'3 Base Entrada 2008'!$F$2:$F$5000,"&gt;="&amp;$F$5,'3 Base Entrada 2008'!$F$2:$F$5000,"&lt;="&amp;$H$5,'3 Base Entrada 2008'!$B$2:$B$5000,$T45,'3 Base Entrada 2008'!$C$2:$C$5000,$AG45,'3 Base Entrada 2008'!$K$2:$K$5000,"Estorno")</f>
        <v>0</v>
      </c>
      <c r="Y45" s="82" t="n">
        <f aca="false">ROUND(BA45+V45-W45+X45,3)</f>
        <v>2900</v>
      </c>
      <c r="Z45" s="82" t="n">
        <f aca="false">IF(AND(U45=$R$3,OR($R$1="*",T45=$R$1),OR($R$2="*",AG45=$R$2),OR($K$5="Todas",AB45=$K$5),ABS(V45)+ABS(W45)+ABS(X45)&gt;0),1,0)</f>
        <v>1</v>
      </c>
      <c r="AA45" s="82" t="n">
        <f aca="false">IF(Z45=1,SUM(Z$40:Z45),"")</f>
        <v>6</v>
      </c>
      <c r="AB45" s="0" t="str">
        <f aca="false">IF(ABS(Y45)&lt;=$R$5,"Transferido 100%",IF(Y45&gt;0,"Aguardando transferência","Saiu saldo anterior a 09/09"))</f>
        <v>Aguardando transferência</v>
      </c>
      <c r="AC45" s="82" t="n">
        <f aca="false">COUNTIFS('3 Base Entrada 2008'!$F$2:$F$5000,"&gt;="&amp;$F$5,'3 Base Entrada 2008'!$F$2:$F$5000,"&lt;="&amp;$H$5,'3 Base Entrada 2008'!$B$2:$B$5000,$T45,'3 Base Entrada 2008'!$C$2:$C$5000,$AG45)</f>
        <v>1</v>
      </c>
      <c r="AD45" s="82" t="n">
        <f aca="false">_xlfn.MINIFS('3 Base Entrada 2008'!$F$2:$F$5000,'3 Base Entrada 2008'!$F$2:$F$5000,"&gt;="&amp;$F$5,'3 Base Entrada 2008'!$F$2:$F$5000,"&lt;="&amp;$H$5,'3 Base Entrada 2008'!$B$2:$B$5000,$T45,'3 Base Entrada 2008'!$C$2:$C$5000,$AG45)</f>
        <v>46280</v>
      </c>
      <c r="AE45" s="82" t="n">
        <f aca="false">_xlfn.MAXIFS('3 Base Entrada 2008'!$F$2:$F$5000,'3 Base Entrada 2008'!$F$2:$F$5000,"&gt;="&amp;$F$5,'3 Base Entrada 2008'!$F$2:$F$5000,"&lt;="&amp;$H$5,'3 Base Entrada 2008'!$B$2:$B$5000,$T45,'3 Base Entrada 2008'!$C$2:$C$5000,$AG45)</f>
        <v>46280</v>
      </c>
      <c r="AG45" s="82" t="s">
        <v>359</v>
      </c>
      <c r="AH45" s="82" t="n">
        <f aca="false">IF(AND(Z45=1,Y45&gt;$R$5),Y45+ROW()/10000000,0)</f>
        <v>2900.0000045</v>
      </c>
      <c r="AJ45" s="82" t="n">
        <f aca="false">LARGE($AH$40:$AH$133,6)</f>
        <v>2900.0000045</v>
      </c>
      <c r="AK45" s="82" t="n">
        <f aca="false">IF(AJ45&gt;0,MATCH(AJ45,$AH$40:$AH$133,0),"")</f>
        <v>6</v>
      </c>
      <c r="AL45" s="0" t="str">
        <f aca="false">IF(AK45="","",INDEX($T$40:$T$133,AK45)&amp;" · "&amp;INDEX($AG$40:$AG$133,AK45))</f>
        <v>CHM-SP-Z3L-E0-U72 · 260580101</v>
      </c>
      <c r="AM45" s="82" t="n">
        <f aca="false">IF(AK45="",0,INDEX($Y$40:$Y$133,AK45))</f>
        <v>2900</v>
      </c>
      <c r="AO45" s="82" t="s">
        <v>1758</v>
      </c>
      <c r="AP45" s="120" t="n">
        <v>46279</v>
      </c>
      <c r="AQ45" s="82" t="n">
        <f aca="false">IF(AND(AP45&gt;=$F$5,AP45&lt;=$H$5),SUMIFS('3 Base Entrada 2008'!$G$2:$G$5000,'3 Base Entrada 2008'!$F$2:$F$5000,$AP45,'3 Base Entrada 2008'!$B$2:$B$5000,$R$1,'3 Base Entrada 2008'!$C$2:$C$5000,$R$2,'3 Base Entrada 2008'!$H$2:$H$5000,$R$3,'3 Base Entrada 2008'!$K$2:$K$5000,"Recebido no 2008"),0)</f>
        <v>0</v>
      </c>
      <c r="AR45" s="82" t="n">
        <f aca="false">IF(AND(AP45&gt;=$F$5,AP45&lt;=$H$5),SUMIFS('3 Base Entrada 2008'!$G$2:$G$5000,'3 Base Entrada 2008'!$F$2:$F$5000,$AP45,'3 Base Entrada 2008'!$B$2:$B$5000,$R$1,'3 Base Entrada 2008'!$C$2:$C$5000,$R$2,'3 Base Entrada 2008'!$H$2:$H$5000,$R$3,'3 Base Entrada 2008'!$K$2:$K$5000,"Entrada")+SUMIFS('3 Base Entrada 2008'!$G$2:$G$5000,'3 Base Entrada 2008'!$F$2:$F$5000,$AP45,'3 Base Entrada 2008'!$B$2:$B$5000,$R$1,'3 Base Entrada 2008'!$C$2:$C$5000,$R$2,'3 Base Entrada 2008'!$H$2:$H$5000,$R$3,'3 Base Entrada 2008'!$K$2:$K$5000,"Estorno"),0)</f>
        <v>0</v>
      </c>
      <c r="AT45" s="82" t="s">
        <v>286</v>
      </c>
      <c r="AV45" s="0" t="str">
        <f aca="false">IFERROR(INDEX($AX$1:$AX$94,MATCH(44,$AY$1:$AY$94,0)),"")</f>
        <v>260536201</v>
      </c>
      <c r="AW45" s="82" t="s">
        <v>252</v>
      </c>
      <c r="AX45" s="82" t="s">
        <v>253</v>
      </c>
      <c r="AY45" s="82" t="n">
        <f aca="false">IF(OR($A$5="Todos",AW45=$A$5),MAX(AY$1:AY44)+1,0)</f>
        <v>45</v>
      </c>
      <c r="BA45" s="82" t="n">
        <f aca="false">SUMIFS('3 Base Saldo Inicial 08-09'!$E$2:$E$5000,'3 Base Saldo Inicial 08-09'!$A$2:$A$5000,$T45,'3 Base Saldo Inicial 08-09'!$B$2:$B$5000,$AG45,'3 Base Saldo Inicial 08-09'!$C$2:$C$5000,"2008")</f>
        <v>0</v>
      </c>
    </row>
    <row r="46" customFormat="false" ht="15" hidden="false" customHeight="false" outlineLevel="0" collapsed="false">
      <c r="A46" s="111" t="str">
        <f aca="false">IF(IFERROR(MATCH(33,$AA$40:$AA$133,0),0)=0,"",INDEX($T$40:$T$133,IFERROR(MATCH(33,$AA$40:$AA$133,0),0)))</f>
        <v>823-BR-D94</v>
      </c>
      <c r="B46" s="111" t="str">
        <f aca="false">IF(IFERROR(MATCH(33,$AA$40:$AA$133,0),0)=0,"",INDEX($AG$40:$AG$133,IFERROR(MATCH(33,$AA$40:$AA$133,0),0)))</f>
        <v>252103049</v>
      </c>
      <c r="C46" s="112" t="str">
        <f aca="false">IF(IFERROR(MATCH(33,$AA$40:$AA$133,0),0)=0,"",INDEX($U$40:$U$133,IFERROR(MATCH(33,$AA$40:$AA$133,0),0)))</f>
        <v>KG</v>
      </c>
      <c r="D46" s="113" t="n">
        <f aca="false">IF(IFERROR(MATCH(33,$AA$40:$AA$133,0),0)=0,"",INDEX($V$40:$V$133,IFERROR(MATCH(33,$AA$40:$AA$133,0),0)))</f>
        <v>0</v>
      </c>
      <c r="E46" s="113" t="n">
        <f aca="false">IF(IFERROR(MATCH(33,$AA$40:$AA$133,0),0)=0,"",INDEX($W$40:$W$133,IFERROR(MATCH(33,$AA$40:$AA$133,0),0)))</f>
        <v>2.8</v>
      </c>
      <c r="F46" s="113" t="n">
        <f aca="false">IF(IFERROR(MATCH(33,$AA$40:$AA$133,0),0)=0,"",INDEX($X$40:$X$133,IFERROR(MATCH(33,$AA$40:$AA$133,0),0)))</f>
        <v>0</v>
      </c>
      <c r="G46" s="114" t="n">
        <f aca="false">IF(IFERROR(MATCH(33,$AA$40:$AA$133,0),0)=0,"",INDEX($Y$40:$Y$133,IFERROR(MATCH(33,$AA$40:$AA$133,0),0)))</f>
        <v>-2.8</v>
      </c>
      <c r="H46" s="145" t="str">
        <f aca="false">IF(A46="","",IF(D46&gt;0,(E46-F46)/D46,""))</f>
        <v/>
      </c>
      <c r="I46" s="115" t="str">
        <f aca="false">IF(IFERROR(MATCH(33,$AA$40:$AA$133,0),0)=0,"",INDEX($AB$40:$AB$133,IFERROR(MATCH(33,$AA$40:$AA$133,0),0)))</f>
        <v>Saiu saldo anterior a 09/09</v>
      </c>
      <c r="J46" s="116" t="n">
        <f aca="false">IF(IFERROR(MATCH(33,$AA$40:$AA$133,0),0)=0,"",INDEX($AC$40:$AC$133,IFERROR(MATCH(33,$AA$40:$AA$133,0),0)))</f>
        <v>1</v>
      </c>
      <c r="K46" s="117" t="n">
        <f aca="false">IF(IFERROR(MATCH(33,$AA$40:$AA$133,0),0)=0,"",IF(INDEX($AD$40:$AD$133,IFERROR(MATCH(33,$AA$40:$AA$133,0),0))=0,"",INDEX($AD$40:$AD$133,IFERROR(MATCH(33,$AA$40:$AA$133,0),0))))</f>
        <v>46291</v>
      </c>
      <c r="L46" s="117" t="n">
        <f aca="false">IF(IFERROR(MATCH(33,$AA$40:$AA$133,0),0)=0,"",IF(INDEX($AE$40:$AE$133,IFERROR(MATCH(33,$AA$40:$AA$133,0),0))=0,"",INDEX($AE$40:$AE$133,IFERROR(MATCH(33,$AA$40:$AA$133,0),0))))</f>
        <v>46291</v>
      </c>
      <c r="M46" s="119" t="str">
        <f aca="false">IF(IFERROR(MATCH(33,$AA$40:$AA$133,0),0)=0,"",INDEX($AF$40:$AF$133,IFERROR(MATCH(33,$AA$40:$AA$133,0),0))&amp;"")</f>
        <v>CA MOEDAS 0,4KG/UC 7UC/CX 144CX/PAL</v>
      </c>
      <c r="N46" s="118" t="str">
        <f aca="false">IF(A46="","",IF(I46="Aguardando transferência","Transferir "&amp;FIXED(G46,1)&amp;" "&amp;C46&amp;" do 2008 para o ZBR (verificar se já há OT aberta)",IF(I46="Transferido 100%","Nada a fazer","Sem ação: saíram "&amp;FIXED(-G46,1)&amp;" "&amp;C46&amp;" que já estavam no 2008 antes de 09/09 (conferir só se não havia saldo)")))</f>
        <v>Sem ação: saíram 2.8 KG que já estavam no 2008 antes de 09/09 (conferir só se não havia saldo)</v>
      </c>
      <c r="O46" s="1"/>
      <c r="T46" s="82" t="s">
        <v>327</v>
      </c>
      <c r="U46" s="82" t="s">
        <v>65</v>
      </c>
      <c r="V46" s="82" t="n">
        <f aca="false">SUMIFS('3 Base Entrada 2008'!$G$2:$G$5000,'3 Base Entrada 2008'!$F$2:$F$5000,"&gt;="&amp;$F$5,'3 Base Entrada 2008'!$F$2:$F$5000,"&lt;="&amp;$H$5,'3 Base Entrada 2008'!$B$2:$B$5000,$T46,'3 Base Entrada 2008'!$C$2:$C$5000,$AG46,'3 Base Entrada 2008'!$K$2:$K$5000,"Recebido no 2008")</f>
        <v>2880</v>
      </c>
      <c r="W46" s="82" t="n">
        <f aca="false">-SUMIFS('3 Base Entrada 2008'!$G$2:$G$5000,'3 Base Entrada 2008'!$F$2:$F$5000,"&gt;="&amp;$F$5,'3 Base Entrada 2008'!$F$2:$F$5000,"&lt;="&amp;$H$5,'3 Base Entrada 2008'!$B$2:$B$5000,$T46,'3 Base Entrada 2008'!$C$2:$C$5000,$AG46,'3 Base Entrada 2008'!$K$2:$K$5000,"Entrada")</f>
        <v>40</v>
      </c>
      <c r="X46" s="82" t="n">
        <f aca="false">SUMIFS('3 Base Entrada 2008'!$G$2:$G$5000,'3 Base Entrada 2008'!$F$2:$F$5000,"&gt;="&amp;$F$5,'3 Base Entrada 2008'!$F$2:$F$5000,"&lt;="&amp;$H$5,'3 Base Entrada 2008'!$B$2:$B$5000,$T46,'3 Base Entrada 2008'!$C$2:$C$5000,$AG46,'3 Base Entrada 2008'!$K$2:$K$5000,"Estorno")</f>
        <v>0</v>
      </c>
      <c r="Y46" s="82" t="n">
        <f aca="false">ROUND(BA46+V46-W46+X46,3)</f>
        <v>2840</v>
      </c>
      <c r="Z46" s="82" t="n">
        <f aca="false">IF(AND(U46=$R$3,OR($R$1="*",T46=$R$1),OR($R$2="*",AG46=$R$2),OR($K$5="Todas",AB46=$K$5),ABS(V46)+ABS(W46)+ABS(X46)&gt;0),1,0)</f>
        <v>1</v>
      </c>
      <c r="AA46" s="82" t="n">
        <f aca="false">IF(Z46=1,SUM(Z$40:Z46),"")</f>
        <v>7</v>
      </c>
      <c r="AB46" s="0" t="str">
        <f aca="false">IF(ABS(Y46)&lt;=$R$5,"Transferido 100%",IF(Y46&gt;0,"Aguardando transferência","Saiu saldo anterior a 09/09"))</f>
        <v>Aguardando transferência</v>
      </c>
      <c r="AC46" s="82" t="n">
        <f aca="false">COUNTIFS('3 Base Entrada 2008'!$F$2:$F$5000,"&gt;="&amp;$F$5,'3 Base Entrada 2008'!$F$2:$F$5000,"&lt;="&amp;$H$5,'3 Base Entrada 2008'!$B$2:$B$5000,$T46,'3 Base Entrada 2008'!$C$2:$C$5000,$AG46)</f>
        <v>3</v>
      </c>
      <c r="AD46" s="82" t="n">
        <f aca="false">_xlfn.MINIFS('3 Base Entrada 2008'!$F$2:$F$5000,'3 Base Entrada 2008'!$F$2:$F$5000,"&gt;="&amp;$F$5,'3 Base Entrada 2008'!$F$2:$F$5000,"&lt;="&amp;$H$5,'3 Base Entrada 2008'!$B$2:$B$5000,$T46,'3 Base Entrada 2008'!$C$2:$C$5000,$AG46)</f>
        <v>46275</v>
      </c>
      <c r="AE46" s="82" t="n">
        <f aca="false">_xlfn.MAXIFS('3 Base Entrada 2008'!$F$2:$F$5000,'3 Base Entrada 2008'!$F$2:$F$5000,"&gt;="&amp;$F$5,'3 Base Entrada 2008'!$F$2:$F$5000,"&lt;="&amp;$H$5,'3 Base Entrada 2008'!$B$2:$B$5000,$T46,'3 Base Entrada 2008'!$C$2:$C$5000,$AG46)</f>
        <v>46276</v>
      </c>
      <c r="AF46" s="82" t="s">
        <v>926</v>
      </c>
      <c r="AG46" s="82" t="s">
        <v>330</v>
      </c>
      <c r="AH46" s="82" t="n">
        <f aca="false">IF(AND(Z46=1,Y46&gt;$R$5),Y46+ROW()/10000000,0)</f>
        <v>2840.0000046</v>
      </c>
      <c r="AJ46" s="82" t="n">
        <f aca="false">LARGE($AH$40:$AH$133,7)</f>
        <v>2840.0000047</v>
      </c>
      <c r="AK46" s="82" t="n">
        <f aca="false">IF(AJ46&gt;0,MATCH(AJ46,$AH$40:$AH$133,0),"")</f>
        <v>8</v>
      </c>
      <c r="AL46" s="0" t="str">
        <f aca="false">IF(AK46="","",INDEX($T$40:$T$133,AK46)&amp;" · "&amp;INDEX($AG$40:$AG$133,AK46))</f>
        <v>SPLIT-4-M-413 · 261596201</v>
      </c>
      <c r="AM46" s="82" t="n">
        <f aca="false">IF(AK46="",0,INDEX($Y$40:$Y$133,AK46))</f>
        <v>2840</v>
      </c>
      <c r="AO46" s="82" t="s">
        <v>1759</v>
      </c>
      <c r="AP46" s="120" t="n">
        <v>46280</v>
      </c>
      <c r="AQ46" s="82" t="n">
        <f aca="false">IF(AND(AP46&gt;=$F$5,AP46&lt;=$H$5),SUMIFS('3 Base Entrada 2008'!$G$2:$G$5000,'3 Base Entrada 2008'!$F$2:$F$5000,$AP46,'3 Base Entrada 2008'!$B$2:$B$5000,$R$1,'3 Base Entrada 2008'!$C$2:$C$5000,$R$2,'3 Base Entrada 2008'!$H$2:$H$5000,$R$3,'3 Base Entrada 2008'!$K$2:$K$5000,"Recebido no 2008"),0)</f>
        <v>13080</v>
      </c>
      <c r="AR46" s="82" t="n">
        <f aca="false">IF(AND(AP46&gt;=$F$5,AP46&lt;=$H$5),SUMIFS('3 Base Entrada 2008'!$G$2:$G$5000,'3 Base Entrada 2008'!$F$2:$F$5000,$AP46,'3 Base Entrada 2008'!$B$2:$B$5000,$R$1,'3 Base Entrada 2008'!$C$2:$C$5000,$R$2,'3 Base Entrada 2008'!$H$2:$H$5000,$R$3,'3 Base Entrada 2008'!$K$2:$K$5000,"Entrada")+SUMIFS('3 Base Entrada 2008'!$G$2:$G$5000,'3 Base Entrada 2008'!$F$2:$F$5000,$AP46,'3 Base Entrada 2008'!$B$2:$B$5000,$R$1,'3 Base Entrada 2008'!$C$2:$C$5000,$R$2,'3 Base Entrada 2008'!$H$2:$H$5000,$R$3,'3 Base Entrada 2008'!$K$2:$K$5000,"Estorno"),0)</f>
        <v>0</v>
      </c>
      <c r="AT46" s="82" t="s">
        <v>301</v>
      </c>
      <c r="AV46" s="0" t="str">
        <f aca="false">IFERROR(INDEX($AX$1:$AX$94,MATCH(45,$AY$1:$AY$94,0)),"")</f>
        <v>260701069</v>
      </c>
      <c r="AW46" s="82" t="s">
        <v>354</v>
      </c>
      <c r="AX46" s="82" t="s">
        <v>355</v>
      </c>
      <c r="AY46" s="82" t="n">
        <f aca="false">IF(OR($A$5="Todos",AW46=$A$5),MAX(AY$1:AY45)+1,0)</f>
        <v>46</v>
      </c>
      <c r="BA46" s="82" t="n">
        <f aca="false">SUMIFS('3 Base Saldo Inicial 08-09'!$E$2:$E$5000,'3 Base Saldo Inicial 08-09'!$A$2:$A$5000,$T46,'3 Base Saldo Inicial 08-09'!$B$2:$B$5000,$AG46,'3 Base Saldo Inicial 08-09'!$C$2:$C$5000,"2008")</f>
        <v>0</v>
      </c>
    </row>
    <row r="47" customFormat="false" ht="15" hidden="false" customHeight="false" outlineLevel="0" collapsed="false">
      <c r="A47" s="111" t="str">
        <f aca="false">IF(IFERROR(MATCH(34,$AA$40:$AA$133,0),0)=0,"",INDEX($T$40:$T$133,IFERROR(MATCH(34,$AA$40:$AA$133,0),0)))</f>
        <v>CHM-CU-7X80-E5-U70</v>
      </c>
      <c r="B47" s="111" t="str">
        <f aca="false">IF(IFERROR(MATCH(34,$AA$40:$AA$133,0),0)=0,"",INDEX($AG$40:$AG$133,IFERROR(MATCH(34,$AA$40:$AA$133,0),0)))</f>
        <v>2528749307</v>
      </c>
      <c r="C47" s="112" t="str">
        <f aca="false">IF(IFERROR(MATCH(34,$AA$40:$AA$133,0),0)=0,"",INDEX($U$40:$U$133,IFERROR(MATCH(34,$AA$40:$AA$133,0),0)))</f>
        <v>KG</v>
      </c>
      <c r="D47" s="113" t="n">
        <f aca="false">IF(IFERROR(MATCH(34,$AA$40:$AA$133,0),0)=0,"",INDEX($V$40:$V$133,IFERROR(MATCH(34,$AA$40:$AA$133,0),0)))</f>
        <v>0</v>
      </c>
      <c r="E47" s="113" t="n">
        <f aca="false">IF(IFERROR(MATCH(34,$AA$40:$AA$133,0),0)=0,"",INDEX($W$40:$W$133,IFERROR(MATCH(34,$AA$40:$AA$133,0),0)))</f>
        <v>10</v>
      </c>
      <c r="F47" s="113" t="n">
        <f aca="false">IF(IFERROR(MATCH(34,$AA$40:$AA$133,0),0)=0,"",INDEX($X$40:$X$133,IFERROR(MATCH(34,$AA$40:$AA$133,0),0)))</f>
        <v>0</v>
      </c>
      <c r="G47" s="114" t="n">
        <f aca="false">IF(IFERROR(MATCH(34,$AA$40:$AA$133,0),0)=0,"",INDEX($Y$40:$Y$133,IFERROR(MATCH(34,$AA$40:$AA$133,0),0)))</f>
        <v>-10</v>
      </c>
      <c r="H47" s="145" t="str">
        <f aca="false">IF(A47="","",IF(D47&gt;0,(E47-F47)/D47,""))</f>
        <v/>
      </c>
      <c r="I47" s="115" t="str">
        <f aca="false">IF(IFERROR(MATCH(34,$AA$40:$AA$133,0),0)=0,"",INDEX($AB$40:$AB$133,IFERROR(MATCH(34,$AA$40:$AA$133,0),0)))</f>
        <v>Saiu saldo anterior a 09/09</v>
      </c>
      <c r="J47" s="116" t="n">
        <f aca="false">IF(IFERROR(MATCH(34,$AA$40:$AA$133,0),0)=0,"",INDEX($AC$40:$AC$133,IFERROR(MATCH(34,$AA$40:$AA$133,0),0)))</f>
        <v>1</v>
      </c>
      <c r="K47" s="117" t="n">
        <f aca="false">IF(IFERROR(MATCH(34,$AA$40:$AA$133,0),0)=0,"",IF(INDEX($AD$40:$AD$133,IFERROR(MATCH(34,$AA$40:$AA$133,0),0))=0,"",INDEX($AD$40:$AD$133,IFERROR(MATCH(34,$AA$40:$AA$133,0),0))))</f>
        <v>46291</v>
      </c>
      <c r="L47" s="117" t="n">
        <f aca="false">IF(IFERROR(MATCH(34,$AA$40:$AA$133,0),0)=0,"",IF(INDEX($AE$40:$AE$133,IFERROR(MATCH(34,$AA$40:$AA$133,0),0))=0,"",INDEX($AE$40:$AE$133,IFERROR(MATCH(34,$AA$40:$AA$133,0),0))))</f>
        <v>46291</v>
      </c>
      <c r="M47" s="119" t="str">
        <f aca="false">IF(IFERROR(MATCH(34,$AA$40:$AA$133,0),0)=0,"",INDEX($AF$40:$AF$133,IFERROR(MATCH(34,$AA$40:$AA$133,0),0))&amp;"")</f>
        <v>CA CHOCOCUBES CHUNKS 700CT/KG 2.5KG/UC</v>
      </c>
      <c r="N47" s="118" t="str">
        <f aca="false">IF(A47="","",IF(I47="Aguardando transferência","Transferir "&amp;FIXED(G47,1)&amp;" "&amp;C47&amp;" do 2008 para o ZBR (verificar se já há OT aberta)",IF(I47="Transferido 100%","Nada a fazer","Sem ação: saíram "&amp;FIXED(-G47,1)&amp;" "&amp;C47&amp;" que já estavam no 2008 antes de 09/09 (conferir só se não havia saldo)")))</f>
        <v>Sem ação: saíram 10.0 KG que já estavam no 2008 antes de 09/09 (conferir só se não havia saldo)</v>
      </c>
      <c r="O47" s="1"/>
      <c r="T47" s="82" t="s">
        <v>307</v>
      </c>
      <c r="U47" s="82" t="s">
        <v>65</v>
      </c>
      <c r="V47" s="82" t="n">
        <f aca="false">SUMIFS('3 Base Entrada 2008'!$G$2:$G$5000,'3 Base Entrada 2008'!$F$2:$F$5000,"&gt;="&amp;$F$5,'3 Base Entrada 2008'!$F$2:$F$5000,"&lt;="&amp;$H$5,'3 Base Entrada 2008'!$B$2:$B$5000,$T47,'3 Base Entrada 2008'!$C$2:$C$5000,$AG47,'3 Base Entrada 2008'!$K$2:$K$5000,"Recebido no 2008")</f>
        <v>3840</v>
      </c>
      <c r="W47" s="82" t="n">
        <f aca="false">-SUMIFS('3 Base Entrada 2008'!$G$2:$G$5000,'3 Base Entrada 2008'!$F$2:$F$5000,"&gt;="&amp;$F$5,'3 Base Entrada 2008'!$F$2:$F$5000,"&lt;="&amp;$H$5,'3 Base Entrada 2008'!$B$2:$B$5000,$T47,'3 Base Entrada 2008'!$C$2:$C$5000,$AG47,'3 Base Entrada 2008'!$K$2:$K$5000,"Entrada")</f>
        <v>1000</v>
      </c>
      <c r="X47" s="82" t="n">
        <f aca="false">SUMIFS('3 Base Entrada 2008'!$G$2:$G$5000,'3 Base Entrada 2008'!$F$2:$F$5000,"&gt;="&amp;$F$5,'3 Base Entrada 2008'!$F$2:$F$5000,"&lt;="&amp;$H$5,'3 Base Entrada 2008'!$B$2:$B$5000,$T47,'3 Base Entrada 2008'!$C$2:$C$5000,$AG47,'3 Base Entrada 2008'!$K$2:$K$5000,"Estorno")</f>
        <v>0</v>
      </c>
      <c r="Y47" s="82" t="n">
        <f aca="false">ROUND(BA47+V47-W47+X47,3)</f>
        <v>2840</v>
      </c>
      <c r="Z47" s="82" t="n">
        <f aca="false">IF(AND(U47=$R$3,OR($R$1="*",T47=$R$1),OR($R$2="*",AG47=$R$2),OR($K$5="Todas",AB47=$K$5),ABS(V47)+ABS(W47)+ABS(X47)&gt;0),1,0)</f>
        <v>1</v>
      </c>
      <c r="AA47" s="82" t="n">
        <f aca="false">IF(Z47=1,SUM(Z$40:Z47),"")</f>
        <v>8</v>
      </c>
      <c r="AB47" s="0" t="str">
        <f aca="false">IF(ABS(Y47)&lt;=$R$5,"Transferido 100%",IF(Y47&gt;0,"Aguardando transferência","Saiu saldo anterior a 09/09"))</f>
        <v>Aguardando transferência</v>
      </c>
      <c r="AC47" s="82" t="n">
        <f aca="false">COUNTIFS('3 Base Entrada 2008'!$F$2:$F$5000,"&gt;="&amp;$F$5,'3 Base Entrada 2008'!$F$2:$F$5000,"&lt;="&amp;$H$5,'3 Base Entrada 2008'!$B$2:$B$5000,$T47,'3 Base Entrada 2008'!$C$2:$C$5000,$AG47)</f>
        <v>2</v>
      </c>
      <c r="AD47" s="82" t="n">
        <f aca="false">_xlfn.MINIFS('3 Base Entrada 2008'!$F$2:$F$5000,'3 Base Entrada 2008'!$F$2:$F$5000,"&gt;="&amp;$F$5,'3 Base Entrada 2008'!$F$2:$F$5000,"&lt;="&amp;$H$5,'3 Base Entrada 2008'!$B$2:$B$5000,$T47,'3 Base Entrada 2008'!$C$2:$C$5000,$AG47)</f>
        <v>46280</v>
      </c>
      <c r="AE47" s="82" t="n">
        <f aca="false">_xlfn.MAXIFS('3 Base Entrada 2008'!$F$2:$F$5000,'3 Base Entrada 2008'!$F$2:$F$5000,"&gt;="&amp;$F$5,'3 Base Entrada 2008'!$F$2:$F$5000,"&lt;="&amp;$H$5,'3 Base Entrada 2008'!$B$2:$B$5000,$T47,'3 Base Entrada 2008'!$C$2:$C$5000,$AG47)</f>
        <v>46293</v>
      </c>
      <c r="AG47" s="82" t="s">
        <v>308</v>
      </c>
      <c r="AH47" s="82" t="n">
        <f aca="false">IF(AND(Z47=1,Y47&gt;$R$5),Y47+ROW()/10000000,0)</f>
        <v>2840.0000047</v>
      </c>
      <c r="AJ47" s="82" t="n">
        <f aca="false">LARGE($AH$40:$AH$133,8)</f>
        <v>2840.0000046</v>
      </c>
      <c r="AK47" s="82" t="n">
        <f aca="false">IF(AJ47&gt;0,MATCH(AJ47,$AH$40:$AH$133,0),"")</f>
        <v>7</v>
      </c>
      <c r="AL47" s="0" t="str">
        <f aca="false">IF(AK47="","",INDEX($T$40:$T$133,AK47)&amp;" · "&amp;INDEX($AG$40:$AG$133,AK47))</f>
        <v>BIG-PF-1BO-401 · 26126039</v>
      </c>
      <c r="AM47" s="82" t="n">
        <f aca="false">IF(AK47="",0,INDEX($Y$40:$Y$133,AK47))</f>
        <v>2840</v>
      </c>
      <c r="AO47" s="82" t="s">
        <v>1760</v>
      </c>
      <c r="AP47" s="120" t="n">
        <v>46281</v>
      </c>
      <c r="AQ47" s="82" t="n">
        <f aca="false">IF(AND(AP47&gt;=$F$5,AP47&lt;=$H$5),SUMIFS('3 Base Entrada 2008'!$G$2:$G$5000,'3 Base Entrada 2008'!$F$2:$F$5000,$AP47,'3 Base Entrada 2008'!$B$2:$B$5000,$R$1,'3 Base Entrada 2008'!$C$2:$C$5000,$R$2,'3 Base Entrada 2008'!$H$2:$H$5000,$R$3,'3 Base Entrada 2008'!$K$2:$K$5000,"Recebido no 2008"),0)</f>
        <v>0</v>
      </c>
      <c r="AR47" s="82" t="n">
        <f aca="false">IF(AND(AP47&gt;=$F$5,AP47&lt;=$H$5),SUMIFS('3 Base Entrada 2008'!$G$2:$G$5000,'3 Base Entrada 2008'!$F$2:$F$5000,$AP47,'3 Base Entrada 2008'!$B$2:$B$5000,$R$1,'3 Base Entrada 2008'!$C$2:$C$5000,$R$2,'3 Base Entrada 2008'!$H$2:$H$5000,$R$3,'3 Base Entrada 2008'!$K$2:$K$5000,"Entrada")+SUMIFS('3 Base Entrada 2008'!$G$2:$G$5000,'3 Base Entrada 2008'!$F$2:$F$5000,$AP47,'3 Base Entrada 2008'!$B$2:$B$5000,$R$1,'3 Base Entrada 2008'!$C$2:$C$5000,$R$2,'3 Base Entrada 2008'!$H$2:$H$5000,$R$3,'3 Base Entrada 2008'!$K$2:$K$5000,"Estorno"),0)</f>
        <v>0</v>
      </c>
      <c r="AT47" s="82" t="s">
        <v>305</v>
      </c>
      <c r="AV47" s="0" t="str">
        <f aca="false">IFERROR(INDEX($AX$1:$AX$94,MATCH(46,$AY$1:$AY$94,0)),"")</f>
        <v>2528749307</v>
      </c>
      <c r="AW47" s="82" t="s">
        <v>356</v>
      </c>
      <c r="AX47" s="82" t="s">
        <v>357</v>
      </c>
      <c r="AY47" s="82" t="n">
        <f aca="false">IF(OR($A$5="Todos",AW47=$A$5),MAX(AY$1:AY46)+1,0)</f>
        <v>47</v>
      </c>
      <c r="BA47" s="82" t="n">
        <f aca="false">SUMIFS('3 Base Saldo Inicial 08-09'!$E$2:$E$5000,'3 Base Saldo Inicial 08-09'!$A$2:$A$5000,$T47,'3 Base Saldo Inicial 08-09'!$B$2:$B$5000,$AG47,'3 Base Saldo Inicial 08-09'!$C$2:$C$5000,"2008")</f>
        <v>0</v>
      </c>
    </row>
    <row r="48" customFormat="false" ht="15" hidden="false" customHeight="false" outlineLevel="0" collapsed="false">
      <c r="A48" s="111" t="str">
        <f aca="false">IF(IFERROR(MATCH(35,$AA$40:$AA$133,0),0)=0,"",INDEX($T$40:$T$133,IFERROR(MATCH(35,$AA$40:$AA$133,0),0)))</f>
        <v>W3-BR-25A</v>
      </c>
      <c r="B48" s="111" t="str">
        <f aca="false">IF(IFERROR(MATCH(35,$AA$40:$AA$133,0),0)=0,"",INDEX($AG$40:$AG$133,IFERROR(MATCH(35,$AA$40:$AA$133,0),0)))</f>
        <v>261080301</v>
      </c>
      <c r="C48" s="112" t="str">
        <f aca="false">IF(IFERROR(MATCH(35,$AA$40:$AA$133,0),0)=0,"",INDEX($U$40:$U$133,IFERROR(MATCH(35,$AA$40:$AA$133,0),0)))</f>
        <v>KG</v>
      </c>
      <c r="D48" s="113" t="n">
        <f aca="false">IF(IFERROR(MATCH(35,$AA$40:$AA$133,0),0)=0,"",INDEX($V$40:$V$133,IFERROR(MATCH(35,$AA$40:$AA$133,0),0)))</f>
        <v>2995</v>
      </c>
      <c r="E48" s="113" t="n">
        <f aca="false">IF(IFERROR(MATCH(35,$AA$40:$AA$133,0),0)=0,"",INDEX($W$40:$W$133,IFERROR(MATCH(35,$AA$40:$AA$133,0),0)))</f>
        <v>3211.7</v>
      </c>
      <c r="F48" s="113" t="n">
        <f aca="false">IF(IFERROR(MATCH(35,$AA$40:$AA$133,0),0)=0,"",INDEX($X$40:$X$133,IFERROR(MATCH(35,$AA$40:$AA$133,0),0)))</f>
        <v>186</v>
      </c>
      <c r="G48" s="114" t="n">
        <f aca="false">IF(IFERROR(MATCH(35,$AA$40:$AA$133,0),0)=0,"",INDEX($Y$40:$Y$133,IFERROR(MATCH(35,$AA$40:$AA$133,0),0)))</f>
        <v>-30.7</v>
      </c>
      <c r="H48" s="145" t="n">
        <f aca="false">IF(A48="","",IF(D48&gt;0,(E48-F48)/D48,""))</f>
        <v>1.01025041736227</v>
      </c>
      <c r="I48" s="115" t="str">
        <f aca="false">IF(IFERROR(MATCH(35,$AA$40:$AA$133,0),0)=0,"",INDEX($AB$40:$AB$133,IFERROR(MATCH(35,$AA$40:$AA$133,0),0)))</f>
        <v>Saiu saldo anterior a 09/09</v>
      </c>
      <c r="J48" s="116" t="n">
        <f aca="false">IF(IFERROR(MATCH(35,$AA$40:$AA$133,0),0)=0,"",INDEX($AC$40:$AC$133,IFERROR(MATCH(35,$AA$40:$AA$133,0),0)))</f>
        <v>5</v>
      </c>
      <c r="K48" s="117" t="n">
        <f aca="false">IF(IFERROR(MATCH(35,$AA$40:$AA$133,0),0)=0,"",IF(INDEX($AD$40:$AD$133,IFERROR(MATCH(35,$AA$40:$AA$133,0),0))=0,"",INDEX($AD$40:$AD$133,IFERROR(MATCH(35,$AA$40:$AA$133,0),0))))</f>
        <v>46275</v>
      </c>
      <c r="L48" s="117" t="n">
        <f aca="false">IF(IFERROR(MATCH(35,$AA$40:$AA$133,0),0)=0,"",IF(INDEX($AE$40:$AE$133,IFERROR(MATCH(35,$AA$40:$AA$133,0),0))=0,"",INDEX($AE$40:$AE$133,IFERROR(MATCH(35,$AA$40:$AA$133,0),0))))</f>
        <v>46294</v>
      </c>
      <c r="M48" s="119" t="str">
        <f aca="false">IF(IFERROR(MATCH(35,$AA$40:$AA$133,0),0)=0,"",INDEX($AF$40:$AF$133,IFERROR(MATCH(35,$AA$40:$AA$133,0),0))&amp;"")</f>
        <v>CA MOEDAS 2,01KG/UC 10UC/CX 30CX/PAL</v>
      </c>
      <c r="N48" s="118" t="str">
        <f aca="false">IF(A48="","",IF(I48="Aguardando transferência","Transferir "&amp;FIXED(G48,1)&amp;" "&amp;C48&amp;" do 2008 para o ZBR (verificar se já há OT aberta)",IF(I48="Transferido 100%","Nada a fazer","Sem ação: saíram "&amp;FIXED(-G48,1)&amp;" "&amp;C48&amp;" que já estavam no 2008 antes de 09/09 (conferir só se não havia saldo)")))</f>
        <v>Sem ação: saíram 30.7 KG que já estavam no 2008 antes de 09/09 (conferir só se não havia saldo)</v>
      </c>
      <c r="O48" s="1"/>
      <c r="T48" s="82" t="s">
        <v>336</v>
      </c>
      <c r="U48" s="82" t="s">
        <v>65</v>
      </c>
      <c r="V48" s="82" t="n">
        <f aca="false">SUMIFS('3 Base Entrada 2008'!$G$2:$G$5000,'3 Base Entrada 2008'!$F$2:$F$5000,"&gt;="&amp;$F$5,'3 Base Entrada 2008'!$F$2:$F$5000,"&lt;="&amp;$H$5,'3 Base Entrada 2008'!$B$2:$B$5000,$T48,'3 Base Entrada 2008'!$C$2:$C$5000,$AG48,'3 Base Entrada 2008'!$K$2:$K$5000,"Recebido no 2008")</f>
        <v>2400</v>
      </c>
      <c r="W48" s="82" t="n">
        <f aca="false">-SUMIFS('3 Base Entrada 2008'!$G$2:$G$5000,'3 Base Entrada 2008'!$F$2:$F$5000,"&gt;="&amp;$F$5,'3 Base Entrada 2008'!$F$2:$F$5000,"&lt;="&amp;$H$5,'3 Base Entrada 2008'!$B$2:$B$5000,$T48,'3 Base Entrada 2008'!$C$2:$C$5000,$AG48,'3 Base Entrada 2008'!$K$2:$K$5000,"Entrada")</f>
        <v>-0</v>
      </c>
      <c r="X48" s="82" t="n">
        <f aca="false">SUMIFS('3 Base Entrada 2008'!$G$2:$G$5000,'3 Base Entrada 2008'!$F$2:$F$5000,"&gt;="&amp;$F$5,'3 Base Entrada 2008'!$F$2:$F$5000,"&lt;="&amp;$H$5,'3 Base Entrada 2008'!$B$2:$B$5000,$T48,'3 Base Entrada 2008'!$C$2:$C$5000,$AG48,'3 Base Entrada 2008'!$K$2:$K$5000,"Estorno")</f>
        <v>0</v>
      </c>
      <c r="Y48" s="82" t="n">
        <f aca="false">ROUND(BA48+V48-W48+X48,3)</f>
        <v>2400</v>
      </c>
      <c r="Z48" s="82" t="n">
        <f aca="false">IF(AND(U48=$R$3,OR($R$1="*",T48=$R$1),OR($R$2="*",AG48=$R$2),OR($K$5="Todas",AB48=$K$5),ABS(V48)+ABS(W48)+ABS(X48)&gt;0),1,0)</f>
        <v>1</v>
      </c>
      <c r="AA48" s="82" t="n">
        <f aca="false">IF(Z48=1,SUM(Z$40:Z48),"")</f>
        <v>9</v>
      </c>
      <c r="AB48" s="0" t="str">
        <f aca="false">IF(ABS(Y48)&lt;=$R$5,"Transferido 100%",IF(Y48&gt;0,"Aguardando transferência","Saiu saldo anterior a 09/09"))</f>
        <v>Aguardando transferência</v>
      </c>
      <c r="AC48" s="82" t="n">
        <f aca="false">COUNTIFS('3 Base Entrada 2008'!$F$2:$F$5000,"&gt;="&amp;$F$5,'3 Base Entrada 2008'!$F$2:$F$5000,"&lt;="&amp;$H$5,'3 Base Entrada 2008'!$B$2:$B$5000,$T48,'3 Base Entrada 2008'!$C$2:$C$5000,$AG48)</f>
        <v>2</v>
      </c>
      <c r="AD48" s="82" t="n">
        <f aca="false">_xlfn.MINIFS('3 Base Entrada 2008'!$F$2:$F$5000,'3 Base Entrada 2008'!$F$2:$F$5000,"&gt;="&amp;$F$5,'3 Base Entrada 2008'!$F$2:$F$5000,"&lt;="&amp;$H$5,'3 Base Entrada 2008'!$B$2:$B$5000,$T48,'3 Base Entrada 2008'!$C$2:$C$5000,$AG48)</f>
        <v>46275</v>
      </c>
      <c r="AE48" s="82" t="n">
        <f aca="false">_xlfn.MAXIFS('3 Base Entrada 2008'!$F$2:$F$5000,'3 Base Entrada 2008'!$F$2:$F$5000,"&gt;="&amp;$F$5,'3 Base Entrada 2008'!$F$2:$F$5000,"&lt;="&amp;$H$5,'3 Base Entrada 2008'!$B$2:$B$5000,$T48,'3 Base Entrada 2008'!$C$2:$C$5000,$AG48)</f>
        <v>46275</v>
      </c>
      <c r="AG48" s="82" t="s">
        <v>337</v>
      </c>
      <c r="AH48" s="82" t="n">
        <f aca="false">IF(AND(Z48=1,Y48&gt;$R$5),Y48+ROW()/10000000,0)</f>
        <v>2400.0000048</v>
      </c>
      <c r="AJ48" s="82" t="n">
        <f aca="false">LARGE($AH$40:$AH$133,9)</f>
        <v>2400.0000049</v>
      </c>
      <c r="AK48" s="82" t="n">
        <f aca="false">IF(AJ48&gt;0,MATCH(AJ48,$AH$40:$AH$133,0),"")</f>
        <v>10</v>
      </c>
      <c r="AL48" s="0" t="str">
        <f aca="false">IF(AK48="","",INDEX($T$40:$T$133,AK48)&amp;" · "&amp;INDEX($AG$40:$AG$133,AK48))</f>
        <v>CW2NV-595 · 261070601</v>
      </c>
      <c r="AM48" s="82" t="n">
        <f aca="false">IF(AK48="",0,INDEX($Y$40:$Y$133,AK48))</f>
        <v>2400</v>
      </c>
      <c r="AO48" s="82" t="s">
        <v>1761</v>
      </c>
      <c r="AP48" s="120" t="n">
        <v>46282</v>
      </c>
      <c r="AQ48" s="82" t="n">
        <f aca="false">IF(AND(AP48&gt;=$F$5,AP48&lt;=$H$5),SUMIFS('3 Base Entrada 2008'!$G$2:$G$5000,'3 Base Entrada 2008'!$F$2:$F$5000,$AP48,'3 Base Entrada 2008'!$B$2:$B$5000,$R$1,'3 Base Entrada 2008'!$C$2:$C$5000,$R$2,'3 Base Entrada 2008'!$H$2:$H$5000,$R$3,'3 Base Entrada 2008'!$K$2:$K$5000,"Recebido no 2008"),0)</f>
        <v>0</v>
      </c>
      <c r="AR48" s="82" t="n">
        <f aca="false">IF(AND(AP48&gt;=$F$5,AP48&lt;=$H$5),SUMIFS('3 Base Entrada 2008'!$G$2:$G$5000,'3 Base Entrada 2008'!$F$2:$F$5000,$AP48,'3 Base Entrada 2008'!$B$2:$B$5000,$R$1,'3 Base Entrada 2008'!$C$2:$C$5000,$R$2,'3 Base Entrada 2008'!$H$2:$H$5000,$R$3,'3 Base Entrada 2008'!$K$2:$K$5000,"Entrada")+SUMIFS('3 Base Entrada 2008'!$G$2:$G$5000,'3 Base Entrada 2008'!$F$2:$F$5000,$AP48,'3 Base Entrada 2008'!$B$2:$B$5000,$R$1,'3 Base Entrada 2008'!$C$2:$C$5000,$R$2,'3 Base Entrada 2008'!$H$2:$H$5000,$R$3,'3 Base Entrada 2008'!$K$2:$K$5000,"Estorno"),0)</f>
        <v>0</v>
      </c>
      <c r="AT48" s="82" t="s">
        <v>387</v>
      </c>
      <c r="AV48" s="0" t="str">
        <f aca="false">IFERROR(INDEX($AX$1:$AX$94,MATCH(47,$AY$1:$AY$94,0)),"")</f>
        <v>260660303</v>
      </c>
      <c r="AW48" s="82" t="s">
        <v>257</v>
      </c>
      <c r="AX48" s="82" t="s">
        <v>209</v>
      </c>
      <c r="AY48" s="82" t="n">
        <f aca="false">IF(OR($A$5="Todos",AW48=$A$5),MAX(AY$1:AY47)+1,0)</f>
        <v>48</v>
      </c>
      <c r="BA48" s="82" t="n">
        <f aca="false">SUMIFS('3 Base Saldo Inicial 08-09'!$E$2:$E$5000,'3 Base Saldo Inicial 08-09'!$A$2:$A$5000,$T48,'3 Base Saldo Inicial 08-09'!$B$2:$B$5000,$AG48,'3 Base Saldo Inicial 08-09'!$C$2:$C$5000,"2008")</f>
        <v>0</v>
      </c>
    </row>
    <row r="49" customFormat="false" ht="15" hidden="false" customHeight="false" outlineLevel="0" collapsed="false">
      <c r="A49" s="111" t="str">
        <f aca="false">IF(IFERROR(MATCH(36,$AA$40:$AA$133,0),0)=0,"",INDEX($T$40:$T$133,IFERROR(MATCH(36,$AA$40:$AA$133,0),0)))</f>
        <v>CHK-R30GOLD-BR-25A</v>
      </c>
      <c r="B49" s="111" t="str">
        <f aca="false">IF(IFERROR(MATCH(36,$AA$40:$AA$133,0),0)=0,"",INDEX($AG$40:$AG$133,IFERROR(MATCH(36,$AA$40:$AA$133,0),0)))</f>
        <v>253620301</v>
      </c>
      <c r="C49" s="112" t="str">
        <f aca="false">IF(IFERROR(MATCH(36,$AA$40:$AA$133,0),0)=0,"",INDEX($U$40:$U$133,IFERROR(MATCH(36,$AA$40:$AA$133,0),0)))</f>
        <v>KG</v>
      </c>
      <c r="D49" s="113" t="n">
        <f aca="false">IF(IFERROR(MATCH(36,$AA$40:$AA$133,0),0)=0,"",INDEX($V$40:$V$133,IFERROR(MATCH(36,$AA$40:$AA$133,0),0)))</f>
        <v>0</v>
      </c>
      <c r="E49" s="113" t="n">
        <f aca="false">IF(IFERROR(MATCH(36,$AA$40:$AA$133,0),0)=0,"",INDEX($W$40:$W$133,IFERROR(MATCH(36,$AA$40:$AA$133,0),0)))</f>
        <v>40.2</v>
      </c>
      <c r="F49" s="113" t="n">
        <f aca="false">IF(IFERROR(MATCH(36,$AA$40:$AA$133,0),0)=0,"",INDEX($X$40:$X$133,IFERROR(MATCH(36,$AA$40:$AA$133,0),0)))</f>
        <v>0</v>
      </c>
      <c r="G49" s="114" t="n">
        <f aca="false">IF(IFERROR(MATCH(36,$AA$40:$AA$133,0),0)=0,"",INDEX($Y$40:$Y$133,IFERROR(MATCH(36,$AA$40:$AA$133,0),0)))</f>
        <v>-40.2</v>
      </c>
      <c r="H49" s="145" t="str">
        <f aca="false">IF(A49="","",IF(D49&gt;0,(E49-F49)/D49,""))</f>
        <v/>
      </c>
      <c r="I49" s="115" t="str">
        <f aca="false">IF(IFERROR(MATCH(36,$AA$40:$AA$133,0),0)=0,"",INDEX($AB$40:$AB$133,IFERROR(MATCH(36,$AA$40:$AA$133,0),0)))</f>
        <v>Saiu saldo anterior a 09/09</v>
      </c>
      <c r="J49" s="116" t="n">
        <f aca="false">IF(IFERROR(MATCH(36,$AA$40:$AA$133,0),0)=0,"",INDEX($AC$40:$AC$133,IFERROR(MATCH(36,$AA$40:$AA$133,0),0)))</f>
        <v>1</v>
      </c>
      <c r="K49" s="117" t="n">
        <f aca="false">IF(IFERROR(MATCH(36,$AA$40:$AA$133,0),0)=0,"",IF(INDEX($AD$40:$AD$133,IFERROR(MATCH(36,$AA$40:$AA$133,0),0))=0,"",INDEX($AD$40:$AD$133,IFERROR(MATCH(36,$AA$40:$AA$133,0),0))))</f>
        <v>46291</v>
      </c>
      <c r="L49" s="117" t="n">
        <f aca="false">IF(IFERROR(MATCH(36,$AA$40:$AA$133,0),0)=0,"",IF(INDEX($AE$40:$AE$133,IFERROR(MATCH(36,$AA$40:$AA$133,0),0))=0,"",INDEX($AE$40:$AE$133,IFERROR(MATCH(36,$AA$40:$AA$133,0),0))))</f>
        <v>46291</v>
      </c>
      <c r="M49" s="119" t="str">
        <f aca="false">IF(IFERROR(MATCH(36,$AA$40:$AA$133,0),0)=0,"",INDEX($AF$40:$AF$133,IFERROR(MATCH(36,$AA$40:$AA$133,0),0))&amp;"")</f>
        <v>CA MOEDAS 2,01KG/UC 10UC/CX 30CX/PAL</v>
      </c>
      <c r="N49" s="118" t="str">
        <f aca="false">IF(A49="","",IF(I49="Aguardando transferência","Transferir "&amp;FIXED(G49,1)&amp;" "&amp;C49&amp;" do 2008 para o ZBR (verificar se já há OT aberta)",IF(I49="Transferido 100%","Nada a fazer","Sem ação: saíram "&amp;FIXED(-G49,1)&amp;" "&amp;C49&amp;" que já estavam no 2008 antes de 09/09 (conferir só se não havia saldo)")))</f>
        <v>Sem ação: saíram 40.2 KG que já estavam no 2008 antes de 09/09 (conferir só se não havia saldo)</v>
      </c>
      <c r="O49" s="1"/>
      <c r="T49" s="82" t="s">
        <v>372</v>
      </c>
      <c r="U49" s="82" t="s">
        <v>65</v>
      </c>
      <c r="V49" s="82" t="n">
        <f aca="false">SUMIFS('3 Base Entrada 2008'!$G$2:$G$5000,'3 Base Entrada 2008'!$F$2:$F$5000,"&gt;="&amp;$F$5,'3 Base Entrada 2008'!$F$2:$F$5000,"&lt;="&amp;$H$5,'3 Base Entrada 2008'!$B$2:$B$5000,$T49,'3 Base Entrada 2008'!$C$2:$C$5000,$AG49,'3 Base Entrada 2008'!$K$2:$K$5000,"Recebido no 2008")</f>
        <v>2400</v>
      </c>
      <c r="W49" s="82" t="n">
        <f aca="false">-SUMIFS('3 Base Entrada 2008'!$G$2:$G$5000,'3 Base Entrada 2008'!$F$2:$F$5000,"&gt;="&amp;$F$5,'3 Base Entrada 2008'!$F$2:$F$5000,"&lt;="&amp;$H$5,'3 Base Entrada 2008'!$B$2:$B$5000,$T49,'3 Base Entrada 2008'!$C$2:$C$5000,$AG49,'3 Base Entrada 2008'!$K$2:$K$5000,"Entrada")</f>
        <v>-0</v>
      </c>
      <c r="X49" s="82" t="n">
        <f aca="false">SUMIFS('3 Base Entrada 2008'!$G$2:$G$5000,'3 Base Entrada 2008'!$F$2:$F$5000,"&gt;="&amp;$F$5,'3 Base Entrada 2008'!$F$2:$F$5000,"&lt;="&amp;$H$5,'3 Base Entrada 2008'!$B$2:$B$5000,$T49,'3 Base Entrada 2008'!$C$2:$C$5000,$AG49,'3 Base Entrada 2008'!$K$2:$K$5000,"Estorno")</f>
        <v>0</v>
      </c>
      <c r="Y49" s="82" t="n">
        <f aca="false">ROUND(BA49+V49-W49+X49,3)</f>
        <v>2400</v>
      </c>
      <c r="Z49" s="82" t="n">
        <f aca="false">IF(AND(U49=$R$3,OR($R$1="*",T49=$R$1),OR($R$2="*",AG49=$R$2),OR($K$5="Todas",AB49=$K$5),ABS(V49)+ABS(W49)+ABS(X49)&gt;0),1,0)</f>
        <v>1</v>
      </c>
      <c r="AA49" s="82" t="n">
        <f aca="false">IF(Z49=1,SUM(Z$40:Z49),"")</f>
        <v>10</v>
      </c>
      <c r="AB49" s="0" t="str">
        <f aca="false">IF(ABS(Y49)&lt;=$R$5,"Transferido 100%",IF(Y49&gt;0,"Aguardando transferência","Saiu saldo anterior a 09/09"))</f>
        <v>Aguardando transferência</v>
      </c>
      <c r="AC49" s="82" t="n">
        <f aca="false">COUNTIFS('3 Base Entrada 2008'!$F$2:$F$5000,"&gt;="&amp;$F$5,'3 Base Entrada 2008'!$F$2:$F$5000,"&lt;="&amp;$H$5,'3 Base Entrada 2008'!$B$2:$B$5000,$T49,'3 Base Entrada 2008'!$C$2:$C$5000,$AG49)</f>
        <v>2</v>
      </c>
      <c r="AD49" s="82" t="n">
        <f aca="false">_xlfn.MINIFS('3 Base Entrada 2008'!$F$2:$F$5000,'3 Base Entrada 2008'!$F$2:$F$5000,"&gt;="&amp;$F$5,'3 Base Entrada 2008'!$F$2:$F$5000,"&lt;="&amp;$H$5,'3 Base Entrada 2008'!$B$2:$B$5000,$T49,'3 Base Entrada 2008'!$C$2:$C$5000,$AG49)</f>
        <v>46275</v>
      </c>
      <c r="AE49" s="82" t="n">
        <f aca="false">_xlfn.MAXIFS('3 Base Entrada 2008'!$F$2:$F$5000,'3 Base Entrada 2008'!$F$2:$F$5000,"&gt;="&amp;$F$5,'3 Base Entrada 2008'!$F$2:$F$5000,"&lt;="&amp;$H$5,'3 Base Entrada 2008'!$B$2:$B$5000,$T49,'3 Base Entrada 2008'!$C$2:$C$5000,$AG49)</f>
        <v>46275</v>
      </c>
      <c r="AG49" s="82" t="s">
        <v>374</v>
      </c>
      <c r="AH49" s="82" t="n">
        <f aca="false">IF(AND(Z49=1,Y49&gt;$R$5),Y49+ROW()/10000000,0)</f>
        <v>2400.0000049</v>
      </c>
      <c r="AJ49" s="82" t="n">
        <f aca="false">LARGE($AH$40:$AH$133,10)</f>
        <v>2400.0000048</v>
      </c>
      <c r="AK49" s="82" t="n">
        <f aca="false">IF(AJ49&gt;0,MATCH(AJ49,$AH$40:$AH$133,0),"")</f>
        <v>9</v>
      </c>
      <c r="AL49" s="0" t="str">
        <f aca="false">IF(AK49="","",INDEX($T$40:$T$133,AK49)&amp;" · "&amp;INDEX($AG$40:$AG$133,AK49))</f>
        <v>CHD-SP-1M-2B-U77 · 260880101</v>
      </c>
      <c r="AM49" s="82" t="n">
        <f aca="false">IF(AK49="",0,INDEX($Y$40:$Y$133,AK49))</f>
        <v>2400</v>
      </c>
      <c r="AO49" s="82" t="s">
        <v>1762</v>
      </c>
      <c r="AP49" s="120" t="n">
        <v>46283</v>
      </c>
      <c r="AQ49" s="82" t="n">
        <f aca="false">IF(AND(AP49&gt;=$F$5,AP49&lt;=$H$5),SUMIFS('3 Base Entrada 2008'!$G$2:$G$5000,'3 Base Entrada 2008'!$F$2:$F$5000,$AP49,'3 Base Entrada 2008'!$B$2:$B$5000,$R$1,'3 Base Entrada 2008'!$C$2:$C$5000,$R$2,'3 Base Entrada 2008'!$H$2:$H$5000,$R$3,'3 Base Entrada 2008'!$K$2:$K$5000,"Recebido no 2008"),0)</f>
        <v>0</v>
      </c>
      <c r="AR49" s="82" t="n">
        <f aca="false">IF(AND(AP49&gt;=$F$5,AP49&lt;=$H$5),SUMIFS('3 Base Entrada 2008'!$G$2:$G$5000,'3 Base Entrada 2008'!$F$2:$F$5000,$AP49,'3 Base Entrada 2008'!$B$2:$B$5000,$R$1,'3 Base Entrada 2008'!$C$2:$C$5000,$R$2,'3 Base Entrada 2008'!$H$2:$H$5000,$R$3,'3 Base Entrada 2008'!$K$2:$K$5000,"Entrada")+SUMIFS('3 Base Entrada 2008'!$G$2:$G$5000,'3 Base Entrada 2008'!$F$2:$F$5000,$AP49,'3 Base Entrada 2008'!$B$2:$B$5000,$R$1,'3 Base Entrada 2008'!$C$2:$C$5000,$R$2,'3 Base Entrada 2008'!$H$2:$H$5000,$R$3,'3 Base Entrada 2008'!$K$2:$K$5000,"Estorno"),0)</f>
        <v>0</v>
      </c>
      <c r="AT49" s="82" t="s">
        <v>307</v>
      </c>
      <c r="AV49" s="0" t="str">
        <f aca="false">IFERROR(INDEX($AX$1:$AX$94,MATCH(48,$AY$1:$AY$94,0)),"")</f>
        <v>250880301</v>
      </c>
      <c r="AW49" s="82" t="s">
        <v>257</v>
      </c>
      <c r="AX49" s="82" t="s">
        <v>258</v>
      </c>
      <c r="AY49" s="82" t="n">
        <f aca="false">IF(OR($A$5="Todos",AW49=$A$5),MAX(AY$1:AY48)+1,0)</f>
        <v>49</v>
      </c>
      <c r="BA49" s="82" t="n">
        <f aca="false">SUMIFS('3 Base Saldo Inicial 08-09'!$E$2:$E$5000,'3 Base Saldo Inicial 08-09'!$A$2:$A$5000,$T49,'3 Base Saldo Inicial 08-09'!$B$2:$B$5000,$AG49,'3 Base Saldo Inicial 08-09'!$C$2:$C$5000,"2008")</f>
        <v>0</v>
      </c>
    </row>
    <row r="50" customFormat="false" ht="15" hidden="false" customHeight="false" outlineLevel="0" collapsed="false">
      <c r="A50" s="111" t="str">
        <f aca="false">IF(IFERROR(MATCH(37,$AA$40:$AA$133,0),0)=0,"",INDEX($T$40:$T$133,IFERROR(MATCH(37,$AA$40:$AA$133,0),0)))</f>
        <v>W2-BR-D94</v>
      </c>
      <c r="B50" s="111" t="str">
        <f aca="false">IF(IFERROR(MATCH(37,$AA$40:$AA$133,0),0)=0,"",INDEX($AG$40:$AG$133,IFERROR(MATCH(37,$AA$40:$AA$133,0),0)))</f>
        <v>252232739</v>
      </c>
      <c r="C50" s="112" t="str">
        <f aca="false">IF(IFERROR(MATCH(37,$AA$40:$AA$133,0),0)=0,"",INDEX($U$40:$U$133,IFERROR(MATCH(37,$AA$40:$AA$133,0),0)))</f>
        <v>KG</v>
      </c>
      <c r="D50" s="113" t="n">
        <f aca="false">IF(IFERROR(MATCH(37,$AA$40:$AA$133,0),0)=0,"",INDEX($V$40:$V$133,IFERROR(MATCH(37,$AA$40:$AA$133,0),0)))</f>
        <v>0</v>
      </c>
      <c r="E50" s="113" t="n">
        <f aca="false">IF(IFERROR(MATCH(37,$AA$40:$AA$133,0),0)=0,"",INDEX($W$40:$W$133,IFERROR(MATCH(37,$AA$40:$AA$133,0),0)))</f>
        <v>53.2</v>
      </c>
      <c r="F50" s="113" t="n">
        <f aca="false">IF(IFERROR(MATCH(37,$AA$40:$AA$133,0),0)=0,"",INDEX($X$40:$X$133,IFERROR(MATCH(37,$AA$40:$AA$133,0),0)))</f>
        <v>0</v>
      </c>
      <c r="G50" s="114" t="n">
        <f aca="false">IF(IFERROR(MATCH(37,$AA$40:$AA$133,0),0)=0,"",INDEX($Y$40:$Y$133,IFERROR(MATCH(37,$AA$40:$AA$133,0),0)))</f>
        <v>-53.2</v>
      </c>
      <c r="H50" s="145" t="str">
        <f aca="false">IF(A50="","",IF(D50&gt;0,(E50-F50)/D50,""))</f>
        <v/>
      </c>
      <c r="I50" s="115" t="str">
        <f aca="false">IF(IFERROR(MATCH(37,$AA$40:$AA$133,0),0)=0,"",INDEX($AB$40:$AB$133,IFERROR(MATCH(37,$AA$40:$AA$133,0),0)))</f>
        <v>Saiu saldo anterior a 09/09</v>
      </c>
      <c r="J50" s="116" t="n">
        <f aca="false">IF(IFERROR(MATCH(37,$AA$40:$AA$133,0),0)=0,"",INDEX($AC$40:$AC$133,IFERROR(MATCH(37,$AA$40:$AA$133,0),0)))</f>
        <v>1</v>
      </c>
      <c r="K50" s="117" t="n">
        <f aca="false">IF(IFERROR(MATCH(37,$AA$40:$AA$133,0),0)=0,"",IF(INDEX($AD$40:$AD$133,IFERROR(MATCH(37,$AA$40:$AA$133,0),0))=0,"",INDEX($AD$40:$AD$133,IFERROR(MATCH(37,$AA$40:$AA$133,0),0))))</f>
        <v>46291</v>
      </c>
      <c r="L50" s="117" t="n">
        <f aca="false">IF(IFERROR(MATCH(37,$AA$40:$AA$133,0),0)=0,"",IF(INDEX($AE$40:$AE$133,IFERROR(MATCH(37,$AA$40:$AA$133,0),0))=0,"",INDEX($AE$40:$AE$133,IFERROR(MATCH(37,$AA$40:$AA$133,0),0))))</f>
        <v>46291</v>
      </c>
      <c r="M50" s="119" t="str">
        <f aca="false">IF(IFERROR(MATCH(37,$AA$40:$AA$133,0),0)=0,"",INDEX($AF$40:$AF$133,IFERROR(MATCH(37,$AA$40:$AA$133,0),0))&amp;"")</f>
        <v>CA CALLETS 0.4KG/UC 7UC/BOX 144BOX/PAL</v>
      </c>
      <c r="N50" s="118" t="str">
        <f aca="false">IF(A50="","",IF(I50="Aguardando transferência","Transferir "&amp;FIXED(G50,1)&amp;" "&amp;C50&amp;" do 2008 para o ZBR (verificar se já há OT aberta)",IF(I50="Transferido 100%","Nada a fazer","Sem ação: saíram "&amp;FIXED(-G50,1)&amp;" "&amp;C50&amp;" que já estavam no 2008 antes de 09/09 (conferir só se não havia saldo)")))</f>
        <v>Sem ação: saíram 53.2 KG que já estavam no 2008 antes de 09/09 (conferir só se não havia saldo)</v>
      </c>
      <c r="O50" s="1"/>
      <c r="T50" s="82" t="s">
        <v>389</v>
      </c>
      <c r="U50" s="82" t="s">
        <v>65</v>
      </c>
      <c r="V50" s="82" t="n">
        <f aca="false">SUMIFS('3 Base Entrada 2008'!$G$2:$G$5000,'3 Base Entrada 2008'!$F$2:$F$5000,"&gt;="&amp;$F$5,'3 Base Entrada 2008'!$F$2:$F$5000,"&lt;="&amp;$H$5,'3 Base Entrada 2008'!$B$2:$B$5000,$T50,'3 Base Entrada 2008'!$C$2:$C$5000,$AG50,'3 Base Entrada 2008'!$K$2:$K$5000,"Recebido no 2008")</f>
        <v>1979.6</v>
      </c>
      <c r="W50" s="82" t="n">
        <f aca="false">-SUMIFS('3 Base Entrada 2008'!$G$2:$G$5000,'3 Base Entrada 2008'!$F$2:$F$5000,"&gt;="&amp;$F$5,'3 Base Entrada 2008'!$F$2:$F$5000,"&lt;="&amp;$H$5,'3 Base Entrada 2008'!$B$2:$B$5000,$T50,'3 Base Entrada 2008'!$C$2:$C$5000,$AG50,'3 Base Entrada 2008'!$K$2:$K$5000,"Entrada")</f>
        <v>-0</v>
      </c>
      <c r="X50" s="82" t="n">
        <f aca="false">SUMIFS('3 Base Entrada 2008'!$G$2:$G$5000,'3 Base Entrada 2008'!$F$2:$F$5000,"&gt;="&amp;$F$5,'3 Base Entrada 2008'!$F$2:$F$5000,"&lt;="&amp;$H$5,'3 Base Entrada 2008'!$B$2:$B$5000,$T50,'3 Base Entrada 2008'!$C$2:$C$5000,$AG50,'3 Base Entrada 2008'!$K$2:$K$5000,"Estorno")</f>
        <v>0</v>
      </c>
      <c r="Y50" s="82" t="n">
        <f aca="false">ROUND(BA50+V50-W50+X50,3)</f>
        <v>1979.6</v>
      </c>
      <c r="Z50" s="82" t="n">
        <f aca="false">IF(AND(U50=$R$3,OR($R$1="*",T50=$R$1),OR($R$2="*",AG50=$R$2),OR($K$5="Todas",AB50=$K$5),ABS(V50)+ABS(W50)+ABS(X50)&gt;0),1,0)</f>
        <v>1</v>
      </c>
      <c r="AA50" s="82" t="n">
        <f aca="false">IF(Z50=1,SUM(Z$40:Z50),"")</f>
        <v>11</v>
      </c>
      <c r="AB50" s="0" t="str">
        <f aca="false">IF(ABS(Y50)&lt;=$R$5,"Transferido 100%",IF(Y50&gt;0,"Aguardando transferência","Saiu saldo anterior a 09/09"))</f>
        <v>Aguardando transferência</v>
      </c>
      <c r="AC50" s="82" t="n">
        <f aca="false">COUNTIFS('3 Base Entrada 2008'!$F$2:$F$5000,"&gt;="&amp;$F$5,'3 Base Entrada 2008'!$F$2:$F$5000,"&lt;="&amp;$H$5,'3 Base Entrada 2008'!$B$2:$B$5000,$T50,'3 Base Entrada 2008'!$C$2:$C$5000,$AG50)</f>
        <v>2</v>
      </c>
      <c r="AD50" s="82" t="n">
        <f aca="false">_xlfn.MINIFS('3 Base Entrada 2008'!$F$2:$F$5000,'3 Base Entrada 2008'!$F$2:$F$5000,"&gt;="&amp;$F$5,'3 Base Entrada 2008'!$F$2:$F$5000,"&lt;="&amp;$H$5,'3 Base Entrada 2008'!$B$2:$B$5000,$T50,'3 Base Entrada 2008'!$C$2:$C$5000,$AG50)</f>
        <v>46275</v>
      </c>
      <c r="AE50" s="82" t="n">
        <f aca="false">_xlfn.MAXIFS('3 Base Entrada 2008'!$F$2:$F$5000,'3 Base Entrada 2008'!$F$2:$F$5000,"&gt;="&amp;$F$5,'3 Base Entrada 2008'!$F$2:$F$5000,"&lt;="&amp;$H$5,'3 Base Entrada 2008'!$B$2:$B$5000,$T50,'3 Base Entrada 2008'!$C$2:$C$5000,$AG50)</f>
        <v>46275</v>
      </c>
      <c r="AF50" s="82" t="s">
        <v>1104</v>
      </c>
      <c r="AG50" s="82" t="s">
        <v>392</v>
      </c>
      <c r="AH50" s="82" t="n">
        <f aca="false">IF(AND(Z50=1,Y50&gt;$R$5),Y50+ROW()/10000000,0)</f>
        <v>1979.600005</v>
      </c>
      <c r="AO50" s="82" t="s">
        <v>1763</v>
      </c>
      <c r="AP50" s="120" t="n">
        <v>46284</v>
      </c>
      <c r="AQ50" s="82" t="n">
        <f aca="false">IF(AND(AP50&gt;=$F$5,AP50&lt;=$H$5),SUMIFS('3 Base Entrada 2008'!$G$2:$G$5000,'3 Base Entrada 2008'!$F$2:$F$5000,$AP50,'3 Base Entrada 2008'!$B$2:$B$5000,$R$1,'3 Base Entrada 2008'!$C$2:$C$5000,$R$2,'3 Base Entrada 2008'!$H$2:$H$5000,$R$3,'3 Base Entrada 2008'!$K$2:$K$5000,"Recebido no 2008"),0)</f>
        <v>0</v>
      </c>
      <c r="AR50" s="82" t="n">
        <f aca="false">IF(AND(AP50&gt;=$F$5,AP50&lt;=$H$5),SUMIFS('3 Base Entrada 2008'!$G$2:$G$5000,'3 Base Entrada 2008'!$F$2:$F$5000,$AP50,'3 Base Entrada 2008'!$B$2:$B$5000,$R$1,'3 Base Entrada 2008'!$C$2:$C$5000,$R$2,'3 Base Entrada 2008'!$H$2:$H$5000,$R$3,'3 Base Entrada 2008'!$K$2:$K$5000,"Entrada")+SUMIFS('3 Base Entrada 2008'!$G$2:$G$5000,'3 Base Entrada 2008'!$F$2:$F$5000,$AP50,'3 Base Entrada 2008'!$B$2:$B$5000,$R$1,'3 Base Entrada 2008'!$C$2:$C$5000,$R$2,'3 Base Entrada 2008'!$H$2:$H$5000,$R$3,'3 Base Entrada 2008'!$K$2:$K$5000,"Estorno"),0)</f>
        <v>0</v>
      </c>
      <c r="AT50" s="82" t="s">
        <v>389</v>
      </c>
      <c r="AV50" s="0" t="str">
        <f aca="false">IFERROR(INDEX($AX$1:$AX$94,MATCH(49,$AY$1:$AY$94,0)),"")</f>
        <v>251880301</v>
      </c>
      <c r="AW50" s="82" t="s">
        <v>358</v>
      </c>
      <c r="AX50" s="82" t="s">
        <v>360</v>
      </c>
      <c r="AY50" s="82" t="n">
        <f aca="false">IF(OR($A$5="Todos",AW50=$A$5),MAX(AY$1:AY49)+1,0)</f>
        <v>50</v>
      </c>
      <c r="BA50" s="82" t="n">
        <f aca="false">SUMIFS('3 Base Saldo Inicial 08-09'!$E$2:$E$5000,'3 Base Saldo Inicial 08-09'!$A$2:$A$5000,$T50,'3 Base Saldo Inicial 08-09'!$B$2:$B$5000,$AG50,'3 Base Saldo Inicial 08-09'!$C$2:$C$5000,"2008")</f>
        <v>0</v>
      </c>
    </row>
    <row r="51" customFormat="false" ht="15" hidden="false" customHeight="false" outlineLevel="0" collapsed="false">
      <c r="A51" s="111" t="str">
        <f aca="false">IF(IFERROR(MATCH(38,$AA$40:$AA$133,0),0)=0,"",INDEX($T$40:$T$133,IFERROR(MATCH(38,$AA$40:$AA$133,0),0)))</f>
        <v>CHD-TS-22350E0-999</v>
      </c>
      <c r="B51" s="111" t="str">
        <f aca="false">IF(IFERROR(MATCH(38,$AA$40:$AA$133,0),0)=0,"",INDEX($AG$40:$AG$133,IFERROR(MATCH(38,$AA$40:$AA$133,0),0)))</f>
        <v>2520443650</v>
      </c>
      <c r="C51" s="112" t="str">
        <f aca="false">IF(IFERROR(MATCH(38,$AA$40:$AA$133,0),0)=0,"",INDEX($U$40:$U$133,IFERROR(MATCH(38,$AA$40:$AA$133,0),0)))</f>
        <v>KG</v>
      </c>
      <c r="D51" s="113" t="n">
        <f aca="false">IF(IFERROR(MATCH(38,$AA$40:$AA$133,0),0)=0,"",INDEX($V$40:$V$133,IFERROR(MATCH(38,$AA$40:$AA$133,0),0)))</f>
        <v>0</v>
      </c>
      <c r="E51" s="113" t="n">
        <f aca="false">IF(IFERROR(MATCH(38,$AA$40:$AA$133,0),0)=0,"",INDEX($W$40:$W$133,IFERROR(MATCH(38,$AA$40:$AA$133,0),0)))</f>
        <v>81.6</v>
      </c>
      <c r="F51" s="113" t="n">
        <f aca="false">IF(IFERROR(MATCH(38,$AA$40:$AA$133,0),0)=0,"",INDEX($X$40:$X$133,IFERROR(MATCH(38,$AA$40:$AA$133,0),0)))</f>
        <v>0</v>
      </c>
      <c r="G51" s="114" t="n">
        <f aca="false">IF(IFERROR(MATCH(38,$AA$40:$AA$133,0),0)=0,"",INDEX($Y$40:$Y$133,IFERROR(MATCH(38,$AA$40:$AA$133,0),0)))</f>
        <v>-81.6</v>
      </c>
      <c r="H51" s="145" t="str">
        <f aca="false">IF(A51="","",IF(D51&gt;0,(E51-F51)/D51,""))</f>
        <v/>
      </c>
      <c r="I51" s="115" t="str">
        <f aca="false">IF(IFERROR(MATCH(38,$AA$40:$AA$133,0),0)=0,"",INDEX($AB$40:$AB$133,IFERROR(MATCH(38,$AA$40:$AA$133,0),0)))</f>
        <v>Saiu saldo anterior a 09/09</v>
      </c>
      <c r="J51" s="116" t="n">
        <f aca="false">IF(IFERROR(MATCH(38,$AA$40:$AA$133,0),0)=0,"",INDEX($AC$40:$AC$133,IFERROR(MATCH(38,$AA$40:$AA$133,0),0)))</f>
        <v>1</v>
      </c>
      <c r="K51" s="117" t="n">
        <f aca="false">IF(IFERROR(MATCH(38,$AA$40:$AA$133,0),0)=0,"",IF(INDEX($AD$40:$AD$133,IFERROR(MATCH(38,$AA$40:$AA$133,0),0))=0,"",INDEX($AD$40:$AD$133,IFERROR(MATCH(38,$AA$40:$AA$133,0),0))))</f>
        <v>46291</v>
      </c>
      <c r="L51" s="117" t="n">
        <f aca="false">IF(IFERROR(MATCH(38,$AA$40:$AA$133,0),0)=0,"",IF(INDEX($AE$40:$AE$133,IFERROR(MATCH(38,$AA$40:$AA$133,0),0))=0,"",INDEX($AE$40:$AE$133,IFERROR(MATCH(38,$AA$40:$AA$133,0),0))))</f>
        <v>46291</v>
      </c>
      <c r="M51" s="119" t="str">
        <f aca="false">IF(IFERROR(MATCH(38,$AA$40:$AA$133,0),0)=0,"",INDEX($AF$40:$AF$133,IFERROR(MATCH(38,$AA$40:$AA$133,0),0))&amp;"")</f>
        <v/>
      </c>
      <c r="N51" s="118" t="str">
        <f aca="false">IF(A51="","",IF(I51="Aguardando transferência","Transferir "&amp;FIXED(G51,1)&amp;" "&amp;C51&amp;" do 2008 para o ZBR (verificar se já há OT aberta)",IF(I51="Transferido 100%","Nada a fazer","Sem ação: saíram "&amp;FIXED(-G51,1)&amp;" "&amp;C51&amp;" que já estavam no 2008 antes de 09/09 (conferir só se não havia saldo)")))</f>
        <v>Sem ação: saíram 81.6 KG que já estavam no 2008 antes de 09/09 (conferir só se não havia saldo)</v>
      </c>
      <c r="O51" s="1"/>
      <c r="T51" s="82" t="s">
        <v>387</v>
      </c>
      <c r="U51" s="82" t="s">
        <v>65</v>
      </c>
      <c r="V51" s="82" t="n">
        <f aca="false">SUMIFS('3 Base Entrada 2008'!$G$2:$G$5000,'3 Base Entrada 2008'!$F$2:$F$5000,"&gt;="&amp;$F$5,'3 Base Entrada 2008'!$F$2:$F$5000,"&lt;="&amp;$H$5,'3 Base Entrada 2008'!$B$2:$B$5000,$T51,'3 Base Entrada 2008'!$C$2:$C$5000,$AG51,'3 Base Entrada 2008'!$K$2:$K$5000,"Recebido no 2008")</f>
        <v>1920</v>
      </c>
      <c r="W51" s="82" t="n">
        <f aca="false">-SUMIFS('3 Base Entrada 2008'!$G$2:$G$5000,'3 Base Entrada 2008'!$F$2:$F$5000,"&gt;="&amp;$F$5,'3 Base Entrada 2008'!$F$2:$F$5000,"&lt;="&amp;$H$5,'3 Base Entrada 2008'!$B$2:$B$5000,$T51,'3 Base Entrada 2008'!$C$2:$C$5000,$AG51,'3 Base Entrada 2008'!$K$2:$K$5000,"Entrada")</f>
        <v>-0</v>
      </c>
      <c r="X51" s="82" t="n">
        <f aca="false">SUMIFS('3 Base Entrada 2008'!$G$2:$G$5000,'3 Base Entrada 2008'!$F$2:$F$5000,"&gt;="&amp;$F$5,'3 Base Entrada 2008'!$F$2:$F$5000,"&lt;="&amp;$H$5,'3 Base Entrada 2008'!$B$2:$B$5000,$T51,'3 Base Entrada 2008'!$C$2:$C$5000,$AG51,'3 Base Entrada 2008'!$K$2:$K$5000,"Estorno")</f>
        <v>0</v>
      </c>
      <c r="Y51" s="82" t="n">
        <f aca="false">ROUND(BA51+V51-W51+X51,3)</f>
        <v>1920</v>
      </c>
      <c r="Z51" s="82" t="n">
        <f aca="false">IF(AND(U51=$R$3,OR($R$1="*",T51=$R$1),OR($R$2="*",AG51=$R$2),OR($K$5="Todas",AB51=$K$5),ABS(V51)+ABS(W51)+ABS(X51)&gt;0),1,0)</f>
        <v>1</v>
      </c>
      <c r="AA51" s="82" t="n">
        <f aca="false">IF(Z51=1,SUM(Z$40:Z51),"")</f>
        <v>12</v>
      </c>
      <c r="AB51" s="0" t="str">
        <f aca="false">IF(ABS(Y51)&lt;=$R$5,"Transferido 100%",IF(Y51&gt;0,"Aguardando transferência","Saiu saldo anterior a 09/09"))</f>
        <v>Aguardando transferência</v>
      </c>
      <c r="AC51" s="82" t="n">
        <f aca="false">COUNTIFS('3 Base Entrada 2008'!$F$2:$F$5000,"&gt;="&amp;$F$5,'3 Base Entrada 2008'!$F$2:$F$5000,"&lt;="&amp;$H$5,'3 Base Entrada 2008'!$B$2:$B$5000,$T51,'3 Base Entrada 2008'!$C$2:$C$5000,$AG51)</f>
        <v>1</v>
      </c>
      <c r="AD51" s="82" t="n">
        <f aca="false">_xlfn.MINIFS('3 Base Entrada 2008'!$F$2:$F$5000,'3 Base Entrada 2008'!$F$2:$F$5000,"&gt;="&amp;$F$5,'3 Base Entrada 2008'!$F$2:$F$5000,"&lt;="&amp;$H$5,'3 Base Entrada 2008'!$B$2:$B$5000,$T51,'3 Base Entrada 2008'!$C$2:$C$5000,$AG51)</f>
        <v>46280</v>
      </c>
      <c r="AE51" s="82" t="n">
        <f aca="false">_xlfn.MAXIFS('3 Base Entrada 2008'!$F$2:$F$5000,'3 Base Entrada 2008'!$F$2:$F$5000,"&gt;="&amp;$F$5,'3 Base Entrada 2008'!$F$2:$F$5000,"&lt;="&amp;$H$5,'3 Base Entrada 2008'!$B$2:$B$5000,$T51,'3 Base Entrada 2008'!$C$2:$C$5000,$AG51)</f>
        <v>46280</v>
      </c>
      <c r="AG51" s="82" t="s">
        <v>388</v>
      </c>
      <c r="AH51" s="82" t="n">
        <f aca="false">IF(AND(Z51=1,Y51&gt;$R$5),Y51+ROW()/10000000,0)</f>
        <v>1920.0000051</v>
      </c>
      <c r="AO51" s="82" t="s">
        <v>1764</v>
      </c>
      <c r="AP51" s="120" t="n">
        <v>46285</v>
      </c>
      <c r="AQ51" s="82" t="n">
        <f aca="false">IF(AND(AP51&gt;=$F$5,AP51&lt;=$H$5),SUMIFS('3 Base Entrada 2008'!$G$2:$G$5000,'3 Base Entrada 2008'!$F$2:$F$5000,$AP51,'3 Base Entrada 2008'!$B$2:$B$5000,$R$1,'3 Base Entrada 2008'!$C$2:$C$5000,$R$2,'3 Base Entrada 2008'!$H$2:$H$5000,$R$3,'3 Base Entrada 2008'!$K$2:$K$5000,"Recebido no 2008"),0)</f>
        <v>0</v>
      </c>
      <c r="AR51" s="82" t="n">
        <f aca="false">IF(AND(AP51&gt;=$F$5,AP51&lt;=$H$5),SUMIFS('3 Base Entrada 2008'!$G$2:$G$5000,'3 Base Entrada 2008'!$F$2:$F$5000,$AP51,'3 Base Entrada 2008'!$B$2:$B$5000,$R$1,'3 Base Entrada 2008'!$C$2:$C$5000,$R$2,'3 Base Entrada 2008'!$H$2:$H$5000,$R$3,'3 Base Entrada 2008'!$K$2:$K$5000,"Entrada")+SUMIFS('3 Base Entrada 2008'!$G$2:$G$5000,'3 Base Entrada 2008'!$F$2:$F$5000,$AP51,'3 Base Entrada 2008'!$B$2:$B$5000,$R$1,'3 Base Entrada 2008'!$C$2:$C$5000,$R$2,'3 Base Entrada 2008'!$H$2:$H$5000,$R$3,'3 Base Entrada 2008'!$K$2:$K$5000,"Estorno"),0)</f>
        <v>0</v>
      </c>
      <c r="AT51" s="82" t="s">
        <v>309</v>
      </c>
      <c r="AV51" s="0" t="str">
        <f aca="false">IFERROR(INDEX($AX$1:$AX$94,MATCH(50,$AY$1:$AY$94,0)),"")</f>
        <v>253100102</v>
      </c>
      <c r="AW51" s="82" t="s">
        <v>358</v>
      </c>
      <c r="AX51" s="82" t="s">
        <v>359</v>
      </c>
      <c r="AY51" s="82" t="n">
        <f aca="false">IF(OR($A$5="Todos",AW51=$A$5),MAX(AY$1:AY50)+1,0)</f>
        <v>51</v>
      </c>
      <c r="BA51" s="82" t="n">
        <f aca="false">SUMIFS('3 Base Saldo Inicial 08-09'!$E$2:$E$5000,'3 Base Saldo Inicial 08-09'!$A$2:$A$5000,$T51,'3 Base Saldo Inicial 08-09'!$B$2:$B$5000,$AG51,'3 Base Saldo Inicial 08-09'!$C$2:$C$5000,"2008")</f>
        <v>0</v>
      </c>
    </row>
    <row r="52" customFormat="false" ht="15" hidden="false" customHeight="false" outlineLevel="0" collapsed="false">
      <c r="A52" s="111" t="str">
        <f aca="false">IF(IFERROR(MATCH(39,$AA$40:$AA$133,0),0)=0,"",INDEX($T$40:$T$133,IFERROR(MATCH(39,$AA$40:$AA$133,0),0)))</f>
        <v>CHM-TS-22351E0-999</v>
      </c>
      <c r="B52" s="111" t="str">
        <f aca="false">IF(IFERROR(MATCH(39,$AA$40:$AA$133,0),0)=0,"",INDEX($AG$40:$AG$133,IFERROR(MATCH(39,$AA$40:$AA$133,0),0)))</f>
        <v>2522444420</v>
      </c>
      <c r="C52" s="112" t="str">
        <f aca="false">IF(IFERROR(MATCH(39,$AA$40:$AA$133,0),0)=0,"",INDEX($U$40:$U$133,IFERROR(MATCH(39,$AA$40:$AA$133,0),0)))</f>
        <v>KG</v>
      </c>
      <c r="D52" s="113" t="n">
        <f aca="false">IF(IFERROR(MATCH(39,$AA$40:$AA$133,0),0)=0,"",INDEX($V$40:$V$133,IFERROR(MATCH(39,$AA$40:$AA$133,0),0)))</f>
        <v>0</v>
      </c>
      <c r="E52" s="113" t="n">
        <f aca="false">IF(IFERROR(MATCH(39,$AA$40:$AA$133,0),0)=0,"",INDEX($W$40:$W$133,IFERROR(MATCH(39,$AA$40:$AA$133,0),0)))</f>
        <v>108.8</v>
      </c>
      <c r="F52" s="113" t="n">
        <f aca="false">IF(IFERROR(MATCH(39,$AA$40:$AA$133,0),0)=0,"",INDEX($X$40:$X$133,IFERROR(MATCH(39,$AA$40:$AA$133,0),0)))</f>
        <v>0</v>
      </c>
      <c r="G52" s="114" t="n">
        <f aca="false">IF(IFERROR(MATCH(39,$AA$40:$AA$133,0),0)=0,"",INDEX($Y$40:$Y$133,IFERROR(MATCH(39,$AA$40:$AA$133,0),0)))</f>
        <v>-108.8</v>
      </c>
      <c r="H52" s="145" t="str">
        <f aca="false">IF(A52="","",IF(D52&gt;0,(E52-F52)/D52,""))</f>
        <v/>
      </c>
      <c r="I52" s="115" t="str">
        <f aca="false">IF(IFERROR(MATCH(39,$AA$40:$AA$133,0),0)=0,"",INDEX($AB$40:$AB$133,IFERROR(MATCH(39,$AA$40:$AA$133,0),0)))</f>
        <v>Saiu saldo anterior a 09/09</v>
      </c>
      <c r="J52" s="116" t="n">
        <f aca="false">IF(IFERROR(MATCH(39,$AA$40:$AA$133,0),0)=0,"",INDEX($AC$40:$AC$133,IFERROR(MATCH(39,$AA$40:$AA$133,0),0)))</f>
        <v>1</v>
      </c>
      <c r="K52" s="117" t="n">
        <f aca="false">IF(IFERROR(MATCH(39,$AA$40:$AA$133,0),0)=0,"",IF(INDEX($AD$40:$AD$133,IFERROR(MATCH(39,$AA$40:$AA$133,0),0))=0,"",INDEX($AD$40:$AD$133,IFERROR(MATCH(39,$AA$40:$AA$133,0),0))))</f>
        <v>46293</v>
      </c>
      <c r="L52" s="117" t="n">
        <f aca="false">IF(IFERROR(MATCH(39,$AA$40:$AA$133,0),0)=0,"",IF(INDEX($AE$40:$AE$133,IFERROR(MATCH(39,$AA$40:$AA$133,0),0))=0,"",INDEX($AE$40:$AE$133,IFERROR(MATCH(39,$AA$40:$AA$133,0),0))))</f>
        <v>46293</v>
      </c>
      <c r="M52" s="119" t="str">
        <f aca="false">IF(IFERROR(MATCH(39,$AA$40:$AA$133,0),0)=0,"",INDEX($AF$40:$AF$133,IFERROR(MATCH(39,$AA$40:$AA$133,0),0))&amp;"")</f>
        <v/>
      </c>
      <c r="N52" s="118" t="str">
        <f aca="false">IF(A52="","",IF(I52="Aguardando transferência","Transferir "&amp;FIXED(G52,1)&amp;" "&amp;C52&amp;" do 2008 para o ZBR (verificar se já há OT aberta)",IF(I52="Transferido 100%","Nada a fazer","Sem ação: saíram "&amp;FIXED(-G52,1)&amp;" "&amp;C52&amp;" que já estavam no 2008 antes de 09/09 (conferir só se não havia saldo)")))</f>
        <v>Sem ação: saíram 108.8 KG que já estavam no 2008 antes de 09/09 (conferir só se não havia saldo)</v>
      </c>
      <c r="O52" s="1"/>
      <c r="T52" s="82" t="s">
        <v>368</v>
      </c>
      <c r="U52" s="82" t="s">
        <v>65</v>
      </c>
      <c r="V52" s="82" t="n">
        <f aca="false">SUMIFS('3 Base Entrada 2008'!$G$2:$G$5000,'3 Base Entrada 2008'!$F$2:$F$5000,"&gt;="&amp;$F$5,'3 Base Entrada 2008'!$F$2:$F$5000,"&lt;="&amp;$H$5,'3 Base Entrada 2008'!$B$2:$B$5000,$T52,'3 Base Entrada 2008'!$C$2:$C$5000,$AG52,'3 Base Entrada 2008'!$K$2:$K$5000,"Recebido no 2008")</f>
        <v>1873.2</v>
      </c>
      <c r="W52" s="82" t="n">
        <f aca="false">-SUMIFS('3 Base Entrada 2008'!$G$2:$G$5000,'3 Base Entrada 2008'!$F$2:$F$5000,"&gt;="&amp;$F$5,'3 Base Entrada 2008'!$F$2:$F$5000,"&lt;="&amp;$H$5,'3 Base Entrada 2008'!$B$2:$B$5000,$T52,'3 Base Entrada 2008'!$C$2:$C$5000,$AG52,'3 Base Entrada 2008'!$K$2:$K$5000,"Entrada")</f>
        <v>313.6</v>
      </c>
      <c r="X52" s="82" t="n">
        <f aca="false">SUMIFS('3 Base Entrada 2008'!$G$2:$G$5000,'3 Base Entrada 2008'!$F$2:$F$5000,"&gt;="&amp;$F$5,'3 Base Entrada 2008'!$F$2:$F$5000,"&lt;="&amp;$H$5,'3 Base Entrada 2008'!$B$2:$B$5000,$T52,'3 Base Entrada 2008'!$C$2:$C$5000,$AG52,'3 Base Entrada 2008'!$K$2:$K$5000,"Estorno")</f>
        <v>0</v>
      </c>
      <c r="Y52" s="82" t="n">
        <f aca="false">ROUND(BA52+V52-W52+X52,3)</f>
        <v>1559.6</v>
      </c>
      <c r="Z52" s="82" t="n">
        <f aca="false">IF(AND(U52=$R$3,OR($R$1="*",T52=$R$1),OR($R$2="*",AG52=$R$2),OR($K$5="Todas",AB52=$K$5),ABS(V52)+ABS(W52)+ABS(X52)&gt;0),1,0)</f>
        <v>1</v>
      </c>
      <c r="AA52" s="82" t="n">
        <f aca="false">IF(Z52=1,SUM(Z$40:Z52),"")</f>
        <v>13</v>
      </c>
      <c r="AB52" s="0" t="str">
        <f aca="false">IF(ABS(Y52)&lt;=$R$5,"Transferido 100%",IF(Y52&gt;0,"Aguardando transferência","Saiu saldo anterior a 09/09"))</f>
        <v>Aguardando transferência</v>
      </c>
      <c r="AC52" s="82" t="n">
        <f aca="false">COUNTIFS('3 Base Entrada 2008'!$F$2:$F$5000,"&gt;="&amp;$F$5,'3 Base Entrada 2008'!$F$2:$F$5000,"&lt;="&amp;$H$5,'3 Base Entrada 2008'!$B$2:$B$5000,$T52,'3 Base Entrada 2008'!$C$2:$C$5000,$AG52)</f>
        <v>3</v>
      </c>
      <c r="AD52" s="82" t="n">
        <f aca="false">_xlfn.MINIFS('3 Base Entrada 2008'!$F$2:$F$5000,'3 Base Entrada 2008'!$F$2:$F$5000,"&gt;="&amp;$F$5,'3 Base Entrada 2008'!$F$2:$F$5000,"&lt;="&amp;$H$5,'3 Base Entrada 2008'!$B$2:$B$5000,$T52,'3 Base Entrada 2008'!$C$2:$C$5000,$AG52)</f>
        <v>46275</v>
      </c>
      <c r="AE52" s="82" t="n">
        <f aca="false">_xlfn.MAXIFS('3 Base Entrada 2008'!$F$2:$F$5000,'3 Base Entrada 2008'!$F$2:$F$5000,"&gt;="&amp;$F$5,'3 Base Entrada 2008'!$F$2:$F$5000,"&lt;="&amp;$H$5,'3 Base Entrada 2008'!$B$2:$B$5000,$T52,'3 Base Entrada 2008'!$C$2:$C$5000,$AG52)</f>
        <v>46291</v>
      </c>
      <c r="AG52" s="82" t="s">
        <v>369</v>
      </c>
      <c r="AH52" s="82" t="n">
        <f aca="false">IF(AND(Z52=1,Y52&gt;$R$5),Y52+ROW()/10000000,0)</f>
        <v>1559.6000052</v>
      </c>
      <c r="AO52" s="82" t="s">
        <v>1765</v>
      </c>
      <c r="AP52" s="120" t="n">
        <v>46286</v>
      </c>
      <c r="AQ52" s="82" t="n">
        <f aca="false">IF(AND(AP52&gt;=$F$5,AP52&lt;=$H$5),SUMIFS('3 Base Entrada 2008'!$G$2:$G$5000,'3 Base Entrada 2008'!$F$2:$F$5000,$AP52,'3 Base Entrada 2008'!$B$2:$B$5000,$R$1,'3 Base Entrada 2008'!$C$2:$C$5000,$R$2,'3 Base Entrada 2008'!$H$2:$H$5000,$R$3,'3 Base Entrada 2008'!$K$2:$K$5000,"Recebido no 2008"),0)</f>
        <v>0</v>
      </c>
      <c r="AR52" s="82" t="n">
        <f aca="false">IF(AND(AP52&gt;=$F$5,AP52&lt;=$H$5),SUMIFS('3 Base Entrada 2008'!$G$2:$G$5000,'3 Base Entrada 2008'!$F$2:$F$5000,$AP52,'3 Base Entrada 2008'!$B$2:$B$5000,$R$1,'3 Base Entrada 2008'!$C$2:$C$5000,$R$2,'3 Base Entrada 2008'!$H$2:$H$5000,$R$3,'3 Base Entrada 2008'!$K$2:$K$5000,"Entrada")+SUMIFS('3 Base Entrada 2008'!$G$2:$G$5000,'3 Base Entrada 2008'!$F$2:$F$5000,$AP52,'3 Base Entrada 2008'!$B$2:$B$5000,$R$1,'3 Base Entrada 2008'!$C$2:$C$5000,$R$2,'3 Base Entrada 2008'!$H$2:$H$5000,$R$3,'3 Base Entrada 2008'!$K$2:$K$5000,"Estorno"),0)</f>
        <v>-918</v>
      </c>
      <c r="AV52" s="0" t="str">
        <f aca="false">IFERROR(INDEX($AX$1:$AX$94,MATCH(51,$AY$1:$AY$94,0)),"")</f>
        <v>260580101</v>
      </c>
      <c r="AW52" s="82" t="s">
        <v>260</v>
      </c>
      <c r="AX52" s="82" t="s">
        <v>261</v>
      </c>
      <c r="AY52" s="82" t="n">
        <f aca="false">IF(OR($A$5="Todos",AW52=$A$5),MAX(AY$1:AY51)+1,0)</f>
        <v>52</v>
      </c>
      <c r="BA52" s="82" t="n">
        <f aca="false">SUMIFS('3 Base Saldo Inicial 08-09'!$E$2:$E$5000,'3 Base Saldo Inicial 08-09'!$A$2:$A$5000,$T52,'3 Base Saldo Inicial 08-09'!$B$2:$B$5000,$AG52,'3 Base Saldo Inicial 08-09'!$C$2:$C$5000,"2008")</f>
        <v>0</v>
      </c>
    </row>
    <row r="53" customFormat="false" ht="15" hidden="false" customHeight="false" outlineLevel="0" collapsed="false">
      <c r="A53" s="111" t="str">
        <f aca="false">IF(IFERROR(MATCH(40,$AA$40:$AA$133,0),0)=0,"",INDEX($T$40:$T$133,IFERROR(MATCH(40,$AA$40:$AA$133,0),0)))</f>
        <v>805-BR-D94</v>
      </c>
      <c r="B53" s="111" t="str">
        <f aca="false">IF(IFERROR(MATCH(40,$AA$40:$AA$133,0),0)=0,"",INDEX($AG$40:$AG$133,IFERROR(MATCH(40,$AA$40:$AA$133,0),0)))</f>
        <v>260130779</v>
      </c>
      <c r="C53" s="112" t="str">
        <f aca="false">IF(IFERROR(MATCH(40,$AA$40:$AA$133,0),0)=0,"",INDEX($U$40:$U$133,IFERROR(MATCH(40,$AA$40:$AA$133,0),0)))</f>
        <v>KG</v>
      </c>
      <c r="D53" s="113" t="n">
        <f aca="false">IF(IFERROR(MATCH(40,$AA$40:$AA$133,0),0)=0,"",INDEX($V$40:$V$133,IFERROR(MATCH(40,$AA$40:$AA$133,0),0)))</f>
        <v>0</v>
      </c>
      <c r="E53" s="113" t="n">
        <f aca="false">IF(IFERROR(MATCH(40,$AA$40:$AA$133,0),0)=0,"",INDEX($W$40:$W$133,IFERROR(MATCH(40,$AA$40:$AA$133,0),0)))</f>
        <v>142.8</v>
      </c>
      <c r="F53" s="113" t="n">
        <f aca="false">IF(IFERROR(MATCH(40,$AA$40:$AA$133,0),0)=0,"",INDEX($X$40:$X$133,IFERROR(MATCH(40,$AA$40:$AA$133,0),0)))</f>
        <v>0</v>
      </c>
      <c r="G53" s="114" t="n">
        <f aca="false">IF(IFERROR(MATCH(40,$AA$40:$AA$133,0),0)=0,"",INDEX($Y$40:$Y$133,IFERROR(MATCH(40,$AA$40:$AA$133,0),0)))</f>
        <v>-142.8</v>
      </c>
      <c r="H53" s="145" t="str">
        <f aca="false">IF(A53="","",IF(D53&gt;0,(E53-F53)/D53,""))</f>
        <v/>
      </c>
      <c r="I53" s="115" t="str">
        <f aca="false">IF(IFERROR(MATCH(40,$AA$40:$AA$133,0),0)=0,"",INDEX($AB$40:$AB$133,IFERROR(MATCH(40,$AA$40:$AA$133,0),0)))</f>
        <v>Saiu saldo anterior a 09/09</v>
      </c>
      <c r="J53" s="116" t="n">
        <f aca="false">IF(IFERROR(MATCH(40,$AA$40:$AA$133,0),0)=0,"",INDEX($AC$40:$AC$133,IFERROR(MATCH(40,$AA$40:$AA$133,0),0)))</f>
        <v>1</v>
      </c>
      <c r="K53" s="117" t="n">
        <f aca="false">IF(IFERROR(MATCH(40,$AA$40:$AA$133,0),0)=0,"",IF(INDEX($AD$40:$AD$133,IFERROR(MATCH(40,$AA$40:$AA$133,0),0))=0,"",INDEX($AD$40:$AD$133,IFERROR(MATCH(40,$AA$40:$AA$133,0),0))))</f>
        <v>46294</v>
      </c>
      <c r="L53" s="117" t="n">
        <f aca="false">IF(IFERROR(MATCH(40,$AA$40:$AA$133,0),0)=0,"",IF(INDEX($AE$40:$AE$133,IFERROR(MATCH(40,$AA$40:$AA$133,0),0))=0,"",INDEX($AE$40:$AE$133,IFERROR(MATCH(40,$AA$40:$AA$133,0),0))))</f>
        <v>46294</v>
      </c>
      <c r="M53" s="119" t="str">
        <f aca="false">IF(IFERROR(MATCH(40,$AA$40:$AA$133,0),0)=0,"",INDEX($AF$40:$AF$133,IFERROR(MATCH(40,$AA$40:$AA$133,0),0))&amp;"")</f>
        <v>CA MOEDAS 0,4KG/UC 7UC/CX 144CX/PAL</v>
      </c>
      <c r="N53" s="118" t="str">
        <f aca="false">IF(A53="","",IF(I53="Aguardando transferência","Transferir "&amp;FIXED(G53,1)&amp;" "&amp;C53&amp;" do 2008 para o ZBR (verificar se já há OT aberta)",IF(I53="Transferido 100%","Nada a fazer","Sem ação: saíram "&amp;FIXED(-G53,1)&amp;" "&amp;C53&amp;" que já estavam no 2008 antes de 09/09 (conferir só se não havia saldo)")))</f>
        <v>Sem ação: saíram 142.8 KG que já estavam no 2008 antes de 09/09 (conferir só se não havia saldo)</v>
      </c>
      <c r="O53" s="1"/>
      <c r="T53" s="82" t="s">
        <v>358</v>
      </c>
      <c r="U53" s="82" t="s">
        <v>65</v>
      </c>
      <c r="V53" s="82" t="n">
        <f aca="false">SUMIFS('3 Base Entrada 2008'!$G$2:$G$5000,'3 Base Entrada 2008'!$F$2:$F$5000,"&gt;="&amp;$F$5,'3 Base Entrada 2008'!$F$2:$F$5000,"&lt;="&amp;$H$5,'3 Base Entrada 2008'!$B$2:$B$5000,$T53,'3 Base Entrada 2008'!$C$2:$C$5000,$AG53,'3 Base Entrada 2008'!$K$2:$K$5000,"Recebido no 2008")</f>
        <v>1300</v>
      </c>
      <c r="W53" s="82" t="n">
        <f aca="false">-SUMIFS('3 Base Entrada 2008'!$G$2:$G$5000,'3 Base Entrada 2008'!$F$2:$F$5000,"&gt;="&amp;$F$5,'3 Base Entrada 2008'!$F$2:$F$5000,"&lt;="&amp;$H$5,'3 Base Entrada 2008'!$B$2:$B$5000,$T53,'3 Base Entrada 2008'!$C$2:$C$5000,$AG53,'3 Base Entrada 2008'!$K$2:$K$5000,"Entrada")</f>
        <v>-0</v>
      </c>
      <c r="X53" s="82" t="n">
        <f aca="false">SUMIFS('3 Base Entrada 2008'!$G$2:$G$5000,'3 Base Entrada 2008'!$F$2:$F$5000,"&gt;="&amp;$F$5,'3 Base Entrada 2008'!$F$2:$F$5000,"&lt;="&amp;$H$5,'3 Base Entrada 2008'!$B$2:$B$5000,$T53,'3 Base Entrada 2008'!$C$2:$C$5000,$AG53,'3 Base Entrada 2008'!$K$2:$K$5000,"Estorno")</f>
        <v>0</v>
      </c>
      <c r="Y53" s="82" t="n">
        <f aca="false">ROUND(BA53+V53-W53+X53,3)</f>
        <v>1300</v>
      </c>
      <c r="Z53" s="82" t="n">
        <f aca="false">IF(AND(U53=$R$3,OR($R$1="*",T53=$R$1),OR($R$2="*",AG53=$R$2),OR($K$5="Todas",AB53=$K$5),ABS(V53)+ABS(W53)+ABS(X53)&gt;0),1,0)</f>
        <v>1</v>
      </c>
      <c r="AA53" s="82" t="n">
        <f aca="false">IF(Z53=1,SUM(Z$40:Z53),"")</f>
        <v>14</v>
      </c>
      <c r="AB53" s="0" t="str">
        <f aca="false">IF(ABS(Y53)&lt;=$R$5,"Transferido 100%",IF(Y53&gt;0,"Aguardando transferência","Saiu saldo anterior a 09/09"))</f>
        <v>Aguardando transferência</v>
      </c>
      <c r="AC53" s="82" t="n">
        <f aca="false">COUNTIFS('3 Base Entrada 2008'!$F$2:$F$5000,"&gt;="&amp;$F$5,'3 Base Entrada 2008'!$F$2:$F$5000,"&lt;="&amp;$H$5,'3 Base Entrada 2008'!$B$2:$B$5000,$T53,'3 Base Entrada 2008'!$C$2:$C$5000,$AG53)</f>
        <v>1</v>
      </c>
      <c r="AD53" s="82" t="n">
        <f aca="false">_xlfn.MINIFS('3 Base Entrada 2008'!$F$2:$F$5000,'3 Base Entrada 2008'!$F$2:$F$5000,"&gt;="&amp;$F$5,'3 Base Entrada 2008'!$F$2:$F$5000,"&lt;="&amp;$H$5,'3 Base Entrada 2008'!$B$2:$B$5000,$T53,'3 Base Entrada 2008'!$C$2:$C$5000,$AG53)</f>
        <v>46280</v>
      </c>
      <c r="AE53" s="82" t="n">
        <f aca="false">_xlfn.MAXIFS('3 Base Entrada 2008'!$F$2:$F$5000,'3 Base Entrada 2008'!$F$2:$F$5000,"&gt;="&amp;$F$5,'3 Base Entrada 2008'!$F$2:$F$5000,"&lt;="&amp;$H$5,'3 Base Entrada 2008'!$B$2:$B$5000,$T53,'3 Base Entrada 2008'!$C$2:$C$5000,$AG53)</f>
        <v>46280</v>
      </c>
      <c r="AG53" s="82" t="s">
        <v>360</v>
      </c>
      <c r="AH53" s="82" t="n">
        <f aca="false">IF(AND(Z53=1,Y53&gt;$R$5),Y53+ROW()/10000000,0)</f>
        <v>1300.0000053</v>
      </c>
      <c r="AO53" s="82" t="s">
        <v>1766</v>
      </c>
      <c r="AP53" s="120" t="n">
        <v>46287</v>
      </c>
      <c r="AQ53" s="82" t="n">
        <f aca="false">IF(AND(AP53&gt;=$F$5,AP53&lt;=$H$5),SUMIFS('3 Base Entrada 2008'!$G$2:$G$5000,'3 Base Entrada 2008'!$F$2:$F$5000,$AP53,'3 Base Entrada 2008'!$B$2:$B$5000,$R$1,'3 Base Entrada 2008'!$C$2:$C$5000,$R$2,'3 Base Entrada 2008'!$H$2:$H$5000,$R$3,'3 Base Entrada 2008'!$K$2:$K$5000,"Recebido no 2008"),0)</f>
        <v>0</v>
      </c>
      <c r="AR53" s="82" t="n">
        <f aca="false">IF(AND(AP53&gt;=$F$5,AP53&lt;=$H$5),SUMIFS('3 Base Entrada 2008'!$G$2:$G$5000,'3 Base Entrada 2008'!$F$2:$F$5000,$AP53,'3 Base Entrada 2008'!$B$2:$B$5000,$R$1,'3 Base Entrada 2008'!$C$2:$C$5000,$R$2,'3 Base Entrada 2008'!$H$2:$H$5000,$R$3,'3 Base Entrada 2008'!$K$2:$K$5000,"Entrada")+SUMIFS('3 Base Entrada 2008'!$G$2:$G$5000,'3 Base Entrada 2008'!$F$2:$F$5000,$AP53,'3 Base Entrada 2008'!$B$2:$B$5000,$R$1,'3 Base Entrada 2008'!$C$2:$C$5000,$R$2,'3 Base Entrada 2008'!$H$2:$H$5000,$R$3,'3 Base Entrada 2008'!$K$2:$K$5000,"Estorno"),0)</f>
        <v>0</v>
      </c>
      <c r="AV53" s="0" t="str">
        <f aca="false">IFERROR(INDEX($AX$1:$AX$94,MATCH(52,$AY$1:$AY$94,0)),"")</f>
        <v>2522444420</v>
      </c>
      <c r="AW53" s="82" t="s">
        <v>260</v>
      </c>
      <c r="AX53" s="82" t="s">
        <v>362</v>
      </c>
      <c r="AY53" s="82" t="n">
        <f aca="false">IF(OR($A$5="Todos",AW53=$A$5),MAX(AY$1:AY52)+1,0)</f>
        <v>53</v>
      </c>
      <c r="BA53" s="82" t="n">
        <f aca="false">SUMIFS('3 Base Saldo Inicial 08-09'!$E$2:$E$5000,'3 Base Saldo Inicial 08-09'!$A$2:$A$5000,$T53,'3 Base Saldo Inicial 08-09'!$B$2:$B$5000,$AG53,'3 Base Saldo Inicial 08-09'!$C$2:$C$5000,"2008")</f>
        <v>0</v>
      </c>
    </row>
    <row r="54" customFormat="false" ht="15" hidden="false" customHeight="false" outlineLevel="0" collapsed="false">
      <c r="A54" s="111" t="str">
        <f aca="false">IF(IFERROR(MATCH(41,$AA$40:$AA$133,0),0)=0,"",INDEX($T$40:$T$133,IFERROR(MATCH(41,$AA$40:$AA$133,0),0)))</f>
        <v>811-BR-25A</v>
      </c>
      <c r="B54" s="111" t="str">
        <f aca="false">IF(IFERROR(MATCH(41,$AA$40:$AA$133,0),0)=0,"",INDEX($AG$40:$AG$133,IFERROR(MATCH(41,$AA$40:$AA$133,0),0)))</f>
        <v>250880301</v>
      </c>
      <c r="C54" s="112" t="str">
        <f aca="false">IF(IFERROR(MATCH(41,$AA$40:$AA$133,0),0)=0,"",INDEX($U$40:$U$133,IFERROR(MATCH(41,$AA$40:$AA$133,0),0)))</f>
        <v>KG</v>
      </c>
      <c r="D54" s="113" t="n">
        <f aca="false">IF(IFERROR(MATCH(41,$AA$40:$AA$133,0),0)=0,"",INDEX($V$40:$V$133,IFERROR(MATCH(41,$AA$40:$AA$133,0),0)))</f>
        <v>0</v>
      </c>
      <c r="E54" s="113" t="n">
        <f aca="false">IF(IFERROR(MATCH(41,$AA$40:$AA$133,0),0)=0,"",INDEX($W$40:$W$133,IFERROR(MATCH(41,$AA$40:$AA$133,0),0)))</f>
        <v>180.9</v>
      </c>
      <c r="F54" s="113" t="n">
        <f aca="false">IF(IFERROR(MATCH(41,$AA$40:$AA$133,0),0)=0,"",INDEX($X$40:$X$133,IFERROR(MATCH(41,$AA$40:$AA$133,0),0)))</f>
        <v>0</v>
      </c>
      <c r="G54" s="114" t="n">
        <f aca="false">IF(IFERROR(MATCH(41,$AA$40:$AA$133,0),0)=0,"",INDEX($Y$40:$Y$133,IFERROR(MATCH(41,$AA$40:$AA$133,0),0)))</f>
        <v>-180.9</v>
      </c>
      <c r="H54" s="145" t="str">
        <f aca="false">IF(A54="","",IF(D54&gt;0,(E54-F54)/D54,""))</f>
        <v/>
      </c>
      <c r="I54" s="115" t="str">
        <f aca="false">IF(IFERROR(MATCH(41,$AA$40:$AA$133,0),0)=0,"",INDEX($AB$40:$AB$133,IFERROR(MATCH(41,$AA$40:$AA$133,0),0)))</f>
        <v>Saiu saldo anterior a 09/09</v>
      </c>
      <c r="J54" s="116" t="n">
        <f aca="false">IF(IFERROR(MATCH(41,$AA$40:$AA$133,0),0)=0,"",INDEX($AC$40:$AC$133,IFERROR(MATCH(41,$AA$40:$AA$133,0),0)))</f>
        <v>1</v>
      </c>
      <c r="K54" s="117" t="n">
        <f aca="false">IF(IFERROR(MATCH(41,$AA$40:$AA$133,0),0)=0,"",IF(INDEX($AD$40:$AD$133,IFERROR(MATCH(41,$AA$40:$AA$133,0),0))=0,"",INDEX($AD$40:$AD$133,IFERROR(MATCH(41,$AA$40:$AA$133,0),0))))</f>
        <v>46276</v>
      </c>
      <c r="L54" s="117" t="n">
        <f aca="false">IF(IFERROR(MATCH(41,$AA$40:$AA$133,0),0)=0,"",IF(INDEX($AE$40:$AE$133,IFERROR(MATCH(41,$AA$40:$AA$133,0),0))=0,"",INDEX($AE$40:$AE$133,IFERROR(MATCH(41,$AA$40:$AA$133,0),0))))</f>
        <v>46276</v>
      </c>
      <c r="M54" s="119" t="str">
        <f aca="false">IF(IFERROR(MATCH(41,$AA$40:$AA$133,0),0)=0,"",INDEX($AF$40:$AF$133,IFERROR(MATCH(41,$AA$40:$AA$133,0),0))&amp;"")</f>
        <v>CA MOEDAS 2,01KG/UC 10UC/CX 30CX/PAL</v>
      </c>
      <c r="N54" s="118" t="str">
        <f aca="false">IF(A54="","",IF(I54="Aguardando transferência","Transferir "&amp;FIXED(G54,1)&amp;" "&amp;C54&amp;" do 2008 para o ZBR (verificar se já há OT aberta)",IF(I54="Transferido 100%","Nada a fazer","Sem ação: saíram "&amp;FIXED(-G54,1)&amp;" "&amp;C54&amp;" que já estavam no 2008 antes de 09/09 (conferir só se não havia saldo)")))</f>
        <v>Sem ação: saíram 180.9 KG que já estavam no 2008 antes de 09/09 (conferir só se não havia saldo)</v>
      </c>
      <c r="O54" s="1"/>
      <c r="T54" s="82" t="s">
        <v>343</v>
      </c>
      <c r="U54" s="82" t="s">
        <v>65</v>
      </c>
      <c r="V54" s="82" t="n">
        <f aca="false">SUMIFS('3 Base Entrada 2008'!$G$2:$G$5000,'3 Base Entrada 2008'!$F$2:$F$5000,"&gt;="&amp;$F$5,'3 Base Entrada 2008'!$F$2:$F$5000,"&lt;="&amp;$H$5,'3 Base Entrada 2008'!$B$2:$B$5000,$T54,'3 Base Entrada 2008'!$C$2:$C$5000,$AG54,'3 Base Entrada 2008'!$K$2:$K$5000,"Recebido no 2008")</f>
        <v>1296</v>
      </c>
      <c r="W54" s="82" t="n">
        <f aca="false">-SUMIFS('3 Base Entrada 2008'!$G$2:$G$5000,'3 Base Entrada 2008'!$F$2:$F$5000,"&gt;="&amp;$F$5,'3 Base Entrada 2008'!$F$2:$F$5000,"&lt;="&amp;$H$5,'3 Base Entrada 2008'!$B$2:$B$5000,$T54,'3 Base Entrada 2008'!$C$2:$C$5000,$AG54,'3 Base Entrada 2008'!$K$2:$K$5000,"Entrada")</f>
        <v>-0</v>
      </c>
      <c r="X54" s="82" t="n">
        <f aca="false">SUMIFS('3 Base Entrada 2008'!$G$2:$G$5000,'3 Base Entrada 2008'!$F$2:$F$5000,"&gt;="&amp;$F$5,'3 Base Entrada 2008'!$F$2:$F$5000,"&lt;="&amp;$H$5,'3 Base Entrada 2008'!$B$2:$B$5000,$T54,'3 Base Entrada 2008'!$C$2:$C$5000,$AG54,'3 Base Entrada 2008'!$K$2:$K$5000,"Estorno")</f>
        <v>0</v>
      </c>
      <c r="Y54" s="82" t="n">
        <f aca="false">ROUND(BA54+V54-W54+X54,3)</f>
        <v>1296</v>
      </c>
      <c r="Z54" s="82" t="n">
        <f aca="false">IF(AND(U54=$R$3,OR($R$1="*",T54=$R$1),OR($R$2="*",AG54=$R$2),OR($K$5="Todas",AB54=$K$5),ABS(V54)+ABS(W54)+ABS(X54)&gt;0),1,0)</f>
        <v>1</v>
      </c>
      <c r="AA54" s="82" t="n">
        <f aca="false">IF(Z54=1,SUM(Z$40:Z54),"")</f>
        <v>15</v>
      </c>
      <c r="AB54" s="0" t="str">
        <f aca="false">IF(ABS(Y54)&lt;=$R$5,"Transferido 100%",IF(Y54&gt;0,"Aguardando transferência","Saiu saldo anterior a 09/09"))</f>
        <v>Aguardando transferência</v>
      </c>
      <c r="AC54" s="82" t="n">
        <f aca="false">COUNTIFS('3 Base Entrada 2008'!$F$2:$F$5000,"&gt;="&amp;$F$5,'3 Base Entrada 2008'!$F$2:$F$5000,"&lt;="&amp;$H$5,'3 Base Entrada 2008'!$B$2:$B$5000,$T54,'3 Base Entrada 2008'!$C$2:$C$5000,$AG54)</f>
        <v>1</v>
      </c>
      <c r="AD54" s="82" t="n">
        <f aca="false">_xlfn.MINIFS('3 Base Entrada 2008'!$F$2:$F$5000,'3 Base Entrada 2008'!$F$2:$F$5000,"&gt;="&amp;$F$5,'3 Base Entrada 2008'!$F$2:$F$5000,"&lt;="&amp;$H$5,'3 Base Entrada 2008'!$B$2:$B$5000,$T54,'3 Base Entrada 2008'!$C$2:$C$5000,$AG54)</f>
        <v>46275</v>
      </c>
      <c r="AE54" s="82" t="n">
        <f aca="false">_xlfn.MAXIFS('3 Base Entrada 2008'!$F$2:$F$5000,'3 Base Entrada 2008'!$F$2:$F$5000,"&gt;="&amp;$F$5,'3 Base Entrada 2008'!$F$2:$F$5000,"&lt;="&amp;$H$5,'3 Base Entrada 2008'!$B$2:$B$5000,$T54,'3 Base Entrada 2008'!$C$2:$C$5000,$AG54)</f>
        <v>46275</v>
      </c>
      <c r="AG54" s="82" t="s">
        <v>344</v>
      </c>
      <c r="AH54" s="82" t="n">
        <f aca="false">IF(AND(Z54=1,Y54&gt;$R$5),Y54+ROW()/10000000,0)</f>
        <v>1296.0000054</v>
      </c>
      <c r="AO54" s="82" t="s">
        <v>1767</v>
      </c>
      <c r="AP54" s="120" t="n">
        <v>46288</v>
      </c>
      <c r="AQ54" s="82" t="n">
        <f aca="false">IF(AND(AP54&gt;=$F$5,AP54&lt;=$H$5),SUMIFS('3 Base Entrada 2008'!$G$2:$G$5000,'3 Base Entrada 2008'!$F$2:$F$5000,$AP54,'3 Base Entrada 2008'!$B$2:$B$5000,$R$1,'3 Base Entrada 2008'!$C$2:$C$5000,$R$2,'3 Base Entrada 2008'!$H$2:$H$5000,$R$3,'3 Base Entrada 2008'!$K$2:$K$5000,"Recebido no 2008"),0)</f>
        <v>0</v>
      </c>
      <c r="AR54" s="82" t="n">
        <f aca="false">IF(AND(AP54&gt;=$F$5,AP54&lt;=$H$5),SUMIFS('3 Base Entrada 2008'!$G$2:$G$5000,'3 Base Entrada 2008'!$F$2:$F$5000,$AP54,'3 Base Entrada 2008'!$B$2:$B$5000,$R$1,'3 Base Entrada 2008'!$C$2:$C$5000,$R$2,'3 Base Entrada 2008'!$H$2:$H$5000,$R$3,'3 Base Entrada 2008'!$K$2:$K$5000,"Entrada")+SUMIFS('3 Base Entrada 2008'!$G$2:$G$5000,'3 Base Entrada 2008'!$F$2:$F$5000,$AP54,'3 Base Entrada 2008'!$B$2:$B$5000,$R$1,'3 Base Entrada 2008'!$C$2:$C$5000,$R$2,'3 Base Entrada 2008'!$H$2:$H$5000,$R$3,'3 Base Entrada 2008'!$K$2:$K$5000,"Estorno"),0)</f>
        <v>-6467.92</v>
      </c>
      <c r="AV54" s="0" t="str">
        <f aca="false">IFERROR(INDEX($AX$1:$AX$94,MATCH(53,$AY$1:$AY$94,0)),"")</f>
        <v>2525950306</v>
      </c>
      <c r="AW54" s="82" t="s">
        <v>260</v>
      </c>
      <c r="AX54" s="82" t="s">
        <v>363</v>
      </c>
      <c r="AY54" s="82" t="n">
        <f aca="false">IF(OR($A$5="Todos",AW54=$A$5),MAX(AY$1:AY53)+1,0)</f>
        <v>54</v>
      </c>
      <c r="BA54" s="82" t="n">
        <f aca="false">SUMIFS('3 Base Saldo Inicial 08-09'!$E$2:$E$5000,'3 Base Saldo Inicial 08-09'!$A$2:$A$5000,$T54,'3 Base Saldo Inicial 08-09'!$B$2:$B$5000,$AG54,'3 Base Saldo Inicial 08-09'!$C$2:$C$5000,"2008")</f>
        <v>0</v>
      </c>
    </row>
    <row r="55" customFormat="false" ht="15" hidden="false" customHeight="false" outlineLevel="0" collapsed="false">
      <c r="A55" s="111" t="str">
        <f aca="false">IF(IFERROR(MATCH(42,$AA$40:$AA$133,0),0)=0,"",INDEX($T$40:$T$133,IFERROR(MATCH(42,$AA$40:$AA$133,0),0)))</f>
        <v>CHM-TS-22351E0-999</v>
      </c>
      <c r="B55" s="111" t="str">
        <f aca="false">IF(IFERROR(MATCH(42,$AA$40:$AA$133,0),0)=0,"",INDEX($AG$40:$AG$133,IFERROR(MATCH(42,$AA$40:$AA$133,0),0)))</f>
        <v>2525950306</v>
      </c>
      <c r="C55" s="112" t="str">
        <f aca="false">IF(IFERROR(MATCH(42,$AA$40:$AA$133,0),0)=0,"",INDEX($U$40:$U$133,IFERROR(MATCH(42,$AA$40:$AA$133,0),0)))</f>
        <v>KG</v>
      </c>
      <c r="D55" s="113" t="n">
        <f aca="false">IF(IFERROR(MATCH(42,$AA$40:$AA$133,0),0)=0,"",INDEX($V$40:$V$133,IFERROR(MATCH(42,$AA$40:$AA$133,0),0)))</f>
        <v>0</v>
      </c>
      <c r="E55" s="113" t="n">
        <f aca="false">IF(IFERROR(MATCH(42,$AA$40:$AA$133,0),0)=0,"",INDEX($W$40:$W$133,IFERROR(MATCH(42,$AA$40:$AA$133,0),0)))</f>
        <v>195.84</v>
      </c>
      <c r="F55" s="113" t="n">
        <f aca="false">IF(IFERROR(MATCH(42,$AA$40:$AA$133,0),0)=0,"",INDEX($X$40:$X$133,IFERROR(MATCH(42,$AA$40:$AA$133,0),0)))</f>
        <v>0</v>
      </c>
      <c r="G55" s="114" t="n">
        <f aca="false">IF(IFERROR(MATCH(42,$AA$40:$AA$133,0),0)=0,"",INDEX($Y$40:$Y$133,IFERROR(MATCH(42,$AA$40:$AA$133,0),0)))</f>
        <v>-195.84</v>
      </c>
      <c r="H55" s="145" t="str">
        <f aca="false">IF(A55="","",IF(D55&gt;0,(E55-F55)/D55,""))</f>
        <v/>
      </c>
      <c r="I55" s="115" t="str">
        <f aca="false">IF(IFERROR(MATCH(42,$AA$40:$AA$133,0),0)=0,"",INDEX($AB$40:$AB$133,IFERROR(MATCH(42,$AA$40:$AA$133,0),0)))</f>
        <v>Saiu saldo anterior a 09/09</v>
      </c>
      <c r="J55" s="116" t="n">
        <f aca="false">IF(IFERROR(MATCH(42,$AA$40:$AA$133,0),0)=0,"",INDEX($AC$40:$AC$133,IFERROR(MATCH(42,$AA$40:$AA$133,0),0)))</f>
        <v>1</v>
      </c>
      <c r="K55" s="117" t="n">
        <f aca="false">IF(IFERROR(MATCH(42,$AA$40:$AA$133,0),0)=0,"",IF(INDEX($AD$40:$AD$133,IFERROR(MATCH(42,$AA$40:$AA$133,0),0))=0,"",INDEX($AD$40:$AD$133,IFERROR(MATCH(42,$AA$40:$AA$133,0),0))))</f>
        <v>46274</v>
      </c>
      <c r="L55" s="117" t="n">
        <f aca="false">IF(IFERROR(MATCH(42,$AA$40:$AA$133,0),0)=0,"",IF(INDEX($AE$40:$AE$133,IFERROR(MATCH(42,$AA$40:$AA$133,0),0))=0,"",INDEX($AE$40:$AE$133,IFERROR(MATCH(42,$AA$40:$AA$133,0),0))))</f>
        <v>46274</v>
      </c>
      <c r="M55" s="119" t="str">
        <f aca="false">IF(IFERROR(MATCH(42,$AA$40:$AA$133,0),0)=0,"",INDEX($AF$40:$AF$133,IFERROR(MATCH(42,$AA$40:$AA$133,0),0))&amp;"")</f>
        <v/>
      </c>
      <c r="N55" s="118" t="str">
        <f aca="false">IF(A55="","",IF(I55="Aguardando transferência","Transferir "&amp;FIXED(G55,1)&amp;" "&amp;C55&amp;" do 2008 para o ZBR (verificar se já há OT aberta)",IF(I55="Transferido 100%","Nada a fazer","Sem ação: saíram "&amp;FIXED(-G55,1)&amp;" "&amp;C55&amp;" que já estavam no 2008 antes de 09/09 (conferir só se não havia saldo)")))</f>
        <v>Sem ação: saíram 195.8 KG que já estavam no 2008 antes de 09/09 (conferir só se não havia saldo)</v>
      </c>
      <c r="O55" s="1"/>
      <c r="T55" s="82" t="s">
        <v>346</v>
      </c>
      <c r="U55" s="82" t="s">
        <v>65</v>
      </c>
      <c r="V55" s="82" t="n">
        <f aca="false">SUMIFS('3 Base Entrada 2008'!$G$2:$G$5000,'3 Base Entrada 2008'!$F$2:$F$5000,"&gt;="&amp;$F$5,'3 Base Entrada 2008'!$F$2:$F$5000,"&lt;="&amp;$H$5,'3 Base Entrada 2008'!$B$2:$B$5000,$T55,'3 Base Entrada 2008'!$C$2:$C$5000,$AG55,'3 Base Entrada 2008'!$K$2:$K$5000,"Recebido no 2008")</f>
        <v>1280</v>
      </c>
      <c r="W55" s="82" t="n">
        <f aca="false">-SUMIFS('3 Base Entrada 2008'!$G$2:$G$5000,'3 Base Entrada 2008'!$F$2:$F$5000,"&gt;="&amp;$F$5,'3 Base Entrada 2008'!$F$2:$F$5000,"&lt;="&amp;$H$5,'3 Base Entrada 2008'!$B$2:$B$5000,$T55,'3 Base Entrada 2008'!$C$2:$C$5000,$AG55,'3 Base Entrada 2008'!$K$2:$K$5000,"Entrada")</f>
        <v>-0</v>
      </c>
      <c r="X55" s="82" t="n">
        <f aca="false">SUMIFS('3 Base Entrada 2008'!$G$2:$G$5000,'3 Base Entrada 2008'!$F$2:$F$5000,"&gt;="&amp;$F$5,'3 Base Entrada 2008'!$F$2:$F$5000,"&lt;="&amp;$H$5,'3 Base Entrada 2008'!$B$2:$B$5000,$T55,'3 Base Entrada 2008'!$C$2:$C$5000,$AG55,'3 Base Entrada 2008'!$K$2:$K$5000,"Estorno")</f>
        <v>0</v>
      </c>
      <c r="Y55" s="82" t="n">
        <f aca="false">ROUND(BA55+V55-W55+X55,3)</f>
        <v>1280</v>
      </c>
      <c r="Z55" s="82" t="n">
        <f aca="false">IF(AND(U55=$R$3,OR($R$1="*",T55=$R$1),OR($R$2="*",AG55=$R$2),OR($K$5="Todas",AB55=$K$5),ABS(V55)+ABS(W55)+ABS(X55)&gt;0),1,0)</f>
        <v>1</v>
      </c>
      <c r="AA55" s="82" t="n">
        <f aca="false">IF(Z55=1,SUM(Z$40:Z55),"")</f>
        <v>16</v>
      </c>
      <c r="AB55" s="0" t="str">
        <f aca="false">IF(ABS(Y55)&lt;=$R$5,"Transferido 100%",IF(Y55&gt;0,"Aguardando transferência","Saiu saldo anterior a 09/09"))</f>
        <v>Aguardando transferência</v>
      </c>
      <c r="AC55" s="82" t="n">
        <f aca="false">COUNTIFS('3 Base Entrada 2008'!$F$2:$F$5000,"&gt;="&amp;$F$5,'3 Base Entrada 2008'!$F$2:$F$5000,"&lt;="&amp;$H$5,'3 Base Entrada 2008'!$B$2:$B$5000,$T55,'3 Base Entrada 2008'!$C$2:$C$5000,$AG55)</f>
        <v>1</v>
      </c>
      <c r="AD55" s="82" t="n">
        <f aca="false">_xlfn.MINIFS('3 Base Entrada 2008'!$F$2:$F$5000,'3 Base Entrada 2008'!$F$2:$F$5000,"&gt;="&amp;$F$5,'3 Base Entrada 2008'!$F$2:$F$5000,"&lt;="&amp;$H$5,'3 Base Entrada 2008'!$B$2:$B$5000,$T55,'3 Base Entrada 2008'!$C$2:$C$5000,$AG55)</f>
        <v>46280</v>
      </c>
      <c r="AE55" s="82" t="n">
        <f aca="false">_xlfn.MAXIFS('3 Base Entrada 2008'!$F$2:$F$5000,'3 Base Entrada 2008'!$F$2:$F$5000,"&gt;="&amp;$F$5,'3 Base Entrada 2008'!$F$2:$F$5000,"&lt;="&amp;$H$5,'3 Base Entrada 2008'!$B$2:$B$5000,$T55,'3 Base Entrada 2008'!$C$2:$C$5000,$AG55)</f>
        <v>46280</v>
      </c>
      <c r="AG55" s="82" t="s">
        <v>347</v>
      </c>
      <c r="AH55" s="82" t="n">
        <f aca="false">IF(AND(Z55=1,Y55&gt;$R$5),Y55+ROW()/10000000,0)</f>
        <v>1280.0000055</v>
      </c>
      <c r="AO55" s="82" t="s">
        <v>1768</v>
      </c>
      <c r="AP55" s="120" t="n">
        <v>46289</v>
      </c>
      <c r="AQ55" s="82" t="n">
        <f aca="false">IF(AND(AP55&gt;=$F$5,AP55&lt;=$H$5),SUMIFS('3 Base Entrada 2008'!$G$2:$G$5000,'3 Base Entrada 2008'!$F$2:$F$5000,$AP55,'3 Base Entrada 2008'!$B$2:$B$5000,$R$1,'3 Base Entrada 2008'!$C$2:$C$5000,$R$2,'3 Base Entrada 2008'!$H$2:$H$5000,$R$3,'3 Base Entrada 2008'!$K$2:$K$5000,"Recebido no 2008"),0)</f>
        <v>0</v>
      </c>
      <c r="AR55" s="82" t="n">
        <f aca="false">IF(AND(AP55&gt;=$F$5,AP55&lt;=$H$5),SUMIFS('3 Base Entrada 2008'!$G$2:$G$5000,'3 Base Entrada 2008'!$F$2:$F$5000,$AP55,'3 Base Entrada 2008'!$B$2:$B$5000,$R$1,'3 Base Entrada 2008'!$C$2:$C$5000,$R$2,'3 Base Entrada 2008'!$H$2:$H$5000,$R$3,'3 Base Entrada 2008'!$K$2:$K$5000,"Entrada")+SUMIFS('3 Base Entrada 2008'!$G$2:$G$5000,'3 Base Entrada 2008'!$F$2:$F$5000,$AP55,'3 Base Entrada 2008'!$B$2:$B$5000,$R$1,'3 Base Entrada 2008'!$C$2:$C$5000,$R$2,'3 Base Entrada 2008'!$H$2:$H$5000,$R$3,'3 Base Entrada 2008'!$K$2:$K$5000,"Estorno"),0)</f>
        <v>-17483.8</v>
      </c>
      <c r="AV55" s="0" t="str">
        <f aca="false">IFERROR(INDEX($AX$1:$AX$94,MATCH(54,$AY$1:$AY$94,0)),"")</f>
        <v>2526050307</v>
      </c>
      <c r="AW55" s="82" t="s">
        <v>263</v>
      </c>
      <c r="AX55" s="82" t="s">
        <v>264</v>
      </c>
      <c r="AY55" s="82" t="n">
        <f aca="false">IF(OR($A$5="Todos",AW55=$A$5),MAX(AY$1:AY54)+1,0)</f>
        <v>55</v>
      </c>
      <c r="BA55" s="82" t="n">
        <f aca="false">SUMIFS('3 Base Saldo Inicial 08-09'!$E$2:$E$5000,'3 Base Saldo Inicial 08-09'!$A$2:$A$5000,$T55,'3 Base Saldo Inicial 08-09'!$B$2:$B$5000,$AG55,'3 Base Saldo Inicial 08-09'!$C$2:$C$5000,"2008")</f>
        <v>0</v>
      </c>
    </row>
    <row r="56" customFormat="false" ht="15" hidden="false" customHeight="false" outlineLevel="0" collapsed="false">
      <c r="A56" s="111" t="str">
        <f aca="false">IF(IFERROR(MATCH(43,$AA$40:$AA$133,0),0)=0,"",INDEX($T$40:$T$133,IFERROR(MATCH(43,$AA$40:$AA$133,0),0)))</f>
        <v>CHD-SP-9Z4-BR-U73</v>
      </c>
      <c r="B56" s="111" t="str">
        <f aca="false">IF(IFERROR(MATCH(43,$AA$40:$AA$133,0),0)=0,"",INDEX($AG$40:$AG$133,IFERROR(MATCH(43,$AA$40:$AA$133,0),0)))</f>
        <v>250500301</v>
      </c>
      <c r="C56" s="112" t="str">
        <f aca="false">IF(IFERROR(MATCH(43,$AA$40:$AA$133,0),0)=0,"",INDEX($U$40:$U$133,IFERROR(MATCH(43,$AA$40:$AA$133,0),0)))</f>
        <v>KG</v>
      </c>
      <c r="D56" s="113" t="n">
        <f aca="false">IF(IFERROR(MATCH(43,$AA$40:$AA$133,0),0)=0,"",INDEX($V$40:$V$133,IFERROR(MATCH(43,$AA$40:$AA$133,0),0)))</f>
        <v>0</v>
      </c>
      <c r="E56" s="113" t="n">
        <f aca="false">IF(IFERROR(MATCH(43,$AA$40:$AA$133,0),0)=0,"",INDEX($W$40:$W$133,IFERROR(MATCH(43,$AA$40:$AA$133,0),0)))</f>
        <v>240</v>
      </c>
      <c r="F56" s="113" t="n">
        <f aca="false">IF(IFERROR(MATCH(43,$AA$40:$AA$133,0),0)=0,"",INDEX($X$40:$X$133,IFERROR(MATCH(43,$AA$40:$AA$133,0),0)))</f>
        <v>0</v>
      </c>
      <c r="G56" s="114" t="n">
        <f aca="false">IF(IFERROR(MATCH(43,$AA$40:$AA$133,0),0)=0,"",INDEX($Y$40:$Y$133,IFERROR(MATCH(43,$AA$40:$AA$133,0),0)))</f>
        <v>-240</v>
      </c>
      <c r="H56" s="145" t="str">
        <f aca="false">IF(A56="","",IF(D56&gt;0,(E56-F56)/D56,""))</f>
        <v/>
      </c>
      <c r="I56" s="115" t="str">
        <f aca="false">IF(IFERROR(MATCH(43,$AA$40:$AA$133,0),0)=0,"",INDEX($AB$40:$AB$133,IFERROR(MATCH(43,$AA$40:$AA$133,0),0)))</f>
        <v>Saiu saldo anterior a 09/09</v>
      </c>
      <c r="J56" s="116" t="n">
        <f aca="false">IF(IFERROR(MATCH(43,$AA$40:$AA$133,0),0)=0,"",INDEX($AC$40:$AC$133,IFERROR(MATCH(43,$AA$40:$AA$133,0),0)))</f>
        <v>1</v>
      </c>
      <c r="K56" s="117" t="n">
        <f aca="false">IF(IFERROR(MATCH(43,$AA$40:$AA$133,0),0)=0,"",IF(INDEX($AD$40:$AD$133,IFERROR(MATCH(43,$AA$40:$AA$133,0),0))=0,"",INDEX($AD$40:$AD$133,IFERROR(MATCH(43,$AA$40:$AA$133,0),0))))</f>
        <v>46294</v>
      </c>
      <c r="L56" s="117" t="n">
        <f aca="false">IF(IFERROR(MATCH(43,$AA$40:$AA$133,0),0)=0,"",IF(INDEX($AE$40:$AE$133,IFERROR(MATCH(43,$AA$40:$AA$133,0),0))=0,"",INDEX($AE$40:$AE$133,IFERROR(MATCH(43,$AA$40:$AA$133,0),0))))</f>
        <v>46294</v>
      </c>
      <c r="M56" s="119" t="str">
        <f aca="false">IF(IFERROR(MATCH(43,$AA$40:$AA$133,0),0)=0,"",INDEX($AF$40:$AF$133,IFERROR(MATCH(43,$AA$40:$AA$133,0),0))&amp;"")</f>
        <v>96_FU:CHD-SP-1L-BR-U73</v>
      </c>
      <c r="N56" s="118" t="str">
        <f aca="false">IF(A56="","",IF(I56="Aguardando transferência","Transferir "&amp;FIXED(G56,1)&amp;" "&amp;C56&amp;" do 2008 para o ZBR (verificar se já há OT aberta)",IF(I56="Transferido 100%","Nada a fazer","Sem ação: saíram "&amp;FIXED(-G56,1)&amp;" "&amp;C56&amp;" que já estavam no 2008 antes de 09/09 (conferir só se não havia saldo)")))</f>
        <v>Sem ação: saíram 240.0 KG que já estavam no 2008 antes de 09/09 (conferir só se não havia saldo)</v>
      </c>
      <c r="O56" s="1"/>
      <c r="T56" s="82" t="s">
        <v>364</v>
      </c>
      <c r="U56" s="82" t="s">
        <v>65</v>
      </c>
      <c r="V56" s="82" t="n">
        <f aca="false">SUMIFS('3 Base Entrada 2008'!$G$2:$G$5000,'3 Base Entrada 2008'!$F$2:$F$5000,"&gt;="&amp;$F$5,'3 Base Entrada 2008'!$F$2:$F$5000,"&lt;="&amp;$H$5,'3 Base Entrada 2008'!$B$2:$B$5000,$T56,'3 Base Entrada 2008'!$C$2:$C$5000,$AG56,'3 Base Entrada 2008'!$K$2:$K$5000,"Recebido no 2008")</f>
        <v>1200</v>
      </c>
      <c r="W56" s="82" t="n">
        <f aca="false">-SUMIFS('3 Base Entrada 2008'!$G$2:$G$5000,'3 Base Entrada 2008'!$F$2:$F$5000,"&gt;="&amp;$F$5,'3 Base Entrada 2008'!$F$2:$F$5000,"&lt;="&amp;$H$5,'3 Base Entrada 2008'!$B$2:$B$5000,$T56,'3 Base Entrada 2008'!$C$2:$C$5000,$AG56,'3 Base Entrada 2008'!$K$2:$K$5000,"Entrada")</f>
        <v>-0</v>
      </c>
      <c r="X56" s="82" t="n">
        <f aca="false">SUMIFS('3 Base Entrada 2008'!$G$2:$G$5000,'3 Base Entrada 2008'!$F$2:$F$5000,"&gt;="&amp;$F$5,'3 Base Entrada 2008'!$F$2:$F$5000,"&lt;="&amp;$H$5,'3 Base Entrada 2008'!$B$2:$B$5000,$T56,'3 Base Entrada 2008'!$C$2:$C$5000,$AG56,'3 Base Entrada 2008'!$K$2:$K$5000,"Estorno")</f>
        <v>0</v>
      </c>
      <c r="Y56" s="82" t="n">
        <f aca="false">ROUND(BA56+V56-W56+X56,3)</f>
        <v>1200</v>
      </c>
      <c r="Z56" s="82" t="n">
        <f aca="false">IF(AND(U56=$R$3,OR($R$1="*",T56=$R$1),OR($R$2="*",AG56=$R$2),OR($K$5="Todas",AB56=$K$5),ABS(V56)+ABS(W56)+ABS(X56)&gt;0),1,0)</f>
        <v>1</v>
      </c>
      <c r="AA56" s="82" t="n">
        <f aca="false">IF(Z56=1,SUM(Z$40:Z56),"")</f>
        <v>17</v>
      </c>
      <c r="AB56" s="0" t="str">
        <f aca="false">IF(ABS(Y56)&lt;=$R$5,"Transferido 100%",IF(Y56&gt;0,"Aguardando transferência","Saiu saldo anterior a 09/09"))</f>
        <v>Aguardando transferência</v>
      </c>
      <c r="AC56" s="82" t="n">
        <f aca="false">COUNTIFS('3 Base Entrada 2008'!$F$2:$F$5000,"&gt;="&amp;$F$5,'3 Base Entrada 2008'!$F$2:$F$5000,"&lt;="&amp;$H$5,'3 Base Entrada 2008'!$B$2:$B$5000,$T56,'3 Base Entrada 2008'!$C$2:$C$5000,$AG56)</f>
        <v>1</v>
      </c>
      <c r="AD56" s="82" t="n">
        <f aca="false">_xlfn.MINIFS('3 Base Entrada 2008'!$F$2:$F$5000,'3 Base Entrada 2008'!$F$2:$F$5000,"&gt;="&amp;$F$5,'3 Base Entrada 2008'!$F$2:$F$5000,"&lt;="&amp;$H$5,'3 Base Entrada 2008'!$B$2:$B$5000,$T56,'3 Base Entrada 2008'!$C$2:$C$5000,$AG56)</f>
        <v>46280</v>
      </c>
      <c r="AE56" s="82" t="n">
        <f aca="false">_xlfn.MAXIFS('3 Base Entrada 2008'!$F$2:$F$5000,'3 Base Entrada 2008'!$F$2:$F$5000,"&gt;="&amp;$F$5,'3 Base Entrada 2008'!$F$2:$F$5000,"&lt;="&amp;$H$5,'3 Base Entrada 2008'!$B$2:$B$5000,$T56,'3 Base Entrada 2008'!$C$2:$C$5000,$AG56)</f>
        <v>46280</v>
      </c>
      <c r="AG56" s="82" t="s">
        <v>365</v>
      </c>
      <c r="AH56" s="82" t="n">
        <f aca="false">IF(AND(Z56=1,Y56&gt;$R$5),Y56+ROW()/10000000,0)</f>
        <v>1200.0000056</v>
      </c>
      <c r="AO56" s="82" t="s">
        <v>1769</v>
      </c>
      <c r="AP56" s="120" t="n">
        <v>46290</v>
      </c>
      <c r="AQ56" s="82" t="n">
        <f aca="false">IF(AND(AP56&gt;=$F$5,AP56&lt;=$H$5),SUMIFS('3 Base Entrada 2008'!$G$2:$G$5000,'3 Base Entrada 2008'!$F$2:$F$5000,$AP56,'3 Base Entrada 2008'!$B$2:$B$5000,$R$1,'3 Base Entrada 2008'!$C$2:$C$5000,$R$2,'3 Base Entrada 2008'!$H$2:$H$5000,$R$3,'3 Base Entrada 2008'!$K$2:$K$5000,"Recebido no 2008"),0)</f>
        <v>0</v>
      </c>
      <c r="AR56" s="82" t="n">
        <f aca="false">IF(AND(AP56&gt;=$F$5,AP56&lt;=$H$5),SUMIFS('3 Base Entrada 2008'!$G$2:$G$5000,'3 Base Entrada 2008'!$F$2:$F$5000,$AP56,'3 Base Entrada 2008'!$B$2:$B$5000,$R$1,'3 Base Entrada 2008'!$C$2:$C$5000,$R$2,'3 Base Entrada 2008'!$H$2:$H$5000,$R$3,'3 Base Entrada 2008'!$K$2:$K$5000,"Entrada")+SUMIFS('3 Base Entrada 2008'!$G$2:$G$5000,'3 Base Entrada 2008'!$F$2:$F$5000,$AP56,'3 Base Entrada 2008'!$B$2:$B$5000,$R$1,'3 Base Entrada 2008'!$C$2:$C$5000,$R$2,'3 Base Entrada 2008'!$H$2:$H$5000,$R$3,'3 Base Entrada 2008'!$K$2:$K$5000,"Estorno"),0)</f>
        <v>0</v>
      </c>
      <c r="AV56" s="0" t="str">
        <f aca="false">IFERROR(INDEX($AX$1:$AX$94,MATCH(55,$AY$1:$AY$94,0)),"")</f>
        <v>2605567696</v>
      </c>
      <c r="AW56" s="82" t="s">
        <v>266</v>
      </c>
      <c r="AX56" s="82" t="s">
        <v>267</v>
      </c>
      <c r="AY56" s="82" t="n">
        <f aca="false">IF(OR($A$5="Todos",AW56=$A$5),MAX(AY$1:AY55)+1,0)</f>
        <v>56</v>
      </c>
      <c r="BA56" s="82" t="n">
        <f aca="false">SUMIFS('3 Base Saldo Inicial 08-09'!$E$2:$E$5000,'3 Base Saldo Inicial 08-09'!$A$2:$A$5000,$T56,'3 Base Saldo Inicial 08-09'!$B$2:$B$5000,$AG56,'3 Base Saldo Inicial 08-09'!$C$2:$C$5000,"2008")</f>
        <v>0</v>
      </c>
    </row>
    <row r="57" customFormat="false" ht="15" hidden="false" customHeight="false" outlineLevel="0" collapsed="false">
      <c r="A57" s="111" t="str">
        <f aca="false">IF(IFERROR(MATCH(44,$AA$40:$AA$133,0),0)=0,"",INDEX($T$40:$T$133,IFERROR(MATCH(44,$AA$40:$AA$133,0),0)))</f>
        <v>CHM-TS-P23-E0-999</v>
      </c>
      <c r="B57" s="111" t="str">
        <f aca="false">IF(IFERROR(MATCH(44,$AA$40:$AA$133,0),0)=0,"",INDEX($AG$40:$AG$133,IFERROR(MATCH(44,$AA$40:$AA$133,0),0)))</f>
        <v>2605567696</v>
      </c>
      <c r="C57" s="112" t="str">
        <f aca="false">IF(IFERROR(MATCH(44,$AA$40:$AA$133,0),0)=0,"",INDEX($U$40:$U$133,IFERROR(MATCH(44,$AA$40:$AA$133,0),0)))</f>
        <v>KG</v>
      </c>
      <c r="D57" s="113" t="n">
        <f aca="false">IF(IFERROR(MATCH(44,$AA$40:$AA$133,0),0)=0,"",INDEX($V$40:$V$133,IFERROR(MATCH(44,$AA$40:$AA$133,0),0)))</f>
        <v>0</v>
      </c>
      <c r="E57" s="113" t="n">
        <f aca="false">IF(IFERROR(MATCH(44,$AA$40:$AA$133,0),0)=0,"",INDEX($W$40:$W$133,IFERROR(MATCH(44,$AA$40:$AA$133,0),0)))</f>
        <v>261.12</v>
      </c>
      <c r="F57" s="113" t="n">
        <f aca="false">IF(IFERROR(MATCH(44,$AA$40:$AA$133,0),0)=0,"",INDEX($X$40:$X$133,IFERROR(MATCH(44,$AA$40:$AA$133,0),0)))</f>
        <v>0</v>
      </c>
      <c r="G57" s="114" t="n">
        <f aca="false">IF(IFERROR(MATCH(44,$AA$40:$AA$133,0),0)=0,"",INDEX($Y$40:$Y$133,IFERROR(MATCH(44,$AA$40:$AA$133,0),0)))</f>
        <v>-261.12</v>
      </c>
      <c r="H57" s="145" t="str">
        <f aca="false">IF(A57="","",IF(D57&gt;0,(E57-F57)/D57,""))</f>
        <v/>
      </c>
      <c r="I57" s="115" t="str">
        <f aca="false">IF(IFERROR(MATCH(44,$AA$40:$AA$133,0),0)=0,"",INDEX($AB$40:$AB$133,IFERROR(MATCH(44,$AA$40:$AA$133,0),0)))</f>
        <v>Saiu saldo anterior a 09/09</v>
      </c>
      <c r="J57" s="116" t="n">
        <f aca="false">IF(IFERROR(MATCH(44,$AA$40:$AA$133,0),0)=0,"",INDEX($AC$40:$AC$133,IFERROR(MATCH(44,$AA$40:$AA$133,0),0)))</f>
        <v>1</v>
      </c>
      <c r="K57" s="117" t="n">
        <f aca="false">IF(IFERROR(MATCH(44,$AA$40:$AA$133,0),0)=0,"",IF(INDEX($AD$40:$AD$133,IFERROR(MATCH(44,$AA$40:$AA$133,0),0))=0,"",INDEX($AD$40:$AD$133,IFERROR(MATCH(44,$AA$40:$AA$133,0),0))))</f>
        <v>46288</v>
      </c>
      <c r="L57" s="117" t="n">
        <f aca="false">IF(IFERROR(MATCH(44,$AA$40:$AA$133,0),0)=0,"",IF(INDEX($AE$40:$AE$133,IFERROR(MATCH(44,$AA$40:$AA$133,0),0))=0,"",INDEX($AE$40:$AE$133,IFERROR(MATCH(44,$AA$40:$AA$133,0),0))))</f>
        <v>46288</v>
      </c>
      <c r="M57" s="119" t="str">
        <f aca="false">IF(IFERROR(MATCH(44,$AA$40:$AA$133,0),0)=0,"",INDEX($AF$40:$AF$133,IFERROR(MATCH(44,$AA$40:$AA$133,0),0))&amp;"")</f>
        <v/>
      </c>
      <c r="N57" s="118" t="str">
        <f aca="false">IF(A57="","",IF(I57="Aguardando transferência","Transferir "&amp;FIXED(G57,1)&amp;" "&amp;C57&amp;" do 2008 para o ZBR (verificar se já há OT aberta)",IF(I57="Transferido 100%","Nada a fazer","Sem ação: saíram "&amp;FIXED(-G57,1)&amp;" "&amp;C57&amp;" que já estavam no 2008 antes de 09/09 (conferir só se não havia saldo)")))</f>
        <v>Sem ação: saíram 261.1 KG que já estavam no 2008 antes de 09/09 (conferir só se não havia saldo)</v>
      </c>
      <c r="O57" s="1"/>
      <c r="T57" s="82" t="s">
        <v>338</v>
      </c>
      <c r="U57" s="82" t="s">
        <v>65</v>
      </c>
      <c r="V57" s="82" t="n">
        <f aca="false">SUMIFS('3 Base Entrada 2008'!$G$2:$G$5000,'3 Base Entrada 2008'!$F$2:$F$5000,"&gt;="&amp;$F$5,'3 Base Entrada 2008'!$F$2:$F$5000,"&lt;="&amp;$H$5,'3 Base Entrada 2008'!$B$2:$B$5000,$T57,'3 Base Entrada 2008'!$C$2:$C$5000,$AG57,'3 Base Entrada 2008'!$K$2:$K$5000,"Recebido no 2008")</f>
        <v>1122</v>
      </c>
      <c r="W57" s="82" t="n">
        <f aca="false">-SUMIFS('3 Base Entrada 2008'!$G$2:$G$5000,'3 Base Entrada 2008'!$F$2:$F$5000,"&gt;="&amp;$F$5,'3 Base Entrada 2008'!$F$2:$F$5000,"&lt;="&amp;$H$5,'3 Base Entrada 2008'!$B$2:$B$5000,$T57,'3 Base Entrada 2008'!$C$2:$C$5000,$AG57,'3 Base Entrada 2008'!$K$2:$K$5000,"Entrada")</f>
        <v>-0</v>
      </c>
      <c r="X57" s="82" t="n">
        <f aca="false">SUMIFS('3 Base Entrada 2008'!$G$2:$G$5000,'3 Base Entrada 2008'!$F$2:$F$5000,"&gt;="&amp;$F$5,'3 Base Entrada 2008'!$F$2:$F$5000,"&lt;="&amp;$H$5,'3 Base Entrada 2008'!$B$2:$B$5000,$T57,'3 Base Entrada 2008'!$C$2:$C$5000,$AG57,'3 Base Entrada 2008'!$K$2:$K$5000,"Estorno")</f>
        <v>0</v>
      </c>
      <c r="Y57" s="82" t="n">
        <f aca="false">ROUND(BA57+V57-W57+X57,3)</f>
        <v>1122</v>
      </c>
      <c r="Z57" s="82" t="n">
        <f aca="false">IF(AND(U57=$R$3,OR($R$1="*",T57=$R$1),OR($R$2="*",AG57=$R$2),OR($K$5="Todas",AB57=$K$5),ABS(V57)+ABS(W57)+ABS(X57)&gt;0),1,0)</f>
        <v>1</v>
      </c>
      <c r="AA57" s="82" t="n">
        <f aca="false">IF(Z57=1,SUM(Z$40:Z57),"")</f>
        <v>18</v>
      </c>
      <c r="AB57" s="0" t="str">
        <f aca="false">IF(ABS(Y57)&lt;=$R$5,"Transferido 100%",IF(Y57&gt;0,"Aguardando transferência","Saiu saldo anterior a 09/09"))</f>
        <v>Aguardando transferência</v>
      </c>
      <c r="AC57" s="82" t="n">
        <f aca="false">COUNTIFS('3 Base Entrada 2008'!$F$2:$F$5000,"&gt;="&amp;$F$5,'3 Base Entrada 2008'!$F$2:$F$5000,"&lt;="&amp;$H$5,'3 Base Entrada 2008'!$B$2:$B$5000,$T57,'3 Base Entrada 2008'!$C$2:$C$5000,$AG57)</f>
        <v>1</v>
      </c>
      <c r="AD57" s="82" t="n">
        <f aca="false">_xlfn.MINIFS('3 Base Entrada 2008'!$F$2:$F$5000,'3 Base Entrada 2008'!$F$2:$F$5000,"&gt;="&amp;$F$5,'3 Base Entrada 2008'!$F$2:$F$5000,"&lt;="&amp;$H$5,'3 Base Entrada 2008'!$B$2:$B$5000,$T57,'3 Base Entrada 2008'!$C$2:$C$5000,$AG57)</f>
        <v>46275</v>
      </c>
      <c r="AE57" s="82" t="n">
        <f aca="false">_xlfn.MAXIFS('3 Base Entrada 2008'!$F$2:$F$5000,'3 Base Entrada 2008'!$F$2:$F$5000,"&gt;="&amp;$F$5,'3 Base Entrada 2008'!$F$2:$F$5000,"&lt;="&amp;$H$5,'3 Base Entrada 2008'!$B$2:$B$5000,$T57,'3 Base Entrada 2008'!$C$2:$C$5000,$AG57)</f>
        <v>46275</v>
      </c>
      <c r="AG57" s="82" t="s">
        <v>339</v>
      </c>
      <c r="AH57" s="82" t="n">
        <f aca="false">IF(AND(Z57=1,Y57&gt;$R$5),Y57+ROW()/10000000,0)</f>
        <v>1122.0000057</v>
      </c>
      <c r="AO57" s="82" t="s">
        <v>1770</v>
      </c>
      <c r="AP57" s="120" t="n">
        <v>46291</v>
      </c>
      <c r="AQ57" s="82" t="n">
        <f aca="false">IF(AND(AP57&gt;=$F$5,AP57&lt;=$H$5),SUMIFS('3 Base Entrada 2008'!$G$2:$G$5000,'3 Base Entrada 2008'!$F$2:$F$5000,$AP57,'3 Base Entrada 2008'!$B$2:$B$5000,$R$1,'3 Base Entrada 2008'!$C$2:$C$5000,$R$2,'3 Base Entrada 2008'!$H$2:$H$5000,$R$3,'3 Base Entrada 2008'!$K$2:$K$5000,"Recebido no 2008"),0)</f>
        <v>0</v>
      </c>
      <c r="AR57" s="82" t="n">
        <f aca="false">IF(AND(AP57&gt;=$F$5,AP57&lt;=$H$5),SUMIFS('3 Base Entrada 2008'!$G$2:$G$5000,'3 Base Entrada 2008'!$F$2:$F$5000,$AP57,'3 Base Entrada 2008'!$B$2:$B$5000,$R$1,'3 Base Entrada 2008'!$C$2:$C$5000,$R$2,'3 Base Entrada 2008'!$H$2:$H$5000,$R$3,'3 Base Entrada 2008'!$K$2:$K$5000,"Entrada")+SUMIFS('3 Base Entrada 2008'!$G$2:$G$5000,'3 Base Entrada 2008'!$F$2:$F$5000,$AP57,'3 Base Entrada 2008'!$B$2:$B$5000,$R$1,'3 Base Entrada 2008'!$C$2:$C$5000,$R$2,'3 Base Entrada 2008'!$H$2:$H$5000,$R$3,'3 Base Entrada 2008'!$K$2:$K$5000,"Estorno"),0)</f>
        <v>-9865.5</v>
      </c>
      <c r="AV57" s="0" t="str">
        <f aca="false">IFERROR(INDEX($AX$1:$AX$94,MATCH(56,$AY$1:$AY$94,0)),"")</f>
        <v>260400301</v>
      </c>
      <c r="AW57" s="82" t="s">
        <v>364</v>
      </c>
      <c r="AX57" s="82" t="s">
        <v>365</v>
      </c>
      <c r="AY57" s="82" t="n">
        <f aca="false">IF(OR($A$5="Todos",AW57=$A$5),MAX(AY$1:AY56)+1,0)</f>
        <v>57</v>
      </c>
      <c r="BA57" s="82" t="n">
        <f aca="false">SUMIFS('3 Base Saldo Inicial 08-09'!$E$2:$E$5000,'3 Base Saldo Inicial 08-09'!$A$2:$A$5000,$T57,'3 Base Saldo Inicial 08-09'!$B$2:$B$5000,$AG57,'3 Base Saldo Inicial 08-09'!$C$2:$C$5000,"2008")</f>
        <v>0</v>
      </c>
    </row>
    <row r="58" customFormat="false" ht="15" hidden="false" customHeight="false" outlineLevel="0" collapsed="false">
      <c r="A58" s="111" t="str">
        <f aca="false">IF(IFERROR(MATCH(45,$AA$40:$AA$133,0),0)=0,"",INDEX($T$40:$T$133,IFERROR(MATCH(45,$AA$40:$AA$133,0),0)))</f>
        <v>CHM-SP-Z3L-BR-U73</v>
      </c>
      <c r="B58" s="111" t="str">
        <f aca="false">IF(IFERROR(MATCH(45,$AA$40:$AA$133,0),0)=0,"",INDEX($AG$40:$AG$133,IFERROR(MATCH(45,$AA$40:$AA$133,0),0)))</f>
        <v>250880301</v>
      </c>
      <c r="C58" s="112" t="str">
        <f aca="false">IF(IFERROR(MATCH(45,$AA$40:$AA$133,0),0)=0,"",INDEX($U$40:$U$133,IFERROR(MATCH(45,$AA$40:$AA$133,0),0)))</f>
        <v>KG</v>
      </c>
      <c r="D58" s="113" t="n">
        <f aca="false">IF(IFERROR(MATCH(45,$AA$40:$AA$133,0),0)=0,"",INDEX($V$40:$V$133,IFERROR(MATCH(45,$AA$40:$AA$133,0),0)))</f>
        <v>0</v>
      </c>
      <c r="E58" s="113" t="n">
        <f aca="false">IF(IFERROR(MATCH(45,$AA$40:$AA$133,0),0)=0,"",INDEX($W$40:$W$133,IFERROR(MATCH(45,$AA$40:$AA$133,0),0)))</f>
        <v>288</v>
      </c>
      <c r="F58" s="113" t="n">
        <f aca="false">IF(IFERROR(MATCH(45,$AA$40:$AA$133,0),0)=0,"",INDEX($X$40:$X$133,IFERROR(MATCH(45,$AA$40:$AA$133,0),0)))</f>
        <v>0</v>
      </c>
      <c r="G58" s="114" t="n">
        <f aca="false">IF(IFERROR(MATCH(45,$AA$40:$AA$133,0),0)=0,"",INDEX($Y$40:$Y$133,IFERROR(MATCH(45,$AA$40:$AA$133,0),0)))</f>
        <v>-288</v>
      </c>
      <c r="H58" s="145" t="str">
        <f aca="false">IF(A58="","",IF(D58&gt;0,(E58-F58)/D58,""))</f>
        <v/>
      </c>
      <c r="I58" s="115" t="str">
        <f aca="false">IF(IFERROR(MATCH(45,$AA$40:$AA$133,0),0)=0,"",INDEX($AB$40:$AB$133,IFERROR(MATCH(45,$AA$40:$AA$133,0),0)))</f>
        <v>Saiu saldo anterior a 09/09</v>
      </c>
      <c r="J58" s="116" t="n">
        <f aca="false">IF(IFERROR(MATCH(45,$AA$40:$AA$133,0),0)=0,"",INDEX($AC$40:$AC$133,IFERROR(MATCH(45,$AA$40:$AA$133,0),0)))</f>
        <v>1</v>
      </c>
      <c r="K58" s="117" t="n">
        <f aca="false">IF(IFERROR(MATCH(45,$AA$40:$AA$133,0),0)=0,"",IF(INDEX($AD$40:$AD$133,IFERROR(MATCH(45,$AA$40:$AA$133,0),0))=0,"",INDEX($AD$40:$AD$133,IFERROR(MATCH(45,$AA$40:$AA$133,0),0))))</f>
        <v>46291</v>
      </c>
      <c r="L58" s="117" t="n">
        <f aca="false">IF(IFERROR(MATCH(45,$AA$40:$AA$133,0),0)=0,"",IF(INDEX($AE$40:$AE$133,IFERROR(MATCH(45,$AA$40:$AA$133,0),0))=0,"",INDEX($AE$40:$AE$133,IFERROR(MATCH(45,$AA$40:$AA$133,0),0))))</f>
        <v>46291</v>
      </c>
      <c r="M58" s="119" t="str">
        <f aca="false">IF(IFERROR(MATCH(45,$AA$40:$AA$133,0),0)=0,"",INDEX($AF$40:$AF$133,IFERROR(MATCH(45,$AA$40:$AA$133,0),0))&amp;"")</f>
        <v>CA MILK LARGE FLAKES SPLITTERS 1KG/UC</v>
      </c>
      <c r="N58" s="118" t="str">
        <f aca="false">IF(A58="","",IF(I58="Aguardando transferência","Transferir "&amp;FIXED(G58,1)&amp;" "&amp;C58&amp;" do 2008 para o ZBR (verificar se já há OT aberta)",IF(I58="Transferido 100%","Nada a fazer","Sem ação: saíram "&amp;FIXED(-G58,1)&amp;" "&amp;C58&amp;" que já estavam no 2008 antes de 09/09 (conferir só se não havia saldo)")))</f>
        <v>Sem ação: saíram 288.0 KG que já estavam no 2008 antes de 09/09 (conferir só se não havia saldo)</v>
      </c>
      <c r="O58" s="1"/>
      <c r="T58" s="82" t="s">
        <v>252</v>
      </c>
      <c r="U58" s="82" t="s">
        <v>65</v>
      </c>
      <c r="V58" s="82" t="n">
        <f aca="false">SUMIFS('3 Base Entrada 2008'!$G$2:$G$5000,'3 Base Entrada 2008'!$F$2:$F$5000,"&gt;="&amp;$F$5,'3 Base Entrada 2008'!$F$2:$F$5000,"&lt;="&amp;$H$5,'3 Base Entrada 2008'!$B$2:$B$5000,$T58,'3 Base Entrada 2008'!$C$2:$C$5000,$AG58,'3 Base Entrada 2008'!$K$2:$K$5000,"Recebido no 2008")</f>
        <v>1920</v>
      </c>
      <c r="W58" s="82" t="n">
        <f aca="false">-SUMIFS('3 Base Entrada 2008'!$G$2:$G$5000,'3 Base Entrada 2008'!$F$2:$F$5000,"&gt;="&amp;$F$5,'3 Base Entrada 2008'!$F$2:$F$5000,"&lt;="&amp;$H$5,'3 Base Entrada 2008'!$B$2:$B$5000,$T58,'3 Base Entrada 2008'!$C$2:$C$5000,$AG58,'3 Base Entrada 2008'!$K$2:$K$5000,"Entrada")</f>
        <v>2160</v>
      </c>
      <c r="X58" s="82" t="n">
        <f aca="false">SUMIFS('3 Base Entrada 2008'!$G$2:$G$5000,'3 Base Entrada 2008'!$F$2:$F$5000,"&gt;="&amp;$F$5,'3 Base Entrada 2008'!$F$2:$F$5000,"&lt;="&amp;$H$5,'3 Base Entrada 2008'!$B$2:$B$5000,$T58,'3 Base Entrada 2008'!$C$2:$C$5000,$AG58,'3 Base Entrada 2008'!$K$2:$K$5000,"Estorno")</f>
        <v>1200</v>
      </c>
      <c r="Y58" s="82" t="n">
        <f aca="false">ROUND(BA58+V58-W58+X58,3)</f>
        <v>960</v>
      </c>
      <c r="Z58" s="82" t="n">
        <f aca="false">IF(AND(U58=$R$3,OR($R$1="*",T58=$R$1),OR($R$2="*",AG58=$R$2),OR($K$5="Todas",AB58=$K$5),ABS(V58)+ABS(W58)+ABS(X58)&gt;0),1,0)</f>
        <v>1</v>
      </c>
      <c r="AA58" s="82" t="n">
        <f aca="false">IF(Z58=1,SUM(Z$40:Z58),"")</f>
        <v>19</v>
      </c>
      <c r="AB58" s="0" t="str">
        <f aca="false">IF(ABS(Y58)&lt;=$R$5,"Transferido 100%",IF(Y58&gt;0,"Aguardando transferência","Saiu saldo anterior a 09/09"))</f>
        <v>Aguardando transferência</v>
      </c>
      <c r="AC58" s="82" t="n">
        <f aca="false">COUNTIFS('3 Base Entrada 2008'!$F$2:$F$5000,"&gt;="&amp;$F$5,'3 Base Entrada 2008'!$F$2:$F$5000,"&lt;="&amp;$H$5,'3 Base Entrada 2008'!$B$2:$B$5000,$T58,'3 Base Entrada 2008'!$C$2:$C$5000,$AG58)</f>
        <v>7</v>
      </c>
      <c r="AD58" s="82" t="n">
        <f aca="false">_xlfn.MINIFS('3 Base Entrada 2008'!$F$2:$F$5000,'3 Base Entrada 2008'!$F$2:$F$5000,"&gt;="&amp;$F$5,'3 Base Entrada 2008'!$F$2:$F$5000,"&lt;="&amp;$H$5,'3 Base Entrada 2008'!$B$2:$B$5000,$T58,'3 Base Entrada 2008'!$C$2:$C$5000,$AG58)</f>
        <v>46275</v>
      </c>
      <c r="AE58" s="82" t="n">
        <f aca="false">_xlfn.MAXIFS('3 Base Entrada 2008'!$F$2:$F$5000,'3 Base Entrada 2008'!$F$2:$F$5000,"&gt;="&amp;$F$5,'3 Base Entrada 2008'!$F$2:$F$5000,"&lt;="&amp;$H$5,'3 Base Entrada 2008'!$B$2:$B$5000,$T58,'3 Base Entrada 2008'!$C$2:$C$5000,$AG58)</f>
        <v>46289</v>
      </c>
      <c r="AF58" s="82" t="s">
        <v>1113</v>
      </c>
      <c r="AG58" s="82" t="s">
        <v>253</v>
      </c>
      <c r="AH58" s="82" t="n">
        <f aca="false">IF(AND(Z58=1,Y58&gt;$R$5),Y58+ROW()/10000000,0)</f>
        <v>960.0000058</v>
      </c>
      <c r="AO58" s="82" t="s">
        <v>1771</v>
      </c>
      <c r="AP58" s="120" t="n">
        <v>46292</v>
      </c>
      <c r="AQ58" s="82" t="n">
        <f aca="false">IF(AND(AP58&gt;=$F$5,AP58&lt;=$H$5),SUMIFS('3 Base Entrada 2008'!$G$2:$G$5000,'3 Base Entrada 2008'!$F$2:$F$5000,$AP58,'3 Base Entrada 2008'!$B$2:$B$5000,$R$1,'3 Base Entrada 2008'!$C$2:$C$5000,$R$2,'3 Base Entrada 2008'!$H$2:$H$5000,$R$3,'3 Base Entrada 2008'!$K$2:$K$5000,"Recebido no 2008"),0)</f>
        <v>0</v>
      </c>
      <c r="AR58" s="82" t="n">
        <f aca="false">IF(AND(AP58&gt;=$F$5,AP58&lt;=$H$5),SUMIFS('3 Base Entrada 2008'!$G$2:$G$5000,'3 Base Entrada 2008'!$F$2:$F$5000,$AP58,'3 Base Entrada 2008'!$B$2:$B$5000,$R$1,'3 Base Entrada 2008'!$C$2:$C$5000,$R$2,'3 Base Entrada 2008'!$H$2:$H$5000,$R$3,'3 Base Entrada 2008'!$K$2:$K$5000,"Entrada")+SUMIFS('3 Base Entrada 2008'!$G$2:$G$5000,'3 Base Entrada 2008'!$F$2:$F$5000,$AP58,'3 Base Entrada 2008'!$B$2:$B$5000,$R$1,'3 Base Entrada 2008'!$C$2:$C$5000,$R$2,'3 Base Entrada 2008'!$H$2:$H$5000,$R$3,'3 Base Entrada 2008'!$K$2:$K$5000,"Estorno"),0)</f>
        <v>0</v>
      </c>
      <c r="AV58" s="0" t="str">
        <f aca="false">IFERROR(INDEX($AX$1:$AX$94,MATCH(57,$AY$1:$AY$94,0)),"")</f>
        <v>260600103</v>
      </c>
      <c r="AW58" s="82" t="s">
        <v>269</v>
      </c>
      <c r="AX58" s="82" t="s">
        <v>270</v>
      </c>
      <c r="AY58" s="82" t="n">
        <f aca="false">IF(OR($A$5="Todos",AW58=$A$5),MAX(AY$1:AY57)+1,0)</f>
        <v>58</v>
      </c>
      <c r="BA58" s="82" t="n">
        <f aca="false">SUMIFS('3 Base Saldo Inicial 08-09'!$E$2:$E$5000,'3 Base Saldo Inicial 08-09'!$A$2:$A$5000,$T58,'3 Base Saldo Inicial 08-09'!$B$2:$B$5000,$AG58,'3 Base Saldo Inicial 08-09'!$C$2:$C$5000,"2008")</f>
        <v>0</v>
      </c>
    </row>
    <row r="59" customFormat="false" ht="15" hidden="false" customHeight="false" outlineLevel="0" collapsed="false">
      <c r="A59" s="111" t="str">
        <f aca="false">IF(IFERROR(MATCH(46,$AA$40:$AA$133,0),0)=0,"",INDEX($T$40:$T$133,IFERROR(MATCH(46,$AA$40:$AA$133,0),0)))</f>
        <v>CHM-TS-22351E0-999</v>
      </c>
      <c r="B59" s="111" t="str">
        <f aca="false">IF(IFERROR(MATCH(46,$AA$40:$AA$133,0),0)=0,"",INDEX($AG$40:$AG$133,IFERROR(MATCH(46,$AA$40:$AA$133,0),0)))</f>
        <v>2526050307</v>
      </c>
      <c r="C59" s="112" t="str">
        <f aca="false">IF(IFERROR(MATCH(46,$AA$40:$AA$133,0),0)=0,"",INDEX($U$40:$U$133,IFERROR(MATCH(46,$AA$40:$AA$133,0),0)))</f>
        <v>KG</v>
      </c>
      <c r="D59" s="113" t="n">
        <f aca="false">IF(IFERROR(MATCH(46,$AA$40:$AA$133,0),0)=0,"",INDEX($V$40:$V$133,IFERROR(MATCH(46,$AA$40:$AA$133,0),0)))</f>
        <v>0</v>
      </c>
      <c r="E59" s="113" t="n">
        <f aca="false">IF(IFERROR(MATCH(46,$AA$40:$AA$133,0),0)=0,"",INDEX($W$40:$W$133,IFERROR(MATCH(46,$AA$40:$AA$133,0),0)))</f>
        <v>295.12</v>
      </c>
      <c r="F59" s="113" t="n">
        <f aca="false">IF(IFERROR(MATCH(46,$AA$40:$AA$133,0),0)=0,"",INDEX($X$40:$X$133,IFERROR(MATCH(46,$AA$40:$AA$133,0),0)))</f>
        <v>0</v>
      </c>
      <c r="G59" s="114" t="n">
        <f aca="false">IF(IFERROR(MATCH(46,$AA$40:$AA$133,0),0)=0,"",INDEX($Y$40:$Y$133,IFERROR(MATCH(46,$AA$40:$AA$133,0),0)))</f>
        <v>-295.12</v>
      </c>
      <c r="H59" s="145" t="str">
        <f aca="false">IF(A59="","",IF(D59&gt;0,(E59-F59)/D59,""))</f>
        <v/>
      </c>
      <c r="I59" s="115" t="str">
        <f aca="false">IF(IFERROR(MATCH(46,$AA$40:$AA$133,0),0)=0,"",INDEX($AB$40:$AB$133,IFERROR(MATCH(46,$AA$40:$AA$133,0),0)))</f>
        <v>Saiu saldo anterior a 09/09</v>
      </c>
      <c r="J59" s="116" t="n">
        <f aca="false">IF(IFERROR(MATCH(46,$AA$40:$AA$133,0),0)=0,"",INDEX($AC$40:$AC$133,IFERROR(MATCH(46,$AA$40:$AA$133,0),0)))</f>
        <v>1</v>
      </c>
      <c r="K59" s="117" t="n">
        <f aca="false">IF(IFERROR(MATCH(46,$AA$40:$AA$133,0),0)=0,"",IF(INDEX($AD$40:$AD$133,IFERROR(MATCH(46,$AA$40:$AA$133,0),0))=0,"",INDEX($AD$40:$AD$133,IFERROR(MATCH(46,$AA$40:$AA$133,0),0))))</f>
        <v>46274</v>
      </c>
      <c r="L59" s="117" t="n">
        <f aca="false">IF(IFERROR(MATCH(46,$AA$40:$AA$133,0),0)=0,"",IF(INDEX($AE$40:$AE$133,IFERROR(MATCH(46,$AA$40:$AA$133,0),0))=0,"",INDEX($AE$40:$AE$133,IFERROR(MATCH(46,$AA$40:$AA$133,0),0))))</f>
        <v>46274</v>
      </c>
      <c r="M59" s="119" t="str">
        <f aca="false">IF(IFERROR(MATCH(46,$AA$40:$AA$133,0),0)=0,"",INDEX($AF$40:$AF$133,IFERROR(MATCH(46,$AA$40:$AA$133,0),0))&amp;"")</f>
        <v/>
      </c>
      <c r="N59" s="118" t="str">
        <f aca="false">IF(A59="","",IF(I59="Aguardando transferência","Transferir "&amp;FIXED(G59,1)&amp;" "&amp;C59&amp;" do 2008 para o ZBR (verificar se já há OT aberta)",IF(I59="Transferido 100%","Nada a fazer","Sem ação: saíram "&amp;FIXED(-G59,1)&amp;" "&amp;C59&amp;" que já estavam no 2008 antes de 09/09 (conferir só se não havia saldo)")))</f>
        <v>Sem ação: saíram 295.1 KG que já estavam no 2008 antes de 09/09 (conferir só se não havia saldo)</v>
      </c>
      <c r="O59" s="1"/>
      <c r="T59" s="82" t="s">
        <v>286</v>
      </c>
      <c r="U59" s="82" t="s">
        <v>147</v>
      </c>
      <c r="V59" s="82" t="n">
        <f aca="false">SUMIFS('3 Base Entrada 2008'!$G$2:$G$5000,'3 Base Entrada 2008'!$F$2:$F$5000,"&gt;="&amp;$F$5,'3 Base Entrada 2008'!$F$2:$F$5000,"&lt;="&amp;$H$5,'3 Base Entrada 2008'!$B$2:$B$5000,$T59,'3 Base Entrada 2008'!$C$2:$C$5000,$AG59,'3 Base Entrada 2008'!$K$2:$K$5000,"Recebido no 2008")</f>
        <v>900</v>
      </c>
      <c r="W59" s="82" t="n">
        <f aca="false">-SUMIFS('3 Base Entrada 2008'!$G$2:$G$5000,'3 Base Entrada 2008'!$F$2:$F$5000,"&gt;="&amp;$F$5,'3 Base Entrada 2008'!$F$2:$F$5000,"&lt;="&amp;$H$5,'3 Base Entrada 2008'!$B$2:$B$5000,$T59,'3 Base Entrada 2008'!$C$2:$C$5000,$AG59,'3 Base Entrada 2008'!$K$2:$K$5000,"Entrada")</f>
        <v>-0</v>
      </c>
      <c r="X59" s="82" t="n">
        <f aca="false">SUMIFS('3 Base Entrada 2008'!$G$2:$G$5000,'3 Base Entrada 2008'!$F$2:$F$5000,"&gt;="&amp;$F$5,'3 Base Entrada 2008'!$F$2:$F$5000,"&lt;="&amp;$H$5,'3 Base Entrada 2008'!$B$2:$B$5000,$T59,'3 Base Entrada 2008'!$C$2:$C$5000,$AG59,'3 Base Entrada 2008'!$K$2:$K$5000,"Estorno")</f>
        <v>0</v>
      </c>
      <c r="Y59" s="82" t="n">
        <f aca="false">ROUND(BA59+V59-W59+X59,3)</f>
        <v>900</v>
      </c>
      <c r="Z59" s="82" t="n">
        <f aca="false">IF(AND(U59=$R$3,OR($R$1="*",T59=$R$1),OR($R$2="*",AG59=$R$2),OR($K$5="Todas",AB59=$K$5),ABS(V59)+ABS(W59)+ABS(X59)&gt;0),1,0)</f>
        <v>0</v>
      </c>
      <c r="AA59" s="0" t="str">
        <f aca="false">IF(Z59=1,SUM(Z$40:Z59),"")</f>
        <v/>
      </c>
      <c r="AB59" s="0" t="str">
        <f aca="false">IF(ABS(Y59)&lt;=$R$5,"Transferido 100%",IF(Y59&gt;0,"Aguardando transferência","Saiu saldo anterior a 09/09"))</f>
        <v>Aguardando transferência</v>
      </c>
      <c r="AC59" s="82" t="n">
        <f aca="false">COUNTIFS('3 Base Entrada 2008'!$F$2:$F$5000,"&gt;="&amp;$F$5,'3 Base Entrada 2008'!$F$2:$F$5000,"&lt;="&amp;$H$5,'3 Base Entrada 2008'!$B$2:$B$5000,$T59,'3 Base Entrada 2008'!$C$2:$C$5000,$AG59)</f>
        <v>2</v>
      </c>
      <c r="AD59" s="82" t="n">
        <f aca="false">_xlfn.MINIFS('3 Base Entrada 2008'!$F$2:$F$5000,'3 Base Entrada 2008'!$F$2:$F$5000,"&gt;="&amp;$F$5,'3 Base Entrada 2008'!$F$2:$F$5000,"&lt;="&amp;$H$5,'3 Base Entrada 2008'!$B$2:$B$5000,$T59,'3 Base Entrada 2008'!$C$2:$C$5000,$AG59)</f>
        <v>46275</v>
      </c>
      <c r="AE59" s="82" t="n">
        <f aca="false">_xlfn.MAXIFS('3 Base Entrada 2008'!$F$2:$F$5000,'3 Base Entrada 2008'!$F$2:$F$5000,"&gt;="&amp;$F$5,'3 Base Entrada 2008'!$F$2:$F$5000,"&lt;="&amp;$H$5,'3 Base Entrada 2008'!$B$2:$B$5000,$T59,'3 Base Entrada 2008'!$C$2:$C$5000,$AG59)</f>
        <v>46275</v>
      </c>
      <c r="AF59" s="82" t="s">
        <v>1354</v>
      </c>
      <c r="AG59" s="82" t="s">
        <v>382</v>
      </c>
      <c r="AH59" s="82" t="n">
        <f aca="false">IF(AND(Z59=1,Y59&gt;$R$5),Y59+ROW()/10000000,0)</f>
        <v>0</v>
      </c>
      <c r="AO59" s="82" t="s">
        <v>1772</v>
      </c>
      <c r="AP59" s="120" t="n">
        <v>46293</v>
      </c>
      <c r="AQ59" s="82" t="n">
        <f aca="false">IF(AND(AP59&gt;=$F$5,AP59&lt;=$H$5),SUMIFS('3 Base Entrada 2008'!$G$2:$G$5000,'3 Base Entrada 2008'!$F$2:$F$5000,$AP59,'3 Base Entrada 2008'!$B$2:$B$5000,$R$1,'3 Base Entrada 2008'!$C$2:$C$5000,$R$2,'3 Base Entrada 2008'!$H$2:$H$5000,$R$3,'3 Base Entrada 2008'!$K$2:$K$5000,"Recebido no 2008"),0)</f>
        <v>0</v>
      </c>
      <c r="AR59" s="82" t="n">
        <f aca="false">IF(AND(AP59&gt;=$F$5,AP59&lt;=$H$5),SUMIFS('3 Base Entrada 2008'!$G$2:$G$5000,'3 Base Entrada 2008'!$F$2:$F$5000,$AP59,'3 Base Entrada 2008'!$B$2:$B$5000,$R$1,'3 Base Entrada 2008'!$C$2:$C$5000,$R$2,'3 Base Entrada 2008'!$H$2:$H$5000,$R$3,'3 Base Entrada 2008'!$K$2:$K$5000,"Entrada")+SUMIFS('3 Base Entrada 2008'!$G$2:$G$5000,'3 Base Entrada 2008'!$F$2:$F$5000,$AP59,'3 Base Entrada 2008'!$B$2:$B$5000,$R$1,'3 Base Entrada 2008'!$C$2:$C$5000,$R$2,'3 Base Entrada 2008'!$H$2:$H$5000,$R$3,'3 Base Entrada 2008'!$K$2:$K$5000,"Estorno"),0)</f>
        <v>-7172.8</v>
      </c>
      <c r="AV59" s="0" t="str">
        <f aca="false">IFERROR(INDEX($AX$1:$AX$94,MATCH(58,$AY$1:$AY$94,0)),"")</f>
        <v>252843369</v>
      </c>
      <c r="AW59" s="82" t="s">
        <v>271</v>
      </c>
      <c r="AX59" s="82" t="s">
        <v>272</v>
      </c>
      <c r="AY59" s="82" t="n">
        <f aca="false">IF(OR($A$5="Todos",AW59=$A$5),MAX(AY$1:AY58)+1,0)</f>
        <v>59</v>
      </c>
      <c r="BA59" s="82" t="n">
        <f aca="false">SUMIFS('3 Base Saldo Inicial 08-09'!$E$2:$E$5000,'3 Base Saldo Inicial 08-09'!$A$2:$A$5000,$T59,'3 Base Saldo Inicial 08-09'!$B$2:$B$5000,$AG59,'3 Base Saldo Inicial 08-09'!$C$2:$C$5000,"2008")</f>
        <v>0</v>
      </c>
    </row>
    <row r="60" customFormat="false" ht="15" hidden="false" customHeight="false" outlineLevel="0" collapsed="false">
      <c r="A60" s="111" t="str">
        <f aca="false">IF(IFERROR(MATCH(47,$AA$40:$AA$133,0),0)=0,"",INDEX($T$40:$T$133,IFERROR(MATCH(47,$AA$40:$AA$133,0),0)))</f>
        <v>805-BR-D94</v>
      </c>
      <c r="B60" s="111" t="str">
        <f aca="false">IF(IFERROR(MATCH(47,$AA$40:$AA$133,0),0)=0,"",INDEX($AG$40:$AG$133,IFERROR(MATCH(47,$AA$40:$AA$133,0),0)))</f>
        <v>251633359</v>
      </c>
      <c r="C60" s="112" t="str">
        <f aca="false">IF(IFERROR(MATCH(47,$AA$40:$AA$133,0),0)=0,"",INDEX($U$40:$U$133,IFERROR(MATCH(47,$AA$40:$AA$133,0),0)))</f>
        <v>KG</v>
      </c>
      <c r="D60" s="113" t="n">
        <f aca="false">IF(IFERROR(MATCH(47,$AA$40:$AA$133,0),0)=0,"",INDEX($V$40:$V$133,IFERROR(MATCH(47,$AA$40:$AA$133,0),0)))</f>
        <v>0</v>
      </c>
      <c r="E60" s="113" t="n">
        <f aca="false">IF(IFERROR(MATCH(47,$AA$40:$AA$133,0),0)=0,"",INDEX($W$40:$W$133,IFERROR(MATCH(47,$AA$40:$AA$133,0),0)))</f>
        <v>313.6</v>
      </c>
      <c r="F60" s="113" t="n">
        <f aca="false">IF(IFERROR(MATCH(47,$AA$40:$AA$133,0),0)=0,"",INDEX($X$40:$X$133,IFERROR(MATCH(47,$AA$40:$AA$133,0),0)))</f>
        <v>0</v>
      </c>
      <c r="G60" s="114" t="n">
        <f aca="false">IF(IFERROR(MATCH(47,$AA$40:$AA$133,0),0)=0,"",INDEX($Y$40:$Y$133,IFERROR(MATCH(47,$AA$40:$AA$133,0),0)))</f>
        <v>-313.6</v>
      </c>
      <c r="H60" s="145" t="str">
        <f aca="false">IF(A60="","",IF(D60&gt;0,(E60-F60)/D60,""))</f>
        <v/>
      </c>
      <c r="I60" s="115" t="str">
        <f aca="false">IF(IFERROR(MATCH(47,$AA$40:$AA$133,0),0)=0,"",INDEX($AB$40:$AB$133,IFERROR(MATCH(47,$AA$40:$AA$133,0),0)))</f>
        <v>Saiu saldo anterior a 09/09</v>
      </c>
      <c r="J60" s="116" t="n">
        <f aca="false">IF(IFERROR(MATCH(47,$AA$40:$AA$133,0),0)=0,"",INDEX($AC$40:$AC$133,IFERROR(MATCH(47,$AA$40:$AA$133,0),0)))</f>
        <v>1</v>
      </c>
      <c r="K60" s="117" t="n">
        <f aca="false">IF(IFERROR(MATCH(47,$AA$40:$AA$133,0),0)=0,"",IF(INDEX($AD$40:$AD$133,IFERROR(MATCH(47,$AA$40:$AA$133,0),0))=0,"",INDEX($AD$40:$AD$133,IFERROR(MATCH(47,$AA$40:$AA$133,0),0))))</f>
        <v>46294</v>
      </c>
      <c r="L60" s="117" t="n">
        <f aca="false">IF(IFERROR(MATCH(47,$AA$40:$AA$133,0),0)=0,"",IF(INDEX($AE$40:$AE$133,IFERROR(MATCH(47,$AA$40:$AA$133,0),0))=0,"",INDEX($AE$40:$AE$133,IFERROR(MATCH(47,$AA$40:$AA$133,0),0))))</f>
        <v>46294</v>
      </c>
      <c r="M60" s="119" t="str">
        <f aca="false">IF(IFERROR(MATCH(47,$AA$40:$AA$133,0),0)=0,"",INDEX($AF$40:$AF$133,IFERROR(MATCH(47,$AA$40:$AA$133,0),0))&amp;"")</f>
        <v>CA MOEDAS 0,4KG/UC 7UC/CX 144CX/PAL</v>
      </c>
      <c r="N60" s="118" t="str">
        <f aca="false">IF(A60="","",IF(I60="Aguardando transferência","Transferir "&amp;FIXED(G60,1)&amp;" "&amp;C60&amp;" do 2008 para o ZBR (verificar se já há OT aberta)",IF(I60="Transferido 100%","Nada a fazer","Sem ação: saíram "&amp;FIXED(-G60,1)&amp;" "&amp;C60&amp;" que já estavam no 2008 antes de 09/09 (conferir só se não havia saldo)")))</f>
        <v>Sem ação: saíram 313.6 KG que já estavam no 2008 antes de 09/09 (conferir só se não havia saldo)</v>
      </c>
      <c r="O60" s="1"/>
      <c r="T60" s="82" t="s">
        <v>338</v>
      </c>
      <c r="U60" s="82" t="s">
        <v>65</v>
      </c>
      <c r="V60" s="82" t="n">
        <f aca="false">SUMIFS('3 Base Entrada 2008'!$G$2:$G$5000,'3 Base Entrada 2008'!$F$2:$F$5000,"&gt;="&amp;$F$5,'3 Base Entrada 2008'!$F$2:$F$5000,"&lt;="&amp;$H$5,'3 Base Entrada 2008'!$B$2:$B$5000,$T60,'3 Base Entrada 2008'!$C$2:$C$5000,$AG60,'3 Base Entrada 2008'!$K$2:$K$5000,"Recebido no 2008")</f>
        <v>798</v>
      </c>
      <c r="W60" s="82" t="n">
        <f aca="false">-SUMIFS('3 Base Entrada 2008'!$G$2:$G$5000,'3 Base Entrada 2008'!$F$2:$F$5000,"&gt;="&amp;$F$5,'3 Base Entrada 2008'!$F$2:$F$5000,"&lt;="&amp;$H$5,'3 Base Entrada 2008'!$B$2:$B$5000,$T60,'3 Base Entrada 2008'!$C$2:$C$5000,$AG60,'3 Base Entrada 2008'!$K$2:$K$5000,"Entrada")</f>
        <v>-0</v>
      </c>
      <c r="X60" s="82" t="n">
        <f aca="false">SUMIFS('3 Base Entrada 2008'!$G$2:$G$5000,'3 Base Entrada 2008'!$F$2:$F$5000,"&gt;="&amp;$F$5,'3 Base Entrada 2008'!$F$2:$F$5000,"&lt;="&amp;$H$5,'3 Base Entrada 2008'!$B$2:$B$5000,$T60,'3 Base Entrada 2008'!$C$2:$C$5000,$AG60,'3 Base Entrada 2008'!$K$2:$K$5000,"Estorno")</f>
        <v>0</v>
      </c>
      <c r="Y60" s="82" t="n">
        <f aca="false">ROUND(BA60+V60-W60+X60,3)</f>
        <v>798</v>
      </c>
      <c r="Z60" s="82" t="n">
        <f aca="false">IF(AND(U60=$R$3,OR($R$1="*",T60=$R$1),OR($R$2="*",AG60=$R$2),OR($K$5="Todas",AB60=$K$5),ABS(V60)+ABS(W60)+ABS(X60)&gt;0),1,0)</f>
        <v>1</v>
      </c>
      <c r="AA60" s="82" t="n">
        <f aca="false">IF(Z60=1,SUM(Z$40:Z60),"")</f>
        <v>20</v>
      </c>
      <c r="AB60" s="0" t="str">
        <f aca="false">IF(ABS(Y60)&lt;=$R$5,"Transferido 100%",IF(Y60&gt;0,"Aguardando transferência","Saiu saldo anterior a 09/09"))</f>
        <v>Aguardando transferência</v>
      </c>
      <c r="AC60" s="82" t="n">
        <f aca="false">COUNTIFS('3 Base Entrada 2008'!$F$2:$F$5000,"&gt;="&amp;$F$5,'3 Base Entrada 2008'!$F$2:$F$5000,"&lt;="&amp;$H$5,'3 Base Entrada 2008'!$B$2:$B$5000,$T60,'3 Base Entrada 2008'!$C$2:$C$5000,$AG60)</f>
        <v>1</v>
      </c>
      <c r="AD60" s="82" t="n">
        <f aca="false">_xlfn.MINIFS('3 Base Entrada 2008'!$F$2:$F$5000,'3 Base Entrada 2008'!$F$2:$F$5000,"&gt;="&amp;$F$5,'3 Base Entrada 2008'!$F$2:$F$5000,"&lt;="&amp;$H$5,'3 Base Entrada 2008'!$B$2:$B$5000,$T60,'3 Base Entrada 2008'!$C$2:$C$5000,$AG60)</f>
        <v>46275</v>
      </c>
      <c r="AE60" s="82" t="n">
        <f aca="false">_xlfn.MAXIFS('3 Base Entrada 2008'!$F$2:$F$5000,'3 Base Entrada 2008'!$F$2:$F$5000,"&gt;="&amp;$F$5,'3 Base Entrada 2008'!$F$2:$F$5000,"&lt;="&amp;$H$5,'3 Base Entrada 2008'!$B$2:$B$5000,$T60,'3 Base Entrada 2008'!$C$2:$C$5000,$AG60)</f>
        <v>46275</v>
      </c>
      <c r="AG60" s="82" t="s">
        <v>340</v>
      </c>
      <c r="AH60" s="82" t="n">
        <f aca="false">IF(AND(Z60=1,Y60&gt;$R$5),Y60+ROW()/10000000,0)</f>
        <v>798.000006</v>
      </c>
      <c r="AO60" s="82" t="s">
        <v>1773</v>
      </c>
      <c r="AP60" s="120" t="n">
        <v>46294</v>
      </c>
      <c r="AQ60" s="82" t="n">
        <f aca="false">IF(AND(AP60&gt;=$F$5,AP60&lt;=$H$5),SUMIFS('3 Base Entrada 2008'!$G$2:$G$5000,'3 Base Entrada 2008'!$F$2:$F$5000,$AP60,'3 Base Entrada 2008'!$B$2:$B$5000,$R$1,'3 Base Entrada 2008'!$C$2:$C$5000,$R$2,'3 Base Entrada 2008'!$H$2:$H$5000,$R$3,'3 Base Entrada 2008'!$K$2:$K$5000,"Recebido no 2008"),0)</f>
        <v>0</v>
      </c>
      <c r="AR60" s="82" t="n">
        <f aca="false">IF(AND(AP60&gt;=$F$5,AP60&lt;=$H$5),SUMIFS('3 Base Entrada 2008'!$G$2:$G$5000,'3 Base Entrada 2008'!$F$2:$F$5000,$AP60,'3 Base Entrada 2008'!$B$2:$B$5000,$R$1,'3 Base Entrada 2008'!$C$2:$C$5000,$R$2,'3 Base Entrada 2008'!$H$2:$H$5000,$R$3,'3 Base Entrada 2008'!$K$2:$K$5000,"Entrada")+SUMIFS('3 Base Entrada 2008'!$G$2:$G$5000,'3 Base Entrada 2008'!$F$2:$F$5000,$AP60,'3 Base Entrada 2008'!$B$2:$B$5000,$R$1,'3 Base Entrada 2008'!$C$2:$C$5000,$R$2,'3 Base Entrada 2008'!$H$2:$H$5000,$R$3,'3 Base Entrada 2008'!$K$2:$K$5000,"Estorno"),0)</f>
        <v>-15789.3</v>
      </c>
      <c r="AV60" s="0" t="str">
        <f aca="false">IFERROR(INDEX($AX$1:$AX$94,MATCH(59,$AY$1:$AY$94,0)),"")</f>
        <v>261320202</v>
      </c>
      <c r="AW60" s="82" t="s">
        <v>271</v>
      </c>
      <c r="AX60" s="82" t="s">
        <v>273</v>
      </c>
      <c r="AY60" s="82" t="n">
        <f aca="false">IF(OR($A$5="Todos",AW60=$A$5),MAX(AY$1:AY59)+1,0)</f>
        <v>60</v>
      </c>
      <c r="BA60" s="82" t="n">
        <f aca="false">SUMIFS('3 Base Saldo Inicial 08-09'!$E$2:$E$5000,'3 Base Saldo Inicial 08-09'!$A$2:$A$5000,$T60,'3 Base Saldo Inicial 08-09'!$B$2:$B$5000,$AG60,'3 Base Saldo Inicial 08-09'!$C$2:$C$5000,"2008")</f>
        <v>0</v>
      </c>
    </row>
    <row r="61" customFormat="false" ht="15" hidden="false" customHeight="false" outlineLevel="0" collapsed="false">
      <c r="A61" s="111" t="str">
        <f aca="false">IF(IFERROR(MATCH(48,$AA$40:$AA$133,0),0)=0,"",INDEX($T$40:$T$133,IFERROR(MATCH(48,$AA$40:$AA$133,0),0)))</f>
        <v>CHR-Q37RB2-2B-U75</v>
      </c>
      <c r="B61" s="111" t="str">
        <f aca="false">IF(IFERROR(MATCH(48,$AA$40:$AA$133,0),0)=0,"",INDEX($AG$40:$AG$133,IFERROR(MATCH(48,$AA$40:$AA$133,0),0)))</f>
        <v>261320203</v>
      </c>
      <c r="C61" s="112" t="str">
        <f aca="false">IF(IFERROR(MATCH(48,$AA$40:$AA$133,0),0)=0,"",INDEX($U$40:$U$133,IFERROR(MATCH(48,$AA$40:$AA$133,0),0)))</f>
        <v>KG</v>
      </c>
      <c r="D61" s="113" t="n">
        <f aca="false">IF(IFERROR(MATCH(48,$AA$40:$AA$133,0),0)=0,"",INDEX($V$40:$V$133,IFERROR(MATCH(48,$AA$40:$AA$133,0),0)))</f>
        <v>840</v>
      </c>
      <c r="E61" s="113" t="n">
        <f aca="false">IF(IFERROR(MATCH(48,$AA$40:$AA$133,0),0)=0,"",INDEX($W$40:$W$133,IFERROR(MATCH(48,$AA$40:$AA$133,0),0)))</f>
        <v>1200</v>
      </c>
      <c r="F61" s="113" t="n">
        <f aca="false">IF(IFERROR(MATCH(48,$AA$40:$AA$133,0),0)=0,"",INDEX($X$40:$X$133,IFERROR(MATCH(48,$AA$40:$AA$133,0),0)))</f>
        <v>0</v>
      </c>
      <c r="G61" s="114" t="n">
        <f aca="false">IF(IFERROR(MATCH(48,$AA$40:$AA$133,0),0)=0,"",INDEX($Y$40:$Y$133,IFERROR(MATCH(48,$AA$40:$AA$133,0),0)))</f>
        <v>-360</v>
      </c>
      <c r="H61" s="145" t="n">
        <f aca="false">IF(A61="","",IF(D61&gt;0,(E61-F61)/D61,""))</f>
        <v>1.42857142857143</v>
      </c>
      <c r="I61" s="115" t="str">
        <f aca="false">IF(IFERROR(MATCH(48,$AA$40:$AA$133,0),0)=0,"",INDEX($AB$40:$AB$133,IFERROR(MATCH(48,$AA$40:$AA$133,0),0)))</f>
        <v>Saiu saldo anterior a 09/09</v>
      </c>
      <c r="J61" s="116" t="n">
        <f aca="false">IF(IFERROR(MATCH(48,$AA$40:$AA$133,0),0)=0,"",INDEX($AC$40:$AC$133,IFERROR(MATCH(48,$AA$40:$AA$133,0),0)))</f>
        <v>2</v>
      </c>
      <c r="K61" s="117" t="n">
        <f aca="false">IF(IFERROR(MATCH(48,$AA$40:$AA$133,0),0)=0,"",IF(INDEX($AD$40:$AD$133,IFERROR(MATCH(48,$AA$40:$AA$133,0),0))=0,"",INDEX($AD$40:$AD$133,IFERROR(MATCH(48,$AA$40:$AA$133,0),0))))</f>
        <v>46275</v>
      </c>
      <c r="L61" s="117" t="n">
        <f aca="false">IF(IFERROR(MATCH(48,$AA$40:$AA$133,0),0)=0,"",IF(INDEX($AE$40:$AE$133,IFERROR(MATCH(48,$AA$40:$AA$133,0),0))=0,"",INDEX($AE$40:$AE$133,IFERROR(MATCH(48,$AA$40:$AA$133,0),0))))</f>
        <v>46293</v>
      </c>
      <c r="M61" s="119" t="str">
        <f aca="false">IF(IFERROR(MATCH(48,$AA$40:$AA$133,0),0)=0,"",INDEX($AF$40:$AF$133,IFERROR(MATCH(48,$AA$40:$AA$133,0),0))&amp;"")</f>
        <v>CA RUBY CALLETS 2.5KG/UC 4UC/BOX</v>
      </c>
      <c r="N61" s="118" t="str">
        <f aca="false">IF(A61="","",IF(I61="Aguardando transferência","Transferir "&amp;FIXED(G61,1)&amp;" "&amp;C61&amp;" do 2008 para o ZBR (verificar se já há OT aberta)",IF(I61="Transferido 100%","Nada a fazer","Sem ação: saíram "&amp;FIXED(-G61,1)&amp;" "&amp;C61&amp;" que já estavam no 2008 antes de 09/09 (conferir só se não havia saldo)")))</f>
        <v>Sem ação: saíram 360.0 KG que já estavam no 2008 antes de 09/09 (conferir só se não havia saldo)</v>
      </c>
      <c r="O61" s="1"/>
      <c r="T61" s="82" t="s">
        <v>351</v>
      </c>
      <c r="U61" s="82" t="s">
        <v>65</v>
      </c>
      <c r="V61" s="82" t="n">
        <f aca="false">SUMIFS('3 Base Entrada 2008'!$G$2:$G$5000,'3 Base Entrada 2008'!$F$2:$F$5000,"&gt;="&amp;$F$5,'3 Base Entrada 2008'!$F$2:$F$5000,"&lt;="&amp;$H$5,'3 Base Entrada 2008'!$B$2:$B$5000,$T61,'3 Base Entrada 2008'!$C$2:$C$5000,$AG61,'3 Base Entrada 2008'!$K$2:$K$5000,"Recebido no 2008")</f>
        <v>640</v>
      </c>
      <c r="W61" s="82" t="n">
        <f aca="false">-SUMIFS('3 Base Entrada 2008'!$G$2:$G$5000,'3 Base Entrada 2008'!$F$2:$F$5000,"&gt;="&amp;$F$5,'3 Base Entrada 2008'!$F$2:$F$5000,"&lt;="&amp;$H$5,'3 Base Entrada 2008'!$B$2:$B$5000,$T61,'3 Base Entrada 2008'!$C$2:$C$5000,$AG61,'3 Base Entrada 2008'!$K$2:$K$5000,"Entrada")</f>
        <v>-0</v>
      </c>
      <c r="X61" s="82" t="n">
        <f aca="false">SUMIFS('3 Base Entrada 2008'!$G$2:$G$5000,'3 Base Entrada 2008'!$F$2:$F$5000,"&gt;="&amp;$F$5,'3 Base Entrada 2008'!$F$2:$F$5000,"&lt;="&amp;$H$5,'3 Base Entrada 2008'!$B$2:$B$5000,$T61,'3 Base Entrada 2008'!$C$2:$C$5000,$AG61,'3 Base Entrada 2008'!$K$2:$K$5000,"Estorno")</f>
        <v>0</v>
      </c>
      <c r="Y61" s="82" t="n">
        <f aca="false">ROUND(BA61+V61-W61+X61,3)</f>
        <v>640</v>
      </c>
      <c r="Z61" s="82" t="n">
        <f aca="false">IF(AND(U61=$R$3,OR($R$1="*",T61=$R$1),OR($R$2="*",AG61=$R$2),OR($K$5="Todas",AB61=$K$5),ABS(V61)+ABS(W61)+ABS(X61)&gt;0),1,0)</f>
        <v>1</v>
      </c>
      <c r="AA61" s="82" t="n">
        <f aca="false">IF(Z61=1,SUM(Z$40:Z61),"")</f>
        <v>21</v>
      </c>
      <c r="AB61" s="0" t="str">
        <f aca="false">IF(ABS(Y61)&lt;=$R$5,"Transferido 100%",IF(Y61&gt;0,"Aguardando transferência","Saiu saldo anterior a 09/09"))</f>
        <v>Aguardando transferência</v>
      </c>
      <c r="AC61" s="82" t="n">
        <f aca="false">COUNTIFS('3 Base Entrada 2008'!$F$2:$F$5000,"&gt;="&amp;$F$5,'3 Base Entrada 2008'!$F$2:$F$5000,"&lt;="&amp;$H$5,'3 Base Entrada 2008'!$B$2:$B$5000,$T61,'3 Base Entrada 2008'!$C$2:$C$5000,$AG61)</f>
        <v>1</v>
      </c>
      <c r="AD61" s="82" t="n">
        <f aca="false">_xlfn.MINIFS('3 Base Entrada 2008'!$F$2:$F$5000,'3 Base Entrada 2008'!$F$2:$F$5000,"&gt;="&amp;$F$5,'3 Base Entrada 2008'!$F$2:$F$5000,"&lt;="&amp;$H$5,'3 Base Entrada 2008'!$B$2:$B$5000,$T61,'3 Base Entrada 2008'!$C$2:$C$5000,$AG61)</f>
        <v>46280</v>
      </c>
      <c r="AE61" s="82" t="n">
        <f aca="false">_xlfn.MAXIFS('3 Base Entrada 2008'!$F$2:$F$5000,'3 Base Entrada 2008'!$F$2:$F$5000,"&gt;="&amp;$F$5,'3 Base Entrada 2008'!$F$2:$F$5000,"&lt;="&amp;$H$5,'3 Base Entrada 2008'!$B$2:$B$5000,$T61,'3 Base Entrada 2008'!$C$2:$C$5000,$AG61)</f>
        <v>46280</v>
      </c>
      <c r="AG61" s="82" t="s">
        <v>352</v>
      </c>
      <c r="AH61" s="82" t="n">
        <f aca="false">IF(AND(Z61=1,Y61&gt;$R$5),Y61+ROW()/10000000,0)</f>
        <v>640.0000061</v>
      </c>
      <c r="AO61" s="82" t="s">
        <v>1774</v>
      </c>
      <c r="AP61" s="120" t="n">
        <v>46295</v>
      </c>
      <c r="AQ61" s="82" t="n">
        <f aca="false">IF(AND(AP61&gt;=$F$5,AP61&lt;=$H$5),SUMIFS('3 Base Entrada 2008'!$G$2:$G$5000,'3 Base Entrada 2008'!$F$2:$F$5000,$AP61,'3 Base Entrada 2008'!$B$2:$B$5000,$R$1,'3 Base Entrada 2008'!$C$2:$C$5000,$R$2,'3 Base Entrada 2008'!$H$2:$H$5000,$R$3,'3 Base Entrada 2008'!$K$2:$K$5000,"Recebido no 2008"),0)</f>
        <v>0</v>
      </c>
      <c r="AR61" s="82" t="n">
        <f aca="false">IF(AND(AP61&gt;=$F$5,AP61&lt;=$H$5),SUMIFS('3 Base Entrada 2008'!$G$2:$G$5000,'3 Base Entrada 2008'!$F$2:$F$5000,$AP61,'3 Base Entrada 2008'!$B$2:$B$5000,$R$1,'3 Base Entrada 2008'!$C$2:$C$5000,$R$2,'3 Base Entrada 2008'!$H$2:$H$5000,$R$3,'3 Base Entrada 2008'!$K$2:$K$5000,"Entrada")+SUMIFS('3 Base Entrada 2008'!$G$2:$G$5000,'3 Base Entrada 2008'!$F$2:$F$5000,$AP61,'3 Base Entrada 2008'!$B$2:$B$5000,$R$1,'3 Base Entrada 2008'!$C$2:$C$5000,$R$2,'3 Base Entrada 2008'!$H$2:$H$5000,$R$3,'3 Base Entrada 2008'!$K$2:$K$5000,"Estorno"),0)</f>
        <v>-1021.1</v>
      </c>
      <c r="AV61" s="0" t="str">
        <f aca="false">IFERROR(INDEX($AX$1:$AX$94,MATCH(60,$AY$1:$AY$94,0)),"")</f>
        <v>261320203</v>
      </c>
      <c r="AW61" s="82" t="s">
        <v>368</v>
      </c>
      <c r="AX61" s="82" t="s">
        <v>369</v>
      </c>
      <c r="AY61" s="82" t="n">
        <f aca="false">IF(OR($A$5="Todos",AW61=$A$5),MAX(AY$1:AY60)+1,0)</f>
        <v>61</v>
      </c>
      <c r="BA61" s="82" t="n">
        <f aca="false">SUMIFS('3 Base Saldo Inicial 08-09'!$E$2:$E$5000,'3 Base Saldo Inicial 08-09'!$A$2:$A$5000,$T61,'3 Base Saldo Inicial 08-09'!$B$2:$B$5000,$AG61,'3 Base Saldo Inicial 08-09'!$C$2:$C$5000,"2008")</f>
        <v>0</v>
      </c>
    </row>
    <row r="62" customFormat="false" ht="15" hidden="false" customHeight="false" outlineLevel="0" collapsed="false">
      <c r="A62" s="111" t="str">
        <f aca="false">IF(IFERROR(MATCH(49,$AA$40:$AA$133,0),0)=0,"",INDEX($T$40:$T$133,IFERROR(MATCH(49,$AA$40:$AA$133,0),0)))</f>
        <v>PRA-T14</v>
      </c>
      <c r="B62" s="111" t="str">
        <f aca="false">IF(IFERROR(MATCH(49,$AA$40:$AA$133,0),0)=0,"",INDEX($AG$40:$AG$133,IFERROR(MATCH(49,$AA$40:$AA$133,0),0)))</f>
        <v>2611895339</v>
      </c>
      <c r="C62" s="112" t="str">
        <f aca="false">IF(IFERROR(MATCH(49,$AA$40:$AA$133,0),0)=0,"",INDEX($U$40:$U$133,IFERROR(MATCH(49,$AA$40:$AA$133,0),0)))</f>
        <v>KG</v>
      </c>
      <c r="D62" s="113" t="n">
        <f aca="false">IF(IFERROR(MATCH(49,$AA$40:$AA$133,0),0)=0,"",INDEX($V$40:$V$133,IFERROR(MATCH(49,$AA$40:$AA$133,0),0)))</f>
        <v>0</v>
      </c>
      <c r="E62" s="113" t="n">
        <f aca="false">IF(IFERROR(MATCH(49,$AA$40:$AA$133,0),0)=0,"",INDEX($W$40:$W$133,IFERROR(MATCH(49,$AA$40:$AA$133,0),0)))</f>
        <v>440</v>
      </c>
      <c r="F62" s="113" t="n">
        <f aca="false">IF(IFERROR(MATCH(49,$AA$40:$AA$133,0),0)=0,"",INDEX($X$40:$X$133,IFERROR(MATCH(49,$AA$40:$AA$133,0),0)))</f>
        <v>40</v>
      </c>
      <c r="G62" s="114" t="n">
        <f aca="false">IF(IFERROR(MATCH(49,$AA$40:$AA$133,0),0)=0,"",INDEX($Y$40:$Y$133,IFERROR(MATCH(49,$AA$40:$AA$133,0),0)))</f>
        <v>-400</v>
      </c>
      <c r="H62" s="145" t="str">
        <f aca="false">IF(A62="","",IF(D62&gt;0,(E62-F62)/D62,""))</f>
        <v/>
      </c>
      <c r="I62" s="115" t="str">
        <f aca="false">IF(IFERROR(MATCH(49,$AA$40:$AA$133,0),0)=0,"",INDEX($AB$40:$AB$133,IFERROR(MATCH(49,$AA$40:$AA$133,0),0)))</f>
        <v>Saiu saldo anterior a 09/09</v>
      </c>
      <c r="J62" s="116" t="n">
        <f aca="false">IF(IFERROR(MATCH(49,$AA$40:$AA$133,0),0)=0,"",INDEX($AC$40:$AC$133,IFERROR(MATCH(49,$AA$40:$AA$133,0),0)))</f>
        <v>3</v>
      </c>
      <c r="K62" s="117" t="n">
        <f aca="false">IF(IFERROR(MATCH(49,$AA$40:$AA$133,0),0)=0,"",IF(INDEX($AD$40:$AD$133,IFERROR(MATCH(49,$AA$40:$AA$133,0),0))=0,"",INDEX($AD$40:$AD$133,IFERROR(MATCH(49,$AA$40:$AA$133,0),0))))</f>
        <v>46289</v>
      </c>
      <c r="L62" s="117" t="n">
        <f aca="false">IF(IFERROR(MATCH(49,$AA$40:$AA$133,0),0)=0,"",IF(INDEX($AE$40:$AE$133,IFERROR(MATCH(49,$AA$40:$AA$133,0),0))=0,"",INDEX($AE$40:$AE$133,IFERROR(MATCH(49,$AA$40:$AA$133,0),0))))</f>
        <v>46289</v>
      </c>
      <c r="M62" s="119" t="str">
        <f aca="false">IF(IFERROR(MATCH(49,$AA$40:$AA$133,0),0)=0,"",INDEX($AF$40:$AF$133,IFERROR(MATCH(49,$AA$40:$AA$133,0),0))&amp;"")</f>
        <v>CA 5KG/UC 2UC/BOX 50BOX/PAL</v>
      </c>
      <c r="N62" s="118" t="str">
        <f aca="false">IF(A62="","",IF(I62="Aguardando transferência","Transferir "&amp;FIXED(G62,1)&amp;" "&amp;C62&amp;" do 2008 para o ZBR (verificar se já há OT aberta)",IF(I62="Transferido 100%","Nada a fazer","Sem ação: saíram "&amp;FIXED(-G62,1)&amp;" "&amp;C62&amp;" que já estavam no 2008 antes de 09/09 (conferir só se não havia saldo)")))</f>
        <v>Sem ação: saíram 400.0 KG que já estavam no 2008 antes de 09/09 (conferir só se não havia saldo)</v>
      </c>
      <c r="O62" s="1"/>
      <c r="T62" s="82" t="s">
        <v>389</v>
      </c>
      <c r="U62" s="82" t="s">
        <v>65</v>
      </c>
      <c r="V62" s="82" t="n">
        <f aca="false">SUMIFS('3 Base Entrada 2008'!$G$2:$G$5000,'3 Base Entrada 2008'!$F$2:$F$5000,"&gt;="&amp;$F$5,'3 Base Entrada 2008'!$F$2:$F$5000,"&lt;="&amp;$H$5,'3 Base Entrada 2008'!$B$2:$B$5000,$T62,'3 Base Entrada 2008'!$C$2:$C$5000,$AG62,'3 Base Entrada 2008'!$K$2:$K$5000,"Recebido no 2008")</f>
        <v>638.4</v>
      </c>
      <c r="W62" s="82" t="n">
        <f aca="false">-SUMIFS('3 Base Entrada 2008'!$G$2:$G$5000,'3 Base Entrada 2008'!$F$2:$F$5000,"&gt;="&amp;$F$5,'3 Base Entrada 2008'!$F$2:$F$5000,"&lt;="&amp;$H$5,'3 Base Entrada 2008'!$B$2:$B$5000,$T62,'3 Base Entrada 2008'!$C$2:$C$5000,$AG62,'3 Base Entrada 2008'!$K$2:$K$5000,"Entrada")</f>
        <v>-0</v>
      </c>
      <c r="X62" s="82" t="n">
        <f aca="false">SUMIFS('3 Base Entrada 2008'!$G$2:$G$5000,'3 Base Entrada 2008'!$F$2:$F$5000,"&gt;="&amp;$F$5,'3 Base Entrada 2008'!$F$2:$F$5000,"&lt;="&amp;$H$5,'3 Base Entrada 2008'!$B$2:$B$5000,$T62,'3 Base Entrada 2008'!$C$2:$C$5000,$AG62,'3 Base Entrada 2008'!$K$2:$K$5000,"Estorno")</f>
        <v>0</v>
      </c>
      <c r="Y62" s="82" t="n">
        <f aca="false">ROUND(BA62+V62-W62+X62,3)</f>
        <v>638.4</v>
      </c>
      <c r="Z62" s="82" t="n">
        <f aca="false">IF(AND(U62=$R$3,OR($R$1="*",T62=$R$1),OR($R$2="*",AG62=$R$2),OR($K$5="Todas",AB62=$K$5),ABS(V62)+ABS(W62)+ABS(X62)&gt;0),1,0)</f>
        <v>1</v>
      </c>
      <c r="AA62" s="82" t="n">
        <f aca="false">IF(Z62=1,SUM(Z$40:Z62),"")</f>
        <v>22</v>
      </c>
      <c r="AB62" s="0" t="str">
        <f aca="false">IF(ABS(Y62)&lt;=$R$5,"Transferido 100%",IF(Y62&gt;0,"Aguardando transferência","Saiu saldo anterior a 09/09"))</f>
        <v>Aguardando transferência</v>
      </c>
      <c r="AC62" s="82" t="n">
        <f aca="false">COUNTIFS('3 Base Entrada 2008'!$F$2:$F$5000,"&gt;="&amp;$F$5,'3 Base Entrada 2008'!$F$2:$F$5000,"&lt;="&amp;$H$5,'3 Base Entrada 2008'!$B$2:$B$5000,$T62,'3 Base Entrada 2008'!$C$2:$C$5000,$AG62)</f>
        <v>2</v>
      </c>
      <c r="AD62" s="82" t="n">
        <f aca="false">_xlfn.MINIFS('3 Base Entrada 2008'!$F$2:$F$5000,'3 Base Entrada 2008'!$F$2:$F$5000,"&gt;="&amp;$F$5,'3 Base Entrada 2008'!$F$2:$F$5000,"&lt;="&amp;$H$5,'3 Base Entrada 2008'!$B$2:$B$5000,$T62,'3 Base Entrada 2008'!$C$2:$C$5000,$AG62)</f>
        <v>46275</v>
      </c>
      <c r="AE62" s="82" t="n">
        <f aca="false">_xlfn.MAXIFS('3 Base Entrada 2008'!$F$2:$F$5000,'3 Base Entrada 2008'!$F$2:$F$5000,"&gt;="&amp;$F$5,'3 Base Entrada 2008'!$F$2:$F$5000,"&lt;="&amp;$H$5,'3 Base Entrada 2008'!$B$2:$B$5000,$T62,'3 Base Entrada 2008'!$C$2:$C$5000,$AG62)</f>
        <v>46275</v>
      </c>
      <c r="AF62" s="82" t="s">
        <v>1104</v>
      </c>
      <c r="AG62" s="82" t="s">
        <v>393</v>
      </c>
      <c r="AH62" s="82" t="n">
        <f aca="false">IF(AND(Z62=1,Y62&gt;$R$5),Y62+ROW()/10000000,0)</f>
        <v>638.4000062</v>
      </c>
      <c r="AO62" s="82" t="s">
        <v>1775</v>
      </c>
      <c r="AP62" s="120" t="n">
        <v>46296</v>
      </c>
      <c r="AQ62" s="82" t="n">
        <f aca="false">IF(AND(AP62&gt;=$F$5,AP62&lt;=$H$5),SUMIFS('3 Base Entrada 2008'!$G$2:$G$5000,'3 Base Entrada 2008'!$F$2:$F$5000,$AP62,'3 Base Entrada 2008'!$B$2:$B$5000,$R$1,'3 Base Entrada 2008'!$C$2:$C$5000,$R$2,'3 Base Entrada 2008'!$H$2:$H$5000,$R$3,'3 Base Entrada 2008'!$K$2:$K$5000,"Recebido no 2008"),0)</f>
        <v>0</v>
      </c>
      <c r="AR62" s="82" t="n">
        <f aca="false">IF(AND(AP62&gt;=$F$5,AP62&lt;=$H$5),SUMIFS('3 Base Entrada 2008'!$G$2:$G$5000,'3 Base Entrada 2008'!$F$2:$F$5000,$AP62,'3 Base Entrada 2008'!$B$2:$B$5000,$R$1,'3 Base Entrada 2008'!$C$2:$C$5000,$R$2,'3 Base Entrada 2008'!$H$2:$H$5000,$R$3,'3 Base Entrada 2008'!$K$2:$K$5000,"Entrada")+SUMIFS('3 Base Entrada 2008'!$G$2:$G$5000,'3 Base Entrada 2008'!$F$2:$F$5000,$AP62,'3 Base Entrada 2008'!$B$2:$B$5000,$R$1,'3 Base Entrada 2008'!$C$2:$C$5000,$R$2,'3 Base Entrada 2008'!$H$2:$H$5000,$R$3,'3 Base Entrada 2008'!$K$2:$K$5000,"Estorno"),0)</f>
        <v>0</v>
      </c>
      <c r="AV62" s="0" t="str">
        <f aca="false">IFERROR(INDEX($AX$1:$AX$94,MATCH(61,$AY$1:$AY$94,0)),"")</f>
        <v>261301539</v>
      </c>
      <c r="AW62" s="82" t="s">
        <v>276</v>
      </c>
      <c r="AX62" s="82" t="s">
        <v>277</v>
      </c>
      <c r="AY62" s="82" t="n">
        <f aca="false">IF(OR($A$5="Todos",AW62=$A$5),MAX(AY$1:AY61)+1,0)</f>
        <v>62</v>
      </c>
      <c r="BA62" s="82" t="n">
        <f aca="false">SUMIFS('3 Base Saldo Inicial 08-09'!$E$2:$E$5000,'3 Base Saldo Inicial 08-09'!$A$2:$A$5000,$T62,'3 Base Saldo Inicial 08-09'!$B$2:$B$5000,$AG62,'3 Base Saldo Inicial 08-09'!$C$2:$C$5000,"2008")</f>
        <v>0</v>
      </c>
    </row>
    <row r="63" customFormat="false" ht="15" hidden="false" customHeight="false" outlineLevel="0" collapsed="false">
      <c r="A63" s="111" t="str">
        <f aca="false">IF(IFERROR(MATCH(50,$AA$40:$AA$133,0),0)=0,"",INDEX($T$40:$T$133,IFERROR(MATCH(50,$AA$40:$AA$133,0),0)))</f>
        <v>CHM-VR-Z3S-E0-U68</v>
      </c>
      <c r="B63" s="111" t="str">
        <f aca="false">IF(IFERROR(MATCH(50,$AA$40:$AA$133,0),0)=0,"",INDEX($AG$40:$AG$133,IFERROR(MATCH(50,$AA$40:$AA$133,0),0)))</f>
        <v>260400301</v>
      </c>
      <c r="C63" s="112" t="str">
        <f aca="false">IF(IFERROR(MATCH(50,$AA$40:$AA$133,0),0)=0,"",INDEX($U$40:$U$133,IFERROR(MATCH(50,$AA$40:$AA$133,0),0)))</f>
        <v>KG</v>
      </c>
      <c r="D63" s="113" t="n">
        <f aca="false">IF(IFERROR(MATCH(50,$AA$40:$AA$133,0),0)=0,"",INDEX($V$40:$V$133,IFERROR(MATCH(50,$AA$40:$AA$133,0),0)))</f>
        <v>0</v>
      </c>
      <c r="E63" s="113" t="n">
        <f aca="false">IF(IFERROR(MATCH(50,$AA$40:$AA$133,0),0)=0,"",INDEX($W$40:$W$133,IFERROR(MATCH(50,$AA$40:$AA$133,0),0)))</f>
        <v>432</v>
      </c>
      <c r="F63" s="113" t="n">
        <f aca="false">IF(IFERROR(MATCH(50,$AA$40:$AA$133,0),0)=0,"",INDEX($X$40:$X$133,IFERROR(MATCH(50,$AA$40:$AA$133,0),0)))</f>
        <v>0</v>
      </c>
      <c r="G63" s="114" t="n">
        <f aca="false">IF(IFERROR(MATCH(50,$AA$40:$AA$133,0),0)=0,"",INDEX($Y$40:$Y$133,IFERROR(MATCH(50,$AA$40:$AA$133,0),0)))</f>
        <v>-432</v>
      </c>
      <c r="H63" s="145" t="str">
        <f aca="false">IF(A63="","",IF(D63&gt;0,(E63-F63)/D63,""))</f>
        <v/>
      </c>
      <c r="I63" s="115" t="str">
        <f aca="false">IF(IFERROR(MATCH(50,$AA$40:$AA$133,0),0)=0,"",INDEX($AB$40:$AB$133,IFERROR(MATCH(50,$AA$40:$AA$133,0),0)))</f>
        <v>Saiu saldo anterior a 09/09</v>
      </c>
      <c r="J63" s="116" t="n">
        <f aca="false">IF(IFERROR(MATCH(50,$AA$40:$AA$133,0),0)=0,"",INDEX($AC$40:$AC$133,IFERROR(MATCH(50,$AA$40:$AA$133,0),0)))</f>
        <v>1</v>
      </c>
      <c r="K63" s="117" t="n">
        <f aca="false">IF(IFERROR(MATCH(50,$AA$40:$AA$133,0),0)=0,"",IF(INDEX($AD$40:$AD$133,IFERROR(MATCH(50,$AA$40:$AA$133,0),0))=0,"",INDEX($AD$40:$AD$133,IFERROR(MATCH(50,$AA$40:$AA$133,0),0))))</f>
        <v>46294</v>
      </c>
      <c r="L63" s="117" t="n">
        <f aca="false">IF(IFERROR(MATCH(50,$AA$40:$AA$133,0),0)=0,"",IF(INDEX($AE$40:$AE$133,IFERROR(MATCH(50,$AA$40:$AA$133,0),0))=0,"",INDEX($AE$40:$AE$133,IFERROR(MATCH(50,$AA$40:$AA$133,0),0))))</f>
        <v>46294</v>
      </c>
      <c r="M63" s="119" t="str">
        <f aca="false">IF(IFERROR(MATCH(50,$AA$40:$AA$133,0),0)=0,"",INDEX($AF$40:$AF$133,IFERROR(MATCH(50,$AA$40:$AA$133,0),0))&amp;"")</f>
        <v/>
      </c>
      <c r="N63" s="118" t="str">
        <f aca="false">IF(A63="","",IF(I63="Aguardando transferência","Transferir "&amp;FIXED(G63,1)&amp;" "&amp;C63&amp;" do 2008 para o ZBR (verificar se já há OT aberta)",IF(I63="Transferido 100%","Nada a fazer","Sem ação: saíram "&amp;FIXED(-G63,1)&amp;" "&amp;C63&amp;" que já estavam no 2008 antes de 09/09 (conferir só se não havia saldo)")))</f>
        <v>Sem ação: saíram 432.0 KG que já estavam no 2008 antes de 09/09 (conferir só se não havia saldo)</v>
      </c>
      <c r="O63" s="1"/>
      <c r="T63" s="82" t="s">
        <v>276</v>
      </c>
      <c r="U63" s="82" t="s">
        <v>65</v>
      </c>
      <c r="V63" s="82" t="n">
        <f aca="false">SUMIFS('3 Base Entrada 2008'!$G$2:$G$5000,'3 Base Entrada 2008'!$F$2:$F$5000,"&gt;="&amp;$F$5,'3 Base Entrada 2008'!$F$2:$F$5000,"&lt;="&amp;$H$5,'3 Base Entrada 2008'!$B$2:$B$5000,$T63,'3 Base Entrada 2008'!$C$2:$C$5000,$AG63,'3 Base Entrada 2008'!$K$2:$K$5000,"Recebido no 2008")</f>
        <v>1166</v>
      </c>
      <c r="W63" s="82" t="n">
        <f aca="false">-SUMIFS('3 Base Entrada 2008'!$G$2:$G$5000,'3 Base Entrada 2008'!$F$2:$F$5000,"&gt;="&amp;$F$5,'3 Base Entrada 2008'!$F$2:$F$5000,"&lt;="&amp;$H$5,'3 Base Entrada 2008'!$B$2:$B$5000,$T63,'3 Base Entrada 2008'!$C$2:$C$5000,$AG63,'3 Base Entrada 2008'!$K$2:$K$5000,"Entrada")</f>
        <v>603</v>
      </c>
      <c r="X63" s="82" t="n">
        <f aca="false">SUMIFS('3 Base Entrada 2008'!$G$2:$G$5000,'3 Base Entrada 2008'!$F$2:$F$5000,"&gt;="&amp;$F$5,'3 Base Entrada 2008'!$F$2:$F$5000,"&lt;="&amp;$H$5,'3 Base Entrada 2008'!$B$2:$B$5000,$T63,'3 Base Entrada 2008'!$C$2:$C$5000,$AG63,'3 Base Entrada 2008'!$K$2:$K$5000,"Estorno")</f>
        <v>0</v>
      </c>
      <c r="Y63" s="82" t="n">
        <f aca="false">ROUND(BA63+V63-W63+X63,3)</f>
        <v>563</v>
      </c>
      <c r="Z63" s="82" t="n">
        <f aca="false">IF(AND(U63=$R$3,OR($R$1="*",T63=$R$1),OR($R$2="*",AG63=$R$2),OR($K$5="Todas",AB63=$K$5),ABS(V63)+ABS(W63)+ABS(X63)&gt;0),1,0)</f>
        <v>1</v>
      </c>
      <c r="AA63" s="82" t="n">
        <f aca="false">IF(Z63=1,SUM(Z$40:Z63),"")</f>
        <v>23</v>
      </c>
      <c r="AB63" s="0" t="str">
        <f aca="false">IF(ABS(Y63)&lt;=$R$5,"Transferido 100%",IF(Y63&gt;0,"Aguardando transferência","Saiu saldo anterior a 09/09"))</f>
        <v>Aguardando transferência</v>
      </c>
      <c r="AC63" s="82" t="n">
        <f aca="false">COUNTIFS('3 Base Entrada 2008'!$F$2:$F$5000,"&gt;="&amp;$F$5,'3 Base Entrada 2008'!$F$2:$F$5000,"&lt;="&amp;$H$5,'3 Base Entrada 2008'!$B$2:$B$5000,$T63,'3 Base Entrada 2008'!$C$2:$C$5000,$AG63)</f>
        <v>2</v>
      </c>
      <c r="AD63" s="82" t="n">
        <f aca="false">_xlfn.MINIFS('3 Base Entrada 2008'!$F$2:$F$5000,'3 Base Entrada 2008'!$F$2:$F$5000,"&gt;="&amp;$F$5,'3 Base Entrada 2008'!$F$2:$F$5000,"&lt;="&amp;$H$5,'3 Base Entrada 2008'!$B$2:$B$5000,$T63,'3 Base Entrada 2008'!$C$2:$C$5000,$AG63)</f>
        <v>46275</v>
      </c>
      <c r="AE63" s="82" t="n">
        <f aca="false">_xlfn.MAXIFS('3 Base Entrada 2008'!$F$2:$F$5000,'3 Base Entrada 2008'!$F$2:$F$5000,"&gt;="&amp;$F$5,'3 Base Entrada 2008'!$F$2:$F$5000,"&lt;="&amp;$H$5,'3 Base Entrada 2008'!$B$2:$B$5000,$T63,'3 Base Entrada 2008'!$C$2:$C$5000,$AG63)</f>
        <v>46288</v>
      </c>
      <c r="AF63" s="82" t="s">
        <v>404</v>
      </c>
      <c r="AG63" s="82" t="s">
        <v>280</v>
      </c>
      <c r="AH63" s="82" t="n">
        <f aca="false">IF(AND(Z63=1,Y63&gt;$R$5),Y63+ROW()/10000000,0)</f>
        <v>563.0000063</v>
      </c>
      <c r="AV63" s="0" t="str">
        <f aca="false">IFERROR(INDEX($AX$1:$AX$94,MATCH(62,$AY$1:$AY$94,0)),"")</f>
        <v>252350301</v>
      </c>
      <c r="AW63" s="82" t="s">
        <v>276</v>
      </c>
      <c r="AX63" s="82" t="s">
        <v>371</v>
      </c>
      <c r="AY63" s="82" t="n">
        <f aca="false">IF(OR($A$5="Todos",AW63=$A$5),MAX(AY$1:AY62)+1,0)</f>
        <v>63</v>
      </c>
      <c r="BA63" s="82" t="n">
        <f aca="false">SUMIFS('3 Base Saldo Inicial 08-09'!$E$2:$E$5000,'3 Base Saldo Inicial 08-09'!$A$2:$A$5000,$T63,'3 Base Saldo Inicial 08-09'!$B$2:$B$5000,$AG63,'3 Base Saldo Inicial 08-09'!$C$2:$C$5000,"2008")</f>
        <v>0</v>
      </c>
    </row>
    <row r="64" customFormat="false" ht="15" hidden="false" customHeight="false" outlineLevel="0" collapsed="false">
      <c r="A64" s="111" t="str">
        <f aca="false">IF(IFERROR(MATCH(51,$AA$40:$AA$133,0),0)=0,"",INDEX($T$40:$T$133,IFERROR(MATCH(51,$AA$40:$AA$133,0),0)))</f>
        <v>823-BR-25A</v>
      </c>
      <c r="B64" s="111" t="str">
        <f aca="false">IF(IFERROR(MATCH(51,$AA$40:$AA$133,0),0)=0,"",INDEX($AG$40:$AG$133,IFERROR(MATCH(51,$AA$40:$AA$133,0),0)))</f>
        <v>252100301</v>
      </c>
      <c r="C64" s="112" t="str">
        <f aca="false">IF(IFERROR(MATCH(51,$AA$40:$AA$133,0),0)=0,"",INDEX($U$40:$U$133,IFERROR(MATCH(51,$AA$40:$AA$133,0),0)))</f>
        <v>KG</v>
      </c>
      <c r="D64" s="113" t="n">
        <f aca="false">IF(IFERROR(MATCH(51,$AA$40:$AA$133,0),0)=0,"",INDEX($V$40:$V$133,IFERROR(MATCH(51,$AA$40:$AA$133,0),0)))</f>
        <v>0</v>
      </c>
      <c r="E64" s="113" t="n">
        <f aca="false">IF(IFERROR(MATCH(51,$AA$40:$AA$133,0),0)=0,"",INDEX($W$40:$W$133,IFERROR(MATCH(51,$AA$40:$AA$133,0),0)))</f>
        <v>461.9</v>
      </c>
      <c r="F64" s="113" t="n">
        <f aca="false">IF(IFERROR(MATCH(51,$AA$40:$AA$133,0),0)=0,"",INDEX($X$40:$X$133,IFERROR(MATCH(51,$AA$40:$AA$133,0),0)))</f>
        <v>0</v>
      </c>
      <c r="G64" s="114" t="n">
        <f aca="false">IF(IFERROR(MATCH(51,$AA$40:$AA$133,0),0)=0,"",INDEX($Y$40:$Y$133,IFERROR(MATCH(51,$AA$40:$AA$133,0),0)))</f>
        <v>-461.9</v>
      </c>
      <c r="H64" s="145" t="str">
        <f aca="false">IF(A64="","",IF(D64&gt;0,(E64-F64)/D64,""))</f>
        <v/>
      </c>
      <c r="I64" s="115" t="str">
        <f aca="false">IF(IFERROR(MATCH(51,$AA$40:$AA$133,0),0)=0,"",INDEX($AB$40:$AB$133,IFERROR(MATCH(51,$AA$40:$AA$133,0),0)))</f>
        <v>Saiu saldo anterior a 09/09</v>
      </c>
      <c r="J64" s="116" t="n">
        <f aca="false">IF(IFERROR(MATCH(51,$AA$40:$AA$133,0),0)=0,"",INDEX($AC$40:$AC$133,IFERROR(MATCH(51,$AA$40:$AA$133,0),0)))</f>
        <v>1</v>
      </c>
      <c r="K64" s="117" t="n">
        <f aca="false">IF(IFERROR(MATCH(51,$AA$40:$AA$133,0),0)=0,"",IF(INDEX($AD$40:$AD$133,IFERROR(MATCH(51,$AA$40:$AA$133,0),0))=0,"",INDEX($AD$40:$AD$133,IFERROR(MATCH(51,$AA$40:$AA$133,0),0))))</f>
        <v>46289</v>
      </c>
      <c r="L64" s="117" t="n">
        <f aca="false">IF(IFERROR(MATCH(51,$AA$40:$AA$133,0),0)=0,"",IF(INDEX($AE$40:$AE$133,IFERROR(MATCH(51,$AA$40:$AA$133,0),0))=0,"",INDEX($AE$40:$AE$133,IFERROR(MATCH(51,$AA$40:$AA$133,0),0))))</f>
        <v>46289</v>
      </c>
      <c r="M64" s="119" t="str">
        <f aca="false">IF(IFERROR(MATCH(51,$AA$40:$AA$133,0),0)=0,"",INDEX($AF$40:$AF$133,IFERROR(MATCH(51,$AA$40:$AA$133,0),0))&amp;"")</f>
        <v>CA MOEDAS 2,01KG/UC 10UC/CX 30CX/PAL</v>
      </c>
      <c r="N64" s="118" t="str">
        <f aca="false">IF(A64="","",IF(I64="Aguardando transferência","Transferir "&amp;FIXED(G64,1)&amp;" "&amp;C64&amp;" do 2008 para o ZBR (verificar se já há OT aberta)",IF(I64="Transferido 100%","Nada a fazer","Sem ação: saíram "&amp;FIXED(-G64,1)&amp;" "&amp;C64&amp;" que já estavam no 2008 antes de 09/09 (conferir só se não havia saldo)")))</f>
        <v>Sem ação: saíram 461.9 KG que já estavam no 2008 antes de 09/09 (conferir só se não havia saldo)</v>
      </c>
      <c r="O64" s="1"/>
      <c r="T64" s="82" t="s">
        <v>375</v>
      </c>
      <c r="U64" s="82" t="s">
        <v>65</v>
      </c>
      <c r="V64" s="82" t="n">
        <f aca="false">SUMIFS('3 Base Entrada 2008'!$G$2:$G$5000,'3 Base Entrada 2008'!$F$2:$F$5000,"&gt;="&amp;$F$5,'3 Base Entrada 2008'!$F$2:$F$5000,"&lt;="&amp;$H$5,'3 Base Entrada 2008'!$B$2:$B$5000,$T64,'3 Base Entrada 2008'!$C$2:$C$5000,$AG64,'3 Base Entrada 2008'!$K$2:$K$5000,"Recebido no 2008")</f>
        <v>432</v>
      </c>
      <c r="W64" s="82" t="n">
        <f aca="false">-SUMIFS('3 Base Entrada 2008'!$G$2:$G$5000,'3 Base Entrada 2008'!$F$2:$F$5000,"&gt;="&amp;$F$5,'3 Base Entrada 2008'!$F$2:$F$5000,"&lt;="&amp;$H$5,'3 Base Entrada 2008'!$B$2:$B$5000,$T64,'3 Base Entrada 2008'!$C$2:$C$5000,$AG64,'3 Base Entrada 2008'!$K$2:$K$5000,"Entrada")</f>
        <v>-0</v>
      </c>
      <c r="X64" s="82" t="n">
        <f aca="false">SUMIFS('3 Base Entrada 2008'!$G$2:$G$5000,'3 Base Entrada 2008'!$F$2:$F$5000,"&gt;="&amp;$F$5,'3 Base Entrada 2008'!$F$2:$F$5000,"&lt;="&amp;$H$5,'3 Base Entrada 2008'!$B$2:$B$5000,$T64,'3 Base Entrada 2008'!$C$2:$C$5000,$AG64,'3 Base Entrada 2008'!$K$2:$K$5000,"Estorno")</f>
        <v>0</v>
      </c>
      <c r="Y64" s="82" t="n">
        <f aca="false">ROUND(BA64+V64-W64+X64,3)</f>
        <v>432</v>
      </c>
      <c r="Z64" s="82" t="n">
        <f aca="false">IF(AND(U64=$R$3,OR($R$1="*",T64=$R$1),OR($R$2="*",AG64=$R$2),OR($K$5="Todas",AB64=$K$5),ABS(V64)+ABS(W64)+ABS(X64)&gt;0),1,0)</f>
        <v>1</v>
      </c>
      <c r="AA64" s="82" t="n">
        <f aca="false">IF(Z64=1,SUM(Z$40:Z64),"")</f>
        <v>24</v>
      </c>
      <c r="AB64" s="0" t="str">
        <f aca="false">IF(ABS(Y64)&lt;=$R$5,"Transferido 100%",IF(Y64&gt;0,"Aguardando transferência","Saiu saldo anterior a 09/09"))</f>
        <v>Aguardando transferência</v>
      </c>
      <c r="AC64" s="82" t="n">
        <f aca="false">COUNTIFS('3 Base Entrada 2008'!$F$2:$F$5000,"&gt;="&amp;$F$5,'3 Base Entrada 2008'!$F$2:$F$5000,"&lt;="&amp;$H$5,'3 Base Entrada 2008'!$B$2:$B$5000,$T64,'3 Base Entrada 2008'!$C$2:$C$5000,$AG64)</f>
        <v>1</v>
      </c>
      <c r="AD64" s="82" t="n">
        <f aca="false">_xlfn.MINIFS('3 Base Entrada 2008'!$F$2:$F$5000,'3 Base Entrada 2008'!$F$2:$F$5000,"&gt;="&amp;$F$5,'3 Base Entrada 2008'!$F$2:$F$5000,"&lt;="&amp;$H$5,'3 Base Entrada 2008'!$B$2:$B$5000,$T64,'3 Base Entrada 2008'!$C$2:$C$5000,$AG64)</f>
        <v>46275</v>
      </c>
      <c r="AE64" s="82" t="n">
        <f aca="false">_xlfn.MAXIFS('3 Base Entrada 2008'!$F$2:$F$5000,'3 Base Entrada 2008'!$F$2:$F$5000,"&gt;="&amp;$F$5,'3 Base Entrada 2008'!$F$2:$F$5000,"&lt;="&amp;$H$5,'3 Base Entrada 2008'!$B$2:$B$5000,$T64,'3 Base Entrada 2008'!$C$2:$C$5000,$AG64)</f>
        <v>46275</v>
      </c>
      <c r="AG64" s="82" t="s">
        <v>376</v>
      </c>
      <c r="AH64" s="82" t="n">
        <f aca="false">IF(AND(Z64=1,Y64&gt;$R$5),Y64+ROW()/10000000,0)</f>
        <v>432.0000064</v>
      </c>
      <c r="AV64" s="0" t="str">
        <f aca="false">IFERROR(INDEX($AX$1:$AX$94,MATCH(63,$AY$1:$AY$94,0)),"")</f>
        <v>252590301</v>
      </c>
      <c r="AW64" s="82" t="s">
        <v>276</v>
      </c>
      <c r="AX64" s="82" t="s">
        <v>278</v>
      </c>
      <c r="AY64" s="82" t="n">
        <f aca="false">IF(OR($A$5="Todos",AW64=$A$5),MAX(AY$1:AY63)+1,0)</f>
        <v>64</v>
      </c>
      <c r="BA64" s="82" t="n">
        <f aca="false">SUMIFS('3 Base Saldo Inicial 08-09'!$E$2:$E$5000,'3 Base Saldo Inicial 08-09'!$A$2:$A$5000,$T64,'3 Base Saldo Inicial 08-09'!$B$2:$B$5000,$AG64,'3 Base Saldo Inicial 08-09'!$C$2:$C$5000,"2008")</f>
        <v>0</v>
      </c>
    </row>
    <row r="65" customFormat="false" ht="15" hidden="false" customHeight="false" outlineLevel="0" collapsed="false">
      <c r="A65" s="111" t="str">
        <f aca="false">IF(IFERROR(MATCH(52,$AA$40:$AA$133,0),0)=0,"",INDEX($T$40:$T$133,IFERROR(MATCH(52,$AA$40:$AA$133,0),0)))</f>
        <v>BIG-PF-1BO-401</v>
      </c>
      <c r="B65" s="111" t="str">
        <f aca="false">IF(IFERROR(MATCH(52,$AA$40:$AA$133,0),0)=0,"",INDEX($AG$40:$AG$133,IFERROR(MATCH(52,$AA$40:$AA$133,0),0)))</f>
        <v>26044019</v>
      </c>
      <c r="C65" s="112" t="str">
        <f aca="false">IF(IFERROR(MATCH(52,$AA$40:$AA$133,0),0)=0,"",INDEX($U$40:$U$133,IFERROR(MATCH(52,$AA$40:$AA$133,0),0)))</f>
        <v>KG</v>
      </c>
      <c r="D65" s="113" t="n">
        <f aca="false">IF(IFERROR(MATCH(52,$AA$40:$AA$133,0),0)=0,"",INDEX($V$40:$V$133,IFERROR(MATCH(52,$AA$40:$AA$133,0),0)))</f>
        <v>0</v>
      </c>
      <c r="E65" s="113" t="n">
        <f aca="false">IF(IFERROR(MATCH(52,$AA$40:$AA$133,0),0)=0,"",INDEX($W$40:$W$133,IFERROR(MATCH(52,$AA$40:$AA$133,0),0)))</f>
        <v>480</v>
      </c>
      <c r="F65" s="113" t="n">
        <f aca="false">IF(IFERROR(MATCH(52,$AA$40:$AA$133,0),0)=0,"",INDEX($X$40:$X$133,IFERROR(MATCH(52,$AA$40:$AA$133,0),0)))</f>
        <v>0</v>
      </c>
      <c r="G65" s="114" t="n">
        <f aca="false">IF(IFERROR(MATCH(52,$AA$40:$AA$133,0),0)=0,"",INDEX($Y$40:$Y$133,IFERROR(MATCH(52,$AA$40:$AA$133,0),0)))</f>
        <v>-480</v>
      </c>
      <c r="H65" s="145" t="str">
        <f aca="false">IF(A65="","",IF(D65&gt;0,(E65-F65)/D65,""))</f>
        <v/>
      </c>
      <c r="I65" s="115" t="str">
        <f aca="false">IF(IFERROR(MATCH(52,$AA$40:$AA$133,0),0)=0,"",INDEX($AB$40:$AB$133,IFERROR(MATCH(52,$AA$40:$AA$133,0),0)))</f>
        <v>Saiu saldo anterior a 09/09</v>
      </c>
      <c r="J65" s="116" t="n">
        <f aca="false">IF(IFERROR(MATCH(52,$AA$40:$AA$133,0),0)=0,"",INDEX($AC$40:$AC$133,IFERROR(MATCH(52,$AA$40:$AA$133,0),0)))</f>
        <v>1</v>
      </c>
      <c r="K65" s="117" t="n">
        <f aca="false">IF(IFERROR(MATCH(52,$AA$40:$AA$133,0),0)=0,"",IF(INDEX($AD$40:$AD$133,IFERROR(MATCH(52,$AA$40:$AA$133,0),0))=0,"",INDEX($AD$40:$AD$133,IFERROR(MATCH(52,$AA$40:$AA$133,0),0))))</f>
        <v>46291</v>
      </c>
      <c r="L65" s="117" t="n">
        <f aca="false">IF(IFERROR(MATCH(52,$AA$40:$AA$133,0),0)=0,"",IF(INDEX($AE$40:$AE$133,IFERROR(MATCH(52,$AA$40:$AA$133,0),0))=0,"",INDEX($AE$40:$AE$133,IFERROR(MATCH(52,$AA$40:$AA$133,0),0))))</f>
        <v>46291</v>
      </c>
      <c r="M65" s="119" t="str">
        <f aca="false">IF(IFERROR(MATCH(52,$AA$40:$AA$133,0),0)=0,"",INDEX($AF$40:$AF$133,IFERROR(MATCH(52,$AA$40:$AA$133,0),0))&amp;"")</f>
        <v>CB PAILLETÉ FEUILLETINE 2.5KG/UC 4UC/BOX</v>
      </c>
      <c r="N65" s="118" t="str">
        <f aca="false">IF(A65="","",IF(I65="Aguardando transferência","Transferir "&amp;FIXED(G65,1)&amp;" "&amp;C65&amp;" do 2008 para o ZBR (verificar se já há OT aberta)",IF(I65="Transferido 100%","Nada a fazer","Sem ação: saíram "&amp;FIXED(-G65,1)&amp;" "&amp;C65&amp;" que já estavam no 2008 antes de 09/09 (conferir só se não havia saldo)")))</f>
        <v>Sem ação: saíram 480.0 KG que já estavam no 2008 antes de 09/09 (conferir só se não havia saldo)</v>
      </c>
      <c r="O65" s="1"/>
      <c r="T65" s="82" t="s">
        <v>305</v>
      </c>
      <c r="U65" s="82" t="s">
        <v>65</v>
      </c>
      <c r="V65" s="82" t="n">
        <f aca="false">SUMIFS('3 Base Entrada 2008'!$G$2:$G$5000,'3 Base Entrada 2008'!$F$2:$F$5000,"&gt;="&amp;$F$5,'3 Base Entrada 2008'!$F$2:$F$5000,"&lt;="&amp;$H$5,'3 Base Entrada 2008'!$B$2:$B$5000,$T65,'3 Base Entrada 2008'!$C$2:$C$5000,$AG65,'3 Base Entrada 2008'!$K$2:$K$5000,"Recebido no 2008")</f>
        <v>400</v>
      </c>
      <c r="W65" s="82" t="n">
        <f aca="false">-SUMIFS('3 Base Entrada 2008'!$G$2:$G$5000,'3 Base Entrada 2008'!$F$2:$F$5000,"&gt;="&amp;$F$5,'3 Base Entrada 2008'!$F$2:$F$5000,"&lt;="&amp;$H$5,'3 Base Entrada 2008'!$B$2:$B$5000,$T65,'3 Base Entrada 2008'!$C$2:$C$5000,$AG65,'3 Base Entrada 2008'!$K$2:$K$5000,"Entrada")</f>
        <v>-0</v>
      </c>
      <c r="X65" s="82" t="n">
        <f aca="false">SUMIFS('3 Base Entrada 2008'!$G$2:$G$5000,'3 Base Entrada 2008'!$F$2:$F$5000,"&gt;="&amp;$F$5,'3 Base Entrada 2008'!$F$2:$F$5000,"&lt;="&amp;$H$5,'3 Base Entrada 2008'!$B$2:$B$5000,$T65,'3 Base Entrada 2008'!$C$2:$C$5000,$AG65,'3 Base Entrada 2008'!$K$2:$K$5000,"Estorno")</f>
        <v>0</v>
      </c>
      <c r="Y65" s="82" t="n">
        <f aca="false">ROUND(BA65+V65-W65+X65,3)</f>
        <v>400</v>
      </c>
      <c r="Z65" s="82" t="n">
        <f aca="false">IF(AND(U65=$R$3,OR($R$1="*",T65=$R$1),OR($R$2="*",AG65=$R$2),OR($K$5="Todas",AB65=$K$5),ABS(V65)+ABS(W65)+ABS(X65)&gt;0),1,0)</f>
        <v>1</v>
      </c>
      <c r="AA65" s="82" t="n">
        <f aca="false">IF(Z65=1,SUM(Z$40:Z65),"")</f>
        <v>25</v>
      </c>
      <c r="AB65" s="0" t="str">
        <f aca="false">IF(ABS(Y65)&lt;=$R$5,"Transferido 100%",IF(Y65&gt;0,"Aguardando transferência","Saiu saldo anterior a 09/09"))</f>
        <v>Aguardando transferência</v>
      </c>
      <c r="AC65" s="82" t="n">
        <f aca="false">COUNTIFS('3 Base Entrada 2008'!$F$2:$F$5000,"&gt;="&amp;$F$5,'3 Base Entrada 2008'!$F$2:$F$5000,"&lt;="&amp;$H$5,'3 Base Entrada 2008'!$B$2:$B$5000,$T65,'3 Base Entrada 2008'!$C$2:$C$5000,$AG65)</f>
        <v>1</v>
      </c>
      <c r="AD65" s="82" t="n">
        <f aca="false">_xlfn.MINIFS('3 Base Entrada 2008'!$F$2:$F$5000,'3 Base Entrada 2008'!$F$2:$F$5000,"&gt;="&amp;$F$5,'3 Base Entrada 2008'!$F$2:$F$5000,"&lt;="&amp;$H$5,'3 Base Entrada 2008'!$B$2:$B$5000,$T65,'3 Base Entrada 2008'!$C$2:$C$5000,$AG65)</f>
        <v>46275</v>
      </c>
      <c r="AE65" s="82" t="n">
        <f aca="false">_xlfn.MAXIFS('3 Base Entrada 2008'!$F$2:$F$5000,'3 Base Entrada 2008'!$F$2:$F$5000,"&gt;="&amp;$F$5,'3 Base Entrada 2008'!$F$2:$F$5000,"&lt;="&amp;$H$5,'3 Base Entrada 2008'!$B$2:$B$5000,$T65,'3 Base Entrada 2008'!$C$2:$C$5000,$AG65)</f>
        <v>46275</v>
      </c>
      <c r="AF65" s="82" t="s">
        <v>1377</v>
      </c>
      <c r="AG65" s="82" t="s">
        <v>386</v>
      </c>
      <c r="AH65" s="82" t="n">
        <f aca="false">IF(AND(Z65=1,Y65&gt;$R$5),Y65+ROW()/10000000,0)</f>
        <v>400.0000065</v>
      </c>
      <c r="AV65" s="0" t="str">
        <f aca="false">IFERROR(INDEX($AX$1:$AX$94,MATCH(64,$AY$1:$AY$94,0)),"")</f>
        <v>252650301</v>
      </c>
      <c r="AW65" s="82" t="s">
        <v>276</v>
      </c>
      <c r="AX65" s="82" t="s">
        <v>370</v>
      </c>
      <c r="AY65" s="82" t="n">
        <f aca="false">IF(OR($A$5="Todos",AW65=$A$5),MAX(AY$1:AY64)+1,0)</f>
        <v>65</v>
      </c>
      <c r="BA65" s="82" t="n">
        <f aca="false">SUMIFS('3 Base Saldo Inicial 08-09'!$E$2:$E$5000,'3 Base Saldo Inicial 08-09'!$A$2:$A$5000,$T65,'3 Base Saldo Inicial 08-09'!$B$2:$B$5000,$AG65,'3 Base Saldo Inicial 08-09'!$C$2:$C$5000,"2008")</f>
        <v>0</v>
      </c>
    </row>
    <row r="66" customFormat="false" ht="15" hidden="false" customHeight="false" outlineLevel="0" collapsed="false">
      <c r="A66" s="111" t="str">
        <f aca="false">IF(IFERROR(MATCH(53,$AA$40:$AA$133,0),0)=0,"",INDEX($T$40:$T$133,IFERROR(MATCH(53,$AA$40:$AA$133,0),0)))</f>
        <v>PNP-T14</v>
      </c>
      <c r="B66" s="111" t="str">
        <f aca="false">IF(IFERROR(MATCH(53,$AA$40:$AA$133,0),0)=0,"",INDEX($AG$40:$AG$133,IFERROR(MATCH(53,$AA$40:$AA$133,0),0)))</f>
        <v>2613495951</v>
      </c>
      <c r="C66" s="112" t="str">
        <f aca="false">IF(IFERROR(MATCH(53,$AA$40:$AA$133,0),0)=0,"",INDEX($U$40:$U$133,IFERROR(MATCH(53,$AA$40:$AA$133,0),0)))</f>
        <v>KG</v>
      </c>
      <c r="D66" s="113" t="n">
        <f aca="false">IF(IFERROR(MATCH(53,$AA$40:$AA$133,0),0)=0,"",INDEX($V$40:$V$133,IFERROR(MATCH(53,$AA$40:$AA$133,0),0)))</f>
        <v>4800</v>
      </c>
      <c r="E66" s="113" t="n">
        <f aca="false">IF(IFERROR(MATCH(53,$AA$40:$AA$133,0),0)=0,"",INDEX($W$40:$W$133,IFERROR(MATCH(53,$AA$40:$AA$133,0),0)))</f>
        <v>5280</v>
      </c>
      <c r="F66" s="113" t="n">
        <f aca="false">IF(IFERROR(MATCH(53,$AA$40:$AA$133,0),0)=0,"",INDEX($X$40:$X$133,IFERROR(MATCH(53,$AA$40:$AA$133,0),0)))</f>
        <v>0</v>
      </c>
      <c r="G66" s="114" t="n">
        <f aca="false">IF(IFERROR(MATCH(53,$AA$40:$AA$133,0),0)=0,"",INDEX($Y$40:$Y$133,IFERROR(MATCH(53,$AA$40:$AA$133,0),0)))</f>
        <v>-480</v>
      </c>
      <c r="H66" s="145" t="n">
        <f aca="false">IF(A66="","",IF(D66&gt;0,(E66-F66)/D66,""))</f>
        <v>1.1</v>
      </c>
      <c r="I66" s="115" t="str">
        <f aca="false">IF(IFERROR(MATCH(53,$AA$40:$AA$133,0),0)=0,"",INDEX($AB$40:$AB$133,IFERROR(MATCH(53,$AA$40:$AA$133,0),0)))</f>
        <v>Saiu saldo anterior a 09/09</v>
      </c>
      <c r="J66" s="116" t="n">
        <f aca="false">IF(IFERROR(MATCH(53,$AA$40:$AA$133,0),0)=0,"",INDEX($AC$40:$AC$133,IFERROR(MATCH(53,$AA$40:$AA$133,0),0)))</f>
        <v>14</v>
      </c>
      <c r="K66" s="117" t="n">
        <f aca="false">IF(IFERROR(MATCH(53,$AA$40:$AA$133,0),0)=0,"",IF(INDEX($AD$40:$AD$133,IFERROR(MATCH(53,$AA$40:$AA$133,0),0))=0,"",INDEX($AD$40:$AD$133,IFERROR(MATCH(53,$AA$40:$AA$133,0),0))))</f>
        <v>46275</v>
      </c>
      <c r="L66" s="117" t="n">
        <f aca="false">IF(IFERROR(MATCH(53,$AA$40:$AA$133,0),0)=0,"",IF(INDEX($AE$40:$AE$133,IFERROR(MATCH(53,$AA$40:$AA$133,0),0))=0,"",INDEX($AE$40:$AE$133,IFERROR(MATCH(53,$AA$40:$AA$133,0),0))))</f>
        <v>46295</v>
      </c>
      <c r="M66" s="119" t="str">
        <f aca="false">IF(IFERROR(MATCH(53,$AA$40:$AA$133,0),0)=0,"",INDEX($AF$40:$AF$133,IFERROR(MATCH(53,$AA$40:$AA$133,0),0))&amp;"")</f>
        <v>CA 5KG/UC 2UC/BOX 50BOX/PAL</v>
      </c>
      <c r="N66" s="118" t="str">
        <f aca="false">IF(A66="","",IF(I66="Aguardando transferência","Transferir "&amp;FIXED(G66,1)&amp;" "&amp;C66&amp;" do 2008 para o ZBR (verificar se já há OT aberta)",IF(I66="Transferido 100%","Nada a fazer","Sem ação: saíram "&amp;FIXED(-G66,1)&amp;" "&amp;C66&amp;" que já estavam no 2008 antes de 09/09 (conferir só se não havia saldo)")))</f>
        <v>Sem ação: saíram 480.0 KG que já estavam no 2008 antes de 09/09 (conferir só se não havia saldo)</v>
      </c>
      <c r="O66" s="1"/>
      <c r="T66" s="82" t="s">
        <v>356</v>
      </c>
      <c r="U66" s="82" t="s">
        <v>65</v>
      </c>
      <c r="V66" s="82" t="n">
        <f aca="false">SUMIFS('3 Base Entrada 2008'!$G$2:$G$5000,'3 Base Entrada 2008'!$F$2:$F$5000,"&gt;="&amp;$F$5,'3 Base Entrada 2008'!$F$2:$F$5000,"&lt;="&amp;$H$5,'3 Base Entrada 2008'!$B$2:$B$5000,$T66,'3 Base Entrada 2008'!$C$2:$C$5000,$AG66,'3 Base Entrada 2008'!$K$2:$K$5000,"Recebido no 2008")</f>
        <v>384</v>
      </c>
      <c r="W66" s="82" t="n">
        <f aca="false">-SUMIFS('3 Base Entrada 2008'!$G$2:$G$5000,'3 Base Entrada 2008'!$F$2:$F$5000,"&gt;="&amp;$F$5,'3 Base Entrada 2008'!$F$2:$F$5000,"&lt;="&amp;$H$5,'3 Base Entrada 2008'!$B$2:$B$5000,$T66,'3 Base Entrada 2008'!$C$2:$C$5000,$AG66,'3 Base Entrada 2008'!$K$2:$K$5000,"Entrada")</f>
        <v>-0</v>
      </c>
      <c r="X66" s="82" t="n">
        <f aca="false">SUMIFS('3 Base Entrada 2008'!$G$2:$G$5000,'3 Base Entrada 2008'!$F$2:$F$5000,"&gt;="&amp;$F$5,'3 Base Entrada 2008'!$F$2:$F$5000,"&lt;="&amp;$H$5,'3 Base Entrada 2008'!$B$2:$B$5000,$T66,'3 Base Entrada 2008'!$C$2:$C$5000,$AG66,'3 Base Entrada 2008'!$K$2:$K$5000,"Estorno")</f>
        <v>0</v>
      </c>
      <c r="Y66" s="82" t="n">
        <f aca="false">ROUND(BA66+V66-W66+X66,3)</f>
        <v>384</v>
      </c>
      <c r="Z66" s="82" t="n">
        <f aca="false">IF(AND(U66=$R$3,OR($R$1="*",T66=$R$1),OR($R$2="*",AG66=$R$2),OR($K$5="Todas",AB66=$K$5),ABS(V66)+ABS(W66)+ABS(X66)&gt;0),1,0)</f>
        <v>1</v>
      </c>
      <c r="AA66" s="82" t="n">
        <f aca="false">IF(Z66=1,SUM(Z$40:Z66),"")</f>
        <v>26</v>
      </c>
      <c r="AB66" s="0" t="str">
        <f aca="false">IF(ABS(Y66)&lt;=$R$5,"Transferido 100%",IF(Y66&gt;0,"Aguardando transferência","Saiu saldo anterior a 09/09"))</f>
        <v>Aguardando transferência</v>
      </c>
      <c r="AC66" s="82" t="n">
        <f aca="false">COUNTIFS('3 Base Entrada 2008'!$F$2:$F$5000,"&gt;="&amp;$F$5,'3 Base Entrada 2008'!$F$2:$F$5000,"&lt;="&amp;$H$5,'3 Base Entrada 2008'!$B$2:$B$5000,$T66,'3 Base Entrada 2008'!$C$2:$C$5000,$AG66)</f>
        <v>1</v>
      </c>
      <c r="AD66" s="82" t="n">
        <f aca="false">_xlfn.MINIFS('3 Base Entrada 2008'!$F$2:$F$5000,'3 Base Entrada 2008'!$F$2:$F$5000,"&gt;="&amp;$F$5,'3 Base Entrada 2008'!$F$2:$F$5000,"&lt;="&amp;$H$5,'3 Base Entrada 2008'!$B$2:$B$5000,$T66,'3 Base Entrada 2008'!$C$2:$C$5000,$AG66)</f>
        <v>46275</v>
      </c>
      <c r="AE66" s="82" t="n">
        <f aca="false">_xlfn.MAXIFS('3 Base Entrada 2008'!$F$2:$F$5000,'3 Base Entrada 2008'!$F$2:$F$5000,"&gt;="&amp;$F$5,'3 Base Entrada 2008'!$F$2:$F$5000,"&lt;="&amp;$H$5,'3 Base Entrada 2008'!$B$2:$B$5000,$T66,'3 Base Entrada 2008'!$C$2:$C$5000,$AG66)</f>
        <v>46275</v>
      </c>
      <c r="AG66" s="82" t="s">
        <v>357</v>
      </c>
      <c r="AH66" s="82" t="n">
        <f aca="false">IF(AND(Z66=1,Y66&gt;$R$5),Y66+ROW()/10000000,0)</f>
        <v>384.0000066</v>
      </c>
      <c r="AV66" s="0" t="str">
        <f aca="false">IFERROR(INDEX($AX$1:$AX$94,MATCH(65,$AY$1:$AY$94,0)),"")</f>
        <v>253470301</v>
      </c>
      <c r="AW66" s="82" t="s">
        <v>276</v>
      </c>
      <c r="AX66" s="82" t="s">
        <v>280</v>
      </c>
      <c r="AY66" s="82" t="n">
        <f aca="false">IF(OR($A$5="Todos",AW66=$A$5),MAX(AY$1:AY65)+1,0)</f>
        <v>66</v>
      </c>
      <c r="BA66" s="82" t="n">
        <f aca="false">SUMIFS('3 Base Saldo Inicial 08-09'!$E$2:$E$5000,'3 Base Saldo Inicial 08-09'!$A$2:$A$5000,$T66,'3 Base Saldo Inicial 08-09'!$B$2:$B$5000,$AG66,'3 Base Saldo Inicial 08-09'!$C$2:$C$5000,"2008")</f>
        <v>0</v>
      </c>
    </row>
    <row r="67" customFormat="false" ht="15" hidden="false" customHeight="false" outlineLevel="0" collapsed="false">
      <c r="A67" s="111" t="str">
        <f aca="false">IF(IFERROR(MATCH(54,$AA$40:$AA$133,0),0)=0,"",INDEX($T$40:$T$133,IFERROR(MATCH(54,$AA$40:$AA$133,0),0)))</f>
        <v>811NV-595</v>
      </c>
      <c r="B67" s="111" t="str">
        <f aca="false">IF(IFERROR(MATCH(54,$AA$40:$AA$133,0),0)=0,"",INDEX($AG$40:$AG$133,IFERROR(MATCH(54,$AA$40:$AA$133,0),0)))</f>
        <v>260920702</v>
      </c>
      <c r="C67" s="112" t="str">
        <f aca="false">IF(IFERROR(MATCH(54,$AA$40:$AA$133,0),0)=0,"",INDEX($U$40:$U$133,IFERROR(MATCH(54,$AA$40:$AA$133,0),0)))</f>
        <v>KG</v>
      </c>
      <c r="D67" s="113" t="n">
        <f aca="false">IF(IFERROR(MATCH(54,$AA$40:$AA$133,0),0)=0,"",INDEX($V$40:$V$133,IFERROR(MATCH(54,$AA$40:$AA$133,0),0)))</f>
        <v>0</v>
      </c>
      <c r="E67" s="113" t="n">
        <f aca="false">IF(IFERROR(MATCH(54,$AA$40:$AA$133,0),0)=0,"",INDEX($W$40:$W$133,IFERROR(MATCH(54,$AA$40:$AA$133,0),0)))</f>
        <v>600</v>
      </c>
      <c r="F67" s="113" t="n">
        <f aca="false">IF(IFERROR(MATCH(54,$AA$40:$AA$133,0),0)=0,"",INDEX($X$40:$X$133,IFERROR(MATCH(54,$AA$40:$AA$133,0),0)))</f>
        <v>0</v>
      </c>
      <c r="G67" s="114" t="n">
        <f aca="false">IF(IFERROR(MATCH(54,$AA$40:$AA$133,0),0)=0,"",INDEX($Y$40:$Y$133,IFERROR(MATCH(54,$AA$40:$AA$133,0),0)))</f>
        <v>-600</v>
      </c>
      <c r="H67" s="145" t="str">
        <f aca="false">IF(A67="","",IF(D67&gt;0,(E67-F67)/D67,""))</f>
        <v/>
      </c>
      <c r="I67" s="115" t="str">
        <f aca="false">IF(IFERROR(MATCH(54,$AA$40:$AA$133,0),0)=0,"",INDEX($AB$40:$AB$133,IFERROR(MATCH(54,$AA$40:$AA$133,0),0)))</f>
        <v>Saiu saldo anterior a 09/09</v>
      </c>
      <c r="J67" s="116" t="n">
        <f aca="false">IF(IFERROR(MATCH(54,$AA$40:$AA$133,0),0)=0,"",INDEX($AC$40:$AC$133,IFERROR(MATCH(54,$AA$40:$AA$133,0),0)))</f>
        <v>1</v>
      </c>
      <c r="K67" s="117" t="n">
        <f aca="false">IF(IFERROR(MATCH(54,$AA$40:$AA$133,0),0)=0,"",IF(INDEX($AD$40:$AD$133,IFERROR(MATCH(54,$AA$40:$AA$133,0),0))=0,"",INDEX($AD$40:$AD$133,IFERROR(MATCH(54,$AA$40:$AA$133,0),0))))</f>
        <v>46276</v>
      </c>
      <c r="L67" s="117" t="n">
        <f aca="false">IF(IFERROR(MATCH(54,$AA$40:$AA$133,0),0)=0,"",IF(INDEX($AE$40:$AE$133,IFERROR(MATCH(54,$AA$40:$AA$133,0),0))=0,"",INDEX($AE$40:$AE$133,IFERROR(MATCH(54,$AA$40:$AA$133,0),0))))</f>
        <v>46276</v>
      </c>
      <c r="M67" s="119" t="str">
        <f aca="false">IF(IFERROR(MATCH(54,$AA$40:$AA$133,0),0)=0,"",INDEX($AF$40:$AF$133,IFERROR(MATCH(54,$AA$40:$AA$133,0),0))&amp;"")</f>
        <v>CA CALLETS 10KG/UC 2UC/BOX 30BOX/PAL</v>
      </c>
      <c r="N67" s="118" t="str">
        <f aca="false">IF(A67="","",IF(I67="Aguardando transferência","Transferir "&amp;FIXED(G67,1)&amp;" "&amp;C67&amp;" do 2008 para o ZBR (verificar se já há OT aberta)",IF(I67="Transferido 100%","Nada a fazer","Sem ação: saíram "&amp;FIXED(-G67,1)&amp;" "&amp;C67&amp;" que já estavam no 2008 antes de 09/09 (conferir só se não havia saldo)")))</f>
        <v>Sem ação: saíram 600.0 KG que já estavam no 2008 antes de 09/09 (conferir só se não havia saldo)</v>
      </c>
      <c r="O67" s="1"/>
      <c r="T67" s="82" t="s">
        <v>286</v>
      </c>
      <c r="U67" s="82" t="s">
        <v>147</v>
      </c>
      <c r="V67" s="82" t="n">
        <f aca="false">SUMIFS('3 Base Entrada 2008'!$G$2:$G$5000,'3 Base Entrada 2008'!$F$2:$F$5000,"&gt;="&amp;$F$5,'3 Base Entrada 2008'!$F$2:$F$5000,"&lt;="&amp;$H$5,'3 Base Entrada 2008'!$B$2:$B$5000,$T67,'3 Base Entrada 2008'!$C$2:$C$5000,$AG67,'3 Base Entrada 2008'!$K$2:$K$5000,"Recebido no 2008")</f>
        <v>300</v>
      </c>
      <c r="W67" s="82" t="n">
        <f aca="false">-SUMIFS('3 Base Entrada 2008'!$G$2:$G$5000,'3 Base Entrada 2008'!$F$2:$F$5000,"&gt;="&amp;$F$5,'3 Base Entrada 2008'!$F$2:$F$5000,"&lt;="&amp;$H$5,'3 Base Entrada 2008'!$B$2:$B$5000,$T67,'3 Base Entrada 2008'!$C$2:$C$5000,$AG67,'3 Base Entrada 2008'!$K$2:$K$5000,"Entrada")</f>
        <v>-0</v>
      </c>
      <c r="X67" s="82" t="n">
        <f aca="false">SUMIFS('3 Base Entrada 2008'!$G$2:$G$5000,'3 Base Entrada 2008'!$F$2:$F$5000,"&gt;="&amp;$F$5,'3 Base Entrada 2008'!$F$2:$F$5000,"&lt;="&amp;$H$5,'3 Base Entrada 2008'!$B$2:$B$5000,$T67,'3 Base Entrada 2008'!$C$2:$C$5000,$AG67,'3 Base Entrada 2008'!$K$2:$K$5000,"Estorno")</f>
        <v>0</v>
      </c>
      <c r="Y67" s="82" t="n">
        <f aca="false">ROUND(BA67+V67-W67+X67,3)</f>
        <v>300</v>
      </c>
      <c r="Z67" s="82" t="n">
        <f aca="false">IF(AND(U67=$R$3,OR($R$1="*",T67=$R$1),OR($R$2="*",AG67=$R$2),OR($K$5="Todas",AB67=$K$5),ABS(V67)+ABS(W67)+ABS(X67)&gt;0),1,0)</f>
        <v>0</v>
      </c>
      <c r="AA67" s="0" t="str">
        <f aca="false">IF(Z67=1,SUM(Z$40:Z67),"")</f>
        <v/>
      </c>
      <c r="AB67" s="0" t="str">
        <f aca="false">IF(ABS(Y67)&lt;=$R$5,"Transferido 100%",IF(Y67&gt;0,"Aguardando transferência","Saiu saldo anterior a 09/09"))</f>
        <v>Aguardando transferência</v>
      </c>
      <c r="AC67" s="82" t="n">
        <f aca="false">COUNTIFS('3 Base Entrada 2008'!$F$2:$F$5000,"&gt;="&amp;$F$5,'3 Base Entrada 2008'!$F$2:$F$5000,"&lt;="&amp;$H$5,'3 Base Entrada 2008'!$B$2:$B$5000,$T67,'3 Base Entrada 2008'!$C$2:$C$5000,$AG67)</f>
        <v>1</v>
      </c>
      <c r="AD67" s="82" t="n">
        <f aca="false">_xlfn.MINIFS('3 Base Entrada 2008'!$F$2:$F$5000,'3 Base Entrada 2008'!$F$2:$F$5000,"&gt;="&amp;$F$5,'3 Base Entrada 2008'!$F$2:$F$5000,"&lt;="&amp;$H$5,'3 Base Entrada 2008'!$B$2:$B$5000,$T67,'3 Base Entrada 2008'!$C$2:$C$5000,$AG67)</f>
        <v>46275</v>
      </c>
      <c r="AE67" s="82" t="n">
        <f aca="false">_xlfn.MAXIFS('3 Base Entrada 2008'!$F$2:$F$5000,'3 Base Entrada 2008'!$F$2:$F$5000,"&gt;="&amp;$F$5,'3 Base Entrada 2008'!$F$2:$F$5000,"&lt;="&amp;$H$5,'3 Base Entrada 2008'!$B$2:$B$5000,$T67,'3 Base Entrada 2008'!$C$2:$C$5000,$AG67)</f>
        <v>46275</v>
      </c>
      <c r="AF67" s="82" t="s">
        <v>1354</v>
      </c>
      <c r="AG67" s="82" t="s">
        <v>383</v>
      </c>
      <c r="AH67" s="82" t="n">
        <f aca="false">IF(AND(Z67=1,Y67&gt;$R$5),Y67+ROW()/10000000,0)</f>
        <v>0</v>
      </c>
      <c r="AV67" s="0" t="str">
        <f aca="false">IFERROR(INDEX($AX$1:$AX$94,MATCH(66,$AY$1:$AY$94,0)),"")</f>
        <v>261070301</v>
      </c>
      <c r="AW67" s="82" t="s">
        <v>372</v>
      </c>
      <c r="AX67" s="82" t="s">
        <v>373</v>
      </c>
      <c r="AY67" s="82" t="n">
        <f aca="false">IF(OR($A$5="Todos",AW67=$A$5),MAX(AY$1:AY66)+1,0)</f>
        <v>67</v>
      </c>
      <c r="BA67" s="82" t="n">
        <f aca="false">SUMIFS('3 Base Saldo Inicial 08-09'!$E$2:$E$5000,'3 Base Saldo Inicial 08-09'!$A$2:$A$5000,$T67,'3 Base Saldo Inicial 08-09'!$B$2:$B$5000,$AG67,'3 Base Saldo Inicial 08-09'!$C$2:$C$5000,"2008")</f>
        <v>0</v>
      </c>
    </row>
    <row r="68" customFormat="false" ht="15" hidden="false" customHeight="false" outlineLevel="0" collapsed="false">
      <c r="A68" s="111" t="str">
        <f aca="false">IF(IFERROR(MATCH(55,$AA$40:$AA$133,0),0)=0,"",INDEX($T$40:$T$133,IFERROR(MATCH(55,$AA$40:$AA$133,0),0)))</f>
        <v>CW2-BR-25A</v>
      </c>
      <c r="B68" s="111" t="str">
        <f aca="false">IF(IFERROR(MATCH(55,$AA$40:$AA$133,0),0)=0,"",INDEX($AG$40:$AG$133,IFERROR(MATCH(55,$AA$40:$AA$133,0),0)))</f>
        <v>252350301</v>
      </c>
      <c r="C68" s="112" t="str">
        <f aca="false">IF(IFERROR(MATCH(55,$AA$40:$AA$133,0),0)=0,"",INDEX($U$40:$U$133,IFERROR(MATCH(55,$AA$40:$AA$133,0),0)))</f>
        <v>KG</v>
      </c>
      <c r="D68" s="113" t="n">
        <f aca="false">IF(IFERROR(MATCH(55,$AA$40:$AA$133,0),0)=0,"",INDEX($V$40:$V$133,IFERROR(MATCH(55,$AA$40:$AA$133,0),0)))</f>
        <v>0</v>
      </c>
      <c r="E68" s="113" t="n">
        <f aca="false">IF(IFERROR(MATCH(55,$AA$40:$AA$133,0),0)=0,"",INDEX($W$40:$W$133,IFERROR(MATCH(55,$AA$40:$AA$133,0),0)))</f>
        <v>602.9</v>
      </c>
      <c r="F68" s="113" t="n">
        <f aca="false">IF(IFERROR(MATCH(55,$AA$40:$AA$133,0),0)=0,"",INDEX($X$40:$X$133,IFERROR(MATCH(55,$AA$40:$AA$133,0),0)))</f>
        <v>0</v>
      </c>
      <c r="G68" s="114" t="n">
        <f aca="false">IF(IFERROR(MATCH(55,$AA$40:$AA$133,0),0)=0,"",INDEX($Y$40:$Y$133,IFERROR(MATCH(55,$AA$40:$AA$133,0),0)))</f>
        <v>-602.9</v>
      </c>
      <c r="H68" s="145" t="str">
        <f aca="false">IF(A68="","",IF(D68&gt;0,(E68-F68)/D68,""))</f>
        <v/>
      </c>
      <c r="I68" s="115" t="str">
        <f aca="false">IF(IFERROR(MATCH(55,$AA$40:$AA$133,0),0)=0,"",INDEX($AB$40:$AB$133,IFERROR(MATCH(55,$AA$40:$AA$133,0),0)))</f>
        <v>Saiu saldo anterior a 09/09</v>
      </c>
      <c r="J68" s="116" t="n">
        <f aca="false">IF(IFERROR(MATCH(55,$AA$40:$AA$133,0),0)=0,"",INDEX($AC$40:$AC$133,IFERROR(MATCH(55,$AA$40:$AA$133,0),0)))</f>
        <v>1</v>
      </c>
      <c r="K68" s="117" t="n">
        <f aca="false">IF(IFERROR(MATCH(55,$AA$40:$AA$133,0),0)=0,"",IF(INDEX($AD$40:$AD$133,IFERROR(MATCH(55,$AA$40:$AA$133,0),0))=0,"",INDEX($AD$40:$AD$133,IFERROR(MATCH(55,$AA$40:$AA$133,0),0))))</f>
        <v>46289</v>
      </c>
      <c r="L68" s="117" t="n">
        <f aca="false">IF(IFERROR(MATCH(55,$AA$40:$AA$133,0),0)=0,"",IF(INDEX($AE$40:$AE$133,IFERROR(MATCH(55,$AA$40:$AA$133,0),0))=0,"",INDEX($AE$40:$AE$133,IFERROR(MATCH(55,$AA$40:$AA$133,0),0))))</f>
        <v>46289</v>
      </c>
      <c r="M68" s="119" t="str">
        <f aca="false">IF(IFERROR(MATCH(55,$AA$40:$AA$133,0),0)=0,"",INDEX($AF$40:$AF$133,IFERROR(MATCH(55,$AA$40:$AA$133,0),0))&amp;"")</f>
        <v>CA MOEDAS 2,01KG/UC 10UC/CX 30CX/PAL</v>
      </c>
      <c r="N68" s="118" t="str">
        <f aca="false">IF(A68="","",IF(I68="Aguardando transferência","Transferir "&amp;FIXED(G68,1)&amp;" "&amp;C68&amp;" do 2008 para o ZBR (verificar se já há OT aberta)",IF(I68="Transferido 100%","Nada a fazer","Sem ação: saíram "&amp;FIXED(-G68,1)&amp;" "&amp;C68&amp;" que já estavam no 2008 antes de 09/09 (conferir só se não havia saldo)")))</f>
        <v>Sem ação: saíram 602.9 KG que já estavam no 2008 antes de 09/09 (conferir só se não havia saldo)</v>
      </c>
      <c r="O68" s="1"/>
      <c r="T68" s="82" t="s">
        <v>389</v>
      </c>
      <c r="U68" s="82" t="s">
        <v>65</v>
      </c>
      <c r="V68" s="82" t="n">
        <f aca="false">SUMIFS('3 Base Entrada 2008'!$G$2:$G$5000,'3 Base Entrada 2008'!$F$2:$F$5000,"&gt;="&amp;$F$5,'3 Base Entrada 2008'!$F$2:$F$5000,"&lt;="&amp;$H$5,'3 Base Entrada 2008'!$B$2:$B$5000,$T68,'3 Base Entrada 2008'!$C$2:$C$5000,$AG68,'3 Base Entrada 2008'!$K$2:$K$5000,"Recebido no 2008")</f>
        <v>204.4</v>
      </c>
      <c r="W68" s="82" t="n">
        <f aca="false">-SUMIFS('3 Base Entrada 2008'!$G$2:$G$5000,'3 Base Entrada 2008'!$F$2:$F$5000,"&gt;="&amp;$F$5,'3 Base Entrada 2008'!$F$2:$F$5000,"&lt;="&amp;$H$5,'3 Base Entrada 2008'!$B$2:$B$5000,$T68,'3 Base Entrada 2008'!$C$2:$C$5000,$AG68,'3 Base Entrada 2008'!$K$2:$K$5000,"Entrada")</f>
        <v>-0</v>
      </c>
      <c r="X68" s="82" t="n">
        <f aca="false">SUMIFS('3 Base Entrada 2008'!$G$2:$G$5000,'3 Base Entrada 2008'!$F$2:$F$5000,"&gt;="&amp;$F$5,'3 Base Entrada 2008'!$F$2:$F$5000,"&lt;="&amp;$H$5,'3 Base Entrada 2008'!$B$2:$B$5000,$T68,'3 Base Entrada 2008'!$C$2:$C$5000,$AG68,'3 Base Entrada 2008'!$K$2:$K$5000,"Estorno")</f>
        <v>0</v>
      </c>
      <c r="Y68" s="82" t="n">
        <f aca="false">ROUND(BA68+V68-W68+X68,3)</f>
        <v>204.4</v>
      </c>
      <c r="Z68" s="82" t="n">
        <f aca="false">IF(AND(U68=$R$3,OR($R$1="*",T68=$R$1),OR($R$2="*",AG68=$R$2),OR($K$5="Todas",AB68=$K$5),ABS(V68)+ABS(W68)+ABS(X68)&gt;0),1,0)</f>
        <v>1</v>
      </c>
      <c r="AA68" s="82" t="n">
        <f aca="false">IF(Z68=1,SUM(Z$40:Z68),"")</f>
        <v>27</v>
      </c>
      <c r="AB68" s="0" t="str">
        <f aca="false">IF(ABS(Y68)&lt;=$R$5,"Transferido 100%",IF(Y68&gt;0,"Aguardando transferência","Saiu saldo anterior a 09/09"))</f>
        <v>Aguardando transferência</v>
      </c>
      <c r="AC68" s="82" t="n">
        <f aca="false">COUNTIFS('3 Base Entrada 2008'!$F$2:$F$5000,"&gt;="&amp;$F$5,'3 Base Entrada 2008'!$F$2:$F$5000,"&lt;="&amp;$H$5,'3 Base Entrada 2008'!$B$2:$B$5000,$T68,'3 Base Entrada 2008'!$C$2:$C$5000,$AG68)</f>
        <v>1</v>
      </c>
      <c r="AD68" s="82" t="n">
        <f aca="false">_xlfn.MINIFS('3 Base Entrada 2008'!$F$2:$F$5000,'3 Base Entrada 2008'!$F$2:$F$5000,"&gt;="&amp;$F$5,'3 Base Entrada 2008'!$F$2:$F$5000,"&lt;="&amp;$H$5,'3 Base Entrada 2008'!$B$2:$B$5000,$T68,'3 Base Entrada 2008'!$C$2:$C$5000,$AG68)</f>
        <v>46275</v>
      </c>
      <c r="AE68" s="82" t="n">
        <f aca="false">_xlfn.MAXIFS('3 Base Entrada 2008'!$F$2:$F$5000,'3 Base Entrada 2008'!$F$2:$F$5000,"&gt;="&amp;$F$5,'3 Base Entrada 2008'!$F$2:$F$5000,"&lt;="&amp;$H$5,'3 Base Entrada 2008'!$B$2:$B$5000,$T68,'3 Base Entrada 2008'!$C$2:$C$5000,$AG68)</f>
        <v>46275</v>
      </c>
      <c r="AF68" s="82" t="s">
        <v>1104</v>
      </c>
      <c r="AG68" s="82" t="s">
        <v>394</v>
      </c>
      <c r="AH68" s="82" t="n">
        <f aca="false">IF(AND(Z68=1,Y68&gt;$R$5),Y68+ROW()/10000000,0)</f>
        <v>204.4000068</v>
      </c>
      <c r="AV68" s="0" t="str">
        <f aca="false">IFERROR(INDEX($AX$1:$AX$94,MATCH(67,$AY$1:$AY$94,0)),"")</f>
        <v>260850602</v>
      </c>
      <c r="AW68" s="82" t="s">
        <v>372</v>
      </c>
      <c r="AX68" s="82" t="s">
        <v>374</v>
      </c>
      <c r="AY68" s="82" t="n">
        <f aca="false">IF(OR($A$5="Todos",AW68=$A$5),MAX(AY$1:AY67)+1,0)</f>
        <v>68</v>
      </c>
      <c r="BA68" s="82" t="n">
        <f aca="false">SUMIFS('3 Base Saldo Inicial 08-09'!$E$2:$E$5000,'3 Base Saldo Inicial 08-09'!$A$2:$A$5000,$T68,'3 Base Saldo Inicial 08-09'!$B$2:$B$5000,$AG68,'3 Base Saldo Inicial 08-09'!$C$2:$C$5000,"2008")</f>
        <v>0</v>
      </c>
    </row>
    <row r="69" customFormat="false" ht="15" hidden="false" customHeight="false" outlineLevel="0" collapsed="false">
      <c r="A69" s="111" t="str">
        <f aca="false">IF(IFERROR(MATCH(56,$AA$40:$AA$133,0),0)=0,"",INDEX($T$40:$T$133,IFERROR(MATCH(56,$AA$40:$AA$133,0),0)))</f>
        <v>CW2-BR-25A</v>
      </c>
      <c r="B69" s="111" t="str">
        <f aca="false">IF(IFERROR(MATCH(56,$AA$40:$AA$133,0),0)=0,"",INDEX($AG$40:$AG$133,IFERROR(MATCH(56,$AA$40:$AA$133,0),0)))</f>
        <v>252590301</v>
      </c>
      <c r="C69" s="112" t="str">
        <f aca="false">IF(IFERROR(MATCH(56,$AA$40:$AA$133,0),0)=0,"",INDEX($U$40:$U$133,IFERROR(MATCH(56,$AA$40:$AA$133,0),0)))</f>
        <v>KG</v>
      </c>
      <c r="D69" s="113" t="n">
        <f aca="false">IF(IFERROR(MATCH(56,$AA$40:$AA$133,0),0)=0,"",INDEX($V$40:$V$133,IFERROR(MATCH(56,$AA$40:$AA$133,0),0)))</f>
        <v>0</v>
      </c>
      <c r="E69" s="113" t="n">
        <f aca="false">IF(IFERROR(MATCH(56,$AA$40:$AA$133,0),0)=0,"",INDEX($W$40:$W$133,IFERROR(MATCH(56,$AA$40:$AA$133,0),0)))</f>
        <v>603</v>
      </c>
      <c r="F69" s="113" t="n">
        <f aca="false">IF(IFERROR(MATCH(56,$AA$40:$AA$133,0),0)=0,"",INDEX($X$40:$X$133,IFERROR(MATCH(56,$AA$40:$AA$133,0),0)))</f>
        <v>0</v>
      </c>
      <c r="G69" s="114" t="n">
        <f aca="false">IF(IFERROR(MATCH(56,$AA$40:$AA$133,0),0)=0,"",INDEX($Y$40:$Y$133,IFERROR(MATCH(56,$AA$40:$AA$133,0),0)))</f>
        <v>-603</v>
      </c>
      <c r="H69" s="145" t="str">
        <f aca="false">IF(A69="","",IF(D69&gt;0,(E69-F69)/D69,""))</f>
        <v/>
      </c>
      <c r="I69" s="115" t="str">
        <f aca="false">IF(IFERROR(MATCH(56,$AA$40:$AA$133,0),0)=0,"",INDEX($AB$40:$AB$133,IFERROR(MATCH(56,$AA$40:$AA$133,0),0)))</f>
        <v>Saiu saldo anterior a 09/09</v>
      </c>
      <c r="J69" s="116" t="n">
        <f aca="false">IF(IFERROR(MATCH(56,$AA$40:$AA$133,0),0)=0,"",INDEX($AC$40:$AC$133,IFERROR(MATCH(56,$AA$40:$AA$133,0),0)))</f>
        <v>1</v>
      </c>
      <c r="K69" s="117" t="n">
        <f aca="false">IF(IFERROR(MATCH(56,$AA$40:$AA$133,0),0)=0,"",IF(INDEX($AD$40:$AD$133,IFERROR(MATCH(56,$AA$40:$AA$133,0),0))=0,"",INDEX($AD$40:$AD$133,IFERROR(MATCH(56,$AA$40:$AA$133,0),0))))</f>
        <v>46291</v>
      </c>
      <c r="L69" s="117" t="n">
        <f aca="false">IF(IFERROR(MATCH(56,$AA$40:$AA$133,0),0)=0,"",IF(INDEX($AE$40:$AE$133,IFERROR(MATCH(56,$AA$40:$AA$133,0),0))=0,"",INDEX($AE$40:$AE$133,IFERROR(MATCH(56,$AA$40:$AA$133,0),0))))</f>
        <v>46291</v>
      </c>
      <c r="M69" s="119" t="str">
        <f aca="false">IF(IFERROR(MATCH(56,$AA$40:$AA$133,0),0)=0,"",INDEX($AF$40:$AF$133,IFERROR(MATCH(56,$AA$40:$AA$133,0),0))&amp;"")</f>
        <v>CA MOEDAS 2,01KG/UC 10UC/CX 30CX/PAL</v>
      </c>
      <c r="N69" s="118" t="str">
        <f aca="false">IF(A69="","",IF(I69="Aguardando transferência","Transferir "&amp;FIXED(G69,1)&amp;" "&amp;C69&amp;" do 2008 para o ZBR (verificar se já há OT aberta)",IF(I69="Transferido 100%","Nada a fazer","Sem ação: saíram "&amp;FIXED(-G69,1)&amp;" "&amp;C69&amp;" que já estavam no 2008 antes de 09/09 (conferir só se não havia saldo)")))</f>
        <v>Sem ação: saíram 603.0 KG que já estavam no 2008 antes de 09/09 (conferir só se não havia saldo)</v>
      </c>
      <c r="O69" s="1"/>
      <c r="T69" s="82" t="s">
        <v>247</v>
      </c>
      <c r="U69" s="82" t="s">
        <v>65</v>
      </c>
      <c r="V69" s="82" t="n">
        <f aca="false">SUMIFS('3 Base Entrada 2008'!$G$2:$G$5000,'3 Base Entrada 2008'!$F$2:$F$5000,"&gt;="&amp;$F$5,'3 Base Entrada 2008'!$F$2:$F$5000,"&lt;="&amp;$H$5,'3 Base Entrada 2008'!$B$2:$B$5000,$T69,'3 Base Entrada 2008'!$C$2:$C$5000,$AG69,'3 Base Entrada 2008'!$K$2:$K$5000,"Recebido no 2008")</f>
        <v>160.8</v>
      </c>
      <c r="W69" s="82" t="n">
        <f aca="false">-SUMIFS('3 Base Entrada 2008'!$G$2:$G$5000,'3 Base Entrada 2008'!$F$2:$F$5000,"&gt;="&amp;$F$5,'3 Base Entrada 2008'!$F$2:$F$5000,"&lt;="&amp;$H$5,'3 Base Entrada 2008'!$B$2:$B$5000,$T69,'3 Base Entrada 2008'!$C$2:$C$5000,$AG69,'3 Base Entrada 2008'!$K$2:$K$5000,"Entrada")</f>
        <v>-0</v>
      </c>
      <c r="X69" s="82" t="n">
        <f aca="false">SUMIFS('3 Base Entrada 2008'!$G$2:$G$5000,'3 Base Entrada 2008'!$F$2:$F$5000,"&gt;="&amp;$F$5,'3 Base Entrada 2008'!$F$2:$F$5000,"&lt;="&amp;$H$5,'3 Base Entrada 2008'!$B$2:$B$5000,$T69,'3 Base Entrada 2008'!$C$2:$C$5000,$AG69,'3 Base Entrada 2008'!$K$2:$K$5000,"Estorno")</f>
        <v>0</v>
      </c>
      <c r="Y69" s="82" t="n">
        <f aca="false">ROUND(BA69+V69-W69+X69,3)</f>
        <v>160.8</v>
      </c>
      <c r="Z69" s="82" t="n">
        <f aca="false">IF(AND(U69=$R$3,OR($R$1="*",T69=$R$1),OR($R$2="*",AG69=$R$2),OR($K$5="Todas",AB69=$K$5),ABS(V69)+ABS(W69)+ABS(X69)&gt;0),1,0)</f>
        <v>1</v>
      </c>
      <c r="AA69" s="82" t="n">
        <f aca="false">IF(Z69=1,SUM(Z$40:Z69),"")</f>
        <v>28</v>
      </c>
      <c r="AB69" s="0" t="str">
        <f aca="false">IF(ABS(Y69)&lt;=$R$5,"Transferido 100%",IF(Y69&gt;0,"Aguardando transferência","Saiu saldo anterior a 09/09"))</f>
        <v>Aguardando transferência</v>
      </c>
      <c r="AC69" s="82" t="n">
        <f aca="false">COUNTIFS('3 Base Entrada 2008'!$F$2:$F$5000,"&gt;="&amp;$F$5,'3 Base Entrada 2008'!$F$2:$F$5000,"&lt;="&amp;$H$5,'3 Base Entrada 2008'!$B$2:$B$5000,$T69,'3 Base Entrada 2008'!$C$2:$C$5000,$AG69)</f>
        <v>1</v>
      </c>
      <c r="AD69" s="82" t="n">
        <f aca="false">_xlfn.MINIFS('3 Base Entrada 2008'!$F$2:$F$5000,'3 Base Entrada 2008'!$F$2:$F$5000,"&gt;="&amp;$F$5,'3 Base Entrada 2008'!$F$2:$F$5000,"&lt;="&amp;$H$5,'3 Base Entrada 2008'!$B$2:$B$5000,$T69,'3 Base Entrada 2008'!$C$2:$C$5000,$AG69)</f>
        <v>46275</v>
      </c>
      <c r="AE69" s="82" t="n">
        <f aca="false">_xlfn.MAXIFS('3 Base Entrada 2008'!$F$2:$F$5000,'3 Base Entrada 2008'!$F$2:$F$5000,"&gt;="&amp;$F$5,'3 Base Entrada 2008'!$F$2:$F$5000,"&lt;="&amp;$H$5,'3 Base Entrada 2008'!$B$2:$B$5000,$T69,'3 Base Entrada 2008'!$C$2:$C$5000,$AG69)</f>
        <v>46275</v>
      </c>
      <c r="AF69" s="82" t="s">
        <v>404</v>
      </c>
      <c r="AG69" s="82" t="s">
        <v>350</v>
      </c>
      <c r="AH69" s="82" t="n">
        <f aca="false">IF(AND(Z69=1,Y69&gt;$R$5),Y69+ROW()/10000000,0)</f>
        <v>160.8000069</v>
      </c>
      <c r="AV69" s="0" t="str">
        <f aca="false">IFERROR(INDEX($AX$1:$AX$94,MATCH(68,$AY$1:$AY$94,0)),"")</f>
        <v>261070601</v>
      </c>
      <c r="AW69" s="82" t="s">
        <v>281</v>
      </c>
      <c r="AX69" s="82" t="s">
        <v>282</v>
      </c>
      <c r="AY69" s="82" t="n">
        <f aca="false">IF(OR($A$5="Todos",AW69=$A$5),MAX(AY$1:AY68)+1,0)</f>
        <v>69</v>
      </c>
      <c r="BA69" s="82" t="n">
        <f aca="false">SUMIFS('3 Base Saldo Inicial 08-09'!$E$2:$E$5000,'3 Base Saldo Inicial 08-09'!$A$2:$A$5000,$T69,'3 Base Saldo Inicial 08-09'!$B$2:$B$5000,$AG69,'3 Base Saldo Inicial 08-09'!$C$2:$C$5000,"2008")</f>
        <v>0</v>
      </c>
    </row>
    <row r="70" customFormat="false" ht="15" hidden="false" customHeight="false" outlineLevel="0" collapsed="false">
      <c r="A70" s="111" t="str">
        <f aca="false">IF(IFERROR(MATCH(57,$AA$40:$AA$133,0),0)=0,"",INDEX($T$40:$T$133,IFERROR(MATCH(57,$AA$40:$AA$133,0),0)))</f>
        <v>W2-BR-D94</v>
      </c>
      <c r="B70" s="111" t="str">
        <f aca="false">IF(IFERROR(MATCH(57,$AA$40:$AA$133,0),0)=0,"",INDEX($AG$40:$AG$133,IFERROR(MATCH(57,$AA$40:$AA$133,0),0)))</f>
        <v>260700919</v>
      </c>
      <c r="C70" s="112" t="str">
        <f aca="false">IF(IFERROR(MATCH(57,$AA$40:$AA$133,0),0)=0,"",INDEX($U$40:$U$133,IFERROR(MATCH(57,$AA$40:$AA$133,0),0)))</f>
        <v>KG</v>
      </c>
      <c r="D70" s="113" t="n">
        <f aca="false">IF(IFERROR(MATCH(57,$AA$40:$AA$133,0),0)=0,"",INDEX($V$40:$V$133,IFERROR(MATCH(57,$AA$40:$AA$133,0),0)))</f>
        <v>0</v>
      </c>
      <c r="E70" s="113" t="n">
        <f aca="false">IF(IFERROR(MATCH(57,$AA$40:$AA$133,0),0)=0,"",INDEX($W$40:$W$133,IFERROR(MATCH(57,$AA$40:$AA$133,0),0)))</f>
        <v>627.2</v>
      </c>
      <c r="F70" s="113" t="n">
        <f aca="false">IF(IFERROR(MATCH(57,$AA$40:$AA$133,0),0)=0,"",INDEX($X$40:$X$133,IFERROR(MATCH(57,$AA$40:$AA$133,0),0)))</f>
        <v>0</v>
      </c>
      <c r="G70" s="114" t="n">
        <f aca="false">IF(IFERROR(MATCH(57,$AA$40:$AA$133,0),0)=0,"",INDEX($Y$40:$Y$133,IFERROR(MATCH(57,$AA$40:$AA$133,0),0)))</f>
        <v>-627.2</v>
      </c>
      <c r="H70" s="145" t="str">
        <f aca="false">IF(A70="","",IF(D70&gt;0,(E70-F70)/D70,""))</f>
        <v/>
      </c>
      <c r="I70" s="115" t="str">
        <f aca="false">IF(IFERROR(MATCH(57,$AA$40:$AA$133,0),0)=0,"",INDEX($AB$40:$AB$133,IFERROR(MATCH(57,$AA$40:$AA$133,0),0)))</f>
        <v>Saiu saldo anterior a 09/09</v>
      </c>
      <c r="J70" s="116" t="n">
        <f aca="false">IF(IFERROR(MATCH(57,$AA$40:$AA$133,0),0)=0,"",INDEX($AC$40:$AC$133,IFERROR(MATCH(57,$AA$40:$AA$133,0),0)))</f>
        <v>1</v>
      </c>
      <c r="K70" s="117" t="n">
        <f aca="false">IF(IFERROR(MATCH(57,$AA$40:$AA$133,0),0)=0,"",IF(INDEX($AD$40:$AD$133,IFERROR(MATCH(57,$AA$40:$AA$133,0),0))=0,"",INDEX($AD$40:$AD$133,IFERROR(MATCH(57,$AA$40:$AA$133,0),0))))</f>
        <v>46291</v>
      </c>
      <c r="L70" s="117" t="n">
        <f aca="false">IF(IFERROR(MATCH(57,$AA$40:$AA$133,0),0)=0,"",IF(INDEX($AE$40:$AE$133,IFERROR(MATCH(57,$AA$40:$AA$133,0),0))=0,"",INDEX($AE$40:$AE$133,IFERROR(MATCH(57,$AA$40:$AA$133,0),0))))</f>
        <v>46291</v>
      </c>
      <c r="M70" s="119" t="str">
        <f aca="false">IF(IFERROR(MATCH(57,$AA$40:$AA$133,0),0)=0,"",INDEX($AF$40:$AF$133,IFERROR(MATCH(57,$AA$40:$AA$133,0),0))&amp;"")</f>
        <v>CA CALLETS 0.4KG/UC 7UC/BOX 144BOX/PAL</v>
      </c>
      <c r="N70" s="118" t="str">
        <f aca="false">IF(A70="","",IF(I70="Aguardando transferência","Transferir "&amp;FIXED(G70,1)&amp;" "&amp;C70&amp;" do 2008 para o ZBR (verificar se já há OT aberta)",IF(I70="Transferido 100%","Nada a fazer","Sem ação: saíram "&amp;FIXED(-G70,1)&amp;" "&amp;C70&amp;" que já estavam no 2008 antes de 09/09 (conferir só se não havia saldo)")))</f>
        <v>Sem ação: saíram 627.2 KG que já estavam no 2008 antes de 09/09 (conferir só se não havia saldo)</v>
      </c>
      <c r="O70" s="1"/>
      <c r="T70" s="82" t="s">
        <v>286</v>
      </c>
      <c r="U70" s="82" t="s">
        <v>147</v>
      </c>
      <c r="V70" s="82" t="n">
        <f aca="false">SUMIFS('3 Base Entrada 2008'!$G$2:$G$5000,'3 Base Entrada 2008'!$F$2:$F$5000,"&gt;="&amp;$F$5,'3 Base Entrada 2008'!$F$2:$F$5000,"&lt;="&amp;$H$5,'3 Base Entrada 2008'!$B$2:$B$5000,$T70,'3 Base Entrada 2008'!$C$2:$C$5000,$AG70,'3 Base Entrada 2008'!$K$2:$K$5000,"Recebido no 2008")</f>
        <v>0</v>
      </c>
      <c r="W70" s="82" t="n">
        <f aca="false">-SUMIFS('3 Base Entrada 2008'!$G$2:$G$5000,'3 Base Entrada 2008'!$F$2:$F$5000,"&gt;="&amp;$F$5,'3 Base Entrada 2008'!$F$2:$F$5000,"&lt;="&amp;$H$5,'3 Base Entrada 2008'!$B$2:$B$5000,$T70,'3 Base Entrada 2008'!$C$2:$C$5000,$AG70,'3 Base Entrada 2008'!$K$2:$K$5000,"Entrada")</f>
        <v>-0</v>
      </c>
      <c r="X70" s="82" t="n">
        <f aca="false">SUMIFS('3 Base Entrada 2008'!$G$2:$G$5000,'3 Base Entrada 2008'!$F$2:$F$5000,"&gt;="&amp;$F$5,'3 Base Entrada 2008'!$F$2:$F$5000,"&lt;="&amp;$H$5,'3 Base Entrada 2008'!$B$2:$B$5000,$T70,'3 Base Entrada 2008'!$C$2:$C$5000,$AG70,'3 Base Entrada 2008'!$K$2:$K$5000,"Estorno")</f>
        <v>120</v>
      </c>
      <c r="Y70" s="82" t="n">
        <f aca="false">ROUND(BA70+V70-W70+X70,3)</f>
        <v>120</v>
      </c>
      <c r="Z70" s="82" t="n">
        <f aca="false">IF(AND(U70=$R$3,OR($R$1="*",T70=$R$1),OR($R$2="*",AG70=$R$2),OR($K$5="Todas",AB70=$K$5),ABS(V70)+ABS(W70)+ABS(X70)&gt;0),1,0)</f>
        <v>0</v>
      </c>
      <c r="AA70" s="0" t="str">
        <f aca="false">IF(Z70=1,SUM(Z$40:Z70),"")</f>
        <v/>
      </c>
      <c r="AB70" s="0" t="str">
        <f aca="false">IF(ABS(Y70)&lt;=$R$5,"Transferido 100%",IF(Y70&gt;0,"Aguardando transferência","Saiu saldo anterior a 09/09"))</f>
        <v>Aguardando transferência</v>
      </c>
      <c r="AC70" s="82" t="n">
        <f aca="false">COUNTIFS('3 Base Entrada 2008'!$F$2:$F$5000,"&gt;="&amp;$F$5,'3 Base Entrada 2008'!$F$2:$F$5000,"&lt;="&amp;$H$5,'3 Base Entrada 2008'!$B$2:$B$5000,$T70,'3 Base Entrada 2008'!$C$2:$C$5000,$AG70)</f>
        <v>1</v>
      </c>
      <c r="AD70" s="82" t="n">
        <f aca="false">_xlfn.MINIFS('3 Base Entrada 2008'!$F$2:$F$5000,'3 Base Entrada 2008'!$F$2:$F$5000,"&gt;="&amp;$F$5,'3 Base Entrada 2008'!$F$2:$F$5000,"&lt;="&amp;$H$5,'3 Base Entrada 2008'!$B$2:$B$5000,$T70,'3 Base Entrada 2008'!$C$2:$C$5000,$AG70)</f>
        <v>46289</v>
      </c>
      <c r="AE70" s="82" t="n">
        <f aca="false">_xlfn.MAXIFS('3 Base Entrada 2008'!$F$2:$F$5000,'3 Base Entrada 2008'!$F$2:$F$5000,"&gt;="&amp;$F$5,'3 Base Entrada 2008'!$F$2:$F$5000,"&lt;="&amp;$H$5,'3 Base Entrada 2008'!$B$2:$B$5000,$T70,'3 Base Entrada 2008'!$C$2:$C$5000,$AG70)</f>
        <v>46289</v>
      </c>
      <c r="AF70" s="82" t="s">
        <v>1354</v>
      </c>
      <c r="AG70" s="82" t="s">
        <v>299</v>
      </c>
      <c r="AH70" s="82" t="n">
        <f aca="false">IF(AND(Z70=1,Y70&gt;$R$5),Y70+ROW()/10000000,0)</f>
        <v>0</v>
      </c>
      <c r="AV70" s="0" t="str">
        <f aca="false">IFERROR(INDEX($AX$1:$AX$94,MATCH(69,$AY$1:$AY$94,0)),"")</f>
        <v>260778132</v>
      </c>
      <c r="AW70" s="82" t="s">
        <v>375</v>
      </c>
      <c r="AX70" s="82" t="s">
        <v>376</v>
      </c>
      <c r="AY70" s="82" t="n">
        <f aca="false">IF(OR($A$5="Todos",AW70=$A$5),MAX(AY$1:AY69)+1,0)</f>
        <v>70</v>
      </c>
      <c r="BA70" s="82" t="n">
        <f aca="false">SUMIFS('3 Base Saldo Inicial 08-09'!$E$2:$E$5000,'3 Base Saldo Inicial 08-09'!$A$2:$A$5000,$T70,'3 Base Saldo Inicial 08-09'!$B$2:$B$5000,$AG70,'3 Base Saldo Inicial 08-09'!$C$2:$C$5000,"2008")</f>
        <v>0</v>
      </c>
    </row>
    <row r="71" customFormat="false" ht="15" hidden="false" customHeight="false" outlineLevel="0" collapsed="false">
      <c r="A71" s="111" t="str">
        <f aca="false">IF(IFERROR(MATCH(58,$AA$40:$AA$133,0),0)=0,"",INDEX($T$40:$T$133,IFERROR(MATCH(58,$AA$40:$AA$133,0),0)))</f>
        <v>CHD-DR-75Y5-E1-U68</v>
      </c>
      <c r="B71" s="111" t="str">
        <f aca="false">IF(IFERROR(MATCH(58,$AA$40:$AA$133,0),0)=0,"",INDEX($AG$40:$AG$133,IFERROR(MATCH(58,$AA$40:$AA$133,0),0)))</f>
        <v>252810301</v>
      </c>
      <c r="C71" s="112" t="str">
        <f aca="false">IF(IFERROR(MATCH(58,$AA$40:$AA$133,0),0)=0,"",INDEX($U$40:$U$133,IFERROR(MATCH(58,$AA$40:$AA$133,0),0)))</f>
        <v>KG</v>
      </c>
      <c r="D71" s="113" t="n">
        <f aca="false">IF(IFERROR(MATCH(58,$AA$40:$AA$133,0),0)=0,"",INDEX($V$40:$V$133,IFERROR(MATCH(58,$AA$40:$AA$133,0),0)))</f>
        <v>0</v>
      </c>
      <c r="E71" s="113" t="n">
        <f aca="false">IF(IFERROR(MATCH(58,$AA$40:$AA$133,0),0)=0,"",INDEX($W$40:$W$133,IFERROR(MATCH(58,$AA$40:$AA$133,0),0)))</f>
        <v>648</v>
      </c>
      <c r="F71" s="113" t="n">
        <f aca="false">IF(IFERROR(MATCH(58,$AA$40:$AA$133,0),0)=0,"",INDEX($X$40:$X$133,IFERROR(MATCH(58,$AA$40:$AA$133,0),0)))</f>
        <v>0</v>
      </c>
      <c r="G71" s="114" t="n">
        <f aca="false">IF(IFERROR(MATCH(58,$AA$40:$AA$133,0),0)=0,"",INDEX($Y$40:$Y$133,IFERROR(MATCH(58,$AA$40:$AA$133,0),0)))</f>
        <v>-648</v>
      </c>
      <c r="H71" s="145" t="str">
        <f aca="false">IF(A71="","",IF(D71&gt;0,(E71-F71)/D71,""))</f>
        <v/>
      </c>
      <c r="I71" s="115" t="str">
        <f aca="false">IF(IFERROR(MATCH(58,$AA$40:$AA$133,0),0)=0,"",INDEX($AB$40:$AB$133,IFERROR(MATCH(58,$AA$40:$AA$133,0),0)))</f>
        <v>Saiu saldo anterior a 09/09</v>
      </c>
      <c r="J71" s="116" t="n">
        <f aca="false">IF(IFERROR(MATCH(58,$AA$40:$AA$133,0),0)=0,"",INDEX($AC$40:$AC$133,IFERROR(MATCH(58,$AA$40:$AA$133,0),0)))</f>
        <v>1</v>
      </c>
      <c r="K71" s="117" t="n">
        <f aca="false">IF(IFERROR(MATCH(58,$AA$40:$AA$133,0),0)=0,"",IF(INDEX($AD$40:$AD$133,IFERROR(MATCH(58,$AA$40:$AA$133,0),0))=0,"",INDEX($AD$40:$AD$133,IFERROR(MATCH(58,$AA$40:$AA$133,0),0))))</f>
        <v>46288</v>
      </c>
      <c r="L71" s="117" t="n">
        <f aca="false">IF(IFERROR(MATCH(58,$AA$40:$AA$133,0),0)=0,"",IF(INDEX($AE$40:$AE$133,IFERROR(MATCH(58,$AA$40:$AA$133,0),0))=0,"",INDEX($AE$40:$AE$133,IFERROR(MATCH(58,$AA$40:$AA$133,0),0))))</f>
        <v>46288</v>
      </c>
      <c r="M71" s="119" t="str">
        <f aca="false">IF(IFERROR(MATCH(58,$AA$40:$AA$133,0),0)=0,"",INDEX($AF$40:$AF$133,IFERROR(MATCH(58,$AA$40:$AA$133,0),0))&amp;"")</f>
        <v>CB CHIPS 7500CT/KG 1KG/UC 6UC/CX</v>
      </c>
      <c r="N71" s="118" t="str">
        <f aca="false">IF(A71="","",IF(I71="Aguardando transferência","Transferir "&amp;FIXED(G71,1)&amp;" "&amp;C71&amp;" do 2008 para o ZBR (verificar se já há OT aberta)",IF(I71="Transferido 100%","Nada a fazer","Sem ação: saíram "&amp;FIXED(-G71,1)&amp;" "&amp;C71&amp;" que já estavam no 2008 antes de 09/09 (conferir só se não havia saldo)")))</f>
        <v>Sem ação: saíram 648.0 KG que já estavam no 2008 antes de 09/09 (conferir só se não havia saldo)</v>
      </c>
      <c r="O71" s="1"/>
      <c r="T71" s="82" t="s">
        <v>227</v>
      </c>
      <c r="U71" s="82" t="s">
        <v>65</v>
      </c>
      <c r="V71" s="82" t="n">
        <f aca="false">SUMIFS('3 Base Entrada 2008'!$G$2:$G$5000,'3 Base Entrada 2008'!$F$2:$F$5000,"&gt;="&amp;$F$5,'3 Base Entrada 2008'!$F$2:$F$5000,"&lt;="&amp;$H$5,'3 Base Entrada 2008'!$B$2:$B$5000,$T71,'3 Base Entrada 2008'!$C$2:$C$5000,$AG71,'3 Base Entrada 2008'!$K$2:$K$5000,"Recebido no 2008")</f>
        <v>6000</v>
      </c>
      <c r="W71" s="82" t="n">
        <f aca="false">-SUMIFS('3 Base Entrada 2008'!$G$2:$G$5000,'3 Base Entrada 2008'!$F$2:$F$5000,"&gt;="&amp;$F$5,'3 Base Entrada 2008'!$F$2:$F$5000,"&lt;="&amp;$H$5,'3 Base Entrada 2008'!$B$2:$B$5000,$T71,'3 Base Entrada 2008'!$C$2:$C$5000,$AG71,'3 Base Entrada 2008'!$K$2:$K$5000,"Entrada")</f>
        <v>6145</v>
      </c>
      <c r="X71" s="82" t="n">
        <f aca="false">SUMIFS('3 Base Entrada 2008'!$G$2:$G$5000,'3 Base Entrada 2008'!$F$2:$F$5000,"&gt;="&amp;$F$5,'3 Base Entrada 2008'!$F$2:$F$5000,"&lt;="&amp;$H$5,'3 Base Entrada 2008'!$B$2:$B$5000,$T71,'3 Base Entrada 2008'!$C$2:$C$5000,$AG71,'3 Base Entrada 2008'!$K$2:$K$5000,"Estorno")</f>
        <v>205</v>
      </c>
      <c r="Y71" s="82" t="n">
        <f aca="false">ROUND(BA71+V71-W71+X71,3)</f>
        <v>60</v>
      </c>
      <c r="Z71" s="82" t="n">
        <f aca="false">IF(AND(U71=$R$3,OR($R$1="*",T71=$R$1),OR($R$2="*",AG71=$R$2),OR($K$5="Todas",AB71=$K$5),ABS(V71)+ABS(W71)+ABS(X71)&gt;0),1,0)</f>
        <v>1</v>
      </c>
      <c r="AA71" s="82" t="n">
        <f aca="false">IF(Z71=1,SUM(Z$40:Z71),"")</f>
        <v>29</v>
      </c>
      <c r="AB71" s="0" t="str">
        <f aca="false">IF(ABS(Y71)&lt;=$R$5,"Transferido 100%",IF(Y71&gt;0,"Aguardando transferência","Saiu saldo anterior a 09/09"))</f>
        <v>Aguardando transferência</v>
      </c>
      <c r="AC71" s="82" t="n">
        <f aca="false">COUNTIFS('3 Base Entrada 2008'!$F$2:$F$5000,"&gt;="&amp;$F$5,'3 Base Entrada 2008'!$F$2:$F$5000,"&lt;="&amp;$H$5,'3 Base Entrada 2008'!$B$2:$B$5000,$T71,'3 Base Entrada 2008'!$C$2:$C$5000,$AG71)</f>
        <v>6</v>
      </c>
      <c r="AD71" s="82" t="n">
        <f aca="false">_xlfn.MINIFS('3 Base Entrada 2008'!$F$2:$F$5000,'3 Base Entrada 2008'!$F$2:$F$5000,"&gt;="&amp;$F$5,'3 Base Entrada 2008'!$F$2:$F$5000,"&lt;="&amp;$H$5,'3 Base Entrada 2008'!$B$2:$B$5000,$T71,'3 Base Entrada 2008'!$C$2:$C$5000,$AG71)</f>
        <v>46275</v>
      </c>
      <c r="AE71" s="82" t="n">
        <f aca="false">_xlfn.MAXIFS('3 Base Entrada 2008'!$F$2:$F$5000,'3 Base Entrada 2008'!$F$2:$F$5000,"&gt;="&amp;$F$5,'3 Base Entrada 2008'!$F$2:$F$5000,"&lt;="&amp;$H$5,'3 Base Entrada 2008'!$B$2:$B$5000,$T71,'3 Base Entrada 2008'!$C$2:$C$5000,$AG71)</f>
        <v>46289</v>
      </c>
      <c r="AF71" s="82" t="s">
        <v>756</v>
      </c>
      <c r="AG71" s="82" t="s">
        <v>230</v>
      </c>
      <c r="AH71" s="82" t="n">
        <f aca="false">IF(AND(Z71=1,Y71&gt;$R$5),Y71+ROW()/10000000,0)</f>
        <v>60.0000071</v>
      </c>
      <c r="AV71" s="0" t="str">
        <f aca="false">IFERROR(INDEX($AX$1:$AX$94,MATCH(70,$AY$1:$AY$94,0)),"")</f>
        <v>261388131</v>
      </c>
      <c r="AW71" s="82" t="s">
        <v>377</v>
      </c>
      <c r="AX71" s="82" t="s">
        <v>378</v>
      </c>
      <c r="AY71" s="82" t="n">
        <f aca="false">IF(OR($A$5="Todos",AW71=$A$5),MAX(AY$1:AY70)+1,0)</f>
        <v>71</v>
      </c>
      <c r="BA71" s="82" t="n">
        <f aca="false">SUMIFS('3 Base Saldo Inicial 08-09'!$E$2:$E$5000,'3 Base Saldo Inicial 08-09'!$A$2:$A$5000,$T71,'3 Base Saldo Inicial 08-09'!$B$2:$B$5000,$AG71,'3 Base Saldo Inicial 08-09'!$C$2:$C$5000,"2008")</f>
        <v>0</v>
      </c>
    </row>
    <row r="72" customFormat="false" ht="15" hidden="false" customHeight="false" outlineLevel="0" collapsed="false">
      <c r="A72" s="111" t="str">
        <f aca="false">IF(IFERROR(MATCH(59,$AA$40:$AA$133,0),0)=0,"",INDEX($T$40:$T$133,IFERROR(MATCH(59,$AA$40:$AA$133,0),0)))</f>
        <v>BIG-PF-1BO-401</v>
      </c>
      <c r="B72" s="111" t="str">
        <f aca="false">IF(IFERROR(MATCH(59,$AA$40:$AA$133,0),0)=0,"",INDEX($AG$40:$AG$133,IFERROR(MATCH(59,$AA$40:$AA$133,0),0)))</f>
        <v>26093039</v>
      </c>
      <c r="C72" s="112" t="str">
        <f aca="false">IF(IFERROR(MATCH(59,$AA$40:$AA$133,0),0)=0,"",INDEX($U$40:$U$133,IFERROR(MATCH(59,$AA$40:$AA$133,0),0)))</f>
        <v>KG</v>
      </c>
      <c r="D72" s="113" t="n">
        <f aca="false">IF(IFERROR(MATCH(59,$AA$40:$AA$133,0),0)=0,"",INDEX($V$40:$V$133,IFERROR(MATCH(59,$AA$40:$AA$133,0),0)))</f>
        <v>0</v>
      </c>
      <c r="E72" s="113" t="n">
        <f aca="false">IF(IFERROR(MATCH(59,$AA$40:$AA$133,0),0)=0,"",INDEX($W$40:$W$133,IFERROR(MATCH(59,$AA$40:$AA$133,0),0)))</f>
        <v>720</v>
      </c>
      <c r="F72" s="113" t="n">
        <f aca="false">IF(IFERROR(MATCH(59,$AA$40:$AA$133,0),0)=0,"",INDEX($X$40:$X$133,IFERROR(MATCH(59,$AA$40:$AA$133,0),0)))</f>
        <v>0</v>
      </c>
      <c r="G72" s="114" t="n">
        <f aca="false">IF(IFERROR(MATCH(59,$AA$40:$AA$133,0),0)=0,"",INDEX($Y$40:$Y$133,IFERROR(MATCH(59,$AA$40:$AA$133,0),0)))</f>
        <v>-720</v>
      </c>
      <c r="H72" s="145" t="str">
        <f aca="false">IF(A72="","",IF(D72&gt;0,(E72-F72)/D72,""))</f>
        <v/>
      </c>
      <c r="I72" s="115" t="str">
        <f aca="false">IF(IFERROR(MATCH(59,$AA$40:$AA$133,0),0)=0,"",INDEX($AB$40:$AB$133,IFERROR(MATCH(59,$AA$40:$AA$133,0),0)))</f>
        <v>Saiu saldo anterior a 09/09</v>
      </c>
      <c r="J72" s="116" t="n">
        <f aca="false">IF(IFERROR(MATCH(59,$AA$40:$AA$133,0),0)=0,"",INDEX($AC$40:$AC$133,IFERROR(MATCH(59,$AA$40:$AA$133,0),0)))</f>
        <v>1</v>
      </c>
      <c r="K72" s="117" t="n">
        <f aca="false">IF(IFERROR(MATCH(59,$AA$40:$AA$133,0),0)=0,"",IF(INDEX($AD$40:$AD$133,IFERROR(MATCH(59,$AA$40:$AA$133,0),0))=0,"",INDEX($AD$40:$AD$133,IFERROR(MATCH(59,$AA$40:$AA$133,0),0))))</f>
        <v>46291</v>
      </c>
      <c r="L72" s="117" t="n">
        <f aca="false">IF(IFERROR(MATCH(59,$AA$40:$AA$133,0),0)=0,"",IF(INDEX($AE$40:$AE$133,IFERROR(MATCH(59,$AA$40:$AA$133,0),0))=0,"",INDEX($AE$40:$AE$133,IFERROR(MATCH(59,$AA$40:$AA$133,0),0))))</f>
        <v>46291</v>
      </c>
      <c r="M72" s="119" t="str">
        <f aca="false">IF(IFERROR(MATCH(59,$AA$40:$AA$133,0),0)=0,"",INDEX($AF$40:$AF$133,IFERROR(MATCH(59,$AA$40:$AA$133,0),0))&amp;"")</f>
        <v>CB PAILLETÉ FEUILLETINE 2.5KG/UC 4UC/BOX</v>
      </c>
      <c r="N72" s="118" t="str">
        <f aca="false">IF(A72="","",IF(I72="Aguardando transferência","Transferir "&amp;FIXED(G72,1)&amp;" "&amp;C72&amp;" do 2008 para o ZBR (verificar se já há OT aberta)",IF(I72="Transferido 100%","Nada a fazer","Sem ação: saíram "&amp;FIXED(-G72,1)&amp;" "&amp;C72&amp;" que já estavam no 2008 antes de 09/09 (conferir só se não havia saldo)")))</f>
        <v>Sem ação: saíram 720.0 KG que já estavam no 2008 antes de 09/09 (conferir só se não havia saldo)</v>
      </c>
      <c r="O72" s="1"/>
      <c r="T72" s="82" t="s">
        <v>309</v>
      </c>
      <c r="U72" s="82" t="s">
        <v>65</v>
      </c>
      <c r="V72" s="82" t="n">
        <f aca="false">SUMIFS('3 Base Entrada 2008'!$G$2:$G$5000,'3 Base Entrada 2008'!$F$2:$F$5000,"&gt;="&amp;$F$5,'3 Base Entrada 2008'!$F$2:$F$5000,"&lt;="&amp;$H$5,'3 Base Entrada 2008'!$B$2:$B$5000,$T72,'3 Base Entrada 2008'!$C$2:$C$5000,$AG72,'3 Base Entrada 2008'!$K$2:$K$5000,"Recebido no 2008")</f>
        <v>20</v>
      </c>
      <c r="W72" s="82" t="n">
        <f aca="false">-SUMIFS('3 Base Entrada 2008'!$G$2:$G$5000,'3 Base Entrada 2008'!$F$2:$F$5000,"&gt;="&amp;$F$5,'3 Base Entrada 2008'!$F$2:$F$5000,"&lt;="&amp;$H$5,'3 Base Entrada 2008'!$B$2:$B$5000,$T72,'3 Base Entrada 2008'!$C$2:$C$5000,$AG72,'3 Base Entrada 2008'!$K$2:$K$5000,"Entrada")</f>
        <v>-0</v>
      </c>
      <c r="X72" s="82" t="n">
        <f aca="false">SUMIFS('3 Base Entrada 2008'!$G$2:$G$5000,'3 Base Entrada 2008'!$F$2:$F$5000,"&gt;="&amp;$F$5,'3 Base Entrada 2008'!$F$2:$F$5000,"&lt;="&amp;$H$5,'3 Base Entrada 2008'!$B$2:$B$5000,$T72,'3 Base Entrada 2008'!$C$2:$C$5000,$AG72,'3 Base Entrada 2008'!$K$2:$K$5000,"Estorno")</f>
        <v>0</v>
      </c>
      <c r="Y72" s="82" t="n">
        <f aca="false">ROUND(BA72+V72-W72+X72,3)</f>
        <v>20</v>
      </c>
      <c r="Z72" s="82" t="n">
        <f aca="false">IF(AND(U72=$R$3,OR($R$1="*",T72=$R$1),OR($R$2="*",AG72=$R$2),OR($K$5="Todas",AB72=$K$5),ABS(V72)+ABS(W72)+ABS(X72)&gt;0),1,0)</f>
        <v>1</v>
      </c>
      <c r="AA72" s="82" t="n">
        <f aca="false">IF(Z72=1,SUM(Z$40:Z72),"")</f>
        <v>30</v>
      </c>
      <c r="AB72" s="0" t="str">
        <f aca="false">IF(ABS(Y72)&lt;=$R$5,"Transferido 100%",IF(Y72&gt;0,"Aguardando transferência","Saiu saldo anterior a 09/09"))</f>
        <v>Aguardando transferência</v>
      </c>
      <c r="AC72" s="82" t="n">
        <f aca="false">COUNTIFS('3 Base Entrada 2008'!$F$2:$F$5000,"&gt;="&amp;$F$5,'3 Base Entrada 2008'!$F$2:$F$5000,"&lt;="&amp;$H$5,'3 Base Entrada 2008'!$B$2:$B$5000,$T72,'3 Base Entrada 2008'!$C$2:$C$5000,$AG72)</f>
        <v>1</v>
      </c>
      <c r="AD72" s="82" t="n">
        <f aca="false">_xlfn.MINIFS('3 Base Entrada 2008'!$F$2:$F$5000,'3 Base Entrada 2008'!$F$2:$F$5000,"&gt;="&amp;$F$5,'3 Base Entrada 2008'!$F$2:$F$5000,"&lt;="&amp;$H$5,'3 Base Entrada 2008'!$B$2:$B$5000,$T72,'3 Base Entrada 2008'!$C$2:$C$5000,$AG72)</f>
        <v>46275</v>
      </c>
      <c r="AE72" s="82" t="n">
        <f aca="false">_xlfn.MAXIFS('3 Base Entrada 2008'!$F$2:$F$5000,'3 Base Entrada 2008'!$F$2:$F$5000,"&gt;="&amp;$F$5,'3 Base Entrada 2008'!$F$2:$F$5000,"&lt;="&amp;$H$5,'3 Base Entrada 2008'!$B$2:$B$5000,$T72,'3 Base Entrada 2008'!$C$2:$C$5000,$AG72)</f>
        <v>46275</v>
      </c>
      <c r="AF72" s="82" t="s">
        <v>404</v>
      </c>
      <c r="AG72" s="82" t="s">
        <v>395</v>
      </c>
      <c r="AH72" s="82" t="n">
        <f aca="false">IF(AND(Z72=1,Y72&gt;$R$5),Y72+ROW()/10000000,0)</f>
        <v>20.0000072</v>
      </c>
      <c r="AV72" s="0" t="str">
        <f aca="false">IFERROR(INDEX($AX$1:$AX$94,MATCH(71,$AY$1:$AY$94,0)),"")</f>
        <v>260348131</v>
      </c>
      <c r="AW72" s="82" t="s">
        <v>377</v>
      </c>
      <c r="AX72" s="82" t="s">
        <v>379</v>
      </c>
      <c r="AY72" s="82" t="n">
        <f aca="false">IF(OR($A$5="Todos",AW72=$A$5),MAX(AY$1:AY71)+1,0)</f>
        <v>72</v>
      </c>
      <c r="BA72" s="82" t="n">
        <f aca="false">SUMIFS('3 Base Saldo Inicial 08-09'!$E$2:$E$5000,'3 Base Saldo Inicial 08-09'!$A$2:$A$5000,$T72,'3 Base Saldo Inicial 08-09'!$B$2:$B$5000,$AG72,'3 Base Saldo Inicial 08-09'!$C$2:$C$5000,"2008")</f>
        <v>0</v>
      </c>
    </row>
    <row r="73" customFormat="false" ht="15" hidden="false" customHeight="false" outlineLevel="0" collapsed="false">
      <c r="A73" s="111" t="str">
        <f aca="false">IF(IFERROR(MATCH(60,$AA$40:$AA$133,0),0)=0,"",INDEX($T$40:$T$133,IFERROR(MATCH(60,$AA$40:$AA$133,0),0)))</f>
        <v>CW2-BR-25A</v>
      </c>
      <c r="B73" s="111" t="str">
        <f aca="false">IF(IFERROR(MATCH(60,$AA$40:$AA$133,0),0)=0,"",INDEX($AG$40:$AG$133,IFERROR(MATCH(60,$AA$40:$AA$133,0),0)))</f>
        <v>253470301</v>
      </c>
      <c r="C73" s="112" t="str">
        <f aca="false">IF(IFERROR(MATCH(60,$AA$40:$AA$133,0),0)=0,"",INDEX($U$40:$U$133,IFERROR(MATCH(60,$AA$40:$AA$133,0),0)))</f>
        <v>KG</v>
      </c>
      <c r="D73" s="113" t="n">
        <f aca="false">IF(IFERROR(MATCH(60,$AA$40:$AA$133,0),0)=0,"",INDEX($V$40:$V$133,IFERROR(MATCH(60,$AA$40:$AA$133,0),0)))</f>
        <v>0</v>
      </c>
      <c r="E73" s="113" t="n">
        <f aca="false">IF(IFERROR(MATCH(60,$AA$40:$AA$133,0),0)=0,"",INDEX($W$40:$W$133,IFERROR(MATCH(60,$AA$40:$AA$133,0),0)))</f>
        <v>763.8</v>
      </c>
      <c r="F73" s="113" t="n">
        <f aca="false">IF(IFERROR(MATCH(60,$AA$40:$AA$133,0),0)=0,"",INDEX($X$40:$X$133,IFERROR(MATCH(60,$AA$40:$AA$133,0),0)))</f>
        <v>0</v>
      </c>
      <c r="G73" s="114" t="n">
        <f aca="false">IF(IFERROR(MATCH(60,$AA$40:$AA$133,0),0)=0,"",INDEX($Y$40:$Y$133,IFERROR(MATCH(60,$AA$40:$AA$133,0),0)))</f>
        <v>-763.8</v>
      </c>
      <c r="H73" s="145" t="str">
        <f aca="false">IF(A73="","",IF(D73&gt;0,(E73-F73)/D73,""))</f>
        <v/>
      </c>
      <c r="I73" s="115" t="str">
        <f aca="false">IF(IFERROR(MATCH(60,$AA$40:$AA$133,0),0)=0,"",INDEX($AB$40:$AB$133,IFERROR(MATCH(60,$AA$40:$AA$133,0),0)))</f>
        <v>Saiu saldo anterior a 09/09</v>
      </c>
      <c r="J73" s="116" t="n">
        <f aca="false">IF(IFERROR(MATCH(60,$AA$40:$AA$133,0),0)=0,"",INDEX($AC$40:$AC$133,IFERROR(MATCH(60,$AA$40:$AA$133,0),0)))</f>
        <v>1</v>
      </c>
      <c r="K73" s="117" t="n">
        <f aca="false">IF(IFERROR(MATCH(60,$AA$40:$AA$133,0),0)=0,"",IF(INDEX($AD$40:$AD$133,IFERROR(MATCH(60,$AA$40:$AA$133,0),0))=0,"",INDEX($AD$40:$AD$133,IFERROR(MATCH(60,$AA$40:$AA$133,0),0))))</f>
        <v>46291</v>
      </c>
      <c r="L73" s="117" t="n">
        <f aca="false">IF(IFERROR(MATCH(60,$AA$40:$AA$133,0),0)=0,"",IF(INDEX($AE$40:$AE$133,IFERROR(MATCH(60,$AA$40:$AA$133,0),0))=0,"",INDEX($AE$40:$AE$133,IFERROR(MATCH(60,$AA$40:$AA$133,0),0))))</f>
        <v>46291</v>
      </c>
      <c r="M73" s="119" t="str">
        <f aca="false">IF(IFERROR(MATCH(60,$AA$40:$AA$133,0),0)=0,"",INDEX($AF$40:$AF$133,IFERROR(MATCH(60,$AA$40:$AA$133,0),0))&amp;"")</f>
        <v>CA MOEDAS 2,01KG/UC 10UC/CX 30CX/PAL</v>
      </c>
      <c r="N73" s="118" t="str">
        <f aca="false">IF(A73="","",IF(I73="Aguardando transferência","Transferir "&amp;FIXED(G73,1)&amp;" "&amp;C73&amp;" do 2008 para o ZBR (verificar se já há OT aberta)",IF(I73="Transferido 100%","Nada a fazer","Sem ação: saíram "&amp;FIXED(-G73,1)&amp;" "&amp;C73&amp;" que já estavam no 2008 antes de 09/09 (conferir só se não havia saldo)")))</f>
        <v>Sem ação: saíram 763.8 KG que já estavam no 2008 antes de 09/09 (conferir só se não havia saldo)</v>
      </c>
      <c r="O73" s="1"/>
      <c r="T73" s="82" t="s">
        <v>281</v>
      </c>
      <c r="U73" s="82" t="s">
        <v>65</v>
      </c>
      <c r="V73" s="82" t="n">
        <f aca="false">SUMIFS('3 Base Entrada 2008'!$G$2:$G$5000,'3 Base Entrada 2008'!$F$2:$F$5000,"&gt;="&amp;$F$5,'3 Base Entrada 2008'!$F$2:$F$5000,"&lt;="&amp;$H$5,'3 Base Entrada 2008'!$B$2:$B$5000,$T73,'3 Base Entrada 2008'!$C$2:$C$5000,$AG73,'3 Base Entrada 2008'!$K$2:$K$5000,"Recebido no 2008")</f>
        <v>864</v>
      </c>
      <c r="W73" s="82" t="n">
        <f aca="false">-SUMIFS('3 Base Entrada 2008'!$G$2:$G$5000,'3 Base Entrada 2008'!$F$2:$F$5000,"&gt;="&amp;$F$5,'3 Base Entrada 2008'!$F$2:$F$5000,"&lt;="&amp;$H$5,'3 Base Entrada 2008'!$B$2:$B$5000,$T73,'3 Base Entrada 2008'!$C$2:$C$5000,$AG73,'3 Base Entrada 2008'!$K$2:$K$5000,"Entrada")</f>
        <v>864</v>
      </c>
      <c r="X73" s="82" t="n">
        <f aca="false">SUMIFS('3 Base Entrada 2008'!$G$2:$G$5000,'3 Base Entrada 2008'!$F$2:$F$5000,"&gt;="&amp;$F$5,'3 Base Entrada 2008'!$F$2:$F$5000,"&lt;="&amp;$H$5,'3 Base Entrada 2008'!$B$2:$B$5000,$T73,'3 Base Entrada 2008'!$C$2:$C$5000,$AG73,'3 Base Entrada 2008'!$K$2:$K$5000,"Estorno")</f>
        <v>0</v>
      </c>
      <c r="Y73" s="82" t="n">
        <f aca="false">ROUND(BA73+V73-W73+X73,3)</f>
        <v>0</v>
      </c>
      <c r="Z73" s="82" t="n">
        <f aca="false">IF(AND(U73=$R$3,OR($R$1="*",T73=$R$1),OR($R$2="*",AG73=$R$2),OR($K$5="Todas",AB73=$K$5),ABS(V73)+ABS(W73)+ABS(X73)&gt;0),1,0)</f>
        <v>1</v>
      </c>
      <c r="AA73" s="82" t="n">
        <f aca="false">IF(Z73=1,SUM(Z$40:Z73),"")</f>
        <v>31</v>
      </c>
      <c r="AB73" s="0" t="str">
        <f aca="false">IF(ABS(Y73)&lt;=$R$5,"Transferido 100%",IF(Y73&gt;0,"Aguardando transferência","Saiu saldo anterior a 09/09"))</f>
        <v>Transferido 100%</v>
      </c>
      <c r="AC73" s="82" t="n">
        <f aca="false">COUNTIFS('3 Base Entrada 2008'!$F$2:$F$5000,"&gt;="&amp;$F$5,'3 Base Entrada 2008'!$F$2:$F$5000,"&lt;="&amp;$H$5,'3 Base Entrada 2008'!$B$2:$B$5000,$T73,'3 Base Entrada 2008'!$C$2:$C$5000,$AG73)</f>
        <v>2</v>
      </c>
      <c r="AD73" s="82" t="n">
        <f aca="false">_xlfn.MINIFS('3 Base Entrada 2008'!$F$2:$F$5000,'3 Base Entrada 2008'!$F$2:$F$5000,"&gt;="&amp;$F$5,'3 Base Entrada 2008'!$F$2:$F$5000,"&lt;="&amp;$H$5,'3 Base Entrada 2008'!$B$2:$B$5000,$T73,'3 Base Entrada 2008'!$C$2:$C$5000,$AG73)</f>
        <v>46275</v>
      </c>
      <c r="AE73" s="82" t="n">
        <f aca="false">_xlfn.MAXIFS('3 Base Entrada 2008'!$F$2:$F$5000,'3 Base Entrada 2008'!$F$2:$F$5000,"&gt;="&amp;$F$5,'3 Base Entrada 2008'!$F$2:$F$5000,"&lt;="&amp;$H$5,'3 Base Entrada 2008'!$B$2:$B$5000,$T73,'3 Base Entrada 2008'!$C$2:$C$5000,$AG73)</f>
        <v>46293</v>
      </c>
      <c r="AF73" s="82" t="s">
        <v>1344</v>
      </c>
      <c r="AG73" s="82" t="s">
        <v>282</v>
      </c>
      <c r="AH73" s="82" t="n">
        <f aca="false">IF(AND(Z73=1,Y73&gt;$R$5),Y73+ROW()/10000000,0)</f>
        <v>0</v>
      </c>
      <c r="AV73" s="0" t="str">
        <f aca="false">IFERROR(INDEX($AX$1:$AX$94,MATCH(72,$AY$1:$AY$94,0)),"")</f>
        <v>260358131</v>
      </c>
      <c r="AW73" s="82" t="s">
        <v>380</v>
      </c>
      <c r="AX73" s="82" t="s">
        <v>381</v>
      </c>
      <c r="AY73" s="82" t="n">
        <f aca="false">IF(OR($A$5="Todos",AW73=$A$5),MAX(AY$1:AY72)+1,0)</f>
        <v>73</v>
      </c>
      <c r="BA73" s="82" t="n">
        <f aca="false">SUMIFS('3 Base Saldo Inicial 08-09'!$E$2:$E$5000,'3 Base Saldo Inicial 08-09'!$A$2:$A$5000,$T73,'3 Base Saldo Inicial 08-09'!$B$2:$B$5000,$AG73,'3 Base Saldo Inicial 08-09'!$C$2:$C$5000,"2008")</f>
        <v>0</v>
      </c>
    </row>
    <row r="74" customFormat="false" ht="15" hidden="false" customHeight="false" outlineLevel="0" collapsed="false">
      <c r="A74" s="111" t="str">
        <f aca="false">IF(IFERROR(MATCH(61,$AA$40:$AA$133,0),0)=0,"",INDEX($T$40:$T$133,IFERROR(MATCH(61,$AA$40:$AA$133,0),0)))</f>
        <v>CHK-R30GOLD-E0-D94</v>
      </c>
      <c r="B74" s="111" t="str">
        <f aca="false">IF(IFERROR(MATCH(61,$AA$40:$AA$133,0),0)=0,"",INDEX($AG$40:$AG$133,IFERROR(MATCH(61,$AA$40:$AA$133,0),0)))</f>
        <v>260720939</v>
      </c>
      <c r="C74" s="112" t="str">
        <f aca="false">IF(IFERROR(MATCH(61,$AA$40:$AA$133,0),0)=0,"",INDEX($U$40:$U$133,IFERROR(MATCH(61,$AA$40:$AA$133,0),0)))</f>
        <v>KG</v>
      </c>
      <c r="D74" s="113" t="n">
        <f aca="false">IF(IFERROR(MATCH(61,$AA$40:$AA$133,0),0)=0,"",INDEX($V$40:$V$133,IFERROR(MATCH(61,$AA$40:$AA$133,0),0)))</f>
        <v>0</v>
      </c>
      <c r="E74" s="113" t="n">
        <f aca="false">IF(IFERROR(MATCH(61,$AA$40:$AA$133,0),0)=0,"",INDEX($W$40:$W$133,IFERROR(MATCH(61,$AA$40:$AA$133,0),0)))</f>
        <v>806.4</v>
      </c>
      <c r="F74" s="113" t="n">
        <f aca="false">IF(IFERROR(MATCH(61,$AA$40:$AA$133,0),0)=0,"",INDEX($X$40:$X$133,IFERROR(MATCH(61,$AA$40:$AA$133,0),0)))</f>
        <v>0</v>
      </c>
      <c r="G74" s="114" t="n">
        <f aca="false">IF(IFERROR(MATCH(61,$AA$40:$AA$133,0),0)=0,"",INDEX($Y$40:$Y$133,IFERROR(MATCH(61,$AA$40:$AA$133,0),0)))</f>
        <v>-806.4</v>
      </c>
      <c r="H74" s="145" t="str">
        <f aca="false">IF(A74="","",IF(D74&gt;0,(E74-F74)/D74,""))</f>
        <v/>
      </c>
      <c r="I74" s="115" t="str">
        <f aca="false">IF(IFERROR(MATCH(61,$AA$40:$AA$133,0),0)=0,"",INDEX($AB$40:$AB$133,IFERROR(MATCH(61,$AA$40:$AA$133,0),0)))</f>
        <v>Saiu saldo anterior a 09/09</v>
      </c>
      <c r="J74" s="116" t="n">
        <f aca="false">IF(IFERROR(MATCH(61,$AA$40:$AA$133,0),0)=0,"",INDEX($AC$40:$AC$133,IFERROR(MATCH(61,$AA$40:$AA$133,0),0)))</f>
        <v>3</v>
      </c>
      <c r="K74" s="117" t="n">
        <f aca="false">IF(IFERROR(MATCH(61,$AA$40:$AA$133,0),0)=0,"",IF(INDEX($AD$40:$AD$133,IFERROR(MATCH(61,$AA$40:$AA$133,0),0))=0,"",INDEX($AD$40:$AD$133,IFERROR(MATCH(61,$AA$40:$AA$133,0),0))))</f>
        <v>46294</v>
      </c>
      <c r="L74" s="117" t="n">
        <f aca="false">IF(IFERROR(MATCH(61,$AA$40:$AA$133,0),0)=0,"",IF(INDEX($AE$40:$AE$133,IFERROR(MATCH(61,$AA$40:$AA$133,0),0))=0,"",INDEX($AE$40:$AE$133,IFERROR(MATCH(61,$AA$40:$AA$133,0),0))))</f>
        <v>46294</v>
      </c>
      <c r="M74" s="119" t="str">
        <f aca="false">IF(IFERROR(MATCH(61,$AA$40:$AA$133,0),0)=0,"",INDEX($AF$40:$AF$133,IFERROR(MATCH(61,$AA$40:$AA$133,0),0))&amp;"")</f>
        <v>CA CALLETS 0.4KG/UC 7UC/BOX 144BOX/PAL</v>
      </c>
      <c r="N74" s="118" t="str">
        <f aca="false">IF(A74="","",IF(I74="Aguardando transferência","Transferir "&amp;FIXED(G74,1)&amp;" "&amp;C74&amp;" do 2008 para o ZBR (verificar se já há OT aberta)",IF(I74="Transferido 100%","Nada a fazer","Sem ação: saíram "&amp;FIXED(-G74,1)&amp;" "&amp;C74&amp;" que já estavam no 2008 antes de 09/09 (conferir só se não havia saldo)")))</f>
        <v>Sem ação: saíram 806.4 KG que já estavam no 2008 antes de 09/09 (conferir só se não havia saldo)</v>
      </c>
      <c r="O74" s="1"/>
      <c r="T74" s="82" t="s">
        <v>286</v>
      </c>
      <c r="U74" s="82" t="s">
        <v>147</v>
      </c>
      <c r="V74" s="82" t="n">
        <f aca="false">SUMIFS('3 Base Entrada 2008'!$G$2:$G$5000,'3 Base Entrada 2008'!$F$2:$F$5000,"&gt;="&amp;$F$5,'3 Base Entrada 2008'!$F$2:$F$5000,"&lt;="&amp;$H$5,'3 Base Entrada 2008'!$B$2:$B$5000,$T74,'3 Base Entrada 2008'!$C$2:$C$5000,$AG74,'3 Base Entrada 2008'!$K$2:$K$5000,"Recebido no 2008")</f>
        <v>240</v>
      </c>
      <c r="W74" s="82" t="n">
        <f aca="false">-SUMIFS('3 Base Entrada 2008'!$G$2:$G$5000,'3 Base Entrada 2008'!$F$2:$F$5000,"&gt;="&amp;$F$5,'3 Base Entrada 2008'!$F$2:$F$5000,"&lt;="&amp;$H$5,'3 Base Entrada 2008'!$B$2:$B$5000,$T74,'3 Base Entrada 2008'!$C$2:$C$5000,$AG74,'3 Base Entrada 2008'!$K$2:$K$5000,"Entrada")</f>
        <v>240</v>
      </c>
      <c r="X74" s="82" t="n">
        <f aca="false">SUMIFS('3 Base Entrada 2008'!$G$2:$G$5000,'3 Base Entrada 2008'!$F$2:$F$5000,"&gt;="&amp;$F$5,'3 Base Entrada 2008'!$F$2:$F$5000,"&lt;="&amp;$H$5,'3 Base Entrada 2008'!$B$2:$B$5000,$T74,'3 Base Entrada 2008'!$C$2:$C$5000,$AG74,'3 Base Entrada 2008'!$K$2:$K$5000,"Estorno")</f>
        <v>0</v>
      </c>
      <c r="Y74" s="82" t="n">
        <f aca="false">ROUND(BA74+V74-W74+X74,3)</f>
        <v>0</v>
      </c>
      <c r="Z74" s="82" t="n">
        <f aca="false">IF(AND(U74=$R$3,OR($R$1="*",T74=$R$1),OR($R$2="*",AG74=$R$2),OR($K$5="Todas",AB74=$K$5),ABS(V74)+ABS(W74)+ABS(X74)&gt;0),1,0)</f>
        <v>0</v>
      </c>
      <c r="AA74" s="0" t="str">
        <f aca="false">IF(Z74=1,SUM(Z$40:Z74),"")</f>
        <v/>
      </c>
      <c r="AB74" s="0" t="str">
        <f aca="false">IF(ABS(Y74)&lt;=$R$5,"Transferido 100%",IF(Y74&gt;0,"Aguardando transferência","Saiu saldo anterior a 09/09"))</f>
        <v>Transferido 100%</v>
      </c>
      <c r="AC74" s="82" t="n">
        <f aca="false">COUNTIFS('3 Base Entrada 2008'!$F$2:$F$5000,"&gt;="&amp;$F$5,'3 Base Entrada 2008'!$F$2:$F$5000,"&lt;="&amp;$H$5,'3 Base Entrada 2008'!$B$2:$B$5000,$T74,'3 Base Entrada 2008'!$C$2:$C$5000,$AG74)</f>
        <v>3</v>
      </c>
      <c r="AD74" s="82" t="n">
        <f aca="false">_xlfn.MINIFS('3 Base Entrada 2008'!$F$2:$F$5000,'3 Base Entrada 2008'!$F$2:$F$5000,"&gt;="&amp;$F$5,'3 Base Entrada 2008'!$F$2:$F$5000,"&lt;="&amp;$H$5,'3 Base Entrada 2008'!$B$2:$B$5000,$T74,'3 Base Entrada 2008'!$C$2:$C$5000,$AG74)</f>
        <v>46275</v>
      </c>
      <c r="AE74" s="82" t="n">
        <f aca="false">_xlfn.MAXIFS('3 Base Entrada 2008'!$F$2:$F$5000,'3 Base Entrada 2008'!$F$2:$F$5000,"&gt;="&amp;$F$5,'3 Base Entrada 2008'!$F$2:$F$5000,"&lt;="&amp;$H$5,'3 Base Entrada 2008'!$B$2:$B$5000,$T74,'3 Base Entrada 2008'!$C$2:$C$5000,$AG74)</f>
        <v>46294</v>
      </c>
      <c r="AF74" s="82" t="s">
        <v>1354</v>
      </c>
      <c r="AG74" s="82" t="s">
        <v>287</v>
      </c>
      <c r="AH74" s="82" t="n">
        <f aca="false">IF(AND(Z74=1,Y74&gt;$R$5),Y74+ROW()/10000000,0)</f>
        <v>0</v>
      </c>
      <c r="AV74" s="0" t="str">
        <f aca="false">IFERROR(INDEX($AX$1:$AX$94,MATCH(73,$AY$1:$AY$94,0)),"")</f>
        <v>2518442009</v>
      </c>
      <c r="AW74" s="82" t="s">
        <v>284</v>
      </c>
      <c r="AX74" s="82" t="s">
        <v>285</v>
      </c>
      <c r="AY74" s="82" t="n">
        <f aca="false">IF(OR($A$5="Todos",AW74=$A$5),MAX(AY$1:AY73)+1,0)</f>
        <v>74</v>
      </c>
      <c r="BA74" s="82" t="n">
        <f aca="false">SUMIFS('3 Base Saldo Inicial 08-09'!$E$2:$E$5000,'3 Base Saldo Inicial 08-09'!$A$2:$A$5000,$T74,'3 Base Saldo Inicial 08-09'!$B$2:$B$5000,$AG74,'3 Base Saldo Inicial 08-09'!$C$2:$C$5000,"2008")</f>
        <v>0</v>
      </c>
    </row>
    <row r="75" customFormat="false" ht="15" hidden="false" customHeight="false" outlineLevel="0" collapsed="false">
      <c r="A75" s="111" t="str">
        <f aca="false">IF(IFERROR(MATCH(62,$AA$40:$AA$133,0),0)=0,"",INDEX($T$40:$T$133,IFERROR(MATCH(62,$AA$40:$AA$133,0),0)))</f>
        <v>GIA-145</v>
      </c>
      <c r="B75" s="111" t="str">
        <f aca="false">IF(IFERROR(MATCH(62,$AA$40:$AA$133,0),0)=0,"",INDEX($AG$40:$AG$133,IFERROR(MATCH(62,$AA$40:$AA$133,0),0)))</f>
        <v>2518442009</v>
      </c>
      <c r="C75" s="112" t="str">
        <f aca="false">IF(IFERROR(MATCH(62,$AA$40:$AA$133,0),0)=0,"",INDEX($U$40:$U$133,IFERROR(MATCH(62,$AA$40:$AA$133,0),0)))</f>
        <v>KG</v>
      </c>
      <c r="D75" s="113" t="n">
        <f aca="false">IF(IFERROR(MATCH(62,$AA$40:$AA$133,0),0)=0,"",INDEX($V$40:$V$133,IFERROR(MATCH(62,$AA$40:$AA$133,0),0)))</f>
        <v>0</v>
      </c>
      <c r="E75" s="113" t="n">
        <f aca="false">IF(IFERROR(MATCH(62,$AA$40:$AA$133,0),0)=0,"",INDEX($W$40:$W$133,IFERROR(MATCH(62,$AA$40:$AA$133,0),0)))</f>
        <v>850</v>
      </c>
      <c r="F75" s="113" t="n">
        <f aca="false">IF(IFERROR(MATCH(62,$AA$40:$AA$133,0),0)=0,"",INDEX($X$40:$X$133,IFERROR(MATCH(62,$AA$40:$AA$133,0),0)))</f>
        <v>0</v>
      </c>
      <c r="G75" s="114" t="n">
        <f aca="false">IF(IFERROR(MATCH(62,$AA$40:$AA$133,0),0)=0,"",INDEX($Y$40:$Y$133,IFERROR(MATCH(62,$AA$40:$AA$133,0),0)))</f>
        <v>-850</v>
      </c>
      <c r="H75" s="145" t="str">
        <f aca="false">IF(A75="","",IF(D75&gt;0,(E75-F75)/D75,""))</f>
        <v/>
      </c>
      <c r="I75" s="115" t="str">
        <f aca="false">IF(IFERROR(MATCH(62,$AA$40:$AA$133,0),0)=0,"",INDEX($AB$40:$AB$133,IFERROR(MATCH(62,$AA$40:$AA$133,0),0)))</f>
        <v>Saiu saldo anterior a 09/09</v>
      </c>
      <c r="J75" s="116" t="n">
        <f aca="false">IF(IFERROR(MATCH(62,$AA$40:$AA$133,0),0)=0,"",INDEX($AC$40:$AC$133,IFERROR(MATCH(62,$AA$40:$AA$133,0),0)))</f>
        <v>1</v>
      </c>
      <c r="K75" s="117" t="n">
        <f aca="false">IF(IFERROR(MATCH(62,$AA$40:$AA$133,0),0)=0,"",IF(INDEX($AD$40:$AD$133,IFERROR(MATCH(62,$AA$40:$AA$133,0),0))=0,"",INDEX($AD$40:$AD$133,IFERROR(MATCH(62,$AA$40:$AA$133,0),0))))</f>
        <v>46291</v>
      </c>
      <c r="L75" s="117" t="n">
        <f aca="false">IF(IFERROR(MATCH(62,$AA$40:$AA$133,0),0)=0,"",IF(INDEX($AE$40:$AE$133,IFERROR(MATCH(62,$AA$40:$AA$133,0),0))=0,"",INDEX($AE$40:$AE$133,IFERROR(MATCH(62,$AA$40:$AA$133,0),0))))</f>
        <v>46291</v>
      </c>
      <c r="M75" s="119" t="str">
        <f aca="false">IF(IFERROR(MATCH(62,$AA$40:$AA$133,0),0)=0,"",INDEX($AF$40:$AF$133,IFERROR(MATCH(62,$AA$40:$AA$133,0),0))&amp;"")</f>
        <v>CA BLOCKS 5KG/UC 5UC/BOX 40BOX/PAL</v>
      </c>
      <c r="N75" s="118" t="str">
        <f aca="false">IF(A75="","",IF(I75="Aguardando transferência","Transferir "&amp;FIXED(G75,1)&amp;" "&amp;C75&amp;" do 2008 para o ZBR (verificar se já há OT aberta)",IF(I75="Transferido 100%","Nada a fazer","Sem ação: saíram "&amp;FIXED(-G75,1)&amp;" "&amp;C75&amp;" que já estavam no 2008 antes de 09/09 (conferir só se não havia saldo)")))</f>
        <v>Sem ação: saíram 850.0 KG que já estavam no 2008 antes de 09/09 (conferir só se não havia saldo)</v>
      </c>
      <c r="O75" s="1"/>
      <c r="T75" s="82" t="s">
        <v>314</v>
      </c>
      <c r="U75" s="82" t="s">
        <v>65</v>
      </c>
      <c r="V75" s="82" t="n">
        <f aca="false">SUMIFS('3 Base Entrada 2008'!$G$2:$G$5000,'3 Base Entrada 2008'!$F$2:$F$5000,"&gt;="&amp;$F$5,'3 Base Entrada 2008'!$F$2:$F$5000,"&lt;="&amp;$H$5,'3 Base Entrada 2008'!$B$2:$B$5000,$T75,'3 Base Entrada 2008'!$C$2:$C$5000,$AG75,'3 Base Entrada 2008'!$K$2:$K$5000,"Recebido no 2008")</f>
        <v>0</v>
      </c>
      <c r="W75" s="82" t="n">
        <f aca="false">-SUMIFS('3 Base Entrada 2008'!$G$2:$G$5000,'3 Base Entrada 2008'!$F$2:$F$5000,"&gt;="&amp;$F$5,'3 Base Entrada 2008'!$F$2:$F$5000,"&lt;="&amp;$H$5,'3 Base Entrada 2008'!$B$2:$B$5000,$T75,'3 Base Entrada 2008'!$C$2:$C$5000,$AG75,'3 Base Entrada 2008'!$K$2:$K$5000,"Entrada")</f>
        <v>2.8</v>
      </c>
      <c r="X75" s="82" t="n">
        <f aca="false">SUMIFS('3 Base Entrada 2008'!$G$2:$G$5000,'3 Base Entrada 2008'!$F$2:$F$5000,"&gt;="&amp;$F$5,'3 Base Entrada 2008'!$F$2:$F$5000,"&lt;="&amp;$H$5,'3 Base Entrada 2008'!$B$2:$B$5000,$T75,'3 Base Entrada 2008'!$C$2:$C$5000,$AG75,'3 Base Entrada 2008'!$K$2:$K$5000,"Estorno")</f>
        <v>0</v>
      </c>
      <c r="Y75" s="82" t="n">
        <f aca="false">ROUND(BA75+V75-W75+X75,3)</f>
        <v>-2.8</v>
      </c>
      <c r="Z75" s="82" t="n">
        <f aca="false">IF(AND(U75=$R$3,OR($R$1="*",T75=$R$1),OR($R$2="*",AG75=$R$2),OR($K$5="Todas",AB75=$K$5),ABS(V75)+ABS(W75)+ABS(X75)&gt;0),1,0)</f>
        <v>1</v>
      </c>
      <c r="AA75" s="82" t="n">
        <f aca="false">IF(Z75=1,SUM(Z$40:Z75),"")</f>
        <v>32</v>
      </c>
      <c r="AB75" s="0" t="str">
        <f aca="false">IF(ABS(Y75)&lt;=$R$5,"Transferido 100%",IF(Y75&gt;0,"Aguardando transferência","Saiu saldo anterior a 09/09"))</f>
        <v>Saiu saldo anterior a 09/09</v>
      </c>
      <c r="AC75" s="82" t="n">
        <f aca="false">COUNTIFS('3 Base Entrada 2008'!$F$2:$F$5000,"&gt;="&amp;$F$5,'3 Base Entrada 2008'!$F$2:$F$5000,"&lt;="&amp;$H$5,'3 Base Entrada 2008'!$B$2:$B$5000,$T75,'3 Base Entrada 2008'!$C$2:$C$5000,$AG75)</f>
        <v>1</v>
      </c>
      <c r="AD75" s="82" t="n">
        <f aca="false">_xlfn.MINIFS('3 Base Entrada 2008'!$F$2:$F$5000,'3 Base Entrada 2008'!$F$2:$F$5000,"&gt;="&amp;$F$5,'3 Base Entrada 2008'!$F$2:$F$5000,"&lt;="&amp;$H$5,'3 Base Entrada 2008'!$B$2:$B$5000,$T75,'3 Base Entrada 2008'!$C$2:$C$5000,$AG75)</f>
        <v>46291</v>
      </c>
      <c r="AE75" s="82" t="n">
        <f aca="false">_xlfn.MAXIFS('3 Base Entrada 2008'!$F$2:$F$5000,'3 Base Entrada 2008'!$F$2:$F$5000,"&gt;="&amp;$F$5,'3 Base Entrada 2008'!$F$2:$F$5000,"&lt;="&amp;$H$5,'3 Base Entrada 2008'!$B$2:$B$5000,$T75,'3 Base Entrada 2008'!$C$2:$C$5000,$AG75)</f>
        <v>46291</v>
      </c>
      <c r="AF75" s="82" t="s">
        <v>522</v>
      </c>
      <c r="AG75" s="82" t="s">
        <v>315</v>
      </c>
      <c r="AH75" s="82" t="n">
        <f aca="false">IF(AND(Z75=1,Y75&gt;$R$5),Y75+ROW()/10000000,0)</f>
        <v>0</v>
      </c>
      <c r="AV75" s="0" t="str">
        <f aca="false">IFERROR(INDEX($AX$1:$AX$94,MATCH(74,$AY$1:$AY$94,0)),"")</f>
        <v>261060203</v>
      </c>
      <c r="AW75" s="82" t="s">
        <v>286</v>
      </c>
      <c r="AX75" s="82" t="s">
        <v>299</v>
      </c>
      <c r="AY75" s="82" t="n">
        <f aca="false">IF(OR($A$5="Todos",AW75=$A$5),MAX(AY$1:AY74)+1,0)</f>
        <v>75</v>
      </c>
      <c r="BA75" s="82" t="n">
        <f aca="false">SUMIFS('3 Base Saldo Inicial 08-09'!$E$2:$E$5000,'3 Base Saldo Inicial 08-09'!$A$2:$A$5000,$T75,'3 Base Saldo Inicial 08-09'!$B$2:$B$5000,$AG75,'3 Base Saldo Inicial 08-09'!$C$2:$C$5000,"2008")</f>
        <v>0</v>
      </c>
    </row>
    <row r="76" customFormat="false" ht="15" hidden="false" customHeight="false" outlineLevel="0" collapsed="false">
      <c r="A76" s="111" t="str">
        <f aca="false">IF(IFERROR(MATCH(63,$AA$40:$AA$133,0),0)=0,"",INDEX($T$40:$T$133,IFERROR(MATCH(63,$AA$40:$AA$133,0),0)))</f>
        <v>CHP-20SICHP-760</v>
      </c>
      <c r="B76" s="111" t="str">
        <f aca="false">IF(IFERROR(MATCH(63,$AA$40:$AA$133,0),0)=0,"",INDEX($AG$40:$AG$133,IFERROR(MATCH(63,$AA$40:$AA$133,0),0)))</f>
        <v>252843369</v>
      </c>
      <c r="C76" s="112" t="str">
        <f aca="false">IF(IFERROR(MATCH(63,$AA$40:$AA$133,0),0)=0,"",INDEX($U$40:$U$133,IFERROR(MATCH(63,$AA$40:$AA$133,0),0)))</f>
        <v>KG</v>
      </c>
      <c r="D76" s="113" t="n">
        <f aca="false">IF(IFERROR(MATCH(63,$AA$40:$AA$133,0),0)=0,"",INDEX($V$40:$V$133,IFERROR(MATCH(63,$AA$40:$AA$133,0),0)))</f>
        <v>0</v>
      </c>
      <c r="E76" s="113" t="n">
        <f aca="false">IF(IFERROR(MATCH(63,$AA$40:$AA$133,0),0)=0,"",INDEX($W$40:$W$133,IFERROR(MATCH(63,$AA$40:$AA$133,0),0)))</f>
        <v>918</v>
      </c>
      <c r="F76" s="113" t="n">
        <f aca="false">IF(IFERROR(MATCH(63,$AA$40:$AA$133,0),0)=0,"",INDEX($X$40:$X$133,IFERROR(MATCH(63,$AA$40:$AA$133,0),0)))</f>
        <v>0</v>
      </c>
      <c r="G76" s="114" t="n">
        <f aca="false">IF(IFERROR(MATCH(63,$AA$40:$AA$133,0),0)=0,"",INDEX($Y$40:$Y$133,IFERROR(MATCH(63,$AA$40:$AA$133,0),0)))</f>
        <v>-918</v>
      </c>
      <c r="H76" s="145" t="str">
        <f aca="false">IF(A76="","",IF(D76&gt;0,(E76-F76)/D76,""))</f>
        <v/>
      </c>
      <c r="I76" s="115" t="str">
        <f aca="false">IF(IFERROR(MATCH(63,$AA$40:$AA$133,0),0)=0,"",INDEX($AB$40:$AB$133,IFERROR(MATCH(63,$AA$40:$AA$133,0),0)))</f>
        <v>Saiu saldo anterior a 09/09</v>
      </c>
      <c r="J76" s="116" t="n">
        <f aca="false">IF(IFERROR(MATCH(63,$AA$40:$AA$133,0),0)=0,"",INDEX($AC$40:$AC$133,IFERROR(MATCH(63,$AA$40:$AA$133,0),0)))</f>
        <v>3</v>
      </c>
      <c r="K76" s="117" t="n">
        <f aca="false">IF(IFERROR(MATCH(63,$AA$40:$AA$133,0),0)=0,"",IF(INDEX($AD$40:$AD$133,IFERROR(MATCH(63,$AA$40:$AA$133,0),0))=0,"",INDEX($AD$40:$AD$133,IFERROR(MATCH(63,$AA$40:$AA$133,0),0))))</f>
        <v>46286</v>
      </c>
      <c r="L76" s="117" t="n">
        <f aca="false">IF(IFERROR(MATCH(63,$AA$40:$AA$133,0),0)=0,"",IF(INDEX($AE$40:$AE$133,IFERROR(MATCH(63,$AA$40:$AA$133,0),0))=0,"",INDEX($AE$40:$AE$133,IFERROR(MATCH(63,$AA$40:$AA$133,0),0))))</f>
        <v>46286</v>
      </c>
      <c r="M76" s="119" t="str">
        <f aca="false">IF(IFERROR(MATCH(63,$AA$40:$AA$133,0),0)=0,"",INDEX($AF$40:$AF$133,IFERROR(MATCH(63,$AA$40:$AA$133,0),0))&amp;"")</f>
        <v>CA SILKY CHOCO POWDER POWDER 1KG/UC</v>
      </c>
      <c r="N76" s="118" t="str">
        <f aca="false">IF(A76="","",IF(I76="Aguardando transferência","Transferir "&amp;FIXED(G76,1)&amp;" "&amp;C76&amp;" do 2008 para o ZBR (verificar se já há OT aberta)",IF(I76="Transferido 100%","Nada a fazer","Sem ação: saíram "&amp;FIXED(-G76,1)&amp;" "&amp;C76&amp;" que já estavam no 2008 antes de 09/09 (conferir só se não havia saldo)")))</f>
        <v>Sem ação: saíram 918.0 KG que já estavam no 2008 antes de 09/09 (conferir só se não havia saldo)</v>
      </c>
      <c r="O76" s="1"/>
      <c r="T76" s="82" t="s">
        <v>322</v>
      </c>
      <c r="U76" s="82" t="s">
        <v>65</v>
      </c>
      <c r="V76" s="82" t="n">
        <f aca="false">SUMIFS('3 Base Entrada 2008'!$G$2:$G$5000,'3 Base Entrada 2008'!$F$2:$F$5000,"&gt;="&amp;$F$5,'3 Base Entrada 2008'!$F$2:$F$5000,"&lt;="&amp;$H$5,'3 Base Entrada 2008'!$B$2:$B$5000,$T76,'3 Base Entrada 2008'!$C$2:$C$5000,$AG76,'3 Base Entrada 2008'!$K$2:$K$5000,"Recebido no 2008")</f>
        <v>0</v>
      </c>
      <c r="W76" s="82" t="n">
        <f aca="false">-SUMIFS('3 Base Entrada 2008'!$G$2:$G$5000,'3 Base Entrada 2008'!$F$2:$F$5000,"&gt;="&amp;$F$5,'3 Base Entrada 2008'!$F$2:$F$5000,"&lt;="&amp;$H$5,'3 Base Entrada 2008'!$B$2:$B$5000,$T76,'3 Base Entrada 2008'!$C$2:$C$5000,$AG76,'3 Base Entrada 2008'!$K$2:$K$5000,"Entrada")</f>
        <v>2.8</v>
      </c>
      <c r="X76" s="82" t="n">
        <f aca="false">SUMIFS('3 Base Entrada 2008'!$G$2:$G$5000,'3 Base Entrada 2008'!$F$2:$F$5000,"&gt;="&amp;$F$5,'3 Base Entrada 2008'!$F$2:$F$5000,"&lt;="&amp;$H$5,'3 Base Entrada 2008'!$B$2:$B$5000,$T76,'3 Base Entrada 2008'!$C$2:$C$5000,$AG76,'3 Base Entrada 2008'!$K$2:$K$5000,"Estorno")</f>
        <v>0</v>
      </c>
      <c r="Y76" s="82" t="n">
        <f aca="false">ROUND(BA76+V76-W76+X76,3)</f>
        <v>-2.8</v>
      </c>
      <c r="Z76" s="82" t="n">
        <f aca="false">IF(AND(U76=$R$3,OR($R$1="*",T76=$R$1),OR($R$2="*",AG76=$R$2),OR($K$5="Todas",AB76=$K$5),ABS(V76)+ABS(W76)+ABS(X76)&gt;0),1,0)</f>
        <v>1</v>
      </c>
      <c r="AA76" s="82" t="n">
        <f aca="false">IF(Z76=1,SUM(Z$40:Z76),"")</f>
        <v>33</v>
      </c>
      <c r="AB76" s="0" t="str">
        <f aca="false">IF(ABS(Y76)&lt;=$R$5,"Transferido 100%",IF(Y76&gt;0,"Aguardando transferência","Saiu saldo anterior a 09/09"))</f>
        <v>Saiu saldo anterior a 09/09</v>
      </c>
      <c r="AC76" s="82" t="n">
        <f aca="false">COUNTIFS('3 Base Entrada 2008'!$F$2:$F$5000,"&gt;="&amp;$F$5,'3 Base Entrada 2008'!$F$2:$F$5000,"&lt;="&amp;$H$5,'3 Base Entrada 2008'!$B$2:$B$5000,$T76,'3 Base Entrada 2008'!$C$2:$C$5000,$AG76)</f>
        <v>1</v>
      </c>
      <c r="AD76" s="82" t="n">
        <f aca="false">_xlfn.MINIFS('3 Base Entrada 2008'!$F$2:$F$5000,'3 Base Entrada 2008'!$F$2:$F$5000,"&gt;="&amp;$F$5,'3 Base Entrada 2008'!$F$2:$F$5000,"&lt;="&amp;$H$5,'3 Base Entrada 2008'!$B$2:$B$5000,$T76,'3 Base Entrada 2008'!$C$2:$C$5000,$AG76)</f>
        <v>46291</v>
      </c>
      <c r="AE76" s="82" t="n">
        <f aca="false">_xlfn.MAXIFS('3 Base Entrada 2008'!$F$2:$F$5000,'3 Base Entrada 2008'!$F$2:$F$5000,"&gt;="&amp;$F$5,'3 Base Entrada 2008'!$F$2:$F$5000,"&lt;="&amp;$H$5,'3 Base Entrada 2008'!$B$2:$B$5000,$T76,'3 Base Entrada 2008'!$C$2:$C$5000,$AG76)</f>
        <v>46291</v>
      </c>
      <c r="AF76" s="82" t="s">
        <v>522</v>
      </c>
      <c r="AG76" s="82" t="s">
        <v>323</v>
      </c>
      <c r="AH76" s="82" t="n">
        <f aca="false">IF(AND(Z76=1,Y76&gt;$R$5),Y76+ROW()/10000000,0)</f>
        <v>0</v>
      </c>
      <c r="AV76" s="0" t="str">
        <f aca="false">IFERROR(INDEX($AX$1:$AX$94,MATCH(75,$AY$1:$AY$94,0)),"")</f>
        <v>242643099</v>
      </c>
      <c r="AW76" s="82" t="s">
        <v>286</v>
      </c>
      <c r="AX76" s="82" t="s">
        <v>290</v>
      </c>
      <c r="AY76" s="82" t="n">
        <f aca="false">IF(OR($A$5="Todos",AW76=$A$5),MAX(AY$1:AY75)+1,0)</f>
        <v>76</v>
      </c>
      <c r="BA76" s="82" t="n">
        <f aca="false">SUMIFS('3 Base Saldo Inicial 08-09'!$E$2:$E$5000,'3 Base Saldo Inicial 08-09'!$A$2:$A$5000,$T76,'3 Base Saldo Inicial 08-09'!$B$2:$B$5000,$AG76,'3 Base Saldo Inicial 08-09'!$C$2:$C$5000,"2008")</f>
        <v>0</v>
      </c>
    </row>
    <row r="77" customFormat="false" ht="15" hidden="false" customHeight="false" outlineLevel="0" collapsed="false">
      <c r="A77" s="111" t="str">
        <f aca="false">IF(IFERROR(MATCH(64,$AA$40:$AA$133,0),0)=0,"",INDEX($T$40:$T$133,IFERROR(MATCH(64,$AA$40:$AA$133,0),0)))</f>
        <v>70-30-38-BR-D94</v>
      </c>
      <c r="B77" s="111" t="str">
        <f aca="false">IF(IFERROR(MATCH(64,$AA$40:$AA$133,0),0)=0,"",INDEX($AG$40:$AG$133,IFERROR(MATCH(64,$AA$40:$AA$133,0),0)))</f>
        <v>253213449</v>
      </c>
      <c r="C77" s="112" t="str">
        <f aca="false">IF(IFERROR(MATCH(64,$AA$40:$AA$133,0),0)=0,"",INDEX($U$40:$U$133,IFERROR(MATCH(64,$AA$40:$AA$133,0),0)))</f>
        <v>KG</v>
      </c>
      <c r="D77" s="113" t="n">
        <f aca="false">IF(IFERROR(MATCH(64,$AA$40:$AA$133,0),0)=0,"",INDEX($V$40:$V$133,IFERROR(MATCH(64,$AA$40:$AA$133,0),0)))</f>
        <v>0</v>
      </c>
      <c r="E77" s="113" t="n">
        <f aca="false">IF(IFERROR(MATCH(64,$AA$40:$AA$133,0),0)=0,"",INDEX($W$40:$W$133,IFERROR(MATCH(64,$AA$40:$AA$133,0),0)))</f>
        <v>940.8</v>
      </c>
      <c r="F77" s="113" t="n">
        <f aca="false">IF(IFERROR(MATCH(64,$AA$40:$AA$133,0),0)=0,"",INDEX($X$40:$X$133,IFERROR(MATCH(64,$AA$40:$AA$133,0),0)))</f>
        <v>0</v>
      </c>
      <c r="G77" s="114" t="n">
        <f aca="false">IF(IFERROR(MATCH(64,$AA$40:$AA$133,0),0)=0,"",INDEX($Y$40:$Y$133,IFERROR(MATCH(64,$AA$40:$AA$133,0),0)))</f>
        <v>-940.8</v>
      </c>
      <c r="H77" s="145" t="str">
        <f aca="false">IF(A77="","",IF(D77&gt;0,(E77-F77)/D77,""))</f>
        <v/>
      </c>
      <c r="I77" s="115" t="str">
        <f aca="false">IF(IFERROR(MATCH(64,$AA$40:$AA$133,0),0)=0,"",INDEX($AB$40:$AB$133,IFERROR(MATCH(64,$AA$40:$AA$133,0),0)))</f>
        <v>Saiu saldo anterior a 09/09</v>
      </c>
      <c r="J77" s="116" t="n">
        <f aca="false">IF(IFERROR(MATCH(64,$AA$40:$AA$133,0),0)=0,"",INDEX($AC$40:$AC$133,IFERROR(MATCH(64,$AA$40:$AA$133,0),0)))</f>
        <v>1</v>
      </c>
      <c r="K77" s="117" t="n">
        <f aca="false">IF(IFERROR(MATCH(64,$AA$40:$AA$133,0),0)=0,"",IF(INDEX($AD$40:$AD$133,IFERROR(MATCH(64,$AA$40:$AA$133,0),0))=0,"",INDEX($AD$40:$AD$133,IFERROR(MATCH(64,$AA$40:$AA$133,0),0))))</f>
        <v>46288</v>
      </c>
      <c r="L77" s="117" t="n">
        <f aca="false">IF(IFERROR(MATCH(64,$AA$40:$AA$133,0),0)=0,"",IF(INDEX($AE$40:$AE$133,IFERROR(MATCH(64,$AA$40:$AA$133,0),0))=0,"",INDEX($AE$40:$AE$133,IFERROR(MATCH(64,$AA$40:$AA$133,0),0))))</f>
        <v>46288</v>
      </c>
      <c r="M77" s="119" t="str">
        <f aca="false">IF(IFERROR(MATCH(64,$AA$40:$AA$133,0),0)=0,"",INDEX($AF$40:$AF$133,IFERROR(MATCH(64,$AA$40:$AA$133,0),0))&amp;"")</f>
        <v>CA MOEDAS 0,4KG/UC 7UC/CX 144CX/PAL</v>
      </c>
      <c r="N77" s="118" t="str">
        <f aca="false">IF(A77="","",IF(I77="Aguardando transferência","Transferir "&amp;FIXED(G77,1)&amp;" "&amp;C77&amp;" do 2008 para o ZBR (verificar se já há OT aberta)",IF(I77="Transferido 100%","Nada a fazer","Sem ação: saíram "&amp;FIXED(-G77,1)&amp;" "&amp;C77&amp;" que já estavam no 2008 antes de 09/09 (conferir só se não havia saldo)")))</f>
        <v>Sem ação: saíram 940.8 KG que já estavam no 2008 antes de 09/09 (conferir só se não havia saldo)</v>
      </c>
      <c r="O77" s="1"/>
      <c r="T77" s="82" t="s">
        <v>354</v>
      </c>
      <c r="U77" s="82" t="s">
        <v>65</v>
      </c>
      <c r="V77" s="82" t="n">
        <f aca="false">SUMIFS('3 Base Entrada 2008'!$G$2:$G$5000,'3 Base Entrada 2008'!$F$2:$F$5000,"&gt;="&amp;$F$5,'3 Base Entrada 2008'!$F$2:$F$5000,"&lt;="&amp;$H$5,'3 Base Entrada 2008'!$B$2:$B$5000,$T77,'3 Base Entrada 2008'!$C$2:$C$5000,$AG77,'3 Base Entrada 2008'!$K$2:$K$5000,"Recebido no 2008")</f>
        <v>0</v>
      </c>
      <c r="W77" s="82" t="n">
        <f aca="false">-SUMIFS('3 Base Entrada 2008'!$G$2:$G$5000,'3 Base Entrada 2008'!$F$2:$F$5000,"&gt;="&amp;$F$5,'3 Base Entrada 2008'!$F$2:$F$5000,"&lt;="&amp;$H$5,'3 Base Entrada 2008'!$B$2:$B$5000,$T77,'3 Base Entrada 2008'!$C$2:$C$5000,$AG77,'3 Base Entrada 2008'!$K$2:$K$5000,"Entrada")</f>
        <v>10</v>
      </c>
      <c r="X77" s="82" t="n">
        <f aca="false">SUMIFS('3 Base Entrada 2008'!$G$2:$G$5000,'3 Base Entrada 2008'!$F$2:$F$5000,"&gt;="&amp;$F$5,'3 Base Entrada 2008'!$F$2:$F$5000,"&lt;="&amp;$H$5,'3 Base Entrada 2008'!$B$2:$B$5000,$T77,'3 Base Entrada 2008'!$C$2:$C$5000,$AG77,'3 Base Entrada 2008'!$K$2:$K$5000,"Estorno")</f>
        <v>0</v>
      </c>
      <c r="Y77" s="82" t="n">
        <f aca="false">ROUND(BA77+V77-W77+X77,3)</f>
        <v>-10</v>
      </c>
      <c r="Z77" s="82" t="n">
        <f aca="false">IF(AND(U77=$R$3,OR($R$1="*",T77=$R$1),OR($R$2="*",AG77=$R$2),OR($K$5="Todas",AB77=$K$5),ABS(V77)+ABS(W77)+ABS(X77)&gt;0),1,0)</f>
        <v>1</v>
      </c>
      <c r="AA77" s="82" t="n">
        <f aca="false">IF(Z77=1,SUM(Z$40:Z77),"")</f>
        <v>34</v>
      </c>
      <c r="AB77" s="0" t="str">
        <f aca="false">IF(ABS(Y77)&lt;=$R$5,"Transferido 100%",IF(Y77&gt;0,"Aguardando transferência","Saiu saldo anterior a 09/09"))</f>
        <v>Saiu saldo anterior a 09/09</v>
      </c>
      <c r="AC77" s="82" t="n">
        <f aca="false">COUNTIFS('3 Base Entrada 2008'!$F$2:$F$5000,"&gt;="&amp;$F$5,'3 Base Entrada 2008'!$F$2:$F$5000,"&lt;="&amp;$H$5,'3 Base Entrada 2008'!$B$2:$B$5000,$T77,'3 Base Entrada 2008'!$C$2:$C$5000,$AG77)</f>
        <v>1</v>
      </c>
      <c r="AD77" s="82" t="n">
        <f aca="false">_xlfn.MINIFS('3 Base Entrada 2008'!$F$2:$F$5000,'3 Base Entrada 2008'!$F$2:$F$5000,"&gt;="&amp;$F$5,'3 Base Entrada 2008'!$F$2:$F$5000,"&lt;="&amp;$H$5,'3 Base Entrada 2008'!$B$2:$B$5000,$T77,'3 Base Entrada 2008'!$C$2:$C$5000,$AG77)</f>
        <v>46291</v>
      </c>
      <c r="AE77" s="82" t="n">
        <f aca="false">_xlfn.MAXIFS('3 Base Entrada 2008'!$F$2:$F$5000,'3 Base Entrada 2008'!$F$2:$F$5000,"&gt;="&amp;$F$5,'3 Base Entrada 2008'!$F$2:$F$5000,"&lt;="&amp;$H$5,'3 Base Entrada 2008'!$B$2:$B$5000,$T77,'3 Base Entrada 2008'!$C$2:$C$5000,$AG77)</f>
        <v>46291</v>
      </c>
      <c r="AF77" s="82" t="s">
        <v>1147</v>
      </c>
      <c r="AG77" s="82" t="s">
        <v>355</v>
      </c>
      <c r="AH77" s="82" t="n">
        <f aca="false">IF(AND(Z77=1,Y77&gt;$R$5),Y77+ROW()/10000000,0)</f>
        <v>0</v>
      </c>
      <c r="AV77" s="0" t="str">
        <f aca="false">IFERROR(INDEX($AX$1:$AX$94,MATCH(76,$AY$1:$AY$94,0)),"")</f>
        <v>252643099</v>
      </c>
      <c r="AW77" s="82" t="s">
        <v>286</v>
      </c>
      <c r="AX77" s="82" t="s">
        <v>291</v>
      </c>
      <c r="AY77" s="82" t="n">
        <f aca="false">IF(OR($A$5="Todos",AW77=$A$5),MAX(AY$1:AY76)+1,0)</f>
        <v>77</v>
      </c>
      <c r="BA77" s="82" t="n">
        <f aca="false">SUMIFS('3 Base Saldo Inicial 08-09'!$E$2:$E$5000,'3 Base Saldo Inicial 08-09'!$A$2:$A$5000,$T77,'3 Base Saldo Inicial 08-09'!$B$2:$B$5000,$AG77,'3 Base Saldo Inicial 08-09'!$C$2:$C$5000,"2008")</f>
        <v>0</v>
      </c>
    </row>
    <row r="78" customFormat="false" ht="15" hidden="false" customHeight="false" outlineLevel="0" collapsed="false">
      <c r="A78" s="111" t="str">
        <f aca="false">IF(IFERROR(MATCH(65,$AA$40:$AA$133,0),0)=0,"",INDEX($T$40:$T$133,IFERROR(MATCH(65,$AA$40:$AA$133,0),0)))</f>
        <v>CHM-SP-Z3L-BR-U73</v>
      </c>
      <c r="B78" s="111" t="str">
        <f aca="false">IF(IFERROR(MATCH(65,$AA$40:$AA$133,0),0)=0,"",INDEX($AG$40:$AG$133,IFERROR(MATCH(65,$AA$40:$AA$133,0),0)))</f>
        <v>251880301</v>
      </c>
      <c r="C78" s="112" t="str">
        <f aca="false">IF(IFERROR(MATCH(65,$AA$40:$AA$133,0),0)=0,"",INDEX($U$40:$U$133,IFERROR(MATCH(65,$AA$40:$AA$133,0),0)))</f>
        <v>KG</v>
      </c>
      <c r="D78" s="113" t="n">
        <f aca="false">IF(IFERROR(MATCH(65,$AA$40:$AA$133,0),0)=0,"",INDEX($V$40:$V$133,IFERROR(MATCH(65,$AA$40:$AA$133,0),0)))</f>
        <v>0</v>
      </c>
      <c r="E78" s="113" t="n">
        <f aca="false">IF(IFERROR(MATCH(65,$AA$40:$AA$133,0),0)=0,"",INDEX($W$40:$W$133,IFERROR(MATCH(65,$AA$40:$AA$133,0),0)))</f>
        <v>1030</v>
      </c>
      <c r="F78" s="113" t="n">
        <f aca="false">IF(IFERROR(MATCH(65,$AA$40:$AA$133,0),0)=0,"",INDEX($X$40:$X$133,IFERROR(MATCH(65,$AA$40:$AA$133,0),0)))</f>
        <v>64</v>
      </c>
      <c r="G78" s="114" t="n">
        <f aca="false">IF(IFERROR(MATCH(65,$AA$40:$AA$133,0),0)=0,"",INDEX($Y$40:$Y$133,IFERROR(MATCH(65,$AA$40:$AA$133,0),0)))</f>
        <v>-966</v>
      </c>
      <c r="H78" s="145" t="str">
        <f aca="false">IF(A78="","",IF(D78&gt;0,(E78-F78)/D78,""))</f>
        <v/>
      </c>
      <c r="I78" s="115" t="str">
        <f aca="false">IF(IFERROR(MATCH(65,$AA$40:$AA$133,0),0)=0,"",INDEX($AB$40:$AB$133,IFERROR(MATCH(65,$AA$40:$AA$133,0),0)))</f>
        <v>Saiu saldo anterior a 09/09</v>
      </c>
      <c r="J78" s="116" t="n">
        <f aca="false">IF(IFERROR(MATCH(65,$AA$40:$AA$133,0),0)=0,"",INDEX($AC$40:$AC$133,IFERROR(MATCH(65,$AA$40:$AA$133,0),0)))</f>
        <v>5</v>
      </c>
      <c r="K78" s="117" t="n">
        <f aca="false">IF(IFERROR(MATCH(65,$AA$40:$AA$133,0),0)=0,"",IF(INDEX($AD$40:$AD$133,IFERROR(MATCH(65,$AA$40:$AA$133,0),0))=0,"",INDEX($AD$40:$AD$133,IFERROR(MATCH(65,$AA$40:$AA$133,0),0))))</f>
        <v>46289</v>
      </c>
      <c r="L78" s="117" t="n">
        <f aca="false">IF(IFERROR(MATCH(65,$AA$40:$AA$133,0),0)=0,"",IF(INDEX($AE$40:$AE$133,IFERROR(MATCH(65,$AA$40:$AA$133,0),0))=0,"",INDEX($AE$40:$AE$133,IFERROR(MATCH(65,$AA$40:$AA$133,0),0))))</f>
        <v>46291</v>
      </c>
      <c r="M78" s="119" t="str">
        <f aca="false">IF(IFERROR(MATCH(65,$AA$40:$AA$133,0),0)=0,"",INDEX($AF$40:$AF$133,IFERROR(MATCH(65,$AA$40:$AA$133,0),0))&amp;"")</f>
        <v>CA MILK LARGE FLAKES SPLITTERS 1KG/UC</v>
      </c>
      <c r="N78" s="118" t="str">
        <f aca="false">IF(A78="","",IF(I78="Aguardando transferência","Transferir "&amp;FIXED(G78,1)&amp;" "&amp;C78&amp;" do 2008 para o ZBR (verificar se já há OT aberta)",IF(I78="Transferido 100%","Nada a fazer","Sem ação: saíram "&amp;FIXED(-G78,1)&amp;" "&amp;C78&amp;" que já estavam no 2008 antes de 09/09 (conferir só se não havia saldo)")))</f>
        <v>Sem ação: saíram 966.0 KG que já estavam no 2008 antes de 09/09 (conferir só se não havia saldo)</v>
      </c>
      <c r="O78" s="1"/>
      <c r="T78" s="82" t="s">
        <v>232</v>
      </c>
      <c r="U78" s="82" t="s">
        <v>146</v>
      </c>
      <c r="V78" s="82" t="n">
        <f aca="false">SUMIFS('3 Base Entrada 2008'!$G$2:$G$5000,'3 Base Entrada 2008'!$F$2:$F$5000,"&gt;="&amp;$F$5,'3 Base Entrada 2008'!$F$2:$F$5000,"&lt;="&amp;$H$5,'3 Base Entrada 2008'!$B$2:$B$5000,$T78,'3 Base Entrada 2008'!$C$2:$C$5000,$AG78,'3 Base Entrada 2008'!$K$2:$K$5000,"Recebido no 2008")</f>
        <v>0</v>
      </c>
      <c r="W78" s="82" t="n">
        <f aca="false">-SUMIFS('3 Base Entrada 2008'!$G$2:$G$5000,'3 Base Entrada 2008'!$F$2:$F$5000,"&gt;="&amp;$F$5,'3 Base Entrada 2008'!$F$2:$F$5000,"&lt;="&amp;$H$5,'3 Base Entrada 2008'!$B$2:$B$5000,$T78,'3 Base Entrada 2008'!$C$2:$C$5000,$AG78,'3 Base Entrada 2008'!$K$2:$K$5000,"Entrada")</f>
        <v>30</v>
      </c>
      <c r="X78" s="82" t="n">
        <f aca="false">SUMIFS('3 Base Entrada 2008'!$G$2:$G$5000,'3 Base Entrada 2008'!$F$2:$F$5000,"&gt;="&amp;$F$5,'3 Base Entrada 2008'!$F$2:$F$5000,"&lt;="&amp;$H$5,'3 Base Entrada 2008'!$B$2:$B$5000,$T78,'3 Base Entrada 2008'!$C$2:$C$5000,$AG78,'3 Base Entrada 2008'!$K$2:$K$5000,"Estorno")</f>
        <v>0</v>
      </c>
      <c r="Y78" s="82" t="n">
        <f aca="false">ROUND(BA78+V78-W78+X78,3)</f>
        <v>-30</v>
      </c>
      <c r="Z78" s="82" t="n">
        <f aca="false">IF(AND(U78=$R$3,OR($R$1="*",T78=$R$1),OR($R$2="*",AG78=$R$2),OR($K$5="Todas",AB78=$K$5),ABS(V78)+ABS(W78)+ABS(X78)&gt;0),1,0)</f>
        <v>0</v>
      </c>
      <c r="AA78" s="0" t="str">
        <f aca="false">IF(Z78=1,SUM(Z$40:Z78),"")</f>
        <v/>
      </c>
      <c r="AB78" s="0" t="str">
        <f aca="false">IF(ABS(Y78)&lt;=$R$5,"Transferido 100%",IF(Y78&gt;0,"Aguardando transferência","Saiu saldo anterior a 09/09"))</f>
        <v>Saiu saldo anterior a 09/09</v>
      </c>
      <c r="AC78" s="82" t="n">
        <f aca="false">COUNTIFS('3 Base Entrada 2008'!$F$2:$F$5000,"&gt;="&amp;$F$5,'3 Base Entrada 2008'!$F$2:$F$5000,"&lt;="&amp;$H$5,'3 Base Entrada 2008'!$B$2:$B$5000,$T78,'3 Base Entrada 2008'!$C$2:$C$5000,$AG78)</f>
        <v>1</v>
      </c>
      <c r="AD78" s="82" t="n">
        <f aca="false">_xlfn.MINIFS('3 Base Entrada 2008'!$F$2:$F$5000,'3 Base Entrada 2008'!$F$2:$F$5000,"&gt;="&amp;$F$5,'3 Base Entrada 2008'!$F$2:$F$5000,"&lt;="&amp;$H$5,'3 Base Entrada 2008'!$B$2:$B$5000,$T78,'3 Base Entrada 2008'!$C$2:$C$5000,$AG78)</f>
        <v>46294</v>
      </c>
      <c r="AE78" s="82" t="n">
        <f aca="false">_xlfn.MAXIFS('3 Base Entrada 2008'!$F$2:$F$5000,'3 Base Entrada 2008'!$F$2:$F$5000,"&gt;="&amp;$F$5,'3 Base Entrada 2008'!$F$2:$F$5000,"&lt;="&amp;$H$5,'3 Base Entrada 2008'!$B$2:$B$5000,$T78,'3 Base Entrada 2008'!$C$2:$C$5000,$AG78)</f>
        <v>46294</v>
      </c>
      <c r="AF78" s="82" t="s">
        <v>939</v>
      </c>
      <c r="AG78" s="82" t="s">
        <v>239</v>
      </c>
      <c r="AH78" s="82" t="n">
        <f aca="false">IF(AND(Z78=1,Y78&gt;$R$5),Y78+ROW()/10000000,0)</f>
        <v>0</v>
      </c>
      <c r="AV78" s="0" t="str">
        <f aca="false">IFERROR(INDEX($AX$1:$AX$94,MATCH(77,$AY$1:$AY$94,0)),"")</f>
        <v>252683099</v>
      </c>
      <c r="AW78" s="82" t="s">
        <v>286</v>
      </c>
      <c r="AX78" s="82" t="s">
        <v>294</v>
      </c>
      <c r="AY78" s="82" t="n">
        <f aca="false">IF(OR($A$5="Todos",AW78=$A$5),MAX(AY$1:AY77)+1,0)</f>
        <v>78</v>
      </c>
      <c r="BA78" s="82" t="n">
        <f aca="false">SUMIFS('3 Base Saldo Inicial 08-09'!$E$2:$E$5000,'3 Base Saldo Inicial 08-09'!$A$2:$A$5000,$T78,'3 Base Saldo Inicial 08-09'!$B$2:$B$5000,$AG78,'3 Base Saldo Inicial 08-09'!$C$2:$C$5000,"2008")</f>
        <v>0</v>
      </c>
    </row>
    <row r="79" customFormat="false" ht="15" hidden="false" customHeight="false" outlineLevel="0" collapsed="false">
      <c r="A79" s="111" t="str">
        <f aca="false">IF(IFERROR(MATCH(66,$AA$40:$AA$133,0),0)=0,"",INDEX($T$40:$T$133,IFERROR(MATCH(66,$AA$40:$AA$133,0),0)))</f>
        <v>823NV-132</v>
      </c>
      <c r="B79" s="111" t="str">
        <f aca="false">IF(IFERROR(MATCH(66,$AA$40:$AA$133,0),0)=0,"",INDEX($AG$40:$AG$133,IFERROR(MATCH(66,$AA$40:$AA$133,0),0)))</f>
        <v>260880201</v>
      </c>
      <c r="C79" s="112" t="str">
        <f aca="false">IF(IFERROR(MATCH(66,$AA$40:$AA$133,0),0)=0,"",INDEX($U$40:$U$133,IFERROR(MATCH(66,$AA$40:$AA$133,0),0)))</f>
        <v>KG</v>
      </c>
      <c r="D79" s="113" t="n">
        <f aca="false">IF(IFERROR(MATCH(66,$AA$40:$AA$133,0),0)=0,"",INDEX($V$40:$V$133,IFERROR(MATCH(66,$AA$40:$AA$133,0),0)))</f>
        <v>0</v>
      </c>
      <c r="E79" s="113" t="n">
        <f aca="false">IF(IFERROR(MATCH(66,$AA$40:$AA$133,0),0)=0,"",INDEX($W$40:$W$133,IFERROR(MATCH(66,$AA$40:$AA$133,0),0)))</f>
        <v>1000</v>
      </c>
      <c r="F79" s="113" t="n">
        <f aca="false">IF(IFERROR(MATCH(66,$AA$40:$AA$133,0),0)=0,"",INDEX($X$40:$X$133,IFERROR(MATCH(66,$AA$40:$AA$133,0),0)))</f>
        <v>0</v>
      </c>
      <c r="G79" s="114" t="n">
        <f aca="false">IF(IFERROR(MATCH(66,$AA$40:$AA$133,0),0)=0,"",INDEX($Y$40:$Y$133,IFERROR(MATCH(66,$AA$40:$AA$133,0),0)))</f>
        <v>-1000</v>
      </c>
      <c r="H79" s="145" t="str">
        <f aca="false">IF(A79="","",IF(D79&gt;0,(E79-F79)/D79,""))</f>
        <v/>
      </c>
      <c r="I79" s="115" t="str">
        <f aca="false">IF(IFERROR(MATCH(66,$AA$40:$AA$133,0),0)=0,"",INDEX($AB$40:$AB$133,IFERROR(MATCH(66,$AA$40:$AA$133,0),0)))</f>
        <v>Saiu saldo anterior a 09/09</v>
      </c>
      <c r="J79" s="116" t="n">
        <f aca="false">IF(IFERROR(MATCH(66,$AA$40:$AA$133,0),0)=0,"",INDEX($AC$40:$AC$133,IFERROR(MATCH(66,$AA$40:$AA$133,0),0)))</f>
        <v>1</v>
      </c>
      <c r="K79" s="117" t="n">
        <f aca="false">IF(IFERROR(MATCH(66,$AA$40:$AA$133,0),0)=0,"",IF(INDEX($AD$40:$AD$133,IFERROR(MATCH(66,$AA$40:$AA$133,0),0))=0,"",INDEX($AD$40:$AD$133,IFERROR(MATCH(66,$AA$40:$AA$133,0),0))))</f>
        <v>46294</v>
      </c>
      <c r="L79" s="117" t="n">
        <f aca="false">IF(IFERROR(MATCH(66,$AA$40:$AA$133,0),0)=0,"",IF(INDEX($AE$40:$AE$133,IFERROR(MATCH(66,$AA$40:$AA$133,0),0))=0,"",INDEX($AE$40:$AE$133,IFERROR(MATCH(66,$AA$40:$AA$133,0),0))))</f>
        <v>46294</v>
      </c>
      <c r="M79" s="119" t="str">
        <f aca="false">IF(IFERROR(MATCH(66,$AA$40:$AA$133,0),0)=0,"",INDEX($AF$40:$AF$133,IFERROR(MATCH(66,$AA$40:$AA$133,0),0))&amp;"")</f>
        <v/>
      </c>
      <c r="N79" s="118" t="str">
        <f aca="false">IF(A79="","",IF(I79="Aguardando transferência","Transferir "&amp;FIXED(G79,1)&amp;" "&amp;C79&amp;" do 2008 para o ZBR (verificar se já há OT aberta)",IF(I79="Transferido 100%","Nada a fazer","Sem ação: saíram "&amp;FIXED(-G79,1)&amp;" "&amp;C79&amp;" que já estavam no 2008 antes de 09/09 (conferir só se não havia saldo)")))</f>
        <v>Sem ação: saíram 1,000.0 KG que já estavam no 2008 antes de 09/09 (conferir só se não havia saldo)</v>
      </c>
      <c r="O79" s="1"/>
      <c r="T79" s="82" t="s">
        <v>309</v>
      </c>
      <c r="U79" s="82" t="s">
        <v>65</v>
      </c>
      <c r="V79" s="82" t="n">
        <f aca="false">SUMIFS('3 Base Entrada 2008'!$G$2:$G$5000,'3 Base Entrada 2008'!$F$2:$F$5000,"&gt;="&amp;$F$5,'3 Base Entrada 2008'!$F$2:$F$5000,"&lt;="&amp;$H$5,'3 Base Entrada 2008'!$B$2:$B$5000,$T79,'3 Base Entrada 2008'!$C$2:$C$5000,$AG79,'3 Base Entrada 2008'!$K$2:$K$5000,"Recebido no 2008")</f>
        <v>2995</v>
      </c>
      <c r="W79" s="82" t="n">
        <f aca="false">-SUMIFS('3 Base Entrada 2008'!$G$2:$G$5000,'3 Base Entrada 2008'!$F$2:$F$5000,"&gt;="&amp;$F$5,'3 Base Entrada 2008'!$F$2:$F$5000,"&lt;="&amp;$H$5,'3 Base Entrada 2008'!$B$2:$B$5000,$T79,'3 Base Entrada 2008'!$C$2:$C$5000,$AG79,'3 Base Entrada 2008'!$K$2:$K$5000,"Entrada")</f>
        <v>3211.7</v>
      </c>
      <c r="X79" s="82" t="n">
        <f aca="false">SUMIFS('3 Base Entrada 2008'!$G$2:$G$5000,'3 Base Entrada 2008'!$F$2:$F$5000,"&gt;="&amp;$F$5,'3 Base Entrada 2008'!$F$2:$F$5000,"&lt;="&amp;$H$5,'3 Base Entrada 2008'!$B$2:$B$5000,$T79,'3 Base Entrada 2008'!$C$2:$C$5000,$AG79,'3 Base Entrada 2008'!$K$2:$K$5000,"Estorno")</f>
        <v>186</v>
      </c>
      <c r="Y79" s="82" t="n">
        <f aca="false">ROUND(BA79+V79-W79+X79,3)</f>
        <v>-30.7</v>
      </c>
      <c r="Z79" s="82" t="n">
        <f aca="false">IF(AND(U79=$R$3,OR($R$1="*",T79=$R$1),OR($R$2="*",AG79=$R$2),OR($K$5="Todas",AB79=$K$5),ABS(V79)+ABS(W79)+ABS(X79)&gt;0),1,0)</f>
        <v>1</v>
      </c>
      <c r="AA79" s="82" t="n">
        <f aca="false">IF(Z79=1,SUM(Z$40:Z79),"")</f>
        <v>35</v>
      </c>
      <c r="AB79" s="0" t="str">
        <f aca="false">IF(ABS(Y79)&lt;=$R$5,"Transferido 100%",IF(Y79&gt;0,"Aguardando transferência","Saiu saldo anterior a 09/09"))</f>
        <v>Saiu saldo anterior a 09/09</v>
      </c>
      <c r="AC79" s="82" t="n">
        <f aca="false">COUNTIFS('3 Base Entrada 2008'!$F$2:$F$5000,"&gt;="&amp;$F$5,'3 Base Entrada 2008'!$F$2:$F$5000,"&lt;="&amp;$H$5,'3 Base Entrada 2008'!$B$2:$B$5000,$T79,'3 Base Entrada 2008'!$C$2:$C$5000,$AG79)</f>
        <v>5</v>
      </c>
      <c r="AD79" s="82" t="n">
        <f aca="false">_xlfn.MINIFS('3 Base Entrada 2008'!$F$2:$F$5000,'3 Base Entrada 2008'!$F$2:$F$5000,"&gt;="&amp;$F$5,'3 Base Entrada 2008'!$F$2:$F$5000,"&lt;="&amp;$H$5,'3 Base Entrada 2008'!$B$2:$B$5000,$T79,'3 Base Entrada 2008'!$C$2:$C$5000,$AG79)</f>
        <v>46275</v>
      </c>
      <c r="AE79" s="82" t="n">
        <f aca="false">_xlfn.MAXIFS('3 Base Entrada 2008'!$F$2:$F$5000,'3 Base Entrada 2008'!$F$2:$F$5000,"&gt;="&amp;$F$5,'3 Base Entrada 2008'!$F$2:$F$5000,"&lt;="&amp;$H$5,'3 Base Entrada 2008'!$B$2:$B$5000,$T79,'3 Base Entrada 2008'!$C$2:$C$5000,$AG79)</f>
        <v>46294</v>
      </c>
      <c r="AF79" s="82" t="s">
        <v>404</v>
      </c>
      <c r="AG79" s="82" t="s">
        <v>310</v>
      </c>
      <c r="AH79" s="82" t="n">
        <f aca="false">IF(AND(Z79=1,Y79&gt;$R$5),Y79+ROW()/10000000,0)</f>
        <v>0</v>
      </c>
      <c r="AV79" s="0" t="str">
        <f aca="false">IFERROR(INDEX($AX$1:$AX$94,MATCH(78,$AY$1:$AY$94,0)),"")</f>
        <v>253490619</v>
      </c>
      <c r="AW79" s="82" t="s">
        <v>286</v>
      </c>
      <c r="AX79" s="82" t="s">
        <v>382</v>
      </c>
      <c r="AY79" s="82" t="n">
        <f aca="false">IF(OR($A$5="Todos",AW79=$A$5),MAX(AY$1:AY78)+1,0)</f>
        <v>79</v>
      </c>
      <c r="BA79" s="82" t="n">
        <f aca="false">SUMIFS('3 Base Saldo Inicial 08-09'!$E$2:$E$5000,'3 Base Saldo Inicial 08-09'!$A$2:$A$5000,$T79,'3 Base Saldo Inicial 08-09'!$B$2:$B$5000,$AG79,'3 Base Saldo Inicial 08-09'!$C$2:$C$5000,"2008")</f>
        <v>0</v>
      </c>
    </row>
    <row r="80" customFormat="false" ht="15" hidden="false" customHeight="false" outlineLevel="0" collapsed="false">
      <c r="A80" s="111" t="str">
        <f aca="false">IF(IFERROR(MATCH(67,$AA$40:$AA$133,0),0)=0,"",INDEX($T$40:$T$133,IFERROR(MATCH(67,$AA$40:$AA$133,0),0)))</f>
        <v>MALCHOC-D-123</v>
      </c>
      <c r="B80" s="111" t="str">
        <f aca="false">IF(IFERROR(MATCH(67,$AA$40:$AA$133,0),0)=0,"",INDEX($AG$40:$AG$133,IFERROR(MATCH(67,$AA$40:$AA$133,0),0)))</f>
        <v>261060203</v>
      </c>
      <c r="C80" s="112" t="str">
        <f aca="false">IF(IFERROR(MATCH(67,$AA$40:$AA$133,0),0)=0,"",INDEX($U$40:$U$133,IFERROR(MATCH(67,$AA$40:$AA$133,0),0)))</f>
        <v>KG</v>
      </c>
      <c r="D80" s="113" t="n">
        <f aca="false">IF(IFERROR(MATCH(67,$AA$40:$AA$133,0),0)=0,"",INDEX($V$40:$V$133,IFERROR(MATCH(67,$AA$40:$AA$133,0),0)))</f>
        <v>0</v>
      </c>
      <c r="E80" s="113" t="n">
        <f aca="false">IF(IFERROR(MATCH(67,$AA$40:$AA$133,0),0)=0,"",INDEX($W$40:$W$133,IFERROR(MATCH(67,$AA$40:$AA$133,0),0)))</f>
        <v>1000</v>
      </c>
      <c r="F80" s="113" t="n">
        <f aca="false">IF(IFERROR(MATCH(67,$AA$40:$AA$133,0),0)=0,"",INDEX($X$40:$X$133,IFERROR(MATCH(67,$AA$40:$AA$133,0),0)))</f>
        <v>0</v>
      </c>
      <c r="G80" s="114" t="n">
        <f aca="false">IF(IFERROR(MATCH(67,$AA$40:$AA$133,0),0)=0,"",INDEX($Y$40:$Y$133,IFERROR(MATCH(67,$AA$40:$AA$133,0),0)))</f>
        <v>-1000</v>
      </c>
      <c r="H80" s="145" t="str">
        <f aca="false">IF(A80="","",IF(D80&gt;0,(E80-F80)/D80,""))</f>
        <v/>
      </c>
      <c r="I80" s="115" t="str">
        <f aca="false">IF(IFERROR(MATCH(67,$AA$40:$AA$133,0),0)=0,"",INDEX($AB$40:$AB$133,IFERROR(MATCH(67,$AA$40:$AA$133,0),0)))</f>
        <v>Saiu saldo anterior a 09/09</v>
      </c>
      <c r="J80" s="116" t="n">
        <f aca="false">IF(IFERROR(MATCH(67,$AA$40:$AA$133,0),0)=0,"",INDEX($AC$40:$AC$133,IFERROR(MATCH(67,$AA$40:$AA$133,0),0)))</f>
        <v>1</v>
      </c>
      <c r="K80" s="117" t="n">
        <f aca="false">IF(IFERROR(MATCH(67,$AA$40:$AA$133,0),0)=0,"",IF(INDEX($AD$40:$AD$133,IFERROR(MATCH(67,$AA$40:$AA$133,0),0))=0,"",INDEX($AD$40:$AD$133,IFERROR(MATCH(67,$AA$40:$AA$133,0),0))))</f>
        <v>46288</v>
      </c>
      <c r="L80" s="117" t="n">
        <f aca="false">IF(IFERROR(MATCH(67,$AA$40:$AA$133,0),0)=0,"",IF(INDEX($AE$40:$AE$133,IFERROR(MATCH(67,$AA$40:$AA$133,0),0))=0,"",INDEX($AE$40:$AE$133,IFERROR(MATCH(67,$AA$40:$AA$133,0),0))))</f>
        <v>46288</v>
      </c>
      <c r="M80" s="119" t="str">
        <f aca="false">IF(IFERROR(MATCH(67,$AA$40:$AA$133,0),0)=0,"",INDEX($AF$40:$AF$133,IFERROR(MATCH(67,$AA$40:$AA$133,0),0))&amp;"")</f>
        <v/>
      </c>
      <c r="N80" s="118" t="str">
        <f aca="false">IF(A80="","",IF(I80="Aguardando transferência","Transferir "&amp;FIXED(G80,1)&amp;" "&amp;C80&amp;" do 2008 para o ZBR (verificar se já há OT aberta)",IF(I80="Transferido 100%","Nada a fazer","Sem ação: saíram "&amp;FIXED(-G80,1)&amp;" "&amp;C80&amp;" que já estavam no 2008 antes de 09/09 (conferir só se não havia saldo)")))</f>
        <v>Sem ação: saíram 1,000.0 KG que já estavam no 2008 antes de 09/09 (conferir só se não havia saldo)</v>
      </c>
      <c r="O80" s="1"/>
      <c r="T80" s="82" t="s">
        <v>247</v>
      </c>
      <c r="U80" s="82" t="s">
        <v>65</v>
      </c>
      <c r="V80" s="82" t="n">
        <f aca="false">SUMIFS('3 Base Entrada 2008'!$G$2:$G$5000,'3 Base Entrada 2008'!$F$2:$F$5000,"&gt;="&amp;$F$5,'3 Base Entrada 2008'!$F$2:$F$5000,"&lt;="&amp;$H$5,'3 Base Entrada 2008'!$B$2:$B$5000,$T80,'3 Base Entrada 2008'!$C$2:$C$5000,$AG80,'3 Base Entrada 2008'!$K$2:$K$5000,"Recebido no 2008")</f>
        <v>0</v>
      </c>
      <c r="W80" s="82" t="n">
        <f aca="false">-SUMIFS('3 Base Entrada 2008'!$G$2:$G$5000,'3 Base Entrada 2008'!$F$2:$F$5000,"&gt;="&amp;$F$5,'3 Base Entrada 2008'!$F$2:$F$5000,"&lt;="&amp;$H$5,'3 Base Entrada 2008'!$B$2:$B$5000,$T80,'3 Base Entrada 2008'!$C$2:$C$5000,$AG80,'3 Base Entrada 2008'!$K$2:$K$5000,"Entrada")</f>
        <v>40.2</v>
      </c>
      <c r="X80" s="82" t="n">
        <f aca="false">SUMIFS('3 Base Entrada 2008'!$G$2:$G$5000,'3 Base Entrada 2008'!$F$2:$F$5000,"&gt;="&amp;$F$5,'3 Base Entrada 2008'!$F$2:$F$5000,"&lt;="&amp;$H$5,'3 Base Entrada 2008'!$B$2:$B$5000,$T80,'3 Base Entrada 2008'!$C$2:$C$5000,$AG80,'3 Base Entrada 2008'!$K$2:$K$5000,"Estorno")</f>
        <v>0</v>
      </c>
      <c r="Y80" s="82" t="n">
        <f aca="false">ROUND(BA80+V80-W80+X80,3)</f>
        <v>-40.2</v>
      </c>
      <c r="Z80" s="82" t="n">
        <f aca="false">IF(AND(U80=$R$3,OR($R$1="*",T80=$R$1),OR($R$2="*",AG80=$R$2),OR($K$5="Todas",AB80=$K$5),ABS(V80)+ABS(W80)+ABS(X80)&gt;0),1,0)</f>
        <v>1</v>
      </c>
      <c r="AA80" s="82" t="n">
        <f aca="false">IF(Z80=1,SUM(Z$40:Z80),"")</f>
        <v>36</v>
      </c>
      <c r="AB80" s="0" t="str">
        <f aca="false">IF(ABS(Y80)&lt;=$R$5,"Transferido 100%",IF(Y80&gt;0,"Aguardando transferência","Saiu saldo anterior a 09/09"))</f>
        <v>Saiu saldo anterior a 09/09</v>
      </c>
      <c r="AC80" s="82" t="n">
        <f aca="false">COUNTIFS('3 Base Entrada 2008'!$F$2:$F$5000,"&gt;="&amp;$F$5,'3 Base Entrada 2008'!$F$2:$F$5000,"&lt;="&amp;$H$5,'3 Base Entrada 2008'!$B$2:$B$5000,$T80,'3 Base Entrada 2008'!$C$2:$C$5000,$AG80)</f>
        <v>1</v>
      </c>
      <c r="AD80" s="82" t="n">
        <f aca="false">_xlfn.MINIFS('3 Base Entrada 2008'!$F$2:$F$5000,'3 Base Entrada 2008'!$F$2:$F$5000,"&gt;="&amp;$F$5,'3 Base Entrada 2008'!$F$2:$F$5000,"&lt;="&amp;$H$5,'3 Base Entrada 2008'!$B$2:$B$5000,$T80,'3 Base Entrada 2008'!$C$2:$C$5000,$AG80)</f>
        <v>46291</v>
      </c>
      <c r="AE80" s="82" t="n">
        <f aca="false">_xlfn.MAXIFS('3 Base Entrada 2008'!$F$2:$F$5000,'3 Base Entrada 2008'!$F$2:$F$5000,"&gt;="&amp;$F$5,'3 Base Entrada 2008'!$F$2:$F$5000,"&lt;="&amp;$H$5,'3 Base Entrada 2008'!$B$2:$B$5000,$T80,'3 Base Entrada 2008'!$C$2:$C$5000,$AG80)</f>
        <v>46291</v>
      </c>
      <c r="AF80" s="82" t="s">
        <v>404</v>
      </c>
      <c r="AG80" s="82" t="s">
        <v>348</v>
      </c>
      <c r="AH80" s="82" t="n">
        <f aca="false">IF(AND(Z80=1,Y80&gt;$R$5),Y80+ROW()/10000000,0)</f>
        <v>0</v>
      </c>
      <c r="AV80" s="0" t="str">
        <f aca="false">IFERROR(INDEX($AX$1:$AX$94,MATCH(79,$AY$1:$AY$94,0)),"")</f>
        <v>260341149</v>
      </c>
      <c r="AW80" s="82" t="s">
        <v>286</v>
      </c>
      <c r="AX80" s="82" t="s">
        <v>383</v>
      </c>
      <c r="AY80" s="82" t="n">
        <f aca="false">IF(OR($A$5="Todos",AW80=$A$5),MAX(AY$1:AY79)+1,0)</f>
        <v>80</v>
      </c>
      <c r="BA80" s="82" t="n">
        <f aca="false">SUMIFS('3 Base Saldo Inicial 08-09'!$E$2:$E$5000,'3 Base Saldo Inicial 08-09'!$A$2:$A$5000,$T80,'3 Base Saldo Inicial 08-09'!$B$2:$B$5000,$AG80,'3 Base Saldo Inicial 08-09'!$C$2:$C$5000,"2008")</f>
        <v>0</v>
      </c>
    </row>
    <row r="81" customFormat="false" ht="15" hidden="false" customHeight="false" outlineLevel="0" collapsed="false">
      <c r="A81" s="111" t="str">
        <f aca="false">IF(IFERROR(MATCH(68,$AA$40:$AA$133,0),0)=0,"",INDEX($T$40:$T$133,IFERROR(MATCH(68,$AA$40:$AA$133,0),0)))</f>
        <v>PNP-T14</v>
      </c>
      <c r="B81" s="111" t="str">
        <f aca="false">IF(IFERROR(MATCH(68,$AA$40:$AA$133,0),0)=0,"",INDEX($AG$40:$AG$133,IFERROR(MATCH(68,$AA$40:$AA$133,0),0)))</f>
        <v>2608294084</v>
      </c>
      <c r="C81" s="112" t="str">
        <f aca="false">IF(IFERROR(MATCH(68,$AA$40:$AA$133,0),0)=0,"",INDEX($U$40:$U$133,IFERROR(MATCH(68,$AA$40:$AA$133,0),0)))</f>
        <v>KG</v>
      </c>
      <c r="D81" s="113" t="n">
        <f aca="false">IF(IFERROR(MATCH(68,$AA$40:$AA$133,0),0)=0,"",INDEX($V$40:$V$133,IFERROR(MATCH(68,$AA$40:$AA$133,0),0)))</f>
        <v>0</v>
      </c>
      <c r="E81" s="113" t="n">
        <f aca="false">IF(IFERROR(MATCH(68,$AA$40:$AA$133,0),0)=0,"",INDEX($W$40:$W$133,IFERROR(MATCH(68,$AA$40:$AA$133,0),0)))</f>
        <v>1000</v>
      </c>
      <c r="F81" s="113" t="n">
        <f aca="false">IF(IFERROR(MATCH(68,$AA$40:$AA$133,0),0)=0,"",INDEX($X$40:$X$133,IFERROR(MATCH(68,$AA$40:$AA$133,0),0)))</f>
        <v>0</v>
      </c>
      <c r="G81" s="114" t="n">
        <f aca="false">IF(IFERROR(MATCH(68,$AA$40:$AA$133,0),0)=0,"",INDEX($Y$40:$Y$133,IFERROR(MATCH(68,$AA$40:$AA$133,0),0)))</f>
        <v>-1000</v>
      </c>
      <c r="H81" s="145" t="str">
        <f aca="false">IF(A81="","",IF(D81&gt;0,(E81-F81)/D81,""))</f>
        <v/>
      </c>
      <c r="I81" s="115" t="str">
        <f aca="false">IF(IFERROR(MATCH(68,$AA$40:$AA$133,0),0)=0,"",INDEX($AB$40:$AB$133,IFERROR(MATCH(68,$AA$40:$AA$133,0),0)))</f>
        <v>Saiu saldo anterior a 09/09</v>
      </c>
      <c r="J81" s="116" t="n">
        <f aca="false">IF(IFERROR(MATCH(68,$AA$40:$AA$133,0),0)=0,"",INDEX($AC$40:$AC$133,IFERROR(MATCH(68,$AA$40:$AA$133,0),0)))</f>
        <v>1</v>
      </c>
      <c r="K81" s="117" t="n">
        <f aca="false">IF(IFERROR(MATCH(68,$AA$40:$AA$133,0),0)=0,"",IF(INDEX($AD$40:$AD$133,IFERROR(MATCH(68,$AA$40:$AA$133,0),0))=0,"",INDEX($AD$40:$AD$133,IFERROR(MATCH(68,$AA$40:$AA$133,0),0))))</f>
        <v>46291</v>
      </c>
      <c r="L81" s="117" t="n">
        <f aca="false">IF(IFERROR(MATCH(68,$AA$40:$AA$133,0),0)=0,"",IF(INDEX($AE$40:$AE$133,IFERROR(MATCH(68,$AA$40:$AA$133,0),0))=0,"",INDEX($AE$40:$AE$133,IFERROR(MATCH(68,$AA$40:$AA$133,0),0))))</f>
        <v>46291</v>
      </c>
      <c r="M81" s="119" t="str">
        <f aca="false">IF(IFERROR(MATCH(68,$AA$40:$AA$133,0),0)=0,"",INDEX($AF$40:$AF$133,IFERROR(MATCH(68,$AA$40:$AA$133,0),0))&amp;"")</f>
        <v>CA 5KG/UC 2UC/BOX 50BOX/PAL</v>
      </c>
      <c r="N81" s="118" t="str">
        <f aca="false">IF(A81="","",IF(I81="Aguardando transferência","Transferir "&amp;FIXED(G81,1)&amp;" "&amp;C81&amp;" do 2008 para o ZBR (verificar se já há OT aberta)",IF(I81="Transferido 100%","Nada a fazer","Sem ação: saíram "&amp;FIXED(-G81,1)&amp;" "&amp;C81&amp;" que já estavam no 2008 antes de 09/09 (conferir só se não havia saldo)")))</f>
        <v>Sem ação: saíram 1,000.0 KG que já estavam no 2008 antes de 09/09 (conferir só se não havia saldo)</v>
      </c>
      <c r="O81" s="1"/>
      <c r="T81" s="82" t="s">
        <v>389</v>
      </c>
      <c r="U81" s="82" t="s">
        <v>65</v>
      </c>
      <c r="V81" s="82" t="n">
        <f aca="false">SUMIFS('3 Base Entrada 2008'!$G$2:$G$5000,'3 Base Entrada 2008'!$F$2:$F$5000,"&gt;="&amp;$F$5,'3 Base Entrada 2008'!$F$2:$F$5000,"&lt;="&amp;$H$5,'3 Base Entrada 2008'!$B$2:$B$5000,$T81,'3 Base Entrada 2008'!$C$2:$C$5000,$AG81,'3 Base Entrada 2008'!$K$2:$K$5000,"Recebido no 2008")</f>
        <v>0</v>
      </c>
      <c r="W81" s="82" t="n">
        <f aca="false">-SUMIFS('3 Base Entrada 2008'!$G$2:$G$5000,'3 Base Entrada 2008'!$F$2:$F$5000,"&gt;="&amp;$F$5,'3 Base Entrada 2008'!$F$2:$F$5000,"&lt;="&amp;$H$5,'3 Base Entrada 2008'!$B$2:$B$5000,$T81,'3 Base Entrada 2008'!$C$2:$C$5000,$AG81,'3 Base Entrada 2008'!$K$2:$K$5000,"Entrada")</f>
        <v>53.2</v>
      </c>
      <c r="X81" s="82" t="n">
        <f aca="false">SUMIFS('3 Base Entrada 2008'!$G$2:$G$5000,'3 Base Entrada 2008'!$F$2:$F$5000,"&gt;="&amp;$F$5,'3 Base Entrada 2008'!$F$2:$F$5000,"&lt;="&amp;$H$5,'3 Base Entrada 2008'!$B$2:$B$5000,$T81,'3 Base Entrada 2008'!$C$2:$C$5000,$AG81,'3 Base Entrada 2008'!$K$2:$K$5000,"Estorno")</f>
        <v>0</v>
      </c>
      <c r="Y81" s="82" t="n">
        <f aca="false">ROUND(BA81+V81-W81+X81,3)</f>
        <v>-53.2</v>
      </c>
      <c r="Z81" s="82" t="n">
        <f aca="false">IF(AND(U81=$R$3,OR($R$1="*",T81=$R$1),OR($R$2="*",AG81=$R$2),OR($K$5="Todas",AB81=$K$5),ABS(V81)+ABS(W81)+ABS(X81)&gt;0),1,0)</f>
        <v>1</v>
      </c>
      <c r="AA81" s="82" t="n">
        <f aca="false">IF(Z81=1,SUM(Z$40:Z81),"")</f>
        <v>37</v>
      </c>
      <c r="AB81" s="0" t="str">
        <f aca="false">IF(ABS(Y81)&lt;=$R$5,"Transferido 100%",IF(Y81&gt;0,"Aguardando transferência","Saiu saldo anterior a 09/09"))</f>
        <v>Saiu saldo anterior a 09/09</v>
      </c>
      <c r="AC81" s="82" t="n">
        <f aca="false">COUNTIFS('3 Base Entrada 2008'!$F$2:$F$5000,"&gt;="&amp;$F$5,'3 Base Entrada 2008'!$F$2:$F$5000,"&lt;="&amp;$H$5,'3 Base Entrada 2008'!$B$2:$B$5000,$T81,'3 Base Entrada 2008'!$C$2:$C$5000,$AG81)</f>
        <v>1</v>
      </c>
      <c r="AD81" s="82" t="n">
        <f aca="false">_xlfn.MINIFS('3 Base Entrada 2008'!$F$2:$F$5000,'3 Base Entrada 2008'!$F$2:$F$5000,"&gt;="&amp;$F$5,'3 Base Entrada 2008'!$F$2:$F$5000,"&lt;="&amp;$H$5,'3 Base Entrada 2008'!$B$2:$B$5000,$T81,'3 Base Entrada 2008'!$C$2:$C$5000,$AG81)</f>
        <v>46291</v>
      </c>
      <c r="AE81" s="82" t="n">
        <f aca="false">_xlfn.MAXIFS('3 Base Entrada 2008'!$F$2:$F$5000,'3 Base Entrada 2008'!$F$2:$F$5000,"&gt;="&amp;$F$5,'3 Base Entrada 2008'!$F$2:$F$5000,"&lt;="&amp;$H$5,'3 Base Entrada 2008'!$B$2:$B$5000,$T81,'3 Base Entrada 2008'!$C$2:$C$5000,$AG81)</f>
        <v>46291</v>
      </c>
      <c r="AF81" s="82" t="s">
        <v>1104</v>
      </c>
      <c r="AG81" s="82" t="s">
        <v>390</v>
      </c>
      <c r="AH81" s="82" t="n">
        <f aca="false">IF(AND(Z81=1,Y81&gt;$R$5),Y81+ROW()/10000000,0)</f>
        <v>0</v>
      </c>
      <c r="AV81" s="0" t="str">
        <f aca="false">IFERROR(INDEX($AX$1:$AX$94,MATCH(80,$AY$1:$AY$94,0)),"")</f>
        <v>260611429</v>
      </c>
      <c r="AW81" s="82" t="s">
        <v>286</v>
      </c>
      <c r="AX81" s="82" t="s">
        <v>287</v>
      </c>
      <c r="AY81" s="82" t="n">
        <f aca="false">IF(OR($A$5="Todos",AW81=$A$5),MAX(AY$1:AY80)+1,0)</f>
        <v>81</v>
      </c>
      <c r="BA81" s="82" t="n">
        <f aca="false">SUMIFS('3 Base Saldo Inicial 08-09'!$E$2:$E$5000,'3 Base Saldo Inicial 08-09'!$A$2:$A$5000,$T81,'3 Base Saldo Inicial 08-09'!$B$2:$B$5000,$AG81,'3 Base Saldo Inicial 08-09'!$C$2:$C$5000,"2008")</f>
        <v>0</v>
      </c>
    </row>
    <row r="82" customFormat="false" ht="15" hidden="false" customHeight="false" outlineLevel="0" collapsed="false">
      <c r="A82" s="111" t="str">
        <f aca="false">IF(IFERROR(MATCH(69,$AA$40:$AA$133,0),0)=0,"",INDEX($T$40:$T$133,IFERROR(MATCH(69,$AA$40:$AA$133,0),0)))</f>
        <v>2665-E4-U71</v>
      </c>
      <c r="B82" s="111" t="str">
        <f aca="false">IF(IFERROR(MATCH(69,$AA$40:$AA$133,0),0)=0,"",INDEX($AG$40:$AG$133,IFERROR(MATCH(69,$AA$40:$AA$133,0),0)))</f>
        <v>252800202</v>
      </c>
      <c r="C82" s="112" t="str">
        <f aca="false">IF(IFERROR(MATCH(69,$AA$40:$AA$133,0),0)=0,"",INDEX($U$40:$U$133,IFERROR(MATCH(69,$AA$40:$AA$133,0),0)))</f>
        <v>KG</v>
      </c>
      <c r="D82" s="113" t="n">
        <f aca="false">IF(IFERROR(MATCH(69,$AA$40:$AA$133,0),0)=0,"",INDEX($V$40:$V$133,IFERROR(MATCH(69,$AA$40:$AA$133,0),0)))</f>
        <v>0</v>
      </c>
      <c r="E82" s="113" t="n">
        <f aca="false">IF(IFERROR(MATCH(69,$AA$40:$AA$133,0),0)=0,"",INDEX($W$40:$W$133,IFERROR(MATCH(69,$AA$40:$AA$133,0),0)))</f>
        <v>1200</v>
      </c>
      <c r="F82" s="113" t="n">
        <f aca="false">IF(IFERROR(MATCH(69,$AA$40:$AA$133,0),0)=0,"",INDEX($X$40:$X$133,IFERROR(MATCH(69,$AA$40:$AA$133,0),0)))</f>
        <v>0</v>
      </c>
      <c r="G82" s="114" t="n">
        <f aca="false">IF(IFERROR(MATCH(69,$AA$40:$AA$133,0),0)=0,"",INDEX($Y$40:$Y$133,IFERROR(MATCH(69,$AA$40:$AA$133,0),0)))</f>
        <v>-1200</v>
      </c>
      <c r="H82" s="145" t="str">
        <f aca="false">IF(A82="","",IF(D82&gt;0,(E82-F82)/D82,""))</f>
        <v/>
      </c>
      <c r="I82" s="115" t="str">
        <f aca="false">IF(IFERROR(MATCH(69,$AA$40:$AA$133,0),0)=0,"",INDEX($AB$40:$AB$133,IFERROR(MATCH(69,$AA$40:$AA$133,0),0)))</f>
        <v>Saiu saldo anterior a 09/09</v>
      </c>
      <c r="J82" s="116" t="n">
        <f aca="false">IF(IFERROR(MATCH(69,$AA$40:$AA$133,0),0)=0,"",INDEX($AC$40:$AC$133,IFERROR(MATCH(69,$AA$40:$AA$133,0),0)))</f>
        <v>2</v>
      </c>
      <c r="K82" s="117" t="n">
        <f aca="false">IF(IFERROR(MATCH(69,$AA$40:$AA$133,0),0)=0,"",IF(INDEX($AD$40:$AD$133,IFERROR(MATCH(69,$AA$40:$AA$133,0),0))=0,"",INDEX($AD$40:$AD$133,IFERROR(MATCH(69,$AA$40:$AA$133,0),0))))</f>
        <v>46289</v>
      </c>
      <c r="L82" s="117" t="n">
        <f aca="false">IF(IFERROR(MATCH(69,$AA$40:$AA$133,0),0)=0,"",IF(INDEX($AE$40:$AE$133,IFERROR(MATCH(69,$AA$40:$AA$133,0),0))=0,"",INDEX($AE$40:$AE$133,IFERROR(MATCH(69,$AA$40:$AA$133,0),0))))</f>
        <v>46289</v>
      </c>
      <c r="M82" s="119" t="str">
        <f aca="false">IF(IFERROR(MATCH(69,$AA$40:$AA$133,0),0)=0,"",INDEX($AF$40:$AF$133,IFERROR(MATCH(69,$AA$40:$AA$133,0),0))&amp;"")</f>
        <v/>
      </c>
      <c r="N82" s="118" t="str">
        <f aca="false">IF(A82="","",IF(I82="Aguardando transferência","Transferir "&amp;FIXED(G82,1)&amp;" "&amp;C82&amp;" do 2008 para o ZBR (verificar se já há OT aberta)",IF(I82="Transferido 100%","Nada a fazer","Sem ação: saíram "&amp;FIXED(-G82,1)&amp;" "&amp;C82&amp;" que já estavam no 2008 antes de 09/09 (conferir só se não havia saldo)")))</f>
        <v>Sem ação: saíram 1,200.0 KG que já estavam no 2008 antes de 09/09 (conferir só se não havia saldo)</v>
      </c>
      <c r="O82" s="1"/>
      <c r="T82" s="82" t="s">
        <v>341</v>
      </c>
      <c r="U82" s="82" t="s">
        <v>65</v>
      </c>
      <c r="V82" s="82" t="n">
        <f aca="false">SUMIFS('3 Base Entrada 2008'!$G$2:$G$5000,'3 Base Entrada 2008'!$F$2:$F$5000,"&gt;="&amp;$F$5,'3 Base Entrada 2008'!$F$2:$F$5000,"&lt;="&amp;$H$5,'3 Base Entrada 2008'!$B$2:$B$5000,$T82,'3 Base Entrada 2008'!$C$2:$C$5000,$AG82,'3 Base Entrada 2008'!$K$2:$K$5000,"Recebido no 2008")</f>
        <v>0</v>
      </c>
      <c r="W82" s="82" t="n">
        <f aca="false">-SUMIFS('3 Base Entrada 2008'!$G$2:$G$5000,'3 Base Entrada 2008'!$F$2:$F$5000,"&gt;="&amp;$F$5,'3 Base Entrada 2008'!$F$2:$F$5000,"&lt;="&amp;$H$5,'3 Base Entrada 2008'!$B$2:$B$5000,$T82,'3 Base Entrada 2008'!$C$2:$C$5000,$AG82,'3 Base Entrada 2008'!$K$2:$K$5000,"Entrada")</f>
        <v>81.6</v>
      </c>
      <c r="X82" s="82" t="n">
        <f aca="false">SUMIFS('3 Base Entrada 2008'!$G$2:$G$5000,'3 Base Entrada 2008'!$F$2:$F$5000,"&gt;="&amp;$F$5,'3 Base Entrada 2008'!$F$2:$F$5000,"&lt;="&amp;$H$5,'3 Base Entrada 2008'!$B$2:$B$5000,$T82,'3 Base Entrada 2008'!$C$2:$C$5000,$AG82,'3 Base Entrada 2008'!$K$2:$K$5000,"Estorno")</f>
        <v>0</v>
      </c>
      <c r="Y82" s="82" t="n">
        <f aca="false">ROUND(BA82+V82-W82+X82,3)</f>
        <v>-81.6</v>
      </c>
      <c r="Z82" s="82" t="n">
        <f aca="false">IF(AND(U82=$R$3,OR($R$1="*",T82=$R$1),OR($R$2="*",AG82=$R$2),OR($K$5="Todas",AB82=$K$5),ABS(V82)+ABS(W82)+ABS(X82)&gt;0),1,0)</f>
        <v>1</v>
      </c>
      <c r="AA82" s="82" t="n">
        <f aca="false">IF(Z82=1,SUM(Z$40:Z82),"")</f>
        <v>38</v>
      </c>
      <c r="AB82" s="0" t="str">
        <f aca="false">IF(ABS(Y82)&lt;=$R$5,"Transferido 100%",IF(Y82&gt;0,"Aguardando transferência","Saiu saldo anterior a 09/09"))</f>
        <v>Saiu saldo anterior a 09/09</v>
      </c>
      <c r="AC82" s="82" t="n">
        <f aca="false">COUNTIFS('3 Base Entrada 2008'!$F$2:$F$5000,"&gt;="&amp;$F$5,'3 Base Entrada 2008'!$F$2:$F$5000,"&lt;="&amp;$H$5,'3 Base Entrada 2008'!$B$2:$B$5000,$T82,'3 Base Entrada 2008'!$C$2:$C$5000,$AG82)</f>
        <v>1</v>
      </c>
      <c r="AD82" s="82" t="n">
        <f aca="false">_xlfn.MINIFS('3 Base Entrada 2008'!$F$2:$F$5000,'3 Base Entrada 2008'!$F$2:$F$5000,"&gt;="&amp;$F$5,'3 Base Entrada 2008'!$F$2:$F$5000,"&lt;="&amp;$H$5,'3 Base Entrada 2008'!$B$2:$B$5000,$T82,'3 Base Entrada 2008'!$C$2:$C$5000,$AG82)</f>
        <v>46291</v>
      </c>
      <c r="AE82" s="82" t="n">
        <f aca="false">_xlfn.MAXIFS('3 Base Entrada 2008'!$F$2:$F$5000,'3 Base Entrada 2008'!$F$2:$F$5000,"&gt;="&amp;$F$5,'3 Base Entrada 2008'!$F$2:$F$5000,"&lt;="&amp;$H$5,'3 Base Entrada 2008'!$B$2:$B$5000,$T82,'3 Base Entrada 2008'!$C$2:$C$5000,$AG82)</f>
        <v>46291</v>
      </c>
      <c r="AG82" s="82" t="s">
        <v>342</v>
      </c>
      <c r="AH82" s="82" t="n">
        <f aca="false">IF(AND(Z82=1,Y82&gt;$R$5),Y82+ROW()/10000000,0)</f>
        <v>0</v>
      </c>
      <c r="AV82" s="0" t="str">
        <f aca="false">IFERROR(INDEX($AX$1:$AX$94,MATCH(81,$AY$1:$AY$94,0)),"")</f>
        <v>260691479</v>
      </c>
      <c r="AW82" s="82" t="s">
        <v>301</v>
      </c>
      <c r="AX82" s="82" t="s">
        <v>385</v>
      </c>
      <c r="AY82" s="82" t="n">
        <f aca="false">IF(OR($A$5="Todos",AW82=$A$5),MAX(AY$1:AY81)+1,0)</f>
        <v>82</v>
      </c>
      <c r="BA82" s="82" t="n">
        <f aca="false">SUMIFS('3 Base Saldo Inicial 08-09'!$E$2:$E$5000,'3 Base Saldo Inicial 08-09'!$A$2:$A$5000,$T82,'3 Base Saldo Inicial 08-09'!$B$2:$B$5000,$AG82,'3 Base Saldo Inicial 08-09'!$C$2:$C$5000,"2008")</f>
        <v>0</v>
      </c>
    </row>
    <row r="83" customFormat="false" ht="15" hidden="false" customHeight="false" outlineLevel="0" collapsed="false">
      <c r="A83" s="111" t="str">
        <f aca="false">IF(IFERROR(MATCH(70,$AA$40:$AA$133,0),0)=0,"",INDEX($T$40:$T$133,IFERROR(MATCH(70,$AA$40:$AA$133,0),0)))</f>
        <v>CW2NV-595</v>
      </c>
      <c r="B83" s="111" t="str">
        <f aca="false">IF(IFERROR(MATCH(70,$AA$40:$AA$133,0),0)=0,"",INDEX($AG$40:$AG$133,IFERROR(MATCH(70,$AA$40:$AA$133,0),0)))</f>
        <v>260850602</v>
      </c>
      <c r="C83" s="112" t="str">
        <f aca="false">IF(IFERROR(MATCH(70,$AA$40:$AA$133,0),0)=0,"",INDEX($U$40:$U$133,IFERROR(MATCH(70,$AA$40:$AA$133,0),0)))</f>
        <v>KG</v>
      </c>
      <c r="D83" s="113" t="n">
        <f aca="false">IF(IFERROR(MATCH(70,$AA$40:$AA$133,0),0)=0,"",INDEX($V$40:$V$133,IFERROR(MATCH(70,$AA$40:$AA$133,0),0)))</f>
        <v>0</v>
      </c>
      <c r="E83" s="113" t="n">
        <f aca="false">IF(IFERROR(MATCH(70,$AA$40:$AA$133,0),0)=0,"",INDEX($W$40:$W$133,IFERROR(MATCH(70,$AA$40:$AA$133,0),0)))</f>
        <v>1200</v>
      </c>
      <c r="F83" s="113" t="n">
        <f aca="false">IF(IFERROR(MATCH(70,$AA$40:$AA$133,0),0)=0,"",INDEX($X$40:$X$133,IFERROR(MATCH(70,$AA$40:$AA$133,0),0)))</f>
        <v>0</v>
      </c>
      <c r="G83" s="114" t="n">
        <f aca="false">IF(IFERROR(MATCH(70,$AA$40:$AA$133,0),0)=0,"",INDEX($Y$40:$Y$133,IFERROR(MATCH(70,$AA$40:$AA$133,0),0)))</f>
        <v>-1200</v>
      </c>
      <c r="H83" s="145" t="str">
        <f aca="false">IF(A83="","",IF(D83&gt;0,(E83-F83)/D83,""))</f>
        <v/>
      </c>
      <c r="I83" s="115" t="str">
        <f aca="false">IF(IFERROR(MATCH(70,$AA$40:$AA$133,0),0)=0,"",INDEX($AB$40:$AB$133,IFERROR(MATCH(70,$AA$40:$AA$133,0),0)))</f>
        <v>Saiu saldo anterior a 09/09</v>
      </c>
      <c r="J83" s="116" t="n">
        <f aca="false">IF(IFERROR(MATCH(70,$AA$40:$AA$133,0),0)=0,"",INDEX($AC$40:$AC$133,IFERROR(MATCH(70,$AA$40:$AA$133,0),0)))</f>
        <v>1</v>
      </c>
      <c r="K83" s="117" t="n">
        <f aca="false">IF(IFERROR(MATCH(70,$AA$40:$AA$133,0),0)=0,"",IF(INDEX($AD$40:$AD$133,IFERROR(MATCH(70,$AA$40:$AA$133,0),0))=0,"",INDEX($AD$40:$AD$133,IFERROR(MATCH(70,$AA$40:$AA$133,0),0))))</f>
        <v>46291</v>
      </c>
      <c r="L83" s="117" t="n">
        <f aca="false">IF(IFERROR(MATCH(70,$AA$40:$AA$133,0),0)=0,"",IF(INDEX($AE$40:$AE$133,IFERROR(MATCH(70,$AA$40:$AA$133,0),0))=0,"",INDEX($AE$40:$AE$133,IFERROR(MATCH(70,$AA$40:$AA$133,0),0))))</f>
        <v>46291</v>
      </c>
      <c r="M83" s="119" t="str">
        <f aca="false">IF(IFERROR(MATCH(70,$AA$40:$AA$133,0),0)=0,"",INDEX($AF$40:$AF$133,IFERROR(MATCH(70,$AA$40:$AA$133,0),0))&amp;"")</f>
        <v/>
      </c>
      <c r="N83" s="118" t="str">
        <f aca="false">IF(A83="","",IF(I83="Aguardando transferência","Transferir "&amp;FIXED(G83,1)&amp;" "&amp;C83&amp;" do 2008 para o ZBR (verificar se já há OT aberta)",IF(I83="Transferido 100%","Nada a fazer","Sem ação: saíram "&amp;FIXED(-G83,1)&amp;" "&amp;C83&amp;" que já estavam no 2008 antes de 09/09 (conferir só se não havia saldo)")))</f>
        <v>Sem ação: saíram 1,200.0 KG que já estavam no 2008 antes de 09/09 (conferir só se não havia saldo)</v>
      </c>
      <c r="O83" s="1"/>
      <c r="T83" s="82" t="s">
        <v>260</v>
      </c>
      <c r="U83" s="82" t="s">
        <v>65</v>
      </c>
      <c r="V83" s="82" t="n">
        <f aca="false">SUMIFS('3 Base Entrada 2008'!$G$2:$G$5000,'3 Base Entrada 2008'!$F$2:$F$5000,"&gt;="&amp;$F$5,'3 Base Entrada 2008'!$F$2:$F$5000,"&lt;="&amp;$H$5,'3 Base Entrada 2008'!$B$2:$B$5000,$T83,'3 Base Entrada 2008'!$C$2:$C$5000,$AG83,'3 Base Entrada 2008'!$K$2:$K$5000,"Recebido no 2008")</f>
        <v>0</v>
      </c>
      <c r="W83" s="82" t="n">
        <f aca="false">-SUMIFS('3 Base Entrada 2008'!$G$2:$G$5000,'3 Base Entrada 2008'!$F$2:$F$5000,"&gt;="&amp;$F$5,'3 Base Entrada 2008'!$F$2:$F$5000,"&lt;="&amp;$H$5,'3 Base Entrada 2008'!$B$2:$B$5000,$T83,'3 Base Entrada 2008'!$C$2:$C$5000,$AG83,'3 Base Entrada 2008'!$K$2:$K$5000,"Entrada")</f>
        <v>108.8</v>
      </c>
      <c r="X83" s="82" t="n">
        <f aca="false">SUMIFS('3 Base Entrada 2008'!$G$2:$G$5000,'3 Base Entrada 2008'!$F$2:$F$5000,"&gt;="&amp;$F$5,'3 Base Entrada 2008'!$F$2:$F$5000,"&lt;="&amp;$H$5,'3 Base Entrada 2008'!$B$2:$B$5000,$T83,'3 Base Entrada 2008'!$C$2:$C$5000,$AG83,'3 Base Entrada 2008'!$K$2:$K$5000,"Estorno")</f>
        <v>0</v>
      </c>
      <c r="Y83" s="82" t="n">
        <f aca="false">ROUND(BA83+V83-W83+X83,3)</f>
        <v>-108.8</v>
      </c>
      <c r="Z83" s="82" t="n">
        <f aca="false">IF(AND(U83=$R$3,OR($R$1="*",T83=$R$1),OR($R$2="*",AG83=$R$2),OR($K$5="Todas",AB83=$K$5),ABS(V83)+ABS(W83)+ABS(X83)&gt;0),1,0)</f>
        <v>1</v>
      </c>
      <c r="AA83" s="82" t="n">
        <f aca="false">IF(Z83=1,SUM(Z$40:Z83),"")</f>
        <v>39</v>
      </c>
      <c r="AB83" s="0" t="str">
        <f aca="false">IF(ABS(Y83)&lt;=$R$5,"Transferido 100%",IF(Y83&gt;0,"Aguardando transferência","Saiu saldo anterior a 09/09"))</f>
        <v>Saiu saldo anterior a 09/09</v>
      </c>
      <c r="AC83" s="82" t="n">
        <f aca="false">COUNTIFS('3 Base Entrada 2008'!$F$2:$F$5000,"&gt;="&amp;$F$5,'3 Base Entrada 2008'!$F$2:$F$5000,"&lt;="&amp;$H$5,'3 Base Entrada 2008'!$B$2:$B$5000,$T83,'3 Base Entrada 2008'!$C$2:$C$5000,$AG83)</f>
        <v>1</v>
      </c>
      <c r="AD83" s="82" t="n">
        <f aca="false">_xlfn.MINIFS('3 Base Entrada 2008'!$F$2:$F$5000,'3 Base Entrada 2008'!$F$2:$F$5000,"&gt;="&amp;$F$5,'3 Base Entrada 2008'!$F$2:$F$5000,"&lt;="&amp;$H$5,'3 Base Entrada 2008'!$B$2:$B$5000,$T83,'3 Base Entrada 2008'!$C$2:$C$5000,$AG83)</f>
        <v>46293</v>
      </c>
      <c r="AE83" s="82" t="n">
        <f aca="false">_xlfn.MAXIFS('3 Base Entrada 2008'!$F$2:$F$5000,'3 Base Entrada 2008'!$F$2:$F$5000,"&gt;="&amp;$F$5,'3 Base Entrada 2008'!$F$2:$F$5000,"&lt;="&amp;$H$5,'3 Base Entrada 2008'!$B$2:$B$5000,$T83,'3 Base Entrada 2008'!$C$2:$C$5000,$AG83)</f>
        <v>46293</v>
      </c>
      <c r="AG83" s="82" t="s">
        <v>261</v>
      </c>
      <c r="AH83" s="82" t="n">
        <f aca="false">IF(AND(Z83=1,Y83&gt;$R$5),Y83+ROW()/10000000,0)</f>
        <v>0</v>
      </c>
      <c r="AV83" s="0" t="str">
        <f aca="false">IFERROR(INDEX($AX$1:$AX$94,MATCH(82,$AY$1:$AY$94,0)),"")</f>
        <v>2608294084</v>
      </c>
      <c r="AW83" s="82" t="s">
        <v>301</v>
      </c>
      <c r="AX83" s="82" t="s">
        <v>302</v>
      </c>
      <c r="AY83" s="82" t="n">
        <f aca="false">IF(OR($A$5="Todos",AW83=$A$5),MAX(AY$1:AY82)+1,0)</f>
        <v>83</v>
      </c>
      <c r="BA83" s="82" t="n">
        <f aca="false">SUMIFS('3 Base Saldo Inicial 08-09'!$E$2:$E$5000,'3 Base Saldo Inicial 08-09'!$A$2:$A$5000,$T83,'3 Base Saldo Inicial 08-09'!$B$2:$B$5000,$AG83,'3 Base Saldo Inicial 08-09'!$C$2:$C$5000,"2008")</f>
        <v>0</v>
      </c>
    </row>
    <row r="84" customFormat="false" ht="15" hidden="false" customHeight="false" outlineLevel="0" collapsed="false">
      <c r="A84" s="111" t="str">
        <f aca="false">IF(IFERROR(MATCH(71,$AA$40:$AA$133,0),0)=0,"",INDEX($T$40:$T$133,IFERROR(MATCH(71,$AA$40:$AA$133,0),0)))</f>
        <v>811NV-132</v>
      </c>
      <c r="B84" s="111" t="str">
        <f aca="false">IF(IFERROR(MATCH(71,$AA$40:$AA$133,0),0)=0,"",INDEX($AG$40:$AG$133,IFERROR(MATCH(71,$AA$40:$AA$133,0),0)))</f>
        <v>252510301</v>
      </c>
      <c r="C84" s="112" t="str">
        <f aca="false">IF(IFERROR(MATCH(71,$AA$40:$AA$133,0),0)=0,"",INDEX($U$40:$U$133,IFERROR(MATCH(71,$AA$40:$AA$133,0),0)))</f>
        <v>KG</v>
      </c>
      <c r="D84" s="113" t="n">
        <f aca="false">IF(IFERROR(MATCH(71,$AA$40:$AA$133,0),0)=0,"",INDEX($V$40:$V$133,IFERROR(MATCH(71,$AA$40:$AA$133,0),0)))</f>
        <v>0</v>
      </c>
      <c r="E84" s="113" t="n">
        <f aca="false">IF(IFERROR(MATCH(71,$AA$40:$AA$133,0),0)=0,"",INDEX($W$40:$W$133,IFERROR(MATCH(71,$AA$40:$AA$133,0),0)))</f>
        <v>1530</v>
      </c>
      <c r="F84" s="113" t="n">
        <f aca="false">IF(IFERROR(MATCH(71,$AA$40:$AA$133,0),0)=0,"",INDEX($X$40:$X$133,IFERROR(MATCH(71,$AA$40:$AA$133,0),0)))</f>
        <v>30</v>
      </c>
      <c r="G84" s="114" t="n">
        <f aca="false">IF(IFERROR(MATCH(71,$AA$40:$AA$133,0),0)=0,"",INDEX($Y$40:$Y$133,IFERROR(MATCH(71,$AA$40:$AA$133,0),0)))</f>
        <v>-1500</v>
      </c>
      <c r="H84" s="145" t="str">
        <f aca="false">IF(A84="","",IF(D84&gt;0,(E84-F84)/D84,""))</f>
        <v/>
      </c>
      <c r="I84" s="115" t="str">
        <f aca="false">IF(IFERROR(MATCH(71,$AA$40:$AA$133,0),0)=0,"",INDEX($AB$40:$AB$133,IFERROR(MATCH(71,$AA$40:$AA$133,0),0)))</f>
        <v>Saiu saldo anterior a 09/09</v>
      </c>
      <c r="J84" s="116" t="n">
        <f aca="false">IF(IFERROR(MATCH(71,$AA$40:$AA$133,0),0)=0,"",INDEX($AC$40:$AC$133,IFERROR(MATCH(71,$AA$40:$AA$133,0),0)))</f>
        <v>4</v>
      </c>
      <c r="K84" s="117" t="n">
        <f aca="false">IF(IFERROR(MATCH(71,$AA$40:$AA$133,0),0)=0,"",IF(INDEX($AD$40:$AD$133,IFERROR(MATCH(71,$AA$40:$AA$133,0),0))=0,"",INDEX($AD$40:$AD$133,IFERROR(MATCH(71,$AA$40:$AA$133,0),0))))</f>
        <v>46289</v>
      </c>
      <c r="L84" s="117" t="n">
        <f aca="false">IF(IFERROR(MATCH(71,$AA$40:$AA$133,0),0)=0,"",IF(INDEX($AE$40:$AE$133,IFERROR(MATCH(71,$AA$40:$AA$133,0),0))=0,"",INDEX($AE$40:$AE$133,IFERROR(MATCH(71,$AA$40:$AA$133,0),0))))</f>
        <v>46289</v>
      </c>
      <c r="M84" s="119" t="str">
        <f aca="false">IF(IFERROR(MATCH(71,$AA$40:$AA$133,0),0)=0,"",INDEX($AF$40:$AF$133,IFERROR(MATCH(71,$AA$40:$AA$133,0),0))&amp;"")</f>
        <v>96_FU:811NV-50C_CA BLOCKS 5KG/UC 5UC</v>
      </c>
      <c r="N84" s="118" t="str">
        <f aca="false">IF(A84="","",IF(I84="Aguardando transferência","Transferir "&amp;FIXED(G84,1)&amp;" "&amp;C84&amp;" do 2008 para o ZBR (verificar se já há OT aberta)",IF(I84="Transferido 100%","Nada a fazer","Sem ação: saíram "&amp;FIXED(-G84,1)&amp;" "&amp;C84&amp;" que já estavam no 2008 antes de 09/09 (conferir só se não havia saldo)")))</f>
        <v>Sem ação: saíram 1,500.0 KG que já estavam no 2008 antes de 09/09 (conferir só se não havia saldo)</v>
      </c>
      <c r="O84" s="1"/>
      <c r="T84" s="82" t="s">
        <v>201</v>
      </c>
      <c r="U84" s="82" t="s">
        <v>65</v>
      </c>
      <c r="V84" s="82" t="n">
        <f aca="false">SUMIFS('3 Base Entrada 2008'!$G$2:$G$5000,'3 Base Entrada 2008'!$F$2:$F$5000,"&gt;="&amp;$F$5,'3 Base Entrada 2008'!$F$2:$F$5000,"&lt;="&amp;$H$5,'3 Base Entrada 2008'!$B$2:$B$5000,$T84,'3 Base Entrada 2008'!$C$2:$C$5000,$AG84,'3 Base Entrada 2008'!$K$2:$K$5000,"Recebido no 2008")</f>
        <v>0</v>
      </c>
      <c r="W84" s="82" t="n">
        <f aca="false">-SUMIFS('3 Base Entrada 2008'!$G$2:$G$5000,'3 Base Entrada 2008'!$F$2:$F$5000,"&gt;="&amp;$F$5,'3 Base Entrada 2008'!$F$2:$F$5000,"&lt;="&amp;$H$5,'3 Base Entrada 2008'!$B$2:$B$5000,$T84,'3 Base Entrada 2008'!$C$2:$C$5000,$AG84,'3 Base Entrada 2008'!$K$2:$K$5000,"Entrada")</f>
        <v>142.8</v>
      </c>
      <c r="X84" s="82" t="n">
        <f aca="false">SUMIFS('3 Base Entrada 2008'!$G$2:$G$5000,'3 Base Entrada 2008'!$F$2:$F$5000,"&gt;="&amp;$F$5,'3 Base Entrada 2008'!$F$2:$F$5000,"&lt;="&amp;$H$5,'3 Base Entrada 2008'!$B$2:$B$5000,$T84,'3 Base Entrada 2008'!$C$2:$C$5000,$AG84,'3 Base Entrada 2008'!$K$2:$K$5000,"Estorno")</f>
        <v>0</v>
      </c>
      <c r="Y84" s="82" t="n">
        <f aca="false">ROUND(BA84+V84-W84+X84,3)</f>
        <v>-142.8</v>
      </c>
      <c r="Z84" s="82" t="n">
        <f aca="false">IF(AND(U84=$R$3,OR($R$1="*",T84=$R$1),OR($R$2="*",AG84=$R$2),OR($K$5="Todas",AB84=$K$5),ABS(V84)+ABS(W84)+ABS(X84)&gt;0),1,0)</f>
        <v>1</v>
      </c>
      <c r="AA84" s="82" t="n">
        <f aca="false">IF(Z84=1,SUM(Z$40:Z84),"")</f>
        <v>40</v>
      </c>
      <c r="AB84" s="0" t="str">
        <f aca="false">IF(ABS(Y84)&lt;=$R$5,"Transferido 100%",IF(Y84&gt;0,"Aguardando transferência","Saiu saldo anterior a 09/09"))</f>
        <v>Saiu saldo anterior a 09/09</v>
      </c>
      <c r="AC84" s="82" t="n">
        <f aca="false">COUNTIFS('3 Base Entrada 2008'!$F$2:$F$5000,"&gt;="&amp;$F$5,'3 Base Entrada 2008'!$F$2:$F$5000,"&lt;="&amp;$H$5,'3 Base Entrada 2008'!$B$2:$B$5000,$T84,'3 Base Entrada 2008'!$C$2:$C$5000,$AG84)</f>
        <v>1</v>
      </c>
      <c r="AD84" s="82" t="n">
        <f aca="false">_xlfn.MINIFS('3 Base Entrada 2008'!$F$2:$F$5000,'3 Base Entrada 2008'!$F$2:$F$5000,"&gt;="&amp;$F$5,'3 Base Entrada 2008'!$F$2:$F$5000,"&lt;="&amp;$H$5,'3 Base Entrada 2008'!$B$2:$B$5000,$T84,'3 Base Entrada 2008'!$C$2:$C$5000,$AG84)</f>
        <v>46294</v>
      </c>
      <c r="AE84" s="82" t="n">
        <f aca="false">_xlfn.MAXIFS('3 Base Entrada 2008'!$F$2:$F$5000,'3 Base Entrada 2008'!$F$2:$F$5000,"&gt;="&amp;$F$5,'3 Base Entrada 2008'!$F$2:$F$5000,"&lt;="&amp;$H$5,'3 Base Entrada 2008'!$B$2:$B$5000,$T84,'3 Base Entrada 2008'!$C$2:$C$5000,$AG84)</f>
        <v>46294</v>
      </c>
      <c r="AF84" s="82" t="s">
        <v>522</v>
      </c>
      <c r="AG84" s="82" t="s">
        <v>203</v>
      </c>
      <c r="AH84" s="82" t="n">
        <f aca="false">IF(AND(Z84=1,Y84&gt;$R$5),Y84+ROW()/10000000,0)</f>
        <v>0</v>
      </c>
      <c r="AV84" s="0" t="str">
        <f aca="false">IFERROR(INDEX($AX$1:$AX$94,MATCH(83,$AY$1:$AY$94,0)),"")</f>
        <v>2613495951</v>
      </c>
      <c r="AW84" s="82" t="s">
        <v>305</v>
      </c>
      <c r="AX84" s="82" t="s">
        <v>386</v>
      </c>
      <c r="AY84" s="82" t="n">
        <f aca="false">IF(OR($A$5="Todos",AW84=$A$5),MAX(AY$1:AY83)+1,0)</f>
        <v>84</v>
      </c>
      <c r="BA84" s="82" t="n">
        <f aca="false">SUMIFS('3 Base Saldo Inicial 08-09'!$E$2:$E$5000,'3 Base Saldo Inicial 08-09'!$A$2:$A$5000,$T84,'3 Base Saldo Inicial 08-09'!$B$2:$B$5000,$AG84,'3 Base Saldo Inicial 08-09'!$C$2:$C$5000,"2008")</f>
        <v>0</v>
      </c>
    </row>
    <row r="85" customFormat="false" ht="15" hidden="false" customHeight="false" outlineLevel="0" collapsed="false">
      <c r="A85" s="111" t="str">
        <f aca="false">IF(IFERROR(MATCH(72,$AA$40:$AA$133,0),0)=0,"",INDEX($T$40:$T$133,IFERROR(MATCH(72,$AA$40:$AA$133,0),0)))</f>
        <v>CHK-R30GOLD-BR-25A</v>
      </c>
      <c r="B85" s="111" t="str">
        <f aca="false">IF(IFERROR(MATCH(72,$AA$40:$AA$133,0),0)=0,"",INDEX($AG$40:$AG$133,IFERROR(MATCH(72,$AA$40:$AA$133,0),0)))</f>
        <v>261130301</v>
      </c>
      <c r="C85" s="112" t="str">
        <f aca="false">IF(IFERROR(MATCH(72,$AA$40:$AA$133,0),0)=0,"",INDEX($U$40:$U$133,IFERROR(MATCH(72,$AA$40:$AA$133,0),0)))</f>
        <v>KG</v>
      </c>
      <c r="D85" s="113" t="n">
        <f aca="false">IF(IFERROR(MATCH(72,$AA$40:$AA$133,0),0)=0,"",INDEX($V$40:$V$133,IFERROR(MATCH(72,$AA$40:$AA$133,0),0)))</f>
        <v>1025.1</v>
      </c>
      <c r="E85" s="113" t="n">
        <f aca="false">IF(IFERROR(MATCH(72,$AA$40:$AA$133,0),0)=0,"",INDEX($W$40:$W$133,IFERROR(MATCH(72,$AA$40:$AA$133,0),0)))</f>
        <v>2673.3</v>
      </c>
      <c r="F85" s="113" t="n">
        <f aca="false">IF(IFERROR(MATCH(72,$AA$40:$AA$133,0),0)=0,"",INDEX($X$40:$X$133,IFERROR(MATCH(72,$AA$40:$AA$133,0),0)))</f>
        <v>0</v>
      </c>
      <c r="G85" s="114" t="n">
        <f aca="false">IF(IFERROR(MATCH(72,$AA$40:$AA$133,0),0)=0,"",INDEX($Y$40:$Y$133,IFERROR(MATCH(72,$AA$40:$AA$133,0),0)))</f>
        <v>-1648.2</v>
      </c>
      <c r="H85" s="145" t="n">
        <f aca="false">IF(A85="","",IF(D85&gt;0,(E85-F85)/D85,""))</f>
        <v>2.6078431372549</v>
      </c>
      <c r="I85" s="115" t="str">
        <f aca="false">IF(IFERROR(MATCH(72,$AA$40:$AA$133,0),0)=0,"",INDEX($AB$40:$AB$133,IFERROR(MATCH(72,$AA$40:$AA$133,0),0)))</f>
        <v>Saiu saldo anterior a 09/09</v>
      </c>
      <c r="J85" s="116" t="n">
        <f aca="false">IF(IFERROR(MATCH(72,$AA$40:$AA$133,0),0)=0,"",INDEX($AC$40:$AC$133,IFERROR(MATCH(72,$AA$40:$AA$133,0),0)))</f>
        <v>6</v>
      </c>
      <c r="K85" s="117" t="n">
        <f aca="false">IF(IFERROR(MATCH(72,$AA$40:$AA$133,0),0)=0,"",IF(INDEX($AD$40:$AD$133,IFERROR(MATCH(72,$AA$40:$AA$133,0),0))=0,"",INDEX($AD$40:$AD$133,IFERROR(MATCH(72,$AA$40:$AA$133,0),0))))</f>
        <v>46275</v>
      </c>
      <c r="L85" s="117" t="n">
        <f aca="false">IF(IFERROR(MATCH(72,$AA$40:$AA$133,0),0)=0,"",IF(INDEX($AE$40:$AE$133,IFERROR(MATCH(72,$AA$40:$AA$133,0),0))=0,"",INDEX($AE$40:$AE$133,IFERROR(MATCH(72,$AA$40:$AA$133,0),0))))</f>
        <v>46294</v>
      </c>
      <c r="M85" s="119" t="str">
        <f aca="false">IF(IFERROR(MATCH(72,$AA$40:$AA$133,0),0)=0,"",INDEX($AF$40:$AF$133,IFERROR(MATCH(72,$AA$40:$AA$133,0),0))&amp;"")</f>
        <v>CA MOEDAS 2,01KG/UC 10UC/CX 30CX/PAL</v>
      </c>
      <c r="N85" s="118" t="str">
        <f aca="false">IF(A85="","",IF(I85="Aguardando transferência","Transferir "&amp;FIXED(G85,1)&amp;" "&amp;C85&amp;" do 2008 para o ZBR (verificar se já há OT aberta)",IF(I85="Transferido 100%","Nada a fazer","Sem ação: saíram "&amp;FIXED(-G85,1)&amp;" "&amp;C85&amp;" que já estavam no 2008 antes de 09/09 (conferir só se não havia saldo)")))</f>
        <v>Sem ação: saíram 1,648.2 KG que já estavam no 2008 antes de 09/09 (conferir só se não havia saldo)</v>
      </c>
      <c r="O85" s="1"/>
      <c r="T85" s="82" t="s">
        <v>205</v>
      </c>
      <c r="U85" s="82" t="s">
        <v>65</v>
      </c>
      <c r="V85" s="82" t="n">
        <f aca="false">SUMIFS('3 Base Entrada 2008'!$G$2:$G$5000,'3 Base Entrada 2008'!$F$2:$F$5000,"&gt;="&amp;$F$5,'3 Base Entrada 2008'!$F$2:$F$5000,"&lt;="&amp;$H$5,'3 Base Entrada 2008'!$B$2:$B$5000,$T85,'3 Base Entrada 2008'!$C$2:$C$5000,$AG85,'3 Base Entrada 2008'!$K$2:$K$5000,"Recebido no 2008")</f>
        <v>0</v>
      </c>
      <c r="W85" s="82" t="n">
        <f aca="false">-SUMIFS('3 Base Entrada 2008'!$G$2:$G$5000,'3 Base Entrada 2008'!$F$2:$F$5000,"&gt;="&amp;$F$5,'3 Base Entrada 2008'!$F$2:$F$5000,"&lt;="&amp;$H$5,'3 Base Entrada 2008'!$B$2:$B$5000,$T85,'3 Base Entrada 2008'!$C$2:$C$5000,$AG85,'3 Base Entrada 2008'!$K$2:$K$5000,"Entrada")</f>
        <v>180.9</v>
      </c>
      <c r="X85" s="82" t="n">
        <f aca="false">SUMIFS('3 Base Entrada 2008'!$G$2:$G$5000,'3 Base Entrada 2008'!$F$2:$F$5000,"&gt;="&amp;$F$5,'3 Base Entrada 2008'!$F$2:$F$5000,"&lt;="&amp;$H$5,'3 Base Entrada 2008'!$B$2:$B$5000,$T85,'3 Base Entrada 2008'!$C$2:$C$5000,$AG85,'3 Base Entrada 2008'!$K$2:$K$5000,"Estorno")</f>
        <v>0</v>
      </c>
      <c r="Y85" s="82" t="n">
        <f aca="false">ROUND(BA85+V85-W85+X85,3)</f>
        <v>-180.9</v>
      </c>
      <c r="Z85" s="82" t="n">
        <f aca="false">IF(AND(U85=$R$3,OR($R$1="*",T85=$R$1),OR($R$2="*",AG85=$R$2),OR($K$5="Todas",AB85=$K$5),ABS(V85)+ABS(W85)+ABS(X85)&gt;0),1,0)</f>
        <v>1</v>
      </c>
      <c r="AA85" s="82" t="n">
        <f aca="false">IF(Z85=1,SUM(Z$40:Z85),"")</f>
        <v>41</v>
      </c>
      <c r="AB85" s="0" t="str">
        <f aca="false">IF(ABS(Y85)&lt;=$R$5,"Transferido 100%",IF(Y85&gt;0,"Aguardando transferência","Saiu saldo anterior a 09/09"))</f>
        <v>Saiu saldo anterior a 09/09</v>
      </c>
      <c r="AC85" s="82" t="n">
        <f aca="false">COUNTIFS('3 Base Entrada 2008'!$F$2:$F$5000,"&gt;="&amp;$F$5,'3 Base Entrada 2008'!$F$2:$F$5000,"&lt;="&amp;$H$5,'3 Base Entrada 2008'!$B$2:$B$5000,$T85,'3 Base Entrada 2008'!$C$2:$C$5000,$AG85)</f>
        <v>1</v>
      </c>
      <c r="AD85" s="82" t="n">
        <f aca="false">_xlfn.MINIFS('3 Base Entrada 2008'!$F$2:$F$5000,'3 Base Entrada 2008'!$F$2:$F$5000,"&gt;="&amp;$F$5,'3 Base Entrada 2008'!$F$2:$F$5000,"&lt;="&amp;$H$5,'3 Base Entrada 2008'!$B$2:$B$5000,$T85,'3 Base Entrada 2008'!$C$2:$C$5000,$AG85)</f>
        <v>46276</v>
      </c>
      <c r="AE85" s="82" t="n">
        <f aca="false">_xlfn.MAXIFS('3 Base Entrada 2008'!$F$2:$F$5000,'3 Base Entrada 2008'!$F$2:$F$5000,"&gt;="&amp;$F$5,'3 Base Entrada 2008'!$F$2:$F$5000,"&lt;="&amp;$H$5,'3 Base Entrada 2008'!$B$2:$B$5000,$T85,'3 Base Entrada 2008'!$C$2:$C$5000,$AG85)</f>
        <v>46276</v>
      </c>
      <c r="AF85" s="82" t="s">
        <v>404</v>
      </c>
      <c r="AG85" s="82" t="s">
        <v>209</v>
      </c>
      <c r="AH85" s="82" t="n">
        <f aca="false">IF(AND(Z85=1,Y85&gt;$R$5),Y85+ROW()/10000000,0)</f>
        <v>0</v>
      </c>
      <c r="AV85" s="0" t="str">
        <f aca="false">IFERROR(INDEX($AX$1:$AX$94,MATCH(84,$AY$1:$AY$94,0)),"")</f>
        <v>2611295089</v>
      </c>
      <c r="AW85" s="82" t="s">
        <v>305</v>
      </c>
      <c r="AX85" s="82" t="s">
        <v>306</v>
      </c>
      <c r="AY85" s="82" t="n">
        <f aca="false">IF(OR($A$5="Todos",AW85=$A$5),MAX(AY$1:AY84)+1,0)</f>
        <v>85</v>
      </c>
      <c r="BA85" s="82" t="n">
        <f aca="false">SUMIFS('3 Base Saldo Inicial 08-09'!$E$2:$E$5000,'3 Base Saldo Inicial 08-09'!$A$2:$A$5000,$T85,'3 Base Saldo Inicial 08-09'!$B$2:$B$5000,$AG85,'3 Base Saldo Inicial 08-09'!$C$2:$C$5000,"2008")</f>
        <v>0</v>
      </c>
    </row>
    <row r="86" customFormat="false" ht="15" hidden="false" customHeight="false" outlineLevel="0" collapsed="false">
      <c r="A86" s="111" t="str">
        <f aca="false">IF(IFERROR(MATCH(73,$AA$40:$AA$133,0),0)=0,"",INDEX($T$40:$T$133,IFERROR(MATCH(73,$AA$40:$AA$133,0),0)))</f>
        <v>811NV-132</v>
      </c>
      <c r="B86" s="111" t="str">
        <f aca="false">IF(IFERROR(MATCH(73,$AA$40:$AA$133,0),0)=0,"",INDEX($AG$40:$AG$133,IFERROR(MATCH(73,$AA$40:$AA$133,0),0)))</f>
        <v>253280301</v>
      </c>
      <c r="C86" s="112" t="str">
        <f aca="false">IF(IFERROR(MATCH(73,$AA$40:$AA$133,0),0)=0,"",INDEX($U$40:$U$133,IFERROR(MATCH(73,$AA$40:$AA$133,0),0)))</f>
        <v>KG</v>
      </c>
      <c r="D86" s="113" t="n">
        <f aca="false">IF(IFERROR(MATCH(73,$AA$40:$AA$133,0),0)=0,"",INDEX($V$40:$V$133,IFERROR(MATCH(73,$AA$40:$AA$133,0),0)))</f>
        <v>0</v>
      </c>
      <c r="E86" s="113" t="n">
        <f aca="false">IF(IFERROR(MATCH(73,$AA$40:$AA$133,0),0)=0,"",INDEX($W$40:$W$133,IFERROR(MATCH(73,$AA$40:$AA$133,0),0)))</f>
        <v>1780</v>
      </c>
      <c r="F86" s="113" t="n">
        <f aca="false">IF(IFERROR(MATCH(73,$AA$40:$AA$133,0),0)=0,"",INDEX($X$40:$X$133,IFERROR(MATCH(73,$AA$40:$AA$133,0),0)))</f>
        <v>30</v>
      </c>
      <c r="G86" s="114" t="n">
        <f aca="false">IF(IFERROR(MATCH(73,$AA$40:$AA$133,0),0)=0,"",INDEX($Y$40:$Y$133,IFERROR(MATCH(73,$AA$40:$AA$133,0),0)))</f>
        <v>-1750</v>
      </c>
      <c r="H86" s="145" t="str">
        <f aca="false">IF(A86="","",IF(D86&gt;0,(E86-F86)/D86,""))</f>
        <v/>
      </c>
      <c r="I86" s="115" t="str">
        <f aca="false">IF(IFERROR(MATCH(73,$AA$40:$AA$133,0),0)=0,"",INDEX($AB$40:$AB$133,IFERROR(MATCH(73,$AA$40:$AA$133,0),0)))</f>
        <v>Saiu saldo anterior a 09/09</v>
      </c>
      <c r="J86" s="116" t="n">
        <f aca="false">IF(IFERROR(MATCH(73,$AA$40:$AA$133,0),0)=0,"",INDEX($AC$40:$AC$133,IFERROR(MATCH(73,$AA$40:$AA$133,0),0)))</f>
        <v>4</v>
      </c>
      <c r="K86" s="117" t="n">
        <f aca="false">IF(IFERROR(MATCH(73,$AA$40:$AA$133,0),0)=0,"",IF(INDEX($AD$40:$AD$133,IFERROR(MATCH(73,$AA$40:$AA$133,0),0))=0,"",INDEX($AD$40:$AD$133,IFERROR(MATCH(73,$AA$40:$AA$133,0),0))))</f>
        <v>46289</v>
      </c>
      <c r="L86" s="117" t="n">
        <f aca="false">IF(IFERROR(MATCH(73,$AA$40:$AA$133,0),0)=0,"",IF(INDEX($AE$40:$AE$133,IFERROR(MATCH(73,$AA$40:$AA$133,0),0))=0,"",INDEX($AE$40:$AE$133,IFERROR(MATCH(73,$AA$40:$AA$133,0),0))))</f>
        <v>46293</v>
      </c>
      <c r="M86" s="119" t="str">
        <f aca="false">IF(IFERROR(MATCH(73,$AA$40:$AA$133,0),0)=0,"",INDEX($AF$40:$AF$133,IFERROR(MATCH(73,$AA$40:$AA$133,0),0))&amp;"")</f>
        <v>96_FU:811NV-50C_CA BLOCKS 5KG/UC 5UC</v>
      </c>
      <c r="N86" s="118" t="str">
        <f aca="false">IF(A86="","",IF(I86="Aguardando transferência","Transferir "&amp;FIXED(G86,1)&amp;" "&amp;C86&amp;" do 2008 para o ZBR (verificar se já há OT aberta)",IF(I86="Transferido 100%","Nada a fazer","Sem ação: saíram "&amp;FIXED(-G86,1)&amp;" "&amp;C86&amp;" que já estavam no 2008 antes de 09/09 (conferir só se não havia saldo)")))</f>
        <v>Sem ação: saíram 1,750.0 KG que já estavam no 2008 antes de 09/09 (conferir só se não havia saldo)</v>
      </c>
      <c r="O86" s="1"/>
      <c r="T86" s="82" t="s">
        <v>260</v>
      </c>
      <c r="U86" s="82" t="s">
        <v>65</v>
      </c>
      <c r="V86" s="82" t="n">
        <f aca="false">SUMIFS('3 Base Entrada 2008'!$G$2:$G$5000,'3 Base Entrada 2008'!$F$2:$F$5000,"&gt;="&amp;$F$5,'3 Base Entrada 2008'!$F$2:$F$5000,"&lt;="&amp;$H$5,'3 Base Entrada 2008'!$B$2:$B$5000,$T86,'3 Base Entrada 2008'!$C$2:$C$5000,$AG86,'3 Base Entrada 2008'!$K$2:$K$5000,"Recebido no 2008")</f>
        <v>0</v>
      </c>
      <c r="W86" s="82" t="n">
        <f aca="false">-SUMIFS('3 Base Entrada 2008'!$G$2:$G$5000,'3 Base Entrada 2008'!$F$2:$F$5000,"&gt;="&amp;$F$5,'3 Base Entrada 2008'!$F$2:$F$5000,"&lt;="&amp;$H$5,'3 Base Entrada 2008'!$B$2:$B$5000,$T86,'3 Base Entrada 2008'!$C$2:$C$5000,$AG86,'3 Base Entrada 2008'!$K$2:$K$5000,"Entrada")</f>
        <v>195.84</v>
      </c>
      <c r="X86" s="82" t="n">
        <f aca="false">SUMIFS('3 Base Entrada 2008'!$G$2:$G$5000,'3 Base Entrada 2008'!$F$2:$F$5000,"&gt;="&amp;$F$5,'3 Base Entrada 2008'!$F$2:$F$5000,"&lt;="&amp;$H$5,'3 Base Entrada 2008'!$B$2:$B$5000,$T86,'3 Base Entrada 2008'!$C$2:$C$5000,$AG86,'3 Base Entrada 2008'!$K$2:$K$5000,"Estorno")</f>
        <v>0</v>
      </c>
      <c r="Y86" s="82" t="n">
        <f aca="false">ROUND(BA86+V86-W86+X86,3)</f>
        <v>-195.84</v>
      </c>
      <c r="Z86" s="82" t="n">
        <f aca="false">IF(AND(U86=$R$3,OR($R$1="*",T86=$R$1),OR($R$2="*",AG86=$R$2),OR($K$5="Todas",AB86=$K$5),ABS(V86)+ABS(W86)+ABS(X86)&gt;0),1,0)</f>
        <v>1</v>
      </c>
      <c r="AA86" s="82" t="n">
        <f aca="false">IF(Z86=1,SUM(Z$40:Z86),"")</f>
        <v>42</v>
      </c>
      <c r="AB86" s="0" t="str">
        <f aca="false">IF(ABS(Y86)&lt;=$R$5,"Transferido 100%",IF(Y86&gt;0,"Aguardando transferência","Saiu saldo anterior a 09/09"))</f>
        <v>Saiu saldo anterior a 09/09</v>
      </c>
      <c r="AC86" s="82" t="n">
        <f aca="false">COUNTIFS('3 Base Entrada 2008'!$F$2:$F$5000,"&gt;="&amp;$F$5,'3 Base Entrada 2008'!$F$2:$F$5000,"&lt;="&amp;$H$5,'3 Base Entrada 2008'!$B$2:$B$5000,$T86,'3 Base Entrada 2008'!$C$2:$C$5000,$AG86)</f>
        <v>1</v>
      </c>
      <c r="AD86" s="82" t="n">
        <f aca="false">_xlfn.MINIFS('3 Base Entrada 2008'!$F$2:$F$5000,'3 Base Entrada 2008'!$F$2:$F$5000,"&gt;="&amp;$F$5,'3 Base Entrada 2008'!$F$2:$F$5000,"&lt;="&amp;$H$5,'3 Base Entrada 2008'!$B$2:$B$5000,$T86,'3 Base Entrada 2008'!$C$2:$C$5000,$AG86)</f>
        <v>46274</v>
      </c>
      <c r="AE86" s="82" t="n">
        <f aca="false">_xlfn.MAXIFS('3 Base Entrada 2008'!$F$2:$F$5000,'3 Base Entrada 2008'!$F$2:$F$5000,"&gt;="&amp;$F$5,'3 Base Entrada 2008'!$F$2:$F$5000,"&lt;="&amp;$H$5,'3 Base Entrada 2008'!$B$2:$B$5000,$T86,'3 Base Entrada 2008'!$C$2:$C$5000,$AG86)</f>
        <v>46274</v>
      </c>
      <c r="AG86" s="82" t="s">
        <v>362</v>
      </c>
      <c r="AH86" s="82" t="n">
        <f aca="false">IF(AND(Z86=1,Y86&gt;$R$5),Y86+ROW()/10000000,0)</f>
        <v>0</v>
      </c>
      <c r="AV86" s="0" t="str">
        <f aca="false">IFERROR(INDEX($AX$1:$AX$94,MATCH(85,$AY$1:$AY$94,0)),"")</f>
        <v>2611895339</v>
      </c>
      <c r="AW86" s="82" t="s">
        <v>387</v>
      </c>
      <c r="AX86" s="82" t="s">
        <v>388</v>
      </c>
      <c r="AY86" s="82" t="n">
        <f aca="false">IF(OR($A$5="Todos",AW86=$A$5),MAX(AY$1:AY85)+1,0)</f>
        <v>86</v>
      </c>
      <c r="BA86" s="82" t="n">
        <f aca="false">SUMIFS('3 Base Saldo Inicial 08-09'!$E$2:$E$5000,'3 Base Saldo Inicial 08-09'!$A$2:$A$5000,$T86,'3 Base Saldo Inicial 08-09'!$B$2:$B$5000,$AG86,'3 Base Saldo Inicial 08-09'!$C$2:$C$5000,"2008")</f>
        <v>0</v>
      </c>
    </row>
    <row r="87" customFormat="false" ht="15" hidden="false" customHeight="false" outlineLevel="0" collapsed="false">
      <c r="A87" s="111" t="str">
        <f aca="false">IF(IFERROR(MATCH(74,$AA$40:$AA$133,0),0)=0,"",INDEX($T$40:$T$133,IFERROR(MATCH(74,$AA$40:$AA$133,0),0)))</f>
        <v>811NV-595</v>
      </c>
      <c r="B87" s="111" t="str">
        <f aca="false">IF(IFERROR(MATCH(74,$AA$40:$AA$133,0),0)=0,"",INDEX($AG$40:$AG$133,IFERROR(MATCH(74,$AA$40:$AA$133,0),0)))</f>
        <v>260900702</v>
      </c>
      <c r="C87" s="112" t="str">
        <f aca="false">IF(IFERROR(MATCH(74,$AA$40:$AA$133,0),0)=0,"",INDEX($U$40:$U$133,IFERROR(MATCH(74,$AA$40:$AA$133,0),0)))</f>
        <v>KG</v>
      </c>
      <c r="D87" s="113" t="n">
        <f aca="false">IF(IFERROR(MATCH(74,$AA$40:$AA$133,0),0)=0,"",INDEX($V$40:$V$133,IFERROR(MATCH(74,$AA$40:$AA$133,0),0)))</f>
        <v>0</v>
      </c>
      <c r="E87" s="113" t="n">
        <f aca="false">IF(IFERROR(MATCH(74,$AA$40:$AA$133,0),0)=0,"",INDEX($W$40:$W$133,IFERROR(MATCH(74,$AA$40:$AA$133,0),0)))</f>
        <v>1800</v>
      </c>
      <c r="F87" s="113" t="n">
        <f aca="false">IF(IFERROR(MATCH(74,$AA$40:$AA$133,0),0)=0,"",INDEX($X$40:$X$133,IFERROR(MATCH(74,$AA$40:$AA$133,0),0)))</f>
        <v>0</v>
      </c>
      <c r="G87" s="114" t="n">
        <f aca="false">IF(IFERROR(MATCH(74,$AA$40:$AA$133,0),0)=0,"",INDEX($Y$40:$Y$133,IFERROR(MATCH(74,$AA$40:$AA$133,0),0)))</f>
        <v>-1800</v>
      </c>
      <c r="H87" s="145" t="str">
        <f aca="false">IF(A87="","",IF(D87&gt;0,(E87-F87)/D87,""))</f>
        <v/>
      </c>
      <c r="I87" s="115" t="str">
        <f aca="false">IF(IFERROR(MATCH(74,$AA$40:$AA$133,0),0)=0,"",INDEX($AB$40:$AB$133,IFERROR(MATCH(74,$AA$40:$AA$133,0),0)))</f>
        <v>Saiu saldo anterior a 09/09</v>
      </c>
      <c r="J87" s="116" t="n">
        <f aca="false">IF(IFERROR(MATCH(74,$AA$40:$AA$133,0),0)=0,"",INDEX($AC$40:$AC$133,IFERROR(MATCH(74,$AA$40:$AA$133,0),0)))</f>
        <v>1</v>
      </c>
      <c r="K87" s="117" t="n">
        <f aca="false">IF(IFERROR(MATCH(74,$AA$40:$AA$133,0),0)=0,"",IF(INDEX($AD$40:$AD$133,IFERROR(MATCH(74,$AA$40:$AA$133,0),0))=0,"",INDEX($AD$40:$AD$133,IFERROR(MATCH(74,$AA$40:$AA$133,0),0))))</f>
        <v>46276</v>
      </c>
      <c r="L87" s="117" t="n">
        <f aca="false">IF(IFERROR(MATCH(74,$AA$40:$AA$133,0),0)=0,"",IF(INDEX($AE$40:$AE$133,IFERROR(MATCH(74,$AA$40:$AA$133,0),0))=0,"",INDEX($AE$40:$AE$133,IFERROR(MATCH(74,$AA$40:$AA$133,0),0))))</f>
        <v>46276</v>
      </c>
      <c r="M87" s="119" t="str">
        <f aca="false">IF(IFERROR(MATCH(74,$AA$40:$AA$133,0),0)=0,"",INDEX($AF$40:$AF$133,IFERROR(MATCH(74,$AA$40:$AA$133,0),0))&amp;"")</f>
        <v>CA CALLETS 10KG/UC 2UC/BOX 30BOX/PAL</v>
      </c>
      <c r="N87" s="118" t="str">
        <f aca="false">IF(A87="","",IF(I87="Aguardando transferência","Transferir "&amp;FIXED(G87,1)&amp;" "&amp;C87&amp;" do 2008 para o ZBR (verificar se já há OT aberta)",IF(I87="Transferido 100%","Nada a fazer","Sem ação: saíram "&amp;FIXED(-G87,1)&amp;" "&amp;C87&amp;" que já estavam no 2008 antes de 09/09 (conferir só se não havia saldo)")))</f>
        <v>Sem ação: saíram 1,800.0 KG que já estavam no 2008 antes de 09/09 (conferir só se não havia saldo)</v>
      </c>
      <c r="O87" s="1"/>
      <c r="T87" s="82" t="s">
        <v>245</v>
      </c>
      <c r="U87" s="82" t="s">
        <v>65</v>
      </c>
      <c r="V87" s="82" t="n">
        <f aca="false">SUMIFS('3 Base Entrada 2008'!$G$2:$G$5000,'3 Base Entrada 2008'!$F$2:$F$5000,"&gt;="&amp;$F$5,'3 Base Entrada 2008'!$F$2:$F$5000,"&lt;="&amp;$H$5,'3 Base Entrada 2008'!$B$2:$B$5000,$T87,'3 Base Entrada 2008'!$C$2:$C$5000,$AG87,'3 Base Entrada 2008'!$K$2:$K$5000,"Recebido no 2008")</f>
        <v>0</v>
      </c>
      <c r="W87" s="82" t="n">
        <f aca="false">-SUMIFS('3 Base Entrada 2008'!$G$2:$G$5000,'3 Base Entrada 2008'!$F$2:$F$5000,"&gt;="&amp;$F$5,'3 Base Entrada 2008'!$F$2:$F$5000,"&lt;="&amp;$H$5,'3 Base Entrada 2008'!$B$2:$B$5000,$T87,'3 Base Entrada 2008'!$C$2:$C$5000,$AG87,'3 Base Entrada 2008'!$K$2:$K$5000,"Entrada")</f>
        <v>240</v>
      </c>
      <c r="X87" s="82" t="n">
        <f aca="false">SUMIFS('3 Base Entrada 2008'!$G$2:$G$5000,'3 Base Entrada 2008'!$F$2:$F$5000,"&gt;="&amp;$F$5,'3 Base Entrada 2008'!$F$2:$F$5000,"&lt;="&amp;$H$5,'3 Base Entrada 2008'!$B$2:$B$5000,$T87,'3 Base Entrada 2008'!$C$2:$C$5000,$AG87,'3 Base Entrada 2008'!$K$2:$K$5000,"Estorno")</f>
        <v>0</v>
      </c>
      <c r="Y87" s="82" t="n">
        <f aca="false">ROUND(BA87+V87-W87+X87,3)</f>
        <v>-240</v>
      </c>
      <c r="Z87" s="82" t="n">
        <f aca="false">IF(AND(U87=$R$3,OR($R$1="*",T87=$R$1),OR($R$2="*",AG87=$R$2),OR($K$5="Todas",AB87=$K$5),ABS(V87)+ABS(W87)+ABS(X87)&gt;0),1,0)</f>
        <v>1</v>
      </c>
      <c r="AA87" s="82" t="n">
        <f aca="false">IF(Z87=1,SUM(Z$40:Z87),"")</f>
        <v>43</v>
      </c>
      <c r="AB87" s="0" t="str">
        <f aca="false">IF(ABS(Y87)&lt;=$R$5,"Transferido 100%",IF(Y87&gt;0,"Aguardando transferência","Saiu saldo anterior a 09/09"))</f>
        <v>Saiu saldo anterior a 09/09</v>
      </c>
      <c r="AC87" s="82" t="n">
        <f aca="false">COUNTIFS('3 Base Entrada 2008'!$F$2:$F$5000,"&gt;="&amp;$F$5,'3 Base Entrada 2008'!$F$2:$F$5000,"&lt;="&amp;$H$5,'3 Base Entrada 2008'!$B$2:$B$5000,$T87,'3 Base Entrada 2008'!$C$2:$C$5000,$AG87)</f>
        <v>1</v>
      </c>
      <c r="AD87" s="82" t="n">
        <f aca="false">_xlfn.MINIFS('3 Base Entrada 2008'!$F$2:$F$5000,'3 Base Entrada 2008'!$F$2:$F$5000,"&gt;="&amp;$F$5,'3 Base Entrada 2008'!$F$2:$F$5000,"&lt;="&amp;$H$5,'3 Base Entrada 2008'!$B$2:$B$5000,$T87,'3 Base Entrada 2008'!$C$2:$C$5000,$AG87)</f>
        <v>46294</v>
      </c>
      <c r="AE87" s="82" t="n">
        <f aca="false">_xlfn.MAXIFS('3 Base Entrada 2008'!$F$2:$F$5000,'3 Base Entrada 2008'!$F$2:$F$5000,"&gt;="&amp;$F$5,'3 Base Entrada 2008'!$F$2:$F$5000,"&lt;="&amp;$H$5,'3 Base Entrada 2008'!$B$2:$B$5000,$T87,'3 Base Entrada 2008'!$C$2:$C$5000,$AG87)</f>
        <v>46294</v>
      </c>
      <c r="AF87" s="82" t="s">
        <v>1063</v>
      </c>
      <c r="AG87" s="82" t="s">
        <v>246</v>
      </c>
      <c r="AH87" s="82" t="n">
        <f aca="false">IF(AND(Z87=1,Y87&gt;$R$5),Y87+ROW()/10000000,0)</f>
        <v>0</v>
      </c>
      <c r="AV87" s="0" t="str">
        <f aca="false">IFERROR(INDEX($AX$1:$AX$94,MATCH(86,$AY$1:$AY$94,0)),"")</f>
        <v>261826201</v>
      </c>
      <c r="AW87" s="82" t="s">
        <v>307</v>
      </c>
      <c r="AX87" s="82" t="s">
        <v>308</v>
      </c>
      <c r="AY87" s="82" t="n">
        <f aca="false">IF(OR($A$5="Todos",AW87=$A$5),MAX(AY$1:AY86)+1,0)</f>
        <v>87</v>
      </c>
      <c r="BA87" s="82" t="n">
        <f aca="false">SUMIFS('3 Base Saldo Inicial 08-09'!$E$2:$E$5000,'3 Base Saldo Inicial 08-09'!$A$2:$A$5000,$T87,'3 Base Saldo Inicial 08-09'!$B$2:$B$5000,$AG87,'3 Base Saldo Inicial 08-09'!$C$2:$C$5000,"2008")</f>
        <v>0</v>
      </c>
    </row>
    <row r="88" customFormat="false" ht="15" hidden="false" customHeight="false" outlineLevel="0" collapsed="false">
      <c r="A88" s="111" t="str">
        <f aca="false">IF(IFERROR(MATCH(75,$AA$40:$AA$133,0),0)=0,"",INDEX($T$40:$T$133,IFERROR(MATCH(75,$AA$40:$AA$133,0),0)))</f>
        <v>823NV-595</v>
      </c>
      <c r="B88" s="111" t="str">
        <f aca="false">IF(IFERROR(MATCH(75,$AA$40:$AA$133,0),0)=0,"",INDEX($AG$40:$AG$133,IFERROR(MATCH(75,$AA$40:$AA$133,0),0)))</f>
        <v>260416102</v>
      </c>
      <c r="C88" s="112" t="str">
        <f aca="false">IF(IFERROR(MATCH(75,$AA$40:$AA$133,0),0)=0,"",INDEX($U$40:$U$133,IFERROR(MATCH(75,$AA$40:$AA$133,0),0)))</f>
        <v>KG</v>
      </c>
      <c r="D88" s="113" t="n">
        <f aca="false">IF(IFERROR(MATCH(75,$AA$40:$AA$133,0),0)=0,"",INDEX($V$40:$V$133,IFERROR(MATCH(75,$AA$40:$AA$133,0),0)))</f>
        <v>0</v>
      </c>
      <c r="E88" s="113" t="n">
        <f aca="false">IF(IFERROR(MATCH(75,$AA$40:$AA$133,0),0)=0,"",INDEX($W$40:$W$133,IFERROR(MATCH(75,$AA$40:$AA$133,0),0)))</f>
        <v>1800</v>
      </c>
      <c r="F88" s="113" t="n">
        <f aca="false">IF(IFERROR(MATCH(75,$AA$40:$AA$133,0),0)=0,"",INDEX($X$40:$X$133,IFERROR(MATCH(75,$AA$40:$AA$133,0),0)))</f>
        <v>0</v>
      </c>
      <c r="G88" s="114" t="n">
        <f aca="false">IF(IFERROR(MATCH(75,$AA$40:$AA$133,0),0)=0,"",INDEX($Y$40:$Y$133,IFERROR(MATCH(75,$AA$40:$AA$133,0),0)))</f>
        <v>-1800</v>
      </c>
      <c r="H88" s="145" t="str">
        <f aca="false">IF(A88="","",IF(D88&gt;0,(E88-F88)/D88,""))</f>
        <v/>
      </c>
      <c r="I88" s="115" t="str">
        <f aca="false">IF(IFERROR(MATCH(75,$AA$40:$AA$133,0),0)=0,"",INDEX($AB$40:$AB$133,IFERROR(MATCH(75,$AA$40:$AA$133,0),0)))</f>
        <v>Saiu saldo anterior a 09/09</v>
      </c>
      <c r="J88" s="116" t="n">
        <f aca="false">IF(IFERROR(MATCH(75,$AA$40:$AA$133,0),0)=0,"",INDEX($AC$40:$AC$133,IFERROR(MATCH(75,$AA$40:$AA$133,0),0)))</f>
        <v>1</v>
      </c>
      <c r="K88" s="117" t="n">
        <f aca="false">IF(IFERROR(MATCH(75,$AA$40:$AA$133,0),0)=0,"",IF(INDEX($AD$40:$AD$133,IFERROR(MATCH(75,$AA$40:$AA$133,0),0))=0,"",INDEX($AD$40:$AD$133,IFERROR(MATCH(75,$AA$40:$AA$133,0),0))))</f>
        <v>46293</v>
      </c>
      <c r="L88" s="117" t="n">
        <f aca="false">IF(IFERROR(MATCH(75,$AA$40:$AA$133,0),0)=0,"",IF(INDEX($AE$40:$AE$133,IFERROR(MATCH(75,$AA$40:$AA$133,0),0))=0,"",INDEX($AE$40:$AE$133,IFERROR(MATCH(75,$AA$40:$AA$133,0),0))))</f>
        <v>46293</v>
      </c>
      <c r="M88" s="119" t="str">
        <f aca="false">IF(IFERROR(MATCH(75,$AA$40:$AA$133,0),0)=0,"",INDEX($AF$40:$AF$133,IFERROR(MATCH(75,$AA$40:$AA$133,0),0))&amp;"")</f>
        <v>CA CALLETS 10KG/UC 2UC/BOX 30BOX/PAL</v>
      </c>
      <c r="N88" s="118" t="str">
        <f aca="false">IF(A88="","",IF(I88="Aguardando transferência","Transferir "&amp;FIXED(G88,1)&amp;" "&amp;C88&amp;" do 2008 para o ZBR (verificar se já há OT aberta)",IF(I88="Transferido 100%","Nada a fazer","Sem ação: saíram "&amp;FIXED(-G88,1)&amp;" "&amp;C88&amp;" que já estavam no 2008 antes de 09/09 (conferir só se não havia saldo)")))</f>
        <v>Sem ação: saíram 1,800.0 KG que já estavam no 2008 antes de 09/09 (conferir só se não havia saldo)</v>
      </c>
      <c r="O88" s="1"/>
      <c r="T88" s="82" t="s">
        <v>263</v>
      </c>
      <c r="U88" s="82" t="s">
        <v>65</v>
      </c>
      <c r="V88" s="82" t="n">
        <f aca="false">SUMIFS('3 Base Entrada 2008'!$G$2:$G$5000,'3 Base Entrada 2008'!$F$2:$F$5000,"&gt;="&amp;$F$5,'3 Base Entrada 2008'!$F$2:$F$5000,"&lt;="&amp;$H$5,'3 Base Entrada 2008'!$B$2:$B$5000,$T88,'3 Base Entrada 2008'!$C$2:$C$5000,$AG88,'3 Base Entrada 2008'!$K$2:$K$5000,"Recebido no 2008")</f>
        <v>0</v>
      </c>
      <c r="W88" s="82" t="n">
        <f aca="false">-SUMIFS('3 Base Entrada 2008'!$G$2:$G$5000,'3 Base Entrada 2008'!$F$2:$F$5000,"&gt;="&amp;$F$5,'3 Base Entrada 2008'!$F$2:$F$5000,"&lt;="&amp;$H$5,'3 Base Entrada 2008'!$B$2:$B$5000,$T88,'3 Base Entrada 2008'!$C$2:$C$5000,$AG88,'3 Base Entrada 2008'!$K$2:$K$5000,"Entrada")</f>
        <v>261.12</v>
      </c>
      <c r="X88" s="82" t="n">
        <f aca="false">SUMIFS('3 Base Entrada 2008'!$G$2:$G$5000,'3 Base Entrada 2008'!$F$2:$F$5000,"&gt;="&amp;$F$5,'3 Base Entrada 2008'!$F$2:$F$5000,"&lt;="&amp;$H$5,'3 Base Entrada 2008'!$B$2:$B$5000,$T88,'3 Base Entrada 2008'!$C$2:$C$5000,$AG88,'3 Base Entrada 2008'!$K$2:$K$5000,"Estorno")</f>
        <v>0</v>
      </c>
      <c r="Y88" s="82" t="n">
        <f aca="false">ROUND(BA88+V88-W88+X88,3)</f>
        <v>-261.12</v>
      </c>
      <c r="Z88" s="82" t="n">
        <f aca="false">IF(AND(U88=$R$3,OR($R$1="*",T88=$R$1),OR($R$2="*",AG88=$R$2),OR($K$5="Todas",AB88=$K$5),ABS(V88)+ABS(W88)+ABS(X88)&gt;0),1,0)</f>
        <v>1</v>
      </c>
      <c r="AA88" s="82" t="n">
        <f aca="false">IF(Z88=1,SUM(Z$40:Z88),"")</f>
        <v>44</v>
      </c>
      <c r="AB88" s="0" t="str">
        <f aca="false">IF(ABS(Y88)&lt;=$R$5,"Transferido 100%",IF(Y88&gt;0,"Aguardando transferência","Saiu saldo anterior a 09/09"))</f>
        <v>Saiu saldo anterior a 09/09</v>
      </c>
      <c r="AC88" s="82" t="n">
        <f aca="false">COUNTIFS('3 Base Entrada 2008'!$F$2:$F$5000,"&gt;="&amp;$F$5,'3 Base Entrada 2008'!$F$2:$F$5000,"&lt;="&amp;$H$5,'3 Base Entrada 2008'!$B$2:$B$5000,$T88,'3 Base Entrada 2008'!$C$2:$C$5000,$AG88)</f>
        <v>1</v>
      </c>
      <c r="AD88" s="82" t="n">
        <f aca="false">_xlfn.MINIFS('3 Base Entrada 2008'!$F$2:$F$5000,'3 Base Entrada 2008'!$F$2:$F$5000,"&gt;="&amp;$F$5,'3 Base Entrada 2008'!$F$2:$F$5000,"&lt;="&amp;$H$5,'3 Base Entrada 2008'!$B$2:$B$5000,$T88,'3 Base Entrada 2008'!$C$2:$C$5000,$AG88)</f>
        <v>46288</v>
      </c>
      <c r="AE88" s="82" t="n">
        <f aca="false">_xlfn.MAXIFS('3 Base Entrada 2008'!$F$2:$F$5000,'3 Base Entrada 2008'!$F$2:$F$5000,"&gt;="&amp;$F$5,'3 Base Entrada 2008'!$F$2:$F$5000,"&lt;="&amp;$H$5,'3 Base Entrada 2008'!$B$2:$B$5000,$T88,'3 Base Entrada 2008'!$C$2:$C$5000,$AG88)</f>
        <v>46288</v>
      </c>
      <c r="AG88" s="82" t="s">
        <v>264</v>
      </c>
      <c r="AH88" s="82" t="n">
        <f aca="false">IF(AND(Z88=1,Y88&gt;$R$5),Y88+ROW()/10000000,0)</f>
        <v>0</v>
      </c>
      <c r="AV88" s="0" t="str">
        <f aca="false">IFERROR(INDEX($AX$1:$AX$94,MATCH(87,$AY$1:$AY$94,0)),"")</f>
        <v>261596201</v>
      </c>
      <c r="AW88" s="82" t="s">
        <v>389</v>
      </c>
      <c r="AX88" s="82" t="s">
        <v>390</v>
      </c>
      <c r="AY88" s="82" t="n">
        <f aca="false">IF(OR($A$5="Todos",AW88=$A$5),MAX(AY$1:AY87)+1,0)</f>
        <v>88</v>
      </c>
      <c r="BA88" s="82" t="n">
        <f aca="false">SUMIFS('3 Base Saldo Inicial 08-09'!$E$2:$E$5000,'3 Base Saldo Inicial 08-09'!$A$2:$A$5000,$T88,'3 Base Saldo Inicial 08-09'!$B$2:$B$5000,$AG88,'3 Base Saldo Inicial 08-09'!$C$2:$C$5000,"2008")</f>
        <v>0</v>
      </c>
    </row>
    <row r="89" customFormat="false" ht="15" hidden="false" customHeight="false" outlineLevel="0" collapsed="false">
      <c r="A89" s="111" t="str">
        <f aca="false">IF(IFERROR(MATCH(76,$AA$40:$AA$133,0),0)=0,"",INDEX($T$40:$T$133,IFERROR(MATCH(76,$AA$40:$AA$133,0),0)))</f>
        <v>823-BR-25A</v>
      </c>
      <c r="B89" s="111" t="str">
        <f aca="false">IF(IFERROR(MATCH(76,$AA$40:$AA$133,0),0)=0,"",INDEX($AG$40:$AG$133,IFERROR(MATCH(76,$AA$40:$AA$133,0),0)))</f>
        <v>252940301</v>
      </c>
      <c r="C89" s="112" t="str">
        <f aca="false">IF(IFERROR(MATCH(76,$AA$40:$AA$133,0),0)=0,"",INDEX($U$40:$U$133,IFERROR(MATCH(76,$AA$40:$AA$133,0),0)))</f>
        <v>KG</v>
      </c>
      <c r="D89" s="113" t="n">
        <f aca="false">IF(IFERROR(MATCH(76,$AA$40:$AA$133,0),0)=0,"",INDEX($V$40:$V$133,IFERROR(MATCH(76,$AA$40:$AA$133,0),0)))</f>
        <v>0</v>
      </c>
      <c r="E89" s="113" t="n">
        <f aca="false">IF(IFERROR(MATCH(76,$AA$40:$AA$133,0),0)=0,"",INDEX($W$40:$W$133,IFERROR(MATCH(76,$AA$40:$AA$133,0),0)))</f>
        <v>1809</v>
      </c>
      <c r="F89" s="113" t="n">
        <f aca="false">IF(IFERROR(MATCH(76,$AA$40:$AA$133,0),0)=0,"",INDEX($X$40:$X$133,IFERROR(MATCH(76,$AA$40:$AA$133,0),0)))</f>
        <v>0</v>
      </c>
      <c r="G89" s="114" t="n">
        <f aca="false">IF(IFERROR(MATCH(76,$AA$40:$AA$133,0),0)=0,"",INDEX($Y$40:$Y$133,IFERROR(MATCH(76,$AA$40:$AA$133,0),0)))</f>
        <v>-1809</v>
      </c>
      <c r="H89" s="145" t="str">
        <f aca="false">IF(A89="","",IF(D89&gt;0,(E89-F89)/D89,""))</f>
        <v/>
      </c>
      <c r="I89" s="115" t="str">
        <f aca="false">IF(IFERROR(MATCH(76,$AA$40:$AA$133,0),0)=0,"",INDEX($AB$40:$AB$133,IFERROR(MATCH(76,$AA$40:$AA$133,0),0)))</f>
        <v>Saiu saldo anterior a 09/09</v>
      </c>
      <c r="J89" s="116" t="n">
        <f aca="false">IF(IFERROR(MATCH(76,$AA$40:$AA$133,0),0)=0,"",INDEX($AC$40:$AC$133,IFERROR(MATCH(76,$AA$40:$AA$133,0),0)))</f>
        <v>2</v>
      </c>
      <c r="K89" s="117" t="n">
        <f aca="false">IF(IFERROR(MATCH(76,$AA$40:$AA$133,0),0)=0,"",IF(INDEX($AD$40:$AD$133,IFERROR(MATCH(76,$AA$40:$AA$133,0),0))=0,"",INDEX($AD$40:$AD$133,IFERROR(MATCH(76,$AA$40:$AA$133,0),0))))</f>
        <v>46289</v>
      </c>
      <c r="L89" s="117" t="n">
        <f aca="false">IF(IFERROR(MATCH(76,$AA$40:$AA$133,0),0)=0,"",IF(INDEX($AE$40:$AE$133,IFERROR(MATCH(76,$AA$40:$AA$133,0),0))=0,"",INDEX($AE$40:$AE$133,IFERROR(MATCH(76,$AA$40:$AA$133,0),0))))</f>
        <v>46291</v>
      </c>
      <c r="M89" s="119" t="str">
        <f aca="false">IF(IFERROR(MATCH(76,$AA$40:$AA$133,0),0)=0,"",INDEX($AF$40:$AF$133,IFERROR(MATCH(76,$AA$40:$AA$133,0),0))&amp;"")</f>
        <v>CA MOEDAS 2,01KG/UC 10UC/CX 30CX/PAL</v>
      </c>
      <c r="N89" s="118" t="str">
        <f aca="false">IF(A89="","",IF(I89="Aguardando transferência","Transferir "&amp;FIXED(G89,1)&amp;" "&amp;C89&amp;" do 2008 para o ZBR (verificar se já há OT aberta)",IF(I89="Transferido 100%","Nada a fazer","Sem ação: saíram "&amp;FIXED(-G89,1)&amp;" "&amp;C89&amp;" que já estavam no 2008 antes de 09/09 (conferir só se não havia saldo)")))</f>
        <v>Sem ação: saíram 1,809.0 KG que já estavam no 2008 antes de 09/09 (conferir só se não havia saldo)</v>
      </c>
      <c r="O89" s="1"/>
      <c r="T89" s="82" t="s">
        <v>257</v>
      </c>
      <c r="U89" s="82" t="s">
        <v>65</v>
      </c>
      <c r="V89" s="82" t="n">
        <f aca="false">SUMIFS('3 Base Entrada 2008'!$G$2:$G$5000,'3 Base Entrada 2008'!$F$2:$F$5000,"&gt;="&amp;$F$5,'3 Base Entrada 2008'!$F$2:$F$5000,"&lt;="&amp;$H$5,'3 Base Entrada 2008'!$B$2:$B$5000,$T89,'3 Base Entrada 2008'!$C$2:$C$5000,$AG89,'3 Base Entrada 2008'!$K$2:$K$5000,"Recebido no 2008")</f>
        <v>0</v>
      </c>
      <c r="W89" s="82" t="n">
        <f aca="false">-SUMIFS('3 Base Entrada 2008'!$G$2:$G$5000,'3 Base Entrada 2008'!$F$2:$F$5000,"&gt;="&amp;$F$5,'3 Base Entrada 2008'!$F$2:$F$5000,"&lt;="&amp;$H$5,'3 Base Entrada 2008'!$B$2:$B$5000,$T89,'3 Base Entrada 2008'!$C$2:$C$5000,$AG89,'3 Base Entrada 2008'!$K$2:$K$5000,"Entrada")</f>
        <v>288</v>
      </c>
      <c r="X89" s="82" t="n">
        <f aca="false">SUMIFS('3 Base Entrada 2008'!$G$2:$G$5000,'3 Base Entrada 2008'!$F$2:$F$5000,"&gt;="&amp;$F$5,'3 Base Entrada 2008'!$F$2:$F$5000,"&lt;="&amp;$H$5,'3 Base Entrada 2008'!$B$2:$B$5000,$T89,'3 Base Entrada 2008'!$C$2:$C$5000,$AG89,'3 Base Entrada 2008'!$K$2:$K$5000,"Estorno")</f>
        <v>0</v>
      </c>
      <c r="Y89" s="82" t="n">
        <f aca="false">ROUND(BA89+V89-W89+X89,3)</f>
        <v>-288</v>
      </c>
      <c r="Z89" s="82" t="n">
        <f aca="false">IF(AND(U89=$R$3,OR($R$1="*",T89=$R$1),OR($R$2="*",AG89=$R$2),OR($K$5="Todas",AB89=$K$5),ABS(V89)+ABS(W89)+ABS(X89)&gt;0),1,0)</f>
        <v>1</v>
      </c>
      <c r="AA89" s="82" t="n">
        <f aca="false">IF(Z89=1,SUM(Z$40:Z89),"")</f>
        <v>45</v>
      </c>
      <c r="AB89" s="0" t="str">
        <f aca="false">IF(ABS(Y89)&lt;=$R$5,"Transferido 100%",IF(Y89&gt;0,"Aguardando transferência","Saiu saldo anterior a 09/09"))</f>
        <v>Saiu saldo anterior a 09/09</v>
      </c>
      <c r="AC89" s="82" t="n">
        <f aca="false">COUNTIFS('3 Base Entrada 2008'!$F$2:$F$5000,"&gt;="&amp;$F$5,'3 Base Entrada 2008'!$F$2:$F$5000,"&lt;="&amp;$H$5,'3 Base Entrada 2008'!$B$2:$B$5000,$T89,'3 Base Entrada 2008'!$C$2:$C$5000,$AG89)</f>
        <v>1</v>
      </c>
      <c r="AD89" s="82" t="n">
        <f aca="false">_xlfn.MINIFS('3 Base Entrada 2008'!$F$2:$F$5000,'3 Base Entrada 2008'!$F$2:$F$5000,"&gt;="&amp;$F$5,'3 Base Entrada 2008'!$F$2:$F$5000,"&lt;="&amp;$H$5,'3 Base Entrada 2008'!$B$2:$B$5000,$T89,'3 Base Entrada 2008'!$C$2:$C$5000,$AG89)</f>
        <v>46291</v>
      </c>
      <c r="AE89" s="82" t="n">
        <f aca="false">_xlfn.MAXIFS('3 Base Entrada 2008'!$F$2:$F$5000,'3 Base Entrada 2008'!$F$2:$F$5000,"&gt;="&amp;$F$5,'3 Base Entrada 2008'!$F$2:$F$5000,"&lt;="&amp;$H$5,'3 Base Entrada 2008'!$B$2:$B$5000,$T89,'3 Base Entrada 2008'!$C$2:$C$5000,$AG89)</f>
        <v>46291</v>
      </c>
      <c r="AF89" s="82" t="s">
        <v>1152</v>
      </c>
      <c r="AG89" s="82" t="s">
        <v>209</v>
      </c>
      <c r="AH89" s="82" t="n">
        <f aca="false">IF(AND(Z89=1,Y89&gt;$R$5),Y89+ROW()/10000000,0)</f>
        <v>0</v>
      </c>
      <c r="AV89" s="0" t="str">
        <f aca="false">IFERROR(INDEX($AX$1:$AX$94,MATCH(88,$AY$1:$AY$94,0)),"")</f>
        <v>252232739</v>
      </c>
      <c r="AW89" s="82" t="s">
        <v>389</v>
      </c>
      <c r="AX89" s="82" t="s">
        <v>391</v>
      </c>
      <c r="AY89" s="82" t="n">
        <f aca="false">IF(OR($A$5="Todos",AW89=$A$5),MAX(AY$1:AY88)+1,0)</f>
        <v>89</v>
      </c>
      <c r="BA89" s="82" t="n">
        <f aca="false">SUMIFS('3 Base Saldo Inicial 08-09'!$E$2:$E$5000,'3 Base Saldo Inicial 08-09'!$A$2:$A$5000,$T89,'3 Base Saldo Inicial 08-09'!$B$2:$B$5000,$AG89,'3 Base Saldo Inicial 08-09'!$C$2:$C$5000,"2008")</f>
        <v>0</v>
      </c>
    </row>
    <row r="90" customFormat="false" ht="15" hidden="false" customHeight="false" outlineLevel="0" collapsed="false">
      <c r="A90" s="111" t="str">
        <f aca="false">IF(IFERROR(MATCH(77,$AA$40:$AA$133,0),0)=0,"",INDEX($T$40:$T$133,IFERROR(MATCH(77,$AA$40:$AA$133,0),0)))</f>
        <v>CHR-Q37RB2-2B-U75</v>
      </c>
      <c r="B90" s="111" t="str">
        <f aca="false">IF(IFERROR(MATCH(77,$AA$40:$AA$133,0),0)=0,"",INDEX($AG$40:$AG$133,IFERROR(MATCH(77,$AA$40:$AA$133,0),0)))</f>
        <v>261320202</v>
      </c>
      <c r="C90" s="112" t="str">
        <f aca="false">IF(IFERROR(MATCH(77,$AA$40:$AA$133,0),0)=0,"",INDEX($U$40:$U$133,IFERROR(MATCH(77,$AA$40:$AA$133,0),0)))</f>
        <v>KG</v>
      </c>
      <c r="D90" s="113" t="n">
        <f aca="false">IF(IFERROR(MATCH(77,$AA$40:$AA$133,0),0)=0,"",INDEX($V$40:$V$133,IFERROR(MATCH(77,$AA$40:$AA$133,0),0)))</f>
        <v>0</v>
      </c>
      <c r="E90" s="113" t="n">
        <f aca="false">IF(IFERROR(MATCH(77,$AA$40:$AA$133,0),0)=0,"",INDEX($W$40:$W$133,IFERROR(MATCH(77,$AA$40:$AA$133,0),0)))</f>
        <v>2040</v>
      </c>
      <c r="F90" s="113" t="n">
        <f aca="false">IF(IFERROR(MATCH(77,$AA$40:$AA$133,0),0)=0,"",INDEX($X$40:$X$133,IFERROR(MATCH(77,$AA$40:$AA$133,0),0)))</f>
        <v>180</v>
      </c>
      <c r="G90" s="114" t="n">
        <f aca="false">IF(IFERROR(MATCH(77,$AA$40:$AA$133,0),0)=0,"",INDEX($Y$40:$Y$133,IFERROR(MATCH(77,$AA$40:$AA$133,0),0)))</f>
        <v>-1860</v>
      </c>
      <c r="H90" s="145" t="str">
        <f aca="false">IF(A90="","",IF(D90&gt;0,(E90-F90)/D90,""))</f>
        <v/>
      </c>
      <c r="I90" s="115" t="str">
        <f aca="false">IF(IFERROR(MATCH(77,$AA$40:$AA$133,0),0)=0,"",INDEX($AB$40:$AB$133,IFERROR(MATCH(77,$AA$40:$AA$133,0),0)))</f>
        <v>Saiu saldo anterior a 09/09</v>
      </c>
      <c r="J90" s="116" t="n">
        <f aca="false">IF(IFERROR(MATCH(77,$AA$40:$AA$133,0),0)=0,"",INDEX($AC$40:$AC$133,IFERROR(MATCH(77,$AA$40:$AA$133,0),0)))</f>
        <v>7</v>
      </c>
      <c r="K90" s="117" t="n">
        <f aca="false">IF(IFERROR(MATCH(77,$AA$40:$AA$133,0),0)=0,"",IF(INDEX($AD$40:$AD$133,IFERROR(MATCH(77,$AA$40:$AA$133,0),0))=0,"",INDEX($AD$40:$AD$133,IFERROR(MATCH(77,$AA$40:$AA$133,0),0))))</f>
        <v>46289</v>
      </c>
      <c r="L90" s="117" t="n">
        <f aca="false">IF(IFERROR(MATCH(77,$AA$40:$AA$133,0),0)=0,"",IF(INDEX($AE$40:$AE$133,IFERROR(MATCH(77,$AA$40:$AA$133,0),0))=0,"",INDEX($AE$40:$AE$133,IFERROR(MATCH(77,$AA$40:$AA$133,0),0))))</f>
        <v>46295</v>
      </c>
      <c r="M90" s="119" t="str">
        <f aca="false">IF(IFERROR(MATCH(77,$AA$40:$AA$133,0),0)=0,"",INDEX($AF$40:$AF$133,IFERROR(MATCH(77,$AA$40:$AA$133,0),0))&amp;"")</f>
        <v>CA RUBY CALLETS 2.5KG/UC 4UC/BOX</v>
      </c>
      <c r="N90" s="118" t="str">
        <f aca="false">IF(A90="","",IF(I90="Aguardando transferência","Transferir "&amp;FIXED(G90,1)&amp;" "&amp;C90&amp;" do 2008 para o ZBR (verificar se já há OT aberta)",IF(I90="Transferido 100%","Nada a fazer","Sem ação: saíram "&amp;FIXED(-G90,1)&amp;" "&amp;C90&amp;" que já estavam no 2008 antes de 09/09 (conferir só se não havia saldo)")))</f>
        <v>Sem ação: saíram 1,860.0 KG que já estavam no 2008 antes de 09/09 (conferir só se não havia saldo)</v>
      </c>
      <c r="O90" s="1"/>
      <c r="T90" s="82" t="s">
        <v>260</v>
      </c>
      <c r="U90" s="82" t="s">
        <v>65</v>
      </c>
      <c r="V90" s="82" t="n">
        <f aca="false">SUMIFS('3 Base Entrada 2008'!$G$2:$G$5000,'3 Base Entrada 2008'!$F$2:$F$5000,"&gt;="&amp;$F$5,'3 Base Entrada 2008'!$F$2:$F$5000,"&lt;="&amp;$H$5,'3 Base Entrada 2008'!$B$2:$B$5000,$T90,'3 Base Entrada 2008'!$C$2:$C$5000,$AG90,'3 Base Entrada 2008'!$K$2:$K$5000,"Recebido no 2008")</f>
        <v>0</v>
      </c>
      <c r="W90" s="82" t="n">
        <f aca="false">-SUMIFS('3 Base Entrada 2008'!$G$2:$G$5000,'3 Base Entrada 2008'!$F$2:$F$5000,"&gt;="&amp;$F$5,'3 Base Entrada 2008'!$F$2:$F$5000,"&lt;="&amp;$H$5,'3 Base Entrada 2008'!$B$2:$B$5000,$T90,'3 Base Entrada 2008'!$C$2:$C$5000,$AG90,'3 Base Entrada 2008'!$K$2:$K$5000,"Entrada")</f>
        <v>295.12</v>
      </c>
      <c r="X90" s="82" t="n">
        <f aca="false">SUMIFS('3 Base Entrada 2008'!$G$2:$G$5000,'3 Base Entrada 2008'!$F$2:$F$5000,"&gt;="&amp;$F$5,'3 Base Entrada 2008'!$F$2:$F$5000,"&lt;="&amp;$H$5,'3 Base Entrada 2008'!$B$2:$B$5000,$T90,'3 Base Entrada 2008'!$C$2:$C$5000,$AG90,'3 Base Entrada 2008'!$K$2:$K$5000,"Estorno")</f>
        <v>0</v>
      </c>
      <c r="Y90" s="82" t="n">
        <f aca="false">ROUND(BA90+V90-W90+X90,3)</f>
        <v>-295.12</v>
      </c>
      <c r="Z90" s="82" t="n">
        <f aca="false">IF(AND(U90=$R$3,OR($R$1="*",T90=$R$1),OR($R$2="*",AG90=$R$2),OR($K$5="Todas",AB90=$K$5),ABS(V90)+ABS(W90)+ABS(X90)&gt;0),1,0)</f>
        <v>1</v>
      </c>
      <c r="AA90" s="82" t="n">
        <f aca="false">IF(Z90=1,SUM(Z$40:Z90),"")</f>
        <v>46</v>
      </c>
      <c r="AB90" s="0" t="str">
        <f aca="false">IF(ABS(Y90)&lt;=$R$5,"Transferido 100%",IF(Y90&gt;0,"Aguardando transferência","Saiu saldo anterior a 09/09"))</f>
        <v>Saiu saldo anterior a 09/09</v>
      </c>
      <c r="AC90" s="82" t="n">
        <f aca="false">COUNTIFS('3 Base Entrada 2008'!$F$2:$F$5000,"&gt;="&amp;$F$5,'3 Base Entrada 2008'!$F$2:$F$5000,"&lt;="&amp;$H$5,'3 Base Entrada 2008'!$B$2:$B$5000,$T90,'3 Base Entrada 2008'!$C$2:$C$5000,$AG90)</f>
        <v>1</v>
      </c>
      <c r="AD90" s="82" t="n">
        <f aca="false">_xlfn.MINIFS('3 Base Entrada 2008'!$F$2:$F$5000,'3 Base Entrada 2008'!$F$2:$F$5000,"&gt;="&amp;$F$5,'3 Base Entrada 2008'!$F$2:$F$5000,"&lt;="&amp;$H$5,'3 Base Entrada 2008'!$B$2:$B$5000,$T90,'3 Base Entrada 2008'!$C$2:$C$5000,$AG90)</f>
        <v>46274</v>
      </c>
      <c r="AE90" s="82" t="n">
        <f aca="false">_xlfn.MAXIFS('3 Base Entrada 2008'!$F$2:$F$5000,'3 Base Entrada 2008'!$F$2:$F$5000,"&gt;="&amp;$F$5,'3 Base Entrada 2008'!$F$2:$F$5000,"&lt;="&amp;$H$5,'3 Base Entrada 2008'!$B$2:$B$5000,$T90,'3 Base Entrada 2008'!$C$2:$C$5000,$AG90)</f>
        <v>46274</v>
      </c>
      <c r="AG90" s="82" t="s">
        <v>363</v>
      </c>
      <c r="AH90" s="82" t="n">
        <f aca="false">IF(AND(Z90=1,Y90&gt;$R$5),Y90+ROW()/10000000,0)</f>
        <v>0</v>
      </c>
      <c r="AV90" s="0" t="str">
        <f aca="false">IFERROR(INDEX($AX$1:$AX$94,MATCH(89,$AY$1:$AY$94,0)),"")</f>
        <v>260700919</v>
      </c>
      <c r="AW90" s="82" t="s">
        <v>389</v>
      </c>
      <c r="AX90" s="82" t="s">
        <v>394</v>
      </c>
      <c r="AY90" s="82" t="n">
        <f aca="false">IF(OR($A$5="Todos",AW90=$A$5),MAX(AY$1:AY89)+1,0)</f>
        <v>90</v>
      </c>
      <c r="BA90" s="82" t="n">
        <f aca="false">SUMIFS('3 Base Saldo Inicial 08-09'!$E$2:$E$5000,'3 Base Saldo Inicial 08-09'!$A$2:$A$5000,$T90,'3 Base Saldo Inicial 08-09'!$B$2:$B$5000,$AG90,'3 Base Saldo Inicial 08-09'!$C$2:$C$5000,"2008")</f>
        <v>0</v>
      </c>
    </row>
    <row r="91" customFormat="false" ht="15" hidden="false" customHeight="false" outlineLevel="0" collapsed="false">
      <c r="A91" s="111" t="str">
        <f aca="false">IF(IFERROR(MATCH(78,$AA$40:$AA$133,0),0)=0,"",INDEX($T$40:$T$133,IFERROR(MATCH(78,$AA$40:$AA$133,0),0)))</f>
        <v>CW2-BR-25A</v>
      </c>
      <c r="B91" s="111" t="str">
        <f aca="false">IF(IFERROR(MATCH(78,$AA$40:$AA$133,0),0)=0,"",INDEX($AG$40:$AG$133,IFERROR(MATCH(78,$AA$40:$AA$133,0),0)))</f>
        <v>252650301</v>
      </c>
      <c r="C91" s="112" t="str">
        <f aca="false">IF(IFERROR(MATCH(78,$AA$40:$AA$133,0),0)=0,"",INDEX($U$40:$U$133,IFERROR(MATCH(78,$AA$40:$AA$133,0),0)))</f>
        <v>KG</v>
      </c>
      <c r="D91" s="113" t="n">
        <f aca="false">IF(IFERROR(MATCH(78,$AA$40:$AA$133,0),0)=0,"",INDEX($V$40:$V$133,IFERROR(MATCH(78,$AA$40:$AA$133,0),0)))</f>
        <v>40</v>
      </c>
      <c r="E91" s="113" t="n">
        <f aca="false">IF(IFERROR(MATCH(78,$AA$40:$AA$133,0),0)=0,"",INDEX($W$40:$W$133,IFERROR(MATCH(78,$AA$40:$AA$133,0),0)))</f>
        <v>2271.3</v>
      </c>
      <c r="F91" s="113" t="n">
        <f aca="false">IF(IFERROR(MATCH(78,$AA$40:$AA$133,0),0)=0,"",INDEX($X$40:$X$133,IFERROR(MATCH(78,$AA$40:$AA$133,0),0)))</f>
        <v>0</v>
      </c>
      <c r="G91" s="114" t="n">
        <f aca="false">IF(IFERROR(MATCH(78,$AA$40:$AA$133,0),0)=0,"",INDEX($Y$40:$Y$133,IFERROR(MATCH(78,$AA$40:$AA$133,0),0)))</f>
        <v>-2231.3</v>
      </c>
      <c r="H91" s="145" t="n">
        <f aca="false">IF(A91="","",IF(D91&gt;0,(E91-F91)/D91,""))</f>
        <v>56.7825</v>
      </c>
      <c r="I91" s="115" t="str">
        <f aca="false">IF(IFERROR(MATCH(78,$AA$40:$AA$133,0),0)=0,"",INDEX($AB$40:$AB$133,IFERROR(MATCH(78,$AA$40:$AA$133,0),0)))</f>
        <v>Saiu saldo anterior a 09/09</v>
      </c>
      <c r="J91" s="116" t="n">
        <f aca="false">IF(IFERROR(MATCH(78,$AA$40:$AA$133,0),0)=0,"",INDEX($AC$40:$AC$133,IFERROR(MATCH(78,$AA$40:$AA$133,0),0)))</f>
        <v>4</v>
      </c>
      <c r="K91" s="117" t="n">
        <f aca="false">IF(IFERROR(MATCH(78,$AA$40:$AA$133,0),0)=0,"",IF(INDEX($AD$40:$AD$133,IFERROR(MATCH(78,$AA$40:$AA$133,0),0))=0,"",INDEX($AD$40:$AD$133,IFERROR(MATCH(78,$AA$40:$AA$133,0),0))))</f>
        <v>46275</v>
      </c>
      <c r="L91" s="117" t="n">
        <f aca="false">IF(IFERROR(MATCH(78,$AA$40:$AA$133,0),0)=0,"",IF(INDEX($AE$40:$AE$133,IFERROR(MATCH(78,$AA$40:$AA$133,0),0))=0,"",INDEX($AE$40:$AE$133,IFERROR(MATCH(78,$AA$40:$AA$133,0),0))))</f>
        <v>46291</v>
      </c>
      <c r="M91" s="119" t="str">
        <f aca="false">IF(IFERROR(MATCH(78,$AA$40:$AA$133,0),0)=0,"",INDEX($AF$40:$AF$133,IFERROR(MATCH(78,$AA$40:$AA$133,0),0))&amp;"")</f>
        <v>CA MOEDAS 2,01KG/UC 10UC/CX 30CX/PAL</v>
      </c>
      <c r="N91" s="118" t="str">
        <f aca="false">IF(A91="","",IF(I91="Aguardando transferência","Transferir "&amp;FIXED(G91,1)&amp;" "&amp;C91&amp;" do 2008 para o ZBR (verificar se já há OT aberta)",IF(I91="Transferido 100%","Nada a fazer","Sem ação: saíram "&amp;FIXED(-G91,1)&amp;" "&amp;C91&amp;" que já estavam no 2008 antes de 09/09 (conferir só se não havia saldo)")))</f>
        <v>Sem ação: saíram 2,231.3 KG que já estavam no 2008 antes de 09/09 (conferir só se não havia saldo)</v>
      </c>
      <c r="O91" s="1"/>
      <c r="T91" s="82" t="s">
        <v>201</v>
      </c>
      <c r="U91" s="82" t="s">
        <v>65</v>
      </c>
      <c r="V91" s="82" t="n">
        <f aca="false">SUMIFS('3 Base Entrada 2008'!$G$2:$G$5000,'3 Base Entrada 2008'!$F$2:$F$5000,"&gt;="&amp;$F$5,'3 Base Entrada 2008'!$F$2:$F$5000,"&lt;="&amp;$H$5,'3 Base Entrada 2008'!$B$2:$B$5000,$T91,'3 Base Entrada 2008'!$C$2:$C$5000,$AG91,'3 Base Entrada 2008'!$K$2:$K$5000,"Recebido no 2008")</f>
        <v>0</v>
      </c>
      <c r="W91" s="82" t="n">
        <f aca="false">-SUMIFS('3 Base Entrada 2008'!$G$2:$G$5000,'3 Base Entrada 2008'!$F$2:$F$5000,"&gt;="&amp;$F$5,'3 Base Entrada 2008'!$F$2:$F$5000,"&lt;="&amp;$H$5,'3 Base Entrada 2008'!$B$2:$B$5000,$T91,'3 Base Entrada 2008'!$C$2:$C$5000,$AG91,'3 Base Entrada 2008'!$K$2:$K$5000,"Entrada")</f>
        <v>313.6</v>
      </c>
      <c r="X91" s="82" t="n">
        <f aca="false">SUMIFS('3 Base Entrada 2008'!$G$2:$G$5000,'3 Base Entrada 2008'!$F$2:$F$5000,"&gt;="&amp;$F$5,'3 Base Entrada 2008'!$F$2:$F$5000,"&lt;="&amp;$H$5,'3 Base Entrada 2008'!$B$2:$B$5000,$T91,'3 Base Entrada 2008'!$C$2:$C$5000,$AG91,'3 Base Entrada 2008'!$K$2:$K$5000,"Estorno")</f>
        <v>0</v>
      </c>
      <c r="Y91" s="82" t="n">
        <f aca="false">ROUND(BA91+V91-W91+X91,3)</f>
        <v>-313.6</v>
      </c>
      <c r="Z91" s="82" t="n">
        <f aca="false">IF(AND(U91=$R$3,OR($R$1="*",T91=$R$1),OR($R$2="*",AG91=$R$2),OR($K$5="Todas",AB91=$K$5),ABS(V91)+ABS(W91)+ABS(X91)&gt;0),1,0)</f>
        <v>1</v>
      </c>
      <c r="AA91" s="82" t="n">
        <f aca="false">IF(Z91=1,SUM(Z$40:Z91),"")</f>
        <v>47</v>
      </c>
      <c r="AB91" s="0" t="str">
        <f aca="false">IF(ABS(Y91)&lt;=$R$5,"Transferido 100%",IF(Y91&gt;0,"Aguardando transferência","Saiu saldo anterior a 09/09"))</f>
        <v>Saiu saldo anterior a 09/09</v>
      </c>
      <c r="AC91" s="82" t="n">
        <f aca="false">COUNTIFS('3 Base Entrada 2008'!$F$2:$F$5000,"&gt;="&amp;$F$5,'3 Base Entrada 2008'!$F$2:$F$5000,"&lt;="&amp;$H$5,'3 Base Entrada 2008'!$B$2:$B$5000,$T91,'3 Base Entrada 2008'!$C$2:$C$5000,$AG91)</f>
        <v>1</v>
      </c>
      <c r="AD91" s="82" t="n">
        <f aca="false">_xlfn.MINIFS('3 Base Entrada 2008'!$F$2:$F$5000,'3 Base Entrada 2008'!$F$2:$F$5000,"&gt;="&amp;$F$5,'3 Base Entrada 2008'!$F$2:$F$5000,"&lt;="&amp;$H$5,'3 Base Entrada 2008'!$B$2:$B$5000,$T91,'3 Base Entrada 2008'!$C$2:$C$5000,$AG91)</f>
        <v>46294</v>
      </c>
      <c r="AE91" s="82" t="n">
        <f aca="false">_xlfn.MAXIFS('3 Base Entrada 2008'!$F$2:$F$5000,'3 Base Entrada 2008'!$F$2:$F$5000,"&gt;="&amp;$F$5,'3 Base Entrada 2008'!$F$2:$F$5000,"&lt;="&amp;$H$5,'3 Base Entrada 2008'!$B$2:$B$5000,$T91,'3 Base Entrada 2008'!$C$2:$C$5000,$AG91)</f>
        <v>46294</v>
      </c>
      <c r="AF91" s="82" t="s">
        <v>522</v>
      </c>
      <c r="AG91" s="82" t="s">
        <v>202</v>
      </c>
      <c r="AH91" s="82" t="n">
        <f aca="false">IF(AND(Z91=1,Y91&gt;$R$5),Y91+ROW()/10000000,0)</f>
        <v>0</v>
      </c>
      <c r="AV91" s="0" t="str">
        <f aca="false">IFERROR(INDEX($AX$1:$AX$94,MATCH(90,$AY$1:$AY$94,0)),"")</f>
        <v>261131599</v>
      </c>
      <c r="AW91" s="82" t="s">
        <v>389</v>
      </c>
      <c r="AX91" s="82" t="s">
        <v>393</v>
      </c>
      <c r="AY91" s="82" t="n">
        <f aca="false">IF(OR($A$5="Todos",AW91=$A$5),MAX(AY$1:AY90)+1,0)</f>
        <v>91</v>
      </c>
      <c r="BA91" s="82" t="n">
        <f aca="false">SUMIFS('3 Base Saldo Inicial 08-09'!$E$2:$E$5000,'3 Base Saldo Inicial 08-09'!$A$2:$A$5000,$T91,'3 Base Saldo Inicial 08-09'!$B$2:$B$5000,$AG91,'3 Base Saldo Inicial 08-09'!$C$2:$C$5000,"2008")</f>
        <v>0</v>
      </c>
    </row>
    <row r="92" customFormat="false" ht="15" hidden="false" customHeight="false" outlineLevel="0" collapsed="false">
      <c r="A92" s="111" t="str">
        <f aca="false">IF(IFERROR(MATCH(79,$AA$40:$AA$133,0),0)=0,"",INDEX($T$40:$T$133,IFERROR(MATCH(79,$AA$40:$AA$133,0),0)))</f>
        <v>811-BR-25A</v>
      </c>
      <c r="B92" s="111" t="str">
        <f aca="false">IF(IFERROR(MATCH(79,$AA$40:$AA$133,0),0)=0,"",INDEX($AG$40:$AG$133,IFERROR(MATCH(79,$AA$40:$AA$133,0),0)))</f>
        <v>252450301</v>
      </c>
      <c r="C92" s="112" t="str">
        <f aca="false">IF(IFERROR(MATCH(79,$AA$40:$AA$133,0),0)=0,"",INDEX($U$40:$U$133,IFERROR(MATCH(79,$AA$40:$AA$133,0),0)))</f>
        <v>KG</v>
      </c>
      <c r="D92" s="113" t="n">
        <f aca="false">IF(IFERROR(MATCH(79,$AA$40:$AA$133,0),0)=0,"",INDEX($V$40:$V$133,IFERROR(MATCH(79,$AA$40:$AA$133,0),0)))</f>
        <v>0</v>
      </c>
      <c r="E92" s="113" t="n">
        <f aca="false">IF(IFERROR(MATCH(79,$AA$40:$AA$133,0),0)=0,"",INDEX($W$40:$W$133,IFERROR(MATCH(79,$AA$40:$AA$133,0),0)))</f>
        <v>2733.6</v>
      </c>
      <c r="F92" s="113" t="n">
        <f aca="false">IF(IFERROR(MATCH(79,$AA$40:$AA$133,0),0)=0,"",INDEX($X$40:$X$133,IFERROR(MATCH(79,$AA$40:$AA$133,0),0)))</f>
        <v>0</v>
      </c>
      <c r="G92" s="114" t="n">
        <f aca="false">IF(IFERROR(MATCH(79,$AA$40:$AA$133,0),0)=0,"",INDEX($Y$40:$Y$133,IFERROR(MATCH(79,$AA$40:$AA$133,0),0)))</f>
        <v>-2733.6</v>
      </c>
      <c r="H92" s="145" t="str">
        <f aca="false">IF(A92="","",IF(D92&gt;0,(E92-F92)/D92,""))</f>
        <v/>
      </c>
      <c r="I92" s="115" t="str">
        <f aca="false">IF(IFERROR(MATCH(79,$AA$40:$AA$133,0),0)=0,"",INDEX($AB$40:$AB$133,IFERROR(MATCH(79,$AA$40:$AA$133,0),0)))</f>
        <v>Saiu saldo anterior a 09/09</v>
      </c>
      <c r="J92" s="116" t="n">
        <f aca="false">IF(IFERROR(MATCH(79,$AA$40:$AA$133,0),0)=0,"",INDEX($AC$40:$AC$133,IFERROR(MATCH(79,$AA$40:$AA$133,0),0)))</f>
        <v>6</v>
      </c>
      <c r="K92" s="117" t="n">
        <f aca="false">IF(IFERROR(MATCH(79,$AA$40:$AA$133,0),0)=0,"",IF(INDEX($AD$40:$AD$133,IFERROR(MATCH(79,$AA$40:$AA$133,0),0))=0,"",INDEX($AD$40:$AD$133,IFERROR(MATCH(79,$AA$40:$AA$133,0),0))))</f>
        <v>46294</v>
      </c>
      <c r="L92" s="117" t="n">
        <f aca="false">IF(IFERROR(MATCH(79,$AA$40:$AA$133,0),0)=0,"",IF(INDEX($AE$40:$AE$133,IFERROR(MATCH(79,$AA$40:$AA$133,0),0))=0,"",INDEX($AE$40:$AE$133,IFERROR(MATCH(79,$AA$40:$AA$133,0),0))))</f>
        <v>46295</v>
      </c>
      <c r="M92" s="119" t="str">
        <f aca="false">IF(IFERROR(MATCH(79,$AA$40:$AA$133,0),0)=0,"",INDEX($AF$40:$AF$133,IFERROR(MATCH(79,$AA$40:$AA$133,0),0))&amp;"")</f>
        <v>CA MOEDAS 2,01KG/UC 10UC/CX 30CX/PAL</v>
      </c>
      <c r="N92" s="118" t="str">
        <f aca="false">IF(A92="","",IF(I92="Aguardando transferência","Transferir "&amp;FIXED(G92,1)&amp;" "&amp;C92&amp;" do 2008 para o ZBR (verificar se já há OT aberta)",IF(I92="Transferido 100%","Nada a fazer","Sem ação: saíram "&amp;FIXED(-G92,1)&amp;" "&amp;C92&amp;" que já estavam no 2008 antes de 09/09 (conferir só se não havia saldo)")))</f>
        <v>Sem ação: saíram 2,733.6 KG que já estavam no 2008 antes de 09/09 (conferir só se não havia saldo)</v>
      </c>
      <c r="O92" s="1"/>
      <c r="T92" s="82" t="s">
        <v>271</v>
      </c>
      <c r="U92" s="82" t="s">
        <v>65</v>
      </c>
      <c r="V92" s="82" t="n">
        <f aca="false">SUMIFS('3 Base Entrada 2008'!$G$2:$G$5000,'3 Base Entrada 2008'!$F$2:$F$5000,"&gt;="&amp;$F$5,'3 Base Entrada 2008'!$F$2:$F$5000,"&lt;="&amp;$H$5,'3 Base Entrada 2008'!$B$2:$B$5000,$T92,'3 Base Entrada 2008'!$C$2:$C$5000,$AG92,'3 Base Entrada 2008'!$K$2:$K$5000,"Recebido no 2008")</f>
        <v>840</v>
      </c>
      <c r="W92" s="82" t="n">
        <f aca="false">-SUMIFS('3 Base Entrada 2008'!$G$2:$G$5000,'3 Base Entrada 2008'!$F$2:$F$5000,"&gt;="&amp;$F$5,'3 Base Entrada 2008'!$F$2:$F$5000,"&lt;="&amp;$H$5,'3 Base Entrada 2008'!$B$2:$B$5000,$T92,'3 Base Entrada 2008'!$C$2:$C$5000,$AG92,'3 Base Entrada 2008'!$K$2:$K$5000,"Entrada")</f>
        <v>1200</v>
      </c>
      <c r="X92" s="82" t="n">
        <f aca="false">SUMIFS('3 Base Entrada 2008'!$G$2:$G$5000,'3 Base Entrada 2008'!$F$2:$F$5000,"&gt;="&amp;$F$5,'3 Base Entrada 2008'!$F$2:$F$5000,"&lt;="&amp;$H$5,'3 Base Entrada 2008'!$B$2:$B$5000,$T92,'3 Base Entrada 2008'!$C$2:$C$5000,$AG92,'3 Base Entrada 2008'!$K$2:$K$5000,"Estorno")</f>
        <v>0</v>
      </c>
      <c r="Y92" s="82" t="n">
        <f aca="false">ROUND(BA92+V92-W92+X92,3)</f>
        <v>-360</v>
      </c>
      <c r="Z92" s="82" t="n">
        <f aca="false">IF(AND(U92=$R$3,OR($R$1="*",T92=$R$1),OR($R$2="*",AG92=$R$2),OR($K$5="Todas",AB92=$K$5),ABS(V92)+ABS(W92)+ABS(X92)&gt;0),1,0)</f>
        <v>1</v>
      </c>
      <c r="AA92" s="82" t="n">
        <f aca="false">IF(Z92=1,SUM(Z$40:Z92),"")</f>
        <v>48</v>
      </c>
      <c r="AB92" s="0" t="str">
        <f aca="false">IF(ABS(Y92)&lt;=$R$5,"Transferido 100%",IF(Y92&gt;0,"Aguardando transferência","Saiu saldo anterior a 09/09"))</f>
        <v>Saiu saldo anterior a 09/09</v>
      </c>
      <c r="AC92" s="82" t="n">
        <f aca="false">COUNTIFS('3 Base Entrada 2008'!$F$2:$F$5000,"&gt;="&amp;$F$5,'3 Base Entrada 2008'!$F$2:$F$5000,"&lt;="&amp;$H$5,'3 Base Entrada 2008'!$B$2:$B$5000,$T92,'3 Base Entrada 2008'!$C$2:$C$5000,$AG92)</f>
        <v>2</v>
      </c>
      <c r="AD92" s="82" t="n">
        <f aca="false">_xlfn.MINIFS('3 Base Entrada 2008'!$F$2:$F$5000,'3 Base Entrada 2008'!$F$2:$F$5000,"&gt;="&amp;$F$5,'3 Base Entrada 2008'!$F$2:$F$5000,"&lt;="&amp;$H$5,'3 Base Entrada 2008'!$B$2:$B$5000,$T92,'3 Base Entrada 2008'!$C$2:$C$5000,$AG92)</f>
        <v>46275</v>
      </c>
      <c r="AE92" s="82" t="n">
        <f aca="false">_xlfn.MAXIFS('3 Base Entrada 2008'!$F$2:$F$5000,'3 Base Entrada 2008'!$F$2:$F$5000,"&gt;="&amp;$F$5,'3 Base Entrada 2008'!$F$2:$F$5000,"&lt;="&amp;$H$5,'3 Base Entrada 2008'!$B$2:$B$5000,$T92,'3 Base Entrada 2008'!$C$2:$C$5000,$AG92)</f>
        <v>46293</v>
      </c>
      <c r="AF92" s="82" t="s">
        <v>1225</v>
      </c>
      <c r="AG92" s="82" t="s">
        <v>273</v>
      </c>
      <c r="AH92" s="82" t="n">
        <f aca="false">IF(AND(Z92=1,Y92&gt;$R$5),Y92+ROW()/10000000,0)</f>
        <v>0</v>
      </c>
      <c r="AV92" s="0" t="str">
        <f aca="false">IFERROR(INDEX($AX$1:$AX$94,MATCH(91,$AY$1:$AY$94,0)),"")</f>
        <v>261181599</v>
      </c>
      <c r="AW92" s="82" t="s">
        <v>389</v>
      </c>
      <c r="AX92" s="82" t="s">
        <v>392</v>
      </c>
      <c r="AY92" s="82" t="n">
        <f aca="false">IF(OR($A$5="Todos",AW92=$A$5),MAX(AY$1:AY91)+1,0)</f>
        <v>92</v>
      </c>
      <c r="BA92" s="82" t="n">
        <f aca="false">SUMIFS('3 Base Saldo Inicial 08-09'!$E$2:$E$5000,'3 Base Saldo Inicial 08-09'!$A$2:$A$5000,$T92,'3 Base Saldo Inicial 08-09'!$B$2:$B$5000,$AG92,'3 Base Saldo Inicial 08-09'!$C$2:$C$5000,"2008")</f>
        <v>0</v>
      </c>
    </row>
    <row r="93" customFormat="false" ht="15" hidden="false" customHeight="false" outlineLevel="0" collapsed="false">
      <c r="A93" s="111" t="str">
        <f aca="false">IF(IFERROR(MATCH(80,$AA$40:$AA$133,0),0)=0,"",INDEX($T$40:$T$133,IFERROR(MATCH(80,$AA$40:$AA$133,0),0)))</f>
        <v>70-30-38-BR-25A</v>
      </c>
      <c r="B93" s="111" t="str">
        <f aca="false">IF(IFERROR(MATCH(80,$AA$40:$AA$133,0),0)=0,"",INDEX($AG$40:$AG$133,IFERROR(MATCH(80,$AA$40:$AA$133,0),0)))</f>
        <v>260070301</v>
      </c>
      <c r="C93" s="112" t="str">
        <f aca="false">IF(IFERROR(MATCH(80,$AA$40:$AA$133,0),0)=0,"",INDEX($U$40:$U$133,IFERROR(MATCH(80,$AA$40:$AA$133,0),0)))</f>
        <v>KG</v>
      </c>
      <c r="D93" s="113" t="n">
        <f aca="false">IF(IFERROR(MATCH(80,$AA$40:$AA$133,0),0)=0,"",INDEX($V$40:$V$133,IFERROR(MATCH(80,$AA$40:$AA$133,0),0)))</f>
        <v>0</v>
      </c>
      <c r="E93" s="113" t="n">
        <f aca="false">IF(IFERROR(MATCH(80,$AA$40:$AA$133,0),0)=0,"",INDEX($W$40:$W$133,IFERROR(MATCH(80,$AA$40:$AA$133,0),0)))</f>
        <v>3015</v>
      </c>
      <c r="F93" s="113" t="n">
        <f aca="false">IF(IFERROR(MATCH(80,$AA$40:$AA$133,0),0)=0,"",INDEX($X$40:$X$133,IFERROR(MATCH(80,$AA$40:$AA$133,0),0)))</f>
        <v>0</v>
      </c>
      <c r="G93" s="114" t="n">
        <f aca="false">IF(IFERROR(MATCH(80,$AA$40:$AA$133,0),0)=0,"",INDEX($Y$40:$Y$133,IFERROR(MATCH(80,$AA$40:$AA$133,0),0)))</f>
        <v>-3015</v>
      </c>
      <c r="H93" s="145" t="str">
        <f aca="false">IF(A93="","",IF(D93&gt;0,(E93-F93)/D93,""))</f>
        <v/>
      </c>
      <c r="I93" s="115" t="str">
        <f aca="false">IF(IFERROR(MATCH(80,$AA$40:$AA$133,0),0)=0,"",INDEX($AB$40:$AB$133,IFERROR(MATCH(80,$AA$40:$AA$133,0),0)))</f>
        <v>Saiu saldo anterior a 09/09</v>
      </c>
      <c r="J93" s="116" t="n">
        <f aca="false">IF(IFERROR(MATCH(80,$AA$40:$AA$133,0),0)=0,"",INDEX($AC$40:$AC$133,IFERROR(MATCH(80,$AA$40:$AA$133,0),0)))</f>
        <v>2</v>
      </c>
      <c r="K93" s="117" t="n">
        <f aca="false">IF(IFERROR(MATCH(80,$AA$40:$AA$133,0),0)=0,"",IF(INDEX($AD$40:$AD$133,IFERROR(MATCH(80,$AA$40:$AA$133,0),0))=0,"",INDEX($AD$40:$AD$133,IFERROR(MATCH(80,$AA$40:$AA$133,0),0))))</f>
        <v>46288</v>
      </c>
      <c r="L93" s="117" t="n">
        <f aca="false">IF(IFERROR(MATCH(80,$AA$40:$AA$133,0),0)=0,"",IF(INDEX($AE$40:$AE$133,IFERROR(MATCH(80,$AA$40:$AA$133,0),0))=0,"",INDEX($AE$40:$AE$133,IFERROR(MATCH(80,$AA$40:$AA$133,0),0))))</f>
        <v>46288</v>
      </c>
      <c r="M93" s="119" t="str">
        <f aca="false">IF(IFERROR(MATCH(80,$AA$40:$AA$133,0),0)=0,"",INDEX($AF$40:$AF$133,IFERROR(MATCH(80,$AA$40:$AA$133,0),0))&amp;"")</f>
        <v>CA MOEDAS 2,01KG/UC 10UC/CX 30CX/PAL</v>
      </c>
      <c r="N93" s="118" t="str">
        <f aca="false">IF(A93="","",IF(I93="Aguardando transferência","Transferir "&amp;FIXED(G93,1)&amp;" "&amp;C93&amp;" do 2008 para o ZBR (verificar se já há OT aberta)",IF(I93="Transferido 100%","Nada a fazer","Sem ação: saíram "&amp;FIXED(-G93,1)&amp;" "&amp;C93&amp;" que já estavam no 2008 antes de 09/09 (conferir só se não havia saldo)")))</f>
        <v>Sem ação: saíram 3,015.0 KG que já estavam no 2008 antes de 09/09 (conferir só se não havia saldo)</v>
      </c>
      <c r="O93" s="1"/>
      <c r="T93" s="82" t="s">
        <v>305</v>
      </c>
      <c r="U93" s="82" t="s">
        <v>65</v>
      </c>
      <c r="V93" s="82" t="n">
        <f aca="false">SUMIFS('3 Base Entrada 2008'!$G$2:$G$5000,'3 Base Entrada 2008'!$F$2:$F$5000,"&gt;="&amp;$F$5,'3 Base Entrada 2008'!$F$2:$F$5000,"&lt;="&amp;$H$5,'3 Base Entrada 2008'!$B$2:$B$5000,$T93,'3 Base Entrada 2008'!$C$2:$C$5000,$AG93,'3 Base Entrada 2008'!$K$2:$K$5000,"Recebido no 2008")</f>
        <v>0</v>
      </c>
      <c r="W93" s="82" t="n">
        <f aca="false">-SUMIFS('3 Base Entrada 2008'!$G$2:$G$5000,'3 Base Entrada 2008'!$F$2:$F$5000,"&gt;="&amp;$F$5,'3 Base Entrada 2008'!$F$2:$F$5000,"&lt;="&amp;$H$5,'3 Base Entrada 2008'!$B$2:$B$5000,$T93,'3 Base Entrada 2008'!$C$2:$C$5000,$AG93,'3 Base Entrada 2008'!$K$2:$K$5000,"Entrada")</f>
        <v>440</v>
      </c>
      <c r="X93" s="82" t="n">
        <f aca="false">SUMIFS('3 Base Entrada 2008'!$G$2:$G$5000,'3 Base Entrada 2008'!$F$2:$F$5000,"&gt;="&amp;$F$5,'3 Base Entrada 2008'!$F$2:$F$5000,"&lt;="&amp;$H$5,'3 Base Entrada 2008'!$B$2:$B$5000,$T93,'3 Base Entrada 2008'!$C$2:$C$5000,$AG93,'3 Base Entrada 2008'!$K$2:$K$5000,"Estorno")</f>
        <v>40</v>
      </c>
      <c r="Y93" s="82" t="n">
        <f aca="false">ROUND(BA93+V93-W93+X93,3)</f>
        <v>-400</v>
      </c>
      <c r="Z93" s="82" t="n">
        <f aca="false">IF(AND(U93=$R$3,OR($R$1="*",T93=$R$1),OR($R$2="*",AG93=$R$2),OR($K$5="Todas",AB93=$K$5),ABS(V93)+ABS(W93)+ABS(X93)&gt;0),1,0)</f>
        <v>1</v>
      </c>
      <c r="AA93" s="82" t="n">
        <f aca="false">IF(Z93=1,SUM(Z$40:Z93),"")</f>
        <v>49</v>
      </c>
      <c r="AB93" s="0" t="str">
        <f aca="false">IF(ABS(Y93)&lt;=$R$5,"Transferido 100%",IF(Y93&gt;0,"Aguardando transferência","Saiu saldo anterior a 09/09"))</f>
        <v>Saiu saldo anterior a 09/09</v>
      </c>
      <c r="AC93" s="82" t="n">
        <f aca="false">COUNTIFS('3 Base Entrada 2008'!$F$2:$F$5000,"&gt;="&amp;$F$5,'3 Base Entrada 2008'!$F$2:$F$5000,"&lt;="&amp;$H$5,'3 Base Entrada 2008'!$B$2:$B$5000,$T93,'3 Base Entrada 2008'!$C$2:$C$5000,$AG93)</f>
        <v>3</v>
      </c>
      <c r="AD93" s="82" t="n">
        <f aca="false">_xlfn.MINIFS('3 Base Entrada 2008'!$F$2:$F$5000,'3 Base Entrada 2008'!$F$2:$F$5000,"&gt;="&amp;$F$5,'3 Base Entrada 2008'!$F$2:$F$5000,"&lt;="&amp;$H$5,'3 Base Entrada 2008'!$B$2:$B$5000,$T93,'3 Base Entrada 2008'!$C$2:$C$5000,$AG93)</f>
        <v>46289</v>
      </c>
      <c r="AE93" s="82" t="n">
        <f aca="false">_xlfn.MAXIFS('3 Base Entrada 2008'!$F$2:$F$5000,'3 Base Entrada 2008'!$F$2:$F$5000,"&gt;="&amp;$F$5,'3 Base Entrada 2008'!$F$2:$F$5000,"&lt;="&amp;$H$5,'3 Base Entrada 2008'!$B$2:$B$5000,$T93,'3 Base Entrada 2008'!$C$2:$C$5000,$AG93)</f>
        <v>46289</v>
      </c>
      <c r="AF93" s="82" t="s">
        <v>1377</v>
      </c>
      <c r="AG93" s="82" t="s">
        <v>306</v>
      </c>
      <c r="AH93" s="82" t="n">
        <f aca="false">IF(AND(Z93=1,Y93&gt;$R$5),Y93+ROW()/10000000,0)</f>
        <v>0</v>
      </c>
      <c r="AV93" s="0" t="str">
        <f aca="false">IFERROR(INDEX($AX$1:$AX$94,MATCH(92,$AY$1:$AY$94,0)),"")</f>
        <v>261391599</v>
      </c>
      <c r="AW93" s="82" t="s">
        <v>309</v>
      </c>
      <c r="AX93" s="82" t="s">
        <v>395</v>
      </c>
      <c r="AY93" s="82" t="n">
        <f aca="false">IF(OR($A$5="Todos",AW93=$A$5),MAX(AY$1:AY92)+1,0)</f>
        <v>93</v>
      </c>
      <c r="BA93" s="82" t="n">
        <f aca="false">SUMIFS('3 Base Saldo Inicial 08-09'!$E$2:$E$5000,'3 Base Saldo Inicial 08-09'!$A$2:$A$5000,$T93,'3 Base Saldo Inicial 08-09'!$B$2:$B$5000,$AG93,'3 Base Saldo Inicial 08-09'!$C$2:$C$5000,"2008")</f>
        <v>0</v>
      </c>
    </row>
    <row r="94" customFormat="false" ht="15" hidden="false" customHeight="false" outlineLevel="0" collapsed="false">
      <c r="A94" s="111" t="str">
        <f aca="false">IF(IFERROR(MATCH(81,$AA$40:$AA$133,0),0)=0,"",INDEX($T$40:$T$133,IFERROR(MATCH(81,$AA$40:$AA$133,0),0)))</f>
        <v>823-BR-25A</v>
      </c>
      <c r="B94" s="111" t="str">
        <f aca="false">IF(IFERROR(MATCH(81,$AA$40:$AA$133,0),0)=0,"",INDEX($AG$40:$AG$133,IFERROR(MATCH(81,$AA$40:$AA$133,0),0)))</f>
        <v>252900303</v>
      </c>
      <c r="C94" s="112" t="str">
        <f aca="false">IF(IFERROR(MATCH(81,$AA$40:$AA$133,0),0)=0,"",INDEX($U$40:$U$133,IFERROR(MATCH(81,$AA$40:$AA$133,0),0)))</f>
        <v>KG</v>
      </c>
      <c r="D94" s="113" t="n">
        <f aca="false">IF(IFERROR(MATCH(81,$AA$40:$AA$133,0),0)=0,"",INDEX($V$40:$V$133,IFERROR(MATCH(81,$AA$40:$AA$133,0),0)))</f>
        <v>0</v>
      </c>
      <c r="E94" s="113" t="n">
        <f aca="false">IF(IFERROR(MATCH(81,$AA$40:$AA$133,0),0)=0,"",INDEX($W$40:$W$133,IFERROR(MATCH(81,$AA$40:$AA$133,0),0)))</f>
        <v>3612</v>
      </c>
      <c r="F94" s="113" t="n">
        <f aca="false">IF(IFERROR(MATCH(81,$AA$40:$AA$133,0),0)=0,"",INDEX($X$40:$X$133,IFERROR(MATCH(81,$AA$40:$AA$133,0),0)))</f>
        <v>0</v>
      </c>
      <c r="G94" s="114" t="n">
        <f aca="false">IF(IFERROR(MATCH(81,$AA$40:$AA$133,0),0)=0,"",INDEX($Y$40:$Y$133,IFERROR(MATCH(81,$AA$40:$AA$133,0),0)))</f>
        <v>-3612</v>
      </c>
      <c r="H94" s="145" t="str">
        <f aca="false">IF(A94="","",IF(D94&gt;0,(E94-F94)/D94,""))</f>
        <v/>
      </c>
      <c r="I94" s="115" t="str">
        <f aca="false">IF(IFERROR(MATCH(81,$AA$40:$AA$133,0),0)=0,"",INDEX($AB$40:$AB$133,IFERROR(MATCH(81,$AA$40:$AA$133,0),0)))</f>
        <v>Saiu saldo anterior a 09/09</v>
      </c>
      <c r="J94" s="116" t="n">
        <f aca="false">IF(IFERROR(MATCH(81,$AA$40:$AA$133,0),0)=0,"",INDEX($AC$40:$AC$133,IFERROR(MATCH(81,$AA$40:$AA$133,0),0)))</f>
        <v>6</v>
      </c>
      <c r="K94" s="117" t="n">
        <f aca="false">IF(IFERROR(MATCH(81,$AA$40:$AA$133,0),0)=0,"",IF(INDEX($AD$40:$AD$133,IFERROR(MATCH(81,$AA$40:$AA$133,0),0))=0,"",INDEX($AD$40:$AD$133,IFERROR(MATCH(81,$AA$40:$AA$133,0),0))))</f>
        <v>46293</v>
      </c>
      <c r="L94" s="117" t="n">
        <f aca="false">IF(IFERROR(MATCH(81,$AA$40:$AA$133,0),0)=0,"",IF(INDEX($AE$40:$AE$133,IFERROR(MATCH(81,$AA$40:$AA$133,0),0))=0,"",INDEX($AE$40:$AE$133,IFERROR(MATCH(81,$AA$40:$AA$133,0),0))))</f>
        <v>46294</v>
      </c>
      <c r="M94" s="119" t="str">
        <f aca="false">IF(IFERROR(MATCH(81,$AA$40:$AA$133,0),0)=0,"",INDEX($AF$40:$AF$133,IFERROR(MATCH(81,$AA$40:$AA$133,0),0))&amp;"")</f>
        <v>CA MOEDAS 2,01KG/UC 10UC/CX 30CX/PAL</v>
      </c>
      <c r="N94" s="118" t="str">
        <f aca="false">IF(A94="","",IF(I94="Aguardando transferência","Transferir "&amp;FIXED(G94,1)&amp;" "&amp;C94&amp;" do 2008 para o ZBR (verificar se já há OT aberta)",IF(I94="Transferido 100%","Nada a fazer","Sem ação: saíram "&amp;FIXED(-G94,1)&amp;" "&amp;C94&amp;" que já estavam no 2008 antes de 09/09 (conferir só se não havia saldo)")))</f>
        <v>Sem ação: saíram 3,612.0 KG que já estavam no 2008 antes de 09/09 (conferir só se não havia saldo)</v>
      </c>
      <c r="O94" s="1"/>
      <c r="T94" s="82" t="s">
        <v>266</v>
      </c>
      <c r="U94" s="82" t="s">
        <v>65</v>
      </c>
      <c r="V94" s="82" t="n">
        <f aca="false">SUMIFS('3 Base Entrada 2008'!$G$2:$G$5000,'3 Base Entrada 2008'!$F$2:$F$5000,"&gt;="&amp;$F$5,'3 Base Entrada 2008'!$F$2:$F$5000,"&lt;="&amp;$H$5,'3 Base Entrada 2008'!$B$2:$B$5000,$T94,'3 Base Entrada 2008'!$C$2:$C$5000,$AG94,'3 Base Entrada 2008'!$K$2:$K$5000,"Recebido no 2008")</f>
        <v>0</v>
      </c>
      <c r="W94" s="82" t="n">
        <f aca="false">-SUMIFS('3 Base Entrada 2008'!$G$2:$G$5000,'3 Base Entrada 2008'!$F$2:$F$5000,"&gt;="&amp;$F$5,'3 Base Entrada 2008'!$F$2:$F$5000,"&lt;="&amp;$H$5,'3 Base Entrada 2008'!$B$2:$B$5000,$T94,'3 Base Entrada 2008'!$C$2:$C$5000,$AG94,'3 Base Entrada 2008'!$K$2:$K$5000,"Entrada")</f>
        <v>432</v>
      </c>
      <c r="X94" s="82" t="n">
        <f aca="false">SUMIFS('3 Base Entrada 2008'!$G$2:$G$5000,'3 Base Entrada 2008'!$F$2:$F$5000,"&gt;="&amp;$F$5,'3 Base Entrada 2008'!$F$2:$F$5000,"&lt;="&amp;$H$5,'3 Base Entrada 2008'!$B$2:$B$5000,$T94,'3 Base Entrada 2008'!$C$2:$C$5000,$AG94,'3 Base Entrada 2008'!$K$2:$K$5000,"Estorno")</f>
        <v>0</v>
      </c>
      <c r="Y94" s="82" t="n">
        <f aca="false">ROUND(BA94+V94-W94+X94,3)</f>
        <v>-432</v>
      </c>
      <c r="Z94" s="82" t="n">
        <f aca="false">IF(AND(U94=$R$3,OR($R$1="*",T94=$R$1),OR($R$2="*",AG94=$R$2),OR($K$5="Todas",AB94=$K$5),ABS(V94)+ABS(W94)+ABS(X94)&gt;0),1,0)</f>
        <v>1</v>
      </c>
      <c r="AA94" s="82" t="n">
        <f aca="false">IF(Z94=1,SUM(Z$40:Z94),"")</f>
        <v>50</v>
      </c>
      <c r="AB94" s="0" t="str">
        <f aca="false">IF(ABS(Y94)&lt;=$R$5,"Transferido 100%",IF(Y94&gt;0,"Aguardando transferência","Saiu saldo anterior a 09/09"))</f>
        <v>Saiu saldo anterior a 09/09</v>
      </c>
      <c r="AC94" s="82" t="n">
        <f aca="false">COUNTIFS('3 Base Entrada 2008'!$F$2:$F$5000,"&gt;="&amp;$F$5,'3 Base Entrada 2008'!$F$2:$F$5000,"&lt;="&amp;$H$5,'3 Base Entrada 2008'!$B$2:$B$5000,$T94,'3 Base Entrada 2008'!$C$2:$C$5000,$AG94)</f>
        <v>1</v>
      </c>
      <c r="AD94" s="82" t="n">
        <f aca="false">_xlfn.MINIFS('3 Base Entrada 2008'!$F$2:$F$5000,'3 Base Entrada 2008'!$F$2:$F$5000,"&gt;="&amp;$F$5,'3 Base Entrada 2008'!$F$2:$F$5000,"&lt;="&amp;$H$5,'3 Base Entrada 2008'!$B$2:$B$5000,$T94,'3 Base Entrada 2008'!$C$2:$C$5000,$AG94)</f>
        <v>46294</v>
      </c>
      <c r="AE94" s="82" t="n">
        <f aca="false">_xlfn.MAXIFS('3 Base Entrada 2008'!$F$2:$F$5000,'3 Base Entrada 2008'!$F$2:$F$5000,"&gt;="&amp;$F$5,'3 Base Entrada 2008'!$F$2:$F$5000,"&lt;="&amp;$H$5,'3 Base Entrada 2008'!$B$2:$B$5000,$T94,'3 Base Entrada 2008'!$C$2:$C$5000,$AG94)</f>
        <v>46294</v>
      </c>
      <c r="AG94" s="82" t="s">
        <v>267</v>
      </c>
      <c r="AH94" s="82" t="n">
        <f aca="false">IF(AND(Z94=1,Y94&gt;$R$5),Y94+ROW()/10000000,0)</f>
        <v>0</v>
      </c>
      <c r="AV94" s="0" t="str">
        <f aca="false">IFERROR(INDEX($AX$1:$AX$94,MATCH(93,$AY$1:$AY$94,0)),"")</f>
        <v>253540301</v>
      </c>
      <c r="AW94" s="82" t="s">
        <v>309</v>
      </c>
      <c r="AX94" s="82" t="s">
        <v>310</v>
      </c>
      <c r="AY94" s="82" t="n">
        <f aca="false">IF(OR($A$5="Todos",AW94=$A$5),MAX(AY$1:AY93)+1,0)</f>
        <v>94</v>
      </c>
      <c r="BA94" s="82" t="n">
        <f aca="false">SUMIFS('3 Base Saldo Inicial 08-09'!$E$2:$E$5000,'3 Base Saldo Inicial 08-09'!$A$2:$A$5000,$T94,'3 Base Saldo Inicial 08-09'!$B$2:$B$5000,$AG94,'3 Base Saldo Inicial 08-09'!$C$2:$C$5000,"2008")</f>
        <v>0</v>
      </c>
    </row>
    <row r="95" customFormat="false" ht="15" hidden="false" customHeight="false" outlineLevel="0" collapsed="false">
      <c r="A95" s="111" t="str">
        <f aca="false">IF(IFERROR(MATCH(82,$AA$40:$AA$133,0),0)=0,"",INDEX($T$40:$T$133,IFERROR(MATCH(82,$AA$40:$AA$133,0),0)))</f>
        <v/>
      </c>
      <c r="B95" s="111" t="str">
        <f aca="false">IF(IFERROR(MATCH(82,$AA$40:$AA$133,0),0)=0,"",INDEX($AG$40:$AG$133,IFERROR(MATCH(82,$AA$40:$AA$133,0),0)))</f>
        <v/>
      </c>
      <c r="C95" s="112" t="str">
        <f aca="false">IF(IFERROR(MATCH(82,$AA$40:$AA$133,0),0)=0,"",INDEX($U$40:$U$133,IFERROR(MATCH(82,$AA$40:$AA$133,0),0)))</f>
        <v/>
      </c>
      <c r="D95" s="113" t="str">
        <f aca="false">IF(IFERROR(MATCH(82,$AA$40:$AA$133,0),0)=0,"",INDEX($V$40:$V$133,IFERROR(MATCH(82,$AA$40:$AA$133,0),0)))</f>
        <v/>
      </c>
      <c r="E95" s="113" t="str">
        <f aca="false">IF(IFERROR(MATCH(82,$AA$40:$AA$133,0),0)=0,"",INDEX($W$40:$W$133,IFERROR(MATCH(82,$AA$40:$AA$133,0),0)))</f>
        <v/>
      </c>
      <c r="F95" s="113" t="str">
        <f aca="false">IF(IFERROR(MATCH(82,$AA$40:$AA$133,0),0)=0,"",INDEX($X$40:$X$133,IFERROR(MATCH(82,$AA$40:$AA$133,0),0)))</f>
        <v/>
      </c>
      <c r="G95" s="114" t="str">
        <f aca="false">IF(IFERROR(MATCH(82,$AA$40:$AA$133,0),0)=0,"",INDEX($Y$40:$Y$133,IFERROR(MATCH(82,$AA$40:$AA$133,0),0)))</f>
        <v/>
      </c>
      <c r="H95" s="145" t="str">
        <f aca="false">IF(A95="","",IF(D95&gt;0,(E95-F95)/D95,""))</f>
        <v/>
      </c>
      <c r="I95" s="115" t="str">
        <f aca="false">IF(IFERROR(MATCH(82,$AA$40:$AA$133,0),0)=0,"",INDEX($AB$40:$AB$133,IFERROR(MATCH(82,$AA$40:$AA$133,0),0)))</f>
        <v/>
      </c>
      <c r="J95" s="116" t="str">
        <f aca="false">IF(IFERROR(MATCH(82,$AA$40:$AA$133,0),0)=0,"",INDEX($AC$40:$AC$133,IFERROR(MATCH(82,$AA$40:$AA$133,0),0)))</f>
        <v/>
      </c>
      <c r="K95" s="117" t="str">
        <f aca="false">IF(IFERROR(MATCH(82,$AA$40:$AA$133,0),0)=0,"",IF(INDEX($AD$40:$AD$133,IFERROR(MATCH(82,$AA$40:$AA$133,0),0))=0,"",INDEX($AD$40:$AD$133,IFERROR(MATCH(82,$AA$40:$AA$133,0),0))))</f>
        <v/>
      </c>
      <c r="L95" s="117" t="str">
        <f aca="false">IF(IFERROR(MATCH(82,$AA$40:$AA$133,0),0)=0,"",IF(INDEX($AE$40:$AE$133,IFERROR(MATCH(82,$AA$40:$AA$133,0),0))=0,"",INDEX($AE$40:$AE$133,IFERROR(MATCH(82,$AA$40:$AA$133,0),0))))</f>
        <v/>
      </c>
      <c r="M95" s="119" t="str">
        <f aca="false">IF(IFERROR(MATCH(82,$AA$40:$AA$133,0),0)=0,"",INDEX($AF$40:$AF$133,IFERROR(MATCH(82,$AA$40:$AA$133,0),0))&amp;"")</f>
        <v/>
      </c>
      <c r="N95" s="118" t="str">
        <f aca="false">IF(A95="","",IF(I95="Aguardando transferência","Transferir "&amp;FIXED(G95,1)&amp;" "&amp;C95&amp;" do 2008 para o ZBR (verificar se já há OT aberta)",IF(I95="Transferido 100%","Nada a fazer","Sem ação: saíram "&amp;FIXED(-G95,1)&amp;" "&amp;C95&amp;" que já estavam no 2008 antes de 09/09 (conferir só se não havia saldo)")))</f>
        <v/>
      </c>
      <c r="O95" s="1"/>
      <c r="T95" s="82" t="s">
        <v>232</v>
      </c>
      <c r="U95" s="82" t="s">
        <v>146</v>
      </c>
      <c r="V95" s="82" t="n">
        <f aca="false">SUMIFS('3 Base Entrada 2008'!$G$2:$G$5000,'3 Base Entrada 2008'!$F$2:$F$5000,"&gt;="&amp;$F$5,'3 Base Entrada 2008'!$F$2:$F$5000,"&lt;="&amp;$H$5,'3 Base Entrada 2008'!$B$2:$B$5000,$T95,'3 Base Entrada 2008'!$C$2:$C$5000,$AG95,'3 Base Entrada 2008'!$K$2:$K$5000,"Recebido no 2008")</f>
        <v>0</v>
      </c>
      <c r="W95" s="82" t="n">
        <f aca="false">-SUMIFS('3 Base Entrada 2008'!$G$2:$G$5000,'3 Base Entrada 2008'!$F$2:$F$5000,"&gt;="&amp;$F$5,'3 Base Entrada 2008'!$F$2:$F$5000,"&lt;="&amp;$H$5,'3 Base Entrada 2008'!$B$2:$B$5000,$T95,'3 Base Entrada 2008'!$C$2:$C$5000,$AG95,'3 Base Entrada 2008'!$K$2:$K$5000,"Entrada")</f>
        <v>450</v>
      </c>
      <c r="X95" s="82" t="n">
        <f aca="false">SUMIFS('3 Base Entrada 2008'!$G$2:$G$5000,'3 Base Entrada 2008'!$F$2:$F$5000,"&gt;="&amp;$F$5,'3 Base Entrada 2008'!$F$2:$F$5000,"&lt;="&amp;$H$5,'3 Base Entrada 2008'!$B$2:$B$5000,$T95,'3 Base Entrada 2008'!$C$2:$C$5000,$AG95,'3 Base Entrada 2008'!$K$2:$K$5000,"Estorno")</f>
        <v>0</v>
      </c>
      <c r="Y95" s="82" t="n">
        <f aca="false">ROUND(BA95+V95-W95+X95,3)</f>
        <v>-450</v>
      </c>
      <c r="Z95" s="82" t="n">
        <f aca="false">IF(AND(U95=$R$3,OR($R$1="*",T95=$R$1),OR($R$2="*",AG95=$R$2),OR($K$5="Todas",AB95=$K$5),ABS(V95)+ABS(W95)+ABS(X95)&gt;0),1,0)</f>
        <v>0</v>
      </c>
      <c r="AA95" s="0" t="str">
        <f aca="false">IF(Z95=1,SUM(Z$40:Z95),"")</f>
        <v/>
      </c>
      <c r="AB95" s="0" t="str">
        <f aca="false">IF(ABS(Y95)&lt;=$R$5,"Transferido 100%",IF(Y95&gt;0,"Aguardando transferência","Saiu saldo anterior a 09/09"))</f>
        <v>Saiu saldo anterior a 09/09</v>
      </c>
      <c r="AC95" s="82" t="n">
        <f aca="false">COUNTIFS('3 Base Entrada 2008'!$F$2:$F$5000,"&gt;="&amp;$F$5,'3 Base Entrada 2008'!$F$2:$F$5000,"&lt;="&amp;$H$5,'3 Base Entrada 2008'!$B$2:$B$5000,$T95,'3 Base Entrada 2008'!$C$2:$C$5000,$AG95)</f>
        <v>1</v>
      </c>
      <c r="AD95" s="82" t="n">
        <f aca="false">_xlfn.MINIFS('3 Base Entrada 2008'!$F$2:$F$5000,'3 Base Entrada 2008'!$F$2:$F$5000,"&gt;="&amp;$F$5,'3 Base Entrada 2008'!$F$2:$F$5000,"&lt;="&amp;$H$5,'3 Base Entrada 2008'!$B$2:$B$5000,$T95,'3 Base Entrada 2008'!$C$2:$C$5000,$AG95)</f>
        <v>46289</v>
      </c>
      <c r="AE95" s="82" t="n">
        <f aca="false">_xlfn.MAXIFS('3 Base Entrada 2008'!$F$2:$F$5000,'3 Base Entrada 2008'!$F$2:$F$5000,"&gt;="&amp;$F$5,'3 Base Entrada 2008'!$F$2:$F$5000,"&lt;="&amp;$H$5,'3 Base Entrada 2008'!$B$2:$B$5000,$T95,'3 Base Entrada 2008'!$C$2:$C$5000,$AG95)</f>
        <v>46289</v>
      </c>
      <c r="AF95" s="82" t="s">
        <v>939</v>
      </c>
      <c r="AG95" s="82" t="s">
        <v>241</v>
      </c>
      <c r="AH95" s="82" t="n">
        <f aca="false">IF(AND(Z95=1,Y95&gt;$R$5),Y95+ROW()/10000000,0)</f>
        <v>0</v>
      </c>
      <c r="AV95" s="0" t="str">
        <f aca="false">IFERROR(INDEX($AX$1:$AX$94,MATCH(94,$AY$1:$AY$94,0)),"")</f>
        <v>261080301</v>
      </c>
      <c r="BA95" s="82" t="n">
        <f aca="false">SUMIFS('3 Base Saldo Inicial 08-09'!$E$2:$E$5000,'3 Base Saldo Inicial 08-09'!$A$2:$A$5000,$T95,'3 Base Saldo Inicial 08-09'!$B$2:$B$5000,$AG95,'3 Base Saldo Inicial 08-09'!$C$2:$C$5000,"2008")</f>
        <v>0</v>
      </c>
    </row>
    <row r="96" customFormat="false" ht="15" hidden="false" customHeight="false" outlineLevel="0" collapsed="false">
      <c r="A96" s="111" t="str">
        <f aca="false">IF(IFERROR(MATCH(83,$AA$40:$AA$133,0),0)=0,"",INDEX($T$40:$T$133,IFERROR(MATCH(83,$AA$40:$AA$133,0),0)))</f>
        <v/>
      </c>
      <c r="B96" s="111" t="str">
        <f aca="false">IF(IFERROR(MATCH(83,$AA$40:$AA$133,0),0)=0,"",INDEX($AG$40:$AG$133,IFERROR(MATCH(83,$AA$40:$AA$133,0),0)))</f>
        <v/>
      </c>
      <c r="C96" s="112" t="str">
        <f aca="false">IF(IFERROR(MATCH(83,$AA$40:$AA$133,0),0)=0,"",INDEX($U$40:$U$133,IFERROR(MATCH(83,$AA$40:$AA$133,0),0)))</f>
        <v/>
      </c>
      <c r="D96" s="113" t="str">
        <f aca="false">IF(IFERROR(MATCH(83,$AA$40:$AA$133,0),0)=0,"",INDEX($V$40:$V$133,IFERROR(MATCH(83,$AA$40:$AA$133,0),0)))</f>
        <v/>
      </c>
      <c r="E96" s="113" t="str">
        <f aca="false">IF(IFERROR(MATCH(83,$AA$40:$AA$133,0),0)=0,"",INDEX($W$40:$W$133,IFERROR(MATCH(83,$AA$40:$AA$133,0),0)))</f>
        <v/>
      </c>
      <c r="F96" s="113" t="str">
        <f aca="false">IF(IFERROR(MATCH(83,$AA$40:$AA$133,0),0)=0,"",INDEX($X$40:$X$133,IFERROR(MATCH(83,$AA$40:$AA$133,0),0)))</f>
        <v/>
      </c>
      <c r="G96" s="114" t="str">
        <f aca="false">IF(IFERROR(MATCH(83,$AA$40:$AA$133,0),0)=0,"",INDEX($Y$40:$Y$133,IFERROR(MATCH(83,$AA$40:$AA$133,0),0)))</f>
        <v/>
      </c>
      <c r="H96" s="145" t="str">
        <f aca="false">IF(A96="","",IF(D96&gt;0,(E96-F96)/D96,""))</f>
        <v/>
      </c>
      <c r="I96" s="115" t="str">
        <f aca="false">IF(IFERROR(MATCH(83,$AA$40:$AA$133,0),0)=0,"",INDEX($AB$40:$AB$133,IFERROR(MATCH(83,$AA$40:$AA$133,0),0)))</f>
        <v/>
      </c>
      <c r="J96" s="116" t="str">
        <f aca="false">IF(IFERROR(MATCH(83,$AA$40:$AA$133,0),0)=0,"",INDEX($AC$40:$AC$133,IFERROR(MATCH(83,$AA$40:$AA$133,0),0)))</f>
        <v/>
      </c>
      <c r="K96" s="117" t="str">
        <f aca="false">IF(IFERROR(MATCH(83,$AA$40:$AA$133,0),0)=0,"",IF(INDEX($AD$40:$AD$133,IFERROR(MATCH(83,$AA$40:$AA$133,0),0))=0,"",INDEX($AD$40:$AD$133,IFERROR(MATCH(83,$AA$40:$AA$133,0),0))))</f>
        <v/>
      </c>
      <c r="L96" s="117" t="str">
        <f aca="false">IF(IFERROR(MATCH(83,$AA$40:$AA$133,0),0)=0,"",IF(INDEX($AE$40:$AE$133,IFERROR(MATCH(83,$AA$40:$AA$133,0),0))=0,"",INDEX($AE$40:$AE$133,IFERROR(MATCH(83,$AA$40:$AA$133,0),0))))</f>
        <v/>
      </c>
      <c r="M96" s="119" t="str">
        <f aca="false">IF(IFERROR(MATCH(83,$AA$40:$AA$133,0),0)=0,"",INDEX($AF$40:$AF$133,IFERROR(MATCH(83,$AA$40:$AA$133,0),0))&amp;"")</f>
        <v/>
      </c>
      <c r="N96" s="118" t="str">
        <f aca="false">IF(A96="","",IF(I96="Aguardando transferência","Transferir "&amp;FIXED(G96,1)&amp;" "&amp;C96&amp;" do 2008 para o ZBR (verificar se já há OT aberta)",IF(I96="Transferido 100%","Nada a fazer","Sem ação: saíram "&amp;FIXED(-G96,1)&amp;" "&amp;C96&amp;" que já estavam no 2008 antes de 09/09 (conferir só se não havia saldo)")))</f>
        <v/>
      </c>
      <c r="O96" s="1"/>
      <c r="T96" s="82" t="s">
        <v>232</v>
      </c>
      <c r="U96" s="82" t="s">
        <v>146</v>
      </c>
      <c r="V96" s="82" t="n">
        <f aca="false">SUMIFS('3 Base Entrada 2008'!$G$2:$G$5000,'3 Base Entrada 2008'!$F$2:$F$5000,"&gt;="&amp;$F$5,'3 Base Entrada 2008'!$F$2:$F$5000,"&lt;="&amp;$H$5,'3 Base Entrada 2008'!$B$2:$B$5000,$T96,'3 Base Entrada 2008'!$C$2:$C$5000,$AG96,'3 Base Entrada 2008'!$K$2:$K$5000,"Recebido no 2008")</f>
        <v>0</v>
      </c>
      <c r="W96" s="82" t="n">
        <f aca="false">-SUMIFS('3 Base Entrada 2008'!$G$2:$G$5000,'3 Base Entrada 2008'!$F$2:$F$5000,"&gt;="&amp;$F$5,'3 Base Entrada 2008'!$F$2:$F$5000,"&lt;="&amp;$H$5,'3 Base Entrada 2008'!$B$2:$B$5000,$T96,'3 Base Entrada 2008'!$C$2:$C$5000,$AG96,'3 Base Entrada 2008'!$K$2:$K$5000,"Entrada")</f>
        <v>450</v>
      </c>
      <c r="X96" s="82" t="n">
        <f aca="false">SUMIFS('3 Base Entrada 2008'!$G$2:$G$5000,'3 Base Entrada 2008'!$F$2:$F$5000,"&gt;="&amp;$F$5,'3 Base Entrada 2008'!$F$2:$F$5000,"&lt;="&amp;$H$5,'3 Base Entrada 2008'!$B$2:$B$5000,$T96,'3 Base Entrada 2008'!$C$2:$C$5000,$AG96,'3 Base Entrada 2008'!$K$2:$K$5000,"Estorno")</f>
        <v>0</v>
      </c>
      <c r="Y96" s="82" t="n">
        <f aca="false">ROUND(BA96+V96-W96+X96,3)</f>
        <v>-450</v>
      </c>
      <c r="Z96" s="82" t="n">
        <f aca="false">IF(AND(U96=$R$3,OR($R$1="*",T96=$R$1),OR($R$2="*",AG96=$R$2),OR($K$5="Todas",AB96=$K$5),ABS(V96)+ABS(W96)+ABS(X96)&gt;0),1,0)</f>
        <v>0</v>
      </c>
      <c r="AA96" s="0" t="str">
        <f aca="false">IF(Z96=1,SUM(Z$40:Z96),"")</f>
        <v/>
      </c>
      <c r="AB96" s="0" t="str">
        <f aca="false">IF(ABS(Y96)&lt;=$R$5,"Transferido 100%",IF(Y96&gt;0,"Aguardando transferência","Saiu saldo anterior a 09/09"))</f>
        <v>Saiu saldo anterior a 09/09</v>
      </c>
      <c r="AC96" s="82" t="n">
        <f aca="false">COUNTIFS('3 Base Entrada 2008'!$F$2:$F$5000,"&gt;="&amp;$F$5,'3 Base Entrada 2008'!$F$2:$F$5000,"&lt;="&amp;$H$5,'3 Base Entrada 2008'!$B$2:$B$5000,$T96,'3 Base Entrada 2008'!$C$2:$C$5000,$AG96)</f>
        <v>1</v>
      </c>
      <c r="AD96" s="82" t="n">
        <f aca="false">_xlfn.MINIFS('3 Base Entrada 2008'!$F$2:$F$5000,'3 Base Entrada 2008'!$F$2:$F$5000,"&gt;="&amp;$F$5,'3 Base Entrada 2008'!$F$2:$F$5000,"&lt;="&amp;$H$5,'3 Base Entrada 2008'!$B$2:$B$5000,$T96,'3 Base Entrada 2008'!$C$2:$C$5000,$AG96)</f>
        <v>46294</v>
      </c>
      <c r="AE96" s="82" t="n">
        <f aca="false">_xlfn.MAXIFS('3 Base Entrada 2008'!$F$2:$F$5000,'3 Base Entrada 2008'!$F$2:$F$5000,"&gt;="&amp;$F$5,'3 Base Entrada 2008'!$F$2:$F$5000,"&lt;="&amp;$H$5,'3 Base Entrada 2008'!$B$2:$B$5000,$T96,'3 Base Entrada 2008'!$C$2:$C$5000,$AG96)</f>
        <v>46294</v>
      </c>
      <c r="AF96" s="82" t="s">
        <v>939</v>
      </c>
      <c r="AG96" s="82" t="s">
        <v>235</v>
      </c>
      <c r="AH96" s="82" t="n">
        <f aca="false">IF(AND(Z96=1,Y96&gt;$R$5),Y96+ROW()/10000000,0)</f>
        <v>0</v>
      </c>
      <c r="BA96" s="82" t="n">
        <f aca="false">SUMIFS('3 Base Saldo Inicial 08-09'!$E$2:$E$5000,'3 Base Saldo Inicial 08-09'!$A$2:$A$5000,$T96,'3 Base Saldo Inicial 08-09'!$B$2:$B$5000,$AG96,'3 Base Saldo Inicial 08-09'!$C$2:$C$5000,"2008")</f>
        <v>0</v>
      </c>
    </row>
    <row r="97" customFormat="false" ht="15" hidden="false" customHeight="false" outlineLevel="0" collapsed="false">
      <c r="A97" s="111" t="str">
        <f aca="false">IF(IFERROR(MATCH(84,$AA$40:$AA$133,0),0)=0,"",INDEX($T$40:$T$133,IFERROR(MATCH(84,$AA$40:$AA$133,0),0)))</f>
        <v/>
      </c>
      <c r="B97" s="111" t="str">
        <f aca="false">IF(IFERROR(MATCH(84,$AA$40:$AA$133,0),0)=0,"",INDEX($AG$40:$AG$133,IFERROR(MATCH(84,$AA$40:$AA$133,0),0)))</f>
        <v/>
      </c>
      <c r="C97" s="112" t="str">
        <f aca="false">IF(IFERROR(MATCH(84,$AA$40:$AA$133,0),0)=0,"",INDEX($U$40:$U$133,IFERROR(MATCH(84,$AA$40:$AA$133,0),0)))</f>
        <v/>
      </c>
      <c r="D97" s="113" t="str">
        <f aca="false">IF(IFERROR(MATCH(84,$AA$40:$AA$133,0),0)=0,"",INDEX($V$40:$V$133,IFERROR(MATCH(84,$AA$40:$AA$133,0),0)))</f>
        <v/>
      </c>
      <c r="E97" s="113" t="str">
        <f aca="false">IF(IFERROR(MATCH(84,$AA$40:$AA$133,0),0)=0,"",INDEX($W$40:$W$133,IFERROR(MATCH(84,$AA$40:$AA$133,0),0)))</f>
        <v/>
      </c>
      <c r="F97" s="113" t="str">
        <f aca="false">IF(IFERROR(MATCH(84,$AA$40:$AA$133,0),0)=0,"",INDEX($X$40:$X$133,IFERROR(MATCH(84,$AA$40:$AA$133,0),0)))</f>
        <v/>
      </c>
      <c r="G97" s="114" t="str">
        <f aca="false">IF(IFERROR(MATCH(84,$AA$40:$AA$133,0),0)=0,"",INDEX($Y$40:$Y$133,IFERROR(MATCH(84,$AA$40:$AA$133,0),0)))</f>
        <v/>
      </c>
      <c r="H97" s="145" t="str">
        <f aca="false">IF(A97="","",IF(D97&gt;0,(E97-F97)/D97,""))</f>
        <v/>
      </c>
      <c r="I97" s="115" t="str">
        <f aca="false">IF(IFERROR(MATCH(84,$AA$40:$AA$133,0),0)=0,"",INDEX($AB$40:$AB$133,IFERROR(MATCH(84,$AA$40:$AA$133,0),0)))</f>
        <v/>
      </c>
      <c r="J97" s="116" t="str">
        <f aca="false">IF(IFERROR(MATCH(84,$AA$40:$AA$133,0),0)=0,"",INDEX($AC$40:$AC$133,IFERROR(MATCH(84,$AA$40:$AA$133,0),0)))</f>
        <v/>
      </c>
      <c r="K97" s="117" t="str">
        <f aca="false">IF(IFERROR(MATCH(84,$AA$40:$AA$133,0),0)=0,"",IF(INDEX($AD$40:$AD$133,IFERROR(MATCH(84,$AA$40:$AA$133,0),0))=0,"",INDEX($AD$40:$AD$133,IFERROR(MATCH(84,$AA$40:$AA$133,0),0))))</f>
        <v/>
      </c>
      <c r="L97" s="117" t="str">
        <f aca="false">IF(IFERROR(MATCH(84,$AA$40:$AA$133,0),0)=0,"",IF(INDEX($AE$40:$AE$133,IFERROR(MATCH(84,$AA$40:$AA$133,0),0))=0,"",INDEX($AE$40:$AE$133,IFERROR(MATCH(84,$AA$40:$AA$133,0),0))))</f>
        <v/>
      </c>
      <c r="M97" s="119" t="str">
        <f aca="false">IF(IFERROR(MATCH(84,$AA$40:$AA$133,0),0)=0,"",INDEX($AF$40:$AF$133,IFERROR(MATCH(84,$AA$40:$AA$133,0),0))&amp;"")</f>
        <v/>
      </c>
      <c r="N97" s="118" t="str">
        <f aca="false">IF(A97="","",IF(I97="Aguardando transferência","Transferir "&amp;FIXED(G97,1)&amp;" "&amp;C97&amp;" do 2008 para o ZBR (verificar se já há OT aberta)",IF(I97="Transferido 100%","Nada a fazer","Sem ação: saíram "&amp;FIXED(-G97,1)&amp;" "&amp;C97&amp;" que já estavam no 2008 antes de 09/09 (conferir só se não havia saldo)")))</f>
        <v/>
      </c>
      <c r="O97" s="1"/>
      <c r="T97" s="82" t="s">
        <v>220</v>
      </c>
      <c r="U97" s="82" t="s">
        <v>65</v>
      </c>
      <c r="V97" s="82" t="n">
        <f aca="false">SUMIFS('3 Base Entrada 2008'!$G$2:$G$5000,'3 Base Entrada 2008'!$F$2:$F$5000,"&gt;="&amp;$F$5,'3 Base Entrada 2008'!$F$2:$F$5000,"&lt;="&amp;$H$5,'3 Base Entrada 2008'!$B$2:$B$5000,$T97,'3 Base Entrada 2008'!$C$2:$C$5000,$AG97,'3 Base Entrada 2008'!$K$2:$K$5000,"Recebido no 2008")</f>
        <v>0</v>
      </c>
      <c r="W97" s="82" t="n">
        <f aca="false">-SUMIFS('3 Base Entrada 2008'!$G$2:$G$5000,'3 Base Entrada 2008'!$F$2:$F$5000,"&gt;="&amp;$F$5,'3 Base Entrada 2008'!$F$2:$F$5000,"&lt;="&amp;$H$5,'3 Base Entrada 2008'!$B$2:$B$5000,$T97,'3 Base Entrada 2008'!$C$2:$C$5000,$AG97,'3 Base Entrada 2008'!$K$2:$K$5000,"Entrada")</f>
        <v>461.9</v>
      </c>
      <c r="X97" s="82" t="n">
        <f aca="false">SUMIFS('3 Base Entrada 2008'!$G$2:$G$5000,'3 Base Entrada 2008'!$F$2:$F$5000,"&gt;="&amp;$F$5,'3 Base Entrada 2008'!$F$2:$F$5000,"&lt;="&amp;$H$5,'3 Base Entrada 2008'!$B$2:$B$5000,$T97,'3 Base Entrada 2008'!$C$2:$C$5000,$AG97,'3 Base Entrada 2008'!$K$2:$K$5000,"Estorno")</f>
        <v>0</v>
      </c>
      <c r="Y97" s="82" t="n">
        <f aca="false">ROUND(BA97+V97-W97+X97,3)</f>
        <v>-461.9</v>
      </c>
      <c r="Z97" s="82" t="n">
        <f aca="false">IF(AND(U97=$R$3,OR($R$1="*",T97=$R$1),OR($R$2="*",AG97=$R$2),OR($K$5="Todas",AB97=$K$5),ABS(V97)+ABS(W97)+ABS(X97)&gt;0),1,0)</f>
        <v>1</v>
      </c>
      <c r="AA97" s="82" t="n">
        <f aca="false">IF(Z97=1,SUM(Z$40:Z97),"")</f>
        <v>51</v>
      </c>
      <c r="AB97" s="0" t="str">
        <f aca="false">IF(ABS(Y97)&lt;=$R$5,"Transferido 100%",IF(Y97&gt;0,"Aguardando transferência","Saiu saldo anterior a 09/09"))</f>
        <v>Saiu saldo anterior a 09/09</v>
      </c>
      <c r="AC97" s="82" t="n">
        <f aca="false">COUNTIFS('3 Base Entrada 2008'!$F$2:$F$5000,"&gt;="&amp;$F$5,'3 Base Entrada 2008'!$F$2:$F$5000,"&lt;="&amp;$H$5,'3 Base Entrada 2008'!$B$2:$B$5000,$T97,'3 Base Entrada 2008'!$C$2:$C$5000,$AG97)</f>
        <v>1</v>
      </c>
      <c r="AD97" s="82" t="n">
        <f aca="false">_xlfn.MINIFS('3 Base Entrada 2008'!$F$2:$F$5000,'3 Base Entrada 2008'!$F$2:$F$5000,"&gt;="&amp;$F$5,'3 Base Entrada 2008'!$F$2:$F$5000,"&lt;="&amp;$H$5,'3 Base Entrada 2008'!$B$2:$B$5000,$T97,'3 Base Entrada 2008'!$C$2:$C$5000,$AG97)</f>
        <v>46289</v>
      </c>
      <c r="AE97" s="82" t="n">
        <f aca="false">_xlfn.MAXIFS('3 Base Entrada 2008'!$F$2:$F$5000,'3 Base Entrada 2008'!$F$2:$F$5000,"&gt;="&amp;$F$5,'3 Base Entrada 2008'!$F$2:$F$5000,"&lt;="&amp;$H$5,'3 Base Entrada 2008'!$B$2:$B$5000,$T97,'3 Base Entrada 2008'!$C$2:$C$5000,$AG97)</f>
        <v>46289</v>
      </c>
      <c r="AF97" s="82" t="s">
        <v>404</v>
      </c>
      <c r="AG97" s="82" t="s">
        <v>223</v>
      </c>
      <c r="AH97" s="82" t="n">
        <f aca="false">IF(AND(Z97=1,Y97&gt;$R$5),Y97+ROW()/10000000,0)</f>
        <v>0</v>
      </c>
      <c r="BA97" s="82" t="n">
        <f aca="false">SUMIFS('3 Base Saldo Inicial 08-09'!$E$2:$E$5000,'3 Base Saldo Inicial 08-09'!$A$2:$A$5000,$T97,'3 Base Saldo Inicial 08-09'!$B$2:$B$5000,$AG97,'3 Base Saldo Inicial 08-09'!$C$2:$C$5000,"2008")</f>
        <v>0</v>
      </c>
    </row>
    <row r="98" customFormat="false" ht="15" hidden="false" customHeight="false" outlineLevel="0" collapsed="false">
      <c r="A98" s="111" t="str">
        <f aca="false">IF(IFERROR(MATCH(85,$AA$40:$AA$133,0),0)=0,"",INDEX($T$40:$T$133,IFERROR(MATCH(85,$AA$40:$AA$133,0),0)))</f>
        <v/>
      </c>
      <c r="B98" s="111" t="str">
        <f aca="false">IF(IFERROR(MATCH(85,$AA$40:$AA$133,0),0)=0,"",INDEX($AG$40:$AG$133,IFERROR(MATCH(85,$AA$40:$AA$133,0),0)))</f>
        <v/>
      </c>
      <c r="C98" s="112" t="str">
        <f aca="false">IF(IFERROR(MATCH(85,$AA$40:$AA$133,0),0)=0,"",INDEX($U$40:$U$133,IFERROR(MATCH(85,$AA$40:$AA$133,0),0)))</f>
        <v/>
      </c>
      <c r="D98" s="113" t="str">
        <f aca="false">IF(IFERROR(MATCH(85,$AA$40:$AA$133,0),0)=0,"",INDEX($V$40:$V$133,IFERROR(MATCH(85,$AA$40:$AA$133,0),0)))</f>
        <v/>
      </c>
      <c r="E98" s="113" t="str">
        <f aca="false">IF(IFERROR(MATCH(85,$AA$40:$AA$133,0),0)=0,"",INDEX($W$40:$W$133,IFERROR(MATCH(85,$AA$40:$AA$133,0),0)))</f>
        <v/>
      </c>
      <c r="F98" s="113" t="str">
        <f aca="false">IF(IFERROR(MATCH(85,$AA$40:$AA$133,0),0)=0,"",INDEX($X$40:$X$133,IFERROR(MATCH(85,$AA$40:$AA$133,0),0)))</f>
        <v/>
      </c>
      <c r="G98" s="114" t="str">
        <f aca="false">IF(IFERROR(MATCH(85,$AA$40:$AA$133,0),0)=0,"",INDEX($Y$40:$Y$133,IFERROR(MATCH(85,$AA$40:$AA$133,0),0)))</f>
        <v/>
      </c>
      <c r="H98" s="145" t="str">
        <f aca="false">IF(A98="","",IF(D98&gt;0,(E98-F98)/D98,""))</f>
        <v/>
      </c>
      <c r="I98" s="115" t="str">
        <f aca="false">IF(IFERROR(MATCH(85,$AA$40:$AA$133,0),0)=0,"",INDEX($AB$40:$AB$133,IFERROR(MATCH(85,$AA$40:$AA$133,0),0)))</f>
        <v/>
      </c>
      <c r="J98" s="116" t="str">
        <f aca="false">IF(IFERROR(MATCH(85,$AA$40:$AA$133,0),0)=0,"",INDEX($AC$40:$AC$133,IFERROR(MATCH(85,$AA$40:$AA$133,0),0)))</f>
        <v/>
      </c>
      <c r="K98" s="117" t="str">
        <f aca="false">IF(IFERROR(MATCH(85,$AA$40:$AA$133,0),0)=0,"",IF(INDEX($AD$40:$AD$133,IFERROR(MATCH(85,$AA$40:$AA$133,0),0))=0,"",INDEX($AD$40:$AD$133,IFERROR(MATCH(85,$AA$40:$AA$133,0),0))))</f>
        <v/>
      </c>
      <c r="L98" s="117" t="str">
        <f aca="false">IF(IFERROR(MATCH(85,$AA$40:$AA$133,0),0)=0,"",IF(INDEX($AE$40:$AE$133,IFERROR(MATCH(85,$AA$40:$AA$133,0),0))=0,"",INDEX($AE$40:$AE$133,IFERROR(MATCH(85,$AA$40:$AA$133,0),0))))</f>
        <v/>
      </c>
      <c r="M98" s="119" t="str">
        <f aca="false">IF(IFERROR(MATCH(85,$AA$40:$AA$133,0),0)=0,"",INDEX($AF$40:$AF$133,IFERROR(MATCH(85,$AA$40:$AA$133,0),0))&amp;"")</f>
        <v/>
      </c>
      <c r="N98" s="118" t="str">
        <f aca="false">IF(A98="","",IF(I98="Aguardando transferência","Transferir "&amp;FIXED(G98,1)&amp;" "&amp;C98&amp;" do 2008 para o ZBR (verificar se já há OT aberta)",IF(I98="Transferido 100%","Nada a fazer","Sem ação: saíram "&amp;FIXED(-G98,1)&amp;" "&amp;C98&amp;" que já estavam no 2008 antes de 09/09 (conferir só se não havia saldo)")))</f>
        <v/>
      </c>
      <c r="O98" s="1"/>
      <c r="T98" s="82" t="s">
        <v>327</v>
      </c>
      <c r="U98" s="82" t="s">
        <v>65</v>
      </c>
      <c r="V98" s="82" t="n">
        <f aca="false">SUMIFS('3 Base Entrada 2008'!$G$2:$G$5000,'3 Base Entrada 2008'!$F$2:$F$5000,"&gt;="&amp;$F$5,'3 Base Entrada 2008'!$F$2:$F$5000,"&lt;="&amp;$H$5,'3 Base Entrada 2008'!$B$2:$B$5000,$T98,'3 Base Entrada 2008'!$C$2:$C$5000,$AG98,'3 Base Entrada 2008'!$K$2:$K$5000,"Recebido no 2008")</f>
        <v>0</v>
      </c>
      <c r="W98" s="82" t="n">
        <f aca="false">-SUMIFS('3 Base Entrada 2008'!$G$2:$G$5000,'3 Base Entrada 2008'!$F$2:$F$5000,"&gt;="&amp;$F$5,'3 Base Entrada 2008'!$F$2:$F$5000,"&lt;="&amp;$H$5,'3 Base Entrada 2008'!$B$2:$B$5000,$T98,'3 Base Entrada 2008'!$C$2:$C$5000,$AG98,'3 Base Entrada 2008'!$K$2:$K$5000,"Entrada")</f>
        <v>480</v>
      </c>
      <c r="X98" s="82" t="n">
        <f aca="false">SUMIFS('3 Base Entrada 2008'!$G$2:$G$5000,'3 Base Entrada 2008'!$F$2:$F$5000,"&gt;="&amp;$F$5,'3 Base Entrada 2008'!$F$2:$F$5000,"&lt;="&amp;$H$5,'3 Base Entrada 2008'!$B$2:$B$5000,$T98,'3 Base Entrada 2008'!$C$2:$C$5000,$AG98,'3 Base Entrada 2008'!$K$2:$K$5000,"Estorno")</f>
        <v>0</v>
      </c>
      <c r="Y98" s="82" t="n">
        <f aca="false">ROUND(BA98+V98-W98+X98,3)</f>
        <v>-480</v>
      </c>
      <c r="Z98" s="82" t="n">
        <f aca="false">IF(AND(U98=$R$3,OR($R$1="*",T98=$R$1),OR($R$2="*",AG98=$R$2),OR($K$5="Todas",AB98=$K$5),ABS(V98)+ABS(W98)+ABS(X98)&gt;0),1,0)</f>
        <v>1</v>
      </c>
      <c r="AA98" s="82" t="n">
        <f aca="false">IF(Z98=1,SUM(Z$40:Z98),"")</f>
        <v>52</v>
      </c>
      <c r="AB98" s="0" t="str">
        <f aca="false">IF(ABS(Y98)&lt;=$R$5,"Transferido 100%",IF(Y98&gt;0,"Aguardando transferência","Saiu saldo anterior a 09/09"))</f>
        <v>Saiu saldo anterior a 09/09</v>
      </c>
      <c r="AC98" s="82" t="n">
        <f aca="false">COUNTIFS('3 Base Entrada 2008'!$F$2:$F$5000,"&gt;="&amp;$F$5,'3 Base Entrada 2008'!$F$2:$F$5000,"&lt;="&amp;$H$5,'3 Base Entrada 2008'!$B$2:$B$5000,$T98,'3 Base Entrada 2008'!$C$2:$C$5000,$AG98)</f>
        <v>1</v>
      </c>
      <c r="AD98" s="82" t="n">
        <f aca="false">_xlfn.MINIFS('3 Base Entrada 2008'!$F$2:$F$5000,'3 Base Entrada 2008'!$F$2:$F$5000,"&gt;="&amp;$F$5,'3 Base Entrada 2008'!$F$2:$F$5000,"&lt;="&amp;$H$5,'3 Base Entrada 2008'!$B$2:$B$5000,$T98,'3 Base Entrada 2008'!$C$2:$C$5000,$AG98)</f>
        <v>46291</v>
      </c>
      <c r="AE98" s="82" t="n">
        <f aca="false">_xlfn.MAXIFS('3 Base Entrada 2008'!$F$2:$F$5000,'3 Base Entrada 2008'!$F$2:$F$5000,"&gt;="&amp;$F$5,'3 Base Entrada 2008'!$F$2:$F$5000,"&lt;="&amp;$H$5,'3 Base Entrada 2008'!$B$2:$B$5000,$T98,'3 Base Entrada 2008'!$C$2:$C$5000,$AG98)</f>
        <v>46291</v>
      </c>
      <c r="AF98" s="82" t="s">
        <v>926</v>
      </c>
      <c r="AG98" s="82" t="s">
        <v>329</v>
      </c>
      <c r="AH98" s="82" t="n">
        <f aca="false">IF(AND(Z98=1,Y98&gt;$R$5),Y98+ROW()/10000000,0)</f>
        <v>0</v>
      </c>
      <c r="BA98" s="82" t="n">
        <f aca="false">SUMIFS('3 Base Saldo Inicial 08-09'!$E$2:$E$5000,'3 Base Saldo Inicial 08-09'!$A$2:$A$5000,$T98,'3 Base Saldo Inicial 08-09'!$B$2:$B$5000,$AG98,'3 Base Saldo Inicial 08-09'!$C$2:$C$5000,"2008")</f>
        <v>0</v>
      </c>
    </row>
    <row r="99" customFormat="false" ht="15" hidden="false" customHeight="false" outlineLevel="0" collapsed="false">
      <c r="A99" s="111" t="str">
        <f aca="false">IF(IFERROR(MATCH(86,$AA$40:$AA$133,0),0)=0,"",INDEX($T$40:$T$133,IFERROR(MATCH(86,$AA$40:$AA$133,0),0)))</f>
        <v/>
      </c>
      <c r="B99" s="111" t="str">
        <f aca="false">IF(IFERROR(MATCH(86,$AA$40:$AA$133,0),0)=0,"",INDEX($AG$40:$AG$133,IFERROR(MATCH(86,$AA$40:$AA$133,0),0)))</f>
        <v/>
      </c>
      <c r="C99" s="112" t="str">
        <f aca="false">IF(IFERROR(MATCH(86,$AA$40:$AA$133,0),0)=0,"",INDEX($U$40:$U$133,IFERROR(MATCH(86,$AA$40:$AA$133,0),0)))</f>
        <v/>
      </c>
      <c r="D99" s="113" t="str">
        <f aca="false">IF(IFERROR(MATCH(86,$AA$40:$AA$133,0),0)=0,"",INDEX($V$40:$V$133,IFERROR(MATCH(86,$AA$40:$AA$133,0),0)))</f>
        <v/>
      </c>
      <c r="E99" s="113" t="str">
        <f aca="false">IF(IFERROR(MATCH(86,$AA$40:$AA$133,0),0)=0,"",INDEX($W$40:$W$133,IFERROR(MATCH(86,$AA$40:$AA$133,0),0)))</f>
        <v/>
      </c>
      <c r="F99" s="113" t="str">
        <f aca="false">IF(IFERROR(MATCH(86,$AA$40:$AA$133,0),0)=0,"",INDEX($X$40:$X$133,IFERROR(MATCH(86,$AA$40:$AA$133,0),0)))</f>
        <v/>
      </c>
      <c r="G99" s="114" t="str">
        <f aca="false">IF(IFERROR(MATCH(86,$AA$40:$AA$133,0),0)=0,"",INDEX($Y$40:$Y$133,IFERROR(MATCH(86,$AA$40:$AA$133,0),0)))</f>
        <v/>
      </c>
      <c r="H99" s="145" t="str">
        <f aca="false">IF(A99="","",IF(D99&gt;0,(E99-F99)/D99,""))</f>
        <v/>
      </c>
      <c r="I99" s="115" t="str">
        <f aca="false">IF(IFERROR(MATCH(86,$AA$40:$AA$133,0),0)=0,"",INDEX($AB$40:$AB$133,IFERROR(MATCH(86,$AA$40:$AA$133,0),0)))</f>
        <v/>
      </c>
      <c r="J99" s="116" t="str">
        <f aca="false">IF(IFERROR(MATCH(86,$AA$40:$AA$133,0),0)=0,"",INDEX($AC$40:$AC$133,IFERROR(MATCH(86,$AA$40:$AA$133,0),0)))</f>
        <v/>
      </c>
      <c r="K99" s="117" t="str">
        <f aca="false">IF(IFERROR(MATCH(86,$AA$40:$AA$133,0),0)=0,"",IF(INDEX($AD$40:$AD$133,IFERROR(MATCH(86,$AA$40:$AA$133,0),0))=0,"",INDEX($AD$40:$AD$133,IFERROR(MATCH(86,$AA$40:$AA$133,0),0))))</f>
        <v/>
      </c>
      <c r="L99" s="117" t="str">
        <f aca="false">IF(IFERROR(MATCH(86,$AA$40:$AA$133,0),0)=0,"",IF(INDEX($AE$40:$AE$133,IFERROR(MATCH(86,$AA$40:$AA$133,0),0))=0,"",INDEX($AE$40:$AE$133,IFERROR(MATCH(86,$AA$40:$AA$133,0),0))))</f>
        <v/>
      </c>
      <c r="M99" s="119" t="str">
        <f aca="false">IF(IFERROR(MATCH(86,$AA$40:$AA$133,0),0)=0,"",INDEX($AF$40:$AF$133,IFERROR(MATCH(86,$AA$40:$AA$133,0),0))&amp;"")</f>
        <v/>
      </c>
      <c r="N99" s="118" t="str">
        <f aca="false">IF(A99="","",IF(I99="Aguardando transferência","Transferir "&amp;FIXED(G99,1)&amp;" "&amp;C99&amp;" do 2008 para o ZBR (verificar se já há OT aberta)",IF(I99="Transferido 100%","Nada a fazer","Sem ação: saíram "&amp;FIXED(-G99,1)&amp;" "&amp;C99&amp;" que já estavam no 2008 antes de 09/09 (conferir só se não havia saldo)")))</f>
        <v/>
      </c>
      <c r="O99" s="1"/>
      <c r="T99" s="82" t="s">
        <v>301</v>
      </c>
      <c r="U99" s="82" t="s">
        <v>65</v>
      </c>
      <c r="V99" s="82" t="n">
        <f aca="false">SUMIFS('3 Base Entrada 2008'!$G$2:$G$5000,'3 Base Entrada 2008'!$F$2:$F$5000,"&gt;="&amp;$F$5,'3 Base Entrada 2008'!$F$2:$F$5000,"&lt;="&amp;$H$5,'3 Base Entrada 2008'!$B$2:$B$5000,$T99,'3 Base Entrada 2008'!$C$2:$C$5000,$AG99,'3 Base Entrada 2008'!$K$2:$K$5000,"Recebido no 2008")</f>
        <v>4800</v>
      </c>
      <c r="W99" s="82" t="n">
        <f aca="false">-SUMIFS('3 Base Entrada 2008'!$G$2:$G$5000,'3 Base Entrada 2008'!$F$2:$F$5000,"&gt;="&amp;$F$5,'3 Base Entrada 2008'!$F$2:$F$5000,"&lt;="&amp;$H$5,'3 Base Entrada 2008'!$B$2:$B$5000,$T99,'3 Base Entrada 2008'!$C$2:$C$5000,$AG99,'3 Base Entrada 2008'!$K$2:$K$5000,"Entrada")</f>
        <v>5280</v>
      </c>
      <c r="X99" s="82" t="n">
        <f aca="false">SUMIFS('3 Base Entrada 2008'!$G$2:$G$5000,'3 Base Entrada 2008'!$F$2:$F$5000,"&gt;="&amp;$F$5,'3 Base Entrada 2008'!$F$2:$F$5000,"&lt;="&amp;$H$5,'3 Base Entrada 2008'!$B$2:$B$5000,$T99,'3 Base Entrada 2008'!$C$2:$C$5000,$AG99,'3 Base Entrada 2008'!$K$2:$K$5000,"Estorno")</f>
        <v>0</v>
      </c>
      <c r="Y99" s="82" t="n">
        <f aca="false">ROUND(BA99+V99-W99+X99,3)</f>
        <v>-480</v>
      </c>
      <c r="Z99" s="82" t="n">
        <f aca="false">IF(AND(U99=$R$3,OR($R$1="*",T99=$R$1),OR($R$2="*",AG99=$R$2),OR($K$5="Todas",AB99=$K$5),ABS(V99)+ABS(W99)+ABS(X99)&gt;0),1,0)</f>
        <v>1</v>
      </c>
      <c r="AA99" s="82" t="n">
        <f aca="false">IF(Z99=1,SUM(Z$40:Z99),"")</f>
        <v>53</v>
      </c>
      <c r="AB99" s="0" t="str">
        <f aca="false">IF(ABS(Y99)&lt;=$R$5,"Transferido 100%",IF(Y99&gt;0,"Aguardando transferência","Saiu saldo anterior a 09/09"))</f>
        <v>Saiu saldo anterior a 09/09</v>
      </c>
      <c r="AC99" s="82" t="n">
        <f aca="false">COUNTIFS('3 Base Entrada 2008'!$F$2:$F$5000,"&gt;="&amp;$F$5,'3 Base Entrada 2008'!$F$2:$F$5000,"&lt;="&amp;$H$5,'3 Base Entrada 2008'!$B$2:$B$5000,$T99,'3 Base Entrada 2008'!$C$2:$C$5000,$AG99)</f>
        <v>14</v>
      </c>
      <c r="AD99" s="82" t="n">
        <f aca="false">_xlfn.MINIFS('3 Base Entrada 2008'!$F$2:$F$5000,'3 Base Entrada 2008'!$F$2:$F$5000,"&gt;="&amp;$F$5,'3 Base Entrada 2008'!$F$2:$F$5000,"&lt;="&amp;$H$5,'3 Base Entrada 2008'!$B$2:$B$5000,$T99,'3 Base Entrada 2008'!$C$2:$C$5000,$AG99)</f>
        <v>46275</v>
      </c>
      <c r="AE99" s="82" t="n">
        <f aca="false">_xlfn.MAXIFS('3 Base Entrada 2008'!$F$2:$F$5000,'3 Base Entrada 2008'!$F$2:$F$5000,"&gt;="&amp;$F$5,'3 Base Entrada 2008'!$F$2:$F$5000,"&lt;="&amp;$H$5,'3 Base Entrada 2008'!$B$2:$B$5000,$T99,'3 Base Entrada 2008'!$C$2:$C$5000,$AG99)</f>
        <v>46295</v>
      </c>
      <c r="AF99" s="82" t="s">
        <v>1377</v>
      </c>
      <c r="AG99" s="82" t="s">
        <v>302</v>
      </c>
      <c r="AH99" s="82" t="n">
        <f aca="false">IF(AND(Z99=1,Y99&gt;$R$5),Y99+ROW()/10000000,0)</f>
        <v>0</v>
      </c>
      <c r="BA99" s="82" t="n">
        <f aca="false">SUMIFS('3 Base Saldo Inicial 08-09'!$E$2:$E$5000,'3 Base Saldo Inicial 08-09'!$A$2:$A$5000,$T99,'3 Base Saldo Inicial 08-09'!$B$2:$B$5000,$AG99,'3 Base Saldo Inicial 08-09'!$C$2:$C$5000,"2008")</f>
        <v>0</v>
      </c>
    </row>
    <row r="100" customFormat="false" ht="15" hidden="false" customHeight="false" outlineLevel="0" collapsed="false">
      <c r="A100" s="111" t="str">
        <f aca="false">IF(IFERROR(MATCH(87,$AA$40:$AA$133,0),0)=0,"",INDEX($T$40:$T$133,IFERROR(MATCH(87,$AA$40:$AA$133,0),0)))</f>
        <v/>
      </c>
      <c r="B100" s="111" t="str">
        <f aca="false">IF(IFERROR(MATCH(87,$AA$40:$AA$133,0),0)=0,"",INDEX($AG$40:$AG$133,IFERROR(MATCH(87,$AA$40:$AA$133,0),0)))</f>
        <v/>
      </c>
      <c r="C100" s="112" t="str">
        <f aca="false">IF(IFERROR(MATCH(87,$AA$40:$AA$133,0),0)=0,"",INDEX($U$40:$U$133,IFERROR(MATCH(87,$AA$40:$AA$133,0),0)))</f>
        <v/>
      </c>
      <c r="D100" s="113" t="str">
        <f aca="false">IF(IFERROR(MATCH(87,$AA$40:$AA$133,0),0)=0,"",INDEX($V$40:$V$133,IFERROR(MATCH(87,$AA$40:$AA$133,0),0)))</f>
        <v/>
      </c>
      <c r="E100" s="113" t="str">
        <f aca="false">IF(IFERROR(MATCH(87,$AA$40:$AA$133,0),0)=0,"",INDEX($W$40:$W$133,IFERROR(MATCH(87,$AA$40:$AA$133,0),0)))</f>
        <v/>
      </c>
      <c r="F100" s="113" t="str">
        <f aca="false">IF(IFERROR(MATCH(87,$AA$40:$AA$133,0),0)=0,"",INDEX($X$40:$X$133,IFERROR(MATCH(87,$AA$40:$AA$133,0),0)))</f>
        <v/>
      </c>
      <c r="G100" s="114" t="str">
        <f aca="false">IF(IFERROR(MATCH(87,$AA$40:$AA$133,0),0)=0,"",INDEX($Y$40:$Y$133,IFERROR(MATCH(87,$AA$40:$AA$133,0),0)))</f>
        <v/>
      </c>
      <c r="H100" s="145" t="str">
        <f aca="false">IF(A100="","",IF(D100&gt;0,(E100-F100)/D100,""))</f>
        <v/>
      </c>
      <c r="I100" s="115" t="str">
        <f aca="false">IF(IFERROR(MATCH(87,$AA$40:$AA$133,0),0)=0,"",INDEX($AB$40:$AB$133,IFERROR(MATCH(87,$AA$40:$AA$133,0),0)))</f>
        <v/>
      </c>
      <c r="J100" s="116" t="str">
        <f aca="false">IF(IFERROR(MATCH(87,$AA$40:$AA$133,0),0)=0,"",INDEX($AC$40:$AC$133,IFERROR(MATCH(87,$AA$40:$AA$133,0),0)))</f>
        <v/>
      </c>
      <c r="K100" s="117" t="str">
        <f aca="false">IF(IFERROR(MATCH(87,$AA$40:$AA$133,0),0)=0,"",IF(INDEX($AD$40:$AD$133,IFERROR(MATCH(87,$AA$40:$AA$133,0),0))=0,"",INDEX($AD$40:$AD$133,IFERROR(MATCH(87,$AA$40:$AA$133,0),0))))</f>
        <v/>
      </c>
      <c r="L100" s="117" t="str">
        <f aca="false">IF(IFERROR(MATCH(87,$AA$40:$AA$133,0),0)=0,"",IF(INDEX($AE$40:$AE$133,IFERROR(MATCH(87,$AA$40:$AA$133,0),0))=0,"",INDEX($AE$40:$AE$133,IFERROR(MATCH(87,$AA$40:$AA$133,0),0))))</f>
        <v/>
      </c>
      <c r="M100" s="119" t="str">
        <f aca="false">IF(IFERROR(MATCH(87,$AA$40:$AA$133,0),0)=0,"",INDEX($AF$40:$AF$133,IFERROR(MATCH(87,$AA$40:$AA$133,0),0))&amp;"")</f>
        <v/>
      </c>
      <c r="N100" s="118" t="str">
        <f aca="false">IF(A100="","",IF(I100="Aguardando transferência","Transferir "&amp;FIXED(G100,1)&amp;" "&amp;C100&amp;" do 2008 para o ZBR (verificar se já há OT aberta)",IF(I100="Transferido 100%","Nada a fazer","Sem ação: saíram "&amp;FIXED(-G100,1)&amp;" "&amp;C100&amp;" que já estavam no 2008 antes de 09/09 (conferir só se não havia saldo)")))</f>
        <v/>
      </c>
      <c r="O100" s="1"/>
      <c r="T100" s="82" t="s">
        <v>286</v>
      </c>
      <c r="U100" s="82" t="s">
        <v>147</v>
      </c>
      <c r="V100" s="82" t="n">
        <f aca="false">SUMIFS('3 Base Entrada 2008'!$G$2:$G$5000,'3 Base Entrada 2008'!$F$2:$F$5000,"&gt;="&amp;$F$5,'3 Base Entrada 2008'!$F$2:$F$5000,"&lt;="&amp;$H$5,'3 Base Entrada 2008'!$B$2:$B$5000,$T100,'3 Base Entrada 2008'!$C$2:$C$5000,$AG100,'3 Base Entrada 2008'!$K$2:$K$5000,"Recebido no 2008")</f>
        <v>0</v>
      </c>
      <c r="W100" s="82" t="n">
        <f aca="false">-SUMIFS('3 Base Entrada 2008'!$G$2:$G$5000,'3 Base Entrada 2008'!$F$2:$F$5000,"&gt;="&amp;$F$5,'3 Base Entrada 2008'!$F$2:$F$5000,"&lt;="&amp;$H$5,'3 Base Entrada 2008'!$B$2:$B$5000,$T100,'3 Base Entrada 2008'!$C$2:$C$5000,$AG100,'3 Base Entrada 2008'!$K$2:$K$5000,"Entrada")</f>
        <v>487</v>
      </c>
      <c r="X100" s="82" t="n">
        <f aca="false">SUMIFS('3 Base Entrada 2008'!$G$2:$G$5000,'3 Base Entrada 2008'!$F$2:$F$5000,"&gt;="&amp;$F$5,'3 Base Entrada 2008'!$F$2:$F$5000,"&lt;="&amp;$H$5,'3 Base Entrada 2008'!$B$2:$B$5000,$T100,'3 Base Entrada 2008'!$C$2:$C$5000,$AG100,'3 Base Entrada 2008'!$K$2:$K$5000,"Estorno")</f>
        <v>0</v>
      </c>
      <c r="Y100" s="82" t="n">
        <f aca="false">ROUND(BA100+V100-W100+X100,3)</f>
        <v>-487</v>
      </c>
      <c r="Z100" s="82" t="n">
        <f aca="false">IF(AND(U100=$R$3,OR($R$1="*",T100=$R$1),OR($R$2="*",AG100=$R$2),OR($K$5="Todas",AB100=$K$5),ABS(V100)+ABS(W100)+ABS(X100)&gt;0),1,0)</f>
        <v>0</v>
      </c>
      <c r="AA100" s="0" t="str">
        <f aca="false">IF(Z100=1,SUM(Z$40:Z100),"")</f>
        <v/>
      </c>
      <c r="AB100" s="0" t="str">
        <f aca="false">IF(ABS(Y100)&lt;=$R$5,"Transferido 100%",IF(Y100&gt;0,"Aguardando transferência","Saiu saldo anterior a 09/09"))</f>
        <v>Saiu saldo anterior a 09/09</v>
      </c>
      <c r="AC100" s="82" t="n">
        <f aca="false">COUNTIFS('3 Base Entrada 2008'!$F$2:$F$5000,"&gt;="&amp;$F$5,'3 Base Entrada 2008'!$F$2:$F$5000,"&lt;="&amp;$H$5,'3 Base Entrada 2008'!$B$2:$B$5000,$T100,'3 Base Entrada 2008'!$C$2:$C$5000,$AG100)</f>
        <v>4</v>
      </c>
      <c r="AD100" s="82" t="n">
        <f aca="false">_xlfn.MINIFS('3 Base Entrada 2008'!$F$2:$F$5000,'3 Base Entrada 2008'!$F$2:$F$5000,"&gt;="&amp;$F$5,'3 Base Entrada 2008'!$F$2:$F$5000,"&lt;="&amp;$H$5,'3 Base Entrada 2008'!$B$2:$B$5000,$T100,'3 Base Entrada 2008'!$C$2:$C$5000,$AG100)</f>
        <v>46289</v>
      </c>
      <c r="AE100" s="82" t="n">
        <f aca="false">_xlfn.MAXIFS('3 Base Entrada 2008'!$F$2:$F$5000,'3 Base Entrada 2008'!$F$2:$F$5000,"&gt;="&amp;$F$5,'3 Base Entrada 2008'!$F$2:$F$5000,"&lt;="&amp;$H$5,'3 Base Entrada 2008'!$B$2:$B$5000,$T100,'3 Base Entrada 2008'!$C$2:$C$5000,$AG100)</f>
        <v>46291</v>
      </c>
      <c r="AF100" s="82" t="s">
        <v>1354</v>
      </c>
      <c r="AG100" s="82" t="s">
        <v>294</v>
      </c>
      <c r="AH100" s="82" t="n">
        <f aca="false">IF(AND(Z100=1,Y100&gt;$R$5),Y100+ROW()/10000000,0)</f>
        <v>0</v>
      </c>
      <c r="BA100" s="82" t="n">
        <f aca="false">SUMIFS('3 Base Saldo Inicial 08-09'!$E$2:$E$5000,'3 Base Saldo Inicial 08-09'!$A$2:$A$5000,$T100,'3 Base Saldo Inicial 08-09'!$B$2:$B$5000,$AG100,'3 Base Saldo Inicial 08-09'!$C$2:$C$5000,"2008")</f>
        <v>0</v>
      </c>
    </row>
    <row r="101" customFormat="false" ht="15" hidden="false" customHeight="false" outlineLevel="0" collapsed="false">
      <c r="A101" s="111" t="str">
        <f aca="false">IF(IFERROR(MATCH(88,$AA$40:$AA$133,0),0)=0,"",INDEX($T$40:$T$133,IFERROR(MATCH(88,$AA$40:$AA$133,0),0)))</f>
        <v/>
      </c>
      <c r="B101" s="111" t="str">
        <f aca="false">IF(IFERROR(MATCH(88,$AA$40:$AA$133,0),0)=0,"",INDEX($AG$40:$AG$133,IFERROR(MATCH(88,$AA$40:$AA$133,0),0)))</f>
        <v/>
      </c>
      <c r="C101" s="112" t="str">
        <f aca="false">IF(IFERROR(MATCH(88,$AA$40:$AA$133,0),0)=0,"",INDEX($U$40:$U$133,IFERROR(MATCH(88,$AA$40:$AA$133,0),0)))</f>
        <v/>
      </c>
      <c r="D101" s="113" t="str">
        <f aca="false">IF(IFERROR(MATCH(88,$AA$40:$AA$133,0),0)=0,"",INDEX($V$40:$V$133,IFERROR(MATCH(88,$AA$40:$AA$133,0),0)))</f>
        <v/>
      </c>
      <c r="E101" s="113" t="str">
        <f aca="false">IF(IFERROR(MATCH(88,$AA$40:$AA$133,0),0)=0,"",INDEX($W$40:$W$133,IFERROR(MATCH(88,$AA$40:$AA$133,0),0)))</f>
        <v/>
      </c>
      <c r="F101" s="113" t="str">
        <f aca="false">IF(IFERROR(MATCH(88,$AA$40:$AA$133,0),0)=0,"",INDEX($X$40:$X$133,IFERROR(MATCH(88,$AA$40:$AA$133,0),0)))</f>
        <v/>
      </c>
      <c r="G101" s="114" t="str">
        <f aca="false">IF(IFERROR(MATCH(88,$AA$40:$AA$133,0),0)=0,"",INDEX($Y$40:$Y$133,IFERROR(MATCH(88,$AA$40:$AA$133,0),0)))</f>
        <v/>
      </c>
      <c r="H101" s="145" t="str">
        <f aca="false">IF(A101="","",IF(D101&gt;0,(E101-F101)/D101,""))</f>
        <v/>
      </c>
      <c r="I101" s="115" t="str">
        <f aca="false">IF(IFERROR(MATCH(88,$AA$40:$AA$133,0),0)=0,"",INDEX($AB$40:$AB$133,IFERROR(MATCH(88,$AA$40:$AA$133,0),0)))</f>
        <v/>
      </c>
      <c r="J101" s="116" t="str">
        <f aca="false">IF(IFERROR(MATCH(88,$AA$40:$AA$133,0),0)=0,"",INDEX($AC$40:$AC$133,IFERROR(MATCH(88,$AA$40:$AA$133,0),0)))</f>
        <v/>
      </c>
      <c r="K101" s="117" t="str">
        <f aca="false">IF(IFERROR(MATCH(88,$AA$40:$AA$133,0),0)=0,"",IF(INDEX($AD$40:$AD$133,IFERROR(MATCH(88,$AA$40:$AA$133,0),0))=0,"",INDEX($AD$40:$AD$133,IFERROR(MATCH(88,$AA$40:$AA$133,0),0))))</f>
        <v/>
      </c>
      <c r="L101" s="117" t="str">
        <f aca="false">IF(IFERROR(MATCH(88,$AA$40:$AA$133,0),0)=0,"",IF(INDEX($AE$40:$AE$133,IFERROR(MATCH(88,$AA$40:$AA$133,0),0))=0,"",INDEX($AE$40:$AE$133,IFERROR(MATCH(88,$AA$40:$AA$133,0),0))))</f>
        <v/>
      </c>
      <c r="M101" s="119" t="str">
        <f aca="false">IF(IFERROR(MATCH(88,$AA$40:$AA$133,0),0)=0,"",INDEX($AF$40:$AF$133,IFERROR(MATCH(88,$AA$40:$AA$133,0),0))&amp;"")</f>
        <v/>
      </c>
      <c r="N101" s="118" t="str">
        <f aca="false">IF(A101="","",IF(I101="Aguardando transferência","Transferir "&amp;FIXED(G101,1)&amp;" "&amp;C101&amp;" do 2008 para o ZBR (verificar se já há OT aberta)",IF(I101="Transferido 100%","Nada a fazer","Sem ação: saíram "&amp;FIXED(-G101,1)&amp;" "&amp;C101&amp;" que já estavam no 2008 antes de 09/09 (conferir só se não havia saldo)")))</f>
        <v/>
      </c>
      <c r="O101" s="1"/>
      <c r="T101" s="82" t="s">
        <v>286</v>
      </c>
      <c r="U101" s="82" t="s">
        <v>147</v>
      </c>
      <c r="V101" s="82" t="n">
        <f aca="false">SUMIFS('3 Base Entrada 2008'!$G$2:$G$5000,'3 Base Entrada 2008'!$F$2:$F$5000,"&gt;="&amp;$F$5,'3 Base Entrada 2008'!$F$2:$F$5000,"&lt;="&amp;$H$5,'3 Base Entrada 2008'!$B$2:$B$5000,$T101,'3 Base Entrada 2008'!$C$2:$C$5000,$AG101,'3 Base Entrada 2008'!$K$2:$K$5000,"Recebido no 2008")</f>
        <v>0</v>
      </c>
      <c r="W101" s="82" t="n">
        <f aca="false">-SUMIFS('3 Base Entrada 2008'!$G$2:$G$5000,'3 Base Entrada 2008'!$F$2:$F$5000,"&gt;="&amp;$F$5,'3 Base Entrada 2008'!$F$2:$F$5000,"&lt;="&amp;$H$5,'3 Base Entrada 2008'!$B$2:$B$5000,$T101,'3 Base Entrada 2008'!$C$2:$C$5000,$AG101,'3 Base Entrada 2008'!$K$2:$K$5000,"Entrada")</f>
        <v>506</v>
      </c>
      <c r="X101" s="82" t="n">
        <f aca="false">SUMIFS('3 Base Entrada 2008'!$G$2:$G$5000,'3 Base Entrada 2008'!$F$2:$F$5000,"&gt;="&amp;$F$5,'3 Base Entrada 2008'!$F$2:$F$5000,"&lt;="&amp;$H$5,'3 Base Entrada 2008'!$B$2:$B$5000,$T101,'3 Base Entrada 2008'!$C$2:$C$5000,$AG101,'3 Base Entrada 2008'!$K$2:$K$5000,"Estorno")</f>
        <v>0</v>
      </c>
      <c r="Y101" s="82" t="n">
        <f aca="false">ROUND(BA101+V101-W101+X101,3)</f>
        <v>-506</v>
      </c>
      <c r="Z101" s="82" t="n">
        <f aca="false">IF(AND(U101=$R$3,OR($R$1="*",T101=$R$1),OR($R$2="*",AG101=$R$2),OR($K$5="Todas",AB101=$K$5),ABS(V101)+ABS(W101)+ABS(X101)&gt;0),1,0)</f>
        <v>0</v>
      </c>
      <c r="AA101" s="0" t="str">
        <f aca="false">IF(Z101=1,SUM(Z$40:Z101),"")</f>
        <v/>
      </c>
      <c r="AB101" s="0" t="str">
        <f aca="false">IF(ABS(Y101)&lt;=$R$5,"Transferido 100%",IF(Y101&gt;0,"Aguardando transferência","Saiu saldo anterior a 09/09"))</f>
        <v>Saiu saldo anterior a 09/09</v>
      </c>
      <c r="AC101" s="82" t="n">
        <f aca="false">COUNTIFS('3 Base Entrada 2008'!$F$2:$F$5000,"&gt;="&amp;$F$5,'3 Base Entrada 2008'!$F$2:$F$5000,"&lt;="&amp;$H$5,'3 Base Entrada 2008'!$B$2:$B$5000,$T101,'3 Base Entrada 2008'!$C$2:$C$5000,$AG101)</f>
        <v>4</v>
      </c>
      <c r="AD101" s="82" t="n">
        <f aca="false">_xlfn.MINIFS('3 Base Entrada 2008'!$F$2:$F$5000,'3 Base Entrada 2008'!$F$2:$F$5000,"&gt;="&amp;$F$5,'3 Base Entrada 2008'!$F$2:$F$5000,"&lt;="&amp;$H$5,'3 Base Entrada 2008'!$B$2:$B$5000,$T101,'3 Base Entrada 2008'!$C$2:$C$5000,$AG101)</f>
        <v>46289</v>
      </c>
      <c r="AE101" s="82" t="n">
        <f aca="false">_xlfn.MAXIFS('3 Base Entrada 2008'!$F$2:$F$5000,'3 Base Entrada 2008'!$F$2:$F$5000,"&gt;="&amp;$F$5,'3 Base Entrada 2008'!$F$2:$F$5000,"&lt;="&amp;$H$5,'3 Base Entrada 2008'!$B$2:$B$5000,$T101,'3 Base Entrada 2008'!$C$2:$C$5000,$AG101)</f>
        <v>46294</v>
      </c>
      <c r="AF101" s="82" t="s">
        <v>1354</v>
      </c>
      <c r="AG101" s="82" t="s">
        <v>290</v>
      </c>
      <c r="AH101" s="82" t="n">
        <f aca="false">IF(AND(Z101=1,Y101&gt;$R$5),Y101+ROW()/10000000,0)</f>
        <v>0</v>
      </c>
      <c r="BA101" s="82" t="n">
        <f aca="false">SUMIFS('3 Base Saldo Inicial 08-09'!$E$2:$E$5000,'3 Base Saldo Inicial 08-09'!$A$2:$A$5000,$T101,'3 Base Saldo Inicial 08-09'!$B$2:$B$5000,$AG101,'3 Base Saldo Inicial 08-09'!$C$2:$C$5000,"2008")</f>
        <v>0</v>
      </c>
    </row>
    <row r="102" customFormat="false" ht="15" hidden="false" customHeight="false" outlineLevel="0" collapsed="false">
      <c r="A102" s="111" t="str">
        <f aca="false">IF(IFERROR(MATCH(89,$AA$40:$AA$133,0),0)=0,"",INDEX($T$40:$T$133,IFERROR(MATCH(89,$AA$40:$AA$133,0),0)))</f>
        <v/>
      </c>
      <c r="B102" s="111" t="str">
        <f aca="false">IF(IFERROR(MATCH(89,$AA$40:$AA$133,0),0)=0,"",INDEX($AG$40:$AG$133,IFERROR(MATCH(89,$AA$40:$AA$133,0),0)))</f>
        <v/>
      </c>
      <c r="C102" s="112" t="str">
        <f aca="false">IF(IFERROR(MATCH(89,$AA$40:$AA$133,0),0)=0,"",INDEX($U$40:$U$133,IFERROR(MATCH(89,$AA$40:$AA$133,0),0)))</f>
        <v/>
      </c>
      <c r="D102" s="113" t="str">
        <f aca="false">IF(IFERROR(MATCH(89,$AA$40:$AA$133,0),0)=0,"",INDEX($V$40:$V$133,IFERROR(MATCH(89,$AA$40:$AA$133,0),0)))</f>
        <v/>
      </c>
      <c r="E102" s="113" t="str">
        <f aca="false">IF(IFERROR(MATCH(89,$AA$40:$AA$133,0),0)=0,"",INDEX($W$40:$W$133,IFERROR(MATCH(89,$AA$40:$AA$133,0),0)))</f>
        <v/>
      </c>
      <c r="F102" s="113" t="str">
        <f aca="false">IF(IFERROR(MATCH(89,$AA$40:$AA$133,0),0)=0,"",INDEX($X$40:$X$133,IFERROR(MATCH(89,$AA$40:$AA$133,0),0)))</f>
        <v/>
      </c>
      <c r="G102" s="114" t="str">
        <f aca="false">IF(IFERROR(MATCH(89,$AA$40:$AA$133,0),0)=0,"",INDEX($Y$40:$Y$133,IFERROR(MATCH(89,$AA$40:$AA$133,0),0)))</f>
        <v/>
      </c>
      <c r="H102" s="145" t="str">
        <f aca="false">IF(A102="","",IF(D102&gt;0,(E102-F102)/D102,""))</f>
        <v/>
      </c>
      <c r="I102" s="115" t="str">
        <f aca="false">IF(IFERROR(MATCH(89,$AA$40:$AA$133,0),0)=0,"",INDEX($AB$40:$AB$133,IFERROR(MATCH(89,$AA$40:$AA$133,0),0)))</f>
        <v/>
      </c>
      <c r="J102" s="116" t="str">
        <f aca="false">IF(IFERROR(MATCH(89,$AA$40:$AA$133,0),0)=0,"",INDEX($AC$40:$AC$133,IFERROR(MATCH(89,$AA$40:$AA$133,0),0)))</f>
        <v/>
      </c>
      <c r="K102" s="117" t="str">
        <f aca="false">IF(IFERROR(MATCH(89,$AA$40:$AA$133,0),0)=0,"",IF(INDEX($AD$40:$AD$133,IFERROR(MATCH(89,$AA$40:$AA$133,0),0))=0,"",INDEX($AD$40:$AD$133,IFERROR(MATCH(89,$AA$40:$AA$133,0),0))))</f>
        <v/>
      </c>
      <c r="L102" s="117" t="str">
        <f aca="false">IF(IFERROR(MATCH(89,$AA$40:$AA$133,0),0)=0,"",IF(INDEX($AE$40:$AE$133,IFERROR(MATCH(89,$AA$40:$AA$133,0),0))=0,"",INDEX($AE$40:$AE$133,IFERROR(MATCH(89,$AA$40:$AA$133,0),0))))</f>
        <v/>
      </c>
      <c r="M102" s="119" t="str">
        <f aca="false">IF(IFERROR(MATCH(89,$AA$40:$AA$133,0),0)=0,"",INDEX($AF$40:$AF$133,IFERROR(MATCH(89,$AA$40:$AA$133,0),0))&amp;"")</f>
        <v/>
      </c>
      <c r="N102" s="118" t="str">
        <f aca="false">IF(A102="","",IF(I102="Aguardando transferência","Transferir "&amp;FIXED(G102,1)&amp;" "&amp;C102&amp;" do 2008 para o ZBR (verificar se já há OT aberta)",IF(I102="Transferido 100%","Nada a fazer","Sem ação: saíram "&amp;FIXED(-G102,1)&amp;" "&amp;C102&amp;" que já estavam no 2008 antes de 09/09 (conferir só se não havia saldo)")))</f>
        <v/>
      </c>
      <c r="O102" s="1"/>
      <c r="T102" s="82" t="s">
        <v>286</v>
      </c>
      <c r="U102" s="82" t="s">
        <v>147</v>
      </c>
      <c r="V102" s="82" t="n">
        <f aca="false">SUMIFS('3 Base Entrada 2008'!$G$2:$G$5000,'3 Base Entrada 2008'!$F$2:$F$5000,"&gt;="&amp;$F$5,'3 Base Entrada 2008'!$F$2:$F$5000,"&lt;="&amp;$H$5,'3 Base Entrada 2008'!$B$2:$B$5000,$T102,'3 Base Entrada 2008'!$C$2:$C$5000,$AG102,'3 Base Entrada 2008'!$K$2:$K$5000,"Recebido no 2008")</f>
        <v>0</v>
      </c>
      <c r="W102" s="82" t="n">
        <f aca="false">-SUMIFS('3 Base Entrada 2008'!$G$2:$G$5000,'3 Base Entrada 2008'!$F$2:$F$5000,"&gt;="&amp;$F$5,'3 Base Entrada 2008'!$F$2:$F$5000,"&lt;="&amp;$H$5,'3 Base Entrada 2008'!$B$2:$B$5000,$T102,'3 Base Entrada 2008'!$C$2:$C$5000,$AG102,'3 Base Entrada 2008'!$K$2:$K$5000,"Entrada")</f>
        <v>524.75</v>
      </c>
      <c r="X102" s="82" t="n">
        <f aca="false">SUMIFS('3 Base Entrada 2008'!$G$2:$G$5000,'3 Base Entrada 2008'!$F$2:$F$5000,"&gt;="&amp;$F$5,'3 Base Entrada 2008'!$F$2:$F$5000,"&lt;="&amp;$H$5,'3 Base Entrada 2008'!$B$2:$B$5000,$T102,'3 Base Entrada 2008'!$C$2:$C$5000,$AG102,'3 Base Entrada 2008'!$K$2:$K$5000,"Estorno")</f>
        <v>0</v>
      </c>
      <c r="Y102" s="82" t="n">
        <f aca="false">ROUND(BA102+V102-W102+X102,3)</f>
        <v>-524.75</v>
      </c>
      <c r="Z102" s="82" t="n">
        <f aca="false">IF(AND(U102=$R$3,OR($R$1="*",T102=$R$1),OR($R$2="*",AG102=$R$2),OR($K$5="Todas",AB102=$K$5),ABS(V102)+ABS(W102)+ABS(X102)&gt;0),1,0)</f>
        <v>0</v>
      </c>
      <c r="AA102" s="0" t="str">
        <f aca="false">IF(Z102=1,SUM(Z$40:Z102),"")</f>
        <v/>
      </c>
      <c r="AB102" s="0" t="str">
        <f aca="false">IF(ABS(Y102)&lt;=$R$5,"Transferido 100%",IF(Y102&gt;0,"Aguardando transferência","Saiu saldo anterior a 09/09"))</f>
        <v>Saiu saldo anterior a 09/09</v>
      </c>
      <c r="AC102" s="82" t="n">
        <f aca="false">COUNTIFS('3 Base Entrada 2008'!$F$2:$F$5000,"&gt;="&amp;$F$5,'3 Base Entrada 2008'!$F$2:$F$5000,"&lt;="&amp;$H$5,'3 Base Entrada 2008'!$B$2:$B$5000,$T102,'3 Base Entrada 2008'!$C$2:$C$5000,$AG102)</f>
        <v>4</v>
      </c>
      <c r="AD102" s="82" t="n">
        <f aca="false">_xlfn.MINIFS('3 Base Entrada 2008'!$F$2:$F$5000,'3 Base Entrada 2008'!$F$2:$F$5000,"&gt;="&amp;$F$5,'3 Base Entrada 2008'!$F$2:$F$5000,"&lt;="&amp;$H$5,'3 Base Entrada 2008'!$B$2:$B$5000,$T102,'3 Base Entrada 2008'!$C$2:$C$5000,$AG102)</f>
        <v>46289</v>
      </c>
      <c r="AE102" s="82" t="n">
        <f aca="false">_xlfn.MAXIFS('3 Base Entrada 2008'!$F$2:$F$5000,'3 Base Entrada 2008'!$F$2:$F$5000,"&gt;="&amp;$F$5,'3 Base Entrada 2008'!$F$2:$F$5000,"&lt;="&amp;$H$5,'3 Base Entrada 2008'!$B$2:$B$5000,$T102,'3 Base Entrada 2008'!$C$2:$C$5000,$AG102)</f>
        <v>46294</v>
      </c>
      <c r="AF102" s="82" t="s">
        <v>1354</v>
      </c>
      <c r="AG102" s="82" t="s">
        <v>291</v>
      </c>
      <c r="AH102" s="82" t="n">
        <f aca="false">IF(AND(Z102=1,Y102&gt;$R$5),Y102+ROW()/10000000,0)</f>
        <v>0</v>
      </c>
      <c r="BA102" s="82" t="n">
        <f aca="false">SUMIFS('3 Base Saldo Inicial 08-09'!$E$2:$E$5000,'3 Base Saldo Inicial 08-09'!$A$2:$A$5000,$T102,'3 Base Saldo Inicial 08-09'!$B$2:$B$5000,$AG102,'3 Base Saldo Inicial 08-09'!$C$2:$C$5000,"2008")</f>
        <v>0</v>
      </c>
    </row>
    <row r="103" customFormat="false" ht="15" hidden="false" customHeight="false" outlineLevel="0" collapsed="false">
      <c r="A103" s="111" t="str">
        <f aca="false">IF(IFERROR(MATCH(90,$AA$40:$AA$133,0),0)=0,"",INDEX($T$40:$T$133,IFERROR(MATCH(90,$AA$40:$AA$133,0),0)))</f>
        <v/>
      </c>
      <c r="B103" s="111" t="str">
        <f aca="false">IF(IFERROR(MATCH(90,$AA$40:$AA$133,0),0)=0,"",INDEX($AG$40:$AG$133,IFERROR(MATCH(90,$AA$40:$AA$133,0),0)))</f>
        <v/>
      </c>
      <c r="C103" s="112" t="str">
        <f aca="false">IF(IFERROR(MATCH(90,$AA$40:$AA$133,0),0)=0,"",INDEX($U$40:$U$133,IFERROR(MATCH(90,$AA$40:$AA$133,0),0)))</f>
        <v/>
      </c>
      <c r="D103" s="113" t="str">
        <f aca="false">IF(IFERROR(MATCH(90,$AA$40:$AA$133,0),0)=0,"",INDEX($V$40:$V$133,IFERROR(MATCH(90,$AA$40:$AA$133,0),0)))</f>
        <v/>
      </c>
      <c r="E103" s="113" t="str">
        <f aca="false">IF(IFERROR(MATCH(90,$AA$40:$AA$133,0),0)=0,"",INDEX($W$40:$W$133,IFERROR(MATCH(90,$AA$40:$AA$133,0),0)))</f>
        <v/>
      </c>
      <c r="F103" s="113" t="str">
        <f aca="false">IF(IFERROR(MATCH(90,$AA$40:$AA$133,0),0)=0,"",INDEX($X$40:$X$133,IFERROR(MATCH(90,$AA$40:$AA$133,0),0)))</f>
        <v/>
      </c>
      <c r="G103" s="114" t="str">
        <f aca="false">IF(IFERROR(MATCH(90,$AA$40:$AA$133,0),0)=0,"",INDEX($Y$40:$Y$133,IFERROR(MATCH(90,$AA$40:$AA$133,0),0)))</f>
        <v/>
      </c>
      <c r="H103" s="145" t="str">
        <f aca="false">IF(A103="","",IF(D103&gt;0,(E103-F103)/D103,""))</f>
        <v/>
      </c>
      <c r="I103" s="115" t="str">
        <f aca="false">IF(IFERROR(MATCH(90,$AA$40:$AA$133,0),0)=0,"",INDEX($AB$40:$AB$133,IFERROR(MATCH(90,$AA$40:$AA$133,0),0)))</f>
        <v/>
      </c>
      <c r="J103" s="116" t="str">
        <f aca="false">IF(IFERROR(MATCH(90,$AA$40:$AA$133,0),0)=0,"",INDEX($AC$40:$AC$133,IFERROR(MATCH(90,$AA$40:$AA$133,0),0)))</f>
        <v/>
      </c>
      <c r="K103" s="117" t="str">
        <f aca="false">IF(IFERROR(MATCH(90,$AA$40:$AA$133,0),0)=0,"",IF(INDEX($AD$40:$AD$133,IFERROR(MATCH(90,$AA$40:$AA$133,0),0))=0,"",INDEX($AD$40:$AD$133,IFERROR(MATCH(90,$AA$40:$AA$133,0),0))))</f>
        <v/>
      </c>
      <c r="L103" s="117" t="str">
        <f aca="false">IF(IFERROR(MATCH(90,$AA$40:$AA$133,0),0)=0,"",IF(INDEX($AE$40:$AE$133,IFERROR(MATCH(90,$AA$40:$AA$133,0),0))=0,"",INDEX($AE$40:$AE$133,IFERROR(MATCH(90,$AA$40:$AA$133,0),0))))</f>
        <v/>
      </c>
      <c r="M103" s="119" t="str">
        <f aca="false">IF(IFERROR(MATCH(90,$AA$40:$AA$133,0),0)=0,"",INDEX($AF$40:$AF$133,IFERROR(MATCH(90,$AA$40:$AA$133,0),0))&amp;"")</f>
        <v/>
      </c>
      <c r="N103" s="118" t="str">
        <f aca="false">IF(A103="","",IF(I103="Aguardando transferência","Transferir "&amp;FIXED(G103,1)&amp;" "&amp;C103&amp;" do 2008 para o ZBR (verificar se já há OT aberta)",IF(I103="Transferido 100%","Nada a fazer","Sem ação: saíram "&amp;FIXED(-G103,1)&amp;" "&amp;C103&amp;" que já estavam no 2008 antes de 09/09 (conferir só se não havia saldo)")))</f>
        <v/>
      </c>
      <c r="O103" s="1"/>
      <c r="T103" s="82" t="s">
        <v>218</v>
      </c>
      <c r="U103" s="82" t="s">
        <v>65</v>
      </c>
      <c r="V103" s="82" t="n">
        <f aca="false">SUMIFS('3 Base Entrada 2008'!$G$2:$G$5000,'3 Base Entrada 2008'!$F$2:$F$5000,"&gt;="&amp;$F$5,'3 Base Entrada 2008'!$F$2:$F$5000,"&lt;="&amp;$H$5,'3 Base Entrada 2008'!$B$2:$B$5000,$T103,'3 Base Entrada 2008'!$C$2:$C$5000,$AG103,'3 Base Entrada 2008'!$K$2:$K$5000,"Recebido no 2008")</f>
        <v>0</v>
      </c>
      <c r="W103" s="82" t="n">
        <f aca="false">-SUMIFS('3 Base Entrada 2008'!$G$2:$G$5000,'3 Base Entrada 2008'!$F$2:$F$5000,"&gt;="&amp;$F$5,'3 Base Entrada 2008'!$F$2:$F$5000,"&lt;="&amp;$H$5,'3 Base Entrada 2008'!$B$2:$B$5000,$T103,'3 Base Entrada 2008'!$C$2:$C$5000,$AG103,'3 Base Entrada 2008'!$K$2:$K$5000,"Entrada")</f>
        <v>600</v>
      </c>
      <c r="X103" s="82" t="n">
        <f aca="false">SUMIFS('3 Base Entrada 2008'!$G$2:$G$5000,'3 Base Entrada 2008'!$F$2:$F$5000,"&gt;="&amp;$F$5,'3 Base Entrada 2008'!$F$2:$F$5000,"&lt;="&amp;$H$5,'3 Base Entrada 2008'!$B$2:$B$5000,$T103,'3 Base Entrada 2008'!$C$2:$C$5000,$AG103,'3 Base Entrada 2008'!$K$2:$K$5000,"Estorno")</f>
        <v>0</v>
      </c>
      <c r="Y103" s="82" t="n">
        <f aca="false">ROUND(BA103+V103-W103+X103,3)</f>
        <v>-600</v>
      </c>
      <c r="Z103" s="82" t="n">
        <f aca="false">IF(AND(U103=$R$3,OR($R$1="*",T103=$R$1),OR($R$2="*",AG103=$R$2),OR($K$5="Todas",AB103=$K$5),ABS(V103)+ABS(W103)+ABS(X103)&gt;0),1,0)</f>
        <v>1</v>
      </c>
      <c r="AA103" s="82" t="n">
        <f aca="false">IF(Z103=1,SUM(Z$40:Z103),"")</f>
        <v>54</v>
      </c>
      <c r="AB103" s="0" t="str">
        <f aca="false">IF(ABS(Y103)&lt;=$R$5,"Transferido 100%",IF(Y103&gt;0,"Aguardando transferência","Saiu saldo anterior a 09/09"))</f>
        <v>Saiu saldo anterior a 09/09</v>
      </c>
      <c r="AC103" s="82" t="n">
        <f aca="false">COUNTIFS('3 Base Entrada 2008'!$F$2:$F$5000,"&gt;="&amp;$F$5,'3 Base Entrada 2008'!$F$2:$F$5000,"&lt;="&amp;$H$5,'3 Base Entrada 2008'!$B$2:$B$5000,$T103,'3 Base Entrada 2008'!$C$2:$C$5000,$AG103)</f>
        <v>1</v>
      </c>
      <c r="AD103" s="82" t="n">
        <f aca="false">_xlfn.MINIFS('3 Base Entrada 2008'!$F$2:$F$5000,'3 Base Entrada 2008'!$F$2:$F$5000,"&gt;="&amp;$F$5,'3 Base Entrada 2008'!$F$2:$F$5000,"&lt;="&amp;$H$5,'3 Base Entrada 2008'!$B$2:$B$5000,$T103,'3 Base Entrada 2008'!$C$2:$C$5000,$AG103)</f>
        <v>46276</v>
      </c>
      <c r="AE103" s="82" t="n">
        <f aca="false">_xlfn.MAXIFS('3 Base Entrada 2008'!$F$2:$F$5000,'3 Base Entrada 2008'!$F$2:$F$5000,"&gt;="&amp;$F$5,'3 Base Entrada 2008'!$F$2:$F$5000,"&lt;="&amp;$H$5,'3 Base Entrada 2008'!$B$2:$B$5000,$T103,'3 Base Entrada 2008'!$C$2:$C$5000,$AG103)</f>
        <v>46276</v>
      </c>
      <c r="AF103" s="82" t="s">
        <v>756</v>
      </c>
      <c r="AG103" s="82" t="s">
        <v>318</v>
      </c>
      <c r="AH103" s="82" t="n">
        <f aca="false">IF(AND(Z103=1,Y103&gt;$R$5),Y103+ROW()/10000000,0)</f>
        <v>0</v>
      </c>
      <c r="BA103" s="82" t="n">
        <f aca="false">SUMIFS('3 Base Saldo Inicial 08-09'!$E$2:$E$5000,'3 Base Saldo Inicial 08-09'!$A$2:$A$5000,$T103,'3 Base Saldo Inicial 08-09'!$B$2:$B$5000,$AG103,'3 Base Saldo Inicial 08-09'!$C$2:$C$5000,"2008")</f>
        <v>0</v>
      </c>
    </row>
    <row r="104" customFormat="false" ht="15" hidden="false" customHeight="false" outlineLevel="0" collapsed="false">
      <c r="A104" s="111" t="str">
        <f aca="false">IF(IFERROR(MATCH(91,$AA$40:$AA$133,0),0)=0,"",INDEX($T$40:$T$133,IFERROR(MATCH(91,$AA$40:$AA$133,0),0)))</f>
        <v/>
      </c>
      <c r="B104" s="111" t="str">
        <f aca="false">IF(IFERROR(MATCH(91,$AA$40:$AA$133,0),0)=0,"",INDEX($AG$40:$AG$133,IFERROR(MATCH(91,$AA$40:$AA$133,0),0)))</f>
        <v/>
      </c>
      <c r="C104" s="112" t="str">
        <f aca="false">IF(IFERROR(MATCH(91,$AA$40:$AA$133,0),0)=0,"",INDEX($U$40:$U$133,IFERROR(MATCH(91,$AA$40:$AA$133,0),0)))</f>
        <v/>
      </c>
      <c r="D104" s="113" t="str">
        <f aca="false">IF(IFERROR(MATCH(91,$AA$40:$AA$133,0),0)=0,"",INDEX($V$40:$V$133,IFERROR(MATCH(91,$AA$40:$AA$133,0),0)))</f>
        <v/>
      </c>
      <c r="E104" s="113" t="str">
        <f aca="false">IF(IFERROR(MATCH(91,$AA$40:$AA$133,0),0)=0,"",INDEX($W$40:$W$133,IFERROR(MATCH(91,$AA$40:$AA$133,0),0)))</f>
        <v/>
      </c>
      <c r="F104" s="113" t="str">
        <f aca="false">IF(IFERROR(MATCH(91,$AA$40:$AA$133,0),0)=0,"",INDEX($X$40:$X$133,IFERROR(MATCH(91,$AA$40:$AA$133,0),0)))</f>
        <v/>
      </c>
      <c r="G104" s="114" t="str">
        <f aca="false">IF(IFERROR(MATCH(91,$AA$40:$AA$133,0),0)=0,"",INDEX($Y$40:$Y$133,IFERROR(MATCH(91,$AA$40:$AA$133,0),0)))</f>
        <v/>
      </c>
      <c r="H104" s="145" t="str">
        <f aca="false">IF(A104="","",IF(D104&gt;0,(E104-F104)/D104,""))</f>
        <v/>
      </c>
      <c r="I104" s="115" t="str">
        <f aca="false">IF(IFERROR(MATCH(91,$AA$40:$AA$133,0),0)=0,"",INDEX($AB$40:$AB$133,IFERROR(MATCH(91,$AA$40:$AA$133,0),0)))</f>
        <v/>
      </c>
      <c r="J104" s="116" t="str">
        <f aca="false">IF(IFERROR(MATCH(91,$AA$40:$AA$133,0),0)=0,"",INDEX($AC$40:$AC$133,IFERROR(MATCH(91,$AA$40:$AA$133,0),0)))</f>
        <v/>
      </c>
      <c r="K104" s="117" t="str">
        <f aca="false">IF(IFERROR(MATCH(91,$AA$40:$AA$133,0),0)=0,"",IF(INDEX($AD$40:$AD$133,IFERROR(MATCH(91,$AA$40:$AA$133,0),0))=0,"",INDEX($AD$40:$AD$133,IFERROR(MATCH(91,$AA$40:$AA$133,0),0))))</f>
        <v/>
      </c>
      <c r="L104" s="117" t="str">
        <f aca="false">IF(IFERROR(MATCH(91,$AA$40:$AA$133,0),0)=0,"",IF(INDEX($AE$40:$AE$133,IFERROR(MATCH(91,$AA$40:$AA$133,0),0))=0,"",INDEX($AE$40:$AE$133,IFERROR(MATCH(91,$AA$40:$AA$133,0),0))))</f>
        <v/>
      </c>
      <c r="M104" s="119" t="str">
        <f aca="false">IF(IFERROR(MATCH(91,$AA$40:$AA$133,0),0)=0,"",INDEX($AF$40:$AF$133,IFERROR(MATCH(91,$AA$40:$AA$133,0),0))&amp;"")</f>
        <v/>
      </c>
      <c r="N104" s="118" t="str">
        <f aca="false">IF(A104="","",IF(I104="Aguardando transferência","Transferir "&amp;FIXED(G104,1)&amp;" "&amp;C104&amp;" do 2008 para o ZBR (verificar se já há OT aberta)",IF(I104="Transferido 100%","Nada a fazer","Sem ação: saíram "&amp;FIXED(-G104,1)&amp;" "&amp;C104&amp;" que já estavam no 2008 antes de 09/09 (conferir só se não havia saldo)")))</f>
        <v/>
      </c>
      <c r="O104" s="1"/>
      <c r="T104" s="82" t="s">
        <v>276</v>
      </c>
      <c r="U104" s="82" t="s">
        <v>65</v>
      </c>
      <c r="V104" s="82" t="n">
        <f aca="false">SUMIFS('3 Base Entrada 2008'!$G$2:$G$5000,'3 Base Entrada 2008'!$F$2:$F$5000,"&gt;="&amp;$F$5,'3 Base Entrada 2008'!$F$2:$F$5000,"&lt;="&amp;$H$5,'3 Base Entrada 2008'!$B$2:$B$5000,$T104,'3 Base Entrada 2008'!$C$2:$C$5000,$AG104,'3 Base Entrada 2008'!$K$2:$K$5000,"Recebido no 2008")</f>
        <v>0</v>
      </c>
      <c r="W104" s="82" t="n">
        <f aca="false">-SUMIFS('3 Base Entrada 2008'!$G$2:$G$5000,'3 Base Entrada 2008'!$F$2:$F$5000,"&gt;="&amp;$F$5,'3 Base Entrada 2008'!$F$2:$F$5000,"&lt;="&amp;$H$5,'3 Base Entrada 2008'!$B$2:$B$5000,$T104,'3 Base Entrada 2008'!$C$2:$C$5000,$AG104,'3 Base Entrada 2008'!$K$2:$K$5000,"Entrada")</f>
        <v>602.9</v>
      </c>
      <c r="X104" s="82" t="n">
        <f aca="false">SUMIFS('3 Base Entrada 2008'!$G$2:$G$5000,'3 Base Entrada 2008'!$F$2:$F$5000,"&gt;="&amp;$F$5,'3 Base Entrada 2008'!$F$2:$F$5000,"&lt;="&amp;$H$5,'3 Base Entrada 2008'!$B$2:$B$5000,$T104,'3 Base Entrada 2008'!$C$2:$C$5000,$AG104,'3 Base Entrada 2008'!$K$2:$K$5000,"Estorno")</f>
        <v>0</v>
      </c>
      <c r="Y104" s="82" t="n">
        <f aca="false">ROUND(BA104+V104-W104+X104,3)</f>
        <v>-602.9</v>
      </c>
      <c r="Z104" s="82" t="n">
        <f aca="false">IF(AND(U104=$R$3,OR($R$1="*",T104=$R$1),OR($R$2="*",AG104=$R$2),OR($K$5="Todas",AB104=$K$5),ABS(V104)+ABS(W104)+ABS(X104)&gt;0),1,0)</f>
        <v>1</v>
      </c>
      <c r="AA104" s="82" t="n">
        <f aca="false">IF(Z104=1,SUM(Z$40:Z104),"")</f>
        <v>55</v>
      </c>
      <c r="AB104" s="0" t="str">
        <f aca="false">IF(ABS(Y104)&lt;=$R$5,"Transferido 100%",IF(Y104&gt;0,"Aguardando transferência","Saiu saldo anterior a 09/09"))</f>
        <v>Saiu saldo anterior a 09/09</v>
      </c>
      <c r="AC104" s="82" t="n">
        <f aca="false">COUNTIFS('3 Base Entrada 2008'!$F$2:$F$5000,"&gt;="&amp;$F$5,'3 Base Entrada 2008'!$F$2:$F$5000,"&lt;="&amp;$H$5,'3 Base Entrada 2008'!$B$2:$B$5000,$T104,'3 Base Entrada 2008'!$C$2:$C$5000,$AG104)</f>
        <v>1</v>
      </c>
      <c r="AD104" s="82" t="n">
        <f aca="false">_xlfn.MINIFS('3 Base Entrada 2008'!$F$2:$F$5000,'3 Base Entrada 2008'!$F$2:$F$5000,"&gt;="&amp;$F$5,'3 Base Entrada 2008'!$F$2:$F$5000,"&lt;="&amp;$H$5,'3 Base Entrada 2008'!$B$2:$B$5000,$T104,'3 Base Entrada 2008'!$C$2:$C$5000,$AG104)</f>
        <v>46289</v>
      </c>
      <c r="AE104" s="82" t="n">
        <f aca="false">_xlfn.MAXIFS('3 Base Entrada 2008'!$F$2:$F$5000,'3 Base Entrada 2008'!$F$2:$F$5000,"&gt;="&amp;$F$5,'3 Base Entrada 2008'!$F$2:$F$5000,"&lt;="&amp;$H$5,'3 Base Entrada 2008'!$B$2:$B$5000,$T104,'3 Base Entrada 2008'!$C$2:$C$5000,$AG104)</f>
        <v>46289</v>
      </c>
      <c r="AF104" s="82" t="s">
        <v>404</v>
      </c>
      <c r="AG104" s="82" t="s">
        <v>277</v>
      </c>
      <c r="AH104" s="82" t="n">
        <f aca="false">IF(AND(Z104=1,Y104&gt;$R$5),Y104+ROW()/10000000,0)</f>
        <v>0</v>
      </c>
      <c r="BA104" s="82" t="n">
        <f aca="false">SUMIFS('3 Base Saldo Inicial 08-09'!$E$2:$E$5000,'3 Base Saldo Inicial 08-09'!$A$2:$A$5000,$T104,'3 Base Saldo Inicial 08-09'!$B$2:$B$5000,$AG104,'3 Base Saldo Inicial 08-09'!$C$2:$C$5000,"2008")</f>
        <v>0</v>
      </c>
    </row>
    <row r="105" customFormat="false" ht="15" hidden="false" customHeight="false" outlineLevel="0" collapsed="false">
      <c r="A105" s="111" t="str">
        <f aca="false">IF(IFERROR(MATCH(92,$AA$40:$AA$133,0),0)=0,"",INDEX($T$40:$T$133,IFERROR(MATCH(92,$AA$40:$AA$133,0),0)))</f>
        <v/>
      </c>
      <c r="B105" s="111" t="str">
        <f aca="false">IF(IFERROR(MATCH(92,$AA$40:$AA$133,0),0)=0,"",INDEX($AG$40:$AG$133,IFERROR(MATCH(92,$AA$40:$AA$133,0),0)))</f>
        <v/>
      </c>
      <c r="C105" s="112" t="str">
        <f aca="false">IF(IFERROR(MATCH(92,$AA$40:$AA$133,0),0)=0,"",INDEX($U$40:$U$133,IFERROR(MATCH(92,$AA$40:$AA$133,0),0)))</f>
        <v/>
      </c>
      <c r="D105" s="113" t="str">
        <f aca="false">IF(IFERROR(MATCH(92,$AA$40:$AA$133,0),0)=0,"",INDEX($V$40:$V$133,IFERROR(MATCH(92,$AA$40:$AA$133,0),0)))</f>
        <v/>
      </c>
      <c r="E105" s="113" t="str">
        <f aca="false">IF(IFERROR(MATCH(92,$AA$40:$AA$133,0),0)=0,"",INDEX($W$40:$W$133,IFERROR(MATCH(92,$AA$40:$AA$133,0),0)))</f>
        <v/>
      </c>
      <c r="F105" s="113" t="str">
        <f aca="false">IF(IFERROR(MATCH(92,$AA$40:$AA$133,0),0)=0,"",INDEX($X$40:$X$133,IFERROR(MATCH(92,$AA$40:$AA$133,0),0)))</f>
        <v/>
      </c>
      <c r="G105" s="114" t="str">
        <f aca="false">IF(IFERROR(MATCH(92,$AA$40:$AA$133,0),0)=0,"",INDEX($Y$40:$Y$133,IFERROR(MATCH(92,$AA$40:$AA$133,0),0)))</f>
        <v/>
      </c>
      <c r="H105" s="145" t="str">
        <f aca="false">IF(A105="","",IF(D105&gt;0,(E105-F105)/D105,""))</f>
        <v/>
      </c>
      <c r="I105" s="115" t="str">
        <f aca="false">IF(IFERROR(MATCH(92,$AA$40:$AA$133,0),0)=0,"",INDEX($AB$40:$AB$133,IFERROR(MATCH(92,$AA$40:$AA$133,0),0)))</f>
        <v/>
      </c>
      <c r="J105" s="116" t="str">
        <f aca="false">IF(IFERROR(MATCH(92,$AA$40:$AA$133,0),0)=0,"",INDEX($AC$40:$AC$133,IFERROR(MATCH(92,$AA$40:$AA$133,0),0)))</f>
        <v/>
      </c>
      <c r="K105" s="117" t="str">
        <f aca="false">IF(IFERROR(MATCH(92,$AA$40:$AA$133,0),0)=0,"",IF(INDEX($AD$40:$AD$133,IFERROR(MATCH(92,$AA$40:$AA$133,0),0))=0,"",INDEX($AD$40:$AD$133,IFERROR(MATCH(92,$AA$40:$AA$133,0),0))))</f>
        <v/>
      </c>
      <c r="L105" s="117" t="str">
        <f aca="false">IF(IFERROR(MATCH(92,$AA$40:$AA$133,0),0)=0,"",IF(INDEX($AE$40:$AE$133,IFERROR(MATCH(92,$AA$40:$AA$133,0),0))=0,"",INDEX($AE$40:$AE$133,IFERROR(MATCH(92,$AA$40:$AA$133,0),0))))</f>
        <v/>
      </c>
      <c r="M105" s="119" t="str">
        <f aca="false">IF(IFERROR(MATCH(92,$AA$40:$AA$133,0),0)=0,"",INDEX($AF$40:$AF$133,IFERROR(MATCH(92,$AA$40:$AA$133,0),0))&amp;"")</f>
        <v/>
      </c>
      <c r="N105" s="118" t="str">
        <f aca="false">IF(A105="","",IF(I105="Aguardando transferência","Transferir "&amp;FIXED(G105,1)&amp;" "&amp;C105&amp;" do 2008 para o ZBR (verificar se já há OT aberta)",IF(I105="Transferido 100%","Nada a fazer","Sem ação: saíram "&amp;FIXED(-G105,1)&amp;" "&amp;C105&amp;" que já estavam no 2008 antes de 09/09 (conferir só se não havia saldo)")))</f>
        <v/>
      </c>
      <c r="O105" s="1"/>
      <c r="T105" s="82" t="s">
        <v>276</v>
      </c>
      <c r="U105" s="82" t="s">
        <v>65</v>
      </c>
      <c r="V105" s="82" t="n">
        <f aca="false">SUMIFS('3 Base Entrada 2008'!$G$2:$G$5000,'3 Base Entrada 2008'!$F$2:$F$5000,"&gt;="&amp;$F$5,'3 Base Entrada 2008'!$F$2:$F$5000,"&lt;="&amp;$H$5,'3 Base Entrada 2008'!$B$2:$B$5000,$T105,'3 Base Entrada 2008'!$C$2:$C$5000,$AG105,'3 Base Entrada 2008'!$K$2:$K$5000,"Recebido no 2008")</f>
        <v>0</v>
      </c>
      <c r="W105" s="82" t="n">
        <f aca="false">-SUMIFS('3 Base Entrada 2008'!$G$2:$G$5000,'3 Base Entrada 2008'!$F$2:$F$5000,"&gt;="&amp;$F$5,'3 Base Entrada 2008'!$F$2:$F$5000,"&lt;="&amp;$H$5,'3 Base Entrada 2008'!$B$2:$B$5000,$T105,'3 Base Entrada 2008'!$C$2:$C$5000,$AG105,'3 Base Entrada 2008'!$K$2:$K$5000,"Entrada")</f>
        <v>603</v>
      </c>
      <c r="X105" s="82" t="n">
        <f aca="false">SUMIFS('3 Base Entrada 2008'!$G$2:$G$5000,'3 Base Entrada 2008'!$F$2:$F$5000,"&gt;="&amp;$F$5,'3 Base Entrada 2008'!$F$2:$F$5000,"&lt;="&amp;$H$5,'3 Base Entrada 2008'!$B$2:$B$5000,$T105,'3 Base Entrada 2008'!$C$2:$C$5000,$AG105,'3 Base Entrada 2008'!$K$2:$K$5000,"Estorno")</f>
        <v>0</v>
      </c>
      <c r="Y105" s="82" t="n">
        <f aca="false">ROUND(BA105+V105-W105+X105,3)</f>
        <v>-603</v>
      </c>
      <c r="Z105" s="82" t="n">
        <f aca="false">IF(AND(U105=$R$3,OR($R$1="*",T105=$R$1),OR($R$2="*",AG105=$R$2),OR($K$5="Todas",AB105=$K$5),ABS(V105)+ABS(W105)+ABS(X105)&gt;0),1,0)</f>
        <v>1</v>
      </c>
      <c r="AA105" s="82" t="n">
        <f aca="false">IF(Z105=1,SUM(Z$40:Z105),"")</f>
        <v>56</v>
      </c>
      <c r="AB105" s="0" t="str">
        <f aca="false">IF(ABS(Y105)&lt;=$R$5,"Transferido 100%",IF(Y105&gt;0,"Aguardando transferência","Saiu saldo anterior a 09/09"))</f>
        <v>Saiu saldo anterior a 09/09</v>
      </c>
      <c r="AC105" s="82" t="n">
        <f aca="false">COUNTIFS('3 Base Entrada 2008'!$F$2:$F$5000,"&gt;="&amp;$F$5,'3 Base Entrada 2008'!$F$2:$F$5000,"&lt;="&amp;$H$5,'3 Base Entrada 2008'!$B$2:$B$5000,$T105,'3 Base Entrada 2008'!$C$2:$C$5000,$AG105)</f>
        <v>1</v>
      </c>
      <c r="AD105" s="82" t="n">
        <f aca="false">_xlfn.MINIFS('3 Base Entrada 2008'!$F$2:$F$5000,'3 Base Entrada 2008'!$F$2:$F$5000,"&gt;="&amp;$F$5,'3 Base Entrada 2008'!$F$2:$F$5000,"&lt;="&amp;$H$5,'3 Base Entrada 2008'!$B$2:$B$5000,$T105,'3 Base Entrada 2008'!$C$2:$C$5000,$AG105)</f>
        <v>46291</v>
      </c>
      <c r="AE105" s="82" t="n">
        <f aca="false">_xlfn.MAXIFS('3 Base Entrada 2008'!$F$2:$F$5000,'3 Base Entrada 2008'!$F$2:$F$5000,"&gt;="&amp;$F$5,'3 Base Entrada 2008'!$F$2:$F$5000,"&lt;="&amp;$H$5,'3 Base Entrada 2008'!$B$2:$B$5000,$T105,'3 Base Entrada 2008'!$C$2:$C$5000,$AG105)</f>
        <v>46291</v>
      </c>
      <c r="AF105" s="82" t="s">
        <v>404</v>
      </c>
      <c r="AG105" s="82" t="s">
        <v>371</v>
      </c>
      <c r="AH105" s="82" t="n">
        <f aca="false">IF(AND(Z105=1,Y105&gt;$R$5),Y105+ROW()/10000000,0)</f>
        <v>0</v>
      </c>
      <c r="BA105" s="82" t="n">
        <f aca="false">SUMIFS('3 Base Saldo Inicial 08-09'!$E$2:$E$5000,'3 Base Saldo Inicial 08-09'!$A$2:$A$5000,$T105,'3 Base Saldo Inicial 08-09'!$B$2:$B$5000,$AG105,'3 Base Saldo Inicial 08-09'!$C$2:$C$5000,"2008")</f>
        <v>0</v>
      </c>
    </row>
    <row r="106" customFormat="false" ht="15" hidden="false" customHeight="false" outlineLevel="0" collapsed="false">
      <c r="A106" s="111" t="str">
        <f aca="false">IF(IFERROR(MATCH(93,$AA$40:$AA$133,0),0)=0,"",INDEX($T$40:$T$133,IFERROR(MATCH(93,$AA$40:$AA$133,0),0)))</f>
        <v/>
      </c>
      <c r="B106" s="111" t="str">
        <f aca="false">IF(IFERROR(MATCH(93,$AA$40:$AA$133,0),0)=0,"",INDEX($AG$40:$AG$133,IFERROR(MATCH(93,$AA$40:$AA$133,0),0)))</f>
        <v/>
      </c>
      <c r="C106" s="112" t="str">
        <f aca="false">IF(IFERROR(MATCH(93,$AA$40:$AA$133,0),0)=0,"",INDEX($U$40:$U$133,IFERROR(MATCH(93,$AA$40:$AA$133,0),0)))</f>
        <v/>
      </c>
      <c r="D106" s="113" t="str">
        <f aca="false">IF(IFERROR(MATCH(93,$AA$40:$AA$133,0),0)=0,"",INDEX($V$40:$V$133,IFERROR(MATCH(93,$AA$40:$AA$133,0),0)))</f>
        <v/>
      </c>
      <c r="E106" s="113" t="str">
        <f aca="false">IF(IFERROR(MATCH(93,$AA$40:$AA$133,0),0)=0,"",INDEX($W$40:$W$133,IFERROR(MATCH(93,$AA$40:$AA$133,0),0)))</f>
        <v/>
      </c>
      <c r="F106" s="113" t="str">
        <f aca="false">IF(IFERROR(MATCH(93,$AA$40:$AA$133,0),0)=0,"",INDEX($X$40:$X$133,IFERROR(MATCH(93,$AA$40:$AA$133,0),0)))</f>
        <v/>
      </c>
      <c r="G106" s="114" t="str">
        <f aca="false">IF(IFERROR(MATCH(93,$AA$40:$AA$133,0),0)=0,"",INDEX($Y$40:$Y$133,IFERROR(MATCH(93,$AA$40:$AA$133,0),0)))</f>
        <v/>
      </c>
      <c r="H106" s="145" t="str">
        <f aca="false">IF(A106="","",IF(D106&gt;0,(E106-F106)/D106,""))</f>
        <v/>
      </c>
      <c r="I106" s="115" t="str">
        <f aca="false">IF(IFERROR(MATCH(93,$AA$40:$AA$133,0),0)=0,"",INDEX($AB$40:$AB$133,IFERROR(MATCH(93,$AA$40:$AA$133,0),0)))</f>
        <v/>
      </c>
      <c r="J106" s="116" t="str">
        <f aca="false">IF(IFERROR(MATCH(93,$AA$40:$AA$133,0),0)=0,"",INDEX($AC$40:$AC$133,IFERROR(MATCH(93,$AA$40:$AA$133,0),0)))</f>
        <v/>
      </c>
      <c r="K106" s="117" t="str">
        <f aca="false">IF(IFERROR(MATCH(93,$AA$40:$AA$133,0),0)=0,"",IF(INDEX($AD$40:$AD$133,IFERROR(MATCH(93,$AA$40:$AA$133,0),0))=0,"",INDEX($AD$40:$AD$133,IFERROR(MATCH(93,$AA$40:$AA$133,0),0))))</f>
        <v/>
      </c>
      <c r="L106" s="117" t="str">
        <f aca="false">IF(IFERROR(MATCH(93,$AA$40:$AA$133,0),0)=0,"",IF(INDEX($AE$40:$AE$133,IFERROR(MATCH(93,$AA$40:$AA$133,0),0))=0,"",INDEX($AE$40:$AE$133,IFERROR(MATCH(93,$AA$40:$AA$133,0),0))))</f>
        <v/>
      </c>
      <c r="M106" s="119" t="str">
        <f aca="false">IF(IFERROR(MATCH(93,$AA$40:$AA$133,0),0)=0,"",INDEX($AF$40:$AF$133,IFERROR(MATCH(93,$AA$40:$AA$133,0),0))&amp;"")</f>
        <v/>
      </c>
      <c r="N106" s="118" t="str">
        <f aca="false">IF(A106="","",IF(I106="Aguardando transferência","Transferir "&amp;FIXED(G106,1)&amp;" "&amp;C106&amp;" do 2008 para o ZBR (verificar se já há OT aberta)",IF(I106="Transferido 100%","Nada a fazer","Sem ação: saíram "&amp;FIXED(-G106,1)&amp;" "&amp;C106&amp;" que já estavam no 2008 antes de 09/09 (conferir só se não havia saldo)")))</f>
        <v/>
      </c>
      <c r="O106" s="1"/>
      <c r="T106" s="82" t="s">
        <v>389</v>
      </c>
      <c r="U106" s="82" t="s">
        <v>65</v>
      </c>
      <c r="V106" s="82" t="n">
        <f aca="false">SUMIFS('3 Base Entrada 2008'!$G$2:$G$5000,'3 Base Entrada 2008'!$F$2:$F$5000,"&gt;="&amp;$F$5,'3 Base Entrada 2008'!$F$2:$F$5000,"&lt;="&amp;$H$5,'3 Base Entrada 2008'!$B$2:$B$5000,$T106,'3 Base Entrada 2008'!$C$2:$C$5000,$AG106,'3 Base Entrada 2008'!$K$2:$K$5000,"Recebido no 2008")</f>
        <v>0</v>
      </c>
      <c r="W106" s="82" t="n">
        <f aca="false">-SUMIFS('3 Base Entrada 2008'!$G$2:$G$5000,'3 Base Entrada 2008'!$F$2:$F$5000,"&gt;="&amp;$F$5,'3 Base Entrada 2008'!$F$2:$F$5000,"&lt;="&amp;$H$5,'3 Base Entrada 2008'!$B$2:$B$5000,$T106,'3 Base Entrada 2008'!$C$2:$C$5000,$AG106,'3 Base Entrada 2008'!$K$2:$K$5000,"Entrada")</f>
        <v>627.2</v>
      </c>
      <c r="X106" s="82" t="n">
        <f aca="false">SUMIFS('3 Base Entrada 2008'!$G$2:$G$5000,'3 Base Entrada 2008'!$F$2:$F$5000,"&gt;="&amp;$F$5,'3 Base Entrada 2008'!$F$2:$F$5000,"&lt;="&amp;$H$5,'3 Base Entrada 2008'!$B$2:$B$5000,$T106,'3 Base Entrada 2008'!$C$2:$C$5000,$AG106,'3 Base Entrada 2008'!$K$2:$K$5000,"Estorno")</f>
        <v>0</v>
      </c>
      <c r="Y106" s="82" t="n">
        <f aca="false">ROUND(BA106+V106-W106+X106,3)</f>
        <v>-627.2</v>
      </c>
      <c r="Z106" s="82" t="n">
        <f aca="false">IF(AND(U106=$R$3,OR($R$1="*",T106=$R$1),OR($R$2="*",AG106=$R$2),OR($K$5="Todas",AB106=$K$5),ABS(V106)+ABS(W106)+ABS(X106)&gt;0),1,0)</f>
        <v>1</v>
      </c>
      <c r="AA106" s="82" t="n">
        <f aca="false">IF(Z106=1,SUM(Z$40:Z106),"")</f>
        <v>57</v>
      </c>
      <c r="AB106" s="0" t="str">
        <f aca="false">IF(ABS(Y106)&lt;=$R$5,"Transferido 100%",IF(Y106&gt;0,"Aguardando transferência","Saiu saldo anterior a 09/09"))</f>
        <v>Saiu saldo anterior a 09/09</v>
      </c>
      <c r="AC106" s="82" t="n">
        <f aca="false">COUNTIFS('3 Base Entrada 2008'!$F$2:$F$5000,"&gt;="&amp;$F$5,'3 Base Entrada 2008'!$F$2:$F$5000,"&lt;="&amp;$H$5,'3 Base Entrada 2008'!$B$2:$B$5000,$T106,'3 Base Entrada 2008'!$C$2:$C$5000,$AG106)</f>
        <v>1</v>
      </c>
      <c r="AD106" s="82" t="n">
        <f aca="false">_xlfn.MINIFS('3 Base Entrada 2008'!$F$2:$F$5000,'3 Base Entrada 2008'!$F$2:$F$5000,"&gt;="&amp;$F$5,'3 Base Entrada 2008'!$F$2:$F$5000,"&lt;="&amp;$H$5,'3 Base Entrada 2008'!$B$2:$B$5000,$T106,'3 Base Entrada 2008'!$C$2:$C$5000,$AG106)</f>
        <v>46291</v>
      </c>
      <c r="AE106" s="82" t="n">
        <f aca="false">_xlfn.MAXIFS('3 Base Entrada 2008'!$F$2:$F$5000,'3 Base Entrada 2008'!$F$2:$F$5000,"&gt;="&amp;$F$5,'3 Base Entrada 2008'!$F$2:$F$5000,"&lt;="&amp;$H$5,'3 Base Entrada 2008'!$B$2:$B$5000,$T106,'3 Base Entrada 2008'!$C$2:$C$5000,$AG106)</f>
        <v>46291</v>
      </c>
      <c r="AF106" s="82" t="s">
        <v>1104</v>
      </c>
      <c r="AG106" s="82" t="s">
        <v>391</v>
      </c>
      <c r="AH106" s="82" t="n">
        <f aca="false">IF(AND(Z106=1,Y106&gt;$R$5),Y106+ROW()/10000000,0)</f>
        <v>0</v>
      </c>
      <c r="BA106" s="82" t="n">
        <f aca="false">SUMIFS('3 Base Saldo Inicial 08-09'!$E$2:$E$5000,'3 Base Saldo Inicial 08-09'!$A$2:$A$5000,$T106,'3 Base Saldo Inicial 08-09'!$B$2:$B$5000,$AG106,'3 Base Saldo Inicial 08-09'!$C$2:$C$5000,"2008")</f>
        <v>0</v>
      </c>
    </row>
    <row r="107" customFormat="false" ht="15" hidden="false" customHeight="false" outlineLevel="0" collapsed="false">
      <c r="A107" s="111" t="str">
        <f aca="false">IF(IFERROR(MATCH(94,$AA$40:$AA$133,0),0)=0,"",INDEX($T$40:$T$133,IFERROR(MATCH(94,$AA$40:$AA$133,0),0)))</f>
        <v/>
      </c>
      <c r="B107" s="111" t="str">
        <f aca="false">IF(IFERROR(MATCH(94,$AA$40:$AA$133,0),0)=0,"",INDEX($AG$40:$AG$133,IFERROR(MATCH(94,$AA$40:$AA$133,0),0)))</f>
        <v/>
      </c>
      <c r="C107" s="112" t="str">
        <f aca="false">IF(IFERROR(MATCH(94,$AA$40:$AA$133,0),0)=0,"",INDEX($U$40:$U$133,IFERROR(MATCH(94,$AA$40:$AA$133,0),0)))</f>
        <v/>
      </c>
      <c r="D107" s="113" t="str">
        <f aca="false">IF(IFERROR(MATCH(94,$AA$40:$AA$133,0),0)=0,"",INDEX($V$40:$V$133,IFERROR(MATCH(94,$AA$40:$AA$133,0),0)))</f>
        <v/>
      </c>
      <c r="E107" s="113" t="str">
        <f aca="false">IF(IFERROR(MATCH(94,$AA$40:$AA$133,0),0)=0,"",INDEX($W$40:$W$133,IFERROR(MATCH(94,$AA$40:$AA$133,0),0)))</f>
        <v/>
      </c>
      <c r="F107" s="113" t="str">
        <f aca="false">IF(IFERROR(MATCH(94,$AA$40:$AA$133,0),0)=0,"",INDEX($X$40:$X$133,IFERROR(MATCH(94,$AA$40:$AA$133,0),0)))</f>
        <v/>
      </c>
      <c r="G107" s="114" t="str">
        <f aca="false">IF(IFERROR(MATCH(94,$AA$40:$AA$133,0),0)=0,"",INDEX($Y$40:$Y$133,IFERROR(MATCH(94,$AA$40:$AA$133,0),0)))</f>
        <v/>
      </c>
      <c r="H107" s="145" t="str">
        <f aca="false">IF(A107="","",IF(D107&gt;0,(E107-F107)/D107,""))</f>
        <v/>
      </c>
      <c r="I107" s="115" t="str">
        <f aca="false">IF(IFERROR(MATCH(94,$AA$40:$AA$133,0),0)=0,"",INDEX($AB$40:$AB$133,IFERROR(MATCH(94,$AA$40:$AA$133,0),0)))</f>
        <v/>
      </c>
      <c r="J107" s="116" t="str">
        <f aca="false">IF(IFERROR(MATCH(94,$AA$40:$AA$133,0),0)=0,"",INDEX($AC$40:$AC$133,IFERROR(MATCH(94,$AA$40:$AA$133,0),0)))</f>
        <v/>
      </c>
      <c r="K107" s="117" t="str">
        <f aca="false">IF(IFERROR(MATCH(94,$AA$40:$AA$133,0),0)=0,"",IF(INDEX($AD$40:$AD$133,IFERROR(MATCH(94,$AA$40:$AA$133,0),0))=0,"",INDEX($AD$40:$AD$133,IFERROR(MATCH(94,$AA$40:$AA$133,0),0))))</f>
        <v/>
      </c>
      <c r="L107" s="117" t="str">
        <f aca="false">IF(IFERROR(MATCH(94,$AA$40:$AA$133,0),0)=0,"",IF(INDEX($AE$40:$AE$133,IFERROR(MATCH(94,$AA$40:$AA$133,0),0))=0,"",INDEX($AE$40:$AE$133,IFERROR(MATCH(94,$AA$40:$AA$133,0),0))))</f>
        <v/>
      </c>
      <c r="M107" s="119" t="str">
        <f aca="false">IF(IFERROR(MATCH(94,$AA$40:$AA$133,0),0)=0,"",INDEX($AF$40:$AF$133,IFERROR(MATCH(94,$AA$40:$AA$133,0),0))&amp;"")</f>
        <v/>
      </c>
      <c r="N107" s="118" t="str">
        <f aca="false">IF(A107="","",IF(I107="Aguardando transferência","Transferir "&amp;FIXED(G107,1)&amp;" "&amp;C107&amp;" do 2008 para o ZBR (verificar se já há OT aberta)",IF(I107="Transferido 100%","Nada a fazer","Sem ação: saíram "&amp;FIXED(-G107,1)&amp;" "&amp;C107&amp;" que já estavam no 2008 antes de 09/09 (conferir só se não havia saldo)")))</f>
        <v/>
      </c>
      <c r="O107" s="1"/>
      <c r="T107" s="82" t="s">
        <v>243</v>
      </c>
      <c r="U107" s="82" t="s">
        <v>65</v>
      </c>
      <c r="V107" s="82" t="n">
        <f aca="false">SUMIFS('3 Base Entrada 2008'!$G$2:$G$5000,'3 Base Entrada 2008'!$F$2:$F$5000,"&gt;="&amp;$F$5,'3 Base Entrada 2008'!$F$2:$F$5000,"&lt;="&amp;$H$5,'3 Base Entrada 2008'!$B$2:$B$5000,$T107,'3 Base Entrada 2008'!$C$2:$C$5000,$AG107,'3 Base Entrada 2008'!$K$2:$K$5000,"Recebido no 2008")</f>
        <v>0</v>
      </c>
      <c r="W107" s="82" t="n">
        <f aca="false">-SUMIFS('3 Base Entrada 2008'!$G$2:$G$5000,'3 Base Entrada 2008'!$F$2:$F$5000,"&gt;="&amp;$F$5,'3 Base Entrada 2008'!$F$2:$F$5000,"&lt;="&amp;$H$5,'3 Base Entrada 2008'!$B$2:$B$5000,$T107,'3 Base Entrada 2008'!$C$2:$C$5000,$AG107,'3 Base Entrada 2008'!$K$2:$K$5000,"Entrada")</f>
        <v>648</v>
      </c>
      <c r="X107" s="82" t="n">
        <f aca="false">SUMIFS('3 Base Entrada 2008'!$G$2:$G$5000,'3 Base Entrada 2008'!$F$2:$F$5000,"&gt;="&amp;$F$5,'3 Base Entrada 2008'!$F$2:$F$5000,"&lt;="&amp;$H$5,'3 Base Entrada 2008'!$B$2:$B$5000,$T107,'3 Base Entrada 2008'!$C$2:$C$5000,$AG107,'3 Base Entrada 2008'!$K$2:$K$5000,"Estorno")</f>
        <v>0</v>
      </c>
      <c r="Y107" s="82" t="n">
        <f aca="false">ROUND(BA107+V107-W107+X107,3)</f>
        <v>-648</v>
      </c>
      <c r="Z107" s="82" t="n">
        <f aca="false">IF(AND(U107=$R$3,OR($R$1="*",T107=$R$1),OR($R$2="*",AG107=$R$2),OR($K$5="Todas",AB107=$K$5),ABS(V107)+ABS(W107)+ABS(X107)&gt;0),1,0)</f>
        <v>1</v>
      </c>
      <c r="AA107" s="82" t="n">
        <f aca="false">IF(Z107=1,SUM(Z$40:Z107),"")</f>
        <v>58</v>
      </c>
      <c r="AB107" s="0" t="str">
        <f aca="false">IF(ABS(Y107)&lt;=$R$5,"Transferido 100%",IF(Y107&gt;0,"Aguardando transferência","Saiu saldo anterior a 09/09"))</f>
        <v>Saiu saldo anterior a 09/09</v>
      </c>
      <c r="AC107" s="82" t="n">
        <f aca="false">COUNTIFS('3 Base Entrada 2008'!$F$2:$F$5000,"&gt;="&amp;$F$5,'3 Base Entrada 2008'!$F$2:$F$5000,"&lt;="&amp;$H$5,'3 Base Entrada 2008'!$B$2:$B$5000,$T107,'3 Base Entrada 2008'!$C$2:$C$5000,$AG107)</f>
        <v>1</v>
      </c>
      <c r="AD107" s="82" t="n">
        <f aca="false">_xlfn.MINIFS('3 Base Entrada 2008'!$F$2:$F$5000,'3 Base Entrada 2008'!$F$2:$F$5000,"&gt;="&amp;$F$5,'3 Base Entrada 2008'!$F$2:$F$5000,"&lt;="&amp;$H$5,'3 Base Entrada 2008'!$B$2:$B$5000,$T107,'3 Base Entrada 2008'!$C$2:$C$5000,$AG107)</f>
        <v>46288</v>
      </c>
      <c r="AE107" s="82" t="n">
        <f aca="false">_xlfn.MAXIFS('3 Base Entrada 2008'!$F$2:$F$5000,'3 Base Entrada 2008'!$F$2:$F$5000,"&gt;="&amp;$F$5,'3 Base Entrada 2008'!$F$2:$F$5000,"&lt;="&amp;$H$5,'3 Base Entrada 2008'!$B$2:$B$5000,$T107,'3 Base Entrada 2008'!$C$2:$C$5000,$AG107)</f>
        <v>46288</v>
      </c>
      <c r="AF107" s="82" t="s">
        <v>1052</v>
      </c>
      <c r="AG107" s="82" t="s">
        <v>244</v>
      </c>
      <c r="AH107" s="82" t="n">
        <f aca="false">IF(AND(Z107=1,Y107&gt;$R$5),Y107+ROW()/10000000,0)</f>
        <v>0</v>
      </c>
      <c r="BA107" s="82" t="n">
        <f aca="false">SUMIFS('3 Base Saldo Inicial 08-09'!$E$2:$E$5000,'3 Base Saldo Inicial 08-09'!$A$2:$A$5000,$T107,'3 Base Saldo Inicial 08-09'!$B$2:$B$5000,$AG107,'3 Base Saldo Inicial 08-09'!$C$2:$C$5000,"2008")</f>
        <v>0</v>
      </c>
    </row>
    <row r="108" customFormat="false" ht="15" hidden="false" customHeight="false" outlineLevel="0" collapsed="false">
      <c r="A108" s="1"/>
      <c r="B108" s="1"/>
      <c r="C108" s="1"/>
      <c r="D108" s="1"/>
      <c r="E108" s="1"/>
      <c r="F108" s="1"/>
      <c r="G108" s="1"/>
      <c r="H108" s="1"/>
      <c r="I108" s="1"/>
      <c r="J108" s="1"/>
      <c r="K108" s="1"/>
      <c r="L108" s="1"/>
      <c r="M108" s="1"/>
      <c r="N108" s="1"/>
      <c r="O108" s="1"/>
      <c r="T108" s="82" t="s">
        <v>327</v>
      </c>
      <c r="U108" s="82" t="s">
        <v>65</v>
      </c>
      <c r="V108" s="82" t="n">
        <f aca="false">SUMIFS('3 Base Entrada 2008'!$G$2:$G$5000,'3 Base Entrada 2008'!$F$2:$F$5000,"&gt;="&amp;$F$5,'3 Base Entrada 2008'!$F$2:$F$5000,"&lt;="&amp;$H$5,'3 Base Entrada 2008'!$B$2:$B$5000,$T108,'3 Base Entrada 2008'!$C$2:$C$5000,$AG108,'3 Base Entrada 2008'!$K$2:$K$5000,"Recebido no 2008")</f>
        <v>0</v>
      </c>
      <c r="W108" s="82" t="n">
        <f aca="false">-SUMIFS('3 Base Entrada 2008'!$G$2:$G$5000,'3 Base Entrada 2008'!$F$2:$F$5000,"&gt;="&amp;$F$5,'3 Base Entrada 2008'!$F$2:$F$5000,"&lt;="&amp;$H$5,'3 Base Entrada 2008'!$B$2:$B$5000,$T108,'3 Base Entrada 2008'!$C$2:$C$5000,$AG108,'3 Base Entrada 2008'!$K$2:$K$5000,"Entrada")</f>
        <v>720</v>
      </c>
      <c r="X108" s="82" t="n">
        <f aca="false">SUMIFS('3 Base Entrada 2008'!$G$2:$G$5000,'3 Base Entrada 2008'!$F$2:$F$5000,"&gt;="&amp;$F$5,'3 Base Entrada 2008'!$F$2:$F$5000,"&lt;="&amp;$H$5,'3 Base Entrada 2008'!$B$2:$B$5000,$T108,'3 Base Entrada 2008'!$C$2:$C$5000,$AG108,'3 Base Entrada 2008'!$K$2:$K$5000,"Estorno")</f>
        <v>0</v>
      </c>
      <c r="Y108" s="82" t="n">
        <f aca="false">ROUND(BA108+V108-W108+X108,3)</f>
        <v>-720</v>
      </c>
      <c r="Z108" s="82" t="n">
        <f aca="false">IF(AND(U108=$R$3,OR($R$1="*",T108=$R$1),OR($R$2="*",AG108=$R$2),OR($K$5="Todas",AB108=$K$5),ABS(V108)+ABS(W108)+ABS(X108)&gt;0),1,0)</f>
        <v>1</v>
      </c>
      <c r="AA108" s="82" t="n">
        <f aca="false">IF(Z108=1,SUM(Z$40:Z108),"")</f>
        <v>59</v>
      </c>
      <c r="AB108" s="0" t="str">
        <f aca="false">IF(ABS(Y108)&lt;=$R$5,"Transferido 100%",IF(Y108&gt;0,"Aguardando transferência","Saiu saldo anterior a 09/09"))</f>
        <v>Saiu saldo anterior a 09/09</v>
      </c>
      <c r="AC108" s="82" t="n">
        <f aca="false">COUNTIFS('3 Base Entrada 2008'!$F$2:$F$5000,"&gt;="&amp;$F$5,'3 Base Entrada 2008'!$F$2:$F$5000,"&lt;="&amp;$H$5,'3 Base Entrada 2008'!$B$2:$B$5000,$T108,'3 Base Entrada 2008'!$C$2:$C$5000,$AG108)</f>
        <v>1</v>
      </c>
      <c r="AD108" s="82" t="n">
        <f aca="false">_xlfn.MINIFS('3 Base Entrada 2008'!$F$2:$F$5000,'3 Base Entrada 2008'!$F$2:$F$5000,"&gt;="&amp;$F$5,'3 Base Entrada 2008'!$F$2:$F$5000,"&lt;="&amp;$H$5,'3 Base Entrada 2008'!$B$2:$B$5000,$T108,'3 Base Entrada 2008'!$C$2:$C$5000,$AG108)</f>
        <v>46291</v>
      </c>
      <c r="AE108" s="82" t="n">
        <f aca="false">_xlfn.MAXIFS('3 Base Entrada 2008'!$F$2:$F$5000,'3 Base Entrada 2008'!$F$2:$F$5000,"&gt;="&amp;$F$5,'3 Base Entrada 2008'!$F$2:$F$5000,"&lt;="&amp;$H$5,'3 Base Entrada 2008'!$B$2:$B$5000,$T108,'3 Base Entrada 2008'!$C$2:$C$5000,$AG108)</f>
        <v>46291</v>
      </c>
      <c r="AF108" s="82" t="s">
        <v>926</v>
      </c>
      <c r="AG108" s="82" t="s">
        <v>328</v>
      </c>
      <c r="AH108" s="82" t="n">
        <f aca="false">IF(AND(Z108=1,Y108&gt;$R$5),Y108+ROW()/10000000,0)</f>
        <v>0</v>
      </c>
      <c r="BA108" s="82" t="n">
        <f aca="false">SUMIFS('3 Base Saldo Inicial 08-09'!$E$2:$E$5000,'3 Base Saldo Inicial 08-09'!$A$2:$A$5000,$T108,'3 Base Saldo Inicial 08-09'!$B$2:$B$5000,$AG108,'3 Base Saldo Inicial 08-09'!$C$2:$C$5000,"2008")</f>
        <v>0</v>
      </c>
    </row>
    <row r="109" customFormat="false" ht="15" hidden="false" customHeight="false" outlineLevel="0" collapsed="false">
      <c r="A109" s="121" t="s">
        <v>1799</v>
      </c>
      <c r="B109" s="1"/>
      <c r="C109" s="1"/>
      <c r="D109" s="1"/>
      <c r="E109" s="1"/>
      <c r="F109" s="1"/>
      <c r="G109" s="1"/>
      <c r="H109" s="1"/>
      <c r="I109" s="1"/>
      <c r="J109" s="1"/>
      <c r="K109" s="1"/>
      <c r="L109" s="1"/>
      <c r="M109" s="1"/>
      <c r="N109" s="1"/>
      <c r="O109" s="1"/>
      <c r="T109" s="82" t="s">
        <v>276</v>
      </c>
      <c r="U109" s="82" t="s">
        <v>65</v>
      </c>
      <c r="V109" s="82" t="n">
        <f aca="false">SUMIFS('3 Base Entrada 2008'!$G$2:$G$5000,'3 Base Entrada 2008'!$F$2:$F$5000,"&gt;="&amp;$F$5,'3 Base Entrada 2008'!$F$2:$F$5000,"&lt;="&amp;$H$5,'3 Base Entrada 2008'!$B$2:$B$5000,$T109,'3 Base Entrada 2008'!$C$2:$C$5000,$AG109,'3 Base Entrada 2008'!$K$2:$K$5000,"Recebido no 2008")</f>
        <v>0</v>
      </c>
      <c r="W109" s="82" t="n">
        <f aca="false">-SUMIFS('3 Base Entrada 2008'!$G$2:$G$5000,'3 Base Entrada 2008'!$F$2:$F$5000,"&gt;="&amp;$F$5,'3 Base Entrada 2008'!$F$2:$F$5000,"&lt;="&amp;$H$5,'3 Base Entrada 2008'!$B$2:$B$5000,$T109,'3 Base Entrada 2008'!$C$2:$C$5000,$AG109,'3 Base Entrada 2008'!$K$2:$K$5000,"Entrada")</f>
        <v>763.8</v>
      </c>
      <c r="X109" s="82" t="n">
        <f aca="false">SUMIFS('3 Base Entrada 2008'!$G$2:$G$5000,'3 Base Entrada 2008'!$F$2:$F$5000,"&gt;="&amp;$F$5,'3 Base Entrada 2008'!$F$2:$F$5000,"&lt;="&amp;$H$5,'3 Base Entrada 2008'!$B$2:$B$5000,$T109,'3 Base Entrada 2008'!$C$2:$C$5000,$AG109,'3 Base Entrada 2008'!$K$2:$K$5000,"Estorno")</f>
        <v>0</v>
      </c>
      <c r="Y109" s="82" t="n">
        <f aca="false">ROUND(BA109+V109-W109+X109,3)</f>
        <v>-763.8</v>
      </c>
      <c r="Z109" s="82" t="n">
        <f aca="false">IF(AND(U109=$R$3,OR($R$1="*",T109=$R$1),OR($R$2="*",AG109=$R$2),OR($K$5="Todas",AB109=$K$5),ABS(V109)+ABS(W109)+ABS(X109)&gt;0),1,0)</f>
        <v>1</v>
      </c>
      <c r="AA109" s="82" t="n">
        <f aca="false">IF(Z109=1,SUM(Z$40:Z109),"")</f>
        <v>60</v>
      </c>
      <c r="AB109" s="0" t="str">
        <f aca="false">IF(ABS(Y109)&lt;=$R$5,"Transferido 100%",IF(Y109&gt;0,"Aguardando transferência","Saiu saldo anterior a 09/09"))</f>
        <v>Saiu saldo anterior a 09/09</v>
      </c>
      <c r="AC109" s="82" t="n">
        <f aca="false">COUNTIFS('3 Base Entrada 2008'!$F$2:$F$5000,"&gt;="&amp;$F$5,'3 Base Entrada 2008'!$F$2:$F$5000,"&lt;="&amp;$H$5,'3 Base Entrada 2008'!$B$2:$B$5000,$T109,'3 Base Entrada 2008'!$C$2:$C$5000,$AG109)</f>
        <v>1</v>
      </c>
      <c r="AD109" s="82" t="n">
        <f aca="false">_xlfn.MINIFS('3 Base Entrada 2008'!$F$2:$F$5000,'3 Base Entrada 2008'!$F$2:$F$5000,"&gt;="&amp;$F$5,'3 Base Entrada 2008'!$F$2:$F$5000,"&lt;="&amp;$H$5,'3 Base Entrada 2008'!$B$2:$B$5000,$T109,'3 Base Entrada 2008'!$C$2:$C$5000,$AG109)</f>
        <v>46291</v>
      </c>
      <c r="AE109" s="82" t="n">
        <f aca="false">_xlfn.MAXIFS('3 Base Entrada 2008'!$F$2:$F$5000,'3 Base Entrada 2008'!$F$2:$F$5000,"&gt;="&amp;$F$5,'3 Base Entrada 2008'!$F$2:$F$5000,"&lt;="&amp;$H$5,'3 Base Entrada 2008'!$B$2:$B$5000,$T109,'3 Base Entrada 2008'!$C$2:$C$5000,$AG109)</f>
        <v>46291</v>
      </c>
      <c r="AF109" s="82" t="s">
        <v>404</v>
      </c>
      <c r="AG109" s="82" t="s">
        <v>370</v>
      </c>
      <c r="AH109" s="82" t="n">
        <f aca="false">IF(AND(Z109=1,Y109&gt;$R$5),Y109+ROW()/10000000,0)</f>
        <v>0</v>
      </c>
      <c r="BA109" s="82" t="n">
        <f aca="false">SUMIFS('3 Base Saldo Inicial 08-09'!$E$2:$E$5000,'3 Base Saldo Inicial 08-09'!$A$2:$A$5000,$T109,'3 Base Saldo Inicial 08-09'!$B$2:$B$5000,$AG109,'3 Base Saldo Inicial 08-09'!$C$2:$C$5000,"2008")</f>
        <v>0</v>
      </c>
    </row>
    <row r="110" customFormat="false" ht="15" hidden="false" customHeight="false" outlineLevel="0" collapsed="false">
      <c r="A110" s="121" t="s">
        <v>1800</v>
      </c>
      <c r="B110" s="1"/>
      <c r="C110" s="1"/>
      <c r="D110" s="1"/>
      <c r="E110" s="1"/>
      <c r="F110" s="1"/>
      <c r="G110" s="1"/>
      <c r="H110" s="1"/>
      <c r="I110" s="1"/>
      <c r="J110" s="1"/>
      <c r="K110" s="1"/>
      <c r="L110" s="1"/>
      <c r="M110" s="1"/>
      <c r="N110" s="1"/>
      <c r="O110" s="1"/>
      <c r="T110" s="82" t="s">
        <v>250</v>
      </c>
      <c r="U110" s="82" t="s">
        <v>65</v>
      </c>
      <c r="V110" s="82" t="n">
        <f aca="false">SUMIFS('3 Base Entrada 2008'!$G$2:$G$5000,'3 Base Entrada 2008'!$F$2:$F$5000,"&gt;="&amp;$F$5,'3 Base Entrada 2008'!$F$2:$F$5000,"&lt;="&amp;$H$5,'3 Base Entrada 2008'!$B$2:$B$5000,$T110,'3 Base Entrada 2008'!$C$2:$C$5000,$AG110,'3 Base Entrada 2008'!$K$2:$K$5000,"Recebido no 2008")</f>
        <v>0</v>
      </c>
      <c r="W110" s="82" t="n">
        <f aca="false">-SUMIFS('3 Base Entrada 2008'!$G$2:$G$5000,'3 Base Entrada 2008'!$F$2:$F$5000,"&gt;="&amp;$F$5,'3 Base Entrada 2008'!$F$2:$F$5000,"&lt;="&amp;$H$5,'3 Base Entrada 2008'!$B$2:$B$5000,$T110,'3 Base Entrada 2008'!$C$2:$C$5000,$AG110,'3 Base Entrada 2008'!$K$2:$K$5000,"Entrada")</f>
        <v>806.4</v>
      </c>
      <c r="X110" s="82" t="n">
        <f aca="false">SUMIFS('3 Base Entrada 2008'!$G$2:$G$5000,'3 Base Entrada 2008'!$F$2:$F$5000,"&gt;="&amp;$F$5,'3 Base Entrada 2008'!$F$2:$F$5000,"&lt;="&amp;$H$5,'3 Base Entrada 2008'!$B$2:$B$5000,$T110,'3 Base Entrada 2008'!$C$2:$C$5000,$AG110,'3 Base Entrada 2008'!$K$2:$K$5000,"Estorno")</f>
        <v>0</v>
      </c>
      <c r="Y110" s="82" t="n">
        <f aca="false">ROUND(BA110+V110-W110+X110,3)</f>
        <v>-806.4</v>
      </c>
      <c r="Z110" s="82" t="n">
        <f aca="false">IF(AND(U110=$R$3,OR($R$1="*",T110=$R$1),OR($R$2="*",AG110=$R$2),OR($K$5="Todas",AB110=$K$5),ABS(V110)+ABS(W110)+ABS(X110)&gt;0),1,0)</f>
        <v>1</v>
      </c>
      <c r="AA110" s="82" t="n">
        <f aca="false">IF(Z110=1,SUM(Z$40:Z110),"")</f>
        <v>61</v>
      </c>
      <c r="AB110" s="0" t="str">
        <f aca="false">IF(ABS(Y110)&lt;=$R$5,"Transferido 100%",IF(Y110&gt;0,"Aguardando transferência","Saiu saldo anterior a 09/09"))</f>
        <v>Saiu saldo anterior a 09/09</v>
      </c>
      <c r="AC110" s="82" t="n">
        <f aca="false">COUNTIFS('3 Base Entrada 2008'!$F$2:$F$5000,"&gt;="&amp;$F$5,'3 Base Entrada 2008'!$F$2:$F$5000,"&lt;="&amp;$H$5,'3 Base Entrada 2008'!$B$2:$B$5000,$T110,'3 Base Entrada 2008'!$C$2:$C$5000,$AG110)</f>
        <v>3</v>
      </c>
      <c r="AD110" s="82" t="n">
        <f aca="false">_xlfn.MINIFS('3 Base Entrada 2008'!$F$2:$F$5000,'3 Base Entrada 2008'!$F$2:$F$5000,"&gt;="&amp;$F$5,'3 Base Entrada 2008'!$F$2:$F$5000,"&lt;="&amp;$H$5,'3 Base Entrada 2008'!$B$2:$B$5000,$T110,'3 Base Entrada 2008'!$C$2:$C$5000,$AG110)</f>
        <v>46294</v>
      </c>
      <c r="AE110" s="82" t="n">
        <f aca="false">_xlfn.MAXIFS('3 Base Entrada 2008'!$F$2:$F$5000,'3 Base Entrada 2008'!$F$2:$F$5000,"&gt;="&amp;$F$5,'3 Base Entrada 2008'!$F$2:$F$5000,"&lt;="&amp;$H$5,'3 Base Entrada 2008'!$B$2:$B$5000,$T110,'3 Base Entrada 2008'!$C$2:$C$5000,$AG110)</f>
        <v>46294</v>
      </c>
      <c r="AF110" s="82" t="s">
        <v>1104</v>
      </c>
      <c r="AG110" s="82" t="s">
        <v>251</v>
      </c>
      <c r="AH110" s="82" t="n">
        <f aca="false">IF(AND(Z110=1,Y110&gt;$R$5),Y110+ROW()/10000000,0)</f>
        <v>0</v>
      </c>
      <c r="BA110" s="82" t="n">
        <f aca="false">SUMIFS('3 Base Saldo Inicial 08-09'!$E$2:$E$5000,'3 Base Saldo Inicial 08-09'!$A$2:$A$5000,$T110,'3 Base Saldo Inicial 08-09'!$B$2:$B$5000,$AG110,'3 Base Saldo Inicial 08-09'!$C$2:$C$5000,"2008")</f>
        <v>0</v>
      </c>
    </row>
    <row r="111" customFormat="false" ht="16.15" hidden="false" customHeight="false" outlineLevel="0" collapsed="false">
      <c r="A111" s="9" t="s">
        <v>1801</v>
      </c>
      <c r="B111" s="1"/>
      <c r="C111" s="1"/>
      <c r="D111" s="1"/>
      <c r="E111" s="1"/>
      <c r="F111" s="1"/>
      <c r="G111" s="1"/>
      <c r="H111" s="1"/>
      <c r="I111" s="1"/>
      <c r="J111" s="1"/>
      <c r="K111" s="1"/>
      <c r="L111" s="1"/>
      <c r="M111" s="1"/>
      <c r="N111" s="1"/>
      <c r="O111" s="1"/>
      <c r="T111" s="82" t="s">
        <v>380</v>
      </c>
      <c r="U111" s="82" t="s">
        <v>65</v>
      </c>
      <c r="V111" s="82" t="n">
        <f aca="false">SUMIFS('3 Base Entrada 2008'!$G$2:$G$5000,'3 Base Entrada 2008'!$F$2:$F$5000,"&gt;="&amp;$F$5,'3 Base Entrada 2008'!$F$2:$F$5000,"&lt;="&amp;$H$5,'3 Base Entrada 2008'!$B$2:$B$5000,$T111,'3 Base Entrada 2008'!$C$2:$C$5000,$AG111,'3 Base Entrada 2008'!$K$2:$K$5000,"Recebido no 2008")</f>
        <v>0</v>
      </c>
      <c r="W111" s="82" t="n">
        <f aca="false">-SUMIFS('3 Base Entrada 2008'!$G$2:$G$5000,'3 Base Entrada 2008'!$F$2:$F$5000,"&gt;="&amp;$F$5,'3 Base Entrada 2008'!$F$2:$F$5000,"&lt;="&amp;$H$5,'3 Base Entrada 2008'!$B$2:$B$5000,$T111,'3 Base Entrada 2008'!$C$2:$C$5000,$AG111,'3 Base Entrada 2008'!$K$2:$K$5000,"Entrada")</f>
        <v>850</v>
      </c>
      <c r="X111" s="82" t="n">
        <f aca="false">SUMIFS('3 Base Entrada 2008'!$G$2:$G$5000,'3 Base Entrada 2008'!$F$2:$F$5000,"&gt;="&amp;$F$5,'3 Base Entrada 2008'!$F$2:$F$5000,"&lt;="&amp;$H$5,'3 Base Entrada 2008'!$B$2:$B$5000,$T111,'3 Base Entrada 2008'!$C$2:$C$5000,$AG111,'3 Base Entrada 2008'!$K$2:$K$5000,"Estorno")</f>
        <v>0</v>
      </c>
      <c r="Y111" s="82" t="n">
        <f aca="false">ROUND(BA111+V111-W111+X111,3)</f>
        <v>-850</v>
      </c>
      <c r="Z111" s="82" t="n">
        <f aca="false">IF(AND(U111=$R$3,OR($R$1="*",T111=$R$1),OR($R$2="*",AG111=$R$2),OR($K$5="Todas",AB111=$K$5),ABS(V111)+ABS(W111)+ABS(X111)&gt;0),1,0)</f>
        <v>1</v>
      </c>
      <c r="AA111" s="82" t="n">
        <f aca="false">IF(Z111=1,SUM(Z$40:Z111),"")</f>
        <v>62</v>
      </c>
      <c r="AB111" s="0" t="str">
        <f aca="false">IF(ABS(Y111)&lt;=$R$5,"Transferido 100%",IF(Y111&gt;0,"Aguardando transferência","Saiu saldo anterior a 09/09"))</f>
        <v>Saiu saldo anterior a 09/09</v>
      </c>
      <c r="AC111" s="82" t="n">
        <f aca="false">COUNTIFS('3 Base Entrada 2008'!$F$2:$F$5000,"&gt;="&amp;$F$5,'3 Base Entrada 2008'!$F$2:$F$5000,"&lt;="&amp;$H$5,'3 Base Entrada 2008'!$B$2:$B$5000,$T111,'3 Base Entrada 2008'!$C$2:$C$5000,$AG111)</f>
        <v>1</v>
      </c>
      <c r="AD111" s="82" t="n">
        <f aca="false">_xlfn.MINIFS('3 Base Entrada 2008'!$F$2:$F$5000,'3 Base Entrada 2008'!$F$2:$F$5000,"&gt;="&amp;$F$5,'3 Base Entrada 2008'!$F$2:$F$5000,"&lt;="&amp;$H$5,'3 Base Entrada 2008'!$B$2:$B$5000,$T111,'3 Base Entrada 2008'!$C$2:$C$5000,$AG111)</f>
        <v>46291</v>
      </c>
      <c r="AE111" s="82" t="n">
        <f aca="false">_xlfn.MAXIFS('3 Base Entrada 2008'!$F$2:$F$5000,'3 Base Entrada 2008'!$F$2:$F$5000,"&gt;="&amp;$F$5,'3 Base Entrada 2008'!$F$2:$F$5000,"&lt;="&amp;$H$5,'3 Base Entrada 2008'!$B$2:$B$5000,$T111,'3 Base Entrada 2008'!$C$2:$C$5000,$AG111)</f>
        <v>46291</v>
      </c>
      <c r="AF111" s="82" t="s">
        <v>1349</v>
      </c>
      <c r="AG111" s="82" t="s">
        <v>381</v>
      </c>
      <c r="AH111" s="82" t="n">
        <f aca="false">IF(AND(Z111=1,Y111&gt;$R$5),Y111+ROW()/10000000,0)</f>
        <v>0</v>
      </c>
      <c r="BA111" s="82" t="n">
        <f aca="false">SUMIFS('3 Base Saldo Inicial 08-09'!$E$2:$E$5000,'3 Base Saldo Inicial 08-09'!$A$2:$A$5000,$T111,'3 Base Saldo Inicial 08-09'!$B$2:$B$5000,$AG111,'3 Base Saldo Inicial 08-09'!$C$2:$C$5000,"2008")</f>
        <v>0</v>
      </c>
    </row>
    <row r="112" customFormat="false" ht="15" hidden="false" customHeight="false" outlineLevel="0" collapsed="false">
      <c r="A112" s="121" t="s">
        <v>1802</v>
      </c>
      <c r="B112" s="1"/>
      <c r="C112" s="1"/>
      <c r="D112" s="1"/>
      <c r="E112" s="1"/>
      <c r="F112" s="1"/>
      <c r="G112" s="1"/>
      <c r="H112" s="1"/>
      <c r="I112" s="1"/>
      <c r="J112" s="1"/>
      <c r="K112" s="1"/>
      <c r="L112" s="1"/>
      <c r="M112" s="1"/>
      <c r="N112" s="1"/>
      <c r="O112" s="1"/>
      <c r="T112" s="82" t="s">
        <v>232</v>
      </c>
      <c r="U112" s="82" t="s">
        <v>146</v>
      </c>
      <c r="V112" s="82" t="n">
        <f aca="false">SUMIFS('3 Base Entrada 2008'!$G$2:$G$5000,'3 Base Entrada 2008'!$F$2:$F$5000,"&gt;="&amp;$F$5,'3 Base Entrada 2008'!$F$2:$F$5000,"&lt;="&amp;$H$5,'3 Base Entrada 2008'!$B$2:$B$5000,$T112,'3 Base Entrada 2008'!$C$2:$C$5000,$AG112,'3 Base Entrada 2008'!$K$2:$K$5000,"Recebido no 2008")</f>
        <v>0</v>
      </c>
      <c r="W112" s="82" t="n">
        <f aca="false">-SUMIFS('3 Base Entrada 2008'!$G$2:$G$5000,'3 Base Entrada 2008'!$F$2:$F$5000,"&gt;="&amp;$F$5,'3 Base Entrada 2008'!$F$2:$F$5000,"&lt;="&amp;$H$5,'3 Base Entrada 2008'!$B$2:$B$5000,$T112,'3 Base Entrada 2008'!$C$2:$C$5000,$AG112,'3 Base Entrada 2008'!$K$2:$K$5000,"Entrada")</f>
        <v>900</v>
      </c>
      <c r="X112" s="82" t="n">
        <f aca="false">SUMIFS('3 Base Entrada 2008'!$G$2:$G$5000,'3 Base Entrada 2008'!$F$2:$F$5000,"&gt;="&amp;$F$5,'3 Base Entrada 2008'!$F$2:$F$5000,"&lt;="&amp;$H$5,'3 Base Entrada 2008'!$B$2:$B$5000,$T112,'3 Base Entrada 2008'!$C$2:$C$5000,$AG112,'3 Base Entrada 2008'!$K$2:$K$5000,"Estorno")</f>
        <v>0</v>
      </c>
      <c r="Y112" s="82" t="n">
        <f aca="false">ROUND(BA112+V112-W112+X112,3)</f>
        <v>-900</v>
      </c>
      <c r="Z112" s="82" t="n">
        <f aca="false">IF(AND(U112=$R$3,OR($R$1="*",T112=$R$1),OR($R$2="*",AG112=$R$2),OR($K$5="Todas",AB112=$K$5),ABS(V112)+ABS(W112)+ABS(X112)&gt;0),1,0)</f>
        <v>0</v>
      </c>
      <c r="AA112" s="0" t="str">
        <f aca="false">IF(Z112=1,SUM(Z$40:Z112),"")</f>
        <v/>
      </c>
      <c r="AB112" s="0" t="str">
        <f aca="false">IF(ABS(Y112)&lt;=$R$5,"Transferido 100%",IF(Y112&gt;0,"Aguardando transferência","Saiu saldo anterior a 09/09"))</f>
        <v>Saiu saldo anterior a 09/09</v>
      </c>
      <c r="AC112" s="82" t="n">
        <f aca="false">COUNTIFS('3 Base Entrada 2008'!$F$2:$F$5000,"&gt;="&amp;$F$5,'3 Base Entrada 2008'!$F$2:$F$5000,"&lt;="&amp;$H$5,'3 Base Entrada 2008'!$B$2:$B$5000,$T112,'3 Base Entrada 2008'!$C$2:$C$5000,$AG112)</f>
        <v>1</v>
      </c>
      <c r="AD112" s="82" t="n">
        <f aca="false">_xlfn.MINIFS('3 Base Entrada 2008'!$F$2:$F$5000,'3 Base Entrada 2008'!$F$2:$F$5000,"&gt;="&amp;$F$5,'3 Base Entrada 2008'!$F$2:$F$5000,"&lt;="&amp;$H$5,'3 Base Entrada 2008'!$B$2:$B$5000,$T112,'3 Base Entrada 2008'!$C$2:$C$5000,$AG112)</f>
        <v>46291</v>
      </c>
      <c r="AE112" s="82" t="n">
        <f aca="false">_xlfn.MAXIFS('3 Base Entrada 2008'!$F$2:$F$5000,'3 Base Entrada 2008'!$F$2:$F$5000,"&gt;="&amp;$F$5,'3 Base Entrada 2008'!$F$2:$F$5000,"&lt;="&amp;$H$5,'3 Base Entrada 2008'!$B$2:$B$5000,$T112,'3 Base Entrada 2008'!$C$2:$C$5000,$AG112)</f>
        <v>46291</v>
      </c>
      <c r="AF112" s="82" t="s">
        <v>939</v>
      </c>
      <c r="AG112" s="82" t="s">
        <v>334</v>
      </c>
      <c r="AH112" s="82" t="n">
        <f aca="false">IF(AND(Z112=1,Y112&gt;$R$5),Y112+ROW()/10000000,0)</f>
        <v>0</v>
      </c>
      <c r="BA112" s="82" t="n">
        <f aca="false">SUMIFS('3 Base Saldo Inicial 08-09'!$E$2:$E$5000,'3 Base Saldo Inicial 08-09'!$A$2:$A$5000,$T112,'3 Base Saldo Inicial 08-09'!$B$2:$B$5000,$AG112,'3 Base Saldo Inicial 08-09'!$C$2:$C$5000,"2008")</f>
        <v>0</v>
      </c>
    </row>
    <row r="113" customFormat="false" ht="15" hidden="false" customHeight="false" outlineLevel="0" collapsed="false">
      <c r="A113" s="146" t="s">
        <v>162</v>
      </c>
      <c r="B113" s="146" t="str">
        <f aca="false">"Quantidade ("&amp;$R$3&amp;")"</f>
        <v>Quantidade (KG)</v>
      </c>
      <c r="C113" s="1"/>
      <c r="D113" s="146" t="s">
        <v>1803</v>
      </c>
      <c r="E113" s="146" t="s">
        <v>1804</v>
      </c>
      <c r="F113" s="1"/>
      <c r="G113" s="1"/>
      <c r="H113" s="1"/>
      <c r="I113" s="1"/>
      <c r="J113" s="1"/>
      <c r="K113" s="1"/>
      <c r="L113" s="1"/>
      <c r="M113" s="1"/>
      <c r="N113" s="1"/>
      <c r="O113" s="1"/>
      <c r="T113" s="82" t="s">
        <v>269</v>
      </c>
      <c r="U113" s="82" t="s">
        <v>65</v>
      </c>
      <c r="V113" s="82" t="n">
        <f aca="false">SUMIFS('3 Base Entrada 2008'!$G$2:$G$5000,'3 Base Entrada 2008'!$F$2:$F$5000,"&gt;="&amp;$F$5,'3 Base Entrada 2008'!$F$2:$F$5000,"&lt;="&amp;$H$5,'3 Base Entrada 2008'!$B$2:$B$5000,$T113,'3 Base Entrada 2008'!$C$2:$C$5000,$AG113,'3 Base Entrada 2008'!$K$2:$K$5000,"Recebido no 2008")</f>
        <v>0</v>
      </c>
      <c r="W113" s="82" t="n">
        <f aca="false">-SUMIFS('3 Base Entrada 2008'!$G$2:$G$5000,'3 Base Entrada 2008'!$F$2:$F$5000,"&gt;="&amp;$F$5,'3 Base Entrada 2008'!$F$2:$F$5000,"&lt;="&amp;$H$5,'3 Base Entrada 2008'!$B$2:$B$5000,$T113,'3 Base Entrada 2008'!$C$2:$C$5000,$AG113,'3 Base Entrada 2008'!$K$2:$K$5000,"Entrada")</f>
        <v>918</v>
      </c>
      <c r="X113" s="82" t="n">
        <f aca="false">SUMIFS('3 Base Entrada 2008'!$G$2:$G$5000,'3 Base Entrada 2008'!$F$2:$F$5000,"&gt;="&amp;$F$5,'3 Base Entrada 2008'!$F$2:$F$5000,"&lt;="&amp;$H$5,'3 Base Entrada 2008'!$B$2:$B$5000,$T113,'3 Base Entrada 2008'!$C$2:$C$5000,$AG113,'3 Base Entrada 2008'!$K$2:$K$5000,"Estorno")</f>
        <v>0</v>
      </c>
      <c r="Y113" s="82" t="n">
        <f aca="false">ROUND(BA113+V113-W113+X113,3)</f>
        <v>-918</v>
      </c>
      <c r="Z113" s="82" t="n">
        <f aca="false">IF(AND(U113=$R$3,OR($R$1="*",T113=$R$1),OR($R$2="*",AG113=$R$2),OR($K$5="Todas",AB113=$K$5),ABS(V113)+ABS(W113)+ABS(X113)&gt;0),1,0)</f>
        <v>1</v>
      </c>
      <c r="AA113" s="82" t="n">
        <f aca="false">IF(Z113=1,SUM(Z$40:Z113),"")</f>
        <v>63</v>
      </c>
      <c r="AB113" s="0" t="str">
        <f aca="false">IF(ABS(Y113)&lt;=$R$5,"Transferido 100%",IF(Y113&gt;0,"Aguardando transferência","Saiu saldo anterior a 09/09"))</f>
        <v>Saiu saldo anterior a 09/09</v>
      </c>
      <c r="AC113" s="82" t="n">
        <f aca="false">COUNTIFS('3 Base Entrada 2008'!$F$2:$F$5000,"&gt;="&amp;$F$5,'3 Base Entrada 2008'!$F$2:$F$5000,"&lt;="&amp;$H$5,'3 Base Entrada 2008'!$B$2:$B$5000,$T113,'3 Base Entrada 2008'!$C$2:$C$5000,$AG113)</f>
        <v>3</v>
      </c>
      <c r="AD113" s="82" t="n">
        <f aca="false">_xlfn.MINIFS('3 Base Entrada 2008'!$F$2:$F$5000,'3 Base Entrada 2008'!$F$2:$F$5000,"&gt;="&amp;$F$5,'3 Base Entrada 2008'!$F$2:$F$5000,"&lt;="&amp;$H$5,'3 Base Entrada 2008'!$B$2:$B$5000,$T113,'3 Base Entrada 2008'!$C$2:$C$5000,$AG113)</f>
        <v>46286</v>
      </c>
      <c r="AE113" s="82" t="n">
        <f aca="false">_xlfn.MAXIFS('3 Base Entrada 2008'!$F$2:$F$5000,'3 Base Entrada 2008'!$F$2:$F$5000,"&gt;="&amp;$F$5,'3 Base Entrada 2008'!$F$2:$F$5000,"&lt;="&amp;$H$5,'3 Base Entrada 2008'!$B$2:$B$5000,$T113,'3 Base Entrada 2008'!$C$2:$C$5000,$AG113)</f>
        <v>46286</v>
      </c>
      <c r="AF113" s="82" t="s">
        <v>1206</v>
      </c>
      <c r="AG113" s="82" t="s">
        <v>270</v>
      </c>
      <c r="AH113" s="82" t="n">
        <f aca="false">IF(AND(Z113=1,Y113&gt;$R$5),Y113+ROW()/10000000,0)</f>
        <v>0</v>
      </c>
      <c r="BA113" s="82" t="n">
        <f aca="false">SUMIFS('3 Base Saldo Inicial 08-09'!$E$2:$E$5000,'3 Base Saldo Inicial 08-09'!$A$2:$A$5000,$T113,'3 Base Saldo Inicial 08-09'!$B$2:$B$5000,$AG113,'3 Base Saldo Inicial 08-09'!$C$2:$C$5000,"2008")</f>
        <v>0</v>
      </c>
    </row>
    <row r="114" customFormat="false" ht="15" hidden="false" customHeight="false" outlineLevel="0" collapsed="false">
      <c r="A114" s="7" t="s">
        <v>163</v>
      </c>
      <c r="B114" s="147" t="n">
        <f aca="false">A10</f>
        <v>77159.5</v>
      </c>
      <c r="C114" s="1"/>
      <c r="D114" s="7" t="s">
        <v>1780</v>
      </c>
      <c r="E114" s="7" t="n">
        <f aca="false">COUNTIFS($Z$40:$Z$133,1,$AB$40:$AB$133,"Aguardando transferência")</f>
        <v>30</v>
      </c>
      <c r="F114" s="1"/>
      <c r="G114" s="1"/>
      <c r="H114" s="1"/>
      <c r="I114" s="1"/>
      <c r="J114" s="1"/>
      <c r="K114" s="1"/>
      <c r="L114" s="1"/>
      <c r="M114" s="1"/>
      <c r="N114" s="1"/>
      <c r="O114" s="1"/>
      <c r="T114" s="82" t="s">
        <v>198</v>
      </c>
      <c r="U114" s="82" t="s">
        <v>65</v>
      </c>
      <c r="V114" s="82" t="n">
        <f aca="false">SUMIFS('3 Base Entrada 2008'!$G$2:$G$5000,'3 Base Entrada 2008'!$F$2:$F$5000,"&gt;="&amp;$F$5,'3 Base Entrada 2008'!$F$2:$F$5000,"&lt;="&amp;$H$5,'3 Base Entrada 2008'!$B$2:$B$5000,$T114,'3 Base Entrada 2008'!$C$2:$C$5000,$AG114,'3 Base Entrada 2008'!$K$2:$K$5000,"Recebido no 2008")</f>
        <v>0</v>
      </c>
      <c r="W114" s="82" t="n">
        <f aca="false">-SUMIFS('3 Base Entrada 2008'!$G$2:$G$5000,'3 Base Entrada 2008'!$F$2:$F$5000,"&gt;="&amp;$F$5,'3 Base Entrada 2008'!$F$2:$F$5000,"&lt;="&amp;$H$5,'3 Base Entrada 2008'!$B$2:$B$5000,$T114,'3 Base Entrada 2008'!$C$2:$C$5000,$AG114,'3 Base Entrada 2008'!$K$2:$K$5000,"Entrada")</f>
        <v>940.8</v>
      </c>
      <c r="X114" s="82" t="n">
        <f aca="false">SUMIFS('3 Base Entrada 2008'!$G$2:$G$5000,'3 Base Entrada 2008'!$F$2:$F$5000,"&gt;="&amp;$F$5,'3 Base Entrada 2008'!$F$2:$F$5000,"&lt;="&amp;$H$5,'3 Base Entrada 2008'!$B$2:$B$5000,$T114,'3 Base Entrada 2008'!$C$2:$C$5000,$AG114,'3 Base Entrada 2008'!$K$2:$K$5000,"Estorno")</f>
        <v>0</v>
      </c>
      <c r="Y114" s="82" t="n">
        <f aca="false">ROUND(BA114+V114-W114+X114,3)</f>
        <v>-940.8</v>
      </c>
      <c r="Z114" s="82" t="n">
        <f aca="false">IF(AND(U114=$R$3,OR($R$1="*",T114=$R$1),OR($R$2="*",AG114=$R$2),OR($K$5="Todas",AB114=$K$5),ABS(V114)+ABS(W114)+ABS(X114)&gt;0),1,0)</f>
        <v>1</v>
      </c>
      <c r="AA114" s="82" t="n">
        <f aca="false">IF(Z114=1,SUM(Z$40:Z114),"")</f>
        <v>64</v>
      </c>
      <c r="AB114" s="0" t="str">
        <f aca="false">IF(ABS(Y114)&lt;=$R$5,"Transferido 100%",IF(Y114&gt;0,"Aguardando transferência","Saiu saldo anterior a 09/09"))</f>
        <v>Saiu saldo anterior a 09/09</v>
      </c>
      <c r="AC114" s="82" t="n">
        <f aca="false">COUNTIFS('3 Base Entrada 2008'!$F$2:$F$5000,"&gt;="&amp;$F$5,'3 Base Entrada 2008'!$F$2:$F$5000,"&lt;="&amp;$H$5,'3 Base Entrada 2008'!$B$2:$B$5000,$T114,'3 Base Entrada 2008'!$C$2:$C$5000,$AG114)</f>
        <v>1</v>
      </c>
      <c r="AD114" s="82" t="n">
        <f aca="false">_xlfn.MINIFS('3 Base Entrada 2008'!$F$2:$F$5000,'3 Base Entrada 2008'!$F$2:$F$5000,"&gt;="&amp;$F$5,'3 Base Entrada 2008'!$F$2:$F$5000,"&lt;="&amp;$H$5,'3 Base Entrada 2008'!$B$2:$B$5000,$T114,'3 Base Entrada 2008'!$C$2:$C$5000,$AG114)</f>
        <v>46288</v>
      </c>
      <c r="AE114" s="82" t="n">
        <f aca="false">_xlfn.MAXIFS('3 Base Entrada 2008'!$F$2:$F$5000,'3 Base Entrada 2008'!$F$2:$F$5000,"&gt;="&amp;$F$5,'3 Base Entrada 2008'!$F$2:$F$5000,"&lt;="&amp;$H$5,'3 Base Entrada 2008'!$B$2:$B$5000,$T114,'3 Base Entrada 2008'!$C$2:$C$5000,$AG114)</f>
        <v>46288</v>
      </c>
      <c r="AF114" s="82" t="s">
        <v>522</v>
      </c>
      <c r="AG114" s="82" t="s">
        <v>199</v>
      </c>
      <c r="AH114" s="82" t="n">
        <f aca="false">IF(AND(Z114=1,Y114&gt;$R$5),Y114+ROW()/10000000,0)</f>
        <v>0</v>
      </c>
      <c r="BA114" s="82" t="n">
        <f aca="false">SUMIFS('3 Base Saldo Inicial 08-09'!$E$2:$E$5000,'3 Base Saldo Inicial 08-09'!$A$2:$A$5000,$T114,'3 Base Saldo Inicial 08-09'!$B$2:$B$5000,$AG114,'3 Base Saldo Inicial 08-09'!$C$2:$C$5000,"2008")</f>
        <v>0</v>
      </c>
    </row>
    <row r="115" customFormat="false" ht="15" hidden="false" customHeight="false" outlineLevel="0" collapsed="false">
      <c r="A115" s="7" t="s">
        <v>164</v>
      </c>
      <c r="B115" s="147" t="n">
        <f aca="false">C10</f>
        <v>67865.28</v>
      </c>
      <c r="C115" s="1"/>
      <c r="D115" s="7" t="s">
        <v>1781</v>
      </c>
      <c r="E115" s="7" t="n">
        <f aca="false">COUNTIFS($Z$40:$Z$133,1,$AB$40:$AB$133,"Transferido 100%")</f>
        <v>1</v>
      </c>
      <c r="F115" s="1"/>
      <c r="G115" s="1"/>
      <c r="H115" s="1"/>
      <c r="I115" s="1"/>
      <c r="J115" s="1"/>
      <c r="K115" s="1"/>
      <c r="L115" s="1"/>
      <c r="M115" s="1"/>
      <c r="N115" s="1"/>
      <c r="O115" s="1"/>
      <c r="T115" s="82" t="s">
        <v>257</v>
      </c>
      <c r="U115" s="82" t="s">
        <v>65</v>
      </c>
      <c r="V115" s="82" t="n">
        <f aca="false">SUMIFS('3 Base Entrada 2008'!$G$2:$G$5000,'3 Base Entrada 2008'!$F$2:$F$5000,"&gt;="&amp;$F$5,'3 Base Entrada 2008'!$F$2:$F$5000,"&lt;="&amp;$H$5,'3 Base Entrada 2008'!$B$2:$B$5000,$T115,'3 Base Entrada 2008'!$C$2:$C$5000,$AG115,'3 Base Entrada 2008'!$K$2:$K$5000,"Recebido no 2008")</f>
        <v>0</v>
      </c>
      <c r="W115" s="82" t="n">
        <f aca="false">-SUMIFS('3 Base Entrada 2008'!$G$2:$G$5000,'3 Base Entrada 2008'!$F$2:$F$5000,"&gt;="&amp;$F$5,'3 Base Entrada 2008'!$F$2:$F$5000,"&lt;="&amp;$H$5,'3 Base Entrada 2008'!$B$2:$B$5000,$T115,'3 Base Entrada 2008'!$C$2:$C$5000,$AG115,'3 Base Entrada 2008'!$K$2:$K$5000,"Entrada")</f>
        <v>1030</v>
      </c>
      <c r="X115" s="82" t="n">
        <f aca="false">SUMIFS('3 Base Entrada 2008'!$G$2:$G$5000,'3 Base Entrada 2008'!$F$2:$F$5000,"&gt;="&amp;$F$5,'3 Base Entrada 2008'!$F$2:$F$5000,"&lt;="&amp;$H$5,'3 Base Entrada 2008'!$B$2:$B$5000,$T115,'3 Base Entrada 2008'!$C$2:$C$5000,$AG115,'3 Base Entrada 2008'!$K$2:$K$5000,"Estorno")</f>
        <v>64</v>
      </c>
      <c r="Y115" s="82" t="n">
        <f aca="false">ROUND(BA115+V115-W115+X115,3)</f>
        <v>-966</v>
      </c>
      <c r="Z115" s="82" t="n">
        <f aca="false">IF(AND(U115=$R$3,OR($R$1="*",T115=$R$1),OR($R$2="*",AG115=$R$2),OR($K$5="Todas",AB115=$K$5),ABS(V115)+ABS(W115)+ABS(X115)&gt;0),1,0)</f>
        <v>1</v>
      </c>
      <c r="AA115" s="82" t="n">
        <f aca="false">IF(Z115=1,SUM(Z$40:Z115),"")</f>
        <v>65</v>
      </c>
      <c r="AB115" s="0" t="str">
        <f aca="false">IF(ABS(Y115)&lt;=$R$5,"Transferido 100%",IF(Y115&gt;0,"Aguardando transferência","Saiu saldo anterior a 09/09"))</f>
        <v>Saiu saldo anterior a 09/09</v>
      </c>
      <c r="AC115" s="82" t="n">
        <f aca="false">COUNTIFS('3 Base Entrada 2008'!$F$2:$F$5000,"&gt;="&amp;$F$5,'3 Base Entrada 2008'!$F$2:$F$5000,"&lt;="&amp;$H$5,'3 Base Entrada 2008'!$B$2:$B$5000,$T115,'3 Base Entrada 2008'!$C$2:$C$5000,$AG115)</f>
        <v>5</v>
      </c>
      <c r="AD115" s="82" t="n">
        <f aca="false">_xlfn.MINIFS('3 Base Entrada 2008'!$F$2:$F$5000,'3 Base Entrada 2008'!$F$2:$F$5000,"&gt;="&amp;$F$5,'3 Base Entrada 2008'!$F$2:$F$5000,"&lt;="&amp;$H$5,'3 Base Entrada 2008'!$B$2:$B$5000,$T115,'3 Base Entrada 2008'!$C$2:$C$5000,$AG115)</f>
        <v>46289</v>
      </c>
      <c r="AE115" s="82" t="n">
        <f aca="false">_xlfn.MAXIFS('3 Base Entrada 2008'!$F$2:$F$5000,'3 Base Entrada 2008'!$F$2:$F$5000,"&gt;="&amp;$F$5,'3 Base Entrada 2008'!$F$2:$F$5000,"&lt;="&amp;$H$5,'3 Base Entrada 2008'!$B$2:$B$5000,$T115,'3 Base Entrada 2008'!$C$2:$C$5000,$AG115)</f>
        <v>46291</v>
      </c>
      <c r="AF115" s="82" t="s">
        <v>1152</v>
      </c>
      <c r="AG115" s="82" t="s">
        <v>258</v>
      </c>
      <c r="AH115" s="82" t="n">
        <f aca="false">IF(AND(Z115=1,Y115&gt;$R$5),Y115+ROW()/10000000,0)</f>
        <v>0</v>
      </c>
      <c r="BA115" s="82" t="n">
        <f aca="false">SUMIFS('3 Base Saldo Inicial 08-09'!$E$2:$E$5000,'3 Base Saldo Inicial 08-09'!$A$2:$A$5000,$T115,'3 Base Saldo Inicial 08-09'!$B$2:$B$5000,$AG115,'3 Base Saldo Inicial 08-09'!$C$2:$C$5000,"2008")</f>
        <v>0</v>
      </c>
    </row>
    <row r="116" customFormat="false" ht="15" hidden="false" customHeight="false" outlineLevel="0" collapsed="false">
      <c r="A116" s="7" t="s">
        <v>1805</v>
      </c>
      <c r="B116" s="147" t="n">
        <f aca="false">F10</f>
        <v>1935</v>
      </c>
      <c r="C116" s="1"/>
      <c r="D116" s="7" t="s">
        <v>1782</v>
      </c>
      <c r="E116" s="7" t="n">
        <f aca="false">COUNTIFS($Z$40:$Z$133,1,$AB$40:$AB$133,"Saiu saldo anterior a 09/09")</f>
        <v>50</v>
      </c>
      <c r="F116" s="1"/>
      <c r="G116" s="1"/>
      <c r="H116" s="1"/>
      <c r="I116" s="1"/>
      <c r="J116" s="1"/>
      <c r="K116" s="1"/>
      <c r="L116" s="1"/>
      <c r="M116" s="1"/>
      <c r="N116" s="1"/>
      <c r="O116" s="1"/>
      <c r="T116" s="82" t="s">
        <v>225</v>
      </c>
      <c r="U116" s="82" t="s">
        <v>65</v>
      </c>
      <c r="V116" s="82" t="n">
        <f aca="false">SUMIFS('3 Base Entrada 2008'!$G$2:$G$5000,'3 Base Entrada 2008'!$F$2:$F$5000,"&gt;="&amp;$F$5,'3 Base Entrada 2008'!$F$2:$F$5000,"&lt;="&amp;$H$5,'3 Base Entrada 2008'!$B$2:$B$5000,$T116,'3 Base Entrada 2008'!$C$2:$C$5000,$AG116,'3 Base Entrada 2008'!$K$2:$K$5000,"Recebido no 2008")</f>
        <v>0</v>
      </c>
      <c r="W116" s="82" t="n">
        <f aca="false">-SUMIFS('3 Base Entrada 2008'!$G$2:$G$5000,'3 Base Entrada 2008'!$F$2:$F$5000,"&gt;="&amp;$F$5,'3 Base Entrada 2008'!$F$2:$F$5000,"&lt;="&amp;$H$5,'3 Base Entrada 2008'!$B$2:$B$5000,$T116,'3 Base Entrada 2008'!$C$2:$C$5000,$AG116,'3 Base Entrada 2008'!$K$2:$K$5000,"Entrada")</f>
        <v>1000</v>
      </c>
      <c r="X116" s="82" t="n">
        <f aca="false">SUMIFS('3 Base Entrada 2008'!$G$2:$G$5000,'3 Base Entrada 2008'!$F$2:$F$5000,"&gt;="&amp;$F$5,'3 Base Entrada 2008'!$F$2:$F$5000,"&lt;="&amp;$H$5,'3 Base Entrada 2008'!$B$2:$B$5000,$T116,'3 Base Entrada 2008'!$C$2:$C$5000,$AG116,'3 Base Entrada 2008'!$K$2:$K$5000,"Estorno")</f>
        <v>0</v>
      </c>
      <c r="Y116" s="82" t="n">
        <f aca="false">ROUND(BA116+V116-W116+X116,3)</f>
        <v>-1000</v>
      </c>
      <c r="Z116" s="82" t="n">
        <f aca="false">IF(AND(U116=$R$3,OR($R$1="*",T116=$R$1),OR($R$2="*",AG116=$R$2),OR($K$5="Todas",AB116=$K$5),ABS(V116)+ABS(W116)+ABS(X116)&gt;0),1,0)</f>
        <v>1</v>
      </c>
      <c r="AA116" s="82" t="n">
        <f aca="false">IF(Z116=1,SUM(Z$40:Z116),"")</f>
        <v>66</v>
      </c>
      <c r="AB116" s="0" t="str">
        <f aca="false">IF(ABS(Y116)&lt;=$R$5,"Transferido 100%",IF(Y116&gt;0,"Aguardando transferência","Saiu saldo anterior a 09/09"))</f>
        <v>Saiu saldo anterior a 09/09</v>
      </c>
      <c r="AC116" s="82" t="n">
        <f aca="false">COUNTIFS('3 Base Entrada 2008'!$F$2:$F$5000,"&gt;="&amp;$F$5,'3 Base Entrada 2008'!$F$2:$F$5000,"&lt;="&amp;$H$5,'3 Base Entrada 2008'!$B$2:$B$5000,$T116,'3 Base Entrada 2008'!$C$2:$C$5000,$AG116)</f>
        <v>1</v>
      </c>
      <c r="AD116" s="82" t="n">
        <f aca="false">_xlfn.MINIFS('3 Base Entrada 2008'!$F$2:$F$5000,'3 Base Entrada 2008'!$F$2:$F$5000,"&gt;="&amp;$F$5,'3 Base Entrada 2008'!$F$2:$F$5000,"&lt;="&amp;$H$5,'3 Base Entrada 2008'!$B$2:$B$5000,$T116,'3 Base Entrada 2008'!$C$2:$C$5000,$AG116)</f>
        <v>46294</v>
      </c>
      <c r="AE116" s="82" t="n">
        <f aca="false">_xlfn.MAXIFS('3 Base Entrada 2008'!$F$2:$F$5000,'3 Base Entrada 2008'!$F$2:$F$5000,"&gt;="&amp;$F$5,'3 Base Entrada 2008'!$F$2:$F$5000,"&lt;="&amp;$H$5,'3 Base Entrada 2008'!$B$2:$B$5000,$T116,'3 Base Entrada 2008'!$C$2:$C$5000,$AG116)</f>
        <v>46294</v>
      </c>
      <c r="AG116" s="82" t="s">
        <v>226</v>
      </c>
      <c r="AH116" s="82" t="n">
        <f aca="false">IF(AND(Z116=1,Y116&gt;$R$5),Y116+ROW()/10000000,0)</f>
        <v>0</v>
      </c>
      <c r="BA116" s="82" t="n">
        <f aca="false">SUMIFS('3 Base Saldo Inicial 08-09'!$E$2:$E$5000,'3 Base Saldo Inicial 08-09'!$A$2:$A$5000,$T116,'3 Base Saldo Inicial 08-09'!$B$2:$B$5000,$AG116,'3 Base Saldo Inicial 08-09'!$C$2:$C$5000,"2008")</f>
        <v>0</v>
      </c>
    </row>
    <row r="117" customFormat="false" ht="15" hidden="false" customHeight="false" outlineLevel="0" collapsed="false">
      <c r="A117" s="7" t="s">
        <v>1806</v>
      </c>
      <c r="B117" s="147" t="n">
        <f aca="false">H10</f>
        <v>11229.22</v>
      </c>
      <c r="C117" s="1"/>
      <c r="D117" s="1"/>
      <c r="E117" s="1"/>
      <c r="F117" s="1"/>
      <c r="G117" s="1"/>
      <c r="H117" s="1"/>
      <c r="I117" s="1"/>
      <c r="J117" s="1"/>
      <c r="K117" s="1"/>
      <c r="L117" s="1"/>
      <c r="M117" s="1"/>
      <c r="N117" s="1"/>
      <c r="O117" s="1"/>
      <c r="T117" s="82" t="s">
        <v>284</v>
      </c>
      <c r="U117" s="82" t="s">
        <v>65</v>
      </c>
      <c r="V117" s="82" t="n">
        <f aca="false">SUMIFS('3 Base Entrada 2008'!$G$2:$G$5000,'3 Base Entrada 2008'!$F$2:$F$5000,"&gt;="&amp;$F$5,'3 Base Entrada 2008'!$F$2:$F$5000,"&lt;="&amp;$H$5,'3 Base Entrada 2008'!$B$2:$B$5000,$T117,'3 Base Entrada 2008'!$C$2:$C$5000,$AG117,'3 Base Entrada 2008'!$K$2:$K$5000,"Recebido no 2008")</f>
        <v>0</v>
      </c>
      <c r="W117" s="82" t="n">
        <f aca="false">-SUMIFS('3 Base Entrada 2008'!$G$2:$G$5000,'3 Base Entrada 2008'!$F$2:$F$5000,"&gt;="&amp;$F$5,'3 Base Entrada 2008'!$F$2:$F$5000,"&lt;="&amp;$H$5,'3 Base Entrada 2008'!$B$2:$B$5000,$T117,'3 Base Entrada 2008'!$C$2:$C$5000,$AG117,'3 Base Entrada 2008'!$K$2:$K$5000,"Entrada")</f>
        <v>1000</v>
      </c>
      <c r="X117" s="82" t="n">
        <f aca="false">SUMIFS('3 Base Entrada 2008'!$G$2:$G$5000,'3 Base Entrada 2008'!$F$2:$F$5000,"&gt;="&amp;$F$5,'3 Base Entrada 2008'!$F$2:$F$5000,"&lt;="&amp;$H$5,'3 Base Entrada 2008'!$B$2:$B$5000,$T117,'3 Base Entrada 2008'!$C$2:$C$5000,$AG117,'3 Base Entrada 2008'!$K$2:$K$5000,"Estorno")</f>
        <v>0</v>
      </c>
      <c r="Y117" s="82" t="n">
        <f aca="false">ROUND(BA117+V117-W117+X117,3)</f>
        <v>-1000</v>
      </c>
      <c r="Z117" s="82" t="n">
        <f aca="false">IF(AND(U117=$R$3,OR($R$1="*",T117=$R$1),OR($R$2="*",AG117=$R$2),OR($K$5="Todas",AB117=$K$5),ABS(V117)+ABS(W117)+ABS(X117)&gt;0),1,0)</f>
        <v>1</v>
      </c>
      <c r="AA117" s="82" t="n">
        <f aca="false">IF(Z117=1,SUM(Z$40:Z117),"")</f>
        <v>67</v>
      </c>
      <c r="AB117" s="0" t="str">
        <f aca="false">IF(ABS(Y117)&lt;=$R$5,"Transferido 100%",IF(Y117&gt;0,"Aguardando transferência","Saiu saldo anterior a 09/09"))</f>
        <v>Saiu saldo anterior a 09/09</v>
      </c>
      <c r="AC117" s="82" t="n">
        <f aca="false">COUNTIFS('3 Base Entrada 2008'!$F$2:$F$5000,"&gt;="&amp;$F$5,'3 Base Entrada 2008'!$F$2:$F$5000,"&lt;="&amp;$H$5,'3 Base Entrada 2008'!$B$2:$B$5000,$T117,'3 Base Entrada 2008'!$C$2:$C$5000,$AG117)</f>
        <v>1</v>
      </c>
      <c r="AD117" s="82" t="n">
        <f aca="false">_xlfn.MINIFS('3 Base Entrada 2008'!$F$2:$F$5000,'3 Base Entrada 2008'!$F$2:$F$5000,"&gt;="&amp;$F$5,'3 Base Entrada 2008'!$F$2:$F$5000,"&lt;="&amp;$H$5,'3 Base Entrada 2008'!$B$2:$B$5000,$T117,'3 Base Entrada 2008'!$C$2:$C$5000,$AG117)</f>
        <v>46288</v>
      </c>
      <c r="AE117" s="82" t="n">
        <f aca="false">_xlfn.MAXIFS('3 Base Entrada 2008'!$F$2:$F$5000,'3 Base Entrada 2008'!$F$2:$F$5000,"&gt;="&amp;$F$5,'3 Base Entrada 2008'!$F$2:$F$5000,"&lt;="&amp;$H$5,'3 Base Entrada 2008'!$B$2:$B$5000,$T117,'3 Base Entrada 2008'!$C$2:$C$5000,$AG117)</f>
        <v>46288</v>
      </c>
      <c r="AG117" s="82" t="s">
        <v>285</v>
      </c>
      <c r="AH117" s="82" t="n">
        <f aca="false">IF(AND(Z117=1,Y117&gt;$R$5),Y117+ROW()/10000000,0)</f>
        <v>0</v>
      </c>
      <c r="BA117" s="82" t="n">
        <f aca="false">SUMIFS('3 Base Saldo Inicial 08-09'!$E$2:$E$5000,'3 Base Saldo Inicial 08-09'!$A$2:$A$5000,$T117,'3 Base Saldo Inicial 08-09'!$B$2:$B$5000,$AG117,'3 Base Saldo Inicial 08-09'!$C$2:$C$5000,"2008")</f>
        <v>0</v>
      </c>
    </row>
    <row r="118" customFormat="false" ht="15" hidden="false" customHeight="false" outlineLevel="0" collapsed="false">
      <c r="A118" s="1"/>
      <c r="B118" s="1"/>
      <c r="C118" s="1"/>
      <c r="D118" s="1"/>
      <c r="E118" s="1"/>
      <c r="F118" s="1"/>
      <c r="G118" s="1"/>
      <c r="H118" s="1"/>
      <c r="I118" s="1"/>
      <c r="J118" s="1"/>
      <c r="K118" s="1"/>
      <c r="L118" s="1"/>
      <c r="M118" s="1"/>
      <c r="N118" s="1"/>
      <c r="O118" s="1"/>
      <c r="T118" s="82" t="s">
        <v>301</v>
      </c>
      <c r="U118" s="82" t="s">
        <v>65</v>
      </c>
      <c r="V118" s="82" t="n">
        <f aca="false">SUMIFS('3 Base Entrada 2008'!$G$2:$G$5000,'3 Base Entrada 2008'!$F$2:$F$5000,"&gt;="&amp;$F$5,'3 Base Entrada 2008'!$F$2:$F$5000,"&lt;="&amp;$H$5,'3 Base Entrada 2008'!$B$2:$B$5000,$T118,'3 Base Entrada 2008'!$C$2:$C$5000,$AG118,'3 Base Entrada 2008'!$K$2:$K$5000,"Recebido no 2008")</f>
        <v>0</v>
      </c>
      <c r="W118" s="82" t="n">
        <f aca="false">-SUMIFS('3 Base Entrada 2008'!$G$2:$G$5000,'3 Base Entrada 2008'!$F$2:$F$5000,"&gt;="&amp;$F$5,'3 Base Entrada 2008'!$F$2:$F$5000,"&lt;="&amp;$H$5,'3 Base Entrada 2008'!$B$2:$B$5000,$T118,'3 Base Entrada 2008'!$C$2:$C$5000,$AG118,'3 Base Entrada 2008'!$K$2:$K$5000,"Entrada")</f>
        <v>1000</v>
      </c>
      <c r="X118" s="82" t="n">
        <f aca="false">SUMIFS('3 Base Entrada 2008'!$G$2:$G$5000,'3 Base Entrada 2008'!$F$2:$F$5000,"&gt;="&amp;$F$5,'3 Base Entrada 2008'!$F$2:$F$5000,"&lt;="&amp;$H$5,'3 Base Entrada 2008'!$B$2:$B$5000,$T118,'3 Base Entrada 2008'!$C$2:$C$5000,$AG118,'3 Base Entrada 2008'!$K$2:$K$5000,"Estorno")</f>
        <v>0</v>
      </c>
      <c r="Y118" s="82" t="n">
        <f aca="false">ROUND(BA118+V118-W118+X118,3)</f>
        <v>-1000</v>
      </c>
      <c r="Z118" s="82" t="n">
        <f aca="false">IF(AND(U118=$R$3,OR($R$1="*",T118=$R$1),OR($R$2="*",AG118=$R$2),OR($K$5="Todas",AB118=$K$5),ABS(V118)+ABS(W118)+ABS(X118)&gt;0),1,0)</f>
        <v>1</v>
      </c>
      <c r="AA118" s="82" t="n">
        <f aca="false">IF(Z118=1,SUM(Z$40:Z118),"")</f>
        <v>68</v>
      </c>
      <c r="AB118" s="0" t="str">
        <f aca="false">IF(ABS(Y118)&lt;=$R$5,"Transferido 100%",IF(Y118&gt;0,"Aguardando transferência","Saiu saldo anterior a 09/09"))</f>
        <v>Saiu saldo anterior a 09/09</v>
      </c>
      <c r="AC118" s="82" t="n">
        <f aca="false">COUNTIFS('3 Base Entrada 2008'!$F$2:$F$5000,"&gt;="&amp;$F$5,'3 Base Entrada 2008'!$F$2:$F$5000,"&lt;="&amp;$H$5,'3 Base Entrada 2008'!$B$2:$B$5000,$T118,'3 Base Entrada 2008'!$C$2:$C$5000,$AG118)</f>
        <v>1</v>
      </c>
      <c r="AD118" s="82" t="n">
        <f aca="false">_xlfn.MINIFS('3 Base Entrada 2008'!$F$2:$F$5000,'3 Base Entrada 2008'!$F$2:$F$5000,"&gt;="&amp;$F$5,'3 Base Entrada 2008'!$F$2:$F$5000,"&lt;="&amp;$H$5,'3 Base Entrada 2008'!$B$2:$B$5000,$T118,'3 Base Entrada 2008'!$C$2:$C$5000,$AG118)</f>
        <v>46291</v>
      </c>
      <c r="AE118" s="82" t="n">
        <f aca="false">_xlfn.MAXIFS('3 Base Entrada 2008'!$F$2:$F$5000,'3 Base Entrada 2008'!$F$2:$F$5000,"&gt;="&amp;$F$5,'3 Base Entrada 2008'!$F$2:$F$5000,"&lt;="&amp;$H$5,'3 Base Entrada 2008'!$B$2:$B$5000,$T118,'3 Base Entrada 2008'!$C$2:$C$5000,$AG118)</f>
        <v>46291</v>
      </c>
      <c r="AF118" s="82" t="s">
        <v>1377</v>
      </c>
      <c r="AG118" s="82" t="s">
        <v>385</v>
      </c>
      <c r="AH118" s="82" t="n">
        <f aca="false">IF(AND(Z118=1,Y118&gt;$R$5),Y118+ROW()/10000000,0)</f>
        <v>0</v>
      </c>
      <c r="BA118" s="82" t="n">
        <f aca="false">SUMIFS('3 Base Saldo Inicial 08-09'!$E$2:$E$5000,'3 Base Saldo Inicial 08-09'!$A$2:$A$5000,$T118,'3 Base Saldo Inicial 08-09'!$B$2:$B$5000,$AG118,'3 Base Saldo Inicial 08-09'!$C$2:$C$5000,"2008")</f>
        <v>0</v>
      </c>
    </row>
    <row r="119" customFormat="false" ht="15" hidden="false" customHeight="false" outlineLevel="0" collapsed="false">
      <c r="A119" s="1"/>
      <c r="B119" s="1"/>
      <c r="C119" s="1"/>
      <c r="D119" s="1"/>
      <c r="E119" s="1"/>
      <c r="F119" s="1"/>
      <c r="G119" s="1"/>
      <c r="H119" s="1"/>
      <c r="I119" s="1"/>
      <c r="J119" s="1"/>
      <c r="K119" s="1"/>
      <c r="L119" s="1"/>
      <c r="M119" s="1"/>
      <c r="N119" s="1"/>
      <c r="O119" s="1"/>
      <c r="T119" s="82" t="s">
        <v>186</v>
      </c>
      <c r="U119" s="82" t="s">
        <v>65</v>
      </c>
      <c r="V119" s="82" t="n">
        <f aca="false">SUMIFS('3 Base Entrada 2008'!$G$2:$G$5000,'3 Base Entrada 2008'!$F$2:$F$5000,"&gt;="&amp;$F$5,'3 Base Entrada 2008'!$F$2:$F$5000,"&lt;="&amp;$H$5,'3 Base Entrada 2008'!$B$2:$B$5000,$T119,'3 Base Entrada 2008'!$C$2:$C$5000,$AG119,'3 Base Entrada 2008'!$K$2:$K$5000,"Recebido no 2008")</f>
        <v>0</v>
      </c>
      <c r="W119" s="82" t="n">
        <f aca="false">-SUMIFS('3 Base Entrada 2008'!$G$2:$G$5000,'3 Base Entrada 2008'!$F$2:$F$5000,"&gt;="&amp;$F$5,'3 Base Entrada 2008'!$F$2:$F$5000,"&lt;="&amp;$H$5,'3 Base Entrada 2008'!$B$2:$B$5000,$T119,'3 Base Entrada 2008'!$C$2:$C$5000,$AG119,'3 Base Entrada 2008'!$K$2:$K$5000,"Entrada")</f>
        <v>1200</v>
      </c>
      <c r="X119" s="82" t="n">
        <f aca="false">SUMIFS('3 Base Entrada 2008'!$G$2:$G$5000,'3 Base Entrada 2008'!$F$2:$F$5000,"&gt;="&amp;$F$5,'3 Base Entrada 2008'!$F$2:$F$5000,"&lt;="&amp;$H$5,'3 Base Entrada 2008'!$B$2:$B$5000,$T119,'3 Base Entrada 2008'!$C$2:$C$5000,$AG119,'3 Base Entrada 2008'!$K$2:$K$5000,"Estorno")</f>
        <v>0</v>
      </c>
      <c r="Y119" s="82" t="n">
        <f aca="false">ROUND(BA119+V119-W119+X119,3)</f>
        <v>-1200</v>
      </c>
      <c r="Z119" s="82" t="n">
        <f aca="false">IF(AND(U119=$R$3,OR($R$1="*",T119=$R$1),OR($R$2="*",AG119=$R$2),OR($K$5="Todas",AB119=$K$5),ABS(V119)+ABS(W119)+ABS(X119)&gt;0),1,0)</f>
        <v>1</v>
      </c>
      <c r="AA119" s="82" t="n">
        <f aca="false">IF(Z119=1,SUM(Z$40:Z119),"")</f>
        <v>69</v>
      </c>
      <c r="AB119" s="0" t="str">
        <f aca="false">IF(ABS(Y119)&lt;=$R$5,"Transferido 100%",IF(Y119&gt;0,"Aguardando transferência","Saiu saldo anterior a 09/09"))</f>
        <v>Saiu saldo anterior a 09/09</v>
      </c>
      <c r="AC119" s="82" t="n">
        <f aca="false">COUNTIFS('3 Base Entrada 2008'!$F$2:$F$5000,"&gt;="&amp;$F$5,'3 Base Entrada 2008'!$F$2:$F$5000,"&lt;="&amp;$H$5,'3 Base Entrada 2008'!$B$2:$B$5000,$T119,'3 Base Entrada 2008'!$C$2:$C$5000,$AG119)</f>
        <v>2</v>
      </c>
      <c r="AD119" s="82" t="n">
        <f aca="false">_xlfn.MINIFS('3 Base Entrada 2008'!$F$2:$F$5000,'3 Base Entrada 2008'!$F$2:$F$5000,"&gt;="&amp;$F$5,'3 Base Entrada 2008'!$F$2:$F$5000,"&lt;="&amp;$H$5,'3 Base Entrada 2008'!$B$2:$B$5000,$T119,'3 Base Entrada 2008'!$C$2:$C$5000,$AG119)</f>
        <v>46289</v>
      </c>
      <c r="AE119" s="82" t="n">
        <f aca="false">_xlfn.MAXIFS('3 Base Entrada 2008'!$F$2:$F$5000,'3 Base Entrada 2008'!$F$2:$F$5000,"&gt;="&amp;$F$5,'3 Base Entrada 2008'!$F$2:$F$5000,"&lt;="&amp;$H$5,'3 Base Entrada 2008'!$B$2:$B$5000,$T119,'3 Base Entrada 2008'!$C$2:$C$5000,$AG119)</f>
        <v>46289</v>
      </c>
      <c r="AG119" s="82" t="s">
        <v>187</v>
      </c>
      <c r="AH119" s="82" t="n">
        <f aca="false">IF(AND(Z119=1,Y119&gt;$R$5),Y119+ROW()/10000000,0)</f>
        <v>0</v>
      </c>
      <c r="BA119" s="82" t="n">
        <f aca="false">SUMIFS('3 Base Saldo Inicial 08-09'!$E$2:$E$5000,'3 Base Saldo Inicial 08-09'!$A$2:$A$5000,$T119,'3 Base Saldo Inicial 08-09'!$B$2:$B$5000,$AG119,'3 Base Saldo Inicial 08-09'!$C$2:$C$5000,"2008")</f>
        <v>0</v>
      </c>
    </row>
    <row r="120" customFormat="false" ht="15" hidden="false" customHeight="false" outlineLevel="0" collapsed="false">
      <c r="A120" s="1"/>
      <c r="B120" s="1"/>
      <c r="C120" s="1"/>
      <c r="D120" s="1"/>
      <c r="E120" s="1"/>
      <c r="F120" s="1"/>
      <c r="G120" s="1"/>
      <c r="H120" s="1"/>
      <c r="I120" s="1"/>
      <c r="J120" s="1"/>
      <c r="K120" s="1"/>
      <c r="L120" s="1"/>
      <c r="M120" s="1"/>
      <c r="N120" s="1"/>
      <c r="O120" s="1"/>
      <c r="T120" s="82" t="s">
        <v>372</v>
      </c>
      <c r="U120" s="82" t="s">
        <v>65</v>
      </c>
      <c r="V120" s="82" t="n">
        <f aca="false">SUMIFS('3 Base Entrada 2008'!$G$2:$G$5000,'3 Base Entrada 2008'!$F$2:$F$5000,"&gt;="&amp;$F$5,'3 Base Entrada 2008'!$F$2:$F$5000,"&lt;="&amp;$H$5,'3 Base Entrada 2008'!$B$2:$B$5000,$T120,'3 Base Entrada 2008'!$C$2:$C$5000,$AG120,'3 Base Entrada 2008'!$K$2:$K$5000,"Recebido no 2008")</f>
        <v>0</v>
      </c>
      <c r="W120" s="82" t="n">
        <f aca="false">-SUMIFS('3 Base Entrada 2008'!$G$2:$G$5000,'3 Base Entrada 2008'!$F$2:$F$5000,"&gt;="&amp;$F$5,'3 Base Entrada 2008'!$F$2:$F$5000,"&lt;="&amp;$H$5,'3 Base Entrada 2008'!$B$2:$B$5000,$T120,'3 Base Entrada 2008'!$C$2:$C$5000,$AG120,'3 Base Entrada 2008'!$K$2:$K$5000,"Entrada")</f>
        <v>1200</v>
      </c>
      <c r="X120" s="82" t="n">
        <f aca="false">SUMIFS('3 Base Entrada 2008'!$G$2:$G$5000,'3 Base Entrada 2008'!$F$2:$F$5000,"&gt;="&amp;$F$5,'3 Base Entrada 2008'!$F$2:$F$5000,"&lt;="&amp;$H$5,'3 Base Entrada 2008'!$B$2:$B$5000,$T120,'3 Base Entrada 2008'!$C$2:$C$5000,$AG120,'3 Base Entrada 2008'!$K$2:$K$5000,"Estorno")</f>
        <v>0</v>
      </c>
      <c r="Y120" s="82" t="n">
        <f aca="false">ROUND(BA120+V120-W120+X120,3)</f>
        <v>-1200</v>
      </c>
      <c r="Z120" s="82" t="n">
        <f aca="false">IF(AND(U120=$R$3,OR($R$1="*",T120=$R$1),OR($R$2="*",AG120=$R$2),OR($K$5="Todas",AB120=$K$5),ABS(V120)+ABS(W120)+ABS(X120)&gt;0),1,0)</f>
        <v>1</v>
      </c>
      <c r="AA120" s="82" t="n">
        <f aca="false">IF(Z120=1,SUM(Z$40:Z120),"")</f>
        <v>70</v>
      </c>
      <c r="AB120" s="0" t="str">
        <f aca="false">IF(ABS(Y120)&lt;=$R$5,"Transferido 100%",IF(Y120&gt;0,"Aguardando transferência","Saiu saldo anterior a 09/09"))</f>
        <v>Saiu saldo anterior a 09/09</v>
      </c>
      <c r="AC120" s="82" t="n">
        <f aca="false">COUNTIFS('3 Base Entrada 2008'!$F$2:$F$5000,"&gt;="&amp;$F$5,'3 Base Entrada 2008'!$F$2:$F$5000,"&lt;="&amp;$H$5,'3 Base Entrada 2008'!$B$2:$B$5000,$T120,'3 Base Entrada 2008'!$C$2:$C$5000,$AG120)</f>
        <v>1</v>
      </c>
      <c r="AD120" s="82" t="n">
        <f aca="false">_xlfn.MINIFS('3 Base Entrada 2008'!$F$2:$F$5000,'3 Base Entrada 2008'!$F$2:$F$5000,"&gt;="&amp;$F$5,'3 Base Entrada 2008'!$F$2:$F$5000,"&lt;="&amp;$H$5,'3 Base Entrada 2008'!$B$2:$B$5000,$T120,'3 Base Entrada 2008'!$C$2:$C$5000,$AG120)</f>
        <v>46291</v>
      </c>
      <c r="AE120" s="82" t="n">
        <f aca="false">_xlfn.MAXIFS('3 Base Entrada 2008'!$F$2:$F$5000,'3 Base Entrada 2008'!$F$2:$F$5000,"&gt;="&amp;$F$5,'3 Base Entrada 2008'!$F$2:$F$5000,"&lt;="&amp;$H$5,'3 Base Entrada 2008'!$B$2:$B$5000,$T120,'3 Base Entrada 2008'!$C$2:$C$5000,$AG120)</f>
        <v>46291</v>
      </c>
      <c r="AG120" s="82" t="s">
        <v>373</v>
      </c>
      <c r="AH120" s="82" t="n">
        <f aca="false">IF(AND(Z120=1,Y120&gt;$R$5),Y120+ROW()/10000000,0)</f>
        <v>0</v>
      </c>
      <c r="BA120" s="82" t="n">
        <f aca="false">SUMIFS('3 Base Saldo Inicial 08-09'!$E$2:$E$5000,'3 Base Saldo Inicial 08-09'!$A$2:$A$5000,$T120,'3 Base Saldo Inicial 08-09'!$B$2:$B$5000,$AG120,'3 Base Saldo Inicial 08-09'!$C$2:$C$5000,"2008")</f>
        <v>0</v>
      </c>
    </row>
    <row r="121" customFormat="false" ht="15" hidden="false" customHeight="false" outlineLevel="0" collapsed="false">
      <c r="A121" s="1"/>
      <c r="B121" s="1"/>
      <c r="C121" s="1"/>
      <c r="D121" s="1"/>
      <c r="E121" s="1"/>
      <c r="F121" s="1"/>
      <c r="G121" s="1"/>
      <c r="H121" s="1"/>
      <c r="I121" s="1"/>
      <c r="J121" s="1"/>
      <c r="K121" s="1"/>
      <c r="L121" s="1"/>
      <c r="M121" s="1"/>
      <c r="N121" s="1"/>
      <c r="O121" s="1"/>
      <c r="T121" s="82" t="s">
        <v>232</v>
      </c>
      <c r="U121" s="82" t="s">
        <v>146</v>
      </c>
      <c r="V121" s="82" t="n">
        <f aca="false">SUMIFS('3 Base Entrada 2008'!$G$2:$G$5000,'3 Base Entrada 2008'!$F$2:$F$5000,"&gt;="&amp;$F$5,'3 Base Entrada 2008'!$F$2:$F$5000,"&lt;="&amp;$H$5,'3 Base Entrada 2008'!$B$2:$B$5000,$T121,'3 Base Entrada 2008'!$C$2:$C$5000,$AG121,'3 Base Entrada 2008'!$K$2:$K$5000,"Recebido no 2008")</f>
        <v>0</v>
      </c>
      <c r="W121" s="82" t="n">
        <f aca="false">-SUMIFS('3 Base Entrada 2008'!$G$2:$G$5000,'3 Base Entrada 2008'!$F$2:$F$5000,"&gt;="&amp;$F$5,'3 Base Entrada 2008'!$F$2:$F$5000,"&lt;="&amp;$H$5,'3 Base Entrada 2008'!$B$2:$B$5000,$T121,'3 Base Entrada 2008'!$C$2:$C$5000,$AG121,'3 Base Entrada 2008'!$K$2:$K$5000,"Entrada")</f>
        <v>1350</v>
      </c>
      <c r="X121" s="82" t="n">
        <f aca="false">SUMIFS('3 Base Entrada 2008'!$G$2:$G$5000,'3 Base Entrada 2008'!$F$2:$F$5000,"&gt;="&amp;$F$5,'3 Base Entrada 2008'!$F$2:$F$5000,"&lt;="&amp;$H$5,'3 Base Entrada 2008'!$B$2:$B$5000,$T121,'3 Base Entrada 2008'!$C$2:$C$5000,$AG121,'3 Base Entrada 2008'!$K$2:$K$5000,"Estorno")</f>
        <v>30</v>
      </c>
      <c r="Y121" s="82" t="n">
        <f aca="false">ROUND(BA121+V121-W121+X121,3)</f>
        <v>-1320</v>
      </c>
      <c r="Z121" s="82" t="n">
        <f aca="false">IF(AND(U121=$R$3,OR($R$1="*",T121=$R$1),OR($R$2="*",AG121=$R$2),OR($K$5="Todas",AB121=$K$5),ABS(V121)+ABS(W121)+ABS(X121)&gt;0),1,0)</f>
        <v>0</v>
      </c>
      <c r="AA121" s="0" t="str">
        <f aca="false">IF(Z121=1,SUM(Z$40:Z121),"")</f>
        <v/>
      </c>
      <c r="AB121" s="0" t="str">
        <f aca="false">IF(ABS(Y121)&lt;=$R$5,"Transferido 100%",IF(Y121&gt;0,"Aguardando transferência","Saiu saldo anterior a 09/09"))</f>
        <v>Saiu saldo anterior a 09/09</v>
      </c>
      <c r="AC121" s="82" t="n">
        <f aca="false">COUNTIFS('3 Base Entrada 2008'!$F$2:$F$5000,"&gt;="&amp;$F$5,'3 Base Entrada 2008'!$F$2:$F$5000,"&lt;="&amp;$H$5,'3 Base Entrada 2008'!$B$2:$B$5000,$T121,'3 Base Entrada 2008'!$C$2:$C$5000,$AG121)</f>
        <v>4</v>
      </c>
      <c r="AD121" s="82" t="n">
        <f aca="false">_xlfn.MINIFS('3 Base Entrada 2008'!$F$2:$F$5000,'3 Base Entrada 2008'!$F$2:$F$5000,"&gt;="&amp;$F$5,'3 Base Entrada 2008'!$F$2:$F$5000,"&lt;="&amp;$H$5,'3 Base Entrada 2008'!$B$2:$B$5000,$T121,'3 Base Entrada 2008'!$C$2:$C$5000,$AG121)</f>
        <v>46293</v>
      </c>
      <c r="AE121" s="82" t="n">
        <f aca="false">_xlfn.MAXIFS('3 Base Entrada 2008'!$F$2:$F$5000,'3 Base Entrada 2008'!$F$2:$F$5000,"&gt;="&amp;$F$5,'3 Base Entrada 2008'!$F$2:$F$5000,"&lt;="&amp;$H$5,'3 Base Entrada 2008'!$B$2:$B$5000,$T121,'3 Base Entrada 2008'!$C$2:$C$5000,$AG121)</f>
        <v>46294</v>
      </c>
      <c r="AF121" s="82" t="s">
        <v>939</v>
      </c>
      <c r="AG121" s="82" t="s">
        <v>237</v>
      </c>
      <c r="AH121" s="82" t="n">
        <f aca="false">IF(AND(Z121=1,Y121&gt;$R$5),Y121+ROW()/10000000,0)</f>
        <v>0</v>
      </c>
      <c r="BA121" s="82" t="n">
        <f aca="false">SUMIFS('3 Base Saldo Inicial 08-09'!$E$2:$E$5000,'3 Base Saldo Inicial 08-09'!$A$2:$A$5000,$T121,'3 Base Saldo Inicial 08-09'!$B$2:$B$5000,$AG121,'3 Base Saldo Inicial 08-09'!$C$2:$C$5000,"2008")</f>
        <v>0</v>
      </c>
    </row>
    <row r="122" customFormat="false" ht="15" hidden="false" customHeight="false" outlineLevel="0" collapsed="false">
      <c r="A122" s="1"/>
      <c r="B122" s="1"/>
      <c r="C122" s="1"/>
      <c r="D122" s="1"/>
      <c r="E122" s="1"/>
      <c r="F122" s="1"/>
      <c r="G122" s="1"/>
      <c r="H122" s="1"/>
      <c r="I122" s="1"/>
      <c r="J122" s="1"/>
      <c r="K122" s="1"/>
      <c r="L122" s="1"/>
      <c r="M122" s="1"/>
      <c r="N122" s="1"/>
      <c r="O122" s="1"/>
      <c r="T122" s="82" t="s">
        <v>211</v>
      </c>
      <c r="U122" s="82" t="s">
        <v>65</v>
      </c>
      <c r="V122" s="82" t="n">
        <f aca="false">SUMIFS('3 Base Entrada 2008'!$G$2:$G$5000,'3 Base Entrada 2008'!$F$2:$F$5000,"&gt;="&amp;$F$5,'3 Base Entrada 2008'!$F$2:$F$5000,"&lt;="&amp;$H$5,'3 Base Entrada 2008'!$B$2:$B$5000,$T122,'3 Base Entrada 2008'!$C$2:$C$5000,$AG122,'3 Base Entrada 2008'!$K$2:$K$5000,"Recebido no 2008")</f>
        <v>0</v>
      </c>
      <c r="W122" s="82" t="n">
        <f aca="false">-SUMIFS('3 Base Entrada 2008'!$G$2:$G$5000,'3 Base Entrada 2008'!$F$2:$F$5000,"&gt;="&amp;$F$5,'3 Base Entrada 2008'!$F$2:$F$5000,"&lt;="&amp;$H$5,'3 Base Entrada 2008'!$B$2:$B$5000,$T122,'3 Base Entrada 2008'!$C$2:$C$5000,$AG122,'3 Base Entrada 2008'!$K$2:$K$5000,"Entrada")</f>
        <v>1530</v>
      </c>
      <c r="X122" s="82" t="n">
        <f aca="false">SUMIFS('3 Base Entrada 2008'!$G$2:$G$5000,'3 Base Entrada 2008'!$F$2:$F$5000,"&gt;="&amp;$F$5,'3 Base Entrada 2008'!$F$2:$F$5000,"&lt;="&amp;$H$5,'3 Base Entrada 2008'!$B$2:$B$5000,$T122,'3 Base Entrada 2008'!$C$2:$C$5000,$AG122,'3 Base Entrada 2008'!$K$2:$K$5000,"Estorno")</f>
        <v>30</v>
      </c>
      <c r="Y122" s="82" t="n">
        <f aca="false">ROUND(BA122+V122-W122+X122,3)</f>
        <v>-1500</v>
      </c>
      <c r="Z122" s="82" t="n">
        <f aca="false">IF(AND(U122=$R$3,OR($R$1="*",T122=$R$1),OR($R$2="*",AG122=$R$2),OR($K$5="Todas",AB122=$K$5),ABS(V122)+ABS(W122)+ABS(X122)&gt;0),1,0)</f>
        <v>1</v>
      </c>
      <c r="AA122" s="82" t="n">
        <f aca="false">IF(Z122=1,SUM(Z$40:Z122),"")</f>
        <v>71</v>
      </c>
      <c r="AB122" s="0" t="str">
        <f aca="false">IF(ABS(Y122)&lt;=$R$5,"Transferido 100%",IF(Y122&gt;0,"Aguardando transferência","Saiu saldo anterior a 09/09"))</f>
        <v>Saiu saldo anterior a 09/09</v>
      </c>
      <c r="AC122" s="82" t="n">
        <f aca="false">COUNTIFS('3 Base Entrada 2008'!$F$2:$F$5000,"&gt;="&amp;$F$5,'3 Base Entrada 2008'!$F$2:$F$5000,"&lt;="&amp;$H$5,'3 Base Entrada 2008'!$B$2:$B$5000,$T122,'3 Base Entrada 2008'!$C$2:$C$5000,$AG122)</f>
        <v>4</v>
      </c>
      <c r="AD122" s="82" t="n">
        <f aca="false">_xlfn.MINIFS('3 Base Entrada 2008'!$F$2:$F$5000,'3 Base Entrada 2008'!$F$2:$F$5000,"&gt;="&amp;$F$5,'3 Base Entrada 2008'!$F$2:$F$5000,"&lt;="&amp;$H$5,'3 Base Entrada 2008'!$B$2:$B$5000,$T122,'3 Base Entrada 2008'!$C$2:$C$5000,$AG122)</f>
        <v>46289</v>
      </c>
      <c r="AE122" s="82" t="n">
        <f aca="false">_xlfn.MAXIFS('3 Base Entrada 2008'!$F$2:$F$5000,'3 Base Entrada 2008'!$F$2:$F$5000,"&gt;="&amp;$F$5,'3 Base Entrada 2008'!$F$2:$F$5000,"&lt;="&amp;$H$5,'3 Base Entrada 2008'!$B$2:$B$5000,$T122,'3 Base Entrada 2008'!$C$2:$C$5000,$AG122)</f>
        <v>46289</v>
      </c>
      <c r="AF122" s="82" t="s">
        <v>740</v>
      </c>
      <c r="AG122" s="82" t="s">
        <v>214</v>
      </c>
      <c r="AH122" s="82" t="n">
        <f aca="false">IF(AND(Z122=1,Y122&gt;$R$5),Y122+ROW()/10000000,0)</f>
        <v>0</v>
      </c>
      <c r="BA122" s="82" t="n">
        <f aca="false">SUMIFS('3 Base Saldo Inicial 08-09'!$E$2:$E$5000,'3 Base Saldo Inicial 08-09'!$A$2:$A$5000,$T122,'3 Base Saldo Inicial 08-09'!$B$2:$B$5000,$AG122,'3 Base Saldo Inicial 08-09'!$C$2:$C$5000,"2008")</f>
        <v>0</v>
      </c>
    </row>
    <row r="123" customFormat="false" ht="15" hidden="false" customHeight="false" outlineLevel="0" collapsed="false">
      <c r="A123" s="1"/>
      <c r="B123" s="1"/>
      <c r="C123" s="1"/>
      <c r="D123" s="1"/>
      <c r="E123" s="1"/>
      <c r="F123" s="1"/>
      <c r="G123" s="1"/>
      <c r="H123" s="1"/>
      <c r="I123" s="1"/>
      <c r="J123" s="1"/>
      <c r="K123" s="1"/>
      <c r="L123" s="1"/>
      <c r="M123" s="1"/>
      <c r="N123" s="1"/>
      <c r="O123" s="1"/>
      <c r="T123" s="82" t="s">
        <v>247</v>
      </c>
      <c r="U123" s="82" t="s">
        <v>65</v>
      </c>
      <c r="V123" s="82" t="n">
        <f aca="false">SUMIFS('3 Base Entrada 2008'!$G$2:$G$5000,'3 Base Entrada 2008'!$F$2:$F$5000,"&gt;="&amp;$F$5,'3 Base Entrada 2008'!$F$2:$F$5000,"&lt;="&amp;$H$5,'3 Base Entrada 2008'!$B$2:$B$5000,$T123,'3 Base Entrada 2008'!$C$2:$C$5000,$AG123,'3 Base Entrada 2008'!$K$2:$K$5000,"Recebido no 2008")</f>
        <v>1025.1</v>
      </c>
      <c r="W123" s="82" t="n">
        <f aca="false">-SUMIFS('3 Base Entrada 2008'!$G$2:$G$5000,'3 Base Entrada 2008'!$F$2:$F$5000,"&gt;="&amp;$F$5,'3 Base Entrada 2008'!$F$2:$F$5000,"&lt;="&amp;$H$5,'3 Base Entrada 2008'!$B$2:$B$5000,$T123,'3 Base Entrada 2008'!$C$2:$C$5000,$AG123,'3 Base Entrada 2008'!$K$2:$K$5000,"Entrada")</f>
        <v>2673.3</v>
      </c>
      <c r="X123" s="82" t="n">
        <f aca="false">SUMIFS('3 Base Entrada 2008'!$G$2:$G$5000,'3 Base Entrada 2008'!$F$2:$F$5000,"&gt;="&amp;$F$5,'3 Base Entrada 2008'!$F$2:$F$5000,"&lt;="&amp;$H$5,'3 Base Entrada 2008'!$B$2:$B$5000,$T123,'3 Base Entrada 2008'!$C$2:$C$5000,$AG123,'3 Base Entrada 2008'!$K$2:$K$5000,"Estorno")</f>
        <v>0</v>
      </c>
      <c r="Y123" s="82" t="n">
        <f aca="false">ROUND(BA123+V123-W123+X123,3)</f>
        <v>-1648.2</v>
      </c>
      <c r="Z123" s="82" t="n">
        <f aca="false">IF(AND(U123=$R$3,OR($R$1="*",T123=$R$1),OR($R$2="*",AG123=$R$2),OR($K$5="Todas",AB123=$K$5),ABS(V123)+ABS(W123)+ABS(X123)&gt;0),1,0)</f>
        <v>1</v>
      </c>
      <c r="AA123" s="82" t="n">
        <f aca="false">IF(Z123=1,SUM(Z$40:Z123),"")</f>
        <v>72</v>
      </c>
      <c r="AB123" s="0" t="str">
        <f aca="false">IF(ABS(Y123)&lt;=$R$5,"Transferido 100%",IF(Y123&gt;0,"Aguardando transferência","Saiu saldo anterior a 09/09"))</f>
        <v>Saiu saldo anterior a 09/09</v>
      </c>
      <c r="AC123" s="82" t="n">
        <f aca="false">COUNTIFS('3 Base Entrada 2008'!$F$2:$F$5000,"&gt;="&amp;$F$5,'3 Base Entrada 2008'!$F$2:$F$5000,"&lt;="&amp;$H$5,'3 Base Entrada 2008'!$B$2:$B$5000,$T123,'3 Base Entrada 2008'!$C$2:$C$5000,$AG123)</f>
        <v>6</v>
      </c>
      <c r="AD123" s="82" t="n">
        <f aca="false">_xlfn.MINIFS('3 Base Entrada 2008'!$F$2:$F$5000,'3 Base Entrada 2008'!$F$2:$F$5000,"&gt;="&amp;$F$5,'3 Base Entrada 2008'!$F$2:$F$5000,"&lt;="&amp;$H$5,'3 Base Entrada 2008'!$B$2:$B$5000,$T123,'3 Base Entrada 2008'!$C$2:$C$5000,$AG123)</f>
        <v>46275</v>
      </c>
      <c r="AE123" s="82" t="n">
        <f aca="false">_xlfn.MAXIFS('3 Base Entrada 2008'!$F$2:$F$5000,'3 Base Entrada 2008'!$F$2:$F$5000,"&gt;="&amp;$F$5,'3 Base Entrada 2008'!$F$2:$F$5000,"&lt;="&amp;$H$5,'3 Base Entrada 2008'!$B$2:$B$5000,$T123,'3 Base Entrada 2008'!$C$2:$C$5000,$AG123)</f>
        <v>46294</v>
      </c>
      <c r="AF123" s="82" t="s">
        <v>404</v>
      </c>
      <c r="AG123" s="82" t="s">
        <v>248</v>
      </c>
      <c r="AH123" s="82" t="n">
        <f aca="false">IF(AND(Z123=1,Y123&gt;$R$5),Y123+ROW()/10000000,0)</f>
        <v>0</v>
      </c>
      <c r="BA123" s="82" t="n">
        <f aca="false">SUMIFS('3 Base Saldo Inicial 08-09'!$E$2:$E$5000,'3 Base Saldo Inicial 08-09'!$A$2:$A$5000,$T123,'3 Base Saldo Inicial 08-09'!$B$2:$B$5000,$AG123,'3 Base Saldo Inicial 08-09'!$C$2:$C$5000,"2008")</f>
        <v>0</v>
      </c>
    </row>
    <row r="124" customFormat="false" ht="15" hidden="false" customHeight="false" outlineLevel="0" collapsed="false">
      <c r="A124" s="1"/>
      <c r="B124" s="1"/>
      <c r="C124" s="1"/>
      <c r="D124" s="1"/>
      <c r="E124" s="1"/>
      <c r="F124" s="1"/>
      <c r="G124" s="1"/>
      <c r="H124" s="1"/>
      <c r="I124" s="1"/>
      <c r="J124" s="1"/>
      <c r="K124" s="1"/>
      <c r="L124" s="1"/>
      <c r="M124" s="1"/>
      <c r="N124" s="1"/>
      <c r="O124" s="1"/>
      <c r="T124" s="82" t="s">
        <v>211</v>
      </c>
      <c r="U124" s="82" t="s">
        <v>65</v>
      </c>
      <c r="V124" s="82" t="n">
        <f aca="false">SUMIFS('3 Base Entrada 2008'!$G$2:$G$5000,'3 Base Entrada 2008'!$F$2:$F$5000,"&gt;="&amp;$F$5,'3 Base Entrada 2008'!$F$2:$F$5000,"&lt;="&amp;$H$5,'3 Base Entrada 2008'!$B$2:$B$5000,$T124,'3 Base Entrada 2008'!$C$2:$C$5000,$AG124,'3 Base Entrada 2008'!$K$2:$K$5000,"Recebido no 2008")</f>
        <v>0</v>
      </c>
      <c r="W124" s="82" t="n">
        <f aca="false">-SUMIFS('3 Base Entrada 2008'!$G$2:$G$5000,'3 Base Entrada 2008'!$F$2:$F$5000,"&gt;="&amp;$F$5,'3 Base Entrada 2008'!$F$2:$F$5000,"&lt;="&amp;$H$5,'3 Base Entrada 2008'!$B$2:$B$5000,$T124,'3 Base Entrada 2008'!$C$2:$C$5000,$AG124,'3 Base Entrada 2008'!$K$2:$K$5000,"Entrada")</f>
        <v>1780</v>
      </c>
      <c r="X124" s="82" t="n">
        <f aca="false">SUMIFS('3 Base Entrada 2008'!$G$2:$G$5000,'3 Base Entrada 2008'!$F$2:$F$5000,"&gt;="&amp;$F$5,'3 Base Entrada 2008'!$F$2:$F$5000,"&lt;="&amp;$H$5,'3 Base Entrada 2008'!$B$2:$B$5000,$T124,'3 Base Entrada 2008'!$C$2:$C$5000,$AG124,'3 Base Entrada 2008'!$K$2:$K$5000,"Estorno")</f>
        <v>30</v>
      </c>
      <c r="Y124" s="82" t="n">
        <f aca="false">ROUND(BA124+V124-W124+X124,3)</f>
        <v>-1750</v>
      </c>
      <c r="Z124" s="82" t="n">
        <f aca="false">IF(AND(U124=$R$3,OR($R$1="*",T124=$R$1),OR($R$2="*",AG124=$R$2),OR($K$5="Todas",AB124=$K$5),ABS(V124)+ABS(W124)+ABS(X124)&gt;0),1,0)</f>
        <v>1</v>
      </c>
      <c r="AA124" s="82" t="n">
        <f aca="false">IF(Z124=1,SUM(Z$40:Z124),"")</f>
        <v>73</v>
      </c>
      <c r="AB124" s="0" t="str">
        <f aca="false">IF(ABS(Y124)&lt;=$R$5,"Transferido 100%",IF(Y124&gt;0,"Aguardando transferência","Saiu saldo anterior a 09/09"))</f>
        <v>Saiu saldo anterior a 09/09</v>
      </c>
      <c r="AC124" s="82" t="n">
        <f aca="false">COUNTIFS('3 Base Entrada 2008'!$F$2:$F$5000,"&gt;="&amp;$F$5,'3 Base Entrada 2008'!$F$2:$F$5000,"&lt;="&amp;$H$5,'3 Base Entrada 2008'!$B$2:$B$5000,$T124,'3 Base Entrada 2008'!$C$2:$C$5000,$AG124)</f>
        <v>4</v>
      </c>
      <c r="AD124" s="82" t="n">
        <f aca="false">_xlfn.MINIFS('3 Base Entrada 2008'!$F$2:$F$5000,'3 Base Entrada 2008'!$F$2:$F$5000,"&gt;="&amp;$F$5,'3 Base Entrada 2008'!$F$2:$F$5000,"&lt;="&amp;$H$5,'3 Base Entrada 2008'!$B$2:$B$5000,$T124,'3 Base Entrada 2008'!$C$2:$C$5000,$AG124)</f>
        <v>46289</v>
      </c>
      <c r="AE124" s="82" t="n">
        <f aca="false">_xlfn.MAXIFS('3 Base Entrada 2008'!$F$2:$F$5000,'3 Base Entrada 2008'!$F$2:$F$5000,"&gt;="&amp;$F$5,'3 Base Entrada 2008'!$F$2:$F$5000,"&lt;="&amp;$H$5,'3 Base Entrada 2008'!$B$2:$B$5000,$T124,'3 Base Entrada 2008'!$C$2:$C$5000,$AG124)</f>
        <v>46293</v>
      </c>
      <c r="AF124" s="82" t="s">
        <v>740</v>
      </c>
      <c r="AG124" s="82" t="s">
        <v>212</v>
      </c>
      <c r="AH124" s="82" t="n">
        <f aca="false">IF(AND(Z124=1,Y124&gt;$R$5),Y124+ROW()/10000000,0)</f>
        <v>0</v>
      </c>
      <c r="BA124" s="82" t="n">
        <f aca="false">SUMIFS('3 Base Saldo Inicial 08-09'!$E$2:$E$5000,'3 Base Saldo Inicial 08-09'!$A$2:$A$5000,$T124,'3 Base Saldo Inicial 08-09'!$B$2:$B$5000,$AG124,'3 Base Saldo Inicial 08-09'!$C$2:$C$5000,"2008")</f>
        <v>0</v>
      </c>
    </row>
    <row r="125" customFormat="false" ht="15" hidden="false" customHeight="false" outlineLevel="0" collapsed="false">
      <c r="A125" s="1"/>
      <c r="B125" s="1"/>
      <c r="C125" s="1"/>
      <c r="D125" s="1"/>
      <c r="E125" s="1"/>
      <c r="F125" s="1"/>
      <c r="G125" s="1"/>
      <c r="H125" s="1"/>
      <c r="I125" s="1"/>
      <c r="J125" s="1"/>
      <c r="K125" s="1"/>
      <c r="L125" s="1"/>
      <c r="M125" s="1"/>
      <c r="N125" s="1"/>
      <c r="O125" s="1"/>
      <c r="T125" s="82" t="s">
        <v>218</v>
      </c>
      <c r="U125" s="82" t="s">
        <v>65</v>
      </c>
      <c r="V125" s="82" t="n">
        <f aca="false">SUMIFS('3 Base Entrada 2008'!$G$2:$G$5000,'3 Base Entrada 2008'!$F$2:$F$5000,"&gt;="&amp;$F$5,'3 Base Entrada 2008'!$F$2:$F$5000,"&lt;="&amp;$H$5,'3 Base Entrada 2008'!$B$2:$B$5000,$T125,'3 Base Entrada 2008'!$C$2:$C$5000,$AG125,'3 Base Entrada 2008'!$K$2:$K$5000,"Recebido no 2008")</f>
        <v>0</v>
      </c>
      <c r="W125" s="82" t="n">
        <f aca="false">-SUMIFS('3 Base Entrada 2008'!$G$2:$G$5000,'3 Base Entrada 2008'!$F$2:$F$5000,"&gt;="&amp;$F$5,'3 Base Entrada 2008'!$F$2:$F$5000,"&lt;="&amp;$H$5,'3 Base Entrada 2008'!$B$2:$B$5000,$T125,'3 Base Entrada 2008'!$C$2:$C$5000,$AG125,'3 Base Entrada 2008'!$K$2:$K$5000,"Entrada")</f>
        <v>1800</v>
      </c>
      <c r="X125" s="82" t="n">
        <f aca="false">SUMIFS('3 Base Entrada 2008'!$G$2:$G$5000,'3 Base Entrada 2008'!$F$2:$F$5000,"&gt;="&amp;$F$5,'3 Base Entrada 2008'!$F$2:$F$5000,"&lt;="&amp;$H$5,'3 Base Entrada 2008'!$B$2:$B$5000,$T125,'3 Base Entrada 2008'!$C$2:$C$5000,$AG125,'3 Base Entrada 2008'!$K$2:$K$5000,"Estorno")</f>
        <v>0</v>
      </c>
      <c r="Y125" s="82" t="n">
        <f aca="false">ROUND(BA125+V125-W125+X125,3)</f>
        <v>-1800</v>
      </c>
      <c r="Z125" s="82" t="n">
        <f aca="false">IF(AND(U125=$R$3,OR($R$1="*",T125=$R$1),OR($R$2="*",AG125=$R$2),OR($K$5="Todas",AB125=$K$5),ABS(V125)+ABS(W125)+ABS(X125)&gt;0),1,0)</f>
        <v>1</v>
      </c>
      <c r="AA125" s="82" t="n">
        <f aca="false">IF(Z125=1,SUM(Z$40:Z125),"")</f>
        <v>74</v>
      </c>
      <c r="AB125" s="0" t="str">
        <f aca="false">IF(ABS(Y125)&lt;=$R$5,"Transferido 100%",IF(Y125&gt;0,"Aguardando transferência","Saiu saldo anterior a 09/09"))</f>
        <v>Saiu saldo anterior a 09/09</v>
      </c>
      <c r="AC125" s="82" t="n">
        <f aca="false">COUNTIFS('3 Base Entrada 2008'!$F$2:$F$5000,"&gt;="&amp;$F$5,'3 Base Entrada 2008'!$F$2:$F$5000,"&lt;="&amp;$H$5,'3 Base Entrada 2008'!$B$2:$B$5000,$T125,'3 Base Entrada 2008'!$C$2:$C$5000,$AG125)</f>
        <v>1</v>
      </c>
      <c r="AD125" s="82" t="n">
        <f aca="false">_xlfn.MINIFS('3 Base Entrada 2008'!$F$2:$F$5000,'3 Base Entrada 2008'!$F$2:$F$5000,"&gt;="&amp;$F$5,'3 Base Entrada 2008'!$F$2:$F$5000,"&lt;="&amp;$H$5,'3 Base Entrada 2008'!$B$2:$B$5000,$T125,'3 Base Entrada 2008'!$C$2:$C$5000,$AG125)</f>
        <v>46276</v>
      </c>
      <c r="AE125" s="82" t="n">
        <f aca="false">_xlfn.MAXIFS('3 Base Entrada 2008'!$F$2:$F$5000,'3 Base Entrada 2008'!$F$2:$F$5000,"&gt;="&amp;$F$5,'3 Base Entrada 2008'!$F$2:$F$5000,"&lt;="&amp;$H$5,'3 Base Entrada 2008'!$B$2:$B$5000,$T125,'3 Base Entrada 2008'!$C$2:$C$5000,$AG125)</f>
        <v>46276</v>
      </c>
      <c r="AF125" s="82" t="s">
        <v>756</v>
      </c>
      <c r="AG125" s="82" t="s">
        <v>317</v>
      </c>
      <c r="AH125" s="82" t="n">
        <f aca="false">IF(AND(Z125=1,Y125&gt;$R$5),Y125+ROW()/10000000,0)</f>
        <v>0</v>
      </c>
      <c r="BA125" s="82" t="n">
        <f aca="false">SUMIFS('3 Base Saldo Inicial 08-09'!$E$2:$E$5000,'3 Base Saldo Inicial 08-09'!$A$2:$A$5000,$T125,'3 Base Saldo Inicial 08-09'!$B$2:$B$5000,$AG125,'3 Base Saldo Inicial 08-09'!$C$2:$C$5000,"2008")</f>
        <v>0</v>
      </c>
    </row>
    <row r="126" customFormat="false" ht="15" hidden="false" customHeight="false" outlineLevel="0" collapsed="false">
      <c r="A126" s="1"/>
      <c r="B126" s="1"/>
      <c r="C126" s="1"/>
      <c r="D126" s="1"/>
      <c r="E126" s="1"/>
      <c r="F126" s="1"/>
      <c r="G126" s="1"/>
      <c r="H126" s="1"/>
      <c r="I126" s="1"/>
      <c r="J126" s="1"/>
      <c r="K126" s="1"/>
      <c r="L126" s="1"/>
      <c r="M126" s="1"/>
      <c r="N126" s="1"/>
      <c r="O126" s="1"/>
      <c r="T126" s="82" t="s">
        <v>227</v>
      </c>
      <c r="U126" s="82" t="s">
        <v>65</v>
      </c>
      <c r="V126" s="82" t="n">
        <f aca="false">SUMIFS('3 Base Entrada 2008'!$G$2:$G$5000,'3 Base Entrada 2008'!$F$2:$F$5000,"&gt;="&amp;$F$5,'3 Base Entrada 2008'!$F$2:$F$5000,"&lt;="&amp;$H$5,'3 Base Entrada 2008'!$B$2:$B$5000,$T126,'3 Base Entrada 2008'!$C$2:$C$5000,$AG126,'3 Base Entrada 2008'!$K$2:$K$5000,"Recebido no 2008")</f>
        <v>0</v>
      </c>
      <c r="W126" s="82" t="n">
        <f aca="false">-SUMIFS('3 Base Entrada 2008'!$G$2:$G$5000,'3 Base Entrada 2008'!$F$2:$F$5000,"&gt;="&amp;$F$5,'3 Base Entrada 2008'!$F$2:$F$5000,"&lt;="&amp;$H$5,'3 Base Entrada 2008'!$B$2:$B$5000,$T126,'3 Base Entrada 2008'!$C$2:$C$5000,$AG126,'3 Base Entrada 2008'!$K$2:$K$5000,"Entrada")</f>
        <v>1800</v>
      </c>
      <c r="X126" s="82" t="n">
        <f aca="false">SUMIFS('3 Base Entrada 2008'!$G$2:$G$5000,'3 Base Entrada 2008'!$F$2:$F$5000,"&gt;="&amp;$F$5,'3 Base Entrada 2008'!$F$2:$F$5000,"&lt;="&amp;$H$5,'3 Base Entrada 2008'!$B$2:$B$5000,$T126,'3 Base Entrada 2008'!$C$2:$C$5000,$AG126,'3 Base Entrada 2008'!$K$2:$K$5000,"Estorno")</f>
        <v>0</v>
      </c>
      <c r="Y126" s="82" t="n">
        <f aca="false">ROUND(BA126+V126-W126+X126,3)</f>
        <v>-1800</v>
      </c>
      <c r="Z126" s="82" t="n">
        <f aca="false">IF(AND(U126=$R$3,OR($R$1="*",T126=$R$1),OR($R$2="*",AG126=$R$2),OR($K$5="Todas",AB126=$K$5),ABS(V126)+ABS(W126)+ABS(X126)&gt;0),1,0)</f>
        <v>1</v>
      </c>
      <c r="AA126" s="82" t="n">
        <f aca="false">IF(Z126=1,SUM(Z$40:Z126),"")</f>
        <v>75</v>
      </c>
      <c r="AB126" s="0" t="str">
        <f aca="false">IF(ABS(Y126)&lt;=$R$5,"Transferido 100%",IF(Y126&gt;0,"Aguardando transferência","Saiu saldo anterior a 09/09"))</f>
        <v>Saiu saldo anterior a 09/09</v>
      </c>
      <c r="AC126" s="82" t="n">
        <f aca="false">COUNTIFS('3 Base Entrada 2008'!$F$2:$F$5000,"&gt;="&amp;$F$5,'3 Base Entrada 2008'!$F$2:$F$5000,"&lt;="&amp;$H$5,'3 Base Entrada 2008'!$B$2:$B$5000,$T126,'3 Base Entrada 2008'!$C$2:$C$5000,$AG126)</f>
        <v>1</v>
      </c>
      <c r="AD126" s="82" t="n">
        <f aca="false">_xlfn.MINIFS('3 Base Entrada 2008'!$F$2:$F$5000,'3 Base Entrada 2008'!$F$2:$F$5000,"&gt;="&amp;$F$5,'3 Base Entrada 2008'!$F$2:$F$5000,"&lt;="&amp;$H$5,'3 Base Entrada 2008'!$B$2:$B$5000,$T126,'3 Base Entrada 2008'!$C$2:$C$5000,$AG126)</f>
        <v>46293</v>
      </c>
      <c r="AE126" s="82" t="n">
        <f aca="false">_xlfn.MAXIFS('3 Base Entrada 2008'!$F$2:$F$5000,'3 Base Entrada 2008'!$F$2:$F$5000,"&gt;="&amp;$F$5,'3 Base Entrada 2008'!$F$2:$F$5000,"&lt;="&amp;$H$5,'3 Base Entrada 2008'!$B$2:$B$5000,$T126,'3 Base Entrada 2008'!$C$2:$C$5000,$AG126)</f>
        <v>46293</v>
      </c>
      <c r="AF126" s="82" t="s">
        <v>756</v>
      </c>
      <c r="AG126" s="82" t="s">
        <v>228</v>
      </c>
      <c r="AH126" s="82" t="n">
        <f aca="false">IF(AND(Z126=1,Y126&gt;$R$5),Y126+ROW()/10000000,0)</f>
        <v>0</v>
      </c>
      <c r="BA126" s="82" t="n">
        <f aca="false">SUMIFS('3 Base Saldo Inicial 08-09'!$E$2:$E$5000,'3 Base Saldo Inicial 08-09'!$A$2:$A$5000,$T126,'3 Base Saldo Inicial 08-09'!$B$2:$B$5000,$AG126,'3 Base Saldo Inicial 08-09'!$C$2:$C$5000,"2008")</f>
        <v>0</v>
      </c>
    </row>
    <row r="127" customFormat="false" ht="15" hidden="false" customHeight="false" outlineLevel="0" collapsed="false">
      <c r="A127" s="1"/>
      <c r="B127" s="1"/>
      <c r="C127" s="1"/>
      <c r="D127" s="1"/>
      <c r="E127" s="1"/>
      <c r="F127" s="1"/>
      <c r="G127" s="1"/>
      <c r="H127" s="1"/>
      <c r="I127" s="1"/>
      <c r="J127" s="1"/>
      <c r="K127" s="1"/>
      <c r="L127" s="1"/>
      <c r="M127" s="1"/>
      <c r="N127" s="1"/>
      <c r="O127" s="1"/>
      <c r="T127" s="82" t="s">
        <v>220</v>
      </c>
      <c r="U127" s="82" t="s">
        <v>65</v>
      </c>
      <c r="V127" s="82" t="n">
        <f aca="false">SUMIFS('3 Base Entrada 2008'!$G$2:$G$5000,'3 Base Entrada 2008'!$F$2:$F$5000,"&gt;="&amp;$F$5,'3 Base Entrada 2008'!$F$2:$F$5000,"&lt;="&amp;$H$5,'3 Base Entrada 2008'!$B$2:$B$5000,$T127,'3 Base Entrada 2008'!$C$2:$C$5000,$AG127,'3 Base Entrada 2008'!$K$2:$K$5000,"Recebido no 2008")</f>
        <v>0</v>
      </c>
      <c r="W127" s="82" t="n">
        <f aca="false">-SUMIFS('3 Base Entrada 2008'!$G$2:$G$5000,'3 Base Entrada 2008'!$F$2:$F$5000,"&gt;="&amp;$F$5,'3 Base Entrada 2008'!$F$2:$F$5000,"&lt;="&amp;$H$5,'3 Base Entrada 2008'!$B$2:$B$5000,$T127,'3 Base Entrada 2008'!$C$2:$C$5000,$AG127,'3 Base Entrada 2008'!$K$2:$K$5000,"Entrada")</f>
        <v>1809</v>
      </c>
      <c r="X127" s="82" t="n">
        <f aca="false">SUMIFS('3 Base Entrada 2008'!$G$2:$G$5000,'3 Base Entrada 2008'!$F$2:$F$5000,"&gt;="&amp;$F$5,'3 Base Entrada 2008'!$F$2:$F$5000,"&lt;="&amp;$H$5,'3 Base Entrada 2008'!$B$2:$B$5000,$T127,'3 Base Entrada 2008'!$C$2:$C$5000,$AG127,'3 Base Entrada 2008'!$K$2:$K$5000,"Estorno")</f>
        <v>0</v>
      </c>
      <c r="Y127" s="82" t="n">
        <f aca="false">ROUND(BA127+V127-W127+X127,3)</f>
        <v>-1809</v>
      </c>
      <c r="Z127" s="82" t="n">
        <f aca="false">IF(AND(U127=$R$3,OR($R$1="*",T127=$R$1),OR($R$2="*",AG127=$R$2),OR($K$5="Todas",AB127=$K$5),ABS(V127)+ABS(W127)+ABS(X127)&gt;0),1,0)</f>
        <v>1</v>
      </c>
      <c r="AA127" s="82" t="n">
        <f aca="false">IF(Z127=1,SUM(Z$40:Z127),"")</f>
        <v>76</v>
      </c>
      <c r="AB127" s="0" t="str">
        <f aca="false">IF(ABS(Y127)&lt;=$R$5,"Transferido 100%",IF(Y127&gt;0,"Aguardando transferência","Saiu saldo anterior a 09/09"))</f>
        <v>Saiu saldo anterior a 09/09</v>
      </c>
      <c r="AC127" s="82" t="n">
        <f aca="false">COUNTIFS('3 Base Entrada 2008'!$F$2:$F$5000,"&gt;="&amp;$F$5,'3 Base Entrada 2008'!$F$2:$F$5000,"&lt;="&amp;$H$5,'3 Base Entrada 2008'!$B$2:$B$5000,$T127,'3 Base Entrada 2008'!$C$2:$C$5000,$AG127)</f>
        <v>2</v>
      </c>
      <c r="AD127" s="82" t="n">
        <f aca="false">_xlfn.MINIFS('3 Base Entrada 2008'!$F$2:$F$5000,'3 Base Entrada 2008'!$F$2:$F$5000,"&gt;="&amp;$F$5,'3 Base Entrada 2008'!$F$2:$F$5000,"&lt;="&amp;$H$5,'3 Base Entrada 2008'!$B$2:$B$5000,$T127,'3 Base Entrada 2008'!$C$2:$C$5000,$AG127)</f>
        <v>46289</v>
      </c>
      <c r="AE127" s="82" t="n">
        <f aca="false">_xlfn.MAXIFS('3 Base Entrada 2008'!$F$2:$F$5000,'3 Base Entrada 2008'!$F$2:$F$5000,"&gt;="&amp;$F$5,'3 Base Entrada 2008'!$F$2:$F$5000,"&lt;="&amp;$H$5,'3 Base Entrada 2008'!$B$2:$B$5000,$T127,'3 Base Entrada 2008'!$C$2:$C$5000,$AG127)</f>
        <v>46291</v>
      </c>
      <c r="AF127" s="82" t="s">
        <v>404</v>
      </c>
      <c r="AG127" s="82" t="s">
        <v>224</v>
      </c>
      <c r="AH127" s="82" t="n">
        <f aca="false">IF(AND(Z127=1,Y127&gt;$R$5),Y127+ROW()/10000000,0)</f>
        <v>0</v>
      </c>
      <c r="BA127" s="82" t="n">
        <f aca="false">SUMIFS('3 Base Saldo Inicial 08-09'!$E$2:$E$5000,'3 Base Saldo Inicial 08-09'!$A$2:$A$5000,$T127,'3 Base Saldo Inicial 08-09'!$B$2:$B$5000,$AG127,'3 Base Saldo Inicial 08-09'!$C$2:$C$5000,"2008")</f>
        <v>0</v>
      </c>
    </row>
    <row r="128" customFormat="false" ht="15" hidden="false" customHeight="false" outlineLevel="0" collapsed="false">
      <c r="A128" s="1"/>
      <c r="B128" s="1"/>
      <c r="C128" s="1"/>
      <c r="D128" s="1"/>
      <c r="E128" s="1"/>
      <c r="F128" s="1"/>
      <c r="G128" s="1"/>
      <c r="H128" s="1"/>
      <c r="I128" s="1"/>
      <c r="J128" s="1"/>
      <c r="K128" s="1"/>
      <c r="L128" s="1"/>
      <c r="M128" s="1"/>
      <c r="N128" s="1"/>
      <c r="O128" s="1"/>
      <c r="T128" s="82" t="s">
        <v>271</v>
      </c>
      <c r="U128" s="82" t="s">
        <v>65</v>
      </c>
      <c r="V128" s="82" t="n">
        <f aca="false">SUMIFS('3 Base Entrada 2008'!$G$2:$G$5000,'3 Base Entrada 2008'!$F$2:$F$5000,"&gt;="&amp;$F$5,'3 Base Entrada 2008'!$F$2:$F$5000,"&lt;="&amp;$H$5,'3 Base Entrada 2008'!$B$2:$B$5000,$T128,'3 Base Entrada 2008'!$C$2:$C$5000,$AG128,'3 Base Entrada 2008'!$K$2:$K$5000,"Recebido no 2008")</f>
        <v>0</v>
      </c>
      <c r="W128" s="82" t="n">
        <f aca="false">-SUMIFS('3 Base Entrada 2008'!$G$2:$G$5000,'3 Base Entrada 2008'!$F$2:$F$5000,"&gt;="&amp;$F$5,'3 Base Entrada 2008'!$F$2:$F$5000,"&lt;="&amp;$H$5,'3 Base Entrada 2008'!$B$2:$B$5000,$T128,'3 Base Entrada 2008'!$C$2:$C$5000,$AG128,'3 Base Entrada 2008'!$K$2:$K$5000,"Entrada")</f>
        <v>2040</v>
      </c>
      <c r="X128" s="82" t="n">
        <f aca="false">SUMIFS('3 Base Entrada 2008'!$G$2:$G$5000,'3 Base Entrada 2008'!$F$2:$F$5000,"&gt;="&amp;$F$5,'3 Base Entrada 2008'!$F$2:$F$5000,"&lt;="&amp;$H$5,'3 Base Entrada 2008'!$B$2:$B$5000,$T128,'3 Base Entrada 2008'!$C$2:$C$5000,$AG128,'3 Base Entrada 2008'!$K$2:$K$5000,"Estorno")</f>
        <v>180</v>
      </c>
      <c r="Y128" s="82" t="n">
        <f aca="false">ROUND(BA128+V128-W128+X128,3)</f>
        <v>-1860</v>
      </c>
      <c r="Z128" s="82" t="n">
        <f aca="false">IF(AND(U128=$R$3,OR($R$1="*",T128=$R$1),OR($R$2="*",AG128=$R$2),OR($K$5="Todas",AB128=$K$5),ABS(V128)+ABS(W128)+ABS(X128)&gt;0),1,0)</f>
        <v>1</v>
      </c>
      <c r="AA128" s="82" t="n">
        <f aca="false">IF(Z128=1,SUM(Z$40:Z128),"")</f>
        <v>77</v>
      </c>
      <c r="AB128" s="0" t="str">
        <f aca="false">IF(ABS(Y128)&lt;=$R$5,"Transferido 100%",IF(Y128&gt;0,"Aguardando transferência","Saiu saldo anterior a 09/09"))</f>
        <v>Saiu saldo anterior a 09/09</v>
      </c>
      <c r="AC128" s="82" t="n">
        <f aca="false">COUNTIFS('3 Base Entrada 2008'!$F$2:$F$5000,"&gt;="&amp;$F$5,'3 Base Entrada 2008'!$F$2:$F$5000,"&lt;="&amp;$H$5,'3 Base Entrada 2008'!$B$2:$B$5000,$T128,'3 Base Entrada 2008'!$C$2:$C$5000,$AG128)</f>
        <v>7</v>
      </c>
      <c r="AD128" s="82" t="n">
        <f aca="false">_xlfn.MINIFS('3 Base Entrada 2008'!$F$2:$F$5000,'3 Base Entrada 2008'!$F$2:$F$5000,"&gt;="&amp;$F$5,'3 Base Entrada 2008'!$F$2:$F$5000,"&lt;="&amp;$H$5,'3 Base Entrada 2008'!$B$2:$B$5000,$T128,'3 Base Entrada 2008'!$C$2:$C$5000,$AG128)</f>
        <v>46289</v>
      </c>
      <c r="AE128" s="82" t="n">
        <f aca="false">_xlfn.MAXIFS('3 Base Entrada 2008'!$F$2:$F$5000,'3 Base Entrada 2008'!$F$2:$F$5000,"&gt;="&amp;$F$5,'3 Base Entrada 2008'!$F$2:$F$5000,"&lt;="&amp;$H$5,'3 Base Entrada 2008'!$B$2:$B$5000,$T128,'3 Base Entrada 2008'!$C$2:$C$5000,$AG128)</f>
        <v>46295</v>
      </c>
      <c r="AF128" s="82" t="s">
        <v>1225</v>
      </c>
      <c r="AG128" s="82" t="s">
        <v>272</v>
      </c>
      <c r="AH128" s="82" t="n">
        <f aca="false">IF(AND(Z128=1,Y128&gt;$R$5),Y128+ROW()/10000000,0)</f>
        <v>0</v>
      </c>
      <c r="BA128" s="82" t="n">
        <f aca="false">SUMIFS('3 Base Saldo Inicial 08-09'!$E$2:$E$5000,'3 Base Saldo Inicial 08-09'!$A$2:$A$5000,$T128,'3 Base Saldo Inicial 08-09'!$B$2:$B$5000,$AG128,'3 Base Saldo Inicial 08-09'!$C$2:$C$5000,"2008")</f>
        <v>0</v>
      </c>
    </row>
    <row r="129" customFormat="false" ht="15" hidden="false" customHeight="false" outlineLevel="0" collapsed="false">
      <c r="A129" s="1"/>
      <c r="B129" s="1"/>
      <c r="C129" s="1"/>
      <c r="D129" s="1"/>
      <c r="E129" s="1"/>
      <c r="F129" s="1"/>
      <c r="G129" s="1"/>
      <c r="H129" s="1"/>
      <c r="I129" s="1"/>
      <c r="J129" s="1"/>
      <c r="K129" s="1"/>
      <c r="L129" s="1"/>
      <c r="M129" s="1"/>
      <c r="N129" s="1"/>
      <c r="O129" s="1"/>
      <c r="T129" s="82" t="s">
        <v>276</v>
      </c>
      <c r="U129" s="82" t="s">
        <v>65</v>
      </c>
      <c r="V129" s="82" t="n">
        <f aca="false">SUMIFS('3 Base Entrada 2008'!$G$2:$G$5000,'3 Base Entrada 2008'!$F$2:$F$5000,"&gt;="&amp;$F$5,'3 Base Entrada 2008'!$F$2:$F$5000,"&lt;="&amp;$H$5,'3 Base Entrada 2008'!$B$2:$B$5000,$T129,'3 Base Entrada 2008'!$C$2:$C$5000,$AG129,'3 Base Entrada 2008'!$K$2:$K$5000,"Recebido no 2008")</f>
        <v>40</v>
      </c>
      <c r="W129" s="82" t="n">
        <f aca="false">-SUMIFS('3 Base Entrada 2008'!$G$2:$G$5000,'3 Base Entrada 2008'!$F$2:$F$5000,"&gt;="&amp;$F$5,'3 Base Entrada 2008'!$F$2:$F$5000,"&lt;="&amp;$H$5,'3 Base Entrada 2008'!$B$2:$B$5000,$T129,'3 Base Entrada 2008'!$C$2:$C$5000,$AG129,'3 Base Entrada 2008'!$K$2:$K$5000,"Entrada")</f>
        <v>2271.3</v>
      </c>
      <c r="X129" s="82" t="n">
        <f aca="false">SUMIFS('3 Base Entrada 2008'!$G$2:$G$5000,'3 Base Entrada 2008'!$F$2:$F$5000,"&gt;="&amp;$F$5,'3 Base Entrada 2008'!$F$2:$F$5000,"&lt;="&amp;$H$5,'3 Base Entrada 2008'!$B$2:$B$5000,$T129,'3 Base Entrada 2008'!$C$2:$C$5000,$AG129,'3 Base Entrada 2008'!$K$2:$K$5000,"Estorno")</f>
        <v>0</v>
      </c>
      <c r="Y129" s="82" t="n">
        <f aca="false">ROUND(BA129+V129-W129+X129,3)</f>
        <v>-2231.3</v>
      </c>
      <c r="Z129" s="82" t="n">
        <f aca="false">IF(AND(U129=$R$3,OR($R$1="*",T129=$R$1),OR($R$2="*",AG129=$R$2),OR($K$5="Todas",AB129=$K$5),ABS(V129)+ABS(W129)+ABS(X129)&gt;0),1,0)</f>
        <v>1</v>
      </c>
      <c r="AA129" s="82" t="n">
        <f aca="false">IF(Z129=1,SUM(Z$40:Z129),"")</f>
        <v>78</v>
      </c>
      <c r="AB129" s="0" t="str">
        <f aca="false">IF(ABS(Y129)&lt;=$R$5,"Transferido 100%",IF(Y129&gt;0,"Aguardando transferência","Saiu saldo anterior a 09/09"))</f>
        <v>Saiu saldo anterior a 09/09</v>
      </c>
      <c r="AC129" s="82" t="n">
        <f aca="false">COUNTIFS('3 Base Entrada 2008'!$F$2:$F$5000,"&gt;="&amp;$F$5,'3 Base Entrada 2008'!$F$2:$F$5000,"&lt;="&amp;$H$5,'3 Base Entrada 2008'!$B$2:$B$5000,$T129,'3 Base Entrada 2008'!$C$2:$C$5000,$AG129)</f>
        <v>4</v>
      </c>
      <c r="AD129" s="82" t="n">
        <f aca="false">_xlfn.MINIFS('3 Base Entrada 2008'!$F$2:$F$5000,'3 Base Entrada 2008'!$F$2:$F$5000,"&gt;="&amp;$F$5,'3 Base Entrada 2008'!$F$2:$F$5000,"&lt;="&amp;$H$5,'3 Base Entrada 2008'!$B$2:$B$5000,$T129,'3 Base Entrada 2008'!$C$2:$C$5000,$AG129)</f>
        <v>46275</v>
      </c>
      <c r="AE129" s="82" t="n">
        <f aca="false">_xlfn.MAXIFS('3 Base Entrada 2008'!$F$2:$F$5000,'3 Base Entrada 2008'!$F$2:$F$5000,"&gt;="&amp;$F$5,'3 Base Entrada 2008'!$F$2:$F$5000,"&lt;="&amp;$H$5,'3 Base Entrada 2008'!$B$2:$B$5000,$T129,'3 Base Entrada 2008'!$C$2:$C$5000,$AG129)</f>
        <v>46291</v>
      </c>
      <c r="AF129" s="82" t="s">
        <v>404</v>
      </c>
      <c r="AG129" s="82" t="s">
        <v>278</v>
      </c>
      <c r="AH129" s="82" t="n">
        <f aca="false">IF(AND(Z129=1,Y129&gt;$R$5),Y129+ROW()/10000000,0)</f>
        <v>0</v>
      </c>
      <c r="BA129" s="82" t="n">
        <f aca="false">SUMIFS('3 Base Saldo Inicial 08-09'!$E$2:$E$5000,'3 Base Saldo Inicial 08-09'!$A$2:$A$5000,$T129,'3 Base Saldo Inicial 08-09'!$B$2:$B$5000,$AG129,'3 Base Saldo Inicial 08-09'!$C$2:$C$5000,"2008")</f>
        <v>0</v>
      </c>
    </row>
    <row r="130" customFormat="false" ht="15" hidden="false" customHeight="false" outlineLevel="0" collapsed="false">
      <c r="A130" s="1"/>
      <c r="B130" s="1"/>
      <c r="C130" s="1"/>
      <c r="D130" s="1"/>
      <c r="E130" s="1"/>
      <c r="F130" s="1"/>
      <c r="G130" s="1"/>
      <c r="H130" s="1"/>
      <c r="I130" s="1"/>
      <c r="J130" s="1"/>
      <c r="K130" s="1"/>
      <c r="L130" s="1"/>
      <c r="M130" s="1"/>
      <c r="N130" s="1"/>
      <c r="O130" s="1"/>
      <c r="T130" s="82" t="s">
        <v>232</v>
      </c>
      <c r="U130" s="82" t="s">
        <v>146</v>
      </c>
      <c r="V130" s="82" t="n">
        <f aca="false">SUMIFS('3 Base Entrada 2008'!$G$2:$G$5000,'3 Base Entrada 2008'!$F$2:$F$5000,"&gt;="&amp;$F$5,'3 Base Entrada 2008'!$F$2:$F$5000,"&lt;="&amp;$H$5,'3 Base Entrada 2008'!$B$2:$B$5000,$T130,'3 Base Entrada 2008'!$C$2:$C$5000,$AG130,'3 Base Entrada 2008'!$K$2:$K$5000,"Recebido no 2008")</f>
        <v>0</v>
      </c>
      <c r="W130" s="82" t="n">
        <f aca="false">-SUMIFS('3 Base Entrada 2008'!$G$2:$G$5000,'3 Base Entrada 2008'!$F$2:$F$5000,"&gt;="&amp;$F$5,'3 Base Entrada 2008'!$F$2:$F$5000,"&lt;="&amp;$H$5,'3 Base Entrada 2008'!$B$2:$B$5000,$T130,'3 Base Entrada 2008'!$C$2:$C$5000,$AG130,'3 Base Entrada 2008'!$K$2:$K$5000,"Entrada")</f>
        <v>2250</v>
      </c>
      <c r="X130" s="82" t="n">
        <f aca="false">SUMIFS('3 Base Entrada 2008'!$G$2:$G$5000,'3 Base Entrada 2008'!$F$2:$F$5000,"&gt;="&amp;$F$5,'3 Base Entrada 2008'!$F$2:$F$5000,"&lt;="&amp;$H$5,'3 Base Entrada 2008'!$B$2:$B$5000,$T130,'3 Base Entrada 2008'!$C$2:$C$5000,$AG130,'3 Base Entrada 2008'!$K$2:$K$5000,"Estorno")</f>
        <v>0</v>
      </c>
      <c r="Y130" s="82" t="n">
        <f aca="false">ROUND(BA130+V130-W130+X130,3)</f>
        <v>-2250</v>
      </c>
      <c r="Z130" s="82" t="n">
        <f aca="false">IF(AND(U130=$R$3,OR($R$1="*",T130=$R$1),OR($R$2="*",AG130=$R$2),OR($K$5="Todas",AB130=$K$5),ABS(V130)+ABS(W130)+ABS(X130)&gt;0),1,0)</f>
        <v>0</v>
      </c>
      <c r="AA130" s="0" t="str">
        <f aca="false">IF(Z130=1,SUM(Z$40:Z130),"")</f>
        <v/>
      </c>
      <c r="AB130" s="0" t="str">
        <f aca="false">IF(ABS(Y130)&lt;=$R$5,"Transferido 100%",IF(Y130&gt;0,"Aguardando transferência","Saiu saldo anterior a 09/09"))</f>
        <v>Saiu saldo anterior a 09/09</v>
      </c>
      <c r="AC130" s="82" t="n">
        <f aca="false">COUNTIFS('3 Base Entrada 2008'!$F$2:$F$5000,"&gt;="&amp;$F$5,'3 Base Entrada 2008'!$F$2:$F$5000,"&lt;="&amp;$H$5,'3 Base Entrada 2008'!$B$2:$B$5000,$T130,'3 Base Entrada 2008'!$C$2:$C$5000,$AG130)</f>
        <v>4</v>
      </c>
      <c r="AD130" s="82" t="n">
        <f aca="false">_xlfn.MINIFS('3 Base Entrada 2008'!$F$2:$F$5000,'3 Base Entrada 2008'!$F$2:$F$5000,"&gt;="&amp;$F$5,'3 Base Entrada 2008'!$F$2:$F$5000,"&lt;="&amp;$H$5,'3 Base Entrada 2008'!$B$2:$B$5000,$T130,'3 Base Entrada 2008'!$C$2:$C$5000,$AG130)</f>
        <v>46289</v>
      </c>
      <c r="AE130" s="82" t="n">
        <f aca="false">_xlfn.MAXIFS('3 Base Entrada 2008'!$F$2:$F$5000,'3 Base Entrada 2008'!$F$2:$F$5000,"&gt;="&amp;$F$5,'3 Base Entrada 2008'!$F$2:$F$5000,"&lt;="&amp;$H$5,'3 Base Entrada 2008'!$B$2:$B$5000,$T130,'3 Base Entrada 2008'!$C$2:$C$5000,$AG130)</f>
        <v>46294</v>
      </c>
      <c r="AF130" s="82" t="s">
        <v>939</v>
      </c>
      <c r="AG130" s="82" t="s">
        <v>233</v>
      </c>
      <c r="AH130" s="82" t="n">
        <f aca="false">IF(AND(Z130=1,Y130&gt;$R$5),Y130+ROW()/10000000,0)</f>
        <v>0</v>
      </c>
      <c r="BA130" s="82" t="n">
        <f aca="false">SUMIFS('3 Base Saldo Inicial 08-09'!$E$2:$E$5000,'3 Base Saldo Inicial 08-09'!$A$2:$A$5000,$T130,'3 Base Saldo Inicial 08-09'!$B$2:$B$5000,$AG130,'3 Base Saldo Inicial 08-09'!$C$2:$C$5000,"2008")</f>
        <v>0</v>
      </c>
    </row>
    <row r="131" customFormat="false" ht="15" hidden="false" customHeight="false" outlineLevel="0" collapsed="false">
      <c r="A131" s="1"/>
      <c r="B131" s="1"/>
      <c r="C131" s="1"/>
      <c r="D131" s="1"/>
      <c r="E131" s="1"/>
      <c r="F131" s="1"/>
      <c r="G131" s="1"/>
      <c r="H131" s="1"/>
      <c r="I131" s="1"/>
      <c r="J131" s="1"/>
      <c r="K131" s="1"/>
      <c r="L131" s="1"/>
      <c r="M131" s="1"/>
      <c r="N131" s="1"/>
      <c r="O131" s="1"/>
      <c r="T131" s="82" t="s">
        <v>205</v>
      </c>
      <c r="U131" s="82" t="s">
        <v>65</v>
      </c>
      <c r="V131" s="82" t="n">
        <f aca="false">SUMIFS('3 Base Entrada 2008'!$G$2:$G$5000,'3 Base Entrada 2008'!$F$2:$F$5000,"&gt;="&amp;$F$5,'3 Base Entrada 2008'!$F$2:$F$5000,"&lt;="&amp;$H$5,'3 Base Entrada 2008'!$B$2:$B$5000,$T131,'3 Base Entrada 2008'!$C$2:$C$5000,$AG131,'3 Base Entrada 2008'!$K$2:$K$5000,"Recebido no 2008")</f>
        <v>0</v>
      </c>
      <c r="W131" s="82" t="n">
        <f aca="false">-SUMIFS('3 Base Entrada 2008'!$G$2:$G$5000,'3 Base Entrada 2008'!$F$2:$F$5000,"&gt;="&amp;$F$5,'3 Base Entrada 2008'!$F$2:$F$5000,"&lt;="&amp;$H$5,'3 Base Entrada 2008'!$B$2:$B$5000,$T131,'3 Base Entrada 2008'!$C$2:$C$5000,$AG131,'3 Base Entrada 2008'!$K$2:$K$5000,"Entrada")</f>
        <v>2733.6</v>
      </c>
      <c r="X131" s="82" t="n">
        <f aca="false">SUMIFS('3 Base Entrada 2008'!$G$2:$G$5000,'3 Base Entrada 2008'!$F$2:$F$5000,"&gt;="&amp;$F$5,'3 Base Entrada 2008'!$F$2:$F$5000,"&lt;="&amp;$H$5,'3 Base Entrada 2008'!$B$2:$B$5000,$T131,'3 Base Entrada 2008'!$C$2:$C$5000,$AG131,'3 Base Entrada 2008'!$K$2:$K$5000,"Estorno")</f>
        <v>0</v>
      </c>
      <c r="Y131" s="82" t="n">
        <f aca="false">ROUND(BA131+V131-W131+X131,3)</f>
        <v>-2733.6</v>
      </c>
      <c r="Z131" s="82" t="n">
        <f aca="false">IF(AND(U131=$R$3,OR($R$1="*",T131=$R$1),OR($R$2="*",AG131=$R$2),OR($K$5="Todas",AB131=$K$5),ABS(V131)+ABS(W131)+ABS(X131)&gt;0),1,0)</f>
        <v>1</v>
      </c>
      <c r="AA131" s="82" t="n">
        <f aca="false">IF(Z131=1,SUM(Z$40:Z131),"")</f>
        <v>79</v>
      </c>
      <c r="AB131" s="0" t="str">
        <f aca="false">IF(ABS(Y131)&lt;=$R$5,"Transferido 100%",IF(Y131&gt;0,"Aguardando transferência","Saiu saldo anterior a 09/09"))</f>
        <v>Saiu saldo anterior a 09/09</v>
      </c>
      <c r="AC131" s="82" t="n">
        <f aca="false">COUNTIFS('3 Base Entrada 2008'!$F$2:$F$5000,"&gt;="&amp;$F$5,'3 Base Entrada 2008'!$F$2:$F$5000,"&lt;="&amp;$H$5,'3 Base Entrada 2008'!$B$2:$B$5000,$T131,'3 Base Entrada 2008'!$C$2:$C$5000,$AG131)</f>
        <v>6</v>
      </c>
      <c r="AD131" s="82" t="n">
        <f aca="false">_xlfn.MINIFS('3 Base Entrada 2008'!$F$2:$F$5000,'3 Base Entrada 2008'!$F$2:$F$5000,"&gt;="&amp;$F$5,'3 Base Entrada 2008'!$F$2:$F$5000,"&lt;="&amp;$H$5,'3 Base Entrada 2008'!$B$2:$B$5000,$T131,'3 Base Entrada 2008'!$C$2:$C$5000,$AG131)</f>
        <v>46294</v>
      </c>
      <c r="AE131" s="82" t="n">
        <f aca="false">_xlfn.MAXIFS('3 Base Entrada 2008'!$F$2:$F$5000,'3 Base Entrada 2008'!$F$2:$F$5000,"&gt;="&amp;$F$5,'3 Base Entrada 2008'!$F$2:$F$5000,"&lt;="&amp;$H$5,'3 Base Entrada 2008'!$B$2:$B$5000,$T131,'3 Base Entrada 2008'!$C$2:$C$5000,$AG131)</f>
        <v>46295</v>
      </c>
      <c r="AF131" s="82" t="s">
        <v>404</v>
      </c>
      <c r="AG131" s="82" t="s">
        <v>206</v>
      </c>
      <c r="AH131" s="82" t="n">
        <f aca="false">IF(AND(Z131=1,Y131&gt;$R$5),Y131+ROW()/10000000,0)</f>
        <v>0</v>
      </c>
      <c r="BA131" s="82" t="n">
        <f aca="false">SUMIFS('3 Base Saldo Inicial 08-09'!$E$2:$E$5000,'3 Base Saldo Inicial 08-09'!$A$2:$A$5000,$T131,'3 Base Saldo Inicial 08-09'!$B$2:$B$5000,$AG131,'3 Base Saldo Inicial 08-09'!$C$2:$C$5000,"2008")</f>
        <v>0</v>
      </c>
    </row>
    <row r="132" customFormat="false" ht="15" hidden="false" customHeight="false" outlineLevel="0" collapsed="false">
      <c r="A132" s="1"/>
      <c r="B132" s="1"/>
      <c r="C132" s="1"/>
      <c r="D132" s="1"/>
      <c r="E132" s="1"/>
      <c r="F132" s="1"/>
      <c r="G132" s="1"/>
      <c r="H132" s="1"/>
      <c r="I132" s="1"/>
      <c r="J132" s="1"/>
      <c r="K132" s="1"/>
      <c r="L132" s="1"/>
      <c r="M132" s="1"/>
      <c r="N132" s="1"/>
      <c r="O132" s="1"/>
      <c r="T132" s="82" t="s">
        <v>192</v>
      </c>
      <c r="U132" s="82" t="s">
        <v>65</v>
      </c>
      <c r="V132" s="82" t="n">
        <f aca="false">SUMIFS('3 Base Entrada 2008'!$G$2:$G$5000,'3 Base Entrada 2008'!$F$2:$F$5000,"&gt;="&amp;$F$5,'3 Base Entrada 2008'!$F$2:$F$5000,"&lt;="&amp;$H$5,'3 Base Entrada 2008'!$B$2:$B$5000,$T132,'3 Base Entrada 2008'!$C$2:$C$5000,$AG132,'3 Base Entrada 2008'!$K$2:$K$5000,"Recebido no 2008")</f>
        <v>0</v>
      </c>
      <c r="W132" s="82" t="n">
        <f aca="false">-SUMIFS('3 Base Entrada 2008'!$G$2:$G$5000,'3 Base Entrada 2008'!$F$2:$F$5000,"&gt;="&amp;$F$5,'3 Base Entrada 2008'!$F$2:$F$5000,"&lt;="&amp;$H$5,'3 Base Entrada 2008'!$B$2:$B$5000,$T132,'3 Base Entrada 2008'!$C$2:$C$5000,$AG132,'3 Base Entrada 2008'!$K$2:$K$5000,"Entrada")</f>
        <v>3015</v>
      </c>
      <c r="X132" s="82" t="n">
        <f aca="false">SUMIFS('3 Base Entrada 2008'!$G$2:$G$5000,'3 Base Entrada 2008'!$F$2:$F$5000,"&gt;="&amp;$F$5,'3 Base Entrada 2008'!$F$2:$F$5000,"&lt;="&amp;$H$5,'3 Base Entrada 2008'!$B$2:$B$5000,$T132,'3 Base Entrada 2008'!$C$2:$C$5000,$AG132,'3 Base Entrada 2008'!$K$2:$K$5000,"Estorno")</f>
        <v>0</v>
      </c>
      <c r="Y132" s="82" t="n">
        <f aca="false">ROUND(BA132+V132-W132+X132,3)</f>
        <v>-3015</v>
      </c>
      <c r="Z132" s="82" t="n">
        <f aca="false">IF(AND(U132=$R$3,OR($R$1="*",T132=$R$1),OR($R$2="*",AG132=$R$2),OR($K$5="Todas",AB132=$K$5),ABS(V132)+ABS(W132)+ABS(X132)&gt;0),1,0)</f>
        <v>1</v>
      </c>
      <c r="AA132" s="82" t="n">
        <f aca="false">IF(Z132=1,SUM(Z$40:Z132),"")</f>
        <v>80</v>
      </c>
      <c r="AB132" s="0" t="str">
        <f aca="false">IF(ABS(Y132)&lt;=$R$5,"Transferido 100%",IF(Y132&gt;0,"Aguardando transferência","Saiu saldo anterior a 09/09"))</f>
        <v>Saiu saldo anterior a 09/09</v>
      </c>
      <c r="AC132" s="82" t="n">
        <f aca="false">COUNTIFS('3 Base Entrada 2008'!$F$2:$F$5000,"&gt;="&amp;$F$5,'3 Base Entrada 2008'!$F$2:$F$5000,"&lt;="&amp;$H$5,'3 Base Entrada 2008'!$B$2:$B$5000,$T132,'3 Base Entrada 2008'!$C$2:$C$5000,$AG132)</f>
        <v>2</v>
      </c>
      <c r="AD132" s="82" t="n">
        <f aca="false">_xlfn.MINIFS('3 Base Entrada 2008'!$F$2:$F$5000,'3 Base Entrada 2008'!$F$2:$F$5000,"&gt;="&amp;$F$5,'3 Base Entrada 2008'!$F$2:$F$5000,"&lt;="&amp;$H$5,'3 Base Entrada 2008'!$B$2:$B$5000,$T132,'3 Base Entrada 2008'!$C$2:$C$5000,$AG132)</f>
        <v>46288</v>
      </c>
      <c r="AE132" s="82" t="n">
        <f aca="false">_xlfn.MAXIFS('3 Base Entrada 2008'!$F$2:$F$5000,'3 Base Entrada 2008'!$F$2:$F$5000,"&gt;="&amp;$F$5,'3 Base Entrada 2008'!$F$2:$F$5000,"&lt;="&amp;$H$5,'3 Base Entrada 2008'!$B$2:$B$5000,$T132,'3 Base Entrada 2008'!$C$2:$C$5000,$AG132)</f>
        <v>46288</v>
      </c>
      <c r="AF132" s="82" t="s">
        <v>404</v>
      </c>
      <c r="AG132" s="82" t="s">
        <v>195</v>
      </c>
      <c r="AH132" s="82" t="n">
        <f aca="false">IF(AND(Z132=1,Y132&gt;$R$5),Y132+ROW()/10000000,0)</f>
        <v>0</v>
      </c>
      <c r="BA132" s="82" t="n">
        <f aca="false">SUMIFS('3 Base Saldo Inicial 08-09'!$E$2:$E$5000,'3 Base Saldo Inicial 08-09'!$A$2:$A$5000,$T132,'3 Base Saldo Inicial 08-09'!$B$2:$B$5000,$AG132,'3 Base Saldo Inicial 08-09'!$C$2:$C$5000,"2008")</f>
        <v>0</v>
      </c>
    </row>
    <row r="133" customFormat="false" ht="15" hidden="false" customHeight="false" outlineLevel="0" collapsed="false">
      <c r="A133" s="1"/>
      <c r="B133" s="1"/>
      <c r="C133" s="1"/>
      <c r="D133" s="1"/>
      <c r="E133" s="1"/>
      <c r="F133" s="1"/>
      <c r="G133" s="1"/>
      <c r="H133" s="1"/>
      <c r="I133" s="1"/>
      <c r="J133" s="1"/>
      <c r="K133" s="1"/>
      <c r="L133" s="1"/>
      <c r="M133" s="1"/>
      <c r="N133" s="1"/>
      <c r="O133" s="1"/>
      <c r="T133" s="82" t="s">
        <v>220</v>
      </c>
      <c r="U133" s="82" t="s">
        <v>65</v>
      </c>
      <c r="V133" s="82" t="n">
        <f aca="false">SUMIFS('3 Base Entrada 2008'!$G$2:$G$5000,'3 Base Entrada 2008'!$F$2:$F$5000,"&gt;="&amp;$F$5,'3 Base Entrada 2008'!$F$2:$F$5000,"&lt;="&amp;$H$5,'3 Base Entrada 2008'!$B$2:$B$5000,$T133,'3 Base Entrada 2008'!$C$2:$C$5000,$AG133,'3 Base Entrada 2008'!$K$2:$K$5000,"Recebido no 2008")</f>
        <v>0</v>
      </c>
      <c r="W133" s="82" t="n">
        <f aca="false">-SUMIFS('3 Base Entrada 2008'!$G$2:$G$5000,'3 Base Entrada 2008'!$F$2:$F$5000,"&gt;="&amp;$F$5,'3 Base Entrada 2008'!$F$2:$F$5000,"&lt;="&amp;$H$5,'3 Base Entrada 2008'!$B$2:$B$5000,$T133,'3 Base Entrada 2008'!$C$2:$C$5000,$AG133,'3 Base Entrada 2008'!$K$2:$K$5000,"Entrada")</f>
        <v>3612</v>
      </c>
      <c r="X133" s="82" t="n">
        <f aca="false">SUMIFS('3 Base Entrada 2008'!$G$2:$G$5000,'3 Base Entrada 2008'!$F$2:$F$5000,"&gt;="&amp;$F$5,'3 Base Entrada 2008'!$F$2:$F$5000,"&lt;="&amp;$H$5,'3 Base Entrada 2008'!$B$2:$B$5000,$T133,'3 Base Entrada 2008'!$C$2:$C$5000,$AG133,'3 Base Entrada 2008'!$K$2:$K$5000,"Estorno")</f>
        <v>0</v>
      </c>
      <c r="Y133" s="82" t="n">
        <f aca="false">ROUND(BA133+V133-W133+X133,3)</f>
        <v>-3612</v>
      </c>
      <c r="Z133" s="82" t="n">
        <f aca="false">IF(AND(U133=$R$3,OR($R$1="*",T133=$R$1),OR($R$2="*",AG133=$R$2),OR($K$5="Todas",AB133=$K$5),ABS(V133)+ABS(W133)+ABS(X133)&gt;0),1,0)</f>
        <v>1</v>
      </c>
      <c r="AA133" s="82" t="n">
        <f aca="false">IF(Z133=1,SUM(Z$40:Z133),"")</f>
        <v>81</v>
      </c>
      <c r="AB133" s="0" t="str">
        <f aca="false">IF(ABS(Y133)&lt;=$R$5,"Transferido 100%",IF(Y133&gt;0,"Aguardando transferência","Saiu saldo anterior a 09/09"))</f>
        <v>Saiu saldo anterior a 09/09</v>
      </c>
      <c r="AC133" s="82" t="n">
        <f aca="false">COUNTIFS('3 Base Entrada 2008'!$F$2:$F$5000,"&gt;="&amp;$F$5,'3 Base Entrada 2008'!$F$2:$F$5000,"&lt;="&amp;$H$5,'3 Base Entrada 2008'!$B$2:$B$5000,$T133,'3 Base Entrada 2008'!$C$2:$C$5000,$AG133)</f>
        <v>6</v>
      </c>
      <c r="AD133" s="82" t="n">
        <f aca="false">_xlfn.MINIFS('3 Base Entrada 2008'!$F$2:$F$5000,'3 Base Entrada 2008'!$F$2:$F$5000,"&gt;="&amp;$F$5,'3 Base Entrada 2008'!$F$2:$F$5000,"&lt;="&amp;$H$5,'3 Base Entrada 2008'!$B$2:$B$5000,$T133,'3 Base Entrada 2008'!$C$2:$C$5000,$AG133)</f>
        <v>46293</v>
      </c>
      <c r="AE133" s="82" t="n">
        <f aca="false">_xlfn.MAXIFS('3 Base Entrada 2008'!$F$2:$F$5000,'3 Base Entrada 2008'!$F$2:$F$5000,"&gt;="&amp;$F$5,'3 Base Entrada 2008'!$F$2:$F$5000,"&lt;="&amp;$H$5,'3 Base Entrada 2008'!$B$2:$B$5000,$T133,'3 Base Entrada 2008'!$C$2:$C$5000,$AG133)</f>
        <v>46294</v>
      </c>
      <c r="AF133" s="82" t="s">
        <v>404</v>
      </c>
      <c r="AG133" s="82" t="s">
        <v>221</v>
      </c>
      <c r="AH133" s="82" t="n">
        <f aca="false">IF(AND(Z133=1,Y133&gt;$R$5),Y133+ROW()/10000000,0)</f>
        <v>0</v>
      </c>
      <c r="BA133" s="82" t="n">
        <f aca="false">SUMIFS('3 Base Saldo Inicial 08-09'!$E$2:$E$5000,'3 Base Saldo Inicial 08-09'!$A$2:$A$5000,$T133,'3 Base Saldo Inicial 08-09'!$B$2:$B$5000,$AG133,'3 Base Saldo Inicial 08-09'!$C$2:$C$5000,"2008")</f>
        <v>0</v>
      </c>
    </row>
    <row r="134" customFormat="false" ht="15" hidden="false" customHeight="false" outlineLevel="0" collapsed="false">
      <c r="A134" s="1"/>
      <c r="B134" s="1"/>
      <c r="C134" s="1"/>
      <c r="D134" s="1"/>
      <c r="E134" s="1"/>
      <c r="F134" s="1"/>
      <c r="G134" s="1"/>
      <c r="H134" s="1"/>
      <c r="I134" s="1"/>
      <c r="J134" s="1"/>
      <c r="K134" s="1"/>
      <c r="L134" s="1"/>
      <c r="M134" s="1"/>
      <c r="N134" s="1"/>
      <c r="O134" s="1"/>
    </row>
    <row r="135" customFormat="false" ht="15" hidden="false" customHeight="false" outlineLevel="0" collapsed="false">
      <c r="A135" s="1"/>
      <c r="B135" s="1"/>
      <c r="C135" s="1"/>
      <c r="D135" s="1"/>
      <c r="E135" s="1"/>
      <c r="F135" s="1"/>
      <c r="G135" s="1"/>
      <c r="H135" s="1"/>
      <c r="I135" s="1"/>
      <c r="J135" s="1"/>
      <c r="K135" s="1"/>
      <c r="L135" s="1"/>
      <c r="M135" s="1"/>
      <c r="N135" s="1"/>
      <c r="O135" s="1"/>
    </row>
    <row r="136" customFormat="false" ht="15" hidden="false" customHeight="false" outlineLevel="0" collapsed="false">
      <c r="A136" s="1"/>
      <c r="B136" s="1"/>
      <c r="C136" s="1"/>
      <c r="D136" s="1"/>
      <c r="E136" s="1"/>
      <c r="F136" s="1"/>
      <c r="G136" s="1"/>
      <c r="H136" s="1"/>
      <c r="I136" s="1"/>
      <c r="J136" s="1"/>
      <c r="K136" s="1"/>
      <c r="L136" s="1"/>
      <c r="M136" s="1"/>
      <c r="N136" s="1"/>
      <c r="O136" s="1"/>
    </row>
    <row r="137" customFormat="false" ht="15" hidden="false" customHeight="false" outlineLevel="0" collapsed="false">
      <c r="A137" s="1"/>
      <c r="B137" s="1"/>
      <c r="C137" s="1"/>
      <c r="D137" s="1"/>
      <c r="E137" s="1"/>
      <c r="F137" s="1"/>
      <c r="G137" s="1"/>
      <c r="H137" s="1"/>
      <c r="I137" s="1"/>
      <c r="J137" s="1"/>
      <c r="K137" s="1"/>
      <c r="L137" s="1"/>
      <c r="M137" s="1"/>
      <c r="N137" s="1"/>
      <c r="O137" s="1"/>
    </row>
    <row r="138" customFormat="false" ht="15" hidden="false" customHeight="false" outlineLevel="0" collapsed="false">
      <c r="A138" s="1"/>
      <c r="B138" s="1"/>
      <c r="C138" s="1"/>
      <c r="D138" s="1"/>
      <c r="E138" s="1"/>
      <c r="F138" s="1"/>
      <c r="G138" s="1"/>
      <c r="H138" s="1"/>
      <c r="I138" s="1"/>
      <c r="J138" s="1"/>
      <c r="K138" s="1"/>
      <c r="L138" s="1"/>
      <c r="M138" s="1"/>
      <c r="N138" s="1"/>
      <c r="O138" s="1"/>
    </row>
    <row r="139" customFormat="false" ht="15" hidden="false" customHeight="false" outlineLevel="0" collapsed="false">
      <c r="A139" s="1"/>
      <c r="B139" s="1"/>
      <c r="C139" s="1"/>
      <c r="D139" s="1"/>
      <c r="E139" s="1"/>
      <c r="F139" s="1"/>
      <c r="G139" s="1"/>
      <c r="H139" s="1"/>
      <c r="I139" s="1"/>
      <c r="J139" s="1"/>
      <c r="K139" s="1"/>
      <c r="L139" s="1"/>
      <c r="M139" s="1"/>
      <c r="N139" s="1"/>
      <c r="O139" s="1"/>
    </row>
    <row r="140" customFormat="false" ht="15" hidden="false" customHeight="false" outlineLevel="0" collapsed="false">
      <c r="A140" s="1"/>
      <c r="B140" s="1"/>
      <c r="C140" s="1"/>
      <c r="D140" s="1"/>
      <c r="E140" s="1"/>
      <c r="F140" s="1"/>
      <c r="G140" s="1"/>
      <c r="H140" s="1"/>
      <c r="I140" s="1"/>
      <c r="J140" s="1"/>
      <c r="K140" s="1"/>
      <c r="L140" s="1"/>
      <c r="M140" s="1"/>
      <c r="N140" s="1"/>
      <c r="O140" s="1"/>
    </row>
    <row r="141" customFormat="false" ht="15" hidden="false" customHeight="false" outlineLevel="0" collapsed="false">
      <c r="A141" s="1"/>
      <c r="B141" s="1"/>
      <c r="C141" s="1"/>
      <c r="D141" s="1"/>
      <c r="E141" s="1"/>
      <c r="F141" s="1"/>
      <c r="G141" s="1"/>
      <c r="H141" s="1"/>
      <c r="I141" s="1"/>
      <c r="J141" s="1"/>
      <c r="K141" s="1"/>
      <c r="L141" s="1"/>
      <c r="M141" s="1"/>
      <c r="N141" s="1"/>
      <c r="O141" s="1"/>
    </row>
    <row r="142" customFormat="false" ht="15" hidden="false" customHeight="false" outlineLevel="0" collapsed="false">
      <c r="A142" s="1"/>
      <c r="B142" s="1"/>
      <c r="C142" s="1"/>
      <c r="D142" s="1"/>
      <c r="E142" s="1"/>
      <c r="F142" s="1"/>
      <c r="G142" s="1"/>
      <c r="H142" s="1"/>
      <c r="I142" s="1"/>
      <c r="J142" s="1"/>
      <c r="K142" s="1"/>
      <c r="L142" s="1"/>
      <c r="M142" s="1"/>
      <c r="N142" s="1"/>
      <c r="O142" s="1"/>
    </row>
    <row r="143" customFormat="false" ht="15" hidden="false" customHeight="false" outlineLevel="0" collapsed="false">
      <c r="A143" s="1"/>
      <c r="B143" s="1"/>
      <c r="C143" s="1"/>
      <c r="D143" s="1"/>
      <c r="E143" s="1"/>
      <c r="F143" s="1"/>
      <c r="G143" s="1"/>
      <c r="H143" s="1"/>
      <c r="I143" s="1"/>
      <c r="J143" s="1"/>
      <c r="K143" s="1"/>
      <c r="L143" s="1"/>
      <c r="M143" s="1"/>
      <c r="N143" s="1"/>
      <c r="O143" s="1"/>
    </row>
    <row r="144" customFormat="false" ht="15" hidden="false" customHeight="false" outlineLevel="0" collapsed="false">
      <c r="A144" s="1"/>
      <c r="B144" s="1"/>
      <c r="C144" s="1"/>
      <c r="D144" s="1"/>
      <c r="E144" s="1"/>
      <c r="F144" s="1"/>
      <c r="G144" s="1"/>
      <c r="H144" s="1"/>
      <c r="I144" s="1"/>
      <c r="J144" s="1"/>
      <c r="K144" s="1"/>
      <c r="L144" s="1"/>
      <c r="M144" s="1"/>
      <c r="N144" s="1"/>
      <c r="O144" s="1"/>
    </row>
    <row r="145" customFormat="false" ht="15" hidden="false" customHeight="false" outlineLevel="0" collapsed="false">
      <c r="A145" s="1"/>
      <c r="B145" s="1"/>
      <c r="C145" s="1"/>
      <c r="D145" s="1"/>
      <c r="E145" s="1"/>
      <c r="F145" s="1"/>
      <c r="G145" s="1"/>
      <c r="H145" s="1"/>
      <c r="I145" s="1"/>
      <c r="J145" s="1"/>
      <c r="K145" s="1"/>
      <c r="L145" s="1"/>
      <c r="M145" s="1"/>
      <c r="N145" s="1"/>
      <c r="O145" s="1"/>
    </row>
    <row r="146" customFormat="false" ht="15" hidden="false" customHeight="false" outlineLevel="0" collapsed="false">
      <c r="A146" s="1"/>
      <c r="B146" s="1"/>
      <c r="C146" s="1"/>
      <c r="D146" s="1"/>
      <c r="E146" s="1"/>
      <c r="F146" s="1"/>
      <c r="G146" s="1"/>
      <c r="H146" s="1"/>
      <c r="I146" s="1"/>
      <c r="J146" s="1"/>
      <c r="K146" s="1"/>
      <c r="L146" s="1"/>
      <c r="M146" s="1"/>
      <c r="N146" s="1"/>
      <c r="O146" s="1"/>
    </row>
    <row r="147" customFormat="false" ht="15" hidden="false" customHeight="false" outlineLevel="0" collapsed="false">
      <c r="A147" s="1"/>
      <c r="B147" s="1"/>
      <c r="C147" s="1"/>
      <c r="D147" s="1"/>
      <c r="E147" s="1"/>
      <c r="F147" s="1"/>
      <c r="G147" s="1"/>
      <c r="H147" s="1"/>
      <c r="I147" s="1"/>
      <c r="J147" s="1"/>
      <c r="K147" s="1"/>
      <c r="L147" s="1"/>
      <c r="M147" s="1"/>
      <c r="N147" s="1"/>
      <c r="O147" s="1"/>
    </row>
    <row r="148" customFormat="false" ht="15" hidden="false" customHeight="false" outlineLevel="0" collapsed="false">
      <c r="A148" s="1"/>
      <c r="B148" s="1"/>
      <c r="C148" s="1"/>
      <c r="D148" s="1"/>
      <c r="E148" s="1"/>
      <c r="F148" s="1"/>
      <c r="G148" s="1"/>
      <c r="H148" s="1"/>
      <c r="I148" s="1"/>
      <c r="J148" s="1"/>
      <c r="K148" s="1"/>
      <c r="L148" s="1"/>
      <c r="M148" s="1"/>
      <c r="N148" s="1"/>
      <c r="O148" s="1"/>
    </row>
    <row r="149" customFormat="false" ht="15" hidden="false" customHeight="false" outlineLevel="0" collapsed="false">
      <c r="A149" s="1"/>
      <c r="B149" s="1"/>
      <c r="C149" s="1"/>
      <c r="D149" s="1"/>
      <c r="E149" s="1"/>
      <c r="F149" s="1"/>
      <c r="G149" s="1"/>
      <c r="H149" s="1"/>
      <c r="I149" s="1"/>
      <c r="J149" s="1"/>
      <c r="K149" s="1"/>
      <c r="L149" s="1"/>
      <c r="M149" s="1"/>
      <c r="N149" s="1"/>
      <c r="O149" s="1"/>
    </row>
    <row r="150" customFormat="false" ht="15" hidden="false" customHeight="false" outlineLevel="0" collapsed="false">
      <c r="A150" s="1"/>
      <c r="B150" s="1"/>
      <c r="C150" s="1"/>
      <c r="D150" s="1"/>
      <c r="E150" s="1"/>
      <c r="F150" s="1"/>
      <c r="G150" s="1"/>
      <c r="H150" s="1"/>
      <c r="I150" s="1"/>
      <c r="J150" s="1"/>
      <c r="K150" s="1"/>
      <c r="L150" s="1"/>
      <c r="M150" s="1"/>
      <c r="N150" s="1"/>
      <c r="O150" s="1"/>
    </row>
    <row r="151" customFormat="false" ht="15" hidden="false" customHeight="false" outlineLevel="0" collapsed="false">
      <c r="A151" s="1"/>
      <c r="B151" s="1"/>
      <c r="C151" s="1"/>
      <c r="D151" s="1"/>
      <c r="E151" s="1"/>
      <c r="F151" s="1"/>
      <c r="G151" s="1"/>
      <c r="H151" s="1"/>
      <c r="I151" s="1"/>
      <c r="J151" s="1"/>
      <c r="K151" s="1"/>
      <c r="L151" s="1"/>
      <c r="M151" s="1"/>
      <c r="N151" s="1"/>
      <c r="O151" s="1"/>
    </row>
    <row r="152" customFormat="false" ht="15" hidden="false" customHeight="false" outlineLevel="0" collapsed="false">
      <c r="A152" s="1"/>
      <c r="B152" s="1"/>
      <c r="C152" s="1"/>
      <c r="D152" s="1"/>
      <c r="E152" s="1"/>
      <c r="F152" s="1"/>
      <c r="G152" s="1"/>
      <c r="H152" s="1"/>
      <c r="I152" s="1"/>
      <c r="J152" s="1"/>
      <c r="K152" s="1"/>
      <c r="L152" s="1"/>
      <c r="M152" s="1"/>
      <c r="N152" s="1"/>
      <c r="O152" s="1"/>
    </row>
    <row r="153" customFormat="false" ht="15" hidden="false" customHeight="false" outlineLevel="0" collapsed="false">
      <c r="A153" s="1"/>
      <c r="B153" s="1"/>
      <c r="C153" s="1"/>
      <c r="D153" s="1"/>
      <c r="E153" s="1"/>
      <c r="F153" s="1"/>
      <c r="G153" s="1"/>
      <c r="H153" s="1"/>
      <c r="I153" s="1"/>
      <c r="J153" s="1"/>
      <c r="K153" s="1"/>
      <c r="L153" s="1"/>
      <c r="M153" s="1"/>
      <c r="N153" s="1"/>
      <c r="O153" s="1"/>
    </row>
    <row r="154" customFormat="false" ht="15" hidden="false" customHeight="false" outlineLevel="0" collapsed="false">
      <c r="A154" s="1"/>
      <c r="B154" s="1"/>
      <c r="C154" s="1"/>
      <c r="D154" s="1"/>
      <c r="E154" s="1"/>
      <c r="F154" s="1"/>
      <c r="G154" s="1"/>
      <c r="H154" s="1"/>
      <c r="I154" s="1"/>
      <c r="J154" s="1"/>
      <c r="K154" s="1"/>
      <c r="L154" s="1"/>
      <c r="M154" s="1"/>
      <c r="N154" s="1"/>
      <c r="O154" s="1"/>
    </row>
    <row r="155" customFormat="false" ht="15" hidden="false" customHeight="false" outlineLevel="0" collapsed="false">
      <c r="A155" s="1"/>
      <c r="B155" s="1"/>
      <c r="C155" s="1"/>
      <c r="D155" s="1"/>
      <c r="E155" s="1"/>
      <c r="F155" s="1"/>
      <c r="G155" s="1"/>
      <c r="H155" s="1"/>
      <c r="I155" s="1"/>
      <c r="J155" s="1"/>
      <c r="K155" s="1"/>
      <c r="L155" s="1"/>
      <c r="M155" s="1"/>
      <c r="N155" s="1"/>
      <c r="O155" s="1"/>
    </row>
    <row r="156" customFormat="false" ht="15" hidden="false" customHeight="false" outlineLevel="0" collapsed="false">
      <c r="A156" s="1"/>
      <c r="B156" s="1"/>
      <c r="C156" s="1"/>
      <c r="D156" s="1"/>
      <c r="E156" s="1"/>
      <c r="F156" s="1"/>
      <c r="G156" s="1"/>
      <c r="H156" s="1"/>
      <c r="I156" s="1"/>
      <c r="J156" s="1"/>
      <c r="K156" s="1"/>
      <c r="L156" s="1"/>
      <c r="M156" s="1"/>
      <c r="N156" s="1"/>
      <c r="O156" s="1"/>
    </row>
    <row r="157" customFormat="false" ht="15" hidden="false" customHeight="false" outlineLevel="0" collapsed="false">
      <c r="A157" s="1"/>
      <c r="B157" s="1"/>
      <c r="C157" s="1"/>
      <c r="D157" s="1"/>
      <c r="E157" s="1"/>
      <c r="F157" s="1"/>
      <c r="G157" s="1"/>
      <c r="H157" s="1"/>
      <c r="I157" s="1"/>
      <c r="J157" s="1"/>
      <c r="K157" s="1"/>
      <c r="L157" s="1"/>
      <c r="M157" s="1"/>
      <c r="N157" s="1"/>
      <c r="O157" s="1"/>
    </row>
    <row r="158" customFormat="false" ht="15" hidden="false" customHeight="false" outlineLevel="0" collapsed="false">
      <c r="A158" s="1"/>
      <c r="B158" s="1"/>
      <c r="C158" s="1"/>
      <c r="D158" s="1"/>
      <c r="E158" s="1"/>
      <c r="F158" s="1"/>
      <c r="G158" s="1"/>
      <c r="H158" s="1"/>
      <c r="I158" s="1"/>
      <c r="J158" s="1"/>
      <c r="K158" s="1"/>
      <c r="L158" s="1"/>
      <c r="M158" s="1"/>
      <c r="N158" s="1"/>
      <c r="O158" s="1"/>
    </row>
    <row r="159" customFormat="false" ht="15" hidden="false" customHeight="false" outlineLevel="0" collapsed="false">
      <c r="A159" s="1"/>
      <c r="B159" s="1"/>
      <c r="C159" s="1"/>
      <c r="D159" s="1"/>
      <c r="E159" s="1"/>
      <c r="F159" s="1"/>
      <c r="G159" s="1"/>
      <c r="H159" s="1"/>
      <c r="I159" s="1"/>
      <c r="J159" s="1"/>
      <c r="K159" s="1"/>
      <c r="L159" s="1"/>
      <c r="M159" s="1"/>
      <c r="N159" s="1"/>
      <c r="O159" s="1"/>
    </row>
    <row r="160" customFormat="false" ht="15" hidden="false" customHeight="false" outlineLevel="0" collapsed="false">
      <c r="A160" s="1"/>
      <c r="B160" s="1"/>
      <c r="C160" s="1"/>
      <c r="D160" s="1"/>
      <c r="E160" s="1"/>
      <c r="F160" s="1"/>
      <c r="G160" s="1"/>
      <c r="H160" s="1"/>
      <c r="I160" s="1"/>
      <c r="J160" s="1"/>
      <c r="K160" s="1"/>
      <c r="L160" s="1"/>
      <c r="M160" s="1"/>
      <c r="N160" s="1"/>
      <c r="O160" s="1"/>
    </row>
    <row r="161" customFormat="false" ht="15" hidden="false" customHeight="false" outlineLevel="0" collapsed="false">
      <c r="A161" s="1"/>
      <c r="B161" s="1"/>
      <c r="C161" s="1"/>
      <c r="D161" s="1"/>
      <c r="E161" s="1"/>
      <c r="F161" s="1"/>
      <c r="G161" s="1"/>
      <c r="H161" s="1"/>
      <c r="I161" s="1"/>
      <c r="J161" s="1"/>
      <c r="K161" s="1"/>
      <c r="L161" s="1"/>
      <c r="M161" s="1"/>
      <c r="N161" s="1"/>
      <c r="O161" s="1"/>
    </row>
    <row r="162" customFormat="false" ht="15" hidden="false" customHeight="false" outlineLevel="0" collapsed="false">
      <c r="A162" s="1"/>
      <c r="B162" s="1"/>
      <c r="C162" s="1"/>
      <c r="D162" s="1"/>
      <c r="E162" s="1"/>
      <c r="F162" s="1"/>
      <c r="G162" s="1"/>
      <c r="H162" s="1"/>
      <c r="I162" s="1"/>
      <c r="J162" s="1"/>
      <c r="K162" s="1"/>
      <c r="L162" s="1"/>
      <c r="M162" s="1"/>
      <c r="N162" s="1"/>
      <c r="O162" s="1"/>
    </row>
    <row r="163" customFormat="false" ht="15" hidden="false" customHeight="false" outlineLevel="0" collapsed="false">
      <c r="A163" s="1"/>
      <c r="B163" s="1"/>
      <c r="C163" s="1"/>
      <c r="D163" s="1"/>
      <c r="E163" s="1"/>
      <c r="F163" s="1"/>
      <c r="G163" s="1"/>
      <c r="H163" s="1"/>
      <c r="I163" s="1"/>
      <c r="J163" s="1"/>
      <c r="K163" s="1"/>
      <c r="L163" s="1"/>
      <c r="M163" s="1"/>
      <c r="N163" s="1"/>
      <c r="O163" s="1"/>
    </row>
    <row r="164" customFormat="false" ht="15" hidden="false" customHeight="false" outlineLevel="0" collapsed="false">
      <c r="A164" s="1"/>
      <c r="B164" s="1"/>
      <c r="C164" s="1"/>
      <c r="D164" s="1"/>
      <c r="E164" s="1"/>
      <c r="F164" s="1"/>
      <c r="G164" s="1"/>
      <c r="H164" s="1"/>
      <c r="I164" s="1"/>
      <c r="J164" s="1"/>
      <c r="K164" s="1"/>
      <c r="L164" s="1"/>
      <c r="M164" s="1"/>
      <c r="N164" s="1"/>
      <c r="O164" s="1"/>
    </row>
    <row r="165" customFormat="false" ht="15" hidden="false" customHeight="false" outlineLevel="0" collapsed="false">
      <c r="A165" s="1"/>
      <c r="B165" s="1"/>
      <c r="C165" s="1"/>
      <c r="D165" s="1"/>
      <c r="E165" s="1"/>
      <c r="F165" s="1"/>
      <c r="G165" s="1"/>
      <c r="H165" s="1"/>
      <c r="I165" s="1"/>
      <c r="J165" s="1"/>
      <c r="K165" s="1"/>
      <c r="L165" s="1"/>
      <c r="M165" s="1"/>
      <c r="N165" s="1"/>
      <c r="O165" s="1"/>
    </row>
    <row r="166" customFormat="false" ht="15" hidden="false" customHeight="false" outlineLevel="0" collapsed="false">
      <c r="A166" s="1"/>
      <c r="B166" s="1"/>
      <c r="C166" s="1"/>
      <c r="D166" s="1"/>
      <c r="E166" s="1"/>
      <c r="F166" s="1"/>
      <c r="G166" s="1"/>
      <c r="H166" s="1"/>
      <c r="I166" s="1"/>
      <c r="J166" s="1"/>
      <c r="K166" s="1"/>
      <c r="L166" s="1"/>
      <c r="M166" s="1"/>
      <c r="N166" s="1"/>
      <c r="O166" s="1"/>
    </row>
    <row r="167" customFormat="false" ht="15" hidden="false" customHeight="false" outlineLevel="0" collapsed="false">
      <c r="A167" s="1"/>
      <c r="B167" s="1"/>
      <c r="C167" s="1"/>
      <c r="D167" s="1"/>
      <c r="E167" s="1"/>
      <c r="F167" s="1"/>
      <c r="G167" s="1"/>
      <c r="H167" s="1"/>
      <c r="I167" s="1"/>
      <c r="J167" s="1"/>
      <c r="K167" s="1"/>
      <c r="L167" s="1"/>
      <c r="M167" s="1"/>
      <c r="N167" s="1"/>
      <c r="O167" s="1"/>
    </row>
    <row r="168" customFormat="false" ht="15" hidden="false" customHeight="false" outlineLevel="0" collapsed="false">
      <c r="A168" s="1"/>
      <c r="B168" s="1"/>
      <c r="C168" s="1"/>
      <c r="D168" s="1"/>
      <c r="E168" s="1"/>
      <c r="F168" s="1"/>
      <c r="G168" s="1"/>
      <c r="H168" s="1"/>
      <c r="I168" s="1"/>
      <c r="J168" s="1"/>
      <c r="K168" s="1"/>
      <c r="L168" s="1"/>
      <c r="M168" s="1"/>
      <c r="N168" s="1"/>
      <c r="O168" s="1"/>
    </row>
    <row r="169" customFormat="false" ht="15" hidden="false" customHeight="false" outlineLevel="0" collapsed="false">
      <c r="A169" s="1"/>
      <c r="B169" s="1"/>
      <c r="C169" s="1"/>
      <c r="D169" s="1"/>
      <c r="E169" s="1"/>
      <c r="F169" s="1"/>
      <c r="G169" s="1"/>
      <c r="H169" s="1"/>
      <c r="I169" s="1"/>
      <c r="J169" s="1"/>
      <c r="K169" s="1"/>
      <c r="L169" s="1"/>
      <c r="M169" s="1"/>
      <c r="N169" s="1"/>
      <c r="O169" s="1"/>
    </row>
    <row r="170" customFormat="false" ht="15" hidden="false" customHeight="false" outlineLevel="0" collapsed="false">
      <c r="A170" s="1"/>
      <c r="B170" s="1"/>
      <c r="C170" s="1"/>
      <c r="D170" s="1"/>
      <c r="E170" s="1"/>
      <c r="F170" s="1"/>
      <c r="G170" s="1"/>
      <c r="H170" s="1"/>
      <c r="I170" s="1"/>
      <c r="J170" s="1"/>
      <c r="K170" s="1"/>
      <c r="L170" s="1"/>
      <c r="M170" s="1"/>
      <c r="N170" s="1"/>
      <c r="O170" s="1"/>
    </row>
    <row r="171" customFormat="false" ht="15" hidden="false" customHeight="false" outlineLevel="0" collapsed="false">
      <c r="A171" s="1"/>
      <c r="B171" s="1"/>
      <c r="C171" s="1"/>
      <c r="D171" s="1"/>
      <c r="E171" s="1"/>
      <c r="F171" s="1"/>
      <c r="G171" s="1"/>
      <c r="H171" s="1"/>
      <c r="I171" s="1"/>
      <c r="J171" s="1"/>
      <c r="K171" s="1"/>
      <c r="L171" s="1"/>
      <c r="M171" s="1"/>
      <c r="N171" s="1"/>
      <c r="O171" s="1"/>
    </row>
    <row r="172" customFormat="false" ht="15" hidden="false" customHeight="false" outlineLevel="0" collapsed="false">
      <c r="A172" s="1"/>
      <c r="B172" s="1"/>
      <c r="C172" s="1"/>
      <c r="D172" s="1"/>
      <c r="E172" s="1"/>
      <c r="F172" s="1"/>
      <c r="G172" s="1"/>
      <c r="H172" s="1"/>
      <c r="I172" s="1"/>
      <c r="J172" s="1"/>
      <c r="K172" s="1"/>
      <c r="L172" s="1"/>
      <c r="M172" s="1"/>
      <c r="N172" s="1"/>
      <c r="O172" s="1"/>
    </row>
    <row r="173" customFormat="false" ht="15" hidden="false" customHeight="false" outlineLevel="0" collapsed="false">
      <c r="A173" s="1"/>
      <c r="B173" s="1"/>
      <c r="C173" s="1"/>
      <c r="D173" s="1"/>
      <c r="E173" s="1"/>
      <c r="F173" s="1"/>
      <c r="G173" s="1"/>
      <c r="H173" s="1"/>
      <c r="I173" s="1"/>
      <c r="J173" s="1"/>
      <c r="K173" s="1"/>
      <c r="L173" s="1"/>
      <c r="M173" s="1"/>
      <c r="N173" s="1"/>
      <c r="O173" s="1"/>
    </row>
    <row r="174" customFormat="false" ht="15" hidden="false" customHeight="false" outlineLevel="0" collapsed="false">
      <c r="A174" s="1"/>
      <c r="B174" s="1"/>
      <c r="C174" s="1"/>
      <c r="D174" s="1"/>
      <c r="E174" s="1"/>
      <c r="F174" s="1"/>
      <c r="G174" s="1"/>
      <c r="H174" s="1"/>
      <c r="I174" s="1"/>
      <c r="J174" s="1"/>
      <c r="K174" s="1"/>
      <c r="L174" s="1"/>
      <c r="M174" s="1"/>
      <c r="N174" s="1"/>
      <c r="O174" s="1"/>
    </row>
    <row r="175" customFormat="false" ht="15" hidden="false" customHeight="false" outlineLevel="0" collapsed="false">
      <c r="A175" s="1"/>
      <c r="B175" s="1"/>
      <c r="C175" s="1"/>
      <c r="D175" s="1"/>
      <c r="E175" s="1"/>
      <c r="F175" s="1"/>
      <c r="G175" s="1"/>
      <c r="H175" s="1"/>
      <c r="I175" s="1"/>
      <c r="J175" s="1"/>
      <c r="K175" s="1"/>
      <c r="L175" s="1"/>
      <c r="M175" s="1"/>
      <c r="N175" s="1"/>
      <c r="O175" s="1"/>
    </row>
    <row r="176" customFormat="false" ht="15" hidden="false" customHeight="false" outlineLevel="0" collapsed="false">
      <c r="A176" s="1"/>
      <c r="B176" s="1"/>
      <c r="C176" s="1"/>
      <c r="D176" s="1"/>
      <c r="E176" s="1"/>
      <c r="F176" s="1"/>
      <c r="G176" s="1"/>
      <c r="H176" s="1"/>
      <c r="I176" s="1"/>
      <c r="J176" s="1"/>
      <c r="K176" s="1"/>
      <c r="L176" s="1"/>
      <c r="M176" s="1"/>
      <c r="N176" s="1"/>
      <c r="O176" s="1"/>
    </row>
  </sheetData>
  <autoFilter ref="A13:N107"/>
  <mergeCells count="23">
    <mergeCell ref="A5:C5"/>
    <mergeCell ref="D5:E5"/>
    <mergeCell ref="F5:G5"/>
    <mergeCell ref="H5:I5"/>
    <mergeCell ref="K5:M5"/>
    <mergeCell ref="A9:B9"/>
    <mergeCell ref="C9:E9"/>
    <mergeCell ref="F9:G9"/>
    <mergeCell ref="H9:I9"/>
    <mergeCell ref="J9:K9"/>
    <mergeCell ref="L9:M9"/>
    <mergeCell ref="A10:B10"/>
    <mergeCell ref="C10:E10"/>
    <mergeCell ref="F10:G10"/>
    <mergeCell ref="H10:I10"/>
    <mergeCell ref="J10:K10"/>
    <mergeCell ref="L10:M10"/>
    <mergeCell ref="A11:B11"/>
    <mergeCell ref="C11:E11"/>
    <mergeCell ref="F11:G11"/>
    <mergeCell ref="H11:I11"/>
    <mergeCell ref="J11:K11"/>
    <mergeCell ref="L11:M11"/>
  </mergeCells>
  <conditionalFormatting sqref="I14:I107">
    <cfRule type="expression" priority="2" aboveAverage="0" equalAverage="0" bottom="0" percent="0" rank="0" text="" dxfId="19">
      <formula>I14="Aguardando transferência"</formula>
    </cfRule>
    <cfRule type="expression" priority="3" aboveAverage="0" equalAverage="0" bottom="0" percent="0" rank="0" text="" dxfId="18">
      <formula>I14="Transferido 100%"</formula>
    </cfRule>
    <cfRule type="expression" priority="4" aboveAverage="0" equalAverage="0" bottom="0" percent="0" rank="0" text="" dxfId="24">
      <formula>I14="Saiu saldo anterior a 09/09"</formula>
    </cfRule>
  </conditionalFormatting>
  <conditionalFormatting sqref="A14:N107">
    <cfRule type="expression" priority="5" aboveAverage="0" equalAverage="0" bottom="0" percent="0" rank="0" text="" dxfId="22">
      <formula>$A14=""</formula>
    </cfRule>
  </conditionalFormatting>
  <dataValidations count="1">
    <dataValidation allowBlank="false" error="Escolha um item da lista." errorStyle="stop" errorTitle="Valor inválido" operator="between" prompt="Filtra pela situação do SKU·lote no 2008." promptTitle="Filtro" showDropDown="false" showErrorMessage="true" showInputMessage="true" sqref="K5:M5" type="list">
      <formula1>ListaSituacao2008</formula1>
      <formula2>0</formula2>
    </dataValidation>
  </dataValidations>
  <hyperlinks>
    <hyperlink ref="O1" r:id="rId1" location="'MENU'!A1" display="◄ MENU"/>
    <hyperlink ref="A6" r:id="rId2" location="'1%20Dashboard'!A5" display="SKU, lote, datas e unidade vêm do Dashboard (fonte única). A situação ▼ é filtrada aqui mesmo."/>
    <hyperlink ref="N9" r:id="rId3" location="'4%20Análise%20Depósito%202008'!A113" display="Gráficos do 2008: abaixo da tabela ↓"/>
  </hyperlinks>
  <printOptions headings="false" gridLines="false" gridLinesSet="true" horizontalCentered="true" verticalCentered="false"/>
  <pageMargins left="0.4" right="0.4" top="0.6" bottom="0.6" header="0.25" footer="0.25"/>
  <pageSetup paperSize="8"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45A81"/>
    <pageSetUpPr fitToPage="true"/>
  </sheetPr>
  <dimension ref="A1:U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1"/>
  <cols>
    <col collapsed="false" customWidth="true" hidden="false" outlineLevel="0" max="1" min="1" style="0" width="20"/>
    <col collapsed="false" customWidth="true" hidden="false" outlineLevel="0" max="2" min="2" style="0" width="13"/>
    <col collapsed="false" customWidth="true" hidden="false" outlineLevel="0" max="3" min="3" style="0" width="30"/>
    <col collapsed="false" customWidth="true" hidden="false" outlineLevel="0" max="4" min="4" style="0" width="6"/>
    <col collapsed="false" customWidth="true" hidden="false" outlineLevel="0" max="6" min="5" style="0" width="12"/>
    <col collapsed="false" customWidth="true" hidden="false" outlineLevel="0" max="7" min="7" style="0" width="13"/>
    <col collapsed="false" customWidth="true" hidden="false" outlineLevel="0" max="8" min="8" style="0" width="14"/>
    <col collapsed="false" customWidth="true" hidden="false" outlineLevel="0" max="10" min="9" style="0" width="12"/>
    <col collapsed="false" customWidth="true" hidden="false" outlineLevel="0" max="11" min="11" style="0" width="66"/>
    <col collapsed="false" customWidth="true" hidden="false" outlineLevel="0" max="12" min="12" style="0" width="80"/>
    <col collapsed="false" customWidth="true" hidden="true" outlineLevel="1" max="16" min="13" style="0" width="15"/>
    <col collapsed="false" customWidth="true" hidden="false" outlineLevel="0" max="17" min="17" style="0" width="28"/>
    <col collapsed="false" customWidth="true" hidden="false" outlineLevel="0" max="18" min="18" style="0" width="16"/>
    <col collapsed="false" customWidth="true" hidden="true" outlineLevel="1" max="20" min="19" style="0" width="22"/>
    <col collapsed="false" customWidth="true" hidden="false" outlineLevel="0" max="21" min="21" style="0" width="14"/>
  </cols>
  <sheetData>
    <row r="1" customFormat="false" ht="26.8" hidden="false" customHeight="false" outlineLevel="0" collapsed="false">
      <c r="A1" s="29" t="s">
        <v>1807</v>
      </c>
      <c r="L1" s="30" t="s">
        <v>55</v>
      </c>
    </row>
    <row r="2" customFormat="false" ht="15" hidden="false" customHeight="false" outlineLevel="0" collapsed="false">
      <c r="A2" s="31" t="s">
        <v>1808</v>
      </c>
    </row>
    <row r="4" customFormat="false" ht="15" hidden="false" customHeight="false" outlineLevel="0" collapsed="false">
      <c r="A4" s="63" t="s">
        <v>1809</v>
      </c>
    </row>
    <row r="5" customFormat="false" ht="15" hidden="false" customHeight="false" outlineLevel="0" collapsed="false">
      <c r="A5" s="70" t="s">
        <v>1810</v>
      </c>
    </row>
    <row r="6" customFormat="false" ht="15" hidden="false" customHeight="false" outlineLevel="0" collapsed="false">
      <c r="A6" s="70" t="s">
        <v>1811</v>
      </c>
    </row>
    <row r="7" customFormat="false" ht="15" hidden="false" customHeight="false" outlineLevel="0" collapsed="false">
      <c r="A7" s="70" t="s">
        <v>1812</v>
      </c>
    </row>
    <row r="9" customFormat="false" ht="15" hidden="false" customHeight="false" outlineLevel="0" collapsed="false">
      <c r="A9" s="148" t="s">
        <v>1813</v>
      </c>
      <c r="B9" s="148"/>
      <c r="C9" s="149" t="s">
        <v>1814</v>
      </c>
      <c r="D9" s="149"/>
      <c r="E9" s="150" t="s">
        <v>1815</v>
      </c>
      <c r="F9" s="150"/>
    </row>
    <row r="10" customFormat="false" ht="33.75" hidden="false" customHeight="true" outlineLevel="0" collapsed="false">
      <c r="A10" s="151" t="n">
        <f aca="false">COUNTIF($J$14:$J$107,"Confere")</f>
        <v>66</v>
      </c>
      <c r="B10" s="151"/>
      <c r="C10" s="152" t="n">
        <f aca="false">COUNTIF($J$14:$J$107,"Sobrando")</f>
        <v>23</v>
      </c>
      <c r="D10" s="152"/>
      <c r="E10" s="153" t="n">
        <f aca="false">COUNTIF($J$14:$J$107,"Faltando")</f>
        <v>5</v>
      </c>
      <c r="F10" s="153"/>
    </row>
    <row r="11" customFormat="false" ht="15" hidden="false" customHeight="false" outlineLevel="0" collapsed="false">
      <c r="A11" s="154" t="s">
        <v>1816</v>
      </c>
    </row>
    <row r="13" customFormat="false" ht="24" hidden="false" customHeight="true" outlineLevel="0" collapsed="false">
      <c r="A13" s="15" t="s">
        <v>157</v>
      </c>
      <c r="B13" s="15" t="s">
        <v>60</v>
      </c>
      <c r="C13" s="15" t="s">
        <v>396</v>
      </c>
      <c r="D13" s="15" t="s">
        <v>159</v>
      </c>
      <c r="E13" s="15" t="s">
        <v>1727</v>
      </c>
      <c r="F13" s="15" t="s">
        <v>85</v>
      </c>
      <c r="G13" s="15" t="s">
        <v>1817</v>
      </c>
      <c r="H13" s="15" t="s">
        <v>87</v>
      </c>
      <c r="I13" s="15" t="s">
        <v>88</v>
      </c>
      <c r="J13" s="15" t="s">
        <v>1743</v>
      </c>
      <c r="K13" s="15" t="s">
        <v>1747</v>
      </c>
      <c r="L13" s="15" t="s">
        <v>1748</v>
      </c>
      <c r="M13" s="15" t="s">
        <v>1818</v>
      </c>
      <c r="N13" s="15" t="s">
        <v>1819</v>
      </c>
      <c r="O13" s="15" t="s">
        <v>1820</v>
      </c>
      <c r="P13" s="15" t="s">
        <v>1821</v>
      </c>
      <c r="Q13" s="15" t="s">
        <v>1822</v>
      </c>
      <c r="R13" s="15" t="s">
        <v>1823</v>
      </c>
      <c r="S13" s="15" t="s">
        <v>1824</v>
      </c>
      <c r="T13" s="15" t="s">
        <v>1825</v>
      </c>
      <c r="U13" s="15" t="s">
        <v>1826</v>
      </c>
    </row>
    <row r="14" customFormat="false" ht="15" hidden="false" customHeight="false" outlineLevel="0" collapsed="false">
      <c r="A14" s="155" t="s">
        <v>247</v>
      </c>
      <c r="B14" s="155" t="s">
        <v>248</v>
      </c>
      <c r="C14" s="156" t="s">
        <v>404</v>
      </c>
      <c r="D14" s="157" t="s">
        <v>65</v>
      </c>
      <c r="E14" s="158" t="n">
        <f aca="false">SUMIFS('aux Conciliação Lote'!$E$5:$E$98,'aux Conciliação Lote'!$A$5:$A$98,$A14,'aux Conciliação Lote'!$B$5:$B$98,$B14)</f>
        <v>2673.3</v>
      </c>
      <c r="F14" s="158" t="n">
        <f aca="false">SUMIFS('aux Conciliação Lote'!$F$5:$F$98,'aux Conciliação Lote'!$A$5:$A$98,$A14,'aux Conciliação Lote'!$B$5:$B$98,$B14)</f>
        <v>1005</v>
      </c>
      <c r="G14" s="158" t="n">
        <f aca="false">U14+E14-F14</f>
        <v>1668.3</v>
      </c>
      <c r="H14" s="158" t="n">
        <f aca="false">SUMIFS('aux Conciliação Lote'!$H$5:$H$98,'aux Conciliação Lote'!$A$5:$A$98,$A14,'aux Conciliação Lote'!$B$5:$B$98,$B14)</f>
        <v>1226.1</v>
      </c>
      <c r="I14" s="159" t="n">
        <f aca="false">ROUND(H14-G14,2)</f>
        <v>-442.2</v>
      </c>
      <c r="J14" s="160" t="str">
        <f aca="false">IF(ABS(I14)&lt;=Parâmetros!$C$7,"Confere",IF(I14&gt;0,"Sobrando","Faltando"))</f>
        <v>Faltando</v>
      </c>
      <c r="K14" s="155" t="str">
        <f aca="false">IF(J14="Confere","Sem diferença",IF(AND(J14&lt;&gt;"Confere",SUMPRODUCT(($A$14:$A$107=$A14)*($B$14:$B$107&lt;&gt;$B14)*(ABS($I$14:$I$107+$I14)&lt;=Parâmetros!$C$7))&gt;0),"Troca de lote: a mesma quantidade aparece com sinal oposto em outro lote deste SKU",IF(AND(I14&lt;0,H14=0,F14=0),"Entrou no ZBR, mas não está no estoque físico: não chegou ou foi guardado em outro lote",IF(I14&lt;0,"Estoque físico menor que o esperado: saída, ajuste ou perda não lançada no período",IF(ABS(I14-M14)&lt;=Parâmetros!$C$7,"Estoque antigo: toda a sobra está em posições sem movimento desde antes de 09/09",IF(AND(F14&gt;0,ABS(I14-F14)&lt;=Parâmetros!$C$7),"As saídas do período não baixaram o estoque físico",IF(ABS(I14-N14)&lt;=Parâmetros!$C$7,"Quantidade parada em doca, chão ou transferência: entrega ou devolução não baixada",IF(ABS(I14-M14-N14)&lt;=Parâmetros!$C$7,"Estoque antigo + quantidade em doca/chão/transferência",IF(AND(F14&gt;0,ABS(I14-M14-N14-F14)&lt;=Parâmetros!$C$7),IF(M14+N14&gt;0,"Estoque antigo/doca + saídas do período que","Saídas do período que")&amp;" não baixaram o estoque físico",IF(AND(P14&gt;0,ABS(I14-M14-N14-P14)&lt;=Parâmetros!$C$7),IF(M14+N14&gt;0,"Estoque antigo/doca + saídas","Saídas")&amp;" pelo depósito 0355 que não baixaram o estoque físico",IF(M14+N14&gt;0,"Explica em parte: estoque antigo "&amp;FIXED(M14,1)&amp;" + doca/transferência "&amp;FIXED(N14,1)&amp;"; faltam "&amp;FIXED(I14-M14-N14,1)&amp;" a explicar",IF(F14&gt;E14+U14,"Saiu mais do que entrou: havia estoque antes de 09/09 que não está no arquivo","Estoque acima do esperado: entrada não lançada ou saldo anterior ao período"))))))))))))</f>
        <v>Estoque físico menor que o esperado: saída, ajuste ou perda não lançada no período</v>
      </c>
      <c r="L14" s="156" t="str">
        <f aca="false">IF(J14="Confere","Nenhum ajuste necessário",IF(LEFT(K14,5)="Troca","Transferir "&amp;FIXED(ABS(I14),1)&amp;" "&amp;D14&amp;" entre os lotes deste SKU (transferência lote a lote, mov. 309) para corrigir o lote",IF(LEFT(K14,6)="Entrou","Procurar a OT de armazenagem pendente no ZBR. Se não achar: contar e lançar ajuste de inventário de −"&amp;FIXED(ABS(I14),1)&amp;" "&amp;D14,IF(J14="Faltando","Contar o lote. Se a falta se confirmar: lançar a saída esquecida (601) ou ajuste de inventário de −"&amp;FIXED(ABS(I14),1)&amp;" "&amp;D14,IF(LEFT(K14,15)="Estoque antigo:","Confirmar no SAP o saldo de 08/09 ("&amp;FIXED(ABS(M14),1)&amp;" "&amp;D14&amp;"). Se estiver certo, não há ajuste",IF(LEFT(K14,10)="Quantidade","Confirmar ou estornar as OTs em doca/transferência ("&amp;FIXED(ABS(N14),1)&amp;" "&amp;D14&amp;"): guardar na posição ou baixar a entrega",IF(LEFT(K14,16)="Estoque antigo +","Confirmar saldo de 08/09 ("&amp;FIXED(ABS(M14),1)&amp;" "&amp;D14&amp;") e tratar as OTs em doca/transferência ("&amp;FIXED(ABS(N14),1)&amp;" "&amp;D14&amp;")",IF(ISNUMBER(SEARCH("não baixaram",K14)),"Confirmar a OT de saída (picking) das remessas para baixar "&amp;FIXED(ABS(I14-M14-N14),1)&amp;" "&amp;D14&amp;" do estoque físico"&amp;IF(M14+N14&gt;0,"; conferir também estoque antigo/doca",""),IF(LEFT(K14,7)="Explica","Confirmar saldo de 08/09 e OTs de doca; contar o lote para os "&amp;FIXED(ABS(I14-M14-N14),1)&amp;" "&amp;D14&amp;" restantes e ajustar a sobra se confirmada","Confirmar saldo de 08/09; se não existir, contar o lote e lançar ajuste de inventário de +"&amp;FIXED(ABS(I14),1)&amp;" "&amp;D14)))))))))</f>
        <v>Contar o lote. Se a falta se confirmar: lançar a saída esquecida (601) ou ajuste de inventário de −442.2 KG</v>
      </c>
      <c r="M14" s="158" t="n">
        <f aca="false">MAX(0,SUMIFS('3 Base Estoque Físico'!$J$2:$J$5000,'3 Base Estoque Físico'!$A$2:$A$5000,$A14,'3 Base Estoque Físico'!$B$2:$B$5000,$B14,'3 Base Estoque Físico'!$I$2:$I$5000,"&lt;"&amp;DATE(2026,9,9))-U14)</f>
        <v>0</v>
      </c>
      <c r="N14" s="158" t="n">
        <f aca="false">SUMPRODUCT(('3 Base Estoque Físico'!$A$2:$A$5000=$A14)*('3 Base Estoque Físico'!$B$2:$B$5000=$B14)*('3 Base Estoque Físico'!$I$2:$I$5000&gt;=DATE(2026,9,9))*ISNUMBER(MATCH('3 Base Estoque Físico'!$C$2:$C$5000,{"DCK","TRF","922","FLR","DIF"},0))*'3 Base Estoque Físico'!$J$2:$J$5000)</f>
        <v>924.6</v>
      </c>
      <c r="O14" s="161" t="n">
        <f aca="false">IF(OR(J14="Confere",LEFT(K14,5)="Troca",ISNUMBER(SEARCH("não baixaram",K14))),0,IF(I14&gt;0,MAX(0,ROUND(I14-M14-N14,2)),I14))</f>
        <v>-442.2</v>
      </c>
      <c r="P14" s="158" t="n">
        <f aca="false">SUMIFS('3 Base Saídas'!$R$2:$R$5000,'3 Base Saídas'!$B$2:$B$5000,$A14,'3 Base Saídas'!$C$2:$C$5000,$B14,'3 Base Saídas'!$E$2:$E$5000,"0355")</f>
        <v>100.5</v>
      </c>
      <c r="Q14" s="157" t="str">
        <f aca="false">IF(J14="Confere","—",IF(LEFT(K14,5)="Troca","Troca de lote",IF(LEFT(K14,6)="Entrou","Não localizado no estoque",IF(J14="Faltando","Falta sem explicação",IF(ISNUMBER(SEARCH("não baixaram",K14)),"Saída sem baixa no estoque",IF(LEFT(K14,10)="Quantidade","Doca/transferência pendente",IF(LEFT(K14,14)="Estoque antigo","Estoque anterior a 09/09",IF(LEFT(K14,7)="Explica","Sobra parcialmente explicada","Sobra sem explicação"))))))))</f>
        <v>Falta sem explicação</v>
      </c>
      <c r="R14" s="162" t="str">
        <f aca="false">IF(J14="Confere","—",IF(OR(LEFT(K14,6)="Entrou",AND(I14&lt;0,ABS(O14)&gt;=Parâmetros!$K$6)),"Crítica",IF(OR(AND(I14&lt;0,O14&lt;&gt;0),O14&gt;=Parâmetros!$K$7),"Alta",IF(O14&gt;0,"Média","Baixa"))))</f>
        <v>Crítica</v>
      </c>
      <c r="S14" s="157" t="str">
        <f aca="false">A14&amp;"|"&amp;B14</f>
        <v>CHK-R30GOLD-BR-25A|261130301</v>
      </c>
      <c r="T14" s="157" t="n">
        <f aca="false">IF(ABS(O14)&gt;Parâmetros!$C$7,ABS(O14)+ROW()/10000000,0)</f>
        <v>442.2000014</v>
      </c>
      <c r="U14" s="158" t="n">
        <f aca="false">SUMIFS('3 Base Saldo Inicial 08-09'!$E$2:$E$5000,'3 Base Saldo Inicial 08-09'!$A$2:$A$5000,$A14,'3 Base Saldo Inicial 08-09'!$B$2:$B$5000,$B14)-SUMIFS('3 Base Saldo Inicial 08-09'!$E$2:$E$5000,'3 Base Saldo Inicial 08-09'!$A$2:$A$5000,$A14,'3 Base Saldo Inicial 08-09'!$B$2:$B$5000,$B14,'3 Base Saldo Inicial 08-09'!$C$2:$C$5000,"2008")</f>
        <v>0</v>
      </c>
    </row>
    <row r="15" customFormat="false" ht="15" hidden="false" customHeight="false" outlineLevel="0" collapsed="false">
      <c r="A15" s="155" t="s">
        <v>263</v>
      </c>
      <c r="B15" s="155" t="s">
        <v>264</v>
      </c>
      <c r="C15" s="156"/>
      <c r="D15" s="157" t="s">
        <v>65</v>
      </c>
      <c r="E15" s="158" t="n">
        <f aca="false">SUMIFS('aux Conciliação Lote'!$E$5:$E$98,'aux Conciliação Lote'!$A$5:$A$98,$A15,'aux Conciliação Lote'!$B$5:$B$98,$B15)</f>
        <v>261.12</v>
      </c>
      <c r="F15" s="158" t="n">
        <f aca="false">SUMIFS('aux Conciliação Lote'!$F$5:$F$98,'aux Conciliação Lote'!$A$5:$A$98,$A15,'aux Conciliação Lote'!$B$5:$B$98,$B15)</f>
        <v>0</v>
      </c>
      <c r="G15" s="158" t="n">
        <f aca="false">U15+E15-F15</f>
        <v>261.12</v>
      </c>
      <c r="H15" s="158" t="n">
        <f aca="false">SUMIFS('aux Conciliação Lote'!$H$5:$H$98,'aux Conciliação Lote'!$A$5:$A$98,$A15,'aux Conciliação Lote'!$B$5:$B$98,$B15)</f>
        <v>0</v>
      </c>
      <c r="I15" s="159" t="n">
        <f aca="false">ROUND(H15-G15,2)</f>
        <v>-261.12</v>
      </c>
      <c r="J15" s="160" t="str">
        <f aca="false">IF(ABS(I15)&lt;=Parâmetros!$C$7,"Confere",IF(I15&gt;0,"Sobrando","Faltando"))</f>
        <v>Faltando</v>
      </c>
      <c r="K15" s="155" t="str">
        <f aca="false">IF(J15="Confere","Sem diferença",IF(AND(J15&lt;&gt;"Confere",SUMPRODUCT(($A$14:$A$107=$A15)*($B$14:$B$107&lt;&gt;$B15)*(ABS($I$14:$I$107+$I15)&lt;=Parâmetros!$C$7))&gt;0),"Troca de lote: a mesma quantidade aparece com sinal oposto em outro lote deste SKU",IF(AND(I15&lt;0,H15=0,F15=0),"Entrou no ZBR, mas não está no estoque físico: não chegou ou foi guardado em outro lote",IF(I15&lt;0,"Estoque físico menor que o esperado: saída, ajuste ou perda não lançada no período",IF(ABS(I15-M15)&lt;=Parâmetros!$C$7,"Estoque antigo: toda a sobra está em posições sem movimento desde antes de 09/09",IF(AND(F15&gt;0,ABS(I15-F15)&lt;=Parâmetros!$C$7),"As saídas do período não baixaram o estoque físico",IF(ABS(I15-N15)&lt;=Parâmetros!$C$7,"Quantidade parada em doca, chão ou transferência: entrega ou devolução não baixada",IF(ABS(I15-M15-N15)&lt;=Parâmetros!$C$7,"Estoque antigo + quantidade em doca/chão/transferência",IF(AND(F15&gt;0,ABS(I15-M15-N15-F15)&lt;=Parâmetros!$C$7),IF(M15+N15&gt;0,"Estoque antigo/doca + saídas do período que","Saídas do período que")&amp;" não baixaram o estoque físico",IF(AND(P15&gt;0,ABS(I15-M15-N15-P15)&lt;=Parâmetros!$C$7),IF(M15+N15&gt;0,"Estoque antigo/doca + saídas","Saídas")&amp;" pelo depósito 0355 que não baixaram o estoque físico",IF(M15+N15&gt;0,"Explica em parte: estoque antigo "&amp;FIXED(M15,1)&amp;" + doca/transferência "&amp;FIXED(N15,1)&amp;"; faltam "&amp;FIXED(I15-M15-N15,1)&amp;" a explicar",IF(F15&gt;E15+U15,"Saiu mais do que entrou: havia estoque antes de 09/09 que não está no arquivo","Estoque acima do esperado: entrada não lançada ou saldo anterior ao período"))))))))))))</f>
        <v>Entrou no ZBR, mas não está no estoque físico: não chegou ou foi guardado em outro lote</v>
      </c>
      <c r="L15" s="156" t="str">
        <f aca="false">IF(J15="Confere","Nenhum ajuste necessário",IF(LEFT(K15,5)="Troca","Transferir "&amp;FIXED(ABS(I15),1)&amp;" "&amp;D15&amp;" entre os lotes deste SKU (transferência lote a lote, mov. 309) para corrigir o lote",IF(LEFT(K15,6)="Entrou","Procurar a OT de armazenagem pendente no ZBR. Se não achar: contar e lançar ajuste de inventário de −"&amp;FIXED(ABS(I15),1)&amp;" "&amp;D15,IF(J15="Faltando","Contar o lote. Se a falta se confirmar: lançar a saída esquecida (601) ou ajuste de inventário de −"&amp;FIXED(ABS(I15),1)&amp;" "&amp;D15,IF(LEFT(K15,15)="Estoque antigo:","Confirmar no SAP o saldo de 08/09 ("&amp;FIXED(ABS(M15),1)&amp;" "&amp;D15&amp;"). Se estiver certo, não há ajuste",IF(LEFT(K15,10)="Quantidade","Confirmar ou estornar as OTs em doca/transferência ("&amp;FIXED(ABS(N15),1)&amp;" "&amp;D15&amp;"): guardar na posição ou baixar a entrega",IF(LEFT(K15,16)="Estoque antigo +","Confirmar saldo de 08/09 ("&amp;FIXED(ABS(M15),1)&amp;" "&amp;D15&amp;") e tratar as OTs em doca/transferência ("&amp;FIXED(ABS(N15),1)&amp;" "&amp;D15&amp;")",IF(ISNUMBER(SEARCH("não baixaram",K15)),"Confirmar a OT de saída (picking) das remessas para baixar "&amp;FIXED(ABS(I15-M15-N15),1)&amp;" "&amp;D15&amp;" do estoque físico"&amp;IF(M15+N15&gt;0,"; conferir também estoque antigo/doca",""),IF(LEFT(K15,7)="Explica","Confirmar saldo de 08/09 e OTs de doca; contar o lote para os "&amp;FIXED(ABS(I15-M15-N15),1)&amp;" "&amp;D15&amp;" restantes e ajustar a sobra se confirmada","Confirmar saldo de 08/09; se não existir, contar o lote e lançar ajuste de inventário de +"&amp;FIXED(ABS(I15),1)&amp;" "&amp;D15)))))))))</f>
        <v>Procurar a OT de armazenagem pendente no ZBR. Se não achar: contar e lançar ajuste de inventário de −261.1 KG</v>
      </c>
      <c r="M15" s="158" t="n">
        <f aca="false">MAX(0,SUMIFS('3 Base Estoque Físico'!$J$2:$J$5000,'3 Base Estoque Físico'!$A$2:$A$5000,$A15,'3 Base Estoque Físico'!$B$2:$B$5000,$B15,'3 Base Estoque Físico'!$I$2:$I$5000,"&lt;"&amp;DATE(2026,9,9))-U15)</f>
        <v>0</v>
      </c>
      <c r="N15" s="158" t="n">
        <f aca="false">SUMPRODUCT(('3 Base Estoque Físico'!$A$2:$A$5000=$A15)*('3 Base Estoque Físico'!$B$2:$B$5000=$B15)*('3 Base Estoque Físico'!$I$2:$I$5000&gt;=DATE(2026,9,9))*ISNUMBER(MATCH('3 Base Estoque Físico'!$C$2:$C$5000,{"DCK","TRF","922","FLR","DIF"},0))*'3 Base Estoque Físico'!$J$2:$J$5000)</f>
        <v>0</v>
      </c>
      <c r="O15" s="161" t="n">
        <f aca="false">IF(OR(J15="Confere",LEFT(K15,5)="Troca",ISNUMBER(SEARCH("não baixaram",K15))),0,IF(I15&gt;0,MAX(0,ROUND(I15-M15-N15,2)),I15))</f>
        <v>-261.12</v>
      </c>
      <c r="P15" s="158" t="n">
        <f aca="false">SUMIFS('3 Base Saídas'!$R$2:$R$5000,'3 Base Saídas'!$B$2:$B$5000,$A15,'3 Base Saídas'!$C$2:$C$5000,$B15,'3 Base Saídas'!$E$2:$E$5000,"0355")</f>
        <v>0</v>
      </c>
      <c r="Q15" s="157" t="str">
        <f aca="false">IF(J15="Confere","—",IF(LEFT(K15,5)="Troca","Troca de lote",IF(LEFT(K15,6)="Entrou","Não localizado no estoque",IF(J15="Faltando","Falta sem explicação",IF(ISNUMBER(SEARCH("não baixaram",K15)),"Saída sem baixa no estoque",IF(LEFT(K15,10)="Quantidade","Doca/transferência pendente",IF(LEFT(K15,14)="Estoque antigo","Estoque anterior a 09/09",IF(LEFT(K15,7)="Explica","Sobra parcialmente explicada","Sobra sem explicação"))))))))</f>
        <v>Não localizado no estoque</v>
      </c>
      <c r="R15" s="162" t="str">
        <f aca="false">IF(J15="Confere","—",IF(OR(LEFT(K15,6)="Entrou",AND(I15&lt;0,ABS(O15)&gt;=Parâmetros!$K$6)),"Crítica",IF(OR(AND(I15&lt;0,O15&lt;&gt;0),O15&gt;=Parâmetros!$K$7),"Alta",IF(O15&gt;0,"Média","Baixa"))))</f>
        <v>Crítica</v>
      </c>
      <c r="S15" s="157" t="str">
        <f aca="false">A15&amp;"|"&amp;B15</f>
        <v>CHM-TS-P23-E0-999|2605567696</v>
      </c>
      <c r="T15" s="157" t="n">
        <f aca="false">IF(ABS(O15)&gt;Parâmetros!$C$7,ABS(O15)+ROW()/10000000,0)</f>
        <v>261.1200015</v>
      </c>
      <c r="U15" s="158" t="n">
        <f aca="false">SUMIFS('3 Base Saldo Inicial 08-09'!$E$2:$E$5000,'3 Base Saldo Inicial 08-09'!$A$2:$A$5000,$A15,'3 Base Saldo Inicial 08-09'!$B$2:$B$5000,$B15)-SUMIFS('3 Base Saldo Inicial 08-09'!$E$2:$E$5000,'3 Base Saldo Inicial 08-09'!$A$2:$A$5000,$A15,'3 Base Saldo Inicial 08-09'!$B$2:$B$5000,$B15,'3 Base Saldo Inicial 08-09'!$C$2:$C$5000,"2008")</f>
        <v>0</v>
      </c>
    </row>
    <row r="16" customFormat="false" ht="15" hidden="false" customHeight="false" outlineLevel="0" collapsed="false">
      <c r="A16" s="155" t="s">
        <v>327</v>
      </c>
      <c r="B16" s="155" t="s">
        <v>329</v>
      </c>
      <c r="C16" s="156" t="s">
        <v>926</v>
      </c>
      <c r="D16" s="157" t="s">
        <v>65</v>
      </c>
      <c r="E16" s="158" t="n">
        <f aca="false">SUMIFS('aux Conciliação Lote'!$E$5:$E$98,'aux Conciliação Lote'!$A$5:$A$98,$A16,'aux Conciliação Lote'!$B$5:$B$98,$B16)</f>
        <v>480</v>
      </c>
      <c r="F16" s="158" t="n">
        <f aca="false">SUMIFS('aux Conciliação Lote'!$F$5:$F$98,'aux Conciliação Lote'!$A$5:$A$98,$A16,'aux Conciliação Lote'!$B$5:$B$98,$B16)</f>
        <v>60</v>
      </c>
      <c r="G16" s="158" t="n">
        <f aca="false">U16+E16-F16</f>
        <v>420</v>
      </c>
      <c r="H16" s="158" t="n">
        <f aca="false">SUMIFS('aux Conciliação Lote'!$H$5:$H$98,'aux Conciliação Lote'!$A$5:$A$98,$A16,'aux Conciliação Lote'!$B$5:$B$98,$B16)</f>
        <v>210</v>
      </c>
      <c r="I16" s="159" t="n">
        <f aca="false">ROUND(H16-G16,2)</f>
        <v>-210</v>
      </c>
      <c r="J16" s="160" t="str">
        <f aca="false">IF(ABS(I16)&lt;=Parâmetros!$C$7,"Confere",IF(I16&gt;0,"Sobrando","Faltando"))</f>
        <v>Faltando</v>
      </c>
      <c r="K16" s="155" t="str">
        <f aca="false">IF(J16="Confere","Sem diferença",IF(AND(J16&lt;&gt;"Confere",SUMPRODUCT(($A$14:$A$107=$A16)*($B$14:$B$107&lt;&gt;$B16)*(ABS($I$14:$I$107+$I16)&lt;=Parâmetros!$C$7))&gt;0),"Troca de lote: a mesma quantidade aparece com sinal oposto em outro lote deste SKU",IF(AND(I16&lt;0,H16=0,F16=0),"Entrou no ZBR, mas não está no estoque físico: não chegou ou foi guardado em outro lote",IF(I16&lt;0,"Estoque físico menor que o esperado: saída, ajuste ou perda não lançada no período",IF(ABS(I16-M16)&lt;=Parâmetros!$C$7,"Estoque antigo: toda a sobra está em posições sem movimento desde antes de 09/09",IF(AND(F16&gt;0,ABS(I16-F16)&lt;=Parâmetros!$C$7),"As saídas do período não baixaram o estoque físico",IF(ABS(I16-N16)&lt;=Parâmetros!$C$7,"Quantidade parada em doca, chão ou transferência: entrega ou devolução não baixada",IF(ABS(I16-M16-N16)&lt;=Parâmetros!$C$7,"Estoque antigo + quantidade em doca/chão/transferência",IF(AND(F16&gt;0,ABS(I16-M16-N16-F16)&lt;=Parâmetros!$C$7),IF(M16+N16&gt;0,"Estoque antigo/doca + saídas do período que","Saídas do período que")&amp;" não baixaram o estoque físico",IF(AND(P16&gt;0,ABS(I16-M16-N16-P16)&lt;=Parâmetros!$C$7),IF(M16+N16&gt;0,"Estoque antigo/doca + saídas","Saídas")&amp;" pelo depósito 0355 que não baixaram o estoque físico",IF(M16+N16&gt;0,"Explica em parte: estoque antigo "&amp;FIXED(M16,1)&amp;" + doca/transferência "&amp;FIXED(N16,1)&amp;"; faltam "&amp;FIXED(I16-M16-N16,1)&amp;" a explicar",IF(F16&gt;E16+U16,"Saiu mais do que entrou: havia estoque antes de 09/09 que não está no arquivo","Estoque acima do esperado: entrada não lançada ou saldo anterior ao período"))))))))))))</f>
        <v>Estoque físico menor que o esperado: saída, ajuste ou perda não lançada no período</v>
      </c>
      <c r="L16" s="156" t="str">
        <f aca="false">IF(J16="Confere","Nenhum ajuste necessário",IF(LEFT(K16,5)="Troca","Transferir "&amp;FIXED(ABS(I16),1)&amp;" "&amp;D16&amp;" entre os lotes deste SKU (transferência lote a lote, mov. 309) para corrigir o lote",IF(LEFT(K16,6)="Entrou","Procurar a OT de armazenagem pendente no ZBR. Se não achar: contar e lançar ajuste de inventário de −"&amp;FIXED(ABS(I16),1)&amp;" "&amp;D16,IF(J16="Faltando","Contar o lote. Se a falta se confirmar: lançar a saída esquecida (601) ou ajuste de inventário de −"&amp;FIXED(ABS(I16),1)&amp;" "&amp;D16,IF(LEFT(K16,15)="Estoque antigo:","Confirmar no SAP o saldo de 08/09 ("&amp;FIXED(ABS(M16),1)&amp;" "&amp;D16&amp;"). Se estiver certo, não há ajuste",IF(LEFT(K16,10)="Quantidade","Confirmar ou estornar as OTs em doca/transferência ("&amp;FIXED(ABS(N16),1)&amp;" "&amp;D16&amp;"): guardar na posição ou baixar a entrega",IF(LEFT(K16,16)="Estoque antigo +","Confirmar saldo de 08/09 ("&amp;FIXED(ABS(M16),1)&amp;" "&amp;D16&amp;") e tratar as OTs em doca/transferência ("&amp;FIXED(ABS(N16),1)&amp;" "&amp;D16&amp;")",IF(ISNUMBER(SEARCH("não baixaram",K16)),"Confirmar a OT de saída (picking) das remessas para baixar "&amp;FIXED(ABS(I16-M16-N16),1)&amp;" "&amp;D16&amp;" do estoque físico"&amp;IF(M16+N16&gt;0,"; conferir também estoque antigo/doca",""),IF(LEFT(K16,7)="Explica","Confirmar saldo de 08/09 e OTs de doca; contar o lote para os "&amp;FIXED(ABS(I16-M16-N16),1)&amp;" "&amp;D16&amp;" restantes e ajustar a sobra se confirmada","Confirmar saldo de 08/09; se não existir, contar o lote e lançar ajuste de inventário de +"&amp;FIXED(ABS(I16),1)&amp;" "&amp;D16)))))))))</f>
        <v>Contar o lote. Se a falta se confirmar: lançar a saída esquecida (601) ou ajuste de inventário de −210.0 KG</v>
      </c>
      <c r="M16" s="158" t="n">
        <f aca="false">MAX(0,SUMIFS('3 Base Estoque Físico'!$J$2:$J$5000,'3 Base Estoque Físico'!$A$2:$A$5000,$A16,'3 Base Estoque Físico'!$B$2:$B$5000,$B16,'3 Base Estoque Físico'!$I$2:$I$5000,"&lt;"&amp;DATE(2026,9,9))-U16)</f>
        <v>0</v>
      </c>
      <c r="N16" s="158" t="n">
        <f aca="false">SUMPRODUCT(('3 Base Estoque Físico'!$A$2:$A$5000=$A16)*('3 Base Estoque Físico'!$B$2:$B$5000=$B16)*('3 Base Estoque Físico'!$I$2:$I$5000&gt;=DATE(2026,9,9))*ISNUMBER(MATCH('3 Base Estoque Físico'!$C$2:$C$5000,{"DCK","TRF","922","FLR","DIF"},0))*'3 Base Estoque Físico'!$J$2:$J$5000)</f>
        <v>0</v>
      </c>
      <c r="O16" s="161" t="n">
        <f aca="false">IF(OR(J16="Confere",LEFT(K16,5)="Troca",ISNUMBER(SEARCH("não baixaram",K16))),0,IF(I16&gt;0,MAX(0,ROUND(I16-M16-N16,2)),I16))</f>
        <v>-210</v>
      </c>
      <c r="P16" s="158" t="n">
        <f aca="false">SUMIFS('3 Base Saídas'!$R$2:$R$5000,'3 Base Saídas'!$B$2:$B$5000,$A16,'3 Base Saídas'!$C$2:$C$5000,$B16,'3 Base Saídas'!$E$2:$E$5000,"0355")</f>
        <v>0</v>
      </c>
      <c r="Q16" s="157" t="str">
        <f aca="false">IF(J16="Confere","—",IF(LEFT(K16,5)="Troca","Troca de lote",IF(LEFT(K16,6)="Entrou","Não localizado no estoque",IF(J16="Faltando","Falta sem explicação",IF(ISNUMBER(SEARCH("não baixaram",K16)),"Saída sem baixa no estoque",IF(LEFT(K16,10)="Quantidade","Doca/transferência pendente",IF(LEFT(K16,14)="Estoque antigo","Estoque anterior a 09/09",IF(LEFT(K16,7)="Explica","Sobra parcialmente explicada","Sobra sem explicação"))))))))</f>
        <v>Falta sem explicação</v>
      </c>
      <c r="R16" s="162" t="str">
        <f aca="false">IF(J16="Confere","—",IF(OR(LEFT(K16,6)="Entrou",AND(I16&lt;0,ABS(O16)&gt;=Parâmetros!$K$6)),"Crítica",IF(OR(AND(I16&lt;0,O16&lt;&gt;0),O16&gt;=Parâmetros!$K$7),"Alta",IF(O16&gt;0,"Média","Baixa"))))</f>
        <v>Crítica</v>
      </c>
      <c r="S16" s="157" t="str">
        <f aca="false">A16&amp;"|"&amp;B16</f>
        <v>BIG-PF-1BO-401|26044019</v>
      </c>
      <c r="T16" s="157" t="n">
        <f aca="false">IF(ABS(O16)&gt;Parâmetros!$C$7,ABS(O16)+ROW()/10000000,0)</f>
        <v>210.0000016</v>
      </c>
      <c r="U16" s="158" t="n">
        <f aca="false">SUMIFS('3 Base Saldo Inicial 08-09'!$E$2:$E$5000,'3 Base Saldo Inicial 08-09'!$A$2:$A$5000,$A16,'3 Base Saldo Inicial 08-09'!$B$2:$B$5000,$B16)-SUMIFS('3 Base Saldo Inicial 08-09'!$E$2:$E$5000,'3 Base Saldo Inicial 08-09'!$A$2:$A$5000,$A16,'3 Base Saldo Inicial 08-09'!$B$2:$B$5000,$B16,'3 Base Saldo Inicial 08-09'!$C$2:$C$5000,"2008")</f>
        <v>0</v>
      </c>
    </row>
    <row r="17" customFormat="false" ht="15" hidden="false" customHeight="false" outlineLevel="0" collapsed="false">
      <c r="A17" s="155" t="s">
        <v>286</v>
      </c>
      <c r="B17" s="155" t="s">
        <v>294</v>
      </c>
      <c r="C17" s="156" t="s">
        <v>1354</v>
      </c>
      <c r="D17" s="157" t="s">
        <v>147</v>
      </c>
      <c r="E17" s="158" t="n">
        <f aca="false">SUMIFS('aux Conciliação Lote'!$E$5:$E$98,'aux Conciliação Lote'!$A$5:$A$98,$A17,'aux Conciliação Lote'!$B$5:$B$98,$B17)</f>
        <v>487</v>
      </c>
      <c r="F17" s="158" t="n">
        <f aca="false">SUMIFS('aux Conciliação Lote'!$F$5:$F$98,'aux Conciliação Lote'!$A$5:$A$98,$A17,'aux Conciliação Lote'!$B$5:$B$98,$B17)</f>
        <v>0</v>
      </c>
      <c r="G17" s="158" t="n">
        <f aca="false">U17+E17-F17</f>
        <v>487</v>
      </c>
      <c r="H17" s="158" t="n">
        <f aca="false">SUMIFS('aux Conciliação Lote'!$H$5:$H$98,'aux Conciliação Lote'!$A$5:$A$98,$A17,'aux Conciliação Lote'!$B$5:$B$98,$B17)</f>
        <v>367</v>
      </c>
      <c r="I17" s="159" t="n">
        <f aca="false">ROUND(H17-G17,2)</f>
        <v>-120</v>
      </c>
      <c r="J17" s="160" t="str">
        <f aca="false">IF(ABS(I17)&lt;=Parâmetros!$C$7,"Confere",IF(I17&gt;0,"Sobrando","Faltando"))</f>
        <v>Faltando</v>
      </c>
      <c r="K17" s="155" t="str">
        <f aca="false">IF(J17="Confere","Sem diferença",IF(AND(J17&lt;&gt;"Confere",SUMPRODUCT(($A$14:$A$107=$A17)*($B$14:$B$107&lt;&gt;$B17)*(ABS($I$14:$I$107+$I17)&lt;=Parâmetros!$C$7))&gt;0),"Troca de lote: a mesma quantidade aparece com sinal oposto em outro lote deste SKU",IF(AND(I17&lt;0,H17=0,F17=0),"Entrou no ZBR, mas não está no estoque físico: não chegou ou foi guardado em outro lote",IF(I17&lt;0,"Estoque físico menor que o esperado: saída, ajuste ou perda não lançada no período",IF(ABS(I17-M17)&lt;=Parâmetros!$C$7,"Estoque antigo: toda a sobra está em posições sem movimento desde antes de 09/09",IF(AND(F17&gt;0,ABS(I17-F17)&lt;=Parâmetros!$C$7),"As saídas do período não baixaram o estoque físico",IF(ABS(I17-N17)&lt;=Parâmetros!$C$7,"Quantidade parada em doca, chão ou transferência: entrega ou devolução não baixada",IF(ABS(I17-M17-N17)&lt;=Parâmetros!$C$7,"Estoque antigo + quantidade em doca/chão/transferência",IF(AND(F17&gt;0,ABS(I17-M17-N17-F17)&lt;=Parâmetros!$C$7),IF(M17+N17&gt;0,"Estoque antigo/doca + saídas do período que","Saídas do período que")&amp;" não baixaram o estoque físico",IF(AND(P17&gt;0,ABS(I17-M17-N17-P17)&lt;=Parâmetros!$C$7),IF(M17+N17&gt;0,"Estoque antigo/doca + saídas","Saídas")&amp;" pelo depósito 0355 que não baixaram o estoque físico",IF(M17+N17&gt;0,"Explica em parte: estoque antigo "&amp;FIXED(M17,1)&amp;" + doca/transferência "&amp;FIXED(N17,1)&amp;"; faltam "&amp;FIXED(I17-M17-N17,1)&amp;" a explicar",IF(F17&gt;E17+U17,"Saiu mais do que entrou: havia estoque antes de 09/09 que não está no arquivo","Estoque acima do esperado: entrada não lançada ou saldo anterior ao período"))))))))))))</f>
        <v>Troca de lote: a mesma quantidade aparece com sinal oposto em outro lote deste SKU</v>
      </c>
      <c r="L17" s="156" t="str">
        <f aca="false">IF(J17="Confere","Nenhum ajuste necessário",IF(LEFT(K17,5)="Troca","Transferir "&amp;FIXED(ABS(I17),1)&amp;" "&amp;D17&amp;" entre os lotes deste SKU (transferência lote a lote, mov. 309) para corrigir o lote",IF(LEFT(K17,6)="Entrou","Procurar a OT de armazenagem pendente no ZBR. Se não achar: contar e lançar ajuste de inventário de −"&amp;FIXED(ABS(I17),1)&amp;" "&amp;D17,IF(J17="Faltando","Contar o lote. Se a falta se confirmar: lançar a saída esquecida (601) ou ajuste de inventário de −"&amp;FIXED(ABS(I17),1)&amp;" "&amp;D17,IF(LEFT(K17,15)="Estoque antigo:","Confirmar no SAP o saldo de 08/09 ("&amp;FIXED(ABS(M17),1)&amp;" "&amp;D17&amp;"). Se estiver certo, não há ajuste",IF(LEFT(K17,10)="Quantidade","Confirmar ou estornar as OTs em doca/transferência ("&amp;FIXED(ABS(N17),1)&amp;" "&amp;D17&amp;"): guardar na posição ou baixar a entrega",IF(LEFT(K17,16)="Estoque antigo +","Confirmar saldo de 08/09 ("&amp;FIXED(ABS(M17),1)&amp;" "&amp;D17&amp;") e tratar as OTs em doca/transferência ("&amp;FIXED(ABS(N17),1)&amp;" "&amp;D17&amp;")",IF(ISNUMBER(SEARCH("não baixaram",K17)),"Confirmar a OT de saída (picking) das remessas para baixar "&amp;FIXED(ABS(I17-M17-N17),1)&amp;" "&amp;D17&amp;" do estoque físico"&amp;IF(M17+N17&gt;0,"; conferir também estoque antigo/doca",""),IF(LEFT(K17,7)="Explica","Confirmar saldo de 08/09 e OTs de doca; contar o lote para os "&amp;FIXED(ABS(I17-M17-N17),1)&amp;" "&amp;D17&amp;" restantes e ajustar a sobra se confirmada","Confirmar saldo de 08/09; se não existir, contar o lote e lançar ajuste de inventário de +"&amp;FIXED(ABS(I17),1)&amp;" "&amp;D17)))))))))</f>
        <v>Transferir 120.0 CX entre os lotes deste SKU (transferência lote a lote, mov. 309) para corrigir o lote</v>
      </c>
      <c r="M17" s="158" t="n">
        <f aca="false">MAX(0,SUMIFS('3 Base Estoque Físico'!$J$2:$J$5000,'3 Base Estoque Físico'!$A$2:$A$5000,$A17,'3 Base Estoque Físico'!$B$2:$B$5000,$B17,'3 Base Estoque Físico'!$I$2:$I$5000,"&lt;"&amp;DATE(2026,9,9))-U17)</f>
        <v>0</v>
      </c>
      <c r="N17" s="158" t="n">
        <f aca="false">SUMPRODUCT(('3 Base Estoque Físico'!$A$2:$A$5000=$A17)*('3 Base Estoque Físico'!$B$2:$B$5000=$B17)*('3 Base Estoque Físico'!$I$2:$I$5000&gt;=DATE(2026,9,9))*ISNUMBER(MATCH('3 Base Estoque Físico'!$C$2:$C$5000,{"DCK","TRF","922","FLR","DIF"},0))*'3 Base Estoque Físico'!$J$2:$J$5000)</f>
        <v>0</v>
      </c>
      <c r="O17" s="161" t="n">
        <f aca="false">IF(OR(J17="Confere",LEFT(K17,5)="Troca",ISNUMBER(SEARCH("não baixaram",K17))),0,IF(I17&gt;0,MAX(0,ROUND(I17-M17-N17,2)),I17))</f>
        <v>0</v>
      </c>
      <c r="P17" s="158" t="n">
        <f aca="false">SUMIFS('3 Base Saídas'!$R$2:$R$5000,'3 Base Saídas'!$B$2:$B$5000,$A17,'3 Base Saídas'!$C$2:$C$5000,$B17,'3 Base Saídas'!$E$2:$E$5000,"0355")</f>
        <v>0</v>
      </c>
      <c r="Q17" s="157" t="str">
        <f aca="false">IF(J17="Confere","—",IF(LEFT(K17,5)="Troca","Troca de lote",IF(LEFT(K17,6)="Entrou","Não localizado no estoque",IF(J17="Faltando","Falta sem explicação",IF(ISNUMBER(SEARCH("não baixaram",K17)),"Saída sem baixa no estoque",IF(LEFT(K17,10)="Quantidade","Doca/transferência pendente",IF(LEFT(K17,14)="Estoque antigo","Estoque anterior a 09/09",IF(LEFT(K17,7)="Explica","Sobra parcialmente explicada","Sobra sem explicação"))))))))</f>
        <v>Troca de lote</v>
      </c>
      <c r="R17" s="162" t="str">
        <f aca="false">IF(J17="Confere","—",IF(OR(LEFT(K17,6)="Entrou",AND(I17&lt;0,ABS(O17)&gt;=Parâmetros!$K$6)),"Crítica",IF(OR(AND(I17&lt;0,O17&lt;&gt;0),O17&gt;=Parâmetros!$K$7),"Alta",IF(O17&gt;0,"Média","Baixa"))))</f>
        <v>Baixa</v>
      </c>
      <c r="S17" s="157" t="str">
        <f aca="false">A17&amp;"|"&amp;B17</f>
        <v>NIBS-S502-X47|253490619</v>
      </c>
      <c r="T17" s="157" t="n">
        <f aca="false">IF(ABS(O17)&gt;Parâmetros!$C$7,ABS(O17)+ROW()/10000000,0)</f>
        <v>0</v>
      </c>
      <c r="U17" s="158" t="n">
        <f aca="false">SUMIFS('3 Base Saldo Inicial 08-09'!$E$2:$E$5000,'3 Base Saldo Inicial 08-09'!$A$2:$A$5000,$A17,'3 Base Saldo Inicial 08-09'!$B$2:$B$5000,$B17)-SUMIFS('3 Base Saldo Inicial 08-09'!$E$2:$E$5000,'3 Base Saldo Inicial 08-09'!$A$2:$A$5000,$A17,'3 Base Saldo Inicial 08-09'!$B$2:$B$5000,$B17,'3 Base Saldo Inicial 08-09'!$C$2:$C$5000,"2008")</f>
        <v>0</v>
      </c>
    </row>
    <row r="18" customFormat="false" ht="15" hidden="false" customHeight="false" outlineLevel="0" collapsed="false">
      <c r="A18" s="155" t="s">
        <v>232</v>
      </c>
      <c r="B18" s="155" t="s">
        <v>239</v>
      </c>
      <c r="C18" s="156" t="s">
        <v>939</v>
      </c>
      <c r="D18" s="157" t="s">
        <v>146</v>
      </c>
      <c r="E18" s="158" t="n">
        <f aca="false">SUMIFS('aux Conciliação Lote'!$E$5:$E$98,'aux Conciliação Lote'!$A$5:$A$98,$A18,'aux Conciliação Lote'!$B$5:$B$98,$B18)</f>
        <v>30</v>
      </c>
      <c r="F18" s="158" t="n">
        <f aca="false">SUMIFS('aux Conciliação Lote'!$F$5:$F$98,'aux Conciliação Lote'!$A$5:$A$98,$A18,'aux Conciliação Lote'!$B$5:$B$98,$B18)</f>
        <v>0</v>
      </c>
      <c r="G18" s="158" t="n">
        <f aca="false">U18+E18-F18</f>
        <v>30</v>
      </c>
      <c r="H18" s="158" t="n">
        <f aca="false">SUMIFS('aux Conciliação Lote'!$H$5:$H$98,'aux Conciliação Lote'!$A$5:$A$98,$A18,'aux Conciliação Lote'!$B$5:$B$98,$B18)</f>
        <v>4.219</v>
      </c>
      <c r="I18" s="159" t="n">
        <f aca="false">ROUND(H18-G18,2)</f>
        <v>-25.78</v>
      </c>
      <c r="J18" s="160" t="str">
        <f aca="false">IF(ABS(I18)&lt;=Parâmetros!$C$7,"Confere",IF(I18&gt;0,"Sobrando","Faltando"))</f>
        <v>Faltando</v>
      </c>
      <c r="K18" s="155" t="str">
        <f aca="false">IF(J18="Confere","Sem diferença",IF(AND(J18&lt;&gt;"Confere",SUMPRODUCT(($A$14:$A$107=$A18)*($B$14:$B$107&lt;&gt;$B18)*(ABS($I$14:$I$107+$I18)&lt;=Parâmetros!$C$7))&gt;0),"Troca de lote: a mesma quantidade aparece com sinal oposto em outro lote deste SKU",IF(AND(I18&lt;0,H18=0,F18=0),"Entrou no ZBR, mas não está no estoque físico: não chegou ou foi guardado em outro lote",IF(I18&lt;0,"Estoque físico menor que o esperado: saída, ajuste ou perda não lançada no período",IF(ABS(I18-M18)&lt;=Parâmetros!$C$7,"Estoque antigo: toda a sobra está em posições sem movimento desde antes de 09/09",IF(AND(F18&gt;0,ABS(I18-F18)&lt;=Parâmetros!$C$7),"As saídas do período não baixaram o estoque físico",IF(ABS(I18-N18)&lt;=Parâmetros!$C$7,"Quantidade parada em doca, chão ou transferência: entrega ou devolução não baixada",IF(ABS(I18-M18-N18)&lt;=Parâmetros!$C$7,"Estoque antigo + quantidade em doca/chão/transferência",IF(AND(F18&gt;0,ABS(I18-M18-N18-F18)&lt;=Parâmetros!$C$7),IF(M18+N18&gt;0,"Estoque antigo/doca + saídas do período que","Saídas do período que")&amp;" não baixaram o estoque físico",IF(AND(P18&gt;0,ABS(I18-M18-N18-P18)&lt;=Parâmetros!$C$7),IF(M18+N18&gt;0,"Estoque antigo/doca + saídas","Saídas")&amp;" pelo depósito 0355 que não baixaram o estoque físico",IF(M18+N18&gt;0,"Explica em parte: estoque antigo "&amp;FIXED(M18,1)&amp;" + doca/transferência "&amp;FIXED(N18,1)&amp;"; faltam "&amp;FIXED(I18-M18-N18,1)&amp;" a explicar",IF(F18&gt;E18+U18,"Saiu mais do que entrou: havia estoque antes de 09/09 que não está no arquivo","Estoque acima do esperado: entrada não lançada ou saldo anterior ao período"))))))))))))</f>
        <v>Estoque físico menor que o esperado: saída, ajuste ou perda não lançada no período</v>
      </c>
      <c r="L18" s="156" t="str">
        <f aca="false">IF(J18="Confere","Nenhum ajuste necessário",IF(LEFT(K18,5)="Troca","Transferir "&amp;FIXED(ABS(I18),1)&amp;" "&amp;D18&amp;" entre os lotes deste SKU (transferência lote a lote, mov. 309) para corrigir o lote",IF(LEFT(K18,6)="Entrou","Procurar a OT de armazenagem pendente no ZBR. Se não achar: contar e lançar ajuste de inventário de −"&amp;FIXED(ABS(I18),1)&amp;" "&amp;D18,IF(J18="Faltando","Contar o lote. Se a falta se confirmar: lançar a saída esquecida (601) ou ajuste de inventário de −"&amp;FIXED(ABS(I18),1)&amp;" "&amp;D18,IF(LEFT(K18,15)="Estoque antigo:","Confirmar no SAP o saldo de 08/09 ("&amp;FIXED(ABS(M18),1)&amp;" "&amp;D18&amp;"). Se estiver certo, não há ajuste",IF(LEFT(K18,10)="Quantidade","Confirmar ou estornar as OTs em doca/transferência ("&amp;FIXED(ABS(N18),1)&amp;" "&amp;D18&amp;"): guardar na posição ou baixar a entrega",IF(LEFT(K18,16)="Estoque antigo +","Confirmar saldo de 08/09 ("&amp;FIXED(ABS(M18),1)&amp;" "&amp;D18&amp;") e tratar as OTs em doca/transferência ("&amp;FIXED(ABS(N18),1)&amp;" "&amp;D18&amp;")",IF(ISNUMBER(SEARCH("não baixaram",K18)),"Confirmar a OT de saída (picking) das remessas para baixar "&amp;FIXED(ABS(I18-M18-N18),1)&amp;" "&amp;D18&amp;" do estoque físico"&amp;IF(M18+N18&gt;0,"; conferir também estoque antigo/doca",""),IF(LEFT(K18,7)="Explica","Confirmar saldo de 08/09 e OTs de doca; contar o lote para os "&amp;FIXED(ABS(I18-M18-N18),1)&amp;" "&amp;D18&amp;" restantes e ajustar a sobra se confirmada","Confirmar saldo de 08/09; se não existir, contar o lote e lançar ajuste de inventário de +"&amp;FIXED(ABS(I18),1)&amp;" "&amp;D18)))))))))</f>
        <v>Contar o lote. Se a falta se confirmar: lançar a saída esquecida (601) ou ajuste de inventário de −25.8 UN</v>
      </c>
      <c r="M18" s="158" t="n">
        <f aca="false">MAX(0,SUMIFS('3 Base Estoque Físico'!$J$2:$J$5000,'3 Base Estoque Físico'!$A$2:$A$5000,$A18,'3 Base Estoque Físico'!$B$2:$B$5000,$B18,'3 Base Estoque Físico'!$I$2:$I$5000,"&lt;"&amp;DATE(2026,9,9))-U18)</f>
        <v>4.219</v>
      </c>
      <c r="N18" s="158" t="n">
        <f aca="false">SUMPRODUCT(('3 Base Estoque Físico'!$A$2:$A$5000=$A18)*('3 Base Estoque Físico'!$B$2:$B$5000=$B18)*('3 Base Estoque Físico'!$I$2:$I$5000&gt;=DATE(2026,9,9))*ISNUMBER(MATCH('3 Base Estoque Físico'!$C$2:$C$5000,{"DCK","TRF","922","FLR","DIF"},0))*'3 Base Estoque Físico'!$J$2:$J$5000)</f>
        <v>0</v>
      </c>
      <c r="O18" s="161" t="n">
        <f aca="false">IF(OR(J18="Confere",LEFT(K18,5)="Troca",ISNUMBER(SEARCH("não baixaram",K18))),0,IF(I18&gt;0,MAX(0,ROUND(I18-M18-N18,2)),I18))</f>
        <v>-25.78</v>
      </c>
      <c r="P18" s="158" t="n">
        <f aca="false">SUMIFS('3 Base Saídas'!$R$2:$R$5000,'3 Base Saídas'!$B$2:$B$5000,$A18,'3 Base Saídas'!$C$2:$C$5000,$B18,'3 Base Saídas'!$E$2:$E$5000,"0355")</f>
        <v>0</v>
      </c>
      <c r="Q18" s="157" t="str">
        <f aca="false">IF(J18="Confere","—",IF(LEFT(K18,5)="Troca","Troca de lote",IF(LEFT(K18,6)="Entrou","Não localizado no estoque",IF(J18="Faltando","Falta sem explicação",IF(ISNUMBER(SEARCH("não baixaram",K18)),"Saída sem baixa no estoque",IF(LEFT(K18,10)="Quantidade","Doca/transferência pendente",IF(LEFT(K18,14)="Estoque antigo","Estoque anterior a 09/09",IF(LEFT(K18,7)="Explica","Sobra parcialmente explicada","Sobra sem explicação"))))))))</f>
        <v>Falta sem explicação</v>
      </c>
      <c r="R18" s="162" t="str">
        <f aca="false">IF(J18="Confere","—",IF(OR(LEFT(K18,6)="Entrou",AND(I18&lt;0,ABS(O18)&gt;=Parâmetros!$K$6)),"Crítica",IF(OR(AND(I18&lt;0,O18&lt;&gt;0),O18&gt;=Parâmetros!$K$7),"Alta",IF(O18&gt;0,"Média","Baixa"))))</f>
        <v>Alta</v>
      </c>
      <c r="S18" s="157" t="str">
        <f aca="false">A18&amp;"|"&amp;B18</f>
        <v>CHD-BB-308BY-357|250827800</v>
      </c>
      <c r="T18" s="157" t="n">
        <f aca="false">IF(ABS(O18)&gt;Parâmetros!$C$7,ABS(O18)+ROW()/10000000,0)</f>
        <v>25.7800018</v>
      </c>
      <c r="U18" s="158" t="n">
        <f aca="false">SUMIFS('3 Base Saldo Inicial 08-09'!$E$2:$E$5000,'3 Base Saldo Inicial 08-09'!$A$2:$A$5000,$A18,'3 Base Saldo Inicial 08-09'!$B$2:$B$5000,$B18)-SUMIFS('3 Base Saldo Inicial 08-09'!$E$2:$E$5000,'3 Base Saldo Inicial 08-09'!$A$2:$A$5000,$A18,'3 Base Saldo Inicial 08-09'!$B$2:$B$5000,$B18,'3 Base Saldo Inicial 08-09'!$C$2:$C$5000,"2008")</f>
        <v>0</v>
      </c>
    </row>
    <row r="19" customFormat="false" ht="15" hidden="false" customHeight="false" outlineLevel="0" collapsed="false">
      <c r="A19" s="155" t="s">
        <v>314</v>
      </c>
      <c r="B19" s="155" t="s">
        <v>315</v>
      </c>
      <c r="C19" s="156" t="s">
        <v>522</v>
      </c>
      <c r="D19" s="157" t="s">
        <v>65</v>
      </c>
      <c r="E19" s="158" t="n">
        <f aca="false">SUMIFS('aux Conciliação Lote'!$E$5:$E$98,'aux Conciliação Lote'!$A$5:$A$98,$A19,'aux Conciliação Lote'!$B$5:$B$98,$B19)</f>
        <v>2.8</v>
      </c>
      <c r="F19" s="158" t="n">
        <f aca="false">SUMIFS('aux Conciliação Lote'!$F$5:$F$98,'aux Conciliação Lote'!$A$5:$A$98,$A19,'aux Conciliação Lote'!$B$5:$B$98,$B19)</f>
        <v>226.8</v>
      </c>
      <c r="G19" s="158" t="n">
        <f aca="false">U19+E19-F19</f>
        <v>-224</v>
      </c>
      <c r="H19" s="158" t="n">
        <f aca="false">SUMIFS('aux Conciliação Lote'!$H$5:$H$98,'aux Conciliação Lote'!$A$5:$A$98,$A19,'aux Conciliação Lote'!$B$5:$B$98,$B19)</f>
        <v>5513.2</v>
      </c>
      <c r="I19" s="159" t="n">
        <f aca="false">ROUND(H19-G19,2)</f>
        <v>5737.2</v>
      </c>
      <c r="J19" s="160" t="str">
        <f aca="false">IF(ABS(I19)&lt;=Parâmetros!$C$7,"Confere",IF(I19&gt;0,"Sobrando","Faltando"))</f>
        <v>Sobrando</v>
      </c>
      <c r="K19" s="155" t="str">
        <f aca="false">IF(J19="Confere","Sem diferença",IF(AND(J19&lt;&gt;"Confere",SUMPRODUCT(($A$14:$A$107=$A19)*($B$14:$B$107&lt;&gt;$B19)*(ABS($I$14:$I$107+$I19)&lt;=Parâmetros!$C$7))&gt;0),"Troca de lote: a mesma quantidade aparece com sinal oposto em outro lote deste SKU",IF(AND(I19&lt;0,H19=0,F19=0),"Entrou no ZBR, mas não está no estoque físico: não chegou ou foi guardado em outro lote",IF(I19&lt;0,"Estoque físico menor que o esperado: saída, ajuste ou perda não lançada no período",IF(ABS(I19-M19)&lt;=Parâmetros!$C$7,"Estoque antigo: toda a sobra está em posições sem movimento desde antes de 09/09",IF(AND(F19&gt;0,ABS(I19-F19)&lt;=Parâmetros!$C$7),"As saídas do período não baixaram o estoque físico",IF(ABS(I19-N19)&lt;=Parâmetros!$C$7,"Quantidade parada em doca, chão ou transferência: entrega ou devolução não baixada",IF(ABS(I19-M19-N19)&lt;=Parâmetros!$C$7,"Estoque antigo + quantidade em doca/chão/transferência",IF(AND(F19&gt;0,ABS(I19-M19-N19-F19)&lt;=Parâmetros!$C$7),IF(M19+N19&gt;0,"Estoque antigo/doca + saídas do período que","Saídas do período que")&amp;" não baixaram o estoque físico",IF(AND(P19&gt;0,ABS(I19-M19-N19-P19)&lt;=Parâmetros!$C$7),IF(M19+N19&gt;0,"Estoque antigo/doca + saídas","Saídas")&amp;" pelo depósito 0355 que não baixaram o estoque físico",IF(M19+N19&gt;0,"Explica em parte: estoque antigo "&amp;FIXED(M19,1)&amp;" + doca/transferência "&amp;FIXED(N19,1)&amp;"; faltam "&amp;FIXED(I19-M19-N19,1)&amp;" a explicar",IF(F19&gt;E19+U19,"Saiu mais do que entrou: havia estoque antes de 09/09 que não está no arquivo","Estoque acima do esperado: entrada não lançada ou saldo anterior ao período"))))))))))))</f>
        <v>Explica em parte: estoque antigo 5,328.4 + doca/transferência 0.0; faltam 408.8 a explicar</v>
      </c>
      <c r="L19" s="156" t="str">
        <f aca="false">IF(J19="Confere","Nenhum ajuste necessário",IF(LEFT(K19,5)="Troca","Transferir "&amp;FIXED(ABS(I19),1)&amp;" "&amp;D19&amp;" entre os lotes deste SKU (transferência lote a lote, mov. 309) para corrigir o lote",IF(LEFT(K19,6)="Entrou","Procurar a OT de armazenagem pendente no ZBR. Se não achar: contar e lançar ajuste de inventário de −"&amp;FIXED(ABS(I19),1)&amp;" "&amp;D19,IF(J19="Faltando","Contar o lote. Se a falta se confirmar: lançar a saída esquecida (601) ou ajuste de inventário de −"&amp;FIXED(ABS(I19),1)&amp;" "&amp;D19,IF(LEFT(K19,15)="Estoque antigo:","Confirmar no SAP o saldo de 08/09 ("&amp;FIXED(ABS(M19),1)&amp;" "&amp;D19&amp;"). Se estiver certo, não há ajuste",IF(LEFT(K19,10)="Quantidade","Confirmar ou estornar as OTs em doca/transferência ("&amp;FIXED(ABS(N19),1)&amp;" "&amp;D19&amp;"): guardar na posição ou baixar a entrega",IF(LEFT(K19,16)="Estoque antigo +","Confirmar saldo de 08/09 ("&amp;FIXED(ABS(M19),1)&amp;" "&amp;D19&amp;") e tratar as OTs em doca/transferência ("&amp;FIXED(ABS(N19),1)&amp;" "&amp;D19&amp;")",IF(ISNUMBER(SEARCH("não baixaram",K19)),"Confirmar a OT de saída (picking) das remessas para baixar "&amp;FIXED(ABS(I19-M19-N19),1)&amp;" "&amp;D19&amp;" do estoque físico"&amp;IF(M19+N19&gt;0,"; conferir também estoque antigo/doca",""),IF(LEFT(K19,7)="Explica","Confirmar saldo de 08/09 e OTs de doca; contar o lote para os "&amp;FIXED(ABS(I19-M19-N19),1)&amp;" "&amp;D19&amp;" restantes e ajustar a sobra se confirmada","Confirmar saldo de 08/09; se não existir, contar o lote e lançar ajuste de inventário de +"&amp;FIXED(ABS(I19),1)&amp;" "&amp;D19)))))))))</f>
        <v>Confirmar saldo de 08/09 e OTs de doca; contar o lote para os 408.8 KG restantes e ajustar a sobra se confirmada</v>
      </c>
      <c r="M19" s="158" t="n">
        <f aca="false">MAX(0,SUMIFS('3 Base Estoque Físico'!$J$2:$J$5000,'3 Base Estoque Físico'!$A$2:$A$5000,$A19,'3 Base Estoque Físico'!$B$2:$B$5000,$B19,'3 Base Estoque Físico'!$I$2:$I$5000,"&lt;"&amp;DATE(2026,9,9))-U19)</f>
        <v>5328.4</v>
      </c>
      <c r="N19" s="158" t="n">
        <f aca="false">SUMPRODUCT(('3 Base Estoque Físico'!$A$2:$A$5000=$A19)*('3 Base Estoque Físico'!$B$2:$B$5000=$B19)*('3 Base Estoque Físico'!$I$2:$I$5000&gt;=DATE(2026,9,9))*ISNUMBER(MATCH('3 Base Estoque Físico'!$C$2:$C$5000,{"DCK","TRF","922","FLR","DIF"},0))*'3 Base Estoque Físico'!$J$2:$J$5000)</f>
        <v>0</v>
      </c>
      <c r="O19" s="161" t="n">
        <f aca="false">IF(OR(J19="Confere",LEFT(K19,5)="Troca",ISNUMBER(SEARCH("não baixaram",K19))),0,IF(I19&gt;0,MAX(0,ROUND(I19-M19-N19,2)),I19))</f>
        <v>408.8</v>
      </c>
      <c r="P19" s="158" t="n">
        <f aca="false">SUMIFS('3 Base Saídas'!$R$2:$R$5000,'3 Base Saídas'!$B$2:$B$5000,$A19,'3 Base Saídas'!$C$2:$C$5000,$B19,'3 Base Saídas'!$E$2:$E$5000,"0355")</f>
        <v>95.2</v>
      </c>
      <c r="Q19" s="157" t="str">
        <f aca="false">IF(J19="Confere","—",IF(LEFT(K19,5)="Troca","Troca de lote",IF(LEFT(K19,6)="Entrou","Não localizado no estoque",IF(J19="Faltando","Falta sem explicação",IF(ISNUMBER(SEARCH("não baixaram",K19)),"Saída sem baixa no estoque",IF(LEFT(K19,10)="Quantidade","Doca/transferência pendente",IF(LEFT(K19,14)="Estoque antigo","Estoque anterior a 09/09",IF(LEFT(K19,7)="Explica","Sobra parcialmente explicada","Sobra sem explicação"))))))))</f>
        <v>Sobra parcialmente explicada</v>
      </c>
      <c r="R19" s="162" t="str">
        <f aca="false">IF(J19="Confere","—",IF(OR(LEFT(K19,6)="Entrou",AND(I19&lt;0,ABS(O19)&gt;=Parâmetros!$K$6)),"Crítica",IF(OR(AND(I19&lt;0,O19&lt;&gt;0),O19&gt;=Parâmetros!$K$7),"Alta",IF(O19&gt;0,"Média","Baixa"))))</f>
        <v>Média</v>
      </c>
      <c r="S19" s="157" t="str">
        <f aca="false">A19&amp;"|"&amp;B19</f>
        <v>811-BR-D94|251643289</v>
      </c>
      <c r="T19" s="157" t="n">
        <f aca="false">IF(ABS(O19)&gt;Parâmetros!$C$7,ABS(O19)+ROW()/10000000,0)</f>
        <v>408.8000019</v>
      </c>
      <c r="U19" s="158" t="n">
        <f aca="false">SUMIFS('3 Base Saldo Inicial 08-09'!$E$2:$E$5000,'3 Base Saldo Inicial 08-09'!$A$2:$A$5000,$A19,'3 Base Saldo Inicial 08-09'!$B$2:$B$5000,$B19)-SUMIFS('3 Base Saldo Inicial 08-09'!$E$2:$E$5000,'3 Base Saldo Inicial 08-09'!$A$2:$A$5000,$A19,'3 Base Saldo Inicial 08-09'!$B$2:$B$5000,$B19,'3 Base Saldo Inicial 08-09'!$C$2:$C$5000,"2008")</f>
        <v>0</v>
      </c>
    </row>
    <row r="20" customFormat="false" ht="15" hidden="false" customHeight="false" outlineLevel="0" collapsed="false">
      <c r="A20" s="155" t="s">
        <v>257</v>
      </c>
      <c r="B20" s="155" t="s">
        <v>258</v>
      </c>
      <c r="C20" s="156" t="s">
        <v>1152</v>
      </c>
      <c r="D20" s="157" t="s">
        <v>65</v>
      </c>
      <c r="E20" s="158" t="n">
        <f aca="false">SUMIFS('aux Conciliação Lote'!$E$5:$E$98,'aux Conciliação Lote'!$A$5:$A$98,$A20,'aux Conciliação Lote'!$B$5:$B$98,$B20)</f>
        <v>966</v>
      </c>
      <c r="F20" s="158" t="n">
        <f aca="false">SUMIFS('aux Conciliação Lote'!$F$5:$F$98,'aux Conciliação Lote'!$A$5:$A$98,$A20,'aux Conciliação Lote'!$B$5:$B$98,$B20)</f>
        <v>906</v>
      </c>
      <c r="G20" s="158" t="n">
        <f aca="false">U20+E20-F20</f>
        <v>60</v>
      </c>
      <c r="H20" s="158" t="n">
        <f aca="false">SUMIFS('aux Conciliação Lote'!$H$5:$H$98,'aux Conciliação Lote'!$A$5:$A$98,$A20,'aux Conciliação Lote'!$B$5:$B$98,$B20)</f>
        <v>3754.998</v>
      </c>
      <c r="I20" s="159" t="n">
        <f aca="false">ROUND(H20-G20,2)</f>
        <v>3695</v>
      </c>
      <c r="J20" s="160" t="str">
        <f aca="false">IF(ABS(I20)&lt;=Parâmetros!$C$7,"Confere",IF(I20&gt;0,"Sobrando","Faltando"))</f>
        <v>Sobrando</v>
      </c>
      <c r="K20" s="155" t="str">
        <f aca="false">IF(J20="Confere","Sem diferença",IF(AND(J20&lt;&gt;"Confere",SUMPRODUCT(($A$14:$A$107=$A20)*($B$14:$B$107&lt;&gt;$B20)*(ABS($I$14:$I$107+$I20)&lt;=Parâmetros!$C$7))&gt;0),"Troca de lote: a mesma quantidade aparece com sinal oposto em outro lote deste SKU",IF(AND(I20&lt;0,H20=0,F20=0),"Entrou no ZBR, mas não está no estoque físico: não chegou ou foi guardado em outro lote",IF(I20&lt;0,"Estoque físico menor que o esperado: saída, ajuste ou perda não lançada no período",IF(ABS(I20-M20)&lt;=Parâmetros!$C$7,"Estoque antigo: toda a sobra está em posições sem movimento desde antes de 09/09",IF(AND(F20&gt;0,ABS(I20-F20)&lt;=Parâmetros!$C$7),"As saídas do período não baixaram o estoque físico",IF(ABS(I20-N20)&lt;=Parâmetros!$C$7,"Quantidade parada em doca, chão ou transferência: entrega ou devolução não baixada",IF(ABS(I20-M20-N20)&lt;=Parâmetros!$C$7,"Estoque antigo + quantidade em doca/chão/transferência",IF(AND(F20&gt;0,ABS(I20-M20-N20-F20)&lt;=Parâmetros!$C$7),IF(M20+N20&gt;0,"Estoque antigo/doca + saídas do período que","Saídas do período que")&amp;" não baixaram o estoque físico",IF(AND(P20&gt;0,ABS(I20-M20-N20-P20)&lt;=Parâmetros!$C$7),IF(M20+N20&gt;0,"Estoque antigo/doca + saídas","Saídas")&amp;" pelo depósito 0355 que não baixaram o estoque físico",IF(M20+N20&gt;0,"Explica em parte: estoque antigo "&amp;FIXED(M20,1)&amp;" + doca/transferência "&amp;FIXED(N20,1)&amp;"; faltam "&amp;FIXED(I20-M20-N20,1)&amp;" a explicar",IF(F20&gt;E20+U20,"Saiu mais do que entrou: havia estoque antes de 09/09 que não está no arquivo","Estoque acima do esperado: entrada não lançada ou saldo anterior ao período"))))))))))))</f>
        <v>Explica em parte: estoque antigo 1,343.0 + doca/transferência 204.0; faltam 2,148.0 a explicar</v>
      </c>
      <c r="L20" s="156" t="str">
        <f aca="false">IF(J20="Confere","Nenhum ajuste necessário",IF(LEFT(K20,5)="Troca","Transferir "&amp;FIXED(ABS(I20),1)&amp;" "&amp;D20&amp;" entre os lotes deste SKU (transferência lote a lote, mov. 309) para corrigir o lote",IF(LEFT(K20,6)="Entrou","Procurar a OT de armazenagem pendente no ZBR. Se não achar: contar e lançar ajuste de inventário de −"&amp;FIXED(ABS(I20),1)&amp;" "&amp;D20,IF(J20="Faltando","Contar o lote. Se a falta se confirmar: lançar a saída esquecida (601) ou ajuste de inventário de −"&amp;FIXED(ABS(I20),1)&amp;" "&amp;D20,IF(LEFT(K20,15)="Estoque antigo:","Confirmar no SAP o saldo de 08/09 ("&amp;FIXED(ABS(M20),1)&amp;" "&amp;D20&amp;"). Se estiver certo, não há ajuste",IF(LEFT(K20,10)="Quantidade","Confirmar ou estornar as OTs em doca/transferência ("&amp;FIXED(ABS(N20),1)&amp;" "&amp;D20&amp;"): guardar na posição ou baixar a entrega",IF(LEFT(K20,16)="Estoque antigo +","Confirmar saldo de 08/09 ("&amp;FIXED(ABS(M20),1)&amp;" "&amp;D20&amp;") e tratar as OTs em doca/transferência ("&amp;FIXED(ABS(N20),1)&amp;" "&amp;D20&amp;")",IF(ISNUMBER(SEARCH("não baixaram",K20)),"Confirmar a OT de saída (picking) das remessas para baixar "&amp;FIXED(ABS(I20-M20-N20),1)&amp;" "&amp;D20&amp;" do estoque físico"&amp;IF(M20+N20&gt;0,"; conferir também estoque antigo/doca",""),IF(LEFT(K20,7)="Explica","Confirmar saldo de 08/09 e OTs de doca; contar o lote para os "&amp;FIXED(ABS(I20-M20-N20),1)&amp;" "&amp;D20&amp;" restantes e ajustar a sobra se confirmada","Confirmar saldo de 08/09; se não existir, contar o lote e lançar ajuste de inventário de +"&amp;FIXED(ABS(I20),1)&amp;" "&amp;D20)))))))))</f>
        <v>Confirmar saldo de 08/09 e OTs de doca; contar o lote para os 2,148.0 KG restantes e ajustar a sobra se confirmada</v>
      </c>
      <c r="M20" s="158" t="n">
        <f aca="false">MAX(0,SUMIFS('3 Base Estoque Físico'!$J$2:$J$5000,'3 Base Estoque Físico'!$A$2:$A$5000,$A20,'3 Base Estoque Físico'!$B$2:$B$5000,$B20,'3 Base Estoque Físico'!$I$2:$I$5000,"&lt;"&amp;DATE(2026,9,9))-U20)</f>
        <v>1342.998</v>
      </c>
      <c r="N20" s="158" t="n">
        <f aca="false">SUMPRODUCT(('3 Base Estoque Físico'!$A$2:$A$5000=$A20)*('3 Base Estoque Físico'!$B$2:$B$5000=$B20)*('3 Base Estoque Físico'!$I$2:$I$5000&gt;=DATE(2026,9,9))*ISNUMBER(MATCH('3 Base Estoque Físico'!$C$2:$C$5000,{"DCK","TRF","922","FLR","DIF"},0))*'3 Base Estoque Físico'!$J$2:$J$5000)</f>
        <v>204</v>
      </c>
      <c r="O20" s="161" t="n">
        <f aca="false">IF(OR(J20="Confere",LEFT(K20,5)="Troca",ISNUMBER(SEARCH("não baixaram",K20))),0,IF(I20&gt;0,MAX(0,ROUND(I20-M20-N20,2)),I20))</f>
        <v>2148</v>
      </c>
      <c r="P20" s="158" t="n">
        <f aca="false">SUMIFS('3 Base Saídas'!$R$2:$R$5000,'3 Base Saídas'!$B$2:$B$5000,$A20,'3 Base Saídas'!$C$2:$C$5000,$B20,'3 Base Saídas'!$E$2:$E$5000,"0355")</f>
        <v>48</v>
      </c>
      <c r="Q20" s="157" t="str">
        <f aca="false">IF(J20="Confere","—",IF(LEFT(K20,5)="Troca","Troca de lote",IF(LEFT(K20,6)="Entrou","Não localizado no estoque",IF(J20="Faltando","Falta sem explicação",IF(ISNUMBER(SEARCH("não baixaram",K20)),"Saída sem baixa no estoque",IF(LEFT(K20,10)="Quantidade","Doca/transferência pendente",IF(LEFT(K20,14)="Estoque antigo","Estoque anterior a 09/09",IF(LEFT(K20,7)="Explica","Sobra parcialmente explicada","Sobra sem explicação"))))))))</f>
        <v>Sobra parcialmente explicada</v>
      </c>
      <c r="R20" s="162" t="str">
        <f aca="false">IF(J20="Confere","—",IF(OR(LEFT(K20,6)="Entrou",AND(I20&lt;0,ABS(O20)&gt;=Parâmetros!$K$6)),"Crítica",IF(OR(AND(I20&lt;0,O20&lt;&gt;0),O20&gt;=Parâmetros!$K$7),"Alta",IF(O20&gt;0,"Média","Baixa"))))</f>
        <v>Alta</v>
      </c>
      <c r="S20" s="157" t="str">
        <f aca="false">A20&amp;"|"&amp;B20</f>
        <v>CHM-SP-Z3L-BR-U73|251880301</v>
      </c>
      <c r="T20" s="157" t="n">
        <f aca="false">IF(ABS(O20)&gt;Parâmetros!$C$7,ABS(O20)+ROW()/10000000,0)</f>
        <v>2148.000002</v>
      </c>
      <c r="U20" s="158" t="n">
        <f aca="false">SUMIFS('3 Base Saldo Inicial 08-09'!$E$2:$E$5000,'3 Base Saldo Inicial 08-09'!$A$2:$A$5000,$A20,'3 Base Saldo Inicial 08-09'!$B$2:$B$5000,$B20)-SUMIFS('3 Base Saldo Inicial 08-09'!$E$2:$E$5000,'3 Base Saldo Inicial 08-09'!$A$2:$A$5000,$A20,'3 Base Saldo Inicial 08-09'!$B$2:$B$5000,$B20,'3 Base Saldo Inicial 08-09'!$C$2:$C$5000,"2008")</f>
        <v>0</v>
      </c>
    </row>
    <row r="21" customFormat="false" ht="15" hidden="false" customHeight="false" outlineLevel="0" collapsed="false">
      <c r="A21" s="155" t="s">
        <v>245</v>
      </c>
      <c r="B21" s="155" t="s">
        <v>246</v>
      </c>
      <c r="C21" s="156" t="s">
        <v>1063</v>
      </c>
      <c r="D21" s="157" t="s">
        <v>65</v>
      </c>
      <c r="E21" s="158" t="n">
        <f aca="false">SUMIFS('aux Conciliação Lote'!$E$5:$E$98,'aux Conciliação Lote'!$A$5:$A$98,$A21,'aux Conciliação Lote'!$B$5:$B$98,$B21)</f>
        <v>240</v>
      </c>
      <c r="F21" s="158" t="n">
        <f aca="false">SUMIFS('aux Conciliação Lote'!$F$5:$F$98,'aux Conciliação Lote'!$A$5:$A$98,$A21,'aux Conciliação Lote'!$B$5:$B$98,$B21)</f>
        <v>6</v>
      </c>
      <c r="G21" s="158" t="n">
        <f aca="false">U21+E21-F21</f>
        <v>234</v>
      </c>
      <c r="H21" s="158" t="n">
        <f aca="false">SUMIFS('aux Conciliação Lote'!$H$5:$H$98,'aux Conciliação Lote'!$A$5:$A$98,$A21,'aux Conciliação Lote'!$B$5:$B$98,$B21)</f>
        <v>3432</v>
      </c>
      <c r="I21" s="159" t="n">
        <f aca="false">ROUND(H21-G21,2)</f>
        <v>3198</v>
      </c>
      <c r="J21" s="160" t="str">
        <f aca="false">IF(ABS(I21)&lt;=Parâmetros!$C$7,"Confere",IF(I21&gt;0,"Sobrando","Faltando"))</f>
        <v>Sobrando</v>
      </c>
      <c r="K21" s="155" t="str">
        <f aca="false">IF(J21="Confere","Sem diferença",IF(AND(J21&lt;&gt;"Confere",SUMPRODUCT(($A$14:$A$107=$A21)*($B$14:$B$107&lt;&gt;$B21)*(ABS($I$14:$I$107+$I21)&lt;=Parâmetros!$C$7))&gt;0),"Troca de lote: a mesma quantidade aparece com sinal oposto em outro lote deste SKU",IF(AND(I21&lt;0,H21=0,F21=0),"Entrou no ZBR, mas não está no estoque físico: não chegou ou foi guardado em outro lote",IF(I21&lt;0,"Estoque físico menor que o esperado: saída, ajuste ou perda não lançada no período",IF(ABS(I21-M21)&lt;=Parâmetros!$C$7,"Estoque antigo: toda a sobra está em posições sem movimento desde antes de 09/09",IF(AND(F21&gt;0,ABS(I21-F21)&lt;=Parâmetros!$C$7),"As saídas do período não baixaram o estoque físico",IF(ABS(I21-N21)&lt;=Parâmetros!$C$7,"Quantidade parada em doca, chão ou transferência: entrega ou devolução não baixada",IF(ABS(I21-M21-N21)&lt;=Parâmetros!$C$7,"Estoque antigo + quantidade em doca/chão/transferência",IF(AND(F21&gt;0,ABS(I21-M21-N21-F21)&lt;=Parâmetros!$C$7),IF(M21+N21&gt;0,"Estoque antigo/doca + saídas do período que","Saídas do período que")&amp;" não baixaram o estoque físico",IF(AND(P21&gt;0,ABS(I21-M21-N21-P21)&lt;=Parâmetros!$C$7),IF(M21+N21&gt;0,"Estoque antigo/doca + saídas","Saídas")&amp;" pelo depósito 0355 que não baixaram o estoque físico",IF(M21+N21&gt;0,"Explica em parte: estoque antigo "&amp;FIXED(M21,1)&amp;" + doca/transferência "&amp;FIXED(N21,1)&amp;"; faltam "&amp;FIXED(I21-M21-N21,1)&amp;" a explicar",IF(F21&gt;E21+U21,"Saiu mais do que entrou: havia estoque antes de 09/09 que não está no arquivo","Estoque acima do esperado: entrada não lançada ou saldo anterior ao período"))))))))))))</f>
        <v>Explica em parte: estoque antigo 2,898.0 + doca/transferência 0.0; faltam 300.0 a explicar</v>
      </c>
      <c r="L21" s="156" t="str">
        <f aca="false">IF(J21="Confere","Nenhum ajuste necessário",IF(LEFT(K21,5)="Troca","Transferir "&amp;FIXED(ABS(I21),1)&amp;" "&amp;D21&amp;" entre os lotes deste SKU (transferência lote a lote, mov. 309) para corrigir o lote",IF(LEFT(K21,6)="Entrou","Procurar a OT de armazenagem pendente no ZBR. Se não achar: contar e lançar ajuste de inventário de −"&amp;FIXED(ABS(I21),1)&amp;" "&amp;D21,IF(J21="Faltando","Contar o lote. Se a falta se confirmar: lançar a saída esquecida (601) ou ajuste de inventário de −"&amp;FIXED(ABS(I21),1)&amp;" "&amp;D21,IF(LEFT(K21,15)="Estoque antigo:","Confirmar no SAP o saldo de 08/09 ("&amp;FIXED(ABS(M21),1)&amp;" "&amp;D21&amp;"). Se estiver certo, não há ajuste",IF(LEFT(K21,10)="Quantidade","Confirmar ou estornar as OTs em doca/transferência ("&amp;FIXED(ABS(N21),1)&amp;" "&amp;D21&amp;"): guardar na posição ou baixar a entrega",IF(LEFT(K21,16)="Estoque antigo +","Confirmar saldo de 08/09 ("&amp;FIXED(ABS(M21),1)&amp;" "&amp;D21&amp;") e tratar as OTs em doca/transferência ("&amp;FIXED(ABS(N21),1)&amp;" "&amp;D21&amp;")",IF(ISNUMBER(SEARCH("não baixaram",K21)),"Confirmar a OT de saída (picking) das remessas para baixar "&amp;FIXED(ABS(I21-M21-N21),1)&amp;" "&amp;D21&amp;" do estoque físico"&amp;IF(M21+N21&gt;0,"; conferir também estoque antigo/doca",""),IF(LEFT(K21,7)="Explica","Confirmar saldo de 08/09 e OTs de doca; contar o lote para os "&amp;FIXED(ABS(I21-M21-N21),1)&amp;" "&amp;D21&amp;" restantes e ajustar a sobra se confirmada","Confirmar saldo de 08/09; se não existir, contar o lote e lançar ajuste de inventário de +"&amp;FIXED(ABS(I21),1)&amp;" "&amp;D21)))))))))</f>
        <v>Confirmar saldo de 08/09 e OTs de doca; contar o lote para os 300.0 KG restantes e ajustar a sobra se confirmada</v>
      </c>
      <c r="M21" s="158" t="n">
        <f aca="false">MAX(0,SUMIFS('3 Base Estoque Físico'!$J$2:$J$5000,'3 Base Estoque Físico'!$A$2:$A$5000,$A21,'3 Base Estoque Físico'!$B$2:$B$5000,$B21,'3 Base Estoque Físico'!$I$2:$I$5000,"&lt;"&amp;DATE(2026,9,9))-U21)</f>
        <v>2898</v>
      </c>
      <c r="N21" s="158" t="n">
        <f aca="false">SUMPRODUCT(('3 Base Estoque Físico'!$A$2:$A$5000=$A21)*('3 Base Estoque Físico'!$B$2:$B$5000=$B21)*('3 Base Estoque Físico'!$I$2:$I$5000&gt;=DATE(2026,9,9))*ISNUMBER(MATCH('3 Base Estoque Físico'!$C$2:$C$5000,{"DCK","TRF","922","FLR","DIF"},0))*'3 Base Estoque Físico'!$J$2:$J$5000)</f>
        <v>0</v>
      </c>
      <c r="O21" s="161" t="n">
        <f aca="false">IF(OR(J21="Confere",LEFT(K21,5)="Troca",ISNUMBER(SEARCH("não baixaram",K21))),0,IF(I21&gt;0,MAX(0,ROUND(I21-M21-N21,2)),I21))</f>
        <v>300</v>
      </c>
      <c r="P21" s="158" t="n">
        <f aca="false">SUMIFS('3 Base Saídas'!$R$2:$R$5000,'3 Base Saídas'!$B$2:$B$5000,$A21,'3 Base Saídas'!$C$2:$C$5000,$B21,'3 Base Saídas'!$E$2:$E$5000,"0355")</f>
        <v>0</v>
      </c>
      <c r="Q21" s="157" t="str">
        <f aca="false">IF(J21="Confere","—",IF(LEFT(K21,5)="Troca","Troca de lote",IF(LEFT(K21,6)="Entrou","Não localizado no estoque",IF(J21="Faltando","Falta sem explicação",IF(ISNUMBER(SEARCH("não baixaram",K21)),"Saída sem baixa no estoque",IF(LEFT(K21,10)="Quantidade","Doca/transferência pendente",IF(LEFT(K21,14)="Estoque antigo","Estoque anterior a 09/09",IF(LEFT(K21,7)="Explica","Sobra parcialmente explicada","Sobra sem explicação"))))))))</f>
        <v>Sobra parcialmente explicada</v>
      </c>
      <c r="R21" s="162" t="str">
        <f aca="false">IF(J21="Confere","—",IF(OR(LEFT(K21,6)="Entrou",AND(I21&lt;0,ABS(O21)&gt;=Parâmetros!$K$6)),"Crítica",IF(OR(AND(I21&lt;0,O21&lt;&gt;0),O21&gt;=Parâmetros!$K$7),"Alta",IF(O21&gt;0,"Média","Baixa"))))</f>
        <v>Média</v>
      </c>
      <c r="S21" s="157" t="str">
        <f aca="false">A21&amp;"|"&amp;B21</f>
        <v>CHD-SP-9Z4-BR-U73|250500301</v>
      </c>
      <c r="T21" s="157" t="n">
        <f aca="false">IF(ABS(O21)&gt;Parâmetros!$C$7,ABS(O21)+ROW()/10000000,0)</f>
        <v>300.0000021</v>
      </c>
      <c r="U21" s="158" t="n">
        <f aca="false">SUMIFS('3 Base Saldo Inicial 08-09'!$E$2:$E$5000,'3 Base Saldo Inicial 08-09'!$A$2:$A$5000,$A21,'3 Base Saldo Inicial 08-09'!$B$2:$B$5000,$B21)-SUMIFS('3 Base Saldo Inicial 08-09'!$E$2:$E$5000,'3 Base Saldo Inicial 08-09'!$A$2:$A$5000,$A21,'3 Base Saldo Inicial 08-09'!$B$2:$B$5000,$B21,'3 Base Saldo Inicial 08-09'!$C$2:$C$5000,"2008")</f>
        <v>0</v>
      </c>
    </row>
    <row r="22" customFormat="false" ht="15" hidden="false" customHeight="false" outlineLevel="0" collapsed="false">
      <c r="A22" s="155" t="s">
        <v>322</v>
      </c>
      <c r="B22" s="155" t="s">
        <v>323</v>
      </c>
      <c r="C22" s="156" t="s">
        <v>522</v>
      </c>
      <c r="D22" s="157" t="s">
        <v>65</v>
      </c>
      <c r="E22" s="158" t="n">
        <f aca="false">SUMIFS('aux Conciliação Lote'!$E$5:$E$98,'aux Conciliação Lote'!$A$5:$A$98,$A22,'aux Conciliação Lote'!$B$5:$B$98,$B22)</f>
        <v>2.8</v>
      </c>
      <c r="F22" s="158" t="n">
        <f aca="false">SUMIFS('aux Conciliação Lote'!$F$5:$F$98,'aux Conciliação Lote'!$A$5:$A$98,$A22,'aux Conciliação Lote'!$B$5:$B$98,$B22)</f>
        <v>677.6</v>
      </c>
      <c r="G22" s="158" t="n">
        <f aca="false">U22+E22-F22</f>
        <v>-674.8</v>
      </c>
      <c r="H22" s="158" t="n">
        <f aca="false">SUMIFS('aux Conciliação Lote'!$H$5:$H$98,'aux Conciliação Lote'!$A$5:$A$98,$A22,'aux Conciliação Lote'!$B$5:$B$98,$B22)</f>
        <v>1853.6</v>
      </c>
      <c r="I22" s="159" t="n">
        <f aca="false">ROUND(H22-G22,2)</f>
        <v>2528.4</v>
      </c>
      <c r="J22" s="160" t="str">
        <f aca="false">IF(ABS(I22)&lt;=Parâmetros!$C$7,"Confere",IF(I22&gt;0,"Sobrando","Faltando"))</f>
        <v>Sobrando</v>
      </c>
      <c r="K22" s="155" t="str">
        <f aca="false">IF(J22="Confere","Sem diferença",IF(AND(J22&lt;&gt;"Confere",SUMPRODUCT(($A$14:$A$107=$A22)*($B$14:$B$107&lt;&gt;$B22)*(ABS($I$14:$I$107+$I22)&lt;=Parâmetros!$C$7))&gt;0),"Troca de lote: a mesma quantidade aparece com sinal oposto em outro lote deste SKU",IF(AND(I22&lt;0,H22=0,F22=0),"Entrou no ZBR, mas não está no estoque físico: não chegou ou foi guardado em outro lote",IF(I22&lt;0,"Estoque físico menor que o esperado: saída, ajuste ou perda não lançada no período",IF(ABS(I22-M22)&lt;=Parâmetros!$C$7,"Estoque antigo: toda a sobra está em posições sem movimento desde antes de 09/09",IF(AND(F22&gt;0,ABS(I22-F22)&lt;=Parâmetros!$C$7),"As saídas do período não baixaram o estoque físico",IF(ABS(I22-N22)&lt;=Parâmetros!$C$7,"Quantidade parada em doca, chão ou transferência: entrega ou devolução não baixada",IF(ABS(I22-M22-N22)&lt;=Parâmetros!$C$7,"Estoque antigo + quantidade em doca/chão/transferência",IF(AND(F22&gt;0,ABS(I22-M22-N22-F22)&lt;=Parâmetros!$C$7),IF(M22+N22&gt;0,"Estoque antigo/doca + saídas do período que","Saídas do período que")&amp;" não baixaram o estoque físico",IF(AND(P22&gt;0,ABS(I22-M22-N22-P22)&lt;=Parâmetros!$C$7),IF(M22+N22&gt;0,"Estoque antigo/doca + saídas","Saídas")&amp;" pelo depósito 0355 que não baixaram o estoque físico",IF(M22+N22&gt;0,"Explica em parte: estoque antigo "&amp;FIXED(M22,1)&amp;" + doca/transferência "&amp;FIXED(N22,1)&amp;"; faltam "&amp;FIXED(I22-M22-N22,1)&amp;" a explicar",IF(F22&gt;E22+U22,"Saiu mais do que entrou: havia estoque antes de 09/09 que não está no arquivo","Estoque acima do esperado: entrada não lançada ou saldo anterior ao período"))))))))))))</f>
        <v>Explica em parte: estoque antigo 1,254.4 + doca/transferência 14.0; faltam 1,260.0 a explicar</v>
      </c>
      <c r="L22" s="156" t="str">
        <f aca="false">IF(J22="Confere","Nenhum ajuste necessário",IF(LEFT(K22,5)="Troca","Transferir "&amp;FIXED(ABS(I22),1)&amp;" "&amp;D22&amp;" entre os lotes deste SKU (transferência lote a lote, mov. 309) para corrigir o lote",IF(LEFT(K22,6)="Entrou","Procurar a OT de armazenagem pendente no ZBR. Se não achar: contar e lançar ajuste de inventário de −"&amp;FIXED(ABS(I22),1)&amp;" "&amp;D22,IF(J22="Faltando","Contar o lote. Se a falta se confirmar: lançar a saída esquecida (601) ou ajuste de inventário de −"&amp;FIXED(ABS(I22),1)&amp;" "&amp;D22,IF(LEFT(K22,15)="Estoque antigo:","Confirmar no SAP o saldo de 08/09 ("&amp;FIXED(ABS(M22),1)&amp;" "&amp;D22&amp;"). Se estiver certo, não há ajuste",IF(LEFT(K22,10)="Quantidade","Confirmar ou estornar as OTs em doca/transferência ("&amp;FIXED(ABS(N22),1)&amp;" "&amp;D22&amp;"): guardar na posição ou baixar a entrega",IF(LEFT(K22,16)="Estoque antigo +","Confirmar saldo de 08/09 ("&amp;FIXED(ABS(M22),1)&amp;" "&amp;D22&amp;") e tratar as OTs em doca/transferência ("&amp;FIXED(ABS(N22),1)&amp;" "&amp;D22&amp;")",IF(ISNUMBER(SEARCH("não baixaram",K22)),"Confirmar a OT de saída (picking) das remessas para baixar "&amp;FIXED(ABS(I22-M22-N22),1)&amp;" "&amp;D22&amp;" do estoque físico"&amp;IF(M22+N22&gt;0,"; conferir também estoque antigo/doca",""),IF(LEFT(K22,7)="Explica","Confirmar saldo de 08/09 e OTs de doca; contar o lote para os "&amp;FIXED(ABS(I22-M22-N22),1)&amp;" "&amp;D22&amp;" restantes e ajustar a sobra se confirmada","Confirmar saldo de 08/09; se não existir, contar o lote e lançar ajuste de inventário de +"&amp;FIXED(ABS(I22),1)&amp;" "&amp;D22)))))))))</f>
        <v>Confirmar saldo de 08/09 e OTs de doca; contar o lote para os 1,260.0 KG restantes e ajustar a sobra se confirmada</v>
      </c>
      <c r="M22" s="158" t="n">
        <f aca="false">MAX(0,SUMIFS('3 Base Estoque Físico'!$J$2:$J$5000,'3 Base Estoque Físico'!$A$2:$A$5000,$A22,'3 Base Estoque Físico'!$B$2:$B$5000,$B22,'3 Base Estoque Físico'!$I$2:$I$5000,"&lt;"&amp;DATE(2026,9,9))-U22)</f>
        <v>1254.4</v>
      </c>
      <c r="N22" s="158" t="n">
        <f aca="false">SUMPRODUCT(('3 Base Estoque Físico'!$A$2:$A$5000=$A22)*('3 Base Estoque Físico'!$B$2:$B$5000=$B22)*('3 Base Estoque Físico'!$I$2:$I$5000&gt;=DATE(2026,9,9))*ISNUMBER(MATCH('3 Base Estoque Físico'!$C$2:$C$5000,{"DCK","TRF","922","FLR","DIF"},0))*'3 Base Estoque Físico'!$J$2:$J$5000)</f>
        <v>14</v>
      </c>
      <c r="O22" s="161" t="n">
        <f aca="false">IF(OR(J22="Confere",LEFT(K22,5)="Troca",ISNUMBER(SEARCH("não baixaram",K22))),0,IF(I22&gt;0,MAX(0,ROUND(I22-M22-N22,2)),I22))</f>
        <v>1260</v>
      </c>
      <c r="P22" s="158" t="n">
        <f aca="false">SUMIFS('3 Base Saídas'!$R$2:$R$5000,'3 Base Saídas'!$B$2:$B$5000,$A22,'3 Base Saídas'!$C$2:$C$5000,$B22,'3 Base Saídas'!$E$2:$E$5000,"0355")</f>
        <v>14</v>
      </c>
      <c r="Q22" s="157" t="str">
        <f aca="false">IF(J22="Confere","—",IF(LEFT(K22,5)="Troca","Troca de lote",IF(LEFT(K22,6)="Entrou","Não localizado no estoque",IF(J22="Faltando","Falta sem explicação",IF(ISNUMBER(SEARCH("não baixaram",K22)),"Saída sem baixa no estoque",IF(LEFT(K22,10)="Quantidade","Doca/transferência pendente",IF(LEFT(K22,14)="Estoque antigo","Estoque anterior a 09/09",IF(LEFT(K22,7)="Explica","Sobra parcialmente explicada","Sobra sem explicação"))))))))</f>
        <v>Sobra parcialmente explicada</v>
      </c>
      <c r="R22" s="162" t="str">
        <f aca="false">IF(J22="Confere","—",IF(OR(LEFT(K22,6)="Entrou",AND(I22&lt;0,ABS(O22)&gt;=Parâmetros!$K$6)),"Crítica",IF(OR(AND(I22&lt;0,O22&lt;&gt;0),O22&gt;=Parâmetros!$K$7),"Alta",IF(O22&gt;0,"Média","Baixa"))))</f>
        <v>Alta</v>
      </c>
      <c r="S22" s="157" t="str">
        <f aca="false">A22&amp;"|"&amp;B22</f>
        <v>823-BR-D94|252103049</v>
      </c>
      <c r="T22" s="157" t="n">
        <f aca="false">IF(ABS(O22)&gt;Parâmetros!$C$7,ABS(O22)+ROW()/10000000,0)</f>
        <v>1260.0000022</v>
      </c>
      <c r="U22" s="158" t="n">
        <f aca="false">SUMIFS('3 Base Saldo Inicial 08-09'!$E$2:$E$5000,'3 Base Saldo Inicial 08-09'!$A$2:$A$5000,$A22,'3 Base Saldo Inicial 08-09'!$B$2:$B$5000,$B22)-SUMIFS('3 Base Saldo Inicial 08-09'!$E$2:$E$5000,'3 Base Saldo Inicial 08-09'!$A$2:$A$5000,$A22,'3 Base Saldo Inicial 08-09'!$B$2:$B$5000,$B22,'3 Base Saldo Inicial 08-09'!$C$2:$C$5000,"2008")</f>
        <v>0</v>
      </c>
    </row>
    <row r="23" customFormat="false" ht="15" hidden="false" customHeight="false" outlineLevel="0" collapsed="false">
      <c r="A23" s="155" t="s">
        <v>201</v>
      </c>
      <c r="B23" s="155" t="s">
        <v>202</v>
      </c>
      <c r="C23" s="156" t="s">
        <v>522</v>
      </c>
      <c r="D23" s="157" t="s">
        <v>65</v>
      </c>
      <c r="E23" s="158" t="n">
        <f aca="false">SUMIFS('aux Conciliação Lote'!$E$5:$E$98,'aux Conciliação Lote'!$A$5:$A$98,$A23,'aux Conciliação Lote'!$B$5:$B$98,$B23)</f>
        <v>313.6</v>
      </c>
      <c r="F23" s="158" t="n">
        <f aca="false">SUMIFS('aux Conciliação Lote'!$F$5:$F$98,'aux Conciliação Lote'!$A$5:$A$98,$A23,'aux Conciliação Lote'!$B$5:$B$98,$B23)</f>
        <v>221.2</v>
      </c>
      <c r="G23" s="158" t="n">
        <f aca="false">U23+E23-F23</f>
        <v>92.4</v>
      </c>
      <c r="H23" s="158" t="n">
        <f aca="false">SUMIFS('aux Conciliação Lote'!$H$5:$H$98,'aux Conciliação Lote'!$A$5:$A$98,$A23,'aux Conciliação Lote'!$B$5:$B$98,$B23)</f>
        <v>1360.8</v>
      </c>
      <c r="I23" s="159" t="n">
        <f aca="false">ROUND(H23-G23,2)</f>
        <v>1268.4</v>
      </c>
      <c r="J23" s="160" t="str">
        <f aca="false">IF(ABS(I23)&lt;=Parâmetros!$C$7,"Confere",IF(I23&gt;0,"Sobrando","Faltando"))</f>
        <v>Sobrando</v>
      </c>
      <c r="K23" s="155" t="str">
        <f aca="false">IF(J23="Confere","Sem diferença",IF(AND(J23&lt;&gt;"Confere",SUMPRODUCT(($A$14:$A$107=$A23)*($B$14:$B$107&lt;&gt;$B23)*(ABS($I$14:$I$107+$I23)&lt;=Parâmetros!$C$7))&gt;0),"Troca de lote: a mesma quantidade aparece com sinal oposto em outro lote deste SKU",IF(AND(I23&lt;0,H23=0,F23=0),"Entrou no ZBR, mas não está no estoque físico: não chegou ou foi guardado em outro lote",IF(I23&lt;0,"Estoque físico menor que o esperado: saída, ajuste ou perda não lançada no período",IF(ABS(I23-M23)&lt;=Parâmetros!$C$7,"Estoque antigo: toda a sobra está em posições sem movimento desde antes de 09/09",IF(AND(F23&gt;0,ABS(I23-F23)&lt;=Parâmetros!$C$7),"As saídas do período não baixaram o estoque físico",IF(ABS(I23-N23)&lt;=Parâmetros!$C$7,"Quantidade parada em doca, chão ou transferência: entrega ou devolução não baixada",IF(ABS(I23-M23-N23)&lt;=Parâmetros!$C$7,"Estoque antigo + quantidade em doca/chão/transferência",IF(AND(F23&gt;0,ABS(I23-M23-N23-F23)&lt;=Parâmetros!$C$7),IF(M23+N23&gt;0,"Estoque antigo/doca + saídas do período que","Saídas do período que")&amp;" não baixaram o estoque físico",IF(AND(P23&gt;0,ABS(I23-M23-N23-P23)&lt;=Parâmetros!$C$7),IF(M23+N23&gt;0,"Estoque antigo/doca + saídas","Saídas")&amp;" pelo depósito 0355 que não baixaram o estoque físico",IF(M23+N23&gt;0,"Explica em parte: estoque antigo "&amp;FIXED(M23,1)&amp;" + doca/transferência "&amp;FIXED(N23,1)&amp;"; faltam "&amp;FIXED(I23-M23-N23,1)&amp;" a explicar",IF(F23&gt;E23+U23,"Saiu mais do que entrou: havia estoque antes de 09/09 que não está no arquivo","Estoque acima do esperado: entrada não lançada ou saldo anterior ao período"))))))))))))</f>
        <v>Estoque antigo/doca + saídas do período que não baixaram o estoque físico</v>
      </c>
      <c r="L23" s="156" t="str">
        <f aca="false">IF(J23="Confere","Nenhum ajuste necessário",IF(LEFT(K23,5)="Troca","Transferir "&amp;FIXED(ABS(I23),1)&amp;" "&amp;D23&amp;" entre os lotes deste SKU (transferência lote a lote, mov. 309) para corrigir o lote",IF(LEFT(K23,6)="Entrou","Procurar a OT de armazenagem pendente no ZBR. Se não achar: contar e lançar ajuste de inventário de −"&amp;FIXED(ABS(I23),1)&amp;" "&amp;D23,IF(J23="Faltando","Contar o lote. Se a falta se confirmar: lançar a saída esquecida (601) ou ajuste de inventário de −"&amp;FIXED(ABS(I23),1)&amp;" "&amp;D23,IF(LEFT(K23,15)="Estoque antigo:","Confirmar no SAP o saldo de 08/09 ("&amp;FIXED(ABS(M23),1)&amp;" "&amp;D23&amp;"). Se estiver certo, não há ajuste",IF(LEFT(K23,10)="Quantidade","Confirmar ou estornar as OTs em doca/transferência ("&amp;FIXED(ABS(N23),1)&amp;" "&amp;D23&amp;"): guardar na posição ou baixar a entrega",IF(LEFT(K23,16)="Estoque antigo +","Confirmar saldo de 08/09 ("&amp;FIXED(ABS(M23),1)&amp;" "&amp;D23&amp;") e tratar as OTs em doca/transferência ("&amp;FIXED(ABS(N23),1)&amp;" "&amp;D23&amp;")",IF(ISNUMBER(SEARCH("não baixaram",K23)),"Confirmar a OT de saída (picking) das remessas para baixar "&amp;FIXED(ABS(I23-M23-N23),1)&amp;" "&amp;D23&amp;" do estoque físico"&amp;IF(M23+N23&gt;0,"; conferir também estoque antigo/doca",""),IF(LEFT(K23,7)="Explica","Confirmar saldo de 08/09 e OTs de doca; contar o lote para os "&amp;FIXED(ABS(I23-M23-N23),1)&amp;" "&amp;D23&amp;" restantes e ajustar a sobra se confirmada","Confirmar saldo de 08/09; se não existir, contar o lote e lançar ajuste de inventário de +"&amp;FIXED(ABS(I23),1)&amp;" "&amp;D23)))))))))</f>
        <v>Confirmar a OT de saída (picking) das remessas para baixar 221.2 KG do estoque físico; conferir também estoque antigo/doca</v>
      </c>
      <c r="M23" s="158" t="n">
        <f aca="false">MAX(0,SUMIFS('3 Base Estoque Físico'!$J$2:$J$5000,'3 Base Estoque Físico'!$A$2:$A$5000,$A23,'3 Base Estoque Físico'!$B$2:$B$5000,$B23,'3 Base Estoque Físico'!$I$2:$I$5000,"&lt;"&amp;DATE(2026,9,9))-U23)</f>
        <v>1044.4</v>
      </c>
      <c r="N23" s="158" t="n">
        <f aca="false">SUMPRODUCT(('3 Base Estoque Físico'!$A$2:$A$5000=$A23)*('3 Base Estoque Físico'!$B$2:$B$5000=$B23)*('3 Base Estoque Físico'!$I$2:$I$5000&gt;=DATE(2026,9,9))*ISNUMBER(MATCH('3 Base Estoque Físico'!$C$2:$C$5000,{"DCK","TRF","922","FLR","DIF"},0))*'3 Base Estoque Físico'!$J$2:$J$5000)</f>
        <v>2.8</v>
      </c>
      <c r="O23" s="161" t="n">
        <f aca="false">IF(OR(J23="Confere",LEFT(K23,5)="Troca",ISNUMBER(SEARCH("não baixaram",K23))),0,IF(I23&gt;0,MAX(0,ROUND(I23-M23-N23,2)),I23))</f>
        <v>0</v>
      </c>
      <c r="P23" s="158" t="n">
        <f aca="false">SUMIFS('3 Base Saídas'!$R$2:$R$5000,'3 Base Saídas'!$B$2:$B$5000,$A23,'3 Base Saídas'!$C$2:$C$5000,$B23,'3 Base Saídas'!$E$2:$E$5000,"0355")</f>
        <v>0</v>
      </c>
      <c r="Q23" s="157" t="str">
        <f aca="false">IF(J23="Confere","—",IF(LEFT(K23,5)="Troca","Troca de lote",IF(LEFT(K23,6)="Entrou","Não localizado no estoque",IF(J23="Faltando","Falta sem explicação",IF(ISNUMBER(SEARCH("não baixaram",K23)),"Saída sem baixa no estoque",IF(LEFT(K23,10)="Quantidade","Doca/transferência pendente",IF(LEFT(K23,14)="Estoque antigo","Estoque anterior a 09/09",IF(LEFT(K23,7)="Explica","Sobra parcialmente explicada","Sobra sem explicação"))))))))</f>
        <v>Saída sem baixa no estoque</v>
      </c>
      <c r="R23" s="162" t="str">
        <f aca="false">IF(J23="Confere","—",IF(OR(LEFT(K23,6)="Entrou",AND(I23&lt;0,ABS(O23)&gt;=Parâmetros!$K$6)),"Crítica",IF(OR(AND(I23&lt;0,O23&lt;&gt;0),O23&gt;=Parâmetros!$K$7),"Alta",IF(O23&gt;0,"Média","Baixa"))))</f>
        <v>Baixa</v>
      </c>
      <c r="S23" s="157" t="str">
        <f aca="false">A23&amp;"|"&amp;B23</f>
        <v>805-BR-D94|251633359</v>
      </c>
      <c r="T23" s="157" t="n">
        <f aca="false">IF(ABS(O23)&gt;Parâmetros!$C$7,ABS(O23)+ROW()/10000000,0)</f>
        <v>0</v>
      </c>
      <c r="U23" s="158" t="n">
        <f aca="false">SUMIFS('3 Base Saldo Inicial 08-09'!$E$2:$E$5000,'3 Base Saldo Inicial 08-09'!$A$2:$A$5000,$A23,'3 Base Saldo Inicial 08-09'!$B$2:$B$5000,$B23)-SUMIFS('3 Base Saldo Inicial 08-09'!$E$2:$E$5000,'3 Base Saldo Inicial 08-09'!$A$2:$A$5000,$A23,'3 Base Saldo Inicial 08-09'!$B$2:$B$5000,$B23,'3 Base Saldo Inicial 08-09'!$C$2:$C$5000,"2008")</f>
        <v>0</v>
      </c>
    </row>
    <row r="24" customFormat="false" ht="15" hidden="false" customHeight="false" outlineLevel="0" collapsed="false">
      <c r="A24" s="155" t="s">
        <v>309</v>
      </c>
      <c r="B24" s="155" t="s">
        <v>395</v>
      </c>
      <c r="C24" s="156" t="s">
        <v>404</v>
      </c>
      <c r="D24" s="157" t="s">
        <v>65</v>
      </c>
      <c r="E24" s="158" t="n">
        <f aca="false">SUMIFS('aux Conciliação Lote'!$E$5:$E$98,'aux Conciliação Lote'!$A$5:$A$98,$A24,'aux Conciliação Lote'!$B$5:$B$98,$B24)</f>
        <v>0</v>
      </c>
      <c r="F24" s="158" t="n">
        <f aca="false">SUMIFS('aux Conciliação Lote'!$F$5:$F$98,'aux Conciliação Lote'!$A$5:$A$98,$A24,'aux Conciliação Lote'!$B$5:$B$98,$B24)</f>
        <v>542.7</v>
      </c>
      <c r="G24" s="158" t="n">
        <f aca="false">U24+E24-F24</f>
        <v>-542.7</v>
      </c>
      <c r="H24" s="158" t="n">
        <f aca="false">SUMIFS('aux Conciliação Lote'!$H$5:$H$98,'aux Conciliação Lote'!$A$5:$A$98,$A24,'aux Conciliação Lote'!$B$5:$B$98,$B24)</f>
        <v>540.69</v>
      </c>
      <c r="I24" s="159" t="n">
        <f aca="false">ROUND(H24-G24,2)</f>
        <v>1083.39</v>
      </c>
      <c r="J24" s="160" t="str">
        <f aca="false">IF(ABS(I24)&lt;=Parâmetros!$C$7,"Confere",IF(I24&gt;0,"Sobrando","Faltando"))</f>
        <v>Sobrando</v>
      </c>
      <c r="K24" s="155" t="str">
        <f aca="false">IF(J24="Confere","Sem diferença",IF(AND(J24&lt;&gt;"Confere",SUMPRODUCT(($A$14:$A$107=$A24)*($B$14:$B$107&lt;&gt;$B24)*(ABS($I$14:$I$107+$I24)&lt;=Parâmetros!$C$7))&gt;0),"Troca de lote: a mesma quantidade aparece com sinal oposto em outro lote deste SKU",IF(AND(I24&lt;0,H24=0,F24=0),"Entrou no ZBR, mas não está no estoque físico: não chegou ou foi guardado em outro lote",IF(I24&lt;0,"Estoque físico menor que o esperado: saída, ajuste ou perda não lançada no período",IF(ABS(I24-M24)&lt;=Parâmetros!$C$7,"Estoque antigo: toda a sobra está em posições sem movimento desde antes de 09/09",IF(AND(F24&gt;0,ABS(I24-F24)&lt;=Parâmetros!$C$7),"As saídas do período não baixaram o estoque físico",IF(ABS(I24-N24)&lt;=Parâmetros!$C$7,"Quantidade parada em doca, chão ou transferência: entrega ou devolução não baixada",IF(ABS(I24-M24-N24)&lt;=Parâmetros!$C$7,"Estoque antigo + quantidade em doca/chão/transferência",IF(AND(F24&gt;0,ABS(I24-M24-N24-F24)&lt;=Parâmetros!$C$7),IF(M24+N24&gt;0,"Estoque antigo/doca + saídas do período que","Saídas do período que")&amp;" não baixaram o estoque físico",IF(AND(P24&gt;0,ABS(I24-M24-N24-P24)&lt;=Parâmetros!$C$7),IF(M24+N24&gt;0,"Estoque antigo/doca + saídas","Saídas")&amp;" pelo depósito 0355 que não baixaram o estoque físico",IF(M24+N24&gt;0,"Explica em parte: estoque antigo "&amp;FIXED(M24,1)&amp;" + doca/transferência "&amp;FIXED(N24,1)&amp;"; faltam "&amp;FIXED(I24-M24-N24,1)&amp;" a explicar",IF(F24&gt;E24+U24,"Saiu mais do que entrou: havia estoque antes de 09/09 que não está no arquivo","Estoque acima do esperado: entrada não lançada ou saldo anterior ao período"))))))))))))</f>
        <v>Explica em parte: estoque antigo 18.1 + doca/transferência 502.5; faltam 562.8 a explicar</v>
      </c>
      <c r="L24" s="156" t="str">
        <f aca="false">IF(J24="Confere","Nenhum ajuste necessário",IF(LEFT(K24,5)="Troca","Transferir "&amp;FIXED(ABS(I24),1)&amp;" "&amp;D24&amp;" entre os lotes deste SKU (transferência lote a lote, mov. 309) para corrigir o lote",IF(LEFT(K24,6)="Entrou","Procurar a OT de armazenagem pendente no ZBR. Se não achar: contar e lançar ajuste de inventário de −"&amp;FIXED(ABS(I24),1)&amp;" "&amp;D24,IF(J24="Faltando","Contar o lote. Se a falta se confirmar: lançar a saída esquecida (601) ou ajuste de inventário de −"&amp;FIXED(ABS(I24),1)&amp;" "&amp;D24,IF(LEFT(K24,15)="Estoque antigo:","Confirmar no SAP o saldo de 08/09 ("&amp;FIXED(ABS(M24),1)&amp;" "&amp;D24&amp;"). Se estiver certo, não há ajuste",IF(LEFT(K24,10)="Quantidade","Confirmar ou estornar as OTs em doca/transferência ("&amp;FIXED(ABS(N24),1)&amp;" "&amp;D24&amp;"): guardar na posição ou baixar a entrega",IF(LEFT(K24,16)="Estoque antigo +","Confirmar saldo de 08/09 ("&amp;FIXED(ABS(M24),1)&amp;" "&amp;D24&amp;") e tratar as OTs em doca/transferência ("&amp;FIXED(ABS(N24),1)&amp;" "&amp;D24&amp;")",IF(ISNUMBER(SEARCH("não baixaram",K24)),"Confirmar a OT de saída (picking) das remessas para baixar "&amp;FIXED(ABS(I24-M24-N24),1)&amp;" "&amp;D24&amp;" do estoque físico"&amp;IF(M24+N24&gt;0,"; conferir também estoque antigo/doca",""),IF(LEFT(K24,7)="Explica","Confirmar saldo de 08/09 e OTs de doca; contar o lote para os "&amp;FIXED(ABS(I24-M24-N24),1)&amp;" "&amp;D24&amp;" restantes e ajustar a sobra se confirmada","Confirmar saldo de 08/09; se não existir, contar o lote e lançar ajuste de inventário de +"&amp;FIXED(ABS(I24),1)&amp;" "&amp;D24)))))))))</f>
        <v>Confirmar saldo de 08/09 e OTs de doca; contar o lote para os 562.8 KG restantes e ajustar a sobra se confirmada</v>
      </c>
      <c r="M24" s="158" t="n">
        <f aca="false">MAX(0,SUMIFS('3 Base Estoque Físico'!$J$2:$J$5000,'3 Base Estoque Físico'!$A$2:$A$5000,$A24,'3 Base Estoque Físico'!$B$2:$B$5000,$B24,'3 Base Estoque Físico'!$I$2:$I$5000,"&lt;"&amp;DATE(2026,9,9))-U24)</f>
        <v>18.09</v>
      </c>
      <c r="N24" s="158" t="n">
        <f aca="false">SUMPRODUCT(('3 Base Estoque Físico'!$A$2:$A$5000=$A24)*('3 Base Estoque Físico'!$B$2:$B$5000=$B24)*('3 Base Estoque Físico'!$I$2:$I$5000&gt;=DATE(2026,9,9))*ISNUMBER(MATCH('3 Base Estoque Físico'!$C$2:$C$5000,{"DCK","TRF","922","FLR","DIF"},0))*'3 Base Estoque Físico'!$J$2:$J$5000)</f>
        <v>502.5</v>
      </c>
      <c r="O24" s="161" t="n">
        <f aca="false">IF(OR(J24="Confere",LEFT(K24,5)="Troca",ISNUMBER(SEARCH("não baixaram",K24))),0,IF(I24&gt;0,MAX(0,ROUND(I24-M24-N24,2)),I24))</f>
        <v>562.8</v>
      </c>
      <c r="P24" s="158" t="n">
        <f aca="false">SUMIFS('3 Base Saídas'!$R$2:$R$5000,'3 Base Saídas'!$B$2:$B$5000,$A24,'3 Base Saídas'!$C$2:$C$5000,$B24,'3 Base Saídas'!$E$2:$E$5000,"0355")</f>
        <v>120.6</v>
      </c>
      <c r="Q24" s="157" t="str">
        <f aca="false">IF(J24="Confere","—",IF(LEFT(K24,5)="Troca","Troca de lote",IF(LEFT(K24,6)="Entrou","Não localizado no estoque",IF(J24="Faltando","Falta sem explicação",IF(ISNUMBER(SEARCH("não baixaram",K24)),"Saída sem baixa no estoque",IF(LEFT(K24,10)="Quantidade","Doca/transferência pendente",IF(LEFT(K24,14)="Estoque antigo","Estoque anterior a 09/09",IF(LEFT(K24,7)="Explica","Sobra parcialmente explicada","Sobra sem explicação"))))))))</f>
        <v>Sobra parcialmente explicada</v>
      </c>
      <c r="R24" s="162" t="str">
        <f aca="false">IF(J24="Confere","—",IF(OR(LEFT(K24,6)="Entrou",AND(I24&lt;0,ABS(O24)&gt;=Parâmetros!$K$6)),"Crítica",IF(OR(AND(I24&lt;0,O24&lt;&gt;0),O24&gt;=Parâmetros!$K$7),"Alta",IF(O24&gt;0,"Média","Baixa"))))</f>
        <v>Alta</v>
      </c>
      <c r="S24" s="157" t="str">
        <f aca="false">A24&amp;"|"&amp;B24</f>
        <v>W3-BR-25A|253540301</v>
      </c>
      <c r="T24" s="157" t="n">
        <f aca="false">IF(ABS(O24)&gt;Parâmetros!$C$7,ABS(O24)+ROW()/10000000,0)</f>
        <v>562.8000024</v>
      </c>
      <c r="U24" s="158" t="n">
        <f aca="false">SUMIFS('3 Base Saldo Inicial 08-09'!$E$2:$E$5000,'3 Base Saldo Inicial 08-09'!$A$2:$A$5000,$A24,'3 Base Saldo Inicial 08-09'!$B$2:$B$5000,$B24)-SUMIFS('3 Base Saldo Inicial 08-09'!$E$2:$E$5000,'3 Base Saldo Inicial 08-09'!$A$2:$A$5000,$A24,'3 Base Saldo Inicial 08-09'!$B$2:$B$5000,$B24,'3 Base Saldo Inicial 08-09'!$C$2:$C$5000,"2008")</f>
        <v>0</v>
      </c>
    </row>
    <row r="25" customFormat="false" ht="15" hidden="false" customHeight="false" outlineLevel="0" collapsed="false">
      <c r="A25" s="155" t="s">
        <v>276</v>
      </c>
      <c r="B25" s="155" t="s">
        <v>370</v>
      </c>
      <c r="C25" s="156" t="s">
        <v>404</v>
      </c>
      <c r="D25" s="157" t="s">
        <v>65</v>
      </c>
      <c r="E25" s="158" t="n">
        <f aca="false">SUMIFS('aux Conciliação Lote'!$E$5:$E$98,'aux Conciliação Lote'!$A$5:$A$98,$A25,'aux Conciliação Lote'!$B$5:$B$98,$B25)</f>
        <v>763.8</v>
      </c>
      <c r="F25" s="158" t="n">
        <f aca="false">SUMIFS('aux Conciliação Lote'!$F$5:$F$98,'aux Conciliação Lote'!$A$5:$A$98,$A25,'aux Conciliação Lote'!$B$5:$B$98,$B25)</f>
        <v>924.6</v>
      </c>
      <c r="G25" s="158" t="n">
        <f aca="false">U25+E25-F25</f>
        <v>-160.8</v>
      </c>
      <c r="H25" s="158" t="n">
        <f aca="false">SUMIFS('aux Conciliação Lote'!$H$5:$H$98,'aux Conciliação Lote'!$A$5:$A$98,$A25,'aux Conciliação Lote'!$B$5:$B$98,$B25)</f>
        <v>763.8</v>
      </c>
      <c r="I25" s="159" t="n">
        <f aca="false">ROUND(H25-G25,2)</f>
        <v>924.6</v>
      </c>
      <c r="J25" s="160" t="str">
        <f aca="false">IF(ABS(I25)&lt;=Parâmetros!$C$7,"Confere",IF(I25&gt;0,"Sobrando","Faltando"))</f>
        <v>Sobrando</v>
      </c>
      <c r="K25" s="155" t="str">
        <f aca="false">IF(J25="Confere","Sem diferença",IF(AND(J25&lt;&gt;"Confere",SUMPRODUCT(($A$14:$A$107=$A25)*($B$14:$B$107&lt;&gt;$B25)*(ABS($I$14:$I$107+$I25)&lt;=Parâmetros!$C$7))&gt;0),"Troca de lote: a mesma quantidade aparece com sinal oposto em outro lote deste SKU",IF(AND(I25&lt;0,H25=0,F25=0),"Entrou no ZBR, mas não está no estoque físico: não chegou ou foi guardado em outro lote",IF(I25&lt;0,"Estoque físico menor que o esperado: saída, ajuste ou perda não lançada no período",IF(ABS(I25-M25)&lt;=Parâmetros!$C$7,"Estoque antigo: toda a sobra está em posições sem movimento desde antes de 09/09",IF(AND(F25&gt;0,ABS(I25-F25)&lt;=Parâmetros!$C$7),"As saídas do período não baixaram o estoque físico",IF(ABS(I25-N25)&lt;=Parâmetros!$C$7,"Quantidade parada em doca, chão ou transferência: entrega ou devolução não baixada",IF(ABS(I25-M25-N25)&lt;=Parâmetros!$C$7,"Estoque antigo + quantidade em doca/chão/transferência",IF(AND(F25&gt;0,ABS(I25-M25-N25-F25)&lt;=Parâmetros!$C$7),IF(M25+N25&gt;0,"Estoque antigo/doca + saídas do período que","Saídas do período que")&amp;" não baixaram o estoque físico",IF(AND(P25&gt;0,ABS(I25-M25-N25-P25)&lt;=Parâmetros!$C$7),IF(M25+N25&gt;0,"Estoque antigo/doca + saídas","Saídas")&amp;" pelo depósito 0355 que não baixaram o estoque físico",IF(M25+N25&gt;0,"Explica em parte: estoque antigo "&amp;FIXED(M25,1)&amp;" + doca/transferência "&amp;FIXED(N25,1)&amp;"; faltam "&amp;FIXED(I25-M25-N25,1)&amp;" a explicar",IF(F25&gt;E25+U25,"Saiu mais do que entrou: havia estoque antes de 09/09 que não está no arquivo","Estoque acima do esperado: entrada não lançada ou saldo anterior ao período"))))))))))))</f>
        <v>As saídas do período não baixaram o estoque físico</v>
      </c>
      <c r="L25" s="156" t="str">
        <f aca="false">IF(J25="Confere","Nenhum ajuste necessário",IF(LEFT(K25,5)="Troca","Transferir "&amp;FIXED(ABS(I25),1)&amp;" "&amp;D25&amp;" entre os lotes deste SKU (transferência lote a lote, mov. 309) para corrigir o lote",IF(LEFT(K25,6)="Entrou","Procurar a OT de armazenagem pendente no ZBR. Se não achar: contar e lançar ajuste de inventário de −"&amp;FIXED(ABS(I25),1)&amp;" "&amp;D25,IF(J25="Faltando","Contar o lote. Se a falta se confirmar: lançar a saída esquecida (601) ou ajuste de inventário de −"&amp;FIXED(ABS(I25),1)&amp;" "&amp;D25,IF(LEFT(K25,15)="Estoque antigo:","Confirmar no SAP o saldo de 08/09 ("&amp;FIXED(ABS(M25),1)&amp;" "&amp;D25&amp;"). Se estiver certo, não há ajuste",IF(LEFT(K25,10)="Quantidade","Confirmar ou estornar as OTs em doca/transferência ("&amp;FIXED(ABS(N25),1)&amp;" "&amp;D25&amp;"): guardar na posição ou baixar a entrega",IF(LEFT(K25,16)="Estoque antigo +","Confirmar saldo de 08/09 ("&amp;FIXED(ABS(M25),1)&amp;" "&amp;D25&amp;") e tratar as OTs em doca/transferência ("&amp;FIXED(ABS(N25),1)&amp;" "&amp;D25&amp;")",IF(ISNUMBER(SEARCH("não baixaram",K25)),"Confirmar a OT de saída (picking) das remessas para baixar "&amp;FIXED(ABS(I25-M25-N25),1)&amp;" "&amp;D25&amp;" do estoque físico"&amp;IF(M25+N25&gt;0,"; conferir também estoque antigo/doca",""),IF(LEFT(K25,7)="Explica","Confirmar saldo de 08/09 e OTs de doca; contar o lote para os "&amp;FIXED(ABS(I25-M25-N25),1)&amp;" "&amp;D25&amp;" restantes e ajustar a sobra se confirmada","Confirmar saldo de 08/09; se não existir, contar o lote e lançar ajuste de inventário de +"&amp;FIXED(ABS(I25),1)&amp;" "&amp;D25)))))))))</f>
        <v>Confirmar a OT de saída (picking) das remessas para baixar 924.6 KG do estoque físico</v>
      </c>
      <c r="M25" s="158" t="n">
        <f aca="false">MAX(0,SUMIFS('3 Base Estoque Físico'!$J$2:$J$5000,'3 Base Estoque Físico'!$A$2:$A$5000,$A25,'3 Base Estoque Físico'!$B$2:$B$5000,$B25,'3 Base Estoque Físico'!$I$2:$I$5000,"&lt;"&amp;DATE(2026,9,9))-U25)</f>
        <v>0</v>
      </c>
      <c r="N25" s="158" t="n">
        <f aca="false">SUMPRODUCT(('3 Base Estoque Físico'!$A$2:$A$5000=$A25)*('3 Base Estoque Físico'!$B$2:$B$5000=$B25)*('3 Base Estoque Físico'!$I$2:$I$5000&gt;=DATE(2026,9,9))*ISNUMBER(MATCH('3 Base Estoque Físico'!$C$2:$C$5000,{"DCK","TRF","922","FLR","DIF"},0))*'3 Base Estoque Físico'!$J$2:$J$5000)</f>
        <v>0</v>
      </c>
      <c r="O25" s="161" t="n">
        <f aca="false">IF(OR(J25="Confere",LEFT(K25,5)="Troca",ISNUMBER(SEARCH("não baixaram",K25))),0,IF(I25&gt;0,MAX(0,ROUND(I25-M25-N25,2)),I25))</f>
        <v>0</v>
      </c>
      <c r="P25" s="158" t="n">
        <f aca="false">SUMIFS('3 Base Saídas'!$R$2:$R$5000,'3 Base Saídas'!$B$2:$B$5000,$A25,'3 Base Saídas'!$C$2:$C$5000,$B25,'3 Base Saídas'!$E$2:$E$5000,"0355")</f>
        <v>924.6</v>
      </c>
      <c r="Q25" s="157" t="str">
        <f aca="false">IF(J25="Confere","—",IF(LEFT(K25,5)="Troca","Troca de lote",IF(LEFT(K25,6)="Entrou","Não localizado no estoque",IF(J25="Faltando","Falta sem explicação",IF(ISNUMBER(SEARCH("não baixaram",K25)),"Saída sem baixa no estoque",IF(LEFT(K25,10)="Quantidade","Doca/transferência pendente",IF(LEFT(K25,14)="Estoque antigo","Estoque anterior a 09/09",IF(LEFT(K25,7)="Explica","Sobra parcialmente explicada","Sobra sem explicação"))))))))</f>
        <v>Saída sem baixa no estoque</v>
      </c>
      <c r="R25" s="162" t="str">
        <f aca="false">IF(J25="Confere","—",IF(OR(LEFT(K25,6)="Entrou",AND(I25&lt;0,ABS(O25)&gt;=Parâmetros!$K$6)),"Crítica",IF(OR(AND(I25&lt;0,O25&lt;&gt;0),O25&gt;=Parâmetros!$K$7),"Alta",IF(O25&gt;0,"Média","Baixa"))))</f>
        <v>Baixa</v>
      </c>
      <c r="S25" s="157" t="str">
        <f aca="false">A25&amp;"|"&amp;B25</f>
        <v>CW2-BR-25A|253470301</v>
      </c>
      <c r="T25" s="157" t="n">
        <f aca="false">IF(ABS(O25)&gt;Parâmetros!$C$7,ABS(O25)+ROW()/10000000,0)</f>
        <v>0</v>
      </c>
      <c r="U25" s="158" t="n">
        <f aca="false">SUMIFS('3 Base Saldo Inicial 08-09'!$E$2:$E$5000,'3 Base Saldo Inicial 08-09'!$A$2:$A$5000,$A25,'3 Base Saldo Inicial 08-09'!$B$2:$B$5000,$B25)-SUMIFS('3 Base Saldo Inicial 08-09'!$E$2:$E$5000,'3 Base Saldo Inicial 08-09'!$A$2:$A$5000,$A25,'3 Base Saldo Inicial 08-09'!$B$2:$B$5000,$B25,'3 Base Saldo Inicial 08-09'!$C$2:$C$5000,"2008")</f>
        <v>0</v>
      </c>
    </row>
    <row r="26" customFormat="false" ht="15" hidden="false" customHeight="false" outlineLevel="0" collapsed="false">
      <c r="A26" s="155" t="s">
        <v>269</v>
      </c>
      <c r="B26" s="155" t="s">
        <v>270</v>
      </c>
      <c r="C26" s="156" t="s">
        <v>1206</v>
      </c>
      <c r="D26" s="157" t="s">
        <v>65</v>
      </c>
      <c r="E26" s="158" t="n">
        <f aca="false">SUMIFS('aux Conciliação Lote'!$E$5:$E$98,'aux Conciliação Lote'!$A$5:$A$98,$A26,'aux Conciliação Lote'!$B$5:$B$98,$B26)</f>
        <v>918</v>
      </c>
      <c r="F26" s="158" t="n">
        <f aca="false">SUMIFS('aux Conciliação Lote'!$F$5:$F$98,'aux Conciliação Lote'!$A$5:$A$98,$A26,'aux Conciliação Lote'!$B$5:$B$98,$B26)</f>
        <v>186</v>
      </c>
      <c r="G26" s="158" t="n">
        <f aca="false">U26+E26-F26</f>
        <v>732</v>
      </c>
      <c r="H26" s="158" t="n">
        <f aca="false">SUMIFS('aux Conciliação Lote'!$H$5:$H$98,'aux Conciliação Lote'!$A$5:$A$98,$A26,'aux Conciliação Lote'!$B$5:$B$98,$B26)</f>
        <v>1272</v>
      </c>
      <c r="I26" s="159" t="n">
        <f aca="false">ROUND(H26-G26,2)</f>
        <v>540</v>
      </c>
      <c r="J26" s="160" t="str">
        <f aca="false">IF(ABS(I26)&lt;=Parâmetros!$C$7,"Confere",IF(I26&gt;0,"Sobrando","Faltando"))</f>
        <v>Sobrando</v>
      </c>
      <c r="K26" s="155" t="str">
        <f aca="false">IF(J26="Confere","Sem diferença",IF(AND(J26&lt;&gt;"Confere",SUMPRODUCT(($A$14:$A$107=$A26)*($B$14:$B$107&lt;&gt;$B26)*(ABS($I$14:$I$107+$I26)&lt;=Parâmetros!$C$7))&gt;0),"Troca de lote: a mesma quantidade aparece com sinal oposto em outro lote deste SKU",IF(AND(I26&lt;0,H26=0,F26=0),"Entrou no ZBR, mas não está no estoque físico: não chegou ou foi guardado em outro lote",IF(I26&lt;0,"Estoque físico menor que o esperado: saída, ajuste ou perda não lançada no período",IF(ABS(I26-M26)&lt;=Parâmetros!$C$7,"Estoque antigo: toda a sobra está em posições sem movimento desde antes de 09/09",IF(AND(F26&gt;0,ABS(I26-F26)&lt;=Parâmetros!$C$7),"As saídas do período não baixaram o estoque físico",IF(ABS(I26-N26)&lt;=Parâmetros!$C$7,"Quantidade parada em doca, chão ou transferência: entrega ou devolução não baixada",IF(ABS(I26-M26-N26)&lt;=Parâmetros!$C$7,"Estoque antigo + quantidade em doca/chão/transferência",IF(AND(F26&gt;0,ABS(I26-M26-N26-F26)&lt;=Parâmetros!$C$7),IF(M26+N26&gt;0,"Estoque antigo/doca + saídas do período que","Saídas do período que")&amp;" não baixaram o estoque físico",IF(AND(P26&gt;0,ABS(I26-M26-N26-P26)&lt;=Parâmetros!$C$7),IF(M26+N26&gt;0,"Estoque antigo/doca + saídas","Saídas")&amp;" pelo depósito 0355 que não baixaram o estoque físico",IF(M26+N26&gt;0,"Explica em parte: estoque antigo "&amp;FIXED(M26,1)&amp;" + doca/transferência "&amp;FIXED(N26,1)&amp;"; faltam "&amp;FIXED(I26-M26-N26,1)&amp;" a explicar",IF(F26&gt;E26+U26,"Saiu mais do que entrou: havia estoque antes de 09/09 que não está no arquivo","Estoque acima do esperado: entrada não lançada ou saldo anterior ao período"))))))))))))</f>
        <v>Explica em parte: estoque antigo 24.0 + doca/transferência 0.0; faltam 516.0 a explicar</v>
      </c>
      <c r="L26" s="156" t="str">
        <f aca="false">IF(J26="Confere","Nenhum ajuste necessário",IF(LEFT(K26,5)="Troca","Transferir "&amp;FIXED(ABS(I26),1)&amp;" "&amp;D26&amp;" entre os lotes deste SKU (transferência lote a lote, mov. 309) para corrigir o lote",IF(LEFT(K26,6)="Entrou","Procurar a OT de armazenagem pendente no ZBR. Se não achar: contar e lançar ajuste de inventário de −"&amp;FIXED(ABS(I26),1)&amp;" "&amp;D26,IF(J26="Faltando","Contar o lote. Se a falta se confirmar: lançar a saída esquecida (601) ou ajuste de inventário de −"&amp;FIXED(ABS(I26),1)&amp;" "&amp;D26,IF(LEFT(K26,15)="Estoque antigo:","Confirmar no SAP o saldo de 08/09 ("&amp;FIXED(ABS(M26),1)&amp;" "&amp;D26&amp;"). Se estiver certo, não há ajuste",IF(LEFT(K26,10)="Quantidade","Confirmar ou estornar as OTs em doca/transferência ("&amp;FIXED(ABS(N26),1)&amp;" "&amp;D26&amp;"): guardar na posição ou baixar a entrega",IF(LEFT(K26,16)="Estoque antigo +","Confirmar saldo de 08/09 ("&amp;FIXED(ABS(M26),1)&amp;" "&amp;D26&amp;") e tratar as OTs em doca/transferência ("&amp;FIXED(ABS(N26),1)&amp;" "&amp;D26&amp;")",IF(ISNUMBER(SEARCH("não baixaram",K26)),"Confirmar a OT de saída (picking) das remessas para baixar "&amp;FIXED(ABS(I26-M26-N26),1)&amp;" "&amp;D26&amp;" do estoque físico"&amp;IF(M26+N26&gt;0,"; conferir também estoque antigo/doca",""),IF(LEFT(K26,7)="Explica","Confirmar saldo de 08/09 e OTs de doca; contar o lote para os "&amp;FIXED(ABS(I26-M26-N26),1)&amp;" "&amp;D26&amp;" restantes e ajustar a sobra se confirmada","Confirmar saldo de 08/09; se não existir, contar o lote e lançar ajuste de inventário de +"&amp;FIXED(ABS(I26),1)&amp;" "&amp;D26)))))))))</f>
        <v>Confirmar saldo de 08/09 e OTs de doca; contar o lote para os 516.0 KG restantes e ajustar a sobra se confirmada</v>
      </c>
      <c r="M26" s="158" t="n">
        <f aca="false">MAX(0,SUMIFS('3 Base Estoque Físico'!$J$2:$J$5000,'3 Base Estoque Físico'!$A$2:$A$5000,$A26,'3 Base Estoque Físico'!$B$2:$B$5000,$B26,'3 Base Estoque Físico'!$I$2:$I$5000,"&lt;"&amp;DATE(2026,9,9))-U26)</f>
        <v>24</v>
      </c>
      <c r="N26" s="158" t="n">
        <f aca="false">SUMPRODUCT(('3 Base Estoque Físico'!$A$2:$A$5000=$A26)*('3 Base Estoque Físico'!$B$2:$B$5000=$B26)*('3 Base Estoque Físico'!$I$2:$I$5000&gt;=DATE(2026,9,9))*ISNUMBER(MATCH('3 Base Estoque Físico'!$C$2:$C$5000,{"DCK","TRF","922","FLR","DIF"},0))*'3 Base Estoque Físico'!$J$2:$J$5000)</f>
        <v>0</v>
      </c>
      <c r="O26" s="161" t="n">
        <f aca="false">IF(OR(J26="Confere",LEFT(K26,5)="Troca",ISNUMBER(SEARCH("não baixaram",K26))),0,IF(I26&gt;0,MAX(0,ROUND(I26-M26-N26,2)),I26))</f>
        <v>516</v>
      </c>
      <c r="P26" s="158" t="n">
        <f aca="false">SUMIFS('3 Base Saídas'!$R$2:$R$5000,'3 Base Saídas'!$B$2:$B$5000,$A26,'3 Base Saídas'!$C$2:$C$5000,$B26,'3 Base Saídas'!$E$2:$E$5000,"0355")</f>
        <v>78</v>
      </c>
      <c r="Q26" s="157" t="str">
        <f aca="false">IF(J26="Confere","—",IF(LEFT(K26,5)="Troca","Troca de lote",IF(LEFT(K26,6)="Entrou","Não localizado no estoque",IF(J26="Faltando","Falta sem explicação",IF(ISNUMBER(SEARCH("não baixaram",K26)),"Saída sem baixa no estoque",IF(LEFT(K26,10)="Quantidade","Doca/transferência pendente",IF(LEFT(K26,14)="Estoque antigo","Estoque anterior a 09/09",IF(LEFT(K26,7)="Explica","Sobra parcialmente explicada","Sobra sem explicação"))))))))</f>
        <v>Sobra parcialmente explicada</v>
      </c>
      <c r="R26" s="162" t="str">
        <f aca="false">IF(J26="Confere","—",IF(OR(LEFT(K26,6)="Entrou",AND(I26&lt;0,ABS(O26)&gt;=Parâmetros!$K$6)),"Crítica",IF(OR(AND(I26&lt;0,O26&lt;&gt;0),O26&gt;=Parâmetros!$K$7),"Alta",IF(O26&gt;0,"Média","Baixa"))))</f>
        <v>Alta</v>
      </c>
      <c r="S26" s="157" t="str">
        <f aca="false">A26&amp;"|"&amp;B26</f>
        <v>CHP-20SICHP-760|252843369</v>
      </c>
      <c r="T26" s="157" t="n">
        <f aca="false">IF(ABS(O26)&gt;Parâmetros!$C$7,ABS(O26)+ROW()/10000000,0)</f>
        <v>516.0000026</v>
      </c>
      <c r="U26" s="158" t="n">
        <f aca="false">SUMIFS('3 Base Saldo Inicial 08-09'!$E$2:$E$5000,'3 Base Saldo Inicial 08-09'!$A$2:$A$5000,$A26,'3 Base Saldo Inicial 08-09'!$B$2:$B$5000,$B26)-SUMIFS('3 Base Saldo Inicial 08-09'!$E$2:$E$5000,'3 Base Saldo Inicial 08-09'!$A$2:$A$5000,$A26,'3 Base Saldo Inicial 08-09'!$B$2:$B$5000,$B26,'3 Base Saldo Inicial 08-09'!$C$2:$C$5000,"2008")</f>
        <v>0</v>
      </c>
    </row>
    <row r="27" customFormat="false" ht="15" hidden="false" customHeight="false" outlineLevel="0" collapsed="false">
      <c r="A27" s="155" t="s">
        <v>192</v>
      </c>
      <c r="B27" s="155" t="s">
        <v>193</v>
      </c>
      <c r="C27" s="156" t="s">
        <v>404</v>
      </c>
      <c r="D27" s="157" t="s">
        <v>65</v>
      </c>
      <c r="E27" s="158" t="n">
        <f aca="false">SUMIFS('aux Conciliação Lote'!$E$5:$E$98,'aux Conciliação Lote'!$A$5:$A$98,$A27,'aux Conciliação Lote'!$B$5:$B$98,$B27)</f>
        <v>603</v>
      </c>
      <c r="F27" s="158" t="n">
        <f aca="false">SUMIFS('aux Conciliação Lote'!$F$5:$F$98,'aux Conciliação Lote'!$A$5:$A$98,$A27,'aux Conciliação Lote'!$B$5:$B$98,$B27)</f>
        <v>321.6</v>
      </c>
      <c r="G27" s="158" t="n">
        <f aca="false">U27+E27-F27</f>
        <v>281.4</v>
      </c>
      <c r="H27" s="158" t="n">
        <f aca="false">SUMIFS('aux Conciliação Lote'!$H$5:$H$98,'aux Conciliação Lote'!$A$5:$A$98,$A27,'aux Conciliação Lote'!$B$5:$B$98,$B27)</f>
        <v>623.1</v>
      </c>
      <c r="I27" s="159" t="n">
        <f aca="false">ROUND(H27-G27,2)</f>
        <v>341.7</v>
      </c>
      <c r="J27" s="160" t="str">
        <f aca="false">IF(ABS(I27)&lt;=Parâmetros!$C$7,"Confere",IF(I27&gt;0,"Sobrando","Faltando"))</f>
        <v>Sobrando</v>
      </c>
      <c r="K27" s="155" t="str">
        <f aca="false">IF(J27="Confere","Sem diferença",IF(AND(J27&lt;&gt;"Confere",SUMPRODUCT(($A$14:$A$107=$A27)*($B$14:$B$107&lt;&gt;$B27)*(ABS($I$14:$I$107+$I27)&lt;=Parâmetros!$C$7))&gt;0),"Troca de lote: a mesma quantidade aparece com sinal oposto em outro lote deste SKU",IF(AND(I27&lt;0,H27=0,F27=0),"Entrou no ZBR, mas não está no estoque físico: não chegou ou foi guardado em outro lote",IF(I27&lt;0,"Estoque físico menor que o esperado: saída, ajuste ou perda não lançada no período",IF(ABS(I27-M27)&lt;=Parâmetros!$C$7,"Estoque antigo: toda a sobra está em posições sem movimento desde antes de 09/09",IF(AND(F27&gt;0,ABS(I27-F27)&lt;=Parâmetros!$C$7),"As saídas do período não baixaram o estoque físico",IF(ABS(I27-N27)&lt;=Parâmetros!$C$7,"Quantidade parada em doca, chão ou transferência: entrega ou devolução não baixada",IF(ABS(I27-M27-N27)&lt;=Parâmetros!$C$7,"Estoque antigo + quantidade em doca/chão/transferência",IF(AND(F27&gt;0,ABS(I27-M27-N27-F27)&lt;=Parâmetros!$C$7),IF(M27+N27&gt;0,"Estoque antigo/doca + saídas do período que","Saídas do período que")&amp;" não baixaram o estoque físico",IF(AND(P27&gt;0,ABS(I27-M27-N27-P27)&lt;=Parâmetros!$C$7),IF(M27+N27&gt;0,"Estoque antigo/doca + saídas","Saídas")&amp;" pelo depósito 0355 que não baixaram o estoque físico",IF(M27+N27&gt;0,"Explica em parte: estoque antigo "&amp;FIXED(M27,1)&amp;" + doca/transferência "&amp;FIXED(N27,1)&amp;"; faltam "&amp;FIXED(I27-M27-N27,1)&amp;" a explicar",IF(F27&gt;E27+U27,"Saiu mais do que entrou: havia estoque antes de 09/09 que não está no arquivo","Estoque acima do esperado: entrada não lançada ou saldo anterior ao período"))))))))))))</f>
        <v>Estoque antigo/doca + saídas do período que não baixaram o estoque físico</v>
      </c>
      <c r="L27" s="156" t="str">
        <f aca="false">IF(J27="Confere","Nenhum ajuste necessário",IF(LEFT(K27,5)="Troca","Transferir "&amp;FIXED(ABS(I27),1)&amp;" "&amp;D27&amp;" entre os lotes deste SKU (transferência lote a lote, mov. 309) para corrigir o lote",IF(LEFT(K27,6)="Entrou","Procurar a OT de armazenagem pendente no ZBR. Se não achar: contar e lançar ajuste de inventário de −"&amp;FIXED(ABS(I27),1)&amp;" "&amp;D27,IF(J27="Faltando","Contar o lote. Se a falta se confirmar: lançar a saída esquecida (601) ou ajuste de inventário de −"&amp;FIXED(ABS(I27),1)&amp;" "&amp;D27,IF(LEFT(K27,15)="Estoque antigo:","Confirmar no SAP o saldo de 08/09 ("&amp;FIXED(ABS(M27),1)&amp;" "&amp;D27&amp;"). Se estiver certo, não há ajuste",IF(LEFT(K27,10)="Quantidade","Confirmar ou estornar as OTs em doca/transferência ("&amp;FIXED(ABS(N27),1)&amp;" "&amp;D27&amp;"): guardar na posição ou baixar a entrega",IF(LEFT(K27,16)="Estoque antigo +","Confirmar saldo de 08/09 ("&amp;FIXED(ABS(M27),1)&amp;" "&amp;D27&amp;") e tratar as OTs em doca/transferência ("&amp;FIXED(ABS(N27),1)&amp;" "&amp;D27&amp;")",IF(ISNUMBER(SEARCH("não baixaram",K27)),"Confirmar a OT de saída (picking) das remessas para baixar "&amp;FIXED(ABS(I27-M27-N27),1)&amp;" "&amp;D27&amp;" do estoque físico"&amp;IF(M27+N27&gt;0,"; conferir também estoque antigo/doca",""),IF(LEFT(K27,7)="Explica","Confirmar saldo de 08/09 e OTs de doca; contar o lote para os "&amp;FIXED(ABS(I27-M27-N27),1)&amp;" "&amp;D27&amp;" restantes e ajustar a sobra se confirmada","Confirmar saldo de 08/09; se não existir, contar o lote e lançar ajuste de inventário de +"&amp;FIXED(ABS(I27),1)&amp;" "&amp;D27)))))))))</f>
        <v>Confirmar a OT de saída (picking) das remessas para baixar 321.6 KG do estoque físico; conferir também estoque antigo/doca</v>
      </c>
      <c r="M27" s="158" t="n">
        <f aca="false">MAX(0,SUMIFS('3 Base Estoque Físico'!$J$2:$J$5000,'3 Base Estoque Físico'!$A$2:$A$5000,$A27,'3 Base Estoque Físico'!$B$2:$B$5000,$B27,'3 Base Estoque Físico'!$I$2:$I$5000,"&lt;"&amp;DATE(2026,9,9))-U27)</f>
        <v>0</v>
      </c>
      <c r="N27" s="158" t="n">
        <f aca="false">SUMPRODUCT(('3 Base Estoque Físico'!$A$2:$A$5000=$A27)*('3 Base Estoque Físico'!$B$2:$B$5000=$B27)*('3 Base Estoque Físico'!$I$2:$I$5000&gt;=DATE(2026,9,9))*ISNUMBER(MATCH('3 Base Estoque Físico'!$C$2:$C$5000,{"DCK","TRF","922","FLR","DIF"},0))*'3 Base Estoque Físico'!$J$2:$J$5000)</f>
        <v>20.1</v>
      </c>
      <c r="O27" s="161" t="n">
        <f aca="false">IF(OR(J27="Confere",LEFT(K27,5)="Troca",ISNUMBER(SEARCH("não baixaram",K27))),0,IF(I27&gt;0,MAX(0,ROUND(I27-M27-N27,2)),I27))</f>
        <v>0</v>
      </c>
      <c r="P27" s="158" t="n">
        <f aca="false">SUMIFS('3 Base Saídas'!$R$2:$R$5000,'3 Base Saídas'!$B$2:$B$5000,$A27,'3 Base Saídas'!$C$2:$C$5000,$B27,'3 Base Saídas'!$E$2:$E$5000,"0355")</f>
        <v>321.6</v>
      </c>
      <c r="Q27" s="157" t="str">
        <f aca="false">IF(J27="Confere","—",IF(LEFT(K27,5)="Troca","Troca de lote",IF(LEFT(K27,6)="Entrou","Não localizado no estoque",IF(J27="Faltando","Falta sem explicação",IF(ISNUMBER(SEARCH("não baixaram",K27)),"Saída sem baixa no estoque",IF(LEFT(K27,10)="Quantidade","Doca/transferência pendente",IF(LEFT(K27,14)="Estoque antigo","Estoque anterior a 09/09",IF(LEFT(K27,7)="Explica","Sobra parcialmente explicada","Sobra sem explicação"))))))))</f>
        <v>Saída sem baixa no estoque</v>
      </c>
      <c r="R27" s="162" t="str">
        <f aca="false">IF(J27="Confere","—",IF(OR(LEFT(K27,6)="Entrou",AND(I27&lt;0,ABS(O27)&gt;=Parâmetros!$K$6)),"Crítica",IF(OR(AND(I27&lt;0,O27&lt;&gt;0),O27&gt;=Parâmetros!$K$7),"Alta",IF(O27&gt;0,"Média","Baixa"))))</f>
        <v>Baixa</v>
      </c>
      <c r="S27" s="157" t="str">
        <f aca="false">A27&amp;"|"&amp;B27</f>
        <v>70-30-38-BR-25A|260370301</v>
      </c>
      <c r="T27" s="157" t="n">
        <f aca="false">IF(ABS(O27)&gt;Parâmetros!$C$7,ABS(O27)+ROW()/10000000,0)</f>
        <v>0</v>
      </c>
      <c r="U27" s="158" t="n">
        <f aca="false">SUMIFS('3 Base Saldo Inicial 08-09'!$E$2:$E$5000,'3 Base Saldo Inicial 08-09'!$A$2:$A$5000,$A27,'3 Base Saldo Inicial 08-09'!$B$2:$B$5000,$B27)-SUMIFS('3 Base Saldo Inicial 08-09'!$E$2:$E$5000,'3 Base Saldo Inicial 08-09'!$A$2:$A$5000,$A27,'3 Base Saldo Inicial 08-09'!$B$2:$B$5000,$B27,'3 Base Saldo Inicial 08-09'!$C$2:$C$5000,"2008")</f>
        <v>0</v>
      </c>
    </row>
    <row r="28" customFormat="false" ht="15" hidden="false" customHeight="false" outlineLevel="0" collapsed="false">
      <c r="A28" s="155" t="s">
        <v>205</v>
      </c>
      <c r="B28" s="155" t="s">
        <v>209</v>
      </c>
      <c r="C28" s="156" t="s">
        <v>404</v>
      </c>
      <c r="D28" s="157" t="s">
        <v>65</v>
      </c>
      <c r="E28" s="158" t="n">
        <f aca="false">SUMIFS('aux Conciliação Lote'!$E$5:$E$98,'aux Conciliação Lote'!$A$5:$A$98,$A28,'aux Conciliação Lote'!$B$5:$B$98,$B28)</f>
        <v>180.9</v>
      </c>
      <c r="F28" s="158" t="n">
        <f aca="false">SUMIFS('aux Conciliação Lote'!$F$5:$F$98,'aux Conciliação Lote'!$A$5:$A$98,$A28,'aux Conciliação Lote'!$B$5:$B$98,$B28)</f>
        <v>180.9</v>
      </c>
      <c r="G28" s="158" t="n">
        <f aca="false">U28+E28-F28</f>
        <v>0</v>
      </c>
      <c r="H28" s="158" t="n">
        <f aca="false">SUMIFS('aux Conciliação Lote'!$H$5:$H$98,'aux Conciliação Lote'!$A$5:$A$98,$A28,'aux Conciliação Lote'!$B$5:$B$98,$B28)</f>
        <v>273.36</v>
      </c>
      <c r="I28" s="159" t="n">
        <f aca="false">ROUND(H28-G28,2)</f>
        <v>273.36</v>
      </c>
      <c r="J28" s="160" t="str">
        <f aca="false">IF(ABS(I28)&lt;=Parâmetros!$C$7,"Confere",IF(I28&gt;0,"Sobrando","Faltando"))</f>
        <v>Sobrando</v>
      </c>
      <c r="K28" s="155" t="str">
        <f aca="false">IF(J28="Confere","Sem diferença",IF(AND(J28&lt;&gt;"Confere",SUMPRODUCT(($A$14:$A$107=$A28)*($B$14:$B$107&lt;&gt;$B28)*(ABS($I$14:$I$107+$I28)&lt;=Parâmetros!$C$7))&gt;0),"Troca de lote: a mesma quantidade aparece com sinal oposto em outro lote deste SKU",IF(AND(I28&lt;0,H28=0,F28=0),"Entrou no ZBR, mas não está no estoque físico: não chegou ou foi guardado em outro lote",IF(I28&lt;0,"Estoque físico menor que o esperado: saída, ajuste ou perda não lançada no período",IF(ABS(I28-M28)&lt;=Parâmetros!$C$7,"Estoque antigo: toda a sobra está em posições sem movimento desde antes de 09/09",IF(AND(F28&gt;0,ABS(I28-F28)&lt;=Parâmetros!$C$7),"As saídas do período não baixaram o estoque físico",IF(ABS(I28-N28)&lt;=Parâmetros!$C$7,"Quantidade parada em doca, chão ou transferência: entrega ou devolução não baixada",IF(ABS(I28-M28-N28)&lt;=Parâmetros!$C$7,"Estoque antigo + quantidade em doca/chão/transferência",IF(AND(F28&gt;0,ABS(I28-M28-N28-F28)&lt;=Parâmetros!$C$7),IF(M28+N28&gt;0,"Estoque antigo/doca + saídas do período que","Saídas do período que")&amp;" não baixaram o estoque físico",IF(AND(P28&gt;0,ABS(I28-M28-N28-P28)&lt;=Parâmetros!$C$7),IF(M28+N28&gt;0,"Estoque antigo/doca + saídas","Saídas")&amp;" pelo depósito 0355 que não baixaram o estoque físico",IF(M28+N28&gt;0,"Explica em parte: estoque antigo "&amp;FIXED(M28,1)&amp;" + doca/transferência "&amp;FIXED(N28,1)&amp;"; faltam "&amp;FIXED(I28-M28-N28,1)&amp;" a explicar",IF(F28&gt;E28+U28,"Saiu mais do que entrou: havia estoque antes de 09/09 que não está no arquivo","Estoque acima do esperado: entrada não lançada ou saldo anterior ao período"))))))))))))</f>
        <v>Estoque antigo: toda a sobra está em posições sem movimento desde antes de 09/09</v>
      </c>
      <c r="L28" s="156" t="str">
        <f aca="false">IF(J28="Confere","Nenhum ajuste necessário",IF(LEFT(K28,5)="Troca","Transferir "&amp;FIXED(ABS(I28),1)&amp;" "&amp;D28&amp;" entre os lotes deste SKU (transferência lote a lote, mov. 309) para corrigir o lote",IF(LEFT(K28,6)="Entrou","Procurar a OT de armazenagem pendente no ZBR. Se não achar: contar e lançar ajuste de inventário de −"&amp;FIXED(ABS(I28),1)&amp;" "&amp;D28,IF(J28="Faltando","Contar o lote. Se a falta se confirmar: lançar a saída esquecida (601) ou ajuste de inventário de −"&amp;FIXED(ABS(I28),1)&amp;" "&amp;D28,IF(LEFT(K28,15)="Estoque antigo:","Confirmar no SAP o saldo de 08/09 ("&amp;FIXED(ABS(M28),1)&amp;" "&amp;D28&amp;"). Se estiver certo, não há ajuste",IF(LEFT(K28,10)="Quantidade","Confirmar ou estornar as OTs em doca/transferência ("&amp;FIXED(ABS(N28),1)&amp;" "&amp;D28&amp;"): guardar na posição ou baixar a entrega",IF(LEFT(K28,16)="Estoque antigo +","Confirmar saldo de 08/09 ("&amp;FIXED(ABS(M28),1)&amp;" "&amp;D28&amp;") e tratar as OTs em doca/transferência ("&amp;FIXED(ABS(N28),1)&amp;" "&amp;D28&amp;")",IF(ISNUMBER(SEARCH("não baixaram",K28)),"Confirmar a OT de saída (picking) das remessas para baixar "&amp;FIXED(ABS(I28-M28-N28),1)&amp;" "&amp;D28&amp;" do estoque físico"&amp;IF(M28+N28&gt;0,"; conferir também estoque antigo/doca",""),IF(LEFT(K28,7)="Explica","Confirmar saldo de 08/09 e OTs de doca; contar o lote para os "&amp;FIXED(ABS(I28-M28-N28),1)&amp;" "&amp;D28&amp;" restantes e ajustar a sobra se confirmada","Confirmar saldo de 08/09; se não existir, contar o lote e lançar ajuste de inventário de +"&amp;FIXED(ABS(I28),1)&amp;" "&amp;D28)))))))))</f>
        <v>Confirmar no SAP o saldo de 08/09 (273.4 KG). Se estiver certo, não há ajuste</v>
      </c>
      <c r="M28" s="158" t="n">
        <f aca="false">MAX(0,SUMIFS('3 Base Estoque Físico'!$J$2:$J$5000,'3 Base Estoque Físico'!$A$2:$A$5000,$A28,'3 Base Estoque Físico'!$B$2:$B$5000,$B28,'3 Base Estoque Físico'!$I$2:$I$5000,"&lt;"&amp;DATE(2026,9,9))-U28)</f>
        <v>273.36</v>
      </c>
      <c r="N28" s="158" t="n">
        <f aca="false">SUMPRODUCT(('3 Base Estoque Físico'!$A$2:$A$5000=$A28)*('3 Base Estoque Físico'!$B$2:$B$5000=$B28)*('3 Base Estoque Físico'!$I$2:$I$5000&gt;=DATE(2026,9,9))*ISNUMBER(MATCH('3 Base Estoque Físico'!$C$2:$C$5000,{"DCK","TRF","922","FLR","DIF"},0))*'3 Base Estoque Físico'!$J$2:$J$5000)</f>
        <v>0</v>
      </c>
      <c r="O28" s="161" t="n">
        <f aca="false">IF(OR(J28="Confere",LEFT(K28,5)="Troca",ISNUMBER(SEARCH("não baixaram",K28))),0,IF(I28&gt;0,MAX(0,ROUND(I28-M28-N28,2)),I28))</f>
        <v>0</v>
      </c>
      <c r="P28" s="158" t="n">
        <f aca="false">SUMIFS('3 Base Saídas'!$R$2:$R$5000,'3 Base Saídas'!$B$2:$B$5000,$A28,'3 Base Saídas'!$C$2:$C$5000,$B28,'3 Base Saídas'!$E$2:$E$5000,"0355")</f>
        <v>0</v>
      </c>
      <c r="Q28" s="157" t="str">
        <f aca="false">IF(J28="Confere","—",IF(LEFT(K28,5)="Troca","Troca de lote",IF(LEFT(K28,6)="Entrou","Não localizado no estoque",IF(J28="Faltando","Falta sem explicação",IF(ISNUMBER(SEARCH("não baixaram",K28)),"Saída sem baixa no estoque",IF(LEFT(K28,10)="Quantidade","Doca/transferência pendente",IF(LEFT(K28,14)="Estoque antigo","Estoque anterior a 09/09",IF(LEFT(K28,7)="Explica","Sobra parcialmente explicada","Sobra sem explicação"))))))))</f>
        <v>Estoque anterior a 09/09</v>
      </c>
      <c r="R28" s="162" t="str">
        <f aca="false">IF(J28="Confere","—",IF(OR(LEFT(K28,6)="Entrou",AND(I28&lt;0,ABS(O28)&gt;=Parâmetros!$K$6)),"Crítica",IF(OR(AND(I28&lt;0,O28&lt;&gt;0),O28&gt;=Parâmetros!$K$7),"Alta",IF(O28&gt;0,"Média","Baixa"))))</f>
        <v>Baixa</v>
      </c>
      <c r="S28" s="157" t="str">
        <f aca="false">A28&amp;"|"&amp;B28</f>
        <v>811-BR-25A|250880301</v>
      </c>
      <c r="T28" s="157" t="n">
        <f aca="false">IF(ABS(O28)&gt;Parâmetros!$C$7,ABS(O28)+ROW()/10000000,0)</f>
        <v>0</v>
      </c>
      <c r="U28" s="158" t="n">
        <f aca="false">SUMIFS('3 Base Saldo Inicial 08-09'!$E$2:$E$5000,'3 Base Saldo Inicial 08-09'!$A$2:$A$5000,$A28,'3 Base Saldo Inicial 08-09'!$B$2:$B$5000,$B28)-SUMIFS('3 Base Saldo Inicial 08-09'!$E$2:$E$5000,'3 Base Saldo Inicial 08-09'!$A$2:$A$5000,$A28,'3 Base Saldo Inicial 08-09'!$B$2:$B$5000,$B28,'3 Base Saldo Inicial 08-09'!$C$2:$C$5000,"2008")</f>
        <v>0</v>
      </c>
    </row>
    <row r="29" customFormat="false" ht="15" hidden="false" customHeight="false" outlineLevel="0" collapsed="false">
      <c r="A29" s="155" t="s">
        <v>252</v>
      </c>
      <c r="B29" s="155" t="s">
        <v>253</v>
      </c>
      <c r="C29" s="156" t="s">
        <v>1113</v>
      </c>
      <c r="D29" s="157" t="s">
        <v>65</v>
      </c>
      <c r="E29" s="158" t="n">
        <f aca="false">SUMIFS('aux Conciliação Lote'!$E$5:$E$98,'aux Conciliação Lote'!$A$5:$A$98,$A29,'aux Conciliação Lote'!$B$5:$B$98,$B29)</f>
        <v>960</v>
      </c>
      <c r="F29" s="158" t="n">
        <f aca="false">SUMIFS('aux Conciliação Lote'!$F$5:$F$98,'aux Conciliação Lote'!$A$5:$A$98,$A29,'aux Conciliação Lote'!$B$5:$B$98,$B29)</f>
        <v>176</v>
      </c>
      <c r="G29" s="158" t="n">
        <f aca="false">U29+E29-F29</f>
        <v>784</v>
      </c>
      <c r="H29" s="158" t="n">
        <f aca="false">SUMIFS('aux Conciliação Lote'!$H$5:$H$98,'aux Conciliação Lote'!$A$5:$A$98,$A29,'aux Conciliação Lote'!$B$5:$B$98,$B29)</f>
        <v>1032</v>
      </c>
      <c r="I29" s="159" t="n">
        <f aca="false">ROUND(H29-G29,2)</f>
        <v>248</v>
      </c>
      <c r="J29" s="160" t="str">
        <f aca="false">IF(ABS(I29)&lt;=Parâmetros!$C$7,"Confere",IF(I29&gt;0,"Sobrando","Faltando"))</f>
        <v>Sobrando</v>
      </c>
      <c r="K29" s="155" t="str">
        <f aca="false">IF(J29="Confere","Sem diferença",IF(AND(J29&lt;&gt;"Confere",SUMPRODUCT(($A$14:$A$107=$A29)*($B$14:$B$107&lt;&gt;$B29)*(ABS($I$14:$I$107+$I29)&lt;=Parâmetros!$C$7))&gt;0),"Troca de lote: a mesma quantidade aparece com sinal oposto em outro lote deste SKU",IF(AND(I29&lt;0,H29=0,F29=0),"Entrou no ZBR, mas não está no estoque físico: não chegou ou foi guardado em outro lote",IF(I29&lt;0,"Estoque físico menor que o esperado: saída, ajuste ou perda não lançada no período",IF(ABS(I29-M29)&lt;=Parâmetros!$C$7,"Estoque antigo: toda a sobra está em posições sem movimento desde antes de 09/09",IF(AND(F29&gt;0,ABS(I29-F29)&lt;=Parâmetros!$C$7),"As saídas do período não baixaram o estoque físico",IF(ABS(I29-N29)&lt;=Parâmetros!$C$7,"Quantidade parada em doca, chão ou transferência: entrega ou devolução não baixada",IF(ABS(I29-M29-N29)&lt;=Parâmetros!$C$7,"Estoque antigo + quantidade em doca/chão/transferência",IF(AND(F29&gt;0,ABS(I29-M29-N29-F29)&lt;=Parâmetros!$C$7),IF(M29+N29&gt;0,"Estoque antigo/doca + saídas do período que","Saídas do período que")&amp;" não baixaram o estoque físico",IF(AND(P29&gt;0,ABS(I29-M29-N29-P29)&lt;=Parâmetros!$C$7),IF(M29+N29&gt;0,"Estoque antigo/doca + saídas","Saídas")&amp;" pelo depósito 0355 que não baixaram o estoque físico",IF(M29+N29&gt;0,"Explica em parte: estoque antigo "&amp;FIXED(M29,1)&amp;" + doca/transferência "&amp;FIXED(N29,1)&amp;"; faltam "&amp;FIXED(I29-M29-N29,1)&amp;" a explicar",IF(F29&gt;E29+U29,"Saiu mais do que entrou: havia estoque antes de 09/09 que não está no arquivo","Estoque acima do esperado: entrada não lançada ou saldo anterior ao período"))))))))))))</f>
        <v>Estoque acima do esperado: entrada não lançada ou saldo anterior ao período</v>
      </c>
      <c r="L29" s="156" t="str">
        <f aca="false">IF(J29="Confere","Nenhum ajuste necessário",IF(LEFT(K29,5)="Troca","Transferir "&amp;FIXED(ABS(I29),1)&amp;" "&amp;D29&amp;" entre os lotes deste SKU (transferência lote a lote, mov. 309) para corrigir o lote",IF(LEFT(K29,6)="Entrou","Procurar a OT de armazenagem pendente no ZBR. Se não achar: contar e lançar ajuste de inventário de −"&amp;FIXED(ABS(I29),1)&amp;" "&amp;D29,IF(J29="Faltando","Contar o lote. Se a falta se confirmar: lançar a saída esquecida (601) ou ajuste de inventário de −"&amp;FIXED(ABS(I29),1)&amp;" "&amp;D29,IF(LEFT(K29,15)="Estoque antigo:","Confirmar no SAP o saldo de 08/09 ("&amp;FIXED(ABS(M29),1)&amp;" "&amp;D29&amp;"). Se estiver certo, não há ajuste",IF(LEFT(K29,10)="Quantidade","Confirmar ou estornar as OTs em doca/transferência ("&amp;FIXED(ABS(N29),1)&amp;" "&amp;D29&amp;"): guardar na posição ou baixar a entrega",IF(LEFT(K29,16)="Estoque antigo +","Confirmar saldo de 08/09 ("&amp;FIXED(ABS(M29),1)&amp;" "&amp;D29&amp;") e tratar as OTs em doca/transferência ("&amp;FIXED(ABS(N29),1)&amp;" "&amp;D29&amp;")",IF(ISNUMBER(SEARCH("não baixaram",K29)),"Confirmar a OT de saída (picking) das remessas para baixar "&amp;FIXED(ABS(I29-M29-N29),1)&amp;" "&amp;D29&amp;" do estoque físico"&amp;IF(M29+N29&gt;0,"; conferir também estoque antigo/doca",""),IF(LEFT(K29,7)="Explica","Confirmar saldo de 08/09 e OTs de doca; contar o lote para os "&amp;FIXED(ABS(I29-M29-N29),1)&amp;" "&amp;D29&amp;" restantes e ajustar a sobra se confirmada","Confirmar saldo de 08/09; se não existir, contar o lote e lançar ajuste de inventário de +"&amp;FIXED(ABS(I29),1)&amp;" "&amp;D29)))))))))</f>
        <v>Confirmar saldo de 08/09; se não existir, contar o lote e lançar ajuste de inventário de +248.0 KG</v>
      </c>
      <c r="M29" s="158" t="n">
        <f aca="false">MAX(0,SUMIFS('3 Base Estoque Físico'!$J$2:$J$5000,'3 Base Estoque Físico'!$A$2:$A$5000,$A29,'3 Base Estoque Físico'!$B$2:$B$5000,$B29,'3 Base Estoque Físico'!$I$2:$I$5000,"&lt;"&amp;DATE(2026,9,9))-U29)</f>
        <v>0</v>
      </c>
      <c r="N29" s="158" t="n">
        <f aca="false">SUMPRODUCT(('3 Base Estoque Físico'!$A$2:$A$5000=$A29)*('3 Base Estoque Físico'!$B$2:$B$5000=$B29)*('3 Base Estoque Físico'!$I$2:$I$5000&gt;=DATE(2026,9,9))*ISNUMBER(MATCH('3 Base Estoque Físico'!$C$2:$C$5000,{"DCK","TRF","922","FLR","DIF"},0))*'3 Base Estoque Físico'!$J$2:$J$5000)</f>
        <v>0</v>
      </c>
      <c r="O29" s="161" t="n">
        <f aca="false">IF(OR(J29="Confere",LEFT(K29,5)="Troca",ISNUMBER(SEARCH("não baixaram",K29))),0,IF(I29&gt;0,MAX(0,ROUND(I29-M29-N29,2)),I29))</f>
        <v>248</v>
      </c>
      <c r="P29" s="158" t="n">
        <f aca="false">SUMIFS('3 Base Saídas'!$R$2:$R$5000,'3 Base Saídas'!$B$2:$B$5000,$A29,'3 Base Saídas'!$C$2:$C$5000,$B29,'3 Base Saídas'!$E$2:$E$5000,"0355")</f>
        <v>0</v>
      </c>
      <c r="Q29" s="157" t="str">
        <f aca="false">IF(J29="Confere","—",IF(LEFT(K29,5)="Troca","Troca de lote",IF(LEFT(K29,6)="Entrou","Não localizado no estoque",IF(J29="Faltando","Falta sem explicação",IF(ISNUMBER(SEARCH("não baixaram",K29)),"Saída sem baixa no estoque",IF(LEFT(K29,10)="Quantidade","Doca/transferência pendente",IF(LEFT(K29,14)="Estoque antigo","Estoque anterior a 09/09",IF(LEFT(K29,7)="Explica","Sobra parcialmente explicada","Sobra sem explicação"))))))))</f>
        <v>Sobra sem explicação</v>
      </c>
      <c r="R29" s="162" t="str">
        <f aca="false">IF(J29="Confere","—",IF(OR(LEFT(K29,6)="Entrou",AND(I29&lt;0,ABS(O29)&gt;=Parâmetros!$K$6)),"Crítica",IF(OR(AND(I29&lt;0,O29&lt;&gt;0),O29&gt;=Parâmetros!$K$7),"Alta",IF(O29&gt;0,"Média","Baixa"))))</f>
        <v>Média</v>
      </c>
      <c r="S29" s="157" t="str">
        <f aca="false">A29&amp;"|"&amp;B29</f>
        <v>CHM-BS-9U15-E0-07B|260701069</v>
      </c>
      <c r="T29" s="157" t="n">
        <f aca="false">IF(ABS(O29)&gt;Parâmetros!$C$7,ABS(O29)+ROW()/10000000,0)</f>
        <v>248.0000029</v>
      </c>
      <c r="U29" s="158" t="n">
        <f aca="false">SUMIFS('3 Base Saldo Inicial 08-09'!$E$2:$E$5000,'3 Base Saldo Inicial 08-09'!$A$2:$A$5000,$A29,'3 Base Saldo Inicial 08-09'!$B$2:$B$5000,$B29)-SUMIFS('3 Base Saldo Inicial 08-09'!$E$2:$E$5000,'3 Base Saldo Inicial 08-09'!$A$2:$A$5000,$A29,'3 Base Saldo Inicial 08-09'!$B$2:$B$5000,$B29,'3 Base Saldo Inicial 08-09'!$C$2:$C$5000,"2008")</f>
        <v>0</v>
      </c>
    </row>
    <row r="30" customFormat="false" ht="15" hidden="false" customHeight="false" outlineLevel="0" collapsed="false">
      <c r="A30" s="155" t="s">
        <v>198</v>
      </c>
      <c r="B30" s="155" t="s">
        <v>199</v>
      </c>
      <c r="C30" s="156" t="s">
        <v>522</v>
      </c>
      <c r="D30" s="157" t="s">
        <v>65</v>
      </c>
      <c r="E30" s="158" t="n">
        <f aca="false">SUMIFS('aux Conciliação Lote'!$E$5:$E$98,'aux Conciliação Lote'!$A$5:$A$98,$A30,'aux Conciliação Lote'!$B$5:$B$98,$B30)</f>
        <v>940.8</v>
      </c>
      <c r="F30" s="158" t="n">
        <f aca="false">SUMIFS('aux Conciliação Lote'!$F$5:$F$98,'aux Conciliação Lote'!$A$5:$A$98,$A30,'aux Conciliação Lote'!$B$5:$B$98,$B30)</f>
        <v>781.2</v>
      </c>
      <c r="G30" s="158" t="n">
        <f aca="false">U30+E30-F30</f>
        <v>159.6</v>
      </c>
      <c r="H30" s="158" t="n">
        <f aca="false">SUMIFS('aux Conciliação Lote'!$H$5:$H$98,'aux Conciliação Lote'!$A$5:$A$98,$A30,'aux Conciliação Lote'!$B$5:$B$98,$B30)</f>
        <v>333.2</v>
      </c>
      <c r="I30" s="159" t="n">
        <f aca="false">ROUND(H30-G30,2)</f>
        <v>173.6</v>
      </c>
      <c r="J30" s="160" t="str">
        <f aca="false">IF(ABS(I30)&lt;=Parâmetros!$C$7,"Confere",IF(I30&gt;0,"Sobrando","Faltando"))</f>
        <v>Sobrando</v>
      </c>
      <c r="K30" s="155" t="str">
        <f aca="false">IF(J30="Confere","Sem diferença",IF(AND(J30&lt;&gt;"Confere",SUMPRODUCT(($A$14:$A$107=$A30)*($B$14:$B$107&lt;&gt;$B30)*(ABS($I$14:$I$107+$I30)&lt;=Parâmetros!$C$7))&gt;0),"Troca de lote: a mesma quantidade aparece com sinal oposto em outro lote deste SKU",IF(AND(I30&lt;0,H30=0,F30=0),"Entrou no ZBR, mas não está no estoque físico: não chegou ou foi guardado em outro lote",IF(I30&lt;0,"Estoque físico menor que o esperado: saída, ajuste ou perda não lançada no período",IF(ABS(I30-M30)&lt;=Parâmetros!$C$7,"Estoque antigo: toda a sobra está em posições sem movimento desde antes de 09/09",IF(AND(F30&gt;0,ABS(I30-F30)&lt;=Parâmetros!$C$7),"As saídas do período não baixaram o estoque físico",IF(ABS(I30-N30)&lt;=Parâmetros!$C$7,"Quantidade parada em doca, chão ou transferência: entrega ou devolução não baixada",IF(ABS(I30-M30-N30)&lt;=Parâmetros!$C$7,"Estoque antigo + quantidade em doca/chão/transferência",IF(AND(F30&gt;0,ABS(I30-M30-N30-F30)&lt;=Parâmetros!$C$7),IF(M30+N30&gt;0,"Estoque antigo/doca + saídas do período que","Saídas do período que")&amp;" não baixaram o estoque físico",IF(AND(P30&gt;0,ABS(I30-M30-N30-P30)&lt;=Parâmetros!$C$7),IF(M30+N30&gt;0,"Estoque antigo/doca + saídas","Saídas")&amp;" pelo depósito 0355 que não baixaram o estoque físico",IF(M30+N30&gt;0,"Explica em parte: estoque antigo "&amp;FIXED(M30,1)&amp;" + doca/transferência "&amp;FIXED(N30,1)&amp;"; faltam "&amp;FIXED(I30-M30-N30,1)&amp;" a explicar",IF(F30&gt;E30+U30,"Saiu mais do que entrou: havia estoque antes de 09/09 que não está no arquivo","Estoque acima do esperado: entrada não lançada ou saldo anterior ao período"))))))))))))</f>
        <v>Estoque antigo/doca + saídas pelo depósito 0355 que não baixaram o estoque físico</v>
      </c>
      <c r="L30" s="156" t="str">
        <f aca="false">IF(J30="Confere","Nenhum ajuste necessário",IF(LEFT(K30,5)="Troca","Transferir "&amp;FIXED(ABS(I30),1)&amp;" "&amp;D30&amp;" entre os lotes deste SKU (transferência lote a lote, mov. 309) para corrigir o lote",IF(LEFT(K30,6)="Entrou","Procurar a OT de armazenagem pendente no ZBR. Se não achar: contar e lançar ajuste de inventário de −"&amp;FIXED(ABS(I30),1)&amp;" "&amp;D30,IF(J30="Faltando","Contar o lote. Se a falta se confirmar: lançar a saída esquecida (601) ou ajuste de inventário de −"&amp;FIXED(ABS(I30),1)&amp;" "&amp;D30,IF(LEFT(K30,15)="Estoque antigo:","Confirmar no SAP o saldo de 08/09 ("&amp;FIXED(ABS(M30),1)&amp;" "&amp;D30&amp;"). Se estiver certo, não há ajuste",IF(LEFT(K30,10)="Quantidade","Confirmar ou estornar as OTs em doca/transferência ("&amp;FIXED(ABS(N30),1)&amp;" "&amp;D30&amp;"): guardar na posição ou baixar a entrega",IF(LEFT(K30,16)="Estoque antigo +","Confirmar saldo de 08/09 ("&amp;FIXED(ABS(M30),1)&amp;" "&amp;D30&amp;") e tratar as OTs em doca/transferência ("&amp;FIXED(ABS(N30),1)&amp;" "&amp;D30&amp;")",IF(ISNUMBER(SEARCH("não baixaram",K30)),"Confirmar a OT de saída (picking) das remessas para baixar "&amp;FIXED(ABS(I30-M30-N30),1)&amp;" "&amp;D30&amp;" do estoque físico"&amp;IF(M30+N30&gt;0,"; conferir também estoque antigo/doca",""),IF(LEFT(K30,7)="Explica","Confirmar saldo de 08/09 e OTs de doca; contar o lote para os "&amp;FIXED(ABS(I30-M30-N30),1)&amp;" "&amp;D30&amp;" restantes e ajustar a sobra se confirmada","Confirmar saldo de 08/09; se não existir, contar o lote e lançar ajuste de inventário de +"&amp;FIXED(ABS(I30),1)&amp;" "&amp;D30)))))))))</f>
        <v>Confirmar a OT de saída (picking) das remessas para baixar 162.4 KG do estoque físico; conferir também estoque antigo/doca</v>
      </c>
      <c r="M30" s="158" t="n">
        <f aca="false">MAX(0,SUMIFS('3 Base Estoque Físico'!$J$2:$J$5000,'3 Base Estoque Físico'!$A$2:$A$5000,$A30,'3 Base Estoque Físico'!$B$2:$B$5000,$B30,'3 Base Estoque Físico'!$I$2:$I$5000,"&lt;"&amp;DATE(2026,9,9))-U30)</f>
        <v>0</v>
      </c>
      <c r="N30" s="158" t="n">
        <f aca="false">SUMPRODUCT(('3 Base Estoque Físico'!$A$2:$A$5000=$A30)*('3 Base Estoque Físico'!$B$2:$B$5000=$B30)*('3 Base Estoque Físico'!$I$2:$I$5000&gt;=DATE(2026,9,9))*ISNUMBER(MATCH('3 Base Estoque Físico'!$C$2:$C$5000,{"DCK","TRF","922","FLR","DIF"},0))*'3 Base Estoque Físico'!$J$2:$J$5000)</f>
        <v>11.2</v>
      </c>
      <c r="O30" s="161" t="n">
        <f aca="false">IF(OR(J30="Confere",LEFT(K30,5)="Troca",ISNUMBER(SEARCH("não baixaram",K30))),0,IF(I30&gt;0,MAX(0,ROUND(I30-M30-N30,2)),I30))</f>
        <v>0</v>
      </c>
      <c r="P30" s="158" t="n">
        <f aca="false">SUMIFS('3 Base Saídas'!$R$2:$R$5000,'3 Base Saídas'!$B$2:$B$5000,$A30,'3 Base Saídas'!$C$2:$C$5000,$B30,'3 Base Saídas'!$E$2:$E$5000,"0355")</f>
        <v>162.4</v>
      </c>
      <c r="Q30" s="157" t="str">
        <f aca="false">IF(J30="Confere","—",IF(LEFT(K30,5)="Troca","Troca de lote",IF(LEFT(K30,6)="Entrou","Não localizado no estoque",IF(J30="Faltando","Falta sem explicação",IF(ISNUMBER(SEARCH("não baixaram",K30)),"Saída sem baixa no estoque",IF(LEFT(K30,10)="Quantidade","Doca/transferência pendente",IF(LEFT(K30,14)="Estoque antigo","Estoque anterior a 09/09",IF(LEFT(K30,7)="Explica","Sobra parcialmente explicada","Sobra sem explicação"))))))))</f>
        <v>Saída sem baixa no estoque</v>
      </c>
      <c r="R30" s="162" t="str">
        <f aca="false">IF(J30="Confere","—",IF(OR(LEFT(K30,6)="Entrou",AND(I30&lt;0,ABS(O30)&gt;=Parâmetros!$K$6)),"Crítica",IF(OR(AND(I30&lt;0,O30&lt;&gt;0),O30&gt;=Parâmetros!$K$7),"Alta",IF(O30&gt;0,"Média","Baixa"))))</f>
        <v>Baixa</v>
      </c>
      <c r="S30" s="157" t="str">
        <f aca="false">A30&amp;"|"&amp;B30</f>
        <v>70-30-38-BR-D94|253213449</v>
      </c>
      <c r="T30" s="157" t="n">
        <f aca="false">IF(ABS(O30)&gt;Parâmetros!$C$7,ABS(O30)+ROW()/10000000,0)</f>
        <v>0</v>
      </c>
      <c r="U30" s="158" t="n">
        <f aca="false">SUMIFS('3 Base Saldo Inicial 08-09'!$E$2:$E$5000,'3 Base Saldo Inicial 08-09'!$A$2:$A$5000,$A30,'3 Base Saldo Inicial 08-09'!$B$2:$B$5000,$B30)-SUMIFS('3 Base Saldo Inicial 08-09'!$E$2:$E$5000,'3 Base Saldo Inicial 08-09'!$A$2:$A$5000,$A30,'3 Base Saldo Inicial 08-09'!$B$2:$B$5000,$B30,'3 Base Saldo Inicial 08-09'!$C$2:$C$5000,"2008")</f>
        <v>0</v>
      </c>
    </row>
    <row r="31" customFormat="false" ht="15" hidden="false" customHeight="false" outlineLevel="0" collapsed="false">
      <c r="A31" s="155" t="s">
        <v>276</v>
      </c>
      <c r="B31" s="155" t="s">
        <v>278</v>
      </c>
      <c r="C31" s="156" t="s">
        <v>404</v>
      </c>
      <c r="D31" s="157" t="s">
        <v>65</v>
      </c>
      <c r="E31" s="158" t="n">
        <f aca="false">SUMIFS('aux Conciliação Lote'!$E$5:$E$98,'aux Conciliação Lote'!$A$5:$A$98,$A31,'aux Conciliação Lote'!$B$5:$B$98,$B31)</f>
        <v>2271.3</v>
      </c>
      <c r="F31" s="158" t="n">
        <f aca="false">SUMIFS('aux Conciliação Lote'!$F$5:$F$98,'aux Conciliação Lote'!$A$5:$A$98,$A31,'aux Conciliação Lote'!$B$5:$B$98,$B31)</f>
        <v>562.8</v>
      </c>
      <c r="G31" s="158" t="n">
        <f aca="false">U31+E31-F31</f>
        <v>1708.5</v>
      </c>
      <c r="H31" s="158" t="n">
        <f aca="false">SUMIFS('aux Conciliação Lote'!$H$5:$H$98,'aux Conciliação Lote'!$A$5:$A$98,$A31,'aux Conciliação Lote'!$B$5:$B$98,$B31)</f>
        <v>1829.1</v>
      </c>
      <c r="I31" s="159" t="n">
        <f aca="false">ROUND(H31-G31,2)</f>
        <v>120.6</v>
      </c>
      <c r="J31" s="160" t="str">
        <f aca="false">IF(ABS(I31)&lt;=Parâmetros!$C$7,"Confere",IF(I31&gt;0,"Sobrando","Faltando"))</f>
        <v>Sobrando</v>
      </c>
      <c r="K31" s="155" t="str">
        <f aca="false">IF(J31="Confere","Sem diferença",IF(AND(J31&lt;&gt;"Confere",SUMPRODUCT(($A$14:$A$107=$A31)*($B$14:$B$107&lt;&gt;$B31)*(ABS($I$14:$I$107+$I31)&lt;=Parâmetros!$C$7))&gt;0),"Troca de lote: a mesma quantidade aparece com sinal oposto em outro lote deste SKU",IF(AND(I31&lt;0,H31=0,F31=0),"Entrou no ZBR, mas não está no estoque físico: não chegou ou foi guardado em outro lote",IF(I31&lt;0,"Estoque físico menor que o esperado: saída, ajuste ou perda não lançada no período",IF(ABS(I31-M31)&lt;=Parâmetros!$C$7,"Estoque antigo: toda a sobra está em posições sem movimento desde antes de 09/09",IF(AND(F31&gt;0,ABS(I31-F31)&lt;=Parâmetros!$C$7),"As saídas do período não baixaram o estoque físico",IF(ABS(I31-N31)&lt;=Parâmetros!$C$7,"Quantidade parada em doca, chão ou transferência: entrega ou devolução não baixada",IF(ABS(I31-M31-N31)&lt;=Parâmetros!$C$7,"Estoque antigo + quantidade em doca/chão/transferência",IF(AND(F31&gt;0,ABS(I31-M31-N31-F31)&lt;=Parâmetros!$C$7),IF(M31+N31&gt;0,"Estoque antigo/doca + saídas do período que","Saídas do período que")&amp;" não baixaram o estoque físico",IF(AND(P31&gt;0,ABS(I31-M31-N31-P31)&lt;=Parâmetros!$C$7),IF(M31+N31&gt;0,"Estoque antigo/doca + saídas","Saídas")&amp;" pelo depósito 0355 que não baixaram o estoque físico",IF(M31+N31&gt;0,"Explica em parte: estoque antigo "&amp;FIXED(M31,1)&amp;" + doca/transferência "&amp;FIXED(N31,1)&amp;"; faltam "&amp;FIXED(I31-M31-N31,1)&amp;" a explicar",IF(F31&gt;E31+U31,"Saiu mais do que entrou: havia estoque antes de 09/09 que não está no arquivo","Estoque acima do esperado: entrada não lançada ou saldo anterior ao período"))))))))))))</f>
        <v>Explica em parte: estoque antigo 0.0 + doca/transferência 20.1; faltam 100.5 a explicar</v>
      </c>
      <c r="L31" s="156" t="str">
        <f aca="false">IF(J31="Confere","Nenhum ajuste necessário",IF(LEFT(K31,5)="Troca","Transferir "&amp;FIXED(ABS(I31),1)&amp;" "&amp;D31&amp;" entre os lotes deste SKU (transferência lote a lote, mov. 309) para corrigir o lote",IF(LEFT(K31,6)="Entrou","Procurar a OT de armazenagem pendente no ZBR. Se não achar: contar e lançar ajuste de inventário de −"&amp;FIXED(ABS(I31),1)&amp;" "&amp;D31,IF(J31="Faltando","Contar o lote. Se a falta se confirmar: lançar a saída esquecida (601) ou ajuste de inventário de −"&amp;FIXED(ABS(I31),1)&amp;" "&amp;D31,IF(LEFT(K31,15)="Estoque antigo:","Confirmar no SAP o saldo de 08/09 ("&amp;FIXED(ABS(M31),1)&amp;" "&amp;D31&amp;"). Se estiver certo, não há ajuste",IF(LEFT(K31,10)="Quantidade","Confirmar ou estornar as OTs em doca/transferência ("&amp;FIXED(ABS(N31),1)&amp;" "&amp;D31&amp;"): guardar na posição ou baixar a entrega",IF(LEFT(K31,16)="Estoque antigo +","Confirmar saldo de 08/09 ("&amp;FIXED(ABS(M31),1)&amp;" "&amp;D31&amp;") e tratar as OTs em doca/transferência ("&amp;FIXED(ABS(N31),1)&amp;" "&amp;D31&amp;")",IF(ISNUMBER(SEARCH("não baixaram",K31)),"Confirmar a OT de saída (picking) das remessas para baixar "&amp;FIXED(ABS(I31-M31-N31),1)&amp;" "&amp;D31&amp;" do estoque físico"&amp;IF(M31+N31&gt;0,"; conferir também estoque antigo/doca",""),IF(LEFT(K31,7)="Explica","Confirmar saldo de 08/09 e OTs de doca; contar o lote para os "&amp;FIXED(ABS(I31-M31-N31),1)&amp;" "&amp;D31&amp;" restantes e ajustar a sobra se confirmada","Confirmar saldo de 08/09; se não existir, contar o lote e lançar ajuste de inventário de +"&amp;FIXED(ABS(I31),1)&amp;" "&amp;D31)))))))))</f>
        <v>Confirmar saldo de 08/09 e OTs de doca; contar o lote para os 100.5 KG restantes e ajustar a sobra se confirmada</v>
      </c>
      <c r="M31" s="158" t="n">
        <f aca="false">MAX(0,SUMIFS('3 Base Estoque Físico'!$J$2:$J$5000,'3 Base Estoque Físico'!$A$2:$A$5000,$A31,'3 Base Estoque Físico'!$B$2:$B$5000,$B31,'3 Base Estoque Físico'!$I$2:$I$5000,"&lt;"&amp;DATE(2026,9,9))-U31)</f>
        <v>0</v>
      </c>
      <c r="N31" s="158" t="n">
        <f aca="false">SUMPRODUCT(('3 Base Estoque Físico'!$A$2:$A$5000=$A31)*('3 Base Estoque Físico'!$B$2:$B$5000=$B31)*('3 Base Estoque Físico'!$I$2:$I$5000&gt;=DATE(2026,9,9))*ISNUMBER(MATCH('3 Base Estoque Físico'!$C$2:$C$5000,{"DCK","TRF","922","FLR","DIF"},0))*'3 Base Estoque Físico'!$J$2:$J$5000)</f>
        <v>20.1</v>
      </c>
      <c r="O31" s="161" t="n">
        <f aca="false">IF(OR(J31="Confere",LEFT(K31,5)="Troca",ISNUMBER(SEARCH("não baixaram",K31))),0,IF(I31&gt;0,MAX(0,ROUND(I31-M31-N31,2)),I31))</f>
        <v>100.5</v>
      </c>
      <c r="P31" s="158" t="n">
        <f aca="false">SUMIFS('3 Base Saídas'!$R$2:$R$5000,'3 Base Saídas'!$B$2:$B$5000,$A31,'3 Base Saídas'!$C$2:$C$5000,$B31,'3 Base Saídas'!$E$2:$E$5000,"0355")</f>
        <v>0</v>
      </c>
      <c r="Q31" s="157" t="str">
        <f aca="false">IF(J31="Confere","—",IF(LEFT(K31,5)="Troca","Troca de lote",IF(LEFT(K31,6)="Entrou","Não localizado no estoque",IF(J31="Faltando","Falta sem explicação",IF(ISNUMBER(SEARCH("não baixaram",K31)),"Saída sem baixa no estoque",IF(LEFT(K31,10)="Quantidade","Doca/transferência pendente",IF(LEFT(K31,14)="Estoque antigo","Estoque anterior a 09/09",IF(LEFT(K31,7)="Explica","Sobra parcialmente explicada","Sobra sem explicação"))))))))</f>
        <v>Sobra parcialmente explicada</v>
      </c>
      <c r="R31" s="162" t="str">
        <f aca="false">IF(J31="Confere","—",IF(OR(LEFT(K31,6)="Entrou",AND(I31&lt;0,ABS(O31)&gt;=Parâmetros!$K$6)),"Crítica",IF(OR(AND(I31&lt;0,O31&lt;&gt;0),O31&gt;=Parâmetros!$K$7),"Alta",IF(O31&gt;0,"Média","Baixa"))))</f>
        <v>Média</v>
      </c>
      <c r="S31" s="157" t="str">
        <f aca="false">A31&amp;"|"&amp;B31</f>
        <v>CW2-BR-25A|252650301</v>
      </c>
      <c r="T31" s="157" t="n">
        <f aca="false">IF(ABS(O31)&gt;Parâmetros!$C$7,ABS(O31)+ROW()/10000000,0)</f>
        <v>100.5000031</v>
      </c>
      <c r="U31" s="158" t="n">
        <f aca="false">SUMIFS('3 Base Saldo Inicial 08-09'!$E$2:$E$5000,'3 Base Saldo Inicial 08-09'!$A$2:$A$5000,$A31,'3 Base Saldo Inicial 08-09'!$B$2:$B$5000,$B31)-SUMIFS('3 Base Saldo Inicial 08-09'!$E$2:$E$5000,'3 Base Saldo Inicial 08-09'!$A$2:$A$5000,$A31,'3 Base Saldo Inicial 08-09'!$B$2:$B$5000,$B31,'3 Base Saldo Inicial 08-09'!$C$2:$C$5000,"2008")</f>
        <v>0</v>
      </c>
    </row>
    <row r="32" customFormat="false" ht="15" hidden="false" customHeight="false" outlineLevel="0" collapsed="false">
      <c r="A32" s="155" t="s">
        <v>286</v>
      </c>
      <c r="B32" s="155" t="s">
        <v>299</v>
      </c>
      <c r="C32" s="156" t="s">
        <v>1354</v>
      </c>
      <c r="D32" s="157" t="s">
        <v>147</v>
      </c>
      <c r="E32" s="158" t="n">
        <f aca="false">SUMIFS('aux Conciliação Lote'!$E$5:$E$98,'aux Conciliação Lote'!$A$5:$A$98,$A32,'aux Conciliação Lote'!$B$5:$B$98,$B32)</f>
        <v>-120</v>
      </c>
      <c r="F32" s="158" t="n">
        <f aca="false">SUMIFS('aux Conciliação Lote'!$F$5:$F$98,'aux Conciliação Lote'!$A$5:$A$98,$A32,'aux Conciliação Lote'!$B$5:$B$98,$B32)</f>
        <v>0</v>
      </c>
      <c r="G32" s="158" t="n">
        <f aca="false">U32+E32-F32</f>
        <v>-120</v>
      </c>
      <c r="H32" s="158" t="n">
        <f aca="false">SUMIFS('aux Conciliação Lote'!$H$5:$H$98,'aux Conciliação Lote'!$A$5:$A$98,$A32,'aux Conciliação Lote'!$B$5:$B$98,$B32)</f>
        <v>0</v>
      </c>
      <c r="I32" s="159" t="n">
        <f aca="false">ROUND(H32-G32,2)</f>
        <v>120</v>
      </c>
      <c r="J32" s="160" t="str">
        <f aca="false">IF(ABS(I32)&lt;=Parâmetros!$C$7,"Confere",IF(I32&gt;0,"Sobrando","Faltando"))</f>
        <v>Sobrando</v>
      </c>
      <c r="K32" s="155" t="str">
        <f aca="false">IF(J32="Confere","Sem diferença",IF(AND(J32&lt;&gt;"Confere",SUMPRODUCT(($A$14:$A$107=$A32)*($B$14:$B$107&lt;&gt;$B32)*(ABS($I$14:$I$107+$I32)&lt;=Parâmetros!$C$7))&gt;0),"Troca de lote: a mesma quantidade aparece com sinal oposto em outro lote deste SKU",IF(AND(I32&lt;0,H32=0,F32=0),"Entrou no ZBR, mas não está no estoque físico: não chegou ou foi guardado em outro lote",IF(I32&lt;0,"Estoque físico menor que o esperado: saída, ajuste ou perda não lançada no período",IF(ABS(I32-M32)&lt;=Parâmetros!$C$7,"Estoque antigo: toda a sobra está em posições sem movimento desde antes de 09/09",IF(AND(F32&gt;0,ABS(I32-F32)&lt;=Parâmetros!$C$7),"As saídas do período não baixaram o estoque físico",IF(ABS(I32-N32)&lt;=Parâmetros!$C$7,"Quantidade parada em doca, chão ou transferência: entrega ou devolução não baixada",IF(ABS(I32-M32-N32)&lt;=Parâmetros!$C$7,"Estoque antigo + quantidade em doca/chão/transferência",IF(AND(F32&gt;0,ABS(I32-M32-N32-F32)&lt;=Parâmetros!$C$7),IF(M32+N32&gt;0,"Estoque antigo/doca + saídas do período que","Saídas do período que")&amp;" não baixaram o estoque físico",IF(AND(P32&gt;0,ABS(I32-M32-N32-P32)&lt;=Parâmetros!$C$7),IF(M32+N32&gt;0,"Estoque antigo/doca + saídas","Saídas")&amp;" pelo depósito 0355 que não baixaram o estoque físico",IF(M32+N32&gt;0,"Explica em parte: estoque antigo "&amp;FIXED(M32,1)&amp;" + doca/transferência "&amp;FIXED(N32,1)&amp;"; faltam "&amp;FIXED(I32-M32-N32,1)&amp;" a explicar",IF(F32&gt;E32+U32,"Saiu mais do que entrou: havia estoque antes de 09/09 que não está no arquivo","Estoque acima do esperado: entrada não lançada ou saldo anterior ao período"))))))))))))</f>
        <v>Troca de lote: a mesma quantidade aparece com sinal oposto em outro lote deste SKU</v>
      </c>
      <c r="L32" s="156" t="str">
        <f aca="false">IF(J32="Confere","Nenhum ajuste necessário",IF(LEFT(K32,5)="Troca","Transferir "&amp;FIXED(ABS(I32),1)&amp;" "&amp;D32&amp;" entre os lotes deste SKU (transferência lote a lote, mov. 309) para corrigir o lote",IF(LEFT(K32,6)="Entrou","Procurar a OT de armazenagem pendente no ZBR. Se não achar: contar e lançar ajuste de inventário de −"&amp;FIXED(ABS(I32),1)&amp;" "&amp;D32,IF(J32="Faltando","Contar o lote. Se a falta se confirmar: lançar a saída esquecida (601) ou ajuste de inventário de −"&amp;FIXED(ABS(I32),1)&amp;" "&amp;D32,IF(LEFT(K32,15)="Estoque antigo:","Confirmar no SAP o saldo de 08/09 ("&amp;FIXED(ABS(M32),1)&amp;" "&amp;D32&amp;"). Se estiver certo, não há ajuste",IF(LEFT(K32,10)="Quantidade","Confirmar ou estornar as OTs em doca/transferência ("&amp;FIXED(ABS(N32),1)&amp;" "&amp;D32&amp;"): guardar na posição ou baixar a entrega",IF(LEFT(K32,16)="Estoque antigo +","Confirmar saldo de 08/09 ("&amp;FIXED(ABS(M32),1)&amp;" "&amp;D32&amp;") e tratar as OTs em doca/transferência ("&amp;FIXED(ABS(N32),1)&amp;" "&amp;D32&amp;")",IF(ISNUMBER(SEARCH("não baixaram",K32)),"Confirmar a OT de saída (picking) das remessas para baixar "&amp;FIXED(ABS(I32-M32-N32),1)&amp;" "&amp;D32&amp;" do estoque físico"&amp;IF(M32+N32&gt;0,"; conferir também estoque antigo/doca",""),IF(LEFT(K32,7)="Explica","Confirmar saldo de 08/09 e OTs de doca; contar o lote para os "&amp;FIXED(ABS(I32-M32-N32),1)&amp;" "&amp;D32&amp;" restantes e ajustar a sobra se confirmada","Confirmar saldo de 08/09; se não existir, contar o lote e lançar ajuste de inventário de +"&amp;FIXED(ABS(I32),1)&amp;" "&amp;D32)))))))))</f>
        <v>Transferir 120.0 CX entre os lotes deste SKU (transferência lote a lote, mov. 309) para corrigir o lote</v>
      </c>
      <c r="M32" s="158" t="n">
        <f aca="false">MAX(0,SUMIFS('3 Base Estoque Físico'!$J$2:$J$5000,'3 Base Estoque Físico'!$A$2:$A$5000,$A32,'3 Base Estoque Físico'!$B$2:$B$5000,$B32,'3 Base Estoque Físico'!$I$2:$I$5000,"&lt;"&amp;DATE(2026,9,9))-U32)</f>
        <v>0</v>
      </c>
      <c r="N32" s="158" t="n">
        <f aca="false">SUMPRODUCT(('3 Base Estoque Físico'!$A$2:$A$5000=$A32)*('3 Base Estoque Físico'!$B$2:$B$5000=$B32)*('3 Base Estoque Físico'!$I$2:$I$5000&gt;=DATE(2026,9,9))*ISNUMBER(MATCH('3 Base Estoque Físico'!$C$2:$C$5000,{"DCK","TRF","922","FLR","DIF"},0))*'3 Base Estoque Físico'!$J$2:$J$5000)</f>
        <v>0</v>
      </c>
      <c r="O32" s="161" t="n">
        <f aca="false">IF(OR(J32="Confere",LEFT(K32,5)="Troca",ISNUMBER(SEARCH("não baixaram",K32))),0,IF(I32&gt;0,MAX(0,ROUND(I32-M32-N32,2)),I32))</f>
        <v>0</v>
      </c>
      <c r="P32" s="158" t="n">
        <f aca="false">SUMIFS('3 Base Saídas'!$R$2:$R$5000,'3 Base Saídas'!$B$2:$B$5000,$A32,'3 Base Saídas'!$C$2:$C$5000,$B32,'3 Base Saídas'!$E$2:$E$5000,"0355")</f>
        <v>0</v>
      </c>
      <c r="Q32" s="157" t="str">
        <f aca="false">IF(J32="Confere","—",IF(LEFT(K32,5)="Troca","Troca de lote",IF(LEFT(K32,6)="Entrou","Não localizado no estoque",IF(J32="Faltando","Falta sem explicação",IF(ISNUMBER(SEARCH("não baixaram",K32)),"Saída sem baixa no estoque",IF(LEFT(K32,10)="Quantidade","Doca/transferência pendente",IF(LEFT(K32,14)="Estoque antigo","Estoque anterior a 09/09",IF(LEFT(K32,7)="Explica","Sobra parcialmente explicada","Sobra sem explicação"))))))))</f>
        <v>Troca de lote</v>
      </c>
      <c r="R32" s="162" t="str">
        <f aca="false">IF(J32="Confere","—",IF(OR(LEFT(K32,6)="Entrou",AND(I32&lt;0,ABS(O32)&gt;=Parâmetros!$K$6)),"Crítica",IF(OR(AND(I32&lt;0,O32&lt;&gt;0),O32&gt;=Parâmetros!$K$7),"Alta",IF(O32&gt;0,"Média","Baixa"))))</f>
        <v>Baixa</v>
      </c>
      <c r="S32" s="157" t="str">
        <f aca="false">A32&amp;"|"&amp;B32</f>
        <v>NIBS-S502-X47|242643099</v>
      </c>
      <c r="T32" s="157" t="n">
        <f aca="false">IF(ABS(O32)&gt;Parâmetros!$C$7,ABS(O32)+ROW()/10000000,0)</f>
        <v>0</v>
      </c>
      <c r="U32" s="158" t="n">
        <f aca="false">SUMIFS('3 Base Saldo Inicial 08-09'!$E$2:$E$5000,'3 Base Saldo Inicial 08-09'!$A$2:$A$5000,$A32,'3 Base Saldo Inicial 08-09'!$B$2:$B$5000,$B32)-SUMIFS('3 Base Saldo Inicial 08-09'!$E$2:$E$5000,'3 Base Saldo Inicial 08-09'!$A$2:$A$5000,$A32,'3 Base Saldo Inicial 08-09'!$B$2:$B$5000,$B32,'3 Base Saldo Inicial 08-09'!$C$2:$C$5000,"2008")</f>
        <v>0</v>
      </c>
    </row>
    <row r="33" customFormat="false" ht="15" hidden="false" customHeight="false" outlineLevel="0" collapsed="false">
      <c r="A33" s="155" t="s">
        <v>247</v>
      </c>
      <c r="B33" s="155" t="s">
        <v>348</v>
      </c>
      <c r="C33" s="156" t="s">
        <v>404</v>
      </c>
      <c r="D33" s="157" t="s">
        <v>65</v>
      </c>
      <c r="E33" s="158" t="n">
        <f aca="false">SUMIFS('aux Conciliação Lote'!$E$5:$E$98,'aux Conciliação Lote'!$A$5:$A$98,$A33,'aux Conciliação Lote'!$B$5:$B$98,$B33)</f>
        <v>40.2</v>
      </c>
      <c r="F33" s="158" t="n">
        <f aca="false">SUMIFS('aux Conciliação Lote'!$F$5:$F$98,'aux Conciliação Lote'!$A$5:$A$98,$A33,'aux Conciliação Lote'!$B$5:$B$98,$B33)</f>
        <v>40.2</v>
      </c>
      <c r="G33" s="158" t="n">
        <f aca="false">U33+E33-F33</f>
        <v>0</v>
      </c>
      <c r="H33" s="158" t="n">
        <f aca="false">SUMIFS('aux Conciliação Lote'!$H$5:$H$98,'aux Conciliação Lote'!$A$5:$A$98,$A33,'aux Conciliação Lote'!$B$5:$B$98,$B33)</f>
        <v>116.58</v>
      </c>
      <c r="I33" s="159" t="n">
        <f aca="false">ROUND(H33-G33,2)</f>
        <v>116.58</v>
      </c>
      <c r="J33" s="160" t="str">
        <f aca="false">IF(ABS(I33)&lt;=Parâmetros!$C$7,"Confere",IF(I33&gt;0,"Sobrando","Faltando"))</f>
        <v>Sobrando</v>
      </c>
      <c r="K33" s="155" t="str">
        <f aca="false">IF(J33="Confere","Sem diferença",IF(AND(J33&lt;&gt;"Confere",SUMPRODUCT(($A$14:$A$107=$A33)*($B$14:$B$107&lt;&gt;$B33)*(ABS($I$14:$I$107+$I33)&lt;=Parâmetros!$C$7))&gt;0),"Troca de lote: a mesma quantidade aparece com sinal oposto em outro lote deste SKU",IF(AND(I33&lt;0,H33=0,F33=0),"Entrou no ZBR, mas não está no estoque físico: não chegou ou foi guardado em outro lote",IF(I33&lt;0,"Estoque físico menor que o esperado: saída, ajuste ou perda não lançada no período",IF(ABS(I33-M33)&lt;=Parâmetros!$C$7,"Estoque antigo: toda a sobra está em posições sem movimento desde antes de 09/09",IF(AND(F33&gt;0,ABS(I33-F33)&lt;=Parâmetros!$C$7),"As saídas do período não baixaram o estoque físico",IF(ABS(I33-N33)&lt;=Parâmetros!$C$7,"Quantidade parada em doca, chão ou transferência: entrega ou devolução não baixada",IF(ABS(I33-M33-N33)&lt;=Parâmetros!$C$7,"Estoque antigo + quantidade em doca/chão/transferência",IF(AND(F33&gt;0,ABS(I33-M33-N33-F33)&lt;=Parâmetros!$C$7),IF(M33+N33&gt;0,"Estoque antigo/doca + saídas do período que","Saídas do período que")&amp;" não baixaram o estoque físico",IF(AND(P33&gt;0,ABS(I33-M33-N33-P33)&lt;=Parâmetros!$C$7),IF(M33+N33&gt;0,"Estoque antigo/doca + saídas","Saídas")&amp;" pelo depósito 0355 que não baixaram o estoque físico",IF(M33+N33&gt;0,"Explica em parte: estoque antigo "&amp;FIXED(M33,1)&amp;" + doca/transferência "&amp;FIXED(N33,1)&amp;"; faltam "&amp;FIXED(I33-M33-N33,1)&amp;" a explicar",IF(F33&gt;E33+U33,"Saiu mais do que entrou: havia estoque antes de 09/09 que não está no arquivo","Estoque acima do esperado: entrada não lançada ou saldo anterior ao período"))))))))))))</f>
        <v>Estoque antigo + quantidade em doca/chão/transferência</v>
      </c>
      <c r="L33" s="156" t="str">
        <f aca="false">IF(J33="Confere","Nenhum ajuste necessário",IF(LEFT(K33,5)="Troca","Transferir "&amp;FIXED(ABS(I33),1)&amp;" "&amp;D33&amp;" entre os lotes deste SKU (transferência lote a lote, mov. 309) para corrigir o lote",IF(LEFT(K33,6)="Entrou","Procurar a OT de armazenagem pendente no ZBR. Se não achar: contar e lançar ajuste de inventário de −"&amp;FIXED(ABS(I33),1)&amp;" "&amp;D33,IF(J33="Faltando","Contar o lote. Se a falta se confirmar: lançar a saída esquecida (601) ou ajuste de inventário de −"&amp;FIXED(ABS(I33),1)&amp;" "&amp;D33,IF(LEFT(K33,15)="Estoque antigo:","Confirmar no SAP o saldo de 08/09 ("&amp;FIXED(ABS(M33),1)&amp;" "&amp;D33&amp;"). Se estiver certo, não há ajuste",IF(LEFT(K33,10)="Quantidade","Confirmar ou estornar as OTs em doca/transferência ("&amp;FIXED(ABS(N33),1)&amp;" "&amp;D33&amp;"): guardar na posição ou baixar a entrega",IF(LEFT(K33,16)="Estoque antigo +","Confirmar saldo de 08/09 ("&amp;FIXED(ABS(M33),1)&amp;" "&amp;D33&amp;") e tratar as OTs em doca/transferência ("&amp;FIXED(ABS(N33),1)&amp;" "&amp;D33&amp;")",IF(ISNUMBER(SEARCH("não baixaram",K33)),"Confirmar a OT de saída (picking) das remessas para baixar "&amp;FIXED(ABS(I33-M33-N33),1)&amp;" "&amp;D33&amp;" do estoque físico"&amp;IF(M33+N33&gt;0,"; conferir também estoque antigo/doca",""),IF(LEFT(K33,7)="Explica","Confirmar saldo de 08/09 e OTs de doca; contar o lote para os "&amp;FIXED(ABS(I33-M33-N33),1)&amp;" "&amp;D33&amp;" restantes e ajustar a sobra se confirmada","Confirmar saldo de 08/09; se não existir, contar o lote e lançar ajuste de inventário de +"&amp;FIXED(ABS(I33),1)&amp;" "&amp;D33)))))))))</f>
        <v>Confirmar saldo de 08/09 (36.2 KG) e tratar as OTs em doca/transferência (80.4 KG)</v>
      </c>
      <c r="M33" s="158" t="n">
        <f aca="false">MAX(0,SUMIFS('3 Base Estoque Físico'!$J$2:$J$5000,'3 Base Estoque Físico'!$A$2:$A$5000,$A33,'3 Base Estoque Físico'!$B$2:$B$5000,$B33,'3 Base Estoque Físico'!$I$2:$I$5000,"&lt;"&amp;DATE(2026,9,9))-U33)</f>
        <v>36.18</v>
      </c>
      <c r="N33" s="158" t="n">
        <f aca="false">SUMPRODUCT(('3 Base Estoque Físico'!$A$2:$A$5000=$A33)*('3 Base Estoque Físico'!$B$2:$B$5000=$B33)*('3 Base Estoque Físico'!$I$2:$I$5000&gt;=DATE(2026,9,9))*ISNUMBER(MATCH('3 Base Estoque Físico'!$C$2:$C$5000,{"DCK","TRF","922","FLR","DIF"},0))*'3 Base Estoque Físico'!$J$2:$J$5000)</f>
        <v>80.4</v>
      </c>
      <c r="O33" s="161" t="n">
        <f aca="false">IF(OR(J33="Confere",LEFT(K33,5)="Troca",ISNUMBER(SEARCH("não baixaram",K33))),0,IF(I33&gt;0,MAX(0,ROUND(I33-M33-N33,2)),I33))</f>
        <v>0</v>
      </c>
      <c r="P33" s="158" t="n">
        <f aca="false">SUMIFS('3 Base Saídas'!$R$2:$R$5000,'3 Base Saídas'!$B$2:$B$5000,$A33,'3 Base Saídas'!$C$2:$C$5000,$B33,'3 Base Saídas'!$E$2:$E$5000,"0355")</f>
        <v>0</v>
      </c>
      <c r="Q33" s="157" t="str">
        <f aca="false">IF(J33="Confere","—",IF(LEFT(K33,5)="Troca","Troca de lote",IF(LEFT(K33,6)="Entrou","Não localizado no estoque",IF(J33="Faltando","Falta sem explicação",IF(ISNUMBER(SEARCH("não baixaram",K33)),"Saída sem baixa no estoque",IF(LEFT(K33,10)="Quantidade","Doca/transferência pendente",IF(LEFT(K33,14)="Estoque antigo","Estoque anterior a 09/09",IF(LEFT(K33,7)="Explica","Sobra parcialmente explicada","Sobra sem explicação"))))))))</f>
        <v>Estoque anterior a 09/09</v>
      </c>
      <c r="R33" s="162" t="str">
        <f aca="false">IF(J33="Confere","—",IF(OR(LEFT(K33,6)="Entrou",AND(I33&lt;0,ABS(O33)&gt;=Parâmetros!$K$6)),"Crítica",IF(OR(AND(I33&lt;0,O33&lt;&gt;0),O33&gt;=Parâmetros!$K$7),"Alta",IF(O33&gt;0,"Média","Baixa"))))</f>
        <v>Baixa</v>
      </c>
      <c r="S33" s="157" t="str">
        <f aca="false">A33&amp;"|"&amp;B33</f>
        <v>CHK-R30GOLD-BR-25A|253620301</v>
      </c>
      <c r="T33" s="157" t="n">
        <f aca="false">IF(ABS(O33)&gt;Parâmetros!$C$7,ABS(O33)+ROW()/10000000,0)</f>
        <v>0</v>
      </c>
      <c r="U33" s="158" t="n">
        <f aca="false">SUMIFS('3 Base Saldo Inicial 08-09'!$E$2:$E$5000,'3 Base Saldo Inicial 08-09'!$A$2:$A$5000,$A33,'3 Base Saldo Inicial 08-09'!$B$2:$B$5000,$B33)-SUMIFS('3 Base Saldo Inicial 08-09'!$E$2:$E$5000,'3 Base Saldo Inicial 08-09'!$A$2:$A$5000,$A33,'3 Base Saldo Inicial 08-09'!$B$2:$B$5000,$B33,'3 Base Saldo Inicial 08-09'!$C$2:$C$5000,"2008")</f>
        <v>0</v>
      </c>
    </row>
    <row r="34" customFormat="false" ht="15" hidden="false" customHeight="false" outlineLevel="0" collapsed="false">
      <c r="A34" s="155" t="s">
        <v>220</v>
      </c>
      <c r="B34" s="155" t="s">
        <v>221</v>
      </c>
      <c r="C34" s="156" t="s">
        <v>404</v>
      </c>
      <c r="D34" s="157" t="s">
        <v>65</v>
      </c>
      <c r="E34" s="158" t="n">
        <f aca="false">SUMIFS('aux Conciliação Lote'!$E$5:$E$98,'aux Conciliação Lote'!$A$5:$A$98,$A34,'aux Conciliação Lote'!$B$5:$B$98,$B34)</f>
        <v>3612</v>
      </c>
      <c r="F34" s="158" t="n">
        <f aca="false">SUMIFS('aux Conciliação Lote'!$F$5:$F$98,'aux Conciliação Lote'!$A$5:$A$98,$A34,'aux Conciliação Lote'!$B$5:$B$98,$B34)</f>
        <v>80.4</v>
      </c>
      <c r="G34" s="158" t="n">
        <f aca="false">U34+E34-F34</f>
        <v>3531.6</v>
      </c>
      <c r="H34" s="158" t="n">
        <f aca="false">SUMIFS('aux Conciliação Lote'!$H$5:$H$98,'aux Conciliação Lote'!$A$5:$A$98,$A34,'aux Conciliação Lote'!$B$5:$B$98,$B34)</f>
        <v>3612</v>
      </c>
      <c r="I34" s="159" t="n">
        <f aca="false">ROUND(H34-G34,2)</f>
        <v>80.4</v>
      </c>
      <c r="J34" s="160" t="str">
        <f aca="false">IF(ABS(I34)&lt;=Parâmetros!$C$7,"Confere",IF(I34&gt;0,"Sobrando","Faltando"))</f>
        <v>Sobrando</v>
      </c>
      <c r="K34" s="155" t="str">
        <f aca="false">IF(J34="Confere","Sem diferença",IF(AND(J34&lt;&gt;"Confere",SUMPRODUCT(($A$14:$A$107=$A34)*($B$14:$B$107&lt;&gt;$B34)*(ABS($I$14:$I$107+$I34)&lt;=Parâmetros!$C$7))&gt;0),"Troca de lote: a mesma quantidade aparece com sinal oposto em outro lote deste SKU",IF(AND(I34&lt;0,H34=0,F34=0),"Entrou no ZBR, mas não está no estoque físico: não chegou ou foi guardado em outro lote",IF(I34&lt;0,"Estoque físico menor que o esperado: saída, ajuste ou perda não lançada no período",IF(ABS(I34-M34)&lt;=Parâmetros!$C$7,"Estoque antigo: toda a sobra está em posições sem movimento desde antes de 09/09",IF(AND(F34&gt;0,ABS(I34-F34)&lt;=Parâmetros!$C$7),"As saídas do período não baixaram o estoque físico",IF(ABS(I34-N34)&lt;=Parâmetros!$C$7,"Quantidade parada em doca, chão ou transferência: entrega ou devolução não baixada",IF(ABS(I34-M34-N34)&lt;=Parâmetros!$C$7,"Estoque antigo + quantidade em doca/chão/transferência",IF(AND(F34&gt;0,ABS(I34-M34-N34-F34)&lt;=Parâmetros!$C$7),IF(M34+N34&gt;0,"Estoque antigo/doca + saídas do período que","Saídas do período que")&amp;" não baixaram o estoque físico",IF(AND(P34&gt;0,ABS(I34-M34-N34-P34)&lt;=Parâmetros!$C$7),IF(M34+N34&gt;0,"Estoque antigo/doca + saídas","Saídas")&amp;" pelo depósito 0355 que não baixaram o estoque físico",IF(M34+N34&gt;0,"Explica em parte: estoque antigo "&amp;FIXED(M34,1)&amp;" + doca/transferência "&amp;FIXED(N34,1)&amp;"; faltam "&amp;FIXED(I34-M34-N34,1)&amp;" a explicar",IF(F34&gt;E34+U34,"Saiu mais do que entrou: havia estoque antes de 09/09 que não está no arquivo","Estoque acima do esperado: entrada não lançada ou saldo anterior ao período"))))))))))))</f>
        <v>As saídas do período não baixaram o estoque físico</v>
      </c>
      <c r="L34" s="156" t="str">
        <f aca="false">IF(J34="Confere","Nenhum ajuste necessário",IF(LEFT(K34,5)="Troca","Transferir "&amp;FIXED(ABS(I34),1)&amp;" "&amp;D34&amp;" entre os lotes deste SKU (transferência lote a lote, mov. 309) para corrigir o lote",IF(LEFT(K34,6)="Entrou","Procurar a OT de armazenagem pendente no ZBR. Se não achar: contar e lançar ajuste de inventário de −"&amp;FIXED(ABS(I34),1)&amp;" "&amp;D34,IF(J34="Faltando","Contar o lote. Se a falta se confirmar: lançar a saída esquecida (601) ou ajuste de inventário de −"&amp;FIXED(ABS(I34),1)&amp;" "&amp;D34,IF(LEFT(K34,15)="Estoque antigo:","Confirmar no SAP o saldo de 08/09 ("&amp;FIXED(ABS(M34),1)&amp;" "&amp;D34&amp;"). Se estiver certo, não há ajuste",IF(LEFT(K34,10)="Quantidade","Confirmar ou estornar as OTs em doca/transferência ("&amp;FIXED(ABS(N34),1)&amp;" "&amp;D34&amp;"): guardar na posição ou baixar a entrega",IF(LEFT(K34,16)="Estoque antigo +","Confirmar saldo de 08/09 ("&amp;FIXED(ABS(M34),1)&amp;" "&amp;D34&amp;") e tratar as OTs em doca/transferência ("&amp;FIXED(ABS(N34),1)&amp;" "&amp;D34&amp;")",IF(ISNUMBER(SEARCH("não baixaram",K34)),"Confirmar a OT de saída (picking) das remessas para baixar "&amp;FIXED(ABS(I34-M34-N34),1)&amp;" "&amp;D34&amp;" do estoque físico"&amp;IF(M34+N34&gt;0,"; conferir também estoque antigo/doca",""),IF(LEFT(K34,7)="Explica","Confirmar saldo de 08/09 e OTs de doca; contar o lote para os "&amp;FIXED(ABS(I34-M34-N34),1)&amp;" "&amp;D34&amp;" restantes e ajustar a sobra se confirmada","Confirmar saldo de 08/09; se não existir, contar o lote e lançar ajuste de inventário de +"&amp;FIXED(ABS(I34),1)&amp;" "&amp;D34)))))))))</f>
        <v>Confirmar a OT de saída (picking) das remessas para baixar 1,119.6 KG do estoque físico; conferir também estoque antigo/doca</v>
      </c>
      <c r="M34" s="158" t="n">
        <f aca="false">MAX(0,SUMIFS('3 Base Estoque Físico'!$J$2:$J$5000,'3 Base Estoque Físico'!$A$2:$A$5000,$A34,'3 Base Estoque Físico'!$B$2:$B$5000,$B34,'3 Base Estoque Físico'!$I$2:$I$5000,"&lt;"&amp;DATE(2026,9,9))-U34)</f>
        <v>0</v>
      </c>
      <c r="N34" s="158" t="n">
        <f aca="false">SUMPRODUCT(('3 Base Estoque Físico'!$A$2:$A$5000=$A34)*('3 Base Estoque Físico'!$B$2:$B$5000=$B34)*('3 Base Estoque Físico'!$I$2:$I$5000&gt;=DATE(2026,9,9))*ISNUMBER(MATCH('3 Base Estoque Físico'!$C$2:$C$5000,{"DCK","TRF","922","FLR","DIF"},0))*'3 Base Estoque Físico'!$J$2:$J$5000)</f>
        <v>1200</v>
      </c>
      <c r="O34" s="161" t="n">
        <f aca="false">IF(OR(J34="Confere",LEFT(K34,5)="Troca",ISNUMBER(SEARCH("não baixaram",K34))),0,IF(I34&gt;0,MAX(0,ROUND(I34-M34-N34,2)),I34))</f>
        <v>0</v>
      </c>
      <c r="P34" s="158" t="n">
        <f aca="false">SUMIFS('3 Base Saídas'!$R$2:$R$5000,'3 Base Saídas'!$B$2:$B$5000,$A34,'3 Base Saídas'!$C$2:$C$5000,$B34,'3 Base Saídas'!$E$2:$E$5000,"0355")</f>
        <v>0</v>
      </c>
      <c r="Q34" s="157" t="str">
        <f aca="false">IF(J34="Confere","—",IF(LEFT(K34,5)="Troca","Troca de lote",IF(LEFT(K34,6)="Entrou","Não localizado no estoque",IF(J34="Faltando","Falta sem explicação",IF(ISNUMBER(SEARCH("não baixaram",K34)),"Saída sem baixa no estoque",IF(LEFT(K34,10)="Quantidade","Doca/transferência pendente",IF(LEFT(K34,14)="Estoque antigo","Estoque anterior a 09/09",IF(LEFT(K34,7)="Explica","Sobra parcialmente explicada","Sobra sem explicação"))))))))</f>
        <v>Saída sem baixa no estoque</v>
      </c>
      <c r="R34" s="162" t="str">
        <f aca="false">IF(J34="Confere","—",IF(OR(LEFT(K34,6)="Entrou",AND(I34&lt;0,ABS(O34)&gt;=Parâmetros!$K$6)),"Crítica",IF(OR(AND(I34&lt;0,O34&lt;&gt;0),O34&gt;=Parâmetros!$K$7),"Alta",IF(O34&gt;0,"Média","Baixa"))))</f>
        <v>Baixa</v>
      </c>
      <c r="S34" s="157" t="str">
        <f aca="false">A34&amp;"|"&amp;B34</f>
        <v>823-BR-25A|252900303</v>
      </c>
      <c r="T34" s="157" t="n">
        <f aca="false">IF(ABS(O34)&gt;Parâmetros!$C$7,ABS(O34)+ROW()/10000000,0)</f>
        <v>0</v>
      </c>
      <c r="U34" s="158" t="n">
        <f aca="false">SUMIFS('3 Base Saldo Inicial 08-09'!$E$2:$E$5000,'3 Base Saldo Inicial 08-09'!$A$2:$A$5000,$A34,'3 Base Saldo Inicial 08-09'!$B$2:$B$5000,$B34)-SUMIFS('3 Base Saldo Inicial 08-09'!$E$2:$E$5000,'3 Base Saldo Inicial 08-09'!$A$2:$A$5000,$A34,'3 Base Saldo Inicial 08-09'!$B$2:$B$5000,$B34,'3 Base Saldo Inicial 08-09'!$C$2:$C$5000,"2008")</f>
        <v>0</v>
      </c>
    </row>
    <row r="35" customFormat="false" ht="15" hidden="false" customHeight="false" outlineLevel="0" collapsed="false">
      <c r="A35" s="155" t="s">
        <v>250</v>
      </c>
      <c r="B35" s="155" t="s">
        <v>251</v>
      </c>
      <c r="C35" s="156" t="s">
        <v>1104</v>
      </c>
      <c r="D35" s="157" t="s">
        <v>65</v>
      </c>
      <c r="E35" s="158" t="n">
        <f aca="false">SUMIFS('aux Conciliação Lote'!$E$5:$E$98,'aux Conciliação Lote'!$A$5:$A$98,$A35,'aux Conciliação Lote'!$B$5:$B$98,$B35)</f>
        <v>806.4</v>
      </c>
      <c r="F35" s="158" t="n">
        <f aca="false">SUMIFS('aux Conciliação Lote'!$F$5:$F$98,'aux Conciliação Lote'!$A$5:$A$98,$A35,'aux Conciliação Lote'!$B$5:$B$98,$B35)</f>
        <v>53.2</v>
      </c>
      <c r="G35" s="158" t="n">
        <f aca="false">U35+E35-F35</f>
        <v>753.2</v>
      </c>
      <c r="H35" s="158" t="n">
        <f aca="false">SUMIFS('aux Conciliação Lote'!$H$5:$H$98,'aux Conciliação Lote'!$A$5:$A$98,$A35,'aux Conciliação Lote'!$B$5:$B$98,$B35)</f>
        <v>825.999</v>
      </c>
      <c r="I35" s="159" t="n">
        <f aca="false">ROUND(H35-G35,2)</f>
        <v>72.8</v>
      </c>
      <c r="J35" s="160" t="str">
        <f aca="false">IF(ABS(I35)&lt;=Parâmetros!$C$7,"Confere",IF(I35&gt;0,"Sobrando","Faltando"))</f>
        <v>Sobrando</v>
      </c>
      <c r="K35" s="155" t="str">
        <f aca="false">IF(J35="Confere","Sem diferença",IF(AND(J35&lt;&gt;"Confere",SUMPRODUCT(($A$14:$A$107=$A35)*($B$14:$B$107&lt;&gt;$B35)*(ABS($I$14:$I$107+$I35)&lt;=Parâmetros!$C$7))&gt;0),"Troca de lote: a mesma quantidade aparece com sinal oposto em outro lote deste SKU",IF(AND(I35&lt;0,H35=0,F35=0),"Entrou no ZBR, mas não está no estoque físico: não chegou ou foi guardado em outro lote",IF(I35&lt;0,"Estoque físico menor que o esperado: saída, ajuste ou perda não lançada no período",IF(ABS(I35-M35)&lt;=Parâmetros!$C$7,"Estoque antigo: toda a sobra está em posições sem movimento desde antes de 09/09",IF(AND(F35&gt;0,ABS(I35-F35)&lt;=Parâmetros!$C$7),"As saídas do período não baixaram o estoque físico",IF(ABS(I35-N35)&lt;=Parâmetros!$C$7,"Quantidade parada em doca, chão ou transferência: entrega ou devolução não baixada",IF(ABS(I35-M35-N35)&lt;=Parâmetros!$C$7,"Estoque antigo + quantidade em doca/chão/transferência",IF(AND(F35&gt;0,ABS(I35-M35-N35-F35)&lt;=Parâmetros!$C$7),IF(M35+N35&gt;0,"Estoque antigo/doca + saídas do período que","Saídas do período que")&amp;" não baixaram o estoque físico",IF(AND(P35&gt;0,ABS(I35-M35-N35-P35)&lt;=Parâmetros!$C$7),IF(M35+N35&gt;0,"Estoque antigo/doca + saídas","Saídas")&amp;" pelo depósito 0355 que não baixaram o estoque físico",IF(M35+N35&gt;0,"Explica em parte: estoque antigo "&amp;FIXED(M35,1)&amp;" + doca/transferência "&amp;FIXED(N35,1)&amp;"; faltam "&amp;FIXED(I35-M35-N35,1)&amp;" a explicar",IF(F35&gt;E35+U35,"Saiu mais do que entrou: havia estoque antes de 09/09 que não está no arquivo","Estoque acima do esperado: entrada não lançada ou saldo anterior ao período"))))))))))))</f>
        <v>Estoque antigo/doca + saídas do período que não baixaram o estoque físico</v>
      </c>
      <c r="L35" s="156" t="str">
        <f aca="false">IF(J35="Confere","Nenhum ajuste necessário",IF(LEFT(K35,5)="Troca","Transferir "&amp;FIXED(ABS(I35),1)&amp;" "&amp;D35&amp;" entre os lotes deste SKU (transferência lote a lote, mov. 309) para corrigir o lote",IF(LEFT(K35,6)="Entrou","Procurar a OT de armazenagem pendente no ZBR. Se não achar: contar e lançar ajuste de inventário de −"&amp;FIXED(ABS(I35),1)&amp;" "&amp;D35,IF(J35="Faltando","Contar o lote. Se a falta se confirmar: lançar a saída esquecida (601) ou ajuste de inventário de −"&amp;FIXED(ABS(I35),1)&amp;" "&amp;D35,IF(LEFT(K35,15)="Estoque antigo:","Confirmar no SAP o saldo de 08/09 ("&amp;FIXED(ABS(M35),1)&amp;" "&amp;D35&amp;"). Se estiver certo, não há ajuste",IF(LEFT(K35,10)="Quantidade","Confirmar ou estornar as OTs em doca/transferência ("&amp;FIXED(ABS(N35),1)&amp;" "&amp;D35&amp;"): guardar na posição ou baixar a entrega",IF(LEFT(K35,16)="Estoque antigo +","Confirmar saldo de 08/09 ("&amp;FIXED(ABS(M35),1)&amp;" "&amp;D35&amp;") e tratar as OTs em doca/transferência ("&amp;FIXED(ABS(N35),1)&amp;" "&amp;D35&amp;")",IF(ISNUMBER(SEARCH("não baixaram",K35)),"Confirmar a OT de saída (picking) das remessas para baixar "&amp;FIXED(ABS(I35-M35-N35),1)&amp;" "&amp;D35&amp;" do estoque físico"&amp;IF(M35+N35&gt;0,"; conferir também estoque antigo/doca",""),IF(LEFT(K35,7)="Explica","Confirmar saldo de 08/09 e OTs de doca; contar o lote para os "&amp;FIXED(ABS(I35-M35-N35),1)&amp;" "&amp;D35&amp;" restantes e ajustar a sobra se confirmada","Confirmar saldo de 08/09; se não existir, contar o lote e lançar ajuste de inventário de +"&amp;FIXED(ABS(I35),1)&amp;" "&amp;D35)))))))))</f>
        <v>Confirmar a OT de saída (picking) das remessas para baixar 53.2 KG do estoque físico; conferir também estoque antigo/doca</v>
      </c>
      <c r="M35" s="158" t="n">
        <f aca="false">MAX(0,SUMIFS('3 Base Estoque Físico'!$J$2:$J$5000,'3 Base Estoque Físico'!$A$2:$A$5000,$A35,'3 Base Estoque Físico'!$B$2:$B$5000,$B35,'3 Base Estoque Físico'!$I$2:$I$5000,"&lt;"&amp;DATE(2026,9,9))-U35)</f>
        <v>0</v>
      </c>
      <c r="N35" s="158" t="n">
        <f aca="false">SUMPRODUCT(('3 Base Estoque Físico'!$A$2:$A$5000=$A35)*('3 Base Estoque Físico'!$B$2:$B$5000=$B35)*('3 Base Estoque Físico'!$I$2:$I$5000&gt;=DATE(2026,9,9))*ISNUMBER(MATCH('3 Base Estoque Físico'!$C$2:$C$5000,{"DCK","TRF","922","FLR","DIF"},0))*'3 Base Estoque Físico'!$J$2:$J$5000)</f>
        <v>19.599</v>
      </c>
      <c r="O35" s="161" t="n">
        <f aca="false">IF(OR(J35="Confere",LEFT(K35,5)="Troca",ISNUMBER(SEARCH("não baixaram",K35))),0,IF(I35&gt;0,MAX(0,ROUND(I35-M35-N35,2)),I35))</f>
        <v>0</v>
      </c>
      <c r="P35" s="158" t="n">
        <f aca="false">SUMIFS('3 Base Saídas'!$R$2:$R$5000,'3 Base Saídas'!$B$2:$B$5000,$A35,'3 Base Saídas'!$C$2:$C$5000,$B35,'3 Base Saídas'!$E$2:$E$5000,"0355")</f>
        <v>53.2</v>
      </c>
      <c r="Q35" s="157" t="str">
        <f aca="false">IF(J35="Confere","—",IF(LEFT(K35,5)="Troca","Troca de lote",IF(LEFT(K35,6)="Entrou","Não localizado no estoque",IF(J35="Faltando","Falta sem explicação",IF(ISNUMBER(SEARCH("não baixaram",K35)),"Saída sem baixa no estoque",IF(LEFT(K35,10)="Quantidade","Doca/transferência pendente",IF(LEFT(K35,14)="Estoque antigo","Estoque anterior a 09/09",IF(LEFT(K35,7)="Explica","Sobra parcialmente explicada","Sobra sem explicação"))))))))</f>
        <v>Saída sem baixa no estoque</v>
      </c>
      <c r="R35" s="162" t="str">
        <f aca="false">IF(J35="Confere","—",IF(OR(LEFT(K35,6)="Entrou",AND(I35&lt;0,ABS(O35)&gt;=Parâmetros!$K$6)),"Crítica",IF(OR(AND(I35&lt;0,O35&lt;&gt;0),O35&gt;=Parâmetros!$K$7),"Alta",IF(O35&gt;0,"Média","Baixa"))))</f>
        <v>Baixa</v>
      </c>
      <c r="S35" s="157" t="str">
        <f aca="false">A35&amp;"|"&amp;B35</f>
        <v>CHK-R30GOLD-E0-D94|260720939</v>
      </c>
      <c r="T35" s="157" t="n">
        <f aca="false">IF(ABS(O35)&gt;Parâmetros!$C$7,ABS(O35)+ROW()/10000000,0)</f>
        <v>0</v>
      </c>
      <c r="U35" s="158" t="n">
        <f aca="false">SUMIFS('3 Base Saldo Inicial 08-09'!$E$2:$E$5000,'3 Base Saldo Inicial 08-09'!$A$2:$A$5000,$A35,'3 Base Saldo Inicial 08-09'!$B$2:$B$5000,$B35)-SUMIFS('3 Base Saldo Inicial 08-09'!$E$2:$E$5000,'3 Base Saldo Inicial 08-09'!$A$2:$A$5000,$A35,'3 Base Saldo Inicial 08-09'!$B$2:$B$5000,$B35,'3 Base Saldo Inicial 08-09'!$C$2:$C$5000,"2008")</f>
        <v>0</v>
      </c>
    </row>
    <row r="36" customFormat="false" ht="15" hidden="false" customHeight="false" outlineLevel="0" collapsed="false">
      <c r="A36" s="155" t="s">
        <v>232</v>
      </c>
      <c r="B36" s="155" t="s">
        <v>241</v>
      </c>
      <c r="C36" s="156" t="s">
        <v>939</v>
      </c>
      <c r="D36" s="157" t="s">
        <v>146</v>
      </c>
      <c r="E36" s="158" t="n">
        <f aca="false">SUMIFS('aux Conciliação Lote'!$E$5:$E$98,'aux Conciliação Lote'!$A$5:$A$98,$A36,'aux Conciliação Lote'!$B$5:$B$98,$B36)</f>
        <v>450</v>
      </c>
      <c r="F36" s="158" t="n">
        <f aca="false">SUMIFS('aux Conciliação Lote'!$F$5:$F$98,'aux Conciliação Lote'!$A$5:$A$98,$A36,'aux Conciliação Lote'!$B$5:$B$98,$B36)</f>
        <v>510</v>
      </c>
      <c r="G36" s="158" t="n">
        <f aca="false">U36+E36-F36</f>
        <v>-60</v>
      </c>
      <c r="H36" s="158" t="n">
        <f aca="false">SUMIFS('aux Conciliação Lote'!$H$5:$H$98,'aux Conciliação Lote'!$A$5:$A$98,$A36,'aux Conciliação Lote'!$B$5:$B$98,$B36)</f>
        <v>0</v>
      </c>
      <c r="I36" s="159" t="n">
        <f aca="false">ROUND(H36-G36,2)</f>
        <v>60</v>
      </c>
      <c r="J36" s="160" t="str">
        <f aca="false">IF(ABS(I36)&lt;=Parâmetros!$C$7,"Confere",IF(I36&gt;0,"Sobrando","Faltando"))</f>
        <v>Sobrando</v>
      </c>
      <c r="K36" s="155" t="str">
        <f aca="false">IF(J36="Confere","Sem diferença",IF(AND(J36&lt;&gt;"Confere",SUMPRODUCT(($A$14:$A$107=$A36)*($B$14:$B$107&lt;&gt;$B36)*(ABS($I$14:$I$107+$I36)&lt;=Parâmetros!$C$7))&gt;0),"Troca de lote: a mesma quantidade aparece com sinal oposto em outro lote deste SKU",IF(AND(I36&lt;0,H36=0,F36=0),"Entrou no ZBR, mas não está no estoque físico: não chegou ou foi guardado em outro lote",IF(I36&lt;0,"Estoque físico menor que o esperado: saída, ajuste ou perda não lançada no período",IF(ABS(I36-M36)&lt;=Parâmetros!$C$7,"Estoque antigo: toda a sobra está em posições sem movimento desde antes de 09/09",IF(AND(F36&gt;0,ABS(I36-F36)&lt;=Parâmetros!$C$7),"As saídas do período não baixaram o estoque físico",IF(ABS(I36-N36)&lt;=Parâmetros!$C$7,"Quantidade parada em doca, chão ou transferência: entrega ou devolução não baixada",IF(ABS(I36-M36-N36)&lt;=Parâmetros!$C$7,"Estoque antigo + quantidade em doca/chão/transferência",IF(AND(F36&gt;0,ABS(I36-M36-N36-F36)&lt;=Parâmetros!$C$7),IF(M36+N36&gt;0,"Estoque antigo/doca + saídas do período que","Saídas do período que")&amp;" não baixaram o estoque físico",IF(AND(P36&gt;0,ABS(I36-M36-N36-P36)&lt;=Parâmetros!$C$7),IF(M36+N36&gt;0,"Estoque antigo/doca + saídas","Saídas")&amp;" pelo depósito 0355 que não baixaram o estoque físico",IF(M36+N36&gt;0,"Explica em parte: estoque antigo "&amp;FIXED(M36,1)&amp;" + doca/transferência "&amp;FIXED(N36,1)&amp;"; faltam "&amp;FIXED(I36-M36-N36,1)&amp;" a explicar",IF(F36&gt;E36+U36,"Saiu mais do que entrou: havia estoque antes de 09/09 que não está no arquivo","Estoque acima do esperado: entrada não lançada ou saldo anterior ao período"))))))))))))</f>
        <v>Saídas pelo depósito 0355 que não baixaram o estoque físico</v>
      </c>
      <c r="L36" s="156" t="str">
        <f aca="false">IF(J36="Confere","Nenhum ajuste necessário",IF(LEFT(K36,5)="Troca","Transferir "&amp;FIXED(ABS(I36),1)&amp;" "&amp;D36&amp;" entre os lotes deste SKU (transferência lote a lote, mov. 309) para corrigir o lote",IF(LEFT(K36,6)="Entrou","Procurar a OT de armazenagem pendente no ZBR. Se não achar: contar e lançar ajuste de inventário de −"&amp;FIXED(ABS(I36),1)&amp;" "&amp;D36,IF(J36="Faltando","Contar o lote. Se a falta se confirmar: lançar a saída esquecida (601) ou ajuste de inventário de −"&amp;FIXED(ABS(I36),1)&amp;" "&amp;D36,IF(LEFT(K36,15)="Estoque antigo:","Confirmar no SAP o saldo de 08/09 ("&amp;FIXED(ABS(M36),1)&amp;" "&amp;D36&amp;"). Se estiver certo, não há ajuste",IF(LEFT(K36,10)="Quantidade","Confirmar ou estornar as OTs em doca/transferência ("&amp;FIXED(ABS(N36),1)&amp;" "&amp;D36&amp;"): guardar na posição ou baixar a entrega",IF(LEFT(K36,16)="Estoque antigo +","Confirmar saldo de 08/09 ("&amp;FIXED(ABS(M36),1)&amp;" "&amp;D36&amp;") e tratar as OTs em doca/transferência ("&amp;FIXED(ABS(N36),1)&amp;" "&amp;D36&amp;")",IF(ISNUMBER(SEARCH("não baixaram",K36)),"Confirmar a OT de saída (picking) das remessas para baixar "&amp;FIXED(ABS(I36-M36-N36),1)&amp;" "&amp;D36&amp;" do estoque físico"&amp;IF(M36+N36&gt;0,"; conferir também estoque antigo/doca",""),IF(LEFT(K36,7)="Explica","Confirmar saldo de 08/09 e OTs de doca; contar o lote para os "&amp;FIXED(ABS(I36-M36-N36),1)&amp;" "&amp;D36&amp;" restantes e ajustar a sobra se confirmada","Confirmar saldo de 08/09; se não existir, contar o lote e lançar ajuste de inventário de +"&amp;FIXED(ABS(I36),1)&amp;" "&amp;D36)))))))))</f>
        <v>Confirmar a OT de saída (picking) das remessas para baixar 60.0 UN do estoque físico</v>
      </c>
      <c r="M36" s="158" t="n">
        <f aca="false">MAX(0,SUMIFS('3 Base Estoque Físico'!$J$2:$J$5000,'3 Base Estoque Físico'!$A$2:$A$5000,$A36,'3 Base Estoque Físico'!$B$2:$B$5000,$B36,'3 Base Estoque Físico'!$I$2:$I$5000,"&lt;"&amp;DATE(2026,9,9))-U36)</f>
        <v>0</v>
      </c>
      <c r="N36" s="158" t="n">
        <f aca="false">SUMPRODUCT(('3 Base Estoque Físico'!$A$2:$A$5000=$A36)*('3 Base Estoque Físico'!$B$2:$B$5000=$B36)*('3 Base Estoque Físico'!$I$2:$I$5000&gt;=DATE(2026,9,9))*ISNUMBER(MATCH('3 Base Estoque Físico'!$C$2:$C$5000,{"DCK","TRF","922","FLR","DIF"},0))*'3 Base Estoque Físico'!$J$2:$J$5000)</f>
        <v>0</v>
      </c>
      <c r="O36" s="161" t="n">
        <f aca="false">IF(OR(J36="Confere",LEFT(K36,5)="Troca",ISNUMBER(SEARCH("não baixaram",K36))),0,IF(I36&gt;0,MAX(0,ROUND(I36-M36-N36,2)),I36))</f>
        <v>0</v>
      </c>
      <c r="P36" s="158" t="n">
        <f aca="false">SUMIFS('3 Base Saídas'!$R$2:$R$5000,'3 Base Saídas'!$B$2:$B$5000,$A36,'3 Base Saídas'!$C$2:$C$5000,$B36,'3 Base Saídas'!$E$2:$E$5000,"0355")</f>
        <v>60</v>
      </c>
      <c r="Q36" s="157" t="str">
        <f aca="false">IF(J36="Confere","—",IF(LEFT(K36,5)="Troca","Troca de lote",IF(LEFT(K36,6)="Entrou","Não localizado no estoque",IF(J36="Faltando","Falta sem explicação",IF(ISNUMBER(SEARCH("não baixaram",K36)),"Saída sem baixa no estoque",IF(LEFT(K36,10)="Quantidade","Doca/transferência pendente",IF(LEFT(K36,14)="Estoque antigo","Estoque anterior a 09/09",IF(LEFT(K36,7)="Explica","Sobra parcialmente explicada","Sobra sem explicação"))))))))</f>
        <v>Saída sem baixa no estoque</v>
      </c>
      <c r="R36" s="162" t="str">
        <f aca="false">IF(J36="Confere","—",IF(OR(LEFT(K36,6)="Entrou",AND(I36&lt;0,ABS(O36)&gt;=Parâmetros!$K$6)),"Crítica",IF(OR(AND(I36&lt;0,O36&lt;&gt;0),O36&gt;=Parâmetros!$K$7),"Alta",IF(O36&gt;0,"Média","Baixa"))))</f>
        <v>Baixa</v>
      </c>
      <c r="S36" s="157" t="str">
        <f aca="false">A36&amp;"|"&amp;B36</f>
        <v>CHD-BB-308BY-357|2529678000</v>
      </c>
      <c r="T36" s="157" t="n">
        <f aca="false">IF(ABS(O36)&gt;Parâmetros!$C$7,ABS(O36)+ROW()/10000000,0)</f>
        <v>0</v>
      </c>
      <c r="U36" s="158" t="n">
        <f aca="false">SUMIFS('3 Base Saldo Inicial 08-09'!$E$2:$E$5000,'3 Base Saldo Inicial 08-09'!$A$2:$A$5000,$A36,'3 Base Saldo Inicial 08-09'!$B$2:$B$5000,$B36)-SUMIFS('3 Base Saldo Inicial 08-09'!$E$2:$E$5000,'3 Base Saldo Inicial 08-09'!$A$2:$A$5000,$A36,'3 Base Saldo Inicial 08-09'!$B$2:$B$5000,$B36,'3 Base Saldo Inicial 08-09'!$C$2:$C$5000,"2008")</f>
        <v>0</v>
      </c>
    </row>
    <row r="37" customFormat="false" ht="15" hidden="false" customHeight="false" outlineLevel="0" collapsed="false">
      <c r="A37" s="155" t="s">
        <v>354</v>
      </c>
      <c r="B37" s="155" t="s">
        <v>355</v>
      </c>
      <c r="C37" s="156" t="s">
        <v>1147</v>
      </c>
      <c r="D37" s="157" t="s">
        <v>65</v>
      </c>
      <c r="E37" s="158" t="n">
        <f aca="false">SUMIFS('aux Conciliação Lote'!$E$5:$E$98,'aux Conciliação Lote'!$A$5:$A$98,$A37,'aux Conciliação Lote'!$B$5:$B$98,$B37)</f>
        <v>10</v>
      </c>
      <c r="F37" s="158" t="n">
        <f aca="false">SUMIFS('aux Conciliação Lote'!$F$5:$F$98,'aux Conciliação Lote'!$A$5:$A$98,$A37,'aux Conciliação Lote'!$B$5:$B$98,$B37)</f>
        <v>60</v>
      </c>
      <c r="G37" s="158" t="n">
        <f aca="false">U37+E37-F37</f>
        <v>-50</v>
      </c>
      <c r="H37" s="158" t="n">
        <f aca="false">SUMIFS('aux Conciliação Lote'!$H$5:$H$98,'aux Conciliação Lote'!$A$5:$A$98,$A37,'aux Conciliação Lote'!$B$5:$B$98,$B37)</f>
        <v>10</v>
      </c>
      <c r="I37" s="159" t="n">
        <f aca="false">ROUND(H37-G37,2)</f>
        <v>60</v>
      </c>
      <c r="J37" s="160" t="str">
        <f aca="false">IF(ABS(I37)&lt;=Parâmetros!$C$7,"Confere",IF(I37&gt;0,"Sobrando","Faltando"))</f>
        <v>Sobrando</v>
      </c>
      <c r="K37" s="155" t="str">
        <f aca="false">IF(J37="Confere","Sem diferença",IF(AND(J37&lt;&gt;"Confere",SUMPRODUCT(($A$14:$A$107=$A37)*($B$14:$B$107&lt;&gt;$B37)*(ABS($I$14:$I$107+$I37)&lt;=Parâmetros!$C$7))&gt;0),"Troca de lote: a mesma quantidade aparece com sinal oposto em outro lote deste SKU",IF(AND(I37&lt;0,H37=0,F37=0),"Entrou no ZBR, mas não está no estoque físico: não chegou ou foi guardado em outro lote",IF(I37&lt;0,"Estoque físico menor que o esperado: saída, ajuste ou perda não lançada no período",IF(ABS(I37-M37)&lt;=Parâmetros!$C$7,"Estoque antigo: toda a sobra está em posições sem movimento desde antes de 09/09",IF(AND(F37&gt;0,ABS(I37-F37)&lt;=Parâmetros!$C$7),"As saídas do período não baixaram o estoque físico",IF(ABS(I37-N37)&lt;=Parâmetros!$C$7,"Quantidade parada em doca, chão ou transferência: entrega ou devolução não baixada",IF(ABS(I37-M37-N37)&lt;=Parâmetros!$C$7,"Estoque antigo + quantidade em doca/chão/transferência",IF(AND(F37&gt;0,ABS(I37-M37-N37-F37)&lt;=Parâmetros!$C$7),IF(M37+N37&gt;0,"Estoque antigo/doca + saídas do período que","Saídas do período que")&amp;" não baixaram o estoque físico",IF(AND(P37&gt;0,ABS(I37-M37-N37-P37)&lt;=Parâmetros!$C$7),IF(M37+N37&gt;0,"Estoque antigo/doca + saídas","Saídas")&amp;" pelo depósito 0355 que não baixaram o estoque físico",IF(M37+N37&gt;0,"Explica em parte: estoque antigo "&amp;FIXED(M37,1)&amp;" + doca/transferência "&amp;FIXED(N37,1)&amp;"; faltam "&amp;FIXED(I37-M37-N37,1)&amp;" a explicar",IF(F37&gt;E37+U37,"Saiu mais do que entrou: havia estoque antes de 09/09 que não está no arquivo","Estoque acima do esperado: entrada não lançada ou saldo anterior ao período"))))))))))))</f>
        <v>As saídas do período não baixaram o estoque físico</v>
      </c>
      <c r="L37" s="156" t="str">
        <f aca="false">IF(J37="Confere","Nenhum ajuste necessário",IF(LEFT(K37,5)="Troca","Transferir "&amp;FIXED(ABS(I37),1)&amp;" "&amp;D37&amp;" entre os lotes deste SKU (transferência lote a lote, mov. 309) para corrigir o lote",IF(LEFT(K37,6)="Entrou","Procurar a OT de armazenagem pendente no ZBR. Se não achar: contar e lançar ajuste de inventário de −"&amp;FIXED(ABS(I37),1)&amp;" "&amp;D37,IF(J37="Faltando","Contar o lote. Se a falta se confirmar: lançar a saída esquecida (601) ou ajuste de inventário de −"&amp;FIXED(ABS(I37),1)&amp;" "&amp;D37,IF(LEFT(K37,15)="Estoque antigo:","Confirmar no SAP o saldo de 08/09 ("&amp;FIXED(ABS(M37),1)&amp;" "&amp;D37&amp;"). Se estiver certo, não há ajuste",IF(LEFT(K37,10)="Quantidade","Confirmar ou estornar as OTs em doca/transferência ("&amp;FIXED(ABS(N37),1)&amp;" "&amp;D37&amp;"): guardar na posição ou baixar a entrega",IF(LEFT(K37,16)="Estoque antigo +","Confirmar saldo de 08/09 ("&amp;FIXED(ABS(M37),1)&amp;" "&amp;D37&amp;") e tratar as OTs em doca/transferência ("&amp;FIXED(ABS(N37),1)&amp;" "&amp;D37&amp;")",IF(ISNUMBER(SEARCH("não baixaram",K37)),"Confirmar a OT de saída (picking) das remessas para baixar "&amp;FIXED(ABS(I37-M37-N37),1)&amp;" "&amp;D37&amp;" do estoque físico"&amp;IF(M37+N37&gt;0,"; conferir também estoque antigo/doca",""),IF(LEFT(K37,7)="Explica","Confirmar saldo de 08/09 e OTs de doca; contar o lote para os "&amp;FIXED(ABS(I37-M37-N37),1)&amp;" "&amp;D37&amp;" restantes e ajustar a sobra se confirmada","Confirmar saldo de 08/09; se não existir, contar o lote e lançar ajuste de inventário de +"&amp;FIXED(ABS(I37),1)&amp;" "&amp;D37)))))))))</f>
        <v>Confirmar a OT de saída (picking) das remessas para baixar 50.0 KG do estoque físico; conferir também estoque antigo/doca</v>
      </c>
      <c r="M37" s="158" t="n">
        <f aca="false">MAX(0,SUMIFS('3 Base Estoque Físico'!$J$2:$J$5000,'3 Base Estoque Físico'!$A$2:$A$5000,$A37,'3 Base Estoque Físico'!$B$2:$B$5000,$B37,'3 Base Estoque Físico'!$I$2:$I$5000,"&lt;"&amp;DATE(2026,9,9))-U37)</f>
        <v>10</v>
      </c>
      <c r="N37" s="158" t="n">
        <f aca="false">SUMPRODUCT(('3 Base Estoque Físico'!$A$2:$A$5000=$A37)*('3 Base Estoque Físico'!$B$2:$B$5000=$B37)*('3 Base Estoque Físico'!$I$2:$I$5000&gt;=DATE(2026,9,9))*ISNUMBER(MATCH('3 Base Estoque Físico'!$C$2:$C$5000,{"DCK","TRF","922","FLR","DIF"},0))*'3 Base Estoque Físico'!$J$2:$J$5000)</f>
        <v>0</v>
      </c>
      <c r="O37" s="161" t="n">
        <f aca="false">IF(OR(J37="Confere",LEFT(K37,5)="Troca",ISNUMBER(SEARCH("não baixaram",K37))),0,IF(I37&gt;0,MAX(0,ROUND(I37-M37-N37,2)),I37))</f>
        <v>0</v>
      </c>
      <c r="P37" s="158" t="n">
        <f aca="false">SUMIFS('3 Base Saídas'!$R$2:$R$5000,'3 Base Saídas'!$B$2:$B$5000,$A37,'3 Base Saídas'!$C$2:$C$5000,$B37,'3 Base Saídas'!$E$2:$E$5000,"0355")</f>
        <v>50</v>
      </c>
      <c r="Q37" s="157" t="str">
        <f aca="false">IF(J37="Confere","—",IF(LEFT(K37,5)="Troca","Troca de lote",IF(LEFT(K37,6)="Entrou","Não localizado no estoque",IF(J37="Faltando","Falta sem explicação",IF(ISNUMBER(SEARCH("não baixaram",K37)),"Saída sem baixa no estoque",IF(LEFT(K37,10)="Quantidade","Doca/transferência pendente",IF(LEFT(K37,14)="Estoque antigo","Estoque anterior a 09/09",IF(LEFT(K37,7)="Explica","Sobra parcialmente explicada","Sobra sem explicação"))))))))</f>
        <v>Saída sem baixa no estoque</v>
      </c>
      <c r="R37" s="162" t="str">
        <f aca="false">IF(J37="Confere","—",IF(OR(LEFT(K37,6)="Entrou",AND(I37&lt;0,ABS(O37)&gt;=Parâmetros!$K$6)),"Crítica",IF(OR(AND(I37&lt;0,O37&lt;&gt;0),O37&gt;=Parâmetros!$K$7),"Alta",IF(O37&gt;0,"Média","Baixa"))))</f>
        <v>Baixa</v>
      </c>
      <c r="S37" s="157" t="str">
        <f aca="false">A37&amp;"|"&amp;B37</f>
        <v>CHM-CU-7X80-E5-U70|2528749307</v>
      </c>
      <c r="T37" s="157" t="n">
        <f aca="false">IF(ABS(O37)&gt;Parâmetros!$C$7,ABS(O37)+ROW()/10000000,0)</f>
        <v>0</v>
      </c>
      <c r="U37" s="158" t="n">
        <f aca="false">SUMIFS('3 Base Saldo Inicial 08-09'!$E$2:$E$5000,'3 Base Saldo Inicial 08-09'!$A$2:$A$5000,$A37,'3 Base Saldo Inicial 08-09'!$B$2:$B$5000,$B37)-SUMIFS('3 Base Saldo Inicial 08-09'!$E$2:$E$5000,'3 Base Saldo Inicial 08-09'!$A$2:$A$5000,$A37,'3 Base Saldo Inicial 08-09'!$B$2:$B$5000,$B37,'3 Base Saldo Inicial 08-09'!$C$2:$C$5000,"2008")</f>
        <v>0</v>
      </c>
    </row>
    <row r="38" customFormat="false" ht="15" hidden="false" customHeight="false" outlineLevel="0" collapsed="false">
      <c r="A38" s="155" t="s">
        <v>232</v>
      </c>
      <c r="B38" s="155" t="s">
        <v>237</v>
      </c>
      <c r="C38" s="156" t="s">
        <v>939</v>
      </c>
      <c r="D38" s="157" t="s">
        <v>146</v>
      </c>
      <c r="E38" s="158" t="n">
        <f aca="false">SUMIFS('aux Conciliação Lote'!$E$5:$E$98,'aux Conciliação Lote'!$A$5:$A$98,$A38,'aux Conciliação Lote'!$B$5:$B$98,$B38)</f>
        <v>1320</v>
      </c>
      <c r="F38" s="158" t="n">
        <f aca="false">SUMIFS('aux Conciliação Lote'!$F$5:$F$98,'aux Conciliação Lote'!$A$5:$A$98,$A38,'aux Conciliação Lote'!$B$5:$B$98,$B38)</f>
        <v>330</v>
      </c>
      <c r="G38" s="158" t="n">
        <f aca="false">U38+E38-F38</f>
        <v>990</v>
      </c>
      <c r="H38" s="158" t="n">
        <f aca="false">SUMIFS('aux Conciliação Lote'!$H$5:$H$98,'aux Conciliação Lote'!$A$5:$A$98,$A38,'aux Conciliação Lote'!$B$5:$B$98,$B38)</f>
        <v>1020</v>
      </c>
      <c r="I38" s="159" t="n">
        <f aca="false">ROUND(H38-G38,2)</f>
        <v>30</v>
      </c>
      <c r="J38" s="160" t="str">
        <f aca="false">IF(ABS(I38)&lt;=Parâmetros!$C$7,"Confere",IF(I38&gt;0,"Sobrando","Faltando"))</f>
        <v>Sobrando</v>
      </c>
      <c r="K38" s="155" t="str">
        <f aca="false">IF(J38="Confere","Sem diferença",IF(AND(J38&lt;&gt;"Confere",SUMPRODUCT(($A$14:$A$107=$A38)*($B$14:$B$107&lt;&gt;$B38)*(ABS($I$14:$I$107+$I38)&lt;=Parâmetros!$C$7))&gt;0),"Troca de lote: a mesma quantidade aparece com sinal oposto em outro lote deste SKU",IF(AND(I38&lt;0,H38=0,F38=0),"Entrou no ZBR, mas não está no estoque físico: não chegou ou foi guardado em outro lote",IF(I38&lt;0,"Estoque físico menor que o esperado: saída, ajuste ou perda não lançada no período",IF(ABS(I38-M38)&lt;=Parâmetros!$C$7,"Estoque antigo: toda a sobra está em posições sem movimento desde antes de 09/09",IF(AND(F38&gt;0,ABS(I38-F38)&lt;=Parâmetros!$C$7),"As saídas do período não baixaram o estoque físico",IF(ABS(I38-N38)&lt;=Parâmetros!$C$7,"Quantidade parada em doca, chão ou transferência: entrega ou devolução não baixada",IF(ABS(I38-M38-N38)&lt;=Parâmetros!$C$7,"Estoque antigo + quantidade em doca/chão/transferência",IF(AND(F38&gt;0,ABS(I38-M38-N38-F38)&lt;=Parâmetros!$C$7),IF(M38+N38&gt;0,"Estoque antigo/doca + saídas do período que","Saídas do período que")&amp;" não baixaram o estoque físico",IF(AND(P38&gt;0,ABS(I38-M38-N38-P38)&lt;=Parâmetros!$C$7),IF(M38+N38&gt;0,"Estoque antigo/doca + saídas","Saídas")&amp;" pelo depósito 0355 que não baixaram o estoque físico",IF(M38+N38&gt;0,"Explica em parte: estoque antigo "&amp;FIXED(M38,1)&amp;" + doca/transferência "&amp;FIXED(N38,1)&amp;"; faltam "&amp;FIXED(I38-M38-N38,1)&amp;" a explicar",IF(F38&gt;E38+U38,"Saiu mais do que entrou: havia estoque antes de 09/09 que não está no arquivo","Estoque acima do esperado: entrada não lançada ou saldo anterior ao período"))))))))))))</f>
        <v>Estoque acima do esperado: entrada não lançada ou saldo anterior ao período</v>
      </c>
      <c r="L38" s="156" t="str">
        <f aca="false">IF(J38="Confere","Nenhum ajuste necessário",IF(LEFT(K38,5)="Troca","Transferir "&amp;FIXED(ABS(I38),1)&amp;" "&amp;D38&amp;" entre os lotes deste SKU (transferência lote a lote, mov. 309) para corrigir o lote",IF(LEFT(K38,6)="Entrou","Procurar a OT de armazenagem pendente no ZBR. Se não achar: contar e lançar ajuste de inventário de −"&amp;FIXED(ABS(I38),1)&amp;" "&amp;D38,IF(J38="Faltando","Contar o lote. Se a falta se confirmar: lançar a saída esquecida (601) ou ajuste de inventário de −"&amp;FIXED(ABS(I38),1)&amp;" "&amp;D38,IF(LEFT(K38,15)="Estoque antigo:","Confirmar no SAP o saldo de 08/09 ("&amp;FIXED(ABS(M38),1)&amp;" "&amp;D38&amp;"). Se estiver certo, não há ajuste",IF(LEFT(K38,10)="Quantidade","Confirmar ou estornar as OTs em doca/transferência ("&amp;FIXED(ABS(N38),1)&amp;" "&amp;D38&amp;"): guardar na posição ou baixar a entrega",IF(LEFT(K38,16)="Estoque antigo +","Confirmar saldo de 08/09 ("&amp;FIXED(ABS(M38),1)&amp;" "&amp;D38&amp;") e tratar as OTs em doca/transferência ("&amp;FIXED(ABS(N38),1)&amp;" "&amp;D38&amp;")",IF(ISNUMBER(SEARCH("não baixaram",K38)),"Confirmar a OT de saída (picking) das remessas para baixar "&amp;FIXED(ABS(I38-M38-N38),1)&amp;" "&amp;D38&amp;" do estoque físico"&amp;IF(M38+N38&gt;0,"; conferir também estoque antigo/doca",""),IF(LEFT(K38,7)="Explica","Confirmar saldo de 08/09 e OTs de doca; contar o lote para os "&amp;FIXED(ABS(I38-M38-N38),1)&amp;" "&amp;D38&amp;" restantes e ajustar a sobra se confirmada","Confirmar saldo de 08/09; se não existir, contar o lote e lançar ajuste de inventário de +"&amp;FIXED(ABS(I38),1)&amp;" "&amp;D38)))))))))</f>
        <v>Confirmar saldo de 08/09; se não existir, contar o lote e lançar ajuste de inventário de +30.0 UN</v>
      </c>
      <c r="M38" s="158" t="n">
        <f aca="false">MAX(0,SUMIFS('3 Base Estoque Físico'!$J$2:$J$5000,'3 Base Estoque Físico'!$A$2:$A$5000,$A38,'3 Base Estoque Físico'!$B$2:$B$5000,$B38,'3 Base Estoque Físico'!$I$2:$I$5000,"&lt;"&amp;DATE(2026,9,9))-U38)</f>
        <v>0</v>
      </c>
      <c r="N38" s="158" t="n">
        <f aca="false">SUMPRODUCT(('3 Base Estoque Físico'!$A$2:$A$5000=$A38)*('3 Base Estoque Físico'!$B$2:$B$5000=$B38)*('3 Base Estoque Físico'!$I$2:$I$5000&gt;=DATE(2026,9,9))*ISNUMBER(MATCH('3 Base Estoque Físico'!$C$2:$C$5000,{"DCK","TRF","922","FLR","DIF"},0))*'3 Base Estoque Físico'!$J$2:$J$5000)</f>
        <v>0</v>
      </c>
      <c r="O38" s="161" t="n">
        <f aca="false">IF(OR(J38="Confere",LEFT(K38,5)="Troca",ISNUMBER(SEARCH("não baixaram",K38))),0,IF(I38&gt;0,MAX(0,ROUND(I38-M38-N38,2)),I38))</f>
        <v>30</v>
      </c>
      <c r="P38" s="158" t="n">
        <f aca="false">SUMIFS('3 Base Saídas'!$R$2:$R$5000,'3 Base Saídas'!$B$2:$B$5000,$A38,'3 Base Saídas'!$C$2:$C$5000,$B38,'3 Base Saídas'!$E$2:$E$5000,"0355")</f>
        <v>0</v>
      </c>
      <c r="Q38" s="157" t="str">
        <f aca="false">IF(J38="Confere","—",IF(LEFT(K38,5)="Troca","Troca de lote",IF(LEFT(K38,6)="Entrou","Não localizado no estoque",IF(J38="Faltando","Falta sem explicação",IF(ISNUMBER(SEARCH("não baixaram",K38)),"Saída sem baixa no estoque",IF(LEFT(K38,10)="Quantidade","Doca/transferência pendente",IF(LEFT(K38,14)="Estoque antigo","Estoque anterior a 09/09",IF(LEFT(K38,7)="Explica","Sobra parcialmente explicada","Sobra sem explicação"))))))))</f>
        <v>Sobra sem explicação</v>
      </c>
      <c r="R38" s="162" t="str">
        <f aca="false">IF(J38="Confere","—",IF(OR(LEFT(K38,6)="Entrou",AND(I38&lt;0,ABS(O38)&gt;=Parâmetros!$K$6)),"Crítica",IF(OR(AND(I38&lt;0,O38&lt;&gt;0),O38&gt;=Parâmetros!$K$7),"Alta",IF(O38&gt;0,"Média","Baixa"))))</f>
        <v>Média</v>
      </c>
      <c r="S38" s="157" t="str">
        <f aca="false">A38&amp;"|"&amp;B38</f>
        <v>CHD-BB-308BY-357|2611378000</v>
      </c>
      <c r="T38" s="157" t="n">
        <f aca="false">IF(ABS(O38)&gt;Parâmetros!$C$7,ABS(O38)+ROW()/10000000,0)</f>
        <v>30.0000038</v>
      </c>
      <c r="U38" s="158" t="n">
        <f aca="false">SUMIFS('3 Base Saldo Inicial 08-09'!$E$2:$E$5000,'3 Base Saldo Inicial 08-09'!$A$2:$A$5000,$A38,'3 Base Saldo Inicial 08-09'!$B$2:$B$5000,$B38)-SUMIFS('3 Base Saldo Inicial 08-09'!$E$2:$E$5000,'3 Base Saldo Inicial 08-09'!$A$2:$A$5000,$A38,'3 Base Saldo Inicial 08-09'!$B$2:$B$5000,$B38,'3 Base Saldo Inicial 08-09'!$C$2:$C$5000,"2008")</f>
        <v>0</v>
      </c>
    </row>
    <row r="39" customFormat="false" ht="15" hidden="false" customHeight="false" outlineLevel="0" collapsed="false">
      <c r="A39" s="155" t="s">
        <v>276</v>
      </c>
      <c r="B39" s="155" t="s">
        <v>277</v>
      </c>
      <c r="C39" s="156" t="s">
        <v>404</v>
      </c>
      <c r="D39" s="157" t="s">
        <v>65</v>
      </c>
      <c r="E39" s="158" t="n">
        <f aca="false">SUMIFS('aux Conciliação Lote'!$E$5:$E$98,'aux Conciliação Lote'!$A$5:$A$98,$A39,'aux Conciliação Lote'!$B$5:$B$98,$B39)</f>
        <v>602.9</v>
      </c>
      <c r="F39" s="158" t="n">
        <f aca="false">SUMIFS('aux Conciliação Lote'!$F$5:$F$98,'aux Conciliação Lote'!$A$5:$A$98,$A39,'aux Conciliação Lote'!$B$5:$B$98,$B39)</f>
        <v>301.5</v>
      </c>
      <c r="G39" s="158" t="n">
        <f aca="false">U39+E39-F39</f>
        <v>301.4</v>
      </c>
      <c r="H39" s="158" t="n">
        <f aca="false">SUMIFS('aux Conciliação Lote'!$H$5:$H$98,'aux Conciliação Lote'!$A$5:$A$98,$A39,'aux Conciliação Lote'!$B$5:$B$98,$B39)</f>
        <v>321.5</v>
      </c>
      <c r="I39" s="159" t="n">
        <f aca="false">ROUND(H39-G39,2)</f>
        <v>20.1</v>
      </c>
      <c r="J39" s="160" t="str">
        <f aca="false">IF(ABS(I39)&lt;=Parâmetros!$C$7,"Confere",IF(I39&gt;0,"Sobrando","Faltando"))</f>
        <v>Sobrando</v>
      </c>
      <c r="K39" s="155" t="str">
        <f aca="false">IF(J39="Confere","Sem diferença",IF(AND(J39&lt;&gt;"Confere",SUMPRODUCT(($A$14:$A$107=$A39)*($B$14:$B$107&lt;&gt;$B39)*(ABS($I$14:$I$107+$I39)&lt;=Parâmetros!$C$7))&gt;0),"Troca de lote: a mesma quantidade aparece com sinal oposto em outro lote deste SKU",IF(AND(I39&lt;0,H39=0,F39=0),"Entrou no ZBR, mas não está no estoque físico: não chegou ou foi guardado em outro lote",IF(I39&lt;0,"Estoque físico menor que o esperado: saída, ajuste ou perda não lançada no período",IF(ABS(I39-M39)&lt;=Parâmetros!$C$7,"Estoque antigo: toda a sobra está em posições sem movimento desde antes de 09/09",IF(AND(F39&gt;0,ABS(I39-F39)&lt;=Parâmetros!$C$7),"As saídas do período não baixaram o estoque físico",IF(ABS(I39-N39)&lt;=Parâmetros!$C$7,"Quantidade parada em doca, chão ou transferência: entrega ou devolução não baixada",IF(ABS(I39-M39-N39)&lt;=Parâmetros!$C$7,"Estoque antigo + quantidade em doca/chão/transferência",IF(AND(F39&gt;0,ABS(I39-M39-N39-F39)&lt;=Parâmetros!$C$7),IF(M39+N39&gt;0,"Estoque antigo/doca + saídas do período que","Saídas do período que")&amp;" não baixaram o estoque físico",IF(AND(P39&gt;0,ABS(I39-M39-N39-P39)&lt;=Parâmetros!$C$7),IF(M39+N39&gt;0,"Estoque antigo/doca + saídas","Saídas")&amp;" pelo depósito 0355 que não baixaram o estoque físico",IF(M39+N39&gt;0,"Explica em parte: estoque antigo "&amp;FIXED(M39,1)&amp;" + doca/transferência "&amp;FIXED(N39,1)&amp;"; faltam "&amp;FIXED(I39-M39-N39,1)&amp;" a explicar",IF(F39&gt;E39+U39,"Saiu mais do que entrou: havia estoque antes de 09/09 que não está no arquivo","Estoque acima do esperado: entrada não lançada ou saldo anterior ao período"))))))))))))</f>
        <v>Quantidade parada em doca, chão ou transferência: entrega ou devolução não baixada</v>
      </c>
      <c r="L39" s="156" t="str">
        <f aca="false">IF(J39="Confere","Nenhum ajuste necessário",IF(LEFT(K39,5)="Troca","Transferir "&amp;FIXED(ABS(I39),1)&amp;" "&amp;D39&amp;" entre os lotes deste SKU (transferência lote a lote, mov. 309) para corrigir o lote",IF(LEFT(K39,6)="Entrou","Procurar a OT de armazenagem pendente no ZBR. Se não achar: contar e lançar ajuste de inventário de −"&amp;FIXED(ABS(I39),1)&amp;" "&amp;D39,IF(J39="Faltando","Contar o lote. Se a falta se confirmar: lançar a saída esquecida (601) ou ajuste de inventário de −"&amp;FIXED(ABS(I39),1)&amp;" "&amp;D39,IF(LEFT(K39,15)="Estoque antigo:","Confirmar no SAP o saldo de 08/09 ("&amp;FIXED(ABS(M39),1)&amp;" "&amp;D39&amp;"). Se estiver certo, não há ajuste",IF(LEFT(K39,10)="Quantidade","Confirmar ou estornar as OTs em doca/transferência ("&amp;FIXED(ABS(N39),1)&amp;" "&amp;D39&amp;"): guardar na posição ou baixar a entrega",IF(LEFT(K39,16)="Estoque antigo +","Confirmar saldo de 08/09 ("&amp;FIXED(ABS(M39),1)&amp;" "&amp;D39&amp;") e tratar as OTs em doca/transferência ("&amp;FIXED(ABS(N39),1)&amp;" "&amp;D39&amp;")",IF(ISNUMBER(SEARCH("não baixaram",K39)),"Confirmar a OT de saída (picking) das remessas para baixar "&amp;FIXED(ABS(I39-M39-N39),1)&amp;" "&amp;D39&amp;" do estoque físico"&amp;IF(M39+N39&gt;0,"; conferir também estoque antigo/doca",""),IF(LEFT(K39,7)="Explica","Confirmar saldo de 08/09 e OTs de doca; contar o lote para os "&amp;FIXED(ABS(I39-M39-N39),1)&amp;" "&amp;D39&amp;" restantes e ajustar a sobra se confirmada","Confirmar saldo de 08/09; se não existir, contar o lote e lançar ajuste de inventário de +"&amp;FIXED(ABS(I39),1)&amp;" "&amp;D39)))))))))</f>
        <v>Confirmar ou estornar as OTs em doca/transferência (20.1 KG): guardar na posição ou baixar a entrega</v>
      </c>
      <c r="M39" s="158" t="n">
        <f aca="false">MAX(0,SUMIFS('3 Base Estoque Físico'!$J$2:$J$5000,'3 Base Estoque Físico'!$A$2:$A$5000,$A39,'3 Base Estoque Físico'!$B$2:$B$5000,$B39,'3 Base Estoque Físico'!$I$2:$I$5000,"&lt;"&amp;DATE(2026,9,9))-U39)</f>
        <v>0</v>
      </c>
      <c r="N39" s="158" t="n">
        <f aca="false">SUMPRODUCT(('3 Base Estoque Físico'!$A$2:$A$5000=$A39)*('3 Base Estoque Físico'!$B$2:$B$5000=$B39)*('3 Base Estoque Físico'!$I$2:$I$5000&gt;=DATE(2026,9,9))*ISNUMBER(MATCH('3 Base Estoque Físico'!$C$2:$C$5000,{"DCK","TRF","922","FLR","DIF"},0))*'3 Base Estoque Físico'!$J$2:$J$5000)</f>
        <v>20.1</v>
      </c>
      <c r="O39" s="161" t="n">
        <f aca="false">IF(OR(J39="Confere",LEFT(K39,5)="Troca",ISNUMBER(SEARCH("não baixaram",K39))),0,IF(I39&gt;0,MAX(0,ROUND(I39-M39-N39,2)),I39))</f>
        <v>0</v>
      </c>
      <c r="P39" s="158" t="n">
        <f aca="false">SUMIFS('3 Base Saídas'!$R$2:$R$5000,'3 Base Saídas'!$B$2:$B$5000,$A39,'3 Base Saídas'!$C$2:$C$5000,$B39,'3 Base Saídas'!$E$2:$E$5000,"0355")</f>
        <v>0</v>
      </c>
      <c r="Q39" s="157" t="str">
        <f aca="false">IF(J39="Confere","—",IF(LEFT(K39,5)="Troca","Troca de lote",IF(LEFT(K39,6)="Entrou","Não localizado no estoque",IF(J39="Faltando","Falta sem explicação",IF(ISNUMBER(SEARCH("não baixaram",K39)),"Saída sem baixa no estoque",IF(LEFT(K39,10)="Quantidade","Doca/transferência pendente",IF(LEFT(K39,14)="Estoque antigo","Estoque anterior a 09/09",IF(LEFT(K39,7)="Explica","Sobra parcialmente explicada","Sobra sem explicação"))))))))</f>
        <v>Doca/transferência pendente</v>
      </c>
      <c r="R39" s="162" t="str">
        <f aca="false">IF(J39="Confere","—",IF(OR(LEFT(K39,6)="Entrou",AND(I39&lt;0,ABS(O39)&gt;=Parâmetros!$K$6)),"Crítica",IF(OR(AND(I39&lt;0,O39&lt;&gt;0),O39&gt;=Parâmetros!$K$7),"Alta",IF(O39&gt;0,"Média","Baixa"))))</f>
        <v>Baixa</v>
      </c>
      <c r="S39" s="157" t="str">
        <f aca="false">A39&amp;"|"&amp;B39</f>
        <v>CW2-BR-25A|252350301</v>
      </c>
      <c r="T39" s="157" t="n">
        <f aca="false">IF(ABS(O39)&gt;Parâmetros!$C$7,ABS(O39)+ROW()/10000000,0)</f>
        <v>0</v>
      </c>
      <c r="U39" s="158" t="n">
        <f aca="false">SUMIFS('3 Base Saldo Inicial 08-09'!$E$2:$E$5000,'3 Base Saldo Inicial 08-09'!$A$2:$A$5000,$A39,'3 Base Saldo Inicial 08-09'!$B$2:$B$5000,$B39)-SUMIFS('3 Base Saldo Inicial 08-09'!$E$2:$E$5000,'3 Base Saldo Inicial 08-09'!$A$2:$A$5000,$A39,'3 Base Saldo Inicial 08-09'!$B$2:$B$5000,$B39,'3 Base Saldo Inicial 08-09'!$C$2:$C$5000,"2008")</f>
        <v>0</v>
      </c>
    </row>
    <row r="40" customFormat="false" ht="15" hidden="false" customHeight="false" outlineLevel="0" collapsed="false">
      <c r="A40" s="155" t="s">
        <v>205</v>
      </c>
      <c r="B40" s="155" t="s">
        <v>206</v>
      </c>
      <c r="C40" s="156" t="s">
        <v>404</v>
      </c>
      <c r="D40" s="157" t="s">
        <v>65</v>
      </c>
      <c r="E40" s="158" t="n">
        <f aca="false">SUMIFS('aux Conciliação Lote'!$E$5:$E$98,'aux Conciliação Lote'!$A$5:$A$98,$A40,'aux Conciliação Lote'!$B$5:$B$98,$B40)</f>
        <v>2733.6</v>
      </c>
      <c r="F40" s="158" t="n">
        <f aca="false">SUMIFS('aux Conciliação Lote'!$F$5:$F$98,'aux Conciliação Lote'!$A$5:$A$98,$A40,'aux Conciliação Lote'!$B$5:$B$98,$B40)</f>
        <v>1206</v>
      </c>
      <c r="G40" s="158" t="n">
        <f aca="false">U40+E40-F40</f>
        <v>1527.6</v>
      </c>
      <c r="H40" s="158" t="n">
        <f aca="false">SUMIFS('aux Conciliação Lote'!$H$5:$H$98,'aux Conciliação Lote'!$A$5:$A$98,$A40,'aux Conciliação Lote'!$B$5:$B$98,$B40)</f>
        <v>1547.7</v>
      </c>
      <c r="I40" s="159" t="n">
        <f aca="false">ROUND(H40-G40,2)</f>
        <v>20.1</v>
      </c>
      <c r="J40" s="160" t="str">
        <f aca="false">IF(ABS(I40)&lt;=Parâmetros!$C$7,"Confere",IF(I40&gt;0,"Sobrando","Faltando"))</f>
        <v>Sobrando</v>
      </c>
      <c r="K40" s="155" t="str">
        <f aca="false">IF(J40="Confere","Sem diferença",IF(AND(J40&lt;&gt;"Confere",SUMPRODUCT(($A$14:$A$107=$A40)*($B$14:$B$107&lt;&gt;$B40)*(ABS($I$14:$I$107+$I40)&lt;=Parâmetros!$C$7))&gt;0),"Troca de lote: a mesma quantidade aparece com sinal oposto em outro lote deste SKU",IF(AND(I40&lt;0,H40=0,F40=0),"Entrou no ZBR, mas não está no estoque físico: não chegou ou foi guardado em outro lote",IF(I40&lt;0,"Estoque físico menor que o esperado: saída, ajuste ou perda não lançada no período",IF(ABS(I40-M40)&lt;=Parâmetros!$C$7,"Estoque antigo: toda a sobra está em posições sem movimento desde antes de 09/09",IF(AND(F40&gt;0,ABS(I40-F40)&lt;=Parâmetros!$C$7),"As saídas do período não baixaram o estoque físico",IF(ABS(I40-N40)&lt;=Parâmetros!$C$7,"Quantidade parada em doca, chão ou transferência: entrega ou devolução não baixada",IF(ABS(I40-M40-N40)&lt;=Parâmetros!$C$7,"Estoque antigo + quantidade em doca/chão/transferência",IF(AND(F40&gt;0,ABS(I40-M40-N40-F40)&lt;=Parâmetros!$C$7),IF(M40+N40&gt;0,"Estoque antigo/doca + saídas do período que","Saídas do período que")&amp;" não baixaram o estoque físico",IF(AND(P40&gt;0,ABS(I40-M40-N40-P40)&lt;=Parâmetros!$C$7),IF(M40+N40&gt;0,"Estoque antigo/doca + saídas","Saídas")&amp;" pelo depósito 0355 que não baixaram o estoque físico",IF(M40+N40&gt;0,"Explica em parte: estoque antigo "&amp;FIXED(M40,1)&amp;" + doca/transferência "&amp;FIXED(N40,1)&amp;"; faltam "&amp;FIXED(I40-M40-N40,1)&amp;" a explicar",IF(F40&gt;E40+U40,"Saiu mais do que entrou: havia estoque antes de 09/09 que não está no arquivo","Estoque acima do esperado: entrada não lançada ou saldo anterior ao período"))))))))))))</f>
        <v>Estoque antigo: toda a sobra está em posições sem movimento desde antes de 09/09</v>
      </c>
      <c r="L40" s="156" t="str">
        <f aca="false">IF(J40="Confere","Nenhum ajuste necessário",IF(LEFT(K40,5)="Troca","Transferir "&amp;FIXED(ABS(I40),1)&amp;" "&amp;D40&amp;" entre os lotes deste SKU (transferência lote a lote, mov. 309) para corrigir o lote",IF(LEFT(K40,6)="Entrou","Procurar a OT de armazenagem pendente no ZBR. Se não achar: contar e lançar ajuste de inventário de −"&amp;FIXED(ABS(I40),1)&amp;" "&amp;D40,IF(J40="Faltando","Contar o lote. Se a falta se confirmar: lançar a saída esquecida (601) ou ajuste de inventário de −"&amp;FIXED(ABS(I40),1)&amp;" "&amp;D40,IF(LEFT(K40,15)="Estoque antigo:","Confirmar no SAP o saldo de 08/09 ("&amp;FIXED(ABS(M40),1)&amp;" "&amp;D40&amp;"). Se estiver certo, não há ajuste",IF(LEFT(K40,10)="Quantidade","Confirmar ou estornar as OTs em doca/transferência ("&amp;FIXED(ABS(N40),1)&amp;" "&amp;D40&amp;"): guardar na posição ou baixar a entrega",IF(LEFT(K40,16)="Estoque antigo +","Confirmar saldo de 08/09 ("&amp;FIXED(ABS(M40),1)&amp;" "&amp;D40&amp;") e tratar as OTs em doca/transferência ("&amp;FIXED(ABS(N40),1)&amp;" "&amp;D40&amp;")",IF(ISNUMBER(SEARCH("não baixaram",K40)),"Confirmar a OT de saída (picking) das remessas para baixar "&amp;FIXED(ABS(I40-M40-N40),1)&amp;" "&amp;D40&amp;" do estoque físico"&amp;IF(M40+N40&gt;0,"; conferir também estoque antigo/doca",""),IF(LEFT(K40,7)="Explica","Confirmar saldo de 08/09 e OTs de doca; contar o lote para os "&amp;FIXED(ABS(I40-M40-N40),1)&amp;" "&amp;D40&amp;" restantes e ajustar a sobra se confirmada","Confirmar saldo de 08/09; se não existir, contar o lote e lançar ajuste de inventário de +"&amp;FIXED(ABS(I40),1)&amp;" "&amp;D40)))))))))</f>
        <v>Confirmar no SAP o saldo de 08/09 (20.1 KG). Se estiver certo, não há ajuste</v>
      </c>
      <c r="M40" s="158" t="n">
        <f aca="false">MAX(0,SUMIFS('3 Base Estoque Físico'!$J$2:$J$5000,'3 Base Estoque Físico'!$A$2:$A$5000,$A40,'3 Base Estoque Físico'!$B$2:$B$5000,$B40,'3 Base Estoque Físico'!$I$2:$I$5000,"&lt;"&amp;DATE(2026,9,9))-U40)</f>
        <v>20.1</v>
      </c>
      <c r="N40" s="158" t="n">
        <f aca="false">SUMPRODUCT(('3 Base Estoque Físico'!$A$2:$A$5000=$A40)*('3 Base Estoque Físico'!$B$2:$B$5000=$B40)*('3 Base Estoque Físico'!$I$2:$I$5000&gt;=DATE(2026,9,9))*ISNUMBER(MATCH('3 Base Estoque Físico'!$C$2:$C$5000,{"DCK","TRF","922","FLR","DIF"},0))*'3 Base Estoque Físico'!$J$2:$J$5000)</f>
        <v>1045.2</v>
      </c>
      <c r="O40" s="161" t="n">
        <f aca="false">IF(OR(J40="Confere",LEFT(K40,5)="Troca",ISNUMBER(SEARCH("não baixaram",K40))),0,IF(I40&gt;0,MAX(0,ROUND(I40-M40-N40,2)),I40))</f>
        <v>0</v>
      </c>
      <c r="P40" s="158" t="n">
        <f aca="false">SUMIFS('3 Base Saídas'!$R$2:$R$5000,'3 Base Saídas'!$B$2:$B$5000,$A40,'3 Base Saídas'!$C$2:$C$5000,$B40,'3 Base Saídas'!$E$2:$E$5000,"0355")</f>
        <v>0</v>
      </c>
      <c r="Q40" s="157" t="str">
        <f aca="false">IF(J40="Confere","—",IF(LEFT(K40,5)="Troca","Troca de lote",IF(LEFT(K40,6)="Entrou","Não localizado no estoque",IF(J40="Faltando","Falta sem explicação",IF(ISNUMBER(SEARCH("não baixaram",K40)),"Saída sem baixa no estoque",IF(LEFT(K40,10)="Quantidade","Doca/transferência pendente",IF(LEFT(K40,14)="Estoque antigo","Estoque anterior a 09/09",IF(LEFT(K40,7)="Explica","Sobra parcialmente explicada","Sobra sem explicação"))))))))</f>
        <v>Estoque anterior a 09/09</v>
      </c>
      <c r="R40" s="162" t="str">
        <f aca="false">IF(J40="Confere","—",IF(OR(LEFT(K40,6)="Entrou",AND(I40&lt;0,ABS(O40)&gt;=Parâmetros!$K$6)),"Crítica",IF(OR(AND(I40&lt;0,O40&lt;&gt;0),O40&gt;=Parâmetros!$K$7),"Alta",IF(O40&gt;0,"Média","Baixa"))))</f>
        <v>Baixa</v>
      </c>
      <c r="S40" s="157" t="str">
        <f aca="false">A40&amp;"|"&amp;B40</f>
        <v>811-BR-25A|252450301</v>
      </c>
      <c r="T40" s="157" t="n">
        <f aca="false">IF(ABS(O40)&gt;Parâmetros!$C$7,ABS(O40)+ROW()/10000000,0)</f>
        <v>0</v>
      </c>
      <c r="U40" s="158" t="n">
        <f aca="false">SUMIFS('3 Base Saldo Inicial 08-09'!$E$2:$E$5000,'3 Base Saldo Inicial 08-09'!$A$2:$A$5000,$A40,'3 Base Saldo Inicial 08-09'!$B$2:$B$5000,$B40)-SUMIFS('3 Base Saldo Inicial 08-09'!$E$2:$E$5000,'3 Base Saldo Inicial 08-09'!$A$2:$A$5000,$A40,'3 Base Saldo Inicial 08-09'!$B$2:$B$5000,$B40,'3 Base Saldo Inicial 08-09'!$C$2:$C$5000,"2008")</f>
        <v>0</v>
      </c>
    </row>
    <row r="41" customFormat="false" ht="15" hidden="false" customHeight="false" outlineLevel="0" collapsed="false">
      <c r="A41" s="155" t="s">
        <v>309</v>
      </c>
      <c r="B41" s="155" t="s">
        <v>310</v>
      </c>
      <c r="C41" s="156" t="s">
        <v>404</v>
      </c>
      <c r="D41" s="157" t="s">
        <v>65</v>
      </c>
      <c r="E41" s="158" t="n">
        <f aca="false">SUMIFS('aux Conciliação Lote'!$E$5:$E$98,'aux Conciliação Lote'!$A$5:$A$98,$A41,'aux Conciliação Lote'!$B$5:$B$98,$B41)</f>
        <v>3025.7</v>
      </c>
      <c r="F41" s="158" t="n">
        <f aca="false">SUMIFS('aux Conciliação Lote'!$F$5:$F$98,'aux Conciliação Lote'!$A$5:$A$98,$A41,'aux Conciliação Lote'!$B$5:$B$98,$B41)</f>
        <v>1366.8</v>
      </c>
      <c r="G41" s="158" t="n">
        <f aca="false">U41+E41-F41</f>
        <v>1658.9</v>
      </c>
      <c r="H41" s="158" t="n">
        <f aca="false">SUMIFS('aux Conciliação Lote'!$H$5:$H$98,'aux Conciliação Lote'!$A$5:$A$98,$A41,'aux Conciliação Lote'!$B$5:$B$98,$B41)</f>
        <v>1679</v>
      </c>
      <c r="I41" s="159" t="n">
        <f aca="false">ROUND(H41-G41,2)</f>
        <v>20.1</v>
      </c>
      <c r="J41" s="160" t="str">
        <f aca="false">IF(ABS(I41)&lt;=Parâmetros!$C$7,"Confere",IF(I41&gt;0,"Sobrando","Faltando"))</f>
        <v>Sobrando</v>
      </c>
      <c r="K41" s="155" t="str">
        <f aca="false">IF(J41="Confere","Sem diferença",IF(AND(J41&lt;&gt;"Confere",SUMPRODUCT(($A$14:$A$107=$A41)*($B$14:$B$107&lt;&gt;$B41)*(ABS($I$14:$I$107+$I41)&lt;=Parâmetros!$C$7))&gt;0),"Troca de lote: a mesma quantidade aparece com sinal oposto em outro lote deste SKU",IF(AND(I41&lt;0,H41=0,F41=0),"Entrou no ZBR, mas não está no estoque físico: não chegou ou foi guardado em outro lote",IF(I41&lt;0,"Estoque físico menor que o esperado: saída, ajuste ou perda não lançada no período",IF(ABS(I41-M41)&lt;=Parâmetros!$C$7,"Estoque antigo: toda a sobra está em posições sem movimento desde antes de 09/09",IF(AND(F41&gt;0,ABS(I41-F41)&lt;=Parâmetros!$C$7),"As saídas do período não baixaram o estoque físico",IF(ABS(I41-N41)&lt;=Parâmetros!$C$7,"Quantidade parada em doca, chão ou transferência: entrega ou devolução não baixada",IF(ABS(I41-M41-N41)&lt;=Parâmetros!$C$7,"Estoque antigo + quantidade em doca/chão/transferência",IF(AND(F41&gt;0,ABS(I41-M41-N41-F41)&lt;=Parâmetros!$C$7),IF(M41+N41&gt;0,"Estoque antigo/doca + saídas do período que","Saídas do período que")&amp;" não baixaram o estoque físico",IF(AND(P41&gt;0,ABS(I41-M41-N41-P41)&lt;=Parâmetros!$C$7),IF(M41+N41&gt;0,"Estoque antigo/doca + saídas","Saídas")&amp;" pelo depósito 0355 que não baixaram o estoque físico",IF(M41+N41&gt;0,"Explica em parte: estoque antigo "&amp;FIXED(M41,1)&amp;" + doca/transferência "&amp;FIXED(N41,1)&amp;"; faltam "&amp;FIXED(I41-M41-N41,1)&amp;" a explicar",IF(F41&gt;E41+U41,"Saiu mais do que entrou: havia estoque antes de 09/09 que não está no arquivo","Estoque acima do esperado: entrada não lançada ou saldo anterior ao período"))))))))))))</f>
        <v>Saídas pelo depósito 0355 que não baixaram o estoque físico</v>
      </c>
      <c r="L41" s="156" t="str">
        <f aca="false">IF(J41="Confere","Nenhum ajuste necessário",IF(LEFT(K41,5)="Troca","Transferir "&amp;FIXED(ABS(I41),1)&amp;" "&amp;D41&amp;" entre os lotes deste SKU (transferência lote a lote, mov. 309) para corrigir o lote",IF(LEFT(K41,6)="Entrou","Procurar a OT de armazenagem pendente no ZBR. Se não achar: contar e lançar ajuste de inventário de −"&amp;FIXED(ABS(I41),1)&amp;" "&amp;D41,IF(J41="Faltando","Contar o lote. Se a falta se confirmar: lançar a saída esquecida (601) ou ajuste de inventário de −"&amp;FIXED(ABS(I41),1)&amp;" "&amp;D41,IF(LEFT(K41,15)="Estoque antigo:","Confirmar no SAP o saldo de 08/09 ("&amp;FIXED(ABS(M41),1)&amp;" "&amp;D41&amp;"). Se estiver certo, não há ajuste",IF(LEFT(K41,10)="Quantidade","Confirmar ou estornar as OTs em doca/transferência ("&amp;FIXED(ABS(N41),1)&amp;" "&amp;D41&amp;"): guardar na posição ou baixar a entrega",IF(LEFT(K41,16)="Estoque antigo +","Confirmar saldo de 08/09 ("&amp;FIXED(ABS(M41),1)&amp;" "&amp;D41&amp;") e tratar as OTs em doca/transferência ("&amp;FIXED(ABS(N41),1)&amp;" "&amp;D41&amp;")",IF(ISNUMBER(SEARCH("não baixaram",K41)),"Confirmar a OT de saída (picking) das remessas para baixar "&amp;FIXED(ABS(I41-M41-N41),1)&amp;" "&amp;D41&amp;" do estoque físico"&amp;IF(M41+N41&gt;0,"; conferir também estoque antigo/doca",""),IF(LEFT(K41,7)="Explica","Confirmar saldo de 08/09 e OTs de doca; contar o lote para os "&amp;FIXED(ABS(I41-M41-N41),1)&amp;" "&amp;D41&amp;" restantes e ajustar a sobra se confirmada","Confirmar saldo de 08/09; se não existir, contar o lote e lançar ajuste de inventário de +"&amp;FIXED(ABS(I41),1)&amp;" "&amp;D41)))))))))</f>
        <v>Confirmar a OT de saída (picking) das remessas para baixar 20.1 KG do estoque físico</v>
      </c>
      <c r="M41" s="158" t="n">
        <f aca="false">MAX(0,SUMIFS('3 Base Estoque Físico'!$J$2:$J$5000,'3 Base Estoque Físico'!$A$2:$A$5000,$A41,'3 Base Estoque Físico'!$B$2:$B$5000,$B41,'3 Base Estoque Físico'!$I$2:$I$5000,"&lt;"&amp;DATE(2026,9,9))-U41)</f>
        <v>0</v>
      </c>
      <c r="N41" s="158" t="n">
        <f aca="false">SUMPRODUCT(('3 Base Estoque Físico'!$A$2:$A$5000=$A41)*('3 Base Estoque Físico'!$B$2:$B$5000=$B41)*('3 Base Estoque Físico'!$I$2:$I$5000&gt;=DATE(2026,9,9))*ISNUMBER(MATCH('3 Base Estoque Físico'!$C$2:$C$5000,{"DCK","TRF","922","FLR","DIF"},0))*'3 Base Estoque Físico'!$J$2:$J$5000)</f>
        <v>0</v>
      </c>
      <c r="O41" s="161" t="n">
        <f aca="false">IF(OR(J41="Confere",LEFT(K41,5)="Troca",ISNUMBER(SEARCH("não baixaram",K41))),0,IF(I41&gt;0,MAX(0,ROUND(I41-M41-N41,2)),I41))</f>
        <v>0</v>
      </c>
      <c r="P41" s="158" t="n">
        <f aca="false">SUMIFS('3 Base Saídas'!$R$2:$R$5000,'3 Base Saídas'!$B$2:$B$5000,$A41,'3 Base Saídas'!$C$2:$C$5000,$B41,'3 Base Saídas'!$E$2:$E$5000,"0355")</f>
        <v>20.1</v>
      </c>
      <c r="Q41" s="157" t="str">
        <f aca="false">IF(J41="Confere","—",IF(LEFT(K41,5)="Troca","Troca de lote",IF(LEFT(K41,6)="Entrou","Não localizado no estoque",IF(J41="Faltando","Falta sem explicação",IF(ISNUMBER(SEARCH("não baixaram",K41)),"Saída sem baixa no estoque",IF(LEFT(K41,10)="Quantidade","Doca/transferência pendente",IF(LEFT(K41,14)="Estoque antigo","Estoque anterior a 09/09",IF(LEFT(K41,7)="Explica","Sobra parcialmente explicada","Sobra sem explicação"))))))))</f>
        <v>Saída sem baixa no estoque</v>
      </c>
      <c r="R41" s="162" t="str">
        <f aca="false">IF(J41="Confere","—",IF(OR(LEFT(K41,6)="Entrou",AND(I41&lt;0,ABS(O41)&gt;=Parâmetros!$K$6)),"Crítica",IF(OR(AND(I41&lt;0,O41&lt;&gt;0),O41&gt;=Parâmetros!$K$7),"Alta",IF(O41&gt;0,"Média","Baixa"))))</f>
        <v>Baixa</v>
      </c>
      <c r="S41" s="157" t="str">
        <f aca="false">A41&amp;"|"&amp;B41</f>
        <v>W3-BR-25A|261080301</v>
      </c>
      <c r="T41" s="157" t="n">
        <f aca="false">IF(ABS(O41)&gt;Parâmetros!$C$7,ABS(O41)+ROW()/10000000,0)</f>
        <v>0</v>
      </c>
      <c r="U41" s="158" t="n">
        <f aca="false">SUMIFS('3 Base Saldo Inicial 08-09'!$E$2:$E$5000,'3 Base Saldo Inicial 08-09'!$A$2:$A$5000,$A41,'3 Base Saldo Inicial 08-09'!$B$2:$B$5000,$B41)-SUMIFS('3 Base Saldo Inicial 08-09'!$E$2:$E$5000,'3 Base Saldo Inicial 08-09'!$A$2:$A$5000,$A41,'3 Base Saldo Inicial 08-09'!$B$2:$B$5000,$B41,'3 Base Saldo Inicial 08-09'!$C$2:$C$5000,"2008")</f>
        <v>0</v>
      </c>
    </row>
    <row r="42" customFormat="false" ht="15" hidden="false" customHeight="false" outlineLevel="0" collapsed="false">
      <c r="A42" s="155" t="s">
        <v>186</v>
      </c>
      <c r="B42" s="155" t="s">
        <v>187</v>
      </c>
      <c r="C42" s="156"/>
      <c r="D42" s="157" t="s">
        <v>65</v>
      </c>
      <c r="E42" s="158" t="n">
        <f aca="false">SUMIFS('aux Conciliação Lote'!$E$5:$E$98,'aux Conciliação Lote'!$A$5:$A$98,$A42,'aux Conciliação Lote'!$B$5:$B$98,$B42)</f>
        <v>1200</v>
      </c>
      <c r="F42" s="158" t="n">
        <f aca="false">SUMIFS('aux Conciliação Lote'!$F$5:$F$98,'aux Conciliação Lote'!$A$5:$A$98,$A42,'aux Conciliação Lote'!$B$5:$B$98,$B42)</f>
        <v>0</v>
      </c>
      <c r="G42" s="158" t="n">
        <f aca="false">U42+E42-F42</f>
        <v>1200</v>
      </c>
      <c r="H42" s="158" t="n">
        <f aca="false">SUMIFS('aux Conciliação Lote'!$H$5:$H$98,'aux Conciliação Lote'!$A$5:$A$98,$A42,'aux Conciliação Lote'!$B$5:$B$98,$B42)</f>
        <v>1200</v>
      </c>
      <c r="I42" s="159" t="n">
        <f aca="false">ROUND(H42-G42,2)</f>
        <v>0</v>
      </c>
      <c r="J42" s="160" t="str">
        <f aca="false">IF(ABS(I42)&lt;=Parâmetros!$C$7,"Confere",IF(I42&gt;0,"Sobrando","Faltando"))</f>
        <v>Confere</v>
      </c>
      <c r="K42" s="155" t="str">
        <f aca="false">IF(J42="Confere","Sem diferença",IF(AND(J42&lt;&gt;"Confere",SUMPRODUCT(($A$14:$A$107=$A42)*($B$14:$B$107&lt;&gt;$B42)*(ABS($I$14:$I$107+$I42)&lt;=Parâmetros!$C$7))&gt;0),"Troca de lote: a mesma quantidade aparece com sinal oposto em outro lote deste SKU",IF(AND(I42&lt;0,H42=0,F42=0),"Entrou no ZBR, mas não está no estoque físico: não chegou ou foi guardado em outro lote",IF(I42&lt;0,"Estoque físico menor que o esperado: saída, ajuste ou perda não lançada no período",IF(ABS(I42-M42)&lt;=Parâmetros!$C$7,"Estoque antigo: toda a sobra está em posições sem movimento desde antes de 09/09",IF(AND(F42&gt;0,ABS(I42-F42)&lt;=Parâmetros!$C$7),"As saídas do período não baixaram o estoque físico",IF(ABS(I42-N42)&lt;=Parâmetros!$C$7,"Quantidade parada em doca, chão ou transferência: entrega ou devolução não baixada",IF(ABS(I42-M42-N42)&lt;=Parâmetros!$C$7,"Estoque antigo + quantidade em doca/chão/transferência",IF(AND(F42&gt;0,ABS(I42-M42-N42-F42)&lt;=Parâmetros!$C$7),IF(M42+N42&gt;0,"Estoque antigo/doca + saídas do período que","Saídas do período que")&amp;" não baixaram o estoque físico",IF(AND(P42&gt;0,ABS(I42-M42-N42-P42)&lt;=Parâmetros!$C$7),IF(M42+N42&gt;0,"Estoque antigo/doca + saídas","Saídas")&amp;" pelo depósito 0355 que não baixaram o estoque físico",IF(M42+N42&gt;0,"Explica em parte: estoque antigo "&amp;FIXED(M42,1)&amp;" + doca/transferência "&amp;FIXED(N42,1)&amp;"; faltam "&amp;FIXED(I42-M42-N42,1)&amp;" a explicar",IF(F42&gt;E42+U42,"Saiu mais do que entrou: havia estoque antes de 09/09 que não está no arquivo","Estoque acima do esperado: entrada não lançada ou saldo anterior ao período"))))))))))))</f>
        <v>Sem diferença</v>
      </c>
      <c r="L42" s="156" t="str">
        <f aca="false">IF(J42="Confere","Nenhum ajuste necessário",IF(LEFT(K42,5)="Troca","Transferir "&amp;FIXED(ABS(I42),1)&amp;" "&amp;D42&amp;" entre os lotes deste SKU (transferência lote a lote, mov. 309) para corrigir o lote",IF(LEFT(K42,6)="Entrou","Procurar a OT de armazenagem pendente no ZBR. Se não achar: contar e lançar ajuste de inventário de −"&amp;FIXED(ABS(I42),1)&amp;" "&amp;D42,IF(J42="Faltando","Contar o lote. Se a falta se confirmar: lançar a saída esquecida (601) ou ajuste de inventário de −"&amp;FIXED(ABS(I42),1)&amp;" "&amp;D42,IF(LEFT(K42,15)="Estoque antigo:","Confirmar no SAP o saldo de 08/09 ("&amp;FIXED(ABS(M42),1)&amp;" "&amp;D42&amp;"). Se estiver certo, não há ajuste",IF(LEFT(K42,10)="Quantidade","Confirmar ou estornar as OTs em doca/transferência ("&amp;FIXED(ABS(N42),1)&amp;" "&amp;D42&amp;"): guardar na posição ou baixar a entrega",IF(LEFT(K42,16)="Estoque antigo +","Confirmar saldo de 08/09 ("&amp;FIXED(ABS(M42),1)&amp;" "&amp;D42&amp;") e tratar as OTs em doca/transferência ("&amp;FIXED(ABS(N42),1)&amp;" "&amp;D42&amp;")",IF(ISNUMBER(SEARCH("não baixaram",K42)),"Confirmar a OT de saída (picking) das remessas para baixar "&amp;FIXED(ABS(I42-M42-N42),1)&amp;" "&amp;D42&amp;" do estoque físico"&amp;IF(M42+N42&gt;0,"; conferir também estoque antigo/doca",""),IF(LEFT(K42,7)="Explica","Confirmar saldo de 08/09 e OTs de doca; contar o lote para os "&amp;FIXED(ABS(I42-M42-N42),1)&amp;" "&amp;D42&amp;" restantes e ajustar a sobra se confirmada","Confirmar saldo de 08/09; se não existir, contar o lote e lançar ajuste de inventário de +"&amp;FIXED(ABS(I42),1)&amp;" "&amp;D42)))))))))</f>
        <v>Nenhum ajuste necessário</v>
      </c>
      <c r="M42" s="158" t="n">
        <f aca="false">MAX(0,SUMIFS('3 Base Estoque Físico'!$J$2:$J$5000,'3 Base Estoque Físico'!$A$2:$A$5000,$A42,'3 Base Estoque Físico'!$B$2:$B$5000,$B42,'3 Base Estoque Físico'!$I$2:$I$5000,"&lt;"&amp;DATE(2026,9,9))-U42)</f>
        <v>0</v>
      </c>
      <c r="N42" s="158" t="n">
        <f aca="false">SUMPRODUCT(('3 Base Estoque Físico'!$A$2:$A$5000=$A42)*('3 Base Estoque Físico'!$B$2:$B$5000=$B42)*('3 Base Estoque Físico'!$I$2:$I$5000&gt;=DATE(2026,9,9))*ISNUMBER(MATCH('3 Base Estoque Físico'!$C$2:$C$5000,{"DCK","TRF","922","FLR","DIF"},0))*'3 Base Estoque Físico'!$J$2:$J$5000)</f>
        <v>0</v>
      </c>
      <c r="O42" s="161" t="n">
        <f aca="false">IF(OR(J42="Confere",LEFT(K42,5)="Troca",ISNUMBER(SEARCH("não baixaram",K42))),0,IF(I42&gt;0,MAX(0,ROUND(I42-M42-N42,2)),I42))</f>
        <v>0</v>
      </c>
      <c r="P42" s="158" t="n">
        <f aca="false">SUMIFS('3 Base Saídas'!$R$2:$R$5000,'3 Base Saídas'!$B$2:$B$5000,$A42,'3 Base Saídas'!$C$2:$C$5000,$B42,'3 Base Saídas'!$E$2:$E$5000,"0355")</f>
        <v>0</v>
      </c>
      <c r="Q42" s="157" t="str">
        <f aca="false">IF(J42="Confere","—",IF(LEFT(K42,5)="Troca","Troca de lote",IF(LEFT(K42,6)="Entrou","Não localizado no estoque",IF(J42="Faltando","Falta sem explicação",IF(ISNUMBER(SEARCH("não baixaram",K42)),"Saída sem baixa no estoque",IF(LEFT(K42,10)="Quantidade","Doca/transferência pendente",IF(LEFT(K42,14)="Estoque antigo","Estoque anterior a 09/09",IF(LEFT(K42,7)="Explica","Sobra parcialmente explicada","Sobra sem explicação"))))))))</f>
        <v>—</v>
      </c>
      <c r="R42" s="162" t="str">
        <f aca="false">IF(J42="Confere","—",IF(OR(LEFT(K42,6)="Entrou",AND(I42&lt;0,ABS(O42)&gt;=Parâmetros!$K$6)),"Crítica",IF(OR(AND(I42&lt;0,O42&lt;&gt;0),O42&gt;=Parâmetros!$K$7),"Alta",IF(O42&gt;0,"Média","Baixa"))))</f>
        <v>—</v>
      </c>
      <c r="S42" s="157" t="str">
        <f aca="false">A42&amp;"|"&amp;B42</f>
        <v>2665-E4-U71|252800202</v>
      </c>
      <c r="T42" s="157" t="n">
        <f aca="false">IF(ABS(O42)&gt;Parâmetros!$C$7,ABS(O42)+ROW()/10000000,0)</f>
        <v>0</v>
      </c>
      <c r="U42" s="158" t="n">
        <f aca="false">SUMIFS('3 Base Saldo Inicial 08-09'!$E$2:$E$5000,'3 Base Saldo Inicial 08-09'!$A$2:$A$5000,$A42,'3 Base Saldo Inicial 08-09'!$B$2:$B$5000,$B42)-SUMIFS('3 Base Saldo Inicial 08-09'!$E$2:$E$5000,'3 Base Saldo Inicial 08-09'!$A$2:$A$5000,$A42,'3 Base Saldo Inicial 08-09'!$B$2:$B$5000,$B42,'3 Base Saldo Inicial 08-09'!$C$2:$C$5000,"2008")</f>
        <v>0</v>
      </c>
    </row>
    <row r="43" customFormat="false" ht="15" hidden="false" customHeight="false" outlineLevel="0" collapsed="false">
      <c r="A43" s="155" t="s">
        <v>192</v>
      </c>
      <c r="B43" s="155" t="s">
        <v>195</v>
      </c>
      <c r="C43" s="156" t="s">
        <v>404</v>
      </c>
      <c r="D43" s="157" t="s">
        <v>65</v>
      </c>
      <c r="E43" s="158" t="n">
        <f aca="false">SUMIFS('aux Conciliação Lote'!$E$5:$E$98,'aux Conciliação Lote'!$A$5:$A$98,$A43,'aux Conciliação Lote'!$B$5:$B$98,$B43)</f>
        <v>3015</v>
      </c>
      <c r="F43" s="158" t="n">
        <f aca="false">SUMIFS('aux Conciliação Lote'!$F$5:$F$98,'aux Conciliação Lote'!$A$5:$A$98,$A43,'aux Conciliação Lote'!$B$5:$B$98,$B43)</f>
        <v>2673.3</v>
      </c>
      <c r="G43" s="158" t="n">
        <f aca="false">U43+E43-F43</f>
        <v>341.7</v>
      </c>
      <c r="H43" s="158" t="n">
        <f aca="false">SUMIFS('aux Conciliação Lote'!$H$5:$H$98,'aux Conciliação Lote'!$A$5:$A$98,$A43,'aux Conciliação Lote'!$B$5:$B$98,$B43)</f>
        <v>341.7</v>
      </c>
      <c r="I43" s="159" t="n">
        <f aca="false">ROUND(H43-G43,2)</f>
        <v>0</v>
      </c>
      <c r="J43" s="160" t="str">
        <f aca="false">IF(ABS(I43)&lt;=Parâmetros!$C$7,"Confere",IF(I43&gt;0,"Sobrando","Faltando"))</f>
        <v>Confere</v>
      </c>
      <c r="K43" s="155" t="str">
        <f aca="false">IF(J43="Confere","Sem diferença",IF(AND(J43&lt;&gt;"Confere",SUMPRODUCT(($A$14:$A$107=$A43)*($B$14:$B$107&lt;&gt;$B43)*(ABS($I$14:$I$107+$I43)&lt;=Parâmetros!$C$7))&gt;0),"Troca de lote: a mesma quantidade aparece com sinal oposto em outro lote deste SKU",IF(AND(I43&lt;0,H43=0,F43=0),"Entrou no ZBR, mas não está no estoque físico: não chegou ou foi guardado em outro lote",IF(I43&lt;0,"Estoque físico menor que o esperado: saída, ajuste ou perda não lançada no período",IF(ABS(I43-M43)&lt;=Parâmetros!$C$7,"Estoque antigo: toda a sobra está em posições sem movimento desde antes de 09/09",IF(AND(F43&gt;0,ABS(I43-F43)&lt;=Parâmetros!$C$7),"As saídas do período não baixaram o estoque físico",IF(ABS(I43-N43)&lt;=Parâmetros!$C$7,"Quantidade parada em doca, chão ou transferência: entrega ou devolução não baixada",IF(ABS(I43-M43-N43)&lt;=Parâmetros!$C$7,"Estoque antigo + quantidade em doca/chão/transferência",IF(AND(F43&gt;0,ABS(I43-M43-N43-F43)&lt;=Parâmetros!$C$7),IF(M43+N43&gt;0,"Estoque antigo/doca + saídas do período que","Saídas do período que")&amp;" não baixaram o estoque físico",IF(AND(P43&gt;0,ABS(I43-M43-N43-P43)&lt;=Parâmetros!$C$7),IF(M43+N43&gt;0,"Estoque antigo/doca + saídas","Saídas")&amp;" pelo depósito 0355 que não baixaram o estoque físico",IF(M43+N43&gt;0,"Explica em parte: estoque antigo "&amp;FIXED(M43,1)&amp;" + doca/transferência "&amp;FIXED(N43,1)&amp;"; faltam "&amp;FIXED(I43-M43-N43,1)&amp;" a explicar",IF(F43&gt;E43+U43,"Saiu mais do que entrou: havia estoque antes de 09/09 que não está no arquivo","Estoque acima do esperado: entrada não lançada ou saldo anterior ao período"))))))))))))</f>
        <v>Sem diferença</v>
      </c>
      <c r="L43" s="156" t="str">
        <f aca="false">IF(J43="Confere","Nenhum ajuste necessário",IF(LEFT(K43,5)="Troca","Transferir "&amp;FIXED(ABS(I43),1)&amp;" "&amp;D43&amp;" entre os lotes deste SKU (transferência lote a lote, mov. 309) para corrigir o lote",IF(LEFT(K43,6)="Entrou","Procurar a OT de armazenagem pendente no ZBR. Se não achar: contar e lançar ajuste de inventário de −"&amp;FIXED(ABS(I43),1)&amp;" "&amp;D43,IF(J43="Faltando","Contar o lote. Se a falta se confirmar: lançar a saída esquecida (601) ou ajuste de inventário de −"&amp;FIXED(ABS(I43),1)&amp;" "&amp;D43,IF(LEFT(K43,15)="Estoque antigo:","Confirmar no SAP o saldo de 08/09 ("&amp;FIXED(ABS(M43),1)&amp;" "&amp;D43&amp;"). Se estiver certo, não há ajuste",IF(LEFT(K43,10)="Quantidade","Confirmar ou estornar as OTs em doca/transferência ("&amp;FIXED(ABS(N43),1)&amp;" "&amp;D43&amp;"): guardar na posição ou baixar a entrega",IF(LEFT(K43,16)="Estoque antigo +","Confirmar saldo de 08/09 ("&amp;FIXED(ABS(M43),1)&amp;" "&amp;D43&amp;") e tratar as OTs em doca/transferência ("&amp;FIXED(ABS(N43),1)&amp;" "&amp;D43&amp;")",IF(ISNUMBER(SEARCH("não baixaram",K43)),"Confirmar a OT de saída (picking) das remessas para baixar "&amp;FIXED(ABS(I43-M43-N43),1)&amp;" "&amp;D43&amp;" do estoque físico"&amp;IF(M43+N43&gt;0,"; conferir também estoque antigo/doca",""),IF(LEFT(K43,7)="Explica","Confirmar saldo de 08/09 e OTs de doca; contar o lote para os "&amp;FIXED(ABS(I43-M43-N43),1)&amp;" "&amp;D43&amp;" restantes e ajustar a sobra se confirmada","Confirmar saldo de 08/09; se não existir, contar o lote e lançar ajuste de inventário de +"&amp;FIXED(ABS(I43),1)&amp;" "&amp;D43)))))))))</f>
        <v>Nenhum ajuste necessário</v>
      </c>
      <c r="M43" s="158" t="n">
        <f aca="false">MAX(0,SUMIFS('3 Base Estoque Físico'!$J$2:$J$5000,'3 Base Estoque Físico'!$A$2:$A$5000,$A43,'3 Base Estoque Físico'!$B$2:$B$5000,$B43,'3 Base Estoque Físico'!$I$2:$I$5000,"&lt;"&amp;DATE(2026,9,9))-U43)</f>
        <v>0</v>
      </c>
      <c r="N43" s="158" t="n">
        <f aca="false">SUMPRODUCT(('3 Base Estoque Físico'!$A$2:$A$5000=$A43)*('3 Base Estoque Físico'!$B$2:$B$5000=$B43)*('3 Base Estoque Físico'!$I$2:$I$5000&gt;=DATE(2026,9,9))*ISNUMBER(MATCH('3 Base Estoque Físico'!$C$2:$C$5000,{"DCK","TRF","922","FLR","DIF"},0))*'3 Base Estoque Físico'!$J$2:$J$5000)</f>
        <v>0</v>
      </c>
      <c r="O43" s="161" t="n">
        <f aca="false">IF(OR(J43="Confere",LEFT(K43,5)="Troca",ISNUMBER(SEARCH("não baixaram",K43))),0,IF(I43&gt;0,MAX(0,ROUND(I43-M43-N43,2)),I43))</f>
        <v>0</v>
      </c>
      <c r="P43" s="158" t="n">
        <f aca="false">SUMIFS('3 Base Saídas'!$R$2:$R$5000,'3 Base Saídas'!$B$2:$B$5000,$A43,'3 Base Saídas'!$C$2:$C$5000,$B43,'3 Base Saídas'!$E$2:$E$5000,"0355")</f>
        <v>0</v>
      </c>
      <c r="Q43" s="157" t="str">
        <f aca="false">IF(J43="Confere","—",IF(LEFT(K43,5)="Troca","Troca de lote",IF(LEFT(K43,6)="Entrou","Não localizado no estoque",IF(J43="Faltando","Falta sem explicação",IF(ISNUMBER(SEARCH("não baixaram",K43)),"Saída sem baixa no estoque",IF(LEFT(K43,10)="Quantidade","Doca/transferência pendente",IF(LEFT(K43,14)="Estoque antigo","Estoque anterior a 09/09",IF(LEFT(K43,7)="Explica","Sobra parcialmente explicada","Sobra sem explicação"))))))))</f>
        <v>—</v>
      </c>
      <c r="R43" s="162" t="str">
        <f aca="false">IF(J43="Confere","—",IF(OR(LEFT(K43,6)="Entrou",AND(I43&lt;0,ABS(O43)&gt;=Parâmetros!$K$6)),"Crítica",IF(OR(AND(I43&lt;0,O43&lt;&gt;0),O43&gt;=Parâmetros!$K$7),"Alta",IF(O43&gt;0,"Média","Baixa"))))</f>
        <v>—</v>
      </c>
      <c r="S43" s="157" t="str">
        <f aca="false">A43&amp;"|"&amp;B43</f>
        <v>70-30-38-BR-25A|260070301</v>
      </c>
      <c r="T43" s="157" t="n">
        <f aca="false">IF(ABS(O43)&gt;Parâmetros!$C$7,ABS(O43)+ROW()/10000000,0)</f>
        <v>0</v>
      </c>
      <c r="U43" s="158" t="n">
        <f aca="false">SUMIFS('3 Base Saldo Inicial 08-09'!$E$2:$E$5000,'3 Base Saldo Inicial 08-09'!$A$2:$A$5000,$A43,'3 Base Saldo Inicial 08-09'!$B$2:$B$5000,$B43)-SUMIFS('3 Base Saldo Inicial 08-09'!$E$2:$E$5000,'3 Base Saldo Inicial 08-09'!$A$2:$A$5000,$A43,'3 Base Saldo Inicial 08-09'!$B$2:$B$5000,$B43,'3 Base Saldo Inicial 08-09'!$C$2:$C$5000,"2008")</f>
        <v>0</v>
      </c>
    </row>
    <row r="44" customFormat="false" ht="15" hidden="false" customHeight="false" outlineLevel="0" collapsed="false">
      <c r="A44" s="155" t="s">
        <v>201</v>
      </c>
      <c r="B44" s="155" t="s">
        <v>203</v>
      </c>
      <c r="C44" s="156" t="s">
        <v>522</v>
      </c>
      <c r="D44" s="157" t="s">
        <v>65</v>
      </c>
      <c r="E44" s="158" t="n">
        <f aca="false">SUMIFS('aux Conciliação Lote'!$E$5:$E$98,'aux Conciliação Lote'!$A$5:$A$98,$A44,'aux Conciliação Lote'!$B$5:$B$98,$B44)</f>
        <v>142.8</v>
      </c>
      <c r="F44" s="158" t="n">
        <f aca="false">SUMIFS('aux Conciliação Lote'!$F$5:$F$98,'aux Conciliação Lote'!$A$5:$A$98,$A44,'aux Conciliação Lote'!$B$5:$B$98,$B44)</f>
        <v>0</v>
      </c>
      <c r="G44" s="158" t="n">
        <f aca="false">U44+E44-F44</f>
        <v>142.8</v>
      </c>
      <c r="H44" s="158" t="n">
        <f aca="false">SUMIFS('aux Conciliação Lote'!$H$5:$H$98,'aux Conciliação Lote'!$A$5:$A$98,$A44,'aux Conciliação Lote'!$B$5:$B$98,$B44)</f>
        <v>142.8</v>
      </c>
      <c r="I44" s="159" t="n">
        <f aca="false">ROUND(H44-G44,2)</f>
        <v>0</v>
      </c>
      <c r="J44" s="160" t="str">
        <f aca="false">IF(ABS(I44)&lt;=Parâmetros!$C$7,"Confere",IF(I44&gt;0,"Sobrando","Faltando"))</f>
        <v>Confere</v>
      </c>
      <c r="K44" s="155" t="str">
        <f aca="false">IF(J44="Confere","Sem diferença",IF(AND(J44&lt;&gt;"Confere",SUMPRODUCT(($A$14:$A$107=$A44)*($B$14:$B$107&lt;&gt;$B44)*(ABS($I$14:$I$107+$I44)&lt;=Parâmetros!$C$7))&gt;0),"Troca de lote: a mesma quantidade aparece com sinal oposto em outro lote deste SKU",IF(AND(I44&lt;0,H44=0,F44=0),"Entrou no ZBR, mas não está no estoque físico: não chegou ou foi guardado em outro lote",IF(I44&lt;0,"Estoque físico menor que o esperado: saída, ajuste ou perda não lançada no período",IF(ABS(I44-M44)&lt;=Parâmetros!$C$7,"Estoque antigo: toda a sobra está em posições sem movimento desde antes de 09/09",IF(AND(F44&gt;0,ABS(I44-F44)&lt;=Parâmetros!$C$7),"As saídas do período não baixaram o estoque físico",IF(ABS(I44-N44)&lt;=Parâmetros!$C$7,"Quantidade parada em doca, chão ou transferência: entrega ou devolução não baixada",IF(ABS(I44-M44-N44)&lt;=Parâmetros!$C$7,"Estoque antigo + quantidade em doca/chão/transferência",IF(AND(F44&gt;0,ABS(I44-M44-N44-F44)&lt;=Parâmetros!$C$7),IF(M44+N44&gt;0,"Estoque antigo/doca + saídas do período que","Saídas do período que")&amp;" não baixaram o estoque físico",IF(AND(P44&gt;0,ABS(I44-M44-N44-P44)&lt;=Parâmetros!$C$7),IF(M44+N44&gt;0,"Estoque antigo/doca + saídas","Saídas")&amp;" pelo depósito 0355 que não baixaram o estoque físico",IF(M44+N44&gt;0,"Explica em parte: estoque antigo "&amp;FIXED(M44,1)&amp;" + doca/transferência "&amp;FIXED(N44,1)&amp;"; faltam "&amp;FIXED(I44-M44-N44,1)&amp;" a explicar",IF(F44&gt;E44+U44,"Saiu mais do que entrou: havia estoque antes de 09/09 que não está no arquivo","Estoque acima do esperado: entrada não lançada ou saldo anterior ao período"))))))))))))</f>
        <v>Sem diferença</v>
      </c>
      <c r="L44" s="156" t="str">
        <f aca="false">IF(J44="Confere","Nenhum ajuste necessário",IF(LEFT(K44,5)="Troca","Transferir "&amp;FIXED(ABS(I44),1)&amp;" "&amp;D44&amp;" entre os lotes deste SKU (transferência lote a lote, mov. 309) para corrigir o lote",IF(LEFT(K44,6)="Entrou","Procurar a OT de armazenagem pendente no ZBR. Se não achar: contar e lançar ajuste de inventário de −"&amp;FIXED(ABS(I44),1)&amp;" "&amp;D44,IF(J44="Faltando","Contar o lote. Se a falta se confirmar: lançar a saída esquecida (601) ou ajuste de inventário de −"&amp;FIXED(ABS(I44),1)&amp;" "&amp;D44,IF(LEFT(K44,15)="Estoque antigo:","Confirmar no SAP o saldo de 08/09 ("&amp;FIXED(ABS(M44),1)&amp;" "&amp;D44&amp;"). Se estiver certo, não há ajuste",IF(LEFT(K44,10)="Quantidade","Confirmar ou estornar as OTs em doca/transferência ("&amp;FIXED(ABS(N44),1)&amp;" "&amp;D44&amp;"): guardar na posição ou baixar a entrega",IF(LEFT(K44,16)="Estoque antigo +","Confirmar saldo de 08/09 ("&amp;FIXED(ABS(M44),1)&amp;" "&amp;D44&amp;") e tratar as OTs em doca/transferência ("&amp;FIXED(ABS(N44),1)&amp;" "&amp;D44&amp;")",IF(ISNUMBER(SEARCH("não baixaram",K44)),"Confirmar a OT de saída (picking) das remessas para baixar "&amp;FIXED(ABS(I44-M44-N44),1)&amp;" "&amp;D44&amp;" do estoque físico"&amp;IF(M44+N44&gt;0,"; conferir também estoque antigo/doca",""),IF(LEFT(K44,7)="Explica","Confirmar saldo de 08/09 e OTs de doca; contar o lote para os "&amp;FIXED(ABS(I44-M44-N44),1)&amp;" "&amp;D44&amp;" restantes e ajustar a sobra se confirmada","Confirmar saldo de 08/09; se não existir, contar o lote e lançar ajuste de inventário de +"&amp;FIXED(ABS(I44),1)&amp;" "&amp;D44)))))))))</f>
        <v>Nenhum ajuste necessário</v>
      </c>
      <c r="M44" s="158" t="n">
        <f aca="false">MAX(0,SUMIFS('3 Base Estoque Físico'!$J$2:$J$5000,'3 Base Estoque Físico'!$A$2:$A$5000,$A44,'3 Base Estoque Físico'!$B$2:$B$5000,$B44,'3 Base Estoque Físico'!$I$2:$I$5000,"&lt;"&amp;DATE(2026,9,9))-U44)</f>
        <v>0</v>
      </c>
      <c r="N44" s="158" t="n">
        <f aca="false">SUMPRODUCT(('3 Base Estoque Físico'!$A$2:$A$5000=$A44)*('3 Base Estoque Físico'!$B$2:$B$5000=$B44)*('3 Base Estoque Físico'!$I$2:$I$5000&gt;=DATE(2026,9,9))*ISNUMBER(MATCH('3 Base Estoque Físico'!$C$2:$C$5000,{"DCK","TRF","922","FLR","DIF"},0))*'3 Base Estoque Físico'!$J$2:$J$5000)</f>
        <v>0</v>
      </c>
      <c r="O44" s="161" t="n">
        <f aca="false">IF(OR(J44="Confere",LEFT(K44,5)="Troca",ISNUMBER(SEARCH("não baixaram",K44))),0,IF(I44&gt;0,MAX(0,ROUND(I44-M44-N44,2)),I44))</f>
        <v>0</v>
      </c>
      <c r="P44" s="158" t="n">
        <f aca="false">SUMIFS('3 Base Saídas'!$R$2:$R$5000,'3 Base Saídas'!$B$2:$B$5000,$A44,'3 Base Saídas'!$C$2:$C$5000,$B44,'3 Base Saídas'!$E$2:$E$5000,"0355")</f>
        <v>0</v>
      </c>
      <c r="Q44" s="157" t="str">
        <f aca="false">IF(J44="Confere","—",IF(LEFT(K44,5)="Troca","Troca de lote",IF(LEFT(K44,6)="Entrou","Não localizado no estoque",IF(J44="Faltando","Falta sem explicação",IF(ISNUMBER(SEARCH("não baixaram",K44)),"Saída sem baixa no estoque",IF(LEFT(K44,10)="Quantidade","Doca/transferência pendente",IF(LEFT(K44,14)="Estoque antigo","Estoque anterior a 09/09",IF(LEFT(K44,7)="Explica","Sobra parcialmente explicada","Sobra sem explicação"))))))))</f>
        <v>—</v>
      </c>
      <c r="R44" s="162" t="str">
        <f aca="false">IF(J44="Confere","—",IF(OR(LEFT(K44,6)="Entrou",AND(I44&lt;0,ABS(O44)&gt;=Parâmetros!$K$6)),"Crítica",IF(OR(AND(I44&lt;0,O44&lt;&gt;0),O44&gt;=Parâmetros!$K$7),"Alta",IF(O44&gt;0,"Média","Baixa"))))</f>
        <v>—</v>
      </c>
      <c r="S44" s="157" t="str">
        <f aca="false">A44&amp;"|"&amp;B44</f>
        <v>805-BR-D94|260130779</v>
      </c>
      <c r="T44" s="157" t="n">
        <f aca="false">IF(ABS(O44)&gt;Parâmetros!$C$7,ABS(O44)+ROW()/10000000,0)</f>
        <v>0</v>
      </c>
      <c r="U44" s="158" t="n">
        <f aca="false">SUMIFS('3 Base Saldo Inicial 08-09'!$E$2:$E$5000,'3 Base Saldo Inicial 08-09'!$A$2:$A$5000,$A44,'3 Base Saldo Inicial 08-09'!$B$2:$B$5000,$B44)-SUMIFS('3 Base Saldo Inicial 08-09'!$E$2:$E$5000,'3 Base Saldo Inicial 08-09'!$A$2:$A$5000,$A44,'3 Base Saldo Inicial 08-09'!$B$2:$B$5000,$B44,'3 Base Saldo Inicial 08-09'!$C$2:$C$5000,"2008")</f>
        <v>0</v>
      </c>
    </row>
    <row r="45" customFormat="false" ht="15" hidden="false" customHeight="false" outlineLevel="0" collapsed="false">
      <c r="A45" s="155" t="s">
        <v>211</v>
      </c>
      <c r="B45" s="155" t="s">
        <v>214</v>
      </c>
      <c r="C45" s="156" t="s">
        <v>740</v>
      </c>
      <c r="D45" s="157" t="s">
        <v>65</v>
      </c>
      <c r="E45" s="158" t="n">
        <f aca="false">SUMIFS('aux Conciliação Lote'!$E$5:$E$98,'aux Conciliação Lote'!$A$5:$A$98,$A45,'aux Conciliação Lote'!$B$5:$B$98,$B45)</f>
        <v>1500</v>
      </c>
      <c r="F45" s="158" t="n">
        <f aca="false">SUMIFS('aux Conciliação Lote'!$F$5:$F$98,'aux Conciliação Lote'!$A$5:$A$98,$A45,'aux Conciliação Lote'!$B$5:$B$98,$B45)</f>
        <v>0</v>
      </c>
      <c r="G45" s="158" t="n">
        <f aca="false">U45+E45-F45</f>
        <v>1500</v>
      </c>
      <c r="H45" s="158" t="n">
        <f aca="false">SUMIFS('aux Conciliação Lote'!$H$5:$H$98,'aux Conciliação Lote'!$A$5:$A$98,$A45,'aux Conciliação Lote'!$B$5:$B$98,$B45)</f>
        <v>1500</v>
      </c>
      <c r="I45" s="159" t="n">
        <f aca="false">ROUND(H45-G45,2)</f>
        <v>0</v>
      </c>
      <c r="J45" s="160" t="str">
        <f aca="false">IF(ABS(I45)&lt;=Parâmetros!$C$7,"Confere",IF(I45&gt;0,"Sobrando","Faltando"))</f>
        <v>Confere</v>
      </c>
      <c r="K45" s="155" t="str">
        <f aca="false">IF(J45="Confere","Sem diferença",IF(AND(J45&lt;&gt;"Confere",SUMPRODUCT(($A$14:$A$107=$A45)*($B$14:$B$107&lt;&gt;$B45)*(ABS($I$14:$I$107+$I45)&lt;=Parâmetros!$C$7))&gt;0),"Troca de lote: a mesma quantidade aparece com sinal oposto em outro lote deste SKU",IF(AND(I45&lt;0,H45=0,F45=0),"Entrou no ZBR, mas não está no estoque físico: não chegou ou foi guardado em outro lote",IF(I45&lt;0,"Estoque físico menor que o esperado: saída, ajuste ou perda não lançada no período",IF(ABS(I45-M45)&lt;=Parâmetros!$C$7,"Estoque antigo: toda a sobra está em posições sem movimento desde antes de 09/09",IF(AND(F45&gt;0,ABS(I45-F45)&lt;=Parâmetros!$C$7),"As saídas do período não baixaram o estoque físico",IF(ABS(I45-N45)&lt;=Parâmetros!$C$7,"Quantidade parada em doca, chão ou transferência: entrega ou devolução não baixada",IF(ABS(I45-M45-N45)&lt;=Parâmetros!$C$7,"Estoque antigo + quantidade em doca/chão/transferência",IF(AND(F45&gt;0,ABS(I45-M45-N45-F45)&lt;=Parâmetros!$C$7),IF(M45+N45&gt;0,"Estoque antigo/doca + saídas do período que","Saídas do período que")&amp;" não baixaram o estoque físico",IF(AND(P45&gt;0,ABS(I45-M45-N45-P45)&lt;=Parâmetros!$C$7),IF(M45+N45&gt;0,"Estoque antigo/doca + saídas","Saídas")&amp;" pelo depósito 0355 que não baixaram o estoque físico",IF(M45+N45&gt;0,"Explica em parte: estoque antigo "&amp;FIXED(M45,1)&amp;" + doca/transferência "&amp;FIXED(N45,1)&amp;"; faltam "&amp;FIXED(I45-M45-N45,1)&amp;" a explicar",IF(F45&gt;E45+U45,"Saiu mais do que entrou: havia estoque antes de 09/09 que não está no arquivo","Estoque acima do esperado: entrada não lançada ou saldo anterior ao período"))))))))))))</f>
        <v>Sem diferença</v>
      </c>
      <c r="L45" s="156" t="str">
        <f aca="false">IF(J45="Confere","Nenhum ajuste necessário",IF(LEFT(K45,5)="Troca","Transferir "&amp;FIXED(ABS(I45),1)&amp;" "&amp;D45&amp;" entre os lotes deste SKU (transferência lote a lote, mov. 309) para corrigir o lote",IF(LEFT(K45,6)="Entrou","Procurar a OT de armazenagem pendente no ZBR. Se não achar: contar e lançar ajuste de inventário de −"&amp;FIXED(ABS(I45),1)&amp;" "&amp;D45,IF(J45="Faltando","Contar o lote. Se a falta se confirmar: lançar a saída esquecida (601) ou ajuste de inventário de −"&amp;FIXED(ABS(I45),1)&amp;" "&amp;D45,IF(LEFT(K45,15)="Estoque antigo:","Confirmar no SAP o saldo de 08/09 ("&amp;FIXED(ABS(M45),1)&amp;" "&amp;D45&amp;"). Se estiver certo, não há ajuste",IF(LEFT(K45,10)="Quantidade","Confirmar ou estornar as OTs em doca/transferência ("&amp;FIXED(ABS(N45),1)&amp;" "&amp;D45&amp;"): guardar na posição ou baixar a entrega",IF(LEFT(K45,16)="Estoque antigo +","Confirmar saldo de 08/09 ("&amp;FIXED(ABS(M45),1)&amp;" "&amp;D45&amp;") e tratar as OTs em doca/transferência ("&amp;FIXED(ABS(N45),1)&amp;" "&amp;D45&amp;")",IF(ISNUMBER(SEARCH("não baixaram",K45)),"Confirmar a OT de saída (picking) das remessas para baixar "&amp;FIXED(ABS(I45-M45-N45),1)&amp;" "&amp;D45&amp;" do estoque físico"&amp;IF(M45+N45&gt;0,"; conferir também estoque antigo/doca",""),IF(LEFT(K45,7)="Explica","Confirmar saldo de 08/09 e OTs de doca; contar o lote para os "&amp;FIXED(ABS(I45-M45-N45),1)&amp;" "&amp;D45&amp;" restantes e ajustar a sobra se confirmada","Confirmar saldo de 08/09; se não existir, contar o lote e lançar ajuste de inventário de +"&amp;FIXED(ABS(I45),1)&amp;" "&amp;D45)))))))))</f>
        <v>Nenhum ajuste necessário</v>
      </c>
      <c r="M45" s="158" t="n">
        <f aca="false">MAX(0,SUMIFS('3 Base Estoque Físico'!$J$2:$J$5000,'3 Base Estoque Físico'!$A$2:$A$5000,$A45,'3 Base Estoque Físico'!$B$2:$B$5000,$B45,'3 Base Estoque Físico'!$I$2:$I$5000,"&lt;"&amp;DATE(2026,9,9))-U45)</f>
        <v>0</v>
      </c>
      <c r="N45" s="158" t="n">
        <f aca="false">SUMPRODUCT(('3 Base Estoque Físico'!$A$2:$A$5000=$A45)*('3 Base Estoque Físico'!$B$2:$B$5000=$B45)*('3 Base Estoque Físico'!$I$2:$I$5000&gt;=DATE(2026,9,9))*ISNUMBER(MATCH('3 Base Estoque Físico'!$C$2:$C$5000,{"DCK","TRF","922","FLR","DIF"},0))*'3 Base Estoque Físico'!$J$2:$J$5000)</f>
        <v>500</v>
      </c>
      <c r="O45" s="161" t="n">
        <f aca="false">IF(OR(J45="Confere",LEFT(K45,5)="Troca",ISNUMBER(SEARCH("não baixaram",K45))),0,IF(I45&gt;0,MAX(0,ROUND(I45-M45-N45,2)),I45))</f>
        <v>0</v>
      </c>
      <c r="P45" s="158" t="n">
        <f aca="false">SUMIFS('3 Base Saídas'!$R$2:$R$5000,'3 Base Saídas'!$B$2:$B$5000,$A45,'3 Base Saídas'!$C$2:$C$5000,$B45,'3 Base Saídas'!$E$2:$E$5000,"0355")</f>
        <v>0</v>
      </c>
      <c r="Q45" s="157" t="str">
        <f aca="false">IF(J45="Confere","—",IF(LEFT(K45,5)="Troca","Troca de lote",IF(LEFT(K45,6)="Entrou","Não localizado no estoque",IF(J45="Faltando","Falta sem explicação",IF(ISNUMBER(SEARCH("não baixaram",K45)),"Saída sem baixa no estoque",IF(LEFT(K45,10)="Quantidade","Doca/transferência pendente",IF(LEFT(K45,14)="Estoque antigo","Estoque anterior a 09/09",IF(LEFT(K45,7)="Explica","Sobra parcialmente explicada","Sobra sem explicação"))))))))</f>
        <v>—</v>
      </c>
      <c r="R45" s="162" t="str">
        <f aca="false">IF(J45="Confere","—",IF(OR(LEFT(K45,6)="Entrou",AND(I45&lt;0,ABS(O45)&gt;=Parâmetros!$K$6)),"Crítica",IF(OR(AND(I45&lt;0,O45&lt;&gt;0),O45&gt;=Parâmetros!$K$7),"Alta",IF(O45&gt;0,"Média","Baixa"))))</f>
        <v>—</v>
      </c>
      <c r="S45" s="157" t="str">
        <f aca="false">A45&amp;"|"&amp;B45</f>
        <v>811NV-132|252510301</v>
      </c>
      <c r="T45" s="157" t="n">
        <f aca="false">IF(ABS(O45)&gt;Parâmetros!$C$7,ABS(O45)+ROW()/10000000,0)</f>
        <v>0</v>
      </c>
      <c r="U45" s="158" t="n">
        <f aca="false">SUMIFS('3 Base Saldo Inicial 08-09'!$E$2:$E$5000,'3 Base Saldo Inicial 08-09'!$A$2:$A$5000,$A45,'3 Base Saldo Inicial 08-09'!$B$2:$B$5000,$B45)-SUMIFS('3 Base Saldo Inicial 08-09'!$E$2:$E$5000,'3 Base Saldo Inicial 08-09'!$A$2:$A$5000,$A45,'3 Base Saldo Inicial 08-09'!$B$2:$B$5000,$B45,'3 Base Saldo Inicial 08-09'!$C$2:$C$5000,"2008")</f>
        <v>0</v>
      </c>
    </row>
    <row r="46" customFormat="false" ht="15" hidden="false" customHeight="false" outlineLevel="0" collapsed="false">
      <c r="A46" s="155" t="s">
        <v>211</v>
      </c>
      <c r="B46" s="155" t="s">
        <v>212</v>
      </c>
      <c r="C46" s="156" t="s">
        <v>740</v>
      </c>
      <c r="D46" s="157" t="s">
        <v>65</v>
      </c>
      <c r="E46" s="158" t="n">
        <f aca="false">SUMIFS('aux Conciliação Lote'!$E$5:$E$98,'aux Conciliação Lote'!$A$5:$A$98,$A46,'aux Conciliação Lote'!$B$5:$B$98,$B46)</f>
        <v>1750</v>
      </c>
      <c r="F46" s="158" t="n">
        <f aca="false">SUMIFS('aux Conciliação Lote'!$F$5:$F$98,'aux Conciliação Lote'!$A$5:$A$98,$A46,'aux Conciliação Lote'!$B$5:$B$98,$B46)</f>
        <v>800</v>
      </c>
      <c r="G46" s="158" t="n">
        <f aca="false">U46+E46-F46</f>
        <v>950</v>
      </c>
      <c r="H46" s="158" t="n">
        <f aca="false">SUMIFS('aux Conciliação Lote'!$H$5:$H$98,'aux Conciliação Lote'!$A$5:$A$98,$A46,'aux Conciliação Lote'!$B$5:$B$98,$B46)</f>
        <v>950</v>
      </c>
      <c r="I46" s="159" t="n">
        <f aca="false">ROUND(H46-G46,2)</f>
        <v>0</v>
      </c>
      <c r="J46" s="160" t="str">
        <f aca="false">IF(ABS(I46)&lt;=Parâmetros!$C$7,"Confere",IF(I46&gt;0,"Sobrando","Faltando"))</f>
        <v>Confere</v>
      </c>
      <c r="K46" s="155" t="str">
        <f aca="false">IF(J46="Confere","Sem diferença",IF(AND(J46&lt;&gt;"Confere",SUMPRODUCT(($A$14:$A$107=$A46)*($B$14:$B$107&lt;&gt;$B46)*(ABS($I$14:$I$107+$I46)&lt;=Parâmetros!$C$7))&gt;0),"Troca de lote: a mesma quantidade aparece com sinal oposto em outro lote deste SKU",IF(AND(I46&lt;0,H46=0,F46=0),"Entrou no ZBR, mas não está no estoque físico: não chegou ou foi guardado em outro lote",IF(I46&lt;0,"Estoque físico menor que o esperado: saída, ajuste ou perda não lançada no período",IF(ABS(I46-M46)&lt;=Parâmetros!$C$7,"Estoque antigo: toda a sobra está em posições sem movimento desde antes de 09/09",IF(AND(F46&gt;0,ABS(I46-F46)&lt;=Parâmetros!$C$7),"As saídas do período não baixaram o estoque físico",IF(ABS(I46-N46)&lt;=Parâmetros!$C$7,"Quantidade parada em doca, chão ou transferência: entrega ou devolução não baixada",IF(ABS(I46-M46-N46)&lt;=Parâmetros!$C$7,"Estoque antigo + quantidade em doca/chão/transferência",IF(AND(F46&gt;0,ABS(I46-M46-N46-F46)&lt;=Parâmetros!$C$7),IF(M46+N46&gt;0,"Estoque antigo/doca + saídas do período que","Saídas do período que")&amp;" não baixaram o estoque físico",IF(AND(P46&gt;0,ABS(I46-M46-N46-P46)&lt;=Parâmetros!$C$7),IF(M46+N46&gt;0,"Estoque antigo/doca + saídas","Saídas")&amp;" pelo depósito 0355 que não baixaram o estoque físico",IF(M46+N46&gt;0,"Explica em parte: estoque antigo "&amp;FIXED(M46,1)&amp;" + doca/transferência "&amp;FIXED(N46,1)&amp;"; faltam "&amp;FIXED(I46-M46-N46,1)&amp;" a explicar",IF(F46&gt;E46+U46,"Saiu mais do que entrou: havia estoque antes de 09/09 que não está no arquivo","Estoque acima do esperado: entrada não lançada ou saldo anterior ao período"))))))))))))</f>
        <v>Sem diferença</v>
      </c>
      <c r="L46" s="156" t="str">
        <f aca="false">IF(J46="Confere","Nenhum ajuste necessário",IF(LEFT(K46,5)="Troca","Transferir "&amp;FIXED(ABS(I46),1)&amp;" "&amp;D46&amp;" entre os lotes deste SKU (transferência lote a lote, mov. 309) para corrigir o lote",IF(LEFT(K46,6)="Entrou","Procurar a OT de armazenagem pendente no ZBR. Se não achar: contar e lançar ajuste de inventário de −"&amp;FIXED(ABS(I46),1)&amp;" "&amp;D46,IF(J46="Faltando","Contar o lote. Se a falta se confirmar: lançar a saída esquecida (601) ou ajuste de inventário de −"&amp;FIXED(ABS(I46),1)&amp;" "&amp;D46,IF(LEFT(K46,15)="Estoque antigo:","Confirmar no SAP o saldo de 08/09 ("&amp;FIXED(ABS(M46),1)&amp;" "&amp;D46&amp;"). Se estiver certo, não há ajuste",IF(LEFT(K46,10)="Quantidade","Confirmar ou estornar as OTs em doca/transferência ("&amp;FIXED(ABS(N46),1)&amp;" "&amp;D46&amp;"): guardar na posição ou baixar a entrega",IF(LEFT(K46,16)="Estoque antigo +","Confirmar saldo de 08/09 ("&amp;FIXED(ABS(M46),1)&amp;" "&amp;D46&amp;") e tratar as OTs em doca/transferência ("&amp;FIXED(ABS(N46),1)&amp;" "&amp;D46&amp;")",IF(ISNUMBER(SEARCH("não baixaram",K46)),"Confirmar a OT de saída (picking) das remessas para baixar "&amp;FIXED(ABS(I46-M46-N46),1)&amp;" "&amp;D46&amp;" do estoque físico"&amp;IF(M46+N46&gt;0,"; conferir também estoque antigo/doca",""),IF(LEFT(K46,7)="Explica","Confirmar saldo de 08/09 e OTs de doca; contar o lote para os "&amp;FIXED(ABS(I46-M46-N46),1)&amp;" "&amp;D46&amp;" restantes e ajustar a sobra se confirmada","Confirmar saldo de 08/09; se não existir, contar o lote e lançar ajuste de inventário de +"&amp;FIXED(ABS(I46),1)&amp;" "&amp;D46)))))))))</f>
        <v>Nenhum ajuste necessário</v>
      </c>
      <c r="M46" s="158" t="n">
        <f aca="false">MAX(0,SUMIFS('3 Base Estoque Físico'!$J$2:$J$5000,'3 Base Estoque Físico'!$A$2:$A$5000,$A46,'3 Base Estoque Físico'!$B$2:$B$5000,$B46,'3 Base Estoque Físico'!$I$2:$I$5000,"&lt;"&amp;DATE(2026,9,9))-U46)</f>
        <v>0</v>
      </c>
      <c r="N46" s="158" t="n">
        <f aca="false">SUMPRODUCT(('3 Base Estoque Físico'!$A$2:$A$5000=$A46)*('3 Base Estoque Físico'!$B$2:$B$5000=$B46)*('3 Base Estoque Físico'!$I$2:$I$5000&gt;=DATE(2026,9,9))*ISNUMBER(MATCH('3 Base Estoque Físico'!$C$2:$C$5000,{"DCK","TRF","922","FLR","DIF"},0))*'3 Base Estoque Físico'!$J$2:$J$5000)</f>
        <v>0</v>
      </c>
      <c r="O46" s="161" t="n">
        <f aca="false">IF(OR(J46="Confere",LEFT(K46,5)="Troca",ISNUMBER(SEARCH("não baixaram",K46))),0,IF(I46&gt;0,MAX(0,ROUND(I46-M46-N46,2)),I46))</f>
        <v>0</v>
      </c>
      <c r="P46" s="158" t="n">
        <f aca="false">SUMIFS('3 Base Saídas'!$R$2:$R$5000,'3 Base Saídas'!$B$2:$B$5000,$A46,'3 Base Saídas'!$C$2:$C$5000,$B46,'3 Base Saídas'!$E$2:$E$5000,"0355")</f>
        <v>0</v>
      </c>
      <c r="Q46" s="157" t="str">
        <f aca="false">IF(J46="Confere","—",IF(LEFT(K46,5)="Troca","Troca de lote",IF(LEFT(K46,6)="Entrou","Não localizado no estoque",IF(J46="Faltando","Falta sem explicação",IF(ISNUMBER(SEARCH("não baixaram",K46)),"Saída sem baixa no estoque",IF(LEFT(K46,10)="Quantidade","Doca/transferência pendente",IF(LEFT(K46,14)="Estoque antigo","Estoque anterior a 09/09",IF(LEFT(K46,7)="Explica","Sobra parcialmente explicada","Sobra sem explicação"))))))))</f>
        <v>—</v>
      </c>
      <c r="R46" s="162" t="str">
        <f aca="false">IF(J46="Confere","—",IF(OR(LEFT(K46,6)="Entrou",AND(I46&lt;0,ABS(O46)&gt;=Parâmetros!$K$6)),"Crítica",IF(OR(AND(I46&lt;0,O46&lt;&gt;0),O46&gt;=Parâmetros!$K$7),"Alta",IF(O46&gt;0,"Média","Baixa"))))</f>
        <v>—</v>
      </c>
      <c r="S46" s="157" t="str">
        <f aca="false">A46&amp;"|"&amp;B46</f>
        <v>811NV-132|253280301</v>
      </c>
      <c r="T46" s="157" t="n">
        <f aca="false">IF(ABS(O46)&gt;Parâmetros!$C$7,ABS(O46)+ROW()/10000000,0)</f>
        <v>0</v>
      </c>
      <c r="U46" s="158" t="n">
        <f aca="false">SUMIFS('3 Base Saldo Inicial 08-09'!$E$2:$E$5000,'3 Base Saldo Inicial 08-09'!$A$2:$A$5000,$A46,'3 Base Saldo Inicial 08-09'!$B$2:$B$5000,$B46)-SUMIFS('3 Base Saldo Inicial 08-09'!$E$2:$E$5000,'3 Base Saldo Inicial 08-09'!$A$2:$A$5000,$A46,'3 Base Saldo Inicial 08-09'!$B$2:$B$5000,$B46,'3 Base Saldo Inicial 08-09'!$C$2:$C$5000,"2008")</f>
        <v>0</v>
      </c>
    </row>
    <row r="47" customFormat="false" ht="15" hidden="false" customHeight="false" outlineLevel="0" collapsed="false">
      <c r="A47" s="155" t="s">
        <v>218</v>
      </c>
      <c r="B47" s="155" t="s">
        <v>317</v>
      </c>
      <c r="C47" s="156" t="s">
        <v>756</v>
      </c>
      <c r="D47" s="157" t="s">
        <v>65</v>
      </c>
      <c r="E47" s="158" t="n">
        <f aca="false">SUMIFS('aux Conciliação Lote'!$E$5:$E$98,'aux Conciliação Lote'!$A$5:$A$98,$A47,'aux Conciliação Lote'!$B$5:$B$98,$B47)</f>
        <v>1800</v>
      </c>
      <c r="F47" s="158" t="n">
        <f aca="false">SUMIFS('aux Conciliação Lote'!$F$5:$F$98,'aux Conciliação Lote'!$A$5:$A$98,$A47,'aux Conciliação Lote'!$B$5:$B$98,$B47)</f>
        <v>1780</v>
      </c>
      <c r="G47" s="158" t="n">
        <f aca="false">U47+E47-F47</f>
        <v>20</v>
      </c>
      <c r="H47" s="158" t="n">
        <f aca="false">SUMIFS('aux Conciliação Lote'!$H$5:$H$98,'aux Conciliação Lote'!$A$5:$A$98,$A47,'aux Conciliação Lote'!$B$5:$B$98,$B47)</f>
        <v>20</v>
      </c>
      <c r="I47" s="159" t="n">
        <f aca="false">ROUND(H47-G47,2)</f>
        <v>0</v>
      </c>
      <c r="J47" s="160" t="str">
        <f aca="false">IF(ABS(I47)&lt;=Parâmetros!$C$7,"Confere",IF(I47&gt;0,"Sobrando","Faltando"))</f>
        <v>Confere</v>
      </c>
      <c r="K47" s="155" t="str">
        <f aca="false">IF(J47="Confere","Sem diferença",IF(AND(J47&lt;&gt;"Confere",SUMPRODUCT(($A$14:$A$107=$A47)*($B$14:$B$107&lt;&gt;$B47)*(ABS($I$14:$I$107+$I47)&lt;=Parâmetros!$C$7))&gt;0),"Troca de lote: a mesma quantidade aparece com sinal oposto em outro lote deste SKU",IF(AND(I47&lt;0,H47=0,F47=0),"Entrou no ZBR, mas não está no estoque físico: não chegou ou foi guardado em outro lote",IF(I47&lt;0,"Estoque físico menor que o esperado: saída, ajuste ou perda não lançada no período",IF(ABS(I47-M47)&lt;=Parâmetros!$C$7,"Estoque antigo: toda a sobra está em posições sem movimento desde antes de 09/09",IF(AND(F47&gt;0,ABS(I47-F47)&lt;=Parâmetros!$C$7),"As saídas do período não baixaram o estoque físico",IF(ABS(I47-N47)&lt;=Parâmetros!$C$7,"Quantidade parada em doca, chão ou transferência: entrega ou devolução não baixada",IF(ABS(I47-M47-N47)&lt;=Parâmetros!$C$7,"Estoque antigo + quantidade em doca/chão/transferência",IF(AND(F47&gt;0,ABS(I47-M47-N47-F47)&lt;=Parâmetros!$C$7),IF(M47+N47&gt;0,"Estoque antigo/doca + saídas do período que","Saídas do período que")&amp;" não baixaram o estoque físico",IF(AND(P47&gt;0,ABS(I47-M47-N47-P47)&lt;=Parâmetros!$C$7),IF(M47+N47&gt;0,"Estoque antigo/doca + saídas","Saídas")&amp;" pelo depósito 0355 que não baixaram o estoque físico",IF(M47+N47&gt;0,"Explica em parte: estoque antigo "&amp;FIXED(M47,1)&amp;" + doca/transferência "&amp;FIXED(N47,1)&amp;"; faltam "&amp;FIXED(I47-M47-N47,1)&amp;" a explicar",IF(F47&gt;E47+U47,"Saiu mais do que entrou: havia estoque antes de 09/09 que não está no arquivo","Estoque acima do esperado: entrada não lançada ou saldo anterior ao período"))))))))))))</f>
        <v>Sem diferença</v>
      </c>
      <c r="L47" s="156" t="str">
        <f aca="false">IF(J47="Confere","Nenhum ajuste necessário",IF(LEFT(K47,5)="Troca","Transferir "&amp;FIXED(ABS(I47),1)&amp;" "&amp;D47&amp;" entre os lotes deste SKU (transferência lote a lote, mov. 309) para corrigir o lote",IF(LEFT(K47,6)="Entrou","Procurar a OT de armazenagem pendente no ZBR. Se não achar: contar e lançar ajuste de inventário de −"&amp;FIXED(ABS(I47),1)&amp;" "&amp;D47,IF(J47="Faltando","Contar o lote. Se a falta se confirmar: lançar a saída esquecida (601) ou ajuste de inventário de −"&amp;FIXED(ABS(I47),1)&amp;" "&amp;D47,IF(LEFT(K47,15)="Estoque antigo:","Confirmar no SAP o saldo de 08/09 ("&amp;FIXED(ABS(M47),1)&amp;" "&amp;D47&amp;"). Se estiver certo, não há ajuste",IF(LEFT(K47,10)="Quantidade","Confirmar ou estornar as OTs em doca/transferência ("&amp;FIXED(ABS(N47),1)&amp;" "&amp;D47&amp;"): guardar na posição ou baixar a entrega",IF(LEFT(K47,16)="Estoque antigo +","Confirmar saldo de 08/09 ("&amp;FIXED(ABS(M47),1)&amp;" "&amp;D47&amp;") e tratar as OTs em doca/transferência ("&amp;FIXED(ABS(N47),1)&amp;" "&amp;D47&amp;")",IF(ISNUMBER(SEARCH("não baixaram",K47)),"Confirmar a OT de saída (picking) das remessas para baixar "&amp;FIXED(ABS(I47-M47-N47),1)&amp;" "&amp;D47&amp;" do estoque físico"&amp;IF(M47+N47&gt;0,"; conferir também estoque antigo/doca",""),IF(LEFT(K47,7)="Explica","Confirmar saldo de 08/09 e OTs de doca; contar o lote para os "&amp;FIXED(ABS(I47-M47-N47),1)&amp;" "&amp;D47&amp;" restantes e ajustar a sobra se confirmada","Confirmar saldo de 08/09; se não existir, contar o lote e lançar ajuste de inventário de +"&amp;FIXED(ABS(I47),1)&amp;" "&amp;D47)))))))))</f>
        <v>Nenhum ajuste necessário</v>
      </c>
      <c r="M47" s="158" t="n">
        <f aca="false">MAX(0,SUMIFS('3 Base Estoque Físico'!$J$2:$J$5000,'3 Base Estoque Físico'!$A$2:$A$5000,$A47,'3 Base Estoque Físico'!$B$2:$B$5000,$B47,'3 Base Estoque Físico'!$I$2:$I$5000,"&lt;"&amp;DATE(2026,9,9))-U47)</f>
        <v>0</v>
      </c>
      <c r="N47" s="158" t="n">
        <f aca="false">SUMPRODUCT(('3 Base Estoque Físico'!$A$2:$A$5000=$A47)*('3 Base Estoque Físico'!$B$2:$B$5000=$B47)*('3 Base Estoque Físico'!$I$2:$I$5000&gt;=DATE(2026,9,9))*ISNUMBER(MATCH('3 Base Estoque Físico'!$C$2:$C$5000,{"DCK","TRF","922","FLR","DIF"},0))*'3 Base Estoque Físico'!$J$2:$J$5000)</f>
        <v>0</v>
      </c>
      <c r="O47" s="161" t="n">
        <f aca="false">IF(OR(J47="Confere",LEFT(K47,5)="Troca",ISNUMBER(SEARCH("não baixaram",K47))),0,IF(I47&gt;0,MAX(0,ROUND(I47-M47-N47,2)),I47))</f>
        <v>0</v>
      </c>
      <c r="P47" s="158" t="n">
        <f aca="false">SUMIFS('3 Base Saídas'!$R$2:$R$5000,'3 Base Saídas'!$B$2:$B$5000,$A47,'3 Base Saídas'!$C$2:$C$5000,$B47,'3 Base Saídas'!$E$2:$E$5000,"0355")</f>
        <v>0</v>
      </c>
      <c r="Q47" s="157" t="str">
        <f aca="false">IF(J47="Confere","—",IF(LEFT(K47,5)="Troca","Troca de lote",IF(LEFT(K47,6)="Entrou","Não localizado no estoque",IF(J47="Faltando","Falta sem explicação",IF(ISNUMBER(SEARCH("não baixaram",K47)),"Saída sem baixa no estoque",IF(LEFT(K47,10)="Quantidade","Doca/transferência pendente",IF(LEFT(K47,14)="Estoque antigo","Estoque anterior a 09/09",IF(LEFT(K47,7)="Explica","Sobra parcialmente explicada","Sobra sem explicação"))))))))</f>
        <v>—</v>
      </c>
      <c r="R47" s="162" t="str">
        <f aca="false">IF(J47="Confere","—",IF(OR(LEFT(K47,6)="Entrou",AND(I47&lt;0,ABS(O47)&gt;=Parâmetros!$K$6)),"Crítica",IF(OR(AND(I47&lt;0,O47&lt;&gt;0),O47&gt;=Parâmetros!$K$7),"Alta",IF(O47&gt;0,"Média","Baixa"))))</f>
        <v>—</v>
      </c>
      <c r="S47" s="157" t="str">
        <f aca="false">A47&amp;"|"&amp;B47</f>
        <v>811NV-595|260900702</v>
      </c>
      <c r="T47" s="157" t="n">
        <f aca="false">IF(ABS(O47)&gt;Parâmetros!$C$7,ABS(O47)+ROW()/10000000,0)</f>
        <v>0</v>
      </c>
      <c r="U47" s="158" t="n">
        <f aca="false">SUMIFS('3 Base Saldo Inicial 08-09'!$E$2:$E$5000,'3 Base Saldo Inicial 08-09'!$A$2:$A$5000,$A47,'3 Base Saldo Inicial 08-09'!$B$2:$B$5000,$B47)-SUMIFS('3 Base Saldo Inicial 08-09'!$E$2:$E$5000,'3 Base Saldo Inicial 08-09'!$A$2:$A$5000,$A47,'3 Base Saldo Inicial 08-09'!$B$2:$B$5000,$B47,'3 Base Saldo Inicial 08-09'!$C$2:$C$5000,"2008")</f>
        <v>0</v>
      </c>
    </row>
    <row r="48" customFormat="false" ht="15" hidden="false" customHeight="false" outlineLevel="0" collapsed="false">
      <c r="A48" s="155" t="s">
        <v>218</v>
      </c>
      <c r="B48" s="155" t="s">
        <v>318</v>
      </c>
      <c r="C48" s="156" t="s">
        <v>756</v>
      </c>
      <c r="D48" s="157" t="s">
        <v>65</v>
      </c>
      <c r="E48" s="158" t="n">
        <f aca="false">SUMIFS('aux Conciliação Lote'!$E$5:$E$98,'aux Conciliação Lote'!$A$5:$A$98,$A48,'aux Conciliação Lote'!$B$5:$B$98,$B48)</f>
        <v>600</v>
      </c>
      <c r="F48" s="158" t="n">
        <f aca="false">SUMIFS('aux Conciliação Lote'!$F$5:$F$98,'aux Conciliação Lote'!$A$5:$A$98,$A48,'aux Conciliação Lote'!$B$5:$B$98,$B48)</f>
        <v>0</v>
      </c>
      <c r="G48" s="158" t="n">
        <f aca="false">U48+E48-F48</f>
        <v>600</v>
      </c>
      <c r="H48" s="158" t="n">
        <f aca="false">SUMIFS('aux Conciliação Lote'!$H$5:$H$98,'aux Conciliação Lote'!$A$5:$A$98,$A48,'aux Conciliação Lote'!$B$5:$B$98,$B48)</f>
        <v>600</v>
      </c>
      <c r="I48" s="159" t="n">
        <f aca="false">ROUND(H48-G48,2)</f>
        <v>0</v>
      </c>
      <c r="J48" s="160" t="str">
        <f aca="false">IF(ABS(I48)&lt;=Parâmetros!$C$7,"Confere",IF(I48&gt;0,"Sobrando","Faltando"))</f>
        <v>Confere</v>
      </c>
      <c r="K48" s="155" t="str">
        <f aca="false">IF(J48="Confere","Sem diferença",IF(AND(J48&lt;&gt;"Confere",SUMPRODUCT(($A$14:$A$107=$A48)*($B$14:$B$107&lt;&gt;$B48)*(ABS($I$14:$I$107+$I48)&lt;=Parâmetros!$C$7))&gt;0),"Troca de lote: a mesma quantidade aparece com sinal oposto em outro lote deste SKU",IF(AND(I48&lt;0,H48=0,F48=0),"Entrou no ZBR, mas não está no estoque físico: não chegou ou foi guardado em outro lote",IF(I48&lt;0,"Estoque físico menor que o esperado: saída, ajuste ou perda não lançada no período",IF(ABS(I48-M48)&lt;=Parâmetros!$C$7,"Estoque antigo: toda a sobra está em posições sem movimento desde antes de 09/09",IF(AND(F48&gt;0,ABS(I48-F48)&lt;=Parâmetros!$C$7),"As saídas do período não baixaram o estoque físico",IF(ABS(I48-N48)&lt;=Parâmetros!$C$7,"Quantidade parada em doca, chão ou transferência: entrega ou devolução não baixada",IF(ABS(I48-M48-N48)&lt;=Parâmetros!$C$7,"Estoque antigo + quantidade em doca/chão/transferência",IF(AND(F48&gt;0,ABS(I48-M48-N48-F48)&lt;=Parâmetros!$C$7),IF(M48+N48&gt;0,"Estoque antigo/doca + saídas do período que","Saídas do período que")&amp;" não baixaram o estoque físico",IF(AND(P48&gt;0,ABS(I48-M48-N48-P48)&lt;=Parâmetros!$C$7),IF(M48+N48&gt;0,"Estoque antigo/doca + saídas","Saídas")&amp;" pelo depósito 0355 que não baixaram o estoque físico",IF(M48+N48&gt;0,"Explica em parte: estoque antigo "&amp;FIXED(M48,1)&amp;" + doca/transferência "&amp;FIXED(N48,1)&amp;"; faltam "&amp;FIXED(I48-M48-N48,1)&amp;" a explicar",IF(F48&gt;E48+U48,"Saiu mais do que entrou: havia estoque antes de 09/09 que não está no arquivo","Estoque acima do esperado: entrada não lançada ou saldo anterior ao período"))))))))))))</f>
        <v>Sem diferença</v>
      </c>
      <c r="L48" s="156" t="str">
        <f aca="false">IF(J48="Confere","Nenhum ajuste necessário",IF(LEFT(K48,5)="Troca","Transferir "&amp;FIXED(ABS(I48),1)&amp;" "&amp;D48&amp;" entre os lotes deste SKU (transferência lote a lote, mov. 309) para corrigir o lote",IF(LEFT(K48,6)="Entrou","Procurar a OT de armazenagem pendente no ZBR. Se não achar: contar e lançar ajuste de inventário de −"&amp;FIXED(ABS(I48),1)&amp;" "&amp;D48,IF(J48="Faltando","Contar o lote. Se a falta se confirmar: lançar a saída esquecida (601) ou ajuste de inventário de −"&amp;FIXED(ABS(I48),1)&amp;" "&amp;D48,IF(LEFT(K48,15)="Estoque antigo:","Confirmar no SAP o saldo de 08/09 ("&amp;FIXED(ABS(M48),1)&amp;" "&amp;D48&amp;"). Se estiver certo, não há ajuste",IF(LEFT(K48,10)="Quantidade","Confirmar ou estornar as OTs em doca/transferência ("&amp;FIXED(ABS(N48),1)&amp;" "&amp;D48&amp;"): guardar na posição ou baixar a entrega",IF(LEFT(K48,16)="Estoque antigo +","Confirmar saldo de 08/09 ("&amp;FIXED(ABS(M48),1)&amp;" "&amp;D48&amp;") e tratar as OTs em doca/transferência ("&amp;FIXED(ABS(N48),1)&amp;" "&amp;D48&amp;")",IF(ISNUMBER(SEARCH("não baixaram",K48)),"Confirmar a OT de saída (picking) das remessas para baixar "&amp;FIXED(ABS(I48-M48-N48),1)&amp;" "&amp;D48&amp;" do estoque físico"&amp;IF(M48+N48&gt;0,"; conferir também estoque antigo/doca",""),IF(LEFT(K48,7)="Explica","Confirmar saldo de 08/09 e OTs de doca; contar o lote para os "&amp;FIXED(ABS(I48-M48-N48),1)&amp;" "&amp;D48&amp;" restantes e ajustar a sobra se confirmada","Confirmar saldo de 08/09; se não existir, contar o lote e lançar ajuste de inventário de +"&amp;FIXED(ABS(I48),1)&amp;" "&amp;D48)))))))))</f>
        <v>Nenhum ajuste necessário</v>
      </c>
      <c r="M48" s="158" t="n">
        <f aca="false">MAX(0,SUMIFS('3 Base Estoque Físico'!$J$2:$J$5000,'3 Base Estoque Físico'!$A$2:$A$5000,$A48,'3 Base Estoque Físico'!$B$2:$B$5000,$B48,'3 Base Estoque Físico'!$I$2:$I$5000,"&lt;"&amp;DATE(2026,9,9))-U48)</f>
        <v>0</v>
      </c>
      <c r="N48" s="158" t="n">
        <f aca="false">SUMPRODUCT(('3 Base Estoque Físico'!$A$2:$A$5000=$A48)*('3 Base Estoque Físico'!$B$2:$B$5000=$B48)*('3 Base Estoque Físico'!$I$2:$I$5000&gt;=DATE(2026,9,9))*ISNUMBER(MATCH('3 Base Estoque Físico'!$C$2:$C$5000,{"DCK","TRF","922","FLR","DIF"},0))*'3 Base Estoque Físico'!$J$2:$J$5000)</f>
        <v>600</v>
      </c>
      <c r="O48" s="161" t="n">
        <f aca="false">IF(OR(J48="Confere",LEFT(K48,5)="Troca",ISNUMBER(SEARCH("não baixaram",K48))),0,IF(I48&gt;0,MAX(0,ROUND(I48-M48-N48,2)),I48))</f>
        <v>0</v>
      </c>
      <c r="P48" s="158" t="n">
        <f aca="false">SUMIFS('3 Base Saídas'!$R$2:$R$5000,'3 Base Saídas'!$B$2:$B$5000,$A48,'3 Base Saídas'!$C$2:$C$5000,$B48,'3 Base Saídas'!$E$2:$E$5000,"0355")</f>
        <v>0</v>
      </c>
      <c r="Q48" s="157" t="str">
        <f aca="false">IF(J48="Confere","—",IF(LEFT(K48,5)="Troca","Troca de lote",IF(LEFT(K48,6)="Entrou","Não localizado no estoque",IF(J48="Faltando","Falta sem explicação",IF(ISNUMBER(SEARCH("não baixaram",K48)),"Saída sem baixa no estoque",IF(LEFT(K48,10)="Quantidade","Doca/transferência pendente",IF(LEFT(K48,14)="Estoque antigo","Estoque anterior a 09/09",IF(LEFT(K48,7)="Explica","Sobra parcialmente explicada","Sobra sem explicação"))))))))</f>
        <v>—</v>
      </c>
      <c r="R48" s="162" t="str">
        <f aca="false">IF(J48="Confere","—",IF(OR(LEFT(K48,6)="Entrou",AND(I48&lt;0,ABS(O48)&gt;=Parâmetros!$K$6)),"Crítica",IF(OR(AND(I48&lt;0,O48&lt;&gt;0),O48&gt;=Parâmetros!$K$7),"Alta",IF(O48&gt;0,"Média","Baixa"))))</f>
        <v>—</v>
      </c>
      <c r="S48" s="157" t="str">
        <f aca="false">A48&amp;"|"&amp;B48</f>
        <v>811NV-595|260920702</v>
      </c>
      <c r="T48" s="157" t="n">
        <f aca="false">IF(ABS(O48)&gt;Parâmetros!$C$7,ABS(O48)+ROW()/10000000,0)</f>
        <v>0</v>
      </c>
      <c r="U48" s="158" t="n">
        <f aca="false">SUMIFS('3 Base Saldo Inicial 08-09'!$E$2:$E$5000,'3 Base Saldo Inicial 08-09'!$A$2:$A$5000,$A48,'3 Base Saldo Inicial 08-09'!$B$2:$B$5000,$B48)-SUMIFS('3 Base Saldo Inicial 08-09'!$E$2:$E$5000,'3 Base Saldo Inicial 08-09'!$A$2:$A$5000,$A48,'3 Base Saldo Inicial 08-09'!$B$2:$B$5000,$B48,'3 Base Saldo Inicial 08-09'!$C$2:$C$5000,"2008")</f>
        <v>0</v>
      </c>
    </row>
    <row r="49" customFormat="false" ht="15" hidden="false" customHeight="false" outlineLevel="0" collapsed="false">
      <c r="A49" s="155" t="s">
        <v>218</v>
      </c>
      <c r="B49" s="155" t="s">
        <v>319</v>
      </c>
      <c r="C49" s="156" t="s">
        <v>756</v>
      </c>
      <c r="D49" s="157" t="s">
        <v>65</v>
      </c>
      <c r="E49" s="158" t="n">
        <f aca="false">SUMIFS('aux Conciliação Lote'!$E$5:$E$98,'aux Conciliação Lote'!$A$5:$A$98,$A49,'aux Conciliação Lote'!$B$5:$B$98,$B49)</f>
        <v>1180</v>
      </c>
      <c r="F49" s="158" t="n">
        <f aca="false">SUMIFS('aux Conciliação Lote'!$F$5:$F$98,'aux Conciliação Lote'!$A$5:$A$98,$A49,'aux Conciliação Lote'!$B$5:$B$98,$B49)</f>
        <v>1160</v>
      </c>
      <c r="G49" s="158" t="n">
        <f aca="false">U49+E49-F49</f>
        <v>20</v>
      </c>
      <c r="H49" s="158" t="n">
        <f aca="false">SUMIFS('aux Conciliação Lote'!$H$5:$H$98,'aux Conciliação Lote'!$A$5:$A$98,$A49,'aux Conciliação Lote'!$B$5:$B$98,$B49)</f>
        <v>20</v>
      </c>
      <c r="I49" s="159" t="n">
        <f aca="false">ROUND(H49-G49,2)</f>
        <v>0</v>
      </c>
      <c r="J49" s="160" t="str">
        <f aca="false">IF(ABS(I49)&lt;=Parâmetros!$C$7,"Confere",IF(I49&gt;0,"Sobrando","Faltando"))</f>
        <v>Confere</v>
      </c>
      <c r="K49" s="155" t="str">
        <f aca="false">IF(J49="Confere","Sem diferença",IF(AND(J49&lt;&gt;"Confere",SUMPRODUCT(($A$14:$A$107=$A49)*($B$14:$B$107&lt;&gt;$B49)*(ABS($I$14:$I$107+$I49)&lt;=Parâmetros!$C$7))&gt;0),"Troca de lote: a mesma quantidade aparece com sinal oposto em outro lote deste SKU",IF(AND(I49&lt;0,H49=0,F49=0),"Entrou no ZBR, mas não está no estoque físico: não chegou ou foi guardado em outro lote",IF(I49&lt;0,"Estoque físico menor que o esperado: saída, ajuste ou perda não lançada no período",IF(ABS(I49-M49)&lt;=Parâmetros!$C$7,"Estoque antigo: toda a sobra está em posições sem movimento desde antes de 09/09",IF(AND(F49&gt;0,ABS(I49-F49)&lt;=Parâmetros!$C$7),"As saídas do período não baixaram o estoque físico",IF(ABS(I49-N49)&lt;=Parâmetros!$C$7,"Quantidade parada em doca, chão ou transferência: entrega ou devolução não baixada",IF(ABS(I49-M49-N49)&lt;=Parâmetros!$C$7,"Estoque antigo + quantidade em doca/chão/transferência",IF(AND(F49&gt;0,ABS(I49-M49-N49-F49)&lt;=Parâmetros!$C$7),IF(M49+N49&gt;0,"Estoque antigo/doca + saídas do período que","Saídas do período que")&amp;" não baixaram o estoque físico",IF(AND(P49&gt;0,ABS(I49-M49-N49-P49)&lt;=Parâmetros!$C$7),IF(M49+N49&gt;0,"Estoque antigo/doca + saídas","Saídas")&amp;" pelo depósito 0355 que não baixaram o estoque físico",IF(M49+N49&gt;0,"Explica em parte: estoque antigo "&amp;FIXED(M49,1)&amp;" + doca/transferência "&amp;FIXED(N49,1)&amp;"; faltam "&amp;FIXED(I49-M49-N49,1)&amp;" a explicar",IF(F49&gt;E49+U49,"Saiu mais do que entrou: havia estoque antes de 09/09 que não está no arquivo","Estoque acima do esperado: entrada não lançada ou saldo anterior ao período"))))))))))))</f>
        <v>Sem diferença</v>
      </c>
      <c r="L49" s="156" t="str">
        <f aca="false">IF(J49="Confere","Nenhum ajuste necessário",IF(LEFT(K49,5)="Troca","Transferir "&amp;FIXED(ABS(I49),1)&amp;" "&amp;D49&amp;" entre os lotes deste SKU (transferência lote a lote, mov. 309) para corrigir o lote",IF(LEFT(K49,6)="Entrou","Procurar a OT de armazenagem pendente no ZBR. Se não achar: contar e lançar ajuste de inventário de −"&amp;FIXED(ABS(I49),1)&amp;" "&amp;D49,IF(J49="Faltando","Contar o lote. Se a falta se confirmar: lançar a saída esquecida (601) ou ajuste de inventário de −"&amp;FIXED(ABS(I49),1)&amp;" "&amp;D49,IF(LEFT(K49,15)="Estoque antigo:","Confirmar no SAP o saldo de 08/09 ("&amp;FIXED(ABS(M49),1)&amp;" "&amp;D49&amp;"). Se estiver certo, não há ajuste",IF(LEFT(K49,10)="Quantidade","Confirmar ou estornar as OTs em doca/transferência ("&amp;FIXED(ABS(N49),1)&amp;" "&amp;D49&amp;"): guardar na posição ou baixar a entrega",IF(LEFT(K49,16)="Estoque antigo +","Confirmar saldo de 08/09 ("&amp;FIXED(ABS(M49),1)&amp;" "&amp;D49&amp;") e tratar as OTs em doca/transferência ("&amp;FIXED(ABS(N49),1)&amp;" "&amp;D49&amp;")",IF(ISNUMBER(SEARCH("não baixaram",K49)),"Confirmar a OT de saída (picking) das remessas para baixar "&amp;FIXED(ABS(I49-M49-N49),1)&amp;" "&amp;D49&amp;" do estoque físico"&amp;IF(M49+N49&gt;0,"; conferir também estoque antigo/doca",""),IF(LEFT(K49,7)="Explica","Confirmar saldo de 08/09 e OTs de doca; contar o lote para os "&amp;FIXED(ABS(I49-M49-N49),1)&amp;" "&amp;D49&amp;" restantes e ajustar a sobra se confirmada","Confirmar saldo de 08/09; se não existir, contar o lote e lançar ajuste de inventário de +"&amp;FIXED(ABS(I49),1)&amp;" "&amp;D49)))))))))</f>
        <v>Nenhum ajuste necessário</v>
      </c>
      <c r="M49" s="158" t="n">
        <f aca="false">MAX(0,SUMIFS('3 Base Estoque Físico'!$J$2:$J$5000,'3 Base Estoque Físico'!$A$2:$A$5000,$A49,'3 Base Estoque Físico'!$B$2:$B$5000,$B49,'3 Base Estoque Físico'!$I$2:$I$5000,"&lt;"&amp;DATE(2026,9,9))-U49)</f>
        <v>0</v>
      </c>
      <c r="N49" s="158" t="n">
        <f aca="false">SUMPRODUCT(('3 Base Estoque Físico'!$A$2:$A$5000=$A49)*('3 Base Estoque Físico'!$B$2:$B$5000=$B49)*('3 Base Estoque Físico'!$I$2:$I$5000&gt;=DATE(2026,9,9))*ISNUMBER(MATCH('3 Base Estoque Físico'!$C$2:$C$5000,{"DCK","TRF","922","FLR","DIF"},0))*'3 Base Estoque Físico'!$J$2:$J$5000)</f>
        <v>0</v>
      </c>
      <c r="O49" s="161" t="n">
        <f aca="false">IF(OR(J49="Confere",LEFT(K49,5)="Troca",ISNUMBER(SEARCH("não baixaram",K49))),0,IF(I49&gt;0,MAX(0,ROUND(I49-M49-N49,2)),I49))</f>
        <v>0</v>
      </c>
      <c r="P49" s="158" t="n">
        <f aca="false">SUMIFS('3 Base Saídas'!$R$2:$R$5000,'3 Base Saídas'!$B$2:$B$5000,$A49,'3 Base Saídas'!$C$2:$C$5000,$B49,'3 Base Saídas'!$E$2:$E$5000,"0355")</f>
        <v>0</v>
      </c>
      <c r="Q49" s="157" t="str">
        <f aca="false">IF(J49="Confere","—",IF(LEFT(K49,5)="Troca","Troca de lote",IF(LEFT(K49,6)="Entrou","Não localizado no estoque",IF(J49="Faltando","Falta sem explicação",IF(ISNUMBER(SEARCH("não baixaram",K49)),"Saída sem baixa no estoque",IF(LEFT(K49,10)="Quantidade","Doca/transferência pendente",IF(LEFT(K49,14)="Estoque antigo","Estoque anterior a 09/09",IF(LEFT(K49,7)="Explica","Sobra parcialmente explicada","Sobra sem explicação"))))))))</f>
        <v>—</v>
      </c>
      <c r="R49" s="162" t="str">
        <f aca="false">IF(J49="Confere","—",IF(OR(LEFT(K49,6)="Entrou",AND(I49&lt;0,ABS(O49)&gt;=Parâmetros!$K$6)),"Crítica",IF(OR(AND(I49&lt;0,O49&lt;&gt;0),O49&gt;=Parâmetros!$K$7),"Alta",IF(O49&gt;0,"Média","Baixa"))))</f>
        <v>—</v>
      </c>
      <c r="S49" s="157" t="str">
        <f aca="false">A49&amp;"|"&amp;B49</f>
        <v>811NV-595|261146101</v>
      </c>
      <c r="T49" s="157" t="n">
        <f aca="false">IF(ABS(O49)&gt;Parâmetros!$C$7,ABS(O49)+ROW()/10000000,0)</f>
        <v>0</v>
      </c>
      <c r="U49" s="158" t="n">
        <f aca="false">SUMIFS('3 Base Saldo Inicial 08-09'!$E$2:$E$5000,'3 Base Saldo Inicial 08-09'!$A$2:$A$5000,$A49,'3 Base Saldo Inicial 08-09'!$B$2:$B$5000,$B49)-SUMIFS('3 Base Saldo Inicial 08-09'!$E$2:$E$5000,'3 Base Saldo Inicial 08-09'!$A$2:$A$5000,$A49,'3 Base Saldo Inicial 08-09'!$B$2:$B$5000,$B49,'3 Base Saldo Inicial 08-09'!$C$2:$C$5000,"2008")</f>
        <v>0</v>
      </c>
    </row>
    <row r="50" customFormat="false" ht="15" hidden="false" customHeight="false" outlineLevel="0" collapsed="false">
      <c r="A50" s="155" t="s">
        <v>218</v>
      </c>
      <c r="B50" s="155" t="s">
        <v>219</v>
      </c>
      <c r="C50" s="156" t="s">
        <v>756</v>
      </c>
      <c r="D50" s="157" t="s">
        <v>65</v>
      </c>
      <c r="E50" s="158" t="n">
        <f aca="false">SUMIFS('aux Conciliação Lote'!$E$5:$E$98,'aux Conciliação Lote'!$A$5:$A$98,$A50,'aux Conciliação Lote'!$B$5:$B$98,$B50)</f>
        <v>1660</v>
      </c>
      <c r="F50" s="158" t="n">
        <f aca="false">SUMIFS('aux Conciliação Lote'!$F$5:$F$98,'aux Conciliação Lote'!$A$5:$A$98,$A50,'aux Conciliação Lote'!$B$5:$B$98,$B50)</f>
        <v>580</v>
      </c>
      <c r="G50" s="158" t="n">
        <f aca="false">U50+E50-F50</f>
        <v>1080</v>
      </c>
      <c r="H50" s="158" t="n">
        <f aca="false">SUMIFS('aux Conciliação Lote'!$H$5:$H$98,'aux Conciliação Lote'!$A$5:$A$98,$A50,'aux Conciliação Lote'!$B$5:$B$98,$B50)</f>
        <v>1080</v>
      </c>
      <c r="I50" s="159" t="n">
        <f aca="false">ROUND(H50-G50,2)</f>
        <v>0</v>
      </c>
      <c r="J50" s="160" t="str">
        <f aca="false">IF(ABS(I50)&lt;=Parâmetros!$C$7,"Confere",IF(I50&gt;0,"Sobrando","Faltando"))</f>
        <v>Confere</v>
      </c>
      <c r="K50" s="155" t="str">
        <f aca="false">IF(J50="Confere","Sem diferença",IF(AND(J50&lt;&gt;"Confere",SUMPRODUCT(($A$14:$A$107=$A50)*($B$14:$B$107&lt;&gt;$B50)*(ABS($I$14:$I$107+$I50)&lt;=Parâmetros!$C$7))&gt;0),"Troca de lote: a mesma quantidade aparece com sinal oposto em outro lote deste SKU",IF(AND(I50&lt;0,H50=0,F50=0),"Entrou no ZBR, mas não está no estoque físico: não chegou ou foi guardado em outro lote",IF(I50&lt;0,"Estoque físico menor que o esperado: saída, ajuste ou perda não lançada no período",IF(ABS(I50-M50)&lt;=Parâmetros!$C$7,"Estoque antigo: toda a sobra está em posições sem movimento desde antes de 09/09",IF(AND(F50&gt;0,ABS(I50-F50)&lt;=Parâmetros!$C$7),"As saídas do período não baixaram o estoque físico",IF(ABS(I50-N50)&lt;=Parâmetros!$C$7,"Quantidade parada em doca, chão ou transferência: entrega ou devolução não baixada",IF(ABS(I50-M50-N50)&lt;=Parâmetros!$C$7,"Estoque antigo + quantidade em doca/chão/transferência",IF(AND(F50&gt;0,ABS(I50-M50-N50-F50)&lt;=Parâmetros!$C$7),IF(M50+N50&gt;0,"Estoque antigo/doca + saídas do período que","Saídas do período que")&amp;" não baixaram o estoque físico",IF(AND(P50&gt;0,ABS(I50-M50-N50-P50)&lt;=Parâmetros!$C$7),IF(M50+N50&gt;0,"Estoque antigo/doca + saídas","Saídas")&amp;" pelo depósito 0355 que não baixaram o estoque físico",IF(M50+N50&gt;0,"Explica em parte: estoque antigo "&amp;FIXED(M50,1)&amp;" + doca/transferência "&amp;FIXED(N50,1)&amp;"; faltam "&amp;FIXED(I50-M50-N50,1)&amp;" a explicar",IF(F50&gt;E50+U50,"Saiu mais do que entrou: havia estoque antes de 09/09 que não está no arquivo","Estoque acima do esperado: entrada não lançada ou saldo anterior ao período"))))))))))))</f>
        <v>Sem diferença</v>
      </c>
      <c r="L50" s="156" t="str">
        <f aca="false">IF(J50="Confere","Nenhum ajuste necessário",IF(LEFT(K50,5)="Troca","Transferir "&amp;FIXED(ABS(I50),1)&amp;" "&amp;D50&amp;" entre os lotes deste SKU (transferência lote a lote, mov. 309) para corrigir o lote",IF(LEFT(K50,6)="Entrou","Procurar a OT de armazenagem pendente no ZBR. Se não achar: contar e lançar ajuste de inventário de −"&amp;FIXED(ABS(I50),1)&amp;" "&amp;D50,IF(J50="Faltando","Contar o lote. Se a falta se confirmar: lançar a saída esquecida (601) ou ajuste de inventário de −"&amp;FIXED(ABS(I50),1)&amp;" "&amp;D50,IF(LEFT(K50,15)="Estoque antigo:","Confirmar no SAP o saldo de 08/09 ("&amp;FIXED(ABS(M50),1)&amp;" "&amp;D50&amp;"). Se estiver certo, não há ajuste",IF(LEFT(K50,10)="Quantidade","Confirmar ou estornar as OTs em doca/transferência ("&amp;FIXED(ABS(N50),1)&amp;" "&amp;D50&amp;"): guardar na posição ou baixar a entrega",IF(LEFT(K50,16)="Estoque antigo +","Confirmar saldo de 08/09 ("&amp;FIXED(ABS(M50),1)&amp;" "&amp;D50&amp;") e tratar as OTs em doca/transferência ("&amp;FIXED(ABS(N50),1)&amp;" "&amp;D50&amp;")",IF(ISNUMBER(SEARCH("não baixaram",K50)),"Confirmar a OT de saída (picking) das remessas para baixar "&amp;FIXED(ABS(I50-M50-N50),1)&amp;" "&amp;D50&amp;" do estoque físico"&amp;IF(M50+N50&gt;0,"; conferir também estoque antigo/doca",""),IF(LEFT(K50,7)="Explica","Confirmar saldo de 08/09 e OTs de doca; contar o lote para os "&amp;FIXED(ABS(I50-M50-N50),1)&amp;" "&amp;D50&amp;" restantes e ajustar a sobra se confirmada","Confirmar saldo de 08/09; se não existir, contar o lote e lançar ajuste de inventário de +"&amp;FIXED(ABS(I50),1)&amp;" "&amp;D50)))))))))</f>
        <v>Nenhum ajuste necessário</v>
      </c>
      <c r="M50" s="158" t="n">
        <f aca="false">MAX(0,SUMIFS('3 Base Estoque Físico'!$J$2:$J$5000,'3 Base Estoque Físico'!$A$2:$A$5000,$A50,'3 Base Estoque Físico'!$B$2:$B$5000,$B50,'3 Base Estoque Físico'!$I$2:$I$5000,"&lt;"&amp;DATE(2026,9,9))-U50)</f>
        <v>0</v>
      </c>
      <c r="N50" s="158" t="n">
        <f aca="false">SUMPRODUCT(('3 Base Estoque Físico'!$A$2:$A$5000=$A50)*('3 Base Estoque Físico'!$B$2:$B$5000=$B50)*('3 Base Estoque Físico'!$I$2:$I$5000&gt;=DATE(2026,9,9))*ISNUMBER(MATCH('3 Base Estoque Físico'!$C$2:$C$5000,{"DCK","TRF","922","FLR","DIF"},0))*'3 Base Estoque Físico'!$J$2:$J$5000)</f>
        <v>0</v>
      </c>
      <c r="O50" s="161" t="n">
        <f aca="false">IF(OR(J50="Confere",LEFT(K50,5)="Troca",ISNUMBER(SEARCH("não baixaram",K50))),0,IF(I50&gt;0,MAX(0,ROUND(I50-M50-N50,2)),I50))</f>
        <v>0</v>
      </c>
      <c r="P50" s="158" t="n">
        <f aca="false">SUMIFS('3 Base Saídas'!$R$2:$R$5000,'3 Base Saídas'!$B$2:$B$5000,$A50,'3 Base Saídas'!$C$2:$C$5000,$B50,'3 Base Saídas'!$E$2:$E$5000,"0355")</f>
        <v>0</v>
      </c>
      <c r="Q50" s="157" t="str">
        <f aca="false">IF(J50="Confere","—",IF(LEFT(K50,5)="Troca","Troca de lote",IF(LEFT(K50,6)="Entrou","Não localizado no estoque",IF(J50="Faltando","Falta sem explicação",IF(ISNUMBER(SEARCH("não baixaram",K50)),"Saída sem baixa no estoque",IF(LEFT(K50,10)="Quantidade","Doca/transferência pendente",IF(LEFT(K50,14)="Estoque antigo","Estoque anterior a 09/09",IF(LEFT(K50,7)="Explica","Sobra parcialmente explicada","Sobra sem explicação"))))))))</f>
        <v>—</v>
      </c>
      <c r="R50" s="162" t="str">
        <f aca="false">IF(J50="Confere","—",IF(OR(LEFT(K50,6)="Entrou",AND(I50&lt;0,ABS(O50)&gt;=Parâmetros!$K$6)),"Crítica",IF(OR(AND(I50&lt;0,O50&lt;&gt;0),O50&gt;=Parâmetros!$K$7),"Alta",IF(O50&gt;0,"Média","Baixa"))))</f>
        <v>—</v>
      </c>
      <c r="S50" s="157" t="str">
        <f aca="false">A50&amp;"|"&amp;B50</f>
        <v>811NV-595|261146102</v>
      </c>
      <c r="T50" s="157" t="n">
        <f aca="false">IF(ABS(O50)&gt;Parâmetros!$C$7,ABS(O50)+ROW()/10000000,0)</f>
        <v>0</v>
      </c>
      <c r="U50" s="158" t="n">
        <f aca="false">SUMIFS('3 Base Saldo Inicial 08-09'!$E$2:$E$5000,'3 Base Saldo Inicial 08-09'!$A$2:$A$5000,$A50,'3 Base Saldo Inicial 08-09'!$B$2:$B$5000,$B50)-SUMIFS('3 Base Saldo Inicial 08-09'!$E$2:$E$5000,'3 Base Saldo Inicial 08-09'!$A$2:$A$5000,$A50,'3 Base Saldo Inicial 08-09'!$B$2:$B$5000,$B50,'3 Base Saldo Inicial 08-09'!$C$2:$C$5000,"2008")</f>
        <v>0</v>
      </c>
    </row>
    <row r="51" customFormat="false" ht="15" hidden="false" customHeight="false" outlineLevel="0" collapsed="false">
      <c r="A51" s="155" t="s">
        <v>220</v>
      </c>
      <c r="B51" s="155" t="s">
        <v>223</v>
      </c>
      <c r="C51" s="156" t="s">
        <v>404</v>
      </c>
      <c r="D51" s="157" t="s">
        <v>65</v>
      </c>
      <c r="E51" s="158" t="n">
        <f aca="false">SUMIFS('aux Conciliação Lote'!$E$5:$E$98,'aux Conciliação Lote'!$A$5:$A$98,$A51,'aux Conciliação Lote'!$B$5:$B$98,$B51)</f>
        <v>461.9</v>
      </c>
      <c r="F51" s="158" t="n">
        <f aca="false">SUMIFS('aux Conciliação Lote'!$F$5:$F$98,'aux Conciliação Lote'!$A$5:$A$98,$A51,'aux Conciliação Lote'!$B$5:$B$98,$B51)</f>
        <v>442.2</v>
      </c>
      <c r="G51" s="158" t="n">
        <f aca="false">U51+E51-F51</f>
        <v>19.7</v>
      </c>
      <c r="H51" s="158" t="n">
        <f aca="false">SUMIFS('aux Conciliação Lote'!$H$5:$H$98,'aux Conciliação Lote'!$A$5:$A$98,$A51,'aux Conciliação Lote'!$B$5:$B$98,$B51)</f>
        <v>19.7</v>
      </c>
      <c r="I51" s="159" t="n">
        <f aca="false">ROUND(H51-G51,2)</f>
        <v>0</v>
      </c>
      <c r="J51" s="160" t="str">
        <f aca="false">IF(ABS(I51)&lt;=Parâmetros!$C$7,"Confere",IF(I51&gt;0,"Sobrando","Faltando"))</f>
        <v>Confere</v>
      </c>
      <c r="K51" s="155" t="str">
        <f aca="false">IF(J51="Confere","Sem diferença",IF(AND(J51&lt;&gt;"Confere",SUMPRODUCT(($A$14:$A$107=$A51)*($B$14:$B$107&lt;&gt;$B51)*(ABS($I$14:$I$107+$I51)&lt;=Parâmetros!$C$7))&gt;0),"Troca de lote: a mesma quantidade aparece com sinal oposto em outro lote deste SKU",IF(AND(I51&lt;0,H51=0,F51=0),"Entrou no ZBR, mas não está no estoque físico: não chegou ou foi guardado em outro lote",IF(I51&lt;0,"Estoque físico menor que o esperado: saída, ajuste ou perda não lançada no período",IF(ABS(I51-M51)&lt;=Parâmetros!$C$7,"Estoque antigo: toda a sobra está em posições sem movimento desde antes de 09/09",IF(AND(F51&gt;0,ABS(I51-F51)&lt;=Parâmetros!$C$7),"As saídas do período não baixaram o estoque físico",IF(ABS(I51-N51)&lt;=Parâmetros!$C$7,"Quantidade parada em doca, chão ou transferência: entrega ou devolução não baixada",IF(ABS(I51-M51-N51)&lt;=Parâmetros!$C$7,"Estoque antigo + quantidade em doca/chão/transferência",IF(AND(F51&gt;0,ABS(I51-M51-N51-F51)&lt;=Parâmetros!$C$7),IF(M51+N51&gt;0,"Estoque antigo/doca + saídas do período que","Saídas do período que")&amp;" não baixaram o estoque físico",IF(AND(P51&gt;0,ABS(I51-M51-N51-P51)&lt;=Parâmetros!$C$7),IF(M51+N51&gt;0,"Estoque antigo/doca + saídas","Saídas")&amp;" pelo depósito 0355 que não baixaram o estoque físico",IF(M51+N51&gt;0,"Explica em parte: estoque antigo "&amp;FIXED(M51,1)&amp;" + doca/transferência "&amp;FIXED(N51,1)&amp;"; faltam "&amp;FIXED(I51-M51-N51,1)&amp;" a explicar",IF(F51&gt;E51+U51,"Saiu mais do que entrou: havia estoque antes de 09/09 que não está no arquivo","Estoque acima do esperado: entrada não lançada ou saldo anterior ao período"))))))))))))</f>
        <v>Sem diferença</v>
      </c>
      <c r="L51" s="156" t="str">
        <f aca="false">IF(J51="Confere","Nenhum ajuste necessário",IF(LEFT(K51,5)="Troca","Transferir "&amp;FIXED(ABS(I51),1)&amp;" "&amp;D51&amp;" entre os lotes deste SKU (transferência lote a lote, mov. 309) para corrigir o lote",IF(LEFT(K51,6)="Entrou","Procurar a OT de armazenagem pendente no ZBR. Se não achar: contar e lançar ajuste de inventário de −"&amp;FIXED(ABS(I51),1)&amp;" "&amp;D51,IF(J51="Faltando","Contar o lote. Se a falta se confirmar: lançar a saída esquecida (601) ou ajuste de inventário de −"&amp;FIXED(ABS(I51),1)&amp;" "&amp;D51,IF(LEFT(K51,15)="Estoque antigo:","Confirmar no SAP o saldo de 08/09 ("&amp;FIXED(ABS(M51),1)&amp;" "&amp;D51&amp;"). Se estiver certo, não há ajuste",IF(LEFT(K51,10)="Quantidade","Confirmar ou estornar as OTs em doca/transferência ("&amp;FIXED(ABS(N51),1)&amp;" "&amp;D51&amp;"): guardar na posição ou baixar a entrega",IF(LEFT(K51,16)="Estoque antigo +","Confirmar saldo de 08/09 ("&amp;FIXED(ABS(M51),1)&amp;" "&amp;D51&amp;") e tratar as OTs em doca/transferência ("&amp;FIXED(ABS(N51),1)&amp;" "&amp;D51&amp;")",IF(ISNUMBER(SEARCH("não baixaram",K51)),"Confirmar a OT de saída (picking) das remessas para baixar "&amp;FIXED(ABS(I51-M51-N51),1)&amp;" "&amp;D51&amp;" do estoque físico"&amp;IF(M51+N51&gt;0,"; conferir também estoque antigo/doca",""),IF(LEFT(K51,7)="Explica","Confirmar saldo de 08/09 e OTs de doca; contar o lote para os "&amp;FIXED(ABS(I51-M51-N51),1)&amp;" "&amp;D51&amp;" restantes e ajustar a sobra se confirmada","Confirmar saldo de 08/09; se não existir, contar o lote e lançar ajuste de inventário de +"&amp;FIXED(ABS(I51),1)&amp;" "&amp;D51)))))))))</f>
        <v>Nenhum ajuste necessário</v>
      </c>
      <c r="M51" s="158" t="n">
        <f aca="false">MAX(0,SUMIFS('3 Base Estoque Físico'!$J$2:$J$5000,'3 Base Estoque Físico'!$A$2:$A$5000,$A51,'3 Base Estoque Físico'!$B$2:$B$5000,$B51,'3 Base Estoque Físico'!$I$2:$I$5000,"&lt;"&amp;DATE(2026,9,9))-U51)</f>
        <v>0</v>
      </c>
      <c r="N51" s="158" t="n">
        <f aca="false">SUMPRODUCT(('3 Base Estoque Físico'!$A$2:$A$5000=$A51)*('3 Base Estoque Físico'!$B$2:$B$5000=$B51)*('3 Base Estoque Físico'!$I$2:$I$5000&gt;=DATE(2026,9,9))*ISNUMBER(MATCH('3 Base Estoque Físico'!$C$2:$C$5000,{"DCK","TRF","922","FLR","DIF"},0))*'3 Base Estoque Físico'!$J$2:$J$5000)</f>
        <v>0</v>
      </c>
      <c r="O51" s="161" t="n">
        <f aca="false">IF(OR(J51="Confere",LEFT(K51,5)="Troca",ISNUMBER(SEARCH("não baixaram",K51))),0,IF(I51&gt;0,MAX(0,ROUND(I51-M51-N51,2)),I51))</f>
        <v>0</v>
      </c>
      <c r="P51" s="158" t="n">
        <f aca="false">SUMIFS('3 Base Saídas'!$R$2:$R$5000,'3 Base Saídas'!$B$2:$B$5000,$A51,'3 Base Saídas'!$C$2:$C$5000,$B51,'3 Base Saídas'!$E$2:$E$5000,"0355")</f>
        <v>0</v>
      </c>
      <c r="Q51" s="157" t="str">
        <f aca="false">IF(J51="Confere","—",IF(LEFT(K51,5)="Troca","Troca de lote",IF(LEFT(K51,6)="Entrou","Não localizado no estoque",IF(J51="Faltando","Falta sem explicação",IF(ISNUMBER(SEARCH("não baixaram",K51)),"Saída sem baixa no estoque",IF(LEFT(K51,10)="Quantidade","Doca/transferência pendente",IF(LEFT(K51,14)="Estoque antigo","Estoque anterior a 09/09",IF(LEFT(K51,7)="Explica","Sobra parcialmente explicada","Sobra sem explicação"))))))))</f>
        <v>—</v>
      </c>
      <c r="R51" s="162" t="str">
        <f aca="false">IF(J51="Confere","—",IF(OR(LEFT(K51,6)="Entrou",AND(I51&lt;0,ABS(O51)&gt;=Parâmetros!$K$6)),"Crítica",IF(OR(AND(I51&lt;0,O51&lt;&gt;0),O51&gt;=Parâmetros!$K$7),"Alta",IF(O51&gt;0,"Média","Baixa"))))</f>
        <v>—</v>
      </c>
      <c r="S51" s="157" t="str">
        <f aca="false">A51&amp;"|"&amp;B51</f>
        <v>823-BR-25A|252100301</v>
      </c>
      <c r="T51" s="157" t="n">
        <f aca="false">IF(ABS(O51)&gt;Parâmetros!$C$7,ABS(O51)+ROW()/10000000,0)</f>
        <v>0</v>
      </c>
      <c r="U51" s="158" t="n">
        <f aca="false">SUMIFS('3 Base Saldo Inicial 08-09'!$E$2:$E$5000,'3 Base Saldo Inicial 08-09'!$A$2:$A$5000,$A51,'3 Base Saldo Inicial 08-09'!$B$2:$B$5000,$B51)-SUMIFS('3 Base Saldo Inicial 08-09'!$E$2:$E$5000,'3 Base Saldo Inicial 08-09'!$A$2:$A$5000,$A51,'3 Base Saldo Inicial 08-09'!$B$2:$B$5000,$B51,'3 Base Saldo Inicial 08-09'!$C$2:$C$5000,"2008")</f>
        <v>0</v>
      </c>
    </row>
    <row r="52" customFormat="false" ht="15" hidden="false" customHeight="false" outlineLevel="0" collapsed="false">
      <c r="A52" s="155" t="s">
        <v>220</v>
      </c>
      <c r="B52" s="155" t="s">
        <v>224</v>
      </c>
      <c r="C52" s="156" t="s">
        <v>404</v>
      </c>
      <c r="D52" s="157" t="s">
        <v>65</v>
      </c>
      <c r="E52" s="158" t="n">
        <f aca="false">SUMIFS('aux Conciliação Lote'!$E$5:$E$98,'aux Conciliação Lote'!$A$5:$A$98,$A52,'aux Conciliação Lote'!$B$5:$B$98,$B52)</f>
        <v>1809</v>
      </c>
      <c r="F52" s="158" t="n">
        <f aca="false">SUMIFS('aux Conciliação Lote'!$F$5:$F$98,'aux Conciliação Lote'!$A$5:$A$98,$A52,'aux Conciliação Lote'!$B$5:$B$98,$B52)</f>
        <v>1025.1</v>
      </c>
      <c r="G52" s="158" t="n">
        <f aca="false">U52+E52-F52</f>
        <v>783.9</v>
      </c>
      <c r="H52" s="158" t="n">
        <f aca="false">SUMIFS('aux Conciliação Lote'!$H$5:$H$98,'aux Conciliação Lote'!$A$5:$A$98,$A52,'aux Conciliação Lote'!$B$5:$B$98,$B52)</f>
        <v>783.9</v>
      </c>
      <c r="I52" s="159" t="n">
        <f aca="false">ROUND(H52-G52,2)</f>
        <v>0</v>
      </c>
      <c r="J52" s="160" t="str">
        <f aca="false">IF(ABS(I52)&lt;=Parâmetros!$C$7,"Confere",IF(I52&gt;0,"Sobrando","Faltando"))</f>
        <v>Confere</v>
      </c>
      <c r="K52" s="155" t="str">
        <f aca="false">IF(J52="Confere","Sem diferença",IF(AND(J52&lt;&gt;"Confere",SUMPRODUCT(($A$14:$A$107=$A52)*($B$14:$B$107&lt;&gt;$B52)*(ABS($I$14:$I$107+$I52)&lt;=Parâmetros!$C$7))&gt;0),"Troca de lote: a mesma quantidade aparece com sinal oposto em outro lote deste SKU",IF(AND(I52&lt;0,H52=0,F52=0),"Entrou no ZBR, mas não está no estoque físico: não chegou ou foi guardado em outro lote",IF(I52&lt;0,"Estoque físico menor que o esperado: saída, ajuste ou perda não lançada no período",IF(ABS(I52-M52)&lt;=Parâmetros!$C$7,"Estoque antigo: toda a sobra está em posições sem movimento desde antes de 09/09",IF(AND(F52&gt;0,ABS(I52-F52)&lt;=Parâmetros!$C$7),"As saídas do período não baixaram o estoque físico",IF(ABS(I52-N52)&lt;=Parâmetros!$C$7,"Quantidade parada em doca, chão ou transferência: entrega ou devolução não baixada",IF(ABS(I52-M52-N52)&lt;=Parâmetros!$C$7,"Estoque antigo + quantidade em doca/chão/transferência",IF(AND(F52&gt;0,ABS(I52-M52-N52-F52)&lt;=Parâmetros!$C$7),IF(M52+N52&gt;0,"Estoque antigo/doca + saídas do período que","Saídas do período que")&amp;" não baixaram o estoque físico",IF(AND(P52&gt;0,ABS(I52-M52-N52-P52)&lt;=Parâmetros!$C$7),IF(M52+N52&gt;0,"Estoque antigo/doca + saídas","Saídas")&amp;" pelo depósito 0355 que não baixaram o estoque físico",IF(M52+N52&gt;0,"Explica em parte: estoque antigo "&amp;FIXED(M52,1)&amp;" + doca/transferência "&amp;FIXED(N52,1)&amp;"; faltam "&amp;FIXED(I52-M52-N52,1)&amp;" a explicar",IF(F52&gt;E52+U52,"Saiu mais do que entrou: havia estoque antes de 09/09 que não está no arquivo","Estoque acima do esperado: entrada não lançada ou saldo anterior ao período"))))))))))))</f>
        <v>Sem diferença</v>
      </c>
      <c r="L52" s="156" t="str">
        <f aca="false">IF(J52="Confere","Nenhum ajuste necessário",IF(LEFT(K52,5)="Troca","Transferir "&amp;FIXED(ABS(I52),1)&amp;" "&amp;D52&amp;" entre os lotes deste SKU (transferência lote a lote, mov. 309) para corrigir o lote",IF(LEFT(K52,6)="Entrou","Procurar a OT de armazenagem pendente no ZBR. Se não achar: contar e lançar ajuste de inventário de −"&amp;FIXED(ABS(I52),1)&amp;" "&amp;D52,IF(J52="Faltando","Contar o lote. Se a falta se confirmar: lançar a saída esquecida (601) ou ajuste de inventário de −"&amp;FIXED(ABS(I52),1)&amp;" "&amp;D52,IF(LEFT(K52,15)="Estoque antigo:","Confirmar no SAP o saldo de 08/09 ("&amp;FIXED(ABS(M52),1)&amp;" "&amp;D52&amp;"). Se estiver certo, não há ajuste",IF(LEFT(K52,10)="Quantidade","Confirmar ou estornar as OTs em doca/transferência ("&amp;FIXED(ABS(N52),1)&amp;" "&amp;D52&amp;"): guardar na posição ou baixar a entrega",IF(LEFT(K52,16)="Estoque antigo +","Confirmar saldo de 08/09 ("&amp;FIXED(ABS(M52),1)&amp;" "&amp;D52&amp;") e tratar as OTs em doca/transferência ("&amp;FIXED(ABS(N52),1)&amp;" "&amp;D52&amp;")",IF(ISNUMBER(SEARCH("não baixaram",K52)),"Confirmar a OT de saída (picking) das remessas para baixar "&amp;FIXED(ABS(I52-M52-N52),1)&amp;" "&amp;D52&amp;" do estoque físico"&amp;IF(M52+N52&gt;0,"; conferir também estoque antigo/doca",""),IF(LEFT(K52,7)="Explica","Confirmar saldo de 08/09 e OTs de doca; contar o lote para os "&amp;FIXED(ABS(I52-M52-N52),1)&amp;" "&amp;D52&amp;" restantes e ajustar a sobra se confirmada","Confirmar saldo de 08/09; se não existir, contar o lote e lançar ajuste de inventário de +"&amp;FIXED(ABS(I52),1)&amp;" "&amp;D52)))))))))</f>
        <v>Nenhum ajuste necessário</v>
      </c>
      <c r="M52" s="158" t="n">
        <f aca="false">MAX(0,SUMIFS('3 Base Estoque Físico'!$J$2:$J$5000,'3 Base Estoque Físico'!$A$2:$A$5000,$A52,'3 Base Estoque Físico'!$B$2:$B$5000,$B52,'3 Base Estoque Físico'!$I$2:$I$5000,"&lt;"&amp;DATE(2026,9,9))-U52)</f>
        <v>0</v>
      </c>
      <c r="N52" s="158" t="n">
        <f aca="false">SUMPRODUCT(('3 Base Estoque Físico'!$A$2:$A$5000=$A52)*('3 Base Estoque Físico'!$B$2:$B$5000=$B52)*('3 Base Estoque Físico'!$I$2:$I$5000&gt;=DATE(2026,9,9))*ISNUMBER(MATCH('3 Base Estoque Físico'!$C$2:$C$5000,{"DCK","TRF","922","FLR","DIF"},0))*'3 Base Estoque Físico'!$J$2:$J$5000)</f>
        <v>0</v>
      </c>
      <c r="O52" s="161" t="n">
        <f aca="false">IF(OR(J52="Confere",LEFT(K52,5)="Troca",ISNUMBER(SEARCH("não baixaram",K52))),0,IF(I52&gt;0,MAX(0,ROUND(I52-M52-N52,2)),I52))</f>
        <v>0</v>
      </c>
      <c r="P52" s="158" t="n">
        <f aca="false">SUMIFS('3 Base Saídas'!$R$2:$R$5000,'3 Base Saídas'!$B$2:$B$5000,$A52,'3 Base Saídas'!$C$2:$C$5000,$B52,'3 Base Saídas'!$E$2:$E$5000,"0355")</f>
        <v>0</v>
      </c>
      <c r="Q52" s="157" t="str">
        <f aca="false">IF(J52="Confere","—",IF(LEFT(K52,5)="Troca","Troca de lote",IF(LEFT(K52,6)="Entrou","Não localizado no estoque",IF(J52="Faltando","Falta sem explicação",IF(ISNUMBER(SEARCH("não baixaram",K52)),"Saída sem baixa no estoque",IF(LEFT(K52,10)="Quantidade","Doca/transferência pendente",IF(LEFT(K52,14)="Estoque antigo","Estoque anterior a 09/09",IF(LEFT(K52,7)="Explica","Sobra parcialmente explicada","Sobra sem explicação"))))))))</f>
        <v>—</v>
      </c>
      <c r="R52" s="162" t="str">
        <f aca="false">IF(J52="Confere","—",IF(OR(LEFT(K52,6)="Entrou",AND(I52&lt;0,ABS(O52)&gt;=Parâmetros!$K$6)),"Crítica",IF(OR(AND(I52&lt;0,O52&lt;&gt;0),O52&gt;=Parâmetros!$K$7),"Alta",IF(O52&gt;0,"Média","Baixa"))))</f>
        <v>—</v>
      </c>
      <c r="S52" s="157" t="str">
        <f aca="false">A52&amp;"|"&amp;B52</f>
        <v>823-BR-25A|252940301</v>
      </c>
      <c r="T52" s="157" t="n">
        <f aca="false">IF(ABS(O52)&gt;Parâmetros!$C$7,ABS(O52)+ROW()/10000000,0)</f>
        <v>0</v>
      </c>
      <c r="U52" s="158" t="n">
        <f aca="false">SUMIFS('3 Base Saldo Inicial 08-09'!$E$2:$E$5000,'3 Base Saldo Inicial 08-09'!$A$2:$A$5000,$A52,'3 Base Saldo Inicial 08-09'!$B$2:$B$5000,$B52)-SUMIFS('3 Base Saldo Inicial 08-09'!$E$2:$E$5000,'3 Base Saldo Inicial 08-09'!$A$2:$A$5000,$A52,'3 Base Saldo Inicial 08-09'!$B$2:$B$5000,$B52,'3 Base Saldo Inicial 08-09'!$C$2:$C$5000,"2008")</f>
        <v>0</v>
      </c>
    </row>
    <row r="53" customFormat="false" ht="15" hidden="false" customHeight="false" outlineLevel="0" collapsed="false">
      <c r="A53" s="155" t="s">
        <v>225</v>
      </c>
      <c r="B53" s="155" t="s">
        <v>226</v>
      </c>
      <c r="C53" s="156"/>
      <c r="D53" s="157" t="s">
        <v>65</v>
      </c>
      <c r="E53" s="158" t="n">
        <f aca="false">SUMIFS('aux Conciliação Lote'!$E$5:$E$98,'aux Conciliação Lote'!$A$5:$A$98,$A53,'aux Conciliação Lote'!$B$5:$B$98,$B53)</f>
        <v>1000</v>
      </c>
      <c r="F53" s="158" t="n">
        <f aca="false">SUMIFS('aux Conciliação Lote'!$F$5:$F$98,'aux Conciliação Lote'!$A$5:$A$98,$A53,'aux Conciliação Lote'!$B$5:$B$98,$B53)</f>
        <v>0</v>
      </c>
      <c r="G53" s="158" t="n">
        <f aca="false">U53+E53-F53</f>
        <v>1000</v>
      </c>
      <c r="H53" s="158" t="n">
        <f aca="false">SUMIFS('aux Conciliação Lote'!$H$5:$H$98,'aux Conciliação Lote'!$A$5:$A$98,$A53,'aux Conciliação Lote'!$B$5:$B$98,$B53)</f>
        <v>1000</v>
      </c>
      <c r="I53" s="159" t="n">
        <f aca="false">ROUND(H53-G53,2)</f>
        <v>0</v>
      </c>
      <c r="J53" s="160" t="str">
        <f aca="false">IF(ABS(I53)&lt;=Parâmetros!$C$7,"Confere",IF(I53&gt;0,"Sobrando","Faltando"))</f>
        <v>Confere</v>
      </c>
      <c r="K53" s="155" t="str">
        <f aca="false">IF(J53="Confere","Sem diferença",IF(AND(J53&lt;&gt;"Confere",SUMPRODUCT(($A$14:$A$107=$A53)*($B$14:$B$107&lt;&gt;$B53)*(ABS($I$14:$I$107+$I53)&lt;=Parâmetros!$C$7))&gt;0),"Troca de lote: a mesma quantidade aparece com sinal oposto em outro lote deste SKU",IF(AND(I53&lt;0,H53=0,F53=0),"Entrou no ZBR, mas não está no estoque físico: não chegou ou foi guardado em outro lote",IF(I53&lt;0,"Estoque físico menor que o esperado: saída, ajuste ou perda não lançada no período",IF(ABS(I53-M53)&lt;=Parâmetros!$C$7,"Estoque antigo: toda a sobra está em posições sem movimento desde antes de 09/09",IF(AND(F53&gt;0,ABS(I53-F53)&lt;=Parâmetros!$C$7),"As saídas do período não baixaram o estoque físico",IF(ABS(I53-N53)&lt;=Parâmetros!$C$7,"Quantidade parada em doca, chão ou transferência: entrega ou devolução não baixada",IF(ABS(I53-M53-N53)&lt;=Parâmetros!$C$7,"Estoque antigo + quantidade em doca/chão/transferência",IF(AND(F53&gt;0,ABS(I53-M53-N53-F53)&lt;=Parâmetros!$C$7),IF(M53+N53&gt;0,"Estoque antigo/doca + saídas do período que","Saídas do período que")&amp;" não baixaram o estoque físico",IF(AND(P53&gt;0,ABS(I53-M53-N53-P53)&lt;=Parâmetros!$C$7),IF(M53+N53&gt;0,"Estoque antigo/doca + saídas","Saídas")&amp;" pelo depósito 0355 que não baixaram o estoque físico",IF(M53+N53&gt;0,"Explica em parte: estoque antigo "&amp;FIXED(M53,1)&amp;" + doca/transferência "&amp;FIXED(N53,1)&amp;"; faltam "&amp;FIXED(I53-M53-N53,1)&amp;" a explicar",IF(F53&gt;E53+U53,"Saiu mais do que entrou: havia estoque antes de 09/09 que não está no arquivo","Estoque acima do esperado: entrada não lançada ou saldo anterior ao período"))))))))))))</f>
        <v>Sem diferença</v>
      </c>
      <c r="L53" s="156" t="str">
        <f aca="false">IF(J53="Confere","Nenhum ajuste necessário",IF(LEFT(K53,5)="Troca","Transferir "&amp;FIXED(ABS(I53),1)&amp;" "&amp;D53&amp;" entre os lotes deste SKU (transferência lote a lote, mov. 309) para corrigir o lote",IF(LEFT(K53,6)="Entrou","Procurar a OT de armazenagem pendente no ZBR. Se não achar: contar e lançar ajuste de inventário de −"&amp;FIXED(ABS(I53),1)&amp;" "&amp;D53,IF(J53="Faltando","Contar o lote. Se a falta se confirmar: lançar a saída esquecida (601) ou ajuste de inventário de −"&amp;FIXED(ABS(I53),1)&amp;" "&amp;D53,IF(LEFT(K53,15)="Estoque antigo:","Confirmar no SAP o saldo de 08/09 ("&amp;FIXED(ABS(M53),1)&amp;" "&amp;D53&amp;"). Se estiver certo, não há ajuste",IF(LEFT(K53,10)="Quantidade","Confirmar ou estornar as OTs em doca/transferência ("&amp;FIXED(ABS(N53),1)&amp;" "&amp;D53&amp;"): guardar na posição ou baixar a entrega",IF(LEFT(K53,16)="Estoque antigo +","Confirmar saldo de 08/09 ("&amp;FIXED(ABS(M53),1)&amp;" "&amp;D53&amp;") e tratar as OTs em doca/transferência ("&amp;FIXED(ABS(N53),1)&amp;" "&amp;D53&amp;")",IF(ISNUMBER(SEARCH("não baixaram",K53)),"Confirmar a OT de saída (picking) das remessas para baixar "&amp;FIXED(ABS(I53-M53-N53),1)&amp;" "&amp;D53&amp;" do estoque físico"&amp;IF(M53+N53&gt;0,"; conferir também estoque antigo/doca",""),IF(LEFT(K53,7)="Explica","Confirmar saldo de 08/09 e OTs de doca; contar o lote para os "&amp;FIXED(ABS(I53-M53-N53),1)&amp;" "&amp;D53&amp;" restantes e ajustar a sobra se confirmada","Confirmar saldo de 08/09; se não existir, contar o lote e lançar ajuste de inventário de +"&amp;FIXED(ABS(I53),1)&amp;" "&amp;D53)))))))))</f>
        <v>Nenhum ajuste necessário</v>
      </c>
      <c r="M53" s="158" t="n">
        <f aca="false">MAX(0,SUMIFS('3 Base Estoque Físico'!$J$2:$J$5000,'3 Base Estoque Físico'!$A$2:$A$5000,$A53,'3 Base Estoque Físico'!$B$2:$B$5000,$B53,'3 Base Estoque Físico'!$I$2:$I$5000,"&lt;"&amp;DATE(2026,9,9))-U53)</f>
        <v>0</v>
      </c>
      <c r="N53" s="158" t="n">
        <f aca="false">SUMPRODUCT(('3 Base Estoque Físico'!$A$2:$A$5000=$A53)*('3 Base Estoque Físico'!$B$2:$B$5000=$B53)*('3 Base Estoque Físico'!$I$2:$I$5000&gt;=DATE(2026,9,9))*ISNUMBER(MATCH('3 Base Estoque Físico'!$C$2:$C$5000,{"DCK","TRF","922","FLR","DIF"},0))*'3 Base Estoque Físico'!$J$2:$J$5000)</f>
        <v>0</v>
      </c>
      <c r="O53" s="161" t="n">
        <f aca="false">IF(OR(J53="Confere",LEFT(K53,5)="Troca",ISNUMBER(SEARCH("não baixaram",K53))),0,IF(I53&gt;0,MAX(0,ROUND(I53-M53-N53,2)),I53))</f>
        <v>0</v>
      </c>
      <c r="P53" s="158" t="n">
        <f aca="false">SUMIFS('3 Base Saídas'!$R$2:$R$5000,'3 Base Saídas'!$B$2:$B$5000,$A53,'3 Base Saídas'!$C$2:$C$5000,$B53,'3 Base Saídas'!$E$2:$E$5000,"0355")</f>
        <v>0</v>
      </c>
      <c r="Q53" s="157" t="str">
        <f aca="false">IF(J53="Confere","—",IF(LEFT(K53,5)="Troca","Troca de lote",IF(LEFT(K53,6)="Entrou","Não localizado no estoque",IF(J53="Faltando","Falta sem explicação",IF(ISNUMBER(SEARCH("não baixaram",K53)),"Saída sem baixa no estoque",IF(LEFT(K53,10)="Quantidade","Doca/transferência pendente",IF(LEFT(K53,14)="Estoque antigo","Estoque anterior a 09/09",IF(LEFT(K53,7)="Explica","Sobra parcialmente explicada","Sobra sem explicação"))))))))</f>
        <v>—</v>
      </c>
      <c r="R53" s="162" t="str">
        <f aca="false">IF(J53="Confere","—",IF(OR(LEFT(K53,6)="Entrou",AND(I53&lt;0,ABS(O53)&gt;=Parâmetros!$K$6)),"Crítica",IF(OR(AND(I53&lt;0,O53&lt;&gt;0),O53&gt;=Parâmetros!$K$7),"Alta",IF(O53&gt;0,"Média","Baixa"))))</f>
        <v>—</v>
      </c>
      <c r="S53" s="157" t="str">
        <f aca="false">A53&amp;"|"&amp;B53</f>
        <v>823NV-132|260880201</v>
      </c>
      <c r="T53" s="157" t="n">
        <f aca="false">IF(ABS(O53)&gt;Parâmetros!$C$7,ABS(O53)+ROW()/10000000,0)</f>
        <v>0</v>
      </c>
      <c r="U53" s="158" t="n">
        <f aca="false">SUMIFS('3 Base Saldo Inicial 08-09'!$E$2:$E$5000,'3 Base Saldo Inicial 08-09'!$A$2:$A$5000,$A53,'3 Base Saldo Inicial 08-09'!$B$2:$B$5000,$B53)-SUMIFS('3 Base Saldo Inicial 08-09'!$E$2:$E$5000,'3 Base Saldo Inicial 08-09'!$A$2:$A$5000,$A53,'3 Base Saldo Inicial 08-09'!$B$2:$B$5000,$B53,'3 Base Saldo Inicial 08-09'!$C$2:$C$5000,"2008")</f>
        <v>0</v>
      </c>
    </row>
    <row r="54" customFormat="false" ht="15" hidden="false" customHeight="false" outlineLevel="0" collapsed="false">
      <c r="A54" s="155" t="s">
        <v>227</v>
      </c>
      <c r="B54" s="155" t="s">
        <v>228</v>
      </c>
      <c r="C54" s="156" t="s">
        <v>756</v>
      </c>
      <c r="D54" s="157" t="s">
        <v>65</v>
      </c>
      <c r="E54" s="158" t="n">
        <f aca="false">SUMIFS('aux Conciliação Lote'!$E$5:$E$98,'aux Conciliação Lote'!$A$5:$A$98,$A54,'aux Conciliação Lote'!$B$5:$B$98,$B54)</f>
        <v>1800</v>
      </c>
      <c r="F54" s="158" t="n">
        <f aca="false">SUMIFS('aux Conciliação Lote'!$F$5:$F$98,'aux Conciliação Lote'!$A$5:$A$98,$A54,'aux Conciliação Lote'!$B$5:$B$98,$B54)</f>
        <v>0</v>
      </c>
      <c r="G54" s="158" t="n">
        <f aca="false">U54+E54-F54</f>
        <v>1800</v>
      </c>
      <c r="H54" s="158" t="n">
        <f aca="false">SUMIFS('aux Conciliação Lote'!$H$5:$H$98,'aux Conciliação Lote'!$A$5:$A$98,$A54,'aux Conciliação Lote'!$B$5:$B$98,$B54)</f>
        <v>1800</v>
      </c>
      <c r="I54" s="159" t="n">
        <f aca="false">ROUND(H54-G54,2)</f>
        <v>0</v>
      </c>
      <c r="J54" s="160" t="str">
        <f aca="false">IF(ABS(I54)&lt;=Parâmetros!$C$7,"Confere",IF(I54&gt;0,"Sobrando","Faltando"))</f>
        <v>Confere</v>
      </c>
      <c r="K54" s="155" t="str">
        <f aca="false">IF(J54="Confere","Sem diferença",IF(AND(J54&lt;&gt;"Confere",SUMPRODUCT(($A$14:$A$107=$A54)*($B$14:$B$107&lt;&gt;$B54)*(ABS($I$14:$I$107+$I54)&lt;=Parâmetros!$C$7))&gt;0),"Troca de lote: a mesma quantidade aparece com sinal oposto em outro lote deste SKU",IF(AND(I54&lt;0,H54=0,F54=0),"Entrou no ZBR, mas não está no estoque físico: não chegou ou foi guardado em outro lote",IF(I54&lt;0,"Estoque físico menor que o esperado: saída, ajuste ou perda não lançada no período",IF(ABS(I54-M54)&lt;=Parâmetros!$C$7,"Estoque antigo: toda a sobra está em posições sem movimento desde antes de 09/09",IF(AND(F54&gt;0,ABS(I54-F54)&lt;=Parâmetros!$C$7),"As saídas do período não baixaram o estoque físico",IF(ABS(I54-N54)&lt;=Parâmetros!$C$7,"Quantidade parada em doca, chão ou transferência: entrega ou devolução não baixada",IF(ABS(I54-M54-N54)&lt;=Parâmetros!$C$7,"Estoque antigo + quantidade em doca/chão/transferência",IF(AND(F54&gt;0,ABS(I54-M54-N54-F54)&lt;=Parâmetros!$C$7),IF(M54+N54&gt;0,"Estoque antigo/doca + saídas do período que","Saídas do período que")&amp;" não baixaram o estoque físico",IF(AND(P54&gt;0,ABS(I54-M54-N54-P54)&lt;=Parâmetros!$C$7),IF(M54+N54&gt;0,"Estoque antigo/doca + saídas","Saídas")&amp;" pelo depósito 0355 que não baixaram o estoque físico",IF(M54+N54&gt;0,"Explica em parte: estoque antigo "&amp;FIXED(M54,1)&amp;" + doca/transferência "&amp;FIXED(N54,1)&amp;"; faltam "&amp;FIXED(I54-M54-N54,1)&amp;" a explicar",IF(F54&gt;E54+U54,"Saiu mais do que entrou: havia estoque antes de 09/09 que não está no arquivo","Estoque acima do esperado: entrada não lançada ou saldo anterior ao período"))))))))))))</f>
        <v>Sem diferença</v>
      </c>
      <c r="L54" s="156" t="str">
        <f aca="false">IF(J54="Confere","Nenhum ajuste necessário",IF(LEFT(K54,5)="Troca","Transferir "&amp;FIXED(ABS(I54),1)&amp;" "&amp;D54&amp;" entre os lotes deste SKU (transferência lote a lote, mov. 309) para corrigir o lote",IF(LEFT(K54,6)="Entrou","Procurar a OT de armazenagem pendente no ZBR. Se não achar: contar e lançar ajuste de inventário de −"&amp;FIXED(ABS(I54),1)&amp;" "&amp;D54,IF(J54="Faltando","Contar o lote. Se a falta se confirmar: lançar a saída esquecida (601) ou ajuste de inventário de −"&amp;FIXED(ABS(I54),1)&amp;" "&amp;D54,IF(LEFT(K54,15)="Estoque antigo:","Confirmar no SAP o saldo de 08/09 ("&amp;FIXED(ABS(M54),1)&amp;" "&amp;D54&amp;"). Se estiver certo, não há ajuste",IF(LEFT(K54,10)="Quantidade","Confirmar ou estornar as OTs em doca/transferência ("&amp;FIXED(ABS(N54),1)&amp;" "&amp;D54&amp;"): guardar na posição ou baixar a entrega",IF(LEFT(K54,16)="Estoque antigo +","Confirmar saldo de 08/09 ("&amp;FIXED(ABS(M54),1)&amp;" "&amp;D54&amp;") e tratar as OTs em doca/transferência ("&amp;FIXED(ABS(N54),1)&amp;" "&amp;D54&amp;")",IF(ISNUMBER(SEARCH("não baixaram",K54)),"Confirmar a OT de saída (picking) das remessas para baixar "&amp;FIXED(ABS(I54-M54-N54),1)&amp;" "&amp;D54&amp;" do estoque físico"&amp;IF(M54+N54&gt;0,"; conferir também estoque antigo/doca",""),IF(LEFT(K54,7)="Explica","Confirmar saldo de 08/09 e OTs de doca; contar o lote para os "&amp;FIXED(ABS(I54-M54-N54),1)&amp;" "&amp;D54&amp;" restantes e ajustar a sobra se confirmada","Confirmar saldo de 08/09; se não existir, contar o lote e lançar ajuste de inventário de +"&amp;FIXED(ABS(I54),1)&amp;" "&amp;D54)))))))))</f>
        <v>Nenhum ajuste necessário</v>
      </c>
      <c r="M54" s="158" t="n">
        <f aca="false">MAX(0,SUMIFS('3 Base Estoque Físico'!$J$2:$J$5000,'3 Base Estoque Físico'!$A$2:$A$5000,$A54,'3 Base Estoque Físico'!$B$2:$B$5000,$B54,'3 Base Estoque Físico'!$I$2:$I$5000,"&lt;"&amp;DATE(2026,9,9))-U54)</f>
        <v>0</v>
      </c>
      <c r="N54" s="158" t="n">
        <f aca="false">SUMPRODUCT(('3 Base Estoque Físico'!$A$2:$A$5000=$A54)*('3 Base Estoque Físico'!$B$2:$B$5000=$B54)*('3 Base Estoque Físico'!$I$2:$I$5000&gt;=DATE(2026,9,9))*ISNUMBER(MATCH('3 Base Estoque Físico'!$C$2:$C$5000,{"DCK","TRF","922","FLR","DIF"},0))*'3 Base Estoque Físico'!$J$2:$J$5000)</f>
        <v>1800</v>
      </c>
      <c r="O54" s="161" t="n">
        <f aca="false">IF(OR(J54="Confere",LEFT(K54,5)="Troca",ISNUMBER(SEARCH("não baixaram",K54))),0,IF(I54&gt;0,MAX(0,ROUND(I54-M54-N54,2)),I54))</f>
        <v>0</v>
      </c>
      <c r="P54" s="158" t="n">
        <f aca="false">SUMIFS('3 Base Saídas'!$R$2:$R$5000,'3 Base Saídas'!$B$2:$B$5000,$A54,'3 Base Saídas'!$C$2:$C$5000,$B54,'3 Base Saídas'!$E$2:$E$5000,"0355")</f>
        <v>0</v>
      </c>
      <c r="Q54" s="157" t="str">
        <f aca="false">IF(J54="Confere","—",IF(LEFT(K54,5)="Troca","Troca de lote",IF(LEFT(K54,6)="Entrou","Não localizado no estoque",IF(J54="Faltando","Falta sem explicação",IF(ISNUMBER(SEARCH("não baixaram",K54)),"Saída sem baixa no estoque",IF(LEFT(K54,10)="Quantidade","Doca/transferência pendente",IF(LEFT(K54,14)="Estoque antigo","Estoque anterior a 09/09",IF(LEFT(K54,7)="Explica","Sobra parcialmente explicada","Sobra sem explicação"))))))))</f>
        <v>—</v>
      </c>
      <c r="R54" s="162" t="str">
        <f aca="false">IF(J54="Confere","—",IF(OR(LEFT(K54,6)="Entrou",AND(I54&lt;0,ABS(O54)&gt;=Parâmetros!$K$6)),"Crítica",IF(OR(AND(I54&lt;0,O54&lt;&gt;0),O54&gt;=Parâmetros!$K$7),"Alta",IF(O54&gt;0,"Média","Baixa"))))</f>
        <v>—</v>
      </c>
      <c r="S54" s="157" t="str">
        <f aca="false">A54&amp;"|"&amp;B54</f>
        <v>823NV-595|260416102</v>
      </c>
      <c r="T54" s="157" t="n">
        <f aca="false">IF(ABS(O54)&gt;Parâmetros!$C$7,ABS(O54)+ROW()/10000000,0)</f>
        <v>0</v>
      </c>
      <c r="U54" s="158" t="n">
        <f aca="false">SUMIFS('3 Base Saldo Inicial 08-09'!$E$2:$E$5000,'3 Base Saldo Inicial 08-09'!$A$2:$A$5000,$A54,'3 Base Saldo Inicial 08-09'!$B$2:$B$5000,$B54)-SUMIFS('3 Base Saldo Inicial 08-09'!$E$2:$E$5000,'3 Base Saldo Inicial 08-09'!$A$2:$A$5000,$A54,'3 Base Saldo Inicial 08-09'!$B$2:$B$5000,$B54,'3 Base Saldo Inicial 08-09'!$C$2:$C$5000,"2008")</f>
        <v>0</v>
      </c>
    </row>
    <row r="55" customFormat="false" ht="15" hidden="false" customHeight="false" outlineLevel="0" collapsed="false">
      <c r="A55" s="155" t="s">
        <v>227</v>
      </c>
      <c r="B55" s="155" t="s">
        <v>230</v>
      </c>
      <c r="C55" s="156" t="s">
        <v>756</v>
      </c>
      <c r="D55" s="157" t="s">
        <v>65</v>
      </c>
      <c r="E55" s="158" t="n">
        <f aca="false">SUMIFS('aux Conciliação Lote'!$E$5:$E$98,'aux Conciliação Lote'!$A$5:$A$98,$A55,'aux Conciliação Lote'!$B$5:$B$98,$B55)</f>
        <v>5940</v>
      </c>
      <c r="F55" s="158" t="n">
        <f aca="false">SUMIFS('aux Conciliação Lote'!$F$5:$F$98,'aux Conciliação Lote'!$A$5:$A$98,$A55,'aux Conciliação Lote'!$B$5:$B$98,$B55)</f>
        <v>4940</v>
      </c>
      <c r="G55" s="158" t="n">
        <f aca="false">U55+E55-F55</f>
        <v>1000</v>
      </c>
      <c r="H55" s="158" t="n">
        <f aca="false">SUMIFS('aux Conciliação Lote'!$H$5:$H$98,'aux Conciliação Lote'!$A$5:$A$98,$A55,'aux Conciliação Lote'!$B$5:$B$98,$B55)</f>
        <v>1000</v>
      </c>
      <c r="I55" s="159" t="n">
        <f aca="false">ROUND(H55-G55,2)</f>
        <v>0</v>
      </c>
      <c r="J55" s="160" t="str">
        <f aca="false">IF(ABS(I55)&lt;=Parâmetros!$C$7,"Confere",IF(I55&gt;0,"Sobrando","Faltando"))</f>
        <v>Confere</v>
      </c>
      <c r="K55" s="155" t="str">
        <f aca="false">IF(J55="Confere","Sem diferença",IF(AND(J55&lt;&gt;"Confere",SUMPRODUCT(($A$14:$A$107=$A55)*($B$14:$B$107&lt;&gt;$B55)*(ABS($I$14:$I$107+$I55)&lt;=Parâmetros!$C$7))&gt;0),"Troca de lote: a mesma quantidade aparece com sinal oposto em outro lote deste SKU",IF(AND(I55&lt;0,H55=0,F55=0),"Entrou no ZBR, mas não está no estoque físico: não chegou ou foi guardado em outro lote",IF(I55&lt;0,"Estoque físico menor que o esperado: saída, ajuste ou perda não lançada no período",IF(ABS(I55-M55)&lt;=Parâmetros!$C$7,"Estoque antigo: toda a sobra está em posições sem movimento desde antes de 09/09",IF(AND(F55&gt;0,ABS(I55-F55)&lt;=Parâmetros!$C$7),"As saídas do período não baixaram o estoque físico",IF(ABS(I55-N55)&lt;=Parâmetros!$C$7,"Quantidade parada em doca, chão ou transferência: entrega ou devolução não baixada",IF(ABS(I55-M55-N55)&lt;=Parâmetros!$C$7,"Estoque antigo + quantidade em doca/chão/transferência",IF(AND(F55&gt;0,ABS(I55-M55-N55-F55)&lt;=Parâmetros!$C$7),IF(M55+N55&gt;0,"Estoque antigo/doca + saídas do período que","Saídas do período que")&amp;" não baixaram o estoque físico",IF(AND(P55&gt;0,ABS(I55-M55-N55-P55)&lt;=Parâmetros!$C$7),IF(M55+N55&gt;0,"Estoque antigo/doca + saídas","Saídas")&amp;" pelo depósito 0355 que não baixaram o estoque físico",IF(M55+N55&gt;0,"Explica em parte: estoque antigo "&amp;FIXED(M55,1)&amp;" + doca/transferência "&amp;FIXED(N55,1)&amp;"; faltam "&amp;FIXED(I55-M55-N55,1)&amp;" a explicar",IF(F55&gt;E55+U55,"Saiu mais do que entrou: havia estoque antes de 09/09 que não está no arquivo","Estoque acima do esperado: entrada não lançada ou saldo anterior ao período"))))))))))))</f>
        <v>Sem diferença</v>
      </c>
      <c r="L55" s="156" t="str">
        <f aca="false">IF(J55="Confere","Nenhum ajuste necessário",IF(LEFT(K55,5)="Troca","Transferir "&amp;FIXED(ABS(I55),1)&amp;" "&amp;D55&amp;" entre os lotes deste SKU (transferência lote a lote, mov. 309) para corrigir o lote",IF(LEFT(K55,6)="Entrou","Procurar a OT de armazenagem pendente no ZBR. Se não achar: contar e lançar ajuste de inventário de −"&amp;FIXED(ABS(I55),1)&amp;" "&amp;D55,IF(J55="Faltando","Contar o lote. Se a falta se confirmar: lançar a saída esquecida (601) ou ajuste de inventário de −"&amp;FIXED(ABS(I55),1)&amp;" "&amp;D55,IF(LEFT(K55,15)="Estoque antigo:","Confirmar no SAP o saldo de 08/09 ("&amp;FIXED(ABS(M55),1)&amp;" "&amp;D55&amp;"). Se estiver certo, não há ajuste",IF(LEFT(K55,10)="Quantidade","Confirmar ou estornar as OTs em doca/transferência ("&amp;FIXED(ABS(N55),1)&amp;" "&amp;D55&amp;"): guardar na posição ou baixar a entrega",IF(LEFT(K55,16)="Estoque antigo +","Confirmar saldo de 08/09 ("&amp;FIXED(ABS(M55),1)&amp;" "&amp;D55&amp;") e tratar as OTs em doca/transferência ("&amp;FIXED(ABS(N55),1)&amp;" "&amp;D55&amp;")",IF(ISNUMBER(SEARCH("não baixaram",K55)),"Confirmar a OT de saída (picking) das remessas para baixar "&amp;FIXED(ABS(I55-M55-N55),1)&amp;" "&amp;D55&amp;" do estoque físico"&amp;IF(M55+N55&gt;0,"; conferir também estoque antigo/doca",""),IF(LEFT(K55,7)="Explica","Confirmar saldo de 08/09 e OTs de doca; contar o lote para os "&amp;FIXED(ABS(I55-M55-N55),1)&amp;" "&amp;D55&amp;" restantes e ajustar a sobra se confirmada","Confirmar saldo de 08/09; se não existir, contar o lote e lançar ajuste de inventário de +"&amp;FIXED(ABS(I55),1)&amp;" "&amp;D55)))))))))</f>
        <v>Nenhum ajuste necessário</v>
      </c>
      <c r="M55" s="158" t="n">
        <f aca="false">MAX(0,SUMIFS('3 Base Estoque Físico'!$J$2:$J$5000,'3 Base Estoque Físico'!$A$2:$A$5000,$A55,'3 Base Estoque Físico'!$B$2:$B$5000,$B55,'3 Base Estoque Físico'!$I$2:$I$5000,"&lt;"&amp;DATE(2026,9,9))-U55)</f>
        <v>0</v>
      </c>
      <c r="N55" s="158" t="n">
        <f aca="false">SUMPRODUCT(('3 Base Estoque Físico'!$A$2:$A$5000=$A55)*('3 Base Estoque Físico'!$B$2:$B$5000=$B55)*('3 Base Estoque Físico'!$I$2:$I$5000&gt;=DATE(2026,9,9))*ISNUMBER(MATCH('3 Base Estoque Físico'!$C$2:$C$5000,{"DCK","TRF","922","FLR","DIF"},0))*'3 Base Estoque Físico'!$J$2:$J$5000)</f>
        <v>20</v>
      </c>
      <c r="O55" s="161" t="n">
        <f aca="false">IF(OR(J55="Confere",LEFT(K55,5)="Troca",ISNUMBER(SEARCH("não baixaram",K55))),0,IF(I55&gt;0,MAX(0,ROUND(I55-M55-N55,2)),I55))</f>
        <v>0</v>
      </c>
      <c r="P55" s="158" t="n">
        <f aca="false">SUMIFS('3 Base Saídas'!$R$2:$R$5000,'3 Base Saídas'!$B$2:$B$5000,$A55,'3 Base Saídas'!$C$2:$C$5000,$B55,'3 Base Saídas'!$E$2:$E$5000,"0355")</f>
        <v>0</v>
      </c>
      <c r="Q55" s="157" t="str">
        <f aca="false">IF(J55="Confere","—",IF(LEFT(K55,5)="Troca","Troca de lote",IF(LEFT(K55,6)="Entrou","Não localizado no estoque",IF(J55="Faltando","Falta sem explicação",IF(ISNUMBER(SEARCH("não baixaram",K55)),"Saída sem baixa no estoque",IF(LEFT(K55,10)="Quantidade","Doca/transferência pendente",IF(LEFT(K55,14)="Estoque antigo","Estoque anterior a 09/09",IF(LEFT(K55,7)="Explica","Sobra parcialmente explicada","Sobra sem explicação"))))))))</f>
        <v>—</v>
      </c>
      <c r="R55" s="162" t="str">
        <f aca="false">IF(J55="Confere","—",IF(OR(LEFT(K55,6)="Entrou",AND(I55&lt;0,ABS(O55)&gt;=Parâmetros!$K$6)),"Crítica",IF(OR(AND(I55&lt;0,O55&lt;&gt;0),O55&gt;=Parâmetros!$K$7),"Alta",IF(O55&gt;0,"Média","Baixa"))))</f>
        <v>—</v>
      </c>
      <c r="S55" s="157" t="str">
        <f aca="false">A55&amp;"|"&amp;B55</f>
        <v>823NV-595|261376101</v>
      </c>
      <c r="T55" s="157" t="n">
        <f aca="false">IF(ABS(O55)&gt;Parâmetros!$C$7,ABS(O55)+ROW()/10000000,0)</f>
        <v>0</v>
      </c>
      <c r="U55" s="158" t="n">
        <f aca="false">SUMIFS('3 Base Saldo Inicial 08-09'!$E$2:$E$5000,'3 Base Saldo Inicial 08-09'!$A$2:$A$5000,$A55,'3 Base Saldo Inicial 08-09'!$B$2:$B$5000,$B55)-SUMIFS('3 Base Saldo Inicial 08-09'!$E$2:$E$5000,'3 Base Saldo Inicial 08-09'!$A$2:$A$5000,$A55,'3 Base Saldo Inicial 08-09'!$B$2:$B$5000,$B55,'3 Base Saldo Inicial 08-09'!$C$2:$C$5000,"2008")</f>
        <v>0</v>
      </c>
    </row>
    <row r="56" customFormat="false" ht="15" hidden="false" customHeight="false" outlineLevel="0" collapsed="false">
      <c r="A56" s="155" t="s">
        <v>327</v>
      </c>
      <c r="B56" s="155" t="s">
        <v>328</v>
      </c>
      <c r="C56" s="156" t="s">
        <v>926</v>
      </c>
      <c r="D56" s="157" t="s">
        <v>65</v>
      </c>
      <c r="E56" s="158" t="n">
        <f aca="false">SUMIFS('aux Conciliação Lote'!$E$5:$E$98,'aux Conciliação Lote'!$A$5:$A$98,$A56,'aux Conciliação Lote'!$B$5:$B$98,$B56)</f>
        <v>720</v>
      </c>
      <c r="F56" s="158" t="n">
        <f aca="false">SUMIFS('aux Conciliação Lote'!$F$5:$F$98,'aux Conciliação Lote'!$A$5:$A$98,$A56,'aux Conciliação Lote'!$B$5:$B$98,$B56)</f>
        <v>240</v>
      </c>
      <c r="G56" s="158" t="n">
        <f aca="false">U56+E56-F56</f>
        <v>480</v>
      </c>
      <c r="H56" s="158" t="n">
        <f aca="false">SUMIFS('aux Conciliação Lote'!$H$5:$H$98,'aux Conciliação Lote'!$A$5:$A$98,$A56,'aux Conciliação Lote'!$B$5:$B$98,$B56)</f>
        <v>480</v>
      </c>
      <c r="I56" s="159" t="n">
        <f aca="false">ROUND(H56-G56,2)</f>
        <v>0</v>
      </c>
      <c r="J56" s="160" t="str">
        <f aca="false">IF(ABS(I56)&lt;=Parâmetros!$C$7,"Confere",IF(I56&gt;0,"Sobrando","Faltando"))</f>
        <v>Confere</v>
      </c>
      <c r="K56" s="155" t="str">
        <f aca="false">IF(J56="Confere","Sem diferença",IF(AND(J56&lt;&gt;"Confere",SUMPRODUCT(($A$14:$A$107=$A56)*($B$14:$B$107&lt;&gt;$B56)*(ABS($I$14:$I$107+$I56)&lt;=Parâmetros!$C$7))&gt;0),"Troca de lote: a mesma quantidade aparece com sinal oposto em outro lote deste SKU",IF(AND(I56&lt;0,H56=0,F56=0),"Entrou no ZBR, mas não está no estoque físico: não chegou ou foi guardado em outro lote",IF(I56&lt;0,"Estoque físico menor que o esperado: saída, ajuste ou perda não lançada no período",IF(ABS(I56-M56)&lt;=Parâmetros!$C$7,"Estoque antigo: toda a sobra está em posições sem movimento desde antes de 09/09",IF(AND(F56&gt;0,ABS(I56-F56)&lt;=Parâmetros!$C$7),"As saídas do período não baixaram o estoque físico",IF(ABS(I56-N56)&lt;=Parâmetros!$C$7,"Quantidade parada em doca, chão ou transferência: entrega ou devolução não baixada",IF(ABS(I56-M56-N56)&lt;=Parâmetros!$C$7,"Estoque antigo + quantidade em doca/chão/transferência",IF(AND(F56&gt;0,ABS(I56-M56-N56-F56)&lt;=Parâmetros!$C$7),IF(M56+N56&gt;0,"Estoque antigo/doca + saídas do período que","Saídas do período que")&amp;" não baixaram o estoque físico",IF(AND(P56&gt;0,ABS(I56-M56-N56-P56)&lt;=Parâmetros!$C$7),IF(M56+N56&gt;0,"Estoque antigo/doca + saídas","Saídas")&amp;" pelo depósito 0355 que não baixaram o estoque físico",IF(M56+N56&gt;0,"Explica em parte: estoque antigo "&amp;FIXED(M56,1)&amp;" + doca/transferência "&amp;FIXED(N56,1)&amp;"; faltam "&amp;FIXED(I56-M56-N56,1)&amp;" a explicar",IF(F56&gt;E56+U56,"Saiu mais do que entrou: havia estoque antes de 09/09 que não está no arquivo","Estoque acima do esperado: entrada não lançada ou saldo anterior ao período"))))))))))))</f>
        <v>Sem diferença</v>
      </c>
      <c r="L56" s="156" t="str">
        <f aca="false">IF(J56="Confere","Nenhum ajuste necessário",IF(LEFT(K56,5)="Troca","Transferir "&amp;FIXED(ABS(I56),1)&amp;" "&amp;D56&amp;" entre os lotes deste SKU (transferência lote a lote, mov. 309) para corrigir o lote",IF(LEFT(K56,6)="Entrou","Procurar a OT de armazenagem pendente no ZBR. Se não achar: contar e lançar ajuste de inventário de −"&amp;FIXED(ABS(I56),1)&amp;" "&amp;D56,IF(J56="Faltando","Contar o lote. Se a falta se confirmar: lançar a saída esquecida (601) ou ajuste de inventário de −"&amp;FIXED(ABS(I56),1)&amp;" "&amp;D56,IF(LEFT(K56,15)="Estoque antigo:","Confirmar no SAP o saldo de 08/09 ("&amp;FIXED(ABS(M56),1)&amp;" "&amp;D56&amp;"). Se estiver certo, não há ajuste",IF(LEFT(K56,10)="Quantidade","Confirmar ou estornar as OTs em doca/transferência ("&amp;FIXED(ABS(N56),1)&amp;" "&amp;D56&amp;"): guardar na posição ou baixar a entrega",IF(LEFT(K56,16)="Estoque antigo +","Confirmar saldo de 08/09 ("&amp;FIXED(ABS(M56),1)&amp;" "&amp;D56&amp;") e tratar as OTs em doca/transferência ("&amp;FIXED(ABS(N56),1)&amp;" "&amp;D56&amp;")",IF(ISNUMBER(SEARCH("não baixaram",K56)),"Confirmar a OT de saída (picking) das remessas para baixar "&amp;FIXED(ABS(I56-M56-N56),1)&amp;" "&amp;D56&amp;" do estoque físico"&amp;IF(M56+N56&gt;0,"; conferir também estoque antigo/doca",""),IF(LEFT(K56,7)="Explica","Confirmar saldo de 08/09 e OTs de doca; contar o lote para os "&amp;FIXED(ABS(I56-M56-N56),1)&amp;" "&amp;D56&amp;" restantes e ajustar a sobra se confirmada","Confirmar saldo de 08/09; se não existir, contar o lote e lançar ajuste de inventário de +"&amp;FIXED(ABS(I56),1)&amp;" "&amp;D56)))))))))</f>
        <v>Nenhum ajuste necessário</v>
      </c>
      <c r="M56" s="158" t="n">
        <f aca="false">MAX(0,SUMIFS('3 Base Estoque Físico'!$J$2:$J$5000,'3 Base Estoque Físico'!$A$2:$A$5000,$A56,'3 Base Estoque Físico'!$B$2:$B$5000,$B56,'3 Base Estoque Físico'!$I$2:$I$5000,"&lt;"&amp;DATE(2026,9,9))-U56)</f>
        <v>0</v>
      </c>
      <c r="N56" s="158" t="n">
        <f aca="false">SUMPRODUCT(('3 Base Estoque Físico'!$A$2:$A$5000=$A56)*('3 Base Estoque Físico'!$B$2:$B$5000=$B56)*('3 Base Estoque Físico'!$I$2:$I$5000&gt;=DATE(2026,9,9))*ISNUMBER(MATCH('3 Base Estoque Físico'!$C$2:$C$5000,{"DCK","TRF","922","FLR","DIF"},0))*'3 Base Estoque Físico'!$J$2:$J$5000)</f>
        <v>0</v>
      </c>
      <c r="O56" s="161" t="n">
        <f aca="false">IF(OR(J56="Confere",LEFT(K56,5)="Troca",ISNUMBER(SEARCH("não baixaram",K56))),0,IF(I56&gt;0,MAX(0,ROUND(I56-M56-N56,2)),I56))</f>
        <v>0</v>
      </c>
      <c r="P56" s="158" t="n">
        <f aca="false">SUMIFS('3 Base Saídas'!$R$2:$R$5000,'3 Base Saídas'!$B$2:$B$5000,$A56,'3 Base Saídas'!$C$2:$C$5000,$B56,'3 Base Saídas'!$E$2:$E$5000,"0355")</f>
        <v>0</v>
      </c>
      <c r="Q56" s="157" t="str">
        <f aca="false">IF(J56="Confere","—",IF(LEFT(K56,5)="Troca","Troca de lote",IF(LEFT(K56,6)="Entrou","Não localizado no estoque",IF(J56="Faltando","Falta sem explicação",IF(ISNUMBER(SEARCH("não baixaram",K56)),"Saída sem baixa no estoque",IF(LEFT(K56,10)="Quantidade","Doca/transferência pendente",IF(LEFT(K56,14)="Estoque antigo","Estoque anterior a 09/09",IF(LEFT(K56,7)="Explica","Sobra parcialmente explicada","Sobra sem explicação"))))))))</f>
        <v>—</v>
      </c>
      <c r="R56" s="162" t="str">
        <f aca="false">IF(J56="Confere","—",IF(OR(LEFT(K56,6)="Entrou",AND(I56&lt;0,ABS(O56)&gt;=Parâmetros!$K$6)),"Crítica",IF(OR(AND(I56&lt;0,O56&lt;&gt;0),O56&gt;=Parâmetros!$K$7),"Alta",IF(O56&gt;0,"Média","Baixa"))))</f>
        <v>—</v>
      </c>
      <c r="S56" s="157" t="str">
        <f aca="false">A56&amp;"|"&amp;B56</f>
        <v>BIG-PF-1BO-401|26093039</v>
      </c>
      <c r="T56" s="157" t="n">
        <f aca="false">IF(ABS(O56)&gt;Parâmetros!$C$7,ABS(O56)+ROW()/10000000,0)</f>
        <v>0</v>
      </c>
      <c r="U56" s="158" t="n">
        <f aca="false">SUMIFS('3 Base Saldo Inicial 08-09'!$E$2:$E$5000,'3 Base Saldo Inicial 08-09'!$A$2:$A$5000,$A56,'3 Base Saldo Inicial 08-09'!$B$2:$B$5000,$B56)-SUMIFS('3 Base Saldo Inicial 08-09'!$E$2:$E$5000,'3 Base Saldo Inicial 08-09'!$A$2:$A$5000,$A56,'3 Base Saldo Inicial 08-09'!$B$2:$B$5000,$B56,'3 Base Saldo Inicial 08-09'!$C$2:$C$5000,"2008")</f>
        <v>0</v>
      </c>
    </row>
    <row r="57" customFormat="false" ht="15" hidden="false" customHeight="false" outlineLevel="0" collapsed="false">
      <c r="A57" s="155" t="s">
        <v>327</v>
      </c>
      <c r="B57" s="155" t="s">
        <v>330</v>
      </c>
      <c r="C57" s="156" t="s">
        <v>926</v>
      </c>
      <c r="D57" s="157" t="s">
        <v>65</v>
      </c>
      <c r="E57" s="158" t="n">
        <f aca="false">SUMIFS('aux Conciliação Lote'!$E$5:$E$98,'aux Conciliação Lote'!$A$5:$A$98,$A57,'aux Conciliação Lote'!$B$5:$B$98,$B57)</f>
        <v>40</v>
      </c>
      <c r="F57" s="158" t="n">
        <f aca="false">SUMIFS('aux Conciliação Lote'!$F$5:$F$98,'aux Conciliação Lote'!$A$5:$A$98,$A57,'aux Conciliação Lote'!$B$5:$B$98,$B57)</f>
        <v>0</v>
      </c>
      <c r="G57" s="158" t="n">
        <f aca="false">U57+E57-F57</f>
        <v>40</v>
      </c>
      <c r="H57" s="158" t="n">
        <f aca="false">SUMIFS('aux Conciliação Lote'!$H$5:$H$98,'aux Conciliação Lote'!$A$5:$A$98,$A57,'aux Conciliação Lote'!$B$5:$B$98,$B57)</f>
        <v>40</v>
      </c>
      <c r="I57" s="159" t="n">
        <f aca="false">ROUND(H57-G57,2)</f>
        <v>0</v>
      </c>
      <c r="J57" s="160" t="str">
        <f aca="false">IF(ABS(I57)&lt;=Parâmetros!$C$7,"Confere",IF(I57&gt;0,"Sobrando","Faltando"))</f>
        <v>Confere</v>
      </c>
      <c r="K57" s="155" t="str">
        <f aca="false">IF(J57="Confere","Sem diferença",IF(AND(J57&lt;&gt;"Confere",SUMPRODUCT(($A$14:$A$107=$A57)*($B$14:$B$107&lt;&gt;$B57)*(ABS($I$14:$I$107+$I57)&lt;=Parâmetros!$C$7))&gt;0),"Troca de lote: a mesma quantidade aparece com sinal oposto em outro lote deste SKU",IF(AND(I57&lt;0,H57=0,F57=0),"Entrou no ZBR, mas não está no estoque físico: não chegou ou foi guardado em outro lote",IF(I57&lt;0,"Estoque físico menor que o esperado: saída, ajuste ou perda não lançada no período",IF(ABS(I57-M57)&lt;=Parâmetros!$C$7,"Estoque antigo: toda a sobra está em posições sem movimento desde antes de 09/09",IF(AND(F57&gt;0,ABS(I57-F57)&lt;=Parâmetros!$C$7),"As saídas do período não baixaram o estoque físico",IF(ABS(I57-N57)&lt;=Parâmetros!$C$7,"Quantidade parada em doca, chão ou transferência: entrega ou devolução não baixada",IF(ABS(I57-M57-N57)&lt;=Parâmetros!$C$7,"Estoque antigo + quantidade em doca/chão/transferência",IF(AND(F57&gt;0,ABS(I57-M57-N57-F57)&lt;=Parâmetros!$C$7),IF(M57+N57&gt;0,"Estoque antigo/doca + saídas do período que","Saídas do período que")&amp;" não baixaram o estoque físico",IF(AND(P57&gt;0,ABS(I57-M57-N57-P57)&lt;=Parâmetros!$C$7),IF(M57+N57&gt;0,"Estoque antigo/doca + saídas","Saídas")&amp;" pelo depósito 0355 que não baixaram o estoque físico",IF(M57+N57&gt;0,"Explica em parte: estoque antigo "&amp;FIXED(M57,1)&amp;" + doca/transferência "&amp;FIXED(N57,1)&amp;"; faltam "&amp;FIXED(I57-M57-N57,1)&amp;" a explicar",IF(F57&gt;E57+U57,"Saiu mais do que entrou: havia estoque antes de 09/09 que não está no arquivo","Estoque acima do esperado: entrada não lançada ou saldo anterior ao período"))))))))))))</f>
        <v>Sem diferença</v>
      </c>
      <c r="L57" s="156" t="str">
        <f aca="false">IF(J57="Confere","Nenhum ajuste necessário",IF(LEFT(K57,5)="Troca","Transferir "&amp;FIXED(ABS(I57),1)&amp;" "&amp;D57&amp;" entre os lotes deste SKU (transferência lote a lote, mov. 309) para corrigir o lote",IF(LEFT(K57,6)="Entrou","Procurar a OT de armazenagem pendente no ZBR. Se não achar: contar e lançar ajuste de inventário de −"&amp;FIXED(ABS(I57),1)&amp;" "&amp;D57,IF(J57="Faltando","Contar o lote. Se a falta se confirmar: lançar a saída esquecida (601) ou ajuste de inventário de −"&amp;FIXED(ABS(I57),1)&amp;" "&amp;D57,IF(LEFT(K57,15)="Estoque antigo:","Confirmar no SAP o saldo de 08/09 ("&amp;FIXED(ABS(M57),1)&amp;" "&amp;D57&amp;"). Se estiver certo, não há ajuste",IF(LEFT(K57,10)="Quantidade","Confirmar ou estornar as OTs em doca/transferência ("&amp;FIXED(ABS(N57),1)&amp;" "&amp;D57&amp;"): guardar na posição ou baixar a entrega",IF(LEFT(K57,16)="Estoque antigo +","Confirmar saldo de 08/09 ("&amp;FIXED(ABS(M57),1)&amp;" "&amp;D57&amp;") e tratar as OTs em doca/transferência ("&amp;FIXED(ABS(N57),1)&amp;" "&amp;D57&amp;")",IF(ISNUMBER(SEARCH("não baixaram",K57)),"Confirmar a OT de saída (picking) das remessas para baixar "&amp;FIXED(ABS(I57-M57-N57),1)&amp;" "&amp;D57&amp;" do estoque físico"&amp;IF(M57+N57&gt;0,"; conferir também estoque antigo/doca",""),IF(LEFT(K57,7)="Explica","Confirmar saldo de 08/09 e OTs de doca; contar o lote para os "&amp;FIXED(ABS(I57-M57-N57),1)&amp;" "&amp;D57&amp;" restantes e ajustar a sobra se confirmada","Confirmar saldo de 08/09; se não existir, contar o lote e lançar ajuste de inventário de +"&amp;FIXED(ABS(I57),1)&amp;" "&amp;D57)))))))))</f>
        <v>Nenhum ajuste necessário</v>
      </c>
      <c r="M57" s="158" t="n">
        <f aca="false">MAX(0,SUMIFS('3 Base Estoque Físico'!$J$2:$J$5000,'3 Base Estoque Físico'!$A$2:$A$5000,$A57,'3 Base Estoque Físico'!$B$2:$B$5000,$B57,'3 Base Estoque Físico'!$I$2:$I$5000,"&lt;"&amp;DATE(2026,9,9))-U57)</f>
        <v>0</v>
      </c>
      <c r="N57" s="158" t="n">
        <f aca="false">SUMPRODUCT(('3 Base Estoque Físico'!$A$2:$A$5000=$A57)*('3 Base Estoque Físico'!$B$2:$B$5000=$B57)*('3 Base Estoque Físico'!$I$2:$I$5000&gt;=DATE(2026,9,9))*ISNUMBER(MATCH('3 Base Estoque Físico'!$C$2:$C$5000,{"DCK","TRF","922","FLR","DIF"},0))*'3 Base Estoque Físico'!$J$2:$J$5000)</f>
        <v>40</v>
      </c>
      <c r="O57" s="161" t="n">
        <f aca="false">IF(OR(J57="Confere",LEFT(K57,5)="Troca",ISNUMBER(SEARCH("não baixaram",K57))),0,IF(I57&gt;0,MAX(0,ROUND(I57-M57-N57,2)),I57))</f>
        <v>0</v>
      </c>
      <c r="P57" s="158" t="n">
        <f aca="false">SUMIFS('3 Base Saídas'!$R$2:$R$5000,'3 Base Saídas'!$B$2:$B$5000,$A57,'3 Base Saídas'!$C$2:$C$5000,$B57,'3 Base Saídas'!$E$2:$E$5000,"0355")</f>
        <v>0</v>
      </c>
      <c r="Q57" s="157" t="str">
        <f aca="false">IF(J57="Confere","—",IF(LEFT(K57,5)="Troca","Troca de lote",IF(LEFT(K57,6)="Entrou","Não localizado no estoque",IF(J57="Faltando","Falta sem explicação",IF(ISNUMBER(SEARCH("não baixaram",K57)),"Saída sem baixa no estoque",IF(LEFT(K57,10)="Quantidade","Doca/transferência pendente",IF(LEFT(K57,14)="Estoque antigo","Estoque anterior a 09/09",IF(LEFT(K57,7)="Explica","Sobra parcialmente explicada","Sobra sem explicação"))))))))</f>
        <v>—</v>
      </c>
      <c r="R57" s="162" t="str">
        <f aca="false">IF(J57="Confere","—",IF(OR(LEFT(K57,6)="Entrou",AND(I57&lt;0,ABS(O57)&gt;=Parâmetros!$K$6)),"Crítica",IF(OR(AND(I57&lt;0,O57&lt;&gt;0),O57&gt;=Parâmetros!$K$7),"Alta",IF(O57&gt;0,"Média","Baixa"))))</f>
        <v>—</v>
      </c>
      <c r="S57" s="157" t="str">
        <f aca="false">A57&amp;"|"&amp;B57</f>
        <v>BIG-PF-1BO-401|26126039</v>
      </c>
      <c r="T57" s="157" t="n">
        <f aca="false">IF(ABS(O57)&gt;Parâmetros!$C$7,ABS(O57)+ROW()/10000000,0)</f>
        <v>0</v>
      </c>
      <c r="U57" s="158" t="n">
        <f aca="false">SUMIFS('3 Base Saldo Inicial 08-09'!$E$2:$E$5000,'3 Base Saldo Inicial 08-09'!$A$2:$A$5000,$A57,'3 Base Saldo Inicial 08-09'!$B$2:$B$5000,$B57)-SUMIFS('3 Base Saldo Inicial 08-09'!$E$2:$E$5000,'3 Base Saldo Inicial 08-09'!$A$2:$A$5000,$A57,'3 Base Saldo Inicial 08-09'!$B$2:$B$5000,$B57,'3 Base Saldo Inicial 08-09'!$C$2:$C$5000,"2008")</f>
        <v>0</v>
      </c>
    </row>
    <row r="58" customFormat="false" ht="15" hidden="false" customHeight="false" outlineLevel="0" collapsed="false">
      <c r="A58" s="155" t="s">
        <v>232</v>
      </c>
      <c r="B58" s="155" t="s">
        <v>233</v>
      </c>
      <c r="C58" s="156" t="s">
        <v>939</v>
      </c>
      <c r="D58" s="157" t="s">
        <v>146</v>
      </c>
      <c r="E58" s="158" t="n">
        <f aca="false">SUMIFS('aux Conciliação Lote'!$E$5:$E$98,'aux Conciliação Lote'!$A$5:$A$98,$A58,'aux Conciliação Lote'!$B$5:$B$98,$B58)</f>
        <v>2250</v>
      </c>
      <c r="F58" s="158" t="n">
        <f aca="false">SUMIFS('aux Conciliação Lote'!$F$5:$F$98,'aux Conciliação Lote'!$A$5:$A$98,$A58,'aux Conciliação Lote'!$B$5:$B$98,$B58)</f>
        <v>885</v>
      </c>
      <c r="G58" s="158" t="n">
        <f aca="false">U58+E58-F58</f>
        <v>1365</v>
      </c>
      <c r="H58" s="158" t="n">
        <f aca="false">SUMIFS('aux Conciliação Lote'!$H$5:$H$98,'aux Conciliação Lote'!$A$5:$A$98,$A58,'aux Conciliação Lote'!$B$5:$B$98,$B58)</f>
        <v>1365</v>
      </c>
      <c r="I58" s="159" t="n">
        <f aca="false">ROUND(H58-G58,2)</f>
        <v>0</v>
      </c>
      <c r="J58" s="160" t="str">
        <f aca="false">IF(ABS(I58)&lt;=Parâmetros!$C$7,"Confere",IF(I58&gt;0,"Sobrando","Faltando"))</f>
        <v>Confere</v>
      </c>
      <c r="K58" s="155" t="str">
        <f aca="false">IF(J58="Confere","Sem diferença",IF(AND(J58&lt;&gt;"Confere",SUMPRODUCT(($A$14:$A$107=$A58)*($B$14:$B$107&lt;&gt;$B58)*(ABS($I$14:$I$107+$I58)&lt;=Parâmetros!$C$7))&gt;0),"Troca de lote: a mesma quantidade aparece com sinal oposto em outro lote deste SKU",IF(AND(I58&lt;0,H58=0,F58=0),"Entrou no ZBR, mas não está no estoque físico: não chegou ou foi guardado em outro lote",IF(I58&lt;0,"Estoque físico menor que o esperado: saída, ajuste ou perda não lançada no período",IF(ABS(I58-M58)&lt;=Parâmetros!$C$7,"Estoque antigo: toda a sobra está em posições sem movimento desde antes de 09/09",IF(AND(F58&gt;0,ABS(I58-F58)&lt;=Parâmetros!$C$7),"As saídas do período não baixaram o estoque físico",IF(ABS(I58-N58)&lt;=Parâmetros!$C$7,"Quantidade parada em doca, chão ou transferência: entrega ou devolução não baixada",IF(ABS(I58-M58-N58)&lt;=Parâmetros!$C$7,"Estoque antigo + quantidade em doca/chão/transferência",IF(AND(F58&gt;0,ABS(I58-M58-N58-F58)&lt;=Parâmetros!$C$7),IF(M58+N58&gt;0,"Estoque antigo/doca + saídas do período que","Saídas do período que")&amp;" não baixaram o estoque físico",IF(AND(P58&gt;0,ABS(I58-M58-N58-P58)&lt;=Parâmetros!$C$7),IF(M58+N58&gt;0,"Estoque antigo/doca + saídas","Saídas")&amp;" pelo depósito 0355 que não baixaram o estoque físico",IF(M58+N58&gt;0,"Explica em parte: estoque antigo "&amp;FIXED(M58,1)&amp;" + doca/transferência "&amp;FIXED(N58,1)&amp;"; faltam "&amp;FIXED(I58-M58-N58,1)&amp;" a explicar",IF(F58&gt;E58+U58,"Saiu mais do que entrou: havia estoque antes de 09/09 que não está no arquivo","Estoque acima do esperado: entrada não lançada ou saldo anterior ao período"))))))))))))</f>
        <v>Sem diferença</v>
      </c>
      <c r="L58" s="156" t="str">
        <f aca="false">IF(J58="Confere","Nenhum ajuste necessário",IF(LEFT(K58,5)="Troca","Transferir "&amp;FIXED(ABS(I58),1)&amp;" "&amp;D58&amp;" entre os lotes deste SKU (transferência lote a lote, mov. 309) para corrigir o lote",IF(LEFT(K58,6)="Entrou","Procurar a OT de armazenagem pendente no ZBR. Se não achar: contar e lançar ajuste de inventário de −"&amp;FIXED(ABS(I58),1)&amp;" "&amp;D58,IF(J58="Faltando","Contar o lote. Se a falta se confirmar: lançar a saída esquecida (601) ou ajuste de inventário de −"&amp;FIXED(ABS(I58),1)&amp;" "&amp;D58,IF(LEFT(K58,15)="Estoque antigo:","Confirmar no SAP o saldo de 08/09 ("&amp;FIXED(ABS(M58),1)&amp;" "&amp;D58&amp;"). Se estiver certo, não há ajuste",IF(LEFT(K58,10)="Quantidade","Confirmar ou estornar as OTs em doca/transferência ("&amp;FIXED(ABS(N58),1)&amp;" "&amp;D58&amp;"): guardar na posição ou baixar a entrega",IF(LEFT(K58,16)="Estoque antigo +","Confirmar saldo de 08/09 ("&amp;FIXED(ABS(M58),1)&amp;" "&amp;D58&amp;") e tratar as OTs em doca/transferência ("&amp;FIXED(ABS(N58),1)&amp;" "&amp;D58&amp;")",IF(ISNUMBER(SEARCH("não baixaram",K58)),"Confirmar a OT de saída (picking) das remessas para baixar "&amp;FIXED(ABS(I58-M58-N58),1)&amp;" "&amp;D58&amp;" do estoque físico"&amp;IF(M58+N58&gt;0,"; conferir também estoque antigo/doca",""),IF(LEFT(K58,7)="Explica","Confirmar saldo de 08/09 e OTs de doca; contar o lote para os "&amp;FIXED(ABS(I58-M58-N58),1)&amp;" "&amp;D58&amp;" restantes e ajustar a sobra se confirmada","Confirmar saldo de 08/09; se não existir, contar o lote e lançar ajuste de inventário de +"&amp;FIXED(ABS(I58),1)&amp;" "&amp;D58)))))))))</f>
        <v>Nenhum ajuste necessário</v>
      </c>
      <c r="M58" s="158" t="n">
        <f aca="false">MAX(0,SUMIFS('3 Base Estoque Físico'!$J$2:$J$5000,'3 Base Estoque Físico'!$A$2:$A$5000,$A58,'3 Base Estoque Físico'!$B$2:$B$5000,$B58,'3 Base Estoque Físico'!$I$2:$I$5000,"&lt;"&amp;DATE(2026,9,9))-U58)</f>
        <v>0</v>
      </c>
      <c r="N58" s="158" t="n">
        <f aca="false">SUMPRODUCT(('3 Base Estoque Físico'!$A$2:$A$5000=$A58)*('3 Base Estoque Físico'!$B$2:$B$5000=$B58)*('3 Base Estoque Físico'!$I$2:$I$5000&gt;=DATE(2026,9,9))*ISNUMBER(MATCH('3 Base Estoque Físico'!$C$2:$C$5000,{"DCK","TRF","922","FLR","DIF"},0))*'3 Base Estoque Físico'!$J$2:$J$5000)</f>
        <v>900</v>
      </c>
      <c r="O58" s="161" t="n">
        <f aca="false">IF(OR(J58="Confere",LEFT(K58,5)="Troca",ISNUMBER(SEARCH("não baixaram",K58))),0,IF(I58&gt;0,MAX(0,ROUND(I58-M58-N58,2)),I58))</f>
        <v>0</v>
      </c>
      <c r="P58" s="158" t="n">
        <f aca="false">SUMIFS('3 Base Saídas'!$R$2:$R$5000,'3 Base Saídas'!$B$2:$B$5000,$A58,'3 Base Saídas'!$C$2:$C$5000,$B58,'3 Base Saídas'!$E$2:$E$5000,"0355")</f>
        <v>0</v>
      </c>
      <c r="Q58" s="157" t="str">
        <f aca="false">IF(J58="Confere","—",IF(LEFT(K58,5)="Troca","Troca de lote",IF(LEFT(K58,6)="Entrou","Não localizado no estoque",IF(J58="Faltando","Falta sem explicação",IF(ISNUMBER(SEARCH("não baixaram",K58)),"Saída sem baixa no estoque",IF(LEFT(K58,10)="Quantidade","Doca/transferência pendente",IF(LEFT(K58,14)="Estoque antigo","Estoque anterior a 09/09",IF(LEFT(K58,7)="Explica","Sobra parcialmente explicada","Sobra sem explicação"))))))))</f>
        <v>—</v>
      </c>
      <c r="R58" s="162" t="str">
        <f aca="false">IF(J58="Confere","—",IF(OR(LEFT(K58,6)="Entrou",AND(I58&lt;0,ABS(O58)&gt;=Parâmetros!$K$6)),"Crítica",IF(OR(AND(I58&lt;0,O58&lt;&gt;0),O58&gt;=Parâmetros!$K$7),"Alta",IF(O58&gt;0,"Média","Baixa"))))</f>
        <v>—</v>
      </c>
      <c r="S58" s="157" t="str">
        <f aca="false">A58&amp;"|"&amp;B58</f>
        <v>CHD-BB-308BY-357|2529778000</v>
      </c>
      <c r="T58" s="157" t="n">
        <f aca="false">IF(ABS(O58)&gt;Parâmetros!$C$7,ABS(O58)+ROW()/10000000,0)</f>
        <v>0</v>
      </c>
      <c r="U58" s="158" t="n">
        <f aca="false">SUMIFS('3 Base Saldo Inicial 08-09'!$E$2:$E$5000,'3 Base Saldo Inicial 08-09'!$A$2:$A$5000,$A58,'3 Base Saldo Inicial 08-09'!$B$2:$B$5000,$B58)-SUMIFS('3 Base Saldo Inicial 08-09'!$E$2:$E$5000,'3 Base Saldo Inicial 08-09'!$A$2:$A$5000,$A58,'3 Base Saldo Inicial 08-09'!$B$2:$B$5000,$B58,'3 Base Saldo Inicial 08-09'!$C$2:$C$5000,"2008")</f>
        <v>0</v>
      </c>
    </row>
    <row r="59" customFormat="false" ht="15" hidden="false" customHeight="false" outlineLevel="0" collapsed="false">
      <c r="A59" s="155" t="s">
        <v>232</v>
      </c>
      <c r="B59" s="155" t="s">
        <v>235</v>
      </c>
      <c r="C59" s="156" t="s">
        <v>939</v>
      </c>
      <c r="D59" s="157" t="s">
        <v>146</v>
      </c>
      <c r="E59" s="158" t="n">
        <f aca="false">SUMIFS('aux Conciliação Lote'!$E$5:$E$98,'aux Conciliação Lote'!$A$5:$A$98,$A59,'aux Conciliação Lote'!$B$5:$B$98,$B59)</f>
        <v>450</v>
      </c>
      <c r="F59" s="158" t="n">
        <f aca="false">SUMIFS('aux Conciliação Lote'!$F$5:$F$98,'aux Conciliação Lote'!$A$5:$A$98,$A59,'aux Conciliação Lote'!$B$5:$B$98,$B59)</f>
        <v>450</v>
      </c>
      <c r="G59" s="158" t="n">
        <f aca="false">U59+E59-F59</f>
        <v>0</v>
      </c>
      <c r="H59" s="158" t="n">
        <f aca="false">SUMIFS('aux Conciliação Lote'!$H$5:$H$98,'aux Conciliação Lote'!$A$5:$A$98,$A59,'aux Conciliação Lote'!$B$5:$B$98,$B59)</f>
        <v>0</v>
      </c>
      <c r="I59" s="159" t="n">
        <f aca="false">ROUND(H59-G59,2)</f>
        <v>0</v>
      </c>
      <c r="J59" s="160" t="str">
        <f aca="false">IF(ABS(I59)&lt;=Parâmetros!$C$7,"Confere",IF(I59&gt;0,"Sobrando","Faltando"))</f>
        <v>Confere</v>
      </c>
      <c r="K59" s="155" t="str">
        <f aca="false">IF(J59="Confere","Sem diferença",IF(AND(J59&lt;&gt;"Confere",SUMPRODUCT(($A$14:$A$107=$A59)*($B$14:$B$107&lt;&gt;$B59)*(ABS($I$14:$I$107+$I59)&lt;=Parâmetros!$C$7))&gt;0),"Troca de lote: a mesma quantidade aparece com sinal oposto em outro lote deste SKU",IF(AND(I59&lt;0,H59=0,F59=0),"Entrou no ZBR, mas não está no estoque físico: não chegou ou foi guardado em outro lote",IF(I59&lt;0,"Estoque físico menor que o esperado: saída, ajuste ou perda não lançada no período",IF(ABS(I59-M59)&lt;=Parâmetros!$C$7,"Estoque antigo: toda a sobra está em posições sem movimento desde antes de 09/09",IF(AND(F59&gt;0,ABS(I59-F59)&lt;=Parâmetros!$C$7),"As saídas do período não baixaram o estoque físico",IF(ABS(I59-N59)&lt;=Parâmetros!$C$7,"Quantidade parada em doca, chão ou transferência: entrega ou devolução não baixada",IF(ABS(I59-M59-N59)&lt;=Parâmetros!$C$7,"Estoque antigo + quantidade em doca/chão/transferência",IF(AND(F59&gt;0,ABS(I59-M59-N59-F59)&lt;=Parâmetros!$C$7),IF(M59+N59&gt;0,"Estoque antigo/doca + saídas do período que","Saídas do período que")&amp;" não baixaram o estoque físico",IF(AND(P59&gt;0,ABS(I59-M59-N59-P59)&lt;=Parâmetros!$C$7),IF(M59+N59&gt;0,"Estoque antigo/doca + saídas","Saídas")&amp;" pelo depósito 0355 que não baixaram o estoque físico",IF(M59+N59&gt;0,"Explica em parte: estoque antigo "&amp;FIXED(M59,1)&amp;" + doca/transferência "&amp;FIXED(N59,1)&amp;"; faltam "&amp;FIXED(I59-M59-N59,1)&amp;" a explicar",IF(F59&gt;E59+U59,"Saiu mais do que entrou: havia estoque antes de 09/09 que não está no arquivo","Estoque acima do esperado: entrada não lançada ou saldo anterior ao período"))))))))))))</f>
        <v>Sem diferença</v>
      </c>
      <c r="L59" s="156" t="str">
        <f aca="false">IF(J59="Confere","Nenhum ajuste necessário",IF(LEFT(K59,5)="Troca","Transferir "&amp;FIXED(ABS(I59),1)&amp;" "&amp;D59&amp;" entre os lotes deste SKU (transferência lote a lote, mov. 309) para corrigir o lote",IF(LEFT(K59,6)="Entrou","Procurar a OT de armazenagem pendente no ZBR. Se não achar: contar e lançar ajuste de inventário de −"&amp;FIXED(ABS(I59),1)&amp;" "&amp;D59,IF(J59="Faltando","Contar o lote. Se a falta se confirmar: lançar a saída esquecida (601) ou ajuste de inventário de −"&amp;FIXED(ABS(I59),1)&amp;" "&amp;D59,IF(LEFT(K59,15)="Estoque antigo:","Confirmar no SAP o saldo de 08/09 ("&amp;FIXED(ABS(M59),1)&amp;" "&amp;D59&amp;"). Se estiver certo, não há ajuste",IF(LEFT(K59,10)="Quantidade","Confirmar ou estornar as OTs em doca/transferência ("&amp;FIXED(ABS(N59),1)&amp;" "&amp;D59&amp;"): guardar na posição ou baixar a entrega",IF(LEFT(K59,16)="Estoque antigo +","Confirmar saldo de 08/09 ("&amp;FIXED(ABS(M59),1)&amp;" "&amp;D59&amp;") e tratar as OTs em doca/transferência ("&amp;FIXED(ABS(N59),1)&amp;" "&amp;D59&amp;")",IF(ISNUMBER(SEARCH("não baixaram",K59)),"Confirmar a OT de saída (picking) das remessas para baixar "&amp;FIXED(ABS(I59-M59-N59),1)&amp;" "&amp;D59&amp;" do estoque físico"&amp;IF(M59+N59&gt;0,"; conferir também estoque antigo/doca",""),IF(LEFT(K59,7)="Explica","Confirmar saldo de 08/09 e OTs de doca; contar o lote para os "&amp;FIXED(ABS(I59-M59-N59),1)&amp;" "&amp;D59&amp;" restantes e ajustar a sobra se confirmada","Confirmar saldo de 08/09; se não existir, contar o lote e lançar ajuste de inventário de +"&amp;FIXED(ABS(I59),1)&amp;" "&amp;D59)))))))))</f>
        <v>Nenhum ajuste necessário</v>
      </c>
      <c r="M59" s="158" t="n">
        <f aca="false">MAX(0,SUMIFS('3 Base Estoque Físico'!$J$2:$J$5000,'3 Base Estoque Físico'!$A$2:$A$5000,$A59,'3 Base Estoque Físico'!$B$2:$B$5000,$B59,'3 Base Estoque Físico'!$I$2:$I$5000,"&lt;"&amp;DATE(2026,9,9))-U59)</f>
        <v>0</v>
      </c>
      <c r="N59" s="158" t="n">
        <f aca="false">SUMPRODUCT(('3 Base Estoque Físico'!$A$2:$A$5000=$A59)*('3 Base Estoque Físico'!$B$2:$B$5000=$B59)*('3 Base Estoque Físico'!$I$2:$I$5000&gt;=DATE(2026,9,9))*ISNUMBER(MATCH('3 Base Estoque Físico'!$C$2:$C$5000,{"DCK","TRF","922","FLR","DIF"},0))*'3 Base Estoque Físico'!$J$2:$J$5000)</f>
        <v>0</v>
      </c>
      <c r="O59" s="161" t="n">
        <f aca="false">IF(OR(J59="Confere",LEFT(K59,5)="Troca",ISNUMBER(SEARCH("não baixaram",K59))),0,IF(I59&gt;0,MAX(0,ROUND(I59-M59-N59,2)),I59))</f>
        <v>0</v>
      </c>
      <c r="P59" s="158" t="n">
        <f aca="false">SUMIFS('3 Base Saídas'!$R$2:$R$5000,'3 Base Saídas'!$B$2:$B$5000,$A59,'3 Base Saídas'!$C$2:$C$5000,$B59,'3 Base Saídas'!$E$2:$E$5000,"0355")</f>
        <v>0</v>
      </c>
      <c r="Q59" s="157" t="str">
        <f aca="false">IF(J59="Confere","—",IF(LEFT(K59,5)="Troca","Troca de lote",IF(LEFT(K59,6)="Entrou","Não localizado no estoque",IF(J59="Faltando","Falta sem explicação",IF(ISNUMBER(SEARCH("não baixaram",K59)),"Saída sem baixa no estoque",IF(LEFT(K59,10)="Quantidade","Doca/transferência pendente",IF(LEFT(K59,14)="Estoque antigo","Estoque anterior a 09/09",IF(LEFT(K59,7)="Explica","Sobra parcialmente explicada","Sobra sem explicação"))))))))</f>
        <v>—</v>
      </c>
      <c r="R59" s="162" t="str">
        <f aca="false">IF(J59="Confere","—",IF(OR(LEFT(K59,6)="Entrou",AND(I59&lt;0,ABS(O59)&gt;=Parâmetros!$K$6)),"Crítica",IF(OR(AND(I59&lt;0,O59&lt;&gt;0),O59&gt;=Parâmetros!$K$7),"Alta",IF(O59&gt;0,"Média","Baixa"))))</f>
        <v>—</v>
      </c>
      <c r="S59" s="157" t="str">
        <f aca="false">A59&amp;"|"&amp;B59</f>
        <v>CHD-BB-308BY-357|2609078000</v>
      </c>
      <c r="T59" s="157" t="n">
        <f aca="false">IF(ABS(O59)&gt;Parâmetros!$C$7,ABS(O59)+ROW()/10000000,0)</f>
        <v>0</v>
      </c>
      <c r="U59" s="158" t="n">
        <f aca="false">SUMIFS('3 Base Saldo Inicial 08-09'!$E$2:$E$5000,'3 Base Saldo Inicial 08-09'!$A$2:$A$5000,$A59,'3 Base Saldo Inicial 08-09'!$B$2:$B$5000,$B59)-SUMIFS('3 Base Saldo Inicial 08-09'!$E$2:$E$5000,'3 Base Saldo Inicial 08-09'!$A$2:$A$5000,$A59,'3 Base Saldo Inicial 08-09'!$B$2:$B$5000,$B59,'3 Base Saldo Inicial 08-09'!$C$2:$C$5000,"2008")</f>
        <v>0</v>
      </c>
    </row>
    <row r="60" customFormat="false" ht="15" hidden="false" customHeight="false" outlineLevel="0" collapsed="false">
      <c r="A60" s="155" t="s">
        <v>232</v>
      </c>
      <c r="B60" s="155" t="s">
        <v>334</v>
      </c>
      <c r="C60" s="156" t="s">
        <v>939</v>
      </c>
      <c r="D60" s="157" t="s">
        <v>146</v>
      </c>
      <c r="E60" s="158" t="n">
        <f aca="false">SUMIFS('aux Conciliação Lote'!$E$5:$E$98,'aux Conciliação Lote'!$A$5:$A$98,$A60,'aux Conciliação Lote'!$B$5:$B$98,$B60)</f>
        <v>900</v>
      </c>
      <c r="F60" s="158" t="n">
        <f aca="false">SUMIFS('aux Conciliação Lote'!$F$5:$F$98,'aux Conciliação Lote'!$A$5:$A$98,$A60,'aux Conciliação Lote'!$B$5:$B$98,$B60)</f>
        <v>840</v>
      </c>
      <c r="G60" s="158" t="n">
        <f aca="false">U60+E60-F60</f>
        <v>60</v>
      </c>
      <c r="H60" s="158" t="n">
        <f aca="false">SUMIFS('aux Conciliação Lote'!$H$5:$H$98,'aux Conciliação Lote'!$A$5:$A$98,$A60,'aux Conciliação Lote'!$B$5:$B$98,$B60)</f>
        <v>60</v>
      </c>
      <c r="I60" s="159" t="n">
        <f aca="false">ROUND(H60-G60,2)</f>
        <v>0</v>
      </c>
      <c r="J60" s="160" t="str">
        <f aca="false">IF(ABS(I60)&lt;=Parâmetros!$C$7,"Confere",IF(I60&gt;0,"Sobrando","Faltando"))</f>
        <v>Confere</v>
      </c>
      <c r="K60" s="155" t="str">
        <f aca="false">IF(J60="Confere","Sem diferença",IF(AND(J60&lt;&gt;"Confere",SUMPRODUCT(($A$14:$A$107=$A60)*($B$14:$B$107&lt;&gt;$B60)*(ABS($I$14:$I$107+$I60)&lt;=Parâmetros!$C$7))&gt;0),"Troca de lote: a mesma quantidade aparece com sinal oposto em outro lote deste SKU",IF(AND(I60&lt;0,H60=0,F60=0),"Entrou no ZBR, mas não está no estoque físico: não chegou ou foi guardado em outro lote",IF(I60&lt;0,"Estoque físico menor que o esperado: saída, ajuste ou perda não lançada no período",IF(ABS(I60-M60)&lt;=Parâmetros!$C$7,"Estoque antigo: toda a sobra está em posições sem movimento desde antes de 09/09",IF(AND(F60&gt;0,ABS(I60-F60)&lt;=Parâmetros!$C$7),"As saídas do período não baixaram o estoque físico",IF(ABS(I60-N60)&lt;=Parâmetros!$C$7,"Quantidade parada em doca, chão ou transferência: entrega ou devolução não baixada",IF(ABS(I60-M60-N60)&lt;=Parâmetros!$C$7,"Estoque antigo + quantidade em doca/chão/transferência",IF(AND(F60&gt;0,ABS(I60-M60-N60-F60)&lt;=Parâmetros!$C$7),IF(M60+N60&gt;0,"Estoque antigo/doca + saídas do período que","Saídas do período que")&amp;" não baixaram o estoque físico",IF(AND(P60&gt;0,ABS(I60-M60-N60-P60)&lt;=Parâmetros!$C$7),IF(M60+N60&gt;0,"Estoque antigo/doca + saídas","Saídas")&amp;" pelo depósito 0355 que não baixaram o estoque físico",IF(M60+N60&gt;0,"Explica em parte: estoque antigo "&amp;FIXED(M60,1)&amp;" + doca/transferência "&amp;FIXED(N60,1)&amp;"; faltam "&amp;FIXED(I60-M60-N60,1)&amp;" a explicar",IF(F60&gt;E60+U60,"Saiu mais do que entrou: havia estoque antes de 09/09 que não está no arquivo","Estoque acima do esperado: entrada não lançada ou saldo anterior ao período"))))))))))))</f>
        <v>Sem diferença</v>
      </c>
      <c r="L60" s="156" t="str">
        <f aca="false">IF(J60="Confere","Nenhum ajuste necessário",IF(LEFT(K60,5)="Troca","Transferir "&amp;FIXED(ABS(I60),1)&amp;" "&amp;D60&amp;" entre os lotes deste SKU (transferência lote a lote, mov. 309) para corrigir o lote",IF(LEFT(K60,6)="Entrou","Procurar a OT de armazenagem pendente no ZBR. Se não achar: contar e lançar ajuste de inventário de −"&amp;FIXED(ABS(I60),1)&amp;" "&amp;D60,IF(J60="Faltando","Contar o lote. Se a falta se confirmar: lançar a saída esquecida (601) ou ajuste de inventário de −"&amp;FIXED(ABS(I60),1)&amp;" "&amp;D60,IF(LEFT(K60,15)="Estoque antigo:","Confirmar no SAP o saldo de 08/09 ("&amp;FIXED(ABS(M60),1)&amp;" "&amp;D60&amp;"). Se estiver certo, não há ajuste",IF(LEFT(K60,10)="Quantidade","Confirmar ou estornar as OTs em doca/transferência ("&amp;FIXED(ABS(N60),1)&amp;" "&amp;D60&amp;"): guardar na posição ou baixar a entrega",IF(LEFT(K60,16)="Estoque antigo +","Confirmar saldo de 08/09 ("&amp;FIXED(ABS(M60),1)&amp;" "&amp;D60&amp;") e tratar as OTs em doca/transferência ("&amp;FIXED(ABS(N60),1)&amp;" "&amp;D60&amp;")",IF(ISNUMBER(SEARCH("não baixaram",K60)),"Confirmar a OT de saída (picking) das remessas para baixar "&amp;FIXED(ABS(I60-M60-N60),1)&amp;" "&amp;D60&amp;" do estoque físico"&amp;IF(M60+N60&gt;0,"; conferir também estoque antigo/doca",""),IF(LEFT(K60,7)="Explica","Confirmar saldo de 08/09 e OTs de doca; contar o lote para os "&amp;FIXED(ABS(I60-M60-N60),1)&amp;" "&amp;D60&amp;" restantes e ajustar a sobra se confirmada","Confirmar saldo de 08/09; se não existir, contar o lote e lançar ajuste de inventário de +"&amp;FIXED(ABS(I60),1)&amp;" "&amp;D60)))))))))</f>
        <v>Nenhum ajuste necessário</v>
      </c>
      <c r="M60" s="158" t="n">
        <f aca="false">MAX(0,SUMIFS('3 Base Estoque Físico'!$J$2:$J$5000,'3 Base Estoque Físico'!$A$2:$A$5000,$A60,'3 Base Estoque Físico'!$B$2:$B$5000,$B60,'3 Base Estoque Físico'!$I$2:$I$5000,"&lt;"&amp;DATE(2026,9,9))-U60)</f>
        <v>0</v>
      </c>
      <c r="N60" s="158" t="n">
        <f aca="false">SUMPRODUCT(('3 Base Estoque Físico'!$A$2:$A$5000=$A60)*('3 Base Estoque Físico'!$B$2:$B$5000=$B60)*('3 Base Estoque Físico'!$I$2:$I$5000&gt;=DATE(2026,9,9))*ISNUMBER(MATCH('3 Base Estoque Físico'!$C$2:$C$5000,{"DCK","TRF","922","FLR","DIF"},0))*'3 Base Estoque Físico'!$J$2:$J$5000)</f>
        <v>0</v>
      </c>
      <c r="O60" s="161" t="n">
        <f aca="false">IF(OR(J60="Confere",LEFT(K60,5)="Troca",ISNUMBER(SEARCH("não baixaram",K60))),0,IF(I60&gt;0,MAX(0,ROUND(I60-M60-N60,2)),I60))</f>
        <v>0</v>
      </c>
      <c r="P60" s="158" t="n">
        <f aca="false">SUMIFS('3 Base Saídas'!$R$2:$R$5000,'3 Base Saídas'!$B$2:$B$5000,$A60,'3 Base Saídas'!$C$2:$C$5000,$B60,'3 Base Saídas'!$E$2:$E$5000,"0355")</f>
        <v>0</v>
      </c>
      <c r="Q60" s="157" t="str">
        <f aca="false">IF(J60="Confere","—",IF(LEFT(K60,5)="Troca","Troca de lote",IF(LEFT(K60,6)="Entrou","Não localizado no estoque",IF(J60="Faltando","Falta sem explicação",IF(ISNUMBER(SEARCH("não baixaram",K60)),"Saída sem baixa no estoque",IF(LEFT(K60,10)="Quantidade","Doca/transferência pendente",IF(LEFT(K60,14)="Estoque antigo","Estoque anterior a 09/09",IF(LEFT(K60,7)="Explica","Sobra parcialmente explicada","Sobra sem explicação"))))))))</f>
        <v>—</v>
      </c>
      <c r="R60" s="162" t="str">
        <f aca="false">IF(J60="Confere","—",IF(OR(LEFT(K60,6)="Entrou",AND(I60&lt;0,ABS(O60)&gt;=Parâmetros!$K$6)),"Crítica",IF(OR(AND(I60&lt;0,O60&lt;&gt;0),O60&gt;=Parâmetros!$K$7),"Alta",IF(O60&gt;0,"Média","Baixa"))))</f>
        <v>—</v>
      </c>
      <c r="S60" s="157" t="str">
        <f aca="false">A60&amp;"|"&amp;B60</f>
        <v>CHD-BB-308BY-357|2609178000</v>
      </c>
      <c r="T60" s="157" t="n">
        <f aca="false">IF(ABS(O60)&gt;Parâmetros!$C$7,ABS(O60)+ROW()/10000000,0)</f>
        <v>0</v>
      </c>
      <c r="U60" s="158" t="n">
        <f aca="false">SUMIFS('3 Base Saldo Inicial 08-09'!$E$2:$E$5000,'3 Base Saldo Inicial 08-09'!$A$2:$A$5000,$A60,'3 Base Saldo Inicial 08-09'!$B$2:$B$5000,$B60)-SUMIFS('3 Base Saldo Inicial 08-09'!$E$2:$E$5000,'3 Base Saldo Inicial 08-09'!$A$2:$A$5000,$A60,'3 Base Saldo Inicial 08-09'!$B$2:$B$5000,$B60,'3 Base Saldo Inicial 08-09'!$C$2:$C$5000,"2008")</f>
        <v>0</v>
      </c>
    </row>
    <row r="61" customFormat="false" ht="15" hidden="false" customHeight="false" outlineLevel="0" collapsed="false">
      <c r="A61" s="155" t="s">
        <v>243</v>
      </c>
      <c r="B61" s="155" t="s">
        <v>244</v>
      </c>
      <c r="C61" s="156" t="s">
        <v>1052</v>
      </c>
      <c r="D61" s="157" t="s">
        <v>65</v>
      </c>
      <c r="E61" s="158" t="n">
        <f aca="false">SUMIFS('aux Conciliação Lote'!$E$5:$E$98,'aux Conciliação Lote'!$A$5:$A$98,$A61,'aux Conciliação Lote'!$B$5:$B$98,$B61)</f>
        <v>648</v>
      </c>
      <c r="F61" s="158" t="n">
        <f aca="false">SUMIFS('aux Conciliação Lote'!$F$5:$F$98,'aux Conciliação Lote'!$A$5:$A$98,$A61,'aux Conciliação Lote'!$B$5:$B$98,$B61)</f>
        <v>54</v>
      </c>
      <c r="G61" s="158" t="n">
        <f aca="false">U61+E61-F61</f>
        <v>594</v>
      </c>
      <c r="H61" s="158" t="n">
        <f aca="false">SUMIFS('aux Conciliação Lote'!$H$5:$H$98,'aux Conciliação Lote'!$A$5:$A$98,$A61,'aux Conciliação Lote'!$B$5:$B$98,$B61)</f>
        <v>594</v>
      </c>
      <c r="I61" s="159" t="n">
        <f aca="false">ROUND(H61-G61,2)</f>
        <v>0</v>
      </c>
      <c r="J61" s="160" t="str">
        <f aca="false">IF(ABS(I61)&lt;=Parâmetros!$C$7,"Confere",IF(I61&gt;0,"Sobrando","Faltando"))</f>
        <v>Confere</v>
      </c>
      <c r="K61" s="155" t="str">
        <f aca="false">IF(J61="Confere","Sem diferença",IF(AND(J61&lt;&gt;"Confere",SUMPRODUCT(($A$14:$A$107=$A61)*($B$14:$B$107&lt;&gt;$B61)*(ABS($I$14:$I$107+$I61)&lt;=Parâmetros!$C$7))&gt;0),"Troca de lote: a mesma quantidade aparece com sinal oposto em outro lote deste SKU",IF(AND(I61&lt;0,H61=0,F61=0),"Entrou no ZBR, mas não está no estoque físico: não chegou ou foi guardado em outro lote",IF(I61&lt;0,"Estoque físico menor que o esperado: saída, ajuste ou perda não lançada no período",IF(ABS(I61-M61)&lt;=Parâmetros!$C$7,"Estoque antigo: toda a sobra está em posições sem movimento desde antes de 09/09",IF(AND(F61&gt;0,ABS(I61-F61)&lt;=Parâmetros!$C$7),"As saídas do período não baixaram o estoque físico",IF(ABS(I61-N61)&lt;=Parâmetros!$C$7,"Quantidade parada em doca, chão ou transferência: entrega ou devolução não baixada",IF(ABS(I61-M61-N61)&lt;=Parâmetros!$C$7,"Estoque antigo + quantidade em doca/chão/transferência",IF(AND(F61&gt;0,ABS(I61-M61-N61-F61)&lt;=Parâmetros!$C$7),IF(M61+N61&gt;0,"Estoque antigo/doca + saídas do período que","Saídas do período que")&amp;" não baixaram o estoque físico",IF(AND(P61&gt;0,ABS(I61-M61-N61-P61)&lt;=Parâmetros!$C$7),IF(M61+N61&gt;0,"Estoque antigo/doca + saídas","Saídas")&amp;" pelo depósito 0355 que não baixaram o estoque físico",IF(M61+N61&gt;0,"Explica em parte: estoque antigo "&amp;FIXED(M61,1)&amp;" + doca/transferência "&amp;FIXED(N61,1)&amp;"; faltam "&amp;FIXED(I61-M61-N61,1)&amp;" a explicar",IF(F61&gt;E61+U61,"Saiu mais do que entrou: havia estoque antes de 09/09 que não está no arquivo","Estoque acima do esperado: entrada não lançada ou saldo anterior ao período"))))))))))))</f>
        <v>Sem diferença</v>
      </c>
      <c r="L61" s="156" t="str">
        <f aca="false">IF(J61="Confere","Nenhum ajuste necessário",IF(LEFT(K61,5)="Troca","Transferir "&amp;FIXED(ABS(I61),1)&amp;" "&amp;D61&amp;" entre os lotes deste SKU (transferência lote a lote, mov. 309) para corrigir o lote",IF(LEFT(K61,6)="Entrou","Procurar a OT de armazenagem pendente no ZBR. Se não achar: contar e lançar ajuste de inventário de −"&amp;FIXED(ABS(I61),1)&amp;" "&amp;D61,IF(J61="Faltando","Contar o lote. Se a falta se confirmar: lançar a saída esquecida (601) ou ajuste de inventário de −"&amp;FIXED(ABS(I61),1)&amp;" "&amp;D61,IF(LEFT(K61,15)="Estoque antigo:","Confirmar no SAP o saldo de 08/09 ("&amp;FIXED(ABS(M61),1)&amp;" "&amp;D61&amp;"). Se estiver certo, não há ajuste",IF(LEFT(K61,10)="Quantidade","Confirmar ou estornar as OTs em doca/transferência ("&amp;FIXED(ABS(N61),1)&amp;" "&amp;D61&amp;"): guardar na posição ou baixar a entrega",IF(LEFT(K61,16)="Estoque antigo +","Confirmar saldo de 08/09 ("&amp;FIXED(ABS(M61),1)&amp;" "&amp;D61&amp;") e tratar as OTs em doca/transferência ("&amp;FIXED(ABS(N61),1)&amp;" "&amp;D61&amp;")",IF(ISNUMBER(SEARCH("não baixaram",K61)),"Confirmar a OT de saída (picking) das remessas para baixar "&amp;FIXED(ABS(I61-M61-N61),1)&amp;" "&amp;D61&amp;" do estoque físico"&amp;IF(M61+N61&gt;0,"; conferir também estoque antigo/doca",""),IF(LEFT(K61,7)="Explica","Confirmar saldo de 08/09 e OTs de doca; contar o lote para os "&amp;FIXED(ABS(I61-M61-N61),1)&amp;" "&amp;D61&amp;" restantes e ajustar a sobra se confirmada","Confirmar saldo de 08/09; se não existir, contar o lote e lançar ajuste de inventário de +"&amp;FIXED(ABS(I61),1)&amp;" "&amp;D61)))))))))</f>
        <v>Nenhum ajuste necessário</v>
      </c>
      <c r="M61" s="158" t="n">
        <f aca="false">MAX(0,SUMIFS('3 Base Estoque Físico'!$J$2:$J$5000,'3 Base Estoque Físico'!$A$2:$A$5000,$A61,'3 Base Estoque Físico'!$B$2:$B$5000,$B61,'3 Base Estoque Físico'!$I$2:$I$5000,"&lt;"&amp;DATE(2026,9,9))-U61)</f>
        <v>0</v>
      </c>
      <c r="N61" s="158" t="n">
        <f aca="false">SUMPRODUCT(('3 Base Estoque Físico'!$A$2:$A$5000=$A61)*('3 Base Estoque Físico'!$B$2:$B$5000=$B61)*('3 Base Estoque Físico'!$I$2:$I$5000&gt;=DATE(2026,9,9))*ISNUMBER(MATCH('3 Base Estoque Físico'!$C$2:$C$5000,{"DCK","TRF","922","FLR","DIF"},0))*'3 Base Estoque Físico'!$J$2:$J$5000)</f>
        <v>0</v>
      </c>
      <c r="O61" s="161" t="n">
        <f aca="false">IF(OR(J61="Confere",LEFT(K61,5)="Troca",ISNUMBER(SEARCH("não baixaram",K61))),0,IF(I61&gt;0,MAX(0,ROUND(I61-M61-N61,2)),I61))</f>
        <v>0</v>
      </c>
      <c r="P61" s="158" t="n">
        <f aca="false">SUMIFS('3 Base Saídas'!$R$2:$R$5000,'3 Base Saídas'!$B$2:$B$5000,$A61,'3 Base Saídas'!$C$2:$C$5000,$B61,'3 Base Saídas'!$E$2:$E$5000,"0355")</f>
        <v>0</v>
      </c>
      <c r="Q61" s="157" t="str">
        <f aca="false">IF(J61="Confere","—",IF(LEFT(K61,5)="Troca","Troca de lote",IF(LEFT(K61,6)="Entrou","Não localizado no estoque",IF(J61="Faltando","Falta sem explicação",IF(ISNUMBER(SEARCH("não baixaram",K61)),"Saída sem baixa no estoque",IF(LEFT(K61,10)="Quantidade","Doca/transferência pendente",IF(LEFT(K61,14)="Estoque antigo","Estoque anterior a 09/09",IF(LEFT(K61,7)="Explica","Sobra parcialmente explicada","Sobra sem explicação"))))))))</f>
        <v>—</v>
      </c>
      <c r="R61" s="162" t="str">
        <f aca="false">IF(J61="Confere","—",IF(OR(LEFT(K61,6)="Entrou",AND(I61&lt;0,ABS(O61)&gt;=Parâmetros!$K$6)),"Crítica",IF(OR(AND(I61&lt;0,O61&lt;&gt;0),O61&gt;=Parâmetros!$K$7),"Alta",IF(O61&gt;0,"Média","Baixa"))))</f>
        <v>—</v>
      </c>
      <c r="S61" s="157" t="str">
        <f aca="false">A61&amp;"|"&amp;B61</f>
        <v>CHD-DR-75Y5-E1-U68|252810301</v>
      </c>
      <c r="T61" s="157" t="n">
        <f aca="false">IF(ABS(O61)&gt;Parâmetros!$C$7,ABS(O61)+ROW()/10000000,0)</f>
        <v>0</v>
      </c>
      <c r="U61" s="158" t="n">
        <f aca="false">SUMIFS('3 Base Saldo Inicial 08-09'!$E$2:$E$5000,'3 Base Saldo Inicial 08-09'!$A$2:$A$5000,$A61,'3 Base Saldo Inicial 08-09'!$B$2:$B$5000,$B61)-SUMIFS('3 Base Saldo Inicial 08-09'!$E$2:$E$5000,'3 Base Saldo Inicial 08-09'!$A$2:$A$5000,$A61,'3 Base Saldo Inicial 08-09'!$B$2:$B$5000,$B61,'3 Base Saldo Inicial 08-09'!$C$2:$C$5000,"2008")</f>
        <v>0</v>
      </c>
    </row>
    <row r="62" customFormat="false" ht="15" hidden="false" customHeight="false" outlineLevel="0" collapsed="false">
      <c r="A62" s="155" t="s">
        <v>336</v>
      </c>
      <c r="B62" s="155" t="s">
        <v>337</v>
      </c>
      <c r="C62" s="156"/>
      <c r="D62" s="157" t="s">
        <v>65</v>
      </c>
      <c r="E62" s="158" t="n">
        <f aca="false">SUMIFS('aux Conciliação Lote'!$E$5:$E$98,'aux Conciliação Lote'!$A$5:$A$98,$A62,'aux Conciliação Lote'!$B$5:$B$98,$B62)</f>
        <v>0</v>
      </c>
      <c r="F62" s="158" t="n">
        <f aca="false">SUMIFS('aux Conciliação Lote'!$F$5:$F$98,'aux Conciliação Lote'!$A$5:$A$98,$A62,'aux Conciliação Lote'!$B$5:$B$98,$B62)</f>
        <v>0</v>
      </c>
      <c r="G62" s="158" t="n">
        <f aca="false">U62+E62-F62</f>
        <v>0</v>
      </c>
      <c r="H62" s="158" t="n">
        <f aca="false">SUMIFS('aux Conciliação Lote'!$H$5:$H$98,'aux Conciliação Lote'!$A$5:$A$98,$A62,'aux Conciliação Lote'!$B$5:$B$98,$B62)</f>
        <v>0</v>
      </c>
      <c r="I62" s="159" t="n">
        <f aca="false">ROUND(H62-G62,2)</f>
        <v>0</v>
      </c>
      <c r="J62" s="160" t="str">
        <f aca="false">IF(ABS(I62)&lt;=Parâmetros!$C$7,"Confere",IF(I62&gt;0,"Sobrando","Faltando"))</f>
        <v>Confere</v>
      </c>
      <c r="K62" s="155" t="str">
        <f aca="false">IF(J62="Confere","Sem diferença",IF(AND(J62&lt;&gt;"Confere",SUMPRODUCT(($A$14:$A$107=$A62)*($B$14:$B$107&lt;&gt;$B62)*(ABS($I$14:$I$107+$I62)&lt;=Parâmetros!$C$7))&gt;0),"Troca de lote: a mesma quantidade aparece com sinal oposto em outro lote deste SKU",IF(AND(I62&lt;0,H62=0,F62=0),"Entrou no ZBR, mas não está no estoque físico: não chegou ou foi guardado em outro lote",IF(I62&lt;0,"Estoque físico menor que o esperado: saída, ajuste ou perda não lançada no período",IF(ABS(I62-M62)&lt;=Parâmetros!$C$7,"Estoque antigo: toda a sobra está em posições sem movimento desde antes de 09/09",IF(AND(F62&gt;0,ABS(I62-F62)&lt;=Parâmetros!$C$7),"As saídas do período não baixaram o estoque físico",IF(ABS(I62-N62)&lt;=Parâmetros!$C$7,"Quantidade parada em doca, chão ou transferência: entrega ou devolução não baixada",IF(ABS(I62-M62-N62)&lt;=Parâmetros!$C$7,"Estoque antigo + quantidade em doca/chão/transferência",IF(AND(F62&gt;0,ABS(I62-M62-N62-F62)&lt;=Parâmetros!$C$7),IF(M62+N62&gt;0,"Estoque antigo/doca + saídas do período que","Saídas do período que")&amp;" não baixaram o estoque físico",IF(AND(P62&gt;0,ABS(I62-M62-N62-P62)&lt;=Parâmetros!$C$7),IF(M62+N62&gt;0,"Estoque antigo/doca + saídas","Saídas")&amp;" pelo depósito 0355 que não baixaram o estoque físico",IF(M62+N62&gt;0,"Explica em parte: estoque antigo "&amp;FIXED(M62,1)&amp;" + doca/transferência "&amp;FIXED(N62,1)&amp;"; faltam "&amp;FIXED(I62-M62-N62,1)&amp;" a explicar",IF(F62&gt;E62+U62,"Saiu mais do que entrou: havia estoque antes de 09/09 que não está no arquivo","Estoque acima do esperado: entrada não lançada ou saldo anterior ao período"))))))))))))</f>
        <v>Sem diferença</v>
      </c>
      <c r="L62" s="156" t="str">
        <f aca="false">IF(J62="Confere","Nenhum ajuste necessário",IF(LEFT(K62,5)="Troca","Transferir "&amp;FIXED(ABS(I62),1)&amp;" "&amp;D62&amp;" entre os lotes deste SKU (transferência lote a lote, mov. 309) para corrigir o lote",IF(LEFT(K62,6)="Entrou","Procurar a OT de armazenagem pendente no ZBR. Se não achar: contar e lançar ajuste de inventário de −"&amp;FIXED(ABS(I62),1)&amp;" "&amp;D62,IF(J62="Faltando","Contar o lote. Se a falta se confirmar: lançar a saída esquecida (601) ou ajuste de inventário de −"&amp;FIXED(ABS(I62),1)&amp;" "&amp;D62,IF(LEFT(K62,15)="Estoque antigo:","Confirmar no SAP o saldo de 08/09 ("&amp;FIXED(ABS(M62),1)&amp;" "&amp;D62&amp;"). Se estiver certo, não há ajuste",IF(LEFT(K62,10)="Quantidade","Confirmar ou estornar as OTs em doca/transferência ("&amp;FIXED(ABS(N62),1)&amp;" "&amp;D62&amp;"): guardar na posição ou baixar a entrega",IF(LEFT(K62,16)="Estoque antigo +","Confirmar saldo de 08/09 ("&amp;FIXED(ABS(M62),1)&amp;" "&amp;D62&amp;") e tratar as OTs em doca/transferência ("&amp;FIXED(ABS(N62),1)&amp;" "&amp;D62&amp;")",IF(ISNUMBER(SEARCH("não baixaram",K62)),"Confirmar a OT de saída (picking) das remessas para baixar "&amp;FIXED(ABS(I62-M62-N62),1)&amp;" "&amp;D62&amp;" do estoque físico"&amp;IF(M62+N62&gt;0,"; conferir também estoque antigo/doca",""),IF(LEFT(K62,7)="Explica","Confirmar saldo de 08/09 e OTs de doca; contar o lote para os "&amp;FIXED(ABS(I62-M62-N62),1)&amp;" "&amp;D62&amp;" restantes e ajustar a sobra se confirmada","Confirmar saldo de 08/09; se não existir, contar o lote e lançar ajuste de inventário de +"&amp;FIXED(ABS(I62),1)&amp;" "&amp;D62)))))))))</f>
        <v>Nenhum ajuste necessário</v>
      </c>
      <c r="M62" s="158" t="n">
        <f aca="false">MAX(0,SUMIFS('3 Base Estoque Físico'!$J$2:$J$5000,'3 Base Estoque Físico'!$A$2:$A$5000,$A62,'3 Base Estoque Físico'!$B$2:$B$5000,$B62,'3 Base Estoque Físico'!$I$2:$I$5000,"&lt;"&amp;DATE(2026,9,9))-U62)</f>
        <v>0</v>
      </c>
      <c r="N62" s="158" t="n">
        <f aca="false">SUMPRODUCT(('3 Base Estoque Físico'!$A$2:$A$5000=$A62)*('3 Base Estoque Físico'!$B$2:$B$5000=$B62)*('3 Base Estoque Físico'!$I$2:$I$5000&gt;=DATE(2026,9,9))*ISNUMBER(MATCH('3 Base Estoque Físico'!$C$2:$C$5000,{"DCK","TRF","922","FLR","DIF"},0))*'3 Base Estoque Físico'!$J$2:$J$5000)</f>
        <v>0</v>
      </c>
      <c r="O62" s="161" t="n">
        <f aca="false">IF(OR(J62="Confere",LEFT(K62,5)="Troca",ISNUMBER(SEARCH("não baixaram",K62))),0,IF(I62&gt;0,MAX(0,ROUND(I62-M62-N62,2)),I62))</f>
        <v>0</v>
      </c>
      <c r="P62" s="158" t="n">
        <f aca="false">SUMIFS('3 Base Saídas'!$R$2:$R$5000,'3 Base Saídas'!$B$2:$B$5000,$A62,'3 Base Saídas'!$C$2:$C$5000,$B62,'3 Base Saídas'!$E$2:$E$5000,"0355")</f>
        <v>0</v>
      </c>
      <c r="Q62" s="157" t="str">
        <f aca="false">IF(J62="Confere","—",IF(LEFT(K62,5)="Troca","Troca de lote",IF(LEFT(K62,6)="Entrou","Não localizado no estoque",IF(J62="Faltando","Falta sem explicação",IF(ISNUMBER(SEARCH("não baixaram",K62)),"Saída sem baixa no estoque",IF(LEFT(K62,10)="Quantidade","Doca/transferência pendente",IF(LEFT(K62,14)="Estoque antigo","Estoque anterior a 09/09",IF(LEFT(K62,7)="Explica","Sobra parcialmente explicada","Sobra sem explicação"))))))))</f>
        <v>—</v>
      </c>
      <c r="R62" s="162" t="str">
        <f aca="false">IF(J62="Confere","—",IF(OR(LEFT(K62,6)="Entrou",AND(I62&lt;0,ABS(O62)&gt;=Parâmetros!$K$6)),"Crítica",IF(OR(AND(I62&lt;0,O62&lt;&gt;0),O62&gt;=Parâmetros!$K$7),"Alta",IF(O62&gt;0,"Média","Baixa"))))</f>
        <v>—</v>
      </c>
      <c r="S62" s="157" t="str">
        <f aca="false">A62&amp;"|"&amp;B62</f>
        <v>CHD-SP-1M-2B-U77|260880101</v>
      </c>
      <c r="T62" s="157" t="n">
        <f aca="false">IF(ABS(O62)&gt;Parâmetros!$C$7,ABS(O62)+ROW()/10000000,0)</f>
        <v>0</v>
      </c>
      <c r="U62" s="158" t="n">
        <f aca="false">SUMIFS('3 Base Saldo Inicial 08-09'!$E$2:$E$5000,'3 Base Saldo Inicial 08-09'!$A$2:$A$5000,$A62,'3 Base Saldo Inicial 08-09'!$B$2:$B$5000,$B62)-SUMIFS('3 Base Saldo Inicial 08-09'!$E$2:$E$5000,'3 Base Saldo Inicial 08-09'!$A$2:$A$5000,$A62,'3 Base Saldo Inicial 08-09'!$B$2:$B$5000,$B62,'3 Base Saldo Inicial 08-09'!$C$2:$C$5000,"2008")</f>
        <v>0</v>
      </c>
    </row>
    <row r="63" customFormat="false" ht="15" hidden="false" customHeight="false" outlineLevel="0" collapsed="false">
      <c r="A63" s="155" t="s">
        <v>338</v>
      </c>
      <c r="B63" s="155" t="s">
        <v>340</v>
      </c>
      <c r="C63" s="156"/>
      <c r="D63" s="157" t="s">
        <v>65</v>
      </c>
      <c r="E63" s="158" t="n">
        <f aca="false">SUMIFS('aux Conciliação Lote'!$E$5:$E$98,'aux Conciliação Lote'!$A$5:$A$98,$A63,'aux Conciliação Lote'!$B$5:$B$98,$B63)</f>
        <v>0</v>
      </c>
      <c r="F63" s="158" t="n">
        <f aca="false">SUMIFS('aux Conciliação Lote'!$F$5:$F$98,'aux Conciliação Lote'!$A$5:$A$98,$A63,'aux Conciliação Lote'!$B$5:$B$98,$B63)</f>
        <v>0</v>
      </c>
      <c r="G63" s="158" t="n">
        <f aca="false">U63+E63-F63</f>
        <v>0</v>
      </c>
      <c r="H63" s="158" t="n">
        <f aca="false">SUMIFS('aux Conciliação Lote'!$H$5:$H$98,'aux Conciliação Lote'!$A$5:$A$98,$A63,'aux Conciliação Lote'!$B$5:$B$98,$B63)</f>
        <v>0</v>
      </c>
      <c r="I63" s="159" t="n">
        <f aca="false">ROUND(H63-G63,2)</f>
        <v>0</v>
      </c>
      <c r="J63" s="160" t="str">
        <f aca="false">IF(ABS(I63)&lt;=Parâmetros!$C$7,"Confere",IF(I63&gt;0,"Sobrando","Faltando"))</f>
        <v>Confere</v>
      </c>
      <c r="K63" s="155" t="str">
        <f aca="false">IF(J63="Confere","Sem diferença",IF(AND(J63&lt;&gt;"Confere",SUMPRODUCT(($A$14:$A$107=$A63)*($B$14:$B$107&lt;&gt;$B63)*(ABS($I$14:$I$107+$I63)&lt;=Parâmetros!$C$7))&gt;0),"Troca de lote: a mesma quantidade aparece com sinal oposto em outro lote deste SKU",IF(AND(I63&lt;0,H63=0,F63=0),"Entrou no ZBR, mas não está no estoque físico: não chegou ou foi guardado em outro lote",IF(I63&lt;0,"Estoque físico menor que o esperado: saída, ajuste ou perda não lançada no período",IF(ABS(I63-M63)&lt;=Parâmetros!$C$7,"Estoque antigo: toda a sobra está em posições sem movimento desde antes de 09/09",IF(AND(F63&gt;0,ABS(I63-F63)&lt;=Parâmetros!$C$7),"As saídas do período não baixaram o estoque físico",IF(ABS(I63-N63)&lt;=Parâmetros!$C$7,"Quantidade parada em doca, chão ou transferência: entrega ou devolução não baixada",IF(ABS(I63-M63-N63)&lt;=Parâmetros!$C$7,"Estoque antigo + quantidade em doca/chão/transferência",IF(AND(F63&gt;0,ABS(I63-M63-N63-F63)&lt;=Parâmetros!$C$7),IF(M63+N63&gt;0,"Estoque antigo/doca + saídas do período que","Saídas do período que")&amp;" não baixaram o estoque físico",IF(AND(P63&gt;0,ABS(I63-M63-N63-P63)&lt;=Parâmetros!$C$7),IF(M63+N63&gt;0,"Estoque antigo/doca + saídas","Saídas")&amp;" pelo depósito 0355 que não baixaram o estoque físico",IF(M63+N63&gt;0,"Explica em parte: estoque antigo "&amp;FIXED(M63,1)&amp;" + doca/transferência "&amp;FIXED(N63,1)&amp;"; faltam "&amp;FIXED(I63-M63-N63,1)&amp;" a explicar",IF(F63&gt;E63+U63,"Saiu mais do que entrou: havia estoque antes de 09/09 que não está no arquivo","Estoque acima do esperado: entrada não lançada ou saldo anterior ao período"))))))))))))</f>
        <v>Sem diferença</v>
      </c>
      <c r="L63" s="156" t="str">
        <f aca="false">IF(J63="Confere","Nenhum ajuste necessário",IF(LEFT(K63,5)="Troca","Transferir "&amp;FIXED(ABS(I63),1)&amp;" "&amp;D63&amp;" entre os lotes deste SKU (transferência lote a lote, mov. 309) para corrigir o lote",IF(LEFT(K63,6)="Entrou","Procurar a OT de armazenagem pendente no ZBR. Se não achar: contar e lançar ajuste de inventário de −"&amp;FIXED(ABS(I63),1)&amp;" "&amp;D63,IF(J63="Faltando","Contar o lote. Se a falta se confirmar: lançar a saída esquecida (601) ou ajuste de inventário de −"&amp;FIXED(ABS(I63),1)&amp;" "&amp;D63,IF(LEFT(K63,15)="Estoque antigo:","Confirmar no SAP o saldo de 08/09 ("&amp;FIXED(ABS(M63),1)&amp;" "&amp;D63&amp;"). Se estiver certo, não há ajuste",IF(LEFT(K63,10)="Quantidade","Confirmar ou estornar as OTs em doca/transferência ("&amp;FIXED(ABS(N63),1)&amp;" "&amp;D63&amp;"): guardar na posição ou baixar a entrega",IF(LEFT(K63,16)="Estoque antigo +","Confirmar saldo de 08/09 ("&amp;FIXED(ABS(M63),1)&amp;" "&amp;D63&amp;") e tratar as OTs em doca/transferência ("&amp;FIXED(ABS(N63),1)&amp;" "&amp;D63&amp;")",IF(ISNUMBER(SEARCH("não baixaram",K63)),"Confirmar a OT de saída (picking) das remessas para baixar "&amp;FIXED(ABS(I63-M63-N63),1)&amp;" "&amp;D63&amp;" do estoque físico"&amp;IF(M63+N63&gt;0,"; conferir também estoque antigo/doca",""),IF(LEFT(K63,7)="Explica","Confirmar saldo de 08/09 e OTs de doca; contar o lote para os "&amp;FIXED(ABS(I63-M63-N63),1)&amp;" "&amp;D63&amp;" restantes e ajustar a sobra se confirmada","Confirmar saldo de 08/09; se não existir, contar o lote e lançar ajuste de inventário de +"&amp;FIXED(ABS(I63),1)&amp;" "&amp;D63)))))))))</f>
        <v>Nenhum ajuste necessário</v>
      </c>
      <c r="M63" s="158" t="n">
        <f aca="false">MAX(0,SUMIFS('3 Base Estoque Físico'!$J$2:$J$5000,'3 Base Estoque Físico'!$A$2:$A$5000,$A63,'3 Base Estoque Físico'!$B$2:$B$5000,$B63,'3 Base Estoque Físico'!$I$2:$I$5000,"&lt;"&amp;DATE(2026,9,9))-U63)</f>
        <v>0</v>
      </c>
      <c r="N63" s="158" t="n">
        <f aca="false">SUMPRODUCT(('3 Base Estoque Físico'!$A$2:$A$5000=$A63)*('3 Base Estoque Físico'!$B$2:$B$5000=$B63)*('3 Base Estoque Físico'!$I$2:$I$5000&gt;=DATE(2026,9,9))*ISNUMBER(MATCH('3 Base Estoque Físico'!$C$2:$C$5000,{"DCK","TRF","922","FLR","DIF"},0))*'3 Base Estoque Físico'!$J$2:$J$5000)</f>
        <v>0</v>
      </c>
      <c r="O63" s="161" t="n">
        <f aca="false">IF(OR(J63="Confere",LEFT(K63,5)="Troca",ISNUMBER(SEARCH("não baixaram",K63))),0,IF(I63&gt;0,MAX(0,ROUND(I63-M63-N63,2)),I63))</f>
        <v>0</v>
      </c>
      <c r="P63" s="158" t="n">
        <f aca="false">SUMIFS('3 Base Saídas'!$R$2:$R$5000,'3 Base Saídas'!$B$2:$B$5000,$A63,'3 Base Saídas'!$C$2:$C$5000,$B63,'3 Base Saídas'!$E$2:$E$5000,"0355")</f>
        <v>0</v>
      </c>
      <c r="Q63" s="157" t="str">
        <f aca="false">IF(J63="Confere","—",IF(LEFT(K63,5)="Troca","Troca de lote",IF(LEFT(K63,6)="Entrou","Não localizado no estoque",IF(J63="Faltando","Falta sem explicação",IF(ISNUMBER(SEARCH("não baixaram",K63)),"Saída sem baixa no estoque",IF(LEFT(K63,10)="Quantidade","Doca/transferência pendente",IF(LEFT(K63,14)="Estoque antigo","Estoque anterior a 09/09",IF(LEFT(K63,7)="Explica","Sobra parcialmente explicada","Sobra sem explicação"))))))))</f>
        <v>—</v>
      </c>
      <c r="R63" s="162" t="str">
        <f aca="false">IF(J63="Confere","—",IF(OR(LEFT(K63,6)="Entrou",AND(I63&lt;0,ABS(O63)&gt;=Parâmetros!$K$6)),"Crítica",IF(OR(AND(I63&lt;0,O63&lt;&gt;0),O63&gt;=Parâmetros!$K$7),"Alta",IF(O63&gt;0,"Média","Baixa"))))</f>
        <v>—</v>
      </c>
      <c r="S63" s="157" t="str">
        <f aca="false">A63&amp;"|"&amp;B63</f>
        <v>CHD-SP-1M-BR-U73|260310301</v>
      </c>
      <c r="T63" s="157" t="n">
        <f aca="false">IF(ABS(O63)&gt;Parâmetros!$C$7,ABS(O63)+ROW()/10000000,0)</f>
        <v>0</v>
      </c>
      <c r="U63" s="158" t="n">
        <f aca="false">SUMIFS('3 Base Saldo Inicial 08-09'!$E$2:$E$5000,'3 Base Saldo Inicial 08-09'!$A$2:$A$5000,$A63,'3 Base Saldo Inicial 08-09'!$B$2:$B$5000,$B63)-SUMIFS('3 Base Saldo Inicial 08-09'!$E$2:$E$5000,'3 Base Saldo Inicial 08-09'!$A$2:$A$5000,$A63,'3 Base Saldo Inicial 08-09'!$B$2:$B$5000,$B63,'3 Base Saldo Inicial 08-09'!$C$2:$C$5000,"2008")</f>
        <v>0</v>
      </c>
    </row>
    <row r="64" customFormat="false" ht="15" hidden="false" customHeight="false" outlineLevel="0" collapsed="false">
      <c r="A64" s="155" t="s">
        <v>338</v>
      </c>
      <c r="B64" s="155" t="s">
        <v>339</v>
      </c>
      <c r="C64" s="156"/>
      <c r="D64" s="157" t="s">
        <v>65</v>
      </c>
      <c r="E64" s="158" t="n">
        <f aca="false">SUMIFS('aux Conciliação Lote'!$E$5:$E$98,'aux Conciliação Lote'!$A$5:$A$98,$A64,'aux Conciliação Lote'!$B$5:$B$98,$B64)</f>
        <v>0</v>
      </c>
      <c r="F64" s="158" t="n">
        <f aca="false">SUMIFS('aux Conciliação Lote'!$F$5:$F$98,'aux Conciliação Lote'!$A$5:$A$98,$A64,'aux Conciliação Lote'!$B$5:$B$98,$B64)</f>
        <v>0</v>
      </c>
      <c r="G64" s="158" t="n">
        <f aca="false">U64+E64-F64</f>
        <v>0</v>
      </c>
      <c r="H64" s="158" t="n">
        <f aca="false">SUMIFS('aux Conciliação Lote'!$H$5:$H$98,'aux Conciliação Lote'!$A$5:$A$98,$A64,'aux Conciliação Lote'!$B$5:$B$98,$B64)</f>
        <v>0</v>
      </c>
      <c r="I64" s="159" t="n">
        <f aca="false">ROUND(H64-G64,2)</f>
        <v>0</v>
      </c>
      <c r="J64" s="160" t="str">
        <f aca="false">IF(ABS(I64)&lt;=Parâmetros!$C$7,"Confere",IF(I64&gt;0,"Sobrando","Faltando"))</f>
        <v>Confere</v>
      </c>
      <c r="K64" s="155" t="str">
        <f aca="false">IF(J64="Confere","Sem diferença",IF(AND(J64&lt;&gt;"Confere",SUMPRODUCT(($A$14:$A$107=$A64)*($B$14:$B$107&lt;&gt;$B64)*(ABS($I$14:$I$107+$I64)&lt;=Parâmetros!$C$7))&gt;0),"Troca de lote: a mesma quantidade aparece com sinal oposto em outro lote deste SKU",IF(AND(I64&lt;0,H64=0,F64=0),"Entrou no ZBR, mas não está no estoque físico: não chegou ou foi guardado em outro lote",IF(I64&lt;0,"Estoque físico menor que o esperado: saída, ajuste ou perda não lançada no período",IF(ABS(I64-M64)&lt;=Parâmetros!$C$7,"Estoque antigo: toda a sobra está em posições sem movimento desde antes de 09/09",IF(AND(F64&gt;0,ABS(I64-F64)&lt;=Parâmetros!$C$7),"As saídas do período não baixaram o estoque físico",IF(ABS(I64-N64)&lt;=Parâmetros!$C$7,"Quantidade parada em doca, chão ou transferência: entrega ou devolução não baixada",IF(ABS(I64-M64-N64)&lt;=Parâmetros!$C$7,"Estoque antigo + quantidade em doca/chão/transferência",IF(AND(F64&gt;0,ABS(I64-M64-N64-F64)&lt;=Parâmetros!$C$7),IF(M64+N64&gt;0,"Estoque antigo/doca + saídas do período que","Saídas do período que")&amp;" não baixaram o estoque físico",IF(AND(P64&gt;0,ABS(I64-M64-N64-P64)&lt;=Parâmetros!$C$7),IF(M64+N64&gt;0,"Estoque antigo/doca + saídas","Saídas")&amp;" pelo depósito 0355 que não baixaram o estoque físico",IF(M64+N64&gt;0,"Explica em parte: estoque antigo "&amp;FIXED(M64,1)&amp;" + doca/transferência "&amp;FIXED(N64,1)&amp;"; faltam "&amp;FIXED(I64-M64-N64,1)&amp;" a explicar",IF(F64&gt;E64+U64,"Saiu mais do que entrou: havia estoque antes de 09/09 que não está no arquivo","Estoque acima do esperado: entrada não lançada ou saldo anterior ao período"))))))))))))</f>
        <v>Sem diferença</v>
      </c>
      <c r="L64" s="156" t="str">
        <f aca="false">IF(J64="Confere","Nenhum ajuste necessário",IF(LEFT(K64,5)="Troca","Transferir "&amp;FIXED(ABS(I64),1)&amp;" "&amp;D64&amp;" entre os lotes deste SKU (transferência lote a lote, mov. 309) para corrigir o lote",IF(LEFT(K64,6)="Entrou","Procurar a OT de armazenagem pendente no ZBR. Se não achar: contar e lançar ajuste de inventário de −"&amp;FIXED(ABS(I64),1)&amp;" "&amp;D64,IF(J64="Faltando","Contar o lote. Se a falta se confirmar: lançar a saída esquecida (601) ou ajuste de inventário de −"&amp;FIXED(ABS(I64),1)&amp;" "&amp;D64,IF(LEFT(K64,15)="Estoque antigo:","Confirmar no SAP o saldo de 08/09 ("&amp;FIXED(ABS(M64),1)&amp;" "&amp;D64&amp;"). Se estiver certo, não há ajuste",IF(LEFT(K64,10)="Quantidade","Confirmar ou estornar as OTs em doca/transferência ("&amp;FIXED(ABS(N64),1)&amp;" "&amp;D64&amp;"): guardar na posição ou baixar a entrega",IF(LEFT(K64,16)="Estoque antigo +","Confirmar saldo de 08/09 ("&amp;FIXED(ABS(M64),1)&amp;" "&amp;D64&amp;") e tratar as OTs em doca/transferência ("&amp;FIXED(ABS(N64),1)&amp;" "&amp;D64&amp;")",IF(ISNUMBER(SEARCH("não baixaram",K64)),"Confirmar a OT de saída (picking) das remessas para baixar "&amp;FIXED(ABS(I64-M64-N64),1)&amp;" "&amp;D64&amp;" do estoque físico"&amp;IF(M64+N64&gt;0,"; conferir também estoque antigo/doca",""),IF(LEFT(K64,7)="Explica","Confirmar saldo de 08/09 e OTs de doca; contar o lote para os "&amp;FIXED(ABS(I64-M64-N64),1)&amp;" "&amp;D64&amp;" restantes e ajustar a sobra se confirmada","Confirmar saldo de 08/09; se não existir, contar o lote e lançar ajuste de inventário de +"&amp;FIXED(ABS(I64),1)&amp;" "&amp;D64)))))))))</f>
        <v>Nenhum ajuste necessário</v>
      </c>
      <c r="M64" s="158" t="n">
        <f aca="false">MAX(0,SUMIFS('3 Base Estoque Físico'!$J$2:$J$5000,'3 Base Estoque Físico'!$A$2:$A$5000,$A64,'3 Base Estoque Físico'!$B$2:$B$5000,$B64,'3 Base Estoque Físico'!$I$2:$I$5000,"&lt;"&amp;DATE(2026,9,9))-U64)</f>
        <v>0</v>
      </c>
      <c r="N64" s="158" t="n">
        <f aca="false">SUMPRODUCT(('3 Base Estoque Físico'!$A$2:$A$5000=$A64)*('3 Base Estoque Físico'!$B$2:$B$5000=$B64)*('3 Base Estoque Físico'!$I$2:$I$5000&gt;=DATE(2026,9,9))*ISNUMBER(MATCH('3 Base Estoque Físico'!$C$2:$C$5000,{"DCK","TRF","922","FLR","DIF"},0))*'3 Base Estoque Físico'!$J$2:$J$5000)</f>
        <v>0</v>
      </c>
      <c r="O64" s="161" t="n">
        <f aca="false">IF(OR(J64="Confere",LEFT(K64,5)="Troca",ISNUMBER(SEARCH("não baixaram",K64))),0,IF(I64&gt;0,MAX(0,ROUND(I64-M64-N64,2)),I64))</f>
        <v>0</v>
      </c>
      <c r="P64" s="158" t="n">
        <f aca="false">SUMIFS('3 Base Saídas'!$R$2:$R$5000,'3 Base Saídas'!$B$2:$B$5000,$A64,'3 Base Saídas'!$C$2:$C$5000,$B64,'3 Base Saídas'!$E$2:$E$5000,"0355")</f>
        <v>0</v>
      </c>
      <c r="Q64" s="157" t="str">
        <f aca="false">IF(J64="Confere","—",IF(LEFT(K64,5)="Troca","Troca de lote",IF(LEFT(K64,6)="Entrou","Não localizado no estoque",IF(J64="Faltando","Falta sem explicação",IF(ISNUMBER(SEARCH("não baixaram",K64)),"Saída sem baixa no estoque",IF(LEFT(K64,10)="Quantidade","Doca/transferência pendente",IF(LEFT(K64,14)="Estoque antigo","Estoque anterior a 09/09",IF(LEFT(K64,7)="Explica","Sobra parcialmente explicada","Sobra sem explicação"))))))))</f>
        <v>—</v>
      </c>
      <c r="R64" s="162" t="str">
        <f aca="false">IF(J64="Confere","—",IF(OR(LEFT(K64,6)="Entrou",AND(I64&lt;0,ABS(O64)&gt;=Parâmetros!$K$6)),"Crítica",IF(OR(AND(I64&lt;0,O64&lt;&gt;0),O64&gt;=Parâmetros!$K$7),"Alta",IF(O64&gt;0,"Média","Baixa"))))</f>
        <v>—</v>
      </c>
      <c r="S64" s="157" t="str">
        <f aca="false">A64&amp;"|"&amp;B64</f>
        <v>CHD-SP-1M-BR-U73|260880301</v>
      </c>
      <c r="T64" s="157" t="n">
        <f aca="false">IF(ABS(O64)&gt;Parâmetros!$C$7,ABS(O64)+ROW()/10000000,0)</f>
        <v>0</v>
      </c>
      <c r="U64" s="158" t="n">
        <f aca="false">SUMIFS('3 Base Saldo Inicial 08-09'!$E$2:$E$5000,'3 Base Saldo Inicial 08-09'!$A$2:$A$5000,$A64,'3 Base Saldo Inicial 08-09'!$B$2:$B$5000,$B64)-SUMIFS('3 Base Saldo Inicial 08-09'!$E$2:$E$5000,'3 Base Saldo Inicial 08-09'!$A$2:$A$5000,$A64,'3 Base Saldo Inicial 08-09'!$B$2:$B$5000,$B64,'3 Base Saldo Inicial 08-09'!$C$2:$C$5000,"2008")</f>
        <v>0</v>
      </c>
    </row>
    <row r="65" customFormat="false" ht="15" hidden="false" customHeight="false" outlineLevel="0" collapsed="false">
      <c r="A65" s="155" t="s">
        <v>341</v>
      </c>
      <c r="B65" s="155" t="s">
        <v>342</v>
      </c>
      <c r="C65" s="156"/>
      <c r="D65" s="157" t="s">
        <v>65</v>
      </c>
      <c r="E65" s="158" t="n">
        <f aca="false">SUMIFS('aux Conciliação Lote'!$E$5:$E$98,'aux Conciliação Lote'!$A$5:$A$98,$A65,'aux Conciliação Lote'!$B$5:$B$98,$B65)</f>
        <v>81.6</v>
      </c>
      <c r="F65" s="158" t="n">
        <f aca="false">SUMIFS('aux Conciliação Lote'!$F$5:$F$98,'aux Conciliação Lote'!$A$5:$A$98,$A65,'aux Conciliação Lote'!$B$5:$B$98,$B65)</f>
        <v>0</v>
      </c>
      <c r="G65" s="158" t="n">
        <f aca="false">U65+E65-F65</f>
        <v>81.6</v>
      </c>
      <c r="H65" s="158" t="n">
        <f aca="false">SUMIFS('aux Conciliação Lote'!$H$5:$H$98,'aux Conciliação Lote'!$A$5:$A$98,$A65,'aux Conciliação Lote'!$B$5:$B$98,$B65)</f>
        <v>81.6</v>
      </c>
      <c r="I65" s="159" t="n">
        <f aca="false">ROUND(H65-G65,2)</f>
        <v>0</v>
      </c>
      <c r="J65" s="160" t="str">
        <f aca="false">IF(ABS(I65)&lt;=Parâmetros!$C$7,"Confere",IF(I65&gt;0,"Sobrando","Faltando"))</f>
        <v>Confere</v>
      </c>
      <c r="K65" s="155" t="str">
        <f aca="false">IF(J65="Confere","Sem diferença",IF(AND(J65&lt;&gt;"Confere",SUMPRODUCT(($A$14:$A$107=$A65)*($B$14:$B$107&lt;&gt;$B65)*(ABS($I$14:$I$107+$I65)&lt;=Parâmetros!$C$7))&gt;0),"Troca de lote: a mesma quantidade aparece com sinal oposto em outro lote deste SKU",IF(AND(I65&lt;0,H65=0,F65=0),"Entrou no ZBR, mas não está no estoque físico: não chegou ou foi guardado em outro lote",IF(I65&lt;0,"Estoque físico menor que o esperado: saída, ajuste ou perda não lançada no período",IF(ABS(I65-M65)&lt;=Parâmetros!$C$7,"Estoque antigo: toda a sobra está em posições sem movimento desde antes de 09/09",IF(AND(F65&gt;0,ABS(I65-F65)&lt;=Parâmetros!$C$7),"As saídas do período não baixaram o estoque físico",IF(ABS(I65-N65)&lt;=Parâmetros!$C$7,"Quantidade parada em doca, chão ou transferência: entrega ou devolução não baixada",IF(ABS(I65-M65-N65)&lt;=Parâmetros!$C$7,"Estoque antigo + quantidade em doca/chão/transferência",IF(AND(F65&gt;0,ABS(I65-M65-N65-F65)&lt;=Parâmetros!$C$7),IF(M65+N65&gt;0,"Estoque antigo/doca + saídas do período que","Saídas do período que")&amp;" não baixaram o estoque físico",IF(AND(P65&gt;0,ABS(I65-M65-N65-P65)&lt;=Parâmetros!$C$7),IF(M65+N65&gt;0,"Estoque antigo/doca + saídas","Saídas")&amp;" pelo depósito 0355 que não baixaram o estoque físico",IF(M65+N65&gt;0,"Explica em parte: estoque antigo "&amp;FIXED(M65,1)&amp;" + doca/transferência "&amp;FIXED(N65,1)&amp;"; faltam "&amp;FIXED(I65-M65-N65,1)&amp;" a explicar",IF(F65&gt;E65+U65,"Saiu mais do que entrou: havia estoque antes de 09/09 que não está no arquivo","Estoque acima do esperado: entrada não lançada ou saldo anterior ao período"))))))))))))</f>
        <v>Sem diferença</v>
      </c>
      <c r="L65" s="156" t="str">
        <f aca="false">IF(J65="Confere","Nenhum ajuste necessário",IF(LEFT(K65,5)="Troca","Transferir "&amp;FIXED(ABS(I65),1)&amp;" "&amp;D65&amp;" entre os lotes deste SKU (transferência lote a lote, mov. 309) para corrigir o lote",IF(LEFT(K65,6)="Entrou","Procurar a OT de armazenagem pendente no ZBR. Se não achar: contar e lançar ajuste de inventário de −"&amp;FIXED(ABS(I65),1)&amp;" "&amp;D65,IF(J65="Faltando","Contar o lote. Se a falta se confirmar: lançar a saída esquecida (601) ou ajuste de inventário de −"&amp;FIXED(ABS(I65),1)&amp;" "&amp;D65,IF(LEFT(K65,15)="Estoque antigo:","Confirmar no SAP o saldo de 08/09 ("&amp;FIXED(ABS(M65),1)&amp;" "&amp;D65&amp;"). Se estiver certo, não há ajuste",IF(LEFT(K65,10)="Quantidade","Confirmar ou estornar as OTs em doca/transferência ("&amp;FIXED(ABS(N65),1)&amp;" "&amp;D65&amp;"): guardar na posição ou baixar a entrega",IF(LEFT(K65,16)="Estoque antigo +","Confirmar saldo de 08/09 ("&amp;FIXED(ABS(M65),1)&amp;" "&amp;D65&amp;") e tratar as OTs em doca/transferência ("&amp;FIXED(ABS(N65),1)&amp;" "&amp;D65&amp;")",IF(ISNUMBER(SEARCH("não baixaram",K65)),"Confirmar a OT de saída (picking) das remessas para baixar "&amp;FIXED(ABS(I65-M65-N65),1)&amp;" "&amp;D65&amp;" do estoque físico"&amp;IF(M65+N65&gt;0,"; conferir também estoque antigo/doca",""),IF(LEFT(K65,7)="Explica","Confirmar saldo de 08/09 e OTs de doca; contar o lote para os "&amp;FIXED(ABS(I65-M65-N65),1)&amp;" "&amp;D65&amp;" restantes e ajustar a sobra se confirmada","Confirmar saldo de 08/09; se não existir, contar o lote e lançar ajuste de inventário de +"&amp;FIXED(ABS(I65),1)&amp;" "&amp;D65)))))))))</f>
        <v>Nenhum ajuste necessário</v>
      </c>
      <c r="M65" s="158" t="n">
        <f aca="false">MAX(0,SUMIFS('3 Base Estoque Físico'!$J$2:$J$5000,'3 Base Estoque Físico'!$A$2:$A$5000,$A65,'3 Base Estoque Físico'!$B$2:$B$5000,$B65,'3 Base Estoque Físico'!$I$2:$I$5000,"&lt;"&amp;DATE(2026,9,9))-U65)</f>
        <v>0</v>
      </c>
      <c r="N65" s="158" t="n">
        <f aca="false">SUMPRODUCT(('3 Base Estoque Físico'!$A$2:$A$5000=$A65)*('3 Base Estoque Físico'!$B$2:$B$5000=$B65)*('3 Base Estoque Físico'!$I$2:$I$5000&gt;=DATE(2026,9,9))*ISNUMBER(MATCH('3 Base Estoque Físico'!$C$2:$C$5000,{"DCK","TRF","922","FLR","DIF"},0))*'3 Base Estoque Físico'!$J$2:$J$5000)</f>
        <v>0</v>
      </c>
      <c r="O65" s="161" t="n">
        <f aca="false">IF(OR(J65="Confere",LEFT(K65,5)="Troca",ISNUMBER(SEARCH("não baixaram",K65))),0,IF(I65&gt;0,MAX(0,ROUND(I65-M65-N65,2)),I65))</f>
        <v>0</v>
      </c>
      <c r="P65" s="158" t="n">
        <f aca="false">SUMIFS('3 Base Saídas'!$R$2:$R$5000,'3 Base Saídas'!$B$2:$B$5000,$A65,'3 Base Saídas'!$C$2:$C$5000,$B65,'3 Base Saídas'!$E$2:$E$5000,"0355")</f>
        <v>0</v>
      </c>
      <c r="Q65" s="157" t="str">
        <f aca="false">IF(J65="Confere","—",IF(LEFT(K65,5)="Troca","Troca de lote",IF(LEFT(K65,6)="Entrou","Não localizado no estoque",IF(J65="Faltando","Falta sem explicação",IF(ISNUMBER(SEARCH("não baixaram",K65)),"Saída sem baixa no estoque",IF(LEFT(K65,10)="Quantidade","Doca/transferência pendente",IF(LEFT(K65,14)="Estoque antigo","Estoque anterior a 09/09",IF(LEFT(K65,7)="Explica","Sobra parcialmente explicada","Sobra sem explicação"))))))))</f>
        <v>—</v>
      </c>
      <c r="R65" s="162" t="str">
        <f aca="false">IF(J65="Confere","—",IF(OR(LEFT(K65,6)="Entrou",AND(I65&lt;0,ABS(O65)&gt;=Parâmetros!$K$6)),"Crítica",IF(OR(AND(I65&lt;0,O65&lt;&gt;0),O65&gt;=Parâmetros!$K$7),"Alta",IF(O65&gt;0,"Média","Baixa"))))</f>
        <v>—</v>
      </c>
      <c r="S65" s="157" t="str">
        <f aca="false">A65&amp;"|"&amp;B65</f>
        <v>CHD-TS-22350E0-999|2520443650</v>
      </c>
      <c r="T65" s="157" t="n">
        <f aca="false">IF(ABS(O65)&gt;Parâmetros!$C$7,ABS(O65)+ROW()/10000000,0)</f>
        <v>0</v>
      </c>
      <c r="U65" s="158" t="n">
        <f aca="false">SUMIFS('3 Base Saldo Inicial 08-09'!$E$2:$E$5000,'3 Base Saldo Inicial 08-09'!$A$2:$A$5000,$A65,'3 Base Saldo Inicial 08-09'!$B$2:$B$5000,$B65)-SUMIFS('3 Base Saldo Inicial 08-09'!$E$2:$E$5000,'3 Base Saldo Inicial 08-09'!$A$2:$A$5000,$A65,'3 Base Saldo Inicial 08-09'!$B$2:$B$5000,$B65,'3 Base Saldo Inicial 08-09'!$C$2:$C$5000,"2008")</f>
        <v>0</v>
      </c>
    </row>
    <row r="66" customFormat="false" ht="15" hidden="false" customHeight="false" outlineLevel="0" collapsed="false">
      <c r="A66" s="155" t="s">
        <v>343</v>
      </c>
      <c r="B66" s="155" t="s">
        <v>344</v>
      </c>
      <c r="C66" s="156"/>
      <c r="D66" s="157" t="s">
        <v>65</v>
      </c>
      <c r="E66" s="158" t="n">
        <f aca="false">SUMIFS('aux Conciliação Lote'!$E$5:$E$98,'aux Conciliação Lote'!$A$5:$A$98,$A66,'aux Conciliação Lote'!$B$5:$B$98,$B66)</f>
        <v>0</v>
      </c>
      <c r="F66" s="158" t="n">
        <f aca="false">SUMIFS('aux Conciliação Lote'!$F$5:$F$98,'aux Conciliação Lote'!$A$5:$A$98,$A66,'aux Conciliação Lote'!$B$5:$B$98,$B66)</f>
        <v>0</v>
      </c>
      <c r="G66" s="158" t="n">
        <f aca="false">U66+E66-F66</f>
        <v>0</v>
      </c>
      <c r="H66" s="158" t="n">
        <f aca="false">SUMIFS('aux Conciliação Lote'!$H$5:$H$98,'aux Conciliação Lote'!$A$5:$A$98,$A66,'aux Conciliação Lote'!$B$5:$B$98,$B66)</f>
        <v>0</v>
      </c>
      <c r="I66" s="159" t="n">
        <f aca="false">ROUND(H66-G66,2)</f>
        <v>0</v>
      </c>
      <c r="J66" s="160" t="str">
        <f aca="false">IF(ABS(I66)&lt;=Parâmetros!$C$7,"Confere",IF(I66&gt;0,"Sobrando","Faltando"))</f>
        <v>Confere</v>
      </c>
      <c r="K66" s="155" t="str">
        <f aca="false">IF(J66="Confere","Sem diferença",IF(AND(J66&lt;&gt;"Confere",SUMPRODUCT(($A$14:$A$107=$A66)*($B$14:$B$107&lt;&gt;$B66)*(ABS($I$14:$I$107+$I66)&lt;=Parâmetros!$C$7))&gt;0),"Troca de lote: a mesma quantidade aparece com sinal oposto em outro lote deste SKU",IF(AND(I66&lt;0,H66=0,F66=0),"Entrou no ZBR, mas não está no estoque físico: não chegou ou foi guardado em outro lote",IF(I66&lt;0,"Estoque físico menor que o esperado: saída, ajuste ou perda não lançada no período",IF(ABS(I66-M66)&lt;=Parâmetros!$C$7,"Estoque antigo: toda a sobra está em posições sem movimento desde antes de 09/09",IF(AND(F66&gt;0,ABS(I66-F66)&lt;=Parâmetros!$C$7),"As saídas do período não baixaram o estoque físico",IF(ABS(I66-N66)&lt;=Parâmetros!$C$7,"Quantidade parada em doca, chão ou transferência: entrega ou devolução não baixada",IF(ABS(I66-M66-N66)&lt;=Parâmetros!$C$7,"Estoque antigo + quantidade em doca/chão/transferência",IF(AND(F66&gt;0,ABS(I66-M66-N66-F66)&lt;=Parâmetros!$C$7),IF(M66+N66&gt;0,"Estoque antigo/doca + saídas do período que","Saídas do período que")&amp;" não baixaram o estoque físico",IF(AND(P66&gt;0,ABS(I66-M66-N66-P66)&lt;=Parâmetros!$C$7),IF(M66+N66&gt;0,"Estoque antigo/doca + saídas","Saídas")&amp;" pelo depósito 0355 que não baixaram o estoque físico",IF(M66+N66&gt;0,"Explica em parte: estoque antigo "&amp;FIXED(M66,1)&amp;" + doca/transferência "&amp;FIXED(N66,1)&amp;"; faltam "&amp;FIXED(I66-M66-N66,1)&amp;" a explicar",IF(F66&gt;E66+U66,"Saiu mais do que entrou: havia estoque antes de 09/09 que não está no arquivo","Estoque acima do esperado: entrada não lançada ou saldo anterior ao período"))))))))))))</f>
        <v>Sem diferença</v>
      </c>
      <c r="L66" s="156" t="str">
        <f aca="false">IF(J66="Confere","Nenhum ajuste necessário",IF(LEFT(K66,5)="Troca","Transferir "&amp;FIXED(ABS(I66),1)&amp;" "&amp;D66&amp;" entre os lotes deste SKU (transferência lote a lote, mov. 309) para corrigir o lote",IF(LEFT(K66,6)="Entrou","Procurar a OT de armazenagem pendente no ZBR. Se não achar: contar e lançar ajuste de inventário de −"&amp;FIXED(ABS(I66),1)&amp;" "&amp;D66,IF(J66="Faltando","Contar o lote. Se a falta se confirmar: lançar a saída esquecida (601) ou ajuste de inventário de −"&amp;FIXED(ABS(I66),1)&amp;" "&amp;D66,IF(LEFT(K66,15)="Estoque antigo:","Confirmar no SAP o saldo de 08/09 ("&amp;FIXED(ABS(M66),1)&amp;" "&amp;D66&amp;"). Se estiver certo, não há ajuste",IF(LEFT(K66,10)="Quantidade","Confirmar ou estornar as OTs em doca/transferência ("&amp;FIXED(ABS(N66),1)&amp;" "&amp;D66&amp;"): guardar na posição ou baixar a entrega",IF(LEFT(K66,16)="Estoque antigo +","Confirmar saldo de 08/09 ("&amp;FIXED(ABS(M66),1)&amp;" "&amp;D66&amp;") e tratar as OTs em doca/transferência ("&amp;FIXED(ABS(N66),1)&amp;" "&amp;D66&amp;")",IF(ISNUMBER(SEARCH("não baixaram",K66)),"Confirmar a OT de saída (picking) das remessas para baixar "&amp;FIXED(ABS(I66-M66-N66),1)&amp;" "&amp;D66&amp;" do estoque físico"&amp;IF(M66+N66&gt;0,"; conferir também estoque antigo/doca",""),IF(LEFT(K66,7)="Explica","Confirmar saldo de 08/09 e OTs de doca; contar o lote para os "&amp;FIXED(ABS(I66-M66-N66),1)&amp;" "&amp;D66&amp;" restantes e ajustar a sobra se confirmada","Confirmar saldo de 08/09; se não existir, contar o lote e lançar ajuste de inventário de +"&amp;FIXED(ABS(I66),1)&amp;" "&amp;D66)))))))))</f>
        <v>Nenhum ajuste necessário</v>
      </c>
      <c r="M66" s="158" t="n">
        <f aca="false">MAX(0,SUMIFS('3 Base Estoque Físico'!$J$2:$J$5000,'3 Base Estoque Físico'!$A$2:$A$5000,$A66,'3 Base Estoque Físico'!$B$2:$B$5000,$B66,'3 Base Estoque Físico'!$I$2:$I$5000,"&lt;"&amp;DATE(2026,9,9))-U66)</f>
        <v>0</v>
      </c>
      <c r="N66" s="158" t="n">
        <f aca="false">SUMPRODUCT(('3 Base Estoque Físico'!$A$2:$A$5000=$A66)*('3 Base Estoque Físico'!$B$2:$B$5000=$B66)*('3 Base Estoque Físico'!$I$2:$I$5000&gt;=DATE(2026,9,9))*ISNUMBER(MATCH('3 Base Estoque Físico'!$C$2:$C$5000,{"DCK","TRF","922","FLR","DIF"},0))*'3 Base Estoque Físico'!$J$2:$J$5000)</f>
        <v>0</v>
      </c>
      <c r="O66" s="161" t="n">
        <f aca="false">IF(OR(J66="Confere",LEFT(K66,5)="Troca",ISNUMBER(SEARCH("não baixaram",K66))),0,IF(I66&gt;0,MAX(0,ROUND(I66-M66-N66,2)),I66))</f>
        <v>0</v>
      </c>
      <c r="P66" s="158" t="n">
        <f aca="false">SUMIFS('3 Base Saídas'!$R$2:$R$5000,'3 Base Saídas'!$B$2:$B$5000,$A66,'3 Base Saídas'!$C$2:$C$5000,$B66,'3 Base Saídas'!$E$2:$E$5000,"0355")</f>
        <v>0</v>
      </c>
      <c r="Q66" s="157" t="str">
        <f aca="false">IF(J66="Confere","—",IF(LEFT(K66,5)="Troca","Troca de lote",IF(LEFT(K66,6)="Entrou","Não localizado no estoque",IF(J66="Faltando","Falta sem explicação",IF(ISNUMBER(SEARCH("não baixaram",K66)),"Saída sem baixa no estoque",IF(LEFT(K66,10)="Quantidade","Doca/transferência pendente",IF(LEFT(K66,14)="Estoque antigo","Estoque anterior a 09/09",IF(LEFT(K66,7)="Explica","Sobra parcialmente explicada","Sobra sem explicação"))))))))</f>
        <v>—</v>
      </c>
      <c r="R66" s="162" t="str">
        <f aca="false">IF(J66="Confere","—",IF(OR(LEFT(K66,6)="Entrou",AND(I66&lt;0,ABS(O66)&gt;=Parâmetros!$K$6)),"Crítica",IF(OR(AND(I66&lt;0,O66&lt;&gt;0),O66&gt;=Parâmetros!$K$7),"Alta",IF(O66&gt;0,"Média","Baixa"))))</f>
        <v>—</v>
      </c>
      <c r="S66" s="157" t="str">
        <f aca="false">A66&amp;"|"&amp;B66</f>
        <v>CHD-VR-Z2S-E0-U68|261160301</v>
      </c>
      <c r="T66" s="157" t="n">
        <f aca="false">IF(ABS(O66)&gt;Parâmetros!$C$7,ABS(O66)+ROW()/10000000,0)</f>
        <v>0</v>
      </c>
      <c r="U66" s="158" t="n">
        <f aca="false">SUMIFS('3 Base Saldo Inicial 08-09'!$E$2:$E$5000,'3 Base Saldo Inicial 08-09'!$A$2:$A$5000,$A66,'3 Base Saldo Inicial 08-09'!$B$2:$B$5000,$B66)-SUMIFS('3 Base Saldo Inicial 08-09'!$E$2:$E$5000,'3 Base Saldo Inicial 08-09'!$A$2:$A$5000,$A66,'3 Base Saldo Inicial 08-09'!$B$2:$B$5000,$B66,'3 Base Saldo Inicial 08-09'!$C$2:$C$5000,"2008")</f>
        <v>0</v>
      </c>
    </row>
    <row r="67" customFormat="false" ht="15" hidden="false" customHeight="false" outlineLevel="0" collapsed="false">
      <c r="A67" s="155" t="s">
        <v>346</v>
      </c>
      <c r="B67" s="155" t="s">
        <v>347</v>
      </c>
      <c r="C67" s="156"/>
      <c r="D67" s="157" t="s">
        <v>65</v>
      </c>
      <c r="E67" s="158" t="n">
        <f aca="false">SUMIFS('aux Conciliação Lote'!$E$5:$E$98,'aux Conciliação Lote'!$A$5:$A$98,$A67,'aux Conciliação Lote'!$B$5:$B$98,$B67)</f>
        <v>0</v>
      </c>
      <c r="F67" s="158" t="n">
        <f aca="false">SUMIFS('aux Conciliação Lote'!$F$5:$F$98,'aux Conciliação Lote'!$A$5:$A$98,$A67,'aux Conciliação Lote'!$B$5:$B$98,$B67)</f>
        <v>0</v>
      </c>
      <c r="G67" s="158" t="n">
        <f aca="false">U67+E67-F67</f>
        <v>0</v>
      </c>
      <c r="H67" s="158" t="n">
        <f aca="false">SUMIFS('aux Conciliação Lote'!$H$5:$H$98,'aux Conciliação Lote'!$A$5:$A$98,$A67,'aux Conciliação Lote'!$B$5:$B$98,$B67)</f>
        <v>0</v>
      </c>
      <c r="I67" s="159" t="n">
        <f aca="false">ROUND(H67-G67,2)</f>
        <v>0</v>
      </c>
      <c r="J67" s="160" t="str">
        <f aca="false">IF(ABS(I67)&lt;=Parâmetros!$C$7,"Confere",IF(I67&gt;0,"Sobrando","Faltando"))</f>
        <v>Confere</v>
      </c>
      <c r="K67" s="155" t="str">
        <f aca="false">IF(J67="Confere","Sem diferença",IF(AND(J67&lt;&gt;"Confere",SUMPRODUCT(($A$14:$A$107=$A67)*($B$14:$B$107&lt;&gt;$B67)*(ABS($I$14:$I$107+$I67)&lt;=Parâmetros!$C$7))&gt;0),"Troca de lote: a mesma quantidade aparece com sinal oposto em outro lote deste SKU",IF(AND(I67&lt;0,H67=0,F67=0),"Entrou no ZBR, mas não está no estoque físico: não chegou ou foi guardado em outro lote",IF(I67&lt;0,"Estoque físico menor que o esperado: saída, ajuste ou perda não lançada no período",IF(ABS(I67-M67)&lt;=Parâmetros!$C$7,"Estoque antigo: toda a sobra está em posições sem movimento desde antes de 09/09",IF(AND(F67&gt;0,ABS(I67-F67)&lt;=Parâmetros!$C$7),"As saídas do período não baixaram o estoque físico",IF(ABS(I67-N67)&lt;=Parâmetros!$C$7,"Quantidade parada em doca, chão ou transferência: entrega ou devolução não baixada",IF(ABS(I67-M67-N67)&lt;=Parâmetros!$C$7,"Estoque antigo + quantidade em doca/chão/transferência",IF(AND(F67&gt;0,ABS(I67-M67-N67-F67)&lt;=Parâmetros!$C$7),IF(M67+N67&gt;0,"Estoque antigo/doca + saídas do período que","Saídas do período que")&amp;" não baixaram o estoque físico",IF(AND(P67&gt;0,ABS(I67-M67-N67-P67)&lt;=Parâmetros!$C$7),IF(M67+N67&gt;0,"Estoque antigo/doca + saídas","Saídas")&amp;" pelo depósito 0355 que não baixaram o estoque físico",IF(M67+N67&gt;0,"Explica em parte: estoque antigo "&amp;FIXED(M67,1)&amp;" + doca/transferência "&amp;FIXED(N67,1)&amp;"; faltam "&amp;FIXED(I67-M67-N67,1)&amp;" a explicar",IF(F67&gt;E67+U67,"Saiu mais do que entrou: havia estoque antes de 09/09 que não está no arquivo","Estoque acima do esperado: entrada não lançada ou saldo anterior ao período"))))))))))))</f>
        <v>Sem diferença</v>
      </c>
      <c r="L67" s="156" t="str">
        <f aca="false">IF(J67="Confere","Nenhum ajuste necessário",IF(LEFT(K67,5)="Troca","Transferir "&amp;FIXED(ABS(I67),1)&amp;" "&amp;D67&amp;" entre os lotes deste SKU (transferência lote a lote, mov. 309) para corrigir o lote",IF(LEFT(K67,6)="Entrou","Procurar a OT de armazenagem pendente no ZBR. Se não achar: contar e lançar ajuste de inventário de −"&amp;FIXED(ABS(I67),1)&amp;" "&amp;D67,IF(J67="Faltando","Contar o lote. Se a falta se confirmar: lançar a saída esquecida (601) ou ajuste de inventário de −"&amp;FIXED(ABS(I67),1)&amp;" "&amp;D67,IF(LEFT(K67,15)="Estoque antigo:","Confirmar no SAP o saldo de 08/09 ("&amp;FIXED(ABS(M67),1)&amp;" "&amp;D67&amp;"). Se estiver certo, não há ajuste",IF(LEFT(K67,10)="Quantidade","Confirmar ou estornar as OTs em doca/transferência ("&amp;FIXED(ABS(N67),1)&amp;" "&amp;D67&amp;"): guardar na posição ou baixar a entrega",IF(LEFT(K67,16)="Estoque antigo +","Confirmar saldo de 08/09 ("&amp;FIXED(ABS(M67),1)&amp;" "&amp;D67&amp;") e tratar as OTs em doca/transferência ("&amp;FIXED(ABS(N67),1)&amp;" "&amp;D67&amp;")",IF(ISNUMBER(SEARCH("não baixaram",K67)),"Confirmar a OT de saída (picking) das remessas para baixar "&amp;FIXED(ABS(I67-M67-N67),1)&amp;" "&amp;D67&amp;" do estoque físico"&amp;IF(M67+N67&gt;0,"; conferir também estoque antigo/doca",""),IF(LEFT(K67,7)="Explica","Confirmar saldo de 08/09 e OTs de doca; contar o lote para os "&amp;FIXED(ABS(I67-M67-N67),1)&amp;" "&amp;D67&amp;" restantes e ajustar a sobra se confirmada","Confirmar saldo de 08/09; se não existir, contar o lote e lançar ajuste de inventário de +"&amp;FIXED(ABS(I67),1)&amp;" "&amp;D67)))))))))</f>
        <v>Nenhum ajuste necessário</v>
      </c>
      <c r="M67" s="158" t="n">
        <f aca="false">MAX(0,SUMIFS('3 Base Estoque Físico'!$J$2:$J$5000,'3 Base Estoque Físico'!$A$2:$A$5000,$A67,'3 Base Estoque Físico'!$B$2:$B$5000,$B67,'3 Base Estoque Físico'!$I$2:$I$5000,"&lt;"&amp;DATE(2026,9,9))-U67)</f>
        <v>0</v>
      </c>
      <c r="N67" s="158" t="n">
        <f aca="false">SUMPRODUCT(('3 Base Estoque Físico'!$A$2:$A$5000=$A67)*('3 Base Estoque Físico'!$B$2:$B$5000=$B67)*('3 Base Estoque Físico'!$I$2:$I$5000&gt;=DATE(2026,9,9))*ISNUMBER(MATCH('3 Base Estoque Físico'!$C$2:$C$5000,{"DCK","TRF","922","FLR","DIF"},0))*'3 Base Estoque Físico'!$J$2:$J$5000)</f>
        <v>0</v>
      </c>
      <c r="O67" s="161" t="n">
        <f aca="false">IF(OR(J67="Confere",LEFT(K67,5)="Troca",ISNUMBER(SEARCH("não baixaram",K67))),0,IF(I67&gt;0,MAX(0,ROUND(I67-M67-N67,2)),I67))</f>
        <v>0</v>
      </c>
      <c r="P67" s="158" t="n">
        <f aca="false">SUMIFS('3 Base Saídas'!$R$2:$R$5000,'3 Base Saídas'!$B$2:$B$5000,$A67,'3 Base Saídas'!$C$2:$C$5000,$B67,'3 Base Saídas'!$E$2:$E$5000,"0355")</f>
        <v>0</v>
      </c>
      <c r="Q67" s="157" t="str">
        <f aca="false">IF(J67="Confere","—",IF(LEFT(K67,5)="Troca","Troca de lote",IF(LEFT(K67,6)="Entrou","Não localizado no estoque",IF(J67="Faltando","Falta sem explicação",IF(ISNUMBER(SEARCH("não baixaram",K67)),"Saída sem baixa no estoque",IF(LEFT(K67,10)="Quantidade","Doca/transferência pendente",IF(LEFT(K67,14)="Estoque antigo","Estoque anterior a 09/09",IF(LEFT(K67,7)="Explica","Sobra parcialmente explicada","Sobra sem explicação"))))))))</f>
        <v>—</v>
      </c>
      <c r="R67" s="162" t="str">
        <f aca="false">IF(J67="Confere","—",IF(OR(LEFT(K67,6)="Entrou",AND(I67&lt;0,ABS(O67)&gt;=Parâmetros!$K$6)),"Crítica",IF(OR(AND(I67&lt;0,O67&lt;&gt;0),O67&gt;=Parâmetros!$K$7),"Alta",IF(O67&gt;0,"Média","Baixa"))))</f>
        <v>—</v>
      </c>
      <c r="S67" s="157" t="str">
        <f aca="false">A67&amp;"|"&amp;B67</f>
        <v>CHK-D-413|261756201</v>
      </c>
      <c r="T67" s="157" t="n">
        <f aca="false">IF(ABS(O67)&gt;Parâmetros!$C$7,ABS(O67)+ROW()/10000000,0)</f>
        <v>0</v>
      </c>
      <c r="U67" s="158" t="n">
        <f aca="false">SUMIFS('3 Base Saldo Inicial 08-09'!$E$2:$E$5000,'3 Base Saldo Inicial 08-09'!$A$2:$A$5000,$A67,'3 Base Saldo Inicial 08-09'!$B$2:$B$5000,$B67)-SUMIFS('3 Base Saldo Inicial 08-09'!$E$2:$E$5000,'3 Base Saldo Inicial 08-09'!$A$2:$A$5000,$A67,'3 Base Saldo Inicial 08-09'!$B$2:$B$5000,$B67,'3 Base Saldo Inicial 08-09'!$C$2:$C$5000,"2008")</f>
        <v>0</v>
      </c>
    </row>
    <row r="68" customFormat="false" ht="15" hidden="false" customHeight="false" outlineLevel="0" collapsed="false">
      <c r="A68" s="155" t="s">
        <v>247</v>
      </c>
      <c r="B68" s="155" t="s">
        <v>350</v>
      </c>
      <c r="C68" s="156" t="s">
        <v>404</v>
      </c>
      <c r="D68" s="157" t="s">
        <v>65</v>
      </c>
      <c r="E68" s="158" t="n">
        <f aca="false">SUMIFS('aux Conciliação Lote'!$E$5:$E$98,'aux Conciliação Lote'!$A$5:$A$98,$A68,'aux Conciliação Lote'!$B$5:$B$98,$B68)</f>
        <v>0</v>
      </c>
      <c r="F68" s="158" t="n">
        <f aca="false">SUMIFS('aux Conciliação Lote'!$F$5:$F$98,'aux Conciliação Lote'!$A$5:$A$98,$A68,'aux Conciliação Lote'!$B$5:$B$98,$B68)</f>
        <v>0</v>
      </c>
      <c r="G68" s="158" t="n">
        <f aca="false">U68+E68-F68</f>
        <v>0</v>
      </c>
      <c r="H68" s="158" t="n">
        <f aca="false">SUMIFS('aux Conciliação Lote'!$H$5:$H$98,'aux Conciliação Lote'!$A$5:$A$98,$A68,'aux Conciliação Lote'!$B$5:$B$98,$B68)</f>
        <v>0</v>
      </c>
      <c r="I68" s="159" t="n">
        <f aca="false">ROUND(H68-G68,2)</f>
        <v>0</v>
      </c>
      <c r="J68" s="160" t="str">
        <f aca="false">IF(ABS(I68)&lt;=Parâmetros!$C$7,"Confere",IF(I68&gt;0,"Sobrando","Faltando"))</f>
        <v>Confere</v>
      </c>
      <c r="K68" s="155" t="str">
        <f aca="false">IF(J68="Confere","Sem diferença",IF(AND(J68&lt;&gt;"Confere",SUMPRODUCT(($A$14:$A$107=$A68)*($B$14:$B$107&lt;&gt;$B68)*(ABS($I$14:$I$107+$I68)&lt;=Parâmetros!$C$7))&gt;0),"Troca de lote: a mesma quantidade aparece com sinal oposto em outro lote deste SKU",IF(AND(I68&lt;0,H68=0,F68=0),"Entrou no ZBR, mas não está no estoque físico: não chegou ou foi guardado em outro lote",IF(I68&lt;0,"Estoque físico menor que o esperado: saída, ajuste ou perda não lançada no período",IF(ABS(I68-M68)&lt;=Parâmetros!$C$7,"Estoque antigo: toda a sobra está em posições sem movimento desde antes de 09/09",IF(AND(F68&gt;0,ABS(I68-F68)&lt;=Parâmetros!$C$7),"As saídas do período não baixaram o estoque físico",IF(ABS(I68-N68)&lt;=Parâmetros!$C$7,"Quantidade parada em doca, chão ou transferência: entrega ou devolução não baixada",IF(ABS(I68-M68-N68)&lt;=Parâmetros!$C$7,"Estoque antigo + quantidade em doca/chão/transferência",IF(AND(F68&gt;0,ABS(I68-M68-N68-F68)&lt;=Parâmetros!$C$7),IF(M68+N68&gt;0,"Estoque antigo/doca + saídas do período que","Saídas do período que")&amp;" não baixaram o estoque físico",IF(AND(P68&gt;0,ABS(I68-M68-N68-P68)&lt;=Parâmetros!$C$7),IF(M68+N68&gt;0,"Estoque antigo/doca + saídas","Saídas")&amp;" pelo depósito 0355 que não baixaram o estoque físico",IF(M68+N68&gt;0,"Explica em parte: estoque antigo "&amp;FIXED(M68,1)&amp;" + doca/transferência "&amp;FIXED(N68,1)&amp;"; faltam "&amp;FIXED(I68-M68-N68,1)&amp;" a explicar",IF(F68&gt;E68+U68,"Saiu mais do que entrou: havia estoque antes de 09/09 que não está no arquivo","Estoque acima do esperado: entrada não lançada ou saldo anterior ao período"))))))))))))</f>
        <v>Sem diferença</v>
      </c>
      <c r="L68" s="156" t="str">
        <f aca="false">IF(J68="Confere","Nenhum ajuste necessário",IF(LEFT(K68,5)="Troca","Transferir "&amp;FIXED(ABS(I68),1)&amp;" "&amp;D68&amp;" entre os lotes deste SKU (transferência lote a lote, mov. 309) para corrigir o lote",IF(LEFT(K68,6)="Entrou","Procurar a OT de armazenagem pendente no ZBR. Se não achar: contar e lançar ajuste de inventário de −"&amp;FIXED(ABS(I68),1)&amp;" "&amp;D68,IF(J68="Faltando","Contar o lote. Se a falta se confirmar: lançar a saída esquecida (601) ou ajuste de inventário de −"&amp;FIXED(ABS(I68),1)&amp;" "&amp;D68,IF(LEFT(K68,15)="Estoque antigo:","Confirmar no SAP o saldo de 08/09 ("&amp;FIXED(ABS(M68),1)&amp;" "&amp;D68&amp;"). Se estiver certo, não há ajuste",IF(LEFT(K68,10)="Quantidade","Confirmar ou estornar as OTs em doca/transferência ("&amp;FIXED(ABS(N68),1)&amp;" "&amp;D68&amp;"): guardar na posição ou baixar a entrega",IF(LEFT(K68,16)="Estoque antigo +","Confirmar saldo de 08/09 ("&amp;FIXED(ABS(M68),1)&amp;" "&amp;D68&amp;") e tratar as OTs em doca/transferência ("&amp;FIXED(ABS(N68),1)&amp;" "&amp;D68&amp;")",IF(ISNUMBER(SEARCH("não baixaram",K68)),"Confirmar a OT de saída (picking) das remessas para baixar "&amp;FIXED(ABS(I68-M68-N68),1)&amp;" "&amp;D68&amp;" do estoque físico"&amp;IF(M68+N68&gt;0,"; conferir também estoque antigo/doca",""),IF(LEFT(K68,7)="Explica","Confirmar saldo de 08/09 e OTs de doca; contar o lote para os "&amp;FIXED(ABS(I68-M68-N68),1)&amp;" "&amp;D68&amp;" restantes e ajustar a sobra se confirmada","Confirmar saldo de 08/09; se não existir, contar o lote e lançar ajuste de inventário de +"&amp;FIXED(ABS(I68),1)&amp;" "&amp;D68)))))))))</f>
        <v>Nenhum ajuste necessário</v>
      </c>
      <c r="M68" s="158" t="n">
        <f aca="false">MAX(0,SUMIFS('3 Base Estoque Físico'!$J$2:$J$5000,'3 Base Estoque Físico'!$A$2:$A$5000,$A68,'3 Base Estoque Físico'!$B$2:$B$5000,$B68,'3 Base Estoque Físico'!$I$2:$I$5000,"&lt;"&amp;DATE(2026,9,9))-U68)</f>
        <v>0</v>
      </c>
      <c r="N68" s="158" t="n">
        <f aca="false">SUMPRODUCT(('3 Base Estoque Físico'!$A$2:$A$5000=$A68)*('3 Base Estoque Físico'!$B$2:$B$5000=$B68)*('3 Base Estoque Físico'!$I$2:$I$5000&gt;=DATE(2026,9,9))*ISNUMBER(MATCH('3 Base Estoque Físico'!$C$2:$C$5000,{"DCK","TRF","922","FLR","DIF"},0))*'3 Base Estoque Físico'!$J$2:$J$5000)</f>
        <v>0</v>
      </c>
      <c r="O68" s="161" t="n">
        <f aca="false">IF(OR(J68="Confere",LEFT(K68,5)="Troca",ISNUMBER(SEARCH("não baixaram",K68))),0,IF(I68&gt;0,MAX(0,ROUND(I68-M68-N68,2)),I68))</f>
        <v>0</v>
      </c>
      <c r="P68" s="158" t="n">
        <f aca="false">SUMIFS('3 Base Saídas'!$R$2:$R$5000,'3 Base Saídas'!$B$2:$B$5000,$A68,'3 Base Saídas'!$C$2:$C$5000,$B68,'3 Base Saídas'!$E$2:$E$5000,"0355")</f>
        <v>0</v>
      </c>
      <c r="Q68" s="157" t="str">
        <f aca="false">IF(J68="Confere","—",IF(LEFT(K68,5)="Troca","Troca de lote",IF(LEFT(K68,6)="Entrou","Não localizado no estoque",IF(J68="Faltando","Falta sem explicação",IF(ISNUMBER(SEARCH("não baixaram",K68)),"Saída sem baixa no estoque",IF(LEFT(K68,10)="Quantidade","Doca/transferência pendente",IF(LEFT(K68,14)="Estoque antigo","Estoque anterior a 09/09",IF(LEFT(K68,7)="Explica","Sobra parcialmente explicada","Sobra sem explicação"))))))))</f>
        <v>—</v>
      </c>
      <c r="R68" s="162" t="str">
        <f aca="false">IF(J68="Confere","—",IF(OR(LEFT(K68,6)="Entrou",AND(I68&lt;0,ABS(O68)&gt;=Parâmetros!$K$6)),"Crítica",IF(OR(AND(I68&lt;0,O68&lt;&gt;0),O68&gt;=Parâmetros!$K$7),"Alta",IF(O68&gt;0,"Média","Baixa"))))</f>
        <v>—</v>
      </c>
      <c r="S68" s="157" t="str">
        <f aca="false">A68&amp;"|"&amp;B68</f>
        <v>CHK-R30GOLD-BR-25A|252750301</v>
      </c>
      <c r="T68" s="157" t="n">
        <f aca="false">IF(ABS(O68)&gt;Parâmetros!$C$7,ABS(O68)+ROW()/10000000,0)</f>
        <v>0</v>
      </c>
      <c r="U68" s="158" t="n">
        <f aca="false">SUMIFS('3 Base Saldo Inicial 08-09'!$E$2:$E$5000,'3 Base Saldo Inicial 08-09'!$A$2:$A$5000,$A68,'3 Base Saldo Inicial 08-09'!$B$2:$B$5000,$B68)-SUMIFS('3 Base Saldo Inicial 08-09'!$E$2:$E$5000,'3 Base Saldo Inicial 08-09'!$A$2:$A$5000,$A68,'3 Base Saldo Inicial 08-09'!$B$2:$B$5000,$B68,'3 Base Saldo Inicial 08-09'!$C$2:$C$5000,"2008")</f>
        <v>0</v>
      </c>
    </row>
    <row r="69" customFormat="false" ht="15" hidden="false" customHeight="false" outlineLevel="0" collapsed="false">
      <c r="A69" s="155" t="s">
        <v>351</v>
      </c>
      <c r="B69" s="155" t="s">
        <v>352</v>
      </c>
      <c r="C69" s="156"/>
      <c r="D69" s="157" t="s">
        <v>65</v>
      </c>
      <c r="E69" s="158" t="n">
        <f aca="false">SUMIFS('aux Conciliação Lote'!$E$5:$E$98,'aux Conciliação Lote'!$A$5:$A$98,$A69,'aux Conciliação Lote'!$B$5:$B$98,$B69)</f>
        <v>0</v>
      </c>
      <c r="F69" s="158" t="n">
        <f aca="false">SUMIFS('aux Conciliação Lote'!$F$5:$F$98,'aux Conciliação Lote'!$A$5:$A$98,$A69,'aux Conciliação Lote'!$B$5:$B$98,$B69)</f>
        <v>0</v>
      </c>
      <c r="G69" s="158" t="n">
        <f aca="false">U69+E69-F69</f>
        <v>0</v>
      </c>
      <c r="H69" s="158" t="n">
        <f aca="false">SUMIFS('aux Conciliação Lote'!$H$5:$H$98,'aux Conciliação Lote'!$A$5:$A$98,$A69,'aux Conciliação Lote'!$B$5:$B$98,$B69)</f>
        <v>0</v>
      </c>
      <c r="I69" s="159" t="n">
        <f aca="false">ROUND(H69-G69,2)</f>
        <v>0</v>
      </c>
      <c r="J69" s="160" t="str">
        <f aca="false">IF(ABS(I69)&lt;=Parâmetros!$C$7,"Confere",IF(I69&gt;0,"Sobrando","Faltando"))</f>
        <v>Confere</v>
      </c>
      <c r="K69" s="155" t="str">
        <f aca="false">IF(J69="Confere","Sem diferença",IF(AND(J69&lt;&gt;"Confere",SUMPRODUCT(($A$14:$A$107=$A69)*($B$14:$B$107&lt;&gt;$B69)*(ABS($I$14:$I$107+$I69)&lt;=Parâmetros!$C$7))&gt;0),"Troca de lote: a mesma quantidade aparece com sinal oposto em outro lote deste SKU",IF(AND(I69&lt;0,H69=0,F69=0),"Entrou no ZBR, mas não está no estoque físico: não chegou ou foi guardado em outro lote",IF(I69&lt;0,"Estoque físico menor que o esperado: saída, ajuste ou perda não lançada no período",IF(ABS(I69-M69)&lt;=Parâmetros!$C$7,"Estoque antigo: toda a sobra está em posições sem movimento desde antes de 09/09",IF(AND(F69&gt;0,ABS(I69-F69)&lt;=Parâmetros!$C$7),"As saídas do período não baixaram o estoque físico",IF(ABS(I69-N69)&lt;=Parâmetros!$C$7,"Quantidade parada em doca, chão ou transferência: entrega ou devolução não baixada",IF(ABS(I69-M69-N69)&lt;=Parâmetros!$C$7,"Estoque antigo + quantidade em doca/chão/transferência",IF(AND(F69&gt;0,ABS(I69-M69-N69-F69)&lt;=Parâmetros!$C$7),IF(M69+N69&gt;0,"Estoque antigo/doca + saídas do período que","Saídas do período que")&amp;" não baixaram o estoque físico",IF(AND(P69&gt;0,ABS(I69-M69-N69-P69)&lt;=Parâmetros!$C$7),IF(M69+N69&gt;0,"Estoque antigo/doca + saídas","Saídas")&amp;" pelo depósito 0355 que não baixaram o estoque físico",IF(M69+N69&gt;0,"Explica em parte: estoque antigo "&amp;FIXED(M69,1)&amp;" + doca/transferência "&amp;FIXED(N69,1)&amp;"; faltam "&amp;FIXED(I69-M69-N69,1)&amp;" a explicar",IF(F69&gt;E69+U69,"Saiu mais do que entrou: havia estoque antes de 09/09 que não está no arquivo","Estoque acima do esperado: entrada não lançada ou saldo anterior ao período"))))))))))))</f>
        <v>Sem diferença</v>
      </c>
      <c r="L69" s="156" t="str">
        <f aca="false">IF(J69="Confere","Nenhum ajuste necessário",IF(LEFT(K69,5)="Troca","Transferir "&amp;FIXED(ABS(I69),1)&amp;" "&amp;D69&amp;" entre os lotes deste SKU (transferência lote a lote, mov. 309) para corrigir o lote",IF(LEFT(K69,6)="Entrou","Procurar a OT de armazenagem pendente no ZBR. Se não achar: contar e lançar ajuste de inventário de −"&amp;FIXED(ABS(I69),1)&amp;" "&amp;D69,IF(J69="Faltando","Contar o lote. Se a falta se confirmar: lançar a saída esquecida (601) ou ajuste de inventário de −"&amp;FIXED(ABS(I69),1)&amp;" "&amp;D69,IF(LEFT(K69,15)="Estoque antigo:","Confirmar no SAP o saldo de 08/09 ("&amp;FIXED(ABS(M69),1)&amp;" "&amp;D69&amp;"). Se estiver certo, não há ajuste",IF(LEFT(K69,10)="Quantidade","Confirmar ou estornar as OTs em doca/transferência ("&amp;FIXED(ABS(N69),1)&amp;" "&amp;D69&amp;"): guardar na posição ou baixar a entrega",IF(LEFT(K69,16)="Estoque antigo +","Confirmar saldo de 08/09 ("&amp;FIXED(ABS(M69),1)&amp;" "&amp;D69&amp;") e tratar as OTs em doca/transferência ("&amp;FIXED(ABS(N69),1)&amp;" "&amp;D69&amp;")",IF(ISNUMBER(SEARCH("não baixaram",K69)),"Confirmar a OT de saída (picking) das remessas para baixar "&amp;FIXED(ABS(I69-M69-N69),1)&amp;" "&amp;D69&amp;" do estoque físico"&amp;IF(M69+N69&gt;0,"; conferir também estoque antigo/doca",""),IF(LEFT(K69,7)="Explica","Confirmar saldo de 08/09 e OTs de doca; contar o lote para os "&amp;FIXED(ABS(I69-M69-N69),1)&amp;" "&amp;D69&amp;" restantes e ajustar a sobra se confirmada","Confirmar saldo de 08/09; se não existir, contar o lote e lançar ajuste de inventário de +"&amp;FIXED(ABS(I69),1)&amp;" "&amp;D69)))))))))</f>
        <v>Nenhum ajuste necessário</v>
      </c>
      <c r="M69" s="158" t="n">
        <f aca="false">MAX(0,SUMIFS('3 Base Estoque Físico'!$J$2:$J$5000,'3 Base Estoque Físico'!$A$2:$A$5000,$A69,'3 Base Estoque Físico'!$B$2:$B$5000,$B69,'3 Base Estoque Físico'!$I$2:$I$5000,"&lt;"&amp;DATE(2026,9,9))-U69)</f>
        <v>0</v>
      </c>
      <c r="N69" s="158" t="n">
        <f aca="false">SUMPRODUCT(('3 Base Estoque Físico'!$A$2:$A$5000=$A69)*('3 Base Estoque Físico'!$B$2:$B$5000=$B69)*('3 Base Estoque Físico'!$I$2:$I$5000&gt;=DATE(2026,9,9))*ISNUMBER(MATCH('3 Base Estoque Físico'!$C$2:$C$5000,{"DCK","TRF","922","FLR","DIF"},0))*'3 Base Estoque Físico'!$J$2:$J$5000)</f>
        <v>0</v>
      </c>
      <c r="O69" s="161" t="n">
        <f aca="false">IF(OR(J69="Confere",LEFT(K69,5)="Troca",ISNUMBER(SEARCH("não baixaram",K69))),0,IF(I69&gt;0,MAX(0,ROUND(I69-M69-N69,2)),I69))</f>
        <v>0</v>
      </c>
      <c r="P69" s="158" t="n">
        <f aca="false">SUMIFS('3 Base Saídas'!$R$2:$R$5000,'3 Base Saídas'!$B$2:$B$5000,$A69,'3 Base Saídas'!$C$2:$C$5000,$B69,'3 Base Saídas'!$E$2:$E$5000,"0355")</f>
        <v>0</v>
      </c>
      <c r="Q69" s="157" t="str">
        <f aca="false">IF(J69="Confere","—",IF(LEFT(K69,5)="Troca","Troca de lote",IF(LEFT(K69,6)="Entrou","Não localizado no estoque",IF(J69="Faltando","Falta sem explicação",IF(ISNUMBER(SEARCH("não baixaram",K69)),"Saída sem baixa no estoque",IF(LEFT(K69,10)="Quantidade","Doca/transferência pendente",IF(LEFT(K69,14)="Estoque antigo","Estoque anterior a 09/09",IF(LEFT(K69,7)="Explica","Sobra parcialmente explicada","Sobra sem explicação"))))))))</f>
        <v>—</v>
      </c>
      <c r="R69" s="162" t="str">
        <f aca="false">IF(J69="Confere","—",IF(OR(LEFT(K69,6)="Entrou",AND(I69&lt;0,ABS(O69)&gt;=Parâmetros!$K$6)),"Crítica",IF(OR(AND(I69&lt;0,O69&lt;&gt;0),O69&gt;=Parâmetros!$K$7),"Alta",IF(O69&gt;0,"Média","Baixa"))))</f>
        <v>—</v>
      </c>
      <c r="S69" s="157" t="str">
        <f aca="false">A69&amp;"|"&amp;B69</f>
        <v>CHK-W-413|260536201</v>
      </c>
      <c r="T69" s="157" t="n">
        <f aca="false">IF(ABS(O69)&gt;Parâmetros!$C$7,ABS(O69)+ROW()/10000000,0)</f>
        <v>0</v>
      </c>
      <c r="U69" s="158" t="n">
        <f aca="false">SUMIFS('3 Base Saldo Inicial 08-09'!$E$2:$E$5000,'3 Base Saldo Inicial 08-09'!$A$2:$A$5000,$A69,'3 Base Saldo Inicial 08-09'!$B$2:$B$5000,$B69)-SUMIFS('3 Base Saldo Inicial 08-09'!$E$2:$E$5000,'3 Base Saldo Inicial 08-09'!$A$2:$A$5000,$A69,'3 Base Saldo Inicial 08-09'!$B$2:$B$5000,$B69,'3 Base Saldo Inicial 08-09'!$C$2:$C$5000,"2008")</f>
        <v>0</v>
      </c>
    </row>
    <row r="70" customFormat="false" ht="15" hidden="false" customHeight="false" outlineLevel="0" collapsed="false">
      <c r="A70" s="155" t="s">
        <v>356</v>
      </c>
      <c r="B70" s="155" t="s">
        <v>357</v>
      </c>
      <c r="C70" s="156"/>
      <c r="D70" s="157" t="s">
        <v>65</v>
      </c>
      <c r="E70" s="158" t="n">
        <f aca="false">SUMIFS('aux Conciliação Lote'!$E$5:$E$98,'aux Conciliação Lote'!$A$5:$A$98,$A70,'aux Conciliação Lote'!$B$5:$B$98,$B70)</f>
        <v>0</v>
      </c>
      <c r="F70" s="158" t="n">
        <f aca="false">SUMIFS('aux Conciliação Lote'!$F$5:$F$98,'aux Conciliação Lote'!$A$5:$A$98,$A70,'aux Conciliação Lote'!$B$5:$B$98,$B70)</f>
        <v>0</v>
      </c>
      <c r="G70" s="158" t="n">
        <f aca="false">U70+E70-F70</f>
        <v>0</v>
      </c>
      <c r="H70" s="158" t="n">
        <f aca="false">SUMIFS('aux Conciliação Lote'!$H$5:$H$98,'aux Conciliação Lote'!$A$5:$A$98,$A70,'aux Conciliação Lote'!$B$5:$B$98,$B70)</f>
        <v>0</v>
      </c>
      <c r="I70" s="159" t="n">
        <f aca="false">ROUND(H70-G70,2)</f>
        <v>0</v>
      </c>
      <c r="J70" s="160" t="str">
        <f aca="false">IF(ABS(I70)&lt;=Parâmetros!$C$7,"Confere",IF(I70&gt;0,"Sobrando","Faltando"))</f>
        <v>Confere</v>
      </c>
      <c r="K70" s="155" t="str">
        <f aca="false">IF(J70="Confere","Sem diferença",IF(AND(J70&lt;&gt;"Confere",SUMPRODUCT(($A$14:$A$107=$A70)*($B$14:$B$107&lt;&gt;$B70)*(ABS($I$14:$I$107+$I70)&lt;=Parâmetros!$C$7))&gt;0),"Troca de lote: a mesma quantidade aparece com sinal oposto em outro lote deste SKU",IF(AND(I70&lt;0,H70=0,F70=0),"Entrou no ZBR, mas não está no estoque físico: não chegou ou foi guardado em outro lote",IF(I70&lt;0,"Estoque físico menor que o esperado: saída, ajuste ou perda não lançada no período",IF(ABS(I70-M70)&lt;=Parâmetros!$C$7,"Estoque antigo: toda a sobra está em posições sem movimento desde antes de 09/09",IF(AND(F70&gt;0,ABS(I70-F70)&lt;=Parâmetros!$C$7),"As saídas do período não baixaram o estoque físico",IF(ABS(I70-N70)&lt;=Parâmetros!$C$7,"Quantidade parada em doca, chão ou transferência: entrega ou devolução não baixada",IF(ABS(I70-M70-N70)&lt;=Parâmetros!$C$7,"Estoque antigo + quantidade em doca/chão/transferência",IF(AND(F70&gt;0,ABS(I70-M70-N70-F70)&lt;=Parâmetros!$C$7),IF(M70+N70&gt;0,"Estoque antigo/doca + saídas do período que","Saídas do período que")&amp;" não baixaram o estoque físico",IF(AND(P70&gt;0,ABS(I70-M70-N70-P70)&lt;=Parâmetros!$C$7),IF(M70+N70&gt;0,"Estoque antigo/doca + saídas","Saídas")&amp;" pelo depósito 0355 que não baixaram o estoque físico",IF(M70+N70&gt;0,"Explica em parte: estoque antigo "&amp;FIXED(M70,1)&amp;" + doca/transferência "&amp;FIXED(N70,1)&amp;"; faltam "&amp;FIXED(I70-M70-N70,1)&amp;" a explicar",IF(F70&gt;E70+U70,"Saiu mais do que entrou: havia estoque antes de 09/09 que não está no arquivo","Estoque acima do esperado: entrada não lançada ou saldo anterior ao período"))))))))))))</f>
        <v>Sem diferença</v>
      </c>
      <c r="L70" s="156" t="str">
        <f aca="false">IF(J70="Confere","Nenhum ajuste necessário",IF(LEFT(K70,5)="Troca","Transferir "&amp;FIXED(ABS(I70),1)&amp;" "&amp;D70&amp;" entre os lotes deste SKU (transferência lote a lote, mov. 309) para corrigir o lote",IF(LEFT(K70,6)="Entrou","Procurar a OT de armazenagem pendente no ZBR. Se não achar: contar e lançar ajuste de inventário de −"&amp;FIXED(ABS(I70),1)&amp;" "&amp;D70,IF(J70="Faltando","Contar o lote. Se a falta se confirmar: lançar a saída esquecida (601) ou ajuste de inventário de −"&amp;FIXED(ABS(I70),1)&amp;" "&amp;D70,IF(LEFT(K70,15)="Estoque antigo:","Confirmar no SAP o saldo de 08/09 ("&amp;FIXED(ABS(M70),1)&amp;" "&amp;D70&amp;"). Se estiver certo, não há ajuste",IF(LEFT(K70,10)="Quantidade","Confirmar ou estornar as OTs em doca/transferência ("&amp;FIXED(ABS(N70),1)&amp;" "&amp;D70&amp;"): guardar na posição ou baixar a entrega",IF(LEFT(K70,16)="Estoque antigo +","Confirmar saldo de 08/09 ("&amp;FIXED(ABS(M70),1)&amp;" "&amp;D70&amp;") e tratar as OTs em doca/transferência ("&amp;FIXED(ABS(N70),1)&amp;" "&amp;D70&amp;")",IF(ISNUMBER(SEARCH("não baixaram",K70)),"Confirmar a OT de saída (picking) das remessas para baixar "&amp;FIXED(ABS(I70-M70-N70),1)&amp;" "&amp;D70&amp;" do estoque físico"&amp;IF(M70+N70&gt;0,"; conferir também estoque antigo/doca",""),IF(LEFT(K70,7)="Explica","Confirmar saldo de 08/09 e OTs de doca; contar o lote para os "&amp;FIXED(ABS(I70-M70-N70),1)&amp;" "&amp;D70&amp;" restantes e ajustar a sobra se confirmada","Confirmar saldo de 08/09; se não existir, contar o lote e lançar ajuste de inventário de +"&amp;FIXED(ABS(I70),1)&amp;" "&amp;D70)))))))))</f>
        <v>Nenhum ajuste necessário</v>
      </c>
      <c r="M70" s="158" t="n">
        <f aca="false">MAX(0,SUMIFS('3 Base Estoque Físico'!$J$2:$J$5000,'3 Base Estoque Físico'!$A$2:$A$5000,$A70,'3 Base Estoque Físico'!$B$2:$B$5000,$B70,'3 Base Estoque Físico'!$I$2:$I$5000,"&lt;"&amp;DATE(2026,9,9))-U70)</f>
        <v>0</v>
      </c>
      <c r="N70" s="158" t="n">
        <f aca="false">SUMPRODUCT(('3 Base Estoque Físico'!$A$2:$A$5000=$A70)*('3 Base Estoque Físico'!$B$2:$B$5000=$B70)*('3 Base Estoque Físico'!$I$2:$I$5000&gt;=DATE(2026,9,9))*ISNUMBER(MATCH('3 Base Estoque Físico'!$C$2:$C$5000,{"DCK","TRF","922","FLR","DIF"},0))*'3 Base Estoque Físico'!$J$2:$J$5000)</f>
        <v>0</v>
      </c>
      <c r="O70" s="161" t="n">
        <f aca="false">IF(OR(J70="Confere",LEFT(K70,5)="Troca",ISNUMBER(SEARCH("não baixaram",K70))),0,IF(I70&gt;0,MAX(0,ROUND(I70-M70-N70,2)),I70))</f>
        <v>0</v>
      </c>
      <c r="P70" s="158" t="n">
        <f aca="false">SUMIFS('3 Base Saídas'!$R$2:$R$5000,'3 Base Saídas'!$B$2:$B$5000,$A70,'3 Base Saídas'!$C$2:$C$5000,$B70,'3 Base Saídas'!$E$2:$E$5000,"0355")</f>
        <v>0</v>
      </c>
      <c r="Q70" s="157" t="str">
        <f aca="false">IF(J70="Confere","—",IF(LEFT(K70,5)="Troca","Troca de lote",IF(LEFT(K70,6)="Entrou","Não localizado no estoque",IF(J70="Faltando","Falta sem explicação",IF(ISNUMBER(SEARCH("não baixaram",K70)),"Saída sem baixa no estoque",IF(LEFT(K70,10)="Quantidade","Doca/transferência pendente",IF(LEFT(K70,14)="Estoque antigo","Estoque anterior a 09/09",IF(LEFT(K70,7)="Explica","Sobra parcialmente explicada","Sobra sem explicação"))))))))</f>
        <v>—</v>
      </c>
      <c r="R70" s="162" t="str">
        <f aca="false">IF(J70="Confere","—",IF(OR(LEFT(K70,6)="Entrou",AND(I70&lt;0,ABS(O70)&gt;=Parâmetros!$K$6)),"Crítica",IF(OR(AND(I70&lt;0,O70&lt;&gt;0),O70&gt;=Parâmetros!$K$7),"Alta",IF(O70&gt;0,"Média","Baixa"))))</f>
        <v>—</v>
      </c>
      <c r="S70" s="157" t="str">
        <f aca="false">A70&amp;"|"&amp;B70</f>
        <v>CHM-Q41ALUN-2B-U73|260660303</v>
      </c>
      <c r="T70" s="157" t="n">
        <f aca="false">IF(ABS(O70)&gt;Parâmetros!$C$7,ABS(O70)+ROW()/10000000,0)</f>
        <v>0</v>
      </c>
      <c r="U70" s="158" t="n">
        <f aca="false">SUMIFS('3 Base Saldo Inicial 08-09'!$E$2:$E$5000,'3 Base Saldo Inicial 08-09'!$A$2:$A$5000,$A70,'3 Base Saldo Inicial 08-09'!$B$2:$B$5000,$B70)-SUMIFS('3 Base Saldo Inicial 08-09'!$E$2:$E$5000,'3 Base Saldo Inicial 08-09'!$A$2:$A$5000,$A70,'3 Base Saldo Inicial 08-09'!$B$2:$B$5000,$B70,'3 Base Saldo Inicial 08-09'!$C$2:$C$5000,"2008")</f>
        <v>0</v>
      </c>
    </row>
    <row r="71" customFormat="false" ht="15" hidden="false" customHeight="false" outlineLevel="0" collapsed="false">
      <c r="A71" s="155" t="s">
        <v>257</v>
      </c>
      <c r="B71" s="155" t="s">
        <v>209</v>
      </c>
      <c r="C71" s="156" t="s">
        <v>1152</v>
      </c>
      <c r="D71" s="157" t="s">
        <v>65</v>
      </c>
      <c r="E71" s="158" t="n">
        <f aca="false">SUMIFS('aux Conciliação Lote'!$E$5:$E$98,'aux Conciliação Lote'!$A$5:$A$98,$A71,'aux Conciliação Lote'!$B$5:$B$98,$B71)</f>
        <v>288</v>
      </c>
      <c r="F71" s="158" t="n">
        <f aca="false">SUMIFS('aux Conciliação Lote'!$F$5:$F$98,'aux Conciliação Lote'!$A$5:$A$98,$A71,'aux Conciliação Lote'!$B$5:$B$98,$B71)</f>
        <v>0</v>
      </c>
      <c r="G71" s="158" t="n">
        <f aca="false">U71+E71-F71</f>
        <v>288</v>
      </c>
      <c r="H71" s="158" t="n">
        <f aca="false">SUMIFS('aux Conciliação Lote'!$H$5:$H$98,'aux Conciliação Lote'!$A$5:$A$98,$A71,'aux Conciliação Lote'!$B$5:$B$98,$B71)</f>
        <v>288</v>
      </c>
      <c r="I71" s="159" t="n">
        <f aca="false">ROUND(H71-G71,2)</f>
        <v>0</v>
      </c>
      <c r="J71" s="160" t="str">
        <f aca="false">IF(ABS(I71)&lt;=Parâmetros!$C$7,"Confere",IF(I71&gt;0,"Sobrando","Faltando"))</f>
        <v>Confere</v>
      </c>
      <c r="K71" s="155" t="str">
        <f aca="false">IF(J71="Confere","Sem diferença",IF(AND(J71&lt;&gt;"Confere",SUMPRODUCT(($A$14:$A$107=$A71)*($B$14:$B$107&lt;&gt;$B71)*(ABS($I$14:$I$107+$I71)&lt;=Parâmetros!$C$7))&gt;0),"Troca de lote: a mesma quantidade aparece com sinal oposto em outro lote deste SKU",IF(AND(I71&lt;0,H71=0,F71=0),"Entrou no ZBR, mas não está no estoque físico: não chegou ou foi guardado em outro lote",IF(I71&lt;0,"Estoque físico menor que o esperado: saída, ajuste ou perda não lançada no período",IF(ABS(I71-M71)&lt;=Parâmetros!$C$7,"Estoque antigo: toda a sobra está em posições sem movimento desde antes de 09/09",IF(AND(F71&gt;0,ABS(I71-F71)&lt;=Parâmetros!$C$7),"As saídas do período não baixaram o estoque físico",IF(ABS(I71-N71)&lt;=Parâmetros!$C$7,"Quantidade parada em doca, chão ou transferência: entrega ou devolução não baixada",IF(ABS(I71-M71-N71)&lt;=Parâmetros!$C$7,"Estoque antigo + quantidade em doca/chão/transferência",IF(AND(F71&gt;0,ABS(I71-M71-N71-F71)&lt;=Parâmetros!$C$7),IF(M71+N71&gt;0,"Estoque antigo/doca + saídas do período que","Saídas do período que")&amp;" não baixaram o estoque físico",IF(AND(P71&gt;0,ABS(I71-M71-N71-P71)&lt;=Parâmetros!$C$7),IF(M71+N71&gt;0,"Estoque antigo/doca + saídas","Saídas")&amp;" pelo depósito 0355 que não baixaram o estoque físico",IF(M71+N71&gt;0,"Explica em parte: estoque antigo "&amp;FIXED(M71,1)&amp;" + doca/transferência "&amp;FIXED(N71,1)&amp;"; faltam "&amp;FIXED(I71-M71-N71,1)&amp;" a explicar",IF(F71&gt;E71+U71,"Saiu mais do que entrou: havia estoque antes de 09/09 que não está no arquivo","Estoque acima do esperado: entrada não lançada ou saldo anterior ao período"))))))))))))</f>
        <v>Sem diferença</v>
      </c>
      <c r="L71" s="156" t="str">
        <f aca="false">IF(J71="Confere","Nenhum ajuste necessário",IF(LEFT(K71,5)="Troca","Transferir "&amp;FIXED(ABS(I71),1)&amp;" "&amp;D71&amp;" entre os lotes deste SKU (transferência lote a lote, mov. 309) para corrigir o lote",IF(LEFT(K71,6)="Entrou","Procurar a OT de armazenagem pendente no ZBR. Se não achar: contar e lançar ajuste de inventário de −"&amp;FIXED(ABS(I71),1)&amp;" "&amp;D71,IF(J71="Faltando","Contar o lote. Se a falta se confirmar: lançar a saída esquecida (601) ou ajuste de inventário de −"&amp;FIXED(ABS(I71),1)&amp;" "&amp;D71,IF(LEFT(K71,15)="Estoque antigo:","Confirmar no SAP o saldo de 08/09 ("&amp;FIXED(ABS(M71),1)&amp;" "&amp;D71&amp;"). Se estiver certo, não há ajuste",IF(LEFT(K71,10)="Quantidade","Confirmar ou estornar as OTs em doca/transferência ("&amp;FIXED(ABS(N71),1)&amp;" "&amp;D71&amp;"): guardar na posição ou baixar a entrega",IF(LEFT(K71,16)="Estoque antigo +","Confirmar saldo de 08/09 ("&amp;FIXED(ABS(M71),1)&amp;" "&amp;D71&amp;") e tratar as OTs em doca/transferência ("&amp;FIXED(ABS(N71),1)&amp;" "&amp;D71&amp;")",IF(ISNUMBER(SEARCH("não baixaram",K71)),"Confirmar a OT de saída (picking) das remessas para baixar "&amp;FIXED(ABS(I71-M71-N71),1)&amp;" "&amp;D71&amp;" do estoque físico"&amp;IF(M71+N71&gt;0,"; conferir também estoque antigo/doca",""),IF(LEFT(K71,7)="Explica","Confirmar saldo de 08/09 e OTs de doca; contar o lote para os "&amp;FIXED(ABS(I71-M71-N71),1)&amp;" "&amp;D71&amp;" restantes e ajustar a sobra se confirmada","Confirmar saldo de 08/09; se não existir, contar o lote e lançar ajuste de inventário de +"&amp;FIXED(ABS(I71),1)&amp;" "&amp;D71)))))))))</f>
        <v>Nenhum ajuste necessário</v>
      </c>
      <c r="M71" s="158" t="n">
        <f aca="false">MAX(0,SUMIFS('3 Base Estoque Físico'!$J$2:$J$5000,'3 Base Estoque Físico'!$A$2:$A$5000,$A71,'3 Base Estoque Físico'!$B$2:$B$5000,$B71,'3 Base Estoque Físico'!$I$2:$I$5000,"&lt;"&amp;DATE(2026,9,9))-U71)</f>
        <v>0</v>
      </c>
      <c r="N71" s="158" t="n">
        <f aca="false">SUMPRODUCT(('3 Base Estoque Físico'!$A$2:$A$5000=$A71)*('3 Base Estoque Físico'!$B$2:$B$5000=$B71)*('3 Base Estoque Físico'!$I$2:$I$5000&gt;=DATE(2026,9,9))*ISNUMBER(MATCH('3 Base Estoque Físico'!$C$2:$C$5000,{"DCK","TRF","922","FLR","DIF"},0))*'3 Base Estoque Físico'!$J$2:$J$5000)</f>
        <v>0</v>
      </c>
      <c r="O71" s="161" t="n">
        <f aca="false">IF(OR(J71="Confere",LEFT(K71,5)="Troca",ISNUMBER(SEARCH("não baixaram",K71))),0,IF(I71&gt;0,MAX(0,ROUND(I71-M71-N71,2)),I71))</f>
        <v>0</v>
      </c>
      <c r="P71" s="158" t="n">
        <f aca="false">SUMIFS('3 Base Saídas'!$R$2:$R$5000,'3 Base Saídas'!$B$2:$B$5000,$A71,'3 Base Saídas'!$C$2:$C$5000,$B71,'3 Base Saídas'!$E$2:$E$5000,"0355")</f>
        <v>0</v>
      </c>
      <c r="Q71" s="157" t="str">
        <f aca="false">IF(J71="Confere","—",IF(LEFT(K71,5)="Troca","Troca de lote",IF(LEFT(K71,6)="Entrou","Não localizado no estoque",IF(J71="Faltando","Falta sem explicação",IF(ISNUMBER(SEARCH("não baixaram",K71)),"Saída sem baixa no estoque",IF(LEFT(K71,10)="Quantidade","Doca/transferência pendente",IF(LEFT(K71,14)="Estoque antigo","Estoque anterior a 09/09",IF(LEFT(K71,7)="Explica","Sobra parcialmente explicada","Sobra sem explicação"))))))))</f>
        <v>—</v>
      </c>
      <c r="R71" s="162" t="str">
        <f aca="false">IF(J71="Confere","—",IF(OR(LEFT(K71,6)="Entrou",AND(I71&lt;0,ABS(O71)&gt;=Parâmetros!$K$6)),"Crítica",IF(OR(AND(I71&lt;0,O71&lt;&gt;0),O71&gt;=Parâmetros!$K$7),"Alta",IF(O71&gt;0,"Média","Baixa"))))</f>
        <v>—</v>
      </c>
      <c r="S71" s="157" t="str">
        <f aca="false">A71&amp;"|"&amp;B71</f>
        <v>CHM-SP-Z3L-BR-U73|250880301</v>
      </c>
      <c r="T71" s="157" t="n">
        <f aca="false">IF(ABS(O71)&gt;Parâmetros!$C$7,ABS(O71)+ROW()/10000000,0)</f>
        <v>0</v>
      </c>
      <c r="U71" s="158" t="n">
        <f aca="false">SUMIFS('3 Base Saldo Inicial 08-09'!$E$2:$E$5000,'3 Base Saldo Inicial 08-09'!$A$2:$A$5000,$A71,'3 Base Saldo Inicial 08-09'!$B$2:$B$5000,$B71)-SUMIFS('3 Base Saldo Inicial 08-09'!$E$2:$E$5000,'3 Base Saldo Inicial 08-09'!$A$2:$A$5000,$A71,'3 Base Saldo Inicial 08-09'!$B$2:$B$5000,$B71,'3 Base Saldo Inicial 08-09'!$C$2:$C$5000,"2008")</f>
        <v>0</v>
      </c>
    </row>
    <row r="72" customFormat="false" ht="15" hidden="false" customHeight="false" outlineLevel="0" collapsed="false">
      <c r="A72" s="155" t="s">
        <v>358</v>
      </c>
      <c r="B72" s="155" t="s">
        <v>360</v>
      </c>
      <c r="C72" s="156"/>
      <c r="D72" s="157" t="s">
        <v>65</v>
      </c>
      <c r="E72" s="158" t="n">
        <f aca="false">SUMIFS('aux Conciliação Lote'!$E$5:$E$98,'aux Conciliação Lote'!$A$5:$A$98,$A72,'aux Conciliação Lote'!$B$5:$B$98,$B72)</f>
        <v>0</v>
      </c>
      <c r="F72" s="158" t="n">
        <f aca="false">SUMIFS('aux Conciliação Lote'!$F$5:$F$98,'aux Conciliação Lote'!$A$5:$A$98,$A72,'aux Conciliação Lote'!$B$5:$B$98,$B72)</f>
        <v>0</v>
      </c>
      <c r="G72" s="158" t="n">
        <f aca="false">U72+E72-F72</f>
        <v>0</v>
      </c>
      <c r="H72" s="158" t="n">
        <f aca="false">SUMIFS('aux Conciliação Lote'!$H$5:$H$98,'aux Conciliação Lote'!$A$5:$A$98,$A72,'aux Conciliação Lote'!$B$5:$B$98,$B72)</f>
        <v>0</v>
      </c>
      <c r="I72" s="159" t="n">
        <f aca="false">ROUND(H72-G72,2)</f>
        <v>0</v>
      </c>
      <c r="J72" s="160" t="str">
        <f aca="false">IF(ABS(I72)&lt;=Parâmetros!$C$7,"Confere",IF(I72&gt;0,"Sobrando","Faltando"))</f>
        <v>Confere</v>
      </c>
      <c r="K72" s="155" t="str">
        <f aca="false">IF(J72="Confere","Sem diferença",IF(AND(J72&lt;&gt;"Confere",SUMPRODUCT(($A$14:$A$107=$A72)*($B$14:$B$107&lt;&gt;$B72)*(ABS($I$14:$I$107+$I72)&lt;=Parâmetros!$C$7))&gt;0),"Troca de lote: a mesma quantidade aparece com sinal oposto em outro lote deste SKU",IF(AND(I72&lt;0,H72=0,F72=0),"Entrou no ZBR, mas não está no estoque físico: não chegou ou foi guardado em outro lote",IF(I72&lt;0,"Estoque físico menor que o esperado: saída, ajuste ou perda não lançada no período",IF(ABS(I72-M72)&lt;=Parâmetros!$C$7,"Estoque antigo: toda a sobra está em posições sem movimento desde antes de 09/09",IF(AND(F72&gt;0,ABS(I72-F72)&lt;=Parâmetros!$C$7),"As saídas do período não baixaram o estoque físico",IF(ABS(I72-N72)&lt;=Parâmetros!$C$7,"Quantidade parada em doca, chão ou transferência: entrega ou devolução não baixada",IF(ABS(I72-M72-N72)&lt;=Parâmetros!$C$7,"Estoque antigo + quantidade em doca/chão/transferência",IF(AND(F72&gt;0,ABS(I72-M72-N72-F72)&lt;=Parâmetros!$C$7),IF(M72+N72&gt;0,"Estoque antigo/doca + saídas do período que","Saídas do período que")&amp;" não baixaram o estoque físico",IF(AND(P72&gt;0,ABS(I72-M72-N72-P72)&lt;=Parâmetros!$C$7),IF(M72+N72&gt;0,"Estoque antigo/doca + saídas","Saídas")&amp;" pelo depósito 0355 que não baixaram o estoque físico",IF(M72+N72&gt;0,"Explica em parte: estoque antigo "&amp;FIXED(M72,1)&amp;" + doca/transferência "&amp;FIXED(N72,1)&amp;"; faltam "&amp;FIXED(I72-M72-N72,1)&amp;" a explicar",IF(F72&gt;E72+U72,"Saiu mais do que entrou: havia estoque antes de 09/09 que não está no arquivo","Estoque acima do esperado: entrada não lançada ou saldo anterior ao período"))))))))))))</f>
        <v>Sem diferença</v>
      </c>
      <c r="L72" s="156" t="str">
        <f aca="false">IF(J72="Confere","Nenhum ajuste necessário",IF(LEFT(K72,5)="Troca","Transferir "&amp;FIXED(ABS(I72),1)&amp;" "&amp;D72&amp;" entre os lotes deste SKU (transferência lote a lote, mov. 309) para corrigir o lote",IF(LEFT(K72,6)="Entrou","Procurar a OT de armazenagem pendente no ZBR. Se não achar: contar e lançar ajuste de inventário de −"&amp;FIXED(ABS(I72),1)&amp;" "&amp;D72,IF(J72="Faltando","Contar o lote. Se a falta se confirmar: lançar a saída esquecida (601) ou ajuste de inventário de −"&amp;FIXED(ABS(I72),1)&amp;" "&amp;D72,IF(LEFT(K72,15)="Estoque antigo:","Confirmar no SAP o saldo de 08/09 ("&amp;FIXED(ABS(M72),1)&amp;" "&amp;D72&amp;"). Se estiver certo, não há ajuste",IF(LEFT(K72,10)="Quantidade","Confirmar ou estornar as OTs em doca/transferência ("&amp;FIXED(ABS(N72),1)&amp;" "&amp;D72&amp;"): guardar na posição ou baixar a entrega",IF(LEFT(K72,16)="Estoque antigo +","Confirmar saldo de 08/09 ("&amp;FIXED(ABS(M72),1)&amp;" "&amp;D72&amp;") e tratar as OTs em doca/transferência ("&amp;FIXED(ABS(N72),1)&amp;" "&amp;D72&amp;")",IF(ISNUMBER(SEARCH("não baixaram",K72)),"Confirmar a OT de saída (picking) das remessas para baixar "&amp;FIXED(ABS(I72-M72-N72),1)&amp;" "&amp;D72&amp;" do estoque físico"&amp;IF(M72+N72&gt;0,"; conferir também estoque antigo/doca",""),IF(LEFT(K72,7)="Explica","Confirmar saldo de 08/09 e OTs de doca; contar o lote para os "&amp;FIXED(ABS(I72-M72-N72),1)&amp;" "&amp;D72&amp;" restantes e ajustar a sobra se confirmada","Confirmar saldo de 08/09; se não existir, contar o lote e lançar ajuste de inventário de +"&amp;FIXED(ABS(I72),1)&amp;" "&amp;D72)))))))))</f>
        <v>Nenhum ajuste necessário</v>
      </c>
      <c r="M72" s="158" t="n">
        <f aca="false">MAX(0,SUMIFS('3 Base Estoque Físico'!$J$2:$J$5000,'3 Base Estoque Físico'!$A$2:$A$5000,$A72,'3 Base Estoque Físico'!$B$2:$B$5000,$B72,'3 Base Estoque Físico'!$I$2:$I$5000,"&lt;"&amp;DATE(2026,9,9))-U72)</f>
        <v>0</v>
      </c>
      <c r="N72" s="158" t="n">
        <f aca="false">SUMPRODUCT(('3 Base Estoque Físico'!$A$2:$A$5000=$A72)*('3 Base Estoque Físico'!$B$2:$B$5000=$B72)*('3 Base Estoque Físico'!$I$2:$I$5000&gt;=DATE(2026,9,9))*ISNUMBER(MATCH('3 Base Estoque Físico'!$C$2:$C$5000,{"DCK","TRF","922","FLR","DIF"},0))*'3 Base Estoque Físico'!$J$2:$J$5000)</f>
        <v>0</v>
      </c>
      <c r="O72" s="161" t="n">
        <f aca="false">IF(OR(J72="Confere",LEFT(K72,5)="Troca",ISNUMBER(SEARCH("não baixaram",K72))),0,IF(I72&gt;0,MAX(0,ROUND(I72-M72-N72,2)),I72))</f>
        <v>0</v>
      </c>
      <c r="P72" s="158" t="n">
        <f aca="false">SUMIFS('3 Base Saídas'!$R$2:$R$5000,'3 Base Saídas'!$B$2:$B$5000,$A72,'3 Base Saídas'!$C$2:$C$5000,$B72,'3 Base Saídas'!$E$2:$E$5000,"0355")</f>
        <v>0</v>
      </c>
      <c r="Q72" s="157" t="str">
        <f aca="false">IF(J72="Confere","—",IF(LEFT(K72,5)="Troca","Troca de lote",IF(LEFT(K72,6)="Entrou","Não localizado no estoque",IF(J72="Faltando","Falta sem explicação",IF(ISNUMBER(SEARCH("não baixaram",K72)),"Saída sem baixa no estoque",IF(LEFT(K72,10)="Quantidade","Doca/transferência pendente",IF(LEFT(K72,14)="Estoque antigo","Estoque anterior a 09/09",IF(LEFT(K72,7)="Explica","Sobra parcialmente explicada","Sobra sem explicação"))))))))</f>
        <v>—</v>
      </c>
      <c r="R72" s="162" t="str">
        <f aca="false">IF(J72="Confere","—",IF(OR(LEFT(K72,6)="Entrou",AND(I72&lt;0,ABS(O72)&gt;=Parâmetros!$K$6)),"Crítica",IF(OR(AND(I72&lt;0,O72&lt;&gt;0),O72&gt;=Parâmetros!$K$7),"Alta",IF(O72&gt;0,"Média","Baixa"))))</f>
        <v>—</v>
      </c>
      <c r="S72" s="157" t="str">
        <f aca="false">A72&amp;"|"&amp;B72</f>
        <v>CHM-SP-Z3L-E0-U72|253100102</v>
      </c>
      <c r="T72" s="157" t="n">
        <f aca="false">IF(ABS(O72)&gt;Parâmetros!$C$7,ABS(O72)+ROW()/10000000,0)</f>
        <v>0</v>
      </c>
      <c r="U72" s="158" t="n">
        <f aca="false">SUMIFS('3 Base Saldo Inicial 08-09'!$E$2:$E$5000,'3 Base Saldo Inicial 08-09'!$A$2:$A$5000,$A72,'3 Base Saldo Inicial 08-09'!$B$2:$B$5000,$B72)-SUMIFS('3 Base Saldo Inicial 08-09'!$E$2:$E$5000,'3 Base Saldo Inicial 08-09'!$A$2:$A$5000,$A72,'3 Base Saldo Inicial 08-09'!$B$2:$B$5000,$B72,'3 Base Saldo Inicial 08-09'!$C$2:$C$5000,"2008")</f>
        <v>0</v>
      </c>
    </row>
    <row r="73" customFormat="false" ht="15" hidden="false" customHeight="false" outlineLevel="0" collapsed="false">
      <c r="A73" s="155" t="s">
        <v>358</v>
      </c>
      <c r="B73" s="155" t="s">
        <v>359</v>
      </c>
      <c r="C73" s="156"/>
      <c r="D73" s="157" t="s">
        <v>65</v>
      </c>
      <c r="E73" s="158" t="n">
        <f aca="false">SUMIFS('aux Conciliação Lote'!$E$5:$E$98,'aux Conciliação Lote'!$A$5:$A$98,$A73,'aux Conciliação Lote'!$B$5:$B$98,$B73)</f>
        <v>0</v>
      </c>
      <c r="F73" s="158" t="n">
        <f aca="false">SUMIFS('aux Conciliação Lote'!$F$5:$F$98,'aux Conciliação Lote'!$A$5:$A$98,$A73,'aux Conciliação Lote'!$B$5:$B$98,$B73)</f>
        <v>0</v>
      </c>
      <c r="G73" s="158" t="n">
        <f aca="false">U73+E73-F73</f>
        <v>0</v>
      </c>
      <c r="H73" s="158" t="n">
        <f aca="false">SUMIFS('aux Conciliação Lote'!$H$5:$H$98,'aux Conciliação Lote'!$A$5:$A$98,$A73,'aux Conciliação Lote'!$B$5:$B$98,$B73)</f>
        <v>0</v>
      </c>
      <c r="I73" s="159" t="n">
        <f aca="false">ROUND(H73-G73,2)</f>
        <v>0</v>
      </c>
      <c r="J73" s="160" t="str">
        <f aca="false">IF(ABS(I73)&lt;=Parâmetros!$C$7,"Confere",IF(I73&gt;0,"Sobrando","Faltando"))</f>
        <v>Confere</v>
      </c>
      <c r="K73" s="155" t="str">
        <f aca="false">IF(J73="Confere","Sem diferença",IF(AND(J73&lt;&gt;"Confere",SUMPRODUCT(($A$14:$A$107=$A73)*($B$14:$B$107&lt;&gt;$B73)*(ABS($I$14:$I$107+$I73)&lt;=Parâmetros!$C$7))&gt;0),"Troca de lote: a mesma quantidade aparece com sinal oposto em outro lote deste SKU",IF(AND(I73&lt;0,H73=0,F73=0),"Entrou no ZBR, mas não está no estoque físico: não chegou ou foi guardado em outro lote",IF(I73&lt;0,"Estoque físico menor que o esperado: saída, ajuste ou perda não lançada no período",IF(ABS(I73-M73)&lt;=Parâmetros!$C$7,"Estoque antigo: toda a sobra está em posições sem movimento desde antes de 09/09",IF(AND(F73&gt;0,ABS(I73-F73)&lt;=Parâmetros!$C$7),"As saídas do período não baixaram o estoque físico",IF(ABS(I73-N73)&lt;=Parâmetros!$C$7,"Quantidade parada em doca, chão ou transferência: entrega ou devolução não baixada",IF(ABS(I73-M73-N73)&lt;=Parâmetros!$C$7,"Estoque antigo + quantidade em doca/chão/transferência",IF(AND(F73&gt;0,ABS(I73-M73-N73-F73)&lt;=Parâmetros!$C$7),IF(M73+N73&gt;0,"Estoque antigo/doca + saídas do período que","Saídas do período que")&amp;" não baixaram o estoque físico",IF(AND(P73&gt;0,ABS(I73-M73-N73-P73)&lt;=Parâmetros!$C$7),IF(M73+N73&gt;0,"Estoque antigo/doca + saídas","Saídas")&amp;" pelo depósito 0355 que não baixaram o estoque físico",IF(M73+N73&gt;0,"Explica em parte: estoque antigo "&amp;FIXED(M73,1)&amp;" + doca/transferência "&amp;FIXED(N73,1)&amp;"; faltam "&amp;FIXED(I73-M73-N73,1)&amp;" a explicar",IF(F73&gt;E73+U73,"Saiu mais do que entrou: havia estoque antes de 09/09 que não está no arquivo","Estoque acima do esperado: entrada não lançada ou saldo anterior ao período"))))))))))))</f>
        <v>Sem diferença</v>
      </c>
      <c r="L73" s="156" t="str">
        <f aca="false">IF(J73="Confere","Nenhum ajuste necessário",IF(LEFT(K73,5)="Troca","Transferir "&amp;FIXED(ABS(I73),1)&amp;" "&amp;D73&amp;" entre os lotes deste SKU (transferência lote a lote, mov. 309) para corrigir o lote",IF(LEFT(K73,6)="Entrou","Procurar a OT de armazenagem pendente no ZBR. Se não achar: contar e lançar ajuste de inventário de −"&amp;FIXED(ABS(I73),1)&amp;" "&amp;D73,IF(J73="Faltando","Contar o lote. Se a falta se confirmar: lançar a saída esquecida (601) ou ajuste de inventário de −"&amp;FIXED(ABS(I73),1)&amp;" "&amp;D73,IF(LEFT(K73,15)="Estoque antigo:","Confirmar no SAP o saldo de 08/09 ("&amp;FIXED(ABS(M73),1)&amp;" "&amp;D73&amp;"). Se estiver certo, não há ajuste",IF(LEFT(K73,10)="Quantidade","Confirmar ou estornar as OTs em doca/transferência ("&amp;FIXED(ABS(N73),1)&amp;" "&amp;D73&amp;"): guardar na posição ou baixar a entrega",IF(LEFT(K73,16)="Estoque antigo +","Confirmar saldo de 08/09 ("&amp;FIXED(ABS(M73),1)&amp;" "&amp;D73&amp;") e tratar as OTs em doca/transferência ("&amp;FIXED(ABS(N73),1)&amp;" "&amp;D73&amp;")",IF(ISNUMBER(SEARCH("não baixaram",K73)),"Confirmar a OT de saída (picking) das remessas para baixar "&amp;FIXED(ABS(I73-M73-N73),1)&amp;" "&amp;D73&amp;" do estoque físico"&amp;IF(M73+N73&gt;0,"; conferir também estoque antigo/doca",""),IF(LEFT(K73,7)="Explica","Confirmar saldo de 08/09 e OTs de doca; contar o lote para os "&amp;FIXED(ABS(I73-M73-N73),1)&amp;" "&amp;D73&amp;" restantes e ajustar a sobra se confirmada","Confirmar saldo de 08/09; se não existir, contar o lote e lançar ajuste de inventário de +"&amp;FIXED(ABS(I73),1)&amp;" "&amp;D73)))))))))</f>
        <v>Nenhum ajuste necessário</v>
      </c>
      <c r="M73" s="158" t="n">
        <f aca="false">MAX(0,SUMIFS('3 Base Estoque Físico'!$J$2:$J$5000,'3 Base Estoque Físico'!$A$2:$A$5000,$A73,'3 Base Estoque Físico'!$B$2:$B$5000,$B73,'3 Base Estoque Físico'!$I$2:$I$5000,"&lt;"&amp;DATE(2026,9,9))-U73)</f>
        <v>0</v>
      </c>
      <c r="N73" s="158" t="n">
        <f aca="false">SUMPRODUCT(('3 Base Estoque Físico'!$A$2:$A$5000=$A73)*('3 Base Estoque Físico'!$B$2:$B$5000=$B73)*('3 Base Estoque Físico'!$I$2:$I$5000&gt;=DATE(2026,9,9))*ISNUMBER(MATCH('3 Base Estoque Físico'!$C$2:$C$5000,{"DCK","TRF","922","FLR","DIF"},0))*'3 Base Estoque Físico'!$J$2:$J$5000)</f>
        <v>0</v>
      </c>
      <c r="O73" s="161" t="n">
        <f aca="false">IF(OR(J73="Confere",LEFT(K73,5)="Troca",ISNUMBER(SEARCH("não baixaram",K73))),0,IF(I73&gt;0,MAX(0,ROUND(I73-M73-N73,2)),I73))</f>
        <v>0</v>
      </c>
      <c r="P73" s="158" t="n">
        <f aca="false">SUMIFS('3 Base Saídas'!$R$2:$R$5000,'3 Base Saídas'!$B$2:$B$5000,$A73,'3 Base Saídas'!$C$2:$C$5000,$B73,'3 Base Saídas'!$E$2:$E$5000,"0355")</f>
        <v>0</v>
      </c>
      <c r="Q73" s="157" t="str">
        <f aca="false">IF(J73="Confere","—",IF(LEFT(K73,5)="Troca","Troca de lote",IF(LEFT(K73,6)="Entrou","Não localizado no estoque",IF(J73="Faltando","Falta sem explicação",IF(ISNUMBER(SEARCH("não baixaram",K73)),"Saída sem baixa no estoque",IF(LEFT(K73,10)="Quantidade","Doca/transferência pendente",IF(LEFT(K73,14)="Estoque antigo","Estoque anterior a 09/09",IF(LEFT(K73,7)="Explica","Sobra parcialmente explicada","Sobra sem explicação"))))))))</f>
        <v>—</v>
      </c>
      <c r="R73" s="162" t="str">
        <f aca="false">IF(J73="Confere","—",IF(OR(LEFT(K73,6)="Entrou",AND(I73&lt;0,ABS(O73)&gt;=Parâmetros!$K$6)),"Crítica",IF(OR(AND(I73&lt;0,O73&lt;&gt;0),O73&gt;=Parâmetros!$K$7),"Alta",IF(O73&gt;0,"Média","Baixa"))))</f>
        <v>—</v>
      </c>
      <c r="S73" s="157" t="str">
        <f aca="false">A73&amp;"|"&amp;B73</f>
        <v>CHM-SP-Z3L-E0-U72|260580101</v>
      </c>
      <c r="T73" s="157" t="n">
        <f aca="false">IF(ABS(O73)&gt;Parâmetros!$C$7,ABS(O73)+ROW()/10000000,0)</f>
        <v>0</v>
      </c>
      <c r="U73" s="158" t="n">
        <f aca="false">SUMIFS('3 Base Saldo Inicial 08-09'!$E$2:$E$5000,'3 Base Saldo Inicial 08-09'!$A$2:$A$5000,$A73,'3 Base Saldo Inicial 08-09'!$B$2:$B$5000,$B73)-SUMIFS('3 Base Saldo Inicial 08-09'!$E$2:$E$5000,'3 Base Saldo Inicial 08-09'!$A$2:$A$5000,$A73,'3 Base Saldo Inicial 08-09'!$B$2:$B$5000,$B73,'3 Base Saldo Inicial 08-09'!$C$2:$C$5000,"2008")</f>
        <v>0</v>
      </c>
    </row>
    <row r="74" customFormat="false" ht="15" hidden="false" customHeight="false" outlineLevel="0" collapsed="false">
      <c r="A74" s="155" t="s">
        <v>260</v>
      </c>
      <c r="B74" s="155" t="s">
        <v>261</v>
      </c>
      <c r="C74" s="156"/>
      <c r="D74" s="157" t="s">
        <v>65</v>
      </c>
      <c r="E74" s="158" t="n">
        <f aca="false">SUMIFS('aux Conciliação Lote'!$E$5:$E$98,'aux Conciliação Lote'!$A$5:$A$98,$A74,'aux Conciliação Lote'!$B$5:$B$98,$B74)</f>
        <v>108.8</v>
      </c>
      <c r="F74" s="158" t="n">
        <f aca="false">SUMIFS('aux Conciliação Lote'!$F$5:$F$98,'aux Conciliação Lote'!$A$5:$A$98,$A74,'aux Conciliação Lote'!$B$5:$B$98,$B74)</f>
        <v>0</v>
      </c>
      <c r="G74" s="158" t="n">
        <f aca="false">U74+E74-F74</f>
        <v>108.8</v>
      </c>
      <c r="H74" s="158" t="n">
        <f aca="false">SUMIFS('aux Conciliação Lote'!$H$5:$H$98,'aux Conciliação Lote'!$A$5:$A$98,$A74,'aux Conciliação Lote'!$B$5:$B$98,$B74)</f>
        <v>108.8</v>
      </c>
      <c r="I74" s="159" t="n">
        <f aca="false">ROUND(H74-G74,2)</f>
        <v>0</v>
      </c>
      <c r="J74" s="160" t="str">
        <f aca="false">IF(ABS(I74)&lt;=Parâmetros!$C$7,"Confere",IF(I74&gt;0,"Sobrando","Faltando"))</f>
        <v>Confere</v>
      </c>
      <c r="K74" s="155" t="str">
        <f aca="false">IF(J74="Confere","Sem diferença",IF(AND(J74&lt;&gt;"Confere",SUMPRODUCT(($A$14:$A$107=$A74)*($B$14:$B$107&lt;&gt;$B74)*(ABS($I$14:$I$107+$I74)&lt;=Parâmetros!$C$7))&gt;0),"Troca de lote: a mesma quantidade aparece com sinal oposto em outro lote deste SKU",IF(AND(I74&lt;0,H74=0,F74=0),"Entrou no ZBR, mas não está no estoque físico: não chegou ou foi guardado em outro lote",IF(I74&lt;0,"Estoque físico menor que o esperado: saída, ajuste ou perda não lançada no período",IF(ABS(I74-M74)&lt;=Parâmetros!$C$7,"Estoque antigo: toda a sobra está em posições sem movimento desde antes de 09/09",IF(AND(F74&gt;0,ABS(I74-F74)&lt;=Parâmetros!$C$7),"As saídas do período não baixaram o estoque físico",IF(ABS(I74-N74)&lt;=Parâmetros!$C$7,"Quantidade parada em doca, chão ou transferência: entrega ou devolução não baixada",IF(ABS(I74-M74-N74)&lt;=Parâmetros!$C$7,"Estoque antigo + quantidade em doca/chão/transferência",IF(AND(F74&gt;0,ABS(I74-M74-N74-F74)&lt;=Parâmetros!$C$7),IF(M74+N74&gt;0,"Estoque antigo/doca + saídas do período que","Saídas do período que")&amp;" não baixaram o estoque físico",IF(AND(P74&gt;0,ABS(I74-M74-N74-P74)&lt;=Parâmetros!$C$7),IF(M74+N74&gt;0,"Estoque antigo/doca + saídas","Saídas")&amp;" pelo depósito 0355 que não baixaram o estoque físico",IF(M74+N74&gt;0,"Explica em parte: estoque antigo "&amp;FIXED(M74,1)&amp;" + doca/transferência "&amp;FIXED(N74,1)&amp;"; faltam "&amp;FIXED(I74-M74-N74,1)&amp;" a explicar",IF(F74&gt;E74+U74,"Saiu mais do que entrou: havia estoque antes de 09/09 que não está no arquivo","Estoque acima do esperado: entrada não lançada ou saldo anterior ao período"))))))))))))</f>
        <v>Sem diferença</v>
      </c>
      <c r="L74" s="156" t="str">
        <f aca="false">IF(J74="Confere","Nenhum ajuste necessário",IF(LEFT(K74,5)="Troca","Transferir "&amp;FIXED(ABS(I74),1)&amp;" "&amp;D74&amp;" entre os lotes deste SKU (transferência lote a lote, mov. 309) para corrigir o lote",IF(LEFT(K74,6)="Entrou","Procurar a OT de armazenagem pendente no ZBR. Se não achar: contar e lançar ajuste de inventário de −"&amp;FIXED(ABS(I74),1)&amp;" "&amp;D74,IF(J74="Faltando","Contar o lote. Se a falta se confirmar: lançar a saída esquecida (601) ou ajuste de inventário de −"&amp;FIXED(ABS(I74),1)&amp;" "&amp;D74,IF(LEFT(K74,15)="Estoque antigo:","Confirmar no SAP o saldo de 08/09 ("&amp;FIXED(ABS(M74),1)&amp;" "&amp;D74&amp;"). Se estiver certo, não há ajuste",IF(LEFT(K74,10)="Quantidade","Confirmar ou estornar as OTs em doca/transferência ("&amp;FIXED(ABS(N74),1)&amp;" "&amp;D74&amp;"): guardar na posição ou baixar a entrega",IF(LEFT(K74,16)="Estoque antigo +","Confirmar saldo de 08/09 ("&amp;FIXED(ABS(M74),1)&amp;" "&amp;D74&amp;") e tratar as OTs em doca/transferência ("&amp;FIXED(ABS(N74),1)&amp;" "&amp;D74&amp;")",IF(ISNUMBER(SEARCH("não baixaram",K74)),"Confirmar a OT de saída (picking) das remessas para baixar "&amp;FIXED(ABS(I74-M74-N74),1)&amp;" "&amp;D74&amp;" do estoque físico"&amp;IF(M74+N74&gt;0,"; conferir também estoque antigo/doca",""),IF(LEFT(K74,7)="Explica","Confirmar saldo de 08/09 e OTs de doca; contar o lote para os "&amp;FIXED(ABS(I74-M74-N74),1)&amp;" "&amp;D74&amp;" restantes e ajustar a sobra se confirmada","Confirmar saldo de 08/09; se não existir, contar o lote e lançar ajuste de inventário de +"&amp;FIXED(ABS(I74),1)&amp;" "&amp;D74)))))))))</f>
        <v>Nenhum ajuste necessário</v>
      </c>
      <c r="M74" s="158" t="n">
        <f aca="false">MAX(0,SUMIFS('3 Base Estoque Físico'!$J$2:$J$5000,'3 Base Estoque Físico'!$A$2:$A$5000,$A74,'3 Base Estoque Físico'!$B$2:$B$5000,$B74,'3 Base Estoque Físico'!$I$2:$I$5000,"&lt;"&amp;DATE(2026,9,9))-U74)</f>
        <v>0</v>
      </c>
      <c r="N74" s="158" t="n">
        <f aca="false">SUMPRODUCT(('3 Base Estoque Físico'!$A$2:$A$5000=$A74)*('3 Base Estoque Físico'!$B$2:$B$5000=$B74)*('3 Base Estoque Físico'!$I$2:$I$5000&gt;=DATE(2026,9,9))*ISNUMBER(MATCH('3 Base Estoque Físico'!$C$2:$C$5000,{"DCK","TRF","922","FLR","DIF"},0))*'3 Base Estoque Físico'!$J$2:$J$5000)</f>
        <v>108.8</v>
      </c>
      <c r="O74" s="161" t="n">
        <f aca="false">IF(OR(J74="Confere",LEFT(K74,5)="Troca",ISNUMBER(SEARCH("não baixaram",K74))),0,IF(I74&gt;0,MAX(0,ROUND(I74-M74-N74,2)),I74))</f>
        <v>0</v>
      </c>
      <c r="P74" s="158" t="n">
        <f aca="false">SUMIFS('3 Base Saídas'!$R$2:$R$5000,'3 Base Saídas'!$B$2:$B$5000,$A74,'3 Base Saídas'!$C$2:$C$5000,$B74,'3 Base Saídas'!$E$2:$E$5000,"0355")</f>
        <v>0</v>
      </c>
      <c r="Q74" s="157" t="str">
        <f aca="false">IF(J74="Confere","—",IF(LEFT(K74,5)="Troca","Troca de lote",IF(LEFT(K74,6)="Entrou","Não localizado no estoque",IF(J74="Faltando","Falta sem explicação",IF(ISNUMBER(SEARCH("não baixaram",K74)),"Saída sem baixa no estoque",IF(LEFT(K74,10)="Quantidade","Doca/transferência pendente",IF(LEFT(K74,14)="Estoque antigo","Estoque anterior a 09/09",IF(LEFT(K74,7)="Explica","Sobra parcialmente explicada","Sobra sem explicação"))))))))</f>
        <v>—</v>
      </c>
      <c r="R74" s="162" t="str">
        <f aca="false">IF(J74="Confere","—",IF(OR(LEFT(K74,6)="Entrou",AND(I74&lt;0,ABS(O74)&gt;=Parâmetros!$K$6)),"Crítica",IF(OR(AND(I74&lt;0,O74&lt;&gt;0),O74&gt;=Parâmetros!$K$7),"Alta",IF(O74&gt;0,"Média","Baixa"))))</f>
        <v>—</v>
      </c>
      <c r="S74" s="157" t="str">
        <f aca="false">A74&amp;"|"&amp;B74</f>
        <v>CHM-TS-22351E0-999|2522444420</v>
      </c>
      <c r="T74" s="157" t="n">
        <f aca="false">IF(ABS(O74)&gt;Parâmetros!$C$7,ABS(O74)+ROW()/10000000,0)</f>
        <v>0</v>
      </c>
      <c r="U74" s="158" t="n">
        <f aca="false">SUMIFS('3 Base Saldo Inicial 08-09'!$E$2:$E$5000,'3 Base Saldo Inicial 08-09'!$A$2:$A$5000,$A74,'3 Base Saldo Inicial 08-09'!$B$2:$B$5000,$B74)-SUMIFS('3 Base Saldo Inicial 08-09'!$E$2:$E$5000,'3 Base Saldo Inicial 08-09'!$A$2:$A$5000,$A74,'3 Base Saldo Inicial 08-09'!$B$2:$B$5000,$B74,'3 Base Saldo Inicial 08-09'!$C$2:$C$5000,"2008")</f>
        <v>0</v>
      </c>
    </row>
    <row r="75" customFormat="false" ht="15" hidden="false" customHeight="false" outlineLevel="0" collapsed="false">
      <c r="A75" s="155" t="s">
        <v>260</v>
      </c>
      <c r="B75" s="155" t="s">
        <v>362</v>
      </c>
      <c r="C75" s="156"/>
      <c r="D75" s="157" t="s">
        <v>65</v>
      </c>
      <c r="E75" s="158" t="n">
        <f aca="false">SUMIFS('aux Conciliação Lote'!$E$5:$E$98,'aux Conciliação Lote'!$A$5:$A$98,$A75,'aux Conciliação Lote'!$B$5:$B$98,$B75)</f>
        <v>195.84</v>
      </c>
      <c r="F75" s="158" t="n">
        <f aca="false">SUMIFS('aux Conciliação Lote'!$F$5:$F$98,'aux Conciliação Lote'!$A$5:$A$98,$A75,'aux Conciliação Lote'!$B$5:$B$98,$B75)</f>
        <v>0</v>
      </c>
      <c r="G75" s="158" t="n">
        <f aca="false">U75+E75-F75</f>
        <v>195.84</v>
      </c>
      <c r="H75" s="158" t="n">
        <f aca="false">SUMIFS('aux Conciliação Lote'!$H$5:$H$98,'aux Conciliação Lote'!$A$5:$A$98,$A75,'aux Conciliação Lote'!$B$5:$B$98,$B75)</f>
        <v>195.84</v>
      </c>
      <c r="I75" s="159" t="n">
        <f aca="false">ROUND(H75-G75,2)</f>
        <v>0</v>
      </c>
      <c r="J75" s="160" t="str">
        <f aca="false">IF(ABS(I75)&lt;=Parâmetros!$C$7,"Confere",IF(I75&gt;0,"Sobrando","Faltando"))</f>
        <v>Confere</v>
      </c>
      <c r="K75" s="155" t="str">
        <f aca="false">IF(J75="Confere","Sem diferença",IF(AND(J75&lt;&gt;"Confere",SUMPRODUCT(($A$14:$A$107=$A75)*($B$14:$B$107&lt;&gt;$B75)*(ABS($I$14:$I$107+$I75)&lt;=Parâmetros!$C$7))&gt;0),"Troca de lote: a mesma quantidade aparece com sinal oposto em outro lote deste SKU",IF(AND(I75&lt;0,H75=0,F75=0),"Entrou no ZBR, mas não está no estoque físico: não chegou ou foi guardado em outro lote",IF(I75&lt;0,"Estoque físico menor que o esperado: saída, ajuste ou perda não lançada no período",IF(ABS(I75-M75)&lt;=Parâmetros!$C$7,"Estoque antigo: toda a sobra está em posições sem movimento desde antes de 09/09",IF(AND(F75&gt;0,ABS(I75-F75)&lt;=Parâmetros!$C$7),"As saídas do período não baixaram o estoque físico",IF(ABS(I75-N75)&lt;=Parâmetros!$C$7,"Quantidade parada em doca, chão ou transferência: entrega ou devolução não baixada",IF(ABS(I75-M75-N75)&lt;=Parâmetros!$C$7,"Estoque antigo + quantidade em doca/chão/transferência",IF(AND(F75&gt;0,ABS(I75-M75-N75-F75)&lt;=Parâmetros!$C$7),IF(M75+N75&gt;0,"Estoque antigo/doca + saídas do período que","Saídas do período que")&amp;" não baixaram o estoque físico",IF(AND(P75&gt;0,ABS(I75-M75-N75-P75)&lt;=Parâmetros!$C$7),IF(M75+N75&gt;0,"Estoque antigo/doca + saídas","Saídas")&amp;" pelo depósito 0355 que não baixaram o estoque físico",IF(M75+N75&gt;0,"Explica em parte: estoque antigo "&amp;FIXED(M75,1)&amp;" + doca/transferência "&amp;FIXED(N75,1)&amp;"; faltam "&amp;FIXED(I75-M75-N75,1)&amp;" a explicar",IF(F75&gt;E75+U75,"Saiu mais do que entrou: havia estoque antes de 09/09 que não está no arquivo","Estoque acima do esperado: entrada não lançada ou saldo anterior ao período"))))))))))))</f>
        <v>Sem diferença</v>
      </c>
      <c r="L75" s="156" t="str">
        <f aca="false">IF(J75="Confere","Nenhum ajuste necessário",IF(LEFT(K75,5)="Troca","Transferir "&amp;FIXED(ABS(I75),1)&amp;" "&amp;D75&amp;" entre os lotes deste SKU (transferência lote a lote, mov. 309) para corrigir o lote",IF(LEFT(K75,6)="Entrou","Procurar a OT de armazenagem pendente no ZBR. Se não achar: contar e lançar ajuste de inventário de −"&amp;FIXED(ABS(I75),1)&amp;" "&amp;D75,IF(J75="Faltando","Contar o lote. Se a falta se confirmar: lançar a saída esquecida (601) ou ajuste de inventário de −"&amp;FIXED(ABS(I75),1)&amp;" "&amp;D75,IF(LEFT(K75,15)="Estoque antigo:","Confirmar no SAP o saldo de 08/09 ("&amp;FIXED(ABS(M75),1)&amp;" "&amp;D75&amp;"). Se estiver certo, não há ajuste",IF(LEFT(K75,10)="Quantidade","Confirmar ou estornar as OTs em doca/transferência ("&amp;FIXED(ABS(N75),1)&amp;" "&amp;D75&amp;"): guardar na posição ou baixar a entrega",IF(LEFT(K75,16)="Estoque antigo +","Confirmar saldo de 08/09 ("&amp;FIXED(ABS(M75),1)&amp;" "&amp;D75&amp;") e tratar as OTs em doca/transferência ("&amp;FIXED(ABS(N75),1)&amp;" "&amp;D75&amp;")",IF(ISNUMBER(SEARCH("não baixaram",K75)),"Confirmar a OT de saída (picking) das remessas para baixar "&amp;FIXED(ABS(I75-M75-N75),1)&amp;" "&amp;D75&amp;" do estoque físico"&amp;IF(M75+N75&gt;0,"; conferir também estoque antigo/doca",""),IF(LEFT(K75,7)="Explica","Confirmar saldo de 08/09 e OTs de doca; contar o lote para os "&amp;FIXED(ABS(I75-M75-N75),1)&amp;" "&amp;D75&amp;" restantes e ajustar a sobra se confirmada","Confirmar saldo de 08/09; se não existir, contar o lote e lançar ajuste de inventário de +"&amp;FIXED(ABS(I75),1)&amp;" "&amp;D75)))))))))</f>
        <v>Nenhum ajuste necessário</v>
      </c>
      <c r="M75" s="158" t="n">
        <f aca="false">MAX(0,SUMIFS('3 Base Estoque Físico'!$J$2:$J$5000,'3 Base Estoque Físico'!$A$2:$A$5000,$A75,'3 Base Estoque Físico'!$B$2:$B$5000,$B75,'3 Base Estoque Físico'!$I$2:$I$5000,"&lt;"&amp;DATE(2026,9,9))-U75)</f>
        <v>0</v>
      </c>
      <c r="N75" s="158" t="n">
        <f aca="false">SUMPRODUCT(('3 Base Estoque Físico'!$A$2:$A$5000=$A75)*('3 Base Estoque Físico'!$B$2:$B$5000=$B75)*('3 Base Estoque Físico'!$I$2:$I$5000&gt;=DATE(2026,9,9))*ISNUMBER(MATCH('3 Base Estoque Físico'!$C$2:$C$5000,{"DCK","TRF","922","FLR","DIF"},0))*'3 Base Estoque Físico'!$J$2:$J$5000)</f>
        <v>0</v>
      </c>
      <c r="O75" s="161" t="n">
        <f aca="false">IF(OR(J75="Confere",LEFT(K75,5)="Troca",ISNUMBER(SEARCH("não baixaram",K75))),0,IF(I75&gt;0,MAX(0,ROUND(I75-M75-N75,2)),I75))</f>
        <v>0</v>
      </c>
      <c r="P75" s="158" t="n">
        <f aca="false">SUMIFS('3 Base Saídas'!$R$2:$R$5000,'3 Base Saídas'!$B$2:$B$5000,$A75,'3 Base Saídas'!$C$2:$C$5000,$B75,'3 Base Saídas'!$E$2:$E$5000,"0355")</f>
        <v>0</v>
      </c>
      <c r="Q75" s="157" t="str">
        <f aca="false">IF(J75="Confere","—",IF(LEFT(K75,5)="Troca","Troca de lote",IF(LEFT(K75,6)="Entrou","Não localizado no estoque",IF(J75="Faltando","Falta sem explicação",IF(ISNUMBER(SEARCH("não baixaram",K75)),"Saída sem baixa no estoque",IF(LEFT(K75,10)="Quantidade","Doca/transferência pendente",IF(LEFT(K75,14)="Estoque antigo","Estoque anterior a 09/09",IF(LEFT(K75,7)="Explica","Sobra parcialmente explicada","Sobra sem explicação"))))))))</f>
        <v>—</v>
      </c>
      <c r="R75" s="162" t="str">
        <f aca="false">IF(J75="Confere","—",IF(OR(LEFT(K75,6)="Entrou",AND(I75&lt;0,ABS(O75)&gt;=Parâmetros!$K$6)),"Crítica",IF(OR(AND(I75&lt;0,O75&lt;&gt;0),O75&gt;=Parâmetros!$K$7),"Alta",IF(O75&gt;0,"Média","Baixa"))))</f>
        <v>—</v>
      </c>
      <c r="S75" s="157" t="str">
        <f aca="false">A75&amp;"|"&amp;B75</f>
        <v>CHM-TS-22351E0-999|2525950306</v>
      </c>
      <c r="T75" s="157" t="n">
        <f aca="false">IF(ABS(O75)&gt;Parâmetros!$C$7,ABS(O75)+ROW()/10000000,0)</f>
        <v>0</v>
      </c>
      <c r="U75" s="158" t="n">
        <f aca="false">SUMIFS('3 Base Saldo Inicial 08-09'!$E$2:$E$5000,'3 Base Saldo Inicial 08-09'!$A$2:$A$5000,$A75,'3 Base Saldo Inicial 08-09'!$B$2:$B$5000,$B75)-SUMIFS('3 Base Saldo Inicial 08-09'!$E$2:$E$5000,'3 Base Saldo Inicial 08-09'!$A$2:$A$5000,$A75,'3 Base Saldo Inicial 08-09'!$B$2:$B$5000,$B75,'3 Base Saldo Inicial 08-09'!$C$2:$C$5000,"2008")</f>
        <v>0</v>
      </c>
    </row>
    <row r="76" customFormat="false" ht="15" hidden="false" customHeight="false" outlineLevel="0" collapsed="false">
      <c r="A76" s="155" t="s">
        <v>260</v>
      </c>
      <c r="B76" s="155" t="s">
        <v>363</v>
      </c>
      <c r="C76" s="156"/>
      <c r="D76" s="157" t="s">
        <v>65</v>
      </c>
      <c r="E76" s="158" t="n">
        <f aca="false">SUMIFS('aux Conciliação Lote'!$E$5:$E$98,'aux Conciliação Lote'!$A$5:$A$98,$A76,'aux Conciliação Lote'!$B$5:$B$98,$B76)</f>
        <v>295.12</v>
      </c>
      <c r="F76" s="158" t="n">
        <f aca="false">SUMIFS('aux Conciliação Lote'!$F$5:$F$98,'aux Conciliação Lote'!$A$5:$A$98,$A76,'aux Conciliação Lote'!$B$5:$B$98,$B76)</f>
        <v>0</v>
      </c>
      <c r="G76" s="158" t="n">
        <f aca="false">U76+E76-F76</f>
        <v>295.12</v>
      </c>
      <c r="H76" s="158" t="n">
        <f aca="false">SUMIFS('aux Conciliação Lote'!$H$5:$H$98,'aux Conciliação Lote'!$A$5:$A$98,$A76,'aux Conciliação Lote'!$B$5:$B$98,$B76)</f>
        <v>295.12</v>
      </c>
      <c r="I76" s="159" t="n">
        <f aca="false">ROUND(H76-G76,2)</f>
        <v>0</v>
      </c>
      <c r="J76" s="160" t="str">
        <f aca="false">IF(ABS(I76)&lt;=Parâmetros!$C$7,"Confere",IF(I76&gt;0,"Sobrando","Faltando"))</f>
        <v>Confere</v>
      </c>
      <c r="K76" s="155" t="str">
        <f aca="false">IF(J76="Confere","Sem diferença",IF(AND(J76&lt;&gt;"Confere",SUMPRODUCT(($A$14:$A$107=$A76)*($B$14:$B$107&lt;&gt;$B76)*(ABS($I$14:$I$107+$I76)&lt;=Parâmetros!$C$7))&gt;0),"Troca de lote: a mesma quantidade aparece com sinal oposto em outro lote deste SKU",IF(AND(I76&lt;0,H76=0,F76=0),"Entrou no ZBR, mas não está no estoque físico: não chegou ou foi guardado em outro lote",IF(I76&lt;0,"Estoque físico menor que o esperado: saída, ajuste ou perda não lançada no período",IF(ABS(I76-M76)&lt;=Parâmetros!$C$7,"Estoque antigo: toda a sobra está em posições sem movimento desde antes de 09/09",IF(AND(F76&gt;0,ABS(I76-F76)&lt;=Parâmetros!$C$7),"As saídas do período não baixaram o estoque físico",IF(ABS(I76-N76)&lt;=Parâmetros!$C$7,"Quantidade parada em doca, chão ou transferência: entrega ou devolução não baixada",IF(ABS(I76-M76-N76)&lt;=Parâmetros!$C$7,"Estoque antigo + quantidade em doca/chão/transferência",IF(AND(F76&gt;0,ABS(I76-M76-N76-F76)&lt;=Parâmetros!$C$7),IF(M76+N76&gt;0,"Estoque antigo/doca + saídas do período que","Saídas do período que")&amp;" não baixaram o estoque físico",IF(AND(P76&gt;0,ABS(I76-M76-N76-P76)&lt;=Parâmetros!$C$7),IF(M76+N76&gt;0,"Estoque antigo/doca + saídas","Saídas")&amp;" pelo depósito 0355 que não baixaram o estoque físico",IF(M76+N76&gt;0,"Explica em parte: estoque antigo "&amp;FIXED(M76,1)&amp;" + doca/transferência "&amp;FIXED(N76,1)&amp;"; faltam "&amp;FIXED(I76-M76-N76,1)&amp;" a explicar",IF(F76&gt;E76+U76,"Saiu mais do que entrou: havia estoque antes de 09/09 que não está no arquivo","Estoque acima do esperado: entrada não lançada ou saldo anterior ao período"))))))))))))</f>
        <v>Sem diferença</v>
      </c>
      <c r="L76" s="156" t="str">
        <f aca="false">IF(J76="Confere","Nenhum ajuste necessário",IF(LEFT(K76,5)="Troca","Transferir "&amp;FIXED(ABS(I76),1)&amp;" "&amp;D76&amp;" entre os lotes deste SKU (transferência lote a lote, mov. 309) para corrigir o lote",IF(LEFT(K76,6)="Entrou","Procurar a OT de armazenagem pendente no ZBR. Se não achar: contar e lançar ajuste de inventário de −"&amp;FIXED(ABS(I76),1)&amp;" "&amp;D76,IF(J76="Faltando","Contar o lote. Se a falta se confirmar: lançar a saída esquecida (601) ou ajuste de inventário de −"&amp;FIXED(ABS(I76),1)&amp;" "&amp;D76,IF(LEFT(K76,15)="Estoque antigo:","Confirmar no SAP o saldo de 08/09 ("&amp;FIXED(ABS(M76),1)&amp;" "&amp;D76&amp;"). Se estiver certo, não há ajuste",IF(LEFT(K76,10)="Quantidade","Confirmar ou estornar as OTs em doca/transferência ("&amp;FIXED(ABS(N76),1)&amp;" "&amp;D76&amp;"): guardar na posição ou baixar a entrega",IF(LEFT(K76,16)="Estoque antigo +","Confirmar saldo de 08/09 ("&amp;FIXED(ABS(M76),1)&amp;" "&amp;D76&amp;") e tratar as OTs em doca/transferência ("&amp;FIXED(ABS(N76),1)&amp;" "&amp;D76&amp;")",IF(ISNUMBER(SEARCH("não baixaram",K76)),"Confirmar a OT de saída (picking) das remessas para baixar "&amp;FIXED(ABS(I76-M76-N76),1)&amp;" "&amp;D76&amp;" do estoque físico"&amp;IF(M76+N76&gt;0,"; conferir também estoque antigo/doca",""),IF(LEFT(K76,7)="Explica","Confirmar saldo de 08/09 e OTs de doca; contar o lote para os "&amp;FIXED(ABS(I76-M76-N76),1)&amp;" "&amp;D76&amp;" restantes e ajustar a sobra se confirmada","Confirmar saldo de 08/09; se não existir, contar o lote e lançar ajuste de inventário de +"&amp;FIXED(ABS(I76),1)&amp;" "&amp;D76)))))))))</f>
        <v>Nenhum ajuste necessário</v>
      </c>
      <c r="M76" s="158" t="n">
        <f aca="false">MAX(0,SUMIFS('3 Base Estoque Físico'!$J$2:$J$5000,'3 Base Estoque Físico'!$A$2:$A$5000,$A76,'3 Base Estoque Físico'!$B$2:$B$5000,$B76,'3 Base Estoque Físico'!$I$2:$I$5000,"&lt;"&amp;DATE(2026,9,9))-U76)</f>
        <v>0</v>
      </c>
      <c r="N76" s="158" t="n">
        <f aca="false">SUMPRODUCT(('3 Base Estoque Físico'!$A$2:$A$5000=$A76)*('3 Base Estoque Físico'!$B$2:$B$5000=$B76)*('3 Base Estoque Físico'!$I$2:$I$5000&gt;=DATE(2026,9,9))*ISNUMBER(MATCH('3 Base Estoque Físico'!$C$2:$C$5000,{"DCK","TRF","922","FLR","DIF"},0))*'3 Base Estoque Físico'!$J$2:$J$5000)</f>
        <v>1.36</v>
      </c>
      <c r="O76" s="161" t="n">
        <f aca="false">IF(OR(J76="Confere",LEFT(K76,5)="Troca",ISNUMBER(SEARCH("não baixaram",K76))),0,IF(I76&gt;0,MAX(0,ROUND(I76-M76-N76,2)),I76))</f>
        <v>0</v>
      </c>
      <c r="P76" s="158" t="n">
        <f aca="false">SUMIFS('3 Base Saídas'!$R$2:$R$5000,'3 Base Saídas'!$B$2:$B$5000,$A76,'3 Base Saídas'!$C$2:$C$5000,$B76,'3 Base Saídas'!$E$2:$E$5000,"0355")</f>
        <v>0</v>
      </c>
      <c r="Q76" s="157" t="str">
        <f aca="false">IF(J76="Confere","—",IF(LEFT(K76,5)="Troca","Troca de lote",IF(LEFT(K76,6)="Entrou","Não localizado no estoque",IF(J76="Faltando","Falta sem explicação",IF(ISNUMBER(SEARCH("não baixaram",K76)),"Saída sem baixa no estoque",IF(LEFT(K76,10)="Quantidade","Doca/transferência pendente",IF(LEFT(K76,14)="Estoque antigo","Estoque anterior a 09/09",IF(LEFT(K76,7)="Explica","Sobra parcialmente explicada","Sobra sem explicação"))))))))</f>
        <v>—</v>
      </c>
      <c r="R76" s="162" t="str">
        <f aca="false">IF(J76="Confere","—",IF(OR(LEFT(K76,6)="Entrou",AND(I76&lt;0,ABS(O76)&gt;=Parâmetros!$K$6)),"Crítica",IF(OR(AND(I76&lt;0,O76&lt;&gt;0),O76&gt;=Parâmetros!$K$7),"Alta",IF(O76&gt;0,"Média","Baixa"))))</f>
        <v>—</v>
      </c>
      <c r="S76" s="157" t="str">
        <f aca="false">A76&amp;"|"&amp;B76</f>
        <v>CHM-TS-22351E0-999|2526050307</v>
      </c>
      <c r="T76" s="157" t="n">
        <f aca="false">IF(ABS(O76)&gt;Parâmetros!$C$7,ABS(O76)+ROW()/10000000,0)</f>
        <v>0</v>
      </c>
      <c r="U76" s="158" t="n">
        <f aca="false">SUMIFS('3 Base Saldo Inicial 08-09'!$E$2:$E$5000,'3 Base Saldo Inicial 08-09'!$A$2:$A$5000,$A76,'3 Base Saldo Inicial 08-09'!$B$2:$B$5000,$B76)-SUMIFS('3 Base Saldo Inicial 08-09'!$E$2:$E$5000,'3 Base Saldo Inicial 08-09'!$A$2:$A$5000,$A76,'3 Base Saldo Inicial 08-09'!$B$2:$B$5000,$B76,'3 Base Saldo Inicial 08-09'!$C$2:$C$5000,"2008")</f>
        <v>0</v>
      </c>
    </row>
    <row r="77" customFormat="false" ht="15" hidden="false" customHeight="false" outlineLevel="0" collapsed="false">
      <c r="A77" s="155" t="s">
        <v>266</v>
      </c>
      <c r="B77" s="155" t="s">
        <v>267</v>
      </c>
      <c r="C77" s="156"/>
      <c r="D77" s="157" t="s">
        <v>65</v>
      </c>
      <c r="E77" s="158" t="n">
        <f aca="false">SUMIFS('aux Conciliação Lote'!$E$5:$E$98,'aux Conciliação Lote'!$A$5:$A$98,$A77,'aux Conciliação Lote'!$B$5:$B$98,$B77)</f>
        <v>432</v>
      </c>
      <c r="F77" s="158" t="n">
        <f aca="false">SUMIFS('aux Conciliação Lote'!$F$5:$F$98,'aux Conciliação Lote'!$A$5:$A$98,$A77,'aux Conciliação Lote'!$B$5:$B$98,$B77)</f>
        <v>0</v>
      </c>
      <c r="G77" s="158" t="n">
        <f aca="false">U77+E77-F77</f>
        <v>432</v>
      </c>
      <c r="H77" s="158" t="n">
        <f aca="false">SUMIFS('aux Conciliação Lote'!$H$5:$H$98,'aux Conciliação Lote'!$A$5:$A$98,$A77,'aux Conciliação Lote'!$B$5:$B$98,$B77)</f>
        <v>432</v>
      </c>
      <c r="I77" s="159" t="n">
        <f aca="false">ROUND(H77-G77,2)</f>
        <v>0</v>
      </c>
      <c r="J77" s="160" t="str">
        <f aca="false">IF(ABS(I77)&lt;=Parâmetros!$C$7,"Confere",IF(I77&gt;0,"Sobrando","Faltando"))</f>
        <v>Confere</v>
      </c>
      <c r="K77" s="155" t="str">
        <f aca="false">IF(J77="Confere","Sem diferença",IF(AND(J77&lt;&gt;"Confere",SUMPRODUCT(($A$14:$A$107=$A77)*($B$14:$B$107&lt;&gt;$B77)*(ABS($I$14:$I$107+$I77)&lt;=Parâmetros!$C$7))&gt;0),"Troca de lote: a mesma quantidade aparece com sinal oposto em outro lote deste SKU",IF(AND(I77&lt;0,H77=0,F77=0),"Entrou no ZBR, mas não está no estoque físico: não chegou ou foi guardado em outro lote",IF(I77&lt;0,"Estoque físico menor que o esperado: saída, ajuste ou perda não lançada no período",IF(ABS(I77-M77)&lt;=Parâmetros!$C$7,"Estoque antigo: toda a sobra está em posições sem movimento desde antes de 09/09",IF(AND(F77&gt;0,ABS(I77-F77)&lt;=Parâmetros!$C$7),"As saídas do período não baixaram o estoque físico",IF(ABS(I77-N77)&lt;=Parâmetros!$C$7,"Quantidade parada em doca, chão ou transferência: entrega ou devolução não baixada",IF(ABS(I77-M77-N77)&lt;=Parâmetros!$C$7,"Estoque antigo + quantidade em doca/chão/transferência",IF(AND(F77&gt;0,ABS(I77-M77-N77-F77)&lt;=Parâmetros!$C$7),IF(M77+N77&gt;0,"Estoque antigo/doca + saídas do período que","Saídas do período que")&amp;" não baixaram o estoque físico",IF(AND(P77&gt;0,ABS(I77-M77-N77-P77)&lt;=Parâmetros!$C$7),IF(M77+N77&gt;0,"Estoque antigo/doca + saídas","Saídas")&amp;" pelo depósito 0355 que não baixaram o estoque físico",IF(M77+N77&gt;0,"Explica em parte: estoque antigo "&amp;FIXED(M77,1)&amp;" + doca/transferência "&amp;FIXED(N77,1)&amp;"; faltam "&amp;FIXED(I77-M77-N77,1)&amp;" a explicar",IF(F77&gt;E77+U77,"Saiu mais do que entrou: havia estoque antes de 09/09 que não está no arquivo","Estoque acima do esperado: entrada não lançada ou saldo anterior ao período"))))))))))))</f>
        <v>Sem diferença</v>
      </c>
      <c r="L77" s="156" t="str">
        <f aca="false">IF(J77="Confere","Nenhum ajuste necessário",IF(LEFT(K77,5)="Troca","Transferir "&amp;FIXED(ABS(I77),1)&amp;" "&amp;D77&amp;" entre os lotes deste SKU (transferência lote a lote, mov. 309) para corrigir o lote",IF(LEFT(K77,6)="Entrou","Procurar a OT de armazenagem pendente no ZBR. Se não achar: contar e lançar ajuste de inventário de −"&amp;FIXED(ABS(I77),1)&amp;" "&amp;D77,IF(J77="Faltando","Contar o lote. Se a falta se confirmar: lançar a saída esquecida (601) ou ajuste de inventário de −"&amp;FIXED(ABS(I77),1)&amp;" "&amp;D77,IF(LEFT(K77,15)="Estoque antigo:","Confirmar no SAP o saldo de 08/09 ("&amp;FIXED(ABS(M77),1)&amp;" "&amp;D77&amp;"). Se estiver certo, não há ajuste",IF(LEFT(K77,10)="Quantidade","Confirmar ou estornar as OTs em doca/transferência ("&amp;FIXED(ABS(N77),1)&amp;" "&amp;D77&amp;"): guardar na posição ou baixar a entrega",IF(LEFT(K77,16)="Estoque antigo +","Confirmar saldo de 08/09 ("&amp;FIXED(ABS(M77),1)&amp;" "&amp;D77&amp;") e tratar as OTs em doca/transferência ("&amp;FIXED(ABS(N77),1)&amp;" "&amp;D77&amp;")",IF(ISNUMBER(SEARCH("não baixaram",K77)),"Confirmar a OT de saída (picking) das remessas para baixar "&amp;FIXED(ABS(I77-M77-N77),1)&amp;" "&amp;D77&amp;" do estoque físico"&amp;IF(M77+N77&gt;0,"; conferir também estoque antigo/doca",""),IF(LEFT(K77,7)="Explica","Confirmar saldo de 08/09 e OTs de doca; contar o lote para os "&amp;FIXED(ABS(I77-M77-N77),1)&amp;" "&amp;D77&amp;" restantes e ajustar a sobra se confirmada","Confirmar saldo de 08/09; se não existir, contar o lote e lançar ajuste de inventário de +"&amp;FIXED(ABS(I77),1)&amp;" "&amp;D77)))))))))</f>
        <v>Nenhum ajuste necessário</v>
      </c>
      <c r="M77" s="158" t="n">
        <f aca="false">MAX(0,SUMIFS('3 Base Estoque Físico'!$J$2:$J$5000,'3 Base Estoque Físico'!$A$2:$A$5000,$A77,'3 Base Estoque Físico'!$B$2:$B$5000,$B77,'3 Base Estoque Físico'!$I$2:$I$5000,"&lt;"&amp;DATE(2026,9,9))-U77)</f>
        <v>0</v>
      </c>
      <c r="N77" s="158" t="n">
        <f aca="false">SUMPRODUCT(('3 Base Estoque Físico'!$A$2:$A$5000=$A77)*('3 Base Estoque Físico'!$B$2:$B$5000=$B77)*('3 Base Estoque Físico'!$I$2:$I$5000&gt;=DATE(2026,9,9))*ISNUMBER(MATCH('3 Base Estoque Físico'!$C$2:$C$5000,{"DCK","TRF","922","FLR","DIF"},0))*'3 Base Estoque Físico'!$J$2:$J$5000)</f>
        <v>0</v>
      </c>
      <c r="O77" s="161" t="n">
        <f aca="false">IF(OR(J77="Confere",LEFT(K77,5)="Troca",ISNUMBER(SEARCH("não baixaram",K77))),0,IF(I77&gt;0,MAX(0,ROUND(I77-M77-N77,2)),I77))</f>
        <v>0</v>
      </c>
      <c r="P77" s="158" t="n">
        <f aca="false">SUMIFS('3 Base Saídas'!$R$2:$R$5000,'3 Base Saídas'!$B$2:$B$5000,$A77,'3 Base Saídas'!$C$2:$C$5000,$B77,'3 Base Saídas'!$E$2:$E$5000,"0355")</f>
        <v>0</v>
      </c>
      <c r="Q77" s="157" t="str">
        <f aca="false">IF(J77="Confere","—",IF(LEFT(K77,5)="Troca","Troca de lote",IF(LEFT(K77,6)="Entrou","Não localizado no estoque",IF(J77="Faltando","Falta sem explicação",IF(ISNUMBER(SEARCH("não baixaram",K77)),"Saída sem baixa no estoque",IF(LEFT(K77,10)="Quantidade","Doca/transferência pendente",IF(LEFT(K77,14)="Estoque antigo","Estoque anterior a 09/09",IF(LEFT(K77,7)="Explica","Sobra parcialmente explicada","Sobra sem explicação"))))))))</f>
        <v>—</v>
      </c>
      <c r="R77" s="162" t="str">
        <f aca="false">IF(J77="Confere","—",IF(OR(LEFT(K77,6)="Entrou",AND(I77&lt;0,ABS(O77)&gt;=Parâmetros!$K$6)),"Crítica",IF(OR(AND(I77&lt;0,O77&lt;&gt;0),O77&gt;=Parâmetros!$K$7),"Alta",IF(O77&gt;0,"Média","Baixa"))))</f>
        <v>—</v>
      </c>
      <c r="S77" s="157" t="str">
        <f aca="false">A77&amp;"|"&amp;B77</f>
        <v>CHM-VR-Z3S-E0-U68|260400301</v>
      </c>
      <c r="T77" s="157" t="n">
        <f aca="false">IF(ABS(O77)&gt;Parâmetros!$C$7,ABS(O77)+ROW()/10000000,0)</f>
        <v>0</v>
      </c>
      <c r="U77" s="158" t="n">
        <f aca="false">SUMIFS('3 Base Saldo Inicial 08-09'!$E$2:$E$5000,'3 Base Saldo Inicial 08-09'!$A$2:$A$5000,$A77,'3 Base Saldo Inicial 08-09'!$B$2:$B$5000,$B77)-SUMIFS('3 Base Saldo Inicial 08-09'!$E$2:$E$5000,'3 Base Saldo Inicial 08-09'!$A$2:$A$5000,$A77,'3 Base Saldo Inicial 08-09'!$B$2:$B$5000,$B77,'3 Base Saldo Inicial 08-09'!$C$2:$C$5000,"2008")</f>
        <v>0</v>
      </c>
    </row>
    <row r="78" customFormat="false" ht="15" hidden="false" customHeight="false" outlineLevel="0" collapsed="false">
      <c r="A78" s="155" t="s">
        <v>364</v>
      </c>
      <c r="B78" s="155" t="s">
        <v>365</v>
      </c>
      <c r="C78" s="156"/>
      <c r="D78" s="157" t="s">
        <v>65</v>
      </c>
      <c r="E78" s="158" t="n">
        <f aca="false">SUMIFS('aux Conciliação Lote'!$E$5:$E$98,'aux Conciliação Lote'!$A$5:$A$98,$A78,'aux Conciliação Lote'!$B$5:$B$98,$B78)</f>
        <v>0</v>
      </c>
      <c r="F78" s="158" t="n">
        <f aca="false">SUMIFS('aux Conciliação Lote'!$F$5:$F$98,'aux Conciliação Lote'!$A$5:$A$98,$A78,'aux Conciliação Lote'!$B$5:$B$98,$B78)</f>
        <v>0</v>
      </c>
      <c r="G78" s="158" t="n">
        <f aca="false">U78+E78-F78</f>
        <v>0</v>
      </c>
      <c r="H78" s="158" t="n">
        <f aca="false">SUMIFS('aux Conciliação Lote'!$H$5:$H$98,'aux Conciliação Lote'!$A$5:$A$98,$A78,'aux Conciliação Lote'!$B$5:$B$98,$B78)</f>
        <v>0</v>
      </c>
      <c r="I78" s="159" t="n">
        <f aca="false">ROUND(H78-G78,2)</f>
        <v>0</v>
      </c>
      <c r="J78" s="160" t="str">
        <f aca="false">IF(ABS(I78)&lt;=Parâmetros!$C$7,"Confere",IF(I78&gt;0,"Sobrando","Faltando"))</f>
        <v>Confere</v>
      </c>
      <c r="K78" s="155" t="str">
        <f aca="false">IF(J78="Confere","Sem diferença",IF(AND(J78&lt;&gt;"Confere",SUMPRODUCT(($A$14:$A$107=$A78)*($B$14:$B$107&lt;&gt;$B78)*(ABS($I$14:$I$107+$I78)&lt;=Parâmetros!$C$7))&gt;0),"Troca de lote: a mesma quantidade aparece com sinal oposto em outro lote deste SKU",IF(AND(I78&lt;0,H78=0,F78=0),"Entrou no ZBR, mas não está no estoque físico: não chegou ou foi guardado em outro lote",IF(I78&lt;0,"Estoque físico menor que o esperado: saída, ajuste ou perda não lançada no período",IF(ABS(I78-M78)&lt;=Parâmetros!$C$7,"Estoque antigo: toda a sobra está em posições sem movimento desde antes de 09/09",IF(AND(F78&gt;0,ABS(I78-F78)&lt;=Parâmetros!$C$7),"As saídas do período não baixaram o estoque físico",IF(ABS(I78-N78)&lt;=Parâmetros!$C$7,"Quantidade parada em doca, chão ou transferência: entrega ou devolução não baixada",IF(ABS(I78-M78-N78)&lt;=Parâmetros!$C$7,"Estoque antigo + quantidade em doca/chão/transferência",IF(AND(F78&gt;0,ABS(I78-M78-N78-F78)&lt;=Parâmetros!$C$7),IF(M78+N78&gt;0,"Estoque antigo/doca + saídas do período que","Saídas do período que")&amp;" não baixaram o estoque físico",IF(AND(P78&gt;0,ABS(I78-M78-N78-P78)&lt;=Parâmetros!$C$7),IF(M78+N78&gt;0,"Estoque antigo/doca + saídas","Saídas")&amp;" pelo depósito 0355 que não baixaram o estoque físico",IF(M78+N78&gt;0,"Explica em parte: estoque antigo "&amp;FIXED(M78,1)&amp;" + doca/transferência "&amp;FIXED(N78,1)&amp;"; faltam "&amp;FIXED(I78-M78-N78,1)&amp;" a explicar",IF(F78&gt;E78+U78,"Saiu mais do que entrou: havia estoque antes de 09/09 que não está no arquivo","Estoque acima do esperado: entrada não lançada ou saldo anterior ao período"))))))))))))</f>
        <v>Sem diferença</v>
      </c>
      <c r="L78" s="156" t="str">
        <f aca="false">IF(J78="Confere","Nenhum ajuste necessário",IF(LEFT(K78,5)="Troca","Transferir "&amp;FIXED(ABS(I78),1)&amp;" "&amp;D78&amp;" entre os lotes deste SKU (transferência lote a lote, mov. 309) para corrigir o lote",IF(LEFT(K78,6)="Entrou","Procurar a OT de armazenagem pendente no ZBR. Se não achar: contar e lançar ajuste de inventário de −"&amp;FIXED(ABS(I78),1)&amp;" "&amp;D78,IF(J78="Faltando","Contar o lote. Se a falta se confirmar: lançar a saída esquecida (601) ou ajuste de inventário de −"&amp;FIXED(ABS(I78),1)&amp;" "&amp;D78,IF(LEFT(K78,15)="Estoque antigo:","Confirmar no SAP o saldo de 08/09 ("&amp;FIXED(ABS(M78),1)&amp;" "&amp;D78&amp;"). Se estiver certo, não há ajuste",IF(LEFT(K78,10)="Quantidade","Confirmar ou estornar as OTs em doca/transferência ("&amp;FIXED(ABS(N78),1)&amp;" "&amp;D78&amp;"): guardar na posição ou baixar a entrega",IF(LEFT(K78,16)="Estoque antigo +","Confirmar saldo de 08/09 ("&amp;FIXED(ABS(M78),1)&amp;" "&amp;D78&amp;") e tratar as OTs em doca/transferência ("&amp;FIXED(ABS(N78),1)&amp;" "&amp;D78&amp;")",IF(ISNUMBER(SEARCH("não baixaram",K78)),"Confirmar a OT de saída (picking) das remessas para baixar "&amp;FIXED(ABS(I78-M78-N78),1)&amp;" "&amp;D78&amp;" do estoque físico"&amp;IF(M78+N78&gt;0,"; conferir também estoque antigo/doca",""),IF(LEFT(K78,7)="Explica","Confirmar saldo de 08/09 e OTs de doca; contar o lote para os "&amp;FIXED(ABS(I78-M78-N78),1)&amp;" "&amp;D78&amp;" restantes e ajustar a sobra se confirmada","Confirmar saldo de 08/09; se não existir, contar o lote e lançar ajuste de inventário de +"&amp;FIXED(ABS(I78),1)&amp;" "&amp;D78)))))))))</f>
        <v>Nenhum ajuste necessário</v>
      </c>
      <c r="M78" s="158" t="n">
        <f aca="false">MAX(0,SUMIFS('3 Base Estoque Físico'!$J$2:$J$5000,'3 Base Estoque Físico'!$A$2:$A$5000,$A78,'3 Base Estoque Físico'!$B$2:$B$5000,$B78,'3 Base Estoque Físico'!$I$2:$I$5000,"&lt;"&amp;DATE(2026,9,9))-U78)</f>
        <v>0</v>
      </c>
      <c r="N78" s="158" t="n">
        <f aca="false">SUMPRODUCT(('3 Base Estoque Físico'!$A$2:$A$5000=$A78)*('3 Base Estoque Físico'!$B$2:$B$5000=$B78)*('3 Base Estoque Físico'!$I$2:$I$5000&gt;=DATE(2026,9,9))*ISNUMBER(MATCH('3 Base Estoque Físico'!$C$2:$C$5000,{"DCK","TRF","922","FLR","DIF"},0))*'3 Base Estoque Físico'!$J$2:$J$5000)</f>
        <v>0</v>
      </c>
      <c r="O78" s="161" t="n">
        <f aca="false">IF(OR(J78="Confere",LEFT(K78,5)="Troca",ISNUMBER(SEARCH("não baixaram",K78))),0,IF(I78&gt;0,MAX(0,ROUND(I78-M78-N78,2)),I78))</f>
        <v>0</v>
      </c>
      <c r="P78" s="158" t="n">
        <f aca="false">SUMIFS('3 Base Saídas'!$R$2:$R$5000,'3 Base Saídas'!$B$2:$B$5000,$A78,'3 Base Saídas'!$C$2:$C$5000,$B78,'3 Base Saídas'!$E$2:$E$5000,"0355")</f>
        <v>0</v>
      </c>
      <c r="Q78" s="157" t="str">
        <f aca="false">IF(J78="Confere","—",IF(LEFT(K78,5)="Troca","Troca de lote",IF(LEFT(K78,6)="Entrou","Não localizado no estoque",IF(J78="Faltando","Falta sem explicação",IF(ISNUMBER(SEARCH("não baixaram",K78)),"Saída sem baixa no estoque",IF(LEFT(K78,10)="Quantidade","Doca/transferência pendente",IF(LEFT(K78,14)="Estoque antigo","Estoque anterior a 09/09",IF(LEFT(K78,7)="Explica","Sobra parcialmente explicada","Sobra sem explicação"))))))))</f>
        <v>—</v>
      </c>
      <c r="R78" s="162" t="str">
        <f aca="false">IF(J78="Confere","—",IF(OR(LEFT(K78,6)="Entrou",AND(I78&lt;0,ABS(O78)&gt;=Parâmetros!$K$6)),"Crítica",IF(OR(AND(I78&lt;0,O78&lt;&gt;0),O78&gt;=Parâmetros!$K$7),"Alta",IF(O78&gt;0,"Média","Baixa"))))</f>
        <v>—</v>
      </c>
      <c r="S78" s="157" t="str">
        <f aca="false">A78&amp;"|"&amp;B78</f>
        <v>CHM-VR-Z3S-E0-U72|260600103</v>
      </c>
      <c r="T78" s="157" t="n">
        <f aca="false">IF(ABS(O78)&gt;Parâmetros!$C$7,ABS(O78)+ROW()/10000000,0)</f>
        <v>0</v>
      </c>
      <c r="U78" s="158" t="n">
        <f aca="false">SUMIFS('3 Base Saldo Inicial 08-09'!$E$2:$E$5000,'3 Base Saldo Inicial 08-09'!$A$2:$A$5000,$A78,'3 Base Saldo Inicial 08-09'!$B$2:$B$5000,$B78)-SUMIFS('3 Base Saldo Inicial 08-09'!$E$2:$E$5000,'3 Base Saldo Inicial 08-09'!$A$2:$A$5000,$A78,'3 Base Saldo Inicial 08-09'!$B$2:$B$5000,$B78,'3 Base Saldo Inicial 08-09'!$C$2:$C$5000,"2008")</f>
        <v>0</v>
      </c>
    </row>
    <row r="79" customFormat="false" ht="15" hidden="false" customHeight="false" outlineLevel="0" collapsed="false">
      <c r="A79" s="155" t="s">
        <v>271</v>
      </c>
      <c r="B79" s="155" t="s">
        <v>272</v>
      </c>
      <c r="C79" s="156" t="s">
        <v>1225</v>
      </c>
      <c r="D79" s="157" t="s">
        <v>65</v>
      </c>
      <c r="E79" s="158" t="n">
        <f aca="false">SUMIFS('aux Conciliação Lote'!$E$5:$E$98,'aux Conciliação Lote'!$A$5:$A$98,$A79,'aux Conciliação Lote'!$B$5:$B$98,$B79)</f>
        <v>1860</v>
      </c>
      <c r="F79" s="158" t="n">
        <f aca="false">SUMIFS('aux Conciliação Lote'!$F$5:$F$98,'aux Conciliação Lote'!$A$5:$A$98,$A79,'aux Conciliação Lote'!$B$5:$B$98,$B79)</f>
        <v>770</v>
      </c>
      <c r="G79" s="158" t="n">
        <f aca="false">U79+E79-F79</f>
        <v>1090</v>
      </c>
      <c r="H79" s="158" t="n">
        <f aca="false">SUMIFS('aux Conciliação Lote'!$H$5:$H$98,'aux Conciliação Lote'!$A$5:$A$98,$A79,'aux Conciliação Lote'!$B$5:$B$98,$B79)</f>
        <v>1090</v>
      </c>
      <c r="I79" s="159" t="n">
        <f aca="false">ROUND(H79-G79,2)</f>
        <v>0</v>
      </c>
      <c r="J79" s="160" t="str">
        <f aca="false">IF(ABS(I79)&lt;=Parâmetros!$C$7,"Confere",IF(I79&gt;0,"Sobrando","Faltando"))</f>
        <v>Confere</v>
      </c>
      <c r="K79" s="155" t="str">
        <f aca="false">IF(J79="Confere","Sem diferença",IF(AND(J79&lt;&gt;"Confere",SUMPRODUCT(($A$14:$A$107=$A79)*($B$14:$B$107&lt;&gt;$B79)*(ABS($I$14:$I$107+$I79)&lt;=Parâmetros!$C$7))&gt;0),"Troca de lote: a mesma quantidade aparece com sinal oposto em outro lote deste SKU",IF(AND(I79&lt;0,H79=0,F79=0),"Entrou no ZBR, mas não está no estoque físico: não chegou ou foi guardado em outro lote",IF(I79&lt;0,"Estoque físico menor que o esperado: saída, ajuste ou perda não lançada no período",IF(ABS(I79-M79)&lt;=Parâmetros!$C$7,"Estoque antigo: toda a sobra está em posições sem movimento desde antes de 09/09",IF(AND(F79&gt;0,ABS(I79-F79)&lt;=Parâmetros!$C$7),"As saídas do período não baixaram o estoque físico",IF(ABS(I79-N79)&lt;=Parâmetros!$C$7,"Quantidade parada em doca, chão ou transferência: entrega ou devolução não baixada",IF(ABS(I79-M79-N79)&lt;=Parâmetros!$C$7,"Estoque antigo + quantidade em doca/chão/transferência",IF(AND(F79&gt;0,ABS(I79-M79-N79-F79)&lt;=Parâmetros!$C$7),IF(M79+N79&gt;0,"Estoque antigo/doca + saídas do período que","Saídas do período que")&amp;" não baixaram o estoque físico",IF(AND(P79&gt;0,ABS(I79-M79-N79-P79)&lt;=Parâmetros!$C$7),IF(M79+N79&gt;0,"Estoque antigo/doca + saídas","Saídas")&amp;" pelo depósito 0355 que não baixaram o estoque físico",IF(M79+N79&gt;0,"Explica em parte: estoque antigo "&amp;FIXED(M79,1)&amp;" + doca/transferência "&amp;FIXED(N79,1)&amp;"; faltam "&amp;FIXED(I79-M79-N79,1)&amp;" a explicar",IF(F79&gt;E79+U79,"Saiu mais do que entrou: havia estoque antes de 09/09 que não está no arquivo","Estoque acima do esperado: entrada não lançada ou saldo anterior ao período"))))))))))))</f>
        <v>Sem diferença</v>
      </c>
      <c r="L79" s="156" t="str">
        <f aca="false">IF(J79="Confere","Nenhum ajuste necessário",IF(LEFT(K79,5)="Troca","Transferir "&amp;FIXED(ABS(I79),1)&amp;" "&amp;D79&amp;" entre os lotes deste SKU (transferência lote a lote, mov. 309) para corrigir o lote",IF(LEFT(K79,6)="Entrou","Procurar a OT de armazenagem pendente no ZBR. Se não achar: contar e lançar ajuste de inventário de −"&amp;FIXED(ABS(I79),1)&amp;" "&amp;D79,IF(J79="Faltando","Contar o lote. Se a falta se confirmar: lançar a saída esquecida (601) ou ajuste de inventário de −"&amp;FIXED(ABS(I79),1)&amp;" "&amp;D79,IF(LEFT(K79,15)="Estoque antigo:","Confirmar no SAP o saldo de 08/09 ("&amp;FIXED(ABS(M79),1)&amp;" "&amp;D79&amp;"). Se estiver certo, não há ajuste",IF(LEFT(K79,10)="Quantidade","Confirmar ou estornar as OTs em doca/transferência ("&amp;FIXED(ABS(N79),1)&amp;" "&amp;D79&amp;"): guardar na posição ou baixar a entrega",IF(LEFT(K79,16)="Estoque antigo +","Confirmar saldo de 08/09 ("&amp;FIXED(ABS(M79),1)&amp;" "&amp;D79&amp;") e tratar as OTs em doca/transferência ("&amp;FIXED(ABS(N79),1)&amp;" "&amp;D79&amp;")",IF(ISNUMBER(SEARCH("não baixaram",K79)),"Confirmar a OT de saída (picking) das remessas para baixar "&amp;FIXED(ABS(I79-M79-N79),1)&amp;" "&amp;D79&amp;" do estoque físico"&amp;IF(M79+N79&gt;0,"; conferir também estoque antigo/doca",""),IF(LEFT(K79,7)="Explica","Confirmar saldo de 08/09 e OTs de doca; contar o lote para os "&amp;FIXED(ABS(I79-M79-N79),1)&amp;" "&amp;D79&amp;" restantes e ajustar a sobra se confirmada","Confirmar saldo de 08/09; se não existir, contar o lote e lançar ajuste de inventário de +"&amp;FIXED(ABS(I79),1)&amp;" "&amp;D79)))))))))</f>
        <v>Nenhum ajuste necessário</v>
      </c>
      <c r="M79" s="158" t="n">
        <f aca="false">MAX(0,SUMIFS('3 Base Estoque Físico'!$J$2:$J$5000,'3 Base Estoque Físico'!$A$2:$A$5000,$A79,'3 Base Estoque Físico'!$B$2:$B$5000,$B79,'3 Base Estoque Físico'!$I$2:$I$5000,"&lt;"&amp;DATE(2026,9,9))-U79)</f>
        <v>0</v>
      </c>
      <c r="N79" s="158" t="n">
        <f aca="false">SUMPRODUCT(('3 Base Estoque Físico'!$A$2:$A$5000=$A79)*('3 Base Estoque Físico'!$B$2:$B$5000=$B79)*('3 Base Estoque Físico'!$I$2:$I$5000&gt;=DATE(2026,9,9))*ISNUMBER(MATCH('3 Base Estoque Físico'!$C$2:$C$5000,{"DCK","TRF","922","FLR","DIF"},0))*'3 Base Estoque Físico'!$J$2:$J$5000)</f>
        <v>340</v>
      </c>
      <c r="O79" s="161" t="n">
        <f aca="false">IF(OR(J79="Confere",LEFT(K79,5)="Troca",ISNUMBER(SEARCH("não baixaram",K79))),0,IF(I79&gt;0,MAX(0,ROUND(I79-M79-N79,2)),I79))</f>
        <v>0</v>
      </c>
      <c r="P79" s="158" t="n">
        <f aca="false">SUMIFS('3 Base Saídas'!$R$2:$R$5000,'3 Base Saídas'!$B$2:$B$5000,$A79,'3 Base Saídas'!$C$2:$C$5000,$B79,'3 Base Saídas'!$E$2:$E$5000,"0355")</f>
        <v>0</v>
      </c>
      <c r="Q79" s="157" t="str">
        <f aca="false">IF(J79="Confere","—",IF(LEFT(K79,5)="Troca","Troca de lote",IF(LEFT(K79,6)="Entrou","Não localizado no estoque",IF(J79="Faltando","Falta sem explicação",IF(ISNUMBER(SEARCH("não baixaram",K79)),"Saída sem baixa no estoque",IF(LEFT(K79,10)="Quantidade","Doca/transferência pendente",IF(LEFT(K79,14)="Estoque antigo","Estoque anterior a 09/09",IF(LEFT(K79,7)="Explica","Sobra parcialmente explicada","Sobra sem explicação"))))))))</f>
        <v>—</v>
      </c>
      <c r="R79" s="162" t="str">
        <f aca="false">IF(J79="Confere","—",IF(OR(LEFT(K79,6)="Entrou",AND(I79&lt;0,ABS(O79)&gt;=Parâmetros!$K$6)),"Crítica",IF(OR(AND(I79&lt;0,O79&lt;&gt;0),O79&gt;=Parâmetros!$K$7),"Alta",IF(O79&gt;0,"Média","Baixa"))))</f>
        <v>—</v>
      </c>
      <c r="S79" s="157" t="str">
        <f aca="false">A79&amp;"|"&amp;B79</f>
        <v>CHR-Q37RB2-2B-U75|261320202</v>
      </c>
      <c r="T79" s="157" t="n">
        <f aca="false">IF(ABS(O79)&gt;Parâmetros!$C$7,ABS(O79)+ROW()/10000000,0)</f>
        <v>0</v>
      </c>
      <c r="U79" s="158" t="n">
        <f aca="false">SUMIFS('3 Base Saldo Inicial 08-09'!$E$2:$E$5000,'3 Base Saldo Inicial 08-09'!$A$2:$A$5000,$A79,'3 Base Saldo Inicial 08-09'!$B$2:$B$5000,$B79)-SUMIFS('3 Base Saldo Inicial 08-09'!$E$2:$E$5000,'3 Base Saldo Inicial 08-09'!$A$2:$A$5000,$A79,'3 Base Saldo Inicial 08-09'!$B$2:$B$5000,$B79,'3 Base Saldo Inicial 08-09'!$C$2:$C$5000,"2008")</f>
        <v>0</v>
      </c>
    </row>
    <row r="80" customFormat="false" ht="15" hidden="false" customHeight="false" outlineLevel="0" collapsed="false">
      <c r="A80" s="155" t="s">
        <v>271</v>
      </c>
      <c r="B80" s="155" t="s">
        <v>273</v>
      </c>
      <c r="C80" s="156" t="s">
        <v>1225</v>
      </c>
      <c r="D80" s="157" t="s">
        <v>65</v>
      </c>
      <c r="E80" s="158" t="n">
        <f aca="false">SUMIFS('aux Conciliação Lote'!$E$5:$E$98,'aux Conciliação Lote'!$A$5:$A$98,$A80,'aux Conciliação Lote'!$B$5:$B$98,$B80)</f>
        <v>1200</v>
      </c>
      <c r="F80" s="158" t="n">
        <f aca="false">SUMIFS('aux Conciliação Lote'!$F$5:$F$98,'aux Conciliação Lote'!$A$5:$A$98,$A80,'aux Conciliação Lote'!$B$5:$B$98,$B80)</f>
        <v>0</v>
      </c>
      <c r="G80" s="158" t="n">
        <f aca="false">U80+E80-F80</f>
        <v>1200</v>
      </c>
      <c r="H80" s="158" t="n">
        <f aca="false">SUMIFS('aux Conciliação Lote'!$H$5:$H$98,'aux Conciliação Lote'!$A$5:$A$98,$A80,'aux Conciliação Lote'!$B$5:$B$98,$B80)</f>
        <v>1200</v>
      </c>
      <c r="I80" s="159" t="n">
        <f aca="false">ROUND(H80-G80,2)</f>
        <v>0</v>
      </c>
      <c r="J80" s="160" t="str">
        <f aca="false">IF(ABS(I80)&lt;=Parâmetros!$C$7,"Confere",IF(I80&gt;0,"Sobrando","Faltando"))</f>
        <v>Confere</v>
      </c>
      <c r="K80" s="155" t="str">
        <f aca="false">IF(J80="Confere","Sem diferença",IF(AND(J80&lt;&gt;"Confere",SUMPRODUCT(($A$14:$A$107=$A80)*($B$14:$B$107&lt;&gt;$B80)*(ABS($I$14:$I$107+$I80)&lt;=Parâmetros!$C$7))&gt;0),"Troca de lote: a mesma quantidade aparece com sinal oposto em outro lote deste SKU",IF(AND(I80&lt;0,H80=0,F80=0),"Entrou no ZBR, mas não está no estoque físico: não chegou ou foi guardado em outro lote",IF(I80&lt;0,"Estoque físico menor que o esperado: saída, ajuste ou perda não lançada no período",IF(ABS(I80-M80)&lt;=Parâmetros!$C$7,"Estoque antigo: toda a sobra está em posições sem movimento desde antes de 09/09",IF(AND(F80&gt;0,ABS(I80-F80)&lt;=Parâmetros!$C$7),"As saídas do período não baixaram o estoque físico",IF(ABS(I80-N80)&lt;=Parâmetros!$C$7,"Quantidade parada em doca, chão ou transferência: entrega ou devolução não baixada",IF(ABS(I80-M80-N80)&lt;=Parâmetros!$C$7,"Estoque antigo + quantidade em doca/chão/transferência",IF(AND(F80&gt;0,ABS(I80-M80-N80-F80)&lt;=Parâmetros!$C$7),IF(M80+N80&gt;0,"Estoque antigo/doca + saídas do período que","Saídas do período que")&amp;" não baixaram o estoque físico",IF(AND(P80&gt;0,ABS(I80-M80-N80-P80)&lt;=Parâmetros!$C$7),IF(M80+N80&gt;0,"Estoque antigo/doca + saídas","Saídas")&amp;" pelo depósito 0355 que não baixaram o estoque físico",IF(M80+N80&gt;0,"Explica em parte: estoque antigo "&amp;FIXED(M80,1)&amp;" + doca/transferência "&amp;FIXED(N80,1)&amp;"; faltam "&amp;FIXED(I80-M80-N80,1)&amp;" a explicar",IF(F80&gt;E80+U80,"Saiu mais do que entrou: havia estoque antes de 09/09 que não está no arquivo","Estoque acima do esperado: entrada não lançada ou saldo anterior ao período"))))))))))))</f>
        <v>Sem diferença</v>
      </c>
      <c r="L80" s="156" t="str">
        <f aca="false">IF(J80="Confere","Nenhum ajuste necessário",IF(LEFT(K80,5)="Troca","Transferir "&amp;FIXED(ABS(I80),1)&amp;" "&amp;D80&amp;" entre os lotes deste SKU (transferência lote a lote, mov. 309) para corrigir o lote",IF(LEFT(K80,6)="Entrou","Procurar a OT de armazenagem pendente no ZBR. Se não achar: contar e lançar ajuste de inventário de −"&amp;FIXED(ABS(I80),1)&amp;" "&amp;D80,IF(J80="Faltando","Contar o lote. Se a falta se confirmar: lançar a saída esquecida (601) ou ajuste de inventário de −"&amp;FIXED(ABS(I80),1)&amp;" "&amp;D80,IF(LEFT(K80,15)="Estoque antigo:","Confirmar no SAP o saldo de 08/09 ("&amp;FIXED(ABS(M80),1)&amp;" "&amp;D80&amp;"). Se estiver certo, não há ajuste",IF(LEFT(K80,10)="Quantidade","Confirmar ou estornar as OTs em doca/transferência ("&amp;FIXED(ABS(N80),1)&amp;" "&amp;D80&amp;"): guardar na posição ou baixar a entrega",IF(LEFT(K80,16)="Estoque antigo +","Confirmar saldo de 08/09 ("&amp;FIXED(ABS(M80),1)&amp;" "&amp;D80&amp;") e tratar as OTs em doca/transferência ("&amp;FIXED(ABS(N80),1)&amp;" "&amp;D80&amp;")",IF(ISNUMBER(SEARCH("não baixaram",K80)),"Confirmar a OT de saída (picking) das remessas para baixar "&amp;FIXED(ABS(I80-M80-N80),1)&amp;" "&amp;D80&amp;" do estoque físico"&amp;IF(M80+N80&gt;0,"; conferir também estoque antigo/doca",""),IF(LEFT(K80,7)="Explica","Confirmar saldo de 08/09 e OTs de doca; contar o lote para os "&amp;FIXED(ABS(I80-M80-N80),1)&amp;" "&amp;D80&amp;" restantes e ajustar a sobra se confirmada","Confirmar saldo de 08/09; se não existir, contar o lote e lançar ajuste de inventário de +"&amp;FIXED(ABS(I80),1)&amp;" "&amp;D80)))))))))</f>
        <v>Nenhum ajuste necessário</v>
      </c>
      <c r="M80" s="158" t="n">
        <f aca="false">MAX(0,SUMIFS('3 Base Estoque Físico'!$J$2:$J$5000,'3 Base Estoque Físico'!$A$2:$A$5000,$A80,'3 Base Estoque Físico'!$B$2:$B$5000,$B80,'3 Base Estoque Físico'!$I$2:$I$5000,"&lt;"&amp;DATE(2026,9,9))-U80)</f>
        <v>0</v>
      </c>
      <c r="N80" s="158" t="n">
        <f aca="false">SUMPRODUCT(('3 Base Estoque Físico'!$A$2:$A$5000=$A80)*('3 Base Estoque Físico'!$B$2:$B$5000=$B80)*('3 Base Estoque Físico'!$I$2:$I$5000&gt;=DATE(2026,9,9))*ISNUMBER(MATCH('3 Base Estoque Físico'!$C$2:$C$5000,{"DCK","TRF","922","FLR","DIF"},0))*'3 Base Estoque Físico'!$J$2:$J$5000)</f>
        <v>0</v>
      </c>
      <c r="O80" s="161" t="n">
        <f aca="false">IF(OR(J80="Confere",LEFT(K80,5)="Troca",ISNUMBER(SEARCH("não baixaram",K80))),0,IF(I80&gt;0,MAX(0,ROUND(I80-M80-N80,2)),I80))</f>
        <v>0</v>
      </c>
      <c r="P80" s="158" t="n">
        <f aca="false">SUMIFS('3 Base Saídas'!$R$2:$R$5000,'3 Base Saídas'!$B$2:$B$5000,$A80,'3 Base Saídas'!$C$2:$C$5000,$B80,'3 Base Saídas'!$E$2:$E$5000,"0355")</f>
        <v>0</v>
      </c>
      <c r="Q80" s="157" t="str">
        <f aca="false">IF(J80="Confere","—",IF(LEFT(K80,5)="Troca","Troca de lote",IF(LEFT(K80,6)="Entrou","Não localizado no estoque",IF(J80="Faltando","Falta sem explicação",IF(ISNUMBER(SEARCH("não baixaram",K80)),"Saída sem baixa no estoque",IF(LEFT(K80,10)="Quantidade","Doca/transferência pendente",IF(LEFT(K80,14)="Estoque antigo","Estoque anterior a 09/09",IF(LEFT(K80,7)="Explica","Sobra parcialmente explicada","Sobra sem explicação"))))))))</f>
        <v>—</v>
      </c>
      <c r="R80" s="162" t="str">
        <f aca="false">IF(J80="Confere","—",IF(OR(LEFT(K80,6)="Entrou",AND(I80&lt;0,ABS(O80)&gt;=Parâmetros!$K$6)),"Crítica",IF(OR(AND(I80&lt;0,O80&lt;&gt;0),O80&gt;=Parâmetros!$K$7),"Alta",IF(O80&gt;0,"Média","Baixa"))))</f>
        <v>—</v>
      </c>
      <c r="S80" s="157" t="str">
        <f aca="false">A80&amp;"|"&amp;B80</f>
        <v>CHR-Q37RB2-2B-U75|261320203</v>
      </c>
      <c r="T80" s="157" t="n">
        <f aca="false">IF(ABS(O80)&gt;Parâmetros!$C$7,ABS(O80)+ROW()/10000000,0)</f>
        <v>0</v>
      </c>
      <c r="U80" s="158" t="n">
        <f aca="false">SUMIFS('3 Base Saldo Inicial 08-09'!$E$2:$E$5000,'3 Base Saldo Inicial 08-09'!$A$2:$A$5000,$A80,'3 Base Saldo Inicial 08-09'!$B$2:$B$5000,$B80)-SUMIFS('3 Base Saldo Inicial 08-09'!$E$2:$E$5000,'3 Base Saldo Inicial 08-09'!$A$2:$A$5000,$A80,'3 Base Saldo Inicial 08-09'!$B$2:$B$5000,$B80,'3 Base Saldo Inicial 08-09'!$C$2:$C$5000,"2008")</f>
        <v>0</v>
      </c>
    </row>
    <row r="81" customFormat="false" ht="15" hidden="false" customHeight="false" outlineLevel="0" collapsed="false">
      <c r="A81" s="155" t="s">
        <v>368</v>
      </c>
      <c r="B81" s="155" t="s">
        <v>369</v>
      </c>
      <c r="C81" s="156"/>
      <c r="D81" s="157" t="s">
        <v>65</v>
      </c>
      <c r="E81" s="158" t="n">
        <f aca="false">SUMIFS('aux Conciliação Lote'!$E$5:$E$98,'aux Conciliação Lote'!$A$5:$A$98,$A81,'aux Conciliação Lote'!$B$5:$B$98,$B81)</f>
        <v>313.6</v>
      </c>
      <c r="F81" s="158" t="n">
        <f aca="false">SUMIFS('aux Conciliação Lote'!$F$5:$F$98,'aux Conciliação Lote'!$A$5:$A$98,$A81,'aux Conciliação Lote'!$B$5:$B$98,$B81)</f>
        <v>0</v>
      </c>
      <c r="G81" s="158" t="n">
        <f aca="false">U81+E81-F81</f>
        <v>313.6</v>
      </c>
      <c r="H81" s="158" t="n">
        <f aca="false">SUMIFS('aux Conciliação Lote'!$H$5:$H$98,'aux Conciliação Lote'!$A$5:$A$98,$A81,'aux Conciliação Lote'!$B$5:$B$98,$B81)</f>
        <v>313.6</v>
      </c>
      <c r="I81" s="159" t="n">
        <f aca="false">ROUND(H81-G81,2)</f>
        <v>0</v>
      </c>
      <c r="J81" s="160" t="str">
        <f aca="false">IF(ABS(I81)&lt;=Parâmetros!$C$7,"Confere",IF(I81&gt;0,"Sobrando","Faltando"))</f>
        <v>Confere</v>
      </c>
      <c r="K81" s="155" t="str">
        <f aca="false">IF(J81="Confere","Sem diferença",IF(AND(J81&lt;&gt;"Confere",SUMPRODUCT(($A$14:$A$107=$A81)*($B$14:$B$107&lt;&gt;$B81)*(ABS($I$14:$I$107+$I81)&lt;=Parâmetros!$C$7))&gt;0),"Troca de lote: a mesma quantidade aparece com sinal oposto em outro lote deste SKU",IF(AND(I81&lt;0,H81=0,F81=0),"Entrou no ZBR, mas não está no estoque físico: não chegou ou foi guardado em outro lote",IF(I81&lt;0,"Estoque físico menor que o esperado: saída, ajuste ou perda não lançada no período",IF(ABS(I81-M81)&lt;=Parâmetros!$C$7,"Estoque antigo: toda a sobra está em posições sem movimento desde antes de 09/09",IF(AND(F81&gt;0,ABS(I81-F81)&lt;=Parâmetros!$C$7),"As saídas do período não baixaram o estoque físico",IF(ABS(I81-N81)&lt;=Parâmetros!$C$7,"Quantidade parada em doca, chão ou transferência: entrega ou devolução não baixada",IF(ABS(I81-M81-N81)&lt;=Parâmetros!$C$7,"Estoque antigo + quantidade em doca/chão/transferência",IF(AND(F81&gt;0,ABS(I81-M81-N81-F81)&lt;=Parâmetros!$C$7),IF(M81+N81&gt;0,"Estoque antigo/doca + saídas do período que","Saídas do período que")&amp;" não baixaram o estoque físico",IF(AND(P81&gt;0,ABS(I81-M81-N81-P81)&lt;=Parâmetros!$C$7),IF(M81+N81&gt;0,"Estoque antigo/doca + saídas","Saídas")&amp;" pelo depósito 0355 que não baixaram o estoque físico",IF(M81+N81&gt;0,"Explica em parte: estoque antigo "&amp;FIXED(M81,1)&amp;" + doca/transferência "&amp;FIXED(N81,1)&amp;"; faltam "&amp;FIXED(I81-M81-N81,1)&amp;" a explicar",IF(F81&gt;E81+U81,"Saiu mais do que entrou: havia estoque antes de 09/09 que não está no arquivo","Estoque acima do esperado: entrada não lançada ou saldo anterior ao período"))))))))))))</f>
        <v>Sem diferença</v>
      </c>
      <c r="L81" s="156" t="str">
        <f aca="false">IF(J81="Confere","Nenhum ajuste necessário",IF(LEFT(K81,5)="Troca","Transferir "&amp;FIXED(ABS(I81),1)&amp;" "&amp;D81&amp;" entre os lotes deste SKU (transferência lote a lote, mov. 309) para corrigir o lote",IF(LEFT(K81,6)="Entrou","Procurar a OT de armazenagem pendente no ZBR. Se não achar: contar e lançar ajuste de inventário de −"&amp;FIXED(ABS(I81),1)&amp;" "&amp;D81,IF(J81="Faltando","Contar o lote. Se a falta se confirmar: lançar a saída esquecida (601) ou ajuste de inventário de −"&amp;FIXED(ABS(I81),1)&amp;" "&amp;D81,IF(LEFT(K81,15)="Estoque antigo:","Confirmar no SAP o saldo de 08/09 ("&amp;FIXED(ABS(M81),1)&amp;" "&amp;D81&amp;"). Se estiver certo, não há ajuste",IF(LEFT(K81,10)="Quantidade","Confirmar ou estornar as OTs em doca/transferência ("&amp;FIXED(ABS(N81),1)&amp;" "&amp;D81&amp;"): guardar na posição ou baixar a entrega",IF(LEFT(K81,16)="Estoque antigo +","Confirmar saldo de 08/09 ("&amp;FIXED(ABS(M81),1)&amp;" "&amp;D81&amp;") e tratar as OTs em doca/transferência ("&amp;FIXED(ABS(N81),1)&amp;" "&amp;D81&amp;")",IF(ISNUMBER(SEARCH("não baixaram",K81)),"Confirmar a OT de saída (picking) das remessas para baixar "&amp;FIXED(ABS(I81-M81-N81),1)&amp;" "&amp;D81&amp;" do estoque físico"&amp;IF(M81+N81&gt;0,"; conferir também estoque antigo/doca",""),IF(LEFT(K81,7)="Explica","Confirmar saldo de 08/09 e OTs de doca; contar o lote para os "&amp;FIXED(ABS(I81-M81-N81),1)&amp;" "&amp;D81&amp;" restantes e ajustar a sobra se confirmada","Confirmar saldo de 08/09; se não existir, contar o lote e lançar ajuste de inventário de +"&amp;FIXED(ABS(I81),1)&amp;" "&amp;D81)))))))))</f>
        <v>Nenhum ajuste necessário</v>
      </c>
      <c r="M81" s="158" t="n">
        <f aca="false">MAX(0,SUMIFS('3 Base Estoque Físico'!$J$2:$J$5000,'3 Base Estoque Físico'!$A$2:$A$5000,$A81,'3 Base Estoque Físico'!$B$2:$B$5000,$B81,'3 Base Estoque Físico'!$I$2:$I$5000,"&lt;"&amp;DATE(2026,9,9))-U81)</f>
        <v>0</v>
      </c>
      <c r="N81" s="158" t="n">
        <f aca="false">SUMPRODUCT(('3 Base Estoque Físico'!$A$2:$A$5000=$A81)*('3 Base Estoque Físico'!$B$2:$B$5000=$B81)*('3 Base Estoque Físico'!$I$2:$I$5000&gt;=DATE(2026,9,9))*ISNUMBER(MATCH('3 Base Estoque Físico'!$C$2:$C$5000,{"DCK","TRF","922","FLR","DIF"},0))*'3 Base Estoque Físico'!$J$2:$J$5000)</f>
        <v>0</v>
      </c>
      <c r="O81" s="161" t="n">
        <f aca="false">IF(OR(J81="Confere",LEFT(K81,5)="Troca",ISNUMBER(SEARCH("não baixaram",K81))),0,IF(I81&gt;0,MAX(0,ROUND(I81-M81-N81,2)),I81))</f>
        <v>0</v>
      </c>
      <c r="P81" s="158" t="n">
        <f aca="false">SUMIFS('3 Base Saídas'!$R$2:$R$5000,'3 Base Saídas'!$B$2:$B$5000,$A81,'3 Base Saídas'!$C$2:$C$5000,$B81,'3 Base Saídas'!$E$2:$E$5000,"0355")</f>
        <v>0</v>
      </c>
      <c r="Q81" s="157" t="str">
        <f aca="false">IF(J81="Confere","—",IF(LEFT(K81,5)="Troca","Troca de lote",IF(LEFT(K81,6)="Entrou","Não localizado no estoque",IF(J81="Faltando","Falta sem explicação",IF(ISNUMBER(SEARCH("não baixaram",K81)),"Saída sem baixa no estoque",IF(LEFT(K81,10)="Quantidade","Doca/transferência pendente",IF(LEFT(K81,14)="Estoque antigo","Estoque anterior a 09/09",IF(LEFT(K81,7)="Explica","Sobra parcialmente explicada","Sobra sem explicação"))))))))</f>
        <v>—</v>
      </c>
      <c r="R81" s="162" t="str">
        <f aca="false">IF(J81="Confere","—",IF(OR(LEFT(K81,6)="Entrou",AND(I81&lt;0,ABS(O81)&gt;=Parâmetros!$K$6)),"Crítica",IF(OR(AND(I81&lt;0,O81&lt;&gt;0),O81&gt;=Parâmetros!$K$7),"Alta",IF(O81&gt;0,"Média","Baixa"))))</f>
        <v>—</v>
      </c>
      <c r="S81" s="157" t="str">
        <f aca="false">A81&amp;"|"&amp;B81</f>
        <v>CHR-Q37RB2-E0-D94|261301539</v>
      </c>
      <c r="T81" s="157" t="n">
        <f aca="false">IF(ABS(O81)&gt;Parâmetros!$C$7,ABS(O81)+ROW()/10000000,0)</f>
        <v>0</v>
      </c>
      <c r="U81" s="158" t="n">
        <f aca="false">SUMIFS('3 Base Saldo Inicial 08-09'!$E$2:$E$5000,'3 Base Saldo Inicial 08-09'!$A$2:$A$5000,$A81,'3 Base Saldo Inicial 08-09'!$B$2:$B$5000,$B81)-SUMIFS('3 Base Saldo Inicial 08-09'!$E$2:$E$5000,'3 Base Saldo Inicial 08-09'!$A$2:$A$5000,$A81,'3 Base Saldo Inicial 08-09'!$B$2:$B$5000,$B81,'3 Base Saldo Inicial 08-09'!$C$2:$C$5000,"2008")</f>
        <v>0</v>
      </c>
    </row>
    <row r="82" customFormat="false" ht="15" hidden="false" customHeight="false" outlineLevel="0" collapsed="false">
      <c r="A82" s="155" t="s">
        <v>276</v>
      </c>
      <c r="B82" s="155" t="s">
        <v>371</v>
      </c>
      <c r="C82" s="156" t="s">
        <v>404</v>
      </c>
      <c r="D82" s="157" t="s">
        <v>65</v>
      </c>
      <c r="E82" s="158" t="n">
        <f aca="false">SUMIFS('aux Conciliação Lote'!$E$5:$E$98,'aux Conciliação Lote'!$A$5:$A$98,$A82,'aux Conciliação Lote'!$B$5:$B$98,$B82)</f>
        <v>603</v>
      </c>
      <c r="F82" s="158" t="n">
        <f aca="false">SUMIFS('aux Conciliação Lote'!$F$5:$F$98,'aux Conciliação Lote'!$A$5:$A$98,$A82,'aux Conciliação Lote'!$B$5:$B$98,$B82)</f>
        <v>0</v>
      </c>
      <c r="G82" s="158" t="n">
        <f aca="false">U82+E82-F82</f>
        <v>603</v>
      </c>
      <c r="H82" s="158" t="n">
        <f aca="false">SUMIFS('aux Conciliação Lote'!$H$5:$H$98,'aux Conciliação Lote'!$A$5:$A$98,$A82,'aux Conciliação Lote'!$B$5:$B$98,$B82)</f>
        <v>603</v>
      </c>
      <c r="I82" s="159" t="n">
        <f aca="false">ROUND(H82-G82,2)</f>
        <v>0</v>
      </c>
      <c r="J82" s="160" t="str">
        <f aca="false">IF(ABS(I82)&lt;=Parâmetros!$C$7,"Confere",IF(I82&gt;0,"Sobrando","Faltando"))</f>
        <v>Confere</v>
      </c>
      <c r="K82" s="155" t="str">
        <f aca="false">IF(J82="Confere","Sem diferença",IF(AND(J82&lt;&gt;"Confere",SUMPRODUCT(($A$14:$A$107=$A82)*($B$14:$B$107&lt;&gt;$B82)*(ABS($I$14:$I$107+$I82)&lt;=Parâmetros!$C$7))&gt;0),"Troca de lote: a mesma quantidade aparece com sinal oposto em outro lote deste SKU",IF(AND(I82&lt;0,H82=0,F82=0),"Entrou no ZBR, mas não está no estoque físico: não chegou ou foi guardado em outro lote",IF(I82&lt;0,"Estoque físico menor que o esperado: saída, ajuste ou perda não lançada no período",IF(ABS(I82-M82)&lt;=Parâmetros!$C$7,"Estoque antigo: toda a sobra está em posições sem movimento desde antes de 09/09",IF(AND(F82&gt;0,ABS(I82-F82)&lt;=Parâmetros!$C$7),"As saídas do período não baixaram o estoque físico",IF(ABS(I82-N82)&lt;=Parâmetros!$C$7,"Quantidade parada em doca, chão ou transferência: entrega ou devolução não baixada",IF(ABS(I82-M82-N82)&lt;=Parâmetros!$C$7,"Estoque antigo + quantidade em doca/chão/transferência",IF(AND(F82&gt;0,ABS(I82-M82-N82-F82)&lt;=Parâmetros!$C$7),IF(M82+N82&gt;0,"Estoque antigo/doca + saídas do período que","Saídas do período que")&amp;" não baixaram o estoque físico",IF(AND(P82&gt;0,ABS(I82-M82-N82-P82)&lt;=Parâmetros!$C$7),IF(M82+N82&gt;0,"Estoque antigo/doca + saídas","Saídas")&amp;" pelo depósito 0355 que não baixaram o estoque físico",IF(M82+N82&gt;0,"Explica em parte: estoque antigo "&amp;FIXED(M82,1)&amp;" + doca/transferência "&amp;FIXED(N82,1)&amp;"; faltam "&amp;FIXED(I82-M82-N82,1)&amp;" a explicar",IF(F82&gt;E82+U82,"Saiu mais do que entrou: havia estoque antes de 09/09 que não está no arquivo","Estoque acima do esperado: entrada não lançada ou saldo anterior ao período"))))))))))))</f>
        <v>Sem diferença</v>
      </c>
      <c r="L82" s="156" t="str">
        <f aca="false">IF(J82="Confere","Nenhum ajuste necessário",IF(LEFT(K82,5)="Troca","Transferir "&amp;FIXED(ABS(I82),1)&amp;" "&amp;D82&amp;" entre os lotes deste SKU (transferência lote a lote, mov. 309) para corrigir o lote",IF(LEFT(K82,6)="Entrou","Procurar a OT de armazenagem pendente no ZBR. Se não achar: contar e lançar ajuste de inventário de −"&amp;FIXED(ABS(I82),1)&amp;" "&amp;D82,IF(J82="Faltando","Contar o lote. Se a falta se confirmar: lançar a saída esquecida (601) ou ajuste de inventário de −"&amp;FIXED(ABS(I82),1)&amp;" "&amp;D82,IF(LEFT(K82,15)="Estoque antigo:","Confirmar no SAP o saldo de 08/09 ("&amp;FIXED(ABS(M82),1)&amp;" "&amp;D82&amp;"). Se estiver certo, não há ajuste",IF(LEFT(K82,10)="Quantidade","Confirmar ou estornar as OTs em doca/transferência ("&amp;FIXED(ABS(N82),1)&amp;" "&amp;D82&amp;"): guardar na posição ou baixar a entrega",IF(LEFT(K82,16)="Estoque antigo +","Confirmar saldo de 08/09 ("&amp;FIXED(ABS(M82),1)&amp;" "&amp;D82&amp;") e tratar as OTs em doca/transferência ("&amp;FIXED(ABS(N82),1)&amp;" "&amp;D82&amp;")",IF(ISNUMBER(SEARCH("não baixaram",K82)),"Confirmar a OT de saída (picking) das remessas para baixar "&amp;FIXED(ABS(I82-M82-N82),1)&amp;" "&amp;D82&amp;" do estoque físico"&amp;IF(M82+N82&gt;0,"; conferir também estoque antigo/doca",""),IF(LEFT(K82,7)="Explica","Confirmar saldo de 08/09 e OTs de doca; contar o lote para os "&amp;FIXED(ABS(I82-M82-N82),1)&amp;" "&amp;D82&amp;" restantes e ajustar a sobra se confirmada","Confirmar saldo de 08/09; se não existir, contar o lote e lançar ajuste de inventário de +"&amp;FIXED(ABS(I82),1)&amp;" "&amp;D82)))))))))</f>
        <v>Nenhum ajuste necessário</v>
      </c>
      <c r="M82" s="158" t="n">
        <f aca="false">MAX(0,SUMIFS('3 Base Estoque Físico'!$J$2:$J$5000,'3 Base Estoque Físico'!$A$2:$A$5000,$A82,'3 Base Estoque Físico'!$B$2:$B$5000,$B82,'3 Base Estoque Físico'!$I$2:$I$5000,"&lt;"&amp;DATE(2026,9,9))-U82)</f>
        <v>0</v>
      </c>
      <c r="N82" s="158" t="n">
        <f aca="false">SUMPRODUCT(('3 Base Estoque Físico'!$A$2:$A$5000=$A82)*('3 Base Estoque Físico'!$B$2:$B$5000=$B82)*('3 Base Estoque Físico'!$I$2:$I$5000&gt;=DATE(2026,9,9))*ISNUMBER(MATCH('3 Base Estoque Físico'!$C$2:$C$5000,{"DCK","TRF","922","FLR","DIF"},0))*'3 Base Estoque Físico'!$J$2:$J$5000)</f>
        <v>0</v>
      </c>
      <c r="O82" s="161" t="n">
        <f aca="false">IF(OR(J82="Confere",LEFT(K82,5)="Troca",ISNUMBER(SEARCH("não baixaram",K82))),0,IF(I82&gt;0,MAX(0,ROUND(I82-M82-N82,2)),I82))</f>
        <v>0</v>
      </c>
      <c r="P82" s="158" t="n">
        <f aca="false">SUMIFS('3 Base Saídas'!$R$2:$R$5000,'3 Base Saídas'!$B$2:$B$5000,$A82,'3 Base Saídas'!$C$2:$C$5000,$B82,'3 Base Saídas'!$E$2:$E$5000,"0355")</f>
        <v>0</v>
      </c>
      <c r="Q82" s="157" t="str">
        <f aca="false">IF(J82="Confere","—",IF(LEFT(K82,5)="Troca","Troca de lote",IF(LEFT(K82,6)="Entrou","Não localizado no estoque",IF(J82="Faltando","Falta sem explicação",IF(ISNUMBER(SEARCH("não baixaram",K82)),"Saída sem baixa no estoque",IF(LEFT(K82,10)="Quantidade","Doca/transferência pendente",IF(LEFT(K82,14)="Estoque antigo","Estoque anterior a 09/09",IF(LEFT(K82,7)="Explica","Sobra parcialmente explicada","Sobra sem explicação"))))))))</f>
        <v>—</v>
      </c>
      <c r="R82" s="162" t="str">
        <f aca="false">IF(J82="Confere","—",IF(OR(LEFT(K82,6)="Entrou",AND(I82&lt;0,ABS(O82)&gt;=Parâmetros!$K$6)),"Crítica",IF(OR(AND(I82&lt;0,O82&lt;&gt;0),O82&gt;=Parâmetros!$K$7),"Alta",IF(O82&gt;0,"Média","Baixa"))))</f>
        <v>—</v>
      </c>
      <c r="S82" s="157" t="str">
        <f aca="false">A82&amp;"|"&amp;B82</f>
        <v>CW2-BR-25A|252590301</v>
      </c>
      <c r="T82" s="157" t="n">
        <f aca="false">IF(ABS(O82)&gt;Parâmetros!$C$7,ABS(O82)+ROW()/10000000,0)</f>
        <v>0</v>
      </c>
      <c r="U82" s="158" t="n">
        <f aca="false">SUMIFS('3 Base Saldo Inicial 08-09'!$E$2:$E$5000,'3 Base Saldo Inicial 08-09'!$A$2:$A$5000,$A82,'3 Base Saldo Inicial 08-09'!$B$2:$B$5000,$B82)-SUMIFS('3 Base Saldo Inicial 08-09'!$E$2:$E$5000,'3 Base Saldo Inicial 08-09'!$A$2:$A$5000,$A82,'3 Base Saldo Inicial 08-09'!$B$2:$B$5000,$B82,'3 Base Saldo Inicial 08-09'!$C$2:$C$5000,"2008")</f>
        <v>0</v>
      </c>
    </row>
    <row r="83" customFormat="false" ht="15" hidden="false" customHeight="false" outlineLevel="0" collapsed="false">
      <c r="A83" s="155" t="s">
        <v>276</v>
      </c>
      <c r="B83" s="155" t="s">
        <v>280</v>
      </c>
      <c r="C83" s="156" t="s">
        <v>404</v>
      </c>
      <c r="D83" s="157" t="s">
        <v>65</v>
      </c>
      <c r="E83" s="158" t="n">
        <f aca="false">SUMIFS('aux Conciliação Lote'!$E$5:$E$98,'aux Conciliação Lote'!$A$5:$A$98,$A83,'aux Conciliação Lote'!$B$5:$B$98,$B83)</f>
        <v>603</v>
      </c>
      <c r="F83" s="158" t="n">
        <f aca="false">SUMIFS('aux Conciliação Lote'!$F$5:$F$98,'aux Conciliação Lote'!$A$5:$A$98,$A83,'aux Conciliação Lote'!$B$5:$B$98,$B83)</f>
        <v>422.1</v>
      </c>
      <c r="G83" s="158" t="n">
        <f aca="false">U83+E83-F83</f>
        <v>180.9</v>
      </c>
      <c r="H83" s="158" t="n">
        <f aca="false">SUMIFS('aux Conciliação Lote'!$H$5:$H$98,'aux Conciliação Lote'!$A$5:$A$98,$A83,'aux Conciliação Lote'!$B$5:$B$98,$B83)</f>
        <v>180.9</v>
      </c>
      <c r="I83" s="159" t="n">
        <f aca="false">ROUND(H83-G83,2)</f>
        <v>0</v>
      </c>
      <c r="J83" s="160" t="str">
        <f aca="false">IF(ABS(I83)&lt;=Parâmetros!$C$7,"Confere",IF(I83&gt;0,"Sobrando","Faltando"))</f>
        <v>Confere</v>
      </c>
      <c r="K83" s="155" t="str">
        <f aca="false">IF(J83="Confere","Sem diferença",IF(AND(J83&lt;&gt;"Confere",SUMPRODUCT(($A$14:$A$107=$A83)*($B$14:$B$107&lt;&gt;$B83)*(ABS($I$14:$I$107+$I83)&lt;=Parâmetros!$C$7))&gt;0),"Troca de lote: a mesma quantidade aparece com sinal oposto em outro lote deste SKU",IF(AND(I83&lt;0,H83=0,F83=0),"Entrou no ZBR, mas não está no estoque físico: não chegou ou foi guardado em outro lote",IF(I83&lt;0,"Estoque físico menor que o esperado: saída, ajuste ou perda não lançada no período",IF(ABS(I83-M83)&lt;=Parâmetros!$C$7,"Estoque antigo: toda a sobra está em posições sem movimento desde antes de 09/09",IF(AND(F83&gt;0,ABS(I83-F83)&lt;=Parâmetros!$C$7),"As saídas do período não baixaram o estoque físico",IF(ABS(I83-N83)&lt;=Parâmetros!$C$7,"Quantidade parada em doca, chão ou transferência: entrega ou devolução não baixada",IF(ABS(I83-M83-N83)&lt;=Parâmetros!$C$7,"Estoque antigo + quantidade em doca/chão/transferência",IF(AND(F83&gt;0,ABS(I83-M83-N83-F83)&lt;=Parâmetros!$C$7),IF(M83+N83&gt;0,"Estoque antigo/doca + saídas do período que","Saídas do período que")&amp;" não baixaram o estoque físico",IF(AND(P83&gt;0,ABS(I83-M83-N83-P83)&lt;=Parâmetros!$C$7),IF(M83+N83&gt;0,"Estoque antigo/doca + saídas","Saídas")&amp;" pelo depósito 0355 que não baixaram o estoque físico",IF(M83+N83&gt;0,"Explica em parte: estoque antigo "&amp;FIXED(M83,1)&amp;" + doca/transferência "&amp;FIXED(N83,1)&amp;"; faltam "&amp;FIXED(I83-M83-N83,1)&amp;" a explicar",IF(F83&gt;E83+U83,"Saiu mais do que entrou: havia estoque antes de 09/09 que não está no arquivo","Estoque acima do esperado: entrada não lançada ou saldo anterior ao período"))))))))))))</f>
        <v>Sem diferença</v>
      </c>
      <c r="L83" s="156" t="str">
        <f aca="false">IF(J83="Confere","Nenhum ajuste necessário",IF(LEFT(K83,5)="Troca","Transferir "&amp;FIXED(ABS(I83),1)&amp;" "&amp;D83&amp;" entre os lotes deste SKU (transferência lote a lote, mov. 309) para corrigir o lote",IF(LEFT(K83,6)="Entrou","Procurar a OT de armazenagem pendente no ZBR. Se não achar: contar e lançar ajuste de inventário de −"&amp;FIXED(ABS(I83),1)&amp;" "&amp;D83,IF(J83="Faltando","Contar o lote. Se a falta se confirmar: lançar a saída esquecida (601) ou ajuste de inventário de −"&amp;FIXED(ABS(I83),1)&amp;" "&amp;D83,IF(LEFT(K83,15)="Estoque antigo:","Confirmar no SAP o saldo de 08/09 ("&amp;FIXED(ABS(M83),1)&amp;" "&amp;D83&amp;"). Se estiver certo, não há ajuste",IF(LEFT(K83,10)="Quantidade","Confirmar ou estornar as OTs em doca/transferência ("&amp;FIXED(ABS(N83),1)&amp;" "&amp;D83&amp;"): guardar na posição ou baixar a entrega",IF(LEFT(K83,16)="Estoque antigo +","Confirmar saldo de 08/09 ("&amp;FIXED(ABS(M83),1)&amp;" "&amp;D83&amp;") e tratar as OTs em doca/transferência ("&amp;FIXED(ABS(N83),1)&amp;" "&amp;D83&amp;")",IF(ISNUMBER(SEARCH("não baixaram",K83)),"Confirmar a OT de saída (picking) das remessas para baixar "&amp;FIXED(ABS(I83-M83-N83),1)&amp;" "&amp;D83&amp;" do estoque físico"&amp;IF(M83+N83&gt;0,"; conferir também estoque antigo/doca",""),IF(LEFT(K83,7)="Explica","Confirmar saldo de 08/09 e OTs de doca; contar o lote para os "&amp;FIXED(ABS(I83-M83-N83),1)&amp;" "&amp;D83&amp;" restantes e ajustar a sobra se confirmada","Confirmar saldo de 08/09; se não existir, contar o lote e lançar ajuste de inventário de +"&amp;FIXED(ABS(I83),1)&amp;" "&amp;D83)))))))))</f>
        <v>Nenhum ajuste necessário</v>
      </c>
      <c r="M83" s="158" t="n">
        <f aca="false">MAX(0,SUMIFS('3 Base Estoque Físico'!$J$2:$J$5000,'3 Base Estoque Físico'!$A$2:$A$5000,$A83,'3 Base Estoque Físico'!$B$2:$B$5000,$B83,'3 Base Estoque Físico'!$I$2:$I$5000,"&lt;"&amp;DATE(2026,9,9))-U83)</f>
        <v>0</v>
      </c>
      <c r="N83" s="158" t="n">
        <f aca="false">SUMPRODUCT(('3 Base Estoque Físico'!$A$2:$A$5000=$A83)*('3 Base Estoque Físico'!$B$2:$B$5000=$B83)*('3 Base Estoque Físico'!$I$2:$I$5000&gt;=DATE(2026,9,9))*ISNUMBER(MATCH('3 Base Estoque Físico'!$C$2:$C$5000,{"DCK","TRF","922","FLR","DIF"},0))*'3 Base Estoque Físico'!$J$2:$J$5000)</f>
        <v>0</v>
      </c>
      <c r="O83" s="161" t="n">
        <f aca="false">IF(OR(J83="Confere",LEFT(K83,5)="Troca",ISNUMBER(SEARCH("não baixaram",K83))),0,IF(I83&gt;0,MAX(0,ROUND(I83-M83-N83,2)),I83))</f>
        <v>0</v>
      </c>
      <c r="P83" s="158" t="n">
        <f aca="false">SUMIFS('3 Base Saídas'!$R$2:$R$5000,'3 Base Saídas'!$B$2:$B$5000,$A83,'3 Base Saídas'!$C$2:$C$5000,$B83,'3 Base Saídas'!$E$2:$E$5000,"0355")</f>
        <v>0</v>
      </c>
      <c r="Q83" s="157" t="str">
        <f aca="false">IF(J83="Confere","—",IF(LEFT(K83,5)="Troca","Troca de lote",IF(LEFT(K83,6)="Entrou","Não localizado no estoque",IF(J83="Faltando","Falta sem explicação",IF(ISNUMBER(SEARCH("não baixaram",K83)),"Saída sem baixa no estoque",IF(LEFT(K83,10)="Quantidade","Doca/transferência pendente",IF(LEFT(K83,14)="Estoque antigo","Estoque anterior a 09/09",IF(LEFT(K83,7)="Explica","Sobra parcialmente explicada","Sobra sem explicação"))))))))</f>
        <v>—</v>
      </c>
      <c r="R83" s="162" t="str">
        <f aca="false">IF(J83="Confere","—",IF(OR(LEFT(K83,6)="Entrou",AND(I83&lt;0,ABS(O83)&gt;=Parâmetros!$K$6)),"Crítica",IF(OR(AND(I83&lt;0,O83&lt;&gt;0),O83&gt;=Parâmetros!$K$7),"Alta",IF(O83&gt;0,"Média","Baixa"))))</f>
        <v>—</v>
      </c>
      <c r="S83" s="157" t="str">
        <f aca="false">A83&amp;"|"&amp;B83</f>
        <v>CW2-BR-25A|261070301</v>
      </c>
      <c r="T83" s="157" t="n">
        <f aca="false">IF(ABS(O83)&gt;Parâmetros!$C$7,ABS(O83)+ROW()/10000000,0)</f>
        <v>0</v>
      </c>
      <c r="U83" s="158" t="n">
        <f aca="false">SUMIFS('3 Base Saldo Inicial 08-09'!$E$2:$E$5000,'3 Base Saldo Inicial 08-09'!$A$2:$A$5000,$A83,'3 Base Saldo Inicial 08-09'!$B$2:$B$5000,$B83)-SUMIFS('3 Base Saldo Inicial 08-09'!$E$2:$E$5000,'3 Base Saldo Inicial 08-09'!$A$2:$A$5000,$A83,'3 Base Saldo Inicial 08-09'!$B$2:$B$5000,$B83,'3 Base Saldo Inicial 08-09'!$C$2:$C$5000,"2008")</f>
        <v>0</v>
      </c>
    </row>
    <row r="84" customFormat="false" ht="15" hidden="false" customHeight="false" outlineLevel="0" collapsed="false">
      <c r="A84" s="155" t="s">
        <v>372</v>
      </c>
      <c r="B84" s="155" t="s">
        <v>373</v>
      </c>
      <c r="C84" s="156"/>
      <c r="D84" s="157" t="s">
        <v>65</v>
      </c>
      <c r="E84" s="158" t="n">
        <f aca="false">SUMIFS('aux Conciliação Lote'!$E$5:$E$98,'aux Conciliação Lote'!$A$5:$A$98,$A84,'aux Conciliação Lote'!$B$5:$B$98,$B84)</f>
        <v>1200</v>
      </c>
      <c r="F84" s="158" t="n">
        <f aca="false">SUMIFS('aux Conciliação Lote'!$F$5:$F$98,'aux Conciliação Lote'!$A$5:$A$98,$A84,'aux Conciliação Lote'!$B$5:$B$98,$B84)</f>
        <v>0</v>
      </c>
      <c r="G84" s="158" t="n">
        <f aca="false">U84+E84-F84</f>
        <v>1200</v>
      </c>
      <c r="H84" s="158" t="n">
        <f aca="false">SUMIFS('aux Conciliação Lote'!$H$5:$H$98,'aux Conciliação Lote'!$A$5:$A$98,$A84,'aux Conciliação Lote'!$B$5:$B$98,$B84)</f>
        <v>1200</v>
      </c>
      <c r="I84" s="159" t="n">
        <f aca="false">ROUND(H84-G84,2)</f>
        <v>0</v>
      </c>
      <c r="J84" s="160" t="str">
        <f aca="false">IF(ABS(I84)&lt;=Parâmetros!$C$7,"Confere",IF(I84&gt;0,"Sobrando","Faltando"))</f>
        <v>Confere</v>
      </c>
      <c r="K84" s="155" t="str">
        <f aca="false">IF(J84="Confere","Sem diferença",IF(AND(J84&lt;&gt;"Confere",SUMPRODUCT(($A$14:$A$107=$A84)*($B$14:$B$107&lt;&gt;$B84)*(ABS($I$14:$I$107+$I84)&lt;=Parâmetros!$C$7))&gt;0),"Troca de lote: a mesma quantidade aparece com sinal oposto em outro lote deste SKU",IF(AND(I84&lt;0,H84=0,F84=0),"Entrou no ZBR, mas não está no estoque físico: não chegou ou foi guardado em outro lote",IF(I84&lt;0,"Estoque físico menor que o esperado: saída, ajuste ou perda não lançada no período",IF(ABS(I84-M84)&lt;=Parâmetros!$C$7,"Estoque antigo: toda a sobra está em posições sem movimento desde antes de 09/09",IF(AND(F84&gt;0,ABS(I84-F84)&lt;=Parâmetros!$C$7),"As saídas do período não baixaram o estoque físico",IF(ABS(I84-N84)&lt;=Parâmetros!$C$7,"Quantidade parada em doca, chão ou transferência: entrega ou devolução não baixada",IF(ABS(I84-M84-N84)&lt;=Parâmetros!$C$7,"Estoque antigo + quantidade em doca/chão/transferência",IF(AND(F84&gt;0,ABS(I84-M84-N84-F84)&lt;=Parâmetros!$C$7),IF(M84+N84&gt;0,"Estoque antigo/doca + saídas do período que","Saídas do período que")&amp;" não baixaram o estoque físico",IF(AND(P84&gt;0,ABS(I84-M84-N84-P84)&lt;=Parâmetros!$C$7),IF(M84+N84&gt;0,"Estoque antigo/doca + saídas","Saídas")&amp;" pelo depósito 0355 que não baixaram o estoque físico",IF(M84+N84&gt;0,"Explica em parte: estoque antigo "&amp;FIXED(M84,1)&amp;" + doca/transferência "&amp;FIXED(N84,1)&amp;"; faltam "&amp;FIXED(I84-M84-N84,1)&amp;" a explicar",IF(F84&gt;E84+U84,"Saiu mais do que entrou: havia estoque antes de 09/09 que não está no arquivo","Estoque acima do esperado: entrada não lançada ou saldo anterior ao período"))))))))))))</f>
        <v>Sem diferença</v>
      </c>
      <c r="L84" s="156" t="str">
        <f aca="false">IF(J84="Confere","Nenhum ajuste necessário",IF(LEFT(K84,5)="Troca","Transferir "&amp;FIXED(ABS(I84),1)&amp;" "&amp;D84&amp;" entre os lotes deste SKU (transferência lote a lote, mov. 309) para corrigir o lote",IF(LEFT(K84,6)="Entrou","Procurar a OT de armazenagem pendente no ZBR. Se não achar: contar e lançar ajuste de inventário de −"&amp;FIXED(ABS(I84),1)&amp;" "&amp;D84,IF(J84="Faltando","Contar o lote. Se a falta se confirmar: lançar a saída esquecida (601) ou ajuste de inventário de −"&amp;FIXED(ABS(I84),1)&amp;" "&amp;D84,IF(LEFT(K84,15)="Estoque antigo:","Confirmar no SAP o saldo de 08/09 ("&amp;FIXED(ABS(M84),1)&amp;" "&amp;D84&amp;"). Se estiver certo, não há ajuste",IF(LEFT(K84,10)="Quantidade","Confirmar ou estornar as OTs em doca/transferência ("&amp;FIXED(ABS(N84),1)&amp;" "&amp;D84&amp;"): guardar na posição ou baixar a entrega",IF(LEFT(K84,16)="Estoque antigo +","Confirmar saldo de 08/09 ("&amp;FIXED(ABS(M84),1)&amp;" "&amp;D84&amp;") e tratar as OTs em doca/transferência ("&amp;FIXED(ABS(N84),1)&amp;" "&amp;D84&amp;")",IF(ISNUMBER(SEARCH("não baixaram",K84)),"Confirmar a OT de saída (picking) das remessas para baixar "&amp;FIXED(ABS(I84-M84-N84),1)&amp;" "&amp;D84&amp;" do estoque físico"&amp;IF(M84+N84&gt;0,"; conferir também estoque antigo/doca",""),IF(LEFT(K84,7)="Explica","Confirmar saldo de 08/09 e OTs de doca; contar o lote para os "&amp;FIXED(ABS(I84-M84-N84),1)&amp;" "&amp;D84&amp;" restantes e ajustar a sobra se confirmada","Confirmar saldo de 08/09; se não existir, contar o lote e lançar ajuste de inventário de +"&amp;FIXED(ABS(I84),1)&amp;" "&amp;D84)))))))))</f>
        <v>Nenhum ajuste necessário</v>
      </c>
      <c r="M84" s="158" t="n">
        <f aca="false">MAX(0,SUMIFS('3 Base Estoque Físico'!$J$2:$J$5000,'3 Base Estoque Físico'!$A$2:$A$5000,$A84,'3 Base Estoque Físico'!$B$2:$B$5000,$B84,'3 Base Estoque Físico'!$I$2:$I$5000,"&lt;"&amp;DATE(2026,9,9))-U84)</f>
        <v>0</v>
      </c>
      <c r="N84" s="158" t="n">
        <f aca="false">SUMPRODUCT(('3 Base Estoque Físico'!$A$2:$A$5000=$A84)*('3 Base Estoque Físico'!$B$2:$B$5000=$B84)*('3 Base Estoque Físico'!$I$2:$I$5000&gt;=DATE(2026,9,9))*ISNUMBER(MATCH('3 Base Estoque Físico'!$C$2:$C$5000,{"DCK","TRF","922","FLR","DIF"},0))*'3 Base Estoque Físico'!$J$2:$J$5000)</f>
        <v>0</v>
      </c>
      <c r="O84" s="161" t="n">
        <f aca="false">IF(OR(J84="Confere",LEFT(K84,5)="Troca",ISNUMBER(SEARCH("não baixaram",K84))),0,IF(I84&gt;0,MAX(0,ROUND(I84-M84-N84,2)),I84))</f>
        <v>0</v>
      </c>
      <c r="P84" s="158" t="n">
        <f aca="false">SUMIFS('3 Base Saídas'!$R$2:$R$5000,'3 Base Saídas'!$B$2:$B$5000,$A84,'3 Base Saídas'!$C$2:$C$5000,$B84,'3 Base Saídas'!$E$2:$E$5000,"0355")</f>
        <v>0</v>
      </c>
      <c r="Q84" s="157" t="str">
        <f aca="false">IF(J84="Confere","—",IF(LEFT(K84,5)="Troca","Troca de lote",IF(LEFT(K84,6)="Entrou","Não localizado no estoque",IF(J84="Faltando","Falta sem explicação",IF(ISNUMBER(SEARCH("não baixaram",K84)),"Saída sem baixa no estoque",IF(LEFT(K84,10)="Quantidade","Doca/transferência pendente",IF(LEFT(K84,14)="Estoque antigo","Estoque anterior a 09/09",IF(LEFT(K84,7)="Explica","Sobra parcialmente explicada","Sobra sem explicação"))))))))</f>
        <v>—</v>
      </c>
      <c r="R84" s="162" t="str">
        <f aca="false">IF(J84="Confere","—",IF(OR(LEFT(K84,6)="Entrou",AND(I84&lt;0,ABS(O84)&gt;=Parâmetros!$K$6)),"Crítica",IF(OR(AND(I84&lt;0,O84&lt;&gt;0),O84&gt;=Parâmetros!$K$7),"Alta",IF(O84&gt;0,"Média","Baixa"))))</f>
        <v>—</v>
      </c>
      <c r="S84" s="157" t="str">
        <f aca="false">A84&amp;"|"&amp;B84</f>
        <v>CW2NV-595|260850602</v>
      </c>
      <c r="T84" s="157" t="n">
        <f aca="false">IF(ABS(O84)&gt;Parâmetros!$C$7,ABS(O84)+ROW()/10000000,0)</f>
        <v>0</v>
      </c>
      <c r="U84" s="158" t="n">
        <f aca="false">SUMIFS('3 Base Saldo Inicial 08-09'!$E$2:$E$5000,'3 Base Saldo Inicial 08-09'!$A$2:$A$5000,$A84,'3 Base Saldo Inicial 08-09'!$B$2:$B$5000,$B84)-SUMIFS('3 Base Saldo Inicial 08-09'!$E$2:$E$5000,'3 Base Saldo Inicial 08-09'!$A$2:$A$5000,$A84,'3 Base Saldo Inicial 08-09'!$B$2:$B$5000,$B84,'3 Base Saldo Inicial 08-09'!$C$2:$C$5000,"2008")</f>
        <v>0</v>
      </c>
    </row>
    <row r="85" customFormat="false" ht="15" hidden="false" customHeight="false" outlineLevel="0" collapsed="false">
      <c r="A85" s="155" t="s">
        <v>372</v>
      </c>
      <c r="B85" s="155" t="s">
        <v>374</v>
      </c>
      <c r="C85" s="156"/>
      <c r="D85" s="157" t="s">
        <v>65</v>
      </c>
      <c r="E85" s="158" t="n">
        <f aca="false">SUMIFS('aux Conciliação Lote'!$E$5:$E$98,'aux Conciliação Lote'!$A$5:$A$98,$A85,'aux Conciliação Lote'!$B$5:$B$98,$B85)</f>
        <v>0</v>
      </c>
      <c r="F85" s="158" t="n">
        <f aca="false">SUMIFS('aux Conciliação Lote'!$F$5:$F$98,'aux Conciliação Lote'!$A$5:$A$98,$A85,'aux Conciliação Lote'!$B$5:$B$98,$B85)</f>
        <v>0</v>
      </c>
      <c r="G85" s="158" t="n">
        <f aca="false">U85+E85-F85</f>
        <v>0</v>
      </c>
      <c r="H85" s="158" t="n">
        <f aca="false">SUMIFS('aux Conciliação Lote'!$H$5:$H$98,'aux Conciliação Lote'!$A$5:$A$98,$A85,'aux Conciliação Lote'!$B$5:$B$98,$B85)</f>
        <v>0</v>
      </c>
      <c r="I85" s="159" t="n">
        <f aca="false">ROUND(H85-G85,2)</f>
        <v>0</v>
      </c>
      <c r="J85" s="160" t="str">
        <f aca="false">IF(ABS(I85)&lt;=Parâmetros!$C$7,"Confere",IF(I85&gt;0,"Sobrando","Faltando"))</f>
        <v>Confere</v>
      </c>
      <c r="K85" s="155" t="str">
        <f aca="false">IF(J85="Confere","Sem diferença",IF(AND(J85&lt;&gt;"Confere",SUMPRODUCT(($A$14:$A$107=$A85)*($B$14:$B$107&lt;&gt;$B85)*(ABS($I$14:$I$107+$I85)&lt;=Parâmetros!$C$7))&gt;0),"Troca de lote: a mesma quantidade aparece com sinal oposto em outro lote deste SKU",IF(AND(I85&lt;0,H85=0,F85=0),"Entrou no ZBR, mas não está no estoque físico: não chegou ou foi guardado em outro lote",IF(I85&lt;0,"Estoque físico menor que o esperado: saída, ajuste ou perda não lançada no período",IF(ABS(I85-M85)&lt;=Parâmetros!$C$7,"Estoque antigo: toda a sobra está em posições sem movimento desde antes de 09/09",IF(AND(F85&gt;0,ABS(I85-F85)&lt;=Parâmetros!$C$7),"As saídas do período não baixaram o estoque físico",IF(ABS(I85-N85)&lt;=Parâmetros!$C$7,"Quantidade parada em doca, chão ou transferência: entrega ou devolução não baixada",IF(ABS(I85-M85-N85)&lt;=Parâmetros!$C$7,"Estoque antigo + quantidade em doca/chão/transferência",IF(AND(F85&gt;0,ABS(I85-M85-N85-F85)&lt;=Parâmetros!$C$7),IF(M85+N85&gt;0,"Estoque antigo/doca + saídas do período que","Saídas do período que")&amp;" não baixaram o estoque físico",IF(AND(P85&gt;0,ABS(I85-M85-N85-P85)&lt;=Parâmetros!$C$7),IF(M85+N85&gt;0,"Estoque antigo/doca + saídas","Saídas")&amp;" pelo depósito 0355 que não baixaram o estoque físico",IF(M85+N85&gt;0,"Explica em parte: estoque antigo "&amp;FIXED(M85,1)&amp;" + doca/transferência "&amp;FIXED(N85,1)&amp;"; faltam "&amp;FIXED(I85-M85-N85,1)&amp;" a explicar",IF(F85&gt;E85+U85,"Saiu mais do que entrou: havia estoque antes de 09/09 que não está no arquivo","Estoque acima do esperado: entrada não lançada ou saldo anterior ao período"))))))))))))</f>
        <v>Sem diferença</v>
      </c>
      <c r="L85" s="156" t="str">
        <f aca="false">IF(J85="Confere","Nenhum ajuste necessário",IF(LEFT(K85,5)="Troca","Transferir "&amp;FIXED(ABS(I85),1)&amp;" "&amp;D85&amp;" entre os lotes deste SKU (transferência lote a lote, mov. 309) para corrigir o lote",IF(LEFT(K85,6)="Entrou","Procurar a OT de armazenagem pendente no ZBR. Se não achar: contar e lançar ajuste de inventário de −"&amp;FIXED(ABS(I85),1)&amp;" "&amp;D85,IF(J85="Faltando","Contar o lote. Se a falta se confirmar: lançar a saída esquecida (601) ou ajuste de inventário de −"&amp;FIXED(ABS(I85),1)&amp;" "&amp;D85,IF(LEFT(K85,15)="Estoque antigo:","Confirmar no SAP o saldo de 08/09 ("&amp;FIXED(ABS(M85),1)&amp;" "&amp;D85&amp;"). Se estiver certo, não há ajuste",IF(LEFT(K85,10)="Quantidade","Confirmar ou estornar as OTs em doca/transferência ("&amp;FIXED(ABS(N85),1)&amp;" "&amp;D85&amp;"): guardar na posição ou baixar a entrega",IF(LEFT(K85,16)="Estoque antigo +","Confirmar saldo de 08/09 ("&amp;FIXED(ABS(M85),1)&amp;" "&amp;D85&amp;") e tratar as OTs em doca/transferência ("&amp;FIXED(ABS(N85),1)&amp;" "&amp;D85&amp;")",IF(ISNUMBER(SEARCH("não baixaram",K85)),"Confirmar a OT de saída (picking) das remessas para baixar "&amp;FIXED(ABS(I85-M85-N85),1)&amp;" "&amp;D85&amp;" do estoque físico"&amp;IF(M85+N85&gt;0,"; conferir também estoque antigo/doca",""),IF(LEFT(K85,7)="Explica","Confirmar saldo de 08/09 e OTs de doca; contar o lote para os "&amp;FIXED(ABS(I85-M85-N85),1)&amp;" "&amp;D85&amp;" restantes e ajustar a sobra se confirmada","Confirmar saldo de 08/09; se não existir, contar o lote e lançar ajuste de inventário de +"&amp;FIXED(ABS(I85),1)&amp;" "&amp;D85)))))))))</f>
        <v>Nenhum ajuste necessário</v>
      </c>
      <c r="M85" s="158" t="n">
        <f aca="false">MAX(0,SUMIFS('3 Base Estoque Físico'!$J$2:$J$5000,'3 Base Estoque Físico'!$A$2:$A$5000,$A85,'3 Base Estoque Físico'!$B$2:$B$5000,$B85,'3 Base Estoque Físico'!$I$2:$I$5000,"&lt;"&amp;DATE(2026,9,9))-U85)</f>
        <v>0</v>
      </c>
      <c r="N85" s="158" t="n">
        <f aca="false">SUMPRODUCT(('3 Base Estoque Físico'!$A$2:$A$5000=$A85)*('3 Base Estoque Físico'!$B$2:$B$5000=$B85)*('3 Base Estoque Físico'!$I$2:$I$5000&gt;=DATE(2026,9,9))*ISNUMBER(MATCH('3 Base Estoque Físico'!$C$2:$C$5000,{"DCK","TRF","922","FLR","DIF"},0))*'3 Base Estoque Físico'!$J$2:$J$5000)</f>
        <v>0</v>
      </c>
      <c r="O85" s="161" t="n">
        <f aca="false">IF(OR(J85="Confere",LEFT(K85,5)="Troca",ISNUMBER(SEARCH("não baixaram",K85))),0,IF(I85&gt;0,MAX(0,ROUND(I85-M85-N85,2)),I85))</f>
        <v>0</v>
      </c>
      <c r="P85" s="158" t="n">
        <f aca="false">SUMIFS('3 Base Saídas'!$R$2:$R$5000,'3 Base Saídas'!$B$2:$B$5000,$A85,'3 Base Saídas'!$C$2:$C$5000,$B85,'3 Base Saídas'!$E$2:$E$5000,"0355")</f>
        <v>0</v>
      </c>
      <c r="Q85" s="157" t="str">
        <f aca="false">IF(J85="Confere","—",IF(LEFT(K85,5)="Troca","Troca de lote",IF(LEFT(K85,6)="Entrou","Não localizado no estoque",IF(J85="Faltando","Falta sem explicação",IF(ISNUMBER(SEARCH("não baixaram",K85)),"Saída sem baixa no estoque",IF(LEFT(K85,10)="Quantidade","Doca/transferência pendente",IF(LEFT(K85,14)="Estoque antigo","Estoque anterior a 09/09",IF(LEFT(K85,7)="Explica","Sobra parcialmente explicada","Sobra sem explicação"))))))))</f>
        <v>—</v>
      </c>
      <c r="R85" s="162" t="str">
        <f aca="false">IF(J85="Confere","—",IF(OR(LEFT(K85,6)="Entrou",AND(I85&lt;0,ABS(O85)&gt;=Parâmetros!$K$6)),"Crítica",IF(OR(AND(I85&lt;0,O85&lt;&gt;0),O85&gt;=Parâmetros!$K$7),"Alta",IF(O85&gt;0,"Média","Baixa"))))</f>
        <v>—</v>
      </c>
      <c r="S85" s="157" t="str">
        <f aca="false">A85&amp;"|"&amp;B85</f>
        <v>CW2NV-595|261070601</v>
      </c>
      <c r="T85" s="157" t="n">
        <f aca="false">IF(ABS(O85)&gt;Parâmetros!$C$7,ABS(O85)+ROW()/10000000,0)</f>
        <v>0</v>
      </c>
      <c r="U85" s="158" t="n">
        <f aca="false">SUMIFS('3 Base Saldo Inicial 08-09'!$E$2:$E$5000,'3 Base Saldo Inicial 08-09'!$A$2:$A$5000,$A85,'3 Base Saldo Inicial 08-09'!$B$2:$B$5000,$B85)-SUMIFS('3 Base Saldo Inicial 08-09'!$E$2:$E$5000,'3 Base Saldo Inicial 08-09'!$A$2:$A$5000,$A85,'3 Base Saldo Inicial 08-09'!$B$2:$B$5000,$B85,'3 Base Saldo Inicial 08-09'!$C$2:$C$5000,"2008")</f>
        <v>0</v>
      </c>
    </row>
    <row r="86" customFormat="false" ht="15" hidden="false" customHeight="false" outlineLevel="0" collapsed="false">
      <c r="A86" s="155" t="s">
        <v>281</v>
      </c>
      <c r="B86" s="155" t="s">
        <v>282</v>
      </c>
      <c r="C86" s="156" t="s">
        <v>1344</v>
      </c>
      <c r="D86" s="157" t="s">
        <v>65</v>
      </c>
      <c r="E86" s="158" t="n">
        <f aca="false">SUMIFS('aux Conciliação Lote'!$E$5:$E$98,'aux Conciliação Lote'!$A$5:$A$98,$A86,'aux Conciliação Lote'!$B$5:$B$98,$B86)</f>
        <v>864</v>
      </c>
      <c r="F86" s="158" t="n">
        <f aca="false">SUMIFS('aux Conciliação Lote'!$F$5:$F$98,'aux Conciliação Lote'!$A$5:$A$98,$A86,'aux Conciliação Lote'!$B$5:$B$98,$B86)</f>
        <v>306</v>
      </c>
      <c r="G86" s="158" t="n">
        <f aca="false">U86+E86-F86</f>
        <v>558</v>
      </c>
      <c r="H86" s="158" t="n">
        <f aca="false">SUMIFS('aux Conciliação Lote'!$H$5:$H$98,'aux Conciliação Lote'!$A$5:$A$98,$A86,'aux Conciliação Lote'!$B$5:$B$98,$B86)</f>
        <v>558</v>
      </c>
      <c r="I86" s="159" t="n">
        <f aca="false">ROUND(H86-G86,2)</f>
        <v>0</v>
      </c>
      <c r="J86" s="160" t="str">
        <f aca="false">IF(ABS(I86)&lt;=Parâmetros!$C$7,"Confere",IF(I86&gt;0,"Sobrando","Faltando"))</f>
        <v>Confere</v>
      </c>
      <c r="K86" s="155" t="str">
        <f aca="false">IF(J86="Confere","Sem diferença",IF(AND(J86&lt;&gt;"Confere",SUMPRODUCT(($A$14:$A$107=$A86)*($B$14:$B$107&lt;&gt;$B86)*(ABS($I$14:$I$107+$I86)&lt;=Parâmetros!$C$7))&gt;0),"Troca de lote: a mesma quantidade aparece com sinal oposto em outro lote deste SKU",IF(AND(I86&lt;0,H86=0,F86=0),"Entrou no ZBR, mas não está no estoque físico: não chegou ou foi guardado em outro lote",IF(I86&lt;0,"Estoque físico menor que o esperado: saída, ajuste ou perda não lançada no período",IF(ABS(I86-M86)&lt;=Parâmetros!$C$7,"Estoque antigo: toda a sobra está em posições sem movimento desde antes de 09/09",IF(AND(F86&gt;0,ABS(I86-F86)&lt;=Parâmetros!$C$7),"As saídas do período não baixaram o estoque físico",IF(ABS(I86-N86)&lt;=Parâmetros!$C$7,"Quantidade parada em doca, chão ou transferência: entrega ou devolução não baixada",IF(ABS(I86-M86-N86)&lt;=Parâmetros!$C$7,"Estoque antigo + quantidade em doca/chão/transferência",IF(AND(F86&gt;0,ABS(I86-M86-N86-F86)&lt;=Parâmetros!$C$7),IF(M86+N86&gt;0,"Estoque antigo/doca + saídas do período que","Saídas do período que")&amp;" não baixaram o estoque físico",IF(AND(P86&gt;0,ABS(I86-M86-N86-P86)&lt;=Parâmetros!$C$7),IF(M86+N86&gt;0,"Estoque antigo/doca + saídas","Saídas")&amp;" pelo depósito 0355 que não baixaram o estoque físico",IF(M86+N86&gt;0,"Explica em parte: estoque antigo "&amp;FIXED(M86,1)&amp;" + doca/transferência "&amp;FIXED(N86,1)&amp;"; faltam "&amp;FIXED(I86-M86-N86,1)&amp;" a explicar",IF(F86&gt;E86+U86,"Saiu mais do que entrou: havia estoque antes de 09/09 que não está no arquivo","Estoque acima do esperado: entrada não lançada ou saldo anterior ao período"))))))))))))</f>
        <v>Sem diferença</v>
      </c>
      <c r="L86" s="156" t="str">
        <f aca="false">IF(J86="Confere","Nenhum ajuste necessário",IF(LEFT(K86,5)="Troca","Transferir "&amp;FIXED(ABS(I86),1)&amp;" "&amp;D86&amp;" entre os lotes deste SKU (transferência lote a lote, mov. 309) para corrigir o lote",IF(LEFT(K86,6)="Entrou","Procurar a OT de armazenagem pendente no ZBR. Se não achar: contar e lançar ajuste de inventário de −"&amp;FIXED(ABS(I86),1)&amp;" "&amp;D86,IF(J86="Faltando","Contar o lote. Se a falta se confirmar: lançar a saída esquecida (601) ou ajuste de inventário de −"&amp;FIXED(ABS(I86),1)&amp;" "&amp;D86,IF(LEFT(K86,15)="Estoque antigo:","Confirmar no SAP o saldo de 08/09 ("&amp;FIXED(ABS(M86),1)&amp;" "&amp;D86&amp;"). Se estiver certo, não há ajuste",IF(LEFT(K86,10)="Quantidade","Confirmar ou estornar as OTs em doca/transferência ("&amp;FIXED(ABS(N86),1)&amp;" "&amp;D86&amp;"): guardar na posição ou baixar a entrega",IF(LEFT(K86,16)="Estoque antigo +","Confirmar saldo de 08/09 ("&amp;FIXED(ABS(M86),1)&amp;" "&amp;D86&amp;") e tratar as OTs em doca/transferência ("&amp;FIXED(ABS(N86),1)&amp;" "&amp;D86&amp;")",IF(ISNUMBER(SEARCH("não baixaram",K86)),"Confirmar a OT de saída (picking) das remessas para baixar "&amp;FIXED(ABS(I86-M86-N86),1)&amp;" "&amp;D86&amp;" do estoque físico"&amp;IF(M86+N86&gt;0,"; conferir também estoque antigo/doca",""),IF(LEFT(K86,7)="Explica","Confirmar saldo de 08/09 e OTs de doca; contar o lote para os "&amp;FIXED(ABS(I86-M86-N86),1)&amp;" "&amp;D86&amp;" restantes e ajustar a sobra se confirmada","Confirmar saldo de 08/09; se não existir, contar o lote e lançar ajuste de inventário de +"&amp;FIXED(ABS(I86),1)&amp;" "&amp;D86)))))))))</f>
        <v>Nenhum ajuste necessário</v>
      </c>
      <c r="M86" s="158" t="n">
        <f aca="false">MAX(0,SUMIFS('3 Base Estoque Físico'!$J$2:$J$5000,'3 Base Estoque Físico'!$A$2:$A$5000,$A86,'3 Base Estoque Físico'!$B$2:$B$5000,$B86,'3 Base Estoque Físico'!$I$2:$I$5000,"&lt;"&amp;DATE(2026,9,9))-U86)</f>
        <v>0</v>
      </c>
      <c r="N86" s="158" t="n">
        <f aca="false">SUMPRODUCT(('3 Base Estoque Físico'!$A$2:$A$5000=$A86)*('3 Base Estoque Físico'!$B$2:$B$5000=$B86)*('3 Base Estoque Físico'!$I$2:$I$5000&gt;=DATE(2026,9,9))*ISNUMBER(MATCH('3 Base Estoque Físico'!$C$2:$C$5000,{"DCK","TRF","922","FLR","DIF"},0))*'3 Base Estoque Físico'!$J$2:$J$5000)</f>
        <v>126</v>
      </c>
      <c r="O86" s="161" t="n">
        <f aca="false">IF(OR(J86="Confere",LEFT(K86,5)="Troca",ISNUMBER(SEARCH("não baixaram",K86))),0,IF(I86&gt;0,MAX(0,ROUND(I86-M86-N86,2)),I86))</f>
        <v>0</v>
      </c>
      <c r="P86" s="158" t="n">
        <f aca="false">SUMIFS('3 Base Saídas'!$R$2:$R$5000,'3 Base Saídas'!$B$2:$B$5000,$A86,'3 Base Saídas'!$C$2:$C$5000,$B86,'3 Base Saídas'!$E$2:$E$5000,"0355")</f>
        <v>0</v>
      </c>
      <c r="Q86" s="157" t="str">
        <f aca="false">IF(J86="Confere","—",IF(LEFT(K86,5)="Troca","Troca de lote",IF(LEFT(K86,6)="Entrou","Não localizado no estoque",IF(J86="Faltando","Falta sem explicação",IF(ISNUMBER(SEARCH("não baixaram",K86)),"Saída sem baixa no estoque",IF(LEFT(K86,10)="Quantidade","Doca/transferência pendente",IF(LEFT(K86,14)="Estoque antigo","Estoque anterior a 09/09",IF(LEFT(K86,7)="Explica","Sobra parcialmente explicada","Sobra sem explicação"))))))))</f>
        <v>—</v>
      </c>
      <c r="R86" s="162" t="str">
        <f aca="false">IF(J86="Confere","—",IF(OR(LEFT(K86,6)="Entrou",AND(I86&lt;0,ABS(O86)&gt;=Parâmetros!$K$6)),"Crítica",IF(OR(AND(I86&lt;0,O86&lt;&gt;0),O86&gt;=Parâmetros!$K$7),"Alta",IF(O86&gt;0,"Média","Baixa"))))</f>
        <v>—</v>
      </c>
      <c r="S86" s="157" t="str">
        <f aca="false">A86&amp;"|"&amp;B86</f>
        <v>DCP-10BONOI-89B|260778132</v>
      </c>
      <c r="T86" s="157" t="n">
        <f aca="false">IF(ABS(O86)&gt;Parâmetros!$C$7,ABS(O86)+ROW()/10000000,0)</f>
        <v>0</v>
      </c>
      <c r="U86" s="158" t="n">
        <f aca="false">SUMIFS('3 Base Saldo Inicial 08-09'!$E$2:$E$5000,'3 Base Saldo Inicial 08-09'!$A$2:$A$5000,$A86,'3 Base Saldo Inicial 08-09'!$B$2:$B$5000,$B86)-SUMIFS('3 Base Saldo Inicial 08-09'!$E$2:$E$5000,'3 Base Saldo Inicial 08-09'!$A$2:$A$5000,$A86,'3 Base Saldo Inicial 08-09'!$B$2:$B$5000,$B86,'3 Base Saldo Inicial 08-09'!$C$2:$C$5000,"2008")</f>
        <v>0</v>
      </c>
    </row>
    <row r="87" customFormat="false" ht="15" hidden="false" customHeight="false" outlineLevel="0" collapsed="false">
      <c r="A87" s="155" t="s">
        <v>375</v>
      </c>
      <c r="B87" s="155" t="s">
        <v>376</v>
      </c>
      <c r="C87" s="156"/>
      <c r="D87" s="157" t="s">
        <v>65</v>
      </c>
      <c r="E87" s="158" t="n">
        <f aca="false">SUMIFS('aux Conciliação Lote'!$E$5:$E$98,'aux Conciliação Lote'!$A$5:$A$98,$A87,'aux Conciliação Lote'!$B$5:$B$98,$B87)</f>
        <v>0</v>
      </c>
      <c r="F87" s="158" t="n">
        <f aca="false">SUMIFS('aux Conciliação Lote'!$F$5:$F$98,'aux Conciliação Lote'!$A$5:$A$98,$A87,'aux Conciliação Lote'!$B$5:$B$98,$B87)</f>
        <v>0</v>
      </c>
      <c r="G87" s="158" t="n">
        <f aca="false">U87+E87-F87</f>
        <v>0</v>
      </c>
      <c r="H87" s="158" t="n">
        <f aca="false">SUMIFS('aux Conciliação Lote'!$H$5:$H$98,'aux Conciliação Lote'!$A$5:$A$98,$A87,'aux Conciliação Lote'!$B$5:$B$98,$B87)</f>
        <v>0</v>
      </c>
      <c r="I87" s="159" t="n">
        <f aca="false">ROUND(H87-G87,2)</f>
        <v>0</v>
      </c>
      <c r="J87" s="160" t="str">
        <f aca="false">IF(ABS(I87)&lt;=Parâmetros!$C$7,"Confere",IF(I87&gt;0,"Sobrando","Faltando"))</f>
        <v>Confere</v>
      </c>
      <c r="K87" s="155" t="str">
        <f aca="false">IF(J87="Confere","Sem diferença",IF(AND(J87&lt;&gt;"Confere",SUMPRODUCT(($A$14:$A$107=$A87)*($B$14:$B$107&lt;&gt;$B87)*(ABS($I$14:$I$107+$I87)&lt;=Parâmetros!$C$7))&gt;0),"Troca de lote: a mesma quantidade aparece com sinal oposto em outro lote deste SKU",IF(AND(I87&lt;0,H87=0,F87=0),"Entrou no ZBR, mas não está no estoque físico: não chegou ou foi guardado em outro lote",IF(I87&lt;0,"Estoque físico menor que o esperado: saída, ajuste ou perda não lançada no período",IF(ABS(I87-M87)&lt;=Parâmetros!$C$7,"Estoque antigo: toda a sobra está em posições sem movimento desde antes de 09/09",IF(AND(F87&gt;0,ABS(I87-F87)&lt;=Parâmetros!$C$7),"As saídas do período não baixaram o estoque físico",IF(ABS(I87-N87)&lt;=Parâmetros!$C$7,"Quantidade parada em doca, chão ou transferência: entrega ou devolução não baixada",IF(ABS(I87-M87-N87)&lt;=Parâmetros!$C$7,"Estoque antigo + quantidade em doca/chão/transferência",IF(AND(F87&gt;0,ABS(I87-M87-N87-F87)&lt;=Parâmetros!$C$7),IF(M87+N87&gt;0,"Estoque antigo/doca + saídas do período que","Saídas do período que")&amp;" não baixaram o estoque físico",IF(AND(P87&gt;0,ABS(I87-M87-N87-P87)&lt;=Parâmetros!$C$7),IF(M87+N87&gt;0,"Estoque antigo/doca + saídas","Saídas")&amp;" pelo depósito 0355 que não baixaram o estoque físico",IF(M87+N87&gt;0,"Explica em parte: estoque antigo "&amp;FIXED(M87,1)&amp;" + doca/transferência "&amp;FIXED(N87,1)&amp;"; faltam "&amp;FIXED(I87-M87-N87,1)&amp;" a explicar",IF(F87&gt;E87+U87,"Saiu mais do que entrou: havia estoque antes de 09/09 que não está no arquivo","Estoque acima do esperado: entrada não lançada ou saldo anterior ao período"))))))))))))</f>
        <v>Sem diferença</v>
      </c>
      <c r="L87" s="156" t="str">
        <f aca="false">IF(J87="Confere","Nenhum ajuste necessário",IF(LEFT(K87,5)="Troca","Transferir "&amp;FIXED(ABS(I87),1)&amp;" "&amp;D87&amp;" entre os lotes deste SKU (transferência lote a lote, mov. 309) para corrigir o lote",IF(LEFT(K87,6)="Entrou","Procurar a OT de armazenagem pendente no ZBR. Se não achar: contar e lançar ajuste de inventário de −"&amp;FIXED(ABS(I87),1)&amp;" "&amp;D87,IF(J87="Faltando","Contar o lote. Se a falta se confirmar: lançar a saída esquecida (601) ou ajuste de inventário de −"&amp;FIXED(ABS(I87),1)&amp;" "&amp;D87,IF(LEFT(K87,15)="Estoque antigo:","Confirmar no SAP o saldo de 08/09 ("&amp;FIXED(ABS(M87),1)&amp;" "&amp;D87&amp;"). Se estiver certo, não há ajuste",IF(LEFT(K87,10)="Quantidade","Confirmar ou estornar as OTs em doca/transferência ("&amp;FIXED(ABS(N87),1)&amp;" "&amp;D87&amp;"): guardar na posição ou baixar a entrega",IF(LEFT(K87,16)="Estoque antigo +","Confirmar saldo de 08/09 ("&amp;FIXED(ABS(M87),1)&amp;" "&amp;D87&amp;") e tratar as OTs em doca/transferência ("&amp;FIXED(ABS(N87),1)&amp;" "&amp;D87&amp;")",IF(ISNUMBER(SEARCH("não baixaram",K87)),"Confirmar a OT de saída (picking) das remessas para baixar "&amp;FIXED(ABS(I87-M87-N87),1)&amp;" "&amp;D87&amp;" do estoque físico"&amp;IF(M87+N87&gt;0,"; conferir também estoque antigo/doca",""),IF(LEFT(K87,7)="Explica","Confirmar saldo de 08/09 e OTs de doca; contar o lote para os "&amp;FIXED(ABS(I87-M87-N87),1)&amp;" "&amp;D87&amp;" restantes e ajustar a sobra se confirmada","Confirmar saldo de 08/09; se não existir, contar o lote e lançar ajuste de inventário de +"&amp;FIXED(ABS(I87),1)&amp;" "&amp;D87)))))))))</f>
        <v>Nenhum ajuste necessário</v>
      </c>
      <c r="M87" s="158" t="n">
        <f aca="false">MAX(0,SUMIFS('3 Base Estoque Físico'!$J$2:$J$5000,'3 Base Estoque Físico'!$A$2:$A$5000,$A87,'3 Base Estoque Físico'!$B$2:$B$5000,$B87,'3 Base Estoque Físico'!$I$2:$I$5000,"&lt;"&amp;DATE(2026,9,9))-U87)</f>
        <v>0</v>
      </c>
      <c r="N87" s="158" t="n">
        <f aca="false">SUMPRODUCT(('3 Base Estoque Físico'!$A$2:$A$5000=$A87)*('3 Base Estoque Físico'!$B$2:$B$5000=$B87)*('3 Base Estoque Físico'!$I$2:$I$5000&gt;=DATE(2026,9,9))*ISNUMBER(MATCH('3 Base Estoque Físico'!$C$2:$C$5000,{"DCK","TRF","922","FLR","DIF"},0))*'3 Base Estoque Físico'!$J$2:$J$5000)</f>
        <v>0</v>
      </c>
      <c r="O87" s="161" t="n">
        <f aca="false">IF(OR(J87="Confere",LEFT(K87,5)="Troca",ISNUMBER(SEARCH("não baixaram",K87))),0,IF(I87&gt;0,MAX(0,ROUND(I87-M87-N87,2)),I87))</f>
        <v>0</v>
      </c>
      <c r="P87" s="158" t="n">
        <f aca="false">SUMIFS('3 Base Saídas'!$R$2:$R$5000,'3 Base Saídas'!$B$2:$B$5000,$A87,'3 Base Saídas'!$C$2:$C$5000,$B87,'3 Base Saídas'!$E$2:$E$5000,"0355")</f>
        <v>0</v>
      </c>
      <c r="Q87" s="157" t="str">
        <f aca="false">IF(J87="Confere","—",IF(LEFT(K87,5)="Troca","Troca de lote",IF(LEFT(K87,6)="Entrou","Não localizado no estoque",IF(J87="Faltando","Falta sem explicação",IF(ISNUMBER(SEARCH("não baixaram",K87)),"Saída sem baixa no estoque",IF(LEFT(K87,10)="Quantidade","Doca/transferência pendente",IF(LEFT(K87,14)="Estoque antigo","Estoque anterior a 09/09",IF(LEFT(K87,7)="Explica","Sobra parcialmente explicada","Sobra sem explicação"))))))))</f>
        <v>—</v>
      </c>
      <c r="R87" s="162" t="str">
        <f aca="false">IF(J87="Confere","—",IF(OR(LEFT(K87,6)="Entrou",AND(I87&lt;0,ABS(O87)&gt;=Parâmetros!$K$6)),"Crítica",IF(OR(AND(I87&lt;0,O87&lt;&gt;0),O87&gt;=Parâmetros!$K$7),"Alta",IF(O87&gt;0,"Média","Baixa"))))</f>
        <v>—</v>
      </c>
      <c r="S87" s="157" t="str">
        <f aca="false">A87&amp;"|"&amp;B87</f>
        <v>DCP-20BODEC-89B|261388131</v>
      </c>
      <c r="T87" s="157" t="n">
        <f aca="false">IF(ABS(O87)&gt;Parâmetros!$C$7,ABS(O87)+ROW()/10000000,0)</f>
        <v>0</v>
      </c>
      <c r="U87" s="158" t="n">
        <f aca="false">SUMIFS('3 Base Saldo Inicial 08-09'!$E$2:$E$5000,'3 Base Saldo Inicial 08-09'!$A$2:$A$5000,$A87,'3 Base Saldo Inicial 08-09'!$B$2:$B$5000,$B87)-SUMIFS('3 Base Saldo Inicial 08-09'!$E$2:$E$5000,'3 Base Saldo Inicial 08-09'!$A$2:$A$5000,$A87,'3 Base Saldo Inicial 08-09'!$B$2:$B$5000,$B87,'3 Base Saldo Inicial 08-09'!$C$2:$C$5000,"2008")</f>
        <v>0</v>
      </c>
    </row>
    <row r="88" customFormat="false" ht="15" hidden="false" customHeight="false" outlineLevel="0" collapsed="false">
      <c r="A88" s="155" t="s">
        <v>377</v>
      </c>
      <c r="B88" s="155" t="s">
        <v>378</v>
      </c>
      <c r="C88" s="156"/>
      <c r="D88" s="157" t="s">
        <v>65</v>
      </c>
      <c r="E88" s="158" t="n">
        <f aca="false">SUMIFS('aux Conciliação Lote'!$E$5:$E$98,'aux Conciliação Lote'!$A$5:$A$98,$A88,'aux Conciliação Lote'!$B$5:$B$98,$B88)</f>
        <v>0</v>
      </c>
      <c r="F88" s="158" t="n">
        <f aca="false">SUMIFS('aux Conciliação Lote'!$F$5:$F$98,'aux Conciliação Lote'!$A$5:$A$98,$A88,'aux Conciliação Lote'!$B$5:$B$98,$B88)</f>
        <v>0</v>
      </c>
      <c r="G88" s="158" t="n">
        <f aca="false">U88+E88-F88</f>
        <v>0</v>
      </c>
      <c r="H88" s="158" t="n">
        <f aca="false">SUMIFS('aux Conciliação Lote'!$H$5:$H$98,'aux Conciliação Lote'!$A$5:$A$98,$A88,'aux Conciliação Lote'!$B$5:$B$98,$B88)</f>
        <v>0</v>
      </c>
      <c r="I88" s="159" t="n">
        <f aca="false">ROUND(H88-G88,2)</f>
        <v>0</v>
      </c>
      <c r="J88" s="160" t="str">
        <f aca="false">IF(ABS(I88)&lt;=Parâmetros!$C$7,"Confere",IF(I88&gt;0,"Sobrando","Faltando"))</f>
        <v>Confere</v>
      </c>
      <c r="K88" s="155" t="str">
        <f aca="false">IF(J88="Confere","Sem diferença",IF(AND(J88&lt;&gt;"Confere",SUMPRODUCT(($A$14:$A$107=$A88)*($B$14:$B$107&lt;&gt;$B88)*(ABS($I$14:$I$107+$I88)&lt;=Parâmetros!$C$7))&gt;0),"Troca de lote: a mesma quantidade aparece com sinal oposto em outro lote deste SKU",IF(AND(I88&lt;0,H88=0,F88=0),"Entrou no ZBR, mas não está no estoque físico: não chegou ou foi guardado em outro lote",IF(I88&lt;0,"Estoque físico menor que o esperado: saída, ajuste ou perda não lançada no período",IF(ABS(I88-M88)&lt;=Parâmetros!$C$7,"Estoque antigo: toda a sobra está em posições sem movimento desde antes de 09/09",IF(AND(F88&gt;0,ABS(I88-F88)&lt;=Parâmetros!$C$7),"As saídas do período não baixaram o estoque físico",IF(ABS(I88-N88)&lt;=Parâmetros!$C$7,"Quantidade parada em doca, chão ou transferência: entrega ou devolução não baixada",IF(ABS(I88-M88-N88)&lt;=Parâmetros!$C$7,"Estoque antigo + quantidade em doca/chão/transferência",IF(AND(F88&gt;0,ABS(I88-M88-N88-F88)&lt;=Parâmetros!$C$7),IF(M88+N88&gt;0,"Estoque antigo/doca + saídas do período que","Saídas do período que")&amp;" não baixaram o estoque físico",IF(AND(P88&gt;0,ABS(I88-M88-N88-P88)&lt;=Parâmetros!$C$7),IF(M88+N88&gt;0,"Estoque antigo/doca + saídas","Saídas")&amp;" pelo depósito 0355 que não baixaram o estoque físico",IF(M88+N88&gt;0,"Explica em parte: estoque antigo "&amp;FIXED(M88,1)&amp;" + doca/transferência "&amp;FIXED(N88,1)&amp;"; faltam "&amp;FIXED(I88-M88-N88,1)&amp;" a explicar",IF(F88&gt;E88+U88,"Saiu mais do que entrou: havia estoque antes de 09/09 que não está no arquivo","Estoque acima do esperado: entrada não lançada ou saldo anterior ao período"))))))))))))</f>
        <v>Sem diferença</v>
      </c>
      <c r="L88" s="156" t="str">
        <f aca="false">IF(J88="Confere","Nenhum ajuste necessário",IF(LEFT(K88,5)="Troca","Transferir "&amp;FIXED(ABS(I88),1)&amp;" "&amp;D88&amp;" entre os lotes deste SKU (transferência lote a lote, mov. 309) para corrigir o lote",IF(LEFT(K88,6)="Entrou","Procurar a OT de armazenagem pendente no ZBR. Se não achar: contar e lançar ajuste de inventário de −"&amp;FIXED(ABS(I88),1)&amp;" "&amp;D88,IF(J88="Faltando","Contar o lote. Se a falta se confirmar: lançar a saída esquecida (601) ou ajuste de inventário de −"&amp;FIXED(ABS(I88),1)&amp;" "&amp;D88,IF(LEFT(K88,15)="Estoque antigo:","Confirmar no SAP o saldo de 08/09 ("&amp;FIXED(ABS(M88),1)&amp;" "&amp;D88&amp;"). Se estiver certo, não há ajuste",IF(LEFT(K88,10)="Quantidade","Confirmar ou estornar as OTs em doca/transferência ("&amp;FIXED(ABS(N88),1)&amp;" "&amp;D88&amp;"): guardar na posição ou baixar a entrega",IF(LEFT(K88,16)="Estoque antigo +","Confirmar saldo de 08/09 ("&amp;FIXED(ABS(M88),1)&amp;" "&amp;D88&amp;") e tratar as OTs em doca/transferência ("&amp;FIXED(ABS(N88),1)&amp;" "&amp;D88&amp;")",IF(ISNUMBER(SEARCH("não baixaram",K88)),"Confirmar a OT de saída (picking) das remessas para baixar "&amp;FIXED(ABS(I88-M88-N88),1)&amp;" "&amp;D88&amp;" do estoque físico"&amp;IF(M88+N88&gt;0,"; conferir também estoque antigo/doca",""),IF(LEFT(K88,7)="Explica","Confirmar saldo de 08/09 e OTs de doca; contar o lote para os "&amp;FIXED(ABS(I88-M88-N88),1)&amp;" "&amp;D88&amp;" restantes e ajustar a sobra se confirmada","Confirmar saldo de 08/09; se não existir, contar o lote e lançar ajuste de inventário de +"&amp;FIXED(ABS(I88),1)&amp;" "&amp;D88)))))))))</f>
        <v>Nenhum ajuste necessário</v>
      </c>
      <c r="M88" s="158" t="n">
        <f aca="false">MAX(0,SUMIFS('3 Base Estoque Físico'!$J$2:$J$5000,'3 Base Estoque Físico'!$A$2:$A$5000,$A88,'3 Base Estoque Físico'!$B$2:$B$5000,$B88,'3 Base Estoque Físico'!$I$2:$I$5000,"&lt;"&amp;DATE(2026,9,9))-U88)</f>
        <v>0</v>
      </c>
      <c r="N88" s="158" t="n">
        <f aca="false">SUMPRODUCT(('3 Base Estoque Físico'!$A$2:$A$5000=$A88)*('3 Base Estoque Físico'!$B$2:$B$5000=$B88)*('3 Base Estoque Físico'!$I$2:$I$5000&gt;=DATE(2026,9,9))*ISNUMBER(MATCH('3 Base Estoque Físico'!$C$2:$C$5000,{"DCK","TRF","922","FLR","DIF"},0))*'3 Base Estoque Físico'!$J$2:$J$5000)</f>
        <v>0</v>
      </c>
      <c r="O88" s="161" t="n">
        <f aca="false">IF(OR(J88="Confere",LEFT(K88,5)="Troca",ISNUMBER(SEARCH("não baixaram",K88))),0,IF(I88&gt;0,MAX(0,ROUND(I88-M88-N88,2)),I88))</f>
        <v>0</v>
      </c>
      <c r="P88" s="158" t="n">
        <f aca="false">SUMIFS('3 Base Saídas'!$R$2:$R$5000,'3 Base Saídas'!$B$2:$B$5000,$A88,'3 Base Saídas'!$C$2:$C$5000,$B88,'3 Base Saídas'!$E$2:$E$5000,"0355")</f>
        <v>0</v>
      </c>
      <c r="Q88" s="157" t="str">
        <f aca="false">IF(J88="Confere","—",IF(LEFT(K88,5)="Troca","Troca de lote",IF(LEFT(K88,6)="Entrou","Não localizado no estoque",IF(J88="Faltando","Falta sem explicação",IF(ISNUMBER(SEARCH("não baixaram",K88)),"Saída sem baixa no estoque",IF(LEFT(K88,10)="Quantidade","Doca/transferência pendente",IF(LEFT(K88,14)="Estoque antigo","Estoque anterior a 09/09",IF(LEFT(K88,7)="Explica","Sobra parcialmente explicada","Sobra sem explicação"))))))))</f>
        <v>—</v>
      </c>
      <c r="R88" s="162" t="str">
        <f aca="false">IF(J88="Confere","—",IF(OR(LEFT(K88,6)="Entrou",AND(I88&lt;0,ABS(O88)&gt;=Parâmetros!$K$6)),"Crítica",IF(OR(AND(I88&lt;0,O88&lt;&gt;0),O88&gt;=Parâmetros!$K$7),"Alta",IF(O88&gt;0,"Média","Baixa"))))</f>
        <v>—</v>
      </c>
      <c r="S88" s="157" t="str">
        <f aca="false">A88&amp;"|"&amp;B88</f>
        <v>DCP-22ZEPLA-89B|260348131</v>
      </c>
      <c r="T88" s="157" t="n">
        <f aca="false">IF(ABS(O88)&gt;Parâmetros!$C$7,ABS(O88)+ROW()/10000000,0)</f>
        <v>0</v>
      </c>
      <c r="U88" s="158" t="n">
        <f aca="false">SUMIFS('3 Base Saldo Inicial 08-09'!$E$2:$E$5000,'3 Base Saldo Inicial 08-09'!$A$2:$A$5000,$A88,'3 Base Saldo Inicial 08-09'!$B$2:$B$5000,$B88)-SUMIFS('3 Base Saldo Inicial 08-09'!$E$2:$E$5000,'3 Base Saldo Inicial 08-09'!$A$2:$A$5000,$A88,'3 Base Saldo Inicial 08-09'!$B$2:$B$5000,$B88,'3 Base Saldo Inicial 08-09'!$C$2:$C$5000,"2008")</f>
        <v>0</v>
      </c>
    </row>
    <row r="89" customFormat="false" ht="15" hidden="false" customHeight="false" outlineLevel="0" collapsed="false">
      <c r="A89" s="155" t="s">
        <v>377</v>
      </c>
      <c r="B89" s="155" t="s">
        <v>379</v>
      </c>
      <c r="C89" s="156"/>
      <c r="D89" s="157" t="s">
        <v>65</v>
      </c>
      <c r="E89" s="158" t="n">
        <f aca="false">SUMIFS('aux Conciliação Lote'!$E$5:$E$98,'aux Conciliação Lote'!$A$5:$A$98,$A89,'aux Conciliação Lote'!$B$5:$B$98,$B89)</f>
        <v>0</v>
      </c>
      <c r="F89" s="158" t="n">
        <f aca="false">SUMIFS('aux Conciliação Lote'!$F$5:$F$98,'aux Conciliação Lote'!$A$5:$A$98,$A89,'aux Conciliação Lote'!$B$5:$B$98,$B89)</f>
        <v>0</v>
      </c>
      <c r="G89" s="158" t="n">
        <f aca="false">U89+E89-F89</f>
        <v>0</v>
      </c>
      <c r="H89" s="158" t="n">
        <f aca="false">SUMIFS('aux Conciliação Lote'!$H$5:$H$98,'aux Conciliação Lote'!$A$5:$A$98,$A89,'aux Conciliação Lote'!$B$5:$B$98,$B89)</f>
        <v>0</v>
      </c>
      <c r="I89" s="159" t="n">
        <f aca="false">ROUND(H89-G89,2)</f>
        <v>0</v>
      </c>
      <c r="J89" s="160" t="str">
        <f aca="false">IF(ABS(I89)&lt;=Parâmetros!$C$7,"Confere",IF(I89&gt;0,"Sobrando","Faltando"))</f>
        <v>Confere</v>
      </c>
      <c r="K89" s="155" t="str">
        <f aca="false">IF(J89="Confere","Sem diferença",IF(AND(J89&lt;&gt;"Confere",SUMPRODUCT(($A$14:$A$107=$A89)*($B$14:$B$107&lt;&gt;$B89)*(ABS($I$14:$I$107+$I89)&lt;=Parâmetros!$C$7))&gt;0),"Troca de lote: a mesma quantidade aparece com sinal oposto em outro lote deste SKU",IF(AND(I89&lt;0,H89=0,F89=0),"Entrou no ZBR, mas não está no estoque físico: não chegou ou foi guardado em outro lote",IF(I89&lt;0,"Estoque físico menor que o esperado: saída, ajuste ou perda não lançada no período",IF(ABS(I89-M89)&lt;=Parâmetros!$C$7,"Estoque antigo: toda a sobra está em posições sem movimento desde antes de 09/09",IF(AND(F89&gt;0,ABS(I89-F89)&lt;=Parâmetros!$C$7),"As saídas do período não baixaram o estoque físico",IF(ABS(I89-N89)&lt;=Parâmetros!$C$7,"Quantidade parada em doca, chão ou transferência: entrega ou devolução não baixada",IF(ABS(I89-M89-N89)&lt;=Parâmetros!$C$7,"Estoque antigo + quantidade em doca/chão/transferência",IF(AND(F89&gt;0,ABS(I89-M89-N89-F89)&lt;=Parâmetros!$C$7),IF(M89+N89&gt;0,"Estoque antigo/doca + saídas do período que","Saídas do período que")&amp;" não baixaram o estoque físico",IF(AND(P89&gt;0,ABS(I89-M89-N89-P89)&lt;=Parâmetros!$C$7),IF(M89+N89&gt;0,"Estoque antigo/doca + saídas","Saídas")&amp;" pelo depósito 0355 que não baixaram o estoque físico",IF(M89+N89&gt;0,"Explica em parte: estoque antigo "&amp;FIXED(M89,1)&amp;" + doca/transferência "&amp;FIXED(N89,1)&amp;"; faltam "&amp;FIXED(I89-M89-N89,1)&amp;" a explicar",IF(F89&gt;E89+U89,"Saiu mais do que entrou: havia estoque antes de 09/09 que não está no arquivo","Estoque acima do esperado: entrada não lançada ou saldo anterior ao período"))))))))))))</f>
        <v>Sem diferença</v>
      </c>
      <c r="L89" s="156" t="str">
        <f aca="false">IF(J89="Confere","Nenhum ajuste necessário",IF(LEFT(K89,5)="Troca","Transferir "&amp;FIXED(ABS(I89),1)&amp;" "&amp;D89&amp;" entre os lotes deste SKU (transferência lote a lote, mov. 309) para corrigir o lote",IF(LEFT(K89,6)="Entrou","Procurar a OT de armazenagem pendente no ZBR. Se não achar: contar e lançar ajuste de inventário de −"&amp;FIXED(ABS(I89),1)&amp;" "&amp;D89,IF(J89="Faltando","Contar o lote. Se a falta se confirmar: lançar a saída esquecida (601) ou ajuste de inventário de −"&amp;FIXED(ABS(I89),1)&amp;" "&amp;D89,IF(LEFT(K89,15)="Estoque antigo:","Confirmar no SAP o saldo de 08/09 ("&amp;FIXED(ABS(M89),1)&amp;" "&amp;D89&amp;"). Se estiver certo, não há ajuste",IF(LEFT(K89,10)="Quantidade","Confirmar ou estornar as OTs em doca/transferência ("&amp;FIXED(ABS(N89),1)&amp;" "&amp;D89&amp;"): guardar na posição ou baixar a entrega",IF(LEFT(K89,16)="Estoque antigo +","Confirmar saldo de 08/09 ("&amp;FIXED(ABS(M89),1)&amp;" "&amp;D89&amp;") e tratar as OTs em doca/transferência ("&amp;FIXED(ABS(N89),1)&amp;" "&amp;D89&amp;")",IF(ISNUMBER(SEARCH("não baixaram",K89)),"Confirmar a OT de saída (picking) das remessas para baixar "&amp;FIXED(ABS(I89-M89-N89),1)&amp;" "&amp;D89&amp;" do estoque físico"&amp;IF(M89+N89&gt;0,"; conferir também estoque antigo/doca",""),IF(LEFT(K89,7)="Explica","Confirmar saldo de 08/09 e OTs de doca; contar o lote para os "&amp;FIXED(ABS(I89-M89-N89),1)&amp;" "&amp;D89&amp;" restantes e ajustar a sobra se confirmada","Confirmar saldo de 08/09; se não existir, contar o lote e lançar ajuste de inventário de +"&amp;FIXED(ABS(I89),1)&amp;" "&amp;D89)))))))))</f>
        <v>Nenhum ajuste necessário</v>
      </c>
      <c r="M89" s="158" t="n">
        <f aca="false">MAX(0,SUMIFS('3 Base Estoque Físico'!$J$2:$J$5000,'3 Base Estoque Físico'!$A$2:$A$5000,$A89,'3 Base Estoque Físico'!$B$2:$B$5000,$B89,'3 Base Estoque Físico'!$I$2:$I$5000,"&lt;"&amp;DATE(2026,9,9))-U89)</f>
        <v>0</v>
      </c>
      <c r="N89" s="158" t="n">
        <f aca="false">SUMPRODUCT(('3 Base Estoque Físico'!$A$2:$A$5000=$A89)*('3 Base Estoque Físico'!$B$2:$B$5000=$B89)*('3 Base Estoque Físico'!$I$2:$I$5000&gt;=DATE(2026,9,9))*ISNUMBER(MATCH('3 Base Estoque Físico'!$C$2:$C$5000,{"DCK","TRF","922","FLR","DIF"},0))*'3 Base Estoque Físico'!$J$2:$J$5000)</f>
        <v>0</v>
      </c>
      <c r="O89" s="161" t="n">
        <f aca="false">IF(OR(J89="Confere",LEFT(K89,5)="Troca",ISNUMBER(SEARCH("não baixaram",K89))),0,IF(I89&gt;0,MAX(0,ROUND(I89-M89-N89,2)),I89))</f>
        <v>0</v>
      </c>
      <c r="P89" s="158" t="n">
        <f aca="false">SUMIFS('3 Base Saídas'!$R$2:$R$5000,'3 Base Saídas'!$B$2:$B$5000,$A89,'3 Base Saídas'!$C$2:$C$5000,$B89,'3 Base Saídas'!$E$2:$E$5000,"0355")</f>
        <v>0</v>
      </c>
      <c r="Q89" s="157" t="str">
        <f aca="false">IF(J89="Confere","—",IF(LEFT(K89,5)="Troca","Troca de lote",IF(LEFT(K89,6)="Entrou","Não localizado no estoque",IF(J89="Faltando","Falta sem explicação",IF(ISNUMBER(SEARCH("não baixaram",K89)),"Saída sem baixa no estoque",IF(LEFT(K89,10)="Quantidade","Doca/transferência pendente",IF(LEFT(K89,14)="Estoque antigo","Estoque anterior a 09/09",IF(LEFT(K89,7)="Explica","Sobra parcialmente explicada","Sobra sem explicação"))))))))</f>
        <v>—</v>
      </c>
      <c r="R89" s="162" t="str">
        <f aca="false">IF(J89="Confere","—",IF(OR(LEFT(K89,6)="Entrou",AND(I89&lt;0,ABS(O89)&gt;=Parâmetros!$K$6)),"Crítica",IF(OR(AND(I89&lt;0,O89&lt;&gt;0),O89&gt;=Parâmetros!$K$7),"Alta",IF(O89&gt;0,"Média","Baixa"))))</f>
        <v>—</v>
      </c>
      <c r="S89" s="157" t="str">
        <f aca="false">A89&amp;"|"&amp;B89</f>
        <v>DCP-22ZEPLA-89B|260358131</v>
      </c>
      <c r="T89" s="157" t="n">
        <f aca="false">IF(ABS(O89)&gt;Parâmetros!$C$7,ABS(O89)+ROW()/10000000,0)</f>
        <v>0</v>
      </c>
      <c r="U89" s="158" t="n">
        <f aca="false">SUMIFS('3 Base Saldo Inicial 08-09'!$E$2:$E$5000,'3 Base Saldo Inicial 08-09'!$A$2:$A$5000,$A89,'3 Base Saldo Inicial 08-09'!$B$2:$B$5000,$B89)-SUMIFS('3 Base Saldo Inicial 08-09'!$E$2:$E$5000,'3 Base Saldo Inicial 08-09'!$A$2:$A$5000,$A89,'3 Base Saldo Inicial 08-09'!$B$2:$B$5000,$B89,'3 Base Saldo Inicial 08-09'!$C$2:$C$5000,"2008")</f>
        <v>0</v>
      </c>
    </row>
    <row r="90" customFormat="false" ht="15" hidden="false" customHeight="false" outlineLevel="0" collapsed="false">
      <c r="A90" s="155" t="s">
        <v>380</v>
      </c>
      <c r="B90" s="155" t="s">
        <v>381</v>
      </c>
      <c r="C90" s="156" t="s">
        <v>1349</v>
      </c>
      <c r="D90" s="157" t="s">
        <v>65</v>
      </c>
      <c r="E90" s="158" t="n">
        <f aca="false">SUMIFS('aux Conciliação Lote'!$E$5:$E$98,'aux Conciliação Lote'!$A$5:$A$98,$A90,'aux Conciliação Lote'!$B$5:$B$98,$B90)</f>
        <v>850</v>
      </c>
      <c r="F90" s="158" t="n">
        <f aca="false">SUMIFS('aux Conciliação Lote'!$F$5:$F$98,'aux Conciliação Lote'!$A$5:$A$98,$A90,'aux Conciliação Lote'!$B$5:$B$98,$B90)</f>
        <v>50</v>
      </c>
      <c r="G90" s="158" t="n">
        <f aca="false">U90+E90-F90</f>
        <v>800</v>
      </c>
      <c r="H90" s="158" t="n">
        <f aca="false">SUMIFS('aux Conciliação Lote'!$H$5:$H$98,'aux Conciliação Lote'!$A$5:$A$98,$A90,'aux Conciliação Lote'!$B$5:$B$98,$B90)</f>
        <v>800</v>
      </c>
      <c r="I90" s="159" t="n">
        <f aca="false">ROUND(H90-G90,2)</f>
        <v>0</v>
      </c>
      <c r="J90" s="160" t="str">
        <f aca="false">IF(ABS(I90)&lt;=Parâmetros!$C$7,"Confere",IF(I90&gt;0,"Sobrando","Faltando"))</f>
        <v>Confere</v>
      </c>
      <c r="K90" s="155" t="str">
        <f aca="false">IF(J90="Confere","Sem diferença",IF(AND(J90&lt;&gt;"Confere",SUMPRODUCT(($A$14:$A$107=$A90)*($B$14:$B$107&lt;&gt;$B90)*(ABS($I$14:$I$107+$I90)&lt;=Parâmetros!$C$7))&gt;0),"Troca de lote: a mesma quantidade aparece com sinal oposto em outro lote deste SKU",IF(AND(I90&lt;0,H90=0,F90=0),"Entrou no ZBR, mas não está no estoque físico: não chegou ou foi guardado em outro lote",IF(I90&lt;0,"Estoque físico menor que o esperado: saída, ajuste ou perda não lançada no período",IF(ABS(I90-M90)&lt;=Parâmetros!$C$7,"Estoque antigo: toda a sobra está em posições sem movimento desde antes de 09/09",IF(AND(F90&gt;0,ABS(I90-F90)&lt;=Parâmetros!$C$7),"As saídas do período não baixaram o estoque físico",IF(ABS(I90-N90)&lt;=Parâmetros!$C$7,"Quantidade parada em doca, chão ou transferência: entrega ou devolução não baixada",IF(ABS(I90-M90-N90)&lt;=Parâmetros!$C$7,"Estoque antigo + quantidade em doca/chão/transferência",IF(AND(F90&gt;0,ABS(I90-M90-N90-F90)&lt;=Parâmetros!$C$7),IF(M90+N90&gt;0,"Estoque antigo/doca + saídas do período que","Saídas do período que")&amp;" não baixaram o estoque físico",IF(AND(P90&gt;0,ABS(I90-M90-N90-P90)&lt;=Parâmetros!$C$7),IF(M90+N90&gt;0,"Estoque antigo/doca + saídas","Saídas")&amp;" pelo depósito 0355 que não baixaram o estoque físico",IF(M90+N90&gt;0,"Explica em parte: estoque antigo "&amp;FIXED(M90,1)&amp;" + doca/transferência "&amp;FIXED(N90,1)&amp;"; faltam "&amp;FIXED(I90-M90-N90,1)&amp;" a explicar",IF(F90&gt;E90+U90,"Saiu mais do que entrou: havia estoque antes de 09/09 que não está no arquivo","Estoque acima do esperado: entrada não lançada ou saldo anterior ao período"))))))))))))</f>
        <v>Sem diferença</v>
      </c>
      <c r="L90" s="156" t="str">
        <f aca="false">IF(J90="Confere","Nenhum ajuste necessário",IF(LEFT(K90,5)="Troca","Transferir "&amp;FIXED(ABS(I90),1)&amp;" "&amp;D90&amp;" entre os lotes deste SKU (transferência lote a lote, mov. 309) para corrigir o lote",IF(LEFT(K90,6)="Entrou","Procurar a OT de armazenagem pendente no ZBR. Se não achar: contar e lançar ajuste de inventário de −"&amp;FIXED(ABS(I90),1)&amp;" "&amp;D90,IF(J90="Faltando","Contar o lote. Se a falta se confirmar: lançar a saída esquecida (601) ou ajuste de inventário de −"&amp;FIXED(ABS(I90),1)&amp;" "&amp;D90,IF(LEFT(K90,15)="Estoque antigo:","Confirmar no SAP o saldo de 08/09 ("&amp;FIXED(ABS(M90),1)&amp;" "&amp;D90&amp;"). Se estiver certo, não há ajuste",IF(LEFT(K90,10)="Quantidade","Confirmar ou estornar as OTs em doca/transferência ("&amp;FIXED(ABS(N90),1)&amp;" "&amp;D90&amp;"): guardar na posição ou baixar a entrega",IF(LEFT(K90,16)="Estoque antigo +","Confirmar saldo de 08/09 ("&amp;FIXED(ABS(M90),1)&amp;" "&amp;D90&amp;") e tratar as OTs em doca/transferência ("&amp;FIXED(ABS(N90),1)&amp;" "&amp;D90&amp;")",IF(ISNUMBER(SEARCH("não baixaram",K90)),"Confirmar a OT de saída (picking) das remessas para baixar "&amp;FIXED(ABS(I90-M90-N90),1)&amp;" "&amp;D90&amp;" do estoque físico"&amp;IF(M90+N90&gt;0,"; conferir também estoque antigo/doca",""),IF(LEFT(K90,7)="Explica","Confirmar saldo de 08/09 e OTs de doca; contar o lote para os "&amp;FIXED(ABS(I90-M90-N90),1)&amp;" "&amp;D90&amp;" restantes e ajustar a sobra se confirmada","Confirmar saldo de 08/09; se não existir, contar o lote e lançar ajuste de inventário de +"&amp;FIXED(ABS(I90),1)&amp;" "&amp;D90)))))))))</f>
        <v>Nenhum ajuste necessário</v>
      </c>
      <c r="M90" s="158" t="n">
        <f aca="false">MAX(0,SUMIFS('3 Base Estoque Físico'!$J$2:$J$5000,'3 Base Estoque Físico'!$A$2:$A$5000,$A90,'3 Base Estoque Físico'!$B$2:$B$5000,$B90,'3 Base Estoque Físico'!$I$2:$I$5000,"&lt;"&amp;DATE(2026,9,9))-U90)</f>
        <v>0</v>
      </c>
      <c r="N90" s="158" t="n">
        <f aca="false">SUMPRODUCT(('3 Base Estoque Físico'!$A$2:$A$5000=$A90)*('3 Base Estoque Físico'!$B$2:$B$5000=$B90)*('3 Base Estoque Físico'!$I$2:$I$5000&gt;=DATE(2026,9,9))*ISNUMBER(MATCH('3 Base Estoque Físico'!$C$2:$C$5000,{"DCK","TRF","922","FLR","DIF"},0))*'3 Base Estoque Físico'!$J$2:$J$5000)</f>
        <v>0</v>
      </c>
      <c r="O90" s="161" t="n">
        <f aca="false">IF(OR(J90="Confere",LEFT(K90,5)="Troca",ISNUMBER(SEARCH("não baixaram",K90))),0,IF(I90&gt;0,MAX(0,ROUND(I90-M90-N90,2)),I90))</f>
        <v>0</v>
      </c>
      <c r="P90" s="158" t="n">
        <f aca="false">SUMIFS('3 Base Saídas'!$R$2:$R$5000,'3 Base Saídas'!$B$2:$B$5000,$A90,'3 Base Saídas'!$C$2:$C$5000,$B90,'3 Base Saídas'!$E$2:$E$5000,"0355")</f>
        <v>0</v>
      </c>
      <c r="Q90" s="157" t="str">
        <f aca="false">IF(J90="Confere","—",IF(LEFT(K90,5)="Troca","Troca de lote",IF(LEFT(K90,6)="Entrou","Não localizado no estoque",IF(J90="Faltando","Falta sem explicação",IF(ISNUMBER(SEARCH("não baixaram",K90)),"Saída sem baixa no estoque",IF(LEFT(K90,10)="Quantidade","Doca/transferência pendente",IF(LEFT(K90,14)="Estoque antigo","Estoque anterior a 09/09",IF(LEFT(K90,7)="Explica","Sobra parcialmente explicada","Sobra sem explicação"))))))))</f>
        <v>—</v>
      </c>
      <c r="R90" s="162" t="str">
        <f aca="false">IF(J90="Confere","—",IF(OR(LEFT(K90,6)="Entrou",AND(I90&lt;0,ABS(O90)&gt;=Parâmetros!$K$6)),"Crítica",IF(OR(AND(I90&lt;0,O90&lt;&gt;0),O90&gt;=Parâmetros!$K$7),"Alta",IF(O90&gt;0,"Média","Baixa"))))</f>
        <v>—</v>
      </c>
      <c r="S90" s="157" t="str">
        <f aca="false">A90&amp;"|"&amp;B90</f>
        <v>GIA-145|2518442009</v>
      </c>
      <c r="T90" s="157" t="n">
        <f aca="false">IF(ABS(O90)&gt;Parâmetros!$C$7,ABS(O90)+ROW()/10000000,0)</f>
        <v>0</v>
      </c>
      <c r="U90" s="158" t="n">
        <f aca="false">SUMIFS('3 Base Saldo Inicial 08-09'!$E$2:$E$5000,'3 Base Saldo Inicial 08-09'!$A$2:$A$5000,$A90,'3 Base Saldo Inicial 08-09'!$B$2:$B$5000,$B90)-SUMIFS('3 Base Saldo Inicial 08-09'!$E$2:$E$5000,'3 Base Saldo Inicial 08-09'!$A$2:$A$5000,$A90,'3 Base Saldo Inicial 08-09'!$B$2:$B$5000,$B90,'3 Base Saldo Inicial 08-09'!$C$2:$C$5000,"2008")</f>
        <v>0</v>
      </c>
    </row>
    <row r="91" customFormat="false" ht="15" hidden="false" customHeight="false" outlineLevel="0" collapsed="false">
      <c r="A91" s="155" t="s">
        <v>284</v>
      </c>
      <c r="B91" s="155" t="s">
        <v>285</v>
      </c>
      <c r="C91" s="156"/>
      <c r="D91" s="157" t="s">
        <v>65</v>
      </c>
      <c r="E91" s="158" t="n">
        <f aca="false">SUMIFS('aux Conciliação Lote'!$E$5:$E$98,'aux Conciliação Lote'!$A$5:$A$98,$A91,'aux Conciliação Lote'!$B$5:$B$98,$B91)</f>
        <v>1000</v>
      </c>
      <c r="F91" s="158" t="n">
        <f aca="false">SUMIFS('aux Conciliação Lote'!$F$5:$F$98,'aux Conciliação Lote'!$A$5:$A$98,$A91,'aux Conciliação Lote'!$B$5:$B$98,$B91)</f>
        <v>0</v>
      </c>
      <c r="G91" s="158" t="n">
        <f aca="false">U91+E91-F91</f>
        <v>1000</v>
      </c>
      <c r="H91" s="158" t="n">
        <f aca="false">SUMIFS('aux Conciliação Lote'!$H$5:$H$98,'aux Conciliação Lote'!$A$5:$A$98,$A91,'aux Conciliação Lote'!$B$5:$B$98,$B91)</f>
        <v>1000</v>
      </c>
      <c r="I91" s="159" t="n">
        <f aca="false">ROUND(H91-G91,2)</f>
        <v>0</v>
      </c>
      <c r="J91" s="160" t="str">
        <f aca="false">IF(ABS(I91)&lt;=Parâmetros!$C$7,"Confere",IF(I91&gt;0,"Sobrando","Faltando"))</f>
        <v>Confere</v>
      </c>
      <c r="K91" s="155" t="str">
        <f aca="false">IF(J91="Confere","Sem diferença",IF(AND(J91&lt;&gt;"Confere",SUMPRODUCT(($A$14:$A$107=$A91)*($B$14:$B$107&lt;&gt;$B91)*(ABS($I$14:$I$107+$I91)&lt;=Parâmetros!$C$7))&gt;0),"Troca de lote: a mesma quantidade aparece com sinal oposto em outro lote deste SKU",IF(AND(I91&lt;0,H91=0,F91=0),"Entrou no ZBR, mas não está no estoque físico: não chegou ou foi guardado em outro lote",IF(I91&lt;0,"Estoque físico menor que o esperado: saída, ajuste ou perda não lançada no período",IF(ABS(I91-M91)&lt;=Parâmetros!$C$7,"Estoque antigo: toda a sobra está em posições sem movimento desde antes de 09/09",IF(AND(F91&gt;0,ABS(I91-F91)&lt;=Parâmetros!$C$7),"As saídas do período não baixaram o estoque físico",IF(ABS(I91-N91)&lt;=Parâmetros!$C$7,"Quantidade parada em doca, chão ou transferência: entrega ou devolução não baixada",IF(ABS(I91-M91-N91)&lt;=Parâmetros!$C$7,"Estoque antigo + quantidade em doca/chão/transferência",IF(AND(F91&gt;0,ABS(I91-M91-N91-F91)&lt;=Parâmetros!$C$7),IF(M91+N91&gt;0,"Estoque antigo/doca + saídas do período que","Saídas do período que")&amp;" não baixaram o estoque físico",IF(AND(P91&gt;0,ABS(I91-M91-N91-P91)&lt;=Parâmetros!$C$7),IF(M91+N91&gt;0,"Estoque antigo/doca + saídas","Saídas")&amp;" pelo depósito 0355 que não baixaram o estoque físico",IF(M91+N91&gt;0,"Explica em parte: estoque antigo "&amp;FIXED(M91,1)&amp;" + doca/transferência "&amp;FIXED(N91,1)&amp;"; faltam "&amp;FIXED(I91-M91-N91,1)&amp;" a explicar",IF(F91&gt;E91+U91,"Saiu mais do que entrou: havia estoque antes de 09/09 que não está no arquivo","Estoque acima do esperado: entrada não lançada ou saldo anterior ao período"))))))))))))</f>
        <v>Sem diferença</v>
      </c>
      <c r="L91" s="156" t="str">
        <f aca="false">IF(J91="Confere","Nenhum ajuste necessário",IF(LEFT(K91,5)="Troca","Transferir "&amp;FIXED(ABS(I91),1)&amp;" "&amp;D91&amp;" entre os lotes deste SKU (transferência lote a lote, mov. 309) para corrigir o lote",IF(LEFT(K91,6)="Entrou","Procurar a OT de armazenagem pendente no ZBR. Se não achar: contar e lançar ajuste de inventário de −"&amp;FIXED(ABS(I91),1)&amp;" "&amp;D91,IF(J91="Faltando","Contar o lote. Se a falta se confirmar: lançar a saída esquecida (601) ou ajuste de inventário de −"&amp;FIXED(ABS(I91),1)&amp;" "&amp;D91,IF(LEFT(K91,15)="Estoque antigo:","Confirmar no SAP o saldo de 08/09 ("&amp;FIXED(ABS(M91),1)&amp;" "&amp;D91&amp;"). Se estiver certo, não há ajuste",IF(LEFT(K91,10)="Quantidade","Confirmar ou estornar as OTs em doca/transferência ("&amp;FIXED(ABS(N91),1)&amp;" "&amp;D91&amp;"): guardar na posição ou baixar a entrega",IF(LEFT(K91,16)="Estoque antigo +","Confirmar saldo de 08/09 ("&amp;FIXED(ABS(M91),1)&amp;" "&amp;D91&amp;") e tratar as OTs em doca/transferência ("&amp;FIXED(ABS(N91),1)&amp;" "&amp;D91&amp;")",IF(ISNUMBER(SEARCH("não baixaram",K91)),"Confirmar a OT de saída (picking) das remessas para baixar "&amp;FIXED(ABS(I91-M91-N91),1)&amp;" "&amp;D91&amp;" do estoque físico"&amp;IF(M91+N91&gt;0,"; conferir também estoque antigo/doca",""),IF(LEFT(K91,7)="Explica","Confirmar saldo de 08/09 e OTs de doca; contar o lote para os "&amp;FIXED(ABS(I91-M91-N91),1)&amp;" "&amp;D91&amp;" restantes e ajustar a sobra se confirmada","Confirmar saldo de 08/09; se não existir, contar o lote e lançar ajuste de inventário de +"&amp;FIXED(ABS(I91),1)&amp;" "&amp;D91)))))))))</f>
        <v>Nenhum ajuste necessário</v>
      </c>
      <c r="M91" s="158" t="n">
        <f aca="false">MAX(0,SUMIFS('3 Base Estoque Físico'!$J$2:$J$5000,'3 Base Estoque Físico'!$A$2:$A$5000,$A91,'3 Base Estoque Físico'!$B$2:$B$5000,$B91,'3 Base Estoque Físico'!$I$2:$I$5000,"&lt;"&amp;DATE(2026,9,9))-U91)</f>
        <v>0</v>
      </c>
      <c r="N91" s="158" t="n">
        <f aca="false">SUMPRODUCT(('3 Base Estoque Físico'!$A$2:$A$5000=$A91)*('3 Base Estoque Físico'!$B$2:$B$5000=$B91)*('3 Base Estoque Físico'!$I$2:$I$5000&gt;=DATE(2026,9,9))*ISNUMBER(MATCH('3 Base Estoque Físico'!$C$2:$C$5000,{"DCK","TRF","922","FLR","DIF"},0))*'3 Base Estoque Físico'!$J$2:$J$5000)</f>
        <v>0</v>
      </c>
      <c r="O91" s="161" t="n">
        <f aca="false">IF(OR(J91="Confere",LEFT(K91,5)="Troca",ISNUMBER(SEARCH("não baixaram",K91))),0,IF(I91&gt;0,MAX(0,ROUND(I91-M91-N91,2)),I91))</f>
        <v>0</v>
      </c>
      <c r="P91" s="158" t="n">
        <f aca="false">SUMIFS('3 Base Saídas'!$R$2:$R$5000,'3 Base Saídas'!$B$2:$B$5000,$A91,'3 Base Saídas'!$C$2:$C$5000,$B91,'3 Base Saídas'!$E$2:$E$5000,"0355")</f>
        <v>0</v>
      </c>
      <c r="Q91" s="157" t="str">
        <f aca="false">IF(J91="Confere","—",IF(LEFT(K91,5)="Troca","Troca de lote",IF(LEFT(K91,6)="Entrou","Não localizado no estoque",IF(J91="Faltando","Falta sem explicação",IF(ISNUMBER(SEARCH("não baixaram",K91)),"Saída sem baixa no estoque",IF(LEFT(K91,10)="Quantidade","Doca/transferência pendente",IF(LEFT(K91,14)="Estoque antigo","Estoque anterior a 09/09",IF(LEFT(K91,7)="Explica","Sobra parcialmente explicada","Sobra sem explicação"))))))))</f>
        <v>—</v>
      </c>
      <c r="R91" s="162" t="str">
        <f aca="false">IF(J91="Confere","—",IF(OR(LEFT(K91,6)="Entrou",AND(I91&lt;0,ABS(O91)&gt;=Parâmetros!$K$6)),"Crítica",IF(OR(AND(I91&lt;0,O91&lt;&gt;0),O91&gt;=Parâmetros!$K$7),"Alta",IF(O91&gt;0,"Média","Baixa"))))</f>
        <v>—</v>
      </c>
      <c r="S91" s="157" t="str">
        <f aca="false">A91&amp;"|"&amp;B91</f>
        <v>MALCHOC-D-123|261060203</v>
      </c>
      <c r="T91" s="157" t="n">
        <f aca="false">IF(ABS(O91)&gt;Parâmetros!$C$7,ABS(O91)+ROW()/10000000,0)</f>
        <v>0</v>
      </c>
      <c r="U91" s="158" t="n">
        <f aca="false">SUMIFS('3 Base Saldo Inicial 08-09'!$E$2:$E$5000,'3 Base Saldo Inicial 08-09'!$A$2:$A$5000,$A91,'3 Base Saldo Inicial 08-09'!$B$2:$B$5000,$B91)-SUMIFS('3 Base Saldo Inicial 08-09'!$E$2:$E$5000,'3 Base Saldo Inicial 08-09'!$A$2:$A$5000,$A91,'3 Base Saldo Inicial 08-09'!$B$2:$B$5000,$B91,'3 Base Saldo Inicial 08-09'!$C$2:$C$5000,"2008")</f>
        <v>0</v>
      </c>
    </row>
    <row r="92" customFormat="false" ht="15" hidden="false" customHeight="false" outlineLevel="0" collapsed="false">
      <c r="A92" s="155" t="s">
        <v>286</v>
      </c>
      <c r="B92" s="155" t="s">
        <v>290</v>
      </c>
      <c r="C92" s="156" t="s">
        <v>1354</v>
      </c>
      <c r="D92" s="157" t="s">
        <v>147</v>
      </c>
      <c r="E92" s="158" t="n">
        <f aca="false">SUMIFS('aux Conciliação Lote'!$E$5:$E$98,'aux Conciliação Lote'!$A$5:$A$98,$A92,'aux Conciliação Lote'!$B$5:$B$98,$B92)</f>
        <v>506</v>
      </c>
      <c r="F92" s="158" t="n">
        <f aca="false">SUMIFS('aux Conciliação Lote'!$F$5:$F$98,'aux Conciliação Lote'!$A$5:$A$98,$A92,'aux Conciliação Lote'!$B$5:$B$98,$B92)</f>
        <v>101</v>
      </c>
      <c r="G92" s="158" t="n">
        <f aca="false">U92+E92-F92</f>
        <v>405</v>
      </c>
      <c r="H92" s="158" t="n">
        <f aca="false">SUMIFS('aux Conciliação Lote'!$H$5:$H$98,'aux Conciliação Lote'!$A$5:$A$98,$A92,'aux Conciliação Lote'!$B$5:$B$98,$B92)</f>
        <v>405</v>
      </c>
      <c r="I92" s="159" t="n">
        <f aca="false">ROUND(H92-G92,2)</f>
        <v>0</v>
      </c>
      <c r="J92" s="160" t="str">
        <f aca="false">IF(ABS(I92)&lt;=Parâmetros!$C$7,"Confere",IF(I92&gt;0,"Sobrando","Faltando"))</f>
        <v>Confere</v>
      </c>
      <c r="K92" s="155" t="str">
        <f aca="false">IF(J92="Confere","Sem diferença",IF(AND(J92&lt;&gt;"Confere",SUMPRODUCT(($A$14:$A$107=$A92)*($B$14:$B$107&lt;&gt;$B92)*(ABS($I$14:$I$107+$I92)&lt;=Parâmetros!$C$7))&gt;0),"Troca de lote: a mesma quantidade aparece com sinal oposto em outro lote deste SKU",IF(AND(I92&lt;0,H92=0,F92=0),"Entrou no ZBR, mas não está no estoque físico: não chegou ou foi guardado em outro lote",IF(I92&lt;0,"Estoque físico menor que o esperado: saída, ajuste ou perda não lançada no período",IF(ABS(I92-M92)&lt;=Parâmetros!$C$7,"Estoque antigo: toda a sobra está em posições sem movimento desde antes de 09/09",IF(AND(F92&gt;0,ABS(I92-F92)&lt;=Parâmetros!$C$7),"As saídas do período não baixaram o estoque físico",IF(ABS(I92-N92)&lt;=Parâmetros!$C$7,"Quantidade parada em doca, chão ou transferência: entrega ou devolução não baixada",IF(ABS(I92-M92-N92)&lt;=Parâmetros!$C$7,"Estoque antigo + quantidade em doca/chão/transferência",IF(AND(F92&gt;0,ABS(I92-M92-N92-F92)&lt;=Parâmetros!$C$7),IF(M92+N92&gt;0,"Estoque antigo/doca + saídas do período que","Saídas do período que")&amp;" não baixaram o estoque físico",IF(AND(P92&gt;0,ABS(I92-M92-N92-P92)&lt;=Parâmetros!$C$7),IF(M92+N92&gt;0,"Estoque antigo/doca + saídas","Saídas")&amp;" pelo depósito 0355 que não baixaram o estoque físico",IF(M92+N92&gt;0,"Explica em parte: estoque antigo "&amp;FIXED(M92,1)&amp;" + doca/transferência "&amp;FIXED(N92,1)&amp;"; faltam "&amp;FIXED(I92-M92-N92,1)&amp;" a explicar",IF(F92&gt;E92+U92,"Saiu mais do que entrou: havia estoque antes de 09/09 que não está no arquivo","Estoque acima do esperado: entrada não lançada ou saldo anterior ao período"))))))))))))</f>
        <v>Sem diferença</v>
      </c>
      <c r="L92" s="156" t="str">
        <f aca="false">IF(J92="Confere","Nenhum ajuste necessário",IF(LEFT(K92,5)="Troca","Transferir "&amp;FIXED(ABS(I92),1)&amp;" "&amp;D92&amp;" entre os lotes deste SKU (transferência lote a lote, mov. 309) para corrigir o lote",IF(LEFT(K92,6)="Entrou","Procurar a OT de armazenagem pendente no ZBR. Se não achar: contar e lançar ajuste de inventário de −"&amp;FIXED(ABS(I92),1)&amp;" "&amp;D92,IF(J92="Faltando","Contar o lote. Se a falta se confirmar: lançar a saída esquecida (601) ou ajuste de inventário de −"&amp;FIXED(ABS(I92),1)&amp;" "&amp;D92,IF(LEFT(K92,15)="Estoque antigo:","Confirmar no SAP o saldo de 08/09 ("&amp;FIXED(ABS(M92),1)&amp;" "&amp;D92&amp;"). Se estiver certo, não há ajuste",IF(LEFT(K92,10)="Quantidade","Confirmar ou estornar as OTs em doca/transferência ("&amp;FIXED(ABS(N92),1)&amp;" "&amp;D92&amp;"): guardar na posição ou baixar a entrega",IF(LEFT(K92,16)="Estoque antigo +","Confirmar saldo de 08/09 ("&amp;FIXED(ABS(M92),1)&amp;" "&amp;D92&amp;") e tratar as OTs em doca/transferência ("&amp;FIXED(ABS(N92),1)&amp;" "&amp;D92&amp;")",IF(ISNUMBER(SEARCH("não baixaram",K92)),"Confirmar a OT de saída (picking) das remessas para baixar "&amp;FIXED(ABS(I92-M92-N92),1)&amp;" "&amp;D92&amp;" do estoque físico"&amp;IF(M92+N92&gt;0,"; conferir também estoque antigo/doca",""),IF(LEFT(K92,7)="Explica","Confirmar saldo de 08/09 e OTs de doca; contar o lote para os "&amp;FIXED(ABS(I92-M92-N92),1)&amp;" "&amp;D92&amp;" restantes e ajustar a sobra se confirmada","Confirmar saldo de 08/09; se não existir, contar o lote e lançar ajuste de inventário de +"&amp;FIXED(ABS(I92),1)&amp;" "&amp;D92)))))))))</f>
        <v>Nenhum ajuste necessário</v>
      </c>
      <c r="M92" s="158" t="n">
        <f aca="false">MAX(0,SUMIFS('3 Base Estoque Físico'!$J$2:$J$5000,'3 Base Estoque Físico'!$A$2:$A$5000,$A92,'3 Base Estoque Físico'!$B$2:$B$5000,$B92,'3 Base Estoque Físico'!$I$2:$I$5000,"&lt;"&amp;DATE(2026,9,9))-U92)</f>
        <v>0</v>
      </c>
      <c r="N92" s="158" t="n">
        <f aca="false">SUMPRODUCT(('3 Base Estoque Físico'!$A$2:$A$5000=$A92)*('3 Base Estoque Físico'!$B$2:$B$5000=$B92)*('3 Base Estoque Físico'!$I$2:$I$5000&gt;=DATE(2026,9,9))*ISNUMBER(MATCH('3 Base Estoque Físico'!$C$2:$C$5000,{"DCK","TRF","922","FLR","DIF"},0))*'3 Base Estoque Físico'!$J$2:$J$5000)</f>
        <v>0</v>
      </c>
      <c r="O92" s="161" t="n">
        <f aca="false">IF(OR(J92="Confere",LEFT(K92,5)="Troca",ISNUMBER(SEARCH("não baixaram",K92))),0,IF(I92&gt;0,MAX(0,ROUND(I92-M92-N92,2)),I92))</f>
        <v>0</v>
      </c>
      <c r="P92" s="158" t="n">
        <f aca="false">SUMIFS('3 Base Saídas'!$R$2:$R$5000,'3 Base Saídas'!$B$2:$B$5000,$A92,'3 Base Saídas'!$C$2:$C$5000,$B92,'3 Base Saídas'!$E$2:$E$5000,"0355")</f>
        <v>0</v>
      </c>
      <c r="Q92" s="157" t="str">
        <f aca="false">IF(J92="Confere","—",IF(LEFT(K92,5)="Troca","Troca de lote",IF(LEFT(K92,6)="Entrou","Não localizado no estoque",IF(J92="Faltando","Falta sem explicação",IF(ISNUMBER(SEARCH("não baixaram",K92)),"Saída sem baixa no estoque",IF(LEFT(K92,10)="Quantidade","Doca/transferência pendente",IF(LEFT(K92,14)="Estoque antigo","Estoque anterior a 09/09",IF(LEFT(K92,7)="Explica","Sobra parcialmente explicada","Sobra sem explicação"))))))))</f>
        <v>—</v>
      </c>
      <c r="R92" s="162" t="str">
        <f aca="false">IF(J92="Confere","—",IF(OR(LEFT(K92,6)="Entrou",AND(I92&lt;0,ABS(O92)&gt;=Parâmetros!$K$6)),"Crítica",IF(OR(AND(I92&lt;0,O92&lt;&gt;0),O92&gt;=Parâmetros!$K$7),"Alta",IF(O92&gt;0,"Média","Baixa"))))</f>
        <v>—</v>
      </c>
      <c r="S92" s="157" t="str">
        <f aca="false">A92&amp;"|"&amp;B92</f>
        <v>NIBS-S502-X47|252643099</v>
      </c>
      <c r="T92" s="157" t="n">
        <f aca="false">IF(ABS(O92)&gt;Parâmetros!$C$7,ABS(O92)+ROW()/10000000,0)</f>
        <v>0</v>
      </c>
      <c r="U92" s="158" t="n">
        <f aca="false">SUMIFS('3 Base Saldo Inicial 08-09'!$E$2:$E$5000,'3 Base Saldo Inicial 08-09'!$A$2:$A$5000,$A92,'3 Base Saldo Inicial 08-09'!$B$2:$B$5000,$B92)-SUMIFS('3 Base Saldo Inicial 08-09'!$E$2:$E$5000,'3 Base Saldo Inicial 08-09'!$A$2:$A$5000,$A92,'3 Base Saldo Inicial 08-09'!$B$2:$B$5000,$B92,'3 Base Saldo Inicial 08-09'!$C$2:$C$5000,"2008")</f>
        <v>0</v>
      </c>
    </row>
    <row r="93" customFormat="false" ht="15" hidden="false" customHeight="false" outlineLevel="0" collapsed="false">
      <c r="A93" s="155" t="s">
        <v>286</v>
      </c>
      <c r="B93" s="155" t="s">
        <v>291</v>
      </c>
      <c r="C93" s="156" t="s">
        <v>1354</v>
      </c>
      <c r="D93" s="157" t="s">
        <v>147</v>
      </c>
      <c r="E93" s="158" t="n">
        <f aca="false">SUMIFS('aux Conciliação Lote'!$E$5:$E$98,'aux Conciliação Lote'!$A$5:$A$98,$A93,'aux Conciliação Lote'!$B$5:$B$98,$B93)</f>
        <v>524.75</v>
      </c>
      <c r="F93" s="158" t="n">
        <f aca="false">SUMIFS('aux Conciliação Lote'!$F$5:$F$98,'aux Conciliação Lote'!$A$5:$A$98,$A93,'aux Conciliação Lote'!$B$5:$B$98,$B93)</f>
        <v>0</v>
      </c>
      <c r="G93" s="158" t="n">
        <f aca="false">U93+E93-F93</f>
        <v>524.75</v>
      </c>
      <c r="H93" s="158" t="n">
        <f aca="false">SUMIFS('aux Conciliação Lote'!$H$5:$H$98,'aux Conciliação Lote'!$A$5:$A$98,$A93,'aux Conciliação Lote'!$B$5:$B$98,$B93)</f>
        <v>524.75</v>
      </c>
      <c r="I93" s="159" t="n">
        <f aca="false">ROUND(H93-G93,2)</f>
        <v>0</v>
      </c>
      <c r="J93" s="160" t="str">
        <f aca="false">IF(ABS(I93)&lt;=Parâmetros!$C$7,"Confere",IF(I93&gt;0,"Sobrando","Faltando"))</f>
        <v>Confere</v>
      </c>
      <c r="K93" s="155" t="str">
        <f aca="false">IF(J93="Confere","Sem diferença",IF(AND(J93&lt;&gt;"Confere",SUMPRODUCT(($A$14:$A$107=$A93)*($B$14:$B$107&lt;&gt;$B93)*(ABS($I$14:$I$107+$I93)&lt;=Parâmetros!$C$7))&gt;0),"Troca de lote: a mesma quantidade aparece com sinal oposto em outro lote deste SKU",IF(AND(I93&lt;0,H93=0,F93=0),"Entrou no ZBR, mas não está no estoque físico: não chegou ou foi guardado em outro lote",IF(I93&lt;0,"Estoque físico menor que o esperado: saída, ajuste ou perda não lançada no período",IF(ABS(I93-M93)&lt;=Parâmetros!$C$7,"Estoque antigo: toda a sobra está em posições sem movimento desde antes de 09/09",IF(AND(F93&gt;0,ABS(I93-F93)&lt;=Parâmetros!$C$7),"As saídas do período não baixaram o estoque físico",IF(ABS(I93-N93)&lt;=Parâmetros!$C$7,"Quantidade parada em doca, chão ou transferência: entrega ou devolução não baixada",IF(ABS(I93-M93-N93)&lt;=Parâmetros!$C$7,"Estoque antigo + quantidade em doca/chão/transferência",IF(AND(F93&gt;0,ABS(I93-M93-N93-F93)&lt;=Parâmetros!$C$7),IF(M93+N93&gt;0,"Estoque antigo/doca + saídas do período que","Saídas do período que")&amp;" não baixaram o estoque físico",IF(AND(P93&gt;0,ABS(I93-M93-N93-P93)&lt;=Parâmetros!$C$7),IF(M93+N93&gt;0,"Estoque antigo/doca + saídas","Saídas")&amp;" pelo depósito 0355 que não baixaram o estoque físico",IF(M93+N93&gt;0,"Explica em parte: estoque antigo "&amp;FIXED(M93,1)&amp;" + doca/transferência "&amp;FIXED(N93,1)&amp;"; faltam "&amp;FIXED(I93-M93-N93,1)&amp;" a explicar",IF(F93&gt;E93+U93,"Saiu mais do que entrou: havia estoque antes de 09/09 que não está no arquivo","Estoque acima do esperado: entrada não lançada ou saldo anterior ao período"))))))))))))</f>
        <v>Sem diferença</v>
      </c>
      <c r="L93" s="156" t="str">
        <f aca="false">IF(J93="Confere","Nenhum ajuste necessário",IF(LEFT(K93,5)="Troca","Transferir "&amp;FIXED(ABS(I93),1)&amp;" "&amp;D93&amp;" entre os lotes deste SKU (transferência lote a lote, mov. 309) para corrigir o lote",IF(LEFT(K93,6)="Entrou","Procurar a OT de armazenagem pendente no ZBR. Se não achar: contar e lançar ajuste de inventário de −"&amp;FIXED(ABS(I93),1)&amp;" "&amp;D93,IF(J93="Faltando","Contar o lote. Se a falta se confirmar: lançar a saída esquecida (601) ou ajuste de inventário de −"&amp;FIXED(ABS(I93),1)&amp;" "&amp;D93,IF(LEFT(K93,15)="Estoque antigo:","Confirmar no SAP o saldo de 08/09 ("&amp;FIXED(ABS(M93),1)&amp;" "&amp;D93&amp;"). Se estiver certo, não há ajuste",IF(LEFT(K93,10)="Quantidade","Confirmar ou estornar as OTs em doca/transferência ("&amp;FIXED(ABS(N93),1)&amp;" "&amp;D93&amp;"): guardar na posição ou baixar a entrega",IF(LEFT(K93,16)="Estoque antigo +","Confirmar saldo de 08/09 ("&amp;FIXED(ABS(M93),1)&amp;" "&amp;D93&amp;") e tratar as OTs em doca/transferência ("&amp;FIXED(ABS(N93),1)&amp;" "&amp;D93&amp;")",IF(ISNUMBER(SEARCH("não baixaram",K93)),"Confirmar a OT de saída (picking) das remessas para baixar "&amp;FIXED(ABS(I93-M93-N93),1)&amp;" "&amp;D93&amp;" do estoque físico"&amp;IF(M93+N93&gt;0,"; conferir também estoque antigo/doca",""),IF(LEFT(K93,7)="Explica","Confirmar saldo de 08/09 e OTs de doca; contar o lote para os "&amp;FIXED(ABS(I93-M93-N93),1)&amp;" "&amp;D93&amp;" restantes e ajustar a sobra se confirmada","Confirmar saldo de 08/09; se não existir, contar o lote e lançar ajuste de inventário de +"&amp;FIXED(ABS(I93),1)&amp;" "&amp;D93)))))))))</f>
        <v>Nenhum ajuste necessário</v>
      </c>
      <c r="M93" s="158" t="n">
        <f aca="false">MAX(0,SUMIFS('3 Base Estoque Físico'!$J$2:$J$5000,'3 Base Estoque Físico'!$A$2:$A$5000,$A93,'3 Base Estoque Físico'!$B$2:$B$5000,$B93,'3 Base Estoque Físico'!$I$2:$I$5000,"&lt;"&amp;DATE(2026,9,9))-U93)</f>
        <v>0</v>
      </c>
      <c r="N93" s="158" t="n">
        <f aca="false">SUMPRODUCT(('3 Base Estoque Físico'!$A$2:$A$5000=$A93)*('3 Base Estoque Físico'!$B$2:$B$5000=$B93)*('3 Base Estoque Físico'!$I$2:$I$5000&gt;=DATE(2026,9,9))*ISNUMBER(MATCH('3 Base Estoque Físico'!$C$2:$C$5000,{"DCK","TRF","922","FLR","DIF"},0))*'3 Base Estoque Físico'!$J$2:$J$5000)</f>
        <v>0</v>
      </c>
      <c r="O93" s="161" t="n">
        <f aca="false">IF(OR(J93="Confere",LEFT(K93,5)="Troca",ISNUMBER(SEARCH("não baixaram",K93))),0,IF(I93&gt;0,MAX(0,ROUND(I93-M93-N93,2)),I93))</f>
        <v>0</v>
      </c>
      <c r="P93" s="158" t="n">
        <f aca="false">SUMIFS('3 Base Saídas'!$R$2:$R$5000,'3 Base Saídas'!$B$2:$B$5000,$A93,'3 Base Saídas'!$C$2:$C$5000,$B93,'3 Base Saídas'!$E$2:$E$5000,"0355")</f>
        <v>0</v>
      </c>
      <c r="Q93" s="157" t="str">
        <f aca="false">IF(J93="Confere","—",IF(LEFT(K93,5)="Troca","Troca de lote",IF(LEFT(K93,6)="Entrou","Não localizado no estoque",IF(J93="Faltando","Falta sem explicação",IF(ISNUMBER(SEARCH("não baixaram",K93)),"Saída sem baixa no estoque",IF(LEFT(K93,10)="Quantidade","Doca/transferência pendente",IF(LEFT(K93,14)="Estoque antigo","Estoque anterior a 09/09",IF(LEFT(K93,7)="Explica","Sobra parcialmente explicada","Sobra sem explicação"))))))))</f>
        <v>—</v>
      </c>
      <c r="R93" s="162" t="str">
        <f aca="false">IF(J93="Confere","—",IF(OR(LEFT(K93,6)="Entrou",AND(I93&lt;0,ABS(O93)&gt;=Parâmetros!$K$6)),"Crítica",IF(OR(AND(I93&lt;0,O93&lt;&gt;0),O93&gt;=Parâmetros!$K$7),"Alta",IF(O93&gt;0,"Média","Baixa"))))</f>
        <v>—</v>
      </c>
      <c r="S93" s="157" t="str">
        <f aca="false">A93&amp;"|"&amp;B93</f>
        <v>NIBS-S502-X47|252683099</v>
      </c>
      <c r="T93" s="157" t="n">
        <f aca="false">IF(ABS(O93)&gt;Parâmetros!$C$7,ABS(O93)+ROW()/10000000,0)</f>
        <v>0</v>
      </c>
      <c r="U93" s="158" t="n">
        <f aca="false">SUMIFS('3 Base Saldo Inicial 08-09'!$E$2:$E$5000,'3 Base Saldo Inicial 08-09'!$A$2:$A$5000,$A93,'3 Base Saldo Inicial 08-09'!$B$2:$B$5000,$B93)-SUMIFS('3 Base Saldo Inicial 08-09'!$E$2:$E$5000,'3 Base Saldo Inicial 08-09'!$A$2:$A$5000,$A93,'3 Base Saldo Inicial 08-09'!$B$2:$B$5000,$B93,'3 Base Saldo Inicial 08-09'!$C$2:$C$5000,"2008")</f>
        <v>0</v>
      </c>
    </row>
    <row r="94" customFormat="false" ht="15" hidden="false" customHeight="false" outlineLevel="0" collapsed="false">
      <c r="A94" s="155" t="s">
        <v>286</v>
      </c>
      <c r="B94" s="155" t="s">
        <v>382</v>
      </c>
      <c r="C94" s="156" t="s">
        <v>1354</v>
      </c>
      <c r="D94" s="157" t="s">
        <v>147</v>
      </c>
      <c r="E94" s="158" t="n">
        <f aca="false">SUMIFS('aux Conciliação Lote'!$E$5:$E$98,'aux Conciliação Lote'!$A$5:$A$98,$A94,'aux Conciliação Lote'!$B$5:$B$98,$B94)</f>
        <v>0</v>
      </c>
      <c r="F94" s="158" t="n">
        <f aca="false">SUMIFS('aux Conciliação Lote'!$F$5:$F$98,'aux Conciliação Lote'!$A$5:$A$98,$A94,'aux Conciliação Lote'!$B$5:$B$98,$B94)</f>
        <v>0</v>
      </c>
      <c r="G94" s="158" t="n">
        <f aca="false">U94+E94-F94</f>
        <v>0</v>
      </c>
      <c r="H94" s="158" t="n">
        <f aca="false">SUMIFS('aux Conciliação Lote'!$H$5:$H$98,'aux Conciliação Lote'!$A$5:$A$98,$A94,'aux Conciliação Lote'!$B$5:$B$98,$B94)</f>
        <v>0</v>
      </c>
      <c r="I94" s="159" t="n">
        <f aca="false">ROUND(H94-G94,2)</f>
        <v>0</v>
      </c>
      <c r="J94" s="160" t="str">
        <f aca="false">IF(ABS(I94)&lt;=Parâmetros!$C$7,"Confere",IF(I94&gt;0,"Sobrando","Faltando"))</f>
        <v>Confere</v>
      </c>
      <c r="K94" s="155" t="str">
        <f aca="false">IF(J94="Confere","Sem diferença",IF(AND(J94&lt;&gt;"Confere",SUMPRODUCT(($A$14:$A$107=$A94)*($B$14:$B$107&lt;&gt;$B94)*(ABS($I$14:$I$107+$I94)&lt;=Parâmetros!$C$7))&gt;0),"Troca de lote: a mesma quantidade aparece com sinal oposto em outro lote deste SKU",IF(AND(I94&lt;0,H94=0,F94=0),"Entrou no ZBR, mas não está no estoque físico: não chegou ou foi guardado em outro lote",IF(I94&lt;0,"Estoque físico menor que o esperado: saída, ajuste ou perda não lançada no período",IF(ABS(I94-M94)&lt;=Parâmetros!$C$7,"Estoque antigo: toda a sobra está em posições sem movimento desde antes de 09/09",IF(AND(F94&gt;0,ABS(I94-F94)&lt;=Parâmetros!$C$7),"As saídas do período não baixaram o estoque físico",IF(ABS(I94-N94)&lt;=Parâmetros!$C$7,"Quantidade parada em doca, chão ou transferência: entrega ou devolução não baixada",IF(ABS(I94-M94-N94)&lt;=Parâmetros!$C$7,"Estoque antigo + quantidade em doca/chão/transferência",IF(AND(F94&gt;0,ABS(I94-M94-N94-F94)&lt;=Parâmetros!$C$7),IF(M94+N94&gt;0,"Estoque antigo/doca + saídas do período que","Saídas do período que")&amp;" não baixaram o estoque físico",IF(AND(P94&gt;0,ABS(I94-M94-N94-P94)&lt;=Parâmetros!$C$7),IF(M94+N94&gt;0,"Estoque antigo/doca + saídas","Saídas")&amp;" pelo depósito 0355 que não baixaram o estoque físico",IF(M94+N94&gt;0,"Explica em parte: estoque antigo "&amp;FIXED(M94,1)&amp;" + doca/transferência "&amp;FIXED(N94,1)&amp;"; faltam "&amp;FIXED(I94-M94-N94,1)&amp;" a explicar",IF(F94&gt;E94+U94,"Saiu mais do que entrou: havia estoque antes de 09/09 que não está no arquivo","Estoque acima do esperado: entrada não lançada ou saldo anterior ao período"))))))))))))</f>
        <v>Sem diferença</v>
      </c>
      <c r="L94" s="156" t="str">
        <f aca="false">IF(J94="Confere","Nenhum ajuste necessário",IF(LEFT(K94,5)="Troca","Transferir "&amp;FIXED(ABS(I94),1)&amp;" "&amp;D94&amp;" entre os lotes deste SKU (transferência lote a lote, mov. 309) para corrigir o lote",IF(LEFT(K94,6)="Entrou","Procurar a OT de armazenagem pendente no ZBR. Se não achar: contar e lançar ajuste de inventário de −"&amp;FIXED(ABS(I94),1)&amp;" "&amp;D94,IF(J94="Faltando","Contar o lote. Se a falta se confirmar: lançar a saída esquecida (601) ou ajuste de inventário de −"&amp;FIXED(ABS(I94),1)&amp;" "&amp;D94,IF(LEFT(K94,15)="Estoque antigo:","Confirmar no SAP o saldo de 08/09 ("&amp;FIXED(ABS(M94),1)&amp;" "&amp;D94&amp;"). Se estiver certo, não há ajuste",IF(LEFT(K94,10)="Quantidade","Confirmar ou estornar as OTs em doca/transferência ("&amp;FIXED(ABS(N94),1)&amp;" "&amp;D94&amp;"): guardar na posição ou baixar a entrega",IF(LEFT(K94,16)="Estoque antigo +","Confirmar saldo de 08/09 ("&amp;FIXED(ABS(M94),1)&amp;" "&amp;D94&amp;") e tratar as OTs em doca/transferência ("&amp;FIXED(ABS(N94),1)&amp;" "&amp;D94&amp;")",IF(ISNUMBER(SEARCH("não baixaram",K94)),"Confirmar a OT de saída (picking) das remessas para baixar "&amp;FIXED(ABS(I94-M94-N94),1)&amp;" "&amp;D94&amp;" do estoque físico"&amp;IF(M94+N94&gt;0,"; conferir também estoque antigo/doca",""),IF(LEFT(K94,7)="Explica","Confirmar saldo de 08/09 e OTs de doca; contar o lote para os "&amp;FIXED(ABS(I94-M94-N94),1)&amp;" "&amp;D94&amp;" restantes e ajustar a sobra se confirmada","Confirmar saldo de 08/09; se não existir, contar o lote e lançar ajuste de inventário de +"&amp;FIXED(ABS(I94),1)&amp;" "&amp;D94)))))))))</f>
        <v>Nenhum ajuste necessário</v>
      </c>
      <c r="M94" s="158" t="n">
        <f aca="false">MAX(0,SUMIFS('3 Base Estoque Físico'!$J$2:$J$5000,'3 Base Estoque Físico'!$A$2:$A$5000,$A94,'3 Base Estoque Físico'!$B$2:$B$5000,$B94,'3 Base Estoque Físico'!$I$2:$I$5000,"&lt;"&amp;DATE(2026,9,9))-U94)</f>
        <v>0</v>
      </c>
      <c r="N94" s="158" t="n">
        <f aca="false">SUMPRODUCT(('3 Base Estoque Físico'!$A$2:$A$5000=$A94)*('3 Base Estoque Físico'!$B$2:$B$5000=$B94)*('3 Base Estoque Físico'!$I$2:$I$5000&gt;=DATE(2026,9,9))*ISNUMBER(MATCH('3 Base Estoque Físico'!$C$2:$C$5000,{"DCK","TRF","922","FLR","DIF"},0))*'3 Base Estoque Físico'!$J$2:$J$5000)</f>
        <v>0</v>
      </c>
      <c r="O94" s="161" t="n">
        <f aca="false">IF(OR(J94="Confere",LEFT(K94,5)="Troca",ISNUMBER(SEARCH("não baixaram",K94))),0,IF(I94&gt;0,MAX(0,ROUND(I94-M94-N94,2)),I94))</f>
        <v>0</v>
      </c>
      <c r="P94" s="158" t="n">
        <f aca="false">SUMIFS('3 Base Saídas'!$R$2:$R$5000,'3 Base Saídas'!$B$2:$B$5000,$A94,'3 Base Saídas'!$C$2:$C$5000,$B94,'3 Base Saídas'!$E$2:$E$5000,"0355")</f>
        <v>0</v>
      </c>
      <c r="Q94" s="157" t="str">
        <f aca="false">IF(J94="Confere","—",IF(LEFT(K94,5)="Troca","Troca de lote",IF(LEFT(K94,6)="Entrou","Não localizado no estoque",IF(J94="Faltando","Falta sem explicação",IF(ISNUMBER(SEARCH("não baixaram",K94)),"Saída sem baixa no estoque",IF(LEFT(K94,10)="Quantidade","Doca/transferência pendente",IF(LEFT(K94,14)="Estoque antigo","Estoque anterior a 09/09",IF(LEFT(K94,7)="Explica","Sobra parcialmente explicada","Sobra sem explicação"))))))))</f>
        <v>—</v>
      </c>
      <c r="R94" s="162" t="str">
        <f aca="false">IF(J94="Confere","—",IF(OR(LEFT(K94,6)="Entrou",AND(I94&lt;0,ABS(O94)&gt;=Parâmetros!$K$6)),"Crítica",IF(OR(AND(I94&lt;0,O94&lt;&gt;0),O94&gt;=Parâmetros!$K$7),"Alta",IF(O94&gt;0,"Média","Baixa"))))</f>
        <v>—</v>
      </c>
      <c r="S94" s="157" t="str">
        <f aca="false">A94&amp;"|"&amp;B94</f>
        <v>NIBS-S502-X47|260341149</v>
      </c>
      <c r="T94" s="157" t="n">
        <f aca="false">IF(ABS(O94)&gt;Parâmetros!$C$7,ABS(O94)+ROW()/10000000,0)</f>
        <v>0</v>
      </c>
      <c r="U94" s="158" t="n">
        <f aca="false">SUMIFS('3 Base Saldo Inicial 08-09'!$E$2:$E$5000,'3 Base Saldo Inicial 08-09'!$A$2:$A$5000,$A94,'3 Base Saldo Inicial 08-09'!$B$2:$B$5000,$B94)-SUMIFS('3 Base Saldo Inicial 08-09'!$E$2:$E$5000,'3 Base Saldo Inicial 08-09'!$A$2:$A$5000,$A94,'3 Base Saldo Inicial 08-09'!$B$2:$B$5000,$B94,'3 Base Saldo Inicial 08-09'!$C$2:$C$5000,"2008")</f>
        <v>0</v>
      </c>
    </row>
    <row r="95" customFormat="false" ht="15" hidden="false" customHeight="false" outlineLevel="0" collapsed="false">
      <c r="A95" s="155" t="s">
        <v>286</v>
      </c>
      <c r="B95" s="155" t="s">
        <v>383</v>
      </c>
      <c r="C95" s="156" t="s">
        <v>1354</v>
      </c>
      <c r="D95" s="157" t="s">
        <v>147</v>
      </c>
      <c r="E95" s="158" t="n">
        <f aca="false">SUMIFS('aux Conciliação Lote'!$E$5:$E$98,'aux Conciliação Lote'!$A$5:$A$98,$A95,'aux Conciliação Lote'!$B$5:$B$98,$B95)</f>
        <v>0</v>
      </c>
      <c r="F95" s="158" t="n">
        <f aca="false">SUMIFS('aux Conciliação Lote'!$F$5:$F$98,'aux Conciliação Lote'!$A$5:$A$98,$A95,'aux Conciliação Lote'!$B$5:$B$98,$B95)</f>
        <v>0</v>
      </c>
      <c r="G95" s="158" t="n">
        <f aca="false">U95+E95-F95</f>
        <v>0</v>
      </c>
      <c r="H95" s="158" t="n">
        <f aca="false">SUMIFS('aux Conciliação Lote'!$H$5:$H$98,'aux Conciliação Lote'!$A$5:$A$98,$A95,'aux Conciliação Lote'!$B$5:$B$98,$B95)</f>
        <v>0</v>
      </c>
      <c r="I95" s="159" t="n">
        <f aca="false">ROUND(H95-G95,2)</f>
        <v>0</v>
      </c>
      <c r="J95" s="160" t="str">
        <f aca="false">IF(ABS(I95)&lt;=Parâmetros!$C$7,"Confere",IF(I95&gt;0,"Sobrando","Faltando"))</f>
        <v>Confere</v>
      </c>
      <c r="K95" s="155" t="str">
        <f aca="false">IF(J95="Confere","Sem diferença",IF(AND(J95&lt;&gt;"Confere",SUMPRODUCT(($A$14:$A$107=$A95)*($B$14:$B$107&lt;&gt;$B95)*(ABS($I$14:$I$107+$I95)&lt;=Parâmetros!$C$7))&gt;0),"Troca de lote: a mesma quantidade aparece com sinal oposto em outro lote deste SKU",IF(AND(I95&lt;0,H95=0,F95=0),"Entrou no ZBR, mas não está no estoque físico: não chegou ou foi guardado em outro lote",IF(I95&lt;0,"Estoque físico menor que o esperado: saída, ajuste ou perda não lançada no período",IF(ABS(I95-M95)&lt;=Parâmetros!$C$7,"Estoque antigo: toda a sobra está em posições sem movimento desde antes de 09/09",IF(AND(F95&gt;0,ABS(I95-F95)&lt;=Parâmetros!$C$7),"As saídas do período não baixaram o estoque físico",IF(ABS(I95-N95)&lt;=Parâmetros!$C$7,"Quantidade parada em doca, chão ou transferência: entrega ou devolução não baixada",IF(ABS(I95-M95-N95)&lt;=Parâmetros!$C$7,"Estoque antigo + quantidade em doca/chão/transferência",IF(AND(F95&gt;0,ABS(I95-M95-N95-F95)&lt;=Parâmetros!$C$7),IF(M95+N95&gt;0,"Estoque antigo/doca + saídas do período que","Saídas do período que")&amp;" não baixaram o estoque físico",IF(AND(P95&gt;0,ABS(I95-M95-N95-P95)&lt;=Parâmetros!$C$7),IF(M95+N95&gt;0,"Estoque antigo/doca + saídas","Saídas")&amp;" pelo depósito 0355 que não baixaram o estoque físico",IF(M95+N95&gt;0,"Explica em parte: estoque antigo "&amp;FIXED(M95,1)&amp;" + doca/transferência "&amp;FIXED(N95,1)&amp;"; faltam "&amp;FIXED(I95-M95-N95,1)&amp;" a explicar",IF(F95&gt;E95+U95,"Saiu mais do que entrou: havia estoque antes de 09/09 que não está no arquivo","Estoque acima do esperado: entrada não lançada ou saldo anterior ao período"))))))))))))</f>
        <v>Sem diferença</v>
      </c>
      <c r="L95" s="156" t="str">
        <f aca="false">IF(J95="Confere","Nenhum ajuste necessário",IF(LEFT(K95,5)="Troca","Transferir "&amp;FIXED(ABS(I95),1)&amp;" "&amp;D95&amp;" entre os lotes deste SKU (transferência lote a lote, mov. 309) para corrigir o lote",IF(LEFT(K95,6)="Entrou","Procurar a OT de armazenagem pendente no ZBR. Se não achar: contar e lançar ajuste de inventário de −"&amp;FIXED(ABS(I95),1)&amp;" "&amp;D95,IF(J95="Faltando","Contar o lote. Se a falta se confirmar: lançar a saída esquecida (601) ou ajuste de inventário de −"&amp;FIXED(ABS(I95),1)&amp;" "&amp;D95,IF(LEFT(K95,15)="Estoque antigo:","Confirmar no SAP o saldo de 08/09 ("&amp;FIXED(ABS(M95),1)&amp;" "&amp;D95&amp;"). Se estiver certo, não há ajuste",IF(LEFT(K95,10)="Quantidade","Confirmar ou estornar as OTs em doca/transferência ("&amp;FIXED(ABS(N95),1)&amp;" "&amp;D95&amp;"): guardar na posição ou baixar a entrega",IF(LEFT(K95,16)="Estoque antigo +","Confirmar saldo de 08/09 ("&amp;FIXED(ABS(M95),1)&amp;" "&amp;D95&amp;") e tratar as OTs em doca/transferência ("&amp;FIXED(ABS(N95),1)&amp;" "&amp;D95&amp;")",IF(ISNUMBER(SEARCH("não baixaram",K95)),"Confirmar a OT de saída (picking) das remessas para baixar "&amp;FIXED(ABS(I95-M95-N95),1)&amp;" "&amp;D95&amp;" do estoque físico"&amp;IF(M95+N95&gt;0,"; conferir também estoque antigo/doca",""),IF(LEFT(K95,7)="Explica","Confirmar saldo de 08/09 e OTs de doca; contar o lote para os "&amp;FIXED(ABS(I95-M95-N95),1)&amp;" "&amp;D95&amp;" restantes e ajustar a sobra se confirmada","Confirmar saldo de 08/09; se não existir, contar o lote e lançar ajuste de inventário de +"&amp;FIXED(ABS(I95),1)&amp;" "&amp;D95)))))))))</f>
        <v>Nenhum ajuste necessário</v>
      </c>
      <c r="M95" s="158" t="n">
        <f aca="false">MAX(0,SUMIFS('3 Base Estoque Físico'!$J$2:$J$5000,'3 Base Estoque Físico'!$A$2:$A$5000,$A95,'3 Base Estoque Físico'!$B$2:$B$5000,$B95,'3 Base Estoque Físico'!$I$2:$I$5000,"&lt;"&amp;DATE(2026,9,9))-U95)</f>
        <v>0</v>
      </c>
      <c r="N95" s="158" t="n">
        <f aca="false">SUMPRODUCT(('3 Base Estoque Físico'!$A$2:$A$5000=$A95)*('3 Base Estoque Físico'!$B$2:$B$5000=$B95)*('3 Base Estoque Físico'!$I$2:$I$5000&gt;=DATE(2026,9,9))*ISNUMBER(MATCH('3 Base Estoque Físico'!$C$2:$C$5000,{"DCK","TRF","922","FLR","DIF"},0))*'3 Base Estoque Físico'!$J$2:$J$5000)</f>
        <v>0</v>
      </c>
      <c r="O95" s="161" t="n">
        <f aca="false">IF(OR(J95="Confere",LEFT(K95,5)="Troca",ISNUMBER(SEARCH("não baixaram",K95))),0,IF(I95&gt;0,MAX(0,ROUND(I95-M95-N95,2)),I95))</f>
        <v>0</v>
      </c>
      <c r="P95" s="158" t="n">
        <f aca="false">SUMIFS('3 Base Saídas'!$R$2:$R$5000,'3 Base Saídas'!$B$2:$B$5000,$A95,'3 Base Saídas'!$C$2:$C$5000,$B95,'3 Base Saídas'!$E$2:$E$5000,"0355")</f>
        <v>0</v>
      </c>
      <c r="Q95" s="157" t="str">
        <f aca="false">IF(J95="Confere","—",IF(LEFT(K95,5)="Troca","Troca de lote",IF(LEFT(K95,6)="Entrou","Não localizado no estoque",IF(J95="Faltando","Falta sem explicação",IF(ISNUMBER(SEARCH("não baixaram",K95)),"Saída sem baixa no estoque",IF(LEFT(K95,10)="Quantidade","Doca/transferência pendente",IF(LEFT(K95,14)="Estoque antigo","Estoque anterior a 09/09",IF(LEFT(K95,7)="Explica","Sobra parcialmente explicada","Sobra sem explicação"))))))))</f>
        <v>—</v>
      </c>
      <c r="R95" s="162" t="str">
        <f aca="false">IF(J95="Confere","—",IF(OR(LEFT(K95,6)="Entrou",AND(I95&lt;0,ABS(O95)&gt;=Parâmetros!$K$6)),"Crítica",IF(OR(AND(I95&lt;0,O95&lt;&gt;0),O95&gt;=Parâmetros!$K$7),"Alta",IF(O95&gt;0,"Média","Baixa"))))</f>
        <v>—</v>
      </c>
      <c r="S95" s="157" t="str">
        <f aca="false">A95&amp;"|"&amp;B95</f>
        <v>NIBS-S502-X47|260611429</v>
      </c>
      <c r="T95" s="157" t="n">
        <f aca="false">IF(ABS(O95)&gt;Parâmetros!$C$7,ABS(O95)+ROW()/10000000,0)</f>
        <v>0</v>
      </c>
      <c r="U95" s="158" t="n">
        <f aca="false">SUMIFS('3 Base Saldo Inicial 08-09'!$E$2:$E$5000,'3 Base Saldo Inicial 08-09'!$A$2:$A$5000,$A95,'3 Base Saldo Inicial 08-09'!$B$2:$B$5000,$B95)-SUMIFS('3 Base Saldo Inicial 08-09'!$E$2:$E$5000,'3 Base Saldo Inicial 08-09'!$A$2:$A$5000,$A95,'3 Base Saldo Inicial 08-09'!$B$2:$B$5000,$B95,'3 Base Saldo Inicial 08-09'!$C$2:$C$5000,"2008")</f>
        <v>0</v>
      </c>
    </row>
    <row r="96" customFormat="false" ht="15" hidden="false" customHeight="false" outlineLevel="0" collapsed="false">
      <c r="A96" s="155" t="s">
        <v>286</v>
      </c>
      <c r="B96" s="155" t="s">
        <v>287</v>
      </c>
      <c r="C96" s="156" t="s">
        <v>1354</v>
      </c>
      <c r="D96" s="157" t="s">
        <v>147</v>
      </c>
      <c r="E96" s="158" t="n">
        <f aca="false">SUMIFS('aux Conciliação Lote'!$E$5:$E$98,'aux Conciliação Lote'!$A$5:$A$98,$A96,'aux Conciliação Lote'!$B$5:$B$98,$B96)</f>
        <v>240</v>
      </c>
      <c r="F96" s="158" t="n">
        <f aca="false">SUMIFS('aux Conciliação Lote'!$F$5:$F$98,'aux Conciliação Lote'!$A$5:$A$98,$A96,'aux Conciliação Lote'!$B$5:$B$98,$B96)</f>
        <v>0</v>
      </c>
      <c r="G96" s="158" t="n">
        <f aca="false">U96+E96-F96</f>
        <v>240</v>
      </c>
      <c r="H96" s="158" t="n">
        <f aca="false">SUMIFS('aux Conciliação Lote'!$H$5:$H$98,'aux Conciliação Lote'!$A$5:$A$98,$A96,'aux Conciliação Lote'!$B$5:$B$98,$B96)</f>
        <v>240</v>
      </c>
      <c r="I96" s="159" t="n">
        <f aca="false">ROUND(H96-G96,2)</f>
        <v>0</v>
      </c>
      <c r="J96" s="160" t="str">
        <f aca="false">IF(ABS(I96)&lt;=Parâmetros!$C$7,"Confere",IF(I96&gt;0,"Sobrando","Faltando"))</f>
        <v>Confere</v>
      </c>
      <c r="K96" s="155" t="str">
        <f aca="false">IF(J96="Confere","Sem diferença",IF(AND(J96&lt;&gt;"Confere",SUMPRODUCT(($A$14:$A$107=$A96)*($B$14:$B$107&lt;&gt;$B96)*(ABS($I$14:$I$107+$I96)&lt;=Parâmetros!$C$7))&gt;0),"Troca de lote: a mesma quantidade aparece com sinal oposto em outro lote deste SKU",IF(AND(I96&lt;0,H96=0,F96=0),"Entrou no ZBR, mas não está no estoque físico: não chegou ou foi guardado em outro lote",IF(I96&lt;0,"Estoque físico menor que o esperado: saída, ajuste ou perda não lançada no período",IF(ABS(I96-M96)&lt;=Parâmetros!$C$7,"Estoque antigo: toda a sobra está em posições sem movimento desde antes de 09/09",IF(AND(F96&gt;0,ABS(I96-F96)&lt;=Parâmetros!$C$7),"As saídas do período não baixaram o estoque físico",IF(ABS(I96-N96)&lt;=Parâmetros!$C$7,"Quantidade parada em doca, chão ou transferência: entrega ou devolução não baixada",IF(ABS(I96-M96-N96)&lt;=Parâmetros!$C$7,"Estoque antigo + quantidade em doca/chão/transferência",IF(AND(F96&gt;0,ABS(I96-M96-N96-F96)&lt;=Parâmetros!$C$7),IF(M96+N96&gt;0,"Estoque antigo/doca + saídas do período que","Saídas do período que")&amp;" não baixaram o estoque físico",IF(AND(P96&gt;0,ABS(I96-M96-N96-P96)&lt;=Parâmetros!$C$7),IF(M96+N96&gt;0,"Estoque antigo/doca + saídas","Saídas")&amp;" pelo depósito 0355 que não baixaram o estoque físico",IF(M96+N96&gt;0,"Explica em parte: estoque antigo "&amp;FIXED(M96,1)&amp;" + doca/transferência "&amp;FIXED(N96,1)&amp;"; faltam "&amp;FIXED(I96-M96-N96,1)&amp;" a explicar",IF(F96&gt;E96+U96,"Saiu mais do que entrou: havia estoque antes de 09/09 que não está no arquivo","Estoque acima do esperado: entrada não lançada ou saldo anterior ao período"))))))))))))</f>
        <v>Sem diferença</v>
      </c>
      <c r="L96" s="156" t="str">
        <f aca="false">IF(J96="Confere","Nenhum ajuste necessário",IF(LEFT(K96,5)="Troca","Transferir "&amp;FIXED(ABS(I96),1)&amp;" "&amp;D96&amp;" entre os lotes deste SKU (transferência lote a lote, mov. 309) para corrigir o lote",IF(LEFT(K96,6)="Entrou","Procurar a OT de armazenagem pendente no ZBR. Se não achar: contar e lançar ajuste de inventário de −"&amp;FIXED(ABS(I96),1)&amp;" "&amp;D96,IF(J96="Faltando","Contar o lote. Se a falta se confirmar: lançar a saída esquecida (601) ou ajuste de inventário de −"&amp;FIXED(ABS(I96),1)&amp;" "&amp;D96,IF(LEFT(K96,15)="Estoque antigo:","Confirmar no SAP o saldo de 08/09 ("&amp;FIXED(ABS(M96),1)&amp;" "&amp;D96&amp;"). Se estiver certo, não há ajuste",IF(LEFT(K96,10)="Quantidade","Confirmar ou estornar as OTs em doca/transferência ("&amp;FIXED(ABS(N96),1)&amp;" "&amp;D96&amp;"): guardar na posição ou baixar a entrega",IF(LEFT(K96,16)="Estoque antigo +","Confirmar saldo de 08/09 ("&amp;FIXED(ABS(M96),1)&amp;" "&amp;D96&amp;") e tratar as OTs em doca/transferência ("&amp;FIXED(ABS(N96),1)&amp;" "&amp;D96&amp;")",IF(ISNUMBER(SEARCH("não baixaram",K96)),"Confirmar a OT de saída (picking) das remessas para baixar "&amp;FIXED(ABS(I96-M96-N96),1)&amp;" "&amp;D96&amp;" do estoque físico"&amp;IF(M96+N96&gt;0,"; conferir também estoque antigo/doca",""),IF(LEFT(K96,7)="Explica","Confirmar saldo de 08/09 e OTs de doca; contar o lote para os "&amp;FIXED(ABS(I96-M96-N96),1)&amp;" "&amp;D96&amp;" restantes e ajustar a sobra se confirmada","Confirmar saldo de 08/09; se não existir, contar o lote e lançar ajuste de inventário de +"&amp;FIXED(ABS(I96),1)&amp;" "&amp;D96)))))))))</f>
        <v>Nenhum ajuste necessário</v>
      </c>
      <c r="M96" s="158" t="n">
        <f aca="false">MAX(0,SUMIFS('3 Base Estoque Físico'!$J$2:$J$5000,'3 Base Estoque Físico'!$A$2:$A$5000,$A96,'3 Base Estoque Físico'!$B$2:$B$5000,$B96,'3 Base Estoque Físico'!$I$2:$I$5000,"&lt;"&amp;DATE(2026,9,9))-U96)</f>
        <v>0</v>
      </c>
      <c r="N96" s="158" t="n">
        <f aca="false">SUMPRODUCT(('3 Base Estoque Físico'!$A$2:$A$5000=$A96)*('3 Base Estoque Físico'!$B$2:$B$5000=$B96)*('3 Base Estoque Físico'!$I$2:$I$5000&gt;=DATE(2026,9,9))*ISNUMBER(MATCH('3 Base Estoque Físico'!$C$2:$C$5000,{"DCK","TRF","922","FLR","DIF"},0))*'3 Base Estoque Físico'!$J$2:$J$5000)</f>
        <v>0</v>
      </c>
      <c r="O96" s="161" t="n">
        <f aca="false">IF(OR(J96="Confere",LEFT(K96,5)="Troca",ISNUMBER(SEARCH("não baixaram",K96))),0,IF(I96&gt;0,MAX(0,ROUND(I96-M96-N96,2)),I96))</f>
        <v>0</v>
      </c>
      <c r="P96" s="158" t="n">
        <f aca="false">SUMIFS('3 Base Saídas'!$R$2:$R$5000,'3 Base Saídas'!$B$2:$B$5000,$A96,'3 Base Saídas'!$C$2:$C$5000,$B96,'3 Base Saídas'!$E$2:$E$5000,"0355")</f>
        <v>0</v>
      </c>
      <c r="Q96" s="157" t="str">
        <f aca="false">IF(J96="Confere","—",IF(LEFT(K96,5)="Troca","Troca de lote",IF(LEFT(K96,6)="Entrou","Não localizado no estoque",IF(J96="Faltando","Falta sem explicação",IF(ISNUMBER(SEARCH("não baixaram",K96)),"Saída sem baixa no estoque",IF(LEFT(K96,10)="Quantidade","Doca/transferência pendente",IF(LEFT(K96,14)="Estoque antigo","Estoque anterior a 09/09",IF(LEFT(K96,7)="Explica","Sobra parcialmente explicada","Sobra sem explicação"))))))))</f>
        <v>—</v>
      </c>
      <c r="R96" s="162" t="str">
        <f aca="false">IF(J96="Confere","—",IF(OR(LEFT(K96,6)="Entrou",AND(I96&lt;0,ABS(O96)&gt;=Parâmetros!$K$6)),"Crítica",IF(OR(AND(I96&lt;0,O96&lt;&gt;0),O96&gt;=Parâmetros!$K$7),"Alta",IF(O96&gt;0,"Média","Baixa"))))</f>
        <v>—</v>
      </c>
      <c r="S96" s="157" t="str">
        <f aca="false">A96&amp;"|"&amp;B96</f>
        <v>NIBS-S502-X47|260691479</v>
      </c>
      <c r="T96" s="157" t="n">
        <f aca="false">IF(ABS(O96)&gt;Parâmetros!$C$7,ABS(O96)+ROW()/10000000,0)</f>
        <v>0</v>
      </c>
      <c r="U96" s="158" t="n">
        <f aca="false">SUMIFS('3 Base Saldo Inicial 08-09'!$E$2:$E$5000,'3 Base Saldo Inicial 08-09'!$A$2:$A$5000,$A96,'3 Base Saldo Inicial 08-09'!$B$2:$B$5000,$B96)-SUMIFS('3 Base Saldo Inicial 08-09'!$E$2:$E$5000,'3 Base Saldo Inicial 08-09'!$A$2:$A$5000,$A96,'3 Base Saldo Inicial 08-09'!$B$2:$B$5000,$B96,'3 Base Saldo Inicial 08-09'!$C$2:$C$5000,"2008")</f>
        <v>0</v>
      </c>
    </row>
    <row r="97" customFormat="false" ht="15" hidden="false" customHeight="false" outlineLevel="0" collapsed="false">
      <c r="A97" s="155" t="s">
        <v>301</v>
      </c>
      <c r="B97" s="155" t="s">
        <v>385</v>
      </c>
      <c r="C97" s="156" t="s">
        <v>1377</v>
      </c>
      <c r="D97" s="157" t="s">
        <v>65</v>
      </c>
      <c r="E97" s="158" t="n">
        <f aca="false">SUMIFS('aux Conciliação Lote'!$E$5:$E$98,'aux Conciliação Lote'!$A$5:$A$98,$A97,'aux Conciliação Lote'!$B$5:$B$98,$B97)</f>
        <v>1000</v>
      </c>
      <c r="F97" s="158" t="n">
        <f aca="false">SUMIFS('aux Conciliação Lote'!$F$5:$F$98,'aux Conciliação Lote'!$A$5:$A$98,$A97,'aux Conciliação Lote'!$B$5:$B$98,$B97)</f>
        <v>1000</v>
      </c>
      <c r="G97" s="158" t="n">
        <f aca="false">U97+E97-F97</f>
        <v>0</v>
      </c>
      <c r="H97" s="158" t="n">
        <f aca="false">SUMIFS('aux Conciliação Lote'!$H$5:$H$98,'aux Conciliação Lote'!$A$5:$A$98,$A97,'aux Conciliação Lote'!$B$5:$B$98,$B97)</f>
        <v>0</v>
      </c>
      <c r="I97" s="159" t="n">
        <f aca="false">ROUND(H97-G97,2)</f>
        <v>0</v>
      </c>
      <c r="J97" s="160" t="str">
        <f aca="false">IF(ABS(I97)&lt;=Parâmetros!$C$7,"Confere",IF(I97&gt;0,"Sobrando","Faltando"))</f>
        <v>Confere</v>
      </c>
      <c r="K97" s="155" t="str">
        <f aca="false">IF(J97="Confere","Sem diferença",IF(AND(J97&lt;&gt;"Confere",SUMPRODUCT(($A$14:$A$107=$A97)*($B$14:$B$107&lt;&gt;$B97)*(ABS($I$14:$I$107+$I97)&lt;=Parâmetros!$C$7))&gt;0),"Troca de lote: a mesma quantidade aparece com sinal oposto em outro lote deste SKU",IF(AND(I97&lt;0,H97=0,F97=0),"Entrou no ZBR, mas não está no estoque físico: não chegou ou foi guardado em outro lote",IF(I97&lt;0,"Estoque físico menor que o esperado: saída, ajuste ou perda não lançada no período",IF(ABS(I97-M97)&lt;=Parâmetros!$C$7,"Estoque antigo: toda a sobra está em posições sem movimento desde antes de 09/09",IF(AND(F97&gt;0,ABS(I97-F97)&lt;=Parâmetros!$C$7),"As saídas do período não baixaram o estoque físico",IF(ABS(I97-N97)&lt;=Parâmetros!$C$7,"Quantidade parada em doca, chão ou transferência: entrega ou devolução não baixada",IF(ABS(I97-M97-N97)&lt;=Parâmetros!$C$7,"Estoque antigo + quantidade em doca/chão/transferência",IF(AND(F97&gt;0,ABS(I97-M97-N97-F97)&lt;=Parâmetros!$C$7),IF(M97+N97&gt;0,"Estoque antigo/doca + saídas do período que","Saídas do período que")&amp;" não baixaram o estoque físico",IF(AND(P97&gt;0,ABS(I97-M97-N97-P97)&lt;=Parâmetros!$C$7),IF(M97+N97&gt;0,"Estoque antigo/doca + saídas","Saídas")&amp;" pelo depósito 0355 que não baixaram o estoque físico",IF(M97+N97&gt;0,"Explica em parte: estoque antigo "&amp;FIXED(M97,1)&amp;" + doca/transferência "&amp;FIXED(N97,1)&amp;"; faltam "&amp;FIXED(I97-M97-N97,1)&amp;" a explicar",IF(F97&gt;E97+U97,"Saiu mais do que entrou: havia estoque antes de 09/09 que não está no arquivo","Estoque acima do esperado: entrada não lançada ou saldo anterior ao período"))))))))))))</f>
        <v>Sem diferença</v>
      </c>
      <c r="L97" s="156" t="str">
        <f aca="false">IF(J97="Confere","Nenhum ajuste necessário",IF(LEFT(K97,5)="Troca","Transferir "&amp;FIXED(ABS(I97),1)&amp;" "&amp;D97&amp;" entre os lotes deste SKU (transferência lote a lote, mov. 309) para corrigir o lote",IF(LEFT(K97,6)="Entrou","Procurar a OT de armazenagem pendente no ZBR. Se não achar: contar e lançar ajuste de inventário de −"&amp;FIXED(ABS(I97),1)&amp;" "&amp;D97,IF(J97="Faltando","Contar o lote. Se a falta se confirmar: lançar a saída esquecida (601) ou ajuste de inventário de −"&amp;FIXED(ABS(I97),1)&amp;" "&amp;D97,IF(LEFT(K97,15)="Estoque antigo:","Confirmar no SAP o saldo de 08/09 ("&amp;FIXED(ABS(M97),1)&amp;" "&amp;D97&amp;"). Se estiver certo, não há ajuste",IF(LEFT(K97,10)="Quantidade","Confirmar ou estornar as OTs em doca/transferência ("&amp;FIXED(ABS(N97),1)&amp;" "&amp;D97&amp;"): guardar na posição ou baixar a entrega",IF(LEFT(K97,16)="Estoque antigo +","Confirmar saldo de 08/09 ("&amp;FIXED(ABS(M97),1)&amp;" "&amp;D97&amp;") e tratar as OTs em doca/transferência ("&amp;FIXED(ABS(N97),1)&amp;" "&amp;D97&amp;")",IF(ISNUMBER(SEARCH("não baixaram",K97)),"Confirmar a OT de saída (picking) das remessas para baixar "&amp;FIXED(ABS(I97-M97-N97),1)&amp;" "&amp;D97&amp;" do estoque físico"&amp;IF(M97+N97&gt;0,"; conferir também estoque antigo/doca",""),IF(LEFT(K97,7)="Explica","Confirmar saldo de 08/09 e OTs de doca; contar o lote para os "&amp;FIXED(ABS(I97-M97-N97),1)&amp;" "&amp;D97&amp;" restantes e ajustar a sobra se confirmada","Confirmar saldo de 08/09; se não existir, contar o lote e lançar ajuste de inventário de +"&amp;FIXED(ABS(I97),1)&amp;" "&amp;D97)))))))))</f>
        <v>Nenhum ajuste necessário</v>
      </c>
      <c r="M97" s="158" t="n">
        <f aca="false">MAX(0,SUMIFS('3 Base Estoque Físico'!$J$2:$J$5000,'3 Base Estoque Físico'!$A$2:$A$5000,$A97,'3 Base Estoque Físico'!$B$2:$B$5000,$B97,'3 Base Estoque Físico'!$I$2:$I$5000,"&lt;"&amp;DATE(2026,9,9))-U97)</f>
        <v>0</v>
      </c>
      <c r="N97" s="158" t="n">
        <f aca="false">SUMPRODUCT(('3 Base Estoque Físico'!$A$2:$A$5000=$A97)*('3 Base Estoque Físico'!$B$2:$B$5000=$B97)*('3 Base Estoque Físico'!$I$2:$I$5000&gt;=DATE(2026,9,9))*ISNUMBER(MATCH('3 Base Estoque Físico'!$C$2:$C$5000,{"DCK","TRF","922","FLR","DIF"},0))*'3 Base Estoque Físico'!$J$2:$J$5000)</f>
        <v>0</v>
      </c>
      <c r="O97" s="161" t="n">
        <f aca="false">IF(OR(J97="Confere",LEFT(K97,5)="Troca",ISNUMBER(SEARCH("não baixaram",K97))),0,IF(I97&gt;0,MAX(0,ROUND(I97-M97-N97,2)),I97))</f>
        <v>0</v>
      </c>
      <c r="P97" s="158" t="n">
        <f aca="false">SUMIFS('3 Base Saídas'!$R$2:$R$5000,'3 Base Saídas'!$B$2:$B$5000,$A97,'3 Base Saídas'!$C$2:$C$5000,$B97,'3 Base Saídas'!$E$2:$E$5000,"0355")</f>
        <v>0</v>
      </c>
      <c r="Q97" s="157" t="str">
        <f aca="false">IF(J97="Confere","—",IF(LEFT(K97,5)="Troca","Troca de lote",IF(LEFT(K97,6)="Entrou","Não localizado no estoque",IF(J97="Faltando","Falta sem explicação",IF(ISNUMBER(SEARCH("não baixaram",K97)),"Saída sem baixa no estoque",IF(LEFT(K97,10)="Quantidade","Doca/transferência pendente",IF(LEFT(K97,14)="Estoque antigo","Estoque anterior a 09/09",IF(LEFT(K97,7)="Explica","Sobra parcialmente explicada","Sobra sem explicação"))))))))</f>
        <v>—</v>
      </c>
      <c r="R97" s="162" t="str">
        <f aca="false">IF(J97="Confere","—",IF(OR(LEFT(K97,6)="Entrou",AND(I97&lt;0,ABS(O97)&gt;=Parâmetros!$K$6)),"Crítica",IF(OR(AND(I97&lt;0,O97&lt;&gt;0),O97&gt;=Parâmetros!$K$7),"Alta",IF(O97&gt;0,"Média","Baixa"))))</f>
        <v>—</v>
      </c>
      <c r="S97" s="157" t="str">
        <f aca="false">A97&amp;"|"&amp;B97</f>
        <v>PNP-T14|2608294084</v>
      </c>
      <c r="T97" s="157" t="n">
        <f aca="false">IF(ABS(O97)&gt;Parâmetros!$C$7,ABS(O97)+ROW()/10000000,0)</f>
        <v>0</v>
      </c>
      <c r="U97" s="158" t="n">
        <f aca="false">SUMIFS('3 Base Saldo Inicial 08-09'!$E$2:$E$5000,'3 Base Saldo Inicial 08-09'!$A$2:$A$5000,$A97,'3 Base Saldo Inicial 08-09'!$B$2:$B$5000,$B97)-SUMIFS('3 Base Saldo Inicial 08-09'!$E$2:$E$5000,'3 Base Saldo Inicial 08-09'!$A$2:$A$5000,$A97,'3 Base Saldo Inicial 08-09'!$B$2:$B$5000,$B97,'3 Base Saldo Inicial 08-09'!$C$2:$C$5000,"2008")</f>
        <v>0</v>
      </c>
    </row>
    <row r="98" customFormat="false" ht="15" hidden="false" customHeight="false" outlineLevel="0" collapsed="false">
      <c r="A98" s="155" t="s">
        <v>301</v>
      </c>
      <c r="B98" s="155" t="s">
        <v>302</v>
      </c>
      <c r="C98" s="156" t="s">
        <v>1377</v>
      </c>
      <c r="D98" s="157" t="s">
        <v>65</v>
      </c>
      <c r="E98" s="158" t="n">
        <f aca="false">SUMIFS('aux Conciliação Lote'!$E$5:$E$98,'aux Conciliação Lote'!$A$5:$A$98,$A98,'aux Conciliação Lote'!$B$5:$B$98,$B98)</f>
        <v>5280</v>
      </c>
      <c r="F98" s="158" t="n">
        <f aca="false">SUMIFS('aux Conciliação Lote'!$F$5:$F$98,'aux Conciliação Lote'!$A$5:$A$98,$A98,'aux Conciliação Lote'!$B$5:$B$98,$B98)</f>
        <v>0</v>
      </c>
      <c r="G98" s="158" t="n">
        <f aca="false">U98+E98-F98</f>
        <v>5280</v>
      </c>
      <c r="H98" s="158" t="n">
        <f aca="false">SUMIFS('aux Conciliação Lote'!$H$5:$H$98,'aux Conciliação Lote'!$A$5:$A$98,$A98,'aux Conciliação Lote'!$B$5:$B$98,$B98)</f>
        <v>5280</v>
      </c>
      <c r="I98" s="159" t="n">
        <f aca="false">ROUND(H98-G98,2)</f>
        <v>0</v>
      </c>
      <c r="J98" s="160" t="str">
        <f aca="false">IF(ABS(I98)&lt;=Parâmetros!$C$7,"Confere",IF(I98&gt;0,"Sobrando","Faltando"))</f>
        <v>Confere</v>
      </c>
      <c r="K98" s="155" t="str">
        <f aca="false">IF(J98="Confere","Sem diferença",IF(AND(J98&lt;&gt;"Confere",SUMPRODUCT(($A$14:$A$107=$A98)*($B$14:$B$107&lt;&gt;$B98)*(ABS($I$14:$I$107+$I98)&lt;=Parâmetros!$C$7))&gt;0),"Troca de lote: a mesma quantidade aparece com sinal oposto em outro lote deste SKU",IF(AND(I98&lt;0,H98=0,F98=0),"Entrou no ZBR, mas não está no estoque físico: não chegou ou foi guardado em outro lote",IF(I98&lt;0,"Estoque físico menor que o esperado: saída, ajuste ou perda não lançada no período",IF(ABS(I98-M98)&lt;=Parâmetros!$C$7,"Estoque antigo: toda a sobra está em posições sem movimento desde antes de 09/09",IF(AND(F98&gt;0,ABS(I98-F98)&lt;=Parâmetros!$C$7),"As saídas do período não baixaram o estoque físico",IF(ABS(I98-N98)&lt;=Parâmetros!$C$7,"Quantidade parada em doca, chão ou transferência: entrega ou devolução não baixada",IF(ABS(I98-M98-N98)&lt;=Parâmetros!$C$7,"Estoque antigo + quantidade em doca/chão/transferência",IF(AND(F98&gt;0,ABS(I98-M98-N98-F98)&lt;=Parâmetros!$C$7),IF(M98+N98&gt;0,"Estoque antigo/doca + saídas do período que","Saídas do período que")&amp;" não baixaram o estoque físico",IF(AND(P98&gt;0,ABS(I98-M98-N98-P98)&lt;=Parâmetros!$C$7),IF(M98+N98&gt;0,"Estoque antigo/doca + saídas","Saídas")&amp;" pelo depósito 0355 que não baixaram o estoque físico",IF(M98+N98&gt;0,"Explica em parte: estoque antigo "&amp;FIXED(M98,1)&amp;" + doca/transferência "&amp;FIXED(N98,1)&amp;"; faltam "&amp;FIXED(I98-M98-N98,1)&amp;" a explicar",IF(F98&gt;E98+U98,"Saiu mais do que entrou: havia estoque antes de 09/09 que não está no arquivo","Estoque acima do esperado: entrada não lançada ou saldo anterior ao período"))))))))))))</f>
        <v>Sem diferença</v>
      </c>
      <c r="L98" s="156" t="str">
        <f aca="false">IF(J98="Confere","Nenhum ajuste necessário",IF(LEFT(K98,5)="Troca","Transferir "&amp;FIXED(ABS(I98),1)&amp;" "&amp;D98&amp;" entre os lotes deste SKU (transferência lote a lote, mov. 309) para corrigir o lote",IF(LEFT(K98,6)="Entrou","Procurar a OT de armazenagem pendente no ZBR. Se não achar: contar e lançar ajuste de inventário de −"&amp;FIXED(ABS(I98),1)&amp;" "&amp;D98,IF(J98="Faltando","Contar o lote. Se a falta se confirmar: lançar a saída esquecida (601) ou ajuste de inventário de −"&amp;FIXED(ABS(I98),1)&amp;" "&amp;D98,IF(LEFT(K98,15)="Estoque antigo:","Confirmar no SAP o saldo de 08/09 ("&amp;FIXED(ABS(M98),1)&amp;" "&amp;D98&amp;"). Se estiver certo, não há ajuste",IF(LEFT(K98,10)="Quantidade","Confirmar ou estornar as OTs em doca/transferência ("&amp;FIXED(ABS(N98),1)&amp;" "&amp;D98&amp;"): guardar na posição ou baixar a entrega",IF(LEFT(K98,16)="Estoque antigo +","Confirmar saldo de 08/09 ("&amp;FIXED(ABS(M98),1)&amp;" "&amp;D98&amp;") e tratar as OTs em doca/transferência ("&amp;FIXED(ABS(N98),1)&amp;" "&amp;D98&amp;")",IF(ISNUMBER(SEARCH("não baixaram",K98)),"Confirmar a OT de saída (picking) das remessas para baixar "&amp;FIXED(ABS(I98-M98-N98),1)&amp;" "&amp;D98&amp;" do estoque físico"&amp;IF(M98+N98&gt;0,"; conferir também estoque antigo/doca",""),IF(LEFT(K98,7)="Explica","Confirmar saldo de 08/09 e OTs de doca; contar o lote para os "&amp;FIXED(ABS(I98-M98-N98),1)&amp;" "&amp;D98&amp;" restantes e ajustar a sobra se confirmada","Confirmar saldo de 08/09; se não existir, contar o lote e lançar ajuste de inventário de +"&amp;FIXED(ABS(I98),1)&amp;" "&amp;D98)))))))))</f>
        <v>Nenhum ajuste necessário</v>
      </c>
      <c r="M98" s="158" t="n">
        <f aca="false">MAX(0,SUMIFS('3 Base Estoque Físico'!$J$2:$J$5000,'3 Base Estoque Físico'!$A$2:$A$5000,$A98,'3 Base Estoque Físico'!$B$2:$B$5000,$B98,'3 Base Estoque Físico'!$I$2:$I$5000,"&lt;"&amp;DATE(2026,9,9))-U98)</f>
        <v>0</v>
      </c>
      <c r="N98" s="158" t="n">
        <f aca="false">SUMPRODUCT(('3 Base Estoque Físico'!$A$2:$A$5000=$A98)*('3 Base Estoque Físico'!$B$2:$B$5000=$B98)*('3 Base Estoque Físico'!$I$2:$I$5000&gt;=DATE(2026,9,9))*ISNUMBER(MATCH('3 Base Estoque Físico'!$C$2:$C$5000,{"DCK","TRF","922","FLR","DIF"},0))*'3 Base Estoque Físico'!$J$2:$J$5000)</f>
        <v>1300</v>
      </c>
      <c r="O98" s="161" t="n">
        <f aca="false">IF(OR(J98="Confere",LEFT(K98,5)="Troca",ISNUMBER(SEARCH("não baixaram",K98))),0,IF(I98&gt;0,MAX(0,ROUND(I98-M98-N98,2)),I98))</f>
        <v>0</v>
      </c>
      <c r="P98" s="158" t="n">
        <f aca="false">SUMIFS('3 Base Saídas'!$R$2:$R$5000,'3 Base Saídas'!$B$2:$B$5000,$A98,'3 Base Saídas'!$C$2:$C$5000,$B98,'3 Base Saídas'!$E$2:$E$5000,"0355")</f>
        <v>0</v>
      </c>
      <c r="Q98" s="157" t="str">
        <f aca="false">IF(J98="Confere","—",IF(LEFT(K98,5)="Troca","Troca de lote",IF(LEFT(K98,6)="Entrou","Não localizado no estoque",IF(J98="Faltando","Falta sem explicação",IF(ISNUMBER(SEARCH("não baixaram",K98)),"Saída sem baixa no estoque",IF(LEFT(K98,10)="Quantidade","Doca/transferência pendente",IF(LEFT(K98,14)="Estoque antigo","Estoque anterior a 09/09",IF(LEFT(K98,7)="Explica","Sobra parcialmente explicada","Sobra sem explicação"))))))))</f>
        <v>—</v>
      </c>
      <c r="R98" s="162" t="str">
        <f aca="false">IF(J98="Confere","—",IF(OR(LEFT(K98,6)="Entrou",AND(I98&lt;0,ABS(O98)&gt;=Parâmetros!$K$6)),"Crítica",IF(OR(AND(I98&lt;0,O98&lt;&gt;0),O98&gt;=Parâmetros!$K$7),"Alta",IF(O98&gt;0,"Média","Baixa"))))</f>
        <v>—</v>
      </c>
      <c r="S98" s="157" t="str">
        <f aca="false">A98&amp;"|"&amp;B98</f>
        <v>PNP-T14|2613495951</v>
      </c>
      <c r="T98" s="157" t="n">
        <f aca="false">IF(ABS(O98)&gt;Parâmetros!$C$7,ABS(O98)+ROW()/10000000,0)</f>
        <v>0</v>
      </c>
      <c r="U98" s="158" t="n">
        <f aca="false">SUMIFS('3 Base Saldo Inicial 08-09'!$E$2:$E$5000,'3 Base Saldo Inicial 08-09'!$A$2:$A$5000,$A98,'3 Base Saldo Inicial 08-09'!$B$2:$B$5000,$B98)-SUMIFS('3 Base Saldo Inicial 08-09'!$E$2:$E$5000,'3 Base Saldo Inicial 08-09'!$A$2:$A$5000,$A98,'3 Base Saldo Inicial 08-09'!$B$2:$B$5000,$B98,'3 Base Saldo Inicial 08-09'!$C$2:$C$5000,"2008")</f>
        <v>0</v>
      </c>
    </row>
    <row r="99" customFormat="false" ht="15" hidden="false" customHeight="false" outlineLevel="0" collapsed="false">
      <c r="A99" s="155" t="s">
        <v>305</v>
      </c>
      <c r="B99" s="155" t="s">
        <v>386</v>
      </c>
      <c r="C99" s="156" t="s">
        <v>1377</v>
      </c>
      <c r="D99" s="157" t="s">
        <v>65</v>
      </c>
      <c r="E99" s="158" t="n">
        <f aca="false">SUMIFS('aux Conciliação Lote'!$E$5:$E$98,'aux Conciliação Lote'!$A$5:$A$98,$A99,'aux Conciliação Lote'!$B$5:$B$98,$B99)</f>
        <v>0</v>
      </c>
      <c r="F99" s="158" t="n">
        <f aca="false">SUMIFS('aux Conciliação Lote'!$F$5:$F$98,'aux Conciliação Lote'!$A$5:$A$98,$A99,'aux Conciliação Lote'!$B$5:$B$98,$B99)</f>
        <v>0</v>
      </c>
      <c r="G99" s="158" t="n">
        <f aca="false">U99+E99-F99</f>
        <v>0</v>
      </c>
      <c r="H99" s="158" t="n">
        <f aca="false">SUMIFS('aux Conciliação Lote'!$H$5:$H$98,'aux Conciliação Lote'!$A$5:$A$98,$A99,'aux Conciliação Lote'!$B$5:$B$98,$B99)</f>
        <v>0</v>
      </c>
      <c r="I99" s="159" t="n">
        <f aca="false">ROUND(H99-G99,2)</f>
        <v>0</v>
      </c>
      <c r="J99" s="160" t="str">
        <f aca="false">IF(ABS(I99)&lt;=Parâmetros!$C$7,"Confere",IF(I99&gt;0,"Sobrando","Faltando"))</f>
        <v>Confere</v>
      </c>
      <c r="K99" s="155" t="str">
        <f aca="false">IF(J99="Confere","Sem diferença",IF(AND(J99&lt;&gt;"Confere",SUMPRODUCT(($A$14:$A$107=$A99)*($B$14:$B$107&lt;&gt;$B99)*(ABS($I$14:$I$107+$I99)&lt;=Parâmetros!$C$7))&gt;0),"Troca de lote: a mesma quantidade aparece com sinal oposto em outro lote deste SKU",IF(AND(I99&lt;0,H99=0,F99=0),"Entrou no ZBR, mas não está no estoque físico: não chegou ou foi guardado em outro lote",IF(I99&lt;0,"Estoque físico menor que o esperado: saída, ajuste ou perda não lançada no período",IF(ABS(I99-M99)&lt;=Parâmetros!$C$7,"Estoque antigo: toda a sobra está em posições sem movimento desde antes de 09/09",IF(AND(F99&gt;0,ABS(I99-F99)&lt;=Parâmetros!$C$7),"As saídas do período não baixaram o estoque físico",IF(ABS(I99-N99)&lt;=Parâmetros!$C$7,"Quantidade parada em doca, chão ou transferência: entrega ou devolução não baixada",IF(ABS(I99-M99-N99)&lt;=Parâmetros!$C$7,"Estoque antigo + quantidade em doca/chão/transferência",IF(AND(F99&gt;0,ABS(I99-M99-N99-F99)&lt;=Parâmetros!$C$7),IF(M99+N99&gt;0,"Estoque antigo/doca + saídas do período que","Saídas do período que")&amp;" não baixaram o estoque físico",IF(AND(P99&gt;0,ABS(I99-M99-N99-P99)&lt;=Parâmetros!$C$7),IF(M99+N99&gt;0,"Estoque antigo/doca + saídas","Saídas")&amp;" pelo depósito 0355 que não baixaram o estoque físico",IF(M99+N99&gt;0,"Explica em parte: estoque antigo "&amp;FIXED(M99,1)&amp;" + doca/transferência "&amp;FIXED(N99,1)&amp;"; faltam "&amp;FIXED(I99-M99-N99,1)&amp;" a explicar",IF(F99&gt;E99+U99,"Saiu mais do que entrou: havia estoque antes de 09/09 que não está no arquivo","Estoque acima do esperado: entrada não lançada ou saldo anterior ao período"))))))))))))</f>
        <v>Sem diferença</v>
      </c>
      <c r="L99" s="156" t="str">
        <f aca="false">IF(J99="Confere","Nenhum ajuste necessário",IF(LEFT(K99,5)="Troca","Transferir "&amp;FIXED(ABS(I99),1)&amp;" "&amp;D99&amp;" entre os lotes deste SKU (transferência lote a lote, mov. 309) para corrigir o lote",IF(LEFT(K99,6)="Entrou","Procurar a OT de armazenagem pendente no ZBR. Se não achar: contar e lançar ajuste de inventário de −"&amp;FIXED(ABS(I99),1)&amp;" "&amp;D99,IF(J99="Faltando","Contar o lote. Se a falta se confirmar: lançar a saída esquecida (601) ou ajuste de inventário de −"&amp;FIXED(ABS(I99),1)&amp;" "&amp;D99,IF(LEFT(K99,15)="Estoque antigo:","Confirmar no SAP o saldo de 08/09 ("&amp;FIXED(ABS(M99),1)&amp;" "&amp;D99&amp;"). Se estiver certo, não há ajuste",IF(LEFT(K99,10)="Quantidade","Confirmar ou estornar as OTs em doca/transferência ("&amp;FIXED(ABS(N99),1)&amp;" "&amp;D99&amp;"): guardar na posição ou baixar a entrega",IF(LEFT(K99,16)="Estoque antigo +","Confirmar saldo de 08/09 ("&amp;FIXED(ABS(M99),1)&amp;" "&amp;D99&amp;") e tratar as OTs em doca/transferência ("&amp;FIXED(ABS(N99),1)&amp;" "&amp;D99&amp;")",IF(ISNUMBER(SEARCH("não baixaram",K99)),"Confirmar a OT de saída (picking) das remessas para baixar "&amp;FIXED(ABS(I99-M99-N99),1)&amp;" "&amp;D99&amp;" do estoque físico"&amp;IF(M99+N99&gt;0,"; conferir também estoque antigo/doca",""),IF(LEFT(K99,7)="Explica","Confirmar saldo de 08/09 e OTs de doca; contar o lote para os "&amp;FIXED(ABS(I99-M99-N99),1)&amp;" "&amp;D99&amp;" restantes e ajustar a sobra se confirmada","Confirmar saldo de 08/09; se não existir, contar o lote e lançar ajuste de inventário de +"&amp;FIXED(ABS(I99),1)&amp;" "&amp;D99)))))))))</f>
        <v>Nenhum ajuste necessário</v>
      </c>
      <c r="M99" s="158" t="n">
        <f aca="false">MAX(0,SUMIFS('3 Base Estoque Físico'!$J$2:$J$5000,'3 Base Estoque Físico'!$A$2:$A$5000,$A99,'3 Base Estoque Físico'!$B$2:$B$5000,$B99,'3 Base Estoque Físico'!$I$2:$I$5000,"&lt;"&amp;DATE(2026,9,9))-U99)</f>
        <v>0</v>
      </c>
      <c r="N99" s="158" t="n">
        <f aca="false">SUMPRODUCT(('3 Base Estoque Físico'!$A$2:$A$5000=$A99)*('3 Base Estoque Físico'!$B$2:$B$5000=$B99)*('3 Base Estoque Físico'!$I$2:$I$5000&gt;=DATE(2026,9,9))*ISNUMBER(MATCH('3 Base Estoque Físico'!$C$2:$C$5000,{"DCK","TRF","922","FLR","DIF"},0))*'3 Base Estoque Físico'!$J$2:$J$5000)</f>
        <v>0</v>
      </c>
      <c r="O99" s="161" t="n">
        <f aca="false">IF(OR(J99="Confere",LEFT(K99,5)="Troca",ISNUMBER(SEARCH("não baixaram",K99))),0,IF(I99&gt;0,MAX(0,ROUND(I99-M99-N99,2)),I99))</f>
        <v>0</v>
      </c>
      <c r="P99" s="158" t="n">
        <f aca="false">SUMIFS('3 Base Saídas'!$R$2:$R$5000,'3 Base Saídas'!$B$2:$B$5000,$A99,'3 Base Saídas'!$C$2:$C$5000,$B99,'3 Base Saídas'!$E$2:$E$5000,"0355")</f>
        <v>0</v>
      </c>
      <c r="Q99" s="157" t="str">
        <f aca="false">IF(J99="Confere","—",IF(LEFT(K99,5)="Troca","Troca de lote",IF(LEFT(K99,6)="Entrou","Não localizado no estoque",IF(J99="Faltando","Falta sem explicação",IF(ISNUMBER(SEARCH("não baixaram",K99)),"Saída sem baixa no estoque",IF(LEFT(K99,10)="Quantidade","Doca/transferência pendente",IF(LEFT(K99,14)="Estoque antigo","Estoque anterior a 09/09",IF(LEFT(K99,7)="Explica","Sobra parcialmente explicada","Sobra sem explicação"))))))))</f>
        <v>—</v>
      </c>
      <c r="R99" s="162" t="str">
        <f aca="false">IF(J99="Confere","—",IF(OR(LEFT(K99,6)="Entrou",AND(I99&lt;0,ABS(O99)&gt;=Parâmetros!$K$6)),"Crítica",IF(OR(AND(I99&lt;0,O99&lt;&gt;0),O99&gt;=Parâmetros!$K$7),"Alta",IF(O99&gt;0,"Média","Baixa"))))</f>
        <v>—</v>
      </c>
      <c r="S99" s="157" t="str">
        <f aca="false">A99&amp;"|"&amp;B99</f>
        <v>PRA-T14|2611295089</v>
      </c>
      <c r="T99" s="157" t="n">
        <f aca="false">IF(ABS(O99)&gt;Parâmetros!$C$7,ABS(O99)+ROW()/10000000,0)</f>
        <v>0</v>
      </c>
      <c r="U99" s="158" t="n">
        <f aca="false">SUMIFS('3 Base Saldo Inicial 08-09'!$E$2:$E$5000,'3 Base Saldo Inicial 08-09'!$A$2:$A$5000,$A99,'3 Base Saldo Inicial 08-09'!$B$2:$B$5000,$B99)-SUMIFS('3 Base Saldo Inicial 08-09'!$E$2:$E$5000,'3 Base Saldo Inicial 08-09'!$A$2:$A$5000,$A99,'3 Base Saldo Inicial 08-09'!$B$2:$B$5000,$B99,'3 Base Saldo Inicial 08-09'!$C$2:$C$5000,"2008")</f>
        <v>0</v>
      </c>
    </row>
    <row r="100" customFormat="false" ht="15" hidden="false" customHeight="false" outlineLevel="0" collapsed="false">
      <c r="A100" s="155" t="s">
        <v>305</v>
      </c>
      <c r="B100" s="155" t="s">
        <v>306</v>
      </c>
      <c r="C100" s="156" t="s">
        <v>1377</v>
      </c>
      <c r="D100" s="157" t="s">
        <v>65</v>
      </c>
      <c r="E100" s="158" t="n">
        <f aca="false">SUMIFS('aux Conciliação Lote'!$E$5:$E$98,'aux Conciliação Lote'!$A$5:$A$98,$A100,'aux Conciliação Lote'!$B$5:$B$98,$B100)</f>
        <v>400</v>
      </c>
      <c r="F100" s="158" t="n">
        <f aca="false">SUMIFS('aux Conciliação Lote'!$F$5:$F$98,'aux Conciliação Lote'!$A$5:$A$98,$A100,'aux Conciliação Lote'!$B$5:$B$98,$B100)</f>
        <v>120</v>
      </c>
      <c r="G100" s="158" t="n">
        <f aca="false">U100+E100-F100</f>
        <v>280</v>
      </c>
      <c r="H100" s="158" t="n">
        <f aca="false">SUMIFS('aux Conciliação Lote'!$H$5:$H$98,'aux Conciliação Lote'!$A$5:$A$98,$A100,'aux Conciliação Lote'!$B$5:$B$98,$B100)</f>
        <v>280</v>
      </c>
      <c r="I100" s="159" t="n">
        <f aca="false">ROUND(H100-G100,2)</f>
        <v>0</v>
      </c>
      <c r="J100" s="160" t="str">
        <f aca="false">IF(ABS(I100)&lt;=Parâmetros!$C$7,"Confere",IF(I100&gt;0,"Sobrando","Faltando"))</f>
        <v>Confere</v>
      </c>
      <c r="K100" s="155" t="str">
        <f aca="false">IF(J100="Confere","Sem diferença",IF(AND(J100&lt;&gt;"Confere",SUMPRODUCT(($A$14:$A$107=$A100)*($B$14:$B$107&lt;&gt;$B100)*(ABS($I$14:$I$107+$I100)&lt;=Parâmetros!$C$7))&gt;0),"Troca de lote: a mesma quantidade aparece com sinal oposto em outro lote deste SKU",IF(AND(I100&lt;0,H100=0,F100=0),"Entrou no ZBR, mas não está no estoque físico: não chegou ou foi guardado em outro lote",IF(I100&lt;0,"Estoque físico menor que o esperado: saída, ajuste ou perda não lançada no período",IF(ABS(I100-M100)&lt;=Parâmetros!$C$7,"Estoque antigo: toda a sobra está em posições sem movimento desde antes de 09/09",IF(AND(F100&gt;0,ABS(I100-F100)&lt;=Parâmetros!$C$7),"As saídas do período não baixaram o estoque físico",IF(ABS(I100-N100)&lt;=Parâmetros!$C$7,"Quantidade parada em doca, chão ou transferência: entrega ou devolução não baixada",IF(ABS(I100-M100-N100)&lt;=Parâmetros!$C$7,"Estoque antigo + quantidade em doca/chão/transferência",IF(AND(F100&gt;0,ABS(I100-M100-N100-F100)&lt;=Parâmetros!$C$7),IF(M100+N100&gt;0,"Estoque antigo/doca + saídas do período que","Saídas do período que")&amp;" não baixaram o estoque físico",IF(AND(P100&gt;0,ABS(I100-M100-N100-P100)&lt;=Parâmetros!$C$7),IF(M100+N100&gt;0,"Estoque antigo/doca + saídas","Saídas")&amp;" pelo depósito 0355 que não baixaram o estoque físico",IF(M100+N100&gt;0,"Explica em parte: estoque antigo "&amp;FIXED(M100,1)&amp;" + doca/transferência "&amp;FIXED(N100,1)&amp;"; faltam "&amp;FIXED(I100-M100-N100,1)&amp;" a explicar",IF(F100&gt;E100+U100,"Saiu mais do que entrou: havia estoque antes de 09/09 que não está no arquivo","Estoque acima do esperado: entrada não lançada ou saldo anterior ao período"))))))))))))</f>
        <v>Sem diferença</v>
      </c>
      <c r="L100" s="156" t="str">
        <f aca="false">IF(J100="Confere","Nenhum ajuste necessário",IF(LEFT(K100,5)="Troca","Transferir "&amp;FIXED(ABS(I100),1)&amp;" "&amp;D100&amp;" entre os lotes deste SKU (transferência lote a lote, mov. 309) para corrigir o lote",IF(LEFT(K100,6)="Entrou","Procurar a OT de armazenagem pendente no ZBR. Se não achar: contar e lançar ajuste de inventário de −"&amp;FIXED(ABS(I100),1)&amp;" "&amp;D100,IF(J100="Faltando","Contar o lote. Se a falta se confirmar: lançar a saída esquecida (601) ou ajuste de inventário de −"&amp;FIXED(ABS(I100),1)&amp;" "&amp;D100,IF(LEFT(K100,15)="Estoque antigo:","Confirmar no SAP o saldo de 08/09 ("&amp;FIXED(ABS(M100),1)&amp;" "&amp;D100&amp;"). Se estiver certo, não há ajuste",IF(LEFT(K100,10)="Quantidade","Confirmar ou estornar as OTs em doca/transferência ("&amp;FIXED(ABS(N100),1)&amp;" "&amp;D100&amp;"): guardar na posição ou baixar a entrega",IF(LEFT(K100,16)="Estoque antigo +","Confirmar saldo de 08/09 ("&amp;FIXED(ABS(M100),1)&amp;" "&amp;D100&amp;") e tratar as OTs em doca/transferência ("&amp;FIXED(ABS(N100),1)&amp;" "&amp;D100&amp;")",IF(ISNUMBER(SEARCH("não baixaram",K100)),"Confirmar a OT de saída (picking) das remessas para baixar "&amp;FIXED(ABS(I100-M100-N100),1)&amp;" "&amp;D100&amp;" do estoque físico"&amp;IF(M100+N100&gt;0,"; conferir também estoque antigo/doca",""),IF(LEFT(K100,7)="Explica","Confirmar saldo de 08/09 e OTs de doca; contar o lote para os "&amp;FIXED(ABS(I100-M100-N100),1)&amp;" "&amp;D100&amp;" restantes e ajustar a sobra se confirmada","Confirmar saldo de 08/09; se não existir, contar o lote e lançar ajuste de inventário de +"&amp;FIXED(ABS(I100),1)&amp;" "&amp;D100)))))))))</f>
        <v>Nenhum ajuste necessário</v>
      </c>
      <c r="M100" s="158" t="n">
        <f aca="false">MAX(0,SUMIFS('3 Base Estoque Físico'!$J$2:$J$5000,'3 Base Estoque Físico'!$A$2:$A$5000,$A100,'3 Base Estoque Físico'!$B$2:$B$5000,$B100,'3 Base Estoque Físico'!$I$2:$I$5000,"&lt;"&amp;DATE(2026,9,9))-U100)</f>
        <v>0</v>
      </c>
      <c r="N100" s="158" t="n">
        <f aca="false">SUMPRODUCT(('3 Base Estoque Físico'!$A$2:$A$5000=$A100)*('3 Base Estoque Físico'!$B$2:$B$5000=$B100)*('3 Base Estoque Físico'!$I$2:$I$5000&gt;=DATE(2026,9,9))*ISNUMBER(MATCH('3 Base Estoque Físico'!$C$2:$C$5000,{"DCK","TRF","922","FLR","DIF"},0))*'3 Base Estoque Físico'!$J$2:$J$5000)</f>
        <v>0</v>
      </c>
      <c r="O100" s="161" t="n">
        <f aca="false">IF(OR(J100="Confere",LEFT(K100,5)="Troca",ISNUMBER(SEARCH("não baixaram",K100))),0,IF(I100&gt;0,MAX(0,ROUND(I100-M100-N100,2)),I100))</f>
        <v>0</v>
      </c>
      <c r="P100" s="158" t="n">
        <f aca="false">SUMIFS('3 Base Saídas'!$R$2:$R$5000,'3 Base Saídas'!$B$2:$B$5000,$A100,'3 Base Saídas'!$C$2:$C$5000,$B100,'3 Base Saídas'!$E$2:$E$5000,"0355")</f>
        <v>0</v>
      </c>
      <c r="Q100" s="157" t="str">
        <f aca="false">IF(J100="Confere","—",IF(LEFT(K100,5)="Troca","Troca de lote",IF(LEFT(K100,6)="Entrou","Não localizado no estoque",IF(J100="Faltando","Falta sem explicação",IF(ISNUMBER(SEARCH("não baixaram",K100)),"Saída sem baixa no estoque",IF(LEFT(K100,10)="Quantidade","Doca/transferência pendente",IF(LEFT(K100,14)="Estoque antigo","Estoque anterior a 09/09",IF(LEFT(K100,7)="Explica","Sobra parcialmente explicada","Sobra sem explicação"))))))))</f>
        <v>—</v>
      </c>
      <c r="R100" s="162" t="str">
        <f aca="false">IF(J100="Confere","—",IF(OR(LEFT(K100,6)="Entrou",AND(I100&lt;0,ABS(O100)&gt;=Parâmetros!$K$6)),"Crítica",IF(OR(AND(I100&lt;0,O100&lt;&gt;0),O100&gt;=Parâmetros!$K$7),"Alta",IF(O100&gt;0,"Média","Baixa"))))</f>
        <v>—</v>
      </c>
      <c r="S100" s="157" t="str">
        <f aca="false">A100&amp;"|"&amp;B100</f>
        <v>PRA-T14|2611895339</v>
      </c>
      <c r="T100" s="157" t="n">
        <f aca="false">IF(ABS(O100)&gt;Parâmetros!$C$7,ABS(O100)+ROW()/10000000,0)</f>
        <v>0</v>
      </c>
      <c r="U100" s="158" t="n">
        <f aca="false">SUMIFS('3 Base Saldo Inicial 08-09'!$E$2:$E$5000,'3 Base Saldo Inicial 08-09'!$A$2:$A$5000,$A100,'3 Base Saldo Inicial 08-09'!$B$2:$B$5000,$B100)-SUMIFS('3 Base Saldo Inicial 08-09'!$E$2:$E$5000,'3 Base Saldo Inicial 08-09'!$A$2:$A$5000,$A100,'3 Base Saldo Inicial 08-09'!$B$2:$B$5000,$B100,'3 Base Saldo Inicial 08-09'!$C$2:$C$5000,"2008")</f>
        <v>0</v>
      </c>
    </row>
    <row r="101" customFormat="false" ht="15" hidden="false" customHeight="false" outlineLevel="0" collapsed="false">
      <c r="A101" s="155" t="s">
        <v>387</v>
      </c>
      <c r="B101" s="155" t="s">
        <v>388</v>
      </c>
      <c r="C101" s="156"/>
      <c r="D101" s="157" t="s">
        <v>65</v>
      </c>
      <c r="E101" s="158" t="n">
        <f aca="false">SUMIFS('aux Conciliação Lote'!$E$5:$E$98,'aux Conciliação Lote'!$A$5:$A$98,$A101,'aux Conciliação Lote'!$B$5:$B$98,$B101)</f>
        <v>0</v>
      </c>
      <c r="F101" s="158" t="n">
        <f aca="false">SUMIFS('aux Conciliação Lote'!$F$5:$F$98,'aux Conciliação Lote'!$A$5:$A$98,$A101,'aux Conciliação Lote'!$B$5:$B$98,$B101)</f>
        <v>0</v>
      </c>
      <c r="G101" s="158" t="n">
        <f aca="false">U101+E101-F101</f>
        <v>0</v>
      </c>
      <c r="H101" s="158" t="n">
        <f aca="false">SUMIFS('aux Conciliação Lote'!$H$5:$H$98,'aux Conciliação Lote'!$A$5:$A$98,$A101,'aux Conciliação Lote'!$B$5:$B$98,$B101)</f>
        <v>0</v>
      </c>
      <c r="I101" s="159" t="n">
        <f aca="false">ROUND(H101-G101,2)</f>
        <v>0</v>
      </c>
      <c r="J101" s="160" t="str">
        <f aca="false">IF(ABS(I101)&lt;=Parâmetros!$C$7,"Confere",IF(I101&gt;0,"Sobrando","Faltando"))</f>
        <v>Confere</v>
      </c>
      <c r="K101" s="155" t="str">
        <f aca="false">IF(J101="Confere","Sem diferença",IF(AND(J101&lt;&gt;"Confere",SUMPRODUCT(($A$14:$A$107=$A101)*($B$14:$B$107&lt;&gt;$B101)*(ABS($I$14:$I$107+$I101)&lt;=Parâmetros!$C$7))&gt;0),"Troca de lote: a mesma quantidade aparece com sinal oposto em outro lote deste SKU",IF(AND(I101&lt;0,H101=0,F101=0),"Entrou no ZBR, mas não está no estoque físico: não chegou ou foi guardado em outro lote",IF(I101&lt;0,"Estoque físico menor que o esperado: saída, ajuste ou perda não lançada no período",IF(ABS(I101-M101)&lt;=Parâmetros!$C$7,"Estoque antigo: toda a sobra está em posições sem movimento desde antes de 09/09",IF(AND(F101&gt;0,ABS(I101-F101)&lt;=Parâmetros!$C$7),"As saídas do período não baixaram o estoque físico",IF(ABS(I101-N101)&lt;=Parâmetros!$C$7,"Quantidade parada em doca, chão ou transferência: entrega ou devolução não baixada",IF(ABS(I101-M101-N101)&lt;=Parâmetros!$C$7,"Estoque antigo + quantidade em doca/chão/transferência",IF(AND(F101&gt;0,ABS(I101-M101-N101-F101)&lt;=Parâmetros!$C$7),IF(M101+N101&gt;0,"Estoque antigo/doca + saídas do período que","Saídas do período que")&amp;" não baixaram o estoque físico",IF(AND(P101&gt;0,ABS(I101-M101-N101-P101)&lt;=Parâmetros!$C$7),IF(M101+N101&gt;0,"Estoque antigo/doca + saídas","Saídas")&amp;" pelo depósito 0355 que não baixaram o estoque físico",IF(M101+N101&gt;0,"Explica em parte: estoque antigo "&amp;FIXED(M101,1)&amp;" + doca/transferência "&amp;FIXED(N101,1)&amp;"; faltam "&amp;FIXED(I101-M101-N101,1)&amp;" a explicar",IF(F101&gt;E101+U101,"Saiu mais do que entrou: havia estoque antes de 09/09 que não está no arquivo","Estoque acima do esperado: entrada não lançada ou saldo anterior ao período"))))))))))))</f>
        <v>Sem diferença</v>
      </c>
      <c r="L101" s="156" t="str">
        <f aca="false">IF(J101="Confere","Nenhum ajuste necessário",IF(LEFT(K101,5)="Troca","Transferir "&amp;FIXED(ABS(I101),1)&amp;" "&amp;D101&amp;" entre os lotes deste SKU (transferência lote a lote, mov. 309) para corrigir o lote",IF(LEFT(K101,6)="Entrou","Procurar a OT de armazenagem pendente no ZBR. Se não achar: contar e lançar ajuste de inventário de −"&amp;FIXED(ABS(I101),1)&amp;" "&amp;D101,IF(J101="Faltando","Contar o lote. Se a falta se confirmar: lançar a saída esquecida (601) ou ajuste de inventário de −"&amp;FIXED(ABS(I101),1)&amp;" "&amp;D101,IF(LEFT(K101,15)="Estoque antigo:","Confirmar no SAP o saldo de 08/09 ("&amp;FIXED(ABS(M101),1)&amp;" "&amp;D101&amp;"). Se estiver certo, não há ajuste",IF(LEFT(K101,10)="Quantidade","Confirmar ou estornar as OTs em doca/transferência ("&amp;FIXED(ABS(N101),1)&amp;" "&amp;D101&amp;"): guardar na posição ou baixar a entrega",IF(LEFT(K101,16)="Estoque antigo +","Confirmar saldo de 08/09 ("&amp;FIXED(ABS(M101),1)&amp;" "&amp;D101&amp;") e tratar as OTs em doca/transferência ("&amp;FIXED(ABS(N101),1)&amp;" "&amp;D101&amp;")",IF(ISNUMBER(SEARCH("não baixaram",K101)),"Confirmar a OT de saída (picking) das remessas para baixar "&amp;FIXED(ABS(I101-M101-N101),1)&amp;" "&amp;D101&amp;" do estoque físico"&amp;IF(M101+N101&gt;0,"; conferir também estoque antigo/doca",""),IF(LEFT(K101,7)="Explica","Confirmar saldo de 08/09 e OTs de doca; contar o lote para os "&amp;FIXED(ABS(I101-M101-N101),1)&amp;" "&amp;D101&amp;" restantes e ajustar a sobra se confirmada","Confirmar saldo de 08/09; se não existir, contar o lote e lançar ajuste de inventário de +"&amp;FIXED(ABS(I101),1)&amp;" "&amp;D101)))))))))</f>
        <v>Nenhum ajuste necessário</v>
      </c>
      <c r="M101" s="158" t="n">
        <f aca="false">MAX(0,SUMIFS('3 Base Estoque Físico'!$J$2:$J$5000,'3 Base Estoque Físico'!$A$2:$A$5000,$A101,'3 Base Estoque Físico'!$B$2:$B$5000,$B101,'3 Base Estoque Físico'!$I$2:$I$5000,"&lt;"&amp;DATE(2026,9,9))-U101)</f>
        <v>0</v>
      </c>
      <c r="N101" s="158" t="n">
        <f aca="false">SUMPRODUCT(('3 Base Estoque Físico'!$A$2:$A$5000=$A101)*('3 Base Estoque Físico'!$B$2:$B$5000=$B101)*('3 Base Estoque Físico'!$I$2:$I$5000&gt;=DATE(2026,9,9))*ISNUMBER(MATCH('3 Base Estoque Físico'!$C$2:$C$5000,{"DCK","TRF","922","FLR","DIF"},0))*'3 Base Estoque Físico'!$J$2:$J$5000)</f>
        <v>0</v>
      </c>
      <c r="O101" s="161" t="n">
        <f aca="false">IF(OR(J101="Confere",LEFT(K101,5)="Troca",ISNUMBER(SEARCH("não baixaram",K101))),0,IF(I101&gt;0,MAX(0,ROUND(I101-M101-N101,2)),I101))</f>
        <v>0</v>
      </c>
      <c r="P101" s="158" t="n">
        <f aca="false">SUMIFS('3 Base Saídas'!$R$2:$R$5000,'3 Base Saídas'!$B$2:$B$5000,$A101,'3 Base Saídas'!$C$2:$C$5000,$B101,'3 Base Saídas'!$E$2:$E$5000,"0355")</f>
        <v>0</v>
      </c>
      <c r="Q101" s="157" t="str">
        <f aca="false">IF(J101="Confere","—",IF(LEFT(K101,5)="Troca","Troca de lote",IF(LEFT(K101,6)="Entrou","Não localizado no estoque",IF(J101="Faltando","Falta sem explicação",IF(ISNUMBER(SEARCH("não baixaram",K101)),"Saída sem baixa no estoque",IF(LEFT(K101,10)="Quantidade","Doca/transferência pendente",IF(LEFT(K101,14)="Estoque antigo","Estoque anterior a 09/09",IF(LEFT(K101,7)="Explica","Sobra parcialmente explicada","Sobra sem explicação"))))))))</f>
        <v>—</v>
      </c>
      <c r="R101" s="162" t="str">
        <f aca="false">IF(J101="Confere","—",IF(OR(LEFT(K101,6)="Entrou",AND(I101&lt;0,ABS(O101)&gt;=Parâmetros!$K$6)),"Crítica",IF(OR(AND(I101&lt;0,O101&lt;&gt;0),O101&gt;=Parâmetros!$K$7),"Alta",IF(O101&gt;0,"Média","Baixa"))))</f>
        <v>—</v>
      </c>
      <c r="S101" s="157" t="str">
        <f aca="false">A101&amp;"|"&amp;B101</f>
        <v>SPLIT-4-D-413|261826201</v>
      </c>
      <c r="T101" s="157" t="n">
        <f aca="false">IF(ABS(O101)&gt;Parâmetros!$C$7,ABS(O101)+ROW()/10000000,0)</f>
        <v>0</v>
      </c>
      <c r="U101" s="158" t="n">
        <f aca="false">SUMIFS('3 Base Saldo Inicial 08-09'!$E$2:$E$5000,'3 Base Saldo Inicial 08-09'!$A$2:$A$5000,$A101,'3 Base Saldo Inicial 08-09'!$B$2:$B$5000,$B101)-SUMIFS('3 Base Saldo Inicial 08-09'!$E$2:$E$5000,'3 Base Saldo Inicial 08-09'!$A$2:$A$5000,$A101,'3 Base Saldo Inicial 08-09'!$B$2:$B$5000,$B101,'3 Base Saldo Inicial 08-09'!$C$2:$C$5000,"2008")</f>
        <v>0</v>
      </c>
    </row>
    <row r="102" customFormat="false" ht="15" hidden="false" customHeight="false" outlineLevel="0" collapsed="false">
      <c r="A102" s="155" t="s">
        <v>307</v>
      </c>
      <c r="B102" s="155" t="s">
        <v>308</v>
      </c>
      <c r="C102" s="156"/>
      <c r="D102" s="157" t="s">
        <v>65</v>
      </c>
      <c r="E102" s="158" t="n">
        <f aca="false">SUMIFS('aux Conciliação Lote'!$E$5:$E$98,'aux Conciliação Lote'!$A$5:$A$98,$A102,'aux Conciliação Lote'!$B$5:$B$98,$B102)</f>
        <v>1000</v>
      </c>
      <c r="F102" s="158" t="n">
        <f aca="false">SUMIFS('aux Conciliação Lote'!$F$5:$F$98,'aux Conciliação Lote'!$A$5:$A$98,$A102,'aux Conciliação Lote'!$B$5:$B$98,$B102)</f>
        <v>0</v>
      </c>
      <c r="G102" s="158" t="n">
        <f aca="false">U102+E102-F102</f>
        <v>1000</v>
      </c>
      <c r="H102" s="158" t="n">
        <f aca="false">SUMIFS('aux Conciliação Lote'!$H$5:$H$98,'aux Conciliação Lote'!$A$5:$A$98,$A102,'aux Conciliação Lote'!$B$5:$B$98,$B102)</f>
        <v>1000</v>
      </c>
      <c r="I102" s="159" t="n">
        <f aca="false">ROUND(H102-G102,2)</f>
        <v>0</v>
      </c>
      <c r="J102" s="160" t="str">
        <f aca="false">IF(ABS(I102)&lt;=Parâmetros!$C$7,"Confere",IF(I102&gt;0,"Sobrando","Faltando"))</f>
        <v>Confere</v>
      </c>
      <c r="K102" s="155" t="str">
        <f aca="false">IF(J102="Confere","Sem diferença",IF(AND(J102&lt;&gt;"Confere",SUMPRODUCT(($A$14:$A$107=$A102)*($B$14:$B$107&lt;&gt;$B102)*(ABS($I$14:$I$107+$I102)&lt;=Parâmetros!$C$7))&gt;0),"Troca de lote: a mesma quantidade aparece com sinal oposto em outro lote deste SKU",IF(AND(I102&lt;0,H102=0,F102=0),"Entrou no ZBR, mas não está no estoque físico: não chegou ou foi guardado em outro lote",IF(I102&lt;0,"Estoque físico menor que o esperado: saída, ajuste ou perda não lançada no período",IF(ABS(I102-M102)&lt;=Parâmetros!$C$7,"Estoque antigo: toda a sobra está em posições sem movimento desde antes de 09/09",IF(AND(F102&gt;0,ABS(I102-F102)&lt;=Parâmetros!$C$7),"As saídas do período não baixaram o estoque físico",IF(ABS(I102-N102)&lt;=Parâmetros!$C$7,"Quantidade parada em doca, chão ou transferência: entrega ou devolução não baixada",IF(ABS(I102-M102-N102)&lt;=Parâmetros!$C$7,"Estoque antigo + quantidade em doca/chão/transferência",IF(AND(F102&gt;0,ABS(I102-M102-N102-F102)&lt;=Parâmetros!$C$7),IF(M102+N102&gt;0,"Estoque antigo/doca + saídas do período que","Saídas do período que")&amp;" não baixaram o estoque físico",IF(AND(P102&gt;0,ABS(I102-M102-N102-P102)&lt;=Parâmetros!$C$7),IF(M102+N102&gt;0,"Estoque antigo/doca + saídas","Saídas")&amp;" pelo depósito 0355 que não baixaram o estoque físico",IF(M102+N102&gt;0,"Explica em parte: estoque antigo "&amp;FIXED(M102,1)&amp;" + doca/transferência "&amp;FIXED(N102,1)&amp;"; faltam "&amp;FIXED(I102-M102-N102,1)&amp;" a explicar",IF(F102&gt;E102+U102,"Saiu mais do que entrou: havia estoque antes de 09/09 que não está no arquivo","Estoque acima do esperado: entrada não lançada ou saldo anterior ao período"))))))))))))</f>
        <v>Sem diferença</v>
      </c>
      <c r="L102" s="156" t="str">
        <f aca="false">IF(J102="Confere","Nenhum ajuste necessário",IF(LEFT(K102,5)="Troca","Transferir "&amp;FIXED(ABS(I102),1)&amp;" "&amp;D102&amp;" entre os lotes deste SKU (transferência lote a lote, mov. 309) para corrigir o lote",IF(LEFT(K102,6)="Entrou","Procurar a OT de armazenagem pendente no ZBR. Se não achar: contar e lançar ajuste de inventário de −"&amp;FIXED(ABS(I102),1)&amp;" "&amp;D102,IF(J102="Faltando","Contar o lote. Se a falta se confirmar: lançar a saída esquecida (601) ou ajuste de inventário de −"&amp;FIXED(ABS(I102),1)&amp;" "&amp;D102,IF(LEFT(K102,15)="Estoque antigo:","Confirmar no SAP o saldo de 08/09 ("&amp;FIXED(ABS(M102),1)&amp;" "&amp;D102&amp;"). Se estiver certo, não há ajuste",IF(LEFT(K102,10)="Quantidade","Confirmar ou estornar as OTs em doca/transferência ("&amp;FIXED(ABS(N102),1)&amp;" "&amp;D102&amp;"): guardar na posição ou baixar a entrega",IF(LEFT(K102,16)="Estoque antigo +","Confirmar saldo de 08/09 ("&amp;FIXED(ABS(M102),1)&amp;" "&amp;D102&amp;") e tratar as OTs em doca/transferência ("&amp;FIXED(ABS(N102),1)&amp;" "&amp;D102&amp;")",IF(ISNUMBER(SEARCH("não baixaram",K102)),"Confirmar a OT de saída (picking) das remessas para baixar "&amp;FIXED(ABS(I102-M102-N102),1)&amp;" "&amp;D102&amp;" do estoque físico"&amp;IF(M102+N102&gt;0,"; conferir também estoque antigo/doca",""),IF(LEFT(K102,7)="Explica","Confirmar saldo de 08/09 e OTs de doca; contar o lote para os "&amp;FIXED(ABS(I102-M102-N102),1)&amp;" "&amp;D102&amp;" restantes e ajustar a sobra se confirmada","Confirmar saldo de 08/09; se não existir, contar o lote e lançar ajuste de inventário de +"&amp;FIXED(ABS(I102),1)&amp;" "&amp;D102)))))))))</f>
        <v>Nenhum ajuste necessário</v>
      </c>
      <c r="M102" s="158" t="n">
        <f aca="false">MAX(0,SUMIFS('3 Base Estoque Físico'!$J$2:$J$5000,'3 Base Estoque Físico'!$A$2:$A$5000,$A102,'3 Base Estoque Físico'!$B$2:$B$5000,$B102,'3 Base Estoque Físico'!$I$2:$I$5000,"&lt;"&amp;DATE(2026,9,9))-U102)</f>
        <v>0</v>
      </c>
      <c r="N102" s="158" t="n">
        <f aca="false">SUMPRODUCT(('3 Base Estoque Físico'!$A$2:$A$5000=$A102)*('3 Base Estoque Físico'!$B$2:$B$5000=$B102)*('3 Base Estoque Físico'!$I$2:$I$5000&gt;=DATE(2026,9,9))*ISNUMBER(MATCH('3 Base Estoque Físico'!$C$2:$C$5000,{"DCK","TRF","922","FLR","DIF"},0))*'3 Base Estoque Físico'!$J$2:$J$5000)</f>
        <v>1000</v>
      </c>
      <c r="O102" s="161" t="n">
        <f aca="false">IF(OR(J102="Confere",LEFT(K102,5)="Troca",ISNUMBER(SEARCH("não baixaram",K102))),0,IF(I102&gt;0,MAX(0,ROUND(I102-M102-N102,2)),I102))</f>
        <v>0</v>
      </c>
      <c r="P102" s="158" t="n">
        <f aca="false">SUMIFS('3 Base Saídas'!$R$2:$R$5000,'3 Base Saídas'!$B$2:$B$5000,$A102,'3 Base Saídas'!$C$2:$C$5000,$B102,'3 Base Saídas'!$E$2:$E$5000,"0355")</f>
        <v>0</v>
      </c>
      <c r="Q102" s="157" t="str">
        <f aca="false">IF(J102="Confere","—",IF(LEFT(K102,5)="Troca","Troca de lote",IF(LEFT(K102,6)="Entrou","Não localizado no estoque",IF(J102="Faltando","Falta sem explicação",IF(ISNUMBER(SEARCH("não baixaram",K102)),"Saída sem baixa no estoque",IF(LEFT(K102,10)="Quantidade","Doca/transferência pendente",IF(LEFT(K102,14)="Estoque antigo","Estoque anterior a 09/09",IF(LEFT(K102,7)="Explica","Sobra parcialmente explicada","Sobra sem explicação"))))))))</f>
        <v>—</v>
      </c>
      <c r="R102" s="162" t="str">
        <f aca="false">IF(J102="Confere","—",IF(OR(LEFT(K102,6)="Entrou",AND(I102&lt;0,ABS(O102)&gt;=Parâmetros!$K$6)),"Crítica",IF(OR(AND(I102&lt;0,O102&lt;&gt;0),O102&gt;=Parâmetros!$K$7),"Alta",IF(O102&gt;0,"Média","Baixa"))))</f>
        <v>—</v>
      </c>
      <c r="S102" s="157" t="str">
        <f aca="false">A102&amp;"|"&amp;B102</f>
        <v>SPLIT-4-M-413|261596201</v>
      </c>
      <c r="T102" s="157" t="n">
        <f aca="false">IF(ABS(O102)&gt;Parâmetros!$C$7,ABS(O102)+ROW()/10000000,0)</f>
        <v>0</v>
      </c>
      <c r="U102" s="158" t="n">
        <f aca="false">SUMIFS('3 Base Saldo Inicial 08-09'!$E$2:$E$5000,'3 Base Saldo Inicial 08-09'!$A$2:$A$5000,$A102,'3 Base Saldo Inicial 08-09'!$B$2:$B$5000,$B102)-SUMIFS('3 Base Saldo Inicial 08-09'!$E$2:$E$5000,'3 Base Saldo Inicial 08-09'!$A$2:$A$5000,$A102,'3 Base Saldo Inicial 08-09'!$B$2:$B$5000,$B102,'3 Base Saldo Inicial 08-09'!$C$2:$C$5000,"2008")</f>
        <v>0</v>
      </c>
    </row>
    <row r="103" customFormat="false" ht="15" hidden="false" customHeight="false" outlineLevel="0" collapsed="false">
      <c r="A103" s="155" t="s">
        <v>389</v>
      </c>
      <c r="B103" s="155" t="s">
        <v>390</v>
      </c>
      <c r="C103" s="156" t="s">
        <v>1104</v>
      </c>
      <c r="D103" s="157" t="s">
        <v>65</v>
      </c>
      <c r="E103" s="158" t="n">
        <f aca="false">SUMIFS('aux Conciliação Lote'!$E$5:$E$98,'aux Conciliação Lote'!$A$5:$A$98,$A103,'aux Conciliação Lote'!$B$5:$B$98,$B103)</f>
        <v>53.2</v>
      </c>
      <c r="F103" s="158" t="n">
        <f aca="false">SUMIFS('aux Conciliação Lote'!$F$5:$F$98,'aux Conciliação Lote'!$A$5:$A$98,$A103,'aux Conciliação Lote'!$B$5:$B$98,$B103)</f>
        <v>19.6</v>
      </c>
      <c r="G103" s="158" t="n">
        <f aca="false">U103+E103-F103</f>
        <v>33.6</v>
      </c>
      <c r="H103" s="158" t="n">
        <f aca="false">SUMIFS('aux Conciliação Lote'!$H$5:$H$98,'aux Conciliação Lote'!$A$5:$A$98,$A103,'aux Conciliação Lote'!$B$5:$B$98,$B103)</f>
        <v>33.6</v>
      </c>
      <c r="I103" s="159" t="n">
        <f aca="false">ROUND(H103-G103,2)</f>
        <v>0</v>
      </c>
      <c r="J103" s="160" t="str">
        <f aca="false">IF(ABS(I103)&lt;=Parâmetros!$C$7,"Confere",IF(I103&gt;0,"Sobrando","Faltando"))</f>
        <v>Confere</v>
      </c>
      <c r="K103" s="155" t="str">
        <f aca="false">IF(J103="Confere","Sem diferença",IF(AND(J103&lt;&gt;"Confere",SUMPRODUCT(($A$14:$A$107=$A103)*($B$14:$B$107&lt;&gt;$B103)*(ABS($I$14:$I$107+$I103)&lt;=Parâmetros!$C$7))&gt;0),"Troca de lote: a mesma quantidade aparece com sinal oposto em outro lote deste SKU",IF(AND(I103&lt;0,H103=0,F103=0),"Entrou no ZBR, mas não está no estoque físico: não chegou ou foi guardado em outro lote",IF(I103&lt;0,"Estoque físico menor que o esperado: saída, ajuste ou perda não lançada no período",IF(ABS(I103-M103)&lt;=Parâmetros!$C$7,"Estoque antigo: toda a sobra está em posições sem movimento desde antes de 09/09",IF(AND(F103&gt;0,ABS(I103-F103)&lt;=Parâmetros!$C$7),"As saídas do período não baixaram o estoque físico",IF(ABS(I103-N103)&lt;=Parâmetros!$C$7,"Quantidade parada em doca, chão ou transferência: entrega ou devolução não baixada",IF(ABS(I103-M103-N103)&lt;=Parâmetros!$C$7,"Estoque antigo + quantidade em doca/chão/transferência",IF(AND(F103&gt;0,ABS(I103-M103-N103-F103)&lt;=Parâmetros!$C$7),IF(M103+N103&gt;0,"Estoque antigo/doca + saídas do período que","Saídas do período que")&amp;" não baixaram o estoque físico",IF(AND(P103&gt;0,ABS(I103-M103-N103-P103)&lt;=Parâmetros!$C$7),IF(M103+N103&gt;0,"Estoque antigo/doca + saídas","Saídas")&amp;" pelo depósito 0355 que não baixaram o estoque físico",IF(M103+N103&gt;0,"Explica em parte: estoque antigo "&amp;FIXED(M103,1)&amp;" + doca/transferência "&amp;FIXED(N103,1)&amp;"; faltam "&amp;FIXED(I103-M103-N103,1)&amp;" a explicar",IF(F103&gt;E103+U103,"Saiu mais do que entrou: havia estoque antes de 09/09 que não está no arquivo","Estoque acima do esperado: entrada não lançada ou saldo anterior ao período"))))))))))))</f>
        <v>Sem diferença</v>
      </c>
      <c r="L103" s="156" t="str">
        <f aca="false">IF(J103="Confere","Nenhum ajuste necessário",IF(LEFT(K103,5)="Troca","Transferir "&amp;FIXED(ABS(I103),1)&amp;" "&amp;D103&amp;" entre os lotes deste SKU (transferência lote a lote, mov. 309) para corrigir o lote",IF(LEFT(K103,6)="Entrou","Procurar a OT de armazenagem pendente no ZBR. Se não achar: contar e lançar ajuste de inventário de −"&amp;FIXED(ABS(I103),1)&amp;" "&amp;D103,IF(J103="Faltando","Contar o lote. Se a falta se confirmar: lançar a saída esquecida (601) ou ajuste de inventário de −"&amp;FIXED(ABS(I103),1)&amp;" "&amp;D103,IF(LEFT(K103,15)="Estoque antigo:","Confirmar no SAP o saldo de 08/09 ("&amp;FIXED(ABS(M103),1)&amp;" "&amp;D103&amp;"). Se estiver certo, não há ajuste",IF(LEFT(K103,10)="Quantidade","Confirmar ou estornar as OTs em doca/transferência ("&amp;FIXED(ABS(N103),1)&amp;" "&amp;D103&amp;"): guardar na posição ou baixar a entrega",IF(LEFT(K103,16)="Estoque antigo +","Confirmar saldo de 08/09 ("&amp;FIXED(ABS(M103),1)&amp;" "&amp;D103&amp;") e tratar as OTs em doca/transferência ("&amp;FIXED(ABS(N103),1)&amp;" "&amp;D103&amp;")",IF(ISNUMBER(SEARCH("não baixaram",K103)),"Confirmar a OT de saída (picking) das remessas para baixar "&amp;FIXED(ABS(I103-M103-N103),1)&amp;" "&amp;D103&amp;" do estoque físico"&amp;IF(M103+N103&gt;0,"; conferir também estoque antigo/doca",""),IF(LEFT(K103,7)="Explica","Confirmar saldo de 08/09 e OTs de doca; contar o lote para os "&amp;FIXED(ABS(I103-M103-N103),1)&amp;" "&amp;D103&amp;" restantes e ajustar a sobra se confirmada","Confirmar saldo de 08/09; se não existir, contar o lote e lançar ajuste de inventário de +"&amp;FIXED(ABS(I103),1)&amp;" "&amp;D103)))))))))</f>
        <v>Nenhum ajuste necessário</v>
      </c>
      <c r="M103" s="158" t="n">
        <f aca="false">MAX(0,SUMIFS('3 Base Estoque Físico'!$J$2:$J$5000,'3 Base Estoque Físico'!$A$2:$A$5000,$A103,'3 Base Estoque Físico'!$B$2:$B$5000,$B103,'3 Base Estoque Físico'!$I$2:$I$5000,"&lt;"&amp;DATE(2026,9,9))-U103)</f>
        <v>0</v>
      </c>
      <c r="N103" s="158" t="n">
        <f aca="false">SUMPRODUCT(('3 Base Estoque Físico'!$A$2:$A$5000=$A103)*('3 Base Estoque Físico'!$B$2:$B$5000=$B103)*('3 Base Estoque Físico'!$I$2:$I$5000&gt;=DATE(2026,9,9))*ISNUMBER(MATCH('3 Base Estoque Físico'!$C$2:$C$5000,{"DCK","TRF","922","FLR","DIF"},0))*'3 Base Estoque Físico'!$J$2:$J$5000)</f>
        <v>0</v>
      </c>
      <c r="O103" s="161" t="n">
        <f aca="false">IF(OR(J103="Confere",LEFT(K103,5)="Troca",ISNUMBER(SEARCH("não baixaram",K103))),0,IF(I103&gt;0,MAX(0,ROUND(I103-M103-N103,2)),I103))</f>
        <v>0</v>
      </c>
      <c r="P103" s="158" t="n">
        <f aca="false">SUMIFS('3 Base Saídas'!$R$2:$R$5000,'3 Base Saídas'!$B$2:$B$5000,$A103,'3 Base Saídas'!$C$2:$C$5000,$B103,'3 Base Saídas'!$E$2:$E$5000,"0355")</f>
        <v>0</v>
      </c>
      <c r="Q103" s="157" t="str">
        <f aca="false">IF(J103="Confere","—",IF(LEFT(K103,5)="Troca","Troca de lote",IF(LEFT(K103,6)="Entrou","Não localizado no estoque",IF(J103="Faltando","Falta sem explicação",IF(ISNUMBER(SEARCH("não baixaram",K103)),"Saída sem baixa no estoque",IF(LEFT(K103,10)="Quantidade","Doca/transferência pendente",IF(LEFT(K103,14)="Estoque antigo","Estoque anterior a 09/09",IF(LEFT(K103,7)="Explica","Sobra parcialmente explicada","Sobra sem explicação"))))))))</f>
        <v>—</v>
      </c>
      <c r="R103" s="162" t="str">
        <f aca="false">IF(J103="Confere","—",IF(OR(LEFT(K103,6)="Entrou",AND(I103&lt;0,ABS(O103)&gt;=Parâmetros!$K$6)),"Crítica",IF(OR(AND(I103&lt;0,O103&lt;&gt;0),O103&gt;=Parâmetros!$K$7),"Alta",IF(O103&gt;0,"Média","Baixa"))))</f>
        <v>—</v>
      </c>
      <c r="S103" s="157" t="str">
        <f aca="false">A103&amp;"|"&amp;B103</f>
        <v>W2-BR-D94|252232739</v>
      </c>
      <c r="T103" s="157" t="n">
        <f aca="false">IF(ABS(O103)&gt;Parâmetros!$C$7,ABS(O103)+ROW()/10000000,0)</f>
        <v>0</v>
      </c>
      <c r="U103" s="158" t="n">
        <f aca="false">SUMIFS('3 Base Saldo Inicial 08-09'!$E$2:$E$5000,'3 Base Saldo Inicial 08-09'!$A$2:$A$5000,$A103,'3 Base Saldo Inicial 08-09'!$B$2:$B$5000,$B103)-SUMIFS('3 Base Saldo Inicial 08-09'!$E$2:$E$5000,'3 Base Saldo Inicial 08-09'!$A$2:$A$5000,$A103,'3 Base Saldo Inicial 08-09'!$B$2:$B$5000,$B103,'3 Base Saldo Inicial 08-09'!$C$2:$C$5000,"2008")</f>
        <v>0</v>
      </c>
    </row>
    <row r="104" customFormat="false" ht="15" hidden="false" customHeight="false" outlineLevel="0" collapsed="false">
      <c r="A104" s="155" t="s">
        <v>389</v>
      </c>
      <c r="B104" s="155" t="s">
        <v>391</v>
      </c>
      <c r="C104" s="156" t="s">
        <v>1104</v>
      </c>
      <c r="D104" s="157" t="s">
        <v>65</v>
      </c>
      <c r="E104" s="158" t="n">
        <f aca="false">SUMIFS('aux Conciliação Lote'!$E$5:$E$98,'aux Conciliação Lote'!$A$5:$A$98,$A104,'aux Conciliação Lote'!$B$5:$B$98,$B104)</f>
        <v>627.2</v>
      </c>
      <c r="F104" s="158" t="n">
        <f aca="false">SUMIFS('aux Conciliação Lote'!$F$5:$F$98,'aux Conciliação Lote'!$A$5:$A$98,$A104,'aux Conciliação Lote'!$B$5:$B$98,$B104)</f>
        <v>0</v>
      </c>
      <c r="G104" s="158" t="n">
        <f aca="false">U104+E104-F104</f>
        <v>627.2</v>
      </c>
      <c r="H104" s="158" t="n">
        <f aca="false">SUMIFS('aux Conciliação Lote'!$H$5:$H$98,'aux Conciliação Lote'!$A$5:$A$98,$A104,'aux Conciliação Lote'!$B$5:$B$98,$B104)</f>
        <v>627.2</v>
      </c>
      <c r="I104" s="159" t="n">
        <f aca="false">ROUND(H104-G104,2)</f>
        <v>0</v>
      </c>
      <c r="J104" s="160" t="str">
        <f aca="false">IF(ABS(I104)&lt;=Parâmetros!$C$7,"Confere",IF(I104&gt;0,"Sobrando","Faltando"))</f>
        <v>Confere</v>
      </c>
      <c r="K104" s="155" t="str">
        <f aca="false">IF(J104="Confere","Sem diferença",IF(AND(J104&lt;&gt;"Confere",SUMPRODUCT(($A$14:$A$107=$A104)*($B$14:$B$107&lt;&gt;$B104)*(ABS($I$14:$I$107+$I104)&lt;=Parâmetros!$C$7))&gt;0),"Troca de lote: a mesma quantidade aparece com sinal oposto em outro lote deste SKU",IF(AND(I104&lt;0,H104=0,F104=0),"Entrou no ZBR, mas não está no estoque físico: não chegou ou foi guardado em outro lote",IF(I104&lt;0,"Estoque físico menor que o esperado: saída, ajuste ou perda não lançada no período",IF(ABS(I104-M104)&lt;=Parâmetros!$C$7,"Estoque antigo: toda a sobra está em posições sem movimento desde antes de 09/09",IF(AND(F104&gt;0,ABS(I104-F104)&lt;=Parâmetros!$C$7),"As saídas do período não baixaram o estoque físico",IF(ABS(I104-N104)&lt;=Parâmetros!$C$7,"Quantidade parada em doca, chão ou transferência: entrega ou devolução não baixada",IF(ABS(I104-M104-N104)&lt;=Parâmetros!$C$7,"Estoque antigo + quantidade em doca/chão/transferência",IF(AND(F104&gt;0,ABS(I104-M104-N104-F104)&lt;=Parâmetros!$C$7),IF(M104+N104&gt;0,"Estoque antigo/doca + saídas do período que","Saídas do período que")&amp;" não baixaram o estoque físico",IF(AND(P104&gt;0,ABS(I104-M104-N104-P104)&lt;=Parâmetros!$C$7),IF(M104+N104&gt;0,"Estoque antigo/doca + saídas","Saídas")&amp;" pelo depósito 0355 que não baixaram o estoque físico",IF(M104+N104&gt;0,"Explica em parte: estoque antigo "&amp;FIXED(M104,1)&amp;" + doca/transferência "&amp;FIXED(N104,1)&amp;"; faltam "&amp;FIXED(I104-M104-N104,1)&amp;" a explicar",IF(F104&gt;E104+U104,"Saiu mais do que entrou: havia estoque antes de 09/09 que não está no arquivo","Estoque acima do esperado: entrada não lançada ou saldo anterior ao período"))))))))))))</f>
        <v>Sem diferença</v>
      </c>
      <c r="L104" s="156" t="str">
        <f aca="false">IF(J104="Confere","Nenhum ajuste necessário",IF(LEFT(K104,5)="Troca","Transferir "&amp;FIXED(ABS(I104),1)&amp;" "&amp;D104&amp;" entre os lotes deste SKU (transferência lote a lote, mov. 309) para corrigir o lote",IF(LEFT(K104,6)="Entrou","Procurar a OT de armazenagem pendente no ZBR. Se não achar: contar e lançar ajuste de inventário de −"&amp;FIXED(ABS(I104),1)&amp;" "&amp;D104,IF(J104="Faltando","Contar o lote. Se a falta se confirmar: lançar a saída esquecida (601) ou ajuste de inventário de −"&amp;FIXED(ABS(I104),1)&amp;" "&amp;D104,IF(LEFT(K104,15)="Estoque antigo:","Confirmar no SAP o saldo de 08/09 ("&amp;FIXED(ABS(M104),1)&amp;" "&amp;D104&amp;"). Se estiver certo, não há ajuste",IF(LEFT(K104,10)="Quantidade","Confirmar ou estornar as OTs em doca/transferência ("&amp;FIXED(ABS(N104),1)&amp;" "&amp;D104&amp;"): guardar na posição ou baixar a entrega",IF(LEFT(K104,16)="Estoque antigo +","Confirmar saldo de 08/09 ("&amp;FIXED(ABS(M104),1)&amp;" "&amp;D104&amp;") e tratar as OTs em doca/transferência ("&amp;FIXED(ABS(N104),1)&amp;" "&amp;D104&amp;")",IF(ISNUMBER(SEARCH("não baixaram",K104)),"Confirmar a OT de saída (picking) das remessas para baixar "&amp;FIXED(ABS(I104-M104-N104),1)&amp;" "&amp;D104&amp;" do estoque físico"&amp;IF(M104+N104&gt;0,"; conferir também estoque antigo/doca",""),IF(LEFT(K104,7)="Explica","Confirmar saldo de 08/09 e OTs de doca; contar o lote para os "&amp;FIXED(ABS(I104-M104-N104),1)&amp;" "&amp;D104&amp;" restantes e ajustar a sobra se confirmada","Confirmar saldo de 08/09; se não existir, contar o lote e lançar ajuste de inventário de +"&amp;FIXED(ABS(I104),1)&amp;" "&amp;D104)))))))))</f>
        <v>Nenhum ajuste necessário</v>
      </c>
      <c r="M104" s="158" t="n">
        <f aca="false">MAX(0,SUMIFS('3 Base Estoque Físico'!$J$2:$J$5000,'3 Base Estoque Físico'!$A$2:$A$5000,$A104,'3 Base Estoque Físico'!$B$2:$B$5000,$B104,'3 Base Estoque Físico'!$I$2:$I$5000,"&lt;"&amp;DATE(2026,9,9))-U104)</f>
        <v>0</v>
      </c>
      <c r="N104" s="158" t="n">
        <f aca="false">SUMPRODUCT(('3 Base Estoque Físico'!$A$2:$A$5000=$A104)*('3 Base Estoque Físico'!$B$2:$B$5000=$B104)*('3 Base Estoque Físico'!$I$2:$I$5000&gt;=DATE(2026,9,9))*ISNUMBER(MATCH('3 Base Estoque Físico'!$C$2:$C$5000,{"DCK","TRF","922","FLR","DIF"},0))*'3 Base Estoque Físico'!$J$2:$J$5000)</f>
        <v>0</v>
      </c>
      <c r="O104" s="161" t="n">
        <f aca="false">IF(OR(J104="Confere",LEFT(K104,5)="Troca",ISNUMBER(SEARCH("não baixaram",K104))),0,IF(I104&gt;0,MAX(0,ROUND(I104-M104-N104,2)),I104))</f>
        <v>0</v>
      </c>
      <c r="P104" s="158" t="n">
        <f aca="false">SUMIFS('3 Base Saídas'!$R$2:$R$5000,'3 Base Saídas'!$B$2:$B$5000,$A104,'3 Base Saídas'!$C$2:$C$5000,$B104,'3 Base Saídas'!$E$2:$E$5000,"0355")</f>
        <v>0</v>
      </c>
      <c r="Q104" s="157" t="str">
        <f aca="false">IF(J104="Confere","—",IF(LEFT(K104,5)="Troca","Troca de lote",IF(LEFT(K104,6)="Entrou","Não localizado no estoque",IF(J104="Faltando","Falta sem explicação",IF(ISNUMBER(SEARCH("não baixaram",K104)),"Saída sem baixa no estoque",IF(LEFT(K104,10)="Quantidade","Doca/transferência pendente",IF(LEFT(K104,14)="Estoque antigo","Estoque anterior a 09/09",IF(LEFT(K104,7)="Explica","Sobra parcialmente explicada","Sobra sem explicação"))))))))</f>
        <v>—</v>
      </c>
      <c r="R104" s="162" t="str">
        <f aca="false">IF(J104="Confere","—",IF(OR(LEFT(K104,6)="Entrou",AND(I104&lt;0,ABS(O104)&gt;=Parâmetros!$K$6)),"Crítica",IF(OR(AND(I104&lt;0,O104&lt;&gt;0),O104&gt;=Parâmetros!$K$7),"Alta",IF(O104&gt;0,"Média","Baixa"))))</f>
        <v>—</v>
      </c>
      <c r="S104" s="157" t="str">
        <f aca="false">A104&amp;"|"&amp;B104</f>
        <v>W2-BR-D94|260700919</v>
      </c>
      <c r="T104" s="157" t="n">
        <f aca="false">IF(ABS(O104)&gt;Parâmetros!$C$7,ABS(O104)+ROW()/10000000,0)</f>
        <v>0</v>
      </c>
      <c r="U104" s="158" t="n">
        <f aca="false">SUMIFS('3 Base Saldo Inicial 08-09'!$E$2:$E$5000,'3 Base Saldo Inicial 08-09'!$A$2:$A$5000,$A104,'3 Base Saldo Inicial 08-09'!$B$2:$B$5000,$B104)-SUMIFS('3 Base Saldo Inicial 08-09'!$E$2:$E$5000,'3 Base Saldo Inicial 08-09'!$A$2:$A$5000,$A104,'3 Base Saldo Inicial 08-09'!$B$2:$B$5000,$B104,'3 Base Saldo Inicial 08-09'!$C$2:$C$5000,"2008")</f>
        <v>0</v>
      </c>
    </row>
    <row r="105" customFormat="false" ht="15" hidden="false" customHeight="false" outlineLevel="0" collapsed="false">
      <c r="A105" s="155" t="s">
        <v>389</v>
      </c>
      <c r="B105" s="155" t="s">
        <v>394</v>
      </c>
      <c r="C105" s="156" t="s">
        <v>1104</v>
      </c>
      <c r="D105" s="157" t="s">
        <v>65</v>
      </c>
      <c r="E105" s="158" t="n">
        <f aca="false">SUMIFS('aux Conciliação Lote'!$E$5:$E$98,'aux Conciliação Lote'!$A$5:$A$98,$A105,'aux Conciliação Lote'!$B$5:$B$98,$B105)</f>
        <v>0</v>
      </c>
      <c r="F105" s="158" t="n">
        <f aca="false">SUMIFS('aux Conciliação Lote'!$F$5:$F$98,'aux Conciliação Lote'!$A$5:$A$98,$A105,'aux Conciliação Lote'!$B$5:$B$98,$B105)</f>
        <v>0</v>
      </c>
      <c r="G105" s="158" t="n">
        <f aca="false">U105+E105-F105</f>
        <v>0</v>
      </c>
      <c r="H105" s="158" t="n">
        <f aca="false">SUMIFS('aux Conciliação Lote'!$H$5:$H$98,'aux Conciliação Lote'!$A$5:$A$98,$A105,'aux Conciliação Lote'!$B$5:$B$98,$B105)</f>
        <v>0</v>
      </c>
      <c r="I105" s="159" t="n">
        <f aca="false">ROUND(H105-G105,2)</f>
        <v>0</v>
      </c>
      <c r="J105" s="160" t="str">
        <f aca="false">IF(ABS(I105)&lt;=Parâmetros!$C$7,"Confere",IF(I105&gt;0,"Sobrando","Faltando"))</f>
        <v>Confere</v>
      </c>
      <c r="K105" s="155" t="str">
        <f aca="false">IF(J105="Confere","Sem diferença",IF(AND(J105&lt;&gt;"Confere",SUMPRODUCT(($A$14:$A$107=$A105)*($B$14:$B$107&lt;&gt;$B105)*(ABS($I$14:$I$107+$I105)&lt;=Parâmetros!$C$7))&gt;0),"Troca de lote: a mesma quantidade aparece com sinal oposto em outro lote deste SKU",IF(AND(I105&lt;0,H105=0,F105=0),"Entrou no ZBR, mas não está no estoque físico: não chegou ou foi guardado em outro lote",IF(I105&lt;0,"Estoque físico menor que o esperado: saída, ajuste ou perda não lançada no período",IF(ABS(I105-M105)&lt;=Parâmetros!$C$7,"Estoque antigo: toda a sobra está em posições sem movimento desde antes de 09/09",IF(AND(F105&gt;0,ABS(I105-F105)&lt;=Parâmetros!$C$7),"As saídas do período não baixaram o estoque físico",IF(ABS(I105-N105)&lt;=Parâmetros!$C$7,"Quantidade parada em doca, chão ou transferência: entrega ou devolução não baixada",IF(ABS(I105-M105-N105)&lt;=Parâmetros!$C$7,"Estoque antigo + quantidade em doca/chão/transferência",IF(AND(F105&gt;0,ABS(I105-M105-N105-F105)&lt;=Parâmetros!$C$7),IF(M105+N105&gt;0,"Estoque antigo/doca + saídas do período que","Saídas do período que")&amp;" não baixaram o estoque físico",IF(AND(P105&gt;0,ABS(I105-M105-N105-P105)&lt;=Parâmetros!$C$7),IF(M105+N105&gt;0,"Estoque antigo/doca + saídas","Saídas")&amp;" pelo depósito 0355 que não baixaram o estoque físico",IF(M105+N105&gt;0,"Explica em parte: estoque antigo "&amp;FIXED(M105,1)&amp;" + doca/transferência "&amp;FIXED(N105,1)&amp;"; faltam "&amp;FIXED(I105-M105-N105,1)&amp;" a explicar",IF(F105&gt;E105+U105,"Saiu mais do que entrou: havia estoque antes de 09/09 que não está no arquivo","Estoque acima do esperado: entrada não lançada ou saldo anterior ao período"))))))))))))</f>
        <v>Sem diferença</v>
      </c>
      <c r="L105" s="156" t="str">
        <f aca="false">IF(J105="Confere","Nenhum ajuste necessário",IF(LEFT(K105,5)="Troca","Transferir "&amp;FIXED(ABS(I105),1)&amp;" "&amp;D105&amp;" entre os lotes deste SKU (transferência lote a lote, mov. 309) para corrigir o lote",IF(LEFT(K105,6)="Entrou","Procurar a OT de armazenagem pendente no ZBR. Se não achar: contar e lançar ajuste de inventário de −"&amp;FIXED(ABS(I105),1)&amp;" "&amp;D105,IF(J105="Faltando","Contar o lote. Se a falta se confirmar: lançar a saída esquecida (601) ou ajuste de inventário de −"&amp;FIXED(ABS(I105),1)&amp;" "&amp;D105,IF(LEFT(K105,15)="Estoque antigo:","Confirmar no SAP o saldo de 08/09 ("&amp;FIXED(ABS(M105),1)&amp;" "&amp;D105&amp;"). Se estiver certo, não há ajuste",IF(LEFT(K105,10)="Quantidade","Confirmar ou estornar as OTs em doca/transferência ("&amp;FIXED(ABS(N105),1)&amp;" "&amp;D105&amp;"): guardar na posição ou baixar a entrega",IF(LEFT(K105,16)="Estoque antigo +","Confirmar saldo de 08/09 ("&amp;FIXED(ABS(M105),1)&amp;" "&amp;D105&amp;") e tratar as OTs em doca/transferência ("&amp;FIXED(ABS(N105),1)&amp;" "&amp;D105&amp;")",IF(ISNUMBER(SEARCH("não baixaram",K105)),"Confirmar a OT de saída (picking) das remessas para baixar "&amp;FIXED(ABS(I105-M105-N105),1)&amp;" "&amp;D105&amp;" do estoque físico"&amp;IF(M105+N105&gt;0,"; conferir também estoque antigo/doca",""),IF(LEFT(K105,7)="Explica","Confirmar saldo de 08/09 e OTs de doca; contar o lote para os "&amp;FIXED(ABS(I105-M105-N105),1)&amp;" "&amp;D105&amp;" restantes e ajustar a sobra se confirmada","Confirmar saldo de 08/09; se não existir, contar o lote e lançar ajuste de inventário de +"&amp;FIXED(ABS(I105),1)&amp;" "&amp;D105)))))))))</f>
        <v>Nenhum ajuste necessário</v>
      </c>
      <c r="M105" s="158" t="n">
        <f aca="false">MAX(0,SUMIFS('3 Base Estoque Físico'!$J$2:$J$5000,'3 Base Estoque Físico'!$A$2:$A$5000,$A105,'3 Base Estoque Físico'!$B$2:$B$5000,$B105,'3 Base Estoque Físico'!$I$2:$I$5000,"&lt;"&amp;DATE(2026,9,9))-U105)</f>
        <v>0</v>
      </c>
      <c r="N105" s="158" t="n">
        <f aca="false">SUMPRODUCT(('3 Base Estoque Físico'!$A$2:$A$5000=$A105)*('3 Base Estoque Físico'!$B$2:$B$5000=$B105)*('3 Base Estoque Físico'!$I$2:$I$5000&gt;=DATE(2026,9,9))*ISNUMBER(MATCH('3 Base Estoque Físico'!$C$2:$C$5000,{"DCK","TRF","922","FLR","DIF"},0))*'3 Base Estoque Físico'!$J$2:$J$5000)</f>
        <v>0</v>
      </c>
      <c r="O105" s="161" t="n">
        <f aca="false">IF(OR(J105="Confere",LEFT(K105,5)="Troca",ISNUMBER(SEARCH("não baixaram",K105))),0,IF(I105&gt;0,MAX(0,ROUND(I105-M105-N105,2)),I105))</f>
        <v>0</v>
      </c>
      <c r="P105" s="158" t="n">
        <f aca="false">SUMIFS('3 Base Saídas'!$R$2:$R$5000,'3 Base Saídas'!$B$2:$B$5000,$A105,'3 Base Saídas'!$C$2:$C$5000,$B105,'3 Base Saídas'!$E$2:$E$5000,"0355")</f>
        <v>0</v>
      </c>
      <c r="Q105" s="157" t="str">
        <f aca="false">IF(J105="Confere","—",IF(LEFT(K105,5)="Troca","Troca de lote",IF(LEFT(K105,6)="Entrou","Não localizado no estoque",IF(J105="Faltando","Falta sem explicação",IF(ISNUMBER(SEARCH("não baixaram",K105)),"Saída sem baixa no estoque",IF(LEFT(K105,10)="Quantidade","Doca/transferência pendente",IF(LEFT(K105,14)="Estoque antigo","Estoque anterior a 09/09",IF(LEFT(K105,7)="Explica","Sobra parcialmente explicada","Sobra sem explicação"))))))))</f>
        <v>—</v>
      </c>
      <c r="R105" s="162" t="str">
        <f aca="false">IF(J105="Confere","—",IF(OR(LEFT(K105,6)="Entrou",AND(I105&lt;0,ABS(O105)&gt;=Parâmetros!$K$6)),"Crítica",IF(OR(AND(I105&lt;0,O105&lt;&gt;0),O105&gt;=Parâmetros!$K$7),"Alta",IF(O105&gt;0,"Média","Baixa"))))</f>
        <v>—</v>
      </c>
      <c r="S105" s="157" t="str">
        <f aca="false">A105&amp;"|"&amp;B105</f>
        <v>W2-BR-D94|261131599</v>
      </c>
      <c r="T105" s="157" t="n">
        <f aca="false">IF(ABS(O105)&gt;Parâmetros!$C$7,ABS(O105)+ROW()/10000000,0)</f>
        <v>0</v>
      </c>
      <c r="U105" s="158" t="n">
        <f aca="false">SUMIFS('3 Base Saldo Inicial 08-09'!$E$2:$E$5000,'3 Base Saldo Inicial 08-09'!$A$2:$A$5000,$A105,'3 Base Saldo Inicial 08-09'!$B$2:$B$5000,$B105)-SUMIFS('3 Base Saldo Inicial 08-09'!$E$2:$E$5000,'3 Base Saldo Inicial 08-09'!$A$2:$A$5000,$A105,'3 Base Saldo Inicial 08-09'!$B$2:$B$5000,$B105,'3 Base Saldo Inicial 08-09'!$C$2:$C$5000,"2008")</f>
        <v>0</v>
      </c>
    </row>
    <row r="106" customFormat="false" ht="15" hidden="false" customHeight="false" outlineLevel="0" collapsed="false">
      <c r="A106" s="155" t="s">
        <v>389</v>
      </c>
      <c r="B106" s="155" t="s">
        <v>393</v>
      </c>
      <c r="C106" s="156" t="s">
        <v>1104</v>
      </c>
      <c r="D106" s="157" t="s">
        <v>65</v>
      </c>
      <c r="E106" s="158" t="n">
        <f aca="false">SUMIFS('aux Conciliação Lote'!$E$5:$E$98,'aux Conciliação Lote'!$A$5:$A$98,$A106,'aux Conciliação Lote'!$B$5:$B$98,$B106)</f>
        <v>0</v>
      </c>
      <c r="F106" s="158" t="n">
        <f aca="false">SUMIFS('aux Conciliação Lote'!$F$5:$F$98,'aux Conciliação Lote'!$A$5:$A$98,$A106,'aux Conciliação Lote'!$B$5:$B$98,$B106)</f>
        <v>0</v>
      </c>
      <c r="G106" s="158" t="n">
        <f aca="false">U106+E106-F106</f>
        <v>0</v>
      </c>
      <c r="H106" s="158" t="n">
        <f aca="false">SUMIFS('aux Conciliação Lote'!$H$5:$H$98,'aux Conciliação Lote'!$A$5:$A$98,$A106,'aux Conciliação Lote'!$B$5:$B$98,$B106)</f>
        <v>0</v>
      </c>
      <c r="I106" s="159" t="n">
        <f aca="false">ROUND(H106-G106,2)</f>
        <v>0</v>
      </c>
      <c r="J106" s="160" t="str">
        <f aca="false">IF(ABS(I106)&lt;=Parâmetros!$C$7,"Confere",IF(I106&gt;0,"Sobrando","Faltando"))</f>
        <v>Confere</v>
      </c>
      <c r="K106" s="155" t="str">
        <f aca="false">IF(J106="Confere","Sem diferença",IF(AND(J106&lt;&gt;"Confere",SUMPRODUCT(($A$14:$A$107=$A106)*($B$14:$B$107&lt;&gt;$B106)*(ABS($I$14:$I$107+$I106)&lt;=Parâmetros!$C$7))&gt;0),"Troca de lote: a mesma quantidade aparece com sinal oposto em outro lote deste SKU",IF(AND(I106&lt;0,H106=0,F106=0),"Entrou no ZBR, mas não está no estoque físico: não chegou ou foi guardado em outro lote",IF(I106&lt;0,"Estoque físico menor que o esperado: saída, ajuste ou perda não lançada no período",IF(ABS(I106-M106)&lt;=Parâmetros!$C$7,"Estoque antigo: toda a sobra está em posições sem movimento desde antes de 09/09",IF(AND(F106&gt;0,ABS(I106-F106)&lt;=Parâmetros!$C$7),"As saídas do período não baixaram o estoque físico",IF(ABS(I106-N106)&lt;=Parâmetros!$C$7,"Quantidade parada em doca, chão ou transferência: entrega ou devolução não baixada",IF(ABS(I106-M106-N106)&lt;=Parâmetros!$C$7,"Estoque antigo + quantidade em doca/chão/transferência",IF(AND(F106&gt;0,ABS(I106-M106-N106-F106)&lt;=Parâmetros!$C$7),IF(M106+N106&gt;0,"Estoque antigo/doca + saídas do período que","Saídas do período que")&amp;" não baixaram o estoque físico",IF(AND(P106&gt;0,ABS(I106-M106-N106-P106)&lt;=Parâmetros!$C$7),IF(M106+N106&gt;0,"Estoque antigo/doca + saídas","Saídas")&amp;" pelo depósito 0355 que não baixaram o estoque físico",IF(M106+N106&gt;0,"Explica em parte: estoque antigo "&amp;FIXED(M106,1)&amp;" + doca/transferência "&amp;FIXED(N106,1)&amp;"; faltam "&amp;FIXED(I106-M106-N106,1)&amp;" a explicar",IF(F106&gt;E106+U106,"Saiu mais do que entrou: havia estoque antes de 09/09 que não está no arquivo","Estoque acima do esperado: entrada não lançada ou saldo anterior ao período"))))))))))))</f>
        <v>Sem diferença</v>
      </c>
      <c r="L106" s="156" t="str">
        <f aca="false">IF(J106="Confere","Nenhum ajuste necessário",IF(LEFT(K106,5)="Troca","Transferir "&amp;FIXED(ABS(I106),1)&amp;" "&amp;D106&amp;" entre os lotes deste SKU (transferência lote a lote, mov. 309) para corrigir o lote",IF(LEFT(K106,6)="Entrou","Procurar a OT de armazenagem pendente no ZBR. Se não achar: contar e lançar ajuste de inventário de −"&amp;FIXED(ABS(I106),1)&amp;" "&amp;D106,IF(J106="Faltando","Contar o lote. Se a falta se confirmar: lançar a saída esquecida (601) ou ajuste de inventário de −"&amp;FIXED(ABS(I106),1)&amp;" "&amp;D106,IF(LEFT(K106,15)="Estoque antigo:","Confirmar no SAP o saldo de 08/09 ("&amp;FIXED(ABS(M106),1)&amp;" "&amp;D106&amp;"). Se estiver certo, não há ajuste",IF(LEFT(K106,10)="Quantidade","Confirmar ou estornar as OTs em doca/transferência ("&amp;FIXED(ABS(N106),1)&amp;" "&amp;D106&amp;"): guardar na posição ou baixar a entrega",IF(LEFT(K106,16)="Estoque antigo +","Confirmar saldo de 08/09 ("&amp;FIXED(ABS(M106),1)&amp;" "&amp;D106&amp;") e tratar as OTs em doca/transferência ("&amp;FIXED(ABS(N106),1)&amp;" "&amp;D106&amp;")",IF(ISNUMBER(SEARCH("não baixaram",K106)),"Confirmar a OT de saída (picking) das remessas para baixar "&amp;FIXED(ABS(I106-M106-N106),1)&amp;" "&amp;D106&amp;" do estoque físico"&amp;IF(M106+N106&gt;0,"; conferir também estoque antigo/doca",""),IF(LEFT(K106,7)="Explica","Confirmar saldo de 08/09 e OTs de doca; contar o lote para os "&amp;FIXED(ABS(I106-M106-N106),1)&amp;" "&amp;D106&amp;" restantes e ajustar a sobra se confirmada","Confirmar saldo de 08/09; se não existir, contar o lote e lançar ajuste de inventário de +"&amp;FIXED(ABS(I106),1)&amp;" "&amp;D106)))))))))</f>
        <v>Nenhum ajuste necessário</v>
      </c>
      <c r="M106" s="158" t="n">
        <f aca="false">MAX(0,SUMIFS('3 Base Estoque Físico'!$J$2:$J$5000,'3 Base Estoque Físico'!$A$2:$A$5000,$A106,'3 Base Estoque Físico'!$B$2:$B$5000,$B106,'3 Base Estoque Físico'!$I$2:$I$5000,"&lt;"&amp;DATE(2026,9,9))-U106)</f>
        <v>0</v>
      </c>
      <c r="N106" s="158" t="n">
        <f aca="false">SUMPRODUCT(('3 Base Estoque Físico'!$A$2:$A$5000=$A106)*('3 Base Estoque Físico'!$B$2:$B$5000=$B106)*('3 Base Estoque Físico'!$I$2:$I$5000&gt;=DATE(2026,9,9))*ISNUMBER(MATCH('3 Base Estoque Físico'!$C$2:$C$5000,{"DCK","TRF","922","FLR","DIF"},0))*'3 Base Estoque Físico'!$J$2:$J$5000)</f>
        <v>0</v>
      </c>
      <c r="O106" s="161" t="n">
        <f aca="false">IF(OR(J106="Confere",LEFT(K106,5)="Troca",ISNUMBER(SEARCH("não baixaram",K106))),0,IF(I106&gt;0,MAX(0,ROUND(I106-M106-N106,2)),I106))</f>
        <v>0</v>
      </c>
      <c r="P106" s="158" t="n">
        <f aca="false">SUMIFS('3 Base Saídas'!$R$2:$R$5000,'3 Base Saídas'!$B$2:$B$5000,$A106,'3 Base Saídas'!$C$2:$C$5000,$B106,'3 Base Saídas'!$E$2:$E$5000,"0355")</f>
        <v>0</v>
      </c>
      <c r="Q106" s="157" t="str">
        <f aca="false">IF(J106="Confere","—",IF(LEFT(K106,5)="Troca","Troca de lote",IF(LEFT(K106,6)="Entrou","Não localizado no estoque",IF(J106="Faltando","Falta sem explicação",IF(ISNUMBER(SEARCH("não baixaram",K106)),"Saída sem baixa no estoque",IF(LEFT(K106,10)="Quantidade","Doca/transferência pendente",IF(LEFT(K106,14)="Estoque antigo","Estoque anterior a 09/09",IF(LEFT(K106,7)="Explica","Sobra parcialmente explicada","Sobra sem explicação"))))))))</f>
        <v>—</v>
      </c>
      <c r="R106" s="162" t="str">
        <f aca="false">IF(J106="Confere","—",IF(OR(LEFT(K106,6)="Entrou",AND(I106&lt;0,ABS(O106)&gt;=Parâmetros!$K$6)),"Crítica",IF(OR(AND(I106&lt;0,O106&lt;&gt;0),O106&gt;=Parâmetros!$K$7),"Alta",IF(O106&gt;0,"Média","Baixa"))))</f>
        <v>—</v>
      </c>
      <c r="S106" s="157" t="str">
        <f aca="false">A106&amp;"|"&amp;B106</f>
        <v>W2-BR-D94|261181599</v>
      </c>
      <c r="T106" s="157" t="n">
        <f aca="false">IF(ABS(O106)&gt;Parâmetros!$C$7,ABS(O106)+ROW()/10000000,0)</f>
        <v>0</v>
      </c>
      <c r="U106" s="158" t="n">
        <f aca="false">SUMIFS('3 Base Saldo Inicial 08-09'!$E$2:$E$5000,'3 Base Saldo Inicial 08-09'!$A$2:$A$5000,$A106,'3 Base Saldo Inicial 08-09'!$B$2:$B$5000,$B106)-SUMIFS('3 Base Saldo Inicial 08-09'!$E$2:$E$5000,'3 Base Saldo Inicial 08-09'!$A$2:$A$5000,$A106,'3 Base Saldo Inicial 08-09'!$B$2:$B$5000,$B106,'3 Base Saldo Inicial 08-09'!$C$2:$C$5000,"2008")</f>
        <v>0</v>
      </c>
    </row>
    <row r="107" customFormat="false" ht="15" hidden="false" customHeight="false" outlineLevel="0" collapsed="false">
      <c r="A107" s="155" t="s">
        <v>389</v>
      </c>
      <c r="B107" s="155" t="s">
        <v>392</v>
      </c>
      <c r="C107" s="156" t="s">
        <v>1104</v>
      </c>
      <c r="D107" s="157" t="s">
        <v>65</v>
      </c>
      <c r="E107" s="158" t="n">
        <f aca="false">SUMIFS('aux Conciliação Lote'!$E$5:$E$98,'aux Conciliação Lote'!$A$5:$A$98,$A107,'aux Conciliação Lote'!$B$5:$B$98,$B107)</f>
        <v>0</v>
      </c>
      <c r="F107" s="158" t="n">
        <f aca="false">SUMIFS('aux Conciliação Lote'!$F$5:$F$98,'aux Conciliação Lote'!$A$5:$A$98,$A107,'aux Conciliação Lote'!$B$5:$B$98,$B107)</f>
        <v>0</v>
      </c>
      <c r="G107" s="158" t="n">
        <f aca="false">U107+E107-F107</f>
        <v>0</v>
      </c>
      <c r="H107" s="158" t="n">
        <f aca="false">SUMIFS('aux Conciliação Lote'!$H$5:$H$98,'aux Conciliação Lote'!$A$5:$A$98,$A107,'aux Conciliação Lote'!$B$5:$B$98,$B107)</f>
        <v>0</v>
      </c>
      <c r="I107" s="159" t="n">
        <f aca="false">ROUND(H107-G107,2)</f>
        <v>0</v>
      </c>
      <c r="J107" s="160" t="str">
        <f aca="false">IF(ABS(I107)&lt;=Parâmetros!$C$7,"Confere",IF(I107&gt;0,"Sobrando","Faltando"))</f>
        <v>Confere</v>
      </c>
      <c r="K107" s="155" t="str">
        <f aca="false">IF(J107="Confere","Sem diferença",IF(AND(J107&lt;&gt;"Confere",SUMPRODUCT(($A$14:$A$107=$A107)*($B$14:$B$107&lt;&gt;$B107)*(ABS($I$14:$I$107+$I107)&lt;=Parâmetros!$C$7))&gt;0),"Troca de lote: a mesma quantidade aparece com sinal oposto em outro lote deste SKU",IF(AND(I107&lt;0,H107=0,F107=0),"Entrou no ZBR, mas não está no estoque físico: não chegou ou foi guardado em outro lote",IF(I107&lt;0,"Estoque físico menor que o esperado: saída, ajuste ou perda não lançada no período",IF(ABS(I107-M107)&lt;=Parâmetros!$C$7,"Estoque antigo: toda a sobra está em posições sem movimento desde antes de 09/09",IF(AND(F107&gt;0,ABS(I107-F107)&lt;=Parâmetros!$C$7),"As saídas do período não baixaram o estoque físico",IF(ABS(I107-N107)&lt;=Parâmetros!$C$7,"Quantidade parada em doca, chão ou transferência: entrega ou devolução não baixada",IF(ABS(I107-M107-N107)&lt;=Parâmetros!$C$7,"Estoque antigo + quantidade em doca/chão/transferência",IF(AND(F107&gt;0,ABS(I107-M107-N107-F107)&lt;=Parâmetros!$C$7),IF(M107+N107&gt;0,"Estoque antigo/doca + saídas do período que","Saídas do período que")&amp;" não baixaram o estoque físico",IF(AND(P107&gt;0,ABS(I107-M107-N107-P107)&lt;=Parâmetros!$C$7),IF(M107+N107&gt;0,"Estoque antigo/doca + saídas","Saídas")&amp;" pelo depósito 0355 que não baixaram o estoque físico",IF(M107+N107&gt;0,"Explica em parte: estoque antigo "&amp;FIXED(M107,1)&amp;" + doca/transferência "&amp;FIXED(N107,1)&amp;"; faltam "&amp;FIXED(I107-M107-N107,1)&amp;" a explicar",IF(F107&gt;E107+U107,"Saiu mais do que entrou: havia estoque antes de 09/09 que não está no arquivo","Estoque acima do esperado: entrada não lançada ou saldo anterior ao período"))))))))))))</f>
        <v>Sem diferença</v>
      </c>
      <c r="L107" s="156" t="str">
        <f aca="false">IF(J107="Confere","Nenhum ajuste necessário",IF(LEFT(K107,5)="Troca","Transferir "&amp;FIXED(ABS(I107),1)&amp;" "&amp;D107&amp;" entre os lotes deste SKU (transferência lote a lote, mov. 309) para corrigir o lote",IF(LEFT(K107,6)="Entrou","Procurar a OT de armazenagem pendente no ZBR. Se não achar: contar e lançar ajuste de inventário de −"&amp;FIXED(ABS(I107),1)&amp;" "&amp;D107,IF(J107="Faltando","Contar o lote. Se a falta se confirmar: lançar a saída esquecida (601) ou ajuste de inventário de −"&amp;FIXED(ABS(I107),1)&amp;" "&amp;D107,IF(LEFT(K107,15)="Estoque antigo:","Confirmar no SAP o saldo de 08/09 ("&amp;FIXED(ABS(M107),1)&amp;" "&amp;D107&amp;"). Se estiver certo, não há ajuste",IF(LEFT(K107,10)="Quantidade","Confirmar ou estornar as OTs em doca/transferência ("&amp;FIXED(ABS(N107),1)&amp;" "&amp;D107&amp;"): guardar na posição ou baixar a entrega",IF(LEFT(K107,16)="Estoque antigo +","Confirmar saldo de 08/09 ("&amp;FIXED(ABS(M107),1)&amp;" "&amp;D107&amp;") e tratar as OTs em doca/transferência ("&amp;FIXED(ABS(N107),1)&amp;" "&amp;D107&amp;")",IF(ISNUMBER(SEARCH("não baixaram",K107)),"Confirmar a OT de saída (picking) das remessas para baixar "&amp;FIXED(ABS(I107-M107-N107),1)&amp;" "&amp;D107&amp;" do estoque físico"&amp;IF(M107+N107&gt;0,"; conferir também estoque antigo/doca",""),IF(LEFT(K107,7)="Explica","Confirmar saldo de 08/09 e OTs de doca; contar o lote para os "&amp;FIXED(ABS(I107-M107-N107),1)&amp;" "&amp;D107&amp;" restantes e ajustar a sobra se confirmada","Confirmar saldo de 08/09; se não existir, contar o lote e lançar ajuste de inventário de +"&amp;FIXED(ABS(I107),1)&amp;" "&amp;D107)))))))))</f>
        <v>Nenhum ajuste necessário</v>
      </c>
      <c r="M107" s="158" t="n">
        <f aca="false">MAX(0,SUMIFS('3 Base Estoque Físico'!$J$2:$J$5000,'3 Base Estoque Físico'!$A$2:$A$5000,$A107,'3 Base Estoque Físico'!$B$2:$B$5000,$B107,'3 Base Estoque Físico'!$I$2:$I$5000,"&lt;"&amp;DATE(2026,9,9))-U107)</f>
        <v>0</v>
      </c>
      <c r="N107" s="158" t="n">
        <f aca="false">SUMPRODUCT(('3 Base Estoque Físico'!$A$2:$A$5000=$A107)*('3 Base Estoque Físico'!$B$2:$B$5000=$B107)*('3 Base Estoque Físico'!$I$2:$I$5000&gt;=DATE(2026,9,9))*ISNUMBER(MATCH('3 Base Estoque Físico'!$C$2:$C$5000,{"DCK","TRF","922","FLR","DIF"},0))*'3 Base Estoque Físico'!$J$2:$J$5000)</f>
        <v>0</v>
      </c>
      <c r="O107" s="161" t="n">
        <f aca="false">IF(OR(J107="Confere",LEFT(K107,5)="Troca",ISNUMBER(SEARCH("não baixaram",K107))),0,IF(I107&gt;0,MAX(0,ROUND(I107-M107-N107,2)),I107))</f>
        <v>0</v>
      </c>
      <c r="P107" s="158" t="n">
        <f aca="false">SUMIFS('3 Base Saídas'!$R$2:$R$5000,'3 Base Saídas'!$B$2:$B$5000,$A107,'3 Base Saídas'!$C$2:$C$5000,$B107,'3 Base Saídas'!$E$2:$E$5000,"0355")</f>
        <v>0</v>
      </c>
      <c r="Q107" s="157" t="str">
        <f aca="false">IF(J107="Confere","—",IF(LEFT(K107,5)="Troca","Troca de lote",IF(LEFT(K107,6)="Entrou","Não localizado no estoque",IF(J107="Faltando","Falta sem explicação",IF(ISNUMBER(SEARCH("não baixaram",K107)),"Saída sem baixa no estoque",IF(LEFT(K107,10)="Quantidade","Doca/transferência pendente",IF(LEFT(K107,14)="Estoque antigo","Estoque anterior a 09/09",IF(LEFT(K107,7)="Explica","Sobra parcialmente explicada","Sobra sem explicação"))))))))</f>
        <v>—</v>
      </c>
      <c r="R107" s="162" t="str">
        <f aca="false">IF(J107="Confere","—",IF(OR(LEFT(K107,6)="Entrou",AND(I107&lt;0,ABS(O107)&gt;=Parâmetros!$K$6)),"Crítica",IF(OR(AND(I107&lt;0,O107&lt;&gt;0),O107&gt;=Parâmetros!$K$7),"Alta",IF(O107&gt;0,"Média","Baixa"))))</f>
        <v>—</v>
      </c>
      <c r="S107" s="157" t="str">
        <f aca="false">A107&amp;"|"&amp;B107</f>
        <v>W2-BR-D94|261391599</v>
      </c>
      <c r="T107" s="157" t="n">
        <f aca="false">IF(ABS(O107)&gt;Parâmetros!$C$7,ABS(O107)+ROW()/10000000,0)</f>
        <v>0</v>
      </c>
      <c r="U107" s="158" t="n">
        <f aca="false">SUMIFS('3 Base Saldo Inicial 08-09'!$E$2:$E$5000,'3 Base Saldo Inicial 08-09'!$A$2:$A$5000,$A107,'3 Base Saldo Inicial 08-09'!$B$2:$B$5000,$B107)-SUMIFS('3 Base Saldo Inicial 08-09'!$E$2:$E$5000,'3 Base Saldo Inicial 08-09'!$A$2:$A$5000,$A107,'3 Base Saldo Inicial 08-09'!$B$2:$B$5000,$B107,'3 Base Saldo Inicial 08-09'!$C$2:$C$5000,"2008")</f>
        <v>0</v>
      </c>
    </row>
    <row r="109" customFormat="false" ht="15" hidden="false" customHeight="false" outlineLevel="0" collapsed="false">
      <c r="A109" s="31" t="s">
        <v>1827</v>
      </c>
    </row>
    <row r="110" customFormat="false" ht="15" hidden="false" customHeight="false" outlineLevel="0" collapsed="false">
      <c r="A110" s="31" t="s">
        <v>1828</v>
      </c>
    </row>
  </sheetData>
  <autoFilter ref="A13:U107"/>
  <mergeCells count="6">
    <mergeCell ref="A9:B9"/>
    <mergeCell ref="C9:D9"/>
    <mergeCell ref="E9:F9"/>
    <mergeCell ref="A10:B10"/>
    <mergeCell ref="C10:D10"/>
    <mergeCell ref="E10:F10"/>
  </mergeCells>
  <conditionalFormatting sqref="J14:J107">
    <cfRule type="expression" priority="2" aboveAverage="0" equalAverage="0" bottom="0" percent="0" rank="0" text="" dxfId="18">
      <formula>$J14="Confere"</formula>
    </cfRule>
    <cfRule type="expression" priority="3" aboveAverage="0" equalAverage="0" bottom="0" percent="0" rank="0" text="" dxfId="19">
      <formula>$J14="Sobrando"</formula>
    </cfRule>
    <cfRule type="expression" priority="4" aboveAverage="0" equalAverage="0" bottom="0" percent="0" rank="0" text="" dxfId="20">
      <formula>$J14="Faltando"</formula>
    </cfRule>
  </conditionalFormatting>
  <conditionalFormatting sqref="I14:I107">
    <cfRule type="expression" priority="5" aboveAverage="0" equalAverage="0" bottom="0" percent="0" rank="0" text="" dxfId="21">
      <formula>I14&lt;-Parâmetros!$C$7</formula>
    </cfRule>
  </conditionalFormatting>
  <conditionalFormatting sqref="O14:O107">
    <cfRule type="expression" priority="6" aboveAverage="0" equalAverage="0" bottom="0" percent="0" rank="0" text="" dxfId="21">
      <formula>ABS(O14)&gt;Parâmetros!$C$7</formula>
    </cfRule>
  </conditionalFormatting>
  <conditionalFormatting sqref="R14:R107">
    <cfRule type="expression" priority="7" aboveAverage="0" equalAverage="0" bottom="0" percent="0" rank="0" text="" dxfId="20">
      <formula>$R14="Crítica"</formula>
    </cfRule>
    <cfRule type="expression" priority="8" aboveAverage="0" equalAverage="0" bottom="0" percent="0" rank="0" text="" dxfId="19">
      <formula>$R14="Alta"</formula>
    </cfRule>
    <cfRule type="expression" priority="9" aboveAverage="0" equalAverage="0" bottom="0" percent="0" rank="0" text="" dxfId="25">
      <formula>$R14="Média"</formula>
    </cfRule>
    <cfRule type="expression" priority="10" aboveAverage="0" equalAverage="0" bottom="0" percent="0" rank="0" text="" dxfId="26">
      <formula>$R14="Baixa"</formula>
    </cfRule>
  </conditionalFormatting>
  <hyperlinks>
    <hyperlink ref="L1" r:id="rId1" location="'MENU'!A1" display="◄ MENU"/>
  </hyperlinks>
  <printOptions headings="false" gridLines="false" gridLinesSet="true" horizontalCentered="true" verticalCentered="false"/>
  <pageMargins left="0.4" right="0.4" top="0.6" bottom="0.6" header="0.25" footer="0.25"/>
  <pageSetup paperSize="8"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Q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5"/>
    <col collapsed="false" customWidth="true" hidden="false" outlineLevel="0" max="3" min="3" style="0" width="20"/>
    <col collapsed="false" customWidth="true" hidden="false" outlineLevel="0" max="4" min="4" style="0" width="13"/>
    <col collapsed="false" customWidth="true" hidden="false" outlineLevel="0" max="5" min="5" style="0" width="6"/>
    <col collapsed="false" customWidth="true" hidden="false" outlineLevel="0" max="7" min="6" style="0" width="48"/>
    <col collapsed="false" customWidth="true" hidden="false" outlineLevel="0" max="8" min="8" style="0" width="56"/>
    <col collapsed="false" customWidth="true" hidden="false" outlineLevel="0" max="9" min="9" style="0" width="12"/>
    <col collapsed="false" customWidth="true" hidden="false" outlineLevel="0" max="10" min="10" style="0" width="11"/>
    <col collapsed="false" customWidth="true" hidden="false" outlineLevel="0" max="11" min="11" style="0" width="22"/>
    <col collapsed="false" customWidth="true" hidden="false" outlineLevel="0" max="14" min="12" style="0" width="12"/>
    <col collapsed="false" customWidth="true" hidden="false" outlineLevel="0" max="15" min="15" style="0" width="14"/>
    <col collapsed="false" customWidth="true" hidden="false" outlineLevel="0" max="16" min="16" style="0" width="18"/>
    <col collapsed="false" customWidth="true" hidden="false" outlineLevel="0" max="17" min="17" style="0" width="30"/>
  </cols>
  <sheetData>
    <row r="1" customFormat="false" ht="31.5" hidden="false" customHeight="true" outlineLevel="0" collapsed="false">
      <c r="A1" s="29" t="s">
        <v>1829</v>
      </c>
      <c r="Q1" s="30" t="s">
        <v>55</v>
      </c>
    </row>
    <row r="2" customFormat="false" ht="15" hidden="false" customHeight="false" outlineLevel="0" collapsed="false">
      <c r="A2" s="31" t="s">
        <v>1830</v>
      </c>
    </row>
    <row r="3" customFormat="false" ht="15" hidden="false" customHeight="false" outlineLevel="0" collapsed="false">
      <c r="A3" s="32"/>
      <c r="B3" s="32"/>
      <c r="C3" s="32"/>
      <c r="D3" s="32"/>
      <c r="E3" s="32"/>
      <c r="F3" s="32"/>
      <c r="G3" s="32"/>
      <c r="H3" s="32"/>
      <c r="I3" s="32"/>
      <c r="J3" s="32"/>
      <c r="K3" s="32"/>
      <c r="L3" s="32"/>
      <c r="M3" s="32"/>
      <c r="N3" s="32"/>
      <c r="O3" s="32"/>
      <c r="P3" s="32"/>
      <c r="Q3" s="32"/>
    </row>
    <row r="4" customFormat="false" ht="15" hidden="false" customHeight="false" outlineLevel="0" collapsed="false">
      <c r="A4" s="163" t="s">
        <v>1831</v>
      </c>
    </row>
    <row r="5" customFormat="false" ht="15" hidden="false" customHeight="false" outlineLevel="0" collapsed="false">
      <c r="A5" s="163" t="s">
        <v>1832</v>
      </c>
    </row>
    <row r="7" customFormat="false" ht="30" hidden="false" customHeight="true" outlineLevel="0" collapsed="false">
      <c r="A7" s="16" t="s">
        <v>1833</v>
      </c>
      <c r="B7" s="15" t="s">
        <v>1834</v>
      </c>
      <c r="C7" s="15" t="s">
        <v>157</v>
      </c>
      <c r="D7" s="15" t="s">
        <v>60</v>
      </c>
      <c r="E7" s="16" t="s">
        <v>159</v>
      </c>
      <c r="F7" s="15" t="s">
        <v>1835</v>
      </c>
      <c r="G7" s="15" t="s">
        <v>1836</v>
      </c>
      <c r="H7" s="15" t="s">
        <v>1837</v>
      </c>
      <c r="I7" s="16" t="s">
        <v>181</v>
      </c>
      <c r="J7" s="16" t="s">
        <v>1838</v>
      </c>
      <c r="K7" s="164" t="s">
        <v>1839</v>
      </c>
      <c r="L7" s="16" t="s">
        <v>1840</v>
      </c>
      <c r="M7" s="165" t="s">
        <v>1841</v>
      </c>
      <c r="N7" s="165" t="s">
        <v>1842</v>
      </c>
      <c r="O7" s="165" t="s">
        <v>1843</v>
      </c>
      <c r="P7" s="16" t="s">
        <v>1844</v>
      </c>
      <c r="Q7" s="164" t="s">
        <v>1845</v>
      </c>
    </row>
    <row r="8" customFormat="false" ht="15" hidden="false" customHeight="false" outlineLevel="0" collapsed="false">
      <c r="A8" s="166" t="s">
        <v>1846</v>
      </c>
      <c r="B8" s="167" t="s">
        <v>1847</v>
      </c>
      <c r="C8" s="167" t="s">
        <v>247</v>
      </c>
      <c r="D8" s="167" t="s">
        <v>248</v>
      </c>
      <c r="E8" s="168" t="s">
        <v>65</v>
      </c>
      <c r="F8" s="169" t="str">
        <f aca="false">IFERROR(IF(INDEX('5 Conciliação'!$J$14:$J$107,MATCH(C8&amp;"|"&amp;D8,'5 Conciliação'!$S$14:$S$107,0))="Confere","Diferença zerada na última atualização",INDEX('5 Conciliação'!$J$14:$J$107,MATCH(C8&amp;"|"&amp;D8,'5 Conciliação'!$S$14:$S$107,0))&amp;" "&amp;FIXED(ABS(INDEX('5 Conciliação'!$I$14:$I$107,MATCH(C8&amp;"|"&amp;D8,'5 Conciliação'!$S$14:$S$107,0))),1)&amp;" "&amp;E8&amp;" no estoque físico"),"SKU·lote não encontrado na conciliação")</f>
        <v>Faltando 442.2 KG no estoque físico</v>
      </c>
      <c r="G8" s="169" t="str">
        <f aca="false">IFERROR(INDEX('5 Conciliação'!$K$14:$K$107,MATCH(C8&amp;"|"&amp;D8,'5 Conciliação'!$S$14:$S$107,0)),"")</f>
        <v>Estoque físico menor que o esperado: saída, ajuste ou perda não lançada no período</v>
      </c>
      <c r="H8" s="169" t="str">
        <f aca="false">IFERROR(INDEX('5 Conciliação'!$L$14:$L$107,MATCH(C8&amp;"|"&amp;D8,'5 Conciliação'!$S$14:$S$107,0)),"")</f>
        <v>Contar o lote. Se a falta se confirmar: lançar a saída esquecida (601) ou ajuste de inventário de −442.2 KG</v>
      </c>
      <c r="I8" s="170" t="n">
        <f aca="false">IFERROR(INDEX('5 Conciliação'!$I$14:$I$107,MATCH(C8&amp;"|"&amp;D8,'5 Conciliação'!$S$14:$S$107,0)),0)</f>
        <v>-442.2</v>
      </c>
      <c r="J8" s="166" t="str">
        <f aca="false">IFERROR(INDEX('5 Conciliação'!$R$14:$R$107,MATCH(C8&amp;"|"&amp;D8,'5 Conciliação'!$S$14:$S$107,0)),"")</f>
        <v>Crítica</v>
      </c>
      <c r="K8" s="171" t="s">
        <v>1848</v>
      </c>
      <c r="L8" s="172" t="n">
        <f aca="false">Parâmetros!$K$9</f>
        <v>46297</v>
      </c>
      <c r="M8" s="173"/>
      <c r="N8" s="173"/>
      <c r="O8" s="174" t="s">
        <v>119</v>
      </c>
      <c r="P8" s="168" t="str">
        <f aca="false">IF(O8="Concluído","Concluída",IF(O8="Cancelado","Cancelada",IF(M8="","Sem prazo definido",IF(M8&lt;Parâmetros!$K$10,"Vencida",IF(M8-Parâmetros!$K$10&lt;=Parâmetros!$K$11,"Vence em breve","No prazo")))))</f>
        <v>Sem prazo definido</v>
      </c>
      <c r="Q8" s="171" t="s">
        <v>1848</v>
      </c>
    </row>
    <row r="9" customFormat="false" ht="15" hidden="false" customHeight="false" outlineLevel="0" collapsed="false">
      <c r="A9" s="166" t="s">
        <v>1849</v>
      </c>
      <c r="B9" s="167" t="s">
        <v>1847</v>
      </c>
      <c r="C9" s="167" t="s">
        <v>263</v>
      </c>
      <c r="D9" s="167" t="s">
        <v>264</v>
      </c>
      <c r="E9" s="168" t="s">
        <v>65</v>
      </c>
      <c r="F9" s="169" t="str">
        <f aca="false">IFERROR(IF(INDEX('5 Conciliação'!$J$14:$J$107,MATCH(C9&amp;"|"&amp;D9,'5 Conciliação'!$S$14:$S$107,0))="Confere","Diferença zerada na última atualização",INDEX('5 Conciliação'!$J$14:$J$107,MATCH(C9&amp;"|"&amp;D9,'5 Conciliação'!$S$14:$S$107,0))&amp;" "&amp;FIXED(ABS(INDEX('5 Conciliação'!$I$14:$I$107,MATCH(C9&amp;"|"&amp;D9,'5 Conciliação'!$S$14:$S$107,0))),1)&amp;" "&amp;E9&amp;" no estoque físico"),"SKU·lote não encontrado na conciliação")</f>
        <v>Faltando 261.1 KG no estoque físico</v>
      </c>
      <c r="G9" s="169" t="str">
        <f aca="false">IFERROR(INDEX('5 Conciliação'!$K$14:$K$107,MATCH(C9&amp;"|"&amp;D9,'5 Conciliação'!$S$14:$S$107,0)),"")</f>
        <v>Entrou no ZBR, mas não está no estoque físico: não chegou ou foi guardado em outro lote</v>
      </c>
      <c r="H9" s="169" t="str">
        <f aca="false">IFERROR(INDEX('5 Conciliação'!$L$14:$L$107,MATCH(C9&amp;"|"&amp;D9,'5 Conciliação'!$S$14:$S$107,0)),"")</f>
        <v>Procurar a OT de armazenagem pendente no ZBR. Se não achar: contar e lançar ajuste de inventário de −261.1 KG</v>
      </c>
      <c r="I9" s="170" t="n">
        <f aca="false">IFERROR(INDEX('5 Conciliação'!$I$14:$I$107,MATCH(C9&amp;"|"&amp;D9,'5 Conciliação'!$S$14:$S$107,0)),0)</f>
        <v>-261.12</v>
      </c>
      <c r="J9" s="166" t="str">
        <f aca="false">IFERROR(INDEX('5 Conciliação'!$R$14:$R$107,MATCH(C9&amp;"|"&amp;D9,'5 Conciliação'!$S$14:$S$107,0)),"")</f>
        <v>Crítica</v>
      </c>
      <c r="K9" s="171" t="s">
        <v>1848</v>
      </c>
      <c r="L9" s="172" t="n">
        <f aca="false">Parâmetros!$K$9</f>
        <v>46297</v>
      </c>
      <c r="M9" s="173"/>
      <c r="N9" s="173"/>
      <c r="O9" s="174" t="s">
        <v>119</v>
      </c>
      <c r="P9" s="168" t="str">
        <f aca="false">IF(O9="Concluído","Concluída",IF(O9="Cancelado","Cancelada",IF(M9="","Sem prazo definido",IF(M9&lt;Parâmetros!$K$10,"Vencida",IF(M9-Parâmetros!$K$10&lt;=Parâmetros!$K$11,"Vence em breve","No prazo")))))</f>
        <v>Sem prazo definido</v>
      </c>
      <c r="Q9" s="171" t="s">
        <v>1848</v>
      </c>
    </row>
    <row r="10" customFormat="false" ht="15" hidden="false" customHeight="false" outlineLevel="0" collapsed="false">
      <c r="A10" s="166" t="s">
        <v>1850</v>
      </c>
      <c r="B10" s="167" t="s">
        <v>1847</v>
      </c>
      <c r="C10" s="167" t="s">
        <v>327</v>
      </c>
      <c r="D10" s="167" t="s">
        <v>329</v>
      </c>
      <c r="E10" s="168" t="s">
        <v>65</v>
      </c>
      <c r="F10" s="169" t="str">
        <f aca="false">IFERROR(IF(INDEX('5 Conciliação'!$J$14:$J$107,MATCH(C10&amp;"|"&amp;D10,'5 Conciliação'!$S$14:$S$107,0))="Confere","Diferença zerada na última atualização",INDEX('5 Conciliação'!$J$14:$J$107,MATCH(C10&amp;"|"&amp;D10,'5 Conciliação'!$S$14:$S$107,0))&amp;" "&amp;FIXED(ABS(INDEX('5 Conciliação'!$I$14:$I$107,MATCH(C10&amp;"|"&amp;D10,'5 Conciliação'!$S$14:$S$107,0))),1)&amp;" "&amp;E10&amp;" no estoque físico"),"SKU·lote não encontrado na conciliação")</f>
        <v>Faltando 210.0 KG no estoque físico</v>
      </c>
      <c r="G10" s="169" t="str">
        <f aca="false">IFERROR(INDEX('5 Conciliação'!$K$14:$K$107,MATCH(C10&amp;"|"&amp;D10,'5 Conciliação'!$S$14:$S$107,0)),"")</f>
        <v>Estoque físico menor que o esperado: saída, ajuste ou perda não lançada no período</v>
      </c>
      <c r="H10" s="169" t="str">
        <f aca="false">IFERROR(INDEX('5 Conciliação'!$L$14:$L$107,MATCH(C10&amp;"|"&amp;D10,'5 Conciliação'!$S$14:$S$107,0)),"")</f>
        <v>Contar o lote. Se a falta se confirmar: lançar a saída esquecida (601) ou ajuste de inventário de −210.0 KG</v>
      </c>
      <c r="I10" s="170" t="n">
        <f aca="false">IFERROR(INDEX('5 Conciliação'!$I$14:$I$107,MATCH(C10&amp;"|"&amp;D10,'5 Conciliação'!$S$14:$S$107,0)),0)</f>
        <v>-210</v>
      </c>
      <c r="J10" s="166" t="str">
        <f aca="false">IFERROR(INDEX('5 Conciliação'!$R$14:$R$107,MATCH(C10&amp;"|"&amp;D10,'5 Conciliação'!$S$14:$S$107,0)),"")</f>
        <v>Crítica</v>
      </c>
      <c r="K10" s="171" t="s">
        <v>1848</v>
      </c>
      <c r="L10" s="172" t="n">
        <f aca="false">Parâmetros!$K$9</f>
        <v>46297</v>
      </c>
      <c r="M10" s="173"/>
      <c r="N10" s="173"/>
      <c r="O10" s="174" t="s">
        <v>119</v>
      </c>
      <c r="P10" s="168" t="str">
        <f aca="false">IF(O10="Concluído","Concluída",IF(O10="Cancelado","Cancelada",IF(M10="","Sem prazo definido",IF(M10&lt;Parâmetros!$K$10,"Vencida",IF(M10-Parâmetros!$K$10&lt;=Parâmetros!$K$11,"Vence em breve","No prazo")))))</f>
        <v>Sem prazo definido</v>
      </c>
      <c r="Q10" s="171" t="s">
        <v>1848</v>
      </c>
    </row>
    <row r="11" customFormat="false" ht="15" hidden="false" customHeight="false" outlineLevel="0" collapsed="false">
      <c r="A11" s="166" t="s">
        <v>1851</v>
      </c>
      <c r="B11" s="167" t="s">
        <v>1847</v>
      </c>
      <c r="C11" s="167" t="s">
        <v>286</v>
      </c>
      <c r="D11" s="167" t="s">
        <v>294</v>
      </c>
      <c r="E11" s="168" t="s">
        <v>147</v>
      </c>
      <c r="F11" s="169" t="str">
        <f aca="false">IFERROR(IF(INDEX('5 Conciliação'!$J$14:$J$107,MATCH(C11&amp;"|"&amp;D11,'5 Conciliação'!$S$14:$S$107,0))="Confere","Diferença zerada na última atualização",INDEX('5 Conciliação'!$J$14:$J$107,MATCH(C11&amp;"|"&amp;D11,'5 Conciliação'!$S$14:$S$107,0))&amp;" "&amp;FIXED(ABS(INDEX('5 Conciliação'!$I$14:$I$107,MATCH(C11&amp;"|"&amp;D11,'5 Conciliação'!$S$14:$S$107,0))),1)&amp;" "&amp;E11&amp;" no estoque físico"),"SKU·lote não encontrado na conciliação")</f>
        <v>Faltando 120.0 CX no estoque físico</v>
      </c>
      <c r="G11" s="169" t="str">
        <f aca="false">IFERROR(INDEX('5 Conciliação'!$K$14:$K$107,MATCH(C11&amp;"|"&amp;D11,'5 Conciliação'!$S$14:$S$107,0)),"")</f>
        <v>Troca de lote: a mesma quantidade aparece com sinal oposto em outro lote deste SKU</v>
      </c>
      <c r="H11" s="169" t="str">
        <f aca="false">IFERROR(INDEX('5 Conciliação'!$L$14:$L$107,MATCH(C11&amp;"|"&amp;D11,'5 Conciliação'!$S$14:$S$107,0)),"")</f>
        <v>Transferir 120.0 CX entre os lotes deste SKU (transferência lote a lote, mov. 309) para corrigir o lote</v>
      </c>
      <c r="I11" s="170" t="n">
        <f aca="false">IFERROR(INDEX('5 Conciliação'!$I$14:$I$107,MATCH(C11&amp;"|"&amp;D11,'5 Conciliação'!$S$14:$S$107,0)),0)</f>
        <v>-120</v>
      </c>
      <c r="J11" s="166" t="str">
        <f aca="false">IFERROR(INDEX('5 Conciliação'!$R$14:$R$107,MATCH(C11&amp;"|"&amp;D11,'5 Conciliação'!$S$14:$S$107,0)),"")</f>
        <v>Baixa</v>
      </c>
      <c r="K11" s="171" t="s">
        <v>1848</v>
      </c>
      <c r="L11" s="172" t="n">
        <f aca="false">Parâmetros!$K$9</f>
        <v>46297</v>
      </c>
      <c r="M11" s="173"/>
      <c r="N11" s="173"/>
      <c r="O11" s="174" t="s">
        <v>119</v>
      </c>
      <c r="P11" s="168" t="str">
        <f aca="false">IF(O11="Concluído","Concluída",IF(O11="Cancelado","Cancelada",IF(M11="","Sem prazo definido",IF(M11&lt;Parâmetros!$K$10,"Vencida",IF(M11-Parâmetros!$K$10&lt;=Parâmetros!$K$11,"Vence em breve","No prazo")))))</f>
        <v>Sem prazo definido</v>
      </c>
      <c r="Q11" s="171" t="s">
        <v>1848</v>
      </c>
    </row>
    <row r="12" customFormat="false" ht="15" hidden="false" customHeight="false" outlineLevel="0" collapsed="false">
      <c r="A12" s="166" t="s">
        <v>1852</v>
      </c>
      <c r="B12" s="167" t="s">
        <v>1847</v>
      </c>
      <c r="C12" s="167" t="s">
        <v>232</v>
      </c>
      <c r="D12" s="167" t="s">
        <v>239</v>
      </c>
      <c r="E12" s="168" t="s">
        <v>146</v>
      </c>
      <c r="F12" s="169" t="str">
        <f aca="false">IFERROR(IF(INDEX('5 Conciliação'!$J$14:$J$107,MATCH(C12&amp;"|"&amp;D12,'5 Conciliação'!$S$14:$S$107,0))="Confere","Diferença zerada na última atualização",INDEX('5 Conciliação'!$J$14:$J$107,MATCH(C12&amp;"|"&amp;D12,'5 Conciliação'!$S$14:$S$107,0))&amp;" "&amp;FIXED(ABS(INDEX('5 Conciliação'!$I$14:$I$107,MATCH(C12&amp;"|"&amp;D12,'5 Conciliação'!$S$14:$S$107,0))),1)&amp;" "&amp;E12&amp;" no estoque físico"),"SKU·lote não encontrado na conciliação")</f>
        <v>Faltando 25.8 UN no estoque físico</v>
      </c>
      <c r="G12" s="169" t="str">
        <f aca="false">IFERROR(INDEX('5 Conciliação'!$K$14:$K$107,MATCH(C12&amp;"|"&amp;D12,'5 Conciliação'!$S$14:$S$107,0)),"")</f>
        <v>Estoque físico menor que o esperado: saída, ajuste ou perda não lançada no período</v>
      </c>
      <c r="H12" s="169" t="str">
        <f aca="false">IFERROR(INDEX('5 Conciliação'!$L$14:$L$107,MATCH(C12&amp;"|"&amp;D12,'5 Conciliação'!$S$14:$S$107,0)),"")</f>
        <v>Contar o lote. Se a falta se confirmar: lançar a saída esquecida (601) ou ajuste de inventário de −25.8 UN</v>
      </c>
      <c r="I12" s="170" t="n">
        <f aca="false">IFERROR(INDEX('5 Conciliação'!$I$14:$I$107,MATCH(C12&amp;"|"&amp;D12,'5 Conciliação'!$S$14:$S$107,0)),0)</f>
        <v>-25.78</v>
      </c>
      <c r="J12" s="166" t="str">
        <f aca="false">IFERROR(INDEX('5 Conciliação'!$R$14:$R$107,MATCH(C12&amp;"|"&amp;D12,'5 Conciliação'!$S$14:$S$107,0)),"")</f>
        <v>Alta</v>
      </c>
      <c r="K12" s="171" t="s">
        <v>1848</v>
      </c>
      <c r="L12" s="172" t="n">
        <f aca="false">Parâmetros!$K$9</f>
        <v>46297</v>
      </c>
      <c r="M12" s="173"/>
      <c r="N12" s="173"/>
      <c r="O12" s="174" t="s">
        <v>119</v>
      </c>
      <c r="P12" s="168" t="str">
        <f aca="false">IF(O12="Concluído","Concluída",IF(O12="Cancelado","Cancelada",IF(M12="","Sem prazo definido",IF(M12&lt;Parâmetros!$K$10,"Vencida",IF(M12-Parâmetros!$K$10&lt;=Parâmetros!$K$11,"Vence em breve","No prazo")))))</f>
        <v>Sem prazo definido</v>
      </c>
      <c r="Q12" s="171" t="s">
        <v>1848</v>
      </c>
    </row>
    <row r="13" customFormat="false" ht="15" hidden="false" customHeight="false" outlineLevel="0" collapsed="false">
      <c r="A13" s="166" t="s">
        <v>1853</v>
      </c>
      <c r="B13" s="167" t="s">
        <v>1847</v>
      </c>
      <c r="C13" s="167" t="s">
        <v>314</v>
      </c>
      <c r="D13" s="167" t="s">
        <v>315</v>
      </c>
      <c r="E13" s="168" t="s">
        <v>65</v>
      </c>
      <c r="F13" s="169" t="str">
        <f aca="false">IFERROR(IF(INDEX('5 Conciliação'!$J$14:$J$107,MATCH(C13&amp;"|"&amp;D13,'5 Conciliação'!$S$14:$S$107,0))="Confere","Diferença zerada na última atualização",INDEX('5 Conciliação'!$J$14:$J$107,MATCH(C13&amp;"|"&amp;D13,'5 Conciliação'!$S$14:$S$107,0))&amp;" "&amp;FIXED(ABS(INDEX('5 Conciliação'!$I$14:$I$107,MATCH(C13&amp;"|"&amp;D13,'5 Conciliação'!$S$14:$S$107,0))),1)&amp;" "&amp;E13&amp;" no estoque físico"),"SKU·lote não encontrado na conciliação")</f>
        <v>Sobrando 5,737.2 KG no estoque físico</v>
      </c>
      <c r="G13" s="169" t="str">
        <f aca="false">IFERROR(INDEX('5 Conciliação'!$K$14:$K$107,MATCH(C13&amp;"|"&amp;D13,'5 Conciliação'!$S$14:$S$107,0)),"")</f>
        <v>Explica em parte: estoque antigo 5,328.4 + doca/transferência 0.0; faltam 408.8 a explicar</v>
      </c>
      <c r="H13" s="169" t="str">
        <f aca="false">IFERROR(INDEX('5 Conciliação'!$L$14:$L$107,MATCH(C13&amp;"|"&amp;D13,'5 Conciliação'!$S$14:$S$107,0)),"")</f>
        <v>Confirmar saldo de 08/09 e OTs de doca; contar o lote para os 408.8 KG restantes e ajustar a sobra se confirmada</v>
      </c>
      <c r="I13" s="170" t="n">
        <f aca="false">IFERROR(INDEX('5 Conciliação'!$I$14:$I$107,MATCH(C13&amp;"|"&amp;D13,'5 Conciliação'!$S$14:$S$107,0)),0)</f>
        <v>5737.2</v>
      </c>
      <c r="J13" s="166" t="str">
        <f aca="false">IFERROR(INDEX('5 Conciliação'!$R$14:$R$107,MATCH(C13&amp;"|"&amp;D13,'5 Conciliação'!$S$14:$S$107,0)),"")</f>
        <v>Média</v>
      </c>
      <c r="K13" s="171" t="s">
        <v>1848</v>
      </c>
      <c r="L13" s="172" t="n">
        <f aca="false">Parâmetros!$K$9</f>
        <v>46297</v>
      </c>
      <c r="M13" s="173"/>
      <c r="N13" s="173"/>
      <c r="O13" s="174" t="s">
        <v>119</v>
      </c>
      <c r="P13" s="168" t="str">
        <f aca="false">IF(O13="Concluído","Concluída",IF(O13="Cancelado","Cancelada",IF(M13="","Sem prazo definido",IF(M13&lt;Parâmetros!$K$10,"Vencida",IF(M13-Parâmetros!$K$10&lt;=Parâmetros!$K$11,"Vence em breve","No prazo")))))</f>
        <v>Sem prazo definido</v>
      </c>
      <c r="Q13" s="171" t="s">
        <v>1848</v>
      </c>
    </row>
    <row r="14" customFormat="false" ht="15" hidden="false" customHeight="false" outlineLevel="0" collapsed="false">
      <c r="A14" s="166" t="s">
        <v>1854</v>
      </c>
      <c r="B14" s="167" t="s">
        <v>1847</v>
      </c>
      <c r="C14" s="167" t="s">
        <v>257</v>
      </c>
      <c r="D14" s="167" t="s">
        <v>258</v>
      </c>
      <c r="E14" s="168" t="s">
        <v>65</v>
      </c>
      <c r="F14" s="169" t="str">
        <f aca="false">IFERROR(IF(INDEX('5 Conciliação'!$J$14:$J$107,MATCH(C14&amp;"|"&amp;D14,'5 Conciliação'!$S$14:$S$107,0))="Confere","Diferença zerada na última atualização",INDEX('5 Conciliação'!$J$14:$J$107,MATCH(C14&amp;"|"&amp;D14,'5 Conciliação'!$S$14:$S$107,0))&amp;" "&amp;FIXED(ABS(INDEX('5 Conciliação'!$I$14:$I$107,MATCH(C14&amp;"|"&amp;D14,'5 Conciliação'!$S$14:$S$107,0))),1)&amp;" "&amp;E14&amp;" no estoque físico"),"SKU·lote não encontrado na conciliação")</f>
        <v>Sobrando 3,695.0 KG no estoque físico</v>
      </c>
      <c r="G14" s="169" t="str">
        <f aca="false">IFERROR(INDEX('5 Conciliação'!$K$14:$K$107,MATCH(C14&amp;"|"&amp;D14,'5 Conciliação'!$S$14:$S$107,0)),"")</f>
        <v>Explica em parte: estoque antigo 1,343.0 + doca/transferência 204.0; faltam 2,148.0 a explicar</v>
      </c>
      <c r="H14" s="169" t="str">
        <f aca="false">IFERROR(INDEX('5 Conciliação'!$L$14:$L$107,MATCH(C14&amp;"|"&amp;D14,'5 Conciliação'!$S$14:$S$107,0)),"")</f>
        <v>Confirmar saldo de 08/09 e OTs de doca; contar o lote para os 2,148.0 KG restantes e ajustar a sobra se confirmada</v>
      </c>
      <c r="I14" s="170" t="n">
        <f aca="false">IFERROR(INDEX('5 Conciliação'!$I$14:$I$107,MATCH(C14&amp;"|"&amp;D14,'5 Conciliação'!$S$14:$S$107,0)),0)</f>
        <v>3695</v>
      </c>
      <c r="J14" s="166" t="str">
        <f aca="false">IFERROR(INDEX('5 Conciliação'!$R$14:$R$107,MATCH(C14&amp;"|"&amp;D14,'5 Conciliação'!$S$14:$S$107,0)),"")</f>
        <v>Alta</v>
      </c>
      <c r="K14" s="171" t="s">
        <v>1848</v>
      </c>
      <c r="L14" s="172" t="n">
        <f aca="false">Parâmetros!$K$9</f>
        <v>46297</v>
      </c>
      <c r="M14" s="173"/>
      <c r="N14" s="173"/>
      <c r="O14" s="174" t="s">
        <v>119</v>
      </c>
      <c r="P14" s="168" t="str">
        <f aca="false">IF(O14="Concluído","Concluída",IF(O14="Cancelado","Cancelada",IF(M14="","Sem prazo definido",IF(M14&lt;Parâmetros!$K$10,"Vencida",IF(M14-Parâmetros!$K$10&lt;=Parâmetros!$K$11,"Vence em breve","No prazo")))))</f>
        <v>Sem prazo definido</v>
      </c>
      <c r="Q14" s="171" t="s">
        <v>1848</v>
      </c>
    </row>
    <row r="15" customFormat="false" ht="15" hidden="false" customHeight="false" outlineLevel="0" collapsed="false">
      <c r="A15" s="166" t="s">
        <v>1855</v>
      </c>
      <c r="B15" s="167" t="s">
        <v>1847</v>
      </c>
      <c r="C15" s="167" t="s">
        <v>245</v>
      </c>
      <c r="D15" s="167" t="s">
        <v>246</v>
      </c>
      <c r="E15" s="168" t="s">
        <v>65</v>
      </c>
      <c r="F15" s="169" t="str">
        <f aca="false">IFERROR(IF(INDEX('5 Conciliação'!$J$14:$J$107,MATCH(C15&amp;"|"&amp;D15,'5 Conciliação'!$S$14:$S$107,0))="Confere","Diferença zerada na última atualização",INDEX('5 Conciliação'!$J$14:$J$107,MATCH(C15&amp;"|"&amp;D15,'5 Conciliação'!$S$14:$S$107,0))&amp;" "&amp;FIXED(ABS(INDEX('5 Conciliação'!$I$14:$I$107,MATCH(C15&amp;"|"&amp;D15,'5 Conciliação'!$S$14:$S$107,0))),1)&amp;" "&amp;E15&amp;" no estoque físico"),"SKU·lote não encontrado na conciliação")</f>
        <v>Sobrando 3,198.0 KG no estoque físico</v>
      </c>
      <c r="G15" s="169" t="str">
        <f aca="false">IFERROR(INDEX('5 Conciliação'!$K$14:$K$107,MATCH(C15&amp;"|"&amp;D15,'5 Conciliação'!$S$14:$S$107,0)),"")</f>
        <v>Explica em parte: estoque antigo 2,898.0 + doca/transferência 0.0; faltam 300.0 a explicar</v>
      </c>
      <c r="H15" s="169" t="str">
        <f aca="false">IFERROR(INDEX('5 Conciliação'!$L$14:$L$107,MATCH(C15&amp;"|"&amp;D15,'5 Conciliação'!$S$14:$S$107,0)),"")</f>
        <v>Confirmar saldo de 08/09 e OTs de doca; contar o lote para os 300.0 KG restantes e ajustar a sobra se confirmada</v>
      </c>
      <c r="I15" s="170" t="n">
        <f aca="false">IFERROR(INDEX('5 Conciliação'!$I$14:$I$107,MATCH(C15&amp;"|"&amp;D15,'5 Conciliação'!$S$14:$S$107,0)),0)</f>
        <v>3198</v>
      </c>
      <c r="J15" s="166" t="str">
        <f aca="false">IFERROR(INDEX('5 Conciliação'!$R$14:$R$107,MATCH(C15&amp;"|"&amp;D15,'5 Conciliação'!$S$14:$S$107,0)),"")</f>
        <v>Média</v>
      </c>
      <c r="K15" s="171" t="s">
        <v>1848</v>
      </c>
      <c r="L15" s="172" t="n">
        <f aca="false">Parâmetros!$K$9</f>
        <v>46297</v>
      </c>
      <c r="M15" s="173"/>
      <c r="N15" s="173"/>
      <c r="O15" s="174" t="s">
        <v>119</v>
      </c>
      <c r="P15" s="168" t="str">
        <f aca="false">IF(O15="Concluído","Concluída",IF(O15="Cancelado","Cancelada",IF(M15="","Sem prazo definido",IF(M15&lt;Parâmetros!$K$10,"Vencida",IF(M15-Parâmetros!$K$10&lt;=Parâmetros!$K$11,"Vence em breve","No prazo")))))</f>
        <v>Sem prazo definido</v>
      </c>
      <c r="Q15" s="171" t="s">
        <v>1848</v>
      </c>
    </row>
    <row r="16" customFormat="false" ht="15" hidden="false" customHeight="false" outlineLevel="0" collapsed="false">
      <c r="A16" s="166" t="s">
        <v>1856</v>
      </c>
      <c r="B16" s="167" t="s">
        <v>1847</v>
      </c>
      <c r="C16" s="167" t="s">
        <v>322</v>
      </c>
      <c r="D16" s="167" t="s">
        <v>323</v>
      </c>
      <c r="E16" s="168" t="s">
        <v>65</v>
      </c>
      <c r="F16" s="169" t="str">
        <f aca="false">IFERROR(IF(INDEX('5 Conciliação'!$J$14:$J$107,MATCH(C16&amp;"|"&amp;D16,'5 Conciliação'!$S$14:$S$107,0))="Confere","Diferença zerada na última atualização",INDEX('5 Conciliação'!$J$14:$J$107,MATCH(C16&amp;"|"&amp;D16,'5 Conciliação'!$S$14:$S$107,0))&amp;" "&amp;FIXED(ABS(INDEX('5 Conciliação'!$I$14:$I$107,MATCH(C16&amp;"|"&amp;D16,'5 Conciliação'!$S$14:$S$107,0))),1)&amp;" "&amp;E16&amp;" no estoque físico"),"SKU·lote não encontrado na conciliação")</f>
        <v>Sobrando 2,528.4 KG no estoque físico</v>
      </c>
      <c r="G16" s="169" t="str">
        <f aca="false">IFERROR(INDEX('5 Conciliação'!$K$14:$K$107,MATCH(C16&amp;"|"&amp;D16,'5 Conciliação'!$S$14:$S$107,0)),"")</f>
        <v>Explica em parte: estoque antigo 1,254.4 + doca/transferência 14.0; faltam 1,260.0 a explicar</v>
      </c>
      <c r="H16" s="169" t="str">
        <f aca="false">IFERROR(INDEX('5 Conciliação'!$L$14:$L$107,MATCH(C16&amp;"|"&amp;D16,'5 Conciliação'!$S$14:$S$107,0)),"")</f>
        <v>Confirmar saldo de 08/09 e OTs de doca; contar o lote para os 1,260.0 KG restantes e ajustar a sobra se confirmada</v>
      </c>
      <c r="I16" s="170" t="n">
        <f aca="false">IFERROR(INDEX('5 Conciliação'!$I$14:$I$107,MATCH(C16&amp;"|"&amp;D16,'5 Conciliação'!$S$14:$S$107,0)),0)</f>
        <v>2528.4</v>
      </c>
      <c r="J16" s="166" t="str">
        <f aca="false">IFERROR(INDEX('5 Conciliação'!$R$14:$R$107,MATCH(C16&amp;"|"&amp;D16,'5 Conciliação'!$S$14:$S$107,0)),"")</f>
        <v>Alta</v>
      </c>
      <c r="K16" s="171" t="s">
        <v>1848</v>
      </c>
      <c r="L16" s="172" t="n">
        <f aca="false">Parâmetros!$K$9</f>
        <v>46297</v>
      </c>
      <c r="M16" s="173"/>
      <c r="N16" s="173"/>
      <c r="O16" s="174" t="s">
        <v>119</v>
      </c>
      <c r="P16" s="168" t="str">
        <f aca="false">IF(O16="Concluído","Concluída",IF(O16="Cancelado","Cancelada",IF(M16="","Sem prazo definido",IF(M16&lt;Parâmetros!$K$10,"Vencida",IF(M16-Parâmetros!$K$10&lt;=Parâmetros!$K$11,"Vence em breve","No prazo")))))</f>
        <v>Sem prazo definido</v>
      </c>
      <c r="Q16" s="171" t="s">
        <v>1848</v>
      </c>
    </row>
    <row r="17" customFormat="false" ht="15" hidden="false" customHeight="false" outlineLevel="0" collapsed="false">
      <c r="A17" s="166" t="s">
        <v>1857</v>
      </c>
      <c r="B17" s="167" t="s">
        <v>1847</v>
      </c>
      <c r="C17" s="167" t="s">
        <v>201</v>
      </c>
      <c r="D17" s="167" t="s">
        <v>202</v>
      </c>
      <c r="E17" s="168" t="s">
        <v>65</v>
      </c>
      <c r="F17" s="169" t="str">
        <f aca="false">IFERROR(IF(INDEX('5 Conciliação'!$J$14:$J$107,MATCH(C17&amp;"|"&amp;D17,'5 Conciliação'!$S$14:$S$107,0))="Confere","Diferença zerada na última atualização",INDEX('5 Conciliação'!$J$14:$J$107,MATCH(C17&amp;"|"&amp;D17,'5 Conciliação'!$S$14:$S$107,0))&amp;" "&amp;FIXED(ABS(INDEX('5 Conciliação'!$I$14:$I$107,MATCH(C17&amp;"|"&amp;D17,'5 Conciliação'!$S$14:$S$107,0))),1)&amp;" "&amp;E17&amp;" no estoque físico"),"SKU·lote não encontrado na conciliação")</f>
        <v>Sobrando 1,268.4 KG no estoque físico</v>
      </c>
      <c r="G17" s="169" t="str">
        <f aca="false">IFERROR(INDEX('5 Conciliação'!$K$14:$K$107,MATCH(C17&amp;"|"&amp;D17,'5 Conciliação'!$S$14:$S$107,0)),"")</f>
        <v>Estoque antigo/doca + saídas do período que não baixaram o estoque físico</v>
      </c>
      <c r="H17" s="169" t="str">
        <f aca="false">IFERROR(INDEX('5 Conciliação'!$L$14:$L$107,MATCH(C17&amp;"|"&amp;D17,'5 Conciliação'!$S$14:$S$107,0)),"")</f>
        <v>Confirmar a OT de saída (picking) das remessas para baixar 221.2 KG do estoque físico; conferir também estoque antigo/doca</v>
      </c>
      <c r="I17" s="170" t="n">
        <f aca="false">IFERROR(INDEX('5 Conciliação'!$I$14:$I$107,MATCH(C17&amp;"|"&amp;D17,'5 Conciliação'!$S$14:$S$107,0)),0)</f>
        <v>1268.4</v>
      </c>
      <c r="J17" s="166" t="str">
        <f aca="false">IFERROR(INDEX('5 Conciliação'!$R$14:$R$107,MATCH(C17&amp;"|"&amp;D17,'5 Conciliação'!$S$14:$S$107,0)),"")</f>
        <v>Baixa</v>
      </c>
      <c r="K17" s="171" t="s">
        <v>1848</v>
      </c>
      <c r="L17" s="172" t="n">
        <f aca="false">Parâmetros!$K$9</f>
        <v>46297</v>
      </c>
      <c r="M17" s="173"/>
      <c r="N17" s="173"/>
      <c r="O17" s="174" t="s">
        <v>119</v>
      </c>
      <c r="P17" s="168" t="str">
        <f aca="false">IF(O17="Concluído","Concluída",IF(O17="Cancelado","Cancelada",IF(M17="","Sem prazo definido",IF(M17&lt;Parâmetros!$K$10,"Vencida",IF(M17-Parâmetros!$K$10&lt;=Parâmetros!$K$11,"Vence em breve","No prazo")))))</f>
        <v>Sem prazo definido</v>
      </c>
      <c r="Q17" s="171" t="s">
        <v>1848</v>
      </c>
    </row>
    <row r="18" customFormat="false" ht="15" hidden="false" customHeight="false" outlineLevel="0" collapsed="false">
      <c r="A18" s="166" t="s">
        <v>1858</v>
      </c>
      <c r="B18" s="167" t="s">
        <v>1847</v>
      </c>
      <c r="C18" s="167" t="s">
        <v>309</v>
      </c>
      <c r="D18" s="167" t="s">
        <v>395</v>
      </c>
      <c r="E18" s="168" t="s">
        <v>65</v>
      </c>
      <c r="F18" s="169" t="str">
        <f aca="false">IFERROR(IF(INDEX('5 Conciliação'!$J$14:$J$107,MATCH(C18&amp;"|"&amp;D18,'5 Conciliação'!$S$14:$S$107,0))="Confere","Diferença zerada na última atualização",INDEX('5 Conciliação'!$J$14:$J$107,MATCH(C18&amp;"|"&amp;D18,'5 Conciliação'!$S$14:$S$107,0))&amp;" "&amp;FIXED(ABS(INDEX('5 Conciliação'!$I$14:$I$107,MATCH(C18&amp;"|"&amp;D18,'5 Conciliação'!$S$14:$S$107,0))),1)&amp;" "&amp;E18&amp;" no estoque físico"),"SKU·lote não encontrado na conciliação")</f>
        <v>Sobrando 1,083.4 KG no estoque físico</v>
      </c>
      <c r="G18" s="169" t="str">
        <f aca="false">IFERROR(INDEX('5 Conciliação'!$K$14:$K$107,MATCH(C18&amp;"|"&amp;D18,'5 Conciliação'!$S$14:$S$107,0)),"")</f>
        <v>Explica em parte: estoque antigo 18.1 + doca/transferência 502.5; faltam 562.8 a explicar</v>
      </c>
      <c r="H18" s="169" t="str">
        <f aca="false">IFERROR(INDEX('5 Conciliação'!$L$14:$L$107,MATCH(C18&amp;"|"&amp;D18,'5 Conciliação'!$S$14:$S$107,0)),"")</f>
        <v>Confirmar saldo de 08/09 e OTs de doca; contar o lote para os 562.8 KG restantes e ajustar a sobra se confirmada</v>
      </c>
      <c r="I18" s="170" t="n">
        <f aca="false">IFERROR(INDEX('5 Conciliação'!$I$14:$I$107,MATCH(C18&amp;"|"&amp;D18,'5 Conciliação'!$S$14:$S$107,0)),0)</f>
        <v>1083.39</v>
      </c>
      <c r="J18" s="166" t="str">
        <f aca="false">IFERROR(INDEX('5 Conciliação'!$R$14:$R$107,MATCH(C18&amp;"|"&amp;D18,'5 Conciliação'!$S$14:$S$107,0)),"")</f>
        <v>Alta</v>
      </c>
      <c r="K18" s="171" t="s">
        <v>1848</v>
      </c>
      <c r="L18" s="172" t="n">
        <f aca="false">Parâmetros!$K$9</f>
        <v>46297</v>
      </c>
      <c r="M18" s="173"/>
      <c r="N18" s="173"/>
      <c r="O18" s="174" t="s">
        <v>119</v>
      </c>
      <c r="P18" s="168" t="str">
        <f aca="false">IF(O18="Concluído","Concluída",IF(O18="Cancelado","Cancelada",IF(M18="","Sem prazo definido",IF(M18&lt;Parâmetros!$K$10,"Vencida",IF(M18-Parâmetros!$K$10&lt;=Parâmetros!$K$11,"Vence em breve","No prazo")))))</f>
        <v>Sem prazo definido</v>
      </c>
      <c r="Q18" s="171" t="s">
        <v>1848</v>
      </c>
    </row>
    <row r="19" customFormat="false" ht="15" hidden="false" customHeight="false" outlineLevel="0" collapsed="false">
      <c r="A19" s="166" t="s">
        <v>1859</v>
      </c>
      <c r="B19" s="167" t="s">
        <v>1847</v>
      </c>
      <c r="C19" s="167" t="s">
        <v>276</v>
      </c>
      <c r="D19" s="167" t="s">
        <v>370</v>
      </c>
      <c r="E19" s="168" t="s">
        <v>65</v>
      </c>
      <c r="F19" s="169" t="str">
        <f aca="false">IFERROR(IF(INDEX('5 Conciliação'!$J$14:$J$107,MATCH(C19&amp;"|"&amp;D19,'5 Conciliação'!$S$14:$S$107,0))="Confere","Diferença zerada na última atualização",INDEX('5 Conciliação'!$J$14:$J$107,MATCH(C19&amp;"|"&amp;D19,'5 Conciliação'!$S$14:$S$107,0))&amp;" "&amp;FIXED(ABS(INDEX('5 Conciliação'!$I$14:$I$107,MATCH(C19&amp;"|"&amp;D19,'5 Conciliação'!$S$14:$S$107,0))),1)&amp;" "&amp;E19&amp;" no estoque físico"),"SKU·lote não encontrado na conciliação")</f>
        <v>Sobrando 924.6 KG no estoque físico</v>
      </c>
      <c r="G19" s="169" t="str">
        <f aca="false">IFERROR(INDEX('5 Conciliação'!$K$14:$K$107,MATCH(C19&amp;"|"&amp;D19,'5 Conciliação'!$S$14:$S$107,0)),"")</f>
        <v>As saídas do período não baixaram o estoque físico</v>
      </c>
      <c r="H19" s="169" t="str">
        <f aca="false">IFERROR(INDEX('5 Conciliação'!$L$14:$L$107,MATCH(C19&amp;"|"&amp;D19,'5 Conciliação'!$S$14:$S$107,0)),"")</f>
        <v>Confirmar a OT de saída (picking) das remessas para baixar 924.6 KG do estoque físico</v>
      </c>
      <c r="I19" s="170" t="n">
        <f aca="false">IFERROR(INDEX('5 Conciliação'!$I$14:$I$107,MATCH(C19&amp;"|"&amp;D19,'5 Conciliação'!$S$14:$S$107,0)),0)</f>
        <v>924.6</v>
      </c>
      <c r="J19" s="166" t="str">
        <f aca="false">IFERROR(INDEX('5 Conciliação'!$R$14:$R$107,MATCH(C19&amp;"|"&amp;D19,'5 Conciliação'!$S$14:$S$107,0)),"")</f>
        <v>Baixa</v>
      </c>
      <c r="K19" s="171" t="s">
        <v>1848</v>
      </c>
      <c r="L19" s="172" t="n">
        <f aca="false">Parâmetros!$K$9</f>
        <v>46297</v>
      </c>
      <c r="M19" s="173"/>
      <c r="N19" s="173"/>
      <c r="O19" s="174" t="s">
        <v>119</v>
      </c>
      <c r="P19" s="168" t="str">
        <f aca="false">IF(O19="Concluído","Concluída",IF(O19="Cancelado","Cancelada",IF(M19="","Sem prazo definido",IF(M19&lt;Parâmetros!$K$10,"Vencida",IF(M19-Parâmetros!$K$10&lt;=Parâmetros!$K$11,"Vence em breve","No prazo")))))</f>
        <v>Sem prazo definido</v>
      </c>
      <c r="Q19" s="171" t="s">
        <v>1848</v>
      </c>
    </row>
    <row r="20" customFormat="false" ht="15" hidden="false" customHeight="false" outlineLevel="0" collapsed="false">
      <c r="A20" s="166" t="s">
        <v>1860</v>
      </c>
      <c r="B20" s="167" t="s">
        <v>1847</v>
      </c>
      <c r="C20" s="167" t="s">
        <v>269</v>
      </c>
      <c r="D20" s="167" t="s">
        <v>270</v>
      </c>
      <c r="E20" s="168" t="s">
        <v>65</v>
      </c>
      <c r="F20" s="169" t="str">
        <f aca="false">IFERROR(IF(INDEX('5 Conciliação'!$J$14:$J$107,MATCH(C20&amp;"|"&amp;D20,'5 Conciliação'!$S$14:$S$107,0))="Confere","Diferença zerada na última atualização",INDEX('5 Conciliação'!$J$14:$J$107,MATCH(C20&amp;"|"&amp;D20,'5 Conciliação'!$S$14:$S$107,0))&amp;" "&amp;FIXED(ABS(INDEX('5 Conciliação'!$I$14:$I$107,MATCH(C20&amp;"|"&amp;D20,'5 Conciliação'!$S$14:$S$107,0))),1)&amp;" "&amp;E20&amp;" no estoque físico"),"SKU·lote não encontrado na conciliação")</f>
        <v>Sobrando 540.0 KG no estoque físico</v>
      </c>
      <c r="G20" s="169" t="str">
        <f aca="false">IFERROR(INDEX('5 Conciliação'!$K$14:$K$107,MATCH(C20&amp;"|"&amp;D20,'5 Conciliação'!$S$14:$S$107,0)),"")</f>
        <v>Explica em parte: estoque antigo 24.0 + doca/transferência 0.0; faltam 516.0 a explicar</v>
      </c>
      <c r="H20" s="169" t="str">
        <f aca="false">IFERROR(INDEX('5 Conciliação'!$L$14:$L$107,MATCH(C20&amp;"|"&amp;D20,'5 Conciliação'!$S$14:$S$107,0)),"")</f>
        <v>Confirmar saldo de 08/09 e OTs de doca; contar o lote para os 516.0 KG restantes e ajustar a sobra se confirmada</v>
      </c>
      <c r="I20" s="170" t="n">
        <f aca="false">IFERROR(INDEX('5 Conciliação'!$I$14:$I$107,MATCH(C20&amp;"|"&amp;D20,'5 Conciliação'!$S$14:$S$107,0)),0)</f>
        <v>540</v>
      </c>
      <c r="J20" s="166" t="str">
        <f aca="false">IFERROR(INDEX('5 Conciliação'!$R$14:$R$107,MATCH(C20&amp;"|"&amp;D20,'5 Conciliação'!$S$14:$S$107,0)),"")</f>
        <v>Alta</v>
      </c>
      <c r="K20" s="171" t="s">
        <v>1848</v>
      </c>
      <c r="L20" s="172" t="n">
        <f aca="false">Parâmetros!$K$9</f>
        <v>46297</v>
      </c>
      <c r="M20" s="173"/>
      <c r="N20" s="173"/>
      <c r="O20" s="174" t="s">
        <v>119</v>
      </c>
      <c r="P20" s="168" t="str">
        <f aca="false">IF(O20="Concluído","Concluída",IF(O20="Cancelado","Cancelada",IF(M20="","Sem prazo definido",IF(M20&lt;Parâmetros!$K$10,"Vencida",IF(M20-Parâmetros!$K$10&lt;=Parâmetros!$K$11,"Vence em breve","No prazo")))))</f>
        <v>Sem prazo definido</v>
      </c>
      <c r="Q20" s="171" t="s">
        <v>1848</v>
      </c>
    </row>
    <row r="21" customFormat="false" ht="15" hidden="false" customHeight="false" outlineLevel="0" collapsed="false">
      <c r="A21" s="166" t="s">
        <v>1861</v>
      </c>
      <c r="B21" s="167" t="s">
        <v>1847</v>
      </c>
      <c r="C21" s="167" t="s">
        <v>192</v>
      </c>
      <c r="D21" s="167" t="s">
        <v>193</v>
      </c>
      <c r="E21" s="168" t="s">
        <v>65</v>
      </c>
      <c r="F21" s="169" t="str">
        <f aca="false">IFERROR(IF(INDEX('5 Conciliação'!$J$14:$J$107,MATCH(C21&amp;"|"&amp;D21,'5 Conciliação'!$S$14:$S$107,0))="Confere","Diferença zerada na última atualização",INDEX('5 Conciliação'!$J$14:$J$107,MATCH(C21&amp;"|"&amp;D21,'5 Conciliação'!$S$14:$S$107,0))&amp;" "&amp;FIXED(ABS(INDEX('5 Conciliação'!$I$14:$I$107,MATCH(C21&amp;"|"&amp;D21,'5 Conciliação'!$S$14:$S$107,0))),1)&amp;" "&amp;E21&amp;" no estoque físico"),"SKU·lote não encontrado na conciliação")</f>
        <v>Sobrando 341.7 KG no estoque físico</v>
      </c>
      <c r="G21" s="169" t="str">
        <f aca="false">IFERROR(INDEX('5 Conciliação'!$K$14:$K$107,MATCH(C21&amp;"|"&amp;D21,'5 Conciliação'!$S$14:$S$107,0)),"")</f>
        <v>Estoque antigo/doca + saídas do período que não baixaram o estoque físico</v>
      </c>
      <c r="H21" s="169" t="str">
        <f aca="false">IFERROR(INDEX('5 Conciliação'!$L$14:$L$107,MATCH(C21&amp;"|"&amp;D21,'5 Conciliação'!$S$14:$S$107,0)),"")</f>
        <v>Confirmar a OT de saída (picking) das remessas para baixar 321.6 KG do estoque físico; conferir também estoque antigo/doca</v>
      </c>
      <c r="I21" s="170" t="n">
        <f aca="false">IFERROR(INDEX('5 Conciliação'!$I$14:$I$107,MATCH(C21&amp;"|"&amp;D21,'5 Conciliação'!$S$14:$S$107,0)),0)</f>
        <v>341.7</v>
      </c>
      <c r="J21" s="166" t="str">
        <f aca="false">IFERROR(INDEX('5 Conciliação'!$R$14:$R$107,MATCH(C21&amp;"|"&amp;D21,'5 Conciliação'!$S$14:$S$107,0)),"")</f>
        <v>Baixa</v>
      </c>
      <c r="K21" s="171" t="s">
        <v>1848</v>
      </c>
      <c r="L21" s="172" t="n">
        <f aca="false">Parâmetros!$K$9</f>
        <v>46297</v>
      </c>
      <c r="M21" s="173"/>
      <c r="N21" s="173"/>
      <c r="O21" s="174" t="s">
        <v>119</v>
      </c>
      <c r="P21" s="168" t="str">
        <f aca="false">IF(O21="Concluído","Concluída",IF(O21="Cancelado","Cancelada",IF(M21="","Sem prazo definido",IF(M21&lt;Parâmetros!$K$10,"Vencida",IF(M21-Parâmetros!$K$10&lt;=Parâmetros!$K$11,"Vence em breve","No prazo")))))</f>
        <v>Sem prazo definido</v>
      </c>
      <c r="Q21" s="171" t="s">
        <v>1848</v>
      </c>
    </row>
    <row r="22" customFormat="false" ht="15" hidden="false" customHeight="false" outlineLevel="0" collapsed="false">
      <c r="A22" s="166" t="s">
        <v>1862</v>
      </c>
      <c r="B22" s="167" t="s">
        <v>1847</v>
      </c>
      <c r="C22" s="167" t="s">
        <v>205</v>
      </c>
      <c r="D22" s="167" t="s">
        <v>209</v>
      </c>
      <c r="E22" s="168" t="s">
        <v>65</v>
      </c>
      <c r="F22" s="169" t="str">
        <f aca="false">IFERROR(IF(INDEX('5 Conciliação'!$J$14:$J$107,MATCH(C22&amp;"|"&amp;D22,'5 Conciliação'!$S$14:$S$107,0))="Confere","Diferença zerada na última atualização",INDEX('5 Conciliação'!$J$14:$J$107,MATCH(C22&amp;"|"&amp;D22,'5 Conciliação'!$S$14:$S$107,0))&amp;" "&amp;FIXED(ABS(INDEX('5 Conciliação'!$I$14:$I$107,MATCH(C22&amp;"|"&amp;D22,'5 Conciliação'!$S$14:$S$107,0))),1)&amp;" "&amp;E22&amp;" no estoque físico"),"SKU·lote não encontrado na conciliação")</f>
        <v>Sobrando 273.4 KG no estoque físico</v>
      </c>
      <c r="G22" s="169" t="str">
        <f aca="false">IFERROR(INDEX('5 Conciliação'!$K$14:$K$107,MATCH(C22&amp;"|"&amp;D22,'5 Conciliação'!$S$14:$S$107,0)),"")</f>
        <v>Estoque antigo: toda a sobra está em posições sem movimento desde antes de 09/09</v>
      </c>
      <c r="H22" s="169" t="str">
        <f aca="false">IFERROR(INDEX('5 Conciliação'!$L$14:$L$107,MATCH(C22&amp;"|"&amp;D22,'5 Conciliação'!$S$14:$S$107,0)),"")</f>
        <v>Confirmar no SAP o saldo de 08/09 (273.4 KG). Se estiver certo, não há ajuste</v>
      </c>
      <c r="I22" s="170" t="n">
        <f aca="false">IFERROR(INDEX('5 Conciliação'!$I$14:$I$107,MATCH(C22&amp;"|"&amp;D22,'5 Conciliação'!$S$14:$S$107,0)),0)</f>
        <v>273.36</v>
      </c>
      <c r="J22" s="166" t="str">
        <f aca="false">IFERROR(INDEX('5 Conciliação'!$R$14:$R$107,MATCH(C22&amp;"|"&amp;D22,'5 Conciliação'!$S$14:$S$107,0)),"")</f>
        <v>Baixa</v>
      </c>
      <c r="K22" s="171" t="s">
        <v>1848</v>
      </c>
      <c r="L22" s="172" t="n">
        <f aca="false">Parâmetros!$K$9</f>
        <v>46297</v>
      </c>
      <c r="M22" s="173"/>
      <c r="N22" s="173"/>
      <c r="O22" s="174" t="s">
        <v>119</v>
      </c>
      <c r="P22" s="168" t="str">
        <f aca="false">IF(O22="Concluído","Concluída",IF(O22="Cancelado","Cancelada",IF(M22="","Sem prazo definido",IF(M22&lt;Parâmetros!$K$10,"Vencida",IF(M22-Parâmetros!$K$10&lt;=Parâmetros!$K$11,"Vence em breve","No prazo")))))</f>
        <v>Sem prazo definido</v>
      </c>
      <c r="Q22" s="171" t="s">
        <v>1848</v>
      </c>
    </row>
    <row r="23" customFormat="false" ht="15" hidden="false" customHeight="false" outlineLevel="0" collapsed="false">
      <c r="A23" s="166" t="s">
        <v>1863</v>
      </c>
      <c r="B23" s="167" t="s">
        <v>1847</v>
      </c>
      <c r="C23" s="167" t="s">
        <v>252</v>
      </c>
      <c r="D23" s="167" t="s">
        <v>253</v>
      </c>
      <c r="E23" s="168" t="s">
        <v>65</v>
      </c>
      <c r="F23" s="169" t="str">
        <f aca="false">IFERROR(IF(INDEX('5 Conciliação'!$J$14:$J$107,MATCH(C23&amp;"|"&amp;D23,'5 Conciliação'!$S$14:$S$107,0))="Confere","Diferença zerada na última atualização",INDEX('5 Conciliação'!$J$14:$J$107,MATCH(C23&amp;"|"&amp;D23,'5 Conciliação'!$S$14:$S$107,0))&amp;" "&amp;FIXED(ABS(INDEX('5 Conciliação'!$I$14:$I$107,MATCH(C23&amp;"|"&amp;D23,'5 Conciliação'!$S$14:$S$107,0))),1)&amp;" "&amp;E23&amp;" no estoque físico"),"SKU·lote não encontrado na conciliação")</f>
        <v>Sobrando 248.0 KG no estoque físico</v>
      </c>
      <c r="G23" s="169" t="str">
        <f aca="false">IFERROR(INDEX('5 Conciliação'!$K$14:$K$107,MATCH(C23&amp;"|"&amp;D23,'5 Conciliação'!$S$14:$S$107,0)),"")</f>
        <v>Estoque acima do esperado: entrada não lançada ou saldo anterior ao período</v>
      </c>
      <c r="H23" s="169" t="str">
        <f aca="false">IFERROR(INDEX('5 Conciliação'!$L$14:$L$107,MATCH(C23&amp;"|"&amp;D23,'5 Conciliação'!$S$14:$S$107,0)),"")</f>
        <v>Confirmar saldo de 08/09; se não existir, contar o lote e lançar ajuste de inventário de +248.0 KG</v>
      </c>
      <c r="I23" s="170" t="n">
        <f aca="false">IFERROR(INDEX('5 Conciliação'!$I$14:$I$107,MATCH(C23&amp;"|"&amp;D23,'5 Conciliação'!$S$14:$S$107,0)),0)</f>
        <v>248</v>
      </c>
      <c r="J23" s="166" t="str">
        <f aca="false">IFERROR(INDEX('5 Conciliação'!$R$14:$R$107,MATCH(C23&amp;"|"&amp;D23,'5 Conciliação'!$S$14:$S$107,0)),"")</f>
        <v>Média</v>
      </c>
      <c r="K23" s="171" t="s">
        <v>1848</v>
      </c>
      <c r="L23" s="172" t="n">
        <f aca="false">Parâmetros!$K$9</f>
        <v>46297</v>
      </c>
      <c r="M23" s="173"/>
      <c r="N23" s="173"/>
      <c r="O23" s="174" t="s">
        <v>119</v>
      </c>
      <c r="P23" s="168" t="str">
        <f aca="false">IF(O23="Concluído","Concluída",IF(O23="Cancelado","Cancelada",IF(M23="","Sem prazo definido",IF(M23&lt;Parâmetros!$K$10,"Vencida",IF(M23-Parâmetros!$K$10&lt;=Parâmetros!$K$11,"Vence em breve","No prazo")))))</f>
        <v>Sem prazo definido</v>
      </c>
      <c r="Q23" s="171" t="s">
        <v>1848</v>
      </c>
    </row>
    <row r="24" customFormat="false" ht="15" hidden="false" customHeight="false" outlineLevel="0" collapsed="false">
      <c r="A24" s="166" t="s">
        <v>1864</v>
      </c>
      <c r="B24" s="167" t="s">
        <v>1847</v>
      </c>
      <c r="C24" s="167" t="s">
        <v>198</v>
      </c>
      <c r="D24" s="167" t="s">
        <v>199</v>
      </c>
      <c r="E24" s="168" t="s">
        <v>65</v>
      </c>
      <c r="F24" s="169" t="str">
        <f aca="false">IFERROR(IF(INDEX('5 Conciliação'!$J$14:$J$107,MATCH(C24&amp;"|"&amp;D24,'5 Conciliação'!$S$14:$S$107,0))="Confere","Diferença zerada na última atualização",INDEX('5 Conciliação'!$J$14:$J$107,MATCH(C24&amp;"|"&amp;D24,'5 Conciliação'!$S$14:$S$107,0))&amp;" "&amp;FIXED(ABS(INDEX('5 Conciliação'!$I$14:$I$107,MATCH(C24&amp;"|"&amp;D24,'5 Conciliação'!$S$14:$S$107,0))),1)&amp;" "&amp;E24&amp;" no estoque físico"),"SKU·lote não encontrado na conciliação")</f>
        <v>Sobrando 173.6 KG no estoque físico</v>
      </c>
      <c r="G24" s="169" t="str">
        <f aca="false">IFERROR(INDEX('5 Conciliação'!$K$14:$K$107,MATCH(C24&amp;"|"&amp;D24,'5 Conciliação'!$S$14:$S$107,0)),"")</f>
        <v>Estoque antigo/doca + saídas pelo depósito 0355 que não baixaram o estoque físico</v>
      </c>
      <c r="H24" s="169" t="str">
        <f aca="false">IFERROR(INDEX('5 Conciliação'!$L$14:$L$107,MATCH(C24&amp;"|"&amp;D24,'5 Conciliação'!$S$14:$S$107,0)),"")</f>
        <v>Confirmar a OT de saída (picking) das remessas para baixar 162.4 KG do estoque físico; conferir também estoque antigo/doca</v>
      </c>
      <c r="I24" s="170" t="n">
        <f aca="false">IFERROR(INDEX('5 Conciliação'!$I$14:$I$107,MATCH(C24&amp;"|"&amp;D24,'5 Conciliação'!$S$14:$S$107,0)),0)</f>
        <v>173.6</v>
      </c>
      <c r="J24" s="166" t="str">
        <f aca="false">IFERROR(INDEX('5 Conciliação'!$R$14:$R$107,MATCH(C24&amp;"|"&amp;D24,'5 Conciliação'!$S$14:$S$107,0)),"")</f>
        <v>Baixa</v>
      </c>
      <c r="K24" s="171" t="s">
        <v>1848</v>
      </c>
      <c r="L24" s="172" t="n">
        <f aca="false">Parâmetros!$K$9</f>
        <v>46297</v>
      </c>
      <c r="M24" s="173"/>
      <c r="N24" s="173"/>
      <c r="O24" s="174" t="s">
        <v>119</v>
      </c>
      <c r="P24" s="168" t="str">
        <f aca="false">IF(O24="Concluído","Concluída",IF(O24="Cancelado","Cancelada",IF(M24="","Sem prazo definido",IF(M24&lt;Parâmetros!$K$10,"Vencida",IF(M24-Parâmetros!$K$10&lt;=Parâmetros!$K$11,"Vence em breve","No prazo")))))</f>
        <v>Sem prazo definido</v>
      </c>
      <c r="Q24" s="171" t="s">
        <v>1848</v>
      </c>
    </row>
    <row r="25" customFormat="false" ht="15" hidden="false" customHeight="false" outlineLevel="0" collapsed="false">
      <c r="A25" s="166" t="s">
        <v>1865</v>
      </c>
      <c r="B25" s="167" t="s">
        <v>1847</v>
      </c>
      <c r="C25" s="167" t="s">
        <v>276</v>
      </c>
      <c r="D25" s="167" t="s">
        <v>278</v>
      </c>
      <c r="E25" s="168" t="s">
        <v>65</v>
      </c>
      <c r="F25" s="169" t="str">
        <f aca="false">IFERROR(IF(INDEX('5 Conciliação'!$J$14:$J$107,MATCH(C25&amp;"|"&amp;D25,'5 Conciliação'!$S$14:$S$107,0))="Confere","Diferença zerada na última atualização",INDEX('5 Conciliação'!$J$14:$J$107,MATCH(C25&amp;"|"&amp;D25,'5 Conciliação'!$S$14:$S$107,0))&amp;" "&amp;FIXED(ABS(INDEX('5 Conciliação'!$I$14:$I$107,MATCH(C25&amp;"|"&amp;D25,'5 Conciliação'!$S$14:$S$107,0))),1)&amp;" "&amp;E25&amp;" no estoque físico"),"SKU·lote não encontrado na conciliação")</f>
        <v>Sobrando 120.6 KG no estoque físico</v>
      </c>
      <c r="G25" s="169" t="str">
        <f aca="false">IFERROR(INDEX('5 Conciliação'!$K$14:$K$107,MATCH(C25&amp;"|"&amp;D25,'5 Conciliação'!$S$14:$S$107,0)),"")</f>
        <v>Explica em parte: estoque antigo 0.0 + doca/transferência 20.1; faltam 100.5 a explicar</v>
      </c>
      <c r="H25" s="169" t="str">
        <f aca="false">IFERROR(INDEX('5 Conciliação'!$L$14:$L$107,MATCH(C25&amp;"|"&amp;D25,'5 Conciliação'!$S$14:$S$107,0)),"")</f>
        <v>Confirmar saldo de 08/09 e OTs de doca; contar o lote para os 100.5 KG restantes e ajustar a sobra se confirmada</v>
      </c>
      <c r="I25" s="170" t="n">
        <f aca="false">IFERROR(INDEX('5 Conciliação'!$I$14:$I$107,MATCH(C25&amp;"|"&amp;D25,'5 Conciliação'!$S$14:$S$107,0)),0)</f>
        <v>120.6</v>
      </c>
      <c r="J25" s="166" t="str">
        <f aca="false">IFERROR(INDEX('5 Conciliação'!$R$14:$R$107,MATCH(C25&amp;"|"&amp;D25,'5 Conciliação'!$S$14:$S$107,0)),"")</f>
        <v>Média</v>
      </c>
      <c r="K25" s="171" t="s">
        <v>1848</v>
      </c>
      <c r="L25" s="172" t="n">
        <f aca="false">Parâmetros!$K$9</f>
        <v>46297</v>
      </c>
      <c r="M25" s="173"/>
      <c r="N25" s="173"/>
      <c r="O25" s="174" t="s">
        <v>119</v>
      </c>
      <c r="P25" s="168" t="str">
        <f aca="false">IF(O25="Concluído","Concluída",IF(O25="Cancelado","Cancelada",IF(M25="","Sem prazo definido",IF(M25&lt;Parâmetros!$K$10,"Vencida",IF(M25-Parâmetros!$K$10&lt;=Parâmetros!$K$11,"Vence em breve","No prazo")))))</f>
        <v>Sem prazo definido</v>
      </c>
      <c r="Q25" s="171" t="s">
        <v>1848</v>
      </c>
    </row>
    <row r="26" customFormat="false" ht="15" hidden="false" customHeight="false" outlineLevel="0" collapsed="false">
      <c r="A26" s="166" t="s">
        <v>1866</v>
      </c>
      <c r="B26" s="167" t="s">
        <v>1847</v>
      </c>
      <c r="C26" s="167" t="s">
        <v>286</v>
      </c>
      <c r="D26" s="167" t="s">
        <v>299</v>
      </c>
      <c r="E26" s="168" t="s">
        <v>147</v>
      </c>
      <c r="F26" s="169" t="str">
        <f aca="false">IFERROR(IF(INDEX('5 Conciliação'!$J$14:$J$107,MATCH(C26&amp;"|"&amp;D26,'5 Conciliação'!$S$14:$S$107,0))="Confere","Diferença zerada na última atualização",INDEX('5 Conciliação'!$J$14:$J$107,MATCH(C26&amp;"|"&amp;D26,'5 Conciliação'!$S$14:$S$107,0))&amp;" "&amp;FIXED(ABS(INDEX('5 Conciliação'!$I$14:$I$107,MATCH(C26&amp;"|"&amp;D26,'5 Conciliação'!$S$14:$S$107,0))),1)&amp;" "&amp;E26&amp;" no estoque físico"),"SKU·lote não encontrado na conciliação")</f>
        <v>Sobrando 120.0 CX no estoque físico</v>
      </c>
      <c r="G26" s="169" t="str">
        <f aca="false">IFERROR(INDEX('5 Conciliação'!$K$14:$K$107,MATCH(C26&amp;"|"&amp;D26,'5 Conciliação'!$S$14:$S$107,0)),"")</f>
        <v>Troca de lote: a mesma quantidade aparece com sinal oposto em outro lote deste SKU</v>
      </c>
      <c r="H26" s="169" t="str">
        <f aca="false">IFERROR(INDEX('5 Conciliação'!$L$14:$L$107,MATCH(C26&amp;"|"&amp;D26,'5 Conciliação'!$S$14:$S$107,0)),"")</f>
        <v>Transferir 120.0 CX entre os lotes deste SKU (transferência lote a lote, mov. 309) para corrigir o lote</v>
      </c>
      <c r="I26" s="170" t="n">
        <f aca="false">IFERROR(INDEX('5 Conciliação'!$I$14:$I$107,MATCH(C26&amp;"|"&amp;D26,'5 Conciliação'!$S$14:$S$107,0)),0)</f>
        <v>120</v>
      </c>
      <c r="J26" s="166" t="str">
        <f aca="false">IFERROR(INDEX('5 Conciliação'!$R$14:$R$107,MATCH(C26&amp;"|"&amp;D26,'5 Conciliação'!$S$14:$S$107,0)),"")</f>
        <v>Baixa</v>
      </c>
      <c r="K26" s="171" t="s">
        <v>1848</v>
      </c>
      <c r="L26" s="172" t="n">
        <f aca="false">Parâmetros!$K$9</f>
        <v>46297</v>
      </c>
      <c r="M26" s="173"/>
      <c r="N26" s="173"/>
      <c r="O26" s="174" t="s">
        <v>119</v>
      </c>
      <c r="P26" s="168" t="str">
        <f aca="false">IF(O26="Concluído","Concluída",IF(O26="Cancelado","Cancelada",IF(M26="","Sem prazo definido",IF(M26&lt;Parâmetros!$K$10,"Vencida",IF(M26-Parâmetros!$K$10&lt;=Parâmetros!$K$11,"Vence em breve","No prazo")))))</f>
        <v>Sem prazo definido</v>
      </c>
      <c r="Q26" s="171" t="s">
        <v>1848</v>
      </c>
    </row>
    <row r="27" customFormat="false" ht="15" hidden="false" customHeight="false" outlineLevel="0" collapsed="false">
      <c r="A27" s="166" t="s">
        <v>1867</v>
      </c>
      <c r="B27" s="167" t="s">
        <v>1847</v>
      </c>
      <c r="C27" s="167" t="s">
        <v>247</v>
      </c>
      <c r="D27" s="167" t="s">
        <v>348</v>
      </c>
      <c r="E27" s="168" t="s">
        <v>65</v>
      </c>
      <c r="F27" s="169" t="str">
        <f aca="false">IFERROR(IF(INDEX('5 Conciliação'!$J$14:$J$107,MATCH(C27&amp;"|"&amp;D27,'5 Conciliação'!$S$14:$S$107,0))="Confere","Diferença zerada na última atualização",INDEX('5 Conciliação'!$J$14:$J$107,MATCH(C27&amp;"|"&amp;D27,'5 Conciliação'!$S$14:$S$107,0))&amp;" "&amp;FIXED(ABS(INDEX('5 Conciliação'!$I$14:$I$107,MATCH(C27&amp;"|"&amp;D27,'5 Conciliação'!$S$14:$S$107,0))),1)&amp;" "&amp;E27&amp;" no estoque físico"),"SKU·lote não encontrado na conciliação")</f>
        <v>Sobrando 116.6 KG no estoque físico</v>
      </c>
      <c r="G27" s="169" t="str">
        <f aca="false">IFERROR(INDEX('5 Conciliação'!$K$14:$K$107,MATCH(C27&amp;"|"&amp;D27,'5 Conciliação'!$S$14:$S$107,0)),"")</f>
        <v>Estoque antigo + quantidade em doca/chão/transferência</v>
      </c>
      <c r="H27" s="169" t="str">
        <f aca="false">IFERROR(INDEX('5 Conciliação'!$L$14:$L$107,MATCH(C27&amp;"|"&amp;D27,'5 Conciliação'!$S$14:$S$107,0)),"")</f>
        <v>Confirmar saldo de 08/09 (36.2 KG) e tratar as OTs em doca/transferência (80.4 KG)</v>
      </c>
      <c r="I27" s="170" t="n">
        <f aca="false">IFERROR(INDEX('5 Conciliação'!$I$14:$I$107,MATCH(C27&amp;"|"&amp;D27,'5 Conciliação'!$S$14:$S$107,0)),0)</f>
        <v>116.58</v>
      </c>
      <c r="J27" s="166" t="str">
        <f aca="false">IFERROR(INDEX('5 Conciliação'!$R$14:$R$107,MATCH(C27&amp;"|"&amp;D27,'5 Conciliação'!$S$14:$S$107,0)),"")</f>
        <v>Baixa</v>
      </c>
      <c r="K27" s="171" t="s">
        <v>1848</v>
      </c>
      <c r="L27" s="172" t="n">
        <f aca="false">Parâmetros!$K$9</f>
        <v>46297</v>
      </c>
      <c r="M27" s="173"/>
      <c r="N27" s="173"/>
      <c r="O27" s="174" t="s">
        <v>119</v>
      </c>
      <c r="P27" s="168" t="str">
        <f aca="false">IF(O27="Concluído","Concluída",IF(O27="Cancelado","Cancelada",IF(M27="","Sem prazo definido",IF(M27&lt;Parâmetros!$K$10,"Vencida",IF(M27-Parâmetros!$K$10&lt;=Parâmetros!$K$11,"Vence em breve","No prazo")))))</f>
        <v>Sem prazo definido</v>
      </c>
      <c r="Q27" s="171" t="s">
        <v>1848</v>
      </c>
    </row>
    <row r="28" customFormat="false" ht="15" hidden="false" customHeight="false" outlineLevel="0" collapsed="false">
      <c r="A28" s="166" t="s">
        <v>1868</v>
      </c>
      <c r="B28" s="167" t="s">
        <v>1847</v>
      </c>
      <c r="C28" s="167" t="s">
        <v>220</v>
      </c>
      <c r="D28" s="167" t="s">
        <v>221</v>
      </c>
      <c r="E28" s="168" t="s">
        <v>65</v>
      </c>
      <c r="F28" s="169" t="str">
        <f aca="false">IFERROR(IF(INDEX('5 Conciliação'!$J$14:$J$107,MATCH(C28&amp;"|"&amp;D28,'5 Conciliação'!$S$14:$S$107,0))="Confere","Diferença zerada na última atualização",INDEX('5 Conciliação'!$J$14:$J$107,MATCH(C28&amp;"|"&amp;D28,'5 Conciliação'!$S$14:$S$107,0))&amp;" "&amp;FIXED(ABS(INDEX('5 Conciliação'!$I$14:$I$107,MATCH(C28&amp;"|"&amp;D28,'5 Conciliação'!$S$14:$S$107,0))),1)&amp;" "&amp;E28&amp;" no estoque físico"),"SKU·lote não encontrado na conciliação")</f>
        <v>Sobrando 80.4 KG no estoque físico</v>
      </c>
      <c r="G28" s="169" t="str">
        <f aca="false">IFERROR(INDEX('5 Conciliação'!$K$14:$K$107,MATCH(C28&amp;"|"&amp;D28,'5 Conciliação'!$S$14:$S$107,0)),"")</f>
        <v>As saídas do período não baixaram o estoque físico</v>
      </c>
      <c r="H28" s="169" t="str">
        <f aca="false">IFERROR(INDEX('5 Conciliação'!$L$14:$L$107,MATCH(C28&amp;"|"&amp;D28,'5 Conciliação'!$S$14:$S$107,0)),"")</f>
        <v>Confirmar a OT de saída (picking) das remessas para baixar 1,119.6 KG do estoque físico; conferir também estoque antigo/doca</v>
      </c>
      <c r="I28" s="170" t="n">
        <f aca="false">IFERROR(INDEX('5 Conciliação'!$I$14:$I$107,MATCH(C28&amp;"|"&amp;D28,'5 Conciliação'!$S$14:$S$107,0)),0)</f>
        <v>80.4</v>
      </c>
      <c r="J28" s="166" t="str">
        <f aca="false">IFERROR(INDEX('5 Conciliação'!$R$14:$R$107,MATCH(C28&amp;"|"&amp;D28,'5 Conciliação'!$S$14:$S$107,0)),"")</f>
        <v>Baixa</v>
      </c>
      <c r="K28" s="171" t="s">
        <v>1848</v>
      </c>
      <c r="L28" s="172" t="n">
        <f aca="false">Parâmetros!$K$9</f>
        <v>46297</v>
      </c>
      <c r="M28" s="173"/>
      <c r="N28" s="173"/>
      <c r="O28" s="174" t="s">
        <v>119</v>
      </c>
      <c r="P28" s="168" t="str">
        <f aca="false">IF(O28="Concluído","Concluída",IF(O28="Cancelado","Cancelada",IF(M28="","Sem prazo definido",IF(M28&lt;Parâmetros!$K$10,"Vencida",IF(M28-Parâmetros!$K$10&lt;=Parâmetros!$K$11,"Vence em breve","No prazo")))))</f>
        <v>Sem prazo definido</v>
      </c>
      <c r="Q28" s="171" t="s">
        <v>1848</v>
      </c>
    </row>
    <row r="29" customFormat="false" ht="15" hidden="false" customHeight="false" outlineLevel="0" collapsed="false">
      <c r="A29" s="166" t="s">
        <v>1869</v>
      </c>
      <c r="B29" s="167" t="s">
        <v>1847</v>
      </c>
      <c r="C29" s="167" t="s">
        <v>250</v>
      </c>
      <c r="D29" s="167" t="s">
        <v>251</v>
      </c>
      <c r="E29" s="168" t="s">
        <v>65</v>
      </c>
      <c r="F29" s="169" t="str">
        <f aca="false">IFERROR(IF(INDEX('5 Conciliação'!$J$14:$J$107,MATCH(C29&amp;"|"&amp;D29,'5 Conciliação'!$S$14:$S$107,0))="Confere","Diferença zerada na última atualização",INDEX('5 Conciliação'!$J$14:$J$107,MATCH(C29&amp;"|"&amp;D29,'5 Conciliação'!$S$14:$S$107,0))&amp;" "&amp;FIXED(ABS(INDEX('5 Conciliação'!$I$14:$I$107,MATCH(C29&amp;"|"&amp;D29,'5 Conciliação'!$S$14:$S$107,0))),1)&amp;" "&amp;E29&amp;" no estoque físico"),"SKU·lote não encontrado na conciliação")</f>
        <v>Sobrando 72.8 KG no estoque físico</v>
      </c>
      <c r="G29" s="169" t="str">
        <f aca="false">IFERROR(INDEX('5 Conciliação'!$K$14:$K$107,MATCH(C29&amp;"|"&amp;D29,'5 Conciliação'!$S$14:$S$107,0)),"")</f>
        <v>Estoque antigo/doca + saídas do período que não baixaram o estoque físico</v>
      </c>
      <c r="H29" s="169" t="str">
        <f aca="false">IFERROR(INDEX('5 Conciliação'!$L$14:$L$107,MATCH(C29&amp;"|"&amp;D29,'5 Conciliação'!$S$14:$S$107,0)),"")</f>
        <v>Confirmar a OT de saída (picking) das remessas para baixar 53.2 KG do estoque físico; conferir também estoque antigo/doca</v>
      </c>
      <c r="I29" s="170" t="n">
        <f aca="false">IFERROR(INDEX('5 Conciliação'!$I$14:$I$107,MATCH(C29&amp;"|"&amp;D29,'5 Conciliação'!$S$14:$S$107,0)),0)</f>
        <v>72.8</v>
      </c>
      <c r="J29" s="166" t="str">
        <f aca="false">IFERROR(INDEX('5 Conciliação'!$R$14:$R$107,MATCH(C29&amp;"|"&amp;D29,'5 Conciliação'!$S$14:$S$107,0)),"")</f>
        <v>Baixa</v>
      </c>
      <c r="K29" s="171" t="s">
        <v>1848</v>
      </c>
      <c r="L29" s="172" t="n">
        <f aca="false">Parâmetros!$K$9</f>
        <v>46297</v>
      </c>
      <c r="M29" s="173"/>
      <c r="N29" s="173"/>
      <c r="O29" s="174" t="s">
        <v>119</v>
      </c>
      <c r="P29" s="168" t="str">
        <f aca="false">IF(O29="Concluído","Concluída",IF(O29="Cancelado","Cancelada",IF(M29="","Sem prazo definido",IF(M29&lt;Parâmetros!$K$10,"Vencida",IF(M29-Parâmetros!$K$10&lt;=Parâmetros!$K$11,"Vence em breve","No prazo")))))</f>
        <v>Sem prazo definido</v>
      </c>
      <c r="Q29" s="171" t="s">
        <v>1848</v>
      </c>
    </row>
    <row r="30" customFormat="false" ht="15" hidden="false" customHeight="false" outlineLevel="0" collapsed="false">
      <c r="A30" s="166" t="s">
        <v>1870</v>
      </c>
      <c r="B30" s="167" t="s">
        <v>1847</v>
      </c>
      <c r="C30" s="167" t="s">
        <v>232</v>
      </c>
      <c r="D30" s="167" t="s">
        <v>241</v>
      </c>
      <c r="E30" s="168" t="s">
        <v>146</v>
      </c>
      <c r="F30" s="169" t="str">
        <f aca="false">IFERROR(IF(INDEX('5 Conciliação'!$J$14:$J$107,MATCH(C30&amp;"|"&amp;D30,'5 Conciliação'!$S$14:$S$107,0))="Confere","Diferença zerada na última atualização",INDEX('5 Conciliação'!$J$14:$J$107,MATCH(C30&amp;"|"&amp;D30,'5 Conciliação'!$S$14:$S$107,0))&amp;" "&amp;FIXED(ABS(INDEX('5 Conciliação'!$I$14:$I$107,MATCH(C30&amp;"|"&amp;D30,'5 Conciliação'!$S$14:$S$107,0))),1)&amp;" "&amp;E30&amp;" no estoque físico"),"SKU·lote não encontrado na conciliação")</f>
        <v>Sobrando 60.0 UN no estoque físico</v>
      </c>
      <c r="G30" s="169" t="str">
        <f aca="false">IFERROR(INDEX('5 Conciliação'!$K$14:$K$107,MATCH(C30&amp;"|"&amp;D30,'5 Conciliação'!$S$14:$S$107,0)),"")</f>
        <v>Saídas pelo depósito 0355 que não baixaram o estoque físico</v>
      </c>
      <c r="H30" s="169" t="str">
        <f aca="false">IFERROR(INDEX('5 Conciliação'!$L$14:$L$107,MATCH(C30&amp;"|"&amp;D30,'5 Conciliação'!$S$14:$S$107,0)),"")</f>
        <v>Confirmar a OT de saída (picking) das remessas para baixar 60.0 UN do estoque físico</v>
      </c>
      <c r="I30" s="170" t="n">
        <f aca="false">IFERROR(INDEX('5 Conciliação'!$I$14:$I$107,MATCH(C30&amp;"|"&amp;D30,'5 Conciliação'!$S$14:$S$107,0)),0)</f>
        <v>60</v>
      </c>
      <c r="J30" s="166" t="str">
        <f aca="false">IFERROR(INDEX('5 Conciliação'!$R$14:$R$107,MATCH(C30&amp;"|"&amp;D30,'5 Conciliação'!$S$14:$S$107,0)),"")</f>
        <v>Baixa</v>
      </c>
      <c r="K30" s="171" t="s">
        <v>1848</v>
      </c>
      <c r="L30" s="172" t="n">
        <f aca="false">Parâmetros!$K$9</f>
        <v>46297</v>
      </c>
      <c r="M30" s="173"/>
      <c r="N30" s="173"/>
      <c r="O30" s="174" t="s">
        <v>119</v>
      </c>
      <c r="P30" s="168" t="str">
        <f aca="false">IF(O30="Concluído","Concluída",IF(O30="Cancelado","Cancelada",IF(M30="","Sem prazo definido",IF(M30&lt;Parâmetros!$K$10,"Vencida",IF(M30-Parâmetros!$K$10&lt;=Parâmetros!$K$11,"Vence em breve","No prazo")))))</f>
        <v>Sem prazo definido</v>
      </c>
      <c r="Q30" s="171" t="s">
        <v>1848</v>
      </c>
    </row>
    <row r="31" customFormat="false" ht="15" hidden="false" customHeight="false" outlineLevel="0" collapsed="false">
      <c r="A31" s="166" t="s">
        <v>1871</v>
      </c>
      <c r="B31" s="167" t="s">
        <v>1847</v>
      </c>
      <c r="C31" s="167" t="s">
        <v>354</v>
      </c>
      <c r="D31" s="167" t="s">
        <v>355</v>
      </c>
      <c r="E31" s="168" t="s">
        <v>65</v>
      </c>
      <c r="F31" s="169" t="str">
        <f aca="false">IFERROR(IF(INDEX('5 Conciliação'!$J$14:$J$107,MATCH(C31&amp;"|"&amp;D31,'5 Conciliação'!$S$14:$S$107,0))="Confere","Diferença zerada na última atualização",INDEX('5 Conciliação'!$J$14:$J$107,MATCH(C31&amp;"|"&amp;D31,'5 Conciliação'!$S$14:$S$107,0))&amp;" "&amp;FIXED(ABS(INDEX('5 Conciliação'!$I$14:$I$107,MATCH(C31&amp;"|"&amp;D31,'5 Conciliação'!$S$14:$S$107,0))),1)&amp;" "&amp;E31&amp;" no estoque físico"),"SKU·lote não encontrado na conciliação")</f>
        <v>Sobrando 60.0 KG no estoque físico</v>
      </c>
      <c r="G31" s="169" t="str">
        <f aca="false">IFERROR(INDEX('5 Conciliação'!$K$14:$K$107,MATCH(C31&amp;"|"&amp;D31,'5 Conciliação'!$S$14:$S$107,0)),"")</f>
        <v>As saídas do período não baixaram o estoque físico</v>
      </c>
      <c r="H31" s="169" t="str">
        <f aca="false">IFERROR(INDEX('5 Conciliação'!$L$14:$L$107,MATCH(C31&amp;"|"&amp;D31,'5 Conciliação'!$S$14:$S$107,0)),"")</f>
        <v>Confirmar a OT de saída (picking) das remessas para baixar 50.0 KG do estoque físico; conferir também estoque antigo/doca</v>
      </c>
      <c r="I31" s="170" t="n">
        <f aca="false">IFERROR(INDEX('5 Conciliação'!$I$14:$I$107,MATCH(C31&amp;"|"&amp;D31,'5 Conciliação'!$S$14:$S$107,0)),0)</f>
        <v>60</v>
      </c>
      <c r="J31" s="166" t="str">
        <f aca="false">IFERROR(INDEX('5 Conciliação'!$R$14:$R$107,MATCH(C31&amp;"|"&amp;D31,'5 Conciliação'!$S$14:$S$107,0)),"")</f>
        <v>Baixa</v>
      </c>
      <c r="K31" s="171" t="s">
        <v>1848</v>
      </c>
      <c r="L31" s="172" t="n">
        <f aca="false">Parâmetros!$K$9</f>
        <v>46297</v>
      </c>
      <c r="M31" s="173"/>
      <c r="N31" s="173"/>
      <c r="O31" s="174" t="s">
        <v>119</v>
      </c>
      <c r="P31" s="168" t="str">
        <f aca="false">IF(O31="Concluído","Concluída",IF(O31="Cancelado","Cancelada",IF(M31="","Sem prazo definido",IF(M31&lt;Parâmetros!$K$10,"Vencida",IF(M31-Parâmetros!$K$10&lt;=Parâmetros!$K$11,"Vence em breve","No prazo")))))</f>
        <v>Sem prazo definido</v>
      </c>
      <c r="Q31" s="171" t="s">
        <v>1848</v>
      </c>
    </row>
    <row r="32" customFormat="false" ht="15" hidden="false" customHeight="false" outlineLevel="0" collapsed="false">
      <c r="A32" s="166" t="s">
        <v>1872</v>
      </c>
      <c r="B32" s="167" t="s">
        <v>1847</v>
      </c>
      <c r="C32" s="167" t="s">
        <v>232</v>
      </c>
      <c r="D32" s="167" t="s">
        <v>237</v>
      </c>
      <c r="E32" s="168" t="s">
        <v>146</v>
      </c>
      <c r="F32" s="169" t="str">
        <f aca="false">IFERROR(IF(INDEX('5 Conciliação'!$J$14:$J$107,MATCH(C32&amp;"|"&amp;D32,'5 Conciliação'!$S$14:$S$107,0))="Confere","Diferença zerada na última atualização",INDEX('5 Conciliação'!$J$14:$J$107,MATCH(C32&amp;"|"&amp;D32,'5 Conciliação'!$S$14:$S$107,0))&amp;" "&amp;FIXED(ABS(INDEX('5 Conciliação'!$I$14:$I$107,MATCH(C32&amp;"|"&amp;D32,'5 Conciliação'!$S$14:$S$107,0))),1)&amp;" "&amp;E32&amp;" no estoque físico"),"SKU·lote não encontrado na conciliação")</f>
        <v>Sobrando 30.0 UN no estoque físico</v>
      </c>
      <c r="G32" s="169" t="str">
        <f aca="false">IFERROR(INDEX('5 Conciliação'!$K$14:$K$107,MATCH(C32&amp;"|"&amp;D32,'5 Conciliação'!$S$14:$S$107,0)),"")</f>
        <v>Estoque acima do esperado: entrada não lançada ou saldo anterior ao período</v>
      </c>
      <c r="H32" s="169" t="str">
        <f aca="false">IFERROR(INDEX('5 Conciliação'!$L$14:$L$107,MATCH(C32&amp;"|"&amp;D32,'5 Conciliação'!$S$14:$S$107,0)),"")</f>
        <v>Confirmar saldo de 08/09; se não existir, contar o lote e lançar ajuste de inventário de +30.0 UN</v>
      </c>
      <c r="I32" s="170" t="n">
        <f aca="false">IFERROR(INDEX('5 Conciliação'!$I$14:$I$107,MATCH(C32&amp;"|"&amp;D32,'5 Conciliação'!$S$14:$S$107,0)),0)</f>
        <v>30</v>
      </c>
      <c r="J32" s="166" t="str">
        <f aca="false">IFERROR(INDEX('5 Conciliação'!$R$14:$R$107,MATCH(C32&amp;"|"&amp;D32,'5 Conciliação'!$S$14:$S$107,0)),"")</f>
        <v>Média</v>
      </c>
      <c r="K32" s="171" t="s">
        <v>1848</v>
      </c>
      <c r="L32" s="172" t="n">
        <f aca="false">Parâmetros!$K$9</f>
        <v>46297</v>
      </c>
      <c r="M32" s="173"/>
      <c r="N32" s="173"/>
      <c r="O32" s="174" t="s">
        <v>119</v>
      </c>
      <c r="P32" s="168" t="str">
        <f aca="false">IF(O32="Concluído","Concluída",IF(O32="Cancelado","Cancelada",IF(M32="","Sem prazo definido",IF(M32&lt;Parâmetros!$K$10,"Vencida",IF(M32-Parâmetros!$K$10&lt;=Parâmetros!$K$11,"Vence em breve","No prazo")))))</f>
        <v>Sem prazo definido</v>
      </c>
      <c r="Q32" s="171" t="s">
        <v>1848</v>
      </c>
    </row>
    <row r="33" customFormat="false" ht="15" hidden="false" customHeight="false" outlineLevel="0" collapsed="false">
      <c r="A33" s="166" t="s">
        <v>1873</v>
      </c>
      <c r="B33" s="167" t="s">
        <v>1847</v>
      </c>
      <c r="C33" s="167" t="s">
        <v>276</v>
      </c>
      <c r="D33" s="167" t="s">
        <v>277</v>
      </c>
      <c r="E33" s="168" t="s">
        <v>65</v>
      </c>
      <c r="F33" s="169" t="str">
        <f aca="false">IFERROR(IF(INDEX('5 Conciliação'!$J$14:$J$107,MATCH(C33&amp;"|"&amp;D33,'5 Conciliação'!$S$14:$S$107,0))="Confere","Diferença zerada na última atualização",INDEX('5 Conciliação'!$J$14:$J$107,MATCH(C33&amp;"|"&amp;D33,'5 Conciliação'!$S$14:$S$107,0))&amp;" "&amp;FIXED(ABS(INDEX('5 Conciliação'!$I$14:$I$107,MATCH(C33&amp;"|"&amp;D33,'5 Conciliação'!$S$14:$S$107,0))),1)&amp;" "&amp;E33&amp;" no estoque físico"),"SKU·lote não encontrado na conciliação")</f>
        <v>Sobrando 20.1 KG no estoque físico</v>
      </c>
      <c r="G33" s="169" t="str">
        <f aca="false">IFERROR(INDEX('5 Conciliação'!$K$14:$K$107,MATCH(C33&amp;"|"&amp;D33,'5 Conciliação'!$S$14:$S$107,0)),"")</f>
        <v>Quantidade parada em doca, chão ou transferência: entrega ou devolução não baixada</v>
      </c>
      <c r="H33" s="169" t="str">
        <f aca="false">IFERROR(INDEX('5 Conciliação'!$L$14:$L$107,MATCH(C33&amp;"|"&amp;D33,'5 Conciliação'!$S$14:$S$107,0)),"")</f>
        <v>Confirmar ou estornar as OTs em doca/transferência (20.1 KG): guardar na posição ou baixar a entrega</v>
      </c>
      <c r="I33" s="170" t="n">
        <f aca="false">IFERROR(INDEX('5 Conciliação'!$I$14:$I$107,MATCH(C33&amp;"|"&amp;D33,'5 Conciliação'!$S$14:$S$107,0)),0)</f>
        <v>20.1</v>
      </c>
      <c r="J33" s="166" t="str">
        <f aca="false">IFERROR(INDEX('5 Conciliação'!$R$14:$R$107,MATCH(C33&amp;"|"&amp;D33,'5 Conciliação'!$S$14:$S$107,0)),"")</f>
        <v>Baixa</v>
      </c>
      <c r="K33" s="171" t="s">
        <v>1848</v>
      </c>
      <c r="L33" s="172" t="n">
        <f aca="false">Parâmetros!$K$9</f>
        <v>46297</v>
      </c>
      <c r="M33" s="173"/>
      <c r="N33" s="173"/>
      <c r="O33" s="174" t="s">
        <v>119</v>
      </c>
      <c r="P33" s="168" t="str">
        <f aca="false">IF(O33="Concluído","Concluída",IF(O33="Cancelado","Cancelada",IF(M33="","Sem prazo definido",IF(M33&lt;Parâmetros!$K$10,"Vencida",IF(M33-Parâmetros!$K$10&lt;=Parâmetros!$K$11,"Vence em breve","No prazo")))))</f>
        <v>Sem prazo definido</v>
      </c>
      <c r="Q33" s="171" t="s">
        <v>1848</v>
      </c>
    </row>
    <row r="34" customFormat="false" ht="15" hidden="false" customHeight="false" outlineLevel="0" collapsed="false">
      <c r="A34" s="166" t="s">
        <v>1874</v>
      </c>
      <c r="B34" s="167" t="s">
        <v>1847</v>
      </c>
      <c r="C34" s="167" t="s">
        <v>205</v>
      </c>
      <c r="D34" s="167" t="s">
        <v>206</v>
      </c>
      <c r="E34" s="168" t="s">
        <v>65</v>
      </c>
      <c r="F34" s="169" t="str">
        <f aca="false">IFERROR(IF(INDEX('5 Conciliação'!$J$14:$J$107,MATCH(C34&amp;"|"&amp;D34,'5 Conciliação'!$S$14:$S$107,0))="Confere","Diferença zerada na última atualização",INDEX('5 Conciliação'!$J$14:$J$107,MATCH(C34&amp;"|"&amp;D34,'5 Conciliação'!$S$14:$S$107,0))&amp;" "&amp;FIXED(ABS(INDEX('5 Conciliação'!$I$14:$I$107,MATCH(C34&amp;"|"&amp;D34,'5 Conciliação'!$S$14:$S$107,0))),1)&amp;" "&amp;E34&amp;" no estoque físico"),"SKU·lote não encontrado na conciliação")</f>
        <v>Sobrando 20.1 KG no estoque físico</v>
      </c>
      <c r="G34" s="169" t="str">
        <f aca="false">IFERROR(INDEX('5 Conciliação'!$K$14:$K$107,MATCH(C34&amp;"|"&amp;D34,'5 Conciliação'!$S$14:$S$107,0)),"")</f>
        <v>Estoque antigo: toda a sobra está em posições sem movimento desde antes de 09/09</v>
      </c>
      <c r="H34" s="169" t="str">
        <f aca="false">IFERROR(INDEX('5 Conciliação'!$L$14:$L$107,MATCH(C34&amp;"|"&amp;D34,'5 Conciliação'!$S$14:$S$107,0)),"")</f>
        <v>Confirmar no SAP o saldo de 08/09 (20.1 KG). Se estiver certo, não há ajuste</v>
      </c>
      <c r="I34" s="170" t="n">
        <f aca="false">IFERROR(INDEX('5 Conciliação'!$I$14:$I$107,MATCH(C34&amp;"|"&amp;D34,'5 Conciliação'!$S$14:$S$107,0)),0)</f>
        <v>20.1</v>
      </c>
      <c r="J34" s="166" t="str">
        <f aca="false">IFERROR(INDEX('5 Conciliação'!$R$14:$R$107,MATCH(C34&amp;"|"&amp;D34,'5 Conciliação'!$S$14:$S$107,0)),"")</f>
        <v>Baixa</v>
      </c>
      <c r="K34" s="171" t="s">
        <v>1848</v>
      </c>
      <c r="L34" s="172" t="n">
        <f aca="false">Parâmetros!$K$9</f>
        <v>46297</v>
      </c>
      <c r="M34" s="173"/>
      <c r="N34" s="173"/>
      <c r="O34" s="174" t="s">
        <v>119</v>
      </c>
      <c r="P34" s="168" t="str">
        <f aca="false">IF(O34="Concluído","Concluída",IF(O34="Cancelado","Cancelada",IF(M34="","Sem prazo definido",IF(M34&lt;Parâmetros!$K$10,"Vencida",IF(M34-Parâmetros!$K$10&lt;=Parâmetros!$K$11,"Vence em breve","No prazo")))))</f>
        <v>Sem prazo definido</v>
      </c>
      <c r="Q34" s="171" t="s">
        <v>1848</v>
      </c>
    </row>
    <row r="35" customFormat="false" ht="15" hidden="false" customHeight="false" outlineLevel="0" collapsed="false">
      <c r="A35" s="166" t="s">
        <v>1875</v>
      </c>
      <c r="B35" s="167" t="s">
        <v>1847</v>
      </c>
      <c r="C35" s="167" t="s">
        <v>309</v>
      </c>
      <c r="D35" s="167" t="s">
        <v>310</v>
      </c>
      <c r="E35" s="168" t="s">
        <v>65</v>
      </c>
      <c r="F35" s="169" t="str">
        <f aca="false">IFERROR(IF(INDEX('5 Conciliação'!$J$14:$J$107,MATCH(C35&amp;"|"&amp;D35,'5 Conciliação'!$S$14:$S$107,0))="Confere","Diferença zerada na última atualização",INDEX('5 Conciliação'!$J$14:$J$107,MATCH(C35&amp;"|"&amp;D35,'5 Conciliação'!$S$14:$S$107,0))&amp;" "&amp;FIXED(ABS(INDEX('5 Conciliação'!$I$14:$I$107,MATCH(C35&amp;"|"&amp;D35,'5 Conciliação'!$S$14:$S$107,0))),1)&amp;" "&amp;E35&amp;" no estoque físico"),"SKU·lote não encontrado na conciliação")</f>
        <v>Sobrando 20.1 KG no estoque físico</v>
      </c>
      <c r="G35" s="169" t="str">
        <f aca="false">IFERROR(INDEX('5 Conciliação'!$K$14:$K$107,MATCH(C35&amp;"|"&amp;D35,'5 Conciliação'!$S$14:$S$107,0)),"")</f>
        <v>Saídas pelo depósito 0355 que não baixaram o estoque físico</v>
      </c>
      <c r="H35" s="169" t="str">
        <f aca="false">IFERROR(INDEX('5 Conciliação'!$L$14:$L$107,MATCH(C35&amp;"|"&amp;D35,'5 Conciliação'!$S$14:$S$107,0)),"")</f>
        <v>Confirmar a OT de saída (picking) das remessas para baixar 20.1 KG do estoque físico</v>
      </c>
      <c r="I35" s="170" t="n">
        <f aca="false">IFERROR(INDEX('5 Conciliação'!$I$14:$I$107,MATCH(C35&amp;"|"&amp;D35,'5 Conciliação'!$S$14:$S$107,0)),0)</f>
        <v>20.1</v>
      </c>
      <c r="J35" s="166" t="str">
        <f aca="false">IFERROR(INDEX('5 Conciliação'!$R$14:$R$107,MATCH(C35&amp;"|"&amp;D35,'5 Conciliação'!$S$14:$S$107,0)),"")</f>
        <v>Baixa</v>
      </c>
      <c r="K35" s="171" t="s">
        <v>1848</v>
      </c>
      <c r="L35" s="172" t="n">
        <f aca="false">Parâmetros!$K$9</f>
        <v>46297</v>
      </c>
      <c r="M35" s="173"/>
      <c r="N35" s="173"/>
      <c r="O35" s="174" t="s">
        <v>119</v>
      </c>
      <c r="P35" s="168" t="str">
        <f aca="false">IF(O35="Concluído","Concluída",IF(O35="Cancelado","Cancelada",IF(M35="","Sem prazo definido",IF(M35&lt;Parâmetros!$K$10,"Vencida",IF(M35-Parâmetros!$K$10&lt;=Parâmetros!$K$11,"Vence em breve","No prazo")))))</f>
        <v>Sem prazo definido</v>
      </c>
      <c r="Q35" s="171" t="s">
        <v>1848</v>
      </c>
    </row>
    <row r="36" customFormat="false" ht="15" hidden="false" customHeight="false" outlineLevel="0" collapsed="false">
      <c r="A36" s="166" t="s">
        <v>1876</v>
      </c>
      <c r="B36" s="167" t="s">
        <v>1877</v>
      </c>
      <c r="C36" s="167" t="s">
        <v>377</v>
      </c>
      <c r="D36" s="167" t="s">
        <v>379</v>
      </c>
      <c r="E36" s="168" t="s">
        <v>65</v>
      </c>
      <c r="F36" s="169" t="str">
        <f aca="false">"Importação recebida no 2008 aguardando transferência: "&amp;FIXED(I36,1)&amp;" "&amp;E36</f>
        <v>Importação recebida no 2008 aguardando transferência: 6,912.0 KG</v>
      </c>
      <c r="G36" s="169" t="s">
        <v>1878</v>
      </c>
      <c r="H36" s="169" t="str">
        <f aca="false">IF(I36&lt;=Parâmetros!$C$7,"Nada a fazer: saldo zerado","Transferir "&amp;FIXED(I36,1)&amp;" "&amp;E36&amp;" do 2008 para o ZBR (verificar OT aberta)")</f>
        <v>Transferir 6,912.0 KG do 2008 para o ZBR (verificar OT aberta)</v>
      </c>
      <c r="I36" s="170" t="n">
        <f aca="false">SUMIFS('3 Base Entrada 2008'!$G$2:$G$5000,'3 Base Entrada 2008'!$B$2:$B$5000,C36,'3 Base Entrada 2008'!$C$2:$C$5000,D36)+SUMIFS('3 Base Saldo Inicial 08-09'!$E$2:$E$5000,'3 Base Saldo Inicial 08-09'!$A$2:$A$5000,C36,'3 Base Saldo Inicial 08-09'!$B$2:$B$5000,D36,'3 Base Saldo Inicial 08-09'!$C$2:$C$5000,"2008")</f>
        <v>6912</v>
      </c>
      <c r="J36" s="166" t="str">
        <f aca="false">IF(I36&lt;=Parâmetros!$C$7,"Baixa",IF(I36&gt;=Parâmetros!$K$8,"Alta","Média"))</f>
        <v>Alta</v>
      </c>
      <c r="K36" s="171" t="s">
        <v>1848</v>
      </c>
      <c r="L36" s="172" t="n">
        <f aca="false">Parâmetros!$K$9</f>
        <v>46297</v>
      </c>
      <c r="M36" s="173"/>
      <c r="N36" s="173"/>
      <c r="O36" s="174" t="s">
        <v>119</v>
      </c>
      <c r="P36" s="168" t="str">
        <f aca="false">IF(O36="Concluído","Concluída",IF(O36="Cancelado","Cancelada",IF(M36="","Sem prazo definido",IF(M36&lt;Parâmetros!$K$10,"Vencida",IF(M36-Parâmetros!$K$10&lt;=Parâmetros!$K$11,"Vence em breve","No prazo")))))</f>
        <v>Sem prazo definido</v>
      </c>
      <c r="Q36" s="171" t="s">
        <v>1848</v>
      </c>
    </row>
    <row r="37" customFormat="false" ht="15" hidden="false" customHeight="false" outlineLevel="0" collapsed="false">
      <c r="A37" s="166" t="s">
        <v>1879</v>
      </c>
      <c r="B37" s="167" t="s">
        <v>1877</v>
      </c>
      <c r="C37" s="167" t="s">
        <v>192</v>
      </c>
      <c r="D37" s="167" t="s">
        <v>193</v>
      </c>
      <c r="E37" s="168" t="s">
        <v>65</v>
      </c>
      <c r="F37" s="169" t="str">
        <f aca="false">"Importação recebida no 2008 aguardando transferência: "&amp;FIXED(I37,1)&amp;" "&amp;E37</f>
        <v>Importação recebida no 2008 aguardando transferência: 6,030.0 KG</v>
      </c>
      <c r="G37" s="169" t="s">
        <v>1878</v>
      </c>
      <c r="H37" s="169" t="str">
        <f aca="false">IF(I37&lt;=Parâmetros!$C$7,"Nada a fazer: saldo zerado","Transferir "&amp;FIXED(I37,1)&amp;" "&amp;E37&amp;" do 2008 para o ZBR (verificar OT aberta)")</f>
        <v>Transferir 6,030.0 KG do 2008 para o ZBR (verificar OT aberta)</v>
      </c>
      <c r="I37" s="170" t="n">
        <f aca="false">SUMIFS('3 Base Entrada 2008'!$G$2:$G$5000,'3 Base Entrada 2008'!$B$2:$B$5000,C37,'3 Base Entrada 2008'!$C$2:$C$5000,D37)+SUMIFS('3 Base Saldo Inicial 08-09'!$E$2:$E$5000,'3 Base Saldo Inicial 08-09'!$A$2:$A$5000,C37,'3 Base Saldo Inicial 08-09'!$B$2:$B$5000,D37,'3 Base Saldo Inicial 08-09'!$C$2:$C$5000,"2008")</f>
        <v>6030</v>
      </c>
      <c r="J37" s="166" t="str">
        <f aca="false">IF(I37&lt;=Parâmetros!$C$7,"Baixa",IF(I37&gt;=Parâmetros!$K$8,"Alta","Média"))</f>
        <v>Alta</v>
      </c>
      <c r="K37" s="171" t="s">
        <v>1848</v>
      </c>
      <c r="L37" s="172" t="n">
        <f aca="false">Parâmetros!$K$9</f>
        <v>46297</v>
      </c>
      <c r="M37" s="173"/>
      <c r="N37" s="173"/>
      <c r="O37" s="174" t="s">
        <v>119</v>
      </c>
      <c r="P37" s="168" t="str">
        <f aca="false">IF(O37="Concluído","Concluída",IF(O37="Cancelado","Cancelada",IF(M37="","Sem prazo definido",IF(M37&lt;Parâmetros!$K$10,"Vencida",IF(M37-Parâmetros!$K$10&lt;=Parâmetros!$K$11,"Vence em breve","No prazo")))))</f>
        <v>Sem prazo definido</v>
      </c>
      <c r="Q37" s="171" t="s">
        <v>1848</v>
      </c>
    </row>
    <row r="38" customFormat="false" ht="15" hidden="false" customHeight="false" outlineLevel="0" collapsed="false">
      <c r="A38" s="166" t="s">
        <v>1880</v>
      </c>
      <c r="B38" s="167" t="s">
        <v>1877</v>
      </c>
      <c r="C38" s="167" t="s">
        <v>377</v>
      </c>
      <c r="D38" s="167" t="s">
        <v>378</v>
      </c>
      <c r="E38" s="168" t="s">
        <v>65</v>
      </c>
      <c r="F38" s="169" t="str">
        <f aca="false">"Importação recebida no 2008 aguardando transferência: "&amp;FIXED(I38,1)&amp;" "&amp;E38</f>
        <v>Importação recebida no 2008 aguardando transferência: 4,296.0 KG</v>
      </c>
      <c r="G38" s="169" t="s">
        <v>1878</v>
      </c>
      <c r="H38" s="169" t="str">
        <f aca="false">IF(I38&lt;=Parâmetros!$C$7,"Nada a fazer: saldo zerado","Transferir "&amp;FIXED(I38,1)&amp;" "&amp;E38&amp;" do 2008 para o ZBR (verificar OT aberta)")</f>
        <v>Transferir 4,296.0 KG do 2008 para o ZBR (verificar OT aberta)</v>
      </c>
      <c r="I38" s="170" t="n">
        <f aca="false">SUMIFS('3 Base Entrada 2008'!$G$2:$G$5000,'3 Base Entrada 2008'!$B$2:$B$5000,C38,'3 Base Entrada 2008'!$C$2:$C$5000,D38)+SUMIFS('3 Base Saldo Inicial 08-09'!$E$2:$E$5000,'3 Base Saldo Inicial 08-09'!$A$2:$A$5000,C38,'3 Base Saldo Inicial 08-09'!$B$2:$B$5000,D38,'3 Base Saldo Inicial 08-09'!$C$2:$C$5000,"2008")</f>
        <v>4296</v>
      </c>
      <c r="J38" s="166" t="str">
        <f aca="false">IF(I38&lt;=Parâmetros!$C$7,"Baixa",IF(I38&gt;=Parâmetros!$K$8,"Alta","Média"))</f>
        <v>Alta</v>
      </c>
      <c r="K38" s="171" t="s">
        <v>1848</v>
      </c>
      <c r="L38" s="172" t="n">
        <f aca="false">Parâmetros!$K$9</f>
        <v>46297</v>
      </c>
      <c r="M38" s="173"/>
      <c r="N38" s="173"/>
      <c r="O38" s="174" t="s">
        <v>119</v>
      </c>
      <c r="P38" s="168" t="str">
        <f aca="false">IF(O38="Concluído","Concluída",IF(O38="Cancelado","Cancelada",IF(M38="","Sem prazo definido",IF(M38&lt;Parâmetros!$K$10,"Vencida",IF(M38-Parâmetros!$K$10&lt;=Parâmetros!$K$11,"Vence em breve","No prazo")))))</f>
        <v>Sem prazo definido</v>
      </c>
      <c r="Q38" s="171" t="s">
        <v>1848</v>
      </c>
    </row>
    <row r="39" customFormat="false" ht="15" hidden="false" customHeight="false" outlineLevel="0" collapsed="false">
      <c r="A39" s="166" t="s">
        <v>1881</v>
      </c>
      <c r="B39" s="167" t="s">
        <v>1877</v>
      </c>
      <c r="C39" s="167" t="s">
        <v>218</v>
      </c>
      <c r="D39" s="167" t="s">
        <v>219</v>
      </c>
      <c r="E39" s="168" t="s">
        <v>65</v>
      </c>
      <c r="F39" s="169" t="str">
        <f aca="false">"Importação recebida no 2008 aguardando transferência: "&amp;FIXED(I39,1)&amp;" "&amp;E39</f>
        <v>Importação recebida no 2008 aguardando transferência: 3,580.0 KG</v>
      </c>
      <c r="G39" s="169" t="s">
        <v>1878</v>
      </c>
      <c r="H39" s="169" t="str">
        <f aca="false">IF(I39&lt;=Parâmetros!$C$7,"Nada a fazer: saldo zerado","Transferir "&amp;FIXED(I39,1)&amp;" "&amp;E39&amp;" do 2008 para o ZBR (verificar OT aberta)")</f>
        <v>Transferir 3,580.0 KG do 2008 para o ZBR (verificar OT aberta)</v>
      </c>
      <c r="I39" s="170" t="n">
        <f aca="false">SUMIFS('3 Base Entrada 2008'!$G$2:$G$5000,'3 Base Entrada 2008'!$B$2:$B$5000,C39,'3 Base Entrada 2008'!$C$2:$C$5000,D39)+SUMIFS('3 Base Saldo Inicial 08-09'!$E$2:$E$5000,'3 Base Saldo Inicial 08-09'!$A$2:$A$5000,C39,'3 Base Saldo Inicial 08-09'!$B$2:$B$5000,D39,'3 Base Saldo Inicial 08-09'!$C$2:$C$5000,"2008")</f>
        <v>3580</v>
      </c>
      <c r="J39" s="166" t="str">
        <f aca="false">IF(I39&lt;=Parâmetros!$C$7,"Baixa",IF(I39&gt;=Parâmetros!$K$8,"Alta","Média"))</f>
        <v>Alta</v>
      </c>
      <c r="K39" s="171" t="s">
        <v>1848</v>
      </c>
      <c r="L39" s="172" t="n">
        <f aca="false">Parâmetros!$K$9</f>
        <v>46297</v>
      </c>
      <c r="M39" s="173"/>
      <c r="N39" s="173"/>
      <c r="O39" s="174" t="s">
        <v>119</v>
      </c>
      <c r="P39" s="168" t="str">
        <f aca="false">IF(O39="Concluído","Concluída",IF(O39="Cancelado","Cancelada",IF(M39="","Sem prazo definido",IF(M39&lt;Parâmetros!$K$10,"Vencida",IF(M39-Parâmetros!$K$10&lt;=Parâmetros!$K$11,"Vence em breve","No prazo")))))</f>
        <v>Sem prazo definido</v>
      </c>
      <c r="Q39" s="171" t="s">
        <v>1848</v>
      </c>
    </row>
    <row r="40" customFormat="false" ht="15" hidden="false" customHeight="false" outlineLevel="0" collapsed="false">
      <c r="A40" s="166" t="s">
        <v>1882</v>
      </c>
      <c r="B40" s="167" t="s">
        <v>1877</v>
      </c>
      <c r="C40" s="167" t="s">
        <v>218</v>
      </c>
      <c r="D40" s="167" t="s">
        <v>319</v>
      </c>
      <c r="E40" s="168" t="s">
        <v>65</v>
      </c>
      <c r="F40" s="169" t="str">
        <f aca="false">"Importação recebida no 2008 aguardando transferência: "&amp;FIXED(I40,1)&amp;" "&amp;E40</f>
        <v>Importação recebida no 2008 aguardando transferência: 3,180.0 KG</v>
      </c>
      <c r="G40" s="169" t="s">
        <v>1878</v>
      </c>
      <c r="H40" s="169" t="str">
        <f aca="false">IF(I40&lt;=Parâmetros!$C$7,"Nada a fazer: saldo zerado","Transferir "&amp;FIXED(I40,1)&amp;" "&amp;E40&amp;" do 2008 para o ZBR (verificar OT aberta)")</f>
        <v>Transferir 3,180.0 KG do 2008 para o ZBR (verificar OT aberta)</v>
      </c>
      <c r="I40" s="170" t="n">
        <f aca="false">SUMIFS('3 Base Entrada 2008'!$G$2:$G$5000,'3 Base Entrada 2008'!$B$2:$B$5000,C40,'3 Base Entrada 2008'!$C$2:$C$5000,D40)+SUMIFS('3 Base Saldo Inicial 08-09'!$E$2:$E$5000,'3 Base Saldo Inicial 08-09'!$A$2:$A$5000,C40,'3 Base Saldo Inicial 08-09'!$B$2:$B$5000,D40,'3 Base Saldo Inicial 08-09'!$C$2:$C$5000,"2008")</f>
        <v>3180</v>
      </c>
      <c r="J40" s="166" t="str">
        <f aca="false">IF(I40&lt;=Parâmetros!$C$7,"Baixa",IF(I40&gt;=Parâmetros!$K$8,"Alta","Média"))</f>
        <v>Alta</v>
      </c>
      <c r="K40" s="171" t="s">
        <v>1848</v>
      </c>
      <c r="L40" s="172" t="n">
        <f aca="false">Parâmetros!$K$9</f>
        <v>46297</v>
      </c>
      <c r="M40" s="173"/>
      <c r="N40" s="173"/>
      <c r="O40" s="174" t="s">
        <v>119</v>
      </c>
      <c r="P40" s="168" t="str">
        <f aca="false">IF(O40="Concluído","Concluída",IF(O40="Cancelado","Cancelada",IF(M40="","Sem prazo definido",IF(M40&lt;Parâmetros!$K$10,"Vencida",IF(M40-Parâmetros!$K$10&lt;=Parâmetros!$K$11,"Vence em breve","No prazo")))))</f>
        <v>Sem prazo definido</v>
      </c>
      <c r="Q40" s="171" t="s">
        <v>1848</v>
      </c>
    </row>
    <row r="41" customFormat="false" ht="15" hidden="false" customHeight="false" outlineLevel="0" collapsed="false">
      <c r="A41" s="166" t="s">
        <v>1883</v>
      </c>
      <c r="B41" s="167" t="s">
        <v>1877</v>
      </c>
      <c r="C41" s="167" t="s">
        <v>358</v>
      </c>
      <c r="D41" s="167" t="s">
        <v>359</v>
      </c>
      <c r="E41" s="168" t="s">
        <v>65</v>
      </c>
      <c r="F41" s="169" t="str">
        <f aca="false">"Importação recebida no 2008 aguardando transferência: "&amp;FIXED(I41,1)&amp;" "&amp;E41</f>
        <v>Importação recebida no 2008 aguardando transferência: 2,900.0 KG</v>
      </c>
      <c r="G41" s="169" t="s">
        <v>1878</v>
      </c>
      <c r="H41" s="169" t="str">
        <f aca="false">IF(I41&lt;=Parâmetros!$C$7,"Nada a fazer: saldo zerado","Transferir "&amp;FIXED(I41,1)&amp;" "&amp;E41&amp;" do 2008 para o ZBR (verificar OT aberta)")</f>
        <v>Transferir 2,900.0 KG do 2008 para o ZBR (verificar OT aberta)</v>
      </c>
      <c r="I41" s="170" t="n">
        <f aca="false">SUMIFS('3 Base Entrada 2008'!$G$2:$G$5000,'3 Base Entrada 2008'!$B$2:$B$5000,C41,'3 Base Entrada 2008'!$C$2:$C$5000,D41)+SUMIFS('3 Base Saldo Inicial 08-09'!$E$2:$E$5000,'3 Base Saldo Inicial 08-09'!$A$2:$A$5000,C41,'3 Base Saldo Inicial 08-09'!$B$2:$B$5000,D41,'3 Base Saldo Inicial 08-09'!$C$2:$C$5000,"2008")</f>
        <v>2900</v>
      </c>
      <c r="J41" s="166" t="str">
        <f aca="false">IF(I41&lt;=Parâmetros!$C$7,"Baixa",IF(I41&gt;=Parâmetros!$K$8,"Alta","Média"))</f>
        <v>Alta</v>
      </c>
      <c r="K41" s="171" t="s">
        <v>1848</v>
      </c>
      <c r="L41" s="172" t="n">
        <f aca="false">Parâmetros!$K$9</f>
        <v>46297</v>
      </c>
      <c r="M41" s="173"/>
      <c r="N41" s="173"/>
      <c r="O41" s="174" t="s">
        <v>119</v>
      </c>
      <c r="P41" s="168" t="str">
        <f aca="false">IF(O41="Concluído","Concluída",IF(O41="Cancelado","Cancelada",IF(M41="","Sem prazo definido",IF(M41&lt;Parâmetros!$K$10,"Vencida",IF(M41-Parâmetros!$K$10&lt;=Parâmetros!$K$11,"Vence em breve","No prazo")))))</f>
        <v>Sem prazo definido</v>
      </c>
      <c r="Q41" s="171" t="s">
        <v>1848</v>
      </c>
    </row>
    <row r="42" customFormat="false" ht="15" hidden="false" customHeight="false" outlineLevel="0" collapsed="false">
      <c r="A42" s="166" t="s">
        <v>1884</v>
      </c>
      <c r="B42" s="167" t="s">
        <v>1877</v>
      </c>
      <c r="C42" s="167" t="s">
        <v>327</v>
      </c>
      <c r="D42" s="167" t="s">
        <v>330</v>
      </c>
      <c r="E42" s="168" t="s">
        <v>65</v>
      </c>
      <c r="F42" s="169" t="str">
        <f aca="false">"Importação recebida no 2008 aguardando transferência: "&amp;FIXED(I42,1)&amp;" "&amp;E42</f>
        <v>Importação recebida no 2008 aguardando transferência: 2,840.0 KG</v>
      </c>
      <c r="G42" s="169" t="s">
        <v>1878</v>
      </c>
      <c r="H42" s="169" t="str">
        <f aca="false">IF(I42&lt;=Parâmetros!$C$7,"Nada a fazer: saldo zerado","Transferir "&amp;FIXED(I42,1)&amp;" "&amp;E42&amp;" do 2008 para o ZBR (verificar OT aberta)")</f>
        <v>Transferir 2,840.0 KG do 2008 para o ZBR (verificar OT aberta)</v>
      </c>
      <c r="I42" s="170" t="n">
        <f aca="false">SUMIFS('3 Base Entrada 2008'!$G$2:$G$5000,'3 Base Entrada 2008'!$B$2:$B$5000,C42,'3 Base Entrada 2008'!$C$2:$C$5000,D42)+SUMIFS('3 Base Saldo Inicial 08-09'!$E$2:$E$5000,'3 Base Saldo Inicial 08-09'!$A$2:$A$5000,C42,'3 Base Saldo Inicial 08-09'!$B$2:$B$5000,D42,'3 Base Saldo Inicial 08-09'!$C$2:$C$5000,"2008")</f>
        <v>2840</v>
      </c>
      <c r="J42" s="166" t="str">
        <f aca="false">IF(I42&lt;=Parâmetros!$C$7,"Baixa",IF(I42&gt;=Parâmetros!$K$8,"Alta","Média"))</f>
        <v>Alta</v>
      </c>
      <c r="K42" s="171" t="s">
        <v>1848</v>
      </c>
      <c r="L42" s="172" t="n">
        <f aca="false">Parâmetros!$K$9</f>
        <v>46297</v>
      </c>
      <c r="M42" s="173"/>
      <c r="N42" s="173"/>
      <c r="O42" s="174" t="s">
        <v>119</v>
      </c>
      <c r="P42" s="168" t="str">
        <f aca="false">IF(O42="Concluído","Concluída",IF(O42="Cancelado","Cancelada",IF(M42="","Sem prazo definido",IF(M42&lt;Parâmetros!$K$10,"Vencida",IF(M42-Parâmetros!$K$10&lt;=Parâmetros!$K$11,"Vence em breve","No prazo")))))</f>
        <v>Sem prazo definido</v>
      </c>
      <c r="Q42" s="171" t="s">
        <v>1848</v>
      </c>
    </row>
    <row r="43" customFormat="false" ht="15" hidden="false" customHeight="false" outlineLevel="0" collapsed="false">
      <c r="A43" s="166" t="s">
        <v>1885</v>
      </c>
      <c r="B43" s="167" t="s">
        <v>1877</v>
      </c>
      <c r="C43" s="167" t="s">
        <v>307</v>
      </c>
      <c r="D43" s="167" t="s">
        <v>308</v>
      </c>
      <c r="E43" s="168" t="s">
        <v>65</v>
      </c>
      <c r="F43" s="169" t="str">
        <f aca="false">"Importação recebida no 2008 aguardando transferência: "&amp;FIXED(I43,1)&amp;" "&amp;E43</f>
        <v>Importação recebida no 2008 aguardando transferência: 2,840.0 KG</v>
      </c>
      <c r="G43" s="169" t="s">
        <v>1878</v>
      </c>
      <c r="H43" s="169" t="str">
        <f aca="false">IF(I43&lt;=Parâmetros!$C$7,"Nada a fazer: saldo zerado","Transferir "&amp;FIXED(I43,1)&amp;" "&amp;E43&amp;" do 2008 para o ZBR (verificar OT aberta)")</f>
        <v>Transferir 2,840.0 KG do 2008 para o ZBR (verificar OT aberta)</v>
      </c>
      <c r="I43" s="170" t="n">
        <f aca="false">SUMIFS('3 Base Entrada 2008'!$G$2:$G$5000,'3 Base Entrada 2008'!$B$2:$B$5000,C43,'3 Base Entrada 2008'!$C$2:$C$5000,D43)+SUMIFS('3 Base Saldo Inicial 08-09'!$E$2:$E$5000,'3 Base Saldo Inicial 08-09'!$A$2:$A$5000,C43,'3 Base Saldo Inicial 08-09'!$B$2:$B$5000,D43,'3 Base Saldo Inicial 08-09'!$C$2:$C$5000,"2008")</f>
        <v>2840</v>
      </c>
      <c r="J43" s="166" t="str">
        <f aca="false">IF(I43&lt;=Parâmetros!$C$7,"Baixa",IF(I43&gt;=Parâmetros!$K$8,"Alta","Média"))</f>
        <v>Alta</v>
      </c>
      <c r="K43" s="171" t="s">
        <v>1848</v>
      </c>
      <c r="L43" s="172" t="n">
        <f aca="false">Parâmetros!$K$9</f>
        <v>46297</v>
      </c>
      <c r="M43" s="173"/>
      <c r="N43" s="173"/>
      <c r="O43" s="174" t="s">
        <v>119</v>
      </c>
      <c r="P43" s="168" t="str">
        <f aca="false">IF(O43="Concluído","Concluída",IF(O43="Cancelado","Cancelada",IF(M43="","Sem prazo definido",IF(M43&lt;Parâmetros!$K$10,"Vencida",IF(M43-Parâmetros!$K$10&lt;=Parâmetros!$K$11,"Vence em breve","No prazo")))))</f>
        <v>Sem prazo definido</v>
      </c>
      <c r="Q43" s="171" t="s">
        <v>1848</v>
      </c>
    </row>
    <row r="44" customFormat="false" ht="15" hidden="false" customHeight="false" outlineLevel="0" collapsed="false">
      <c r="A44" s="166" t="s">
        <v>1886</v>
      </c>
      <c r="B44" s="167" t="s">
        <v>1877</v>
      </c>
      <c r="C44" s="167" t="s">
        <v>336</v>
      </c>
      <c r="D44" s="167" t="s">
        <v>337</v>
      </c>
      <c r="E44" s="168" t="s">
        <v>65</v>
      </c>
      <c r="F44" s="169" t="str">
        <f aca="false">"Importação recebida no 2008 aguardando transferência: "&amp;FIXED(I44,1)&amp;" "&amp;E44</f>
        <v>Importação recebida no 2008 aguardando transferência: 2,400.0 KG</v>
      </c>
      <c r="G44" s="169" t="s">
        <v>1878</v>
      </c>
      <c r="H44" s="169" t="str">
        <f aca="false">IF(I44&lt;=Parâmetros!$C$7,"Nada a fazer: saldo zerado","Transferir "&amp;FIXED(I44,1)&amp;" "&amp;E44&amp;" do 2008 para o ZBR (verificar OT aberta)")</f>
        <v>Transferir 2,400.0 KG do 2008 para o ZBR (verificar OT aberta)</v>
      </c>
      <c r="I44" s="170" t="n">
        <f aca="false">SUMIFS('3 Base Entrada 2008'!$G$2:$G$5000,'3 Base Entrada 2008'!$B$2:$B$5000,C44,'3 Base Entrada 2008'!$C$2:$C$5000,D44)+SUMIFS('3 Base Saldo Inicial 08-09'!$E$2:$E$5000,'3 Base Saldo Inicial 08-09'!$A$2:$A$5000,C44,'3 Base Saldo Inicial 08-09'!$B$2:$B$5000,D44,'3 Base Saldo Inicial 08-09'!$C$2:$C$5000,"2008")</f>
        <v>2400</v>
      </c>
      <c r="J44" s="166" t="str">
        <f aca="false">IF(I44&lt;=Parâmetros!$C$7,"Baixa",IF(I44&gt;=Parâmetros!$K$8,"Alta","Média"))</f>
        <v>Alta</v>
      </c>
      <c r="K44" s="171" t="s">
        <v>1848</v>
      </c>
      <c r="L44" s="172" t="n">
        <f aca="false">Parâmetros!$K$9</f>
        <v>46297</v>
      </c>
      <c r="M44" s="173"/>
      <c r="N44" s="173"/>
      <c r="O44" s="174" t="s">
        <v>119</v>
      </c>
      <c r="P44" s="168" t="str">
        <f aca="false">IF(O44="Concluído","Concluída",IF(O44="Cancelado","Cancelada",IF(M44="","Sem prazo definido",IF(M44&lt;Parâmetros!$K$10,"Vencida",IF(M44-Parâmetros!$K$10&lt;=Parâmetros!$K$11,"Vence em breve","No prazo")))))</f>
        <v>Sem prazo definido</v>
      </c>
      <c r="Q44" s="171" t="s">
        <v>1848</v>
      </c>
    </row>
    <row r="45" customFormat="false" ht="15" hidden="false" customHeight="false" outlineLevel="0" collapsed="false">
      <c r="A45" s="166" t="s">
        <v>1887</v>
      </c>
      <c r="B45" s="167" t="s">
        <v>1877</v>
      </c>
      <c r="C45" s="167" t="s">
        <v>372</v>
      </c>
      <c r="D45" s="167" t="s">
        <v>374</v>
      </c>
      <c r="E45" s="168" t="s">
        <v>65</v>
      </c>
      <c r="F45" s="169" t="str">
        <f aca="false">"Importação recebida no 2008 aguardando transferência: "&amp;FIXED(I45,1)&amp;" "&amp;E45</f>
        <v>Importação recebida no 2008 aguardando transferência: 2,400.0 KG</v>
      </c>
      <c r="G45" s="169" t="s">
        <v>1878</v>
      </c>
      <c r="H45" s="169" t="str">
        <f aca="false">IF(I45&lt;=Parâmetros!$C$7,"Nada a fazer: saldo zerado","Transferir "&amp;FIXED(I45,1)&amp;" "&amp;E45&amp;" do 2008 para o ZBR (verificar OT aberta)")</f>
        <v>Transferir 2,400.0 KG do 2008 para o ZBR (verificar OT aberta)</v>
      </c>
      <c r="I45" s="170" t="n">
        <f aca="false">SUMIFS('3 Base Entrada 2008'!$G$2:$G$5000,'3 Base Entrada 2008'!$B$2:$B$5000,C45,'3 Base Entrada 2008'!$C$2:$C$5000,D45)+SUMIFS('3 Base Saldo Inicial 08-09'!$E$2:$E$5000,'3 Base Saldo Inicial 08-09'!$A$2:$A$5000,C45,'3 Base Saldo Inicial 08-09'!$B$2:$B$5000,D45,'3 Base Saldo Inicial 08-09'!$C$2:$C$5000,"2008")</f>
        <v>2400</v>
      </c>
      <c r="J45" s="166" t="str">
        <f aca="false">IF(I45&lt;=Parâmetros!$C$7,"Baixa",IF(I45&gt;=Parâmetros!$K$8,"Alta","Média"))</f>
        <v>Alta</v>
      </c>
      <c r="K45" s="171" t="s">
        <v>1848</v>
      </c>
      <c r="L45" s="172" t="n">
        <f aca="false">Parâmetros!$K$9</f>
        <v>46297</v>
      </c>
      <c r="M45" s="173"/>
      <c r="N45" s="173"/>
      <c r="O45" s="174" t="s">
        <v>119</v>
      </c>
      <c r="P45" s="168" t="str">
        <f aca="false">IF(O45="Concluído","Concluída",IF(O45="Cancelado","Cancelada",IF(M45="","Sem prazo definido",IF(M45&lt;Parâmetros!$K$10,"Vencida",IF(M45-Parâmetros!$K$10&lt;=Parâmetros!$K$11,"Vence em breve","No prazo")))))</f>
        <v>Sem prazo definido</v>
      </c>
      <c r="Q45" s="171" t="s">
        <v>1848</v>
      </c>
    </row>
    <row r="46" customFormat="false" ht="15" hidden="false" customHeight="false" outlineLevel="0" collapsed="false">
      <c r="A46" s="166" t="s">
        <v>1888</v>
      </c>
      <c r="B46" s="167" t="s">
        <v>1877</v>
      </c>
      <c r="C46" s="167" t="s">
        <v>389</v>
      </c>
      <c r="D46" s="167" t="s">
        <v>392</v>
      </c>
      <c r="E46" s="168" t="s">
        <v>65</v>
      </c>
      <c r="F46" s="169" t="str">
        <f aca="false">"Importação recebida no 2008 aguardando transferência: "&amp;FIXED(I46,1)&amp;" "&amp;E46</f>
        <v>Importação recebida no 2008 aguardando transferência: 1,979.6 KG</v>
      </c>
      <c r="G46" s="169" t="s">
        <v>1878</v>
      </c>
      <c r="H46" s="169" t="str">
        <f aca="false">IF(I46&lt;=Parâmetros!$C$7,"Nada a fazer: saldo zerado","Transferir "&amp;FIXED(I46,1)&amp;" "&amp;E46&amp;" do 2008 para o ZBR (verificar OT aberta)")</f>
        <v>Transferir 1,979.6 KG do 2008 para o ZBR (verificar OT aberta)</v>
      </c>
      <c r="I46" s="170" t="n">
        <f aca="false">SUMIFS('3 Base Entrada 2008'!$G$2:$G$5000,'3 Base Entrada 2008'!$B$2:$B$5000,C46,'3 Base Entrada 2008'!$C$2:$C$5000,D46)+SUMIFS('3 Base Saldo Inicial 08-09'!$E$2:$E$5000,'3 Base Saldo Inicial 08-09'!$A$2:$A$5000,C46,'3 Base Saldo Inicial 08-09'!$B$2:$B$5000,D46,'3 Base Saldo Inicial 08-09'!$C$2:$C$5000,"2008")</f>
        <v>1979.6</v>
      </c>
      <c r="J46" s="166" t="str">
        <f aca="false">IF(I46&lt;=Parâmetros!$C$7,"Baixa",IF(I46&gt;=Parâmetros!$K$8,"Alta","Média"))</f>
        <v>Média</v>
      </c>
      <c r="K46" s="171" t="s">
        <v>1848</v>
      </c>
      <c r="L46" s="172" t="n">
        <f aca="false">Parâmetros!$K$9</f>
        <v>46297</v>
      </c>
      <c r="M46" s="173"/>
      <c r="N46" s="173"/>
      <c r="O46" s="174" t="s">
        <v>119</v>
      </c>
      <c r="P46" s="168" t="str">
        <f aca="false">IF(O46="Concluído","Concluída",IF(O46="Cancelado","Cancelada",IF(M46="","Sem prazo definido",IF(M46&lt;Parâmetros!$K$10,"Vencida",IF(M46-Parâmetros!$K$10&lt;=Parâmetros!$K$11,"Vence em breve","No prazo")))))</f>
        <v>Sem prazo definido</v>
      </c>
      <c r="Q46" s="171" t="s">
        <v>1848</v>
      </c>
    </row>
    <row r="47" customFormat="false" ht="15" hidden="false" customHeight="false" outlineLevel="0" collapsed="false">
      <c r="A47" s="166" t="s">
        <v>1889</v>
      </c>
      <c r="B47" s="167" t="s">
        <v>1877</v>
      </c>
      <c r="C47" s="167" t="s">
        <v>387</v>
      </c>
      <c r="D47" s="167" t="s">
        <v>388</v>
      </c>
      <c r="E47" s="168" t="s">
        <v>65</v>
      </c>
      <c r="F47" s="169" t="str">
        <f aca="false">"Importação recebida no 2008 aguardando transferência: "&amp;FIXED(I47,1)&amp;" "&amp;E47</f>
        <v>Importação recebida no 2008 aguardando transferência: 1,920.0 KG</v>
      </c>
      <c r="G47" s="169" t="s">
        <v>1878</v>
      </c>
      <c r="H47" s="169" t="str">
        <f aca="false">IF(I47&lt;=Parâmetros!$C$7,"Nada a fazer: saldo zerado","Transferir "&amp;FIXED(I47,1)&amp;" "&amp;E47&amp;" do 2008 para o ZBR (verificar OT aberta)")</f>
        <v>Transferir 1,920.0 KG do 2008 para o ZBR (verificar OT aberta)</v>
      </c>
      <c r="I47" s="170" t="n">
        <f aca="false">SUMIFS('3 Base Entrada 2008'!$G$2:$G$5000,'3 Base Entrada 2008'!$B$2:$B$5000,C47,'3 Base Entrada 2008'!$C$2:$C$5000,D47)+SUMIFS('3 Base Saldo Inicial 08-09'!$E$2:$E$5000,'3 Base Saldo Inicial 08-09'!$A$2:$A$5000,C47,'3 Base Saldo Inicial 08-09'!$B$2:$B$5000,D47,'3 Base Saldo Inicial 08-09'!$C$2:$C$5000,"2008")</f>
        <v>1920</v>
      </c>
      <c r="J47" s="166" t="str">
        <f aca="false">IF(I47&lt;=Parâmetros!$C$7,"Baixa",IF(I47&gt;=Parâmetros!$K$8,"Alta","Média"))</f>
        <v>Média</v>
      </c>
      <c r="K47" s="171" t="s">
        <v>1848</v>
      </c>
      <c r="L47" s="172" t="n">
        <f aca="false">Parâmetros!$K$9</f>
        <v>46297</v>
      </c>
      <c r="M47" s="173"/>
      <c r="N47" s="173"/>
      <c r="O47" s="174" t="s">
        <v>119</v>
      </c>
      <c r="P47" s="168" t="str">
        <f aca="false">IF(O47="Concluído","Concluída",IF(O47="Cancelado","Cancelada",IF(M47="","Sem prazo definido",IF(M47&lt;Parâmetros!$K$10,"Vencida",IF(M47-Parâmetros!$K$10&lt;=Parâmetros!$K$11,"Vence em breve","No prazo")))))</f>
        <v>Sem prazo definido</v>
      </c>
      <c r="Q47" s="171" t="s">
        <v>1848</v>
      </c>
    </row>
    <row r="48" customFormat="false" ht="15" hidden="false" customHeight="false" outlineLevel="0" collapsed="false">
      <c r="A48" s="166" t="s">
        <v>1890</v>
      </c>
      <c r="B48" s="167" t="s">
        <v>1877</v>
      </c>
      <c r="C48" s="167" t="s">
        <v>368</v>
      </c>
      <c r="D48" s="167" t="s">
        <v>369</v>
      </c>
      <c r="E48" s="168" t="s">
        <v>65</v>
      </c>
      <c r="F48" s="169" t="str">
        <f aca="false">"Importação recebida no 2008 aguardando transferência: "&amp;FIXED(I48,1)&amp;" "&amp;E48</f>
        <v>Importação recebida no 2008 aguardando transferência: 1,559.6 KG</v>
      </c>
      <c r="G48" s="169" t="s">
        <v>1878</v>
      </c>
      <c r="H48" s="169" t="str">
        <f aca="false">IF(I48&lt;=Parâmetros!$C$7,"Nada a fazer: saldo zerado","Transferir "&amp;FIXED(I48,1)&amp;" "&amp;E48&amp;" do 2008 para o ZBR (verificar OT aberta)")</f>
        <v>Transferir 1,559.6 KG do 2008 para o ZBR (verificar OT aberta)</v>
      </c>
      <c r="I48" s="170" t="n">
        <f aca="false">SUMIFS('3 Base Entrada 2008'!$G$2:$G$5000,'3 Base Entrada 2008'!$B$2:$B$5000,C48,'3 Base Entrada 2008'!$C$2:$C$5000,D48)+SUMIFS('3 Base Saldo Inicial 08-09'!$E$2:$E$5000,'3 Base Saldo Inicial 08-09'!$A$2:$A$5000,C48,'3 Base Saldo Inicial 08-09'!$B$2:$B$5000,D48,'3 Base Saldo Inicial 08-09'!$C$2:$C$5000,"2008")</f>
        <v>1559.6</v>
      </c>
      <c r="J48" s="166" t="str">
        <f aca="false">IF(I48&lt;=Parâmetros!$C$7,"Baixa",IF(I48&gt;=Parâmetros!$K$8,"Alta","Média"))</f>
        <v>Média</v>
      </c>
      <c r="K48" s="171" t="s">
        <v>1848</v>
      </c>
      <c r="L48" s="172" t="n">
        <f aca="false">Parâmetros!$K$9</f>
        <v>46297</v>
      </c>
      <c r="M48" s="173"/>
      <c r="N48" s="173"/>
      <c r="O48" s="174" t="s">
        <v>119</v>
      </c>
      <c r="P48" s="168" t="str">
        <f aca="false">IF(O48="Concluído","Concluída",IF(O48="Cancelado","Cancelada",IF(M48="","Sem prazo definido",IF(M48&lt;Parâmetros!$K$10,"Vencida",IF(M48-Parâmetros!$K$10&lt;=Parâmetros!$K$11,"Vence em breve","No prazo")))))</f>
        <v>Sem prazo definido</v>
      </c>
      <c r="Q48" s="171" t="s">
        <v>1848</v>
      </c>
    </row>
    <row r="49" customFormat="false" ht="15" hidden="false" customHeight="false" outlineLevel="0" collapsed="false">
      <c r="A49" s="166" t="s">
        <v>1891</v>
      </c>
      <c r="B49" s="167" t="s">
        <v>1877</v>
      </c>
      <c r="C49" s="167" t="s">
        <v>358</v>
      </c>
      <c r="D49" s="167" t="s">
        <v>360</v>
      </c>
      <c r="E49" s="168" t="s">
        <v>65</v>
      </c>
      <c r="F49" s="169" t="str">
        <f aca="false">"Importação recebida no 2008 aguardando transferência: "&amp;FIXED(I49,1)&amp;" "&amp;E49</f>
        <v>Importação recebida no 2008 aguardando transferência: 1,300.0 KG</v>
      </c>
      <c r="G49" s="169" t="s">
        <v>1878</v>
      </c>
      <c r="H49" s="169" t="str">
        <f aca="false">IF(I49&lt;=Parâmetros!$C$7,"Nada a fazer: saldo zerado","Transferir "&amp;FIXED(I49,1)&amp;" "&amp;E49&amp;" do 2008 para o ZBR (verificar OT aberta)")</f>
        <v>Transferir 1,300.0 KG do 2008 para o ZBR (verificar OT aberta)</v>
      </c>
      <c r="I49" s="170" t="n">
        <f aca="false">SUMIFS('3 Base Entrada 2008'!$G$2:$G$5000,'3 Base Entrada 2008'!$B$2:$B$5000,C49,'3 Base Entrada 2008'!$C$2:$C$5000,D49)+SUMIFS('3 Base Saldo Inicial 08-09'!$E$2:$E$5000,'3 Base Saldo Inicial 08-09'!$A$2:$A$5000,C49,'3 Base Saldo Inicial 08-09'!$B$2:$B$5000,D49,'3 Base Saldo Inicial 08-09'!$C$2:$C$5000,"2008")</f>
        <v>1300</v>
      </c>
      <c r="J49" s="166" t="str">
        <f aca="false">IF(I49&lt;=Parâmetros!$C$7,"Baixa",IF(I49&gt;=Parâmetros!$K$8,"Alta","Média"))</f>
        <v>Média</v>
      </c>
      <c r="K49" s="171" t="s">
        <v>1848</v>
      </c>
      <c r="L49" s="172" t="n">
        <f aca="false">Parâmetros!$K$9</f>
        <v>46297</v>
      </c>
      <c r="M49" s="173"/>
      <c r="N49" s="173"/>
      <c r="O49" s="174" t="s">
        <v>119</v>
      </c>
      <c r="P49" s="168" t="str">
        <f aca="false">IF(O49="Concluído","Concluída",IF(O49="Cancelado","Cancelada",IF(M49="","Sem prazo definido",IF(M49&lt;Parâmetros!$K$10,"Vencida",IF(M49-Parâmetros!$K$10&lt;=Parâmetros!$K$11,"Vence em breve","No prazo")))))</f>
        <v>Sem prazo definido</v>
      </c>
      <c r="Q49" s="171" t="s">
        <v>1848</v>
      </c>
    </row>
    <row r="50" customFormat="false" ht="15" hidden="false" customHeight="false" outlineLevel="0" collapsed="false">
      <c r="A50" s="166" t="s">
        <v>1892</v>
      </c>
      <c r="B50" s="167" t="s">
        <v>1877</v>
      </c>
      <c r="C50" s="167" t="s">
        <v>343</v>
      </c>
      <c r="D50" s="167" t="s">
        <v>344</v>
      </c>
      <c r="E50" s="168" t="s">
        <v>65</v>
      </c>
      <c r="F50" s="169" t="str">
        <f aca="false">"Importação recebida no 2008 aguardando transferência: "&amp;FIXED(I50,1)&amp;" "&amp;E50</f>
        <v>Importação recebida no 2008 aguardando transferência: 1,296.0 KG</v>
      </c>
      <c r="G50" s="169" t="s">
        <v>1878</v>
      </c>
      <c r="H50" s="169" t="str">
        <f aca="false">IF(I50&lt;=Parâmetros!$C$7,"Nada a fazer: saldo zerado","Transferir "&amp;FIXED(I50,1)&amp;" "&amp;E50&amp;" do 2008 para o ZBR (verificar OT aberta)")</f>
        <v>Transferir 1,296.0 KG do 2008 para o ZBR (verificar OT aberta)</v>
      </c>
      <c r="I50" s="170" t="n">
        <f aca="false">SUMIFS('3 Base Entrada 2008'!$G$2:$G$5000,'3 Base Entrada 2008'!$B$2:$B$5000,C50,'3 Base Entrada 2008'!$C$2:$C$5000,D50)+SUMIFS('3 Base Saldo Inicial 08-09'!$E$2:$E$5000,'3 Base Saldo Inicial 08-09'!$A$2:$A$5000,C50,'3 Base Saldo Inicial 08-09'!$B$2:$B$5000,D50,'3 Base Saldo Inicial 08-09'!$C$2:$C$5000,"2008")</f>
        <v>1296</v>
      </c>
      <c r="J50" s="166" t="str">
        <f aca="false">IF(I50&lt;=Parâmetros!$C$7,"Baixa",IF(I50&gt;=Parâmetros!$K$8,"Alta","Média"))</f>
        <v>Média</v>
      </c>
      <c r="K50" s="171" t="s">
        <v>1848</v>
      </c>
      <c r="L50" s="172" t="n">
        <f aca="false">Parâmetros!$K$9</f>
        <v>46297</v>
      </c>
      <c r="M50" s="173"/>
      <c r="N50" s="173"/>
      <c r="O50" s="174" t="s">
        <v>119</v>
      </c>
      <c r="P50" s="168" t="str">
        <f aca="false">IF(O50="Concluído","Concluída",IF(O50="Cancelado","Cancelada",IF(M50="","Sem prazo definido",IF(M50&lt;Parâmetros!$K$10,"Vencida",IF(M50-Parâmetros!$K$10&lt;=Parâmetros!$K$11,"Vence em breve","No prazo")))))</f>
        <v>Sem prazo definido</v>
      </c>
      <c r="Q50" s="171" t="s">
        <v>1848</v>
      </c>
    </row>
    <row r="51" customFormat="false" ht="15" hidden="false" customHeight="false" outlineLevel="0" collapsed="false">
      <c r="A51" s="166" t="s">
        <v>1893</v>
      </c>
      <c r="B51" s="167" t="s">
        <v>1877</v>
      </c>
      <c r="C51" s="167" t="s">
        <v>346</v>
      </c>
      <c r="D51" s="167" t="s">
        <v>347</v>
      </c>
      <c r="E51" s="168" t="s">
        <v>65</v>
      </c>
      <c r="F51" s="169" t="str">
        <f aca="false">"Importação recebida no 2008 aguardando transferência: "&amp;FIXED(I51,1)&amp;" "&amp;E51</f>
        <v>Importação recebida no 2008 aguardando transferência: 1,280.0 KG</v>
      </c>
      <c r="G51" s="169" t="s">
        <v>1878</v>
      </c>
      <c r="H51" s="169" t="str">
        <f aca="false">IF(I51&lt;=Parâmetros!$C$7,"Nada a fazer: saldo zerado","Transferir "&amp;FIXED(I51,1)&amp;" "&amp;E51&amp;" do 2008 para o ZBR (verificar OT aberta)")</f>
        <v>Transferir 1,280.0 KG do 2008 para o ZBR (verificar OT aberta)</v>
      </c>
      <c r="I51" s="170" t="n">
        <f aca="false">SUMIFS('3 Base Entrada 2008'!$G$2:$G$5000,'3 Base Entrada 2008'!$B$2:$B$5000,C51,'3 Base Entrada 2008'!$C$2:$C$5000,D51)+SUMIFS('3 Base Saldo Inicial 08-09'!$E$2:$E$5000,'3 Base Saldo Inicial 08-09'!$A$2:$A$5000,C51,'3 Base Saldo Inicial 08-09'!$B$2:$B$5000,D51,'3 Base Saldo Inicial 08-09'!$C$2:$C$5000,"2008")</f>
        <v>1280</v>
      </c>
      <c r="J51" s="166" t="str">
        <f aca="false">IF(I51&lt;=Parâmetros!$C$7,"Baixa",IF(I51&gt;=Parâmetros!$K$8,"Alta","Média"))</f>
        <v>Média</v>
      </c>
      <c r="K51" s="171" t="s">
        <v>1848</v>
      </c>
      <c r="L51" s="172" t="n">
        <f aca="false">Parâmetros!$K$9</f>
        <v>46297</v>
      </c>
      <c r="M51" s="173"/>
      <c r="N51" s="173"/>
      <c r="O51" s="174" t="s">
        <v>119</v>
      </c>
      <c r="P51" s="168" t="str">
        <f aca="false">IF(O51="Concluído","Concluída",IF(O51="Cancelado","Cancelada",IF(M51="","Sem prazo definido",IF(M51&lt;Parâmetros!$K$10,"Vencida",IF(M51-Parâmetros!$K$10&lt;=Parâmetros!$K$11,"Vence em breve","No prazo")))))</f>
        <v>Sem prazo definido</v>
      </c>
      <c r="Q51" s="171" t="s">
        <v>1848</v>
      </c>
    </row>
    <row r="52" customFormat="false" ht="15" hidden="false" customHeight="false" outlineLevel="0" collapsed="false">
      <c r="A52" s="166" t="s">
        <v>1894</v>
      </c>
      <c r="B52" s="167" t="s">
        <v>1877</v>
      </c>
      <c r="C52" s="167" t="s">
        <v>364</v>
      </c>
      <c r="D52" s="167" t="s">
        <v>365</v>
      </c>
      <c r="E52" s="168" t="s">
        <v>65</v>
      </c>
      <c r="F52" s="169" t="str">
        <f aca="false">"Importação recebida no 2008 aguardando transferência: "&amp;FIXED(I52,1)&amp;" "&amp;E52</f>
        <v>Importação recebida no 2008 aguardando transferência: 1,200.0 KG</v>
      </c>
      <c r="G52" s="169" t="s">
        <v>1878</v>
      </c>
      <c r="H52" s="169" t="str">
        <f aca="false">IF(I52&lt;=Parâmetros!$C$7,"Nada a fazer: saldo zerado","Transferir "&amp;FIXED(I52,1)&amp;" "&amp;E52&amp;" do 2008 para o ZBR (verificar OT aberta)")</f>
        <v>Transferir 1,200.0 KG do 2008 para o ZBR (verificar OT aberta)</v>
      </c>
      <c r="I52" s="170" t="n">
        <f aca="false">SUMIFS('3 Base Entrada 2008'!$G$2:$G$5000,'3 Base Entrada 2008'!$B$2:$B$5000,C52,'3 Base Entrada 2008'!$C$2:$C$5000,D52)+SUMIFS('3 Base Saldo Inicial 08-09'!$E$2:$E$5000,'3 Base Saldo Inicial 08-09'!$A$2:$A$5000,C52,'3 Base Saldo Inicial 08-09'!$B$2:$B$5000,D52,'3 Base Saldo Inicial 08-09'!$C$2:$C$5000,"2008")</f>
        <v>1200</v>
      </c>
      <c r="J52" s="166" t="str">
        <f aca="false">IF(I52&lt;=Parâmetros!$C$7,"Baixa",IF(I52&gt;=Parâmetros!$K$8,"Alta","Média"))</f>
        <v>Média</v>
      </c>
      <c r="K52" s="171" t="s">
        <v>1848</v>
      </c>
      <c r="L52" s="172" t="n">
        <f aca="false">Parâmetros!$K$9</f>
        <v>46297</v>
      </c>
      <c r="M52" s="173"/>
      <c r="N52" s="173"/>
      <c r="O52" s="174" t="s">
        <v>119</v>
      </c>
      <c r="P52" s="168" t="str">
        <f aca="false">IF(O52="Concluído","Concluída",IF(O52="Cancelado","Cancelada",IF(M52="","Sem prazo definido",IF(M52&lt;Parâmetros!$K$10,"Vencida",IF(M52-Parâmetros!$K$10&lt;=Parâmetros!$K$11,"Vence em breve","No prazo")))))</f>
        <v>Sem prazo definido</v>
      </c>
      <c r="Q52" s="171" t="s">
        <v>1848</v>
      </c>
    </row>
    <row r="53" customFormat="false" ht="15" hidden="false" customHeight="false" outlineLevel="0" collapsed="false">
      <c r="A53" s="166" t="s">
        <v>1895</v>
      </c>
      <c r="B53" s="167" t="s">
        <v>1877</v>
      </c>
      <c r="C53" s="167" t="s">
        <v>338</v>
      </c>
      <c r="D53" s="167" t="s">
        <v>339</v>
      </c>
      <c r="E53" s="168" t="s">
        <v>65</v>
      </c>
      <c r="F53" s="169" t="str">
        <f aca="false">"Importação recebida no 2008 aguardando transferência: "&amp;FIXED(I53,1)&amp;" "&amp;E53</f>
        <v>Importação recebida no 2008 aguardando transferência: 1,122.0 KG</v>
      </c>
      <c r="G53" s="169" t="s">
        <v>1878</v>
      </c>
      <c r="H53" s="169" t="str">
        <f aca="false">IF(I53&lt;=Parâmetros!$C$7,"Nada a fazer: saldo zerado","Transferir "&amp;FIXED(I53,1)&amp;" "&amp;E53&amp;" do 2008 para o ZBR (verificar OT aberta)")</f>
        <v>Transferir 1,122.0 KG do 2008 para o ZBR (verificar OT aberta)</v>
      </c>
      <c r="I53" s="170" t="n">
        <f aca="false">SUMIFS('3 Base Entrada 2008'!$G$2:$G$5000,'3 Base Entrada 2008'!$B$2:$B$5000,C53,'3 Base Entrada 2008'!$C$2:$C$5000,D53)+SUMIFS('3 Base Saldo Inicial 08-09'!$E$2:$E$5000,'3 Base Saldo Inicial 08-09'!$A$2:$A$5000,C53,'3 Base Saldo Inicial 08-09'!$B$2:$B$5000,D53,'3 Base Saldo Inicial 08-09'!$C$2:$C$5000,"2008")</f>
        <v>1122</v>
      </c>
      <c r="J53" s="166" t="str">
        <f aca="false">IF(I53&lt;=Parâmetros!$C$7,"Baixa",IF(I53&gt;=Parâmetros!$K$8,"Alta","Média"))</f>
        <v>Média</v>
      </c>
      <c r="K53" s="171" t="s">
        <v>1848</v>
      </c>
      <c r="L53" s="172" t="n">
        <f aca="false">Parâmetros!$K$9</f>
        <v>46297</v>
      </c>
      <c r="M53" s="173"/>
      <c r="N53" s="173"/>
      <c r="O53" s="174" t="s">
        <v>119</v>
      </c>
      <c r="P53" s="168" t="str">
        <f aca="false">IF(O53="Concluído","Concluída",IF(O53="Cancelado","Cancelada",IF(M53="","Sem prazo definido",IF(M53&lt;Parâmetros!$K$10,"Vencida",IF(M53-Parâmetros!$K$10&lt;=Parâmetros!$K$11,"Vence em breve","No prazo")))))</f>
        <v>Sem prazo definido</v>
      </c>
      <c r="Q53" s="171" t="s">
        <v>1848</v>
      </c>
    </row>
    <row r="54" customFormat="false" ht="15" hidden="false" customHeight="false" outlineLevel="0" collapsed="false">
      <c r="A54" s="166" t="s">
        <v>1896</v>
      </c>
      <c r="B54" s="167" t="s">
        <v>1877</v>
      </c>
      <c r="C54" s="167" t="s">
        <v>252</v>
      </c>
      <c r="D54" s="167" t="s">
        <v>253</v>
      </c>
      <c r="E54" s="168" t="s">
        <v>65</v>
      </c>
      <c r="F54" s="169" t="str">
        <f aca="false">"Importação recebida no 2008 aguardando transferência: "&amp;FIXED(I54,1)&amp;" "&amp;E54</f>
        <v>Importação recebida no 2008 aguardando transferência: 960.0 KG</v>
      </c>
      <c r="G54" s="169" t="s">
        <v>1878</v>
      </c>
      <c r="H54" s="169" t="str">
        <f aca="false">IF(I54&lt;=Parâmetros!$C$7,"Nada a fazer: saldo zerado","Transferir "&amp;FIXED(I54,1)&amp;" "&amp;E54&amp;" do 2008 para o ZBR (verificar OT aberta)")</f>
        <v>Transferir 960.0 KG do 2008 para o ZBR (verificar OT aberta)</v>
      </c>
      <c r="I54" s="170" t="n">
        <f aca="false">SUMIFS('3 Base Entrada 2008'!$G$2:$G$5000,'3 Base Entrada 2008'!$B$2:$B$5000,C54,'3 Base Entrada 2008'!$C$2:$C$5000,D54)+SUMIFS('3 Base Saldo Inicial 08-09'!$E$2:$E$5000,'3 Base Saldo Inicial 08-09'!$A$2:$A$5000,C54,'3 Base Saldo Inicial 08-09'!$B$2:$B$5000,D54,'3 Base Saldo Inicial 08-09'!$C$2:$C$5000,"2008")</f>
        <v>960</v>
      </c>
      <c r="J54" s="166" t="str">
        <f aca="false">IF(I54&lt;=Parâmetros!$C$7,"Baixa",IF(I54&gt;=Parâmetros!$K$8,"Alta","Média"))</f>
        <v>Média</v>
      </c>
      <c r="K54" s="171" t="s">
        <v>1848</v>
      </c>
      <c r="L54" s="172" t="n">
        <f aca="false">Parâmetros!$K$9</f>
        <v>46297</v>
      </c>
      <c r="M54" s="173"/>
      <c r="N54" s="173"/>
      <c r="O54" s="174" t="s">
        <v>119</v>
      </c>
      <c r="P54" s="168" t="str">
        <f aca="false">IF(O54="Concluído","Concluída",IF(O54="Cancelado","Cancelada",IF(M54="","Sem prazo definido",IF(M54&lt;Parâmetros!$K$10,"Vencida",IF(M54-Parâmetros!$K$10&lt;=Parâmetros!$K$11,"Vence em breve","No prazo")))))</f>
        <v>Sem prazo definido</v>
      </c>
      <c r="Q54" s="171" t="s">
        <v>1848</v>
      </c>
    </row>
    <row r="55" customFormat="false" ht="15" hidden="false" customHeight="false" outlineLevel="0" collapsed="false">
      <c r="A55" s="166" t="s">
        <v>1897</v>
      </c>
      <c r="B55" s="167" t="s">
        <v>1877</v>
      </c>
      <c r="C55" s="167" t="s">
        <v>286</v>
      </c>
      <c r="D55" s="167" t="s">
        <v>382</v>
      </c>
      <c r="E55" s="168" t="s">
        <v>147</v>
      </c>
      <c r="F55" s="169" t="str">
        <f aca="false">"Importação recebida no 2008 aguardando transferência: "&amp;FIXED(I55,1)&amp;" "&amp;E55</f>
        <v>Importação recebida no 2008 aguardando transferência: 900.0 CX</v>
      </c>
      <c r="G55" s="169" t="s">
        <v>1878</v>
      </c>
      <c r="H55" s="169" t="str">
        <f aca="false">IF(I55&lt;=Parâmetros!$C$7,"Nada a fazer: saldo zerado","Transferir "&amp;FIXED(I55,1)&amp;" "&amp;E55&amp;" do 2008 para o ZBR (verificar OT aberta)")</f>
        <v>Transferir 900.0 CX do 2008 para o ZBR (verificar OT aberta)</v>
      </c>
      <c r="I55" s="170" t="n">
        <f aca="false">SUMIFS('3 Base Entrada 2008'!$G$2:$G$5000,'3 Base Entrada 2008'!$B$2:$B$5000,C55,'3 Base Entrada 2008'!$C$2:$C$5000,D55)+SUMIFS('3 Base Saldo Inicial 08-09'!$E$2:$E$5000,'3 Base Saldo Inicial 08-09'!$A$2:$A$5000,C55,'3 Base Saldo Inicial 08-09'!$B$2:$B$5000,D55,'3 Base Saldo Inicial 08-09'!$C$2:$C$5000,"2008")</f>
        <v>900</v>
      </c>
      <c r="J55" s="166" t="str">
        <f aca="false">IF(I55&lt;=Parâmetros!$C$7,"Baixa",IF(I55&gt;=Parâmetros!$K$8,"Alta","Média"))</f>
        <v>Média</v>
      </c>
      <c r="K55" s="171" t="s">
        <v>1848</v>
      </c>
      <c r="L55" s="172" t="n">
        <f aca="false">Parâmetros!$K$9</f>
        <v>46297</v>
      </c>
      <c r="M55" s="173"/>
      <c r="N55" s="173"/>
      <c r="O55" s="174" t="s">
        <v>119</v>
      </c>
      <c r="P55" s="168" t="str">
        <f aca="false">IF(O55="Concluído","Concluída",IF(O55="Cancelado","Cancelada",IF(M55="","Sem prazo definido",IF(M55&lt;Parâmetros!$K$10,"Vencida",IF(M55-Parâmetros!$K$10&lt;=Parâmetros!$K$11,"Vence em breve","No prazo")))))</f>
        <v>Sem prazo definido</v>
      </c>
      <c r="Q55" s="171" t="s">
        <v>1848</v>
      </c>
    </row>
    <row r="56" customFormat="false" ht="15" hidden="false" customHeight="false" outlineLevel="0" collapsed="false">
      <c r="A56" s="166" t="s">
        <v>1898</v>
      </c>
      <c r="B56" s="167" t="s">
        <v>1877</v>
      </c>
      <c r="C56" s="167" t="s">
        <v>338</v>
      </c>
      <c r="D56" s="167" t="s">
        <v>340</v>
      </c>
      <c r="E56" s="168" t="s">
        <v>65</v>
      </c>
      <c r="F56" s="169" t="str">
        <f aca="false">"Importação recebida no 2008 aguardando transferência: "&amp;FIXED(I56,1)&amp;" "&amp;E56</f>
        <v>Importação recebida no 2008 aguardando transferência: 798.0 KG</v>
      </c>
      <c r="G56" s="169" t="s">
        <v>1878</v>
      </c>
      <c r="H56" s="169" t="str">
        <f aca="false">IF(I56&lt;=Parâmetros!$C$7,"Nada a fazer: saldo zerado","Transferir "&amp;FIXED(I56,1)&amp;" "&amp;E56&amp;" do 2008 para o ZBR (verificar OT aberta)")</f>
        <v>Transferir 798.0 KG do 2008 para o ZBR (verificar OT aberta)</v>
      </c>
      <c r="I56" s="170" t="n">
        <f aca="false">SUMIFS('3 Base Entrada 2008'!$G$2:$G$5000,'3 Base Entrada 2008'!$B$2:$B$5000,C56,'3 Base Entrada 2008'!$C$2:$C$5000,D56)+SUMIFS('3 Base Saldo Inicial 08-09'!$E$2:$E$5000,'3 Base Saldo Inicial 08-09'!$A$2:$A$5000,C56,'3 Base Saldo Inicial 08-09'!$B$2:$B$5000,D56,'3 Base Saldo Inicial 08-09'!$C$2:$C$5000,"2008")</f>
        <v>798</v>
      </c>
      <c r="J56" s="166" t="str">
        <f aca="false">IF(I56&lt;=Parâmetros!$C$7,"Baixa",IF(I56&gt;=Parâmetros!$K$8,"Alta","Média"))</f>
        <v>Média</v>
      </c>
      <c r="K56" s="171" t="s">
        <v>1848</v>
      </c>
      <c r="L56" s="172" t="n">
        <f aca="false">Parâmetros!$K$9</f>
        <v>46297</v>
      </c>
      <c r="M56" s="173"/>
      <c r="N56" s="173"/>
      <c r="O56" s="174" t="s">
        <v>119</v>
      </c>
      <c r="P56" s="168" t="str">
        <f aca="false">IF(O56="Concluído","Concluída",IF(O56="Cancelado","Cancelada",IF(M56="","Sem prazo definido",IF(M56&lt;Parâmetros!$K$10,"Vencida",IF(M56-Parâmetros!$K$10&lt;=Parâmetros!$K$11,"Vence em breve","No prazo")))))</f>
        <v>Sem prazo definido</v>
      </c>
      <c r="Q56" s="171" t="s">
        <v>1848</v>
      </c>
    </row>
    <row r="57" customFormat="false" ht="15" hidden="false" customHeight="false" outlineLevel="0" collapsed="false">
      <c r="A57" s="166" t="s">
        <v>1899</v>
      </c>
      <c r="B57" s="167" t="s">
        <v>1877</v>
      </c>
      <c r="C57" s="167" t="s">
        <v>351</v>
      </c>
      <c r="D57" s="167" t="s">
        <v>352</v>
      </c>
      <c r="E57" s="168" t="s">
        <v>65</v>
      </c>
      <c r="F57" s="169" t="str">
        <f aca="false">"Importação recebida no 2008 aguardando transferência: "&amp;FIXED(I57,1)&amp;" "&amp;E57</f>
        <v>Importação recebida no 2008 aguardando transferência: 640.0 KG</v>
      </c>
      <c r="G57" s="169" t="s">
        <v>1878</v>
      </c>
      <c r="H57" s="169" t="str">
        <f aca="false">IF(I57&lt;=Parâmetros!$C$7,"Nada a fazer: saldo zerado","Transferir "&amp;FIXED(I57,1)&amp;" "&amp;E57&amp;" do 2008 para o ZBR (verificar OT aberta)")</f>
        <v>Transferir 640.0 KG do 2008 para o ZBR (verificar OT aberta)</v>
      </c>
      <c r="I57" s="170" t="n">
        <f aca="false">SUMIFS('3 Base Entrada 2008'!$G$2:$G$5000,'3 Base Entrada 2008'!$B$2:$B$5000,C57,'3 Base Entrada 2008'!$C$2:$C$5000,D57)+SUMIFS('3 Base Saldo Inicial 08-09'!$E$2:$E$5000,'3 Base Saldo Inicial 08-09'!$A$2:$A$5000,C57,'3 Base Saldo Inicial 08-09'!$B$2:$B$5000,D57,'3 Base Saldo Inicial 08-09'!$C$2:$C$5000,"2008")</f>
        <v>640</v>
      </c>
      <c r="J57" s="166" t="str">
        <f aca="false">IF(I57&lt;=Parâmetros!$C$7,"Baixa",IF(I57&gt;=Parâmetros!$K$8,"Alta","Média"))</f>
        <v>Média</v>
      </c>
      <c r="K57" s="171" t="s">
        <v>1848</v>
      </c>
      <c r="L57" s="172" t="n">
        <f aca="false">Parâmetros!$K$9</f>
        <v>46297</v>
      </c>
      <c r="M57" s="173"/>
      <c r="N57" s="173"/>
      <c r="O57" s="174" t="s">
        <v>119</v>
      </c>
      <c r="P57" s="168" t="str">
        <f aca="false">IF(O57="Concluído","Concluída",IF(O57="Cancelado","Cancelada",IF(M57="","Sem prazo definido",IF(M57&lt;Parâmetros!$K$10,"Vencida",IF(M57-Parâmetros!$K$10&lt;=Parâmetros!$K$11,"Vence em breve","No prazo")))))</f>
        <v>Sem prazo definido</v>
      </c>
      <c r="Q57" s="171" t="s">
        <v>1848</v>
      </c>
    </row>
    <row r="58" customFormat="false" ht="15" hidden="false" customHeight="false" outlineLevel="0" collapsed="false">
      <c r="A58" s="166" t="s">
        <v>1900</v>
      </c>
      <c r="B58" s="167" t="s">
        <v>1877</v>
      </c>
      <c r="C58" s="167" t="s">
        <v>389</v>
      </c>
      <c r="D58" s="167" t="s">
        <v>393</v>
      </c>
      <c r="E58" s="168" t="s">
        <v>65</v>
      </c>
      <c r="F58" s="169" t="str">
        <f aca="false">"Importação recebida no 2008 aguardando transferência: "&amp;FIXED(I58,1)&amp;" "&amp;E58</f>
        <v>Importação recebida no 2008 aguardando transferência: 638.4 KG</v>
      </c>
      <c r="G58" s="169" t="s">
        <v>1878</v>
      </c>
      <c r="H58" s="169" t="str">
        <f aca="false">IF(I58&lt;=Parâmetros!$C$7,"Nada a fazer: saldo zerado","Transferir "&amp;FIXED(I58,1)&amp;" "&amp;E58&amp;" do 2008 para o ZBR (verificar OT aberta)")</f>
        <v>Transferir 638.4 KG do 2008 para o ZBR (verificar OT aberta)</v>
      </c>
      <c r="I58" s="170" t="n">
        <f aca="false">SUMIFS('3 Base Entrada 2008'!$G$2:$G$5000,'3 Base Entrada 2008'!$B$2:$B$5000,C58,'3 Base Entrada 2008'!$C$2:$C$5000,D58)+SUMIFS('3 Base Saldo Inicial 08-09'!$E$2:$E$5000,'3 Base Saldo Inicial 08-09'!$A$2:$A$5000,C58,'3 Base Saldo Inicial 08-09'!$B$2:$B$5000,D58,'3 Base Saldo Inicial 08-09'!$C$2:$C$5000,"2008")</f>
        <v>638.4</v>
      </c>
      <c r="J58" s="166" t="str">
        <f aca="false">IF(I58&lt;=Parâmetros!$C$7,"Baixa",IF(I58&gt;=Parâmetros!$K$8,"Alta","Média"))</f>
        <v>Média</v>
      </c>
      <c r="K58" s="171" t="s">
        <v>1848</v>
      </c>
      <c r="L58" s="172" t="n">
        <f aca="false">Parâmetros!$K$9</f>
        <v>46297</v>
      </c>
      <c r="M58" s="173"/>
      <c r="N58" s="173"/>
      <c r="O58" s="174" t="s">
        <v>119</v>
      </c>
      <c r="P58" s="168" t="str">
        <f aca="false">IF(O58="Concluído","Concluída",IF(O58="Cancelado","Cancelada",IF(M58="","Sem prazo definido",IF(M58&lt;Parâmetros!$K$10,"Vencida",IF(M58-Parâmetros!$K$10&lt;=Parâmetros!$K$11,"Vence em breve","No prazo")))))</f>
        <v>Sem prazo definido</v>
      </c>
      <c r="Q58" s="171" t="s">
        <v>1848</v>
      </c>
    </row>
    <row r="59" customFormat="false" ht="15" hidden="false" customHeight="false" outlineLevel="0" collapsed="false">
      <c r="A59" s="166" t="s">
        <v>1901</v>
      </c>
      <c r="B59" s="167" t="s">
        <v>1877</v>
      </c>
      <c r="C59" s="167" t="s">
        <v>276</v>
      </c>
      <c r="D59" s="167" t="s">
        <v>280</v>
      </c>
      <c r="E59" s="168" t="s">
        <v>65</v>
      </c>
      <c r="F59" s="169" t="str">
        <f aca="false">"Importação recebida no 2008 aguardando transferência: "&amp;FIXED(I59,1)&amp;" "&amp;E59</f>
        <v>Importação recebida no 2008 aguardando transferência: 563.0 KG</v>
      </c>
      <c r="G59" s="169" t="s">
        <v>1878</v>
      </c>
      <c r="H59" s="169" t="str">
        <f aca="false">IF(I59&lt;=Parâmetros!$C$7,"Nada a fazer: saldo zerado","Transferir "&amp;FIXED(I59,1)&amp;" "&amp;E59&amp;" do 2008 para o ZBR (verificar OT aberta)")</f>
        <v>Transferir 563.0 KG do 2008 para o ZBR (verificar OT aberta)</v>
      </c>
      <c r="I59" s="170" t="n">
        <f aca="false">SUMIFS('3 Base Entrada 2008'!$G$2:$G$5000,'3 Base Entrada 2008'!$B$2:$B$5000,C59,'3 Base Entrada 2008'!$C$2:$C$5000,D59)+SUMIFS('3 Base Saldo Inicial 08-09'!$E$2:$E$5000,'3 Base Saldo Inicial 08-09'!$A$2:$A$5000,C59,'3 Base Saldo Inicial 08-09'!$B$2:$B$5000,D59,'3 Base Saldo Inicial 08-09'!$C$2:$C$5000,"2008")</f>
        <v>563</v>
      </c>
      <c r="J59" s="166" t="str">
        <f aca="false">IF(I59&lt;=Parâmetros!$C$7,"Baixa",IF(I59&gt;=Parâmetros!$K$8,"Alta","Média"))</f>
        <v>Média</v>
      </c>
      <c r="K59" s="171" t="s">
        <v>1848</v>
      </c>
      <c r="L59" s="172" t="n">
        <f aca="false">Parâmetros!$K$9</f>
        <v>46297</v>
      </c>
      <c r="M59" s="173"/>
      <c r="N59" s="173"/>
      <c r="O59" s="174" t="s">
        <v>119</v>
      </c>
      <c r="P59" s="168" t="str">
        <f aca="false">IF(O59="Concluído","Concluída",IF(O59="Cancelado","Cancelada",IF(M59="","Sem prazo definido",IF(M59&lt;Parâmetros!$K$10,"Vencida",IF(M59-Parâmetros!$K$10&lt;=Parâmetros!$K$11,"Vence em breve","No prazo")))))</f>
        <v>Sem prazo definido</v>
      </c>
      <c r="Q59" s="171" t="s">
        <v>1848</v>
      </c>
    </row>
    <row r="60" customFormat="false" ht="15" hidden="false" customHeight="false" outlineLevel="0" collapsed="false">
      <c r="A60" s="166" t="s">
        <v>1902</v>
      </c>
      <c r="B60" s="167" t="s">
        <v>1877</v>
      </c>
      <c r="C60" s="167" t="s">
        <v>375</v>
      </c>
      <c r="D60" s="167" t="s">
        <v>376</v>
      </c>
      <c r="E60" s="168" t="s">
        <v>65</v>
      </c>
      <c r="F60" s="169" t="str">
        <f aca="false">"Importação recebida no 2008 aguardando transferência: "&amp;FIXED(I60,1)&amp;" "&amp;E60</f>
        <v>Importação recebida no 2008 aguardando transferência: 432.0 KG</v>
      </c>
      <c r="G60" s="169" t="s">
        <v>1878</v>
      </c>
      <c r="H60" s="169" t="str">
        <f aca="false">IF(I60&lt;=Parâmetros!$C$7,"Nada a fazer: saldo zerado","Transferir "&amp;FIXED(I60,1)&amp;" "&amp;E60&amp;" do 2008 para o ZBR (verificar OT aberta)")</f>
        <v>Transferir 432.0 KG do 2008 para o ZBR (verificar OT aberta)</v>
      </c>
      <c r="I60" s="170" t="n">
        <f aca="false">SUMIFS('3 Base Entrada 2008'!$G$2:$G$5000,'3 Base Entrada 2008'!$B$2:$B$5000,C60,'3 Base Entrada 2008'!$C$2:$C$5000,D60)+SUMIFS('3 Base Saldo Inicial 08-09'!$E$2:$E$5000,'3 Base Saldo Inicial 08-09'!$A$2:$A$5000,C60,'3 Base Saldo Inicial 08-09'!$B$2:$B$5000,D60,'3 Base Saldo Inicial 08-09'!$C$2:$C$5000,"2008")</f>
        <v>432</v>
      </c>
      <c r="J60" s="166" t="str">
        <f aca="false">IF(I60&lt;=Parâmetros!$C$7,"Baixa",IF(I60&gt;=Parâmetros!$K$8,"Alta","Média"))</f>
        <v>Média</v>
      </c>
      <c r="K60" s="171" t="s">
        <v>1848</v>
      </c>
      <c r="L60" s="172" t="n">
        <f aca="false">Parâmetros!$K$9</f>
        <v>46297</v>
      </c>
      <c r="M60" s="173"/>
      <c r="N60" s="173"/>
      <c r="O60" s="174" t="s">
        <v>119</v>
      </c>
      <c r="P60" s="168" t="str">
        <f aca="false">IF(O60="Concluído","Concluída",IF(O60="Cancelado","Cancelada",IF(M60="","Sem prazo definido",IF(M60&lt;Parâmetros!$K$10,"Vencida",IF(M60-Parâmetros!$K$10&lt;=Parâmetros!$K$11,"Vence em breve","No prazo")))))</f>
        <v>Sem prazo definido</v>
      </c>
      <c r="Q60" s="171" t="s">
        <v>1848</v>
      </c>
    </row>
    <row r="61" customFormat="false" ht="15" hidden="false" customHeight="false" outlineLevel="0" collapsed="false">
      <c r="A61" s="166" t="s">
        <v>1903</v>
      </c>
      <c r="B61" s="167" t="s">
        <v>1877</v>
      </c>
      <c r="C61" s="167" t="s">
        <v>305</v>
      </c>
      <c r="D61" s="167" t="s">
        <v>386</v>
      </c>
      <c r="E61" s="168" t="s">
        <v>65</v>
      </c>
      <c r="F61" s="169" t="str">
        <f aca="false">"Importação recebida no 2008 aguardando transferência: "&amp;FIXED(I61,1)&amp;" "&amp;E61</f>
        <v>Importação recebida no 2008 aguardando transferência: 400.0 KG</v>
      </c>
      <c r="G61" s="169" t="s">
        <v>1878</v>
      </c>
      <c r="H61" s="169" t="str">
        <f aca="false">IF(I61&lt;=Parâmetros!$C$7,"Nada a fazer: saldo zerado","Transferir "&amp;FIXED(I61,1)&amp;" "&amp;E61&amp;" do 2008 para o ZBR (verificar OT aberta)")</f>
        <v>Transferir 400.0 KG do 2008 para o ZBR (verificar OT aberta)</v>
      </c>
      <c r="I61" s="170" t="n">
        <f aca="false">SUMIFS('3 Base Entrada 2008'!$G$2:$G$5000,'3 Base Entrada 2008'!$B$2:$B$5000,C61,'3 Base Entrada 2008'!$C$2:$C$5000,D61)+SUMIFS('3 Base Saldo Inicial 08-09'!$E$2:$E$5000,'3 Base Saldo Inicial 08-09'!$A$2:$A$5000,C61,'3 Base Saldo Inicial 08-09'!$B$2:$B$5000,D61,'3 Base Saldo Inicial 08-09'!$C$2:$C$5000,"2008")</f>
        <v>400</v>
      </c>
      <c r="J61" s="166" t="str">
        <f aca="false">IF(I61&lt;=Parâmetros!$C$7,"Baixa",IF(I61&gt;=Parâmetros!$K$8,"Alta","Média"))</f>
        <v>Média</v>
      </c>
      <c r="K61" s="171" t="s">
        <v>1848</v>
      </c>
      <c r="L61" s="172" t="n">
        <f aca="false">Parâmetros!$K$9</f>
        <v>46297</v>
      </c>
      <c r="M61" s="173"/>
      <c r="N61" s="173"/>
      <c r="O61" s="174" t="s">
        <v>119</v>
      </c>
      <c r="P61" s="168" t="str">
        <f aca="false">IF(O61="Concluído","Concluída",IF(O61="Cancelado","Cancelada",IF(M61="","Sem prazo definido",IF(M61&lt;Parâmetros!$K$10,"Vencida",IF(M61-Parâmetros!$K$10&lt;=Parâmetros!$K$11,"Vence em breve","No prazo")))))</f>
        <v>Sem prazo definido</v>
      </c>
      <c r="Q61" s="171" t="s">
        <v>1848</v>
      </c>
    </row>
    <row r="62" customFormat="false" ht="15" hidden="false" customHeight="false" outlineLevel="0" collapsed="false">
      <c r="A62" s="166" t="s">
        <v>1904</v>
      </c>
      <c r="B62" s="167" t="s">
        <v>1877</v>
      </c>
      <c r="C62" s="167" t="s">
        <v>356</v>
      </c>
      <c r="D62" s="167" t="s">
        <v>357</v>
      </c>
      <c r="E62" s="168" t="s">
        <v>65</v>
      </c>
      <c r="F62" s="169" t="str">
        <f aca="false">"Importação recebida no 2008 aguardando transferência: "&amp;FIXED(I62,1)&amp;" "&amp;E62</f>
        <v>Importação recebida no 2008 aguardando transferência: 384.0 KG</v>
      </c>
      <c r="G62" s="169" t="s">
        <v>1878</v>
      </c>
      <c r="H62" s="169" t="str">
        <f aca="false">IF(I62&lt;=Parâmetros!$C$7,"Nada a fazer: saldo zerado","Transferir "&amp;FIXED(I62,1)&amp;" "&amp;E62&amp;" do 2008 para o ZBR (verificar OT aberta)")</f>
        <v>Transferir 384.0 KG do 2008 para o ZBR (verificar OT aberta)</v>
      </c>
      <c r="I62" s="170" t="n">
        <f aca="false">SUMIFS('3 Base Entrada 2008'!$G$2:$G$5000,'3 Base Entrada 2008'!$B$2:$B$5000,C62,'3 Base Entrada 2008'!$C$2:$C$5000,D62)+SUMIFS('3 Base Saldo Inicial 08-09'!$E$2:$E$5000,'3 Base Saldo Inicial 08-09'!$A$2:$A$5000,C62,'3 Base Saldo Inicial 08-09'!$B$2:$B$5000,D62,'3 Base Saldo Inicial 08-09'!$C$2:$C$5000,"2008")</f>
        <v>384</v>
      </c>
      <c r="J62" s="166" t="str">
        <f aca="false">IF(I62&lt;=Parâmetros!$C$7,"Baixa",IF(I62&gt;=Parâmetros!$K$8,"Alta","Média"))</f>
        <v>Média</v>
      </c>
      <c r="K62" s="171" t="s">
        <v>1848</v>
      </c>
      <c r="L62" s="172" t="n">
        <f aca="false">Parâmetros!$K$9</f>
        <v>46297</v>
      </c>
      <c r="M62" s="173"/>
      <c r="N62" s="173"/>
      <c r="O62" s="174" t="s">
        <v>119</v>
      </c>
      <c r="P62" s="168" t="str">
        <f aca="false">IF(O62="Concluído","Concluída",IF(O62="Cancelado","Cancelada",IF(M62="","Sem prazo definido",IF(M62&lt;Parâmetros!$K$10,"Vencida",IF(M62-Parâmetros!$K$10&lt;=Parâmetros!$K$11,"Vence em breve","No prazo")))))</f>
        <v>Sem prazo definido</v>
      </c>
      <c r="Q62" s="171" t="s">
        <v>1848</v>
      </c>
    </row>
    <row r="63" customFormat="false" ht="15" hidden="false" customHeight="false" outlineLevel="0" collapsed="false">
      <c r="A63" s="166" t="s">
        <v>1905</v>
      </c>
      <c r="B63" s="167" t="s">
        <v>1877</v>
      </c>
      <c r="C63" s="167" t="s">
        <v>286</v>
      </c>
      <c r="D63" s="167" t="s">
        <v>383</v>
      </c>
      <c r="E63" s="168" t="s">
        <v>147</v>
      </c>
      <c r="F63" s="169" t="str">
        <f aca="false">"Importação recebida no 2008 aguardando transferência: "&amp;FIXED(I63,1)&amp;" "&amp;E63</f>
        <v>Importação recebida no 2008 aguardando transferência: 300.0 CX</v>
      </c>
      <c r="G63" s="169" t="s">
        <v>1878</v>
      </c>
      <c r="H63" s="169" t="str">
        <f aca="false">IF(I63&lt;=Parâmetros!$C$7,"Nada a fazer: saldo zerado","Transferir "&amp;FIXED(I63,1)&amp;" "&amp;E63&amp;" do 2008 para o ZBR (verificar OT aberta)")</f>
        <v>Transferir 300.0 CX do 2008 para o ZBR (verificar OT aberta)</v>
      </c>
      <c r="I63" s="170" t="n">
        <f aca="false">SUMIFS('3 Base Entrada 2008'!$G$2:$G$5000,'3 Base Entrada 2008'!$B$2:$B$5000,C63,'3 Base Entrada 2008'!$C$2:$C$5000,D63)+SUMIFS('3 Base Saldo Inicial 08-09'!$E$2:$E$5000,'3 Base Saldo Inicial 08-09'!$A$2:$A$5000,C63,'3 Base Saldo Inicial 08-09'!$B$2:$B$5000,D63,'3 Base Saldo Inicial 08-09'!$C$2:$C$5000,"2008")</f>
        <v>300</v>
      </c>
      <c r="J63" s="166" t="str">
        <f aca="false">IF(I63&lt;=Parâmetros!$C$7,"Baixa",IF(I63&gt;=Parâmetros!$K$8,"Alta","Média"))</f>
        <v>Média</v>
      </c>
      <c r="K63" s="171" t="s">
        <v>1848</v>
      </c>
      <c r="L63" s="172" t="n">
        <f aca="false">Parâmetros!$K$9</f>
        <v>46297</v>
      </c>
      <c r="M63" s="173"/>
      <c r="N63" s="173"/>
      <c r="O63" s="174" t="s">
        <v>119</v>
      </c>
      <c r="P63" s="168" t="str">
        <f aca="false">IF(O63="Concluído","Concluída",IF(O63="Cancelado","Cancelada",IF(M63="","Sem prazo definido",IF(M63&lt;Parâmetros!$K$10,"Vencida",IF(M63-Parâmetros!$K$10&lt;=Parâmetros!$K$11,"Vence em breve","No prazo")))))</f>
        <v>Sem prazo definido</v>
      </c>
      <c r="Q63" s="171" t="s">
        <v>1848</v>
      </c>
    </row>
    <row r="64" customFormat="false" ht="15" hidden="false" customHeight="false" outlineLevel="0" collapsed="false">
      <c r="A64" s="166" t="s">
        <v>1906</v>
      </c>
      <c r="B64" s="167" t="s">
        <v>1877</v>
      </c>
      <c r="C64" s="167" t="s">
        <v>389</v>
      </c>
      <c r="D64" s="167" t="s">
        <v>394</v>
      </c>
      <c r="E64" s="168" t="s">
        <v>65</v>
      </c>
      <c r="F64" s="169" t="str">
        <f aca="false">"Importação recebida no 2008 aguardando transferência: "&amp;FIXED(I64,1)&amp;" "&amp;E64</f>
        <v>Importação recebida no 2008 aguardando transferência: 204.4 KG</v>
      </c>
      <c r="G64" s="169" t="s">
        <v>1878</v>
      </c>
      <c r="H64" s="169" t="str">
        <f aca="false">IF(I64&lt;=Parâmetros!$C$7,"Nada a fazer: saldo zerado","Transferir "&amp;FIXED(I64,1)&amp;" "&amp;E64&amp;" do 2008 para o ZBR (verificar OT aberta)")</f>
        <v>Transferir 204.4 KG do 2008 para o ZBR (verificar OT aberta)</v>
      </c>
      <c r="I64" s="170" t="n">
        <f aca="false">SUMIFS('3 Base Entrada 2008'!$G$2:$G$5000,'3 Base Entrada 2008'!$B$2:$B$5000,C64,'3 Base Entrada 2008'!$C$2:$C$5000,D64)+SUMIFS('3 Base Saldo Inicial 08-09'!$E$2:$E$5000,'3 Base Saldo Inicial 08-09'!$A$2:$A$5000,C64,'3 Base Saldo Inicial 08-09'!$B$2:$B$5000,D64,'3 Base Saldo Inicial 08-09'!$C$2:$C$5000,"2008")</f>
        <v>204.4</v>
      </c>
      <c r="J64" s="166" t="str">
        <f aca="false">IF(I64&lt;=Parâmetros!$C$7,"Baixa",IF(I64&gt;=Parâmetros!$K$8,"Alta","Média"))</f>
        <v>Média</v>
      </c>
      <c r="K64" s="171" t="s">
        <v>1848</v>
      </c>
      <c r="L64" s="172" t="n">
        <f aca="false">Parâmetros!$K$9</f>
        <v>46297</v>
      </c>
      <c r="M64" s="173"/>
      <c r="N64" s="173"/>
      <c r="O64" s="174" t="s">
        <v>119</v>
      </c>
      <c r="P64" s="168" t="str">
        <f aca="false">IF(O64="Concluído","Concluída",IF(O64="Cancelado","Cancelada",IF(M64="","Sem prazo definido",IF(M64&lt;Parâmetros!$K$10,"Vencida",IF(M64-Parâmetros!$K$10&lt;=Parâmetros!$K$11,"Vence em breve","No prazo")))))</f>
        <v>Sem prazo definido</v>
      </c>
      <c r="Q64" s="171" t="s">
        <v>1848</v>
      </c>
    </row>
    <row r="65" customFormat="false" ht="15" hidden="false" customHeight="false" outlineLevel="0" collapsed="false">
      <c r="A65" s="166" t="s">
        <v>1907</v>
      </c>
      <c r="B65" s="167" t="s">
        <v>1877</v>
      </c>
      <c r="C65" s="167" t="s">
        <v>247</v>
      </c>
      <c r="D65" s="167" t="s">
        <v>350</v>
      </c>
      <c r="E65" s="168" t="s">
        <v>65</v>
      </c>
      <c r="F65" s="169" t="str">
        <f aca="false">"Importação recebida no 2008 aguardando transferência: "&amp;FIXED(I65,1)&amp;" "&amp;E65</f>
        <v>Importação recebida no 2008 aguardando transferência: 160.8 KG</v>
      </c>
      <c r="G65" s="169" t="s">
        <v>1878</v>
      </c>
      <c r="H65" s="169" t="str">
        <f aca="false">IF(I65&lt;=Parâmetros!$C$7,"Nada a fazer: saldo zerado","Transferir "&amp;FIXED(I65,1)&amp;" "&amp;E65&amp;" do 2008 para o ZBR (verificar OT aberta)")</f>
        <v>Transferir 160.8 KG do 2008 para o ZBR (verificar OT aberta)</v>
      </c>
      <c r="I65" s="170" t="n">
        <f aca="false">SUMIFS('3 Base Entrada 2008'!$G$2:$G$5000,'3 Base Entrada 2008'!$B$2:$B$5000,C65,'3 Base Entrada 2008'!$C$2:$C$5000,D65)+SUMIFS('3 Base Saldo Inicial 08-09'!$E$2:$E$5000,'3 Base Saldo Inicial 08-09'!$A$2:$A$5000,C65,'3 Base Saldo Inicial 08-09'!$B$2:$B$5000,D65,'3 Base Saldo Inicial 08-09'!$C$2:$C$5000,"2008")</f>
        <v>160.8</v>
      </c>
      <c r="J65" s="166" t="str">
        <f aca="false">IF(I65&lt;=Parâmetros!$C$7,"Baixa",IF(I65&gt;=Parâmetros!$K$8,"Alta","Média"))</f>
        <v>Média</v>
      </c>
      <c r="K65" s="171" t="s">
        <v>1848</v>
      </c>
      <c r="L65" s="172" t="n">
        <f aca="false">Parâmetros!$K$9</f>
        <v>46297</v>
      </c>
      <c r="M65" s="173"/>
      <c r="N65" s="173"/>
      <c r="O65" s="174" t="s">
        <v>119</v>
      </c>
      <c r="P65" s="168" t="str">
        <f aca="false">IF(O65="Concluído","Concluída",IF(O65="Cancelado","Cancelada",IF(M65="","Sem prazo definido",IF(M65&lt;Parâmetros!$K$10,"Vencida",IF(M65-Parâmetros!$K$10&lt;=Parâmetros!$K$11,"Vence em breve","No prazo")))))</f>
        <v>Sem prazo definido</v>
      </c>
      <c r="Q65" s="171" t="s">
        <v>1848</v>
      </c>
    </row>
    <row r="66" customFormat="false" ht="15" hidden="false" customHeight="false" outlineLevel="0" collapsed="false">
      <c r="A66" s="166" t="s">
        <v>1908</v>
      </c>
      <c r="B66" s="167" t="s">
        <v>1877</v>
      </c>
      <c r="C66" s="167" t="s">
        <v>286</v>
      </c>
      <c r="D66" s="167" t="s">
        <v>299</v>
      </c>
      <c r="E66" s="168" t="s">
        <v>147</v>
      </c>
      <c r="F66" s="169" t="str">
        <f aca="false">"Importação recebida no 2008 aguardando transferência: "&amp;FIXED(I66,1)&amp;" "&amp;E66</f>
        <v>Importação recebida no 2008 aguardando transferência: 120.0 CX</v>
      </c>
      <c r="G66" s="169" t="s">
        <v>1878</v>
      </c>
      <c r="H66" s="169" t="str">
        <f aca="false">IF(I66&lt;=Parâmetros!$C$7,"Nada a fazer: saldo zerado","Transferir "&amp;FIXED(I66,1)&amp;" "&amp;E66&amp;" do 2008 para o ZBR (verificar OT aberta)")</f>
        <v>Transferir 120.0 CX do 2008 para o ZBR (verificar OT aberta)</v>
      </c>
      <c r="I66" s="170" t="n">
        <f aca="false">SUMIFS('3 Base Entrada 2008'!$G$2:$G$5000,'3 Base Entrada 2008'!$B$2:$B$5000,C66,'3 Base Entrada 2008'!$C$2:$C$5000,D66)+SUMIFS('3 Base Saldo Inicial 08-09'!$E$2:$E$5000,'3 Base Saldo Inicial 08-09'!$A$2:$A$5000,C66,'3 Base Saldo Inicial 08-09'!$B$2:$B$5000,D66,'3 Base Saldo Inicial 08-09'!$C$2:$C$5000,"2008")</f>
        <v>120</v>
      </c>
      <c r="J66" s="166" t="str">
        <f aca="false">IF(I66&lt;=Parâmetros!$C$7,"Baixa",IF(I66&gt;=Parâmetros!$K$8,"Alta","Média"))</f>
        <v>Média</v>
      </c>
      <c r="K66" s="171" t="s">
        <v>1848</v>
      </c>
      <c r="L66" s="172" t="n">
        <f aca="false">Parâmetros!$K$9</f>
        <v>46297</v>
      </c>
      <c r="M66" s="173"/>
      <c r="N66" s="173"/>
      <c r="O66" s="174" t="s">
        <v>119</v>
      </c>
      <c r="P66" s="168" t="str">
        <f aca="false">IF(O66="Concluído","Concluída",IF(O66="Cancelado","Cancelada",IF(M66="","Sem prazo definido",IF(M66&lt;Parâmetros!$K$10,"Vencida",IF(M66-Parâmetros!$K$10&lt;=Parâmetros!$K$11,"Vence em breve","No prazo")))))</f>
        <v>Sem prazo definido</v>
      </c>
      <c r="Q66" s="171" t="s">
        <v>1848</v>
      </c>
    </row>
    <row r="67" customFormat="false" ht="15" hidden="false" customHeight="false" outlineLevel="0" collapsed="false">
      <c r="A67" s="166" t="s">
        <v>1909</v>
      </c>
      <c r="B67" s="167" t="s">
        <v>1877</v>
      </c>
      <c r="C67" s="167" t="s">
        <v>227</v>
      </c>
      <c r="D67" s="167" t="s">
        <v>230</v>
      </c>
      <c r="E67" s="168" t="s">
        <v>65</v>
      </c>
      <c r="F67" s="169" t="str">
        <f aca="false">"Importação recebida no 2008 aguardando transferência: "&amp;FIXED(I67,1)&amp;" "&amp;E67</f>
        <v>Importação recebida no 2008 aguardando transferência: 60.0 KG</v>
      </c>
      <c r="G67" s="169" t="s">
        <v>1878</v>
      </c>
      <c r="H67" s="169" t="str">
        <f aca="false">IF(I67&lt;=Parâmetros!$C$7,"Nada a fazer: saldo zerado","Transferir "&amp;FIXED(I67,1)&amp;" "&amp;E67&amp;" do 2008 para o ZBR (verificar OT aberta)")</f>
        <v>Transferir 60.0 KG do 2008 para o ZBR (verificar OT aberta)</v>
      </c>
      <c r="I67" s="170" t="n">
        <f aca="false">SUMIFS('3 Base Entrada 2008'!$G$2:$G$5000,'3 Base Entrada 2008'!$B$2:$B$5000,C67,'3 Base Entrada 2008'!$C$2:$C$5000,D67)+SUMIFS('3 Base Saldo Inicial 08-09'!$E$2:$E$5000,'3 Base Saldo Inicial 08-09'!$A$2:$A$5000,C67,'3 Base Saldo Inicial 08-09'!$B$2:$B$5000,D67,'3 Base Saldo Inicial 08-09'!$C$2:$C$5000,"2008")</f>
        <v>60</v>
      </c>
      <c r="J67" s="166" t="str">
        <f aca="false">IF(I67&lt;=Parâmetros!$C$7,"Baixa",IF(I67&gt;=Parâmetros!$K$8,"Alta","Média"))</f>
        <v>Média</v>
      </c>
      <c r="K67" s="171" t="s">
        <v>1848</v>
      </c>
      <c r="L67" s="172" t="n">
        <f aca="false">Parâmetros!$K$9</f>
        <v>46297</v>
      </c>
      <c r="M67" s="173"/>
      <c r="N67" s="173"/>
      <c r="O67" s="174" t="s">
        <v>119</v>
      </c>
      <c r="P67" s="168" t="str">
        <f aca="false">IF(O67="Concluído","Concluída",IF(O67="Cancelado","Cancelada",IF(M67="","Sem prazo definido",IF(M67&lt;Parâmetros!$K$10,"Vencida",IF(M67-Parâmetros!$K$10&lt;=Parâmetros!$K$11,"Vence em breve","No prazo")))))</f>
        <v>Sem prazo definido</v>
      </c>
      <c r="Q67" s="171" t="s">
        <v>1848</v>
      </c>
    </row>
    <row r="68" customFormat="false" ht="15" hidden="false" customHeight="false" outlineLevel="0" collapsed="false">
      <c r="A68" s="166" t="s">
        <v>1910</v>
      </c>
      <c r="B68" s="167" t="s">
        <v>1877</v>
      </c>
      <c r="C68" s="167" t="s">
        <v>309</v>
      </c>
      <c r="D68" s="167" t="s">
        <v>395</v>
      </c>
      <c r="E68" s="168" t="s">
        <v>65</v>
      </c>
      <c r="F68" s="169" t="str">
        <f aca="false">"Importação recebida no 2008 aguardando transferência: "&amp;FIXED(I68,1)&amp;" "&amp;E68</f>
        <v>Importação recebida no 2008 aguardando transferência: 20.0 KG</v>
      </c>
      <c r="G68" s="169" t="s">
        <v>1878</v>
      </c>
      <c r="H68" s="169" t="str">
        <f aca="false">IF(I68&lt;=Parâmetros!$C$7,"Nada a fazer: saldo zerado","Transferir "&amp;FIXED(I68,1)&amp;" "&amp;E68&amp;" do 2008 para o ZBR (verificar OT aberta)")</f>
        <v>Transferir 20.0 KG do 2008 para o ZBR (verificar OT aberta)</v>
      </c>
      <c r="I68" s="170" t="n">
        <f aca="false">SUMIFS('3 Base Entrada 2008'!$G$2:$G$5000,'3 Base Entrada 2008'!$B$2:$B$5000,C68,'3 Base Entrada 2008'!$C$2:$C$5000,D68)+SUMIFS('3 Base Saldo Inicial 08-09'!$E$2:$E$5000,'3 Base Saldo Inicial 08-09'!$A$2:$A$5000,C68,'3 Base Saldo Inicial 08-09'!$B$2:$B$5000,D68,'3 Base Saldo Inicial 08-09'!$C$2:$C$5000,"2008")</f>
        <v>20</v>
      </c>
      <c r="J68" s="166" t="str">
        <f aca="false">IF(I68&lt;=Parâmetros!$C$7,"Baixa",IF(I68&gt;=Parâmetros!$K$8,"Alta","Média"))</f>
        <v>Média</v>
      </c>
      <c r="K68" s="171" t="s">
        <v>1848</v>
      </c>
      <c r="L68" s="172" t="n">
        <f aca="false">Parâmetros!$K$9</f>
        <v>46297</v>
      </c>
      <c r="M68" s="173"/>
      <c r="N68" s="173"/>
      <c r="O68" s="174" t="s">
        <v>119</v>
      </c>
      <c r="P68" s="168" t="str">
        <f aca="false">IF(O68="Concluído","Concluída",IF(O68="Cancelado","Cancelada",IF(M68="","Sem prazo definido",IF(M68&lt;Parâmetros!$K$10,"Vencida",IF(M68-Parâmetros!$K$10&lt;=Parâmetros!$K$11,"Vence em breve","No prazo")))))</f>
        <v>Sem prazo definido</v>
      </c>
      <c r="Q68" s="171" t="s">
        <v>1848</v>
      </c>
    </row>
  </sheetData>
  <conditionalFormatting sqref="P8:P68">
    <cfRule type="expression" priority="2" aboveAverage="0" equalAverage="0" bottom="0" percent="0" rank="0" text="" dxfId="20">
      <formula>$P8="Vencida"</formula>
    </cfRule>
    <cfRule type="expression" priority="3" aboveAverage="0" equalAverage="0" bottom="0" percent="0" rank="0" text="" dxfId="19">
      <formula>$P8="Vence em breve"</formula>
    </cfRule>
    <cfRule type="expression" priority="4" aboveAverage="0" equalAverage="0" bottom="0" percent="0" rank="0" text="" dxfId="18">
      <formula>$P8="Concluída"</formula>
    </cfRule>
    <cfRule type="expression" priority="5" aboveAverage="0" equalAverage="0" bottom="0" percent="0" rank="0" text="" dxfId="25">
      <formula>$P8="No prazo"</formula>
    </cfRule>
    <cfRule type="expression" priority="6" aboveAverage="0" equalAverage="0" bottom="0" percent="0" rank="0" text="" dxfId="29">
      <formula>$P8="Sem prazo definido"</formula>
    </cfRule>
    <cfRule type="expression" priority="7" aboveAverage="0" equalAverage="0" bottom="0" percent="0" rank="0" text="" dxfId="29">
      <formula>$P8="Cancelada"</formula>
    </cfRule>
  </conditionalFormatting>
  <conditionalFormatting sqref="O8:O68">
    <cfRule type="expression" priority="8" aboveAverage="0" equalAverage="0" bottom="0" percent="0" rank="0" text="" dxfId="18">
      <formula>$O8="Concluído"</formula>
    </cfRule>
    <cfRule type="expression" priority="9" aboveAverage="0" equalAverage="0" bottom="0" percent="0" rank="0" text="" dxfId="19">
      <formula>$O8="Em andamento"</formula>
    </cfRule>
    <cfRule type="expression" priority="10" aboveAverage="0" equalAverage="0" bottom="0" percent="0" rank="0" text="" dxfId="29">
      <formula>$O8="Não iniciado"</formula>
    </cfRule>
    <cfRule type="expression" priority="11" aboveAverage="0" equalAverage="0" bottom="0" percent="0" rank="0" text="" dxfId="29">
      <formula>$O8="Cancelado"</formula>
    </cfRule>
  </conditionalFormatting>
  <conditionalFormatting sqref="J8:J68">
    <cfRule type="expression" priority="12" aboveAverage="0" equalAverage="0" bottom="0" percent="0" rank="0" text="" dxfId="20">
      <formula>$J8="Crítica"</formula>
    </cfRule>
    <cfRule type="expression" priority="13" aboveAverage="0" equalAverage="0" bottom="0" percent="0" rank="0" text="" dxfId="19">
      <formula>$J8="Alta"</formula>
    </cfRule>
    <cfRule type="expression" priority="14" aboveAverage="0" equalAverage="0" bottom="0" percent="0" rank="0" text="" dxfId="25">
      <formula>$J8="Média"</formula>
    </cfRule>
    <cfRule type="expression" priority="15" aboveAverage="0" equalAverage="0" bottom="0" percent="0" rank="0" text="" dxfId="26">
      <formula>$J8="Baixa"</formula>
    </cfRule>
  </conditionalFormatting>
  <conditionalFormatting sqref="K8:K68">
    <cfRule type="expression" priority="16" aboveAverage="0" equalAverage="0" bottom="0" percent="0" rank="0" text="" dxfId="30">
      <formula>K8="Pendente de preenchimento"</formula>
    </cfRule>
  </conditionalFormatting>
  <conditionalFormatting sqref="Q8:Q68">
    <cfRule type="expression" priority="17" aboveAverage="0" equalAverage="0" bottom="0" percent="0" rank="0" text="" dxfId="30">
      <formula>Q8="Pendente de preenchimento"</formula>
    </cfRule>
  </conditionalFormatting>
  <conditionalFormatting sqref="A8:Q68">
    <cfRule type="expression" priority="18" aboveAverage="0" equalAverage="0" bottom="0" percent="0" rank="0" text="" dxfId="2">
      <formula>$P8="Vencida"</formula>
    </cfRule>
  </conditionalFormatting>
  <dataValidations count="2">
    <dataValidation allowBlank="false" error="Use: Não iniciado, Em andamento, Concluído ou Cancelado." errorStyle="stop" operator="between" showDropDown="false" showErrorMessage="true" showInputMessage="false" sqref="O8:O507" type="list">
      <formula1>"Não iniciado,Em andamento,Concluído,Cancelado"</formula1>
      <formula2>0</formula2>
    </dataValidation>
    <dataValidation allowBlank="true" error="Digite uma data válida (dd/mm/aaaa)." errorStyle="stop" operator="greaterThan" showDropDown="false" showErrorMessage="true" showInputMessage="false" sqref="M8:N507" type="date">
      <formula1>DATE(2020,1,1)</formula1>
      <formula2>0</formula2>
    </dataValidation>
  </dataValidations>
  <hyperlinks>
    <hyperlink ref="Q1" r:id="rId1" location="'MENU'!A1" display="◄ MENU"/>
  </hyperlinks>
  <printOptions headings="false" gridLines="false" gridLinesSet="true" horizontalCentered="true" verticalCentered="false"/>
  <pageMargins left="0.4" right="0.4" top="0.6" bottom="0.6" header="0.25" footer="0.25"/>
  <pageSetup paperSize="8"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tableParts>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854"/>
    <pageSetUpPr fitToPage="true"/>
  </sheetPr>
  <dimension ref="A1:D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70"/>
    <col collapsed="false" customWidth="true" hidden="false" outlineLevel="0" max="4" min="4" style="0" width="60"/>
  </cols>
  <sheetData>
    <row r="1" customFormat="false" ht="31.5" hidden="false" customHeight="true" outlineLevel="0" collapsed="false">
      <c r="A1" s="29" t="s">
        <v>1911</v>
      </c>
      <c r="D1" s="30" t="s">
        <v>55</v>
      </c>
    </row>
    <row r="2" customFormat="false" ht="15" hidden="false" customHeight="false" outlineLevel="0" collapsed="false">
      <c r="A2" s="31" t="s">
        <v>1912</v>
      </c>
    </row>
    <row r="3" customFormat="false" ht="15" hidden="false" customHeight="false" outlineLevel="0" collapsed="false">
      <c r="A3" s="32"/>
      <c r="B3" s="32"/>
      <c r="C3" s="32"/>
      <c r="D3" s="32"/>
    </row>
    <row r="5" customFormat="false" ht="16.15" hidden="false" customHeight="false" outlineLevel="0" collapsed="false">
      <c r="A5" s="175" t="s">
        <v>1913</v>
      </c>
    </row>
    <row r="6" customFormat="false" ht="15" hidden="false" customHeight="false" outlineLevel="0" collapsed="false">
      <c r="A6" s="15" t="s">
        <v>1914</v>
      </c>
      <c r="B6" s="15" t="s">
        <v>1915</v>
      </c>
      <c r="C6" s="15" t="s">
        <v>1916</v>
      </c>
    </row>
    <row r="7" customFormat="false" ht="23.85" hidden="false" customHeight="false" outlineLevel="0" collapsed="false">
      <c r="A7" s="176" t="s">
        <v>1917</v>
      </c>
      <c r="B7" s="177" t="s">
        <v>1918</v>
      </c>
      <c r="C7" s="177" t="s">
        <v>1919</v>
      </c>
    </row>
    <row r="8" customFormat="false" ht="35.05" hidden="false" customHeight="false" outlineLevel="0" collapsed="false">
      <c r="A8" s="178" t="s">
        <v>13</v>
      </c>
      <c r="B8" s="179" t="s">
        <v>1920</v>
      </c>
      <c r="C8" s="179" t="s">
        <v>1921</v>
      </c>
    </row>
    <row r="9" customFormat="false" ht="35.05" hidden="false" customHeight="false" outlineLevel="0" collapsed="false">
      <c r="A9" s="176" t="s">
        <v>16</v>
      </c>
      <c r="B9" s="177" t="s">
        <v>1922</v>
      </c>
      <c r="C9" s="177" t="s">
        <v>1923</v>
      </c>
    </row>
    <row r="10" customFormat="false" ht="35.05" hidden="false" customHeight="false" outlineLevel="0" collapsed="false">
      <c r="A10" s="178" t="s">
        <v>18</v>
      </c>
      <c r="B10" s="179" t="s">
        <v>1924</v>
      </c>
      <c r="C10" s="179" t="s">
        <v>1925</v>
      </c>
    </row>
    <row r="11" customFormat="false" ht="35.05" hidden="false" customHeight="false" outlineLevel="0" collapsed="false">
      <c r="A11" s="176" t="s">
        <v>20</v>
      </c>
      <c r="B11" s="177" t="s">
        <v>1926</v>
      </c>
      <c r="C11" s="177" t="s">
        <v>1927</v>
      </c>
    </row>
    <row r="12" customFormat="false" ht="35.05" hidden="false" customHeight="false" outlineLevel="0" collapsed="false">
      <c r="A12" s="178" t="s">
        <v>22</v>
      </c>
      <c r="B12" s="179" t="s">
        <v>1928</v>
      </c>
      <c r="C12" s="179" t="s">
        <v>1929</v>
      </c>
    </row>
    <row r="13" customFormat="false" ht="35.05" hidden="false" customHeight="false" outlineLevel="0" collapsed="false">
      <c r="A13" s="176" t="s">
        <v>26</v>
      </c>
      <c r="B13" s="177" t="s">
        <v>1930</v>
      </c>
      <c r="C13" s="177" t="s">
        <v>1931</v>
      </c>
    </row>
    <row r="14" customFormat="false" ht="35.05" hidden="false" customHeight="false" outlineLevel="0" collapsed="false">
      <c r="A14" s="178" t="s">
        <v>28</v>
      </c>
      <c r="B14" s="179" t="s">
        <v>1932</v>
      </c>
      <c r="C14" s="179" t="s">
        <v>1933</v>
      </c>
    </row>
    <row r="15" customFormat="false" ht="35.05" hidden="false" customHeight="false" outlineLevel="0" collapsed="false">
      <c r="A15" s="176" t="s">
        <v>30</v>
      </c>
      <c r="B15" s="177" t="s">
        <v>1934</v>
      </c>
      <c r="C15" s="177" t="s">
        <v>18</v>
      </c>
    </row>
    <row r="16" customFormat="false" ht="35.05" hidden="false" customHeight="false" outlineLevel="0" collapsed="false">
      <c r="A16" s="178" t="s">
        <v>32</v>
      </c>
      <c r="B16" s="179" t="s">
        <v>1935</v>
      </c>
      <c r="C16" s="179" t="s">
        <v>1936</v>
      </c>
    </row>
    <row r="17" customFormat="false" ht="35.05" hidden="false" customHeight="false" outlineLevel="0" collapsed="false">
      <c r="A17" s="176" t="s">
        <v>34</v>
      </c>
      <c r="B17" s="177" t="s">
        <v>1937</v>
      </c>
      <c r="C17" s="177" t="s">
        <v>1938</v>
      </c>
    </row>
    <row r="18" customFormat="false" ht="46.25" hidden="false" customHeight="false" outlineLevel="0" collapsed="false">
      <c r="A18" s="178" t="s">
        <v>24</v>
      </c>
      <c r="B18" s="179" t="s">
        <v>1939</v>
      </c>
      <c r="C18" s="179" t="s">
        <v>1940</v>
      </c>
    </row>
    <row r="19" customFormat="false" ht="15" hidden="false" customHeight="false" outlineLevel="0" collapsed="false">
      <c r="A19" s="176" t="s">
        <v>36</v>
      </c>
      <c r="B19" s="177" t="s">
        <v>1941</v>
      </c>
      <c r="C19" s="177" t="s">
        <v>1919</v>
      </c>
    </row>
    <row r="20" customFormat="false" ht="35.05" hidden="false" customHeight="false" outlineLevel="0" collapsed="false">
      <c r="A20" s="178" t="s">
        <v>38</v>
      </c>
      <c r="B20" s="179" t="s">
        <v>1942</v>
      </c>
      <c r="C20" s="179" t="s">
        <v>1943</v>
      </c>
    </row>
    <row r="21" customFormat="false" ht="35.05" hidden="false" customHeight="false" outlineLevel="0" collapsed="false">
      <c r="A21" s="176" t="s">
        <v>40</v>
      </c>
      <c r="B21" s="177" t="s">
        <v>1944</v>
      </c>
      <c r="C21" s="177" t="s">
        <v>1945</v>
      </c>
    </row>
    <row r="22" customFormat="false" ht="23.85" hidden="false" customHeight="false" outlineLevel="0" collapsed="false">
      <c r="A22" s="178" t="s">
        <v>1946</v>
      </c>
      <c r="B22" s="179" t="s">
        <v>1947</v>
      </c>
      <c r="C22" s="179" t="s">
        <v>1948</v>
      </c>
    </row>
    <row r="24" customFormat="false" ht="16.15" hidden="false" customHeight="false" outlineLevel="0" collapsed="false">
      <c r="A24" s="175" t="s">
        <v>1949</v>
      </c>
    </row>
    <row r="25" customFormat="false" ht="15" hidden="false" customHeight="false" outlineLevel="0" collapsed="false">
      <c r="A25" s="15" t="s">
        <v>1914</v>
      </c>
      <c r="B25" s="15" t="s">
        <v>1950</v>
      </c>
      <c r="C25" s="15" t="s">
        <v>1951</v>
      </c>
      <c r="D25" s="15" t="s">
        <v>1952</v>
      </c>
    </row>
    <row r="26" customFormat="false" ht="15" hidden="false" customHeight="false" outlineLevel="0" collapsed="false">
      <c r="A26" s="178" t="s">
        <v>66</v>
      </c>
      <c r="B26" s="179" t="s">
        <v>157</v>
      </c>
      <c r="C26" s="179" t="s">
        <v>1953</v>
      </c>
      <c r="D26" s="179" t="s">
        <v>1954</v>
      </c>
    </row>
    <row r="27" customFormat="false" ht="15" hidden="false" customHeight="false" outlineLevel="0" collapsed="false">
      <c r="A27" s="176" t="s">
        <v>66</v>
      </c>
      <c r="B27" s="177" t="s">
        <v>158</v>
      </c>
      <c r="C27" s="177" t="s">
        <v>1955</v>
      </c>
      <c r="D27" s="177" t="s">
        <v>1956</v>
      </c>
    </row>
    <row r="28" customFormat="false" ht="15" hidden="false" customHeight="false" outlineLevel="0" collapsed="false">
      <c r="A28" s="178" t="s">
        <v>1948</v>
      </c>
      <c r="B28" s="179" t="s">
        <v>1957</v>
      </c>
      <c r="C28" s="179" t="s">
        <v>1958</v>
      </c>
      <c r="D28" s="179" t="s">
        <v>1956</v>
      </c>
    </row>
    <row r="29" customFormat="false" ht="23.85" hidden="false" customHeight="false" outlineLevel="0" collapsed="false">
      <c r="A29" s="176" t="s">
        <v>18</v>
      </c>
      <c r="B29" s="177" t="s">
        <v>1959</v>
      </c>
      <c r="C29" s="177" t="s">
        <v>1960</v>
      </c>
      <c r="D29" s="177" t="s">
        <v>1961</v>
      </c>
    </row>
    <row r="30" customFormat="false" ht="23.85" hidden="false" customHeight="false" outlineLevel="0" collapsed="false">
      <c r="A30" s="178" t="s">
        <v>18</v>
      </c>
      <c r="B30" s="179" t="s">
        <v>1750</v>
      </c>
      <c r="C30" s="179" t="s">
        <v>1962</v>
      </c>
      <c r="D30" s="179" t="s">
        <v>1963</v>
      </c>
    </row>
    <row r="31" customFormat="false" ht="15" hidden="false" customHeight="false" outlineLevel="0" collapsed="false">
      <c r="A31" s="176" t="s">
        <v>20</v>
      </c>
      <c r="B31" s="177" t="s">
        <v>1751</v>
      </c>
      <c r="C31" s="177" t="s">
        <v>1964</v>
      </c>
      <c r="D31" s="177" t="s">
        <v>1963</v>
      </c>
    </row>
    <row r="32" customFormat="false" ht="15" hidden="false" customHeight="false" outlineLevel="0" collapsed="false">
      <c r="A32" s="178" t="s">
        <v>1965</v>
      </c>
      <c r="B32" s="179" t="s">
        <v>1966</v>
      </c>
      <c r="C32" s="179" t="s">
        <v>1967</v>
      </c>
      <c r="D32" s="179" t="s">
        <v>1968</v>
      </c>
    </row>
    <row r="33" customFormat="false" ht="15" hidden="false" customHeight="false" outlineLevel="0" collapsed="false">
      <c r="A33" s="176" t="s">
        <v>1965</v>
      </c>
      <c r="B33" s="177" t="s">
        <v>1969</v>
      </c>
      <c r="C33" s="177" t="s">
        <v>1970</v>
      </c>
      <c r="D33" s="177" t="s">
        <v>1971</v>
      </c>
    </row>
    <row r="34" customFormat="false" ht="15" hidden="false" customHeight="false" outlineLevel="0" collapsed="false">
      <c r="A34" s="178" t="s">
        <v>1965</v>
      </c>
      <c r="B34" s="179" t="s">
        <v>1972</v>
      </c>
      <c r="C34" s="179" t="s">
        <v>1973</v>
      </c>
      <c r="D34" s="179" t="s">
        <v>1974</v>
      </c>
    </row>
    <row r="35" customFormat="false" ht="23.85" hidden="false" customHeight="false" outlineLevel="0" collapsed="false">
      <c r="A35" s="176" t="s">
        <v>1965</v>
      </c>
      <c r="B35" s="177" t="s">
        <v>160</v>
      </c>
      <c r="C35" s="177" t="s">
        <v>1975</v>
      </c>
      <c r="D35" s="177" t="s">
        <v>1976</v>
      </c>
    </row>
    <row r="36" customFormat="false" ht="15" hidden="false" customHeight="false" outlineLevel="0" collapsed="false">
      <c r="A36" s="178" t="s">
        <v>32</v>
      </c>
      <c r="B36" s="179" t="s">
        <v>1977</v>
      </c>
      <c r="C36" s="179" t="s">
        <v>1978</v>
      </c>
      <c r="D36" s="179" t="s">
        <v>1979</v>
      </c>
    </row>
    <row r="37" customFormat="false" ht="15" hidden="false" customHeight="false" outlineLevel="0" collapsed="false">
      <c r="A37" s="176" t="s">
        <v>32</v>
      </c>
      <c r="B37" s="177" t="s">
        <v>1980</v>
      </c>
      <c r="C37" s="177" t="s">
        <v>1981</v>
      </c>
      <c r="D37" s="177" t="s">
        <v>1982</v>
      </c>
    </row>
    <row r="38" customFormat="false" ht="15" hidden="false" customHeight="false" outlineLevel="0" collapsed="false">
      <c r="A38" s="178" t="s">
        <v>32</v>
      </c>
      <c r="B38" s="179" t="s">
        <v>1983</v>
      </c>
      <c r="C38" s="179" t="s">
        <v>1984</v>
      </c>
      <c r="D38" s="179" t="s">
        <v>1963</v>
      </c>
    </row>
    <row r="39" customFormat="false" ht="15" hidden="false" customHeight="false" outlineLevel="0" collapsed="false">
      <c r="A39" s="176" t="s">
        <v>32</v>
      </c>
      <c r="B39" s="177" t="s">
        <v>1985</v>
      </c>
      <c r="C39" s="177" t="s">
        <v>1986</v>
      </c>
      <c r="D39" s="177" t="s">
        <v>1963</v>
      </c>
    </row>
    <row r="40" customFormat="false" ht="15" hidden="false" customHeight="false" outlineLevel="0" collapsed="false">
      <c r="A40" s="178" t="s">
        <v>32</v>
      </c>
      <c r="B40" s="179" t="s">
        <v>97</v>
      </c>
      <c r="C40" s="179" t="s">
        <v>1987</v>
      </c>
      <c r="D40" s="179" t="s">
        <v>1963</v>
      </c>
    </row>
    <row r="41" customFormat="false" ht="15" hidden="false" customHeight="false" outlineLevel="0" collapsed="false">
      <c r="A41" s="176" t="s">
        <v>32</v>
      </c>
      <c r="B41" s="177" t="s">
        <v>1988</v>
      </c>
      <c r="C41" s="177" t="s">
        <v>1989</v>
      </c>
      <c r="D41" s="177" t="s">
        <v>1990</v>
      </c>
    </row>
    <row r="42" customFormat="false" ht="23.85" hidden="false" customHeight="false" outlineLevel="0" collapsed="false">
      <c r="A42" s="178" t="s">
        <v>30</v>
      </c>
      <c r="B42" s="179" t="s">
        <v>1806</v>
      </c>
      <c r="C42" s="179" t="s">
        <v>1991</v>
      </c>
      <c r="D42" s="179" t="s">
        <v>1992</v>
      </c>
    </row>
    <row r="43" customFormat="false" ht="23.85" hidden="false" customHeight="false" outlineLevel="0" collapsed="false">
      <c r="A43" s="176" t="s">
        <v>34</v>
      </c>
      <c r="B43" s="177" t="s">
        <v>1993</v>
      </c>
      <c r="C43" s="177" t="s">
        <v>1994</v>
      </c>
      <c r="D43" s="177" t="s">
        <v>1963</v>
      </c>
    </row>
    <row r="44" customFormat="false" ht="15" hidden="false" customHeight="false" outlineLevel="0" collapsed="false">
      <c r="A44" s="178" t="s">
        <v>13</v>
      </c>
      <c r="B44" s="179" t="s">
        <v>1995</v>
      </c>
      <c r="C44" s="179" t="s">
        <v>1996</v>
      </c>
      <c r="D44" s="179" t="s">
        <v>1997</v>
      </c>
    </row>
    <row r="45" customFormat="false" ht="15" hidden="false" customHeight="false" outlineLevel="0" collapsed="false">
      <c r="A45" s="176" t="s">
        <v>13</v>
      </c>
      <c r="B45" s="177" t="s">
        <v>143</v>
      </c>
      <c r="C45" s="177" t="s">
        <v>1998</v>
      </c>
      <c r="D45" s="177" t="s">
        <v>1999</v>
      </c>
    </row>
    <row r="46" customFormat="false" ht="15" hidden="false" customHeight="false" outlineLevel="0" collapsed="false">
      <c r="A46" s="178" t="s">
        <v>13</v>
      </c>
      <c r="B46" s="179" t="s">
        <v>2000</v>
      </c>
      <c r="C46" s="179" t="s">
        <v>2001</v>
      </c>
      <c r="D46" s="179" t="s">
        <v>2002</v>
      </c>
    </row>
    <row r="48" customFormat="false" ht="16.15" hidden="false" customHeight="false" outlineLevel="0" collapsed="false">
      <c r="A48" s="175" t="s">
        <v>2003</v>
      </c>
    </row>
    <row r="49" customFormat="false" ht="15" hidden="false" customHeight="false" outlineLevel="0" collapsed="false">
      <c r="A49" s="15" t="s">
        <v>2004</v>
      </c>
      <c r="B49" s="15" t="s">
        <v>1951</v>
      </c>
      <c r="C49" s="15" t="s">
        <v>2005</v>
      </c>
      <c r="D49" s="15"/>
    </row>
    <row r="50" customFormat="false" ht="35.05" hidden="false" customHeight="false" outlineLevel="0" collapsed="false">
      <c r="A50" s="178" t="s">
        <v>1877</v>
      </c>
      <c r="B50" s="179" t="s">
        <v>2006</v>
      </c>
      <c r="C50" s="179" t="s">
        <v>2007</v>
      </c>
      <c r="D50" s="179"/>
    </row>
    <row r="51" customFormat="false" ht="23.85" hidden="false" customHeight="false" outlineLevel="0" collapsed="false">
      <c r="A51" s="176" t="s">
        <v>2008</v>
      </c>
      <c r="B51" s="177" t="s">
        <v>2009</v>
      </c>
      <c r="C51" s="177" t="s">
        <v>2010</v>
      </c>
      <c r="D51" s="177"/>
    </row>
    <row r="52" customFormat="false" ht="57.45" hidden="false" customHeight="false" outlineLevel="0" collapsed="false">
      <c r="A52" s="178" t="s">
        <v>2011</v>
      </c>
      <c r="B52" s="179" t="s">
        <v>2012</v>
      </c>
      <c r="C52" s="179" t="s">
        <v>2013</v>
      </c>
      <c r="D52" s="179"/>
    </row>
    <row r="53" customFormat="false" ht="35.05" hidden="false" customHeight="false" outlineLevel="0" collapsed="false">
      <c r="A53" s="176" t="s">
        <v>2014</v>
      </c>
      <c r="B53" s="177" t="s">
        <v>2015</v>
      </c>
      <c r="C53" s="177" t="s">
        <v>2016</v>
      </c>
      <c r="D53" s="177"/>
    </row>
    <row r="55" customFormat="false" ht="16.15" hidden="false" customHeight="false" outlineLevel="0" collapsed="false">
      <c r="A55" s="175" t="s">
        <v>2017</v>
      </c>
    </row>
    <row r="56" customFormat="false" ht="15" hidden="false" customHeight="false" outlineLevel="0" collapsed="false">
      <c r="A56" s="15" t="s">
        <v>2018</v>
      </c>
      <c r="B56" s="15" t="s">
        <v>153</v>
      </c>
      <c r="C56" s="15" t="s">
        <v>2019</v>
      </c>
      <c r="D56" s="15" t="s">
        <v>2020</v>
      </c>
    </row>
    <row r="57" customFormat="false" ht="35.05" hidden="false" customHeight="false" outlineLevel="0" collapsed="false">
      <c r="A57" s="176" t="s">
        <v>113</v>
      </c>
      <c r="B57" s="177" t="s">
        <v>2021</v>
      </c>
      <c r="C57" s="177" t="s">
        <v>2022</v>
      </c>
      <c r="D57" s="177" t="s">
        <v>2023</v>
      </c>
    </row>
    <row r="58" customFormat="false" ht="35.05" hidden="false" customHeight="false" outlineLevel="0" collapsed="false">
      <c r="A58" s="178" t="s">
        <v>114</v>
      </c>
      <c r="B58" s="179" t="s">
        <v>2024</v>
      </c>
      <c r="C58" s="179" t="s">
        <v>2025</v>
      </c>
      <c r="D58" s="179" t="s">
        <v>2023</v>
      </c>
    </row>
    <row r="59" customFormat="false" ht="35.05" hidden="false" customHeight="false" outlineLevel="0" collapsed="false">
      <c r="A59" s="176" t="s">
        <v>115</v>
      </c>
      <c r="B59" s="177" t="s">
        <v>2026</v>
      </c>
      <c r="C59" s="177" t="s">
        <v>1919</v>
      </c>
      <c r="D59" s="177" t="s">
        <v>2023</v>
      </c>
    </row>
    <row r="60" customFormat="false" ht="23.85" hidden="false" customHeight="false" outlineLevel="0" collapsed="false">
      <c r="A60" s="178" t="s">
        <v>116</v>
      </c>
      <c r="B60" s="179" t="s">
        <v>2027</v>
      </c>
      <c r="C60" s="179" t="s">
        <v>1919</v>
      </c>
      <c r="D60" s="179" t="s">
        <v>2023</v>
      </c>
    </row>
    <row r="62" customFormat="false" ht="16.15" hidden="false" customHeight="false" outlineLevel="0" collapsed="false">
      <c r="A62" s="175" t="s">
        <v>2028</v>
      </c>
    </row>
    <row r="63" customFormat="false" ht="15" hidden="false" customHeight="false" outlineLevel="0" collapsed="false">
      <c r="A63" s="15" t="s">
        <v>2029</v>
      </c>
      <c r="B63" s="15" t="s">
        <v>2030</v>
      </c>
      <c r="C63" s="15" t="s">
        <v>2005</v>
      </c>
      <c r="D63" s="15"/>
    </row>
    <row r="64" customFormat="false" ht="35.05" hidden="false" customHeight="false" outlineLevel="0" collapsed="false">
      <c r="A64" s="178" t="s">
        <v>1496</v>
      </c>
      <c r="B64" s="179" t="s">
        <v>2031</v>
      </c>
      <c r="C64" s="179" t="s">
        <v>2032</v>
      </c>
      <c r="D64" s="179"/>
    </row>
    <row r="65" customFormat="false" ht="35.05" hidden="false" customHeight="false" outlineLevel="0" collapsed="false">
      <c r="A65" s="176" t="s">
        <v>1477</v>
      </c>
      <c r="B65" s="177" t="s">
        <v>2033</v>
      </c>
      <c r="C65" s="177" t="s">
        <v>2034</v>
      </c>
      <c r="D65" s="177"/>
    </row>
    <row r="66" customFormat="false" ht="46.25" hidden="false" customHeight="false" outlineLevel="0" collapsed="false">
      <c r="A66" s="178" t="s">
        <v>1464</v>
      </c>
      <c r="B66" s="179" t="s">
        <v>2035</v>
      </c>
      <c r="C66" s="179" t="s">
        <v>2036</v>
      </c>
      <c r="D66" s="179"/>
    </row>
    <row r="67" customFormat="false" ht="23.85" hidden="false" customHeight="false" outlineLevel="0" collapsed="false">
      <c r="A67" s="176" t="s">
        <v>1686</v>
      </c>
      <c r="B67" s="177" t="s">
        <v>2037</v>
      </c>
      <c r="C67" s="177"/>
      <c r="D67" s="177"/>
    </row>
    <row r="68" customFormat="false" ht="46.25" hidden="false" customHeight="false" outlineLevel="0" collapsed="false">
      <c r="A68" s="178" t="s">
        <v>1473</v>
      </c>
      <c r="B68" s="179" t="s">
        <v>2038</v>
      </c>
      <c r="C68" s="179"/>
      <c r="D68" s="179"/>
    </row>
    <row r="70" customFormat="false" ht="16.15" hidden="false" customHeight="false" outlineLevel="0" collapsed="false">
      <c r="A70" s="175" t="s">
        <v>2039</v>
      </c>
    </row>
    <row r="71" customFormat="false" ht="15" hidden="false" customHeight="false" outlineLevel="0" collapsed="false">
      <c r="A71" s="15" t="s">
        <v>2040</v>
      </c>
      <c r="B71" s="15" t="s">
        <v>1951</v>
      </c>
      <c r="C71" s="15" t="s">
        <v>2041</v>
      </c>
      <c r="D71" s="15"/>
    </row>
    <row r="72" customFormat="false" ht="35.05" hidden="false" customHeight="false" outlineLevel="0" collapsed="false">
      <c r="A72" s="178" t="s">
        <v>2042</v>
      </c>
      <c r="B72" s="179" t="s">
        <v>2043</v>
      </c>
      <c r="C72" s="179" t="s">
        <v>2044</v>
      </c>
      <c r="D72" s="179"/>
    </row>
    <row r="73" customFormat="false" ht="35.05" hidden="false" customHeight="false" outlineLevel="0" collapsed="false">
      <c r="A73" s="176" t="s">
        <v>2045</v>
      </c>
      <c r="B73" s="177" t="s">
        <v>2046</v>
      </c>
      <c r="C73" s="177" t="s">
        <v>2047</v>
      </c>
      <c r="D73" s="177"/>
    </row>
    <row r="74" customFormat="false" ht="46.25" hidden="false" customHeight="false" outlineLevel="0" collapsed="false">
      <c r="A74" s="178" t="s">
        <v>2048</v>
      </c>
      <c r="B74" s="179" t="s">
        <v>2049</v>
      </c>
      <c r="C74" s="179"/>
      <c r="D74" s="179"/>
    </row>
    <row r="75" customFormat="false" ht="46.25" hidden="false" customHeight="false" outlineLevel="0" collapsed="false">
      <c r="A75" s="176" t="s">
        <v>2050</v>
      </c>
      <c r="B75" s="177" t="s">
        <v>2051</v>
      </c>
      <c r="C75" s="177" t="s">
        <v>2052</v>
      </c>
      <c r="D75" s="177"/>
    </row>
    <row r="76" customFormat="false" ht="35.05" hidden="false" customHeight="false" outlineLevel="0" collapsed="false">
      <c r="A76" s="178" t="s">
        <v>2053</v>
      </c>
      <c r="B76" s="179" t="s">
        <v>2054</v>
      </c>
      <c r="C76" s="179"/>
      <c r="D76" s="179"/>
    </row>
    <row r="77" customFormat="false" ht="35.05" hidden="false" customHeight="false" outlineLevel="0" collapsed="false">
      <c r="A77" s="176" t="s">
        <v>2055</v>
      </c>
      <c r="B77" s="177" t="s">
        <v>2056</v>
      </c>
      <c r="C77" s="177"/>
      <c r="D77" s="177"/>
    </row>
    <row r="78" customFormat="false" ht="35.05" hidden="false" customHeight="false" outlineLevel="0" collapsed="false">
      <c r="A78" s="178" t="s">
        <v>2057</v>
      </c>
      <c r="B78" s="179" t="s">
        <v>2058</v>
      </c>
      <c r="C78" s="179"/>
      <c r="D78" s="179"/>
    </row>
    <row r="79" customFormat="false" ht="35.05" hidden="false" customHeight="false" outlineLevel="0" collapsed="false">
      <c r="A79" s="176" t="s">
        <v>2059</v>
      </c>
      <c r="B79" s="177" t="s">
        <v>2060</v>
      </c>
      <c r="C79" s="177"/>
      <c r="D79" s="177"/>
    </row>
  </sheetData>
  <hyperlinks>
    <hyperlink ref="D1" r:id="rId1" location="'MENU'!A1" display="◄ MENU"/>
  </hyperlinks>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854"/>
    <pageSetUpPr fitToPage="true"/>
  </sheetPr>
  <dimension ref="A1:C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31.5" hidden="false" customHeight="true" outlineLevel="0" collapsed="false">
      <c r="A1" s="29" t="s">
        <v>2061</v>
      </c>
      <c r="C1" s="30" t="s">
        <v>55</v>
      </c>
    </row>
    <row r="2" customFormat="false" ht="15" hidden="false" customHeight="false" outlineLevel="0" collapsed="false">
      <c r="A2" s="31" t="s">
        <v>2062</v>
      </c>
    </row>
    <row r="3" customFormat="false" ht="15" hidden="false" customHeight="false" outlineLevel="0" collapsed="false">
      <c r="A3" s="32"/>
      <c r="B3" s="32"/>
    </row>
    <row r="4" customFormat="false" ht="15" hidden="false" customHeight="false" outlineLevel="0" collapsed="false">
      <c r="B4" s="70" t="s">
        <v>2063</v>
      </c>
    </row>
    <row r="5" customFormat="false" ht="15" hidden="false" customHeight="false" outlineLevel="0" collapsed="false">
      <c r="B5" s="70" t="s">
        <v>2064</v>
      </c>
    </row>
    <row r="6" customFormat="false" ht="15" hidden="false" customHeight="false" outlineLevel="0" collapsed="false">
      <c r="B6" s="70" t="s">
        <v>2065</v>
      </c>
    </row>
    <row r="7" customFormat="false" ht="15" hidden="false" customHeight="false" outlineLevel="0" collapsed="false">
      <c r="B7" s="70" t="s">
        <v>2066</v>
      </c>
    </row>
    <row r="8" customFormat="false" ht="15" hidden="false" customHeight="false" outlineLevel="0" collapsed="false">
      <c r="B8" s="70" t="s">
        <v>2067</v>
      </c>
    </row>
    <row r="9" customFormat="false" ht="15" hidden="false" customHeight="false" outlineLevel="0" collapsed="false">
      <c r="B9" s="70" t="s">
        <v>2068</v>
      </c>
    </row>
    <row r="10" customFormat="false" ht="15" hidden="false" customHeight="false" outlineLevel="0" collapsed="false">
      <c r="B10" s="70" t="s">
        <v>2069</v>
      </c>
    </row>
    <row r="11" customFormat="false" ht="15" hidden="false" customHeight="false" outlineLevel="0" collapsed="false">
      <c r="B11" s="39" t="s">
        <v>2070</v>
      </c>
    </row>
    <row r="12" customFormat="false" ht="15" hidden="false" customHeight="false" outlineLevel="0" collapsed="false">
      <c r="B12" s="70" t="s">
        <v>2071</v>
      </c>
    </row>
    <row r="13" customFormat="false" ht="15" hidden="false" customHeight="false" outlineLevel="0" collapsed="false">
      <c r="B13" s="70" t="s">
        <v>2072</v>
      </c>
    </row>
    <row r="14" customFormat="false" ht="15" hidden="false" customHeight="false" outlineLevel="0" collapsed="false">
      <c r="B14" s="70" t="s">
        <v>2073</v>
      </c>
    </row>
    <row r="16" customFormat="false" ht="15" hidden="false" customHeight="false" outlineLevel="0" collapsed="false">
      <c r="B16" s="180" t="s">
        <v>2074</v>
      </c>
    </row>
    <row r="17" customFormat="false" ht="15" hidden="false" customHeight="false" outlineLevel="0" collapsed="false">
      <c r="B17" s="181" t="s">
        <v>2075</v>
      </c>
    </row>
    <row r="18" customFormat="false" ht="15" hidden="false" customHeight="false" outlineLevel="0" collapsed="false">
      <c r="B18" s="181" t="s">
        <v>2076</v>
      </c>
    </row>
    <row r="19" customFormat="false" ht="15" hidden="false" customHeight="false" outlineLevel="0" collapsed="false">
      <c r="B19" s="181" t="s">
        <v>2077</v>
      </c>
    </row>
    <row r="20" customFormat="false" ht="15" hidden="false" customHeight="false" outlineLevel="0" collapsed="false">
      <c r="B20" s="181" t="s">
        <v>2078</v>
      </c>
    </row>
    <row r="21" customFormat="false" ht="15" hidden="false" customHeight="false" outlineLevel="0" collapsed="false">
      <c r="B21" s="181" t="s">
        <v>2079</v>
      </c>
    </row>
    <row r="22" customFormat="false" ht="15" hidden="false" customHeight="false" outlineLevel="0" collapsed="false">
      <c r="B22" s="181" t="s">
        <v>2080</v>
      </c>
    </row>
    <row r="23" customFormat="false" ht="15" hidden="false" customHeight="false" outlineLevel="0" collapsed="false">
      <c r="B23" s="181" t="s">
        <v>2081</v>
      </c>
    </row>
    <row r="24" customFormat="false" ht="15" hidden="false" customHeight="false" outlineLevel="0" collapsed="false">
      <c r="B24" s="181" t="s">
        <v>2082</v>
      </c>
    </row>
    <row r="25" customFormat="false" ht="15" hidden="false" customHeight="false" outlineLevel="0" collapsed="false">
      <c r="B25" s="181" t="s">
        <v>2083</v>
      </c>
    </row>
    <row r="26" customFormat="false" ht="15" hidden="false" customHeight="false" outlineLevel="0" collapsed="false">
      <c r="B26" s="181" t="s">
        <v>2084</v>
      </c>
    </row>
    <row r="27" customFormat="false" ht="15" hidden="false" customHeight="false" outlineLevel="0" collapsed="false">
      <c r="B27" s="181" t="s">
        <v>2085</v>
      </c>
    </row>
    <row r="28" customFormat="false" ht="15" hidden="false" customHeight="false" outlineLevel="0" collapsed="false">
      <c r="B28" s="181" t="s">
        <v>2086</v>
      </c>
    </row>
    <row r="29" customFormat="false" ht="15" hidden="false" customHeight="false" outlineLevel="0" collapsed="false">
      <c r="B29" s="181" t="s">
        <v>2087</v>
      </c>
    </row>
    <row r="31" customFormat="false" ht="15" hidden="false" customHeight="false" outlineLevel="0" collapsed="false">
      <c r="B31" s="180" t="s">
        <v>2088</v>
      </c>
    </row>
    <row r="32" customFormat="false" ht="15" hidden="false" customHeight="false" outlineLevel="0" collapsed="false">
      <c r="B32" s="181" t="s">
        <v>2075</v>
      </c>
    </row>
    <row r="33" customFormat="false" ht="15" hidden="false" customHeight="false" outlineLevel="0" collapsed="false">
      <c r="B33" s="181" t="s">
        <v>2076</v>
      </c>
    </row>
    <row r="34" customFormat="false" ht="15" hidden="false" customHeight="false" outlineLevel="0" collapsed="false">
      <c r="B34" s="181" t="s">
        <v>2077</v>
      </c>
    </row>
    <row r="35" customFormat="false" ht="15" hidden="false" customHeight="false" outlineLevel="0" collapsed="false">
      <c r="B35" s="181" t="s">
        <v>2089</v>
      </c>
    </row>
    <row r="36" customFormat="false" ht="15" hidden="false" customHeight="false" outlineLevel="0" collapsed="false">
      <c r="B36" s="181" t="s">
        <v>2080</v>
      </c>
    </row>
    <row r="37" customFormat="false" ht="15" hidden="false" customHeight="false" outlineLevel="0" collapsed="false">
      <c r="B37" s="181" t="s">
        <v>2090</v>
      </c>
    </row>
    <row r="38" customFormat="false" ht="15" hidden="false" customHeight="false" outlineLevel="0" collapsed="false">
      <c r="B38" s="181" t="s">
        <v>2082</v>
      </c>
    </row>
    <row r="39" customFormat="false" ht="15" hidden="false" customHeight="false" outlineLevel="0" collapsed="false">
      <c r="B39" s="181" t="s">
        <v>2091</v>
      </c>
    </row>
    <row r="40" customFormat="false" ht="15" hidden="false" customHeight="false" outlineLevel="0" collapsed="false">
      <c r="B40" s="181" t="s">
        <v>2092</v>
      </c>
    </row>
    <row r="41" customFormat="false" ht="15" hidden="false" customHeight="false" outlineLevel="0" collapsed="false">
      <c r="B41" s="181" t="s">
        <v>2086</v>
      </c>
    </row>
    <row r="42" customFormat="false" ht="15" hidden="false" customHeight="false" outlineLevel="0" collapsed="false">
      <c r="B42" s="181" t="s">
        <v>2087</v>
      </c>
    </row>
    <row r="44" customFormat="false" ht="15" hidden="false" customHeight="false" outlineLevel="0" collapsed="false">
      <c r="B44" s="180" t="s">
        <v>2093</v>
      </c>
    </row>
    <row r="45" customFormat="false" ht="15" hidden="false" customHeight="false" outlineLevel="0" collapsed="false">
      <c r="B45" s="181" t="s">
        <v>2075</v>
      </c>
    </row>
    <row r="46" customFormat="false" ht="15" hidden="false" customHeight="false" outlineLevel="0" collapsed="false">
      <c r="B46" s="181" t="s">
        <v>2076</v>
      </c>
    </row>
    <row r="47" customFormat="false" ht="15" hidden="false" customHeight="false" outlineLevel="0" collapsed="false">
      <c r="B47" s="181" t="s">
        <v>2077</v>
      </c>
    </row>
    <row r="48" customFormat="false" ht="15" hidden="false" customHeight="false" outlineLevel="0" collapsed="false">
      <c r="B48" s="181" t="s">
        <v>2094</v>
      </c>
    </row>
    <row r="49" customFormat="false" ht="15" hidden="false" customHeight="false" outlineLevel="0" collapsed="false">
      <c r="B49" s="181" t="s">
        <v>2080</v>
      </c>
    </row>
    <row r="50" customFormat="false" ht="15" hidden="false" customHeight="false" outlineLevel="0" collapsed="false">
      <c r="B50" s="181" t="s">
        <v>2095</v>
      </c>
    </row>
    <row r="51" customFormat="false" ht="15" hidden="false" customHeight="false" outlineLevel="0" collapsed="false">
      <c r="B51" s="181" t="s">
        <v>2096</v>
      </c>
    </row>
    <row r="52" customFormat="false" ht="15" hidden="false" customHeight="false" outlineLevel="0" collapsed="false">
      <c r="B52" s="181" t="s">
        <v>2097</v>
      </c>
    </row>
    <row r="53" customFormat="false" ht="15" hidden="false" customHeight="false" outlineLevel="0" collapsed="false">
      <c r="B53" s="181" t="s">
        <v>2098</v>
      </c>
    </row>
    <row r="54" customFormat="false" ht="15" hidden="false" customHeight="false" outlineLevel="0" collapsed="false">
      <c r="B54" s="181" t="s">
        <v>2099</v>
      </c>
    </row>
    <row r="55" customFormat="false" ht="15" hidden="false" customHeight="false" outlineLevel="0" collapsed="false">
      <c r="B55" s="181" t="s">
        <v>2086</v>
      </c>
    </row>
    <row r="56" customFormat="false" ht="15" hidden="false" customHeight="false" outlineLevel="0" collapsed="false">
      <c r="B56" s="181" t="s">
        <v>2087</v>
      </c>
    </row>
    <row r="58" customFormat="false" ht="15" hidden="false" customHeight="false" outlineLevel="0" collapsed="false">
      <c r="B58" s="180" t="s">
        <v>2100</v>
      </c>
    </row>
    <row r="59" customFormat="false" ht="15" hidden="false" customHeight="false" outlineLevel="0" collapsed="false">
      <c r="B59" s="181" t="s">
        <v>2075</v>
      </c>
    </row>
    <row r="60" customFormat="false" ht="15" hidden="false" customHeight="false" outlineLevel="0" collapsed="false">
      <c r="B60" s="181" t="s">
        <v>2076</v>
      </c>
    </row>
    <row r="61" customFormat="false" ht="15" hidden="false" customHeight="false" outlineLevel="0" collapsed="false">
      <c r="B61" s="181" t="s">
        <v>2077</v>
      </c>
    </row>
    <row r="62" customFormat="false" ht="15" hidden="false" customHeight="false" outlineLevel="0" collapsed="false">
      <c r="B62" s="181" t="s">
        <v>2101</v>
      </c>
    </row>
    <row r="63" customFormat="false" ht="15" hidden="false" customHeight="false" outlineLevel="0" collapsed="false">
      <c r="B63" s="181" t="s">
        <v>2080</v>
      </c>
    </row>
    <row r="64" customFormat="false" ht="15" hidden="false" customHeight="false" outlineLevel="0" collapsed="false">
      <c r="B64" s="181" t="s">
        <v>2102</v>
      </c>
    </row>
    <row r="65" customFormat="false" ht="15" hidden="false" customHeight="false" outlineLevel="0" collapsed="false">
      <c r="B65" s="181" t="s">
        <v>2103</v>
      </c>
    </row>
    <row r="66" customFormat="false" ht="15" hidden="false" customHeight="false" outlineLevel="0" collapsed="false">
      <c r="B66" s="181" t="s">
        <v>2104</v>
      </c>
    </row>
    <row r="67" customFormat="false" ht="15" hidden="false" customHeight="false" outlineLevel="0" collapsed="false">
      <c r="B67" s="181" t="s">
        <v>2105</v>
      </c>
    </row>
    <row r="68" customFormat="false" ht="15" hidden="false" customHeight="false" outlineLevel="0" collapsed="false">
      <c r="B68" s="181" t="s">
        <v>2106</v>
      </c>
    </row>
    <row r="69" customFormat="false" ht="15" hidden="false" customHeight="false" outlineLevel="0" collapsed="false">
      <c r="B69" s="181" t="s">
        <v>2086</v>
      </c>
    </row>
    <row r="70" customFormat="false" ht="15" hidden="false" customHeight="false" outlineLevel="0" collapsed="false">
      <c r="B70" s="181" t="s">
        <v>2087</v>
      </c>
    </row>
  </sheetData>
  <hyperlinks>
    <hyperlink ref="C1" r:id="rId1" location="'MENU'!A1" display="◄ MENU"/>
  </hyperlinks>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04854"/>
    <pageSetUpPr fitToPage="true"/>
  </sheetPr>
  <dimension ref="A1:K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8" min="3" style="0" width="17"/>
    <col collapsed="false" customWidth="true" hidden="false" outlineLevel="0" max="10" min="10" style="0" width="54"/>
    <col collapsed="false" customWidth="true" hidden="false" outlineLevel="0" max="11" min="11" style="0" width="46"/>
  </cols>
  <sheetData>
    <row r="1" customFormat="false" ht="26.8" hidden="false" customHeight="false" outlineLevel="0" collapsed="false">
      <c r="A1" s="29" t="s">
        <v>2107</v>
      </c>
      <c r="K1" s="30" t="s">
        <v>55</v>
      </c>
    </row>
    <row r="2" customFormat="false" ht="15" hidden="false" customHeight="false" outlineLevel="0" collapsed="false">
      <c r="A2" s="31" t="s">
        <v>2108</v>
      </c>
    </row>
    <row r="4" customFormat="false" ht="16.15" hidden="false" customHeight="false" outlineLevel="0" collapsed="false">
      <c r="B4" s="175" t="s">
        <v>2109</v>
      </c>
      <c r="J4" s="175" t="s">
        <v>2110</v>
      </c>
    </row>
    <row r="6" customFormat="false" ht="15" hidden="false" customHeight="false" outlineLevel="0" collapsed="false">
      <c r="B6" s="70" t="s">
        <v>2111</v>
      </c>
      <c r="C6" s="182" t="n">
        <v>46280</v>
      </c>
      <c r="J6" s="70" t="s">
        <v>2112</v>
      </c>
      <c r="K6" s="183" t="n">
        <v>200</v>
      </c>
    </row>
    <row r="7" customFormat="false" ht="15" hidden="false" customHeight="false" outlineLevel="0" collapsed="false">
      <c r="B7" s="70" t="s">
        <v>2113</v>
      </c>
      <c r="C7" s="184" t="n">
        <v>0.01</v>
      </c>
      <c r="J7" s="70" t="s">
        <v>2114</v>
      </c>
      <c r="K7" s="183" t="n">
        <v>500</v>
      </c>
    </row>
    <row r="8" customFormat="false" ht="15" hidden="false" customHeight="false" outlineLevel="0" collapsed="false">
      <c r="J8" s="70" t="s">
        <v>2115</v>
      </c>
      <c r="K8" s="183" t="n">
        <v>2000</v>
      </c>
    </row>
    <row r="9" customFormat="false" ht="16.15" hidden="false" customHeight="false" outlineLevel="0" collapsed="false">
      <c r="B9" s="175" t="s">
        <v>2116</v>
      </c>
      <c r="J9" s="70" t="s">
        <v>2117</v>
      </c>
      <c r="K9" s="185" t="n">
        <v>46297</v>
      </c>
    </row>
    <row r="10" customFormat="false" ht="15" hidden="false" customHeight="false" outlineLevel="0" collapsed="false">
      <c r="B10" s="186" t="s">
        <v>2118</v>
      </c>
      <c r="C10" s="186" t="s">
        <v>2119</v>
      </c>
      <c r="D10" s="186" t="s">
        <v>2120</v>
      </c>
      <c r="E10" s="186" t="s">
        <v>2121</v>
      </c>
      <c r="F10" s="186" t="s">
        <v>2122</v>
      </c>
      <c r="J10" s="70" t="s">
        <v>2123</v>
      </c>
      <c r="K10" s="187" t="n">
        <f aca="true">TODAY()</f>
        <v>46297</v>
      </c>
    </row>
    <row r="11" customFormat="false" ht="15" hidden="false" customHeight="false" outlineLevel="0" collapsed="false">
      <c r="B11" s="157" t="s">
        <v>2124</v>
      </c>
      <c r="C11" s="157" t="n">
        <f aca="false">COUNTA('aux Conciliação Lote'!$A$5:$A$98)</f>
        <v>94</v>
      </c>
      <c r="D11" s="157" t="n">
        <f aca="false">COUNTIF('aux Conciliação Lote'!$J$5:$J$98,"OK")</f>
        <v>66</v>
      </c>
      <c r="E11" s="157" t="n">
        <f aca="false">COUNTIF('aux Conciliação Lote'!$J$5:$J$98,"Sobra no estoque")</f>
        <v>23</v>
      </c>
      <c r="F11" s="157" t="n">
        <f aca="false">COUNTIF('aux Conciliação Lote'!$J$5:$J$98,"Falta no estoque")</f>
        <v>5</v>
      </c>
      <c r="G11" s="188" t="n">
        <f aca="false">IF(C11=0,0,D11/C11)</f>
        <v>0.702127659574468</v>
      </c>
      <c r="J11" s="70" t="s">
        <v>2125</v>
      </c>
      <c r="K11" s="189" t="n">
        <v>3</v>
      </c>
    </row>
    <row r="12" customFormat="false" ht="15" hidden="false" customHeight="false" outlineLevel="0" collapsed="false">
      <c r="B12" s="157" t="s">
        <v>2126</v>
      </c>
      <c r="C12" s="157" t="n">
        <f aca="false">COUNTA('aux Conciliação Material'!$A$5:$A$54)</f>
        <v>50</v>
      </c>
      <c r="D12" s="157" t="n">
        <f aca="false">COUNTIF('aux Conciliação Material'!$I$5:$I$54,"OK")</f>
        <v>31</v>
      </c>
      <c r="E12" s="157" t="n">
        <f aca="false">COUNTIF('aux Conciliação Material'!$I$5:$I$54,"Sobra no estoque")</f>
        <v>16</v>
      </c>
      <c r="F12" s="157" t="n">
        <f aca="false">COUNTIF('aux Conciliação Material'!$I$5:$I$54,"Falta no estoque")</f>
        <v>3</v>
      </c>
      <c r="G12" s="188" t="n">
        <f aca="false">IF(C12=0,0,D12/C12)</f>
        <v>0.62</v>
      </c>
      <c r="J12" s="154" t="s">
        <v>2127</v>
      </c>
    </row>
    <row r="13" customFormat="false" ht="15" hidden="false" customHeight="false" outlineLevel="0" collapsed="false">
      <c r="J13" s="70" t="s">
        <v>2128</v>
      </c>
      <c r="K13" s="190" t="s">
        <v>2129</v>
      </c>
    </row>
    <row r="14" customFormat="false" ht="16.15" hidden="false" customHeight="false" outlineLevel="0" collapsed="false">
      <c r="B14" s="175" t="s">
        <v>2130</v>
      </c>
    </row>
    <row r="15" customFormat="false" ht="15" hidden="false" customHeight="false" outlineLevel="0" collapsed="false">
      <c r="B15" s="186" t="s">
        <v>159</v>
      </c>
      <c r="C15" s="186" t="s">
        <v>2131</v>
      </c>
      <c r="D15" s="186" t="s">
        <v>2132</v>
      </c>
      <c r="E15" s="186" t="s">
        <v>2133</v>
      </c>
      <c r="F15" s="186" t="s">
        <v>2134</v>
      </c>
      <c r="G15" s="186" t="s">
        <v>160</v>
      </c>
    </row>
    <row r="16" customFormat="false" ht="15" hidden="false" customHeight="false" outlineLevel="0" collapsed="false">
      <c r="B16" s="157" t="s">
        <v>65</v>
      </c>
      <c r="C16" s="158" t="n">
        <f aca="false">SUMIFS('aux Conciliação Lote'!$E$5:$E$98,'aux Conciliação Lote'!$C$5:$C$98,$B16)</f>
        <v>65930.28</v>
      </c>
      <c r="D16" s="158" t="n">
        <f aca="false">SUMIFS('aux Conciliação Lote'!$F$5:$F$98,'aux Conciliação Lote'!$C$5:$C$98,$B16)</f>
        <v>26268.8</v>
      </c>
      <c r="E16" s="158" t="n">
        <f aca="false">SUMIFS('aux Conciliação Lote'!$G$5:$G$98,'aux Conciliação Lote'!$C$5:$C$98,$B16)</f>
        <v>39661.48</v>
      </c>
      <c r="F16" s="158" t="n">
        <f aca="false">SUMIFS('aux Conciliação Lote'!$H$5:$H$98,'aux Conciliação Lote'!$C$5:$C$98,$B16)</f>
        <v>59270.487</v>
      </c>
      <c r="G16" s="158" t="n">
        <f aca="false">SUMIFS('aux Conciliação Lote'!$I$5:$I$98,'aux Conciliação Lote'!$C$5:$C$98,$B16)</f>
        <v>19609.007</v>
      </c>
    </row>
    <row r="17" customFormat="false" ht="15" hidden="false" customHeight="false" outlineLevel="0" collapsed="false">
      <c r="B17" s="157" t="s">
        <v>146</v>
      </c>
      <c r="C17" s="158" t="n">
        <f aca="false">SUMIFS('aux Conciliação Lote'!$E$5:$E$98,'aux Conciliação Lote'!$C$5:$C$98,$B17)</f>
        <v>5400</v>
      </c>
      <c r="D17" s="158" t="n">
        <f aca="false">SUMIFS('aux Conciliação Lote'!$F$5:$F$98,'aux Conciliação Lote'!$C$5:$C$98,$B17)</f>
        <v>3015</v>
      </c>
      <c r="E17" s="158" t="n">
        <f aca="false">SUMIFS('aux Conciliação Lote'!$G$5:$G$98,'aux Conciliação Lote'!$C$5:$C$98,$B17)</f>
        <v>2385</v>
      </c>
      <c r="F17" s="158" t="n">
        <f aca="false">SUMIFS('aux Conciliação Lote'!$H$5:$H$98,'aux Conciliação Lote'!$C$5:$C$98,$B17)</f>
        <v>2449.219</v>
      </c>
      <c r="G17" s="158" t="n">
        <f aca="false">SUMIFS('aux Conciliação Lote'!$I$5:$I$98,'aux Conciliação Lote'!$C$5:$C$98,$B17)</f>
        <v>64.219</v>
      </c>
    </row>
    <row r="18" customFormat="false" ht="15" hidden="false" customHeight="false" outlineLevel="0" collapsed="false">
      <c r="B18" s="157" t="s">
        <v>147</v>
      </c>
      <c r="C18" s="158" t="n">
        <f aca="false">SUMIFS('aux Conciliação Lote'!$E$5:$E$98,'aux Conciliação Lote'!$C$5:$C$98,$B18)</f>
        <v>1637.75</v>
      </c>
      <c r="D18" s="158" t="n">
        <f aca="false">SUMIFS('aux Conciliação Lote'!$F$5:$F$98,'aux Conciliação Lote'!$C$5:$C$98,$B18)</f>
        <v>101</v>
      </c>
      <c r="E18" s="158" t="n">
        <f aca="false">SUMIFS('aux Conciliação Lote'!$G$5:$G$98,'aux Conciliação Lote'!$C$5:$C$98,$B18)</f>
        <v>1536.75</v>
      </c>
      <c r="F18" s="158" t="n">
        <f aca="false">SUMIFS('aux Conciliação Lote'!$H$5:$H$98,'aux Conciliação Lote'!$C$5:$C$98,$B18)</f>
        <v>1536.75</v>
      </c>
      <c r="G18" s="158" t="n">
        <f aca="false">SUMIFS('aux Conciliação Lote'!$I$5:$I$98,'aux Conciliação Lote'!$C$5:$C$98,$B18)</f>
        <v>0</v>
      </c>
    </row>
    <row r="20" customFormat="false" ht="16.15" hidden="false" customHeight="false" outlineLevel="0" collapsed="false">
      <c r="B20" s="175" t="s">
        <v>2135</v>
      </c>
    </row>
    <row r="21" customFormat="false" ht="15" hidden="false" customHeight="false" outlineLevel="0" collapsed="false">
      <c r="B21" s="191" t="s">
        <v>162</v>
      </c>
      <c r="C21" s="191" t="s">
        <v>2136</v>
      </c>
      <c r="D21" s="191" t="s">
        <v>2137</v>
      </c>
    </row>
    <row r="22" customFormat="false" ht="15" hidden="false" customHeight="false" outlineLevel="0" collapsed="false">
      <c r="B22" s="157" t="s">
        <v>2138</v>
      </c>
      <c r="C22" s="157" t="n">
        <f aca="false">COUNTIF('3 Base Entrada 2008'!$K$2:$K$5000,"Recebido no 2008")</f>
        <v>49</v>
      </c>
      <c r="D22" s="158" t="n">
        <f aca="false">SUMIFS('3 Base Entrada 2008'!$G$2:$G$5000,'3 Base Entrada 2008'!$K$2:$K$5000,"Recebido no 2008")</f>
        <v>78599.5</v>
      </c>
    </row>
    <row r="23" customFormat="false" ht="15" hidden="false" customHeight="false" outlineLevel="0" collapsed="false">
      <c r="B23" s="157" t="s">
        <v>2139</v>
      </c>
      <c r="C23" s="157" t="n">
        <f aca="false">COUNTIF('3 Base Entrada 2008'!$K$2:$K$5000,"Entrada")</f>
        <v>139</v>
      </c>
      <c r="D23" s="158" t="n">
        <f aca="false">-SUMIFS('3 Base Entrada 2008'!$G$2:$G$5000,'3 Base Entrada 2008'!$K$2:$K$5000,"Entrada")</f>
        <v>75053.03</v>
      </c>
    </row>
    <row r="24" customFormat="false" ht="15" hidden="false" customHeight="false" outlineLevel="0" collapsed="false">
      <c r="B24" s="157" t="s">
        <v>2140</v>
      </c>
      <c r="C24" s="157" t="n">
        <f aca="false">COUNTIF('3 Base Entrada 2008'!$K$2:$K$5000,"Estorno")</f>
        <v>13</v>
      </c>
      <c r="D24" s="158" t="n">
        <f aca="false">SUMIFS('3 Base Entrada 2008'!$G$2:$G$5000,'3 Base Entrada 2008'!$K$2:$K$5000,"Estorno")</f>
        <v>2085</v>
      </c>
    </row>
    <row r="25" customFormat="false" ht="15" hidden="false" customHeight="false" outlineLevel="0" collapsed="false">
      <c r="B25" s="157" t="s">
        <v>2132</v>
      </c>
      <c r="C25" s="157" t="n">
        <f aca="false">COUNTA('3 Base Saídas'!$A$2:$A$5000)</f>
        <v>405</v>
      </c>
      <c r="D25" s="158" t="n">
        <f aca="false">SUM('3 Base Saídas'!$R$2:$R$5000)</f>
        <v>29384.8</v>
      </c>
    </row>
    <row r="26" customFormat="false" ht="15" hidden="false" customHeight="false" outlineLevel="0" collapsed="false">
      <c r="B26" s="157" t="s">
        <v>2141</v>
      </c>
      <c r="C26" s="157" t="n">
        <f aca="false">COUNTA('3 Base Estoque Físico'!$A$2:$A$5000)</f>
        <v>228</v>
      </c>
      <c r="D26" s="158" t="n">
        <f aca="false">SUM('3 Base Estoque Físico'!$J$2:$J$5000)</f>
        <v>63256.456</v>
      </c>
    </row>
    <row r="27" customFormat="false" ht="15" hidden="false" customHeight="false" outlineLevel="0" collapsed="false">
      <c r="B27" s="31" t="s">
        <v>2142</v>
      </c>
    </row>
    <row r="29" customFormat="false" ht="16.15" hidden="false" customHeight="false" outlineLevel="0" collapsed="false">
      <c r="B29" s="175" t="s">
        <v>2143</v>
      </c>
    </row>
    <row r="30" customFormat="false" ht="30" hidden="false" customHeight="true" outlineLevel="0" collapsed="false">
      <c r="B30" s="69" t="s">
        <v>2144</v>
      </c>
      <c r="C30" s="69"/>
      <c r="D30" s="69"/>
      <c r="E30" s="69"/>
      <c r="F30" s="69"/>
      <c r="G30" s="69"/>
      <c r="H30" s="69"/>
    </row>
    <row r="31" customFormat="false" ht="30" hidden="false" customHeight="true" outlineLevel="0" collapsed="false">
      <c r="B31" s="69" t="s">
        <v>2145</v>
      </c>
      <c r="C31" s="69"/>
      <c r="D31" s="69"/>
      <c r="E31" s="69"/>
      <c r="F31" s="69"/>
      <c r="G31" s="69"/>
      <c r="H31" s="69"/>
    </row>
    <row r="32" customFormat="false" ht="30" hidden="false" customHeight="true" outlineLevel="0" collapsed="false">
      <c r="B32" s="69" t="s">
        <v>2146</v>
      </c>
      <c r="C32" s="69"/>
      <c r="D32" s="69"/>
      <c r="E32" s="69"/>
      <c r="F32" s="69"/>
      <c r="G32" s="69"/>
      <c r="H32" s="69"/>
    </row>
    <row r="33" customFormat="false" ht="30" hidden="false" customHeight="true" outlineLevel="0" collapsed="false">
      <c r="B33" s="69" t="s">
        <v>2147</v>
      </c>
      <c r="C33" s="69"/>
      <c r="D33" s="69"/>
      <c r="E33" s="69"/>
      <c r="F33" s="69"/>
      <c r="G33" s="69"/>
      <c r="H33" s="69"/>
    </row>
    <row r="34" customFormat="false" ht="30" hidden="false" customHeight="true" outlineLevel="0" collapsed="false">
      <c r="B34" s="69" t="s">
        <v>2148</v>
      </c>
      <c r="C34" s="69"/>
      <c r="D34" s="69"/>
      <c r="E34" s="69"/>
      <c r="F34" s="69"/>
      <c r="G34" s="69"/>
      <c r="H34" s="69"/>
    </row>
    <row r="35" customFormat="false" ht="30" hidden="false" customHeight="true" outlineLevel="0" collapsed="false">
      <c r="B35" s="69" t="s">
        <v>2149</v>
      </c>
      <c r="C35" s="69"/>
      <c r="D35" s="69"/>
      <c r="E35" s="69"/>
      <c r="F35" s="69"/>
      <c r="G35" s="69"/>
      <c r="H35" s="69"/>
    </row>
  </sheetData>
  <mergeCells count="6">
    <mergeCell ref="B30:H30"/>
    <mergeCell ref="B31:H31"/>
    <mergeCell ref="B32:H32"/>
    <mergeCell ref="B33:H33"/>
    <mergeCell ref="B34:H34"/>
    <mergeCell ref="B35:H35"/>
  </mergeCells>
  <hyperlinks>
    <hyperlink ref="K1" r:id="rId2" location="'MENU'!A1" display="◄ MENU"/>
  </hyperlinks>
  <printOptions headings="false" gridLines="false" gridLinesSet="true" horizontalCentered="true" verticalCentered="false"/>
  <pageMargins left="0.4" right="0.4" top="0.6" bottom="0.6" header="0.25" footer="0.25"/>
  <pageSetup paperSize="9" scale="100" fitToWidth="1" fitToHeight="0" pageOrder="downThenOver" orientation="landscape" blackAndWhite="false" draft="false" cellComments="none" horizontalDpi="300" verticalDpi="300" copies="1"/>
  <headerFooter differentFirst="false" differentOddEven="false">
    <oddHeader>&amp;L&amp;9 ZBR Importado — Relatório de Gestão&amp;R&amp;9 &amp;A</oddHeader>
    <oddFooter>&amp;L&amp;8 Fonte: exportação SAP · Centro BR01&amp;R&amp;8 Página &amp;P de &amp;N</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4" min="3" style="0" width="15"/>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17"/>
    <col collapsed="false" customWidth="true" hidden="false" outlineLevel="0" max="9" min="9" style="0" width="26"/>
    <col collapsed="false" customWidth="true" hidden="false" outlineLevel="0" max="10" min="10" style="0" width="44"/>
    <col collapsed="false" customWidth="true" hidden="false" outlineLevel="0" max="11" min="11" style="0" width="18"/>
  </cols>
  <sheetData>
    <row r="1" customFormat="false" ht="26.8" hidden="false" customHeight="false" outlineLevel="0" collapsed="false">
      <c r="A1" s="29" t="s">
        <v>2150</v>
      </c>
    </row>
    <row r="2" customFormat="false" ht="15" hidden="false" customHeight="false" outlineLevel="0" collapsed="false">
      <c r="A2" s="31" t="s">
        <v>2151</v>
      </c>
    </row>
    <row r="4" customFormat="false" ht="45" hidden="false" customHeight="true" outlineLevel="0" collapsed="false">
      <c r="A4" s="15" t="s">
        <v>157</v>
      </c>
      <c r="B4" s="15" t="s">
        <v>159</v>
      </c>
      <c r="C4" s="15" t="s">
        <v>2152</v>
      </c>
      <c r="D4" s="15" t="s">
        <v>2153</v>
      </c>
      <c r="E4" s="15" t="s">
        <v>2154</v>
      </c>
      <c r="F4" s="15" t="s">
        <v>2155</v>
      </c>
      <c r="G4" s="15" t="s">
        <v>2156</v>
      </c>
      <c r="H4" s="15" t="s">
        <v>2157</v>
      </c>
      <c r="I4" s="15" t="s">
        <v>1843</v>
      </c>
      <c r="J4" s="15" t="s">
        <v>2158</v>
      </c>
      <c r="K4" s="15" t="s">
        <v>2159</v>
      </c>
    </row>
    <row r="5" customFormat="false" ht="15" hidden="false" customHeight="false" outlineLevel="0" collapsed="false">
      <c r="A5" s="157" t="s">
        <v>314</v>
      </c>
      <c r="B5" s="157" t="s">
        <v>65</v>
      </c>
      <c r="C5" s="158" t="n">
        <f aca="false">SUMIFS('3 Base Entrada 2008'!$G$2:$G$5000,'3 Base Entrada 2008'!$B$2:$B$5000,$A5,'3 Base Entrada 2008'!$K$2:$K$5000,"Recebido no 2008")</f>
        <v>0</v>
      </c>
      <c r="D5" s="158" t="n">
        <f aca="false">SUMIFS('3 Base Entrada 2008'!$L$2:$L$5000,'3 Base Entrada 2008'!$B$2:$B$5000,$A5)</f>
        <v>2.8</v>
      </c>
      <c r="E5" s="158" t="n">
        <f aca="false">SUMIFS('3 Base Saídas'!$R$2:$R$5000,'3 Base Saídas'!$B$2:$B$5000,$A5)</f>
        <v>226.8</v>
      </c>
      <c r="F5" s="158" t="n">
        <f aca="false">SUMIFS('3 Base Saldo Inicial 08-09'!$E$2:$E$5000,'3 Base Saldo Inicial 08-09'!$A$2:$A$5000,$A5)-SUMIFS('3 Base Saldo Inicial 08-09'!$E$2:$E$5000,'3 Base Saldo Inicial 08-09'!$A$2:$A$5000,$A5,'3 Base Saldo Inicial 08-09'!$C$2:$C$5000,"2008")+D5-E5</f>
        <v>-224</v>
      </c>
      <c r="G5" s="158" t="n">
        <f aca="false">SUMIFS('3 Base Estoque Físico'!$J$2:$J$5000,'3 Base Estoque Físico'!$A$2:$A$5000,$A5)</f>
        <v>5513.2</v>
      </c>
      <c r="H5" s="192" t="n">
        <f aca="false">ROUND(G5-F5,3)</f>
        <v>5737.2</v>
      </c>
      <c r="I5" s="157" t="str">
        <f aca="false">IF(ABS(H5)&lt;=Parâmetros!$C$7,"OK",IF(H5&gt;0,"Sobra no estoque","Falta no estoque"))</f>
        <v>Sobra no estoque</v>
      </c>
      <c r="J5" s="157" t="str">
        <f aca="false">IF(I5="OK","",IF(AND(D5=0,E5=0),"Estoque sem movimento no período",IF(F5&lt;0,"Saídas maiores que entradas – estoque anterior ao período?",IF(G5=0,"Saldo calculado sem estoque físico – verificar",IF(H5&gt;0,"Estoque acima do esperado – saldo anterior ou entrada não listada","Estoque abaixo do esperado – saída/ajuste não listado")))))</f>
        <v>Saídas maiores que entradas – estoque anterior ao período?</v>
      </c>
      <c r="K5" s="158" t="str">
        <f aca="false">IF(C5=0,"",C5-D5)</f>
        <v/>
      </c>
    </row>
    <row r="6" customFormat="false" ht="15" hidden="false" customHeight="false" outlineLevel="0" collapsed="false">
      <c r="A6" s="157" t="s">
        <v>257</v>
      </c>
      <c r="B6" s="157" t="s">
        <v>65</v>
      </c>
      <c r="C6" s="158" t="n">
        <f aca="false">SUMIFS('3 Base Entrada 2008'!$G$2:$G$5000,'3 Base Entrada 2008'!$B$2:$B$5000,$A6,'3 Base Entrada 2008'!$K$2:$K$5000,"Recebido no 2008")</f>
        <v>0</v>
      </c>
      <c r="D6" s="158" t="n">
        <f aca="false">SUMIFS('3 Base Entrada 2008'!$L$2:$L$5000,'3 Base Entrada 2008'!$B$2:$B$5000,$A6)</f>
        <v>1254</v>
      </c>
      <c r="E6" s="158" t="n">
        <f aca="false">SUMIFS('3 Base Saídas'!$R$2:$R$5000,'3 Base Saídas'!$B$2:$B$5000,$A6)</f>
        <v>906</v>
      </c>
      <c r="F6" s="158" t="n">
        <f aca="false">SUMIFS('3 Base Saldo Inicial 08-09'!$E$2:$E$5000,'3 Base Saldo Inicial 08-09'!$A$2:$A$5000,$A6)-SUMIFS('3 Base Saldo Inicial 08-09'!$E$2:$E$5000,'3 Base Saldo Inicial 08-09'!$A$2:$A$5000,$A6,'3 Base Saldo Inicial 08-09'!$C$2:$C$5000,"2008")+D6-E6</f>
        <v>348</v>
      </c>
      <c r="G6" s="158" t="n">
        <f aca="false">SUMIFS('3 Base Estoque Físico'!$J$2:$J$5000,'3 Base Estoque Físico'!$A$2:$A$5000,$A6)</f>
        <v>4042.998</v>
      </c>
      <c r="H6" s="192" t="n">
        <f aca="false">ROUND(G6-F6,3)</f>
        <v>3694.998</v>
      </c>
      <c r="I6" s="157" t="str">
        <f aca="false">IF(ABS(H6)&lt;=Parâmetros!$C$7,"OK",IF(H6&gt;0,"Sobra no estoque","Falta no estoque"))</f>
        <v>Sobra no estoque</v>
      </c>
      <c r="J6" s="157" t="str">
        <f aca="false">IF(I6="OK","",IF(AND(D6=0,E6=0),"Estoque sem movimento no período",IF(F6&lt;0,"Saídas maiores que entradas – estoque anterior ao período?",IF(G6=0,"Saldo calculado sem estoque físico – verificar",IF(H6&gt;0,"Estoque acima do esperado – saldo anterior ou entrada não listada","Estoque abaixo do esperado – saída/ajuste não listado")))))</f>
        <v>Estoque acima do esperado – saldo anterior ou entrada não listada</v>
      </c>
      <c r="K6" s="158" t="str">
        <f aca="false">IF(C6=0,"",C6-D6)</f>
        <v/>
      </c>
    </row>
    <row r="7" customFormat="false" ht="15" hidden="false" customHeight="false" outlineLevel="0" collapsed="false">
      <c r="A7" s="157" t="s">
        <v>245</v>
      </c>
      <c r="B7" s="157" t="s">
        <v>65</v>
      </c>
      <c r="C7" s="158" t="n">
        <f aca="false">SUMIFS('3 Base Entrada 2008'!$G$2:$G$5000,'3 Base Entrada 2008'!$B$2:$B$5000,$A7,'3 Base Entrada 2008'!$K$2:$K$5000,"Recebido no 2008")</f>
        <v>0</v>
      </c>
      <c r="D7" s="158" t="n">
        <f aca="false">SUMIFS('3 Base Entrada 2008'!$L$2:$L$5000,'3 Base Entrada 2008'!$B$2:$B$5000,$A7)</f>
        <v>240</v>
      </c>
      <c r="E7" s="158" t="n">
        <f aca="false">SUMIFS('3 Base Saídas'!$R$2:$R$5000,'3 Base Saídas'!$B$2:$B$5000,$A7)</f>
        <v>6</v>
      </c>
      <c r="F7" s="158" t="n">
        <f aca="false">SUMIFS('3 Base Saldo Inicial 08-09'!$E$2:$E$5000,'3 Base Saldo Inicial 08-09'!$A$2:$A$5000,$A7)-SUMIFS('3 Base Saldo Inicial 08-09'!$E$2:$E$5000,'3 Base Saldo Inicial 08-09'!$A$2:$A$5000,$A7,'3 Base Saldo Inicial 08-09'!$C$2:$C$5000,"2008")+D7-E7</f>
        <v>234</v>
      </c>
      <c r="G7" s="158" t="n">
        <f aca="false">SUMIFS('3 Base Estoque Físico'!$J$2:$J$5000,'3 Base Estoque Físico'!$A$2:$A$5000,$A7)</f>
        <v>3432</v>
      </c>
      <c r="H7" s="192" t="n">
        <f aca="false">ROUND(G7-F7,3)</f>
        <v>3198</v>
      </c>
      <c r="I7" s="157" t="str">
        <f aca="false">IF(ABS(H7)&lt;=Parâmetros!$C$7,"OK",IF(H7&gt;0,"Sobra no estoque","Falta no estoque"))</f>
        <v>Sobra no estoque</v>
      </c>
      <c r="J7" s="157" t="str">
        <f aca="false">IF(I7="OK","",IF(AND(D7=0,E7=0),"Estoque sem movimento no período",IF(F7&lt;0,"Saídas maiores que entradas – estoque anterior ao período?",IF(G7=0,"Saldo calculado sem estoque físico – verificar",IF(H7&gt;0,"Estoque acima do esperado – saldo anterior ou entrada não listada","Estoque abaixo do esperado – saída/ajuste não listado")))))</f>
        <v>Estoque acima do esperado – saldo anterior ou entrada não listada</v>
      </c>
      <c r="K7" s="158" t="str">
        <f aca="false">IF(C7=0,"",C7-D7)</f>
        <v/>
      </c>
    </row>
    <row r="8" customFormat="false" ht="15" hidden="false" customHeight="false" outlineLevel="0" collapsed="false">
      <c r="A8" s="157" t="s">
        <v>322</v>
      </c>
      <c r="B8" s="157" t="s">
        <v>65</v>
      </c>
      <c r="C8" s="158" t="n">
        <f aca="false">SUMIFS('3 Base Entrada 2008'!$G$2:$G$5000,'3 Base Entrada 2008'!$B$2:$B$5000,$A8,'3 Base Entrada 2008'!$K$2:$K$5000,"Recebido no 2008")</f>
        <v>0</v>
      </c>
      <c r="D8" s="158" t="n">
        <f aca="false">SUMIFS('3 Base Entrada 2008'!$L$2:$L$5000,'3 Base Entrada 2008'!$B$2:$B$5000,$A8)</f>
        <v>2.8</v>
      </c>
      <c r="E8" s="158" t="n">
        <f aca="false">SUMIFS('3 Base Saídas'!$R$2:$R$5000,'3 Base Saídas'!$B$2:$B$5000,$A8)</f>
        <v>677.6</v>
      </c>
      <c r="F8" s="158" t="n">
        <f aca="false">SUMIFS('3 Base Saldo Inicial 08-09'!$E$2:$E$5000,'3 Base Saldo Inicial 08-09'!$A$2:$A$5000,$A8)-SUMIFS('3 Base Saldo Inicial 08-09'!$E$2:$E$5000,'3 Base Saldo Inicial 08-09'!$A$2:$A$5000,$A8,'3 Base Saldo Inicial 08-09'!$C$2:$C$5000,"2008")+D8-E8</f>
        <v>-674.8</v>
      </c>
      <c r="G8" s="158" t="n">
        <f aca="false">SUMIFS('3 Base Estoque Físico'!$J$2:$J$5000,'3 Base Estoque Físico'!$A$2:$A$5000,$A8)</f>
        <v>1853.6</v>
      </c>
      <c r="H8" s="192" t="n">
        <f aca="false">ROUND(G8-F8,3)</f>
        <v>2528.4</v>
      </c>
      <c r="I8" s="157" t="str">
        <f aca="false">IF(ABS(H8)&lt;=Parâmetros!$C$7,"OK",IF(H8&gt;0,"Sobra no estoque","Falta no estoque"))</f>
        <v>Sobra no estoque</v>
      </c>
      <c r="J8" s="157" t="str">
        <f aca="false">IF(I8="OK","",IF(AND(D8=0,E8=0),"Estoque sem movimento no período",IF(F8&lt;0,"Saídas maiores que entradas – estoque anterior ao período?",IF(G8=0,"Saldo calculado sem estoque físico – verificar",IF(H8&gt;0,"Estoque acima do esperado – saldo anterior ou entrada não listada","Estoque abaixo do esperado – saída/ajuste não listado")))))</f>
        <v>Saídas maiores que entradas – estoque anterior ao período?</v>
      </c>
      <c r="K8" s="158" t="str">
        <f aca="false">IF(C8=0,"",C8-D8)</f>
        <v/>
      </c>
    </row>
    <row r="9" customFormat="false" ht="15" hidden="false" customHeight="false" outlineLevel="0" collapsed="false">
      <c r="A9" s="157" t="s">
        <v>201</v>
      </c>
      <c r="B9" s="157" t="s">
        <v>65</v>
      </c>
      <c r="C9" s="158" t="n">
        <f aca="false">SUMIFS('3 Base Entrada 2008'!$G$2:$G$5000,'3 Base Entrada 2008'!$B$2:$B$5000,$A9,'3 Base Entrada 2008'!$K$2:$K$5000,"Recebido no 2008")</f>
        <v>0</v>
      </c>
      <c r="D9" s="158" t="n">
        <f aca="false">SUMIFS('3 Base Entrada 2008'!$L$2:$L$5000,'3 Base Entrada 2008'!$B$2:$B$5000,$A9)</f>
        <v>456.4</v>
      </c>
      <c r="E9" s="158" t="n">
        <f aca="false">SUMIFS('3 Base Saídas'!$R$2:$R$5000,'3 Base Saídas'!$B$2:$B$5000,$A9)</f>
        <v>221.2</v>
      </c>
      <c r="F9" s="158" t="n">
        <f aca="false">SUMIFS('3 Base Saldo Inicial 08-09'!$E$2:$E$5000,'3 Base Saldo Inicial 08-09'!$A$2:$A$5000,$A9)-SUMIFS('3 Base Saldo Inicial 08-09'!$E$2:$E$5000,'3 Base Saldo Inicial 08-09'!$A$2:$A$5000,$A9,'3 Base Saldo Inicial 08-09'!$C$2:$C$5000,"2008")+D9-E9</f>
        <v>235.2</v>
      </c>
      <c r="G9" s="158" t="n">
        <f aca="false">SUMIFS('3 Base Estoque Físico'!$J$2:$J$5000,'3 Base Estoque Físico'!$A$2:$A$5000,$A9)</f>
        <v>1503.6</v>
      </c>
      <c r="H9" s="192" t="n">
        <f aca="false">ROUND(G9-F9,3)</f>
        <v>1268.4</v>
      </c>
      <c r="I9" s="157" t="str">
        <f aca="false">IF(ABS(H9)&lt;=Parâmetros!$C$7,"OK",IF(H9&gt;0,"Sobra no estoque","Falta no estoque"))</f>
        <v>Sobra no estoque</v>
      </c>
      <c r="J9" s="157" t="str">
        <f aca="false">IF(I9="OK","",IF(AND(D9=0,E9=0),"Estoque sem movimento no período",IF(F9&lt;0,"Saídas maiores que entradas – estoque anterior ao período?",IF(G9=0,"Saldo calculado sem estoque físico – verificar",IF(H9&gt;0,"Estoque acima do esperado – saldo anterior ou entrada não listada","Estoque abaixo do esperado – saída/ajuste não listado")))))</f>
        <v>Estoque acima do esperado – saldo anterior ou entrada não listada</v>
      </c>
      <c r="K9" s="158" t="str">
        <f aca="false">IF(C9=0,"",C9-D9)</f>
        <v/>
      </c>
    </row>
    <row r="10" customFormat="false" ht="15" hidden="false" customHeight="false" outlineLevel="0" collapsed="false">
      <c r="A10" s="157" t="s">
        <v>309</v>
      </c>
      <c r="B10" s="157" t="s">
        <v>65</v>
      </c>
      <c r="C10" s="158" t="n">
        <f aca="false">SUMIFS('3 Base Entrada 2008'!$G$2:$G$5000,'3 Base Entrada 2008'!$B$2:$B$5000,$A10,'3 Base Entrada 2008'!$K$2:$K$5000,"Recebido no 2008")</f>
        <v>3015</v>
      </c>
      <c r="D10" s="158" t="n">
        <f aca="false">SUMIFS('3 Base Entrada 2008'!$L$2:$L$5000,'3 Base Entrada 2008'!$B$2:$B$5000,$A10)</f>
        <v>3025.7</v>
      </c>
      <c r="E10" s="158" t="n">
        <f aca="false">SUMIFS('3 Base Saídas'!$R$2:$R$5000,'3 Base Saídas'!$B$2:$B$5000,$A10)</f>
        <v>1909.5</v>
      </c>
      <c r="F10" s="158" t="n">
        <f aca="false">SUMIFS('3 Base Saldo Inicial 08-09'!$E$2:$E$5000,'3 Base Saldo Inicial 08-09'!$A$2:$A$5000,$A10)-SUMIFS('3 Base Saldo Inicial 08-09'!$E$2:$E$5000,'3 Base Saldo Inicial 08-09'!$A$2:$A$5000,$A10,'3 Base Saldo Inicial 08-09'!$C$2:$C$5000,"2008")+D10-E10</f>
        <v>1116.2</v>
      </c>
      <c r="G10" s="158" t="n">
        <f aca="false">SUMIFS('3 Base Estoque Físico'!$J$2:$J$5000,'3 Base Estoque Físico'!$A$2:$A$5000,$A10)</f>
        <v>2219.69</v>
      </c>
      <c r="H10" s="192" t="n">
        <f aca="false">ROUND(G10-F10,3)</f>
        <v>1103.49</v>
      </c>
      <c r="I10" s="157" t="str">
        <f aca="false">IF(ABS(H10)&lt;=Parâmetros!$C$7,"OK",IF(H10&gt;0,"Sobra no estoque","Falta no estoque"))</f>
        <v>Sobra no estoque</v>
      </c>
      <c r="J10" s="157" t="str">
        <f aca="false">IF(I10="OK","",IF(AND(D10=0,E10=0),"Estoque sem movimento no período",IF(F10&lt;0,"Saídas maiores que entradas – estoque anterior ao período?",IF(G10=0,"Saldo calculado sem estoque físico – verificar",IF(H10&gt;0,"Estoque acima do esperado – saldo anterior ou entrada não listada","Estoque abaixo do esperado – saída/ajuste não listado")))))</f>
        <v>Estoque acima do esperado – saldo anterior ou entrada não listada</v>
      </c>
      <c r="K10" s="158" t="n">
        <f aca="false">IF(C10=0,"",C10-D10)</f>
        <v>-10.7000000000003</v>
      </c>
    </row>
    <row r="11" customFormat="false" ht="15" hidden="false" customHeight="false" outlineLevel="0" collapsed="false">
      <c r="A11" s="157" t="s">
        <v>276</v>
      </c>
      <c r="B11" s="157" t="s">
        <v>65</v>
      </c>
      <c r="C11" s="158" t="n">
        <f aca="false">SUMIFS('3 Base Entrada 2008'!$G$2:$G$5000,'3 Base Entrada 2008'!$B$2:$B$5000,$A11,'3 Base Entrada 2008'!$K$2:$K$5000,"Recebido no 2008")</f>
        <v>1206</v>
      </c>
      <c r="D11" s="158" t="n">
        <f aca="false">SUMIFS('3 Base Entrada 2008'!$L$2:$L$5000,'3 Base Entrada 2008'!$B$2:$B$5000,$A11)</f>
        <v>4844</v>
      </c>
      <c r="E11" s="158" t="n">
        <f aca="false">SUMIFS('3 Base Saídas'!$R$2:$R$5000,'3 Base Saídas'!$B$2:$B$5000,$A11)</f>
        <v>2211</v>
      </c>
      <c r="F11" s="158" t="n">
        <f aca="false">SUMIFS('3 Base Saldo Inicial 08-09'!$E$2:$E$5000,'3 Base Saldo Inicial 08-09'!$A$2:$A$5000,$A11)-SUMIFS('3 Base Saldo Inicial 08-09'!$E$2:$E$5000,'3 Base Saldo Inicial 08-09'!$A$2:$A$5000,$A11,'3 Base Saldo Inicial 08-09'!$C$2:$C$5000,"2008")+D11-E11</f>
        <v>2633</v>
      </c>
      <c r="G11" s="158" t="n">
        <f aca="false">SUMIFS('3 Base Estoque Físico'!$J$2:$J$5000,'3 Base Estoque Físico'!$A$2:$A$5000,$A11)</f>
        <v>3698.3</v>
      </c>
      <c r="H11" s="192" t="n">
        <f aca="false">ROUND(G11-F11,3)</f>
        <v>1065.3</v>
      </c>
      <c r="I11" s="157" t="str">
        <f aca="false">IF(ABS(H11)&lt;=Parâmetros!$C$7,"OK",IF(H11&gt;0,"Sobra no estoque","Falta no estoque"))</f>
        <v>Sobra no estoque</v>
      </c>
      <c r="J11" s="157" t="str">
        <f aca="false">IF(I11="OK","",IF(AND(D11=0,E11=0),"Estoque sem movimento no período",IF(F11&lt;0,"Saídas maiores que entradas – estoque anterior ao período?",IF(G11=0,"Saldo calculado sem estoque físico – verificar",IF(H11&gt;0,"Estoque acima do esperado – saldo anterior ou entrada não listada","Estoque abaixo do esperado – saída/ajuste não listado")))))</f>
        <v>Estoque acima do esperado – saldo anterior ou entrada não listada</v>
      </c>
      <c r="K11" s="158" t="n">
        <f aca="false">IF(C11=0,"",C11-D11)</f>
        <v>-3638</v>
      </c>
    </row>
    <row r="12" customFormat="false" ht="15" hidden="false" customHeight="false" outlineLevel="0" collapsed="false">
      <c r="A12" s="157" t="s">
        <v>269</v>
      </c>
      <c r="B12" s="157" t="s">
        <v>65</v>
      </c>
      <c r="C12" s="158" t="n">
        <f aca="false">SUMIFS('3 Base Entrada 2008'!$G$2:$G$5000,'3 Base Entrada 2008'!$B$2:$B$5000,$A12,'3 Base Entrada 2008'!$K$2:$K$5000,"Recebido no 2008")</f>
        <v>0</v>
      </c>
      <c r="D12" s="158" t="n">
        <f aca="false">SUMIFS('3 Base Entrada 2008'!$L$2:$L$5000,'3 Base Entrada 2008'!$B$2:$B$5000,$A12)</f>
        <v>918</v>
      </c>
      <c r="E12" s="158" t="n">
        <f aca="false">SUMIFS('3 Base Saídas'!$R$2:$R$5000,'3 Base Saídas'!$B$2:$B$5000,$A12)</f>
        <v>186</v>
      </c>
      <c r="F12" s="158" t="n">
        <f aca="false">SUMIFS('3 Base Saldo Inicial 08-09'!$E$2:$E$5000,'3 Base Saldo Inicial 08-09'!$A$2:$A$5000,$A12)-SUMIFS('3 Base Saldo Inicial 08-09'!$E$2:$E$5000,'3 Base Saldo Inicial 08-09'!$A$2:$A$5000,$A12,'3 Base Saldo Inicial 08-09'!$C$2:$C$5000,"2008")+D12-E12</f>
        <v>732</v>
      </c>
      <c r="G12" s="158" t="n">
        <f aca="false">SUMIFS('3 Base Estoque Físico'!$J$2:$J$5000,'3 Base Estoque Físico'!$A$2:$A$5000,$A12)</f>
        <v>1272</v>
      </c>
      <c r="H12" s="192" t="n">
        <f aca="false">ROUND(G12-F12,3)</f>
        <v>540</v>
      </c>
      <c r="I12" s="157" t="str">
        <f aca="false">IF(ABS(H12)&lt;=Parâmetros!$C$7,"OK",IF(H12&gt;0,"Sobra no estoque","Falta no estoque"))</f>
        <v>Sobra no estoque</v>
      </c>
      <c r="J12" s="157" t="str">
        <f aca="false">IF(I12="OK","",IF(AND(D12=0,E12=0),"Estoque sem movimento no período",IF(F12&lt;0,"Saídas maiores que entradas – estoque anterior ao período?",IF(G12=0,"Saldo calculado sem estoque físico – verificar",IF(H12&gt;0,"Estoque acima do esperado – saldo anterior ou entrada não listada","Estoque abaixo do esperado – saída/ajuste não listado")))))</f>
        <v>Estoque acima do esperado – saldo anterior ou entrada não listada</v>
      </c>
      <c r="K12" s="158" t="str">
        <f aca="false">IF(C12=0,"",C12-D12)</f>
        <v/>
      </c>
    </row>
    <row r="13" customFormat="false" ht="15" hidden="false" customHeight="false" outlineLevel="0" collapsed="false">
      <c r="A13" s="157" t="s">
        <v>192</v>
      </c>
      <c r="B13" s="157" t="s">
        <v>65</v>
      </c>
      <c r="C13" s="158" t="n">
        <f aca="false">SUMIFS('3 Base Entrada 2008'!$G$2:$G$5000,'3 Base Entrada 2008'!$B$2:$B$5000,$A13,'3 Base Entrada 2008'!$K$2:$K$5000,"Recebido no 2008")</f>
        <v>6633</v>
      </c>
      <c r="D13" s="158" t="n">
        <f aca="false">SUMIFS('3 Base Entrada 2008'!$L$2:$L$5000,'3 Base Entrada 2008'!$B$2:$B$5000,$A13)</f>
        <v>3618</v>
      </c>
      <c r="E13" s="158" t="n">
        <f aca="false">SUMIFS('3 Base Saídas'!$R$2:$R$5000,'3 Base Saídas'!$B$2:$B$5000,$A13)</f>
        <v>2994.9</v>
      </c>
      <c r="F13" s="158" t="n">
        <f aca="false">SUMIFS('3 Base Saldo Inicial 08-09'!$E$2:$E$5000,'3 Base Saldo Inicial 08-09'!$A$2:$A$5000,$A13)-SUMIFS('3 Base Saldo Inicial 08-09'!$E$2:$E$5000,'3 Base Saldo Inicial 08-09'!$A$2:$A$5000,$A13,'3 Base Saldo Inicial 08-09'!$C$2:$C$5000,"2008")+D13-E13</f>
        <v>623.1</v>
      </c>
      <c r="G13" s="158" t="n">
        <f aca="false">SUMIFS('3 Base Estoque Físico'!$J$2:$J$5000,'3 Base Estoque Físico'!$A$2:$A$5000,$A13)</f>
        <v>964.8</v>
      </c>
      <c r="H13" s="192" t="n">
        <f aca="false">ROUND(G13-F13,3)</f>
        <v>341.7</v>
      </c>
      <c r="I13" s="157" t="str">
        <f aca="false">IF(ABS(H13)&lt;=Parâmetros!$C$7,"OK",IF(H13&gt;0,"Sobra no estoque","Falta no estoque"))</f>
        <v>Sobra no estoque</v>
      </c>
      <c r="J13" s="157" t="str">
        <f aca="false">IF(I13="OK","",IF(AND(D13=0,E13=0),"Estoque sem movimento no período",IF(F13&lt;0,"Saídas maiores que entradas – estoque anterior ao período?",IF(G13=0,"Saldo calculado sem estoque físico – verificar",IF(H13&gt;0,"Estoque acima do esperado – saldo anterior ou entrada não listada","Estoque abaixo do esperado – saída/ajuste não listado")))))</f>
        <v>Estoque acima do esperado – saldo anterior ou entrada não listada</v>
      </c>
      <c r="K13" s="158" t="n">
        <f aca="false">IF(C13=0,"",C13-D13)</f>
        <v>3015</v>
      </c>
    </row>
    <row r="14" customFormat="false" ht="15" hidden="false" customHeight="false" outlineLevel="0" collapsed="false">
      <c r="A14" s="157" t="s">
        <v>247</v>
      </c>
      <c r="B14" s="157" t="s">
        <v>65</v>
      </c>
      <c r="C14" s="158" t="n">
        <f aca="false">SUMIFS('3 Base Entrada 2008'!$G$2:$G$5000,'3 Base Entrada 2008'!$B$2:$B$5000,$A14,'3 Base Entrada 2008'!$K$2:$K$5000,"Recebido no 2008")</f>
        <v>1185.9</v>
      </c>
      <c r="D14" s="158" t="n">
        <f aca="false">SUMIFS('3 Base Entrada 2008'!$L$2:$L$5000,'3 Base Entrada 2008'!$B$2:$B$5000,$A14)</f>
        <v>2713.5</v>
      </c>
      <c r="E14" s="158" t="n">
        <f aca="false">SUMIFS('3 Base Saídas'!$R$2:$R$5000,'3 Base Saídas'!$B$2:$B$5000,$A14)</f>
        <v>1045.2</v>
      </c>
      <c r="F14" s="158" t="n">
        <f aca="false">SUMIFS('3 Base Saldo Inicial 08-09'!$E$2:$E$5000,'3 Base Saldo Inicial 08-09'!$A$2:$A$5000,$A14)-SUMIFS('3 Base Saldo Inicial 08-09'!$E$2:$E$5000,'3 Base Saldo Inicial 08-09'!$A$2:$A$5000,$A14,'3 Base Saldo Inicial 08-09'!$C$2:$C$5000,"2008")+D14-E14</f>
        <v>1668.3</v>
      </c>
      <c r="G14" s="158" t="n">
        <f aca="false">SUMIFS('3 Base Estoque Físico'!$J$2:$J$5000,'3 Base Estoque Físico'!$A$2:$A$5000,$A14)</f>
        <v>1342.68</v>
      </c>
      <c r="H14" s="192" t="n">
        <f aca="false">ROUND(G14-F14,3)</f>
        <v>-325.62</v>
      </c>
      <c r="I14" s="157" t="str">
        <f aca="false">IF(ABS(H14)&lt;=Parâmetros!$C$7,"OK",IF(H14&gt;0,"Sobra no estoque","Falta no estoque"))</f>
        <v>Falta no estoque</v>
      </c>
      <c r="J14" s="157" t="str">
        <f aca="false">IF(I14="OK","",IF(AND(D14=0,E14=0),"Estoque sem movimento no período",IF(F14&lt;0,"Saídas maiores que entradas – estoque anterior ao período?",IF(G14=0,"Saldo calculado sem estoque físico – verificar",IF(H14&gt;0,"Estoque acima do esperado – saldo anterior ou entrada não listada","Estoque abaixo do esperado – saída/ajuste não listado")))))</f>
        <v>Estoque abaixo do esperado – saída/ajuste não listado</v>
      </c>
      <c r="K14" s="158" t="n">
        <f aca="false">IF(C14=0,"",C14-D14)</f>
        <v>-1527.6</v>
      </c>
    </row>
    <row r="15" customFormat="false" ht="15" hidden="false" customHeight="false" outlineLevel="0" collapsed="false">
      <c r="A15" s="157" t="s">
        <v>205</v>
      </c>
      <c r="B15" s="157" t="s">
        <v>65</v>
      </c>
      <c r="C15" s="158" t="n">
        <f aca="false">SUMIFS('3 Base Entrada 2008'!$G$2:$G$5000,'3 Base Entrada 2008'!$B$2:$B$5000,$A15,'3 Base Entrada 2008'!$K$2:$K$5000,"Recebido no 2008")</f>
        <v>0</v>
      </c>
      <c r="D15" s="158" t="n">
        <f aca="false">SUMIFS('3 Base Entrada 2008'!$L$2:$L$5000,'3 Base Entrada 2008'!$B$2:$B$5000,$A15)</f>
        <v>2914.5</v>
      </c>
      <c r="E15" s="158" t="n">
        <f aca="false">SUMIFS('3 Base Saídas'!$R$2:$R$5000,'3 Base Saídas'!$B$2:$B$5000,$A15)</f>
        <v>1386.9</v>
      </c>
      <c r="F15" s="158" t="n">
        <f aca="false">SUMIFS('3 Base Saldo Inicial 08-09'!$E$2:$E$5000,'3 Base Saldo Inicial 08-09'!$A$2:$A$5000,$A15)-SUMIFS('3 Base Saldo Inicial 08-09'!$E$2:$E$5000,'3 Base Saldo Inicial 08-09'!$A$2:$A$5000,$A15,'3 Base Saldo Inicial 08-09'!$C$2:$C$5000,"2008")+D15-E15</f>
        <v>1527.6</v>
      </c>
      <c r="G15" s="158" t="n">
        <f aca="false">SUMIFS('3 Base Estoque Físico'!$J$2:$J$5000,'3 Base Estoque Físico'!$A$2:$A$5000,$A15)</f>
        <v>1821.06</v>
      </c>
      <c r="H15" s="192" t="n">
        <f aca="false">ROUND(G15-F15,3)</f>
        <v>293.46</v>
      </c>
      <c r="I15" s="157" t="str">
        <f aca="false">IF(ABS(H15)&lt;=Parâmetros!$C$7,"OK",IF(H15&gt;0,"Sobra no estoque","Falta no estoque"))</f>
        <v>Sobra no estoque</v>
      </c>
      <c r="J15" s="157" t="str">
        <f aca="false">IF(I15="OK","",IF(AND(D15=0,E15=0),"Estoque sem movimento no período",IF(F15&lt;0,"Saídas maiores que entradas – estoque anterior ao período?",IF(G15=0,"Saldo calculado sem estoque físico – verificar",IF(H15&gt;0,"Estoque acima do esperado – saldo anterior ou entrada não listada","Estoque abaixo do esperado – saída/ajuste não listado")))))</f>
        <v>Estoque acima do esperado – saldo anterior ou entrada não listada</v>
      </c>
      <c r="K15" s="158" t="str">
        <f aca="false">IF(C15=0,"",C15-D15)</f>
        <v/>
      </c>
    </row>
    <row r="16" customFormat="false" ht="15" hidden="false" customHeight="false" outlineLevel="0" collapsed="false">
      <c r="A16" s="157" t="s">
        <v>263</v>
      </c>
      <c r="B16" s="157" t="s">
        <v>65</v>
      </c>
      <c r="C16" s="158" t="n">
        <f aca="false">SUMIFS('3 Base Entrada 2008'!$G$2:$G$5000,'3 Base Entrada 2008'!$B$2:$B$5000,$A16,'3 Base Entrada 2008'!$K$2:$K$5000,"Recebido no 2008")</f>
        <v>0</v>
      </c>
      <c r="D16" s="158" t="n">
        <f aca="false">SUMIFS('3 Base Entrada 2008'!$L$2:$L$5000,'3 Base Entrada 2008'!$B$2:$B$5000,$A16)</f>
        <v>261.12</v>
      </c>
      <c r="E16" s="158" t="n">
        <f aca="false">SUMIFS('3 Base Saídas'!$R$2:$R$5000,'3 Base Saídas'!$B$2:$B$5000,$A16)</f>
        <v>0</v>
      </c>
      <c r="F16" s="158" t="n">
        <f aca="false">SUMIFS('3 Base Saldo Inicial 08-09'!$E$2:$E$5000,'3 Base Saldo Inicial 08-09'!$A$2:$A$5000,$A16)-SUMIFS('3 Base Saldo Inicial 08-09'!$E$2:$E$5000,'3 Base Saldo Inicial 08-09'!$A$2:$A$5000,$A16,'3 Base Saldo Inicial 08-09'!$C$2:$C$5000,"2008")+D16-E16</f>
        <v>261.12</v>
      </c>
      <c r="G16" s="158" t="n">
        <f aca="false">SUMIFS('3 Base Estoque Físico'!$J$2:$J$5000,'3 Base Estoque Físico'!$A$2:$A$5000,$A16)</f>
        <v>0</v>
      </c>
      <c r="H16" s="192" t="n">
        <f aca="false">ROUND(G16-F16,3)</f>
        <v>-261.12</v>
      </c>
      <c r="I16" s="157" t="str">
        <f aca="false">IF(ABS(H16)&lt;=Parâmetros!$C$7,"OK",IF(H16&gt;0,"Sobra no estoque","Falta no estoque"))</f>
        <v>Falta no estoque</v>
      </c>
      <c r="J16" s="157" t="str">
        <f aca="false">IF(I16="OK","",IF(AND(D16=0,E16=0),"Estoque sem movimento no período",IF(F16&lt;0,"Saídas maiores que entradas – estoque anterior ao período?",IF(G16=0,"Saldo calculado sem estoque físico – verificar",IF(H16&gt;0,"Estoque acima do esperado – saldo anterior ou entrada não listada","Estoque abaixo do esperado – saída/ajuste não listado")))))</f>
        <v>Saldo calculado sem estoque físico – verificar</v>
      </c>
      <c r="K16" s="158" t="str">
        <f aca="false">IF(C16=0,"",C16-D16)</f>
        <v/>
      </c>
    </row>
    <row r="17" customFormat="false" ht="15" hidden="false" customHeight="false" outlineLevel="0" collapsed="false">
      <c r="A17" s="157" t="s">
        <v>252</v>
      </c>
      <c r="B17" s="157" t="s">
        <v>65</v>
      </c>
      <c r="C17" s="158" t="n">
        <f aca="false">SUMIFS('3 Base Entrada 2008'!$G$2:$G$5000,'3 Base Entrada 2008'!$B$2:$B$5000,$A17,'3 Base Entrada 2008'!$K$2:$K$5000,"Recebido no 2008")</f>
        <v>1920</v>
      </c>
      <c r="D17" s="158" t="n">
        <f aca="false">SUMIFS('3 Base Entrada 2008'!$L$2:$L$5000,'3 Base Entrada 2008'!$B$2:$B$5000,$A17)</f>
        <v>960</v>
      </c>
      <c r="E17" s="158" t="n">
        <f aca="false">SUMIFS('3 Base Saídas'!$R$2:$R$5000,'3 Base Saídas'!$B$2:$B$5000,$A17)</f>
        <v>176</v>
      </c>
      <c r="F17" s="158" t="n">
        <f aca="false">SUMIFS('3 Base Saldo Inicial 08-09'!$E$2:$E$5000,'3 Base Saldo Inicial 08-09'!$A$2:$A$5000,$A17)-SUMIFS('3 Base Saldo Inicial 08-09'!$E$2:$E$5000,'3 Base Saldo Inicial 08-09'!$A$2:$A$5000,$A17,'3 Base Saldo Inicial 08-09'!$C$2:$C$5000,"2008")+D17-E17</f>
        <v>784</v>
      </c>
      <c r="G17" s="158" t="n">
        <f aca="false">SUMIFS('3 Base Estoque Físico'!$J$2:$J$5000,'3 Base Estoque Físico'!$A$2:$A$5000,$A17)</f>
        <v>1032</v>
      </c>
      <c r="H17" s="192" t="n">
        <f aca="false">ROUND(G17-F17,3)</f>
        <v>248</v>
      </c>
      <c r="I17" s="157" t="str">
        <f aca="false">IF(ABS(H17)&lt;=Parâmetros!$C$7,"OK",IF(H17&gt;0,"Sobra no estoque","Falta no estoque"))</f>
        <v>Sobra no estoque</v>
      </c>
      <c r="J17" s="157" t="str">
        <f aca="false">IF(I17="OK","",IF(AND(D17=0,E17=0),"Estoque sem movimento no período",IF(F17&lt;0,"Saídas maiores que entradas – estoque anterior ao período?",IF(G17=0,"Saldo calculado sem estoque físico – verificar",IF(H17&gt;0,"Estoque acima do esperado – saldo anterior ou entrada não listada","Estoque abaixo do esperado – saída/ajuste não listado")))))</f>
        <v>Estoque acima do esperado – saldo anterior ou entrada não listada</v>
      </c>
      <c r="K17" s="158" t="n">
        <f aca="false">IF(C17=0,"",C17-D17)</f>
        <v>960</v>
      </c>
    </row>
    <row r="18" customFormat="false" ht="15" hidden="false" customHeight="false" outlineLevel="0" collapsed="false">
      <c r="A18" s="157" t="s">
        <v>327</v>
      </c>
      <c r="B18" s="157" t="s">
        <v>65</v>
      </c>
      <c r="C18" s="158" t="n">
        <f aca="false">SUMIFS('3 Base Entrada 2008'!$G$2:$G$5000,'3 Base Entrada 2008'!$B$2:$B$5000,$A18,'3 Base Entrada 2008'!$K$2:$K$5000,"Recebido no 2008")</f>
        <v>2880</v>
      </c>
      <c r="D18" s="158" t="n">
        <f aca="false">SUMIFS('3 Base Entrada 2008'!$L$2:$L$5000,'3 Base Entrada 2008'!$B$2:$B$5000,$A18)</f>
        <v>1240</v>
      </c>
      <c r="E18" s="158" t="n">
        <f aca="false">SUMIFS('3 Base Saídas'!$R$2:$R$5000,'3 Base Saídas'!$B$2:$B$5000,$A18)</f>
        <v>300</v>
      </c>
      <c r="F18" s="158" t="n">
        <f aca="false">SUMIFS('3 Base Saldo Inicial 08-09'!$E$2:$E$5000,'3 Base Saldo Inicial 08-09'!$A$2:$A$5000,$A18)-SUMIFS('3 Base Saldo Inicial 08-09'!$E$2:$E$5000,'3 Base Saldo Inicial 08-09'!$A$2:$A$5000,$A18,'3 Base Saldo Inicial 08-09'!$C$2:$C$5000,"2008")+D18-E18</f>
        <v>940</v>
      </c>
      <c r="G18" s="158" t="n">
        <f aca="false">SUMIFS('3 Base Estoque Físico'!$J$2:$J$5000,'3 Base Estoque Físico'!$A$2:$A$5000,$A18)</f>
        <v>730</v>
      </c>
      <c r="H18" s="192" t="n">
        <f aca="false">ROUND(G18-F18,3)</f>
        <v>-210</v>
      </c>
      <c r="I18" s="157" t="str">
        <f aca="false">IF(ABS(H18)&lt;=Parâmetros!$C$7,"OK",IF(H18&gt;0,"Sobra no estoque","Falta no estoque"))</f>
        <v>Falta no estoque</v>
      </c>
      <c r="J18" s="157" t="str">
        <f aca="false">IF(I18="OK","",IF(AND(D18=0,E18=0),"Estoque sem movimento no período",IF(F18&lt;0,"Saídas maiores que entradas – estoque anterior ao período?",IF(G18=0,"Saldo calculado sem estoque físico – verificar",IF(H18&gt;0,"Estoque acima do esperado – saldo anterior ou entrada não listada","Estoque abaixo do esperado – saída/ajuste não listado")))))</f>
        <v>Estoque abaixo do esperado – saída/ajuste não listado</v>
      </c>
      <c r="K18" s="158" t="n">
        <f aca="false">IF(C18=0,"",C18-D18)</f>
        <v>1640</v>
      </c>
    </row>
    <row r="19" customFormat="false" ht="15" hidden="false" customHeight="false" outlineLevel="0" collapsed="false">
      <c r="A19" s="157" t="s">
        <v>198</v>
      </c>
      <c r="B19" s="157" t="s">
        <v>65</v>
      </c>
      <c r="C19" s="158" t="n">
        <f aca="false">SUMIFS('3 Base Entrada 2008'!$G$2:$G$5000,'3 Base Entrada 2008'!$B$2:$B$5000,$A19,'3 Base Entrada 2008'!$K$2:$K$5000,"Recebido no 2008")</f>
        <v>0</v>
      </c>
      <c r="D19" s="158" t="n">
        <f aca="false">SUMIFS('3 Base Entrada 2008'!$L$2:$L$5000,'3 Base Entrada 2008'!$B$2:$B$5000,$A19)</f>
        <v>940.8</v>
      </c>
      <c r="E19" s="158" t="n">
        <f aca="false">SUMIFS('3 Base Saídas'!$R$2:$R$5000,'3 Base Saídas'!$B$2:$B$5000,$A19)</f>
        <v>781.2</v>
      </c>
      <c r="F19" s="158" t="n">
        <f aca="false">SUMIFS('3 Base Saldo Inicial 08-09'!$E$2:$E$5000,'3 Base Saldo Inicial 08-09'!$A$2:$A$5000,$A19)-SUMIFS('3 Base Saldo Inicial 08-09'!$E$2:$E$5000,'3 Base Saldo Inicial 08-09'!$A$2:$A$5000,$A19,'3 Base Saldo Inicial 08-09'!$C$2:$C$5000,"2008")+D19-E19</f>
        <v>159.6</v>
      </c>
      <c r="G19" s="158" t="n">
        <f aca="false">SUMIFS('3 Base Estoque Físico'!$J$2:$J$5000,'3 Base Estoque Físico'!$A$2:$A$5000,$A19)</f>
        <v>333.2</v>
      </c>
      <c r="H19" s="192" t="n">
        <f aca="false">ROUND(G19-F19,3)</f>
        <v>173.6</v>
      </c>
      <c r="I19" s="157" t="str">
        <f aca="false">IF(ABS(H19)&lt;=Parâmetros!$C$7,"OK",IF(H19&gt;0,"Sobra no estoque","Falta no estoque"))</f>
        <v>Sobra no estoque</v>
      </c>
      <c r="J19" s="157" t="str">
        <f aca="false">IF(I19="OK","",IF(AND(D19=0,E19=0),"Estoque sem movimento no período",IF(F19&lt;0,"Saídas maiores que entradas – estoque anterior ao período?",IF(G19=0,"Saldo calculado sem estoque físico – verificar",IF(H19&gt;0,"Estoque acima do esperado – saldo anterior ou entrada não listada","Estoque abaixo do esperado – saída/ajuste não listado")))))</f>
        <v>Estoque acima do esperado – saldo anterior ou entrada não listada</v>
      </c>
      <c r="K19" s="158" t="str">
        <f aca="false">IF(C19=0,"",C19-D19)</f>
        <v/>
      </c>
    </row>
    <row r="20" customFormat="false" ht="15" hidden="false" customHeight="false" outlineLevel="0" collapsed="false">
      <c r="A20" s="157" t="s">
        <v>220</v>
      </c>
      <c r="B20" s="157" t="s">
        <v>65</v>
      </c>
      <c r="C20" s="158" t="n">
        <f aca="false">SUMIFS('3 Base Entrada 2008'!$G$2:$G$5000,'3 Base Entrada 2008'!$B$2:$B$5000,$A20,'3 Base Entrada 2008'!$K$2:$K$5000,"Recebido no 2008")</f>
        <v>0</v>
      </c>
      <c r="D20" s="158" t="n">
        <f aca="false">SUMIFS('3 Base Entrada 2008'!$L$2:$L$5000,'3 Base Entrada 2008'!$B$2:$B$5000,$A20)</f>
        <v>5882.9</v>
      </c>
      <c r="E20" s="158" t="n">
        <f aca="false">SUMIFS('3 Base Saídas'!$R$2:$R$5000,'3 Base Saídas'!$B$2:$B$5000,$A20)</f>
        <v>1547.7</v>
      </c>
      <c r="F20" s="158" t="n">
        <f aca="false">SUMIFS('3 Base Saldo Inicial 08-09'!$E$2:$E$5000,'3 Base Saldo Inicial 08-09'!$A$2:$A$5000,$A20)-SUMIFS('3 Base Saldo Inicial 08-09'!$E$2:$E$5000,'3 Base Saldo Inicial 08-09'!$A$2:$A$5000,$A20,'3 Base Saldo Inicial 08-09'!$C$2:$C$5000,"2008")+D20-E20</f>
        <v>4335.2</v>
      </c>
      <c r="G20" s="158" t="n">
        <f aca="false">SUMIFS('3 Base Estoque Físico'!$J$2:$J$5000,'3 Base Estoque Físico'!$A$2:$A$5000,$A20)</f>
        <v>4415.6</v>
      </c>
      <c r="H20" s="192" t="n">
        <f aca="false">ROUND(G20-F20,3)</f>
        <v>80.4</v>
      </c>
      <c r="I20" s="157" t="str">
        <f aca="false">IF(ABS(H20)&lt;=Parâmetros!$C$7,"OK",IF(H20&gt;0,"Sobra no estoque","Falta no estoque"))</f>
        <v>Sobra no estoque</v>
      </c>
      <c r="J20" s="157" t="str">
        <f aca="false">IF(I20="OK","",IF(AND(D20=0,E20=0),"Estoque sem movimento no período",IF(F20&lt;0,"Saídas maiores que entradas – estoque anterior ao período?",IF(G20=0,"Saldo calculado sem estoque físico – verificar",IF(H20&gt;0,"Estoque acima do esperado – saldo anterior ou entrada não listada","Estoque abaixo do esperado – saída/ajuste não listado")))))</f>
        <v>Estoque acima do esperado – saldo anterior ou entrada não listada</v>
      </c>
      <c r="K20" s="158" t="str">
        <f aca="false">IF(C20=0,"",C20-D20)</f>
        <v/>
      </c>
    </row>
    <row r="21" customFormat="false" ht="15" hidden="false" customHeight="false" outlineLevel="0" collapsed="false">
      <c r="A21" s="157" t="s">
        <v>250</v>
      </c>
      <c r="B21" s="157" t="s">
        <v>65</v>
      </c>
      <c r="C21" s="158" t="n">
        <f aca="false">SUMIFS('3 Base Entrada 2008'!$G$2:$G$5000,'3 Base Entrada 2008'!$B$2:$B$5000,$A21,'3 Base Entrada 2008'!$K$2:$K$5000,"Recebido no 2008")</f>
        <v>0</v>
      </c>
      <c r="D21" s="158" t="n">
        <f aca="false">SUMIFS('3 Base Entrada 2008'!$L$2:$L$5000,'3 Base Entrada 2008'!$B$2:$B$5000,$A21)</f>
        <v>806.4</v>
      </c>
      <c r="E21" s="158" t="n">
        <f aca="false">SUMIFS('3 Base Saídas'!$R$2:$R$5000,'3 Base Saídas'!$B$2:$B$5000,$A21)</f>
        <v>53.2</v>
      </c>
      <c r="F21" s="158" t="n">
        <f aca="false">SUMIFS('3 Base Saldo Inicial 08-09'!$E$2:$E$5000,'3 Base Saldo Inicial 08-09'!$A$2:$A$5000,$A21)-SUMIFS('3 Base Saldo Inicial 08-09'!$E$2:$E$5000,'3 Base Saldo Inicial 08-09'!$A$2:$A$5000,$A21,'3 Base Saldo Inicial 08-09'!$C$2:$C$5000,"2008")+D21-E21</f>
        <v>753.2</v>
      </c>
      <c r="G21" s="158" t="n">
        <f aca="false">SUMIFS('3 Base Estoque Físico'!$J$2:$J$5000,'3 Base Estoque Físico'!$A$2:$A$5000,$A21)</f>
        <v>825.999</v>
      </c>
      <c r="H21" s="192" t="n">
        <f aca="false">ROUND(G21-F21,3)</f>
        <v>72.799</v>
      </c>
      <c r="I21" s="157" t="str">
        <f aca="false">IF(ABS(H21)&lt;=Parâmetros!$C$7,"OK",IF(H21&gt;0,"Sobra no estoque","Falta no estoque"))</f>
        <v>Sobra no estoque</v>
      </c>
      <c r="J21" s="157" t="str">
        <f aca="false">IF(I21="OK","",IF(AND(D21=0,E21=0),"Estoque sem movimento no período",IF(F21&lt;0,"Saídas maiores que entradas – estoque anterior ao período?",IF(G21=0,"Saldo calculado sem estoque físico – verificar",IF(H21&gt;0,"Estoque acima do esperado – saldo anterior ou entrada não listada","Estoque abaixo do esperado – saída/ajuste não listado")))))</f>
        <v>Estoque acima do esperado – saldo anterior ou entrada não listada</v>
      </c>
      <c r="K21" s="158" t="str">
        <f aca="false">IF(C21=0,"",C21-D21)</f>
        <v/>
      </c>
    </row>
    <row r="22" customFormat="false" ht="15" hidden="false" customHeight="false" outlineLevel="0" collapsed="false">
      <c r="A22" s="157" t="s">
        <v>232</v>
      </c>
      <c r="B22" s="157" t="s">
        <v>146</v>
      </c>
      <c r="C22" s="158" t="n">
        <f aca="false">SUMIFS('3 Base Entrada 2008'!$G$2:$G$5000,'3 Base Entrada 2008'!$B$2:$B$5000,$A22,'3 Base Entrada 2008'!$K$2:$K$5000,"Recebido no 2008")</f>
        <v>0</v>
      </c>
      <c r="D22" s="158" t="n">
        <f aca="false">SUMIFS('3 Base Entrada 2008'!$L$2:$L$5000,'3 Base Entrada 2008'!$B$2:$B$5000,$A22)</f>
        <v>5400</v>
      </c>
      <c r="E22" s="158" t="n">
        <f aca="false">SUMIFS('3 Base Saídas'!$R$2:$R$5000,'3 Base Saídas'!$B$2:$B$5000,$A22)</f>
        <v>3015</v>
      </c>
      <c r="F22" s="158" t="n">
        <f aca="false">SUMIFS('3 Base Saldo Inicial 08-09'!$E$2:$E$5000,'3 Base Saldo Inicial 08-09'!$A$2:$A$5000,$A22)-SUMIFS('3 Base Saldo Inicial 08-09'!$E$2:$E$5000,'3 Base Saldo Inicial 08-09'!$A$2:$A$5000,$A22,'3 Base Saldo Inicial 08-09'!$C$2:$C$5000,"2008")+D22-E22</f>
        <v>2385</v>
      </c>
      <c r="G22" s="158" t="n">
        <f aca="false">SUMIFS('3 Base Estoque Físico'!$J$2:$J$5000,'3 Base Estoque Físico'!$A$2:$A$5000,$A22)</f>
        <v>2449.219</v>
      </c>
      <c r="H22" s="192" t="n">
        <f aca="false">ROUND(G22-F22,3)</f>
        <v>64.219</v>
      </c>
      <c r="I22" s="157" t="str">
        <f aca="false">IF(ABS(H22)&lt;=Parâmetros!$C$7,"OK",IF(H22&gt;0,"Sobra no estoque","Falta no estoque"))</f>
        <v>Sobra no estoque</v>
      </c>
      <c r="J22" s="157" t="str">
        <f aca="false">IF(I22="OK","",IF(AND(D22=0,E22=0),"Estoque sem movimento no período",IF(F22&lt;0,"Saídas maiores que entradas – estoque anterior ao período?",IF(G22=0,"Saldo calculado sem estoque físico – verificar",IF(H22&gt;0,"Estoque acima do esperado – saldo anterior ou entrada não listada","Estoque abaixo do esperado – saída/ajuste não listado")))))</f>
        <v>Estoque acima do esperado – saldo anterior ou entrada não listada</v>
      </c>
      <c r="K22" s="158" t="str">
        <f aca="false">IF(C22=0,"",C22-D22)</f>
        <v/>
      </c>
    </row>
    <row r="23" customFormat="false" ht="15" hidden="false" customHeight="false" outlineLevel="0" collapsed="false">
      <c r="A23" s="157" t="s">
        <v>354</v>
      </c>
      <c r="B23" s="157" t="s">
        <v>65</v>
      </c>
      <c r="C23" s="158" t="n">
        <f aca="false">SUMIFS('3 Base Entrada 2008'!$G$2:$G$5000,'3 Base Entrada 2008'!$B$2:$B$5000,$A23,'3 Base Entrada 2008'!$K$2:$K$5000,"Recebido no 2008")</f>
        <v>0</v>
      </c>
      <c r="D23" s="158" t="n">
        <f aca="false">SUMIFS('3 Base Entrada 2008'!$L$2:$L$5000,'3 Base Entrada 2008'!$B$2:$B$5000,$A23)</f>
        <v>10</v>
      </c>
      <c r="E23" s="158" t="n">
        <f aca="false">SUMIFS('3 Base Saídas'!$R$2:$R$5000,'3 Base Saídas'!$B$2:$B$5000,$A23)</f>
        <v>60</v>
      </c>
      <c r="F23" s="158" t="n">
        <f aca="false">SUMIFS('3 Base Saldo Inicial 08-09'!$E$2:$E$5000,'3 Base Saldo Inicial 08-09'!$A$2:$A$5000,$A23)-SUMIFS('3 Base Saldo Inicial 08-09'!$E$2:$E$5000,'3 Base Saldo Inicial 08-09'!$A$2:$A$5000,$A23,'3 Base Saldo Inicial 08-09'!$C$2:$C$5000,"2008")+D23-E23</f>
        <v>-50</v>
      </c>
      <c r="G23" s="158" t="n">
        <f aca="false">SUMIFS('3 Base Estoque Físico'!$J$2:$J$5000,'3 Base Estoque Físico'!$A$2:$A$5000,$A23)</f>
        <v>10</v>
      </c>
      <c r="H23" s="192" t="n">
        <f aca="false">ROUND(G23-F23,3)</f>
        <v>60</v>
      </c>
      <c r="I23" s="157" t="str">
        <f aca="false">IF(ABS(H23)&lt;=Parâmetros!$C$7,"OK",IF(H23&gt;0,"Sobra no estoque","Falta no estoque"))</f>
        <v>Sobra no estoque</v>
      </c>
      <c r="J23" s="157" t="str">
        <f aca="false">IF(I23="OK","",IF(AND(D23=0,E23=0),"Estoque sem movimento no período",IF(F23&lt;0,"Saídas maiores que entradas – estoque anterior ao período?",IF(G23=0,"Saldo calculado sem estoque físico – verificar",IF(H23&gt;0,"Estoque acima do esperado – saldo anterior ou entrada não listada","Estoque abaixo do esperado – saída/ajuste não listado")))))</f>
        <v>Saídas maiores que entradas – estoque anterior ao período?</v>
      </c>
      <c r="K23" s="158" t="str">
        <f aca="false">IF(C23=0,"",C23-D23)</f>
        <v/>
      </c>
    </row>
    <row r="24" customFormat="false" ht="15" hidden="false" customHeight="false" outlineLevel="0" collapsed="false">
      <c r="A24" s="157" t="s">
        <v>186</v>
      </c>
      <c r="B24" s="157" t="s">
        <v>65</v>
      </c>
      <c r="C24" s="158" t="n">
        <f aca="false">SUMIFS('3 Base Entrada 2008'!$G$2:$G$5000,'3 Base Entrada 2008'!$B$2:$B$5000,$A24,'3 Base Entrada 2008'!$K$2:$K$5000,"Recebido no 2008")</f>
        <v>0</v>
      </c>
      <c r="D24" s="158" t="n">
        <f aca="false">SUMIFS('3 Base Entrada 2008'!$L$2:$L$5000,'3 Base Entrada 2008'!$B$2:$B$5000,$A24)</f>
        <v>1200</v>
      </c>
      <c r="E24" s="158" t="n">
        <f aca="false">SUMIFS('3 Base Saídas'!$R$2:$R$5000,'3 Base Saídas'!$B$2:$B$5000,$A24)</f>
        <v>0</v>
      </c>
      <c r="F24" s="158" t="n">
        <f aca="false">SUMIFS('3 Base Saldo Inicial 08-09'!$E$2:$E$5000,'3 Base Saldo Inicial 08-09'!$A$2:$A$5000,$A24)-SUMIFS('3 Base Saldo Inicial 08-09'!$E$2:$E$5000,'3 Base Saldo Inicial 08-09'!$A$2:$A$5000,$A24,'3 Base Saldo Inicial 08-09'!$C$2:$C$5000,"2008")+D24-E24</f>
        <v>1200</v>
      </c>
      <c r="G24" s="158" t="n">
        <f aca="false">SUMIFS('3 Base Estoque Físico'!$J$2:$J$5000,'3 Base Estoque Físico'!$A$2:$A$5000,$A24)</f>
        <v>1200</v>
      </c>
      <c r="H24" s="192" t="n">
        <f aca="false">ROUND(G24-F24,3)</f>
        <v>0</v>
      </c>
      <c r="I24" s="157" t="str">
        <f aca="false">IF(ABS(H24)&lt;=Parâmetros!$C$7,"OK",IF(H24&gt;0,"Sobra no estoque","Falta no estoque"))</f>
        <v>OK</v>
      </c>
      <c r="J24" s="157" t="str">
        <f aca="false">IF(I24="OK","",IF(AND(D24=0,E24=0),"Estoque sem movimento no período",IF(F24&lt;0,"Saídas maiores que entradas – estoque anterior ao período?",IF(G24=0,"Saldo calculado sem estoque físico – verificar",IF(H24&gt;0,"Estoque acima do esperado – saldo anterior ou entrada não listada","Estoque abaixo do esperado – saída/ajuste não listado")))))</f>
        <v/>
      </c>
      <c r="K24" s="158" t="str">
        <f aca="false">IF(C24=0,"",C24-D24)</f>
        <v/>
      </c>
    </row>
    <row r="25" customFormat="false" ht="15" hidden="false" customHeight="false" outlineLevel="0" collapsed="false">
      <c r="A25" s="157" t="s">
        <v>211</v>
      </c>
      <c r="B25" s="157" t="s">
        <v>65</v>
      </c>
      <c r="C25" s="158" t="n">
        <f aca="false">SUMIFS('3 Base Entrada 2008'!$G$2:$G$5000,'3 Base Entrada 2008'!$B$2:$B$5000,$A25,'3 Base Entrada 2008'!$K$2:$K$5000,"Recebido no 2008")</f>
        <v>0</v>
      </c>
      <c r="D25" s="158" t="n">
        <f aca="false">SUMIFS('3 Base Entrada 2008'!$L$2:$L$5000,'3 Base Entrada 2008'!$B$2:$B$5000,$A25)</f>
        <v>3250</v>
      </c>
      <c r="E25" s="158" t="n">
        <f aca="false">SUMIFS('3 Base Saídas'!$R$2:$R$5000,'3 Base Saídas'!$B$2:$B$5000,$A25)</f>
        <v>800</v>
      </c>
      <c r="F25" s="158" t="n">
        <f aca="false">SUMIFS('3 Base Saldo Inicial 08-09'!$E$2:$E$5000,'3 Base Saldo Inicial 08-09'!$A$2:$A$5000,$A25)-SUMIFS('3 Base Saldo Inicial 08-09'!$E$2:$E$5000,'3 Base Saldo Inicial 08-09'!$A$2:$A$5000,$A25,'3 Base Saldo Inicial 08-09'!$C$2:$C$5000,"2008")+D25-E25</f>
        <v>2450</v>
      </c>
      <c r="G25" s="158" t="n">
        <f aca="false">SUMIFS('3 Base Estoque Físico'!$J$2:$J$5000,'3 Base Estoque Físico'!$A$2:$A$5000,$A25)</f>
        <v>2450</v>
      </c>
      <c r="H25" s="192" t="n">
        <f aca="false">ROUND(G25-F25,3)</f>
        <v>0</v>
      </c>
      <c r="I25" s="157" t="str">
        <f aca="false">IF(ABS(H25)&lt;=Parâmetros!$C$7,"OK",IF(H25&gt;0,"Sobra no estoque","Falta no estoque"))</f>
        <v>OK</v>
      </c>
      <c r="J25" s="157" t="str">
        <f aca="false">IF(I25="OK","",IF(AND(D25=0,E25=0),"Estoque sem movimento no período",IF(F25&lt;0,"Saídas maiores que entradas – estoque anterior ao período?",IF(G25=0,"Saldo calculado sem estoque físico – verificar",IF(H25&gt;0,"Estoque acima do esperado – saldo anterior ou entrada não listada","Estoque abaixo do esperado – saída/ajuste não listado")))))</f>
        <v/>
      </c>
      <c r="K25" s="158" t="str">
        <f aca="false">IF(C25=0,"",C25-D25)</f>
        <v/>
      </c>
    </row>
    <row r="26" customFormat="false" ht="15" hidden="false" customHeight="false" outlineLevel="0" collapsed="false">
      <c r="A26" s="157" t="s">
        <v>218</v>
      </c>
      <c r="B26" s="157" t="s">
        <v>65</v>
      </c>
      <c r="C26" s="158" t="n">
        <f aca="false">SUMIFS('3 Base Entrada 2008'!$G$2:$G$5000,'3 Base Entrada 2008'!$B$2:$B$5000,$A26,'3 Base Entrada 2008'!$K$2:$K$5000,"Recebido no 2008")</f>
        <v>9600</v>
      </c>
      <c r="D26" s="158" t="n">
        <f aca="false">SUMIFS('3 Base Entrada 2008'!$L$2:$L$5000,'3 Base Entrada 2008'!$B$2:$B$5000,$A26)</f>
        <v>5240</v>
      </c>
      <c r="E26" s="158" t="n">
        <f aca="false">SUMIFS('3 Base Saídas'!$R$2:$R$5000,'3 Base Saídas'!$B$2:$B$5000,$A26)</f>
        <v>3520</v>
      </c>
      <c r="F26" s="158" t="n">
        <f aca="false">SUMIFS('3 Base Saldo Inicial 08-09'!$E$2:$E$5000,'3 Base Saldo Inicial 08-09'!$A$2:$A$5000,$A26)-SUMIFS('3 Base Saldo Inicial 08-09'!$E$2:$E$5000,'3 Base Saldo Inicial 08-09'!$A$2:$A$5000,$A26,'3 Base Saldo Inicial 08-09'!$C$2:$C$5000,"2008")+D26-E26</f>
        <v>1720</v>
      </c>
      <c r="G26" s="158" t="n">
        <f aca="false">SUMIFS('3 Base Estoque Físico'!$J$2:$J$5000,'3 Base Estoque Físico'!$A$2:$A$5000,$A26)</f>
        <v>1720</v>
      </c>
      <c r="H26" s="192" t="n">
        <f aca="false">ROUND(G26-F26,3)</f>
        <v>0</v>
      </c>
      <c r="I26" s="157" t="str">
        <f aca="false">IF(ABS(H26)&lt;=Parâmetros!$C$7,"OK",IF(H26&gt;0,"Sobra no estoque","Falta no estoque"))</f>
        <v>OK</v>
      </c>
      <c r="J26" s="157" t="str">
        <f aca="false">IF(I26="OK","",IF(AND(D26=0,E26=0),"Estoque sem movimento no período",IF(F26&lt;0,"Saídas maiores que entradas – estoque anterior ao período?",IF(G26=0,"Saldo calculado sem estoque físico – verificar",IF(H26&gt;0,"Estoque acima do esperado – saldo anterior ou entrada não listada","Estoque abaixo do esperado – saída/ajuste não listado")))))</f>
        <v/>
      </c>
      <c r="K26" s="158" t="n">
        <f aca="false">IF(C26=0,"",C26-D26)</f>
        <v>4360</v>
      </c>
    </row>
    <row r="27" customFormat="false" ht="15" hidden="false" customHeight="false" outlineLevel="0" collapsed="false">
      <c r="A27" s="157" t="s">
        <v>225</v>
      </c>
      <c r="B27" s="157" t="s">
        <v>65</v>
      </c>
      <c r="C27" s="158" t="n">
        <f aca="false">SUMIFS('3 Base Entrada 2008'!$G$2:$G$5000,'3 Base Entrada 2008'!$B$2:$B$5000,$A27,'3 Base Entrada 2008'!$K$2:$K$5000,"Recebido no 2008")</f>
        <v>0</v>
      </c>
      <c r="D27" s="158" t="n">
        <f aca="false">SUMIFS('3 Base Entrada 2008'!$L$2:$L$5000,'3 Base Entrada 2008'!$B$2:$B$5000,$A27)</f>
        <v>1000</v>
      </c>
      <c r="E27" s="158" t="n">
        <f aca="false">SUMIFS('3 Base Saídas'!$R$2:$R$5000,'3 Base Saídas'!$B$2:$B$5000,$A27)</f>
        <v>0</v>
      </c>
      <c r="F27" s="158" t="n">
        <f aca="false">SUMIFS('3 Base Saldo Inicial 08-09'!$E$2:$E$5000,'3 Base Saldo Inicial 08-09'!$A$2:$A$5000,$A27)-SUMIFS('3 Base Saldo Inicial 08-09'!$E$2:$E$5000,'3 Base Saldo Inicial 08-09'!$A$2:$A$5000,$A27,'3 Base Saldo Inicial 08-09'!$C$2:$C$5000,"2008")+D27-E27</f>
        <v>1000</v>
      </c>
      <c r="G27" s="158" t="n">
        <f aca="false">SUMIFS('3 Base Estoque Físico'!$J$2:$J$5000,'3 Base Estoque Físico'!$A$2:$A$5000,$A27)</f>
        <v>1000</v>
      </c>
      <c r="H27" s="192" t="n">
        <f aca="false">ROUND(G27-F27,3)</f>
        <v>0</v>
      </c>
      <c r="I27" s="157" t="str">
        <f aca="false">IF(ABS(H27)&lt;=Parâmetros!$C$7,"OK",IF(H27&gt;0,"Sobra no estoque","Falta no estoque"))</f>
        <v>OK</v>
      </c>
      <c r="J27" s="157" t="str">
        <f aca="false">IF(I27="OK","",IF(AND(D27=0,E27=0),"Estoque sem movimento no período",IF(F27&lt;0,"Saídas maiores que entradas – estoque anterior ao período?",IF(G27=0,"Saldo calculado sem estoque físico – verificar",IF(H27&gt;0,"Estoque acima do esperado – saldo anterior ou entrada não listada","Estoque abaixo do esperado – saída/ajuste não listado")))))</f>
        <v/>
      </c>
      <c r="K27" s="158" t="str">
        <f aca="false">IF(C27=0,"",C27-D27)</f>
        <v/>
      </c>
    </row>
    <row r="28" customFormat="false" ht="15" hidden="false" customHeight="false" outlineLevel="0" collapsed="false">
      <c r="A28" s="157" t="s">
        <v>227</v>
      </c>
      <c r="B28" s="157" t="s">
        <v>65</v>
      </c>
      <c r="C28" s="158" t="n">
        <f aca="false">SUMIFS('3 Base Entrada 2008'!$G$2:$G$5000,'3 Base Entrada 2008'!$B$2:$B$5000,$A28,'3 Base Entrada 2008'!$K$2:$K$5000,"Recebido no 2008")</f>
        <v>6000</v>
      </c>
      <c r="D28" s="158" t="n">
        <f aca="false">SUMIFS('3 Base Entrada 2008'!$L$2:$L$5000,'3 Base Entrada 2008'!$B$2:$B$5000,$A28)</f>
        <v>7740</v>
      </c>
      <c r="E28" s="158" t="n">
        <f aca="false">SUMIFS('3 Base Saídas'!$R$2:$R$5000,'3 Base Saídas'!$B$2:$B$5000,$A28)</f>
        <v>4940</v>
      </c>
      <c r="F28" s="158" t="n">
        <f aca="false">SUMIFS('3 Base Saldo Inicial 08-09'!$E$2:$E$5000,'3 Base Saldo Inicial 08-09'!$A$2:$A$5000,$A28)-SUMIFS('3 Base Saldo Inicial 08-09'!$E$2:$E$5000,'3 Base Saldo Inicial 08-09'!$A$2:$A$5000,$A28,'3 Base Saldo Inicial 08-09'!$C$2:$C$5000,"2008")+D28-E28</f>
        <v>2800</v>
      </c>
      <c r="G28" s="158" t="n">
        <f aca="false">SUMIFS('3 Base Estoque Físico'!$J$2:$J$5000,'3 Base Estoque Físico'!$A$2:$A$5000,$A28)</f>
        <v>2800</v>
      </c>
      <c r="H28" s="192" t="n">
        <f aca="false">ROUND(G28-F28,3)</f>
        <v>0</v>
      </c>
      <c r="I28" s="157" t="str">
        <f aca="false">IF(ABS(H28)&lt;=Parâmetros!$C$7,"OK",IF(H28&gt;0,"Sobra no estoque","Falta no estoque"))</f>
        <v>OK</v>
      </c>
      <c r="J28" s="157" t="str">
        <f aca="false">IF(I28="OK","",IF(AND(D28=0,E28=0),"Estoque sem movimento no período",IF(F28&lt;0,"Saídas maiores que entradas – estoque anterior ao período?",IF(G28=0,"Saldo calculado sem estoque físico – verificar",IF(H28&gt;0,"Estoque acima do esperado – saldo anterior ou entrada não listada","Estoque abaixo do esperado – saída/ajuste não listado")))))</f>
        <v/>
      </c>
      <c r="K28" s="158" t="n">
        <f aca="false">IF(C28=0,"",C28-D28)</f>
        <v>-1740</v>
      </c>
    </row>
    <row r="29" customFormat="false" ht="15" hidden="false" customHeight="false" outlineLevel="0" collapsed="false">
      <c r="A29" s="157" t="s">
        <v>243</v>
      </c>
      <c r="B29" s="157" t="s">
        <v>65</v>
      </c>
      <c r="C29" s="158" t="n">
        <f aca="false">SUMIFS('3 Base Entrada 2008'!$G$2:$G$5000,'3 Base Entrada 2008'!$B$2:$B$5000,$A29,'3 Base Entrada 2008'!$K$2:$K$5000,"Recebido no 2008")</f>
        <v>0</v>
      </c>
      <c r="D29" s="158" t="n">
        <f aca="false">SUMIFS('3 Base Entrada 2008'!$L$2:$L$5000,'3 Base Entrada 2008'!$B$2:$B$5000,$A29)</f>
        <v>648</v>
      </c>
      <c r="E29" s="158" t="n">
        <f aca="false">SUMIFS('3 Base Saídas'!$R$2:$R$5000,'3 Base Saídas'!$B$2:$B$5000,$A29)</f>
        <v>54</v>
      </c>
      <c r="F29" s="158" t="n">
        <f aca="false">SUMIFS('3 Base Saldo Inicial 08-09'!$E$2:$E$5000,'3 Base Saldo Inicial 08-09'!$A$2:$A$5000,$A29)-SUMIFS('3 Base Saldo Inicial 08-09'!$E$2:$E$5000,'3 Base Saldo Inicial 08-09'!$A$2:$A$5000,$A29,'3 Base Saldo Inicial 08-09'!$C$2:$C$5000,"2008")+D29-E29</f>
        <v>594</v>
      </c>
      <c r="G29" s="158" t="n">
        <f aca="false">SUMIFS('3 Base Estoque Físico'!$J$2:$J$5000,'3 Base Estoque Físico'!$A$2:$A$5000,$A29)</f>
        <v>594</v>
      </c>
      <c r="H29" s="192" t="n">
        <f aca="false">ROUND(G29-F29,3)</f>
        <v>0</v>
      </c>
      <c r="I29" s="157" t="str">
        <f aca="false">IF(ABS(H29)&lt;=Parâmetros!$C$7,"OK",IF(H29&gt;0,"Sobra no estoque","Falta no estoque"))</f>
        <v>OK</v>
      </c>
      <c r="J29" s="157" t="str">
        <f aca="false">IF(I29="OK","",IF(AND(D29=0,E29=0),"Estoque sem movimento no período",IF(F29&lt;0,"Saídas maiores que entradas – estoque anterior ao período?",IF(G29=0,"Saldo calculado sem estoque físico – verificar",IF(H29&gt;0,"Estoque acima do esperado – saldo anterior ou entrada não listada","Estoque abaixo do esperado – saída/ajuste não listado")))))</f>
        <v/>
      </c>
      <c r="K29" s="158" t="str">
        <f aca="false">IF(C29=0,"",C29-D29)</f>
        <v/>
      </c>
    </row>
    <row r="30" customFormat="false" ht="15" hidden="false" customHeight="false" outlineLevel="0" collapsed="false">
      <c r="A30" s="157" t="s">
        <v>336</v>
      </c>
      <c r="B30" s="157" t="s">
        <v>65</v>
      </c>
      <c r="C30" s="158" t="n">
        <f aca="false">SUMIFS('3 Base Entrada 2008'!$G$2:$G$5000,'3 Base Entrada 2008'!$B$2:$B$5000,$A30,'3 Base Entrada 2008'!$K$2:$K$5000,"Recebido no 2008")</f>
        <v>2400</v>
      </c>
      <c r="D30" s="158" t="n">
        <f aca="false">SUMIFS('3 Base Entrada 2008'!$L$2:$L$5000,'3 Base Entrada 2008'!$B$2:$B$5000,$A30)</f>
        <v>0</v>
      </c>
      <c r="E30" s="158" t="n">
        <f aca="false">SUMIFS('3 Base Saídas'!$R$2:$R$5000,'3 Base Saídas'!$B$2:$B$5000,$A30)</f>
        <v>0</v>
      </c>
      <c r="F30" s="158" t="n">
        <f aca="false">SUMIFS('3 Base Saldo Inicial 08-09'!$E$2:$E$5000,'3 Base Saldo Inicial 08-09'!$A$2:$A$5000,$A30)-SUMIFS('3 Base Saldo Inicial 08-09'!$E$2:$E$5000,'3 Base Saldo Inicial 08-09'!$A$2:$A$5000,$A30,'3 Base Saldo Inicial 08-09'!$C$2:$C$5000,"2008")+D30-E30</f>
        <v>0</v>
      </c>
      <c r="G30" s="158" t="n">
        <f aca="false">SUMIFS('3 Base Estoque Físico'!$J$2:$J$5000,'3 Base Estoque Físico'!$A$2:$A$5000,$A30)</f>
        <v>0</v>
      </c>
      <c r="H30" s="192" t="n">
        <f aca="false">ROUND(G30-F30,3)</f>
        <v>0</v>
      </c>
      <c r="I30" s="157" t="str">
        <f aca="false">IF(ABS(H30)&lt;=Parâmetros!$C$7,"OK",IF(H30&gt;0,"Sobra no estoque","Falta no estoque"))</f>
        <v>OK</v>
      </c>
      <c r="J30" s="157" t="str">
        <f aca="false">IF(I30="OK","",IF(AND(D30=0,E30=0),"Estoque sem movimento no período",IF(F30&lt;0,"Saídas maiores que entradas – estoque anterior ao período?",IF(G30=0,"Saldo calculado sem estoque físico – verificar",IF(H30&gt;0,"Estoque acima do esperado – saldo anterior ou entrada não listada","Estoque abaixo do esperado – saída/ajuste não listado")))))</f>
        <v/>
      </c>
      <c r="K30" s="158" t="n">
        <f aca="false">IF(C30=0,"",C30-D30)</f>
        <v>2400</v>
      </c>
    </row>
    <row r="31" customFormat="false" ht="15" hidden="false" customHeight="false" outlineLevel="0" collapsed="false">
      <c r="A31" s="157" t="s">
        <v>338</v>
      </c>
      <c r="B31" s="157" t="s">
        <v>65</v>
      </c>
      <c r="C31" s="158" t="n">
        <f aca="false">SUMIFS('3 Base Entrada 2008'!$G$2:$G$5000,'3 Base Entrada 2008'!$B$2:$B$5000,$A31,'3 Base Entrada 2008'!$K$2:$K$5000,"Recebido no 2008")</f>
        <v>1920</v>
      </c>
      <c r="D31" s="158" t="n">
        <f aca="false">SUMIFS('3 Base Entrada 2008'!$L$2:$L$5000,'3 Base Entrada 2008'!$B$2:$B$5000,$A31)</f>
        <v>0</v>
      </c>
      <c r="E31" s="158" t="n">
        <f aca="false">SUMIFS('3 Base Saídas'!$R$2:$R$5000,'3 Base Saídas'!$B$2:$B$5000,$A31)</f>
        <v>0</v>
      </c>
      <c r="F31" s="158" t="n">
        <f aca="false">SUMIFS('3 Base Saldo Inicial 08-09'!$E$2:$E$5000,'3 Base Saldo Inicial 08-09'!$A$2:$A$5000,$A31)-SUMIFS('3 Base Saldo Inicial 08-09'!$E$2:$E$5000,'3 Base Saldo Inicial 08-09'!$A$2:$A$5000,$A31,'3 Base Saldo Inicial 08-09'!$C$2:$C$5000,"2008")+D31-E31</f>
        <v>0</v>
      </c>
      <c r="G31" s="158" t="n">
        <f aca="false">SUMIFS('3 Base Estoque Físico'!$J$2:$J$5000,'3 Base Estoque Físico'!$A$2:$A$5000,$A31)</f>
        <v>0</v>
      </c>
      <c r="H31" s="192" t="n">
        <f aca="false">ROUND(G31-F31,3)</f>
        <v>0</v>
      </c>
      <c r="I31" s="157" t="str">
        <f aca="false">IF(ABS(H31)&lt;=Parâmetros!$C$7,"OK",IF(H31&gt;0,"Sobra no estoque","Falta no estoque"))</f>
        <v>OK</v>
      </c>
      <c r="J31" s="157" t="str">
        <f aca="false">IF(I31="OK","",IF(AND(D31=0,E31=0),"Estoque sem movimento no período",IF(F31&lt;0,"Saídas maiores que entradas – estoque anterior ao período?",IF(G31=0,"Saldo calculado sem estoque físico – verificar",IF(H31&gt;0,"Estoque acima do esperado – saldo anterior ou entrada não listada","Estoque abaixo do esperado – saída/ajuste não listado")))))</f>
        <v/>
      </c>
      <c r="K31" s="158" t="n">
        <f aca="false">IF(C31=0,"",C31-D31)</f>
        <v>1920</v>
      </c>
    </row>
    <row r="32" customFormat="false" ht="15" hidden="false" customHeight="false" outlineLevel="0" collapsed="false">
      <c r="A32" s="157" t="s">
        <v>341</v>
      </c>
      <c r="B32" s="157" t="s">
        <v>65</v>
      </c>
      <c r="C32" s="158" t="n">
        <f aca="false">SUMIFS('3 Base Entrada 2008'!$G$2:$G$5000,'3 Base Entrada 2008'!$B$2:$B$5000,$A32,'3 Base Entrada 2008'!$K$2:$K$5000,"Recebido no 2008")</f>
        <v>0</v>
      </c>
      <c r="D32" s="158" t="n">
        <f aca="false">SUMIFS('3 Base Entrada 2008'!$L$2:$L$5000,'3 Base Entrada 2008'!$B$2:$B$5000,$A32)</f>
        <v>81.6</v>
      </c>
      <c r="E32" s="158" t="n">
        <f aca="false">SUMIFS('3 Base Saídas'!$R$2:$R$5000,'3 Base Saídas'!$B$2:$B$5000,$A32)</f>
        <v>0</v>
      </c>
      <c r="F32" s="158" t="n">
        <f aca="false">SUMIFS('3 Base Saldo Inicial 08-09'!$E$2:$E$5000,'3 Base Saldo Inicial 08-09'!$A$2:$A$5000,$A32)-SUMIFS('3 Base Saldo Inicial 08-09'!$E$2:$E$5000,'3 Base Saldo Inicial 08-09'!$A$2:$A$5000,$A32,'3 Base Saldo Inicial 08-09'!$C$2:$C$5000,"2008")+D32-E32</f>
        <v>81.6</v>
      </c>
      <c r="G32" s="158" t="n">
        <f aca="false">SUMIFS('3 Base Estoque Físico'!$J$2:$J$5000,'3 Base Estoque Físico'!$A$2:$A$5000,$A32)</f>
        <v>81.6</v>
      </c>
      <c r="H32" s="192" t="n">
        <f aca="false">ROUND(G32-F32,3)</f>
        <v>0</v>
      </c>
      <c r="I32" s="157" t="str">
        <f aca="false">IF(ABS(H32)&lt;=Parâmetros!$C$7,"OK",IF(H32&gt;0,"Sobra no estoque","Falta no estoque"))</f>
        <v>OK</v>
      </c>
      <c r="J32" s="157" t="str">
        <f aca="false">IF(I32="OK","",IF(AND(D32=0,E32=0),"Estoque sem movimento no período",IF(F32&lt;0,"Saídas maiores que entradas – estoque anterior ao período?",IF(G32=0,"Saldo calculado sem estoque físico – verificar",IF(H32&gt;0,"Estoque acima do esperado – saldo anterior ou entrada não listada","Estoque abaixo do esperado – saída/ajuste não listado")))))</f>
        <v/>
      </c>
      <c r="K32" s="158" t="str">
        <f aca="false">IF(C32=0,"",C32-D32)</f>
        <v/>
      </c>
    </row>
    <row r="33" customFormat="false" ht="15" hidden="false" customHeight="false" outlineLevel="0" collapsed="false">
      <c r="A33" s="157" t="s">
        <v>343</v>
      </c>
      <c r="B33" s="157" t="s">
        <v>65</v>
      </c>
      <c r="C33" s="158" t="n">
        <f aca="false">SUMIFS('3 Base Entrada 2008'!$G$2:$G$5000,'3 Base Entrada 2008'!$B$2:$B$5000,$A33,'3 Base Entrada 2008'!$K$2:$K$5000,"Recebido no 2008")</f>
        <v>1296</v>
      </c>
      <c r="D33" s="158" t="n">
        <f aca="false">SUMIFS('3 Base Entrada 2008'!$L$2:$L$5000,'3 Base Entrada 2008'!$B$2:$B$5000,$A33)</f>
        <v>0</v>
      </c>
      <c r="E33" s="158" t="n">
        <f aca="false">SUMIFS('3 Base Saídas'!$R$2:$R$5000,'3 Base Saídas'!$B$2:$B$5000,$A33)</f>
        <v>0</v>
      </c>
      <c r="F33" s="158" t="n">
        <f aca="false">SUMIFS('3 Base Saldo Inicial 08-09'!$E$2:$E$5000,'3 Base Saldo Inicial 08-09'!$A$2:$A$5000,$A33)-SUMIFS('3 Base Saldo Inicial 08-09'!$E$2:$E$5000,'3 Base Saldo Inicial 08-09'!$A$2:$A$5000,$A33,'3 Base Saldo Inicial 08-09'!$C$2:$C$5000,"2008")+D33-E33</f>
        <v>0</v>
      </c>
      <c r="G33" s="158" t="n">
        <f aca="false">SUMIFS('3 Base Estoque Físico'!$J$2:$J$5000,'3 Base Estoque Físico'!$A$2:$A$5000,$A33)</f>
        <v>0</v>
      </c>
      <c r="H33" s="192" t="n">
        <f aca="false">ROUND(G33-F33,3)</f>
        <v>0</v>
      </c>
      <c r="I33" s="157" t="str">
        <f aca="false">IF(ABS(H33)&lt;=Parâmetros!$C$7,"OK",IF(H33&gt;0,"Sobra no estoque","Falta no estoque"))</f>
        <v>OK</v>
      </c>
      <c r="J33" s="157" t="str">
        <f aca="false">IF(I33="OK","",IF(AND(D33=0,E33=0),"Estoque sem movimento no período",IF(F33&lt;0,"Saídas maiores que entradas – estoque anterior ao período?",IF(G33=0,"Saldo calculado sem estoque físico – verificar",IF(H33&gt;0,"Estoque acima do esperado – saldo anterior ou entrada não listada","Estoque abaixo do esperado – saída/ajuste não listado")))))</f>
        <v/>
      </c>
      <c r="K33" s="158" t="n">
        <f aca="false">IF(C33=0,"",C33-D33)</f>
        <v>1296</v>
      </c>
    </row>
    <row r="34" customFormat="false" ht="15" hidden="false" customHeight="false" outlineLevel="0" collapsed="false">
      <c r="A34" s="157" t="s">
        <v>346</v>
      </c>
      <c r="B34" s="157" t="s">
        <v>65</v>
      </c>
      <c r="C34" s="158" t="n">
        <f aca="false">SUMIFS('3 Base Entrada 2008'!$G$2:$G$5000,'3 Base Entrada 2008'!$B$2:$B$5000,$A34,'3 Base Entrada 2008'!$K$2:$K$5000,"Recebido no 2008")</f>
        <v>1280</v>
      </c>
      <c r="D34" s="158" t="n">
        <f aca="false">SUMIFS('3 Base Entrada 2008'!$L$2:$L$5000,'3 Base Entrada 2008'!$B$2:$B$5000,$A34)</f>
        <v>0</v>
      </c>
      <c r="E34" s="158" t="n">
        <f aca="false">SUMIFS('3 Base Saídas'!$R$2:$R$5000,'3 Base Saídas'!$B$2:$B$5000,$A34)</f>
        <v>0</v>
      </c>
      <c r="F34" s="158" t="n">
        <f aca="false">SUMIFS('3 Base Saldo Inicial 08-09'!$E$2:$E$5000,'3 Base Saldo Inicial 08-09'!$A$2:$A$5000,$A34)-SUMIFS('3 Base Saldo Inicial 08-09'!$E$2:$E$5000,'3 Base Saldo Inicial 08-09'!$A$2:$A$5000,$A34,'3 Base Saldo Inicial 08-09'!$C$2:$C$5000,"2008")+D34-E34</f>
        <v>0</v>
      </c>
      <c r="G34" s="158" t="n">
        <f aca="false">SUMIFS('3 Base Estoque Físico'!$J$2:$J$5000,'3 Base Estoque Físico'!$A$2:$A$5000,$A34)</f>
        <v>0</v>
      </c>
      <c r="H34" s="192" t="n">
        <f aca="false">ROUND(G34-F34,3)</f>
        <v>0</v>
      </c>
      <c r="I34" s="157" t="str">
        <f aca="false">IF(ABS(H34)&lt;=Parâmetros!$C$7,"OK",IF(H34&gt;0,"Sobra no estoque","Falta no estoque"))</f>
        <v>OK</v>
      </c>
      <c r="J34" s="157" t="str">
        <f aca="false">IF(I34="OK","",IF(AND(D34=0,E34=0),"Estoque sem movimento no período",IF(F34&lt;0,"Saídas maiores que entradas – estoque anterior ao período?",IF(G34=0,"Saldo calculado sem estoque físico – verificar",IF(H34&gt;0,"Estoque acima do esperado – saldo anterior ou entrada não listada","Estoque abaixo do esperado – saída/ajuste não listado")))))</f>
        <v/>
      </c>
      <c r="K34" s="158" t="n">
        <f aca="false">IF(C34=0,"",C34-D34)</f>
        <v>1280</v>
      </c>
    </row>
    <row r="35" customFormat="false" ht="15" hidden="false" customHeight="false" outlineLevel="0" collapsed="false">
      <c r="A35" s="157" t="s">
        <v>351</v>
      </c>
      <c r="B35" s="157" t="s">
        <v>65</v>
      </c>
      <c r="C35" s="158" t="n">
        <f aca="false">SUMIFS('3 Base Entrada 2008'!$G$2:$G$5000,'3 Base Entrada 2008'!$B$2:$B$5000,$A35,'3 Base Entrada 2008'!$K$2:$K$5000,"Recebido no 2008")</f>
        <v>640</v>
      </c>
      <c r="D35" s="158" t="n">
        <f aca="false">SUMIFS('3 Base Entrada 2008'!$L$2:$L$5000,'3 Base Entrada 2008'!$B$2:$B$5000,$A35)</f>
        <v>0</v>
      </c>
      <c r="E35" s="158" t="n">
        <f aca="false">SUMIFS('3 Base Saídas'!$R$2:$R$5000,'3 Base Saídas'!$B$2:$B$5000,$A35)</f>
        <v>0</v>
      </c>
      <c r="F35" s="158" t="n">
        <f aca="false">SUMIFS('3 Base Saldo Inicial 08-09'!$E$2:$E$5000,'3 Base Saldo Inicial 08-09'!$A$2:$A$5000,$A35)-SUMIFS('3 Base Saldo Inicial 08-09'!$E$2:$E$5000,'3 Base Saldo Inicial 08-09'!$A$2:$A$5000,$A35,'3 Base Saldo Inicial 08-09'!$C$2:$C$5000,"2008")+D35-E35</f>
        <v>0</v>
      </c>
      <c r="G35" s="158" t="n">
        <f aca="false">SUMIFS('3 Base Estoque Físico'!$J$2:$J$5000,'3 Base Estoque Físico'!$A$2:$A$5000,$A35)</f>
        <v>0</v>
      </c>
      <c r="H35" s="192" t="n">
        <f aca="false">ROUND(G35-F35,3)</f>
        <v>0</v>
      </c>
      <c r="I35" s="157" t="str">
        <f aca="false">IF(ABS(H35)&lt;=Parâmetros!$C$7,"OK",IF(H35&gt;0,"Sobra no estoque","Falta no estoque"))</f>
        <v>OK</v>
      </c>
      <c r="J35" s="157" t="str">
        <f aca="false">IF(I35="OK","",IF(AND(D35=0,E35=0),"Estoque sem movimento no período",IF(F35&lt;0,"Saídas maiores que entradas – estoque anterior ao período?",IF(G35=0,"Saldo calculado sem estoque físico – verificar",IF(H35&gt;0,"Estoque acima do esperado – saldo anterior ou entrada não listada","Estoque abaixo do esperado – saída/ajuste não listado")))))</f>
        <v/>
      </c>
      <c r="K35" s="158" t="n">
        <f aca="false">IF(C35=0,"",C35-D35)</f>
        <v>640</v>
      </c>
    </row>
    <row r="36" customFormat="false" ht="15" hidden="false" customHeight="false" outlineLevel="0" collapsed="false">
      <c r="A36" s="157" t="s">
        <v>356</v>
      </c>
      <c r="B36" s="157" t="s">
        <v>65</v>
      </c>
      <c r="C36" s="158" t="n">
        <f aca="false">SUMIFS('3 Base Entrada 2008'!$G$2:$G$5000,'3 Base Entrada 2008'!$B$2:$B$5000,$A36,'3 Base Entrada 2008'!$K$2:$K$5000,"Recebido no 2008")</f>
        <v>384</v>
      </c>
      <c r="D36" s="158" t="n">
        <f aca="false">SUMIFS('3 Base Entrada 2008'!$L$2:$L$5000,'3 Base Entrada 2008'!$B$2:$B$5000,$A36)</f>
        <v>0</v>
      </c>
      <c r="E36" s="158" t="n">
        <f aca="false">SUMIFS('3 Base Saídas'!$R$2:$R$5000,'3 Base Saídas'!$B$2:$B$5000,$A36)</f>
        <v>0</v>
      </c>
      <c r="F36" s="158" t="n">
        <f aca="false">SUMIFS('3 Base Saldo Inicial 08-09'!$E$2:$E$5000,'3 Base Saldo Inicial 08-09'!$A$2:$A$5000,$A36)-SUMIFS('3 Base Saldo Inicial 08-09'!$E$2:$E$5000,'3 Base Saldo Inicial 08-09'!$A$2:$A$5000,$A36,'3 Base Saldo Inicial 08-09'!$C$2:$C$5000,"2008")+D36-E36</f>
        <v>0</v>
      </c>
      <c r="G36" s="158" t="n">
        <f aca="false">SUMIFS('3 Base Estoque Físico'!$J$2:$J$5000,'3 Base Estoque Físico'!$A$2:$A$5000,$A36)</f>
        <v>0</v>
      </c>
      <c r="H36" s="192" t="n">
        <f aca="false">ROUND(G36-F36,3)</f>
        <v>0</v>
      </c>
      <c r="I36" s="157" t="str">
        <f aca="false">IF(ABS(H36)&lt;=Parâmetros!$C$7,"OK",IF(H36&gt;0,"Sobra no estoque","Falta no estoque"))</f>
        <v>OK</v>
      </c>
      <c r="J36" s="157" t="str">
        <f aca="false">IF(I36="OK","",IF(AND(D36=0,E36=0),"Estoque sem movimento no período",IF(F36&lt;0,"Saídas maiores que entradas – estoque anterior ao período?",IF(G36=0,"Saldo calculado sem estoque físico – verificar",IF(H36&gt;0,"Estoque acima do esperado – saldo anterior ou entrada não listada","Estoque abaixo do esperado – saída/ajuste não listado")))))</f>
        <v/>
      </c>
      <c r="K36" s="158" t="n">
        <f aca="false">IF(C36=0,"",C36-D36)</f>
        <v>384</v>
      </c>
    </row>
    <row r="37" customFormat="false" ht="15" hidden="false" customHeight="false" outlineLevel="0" collapsed="false">
      <c r="A37" s="157" t="s">
        <v>358</v>
      </c>
      <c r="B37" s="157" t="s">
        <v>65</v>
      </c>
      <c r="C37" s="158" t="n">
        <f aca="false">SUMIFS('3 Base Entrada 2008'!$G$2:$G$5000,'3 Base Entrada 2008'!$B$2:$B$5000,$A37,'3 Base Entrada 2008'!$K$2:$K$5000,"Recebido no 2008")</f>
        <v>4200</v>
      </c>
      <c r="D37" s="158" t="n">
        <f aca="false">SUMIFS('3 Base Entrada 2008'!$L$2:$L$5000,'3 Base Entrada 2008'!$B$2:$B$5000,$A37)</f>
        <v>0</v>
      </c>
      <c r="E37" s="158" t="n">
        <f aca="false">SUMIFS('3 Base Saídas'!$R$2:$R$5000,'3 Base Saídas'!$B$2:$B$5000,$A37)</f>
        <v>0</v>
      </c>
      <c r="F37" s="158" t="n">
        <f aca="false">SUMIFS('3 Base Saldo Inicial 08-09'!$E$2:$E$5000,'3 Base Saldo Inicial 08-09'!$A$2:$A$5000,$A37)-SUMIFS('3 Base Saldo Inicial 08-09'!$E$2:$E$5000,'3 Base Saldo Inicial 08-09'!$A$2:$A$5000,$A37,'3 Base Saldo Inicial 08-09'!$C$2:$C$5000,"2008")+D37-E37</f>
        <v>0</v>
      </c>
      <c r="G37" s="158" t="n">
        <f aca="false">SUMIFS('3 Base Estoque Físico'!$J$2:$J$5000,'3 Base Estoque Físico'!$A$2:$A$5000,$A37)</f>
        <v>0</v>
      </c>
      <c r="H37" s="192" t="n">
        <f aca="false">ROUND(G37-F37,3)</f>
        <v>0</v>
      </c>
      <c r="I37" s="157" t="str">
        <f aca="false">IF(ABS(H37)&lt;=Parâmetros!$C$7,"OK",IF(H37&gt;0,"Sobra no estoque","Falta no estoque"))</f>
        <v>OK</v>
      </c>
      <c r="J37" s="157" t="str">
        <f aca="false">IF(I37="OK","",IF(AND(D37=0,E37=0),"Estoque sem movimento no período",IF(F37&lt;0,"Saídas maiores que entradas – estoque anterior ao período?",IF(G37=0,"Saldo calculado sem estoque físico – verificar",IF(H37&gt;0,"Estoque acima do esperado – saldo anterior ou entrada não listada","Estoque abaixo do esperado – saída/ajuste não listado")))))</f>
        <v/>
      </c>
      <c r="K37" s="158" t="n">
        <f aca="false">IF(C37=0,"",C37-D37)</f>
        <v>4200</v>
      </c>
    </row>
    <row r="38" customFormat="false" ht="15" hidden="false" customHeight="false" outlineLevel="0" collapsed="false">
      <c r="A38" s="157" t="s">
        <v>260</v>
      </c>
      <c r="B38" s="157" t="s">
        <v>65</v>
      </c>
      <c r="C38" s="158" t="n">
        <f aca="false">SUMIFS('3 Base Entrada 2008'!$G$2:$G$5000,'3 Base Entrada 2008'!$B$2:$B$5000,$A38,'3 Base Entrada 2008'!$K$2:$K$5000,"Recebido no 2008")</f>
        <v>0</v>
      </c>
      <c r="D38" s="158" t="n">
        <f aca="false">SUMIFS('3 Base Entrada 2008'!$L$2:$L$5000,'3 Base Entrada 2008'!$B$2:$B$5000,$A38)</f>
        <v>599.76</v>
      </c>
      <c r="E38" s="158" t="n">
        <f aca="false">SUMIFS('3 Base Saídas'!$R$2:$R$5000,'3 Base Saídas'!$B$2:$B$5000,$A38)</f>
        <v>0</v>
      </c>
      <c r="F38" s="158" t="n">
        <f aca="false">SUMIFS('3 Base Saldo Inicial 08-09'!$E$2:$E$5000,'3 Base Saldo Inicial 08-09'!$A$2:$A$5000,$A38)-SUMIFS('3 Base Saldo Inicial 08-09'!$E$2:$E$5000,'3 Base Saldo Inicial 08-09'!$A$2:$A$5000,$A38,'3 Base Saldo Inicial 08-09'!$C$2:$C$5000,"2008")+D38-E38</f>
        <v>599.76</v>
      </c>
      <c r="G38" s="158" t="n">
        <f aca="false">SUMIFS('3 Base Estoque Físico'!$J$2:$J$5000,'3 Base Estoque Físico'!$A$2:$A$5000,$A38)</f>
        <v>599.76</v>
      </c>
      <c r="H38" s="192" t="n">
        <f aca="false">ROUND(G38-F38,3)</f>
        <v>0</v>
      </c>
      <c r="I38" s="157" t="str">
        <f aca="false">IF(ABS(H38)&lt;=Parâmetros!$C$7,"OK",IF(H38&gt;0,"Sobra no estoque","Falta no estoque"))</f>
        <v>OK</v>
      </c>
      <c r="J38" s="157" t="str">
        <f aca="false">IF(I38="OK","",IF(AND(D38=0,E38=0),"Estoque sem movimento no período",IF(F38&lt;0,"Saídas maiores que entradas – estoque anterior ao período?",IF(G38=0,"Saldo calculado sem estoque físico – verificar",IF(H38&gt;0,"Estoque acima do esperado – saldo anterior ou entrada não listada","Estoque abaixo do esperado – saída/ajuste não listado")))))</f>
        <v/>
      </c>
      <c r="K38" s="158" t="str">
        <f aca="false">IF(C38=0,"",C38-D38)</f>
        <v/>
      </c>
    </row>
    <row r="39" customFormat="false" ht="15" hidden="false" customHeight="false" outlineLevel="0" collapsed="false">
      <c r="A39" s="157" t="s">
        <v>266</v>
      </c>
      <c r="B39" s="157" t="s">
        <v>65</v>
      </c>
      <c r="C39" s="158" t="n">
        <f aca="false">SUMIFS('3 Base Entrada 2008'!$G$2:$G$5000,'3 Base Entrada 2008'!$B$2:$B$5000,$A39,'3 Base Entrada 2008'!$K$2:$K$5000,"Recebido no 2008")</f>
        <v>0</v>
      </c>
      <c r="D39" s="158" t="n">
        <f aca="false">SUMIFS('3 Base Entrada 2008'!$L$2:$L$5000,'3 Base Entrada 2008'!$B$2:$B$5000,$A39)</f>
        <v>432</v>
      </c>
      <c r="E39" s="158" t="n">
        <f aca="false">SUMIFS('3 Base Saídas'!$R$2:$R$5000,'3 Base Saídas'!$B$2:$B$5000,$A39)</f>
        <v>0</v>
      </c>
      <c r="F39" s="158" t="n">
        <f aca="false">SUMIFS('3 Base Saldo Inicial 08-09'!$E$2:$E$5000,'3 Base Saldo Inicial 08-09'!$A$2:$A$5000,$A39)-SUMIFS('3 Base Saldo Inicial 08-09'!$E$2:$E$5000,'3 Base Saldo Inicial 08-09'!$A$2:$A$5000,$A39,'3 Base Saldo Inicial 08-09'!$C$2:$C$5000,"2008")+D39-E39</f>
        <v>432</v>
      </c>
      <c r="G39" s="158" t="n">
        <f aca="false">SUMIFS('3 Base Estoque Físico'!$J$2:$J$5000,'3 Base Estoque Físico'!$A$2:$A$5000,$A39)</f>
        <v>432</v>
      </c>
      <c r="H39" s="192" t="n">
        <f aca="false">ROUND(G39-F39,3)</f>
        <v>0</v>
      </c>
      <c r="I39" s="157" t="str">
        <f aca="false">IF(ABS(H39)&lt;=Parâmetros!$C$7,"OK",IF(H39&gt;0,"Sobra no estoque","Falta no estoque"))</f>
        <v>OK</v>
      </c>
      <c r="J39" s="157" t="str">
        <f aca="false">IF(I39="OK","",IF(AND(D39=0,E39=0),"Estoque sem movimento no período",IF(F39&lt;0,"Saídas maiores que entradas – estoque anterior ao período?",IF(G39=0,"Saldo calculado sem estoque físico – verificar",IF(H39&gt;0,"Estoque acima do esperado – saldo anterior ou entrada não listada","Estoque abaixo do esperado – saída/ajuste não listado")))))</f>
        <v/>
      </c>
      <c r="K39" s="158" t="str">
        <f aca="false">IF(C39=0,"",C39-D39)</f>
        <v/>
      </c>
    </row>
    <row r="40" customFormat="false" ht="15" hidden="false" customHeight="false" outlineLevel="0" collapsed="false">
      <c r="A40" s="157" t="s">
        <v>364</v>
      </c>
      <c r="B40" s="157" t="s">
        <v>65</v>
      </c>
      <c r="C40" s="158" t="n">
        <f aca="false">SUMIFS('3 Base Entrada 2008'!$G$2:$G$5000,'3 Base Entrada 2008'!$B$2:$B$5000,$A40,'3 Base Entrada 2008'!$K$2:$K$5000,"Recebido no 2008")</f>
        <v>1200</v>
      </c>
      <c r="D40" s="158" t="n">
        <f aca="false">SUMIFS('3 Base Entrada 2008'!$L$2:$L$5000,'3 Base Entrada 2008'!$B$2:$B$5000,$A40)</f>
        <v>0</v>
      </c>
      <c r="E40" s="158" t="n">
        <f aca="false">SUMIFS('3 Base Saídas'!$R$2:$R$5000,'3 Base Saídas'!$B$2:$B$5000,$A40)</f>
        <v>0</v>
      </c>
      <c r="F40" s="158" t="n">
        <f aca="false">SUMIFS('3 Base Saldo Inicial 08-09'!$E$2:$E$5000,'3 Base Saldo Inicial 08-09'!$A$2:$A$5000,$A40)-SUMIFS('3 Base Saldo Inicial 08-09'!$E$2:$E$5000,'3 Base Saldo Inicial 08-09'!$A$2:$A$5000,$A40,'3 Base Saldo Inicial 08-09'!$C$2:$C$5000,"2008")+D40-E40</f>
        <v>0</v>
      </c>
      <c r="G40" s="158" t="n">
        <f aca="false">SUMIFS('3 Base Estoque Físico'!$J$2:$J$5000,'3 Base Estoque Físico'!$A$2:$A$5000,$A40)</f>
        <v>0</v>
      </c>
      <c r="H40" s="192" t="n">
        <f aca="false">ROUND(G40-F40,3)</f>
        <v>0</v>
      </c>
      <c r="I40" s="157" t="str">
        <f aca="false">IF(ABS(H40)&lt;=Parâmetros!$C$7,"OK",IF(H40&gt;0,"Sobra no estoque","Falta no estoque"))</f>
        <v>OK</v>
      </c>
      <c r="J40" s="157" t="str">
        <f aca="false">IF(I40="OK","",IF(AND(D40=0,E40=0),"Estoque sem movimento no período",IF(F40&lt;0,"Saídas maiores que entradas – estoque anterior ao período?",IF(G40=0,"Saldo calculado sem estoque físico – verificar",IF(H40&gt;0,"Estoque acima do esperado – saldo anterior ou entrada não listada","Estoque abaixo do esperado – saída/ajuste não listado")))))</f>
        <v/>
      </c>
      <c r="K40" s="158" t="n">
        <f aca="false">IF(C40=0,"",C40-D40)</f>
        <v>1200</v>
      </c>
    </row>
    <row r="41" customFormat="false" ht="15" hidden="false" customHeight="false" outlineLevel="0" collapsed="false">
      <c r="A41" s="157" t="s">
        <v>271</v>
      </c>
      <c r="B41" s="157" t="s">
        <v>65</v>
      </c>
      <c r="C41" s="158" t="n">
        <f aca="false">SUMIFS('3 Base Entrada 2008'!$G$2:$G$5000,'3 Base Entrada 2008'!$B$2:$B$5000,$A41,'3 Base Entrada 2008'!$K$2:$K$5000,"Recebido no 2008")</f>
        <v>840</v>
      </c>
      <c r="D41" s="158" t="n">
        <f aca="false">SUMIFS('3 Base Entrada 2008'!$L$2:$L$5000,'3 Base Entrada 2008'!$B$2:$B$5000,$A41)</f>
        <v>3060</v>
      </c>
      <c r="E41" s="158" t="n">
        <f aca="false">SUMIFS('3 Base Saídas'!$R$2:$R$5000,'3 Base Saídas'!$B$2:$B$5000,$A41)</f>
        <v>770</v>
      </c>
      <c r="F41" s="158" t="n">
        <f aca="false">SUMIFS('3 Base Saldo Inicial 08-09'!$E$2:$E$5000,'3 Base Saldo Inicial 08-09'!$A$2:$A$5000,$A41)-SUMIFS('3 Base Saldo Inicial 08-09'!$E$2:$E$5000,'3 Base Saldo Inicial 08-09'!$A$2:$A$5000,$A41,'3 Base Saldo Inicial 08-09'!$C$2:$C$5000,"2008")+D41-E41</f>
        <v>2290</v>
      </c>
      <c r="G41" s="158" t="n">
        <f aca="false">SUMIFS('3 Base Estoque Físico'!$J$2:$J$5000,'3 Base Estoque Físico'!$A$2:$A$5000,$A41)</f>
        <v>2290</v>
      </c>
      <c r="H41" s="192" t="n">
        <f aca="false">ROUND(G41-F41,3)</f>
        <v>0</v>
      </c>
      <c r="I41" s="157" t="str">
        <f aca="false">IF(ABS(H41)&lt;=Parâmetros!$C$7,"OK",IF(H41&gt;0,"Sobra no estoque","Falta no estoque"))</f>
        <v>OK</v>
      </c>
      <c r="J41" s="157" t="str">
        <f aca="false">IF(I41="OK","",IF(AND(D41=0,E41=0),"Estoque sem movimento no período",IF(F41&lt;0,"Saídas maiores que entradas – estoque anterior ao período?",IF(G41=0,"Saldo calculado sem estoque físico – verificar",IF(H41&gt;0,"Estoque acima do esperado – saldo anterior ou entrada não listada","Estoque abaixo do esperado – saída/ajuste não listado")))))</f>
        <v/>
      </c>
      <c r="K41" s="158" t="n">
        <f aca="false">IF(C41=0,"",C41-D41)</f>
        <v>-2220</v>
      </c>
    </row>
    <row r="42" customFormat="false" ht="15" hidden="false" customHeight="false" outlineLevel="0" collapsed="false">
      <c r="A42" s="157" t="s">
        <v>368</v>
      </c>
      <c r="B42" s="157" t="s">
        <v>65</v>
      </c>
      <c r="C42" s="158" t="n">
        <f aca="false">SUMIFS('3 Base Entrada 2008'!$G$2:$G$5000,'3 Base Entrada 2008'!$B$2:$B$5000,$A42,'3 Base Entrada 2008'!$K$2:$K$5000,"Recebido no 2008")</f>
        <v>1873.2</v>
      </c>
      <c r="D42" s="158" t="n">
        <f aca="false">SUMIFS('3 Base Entrada 2008'!$L$2:$L$5000,'3 Base Entrada 2008'!$B$2:$B$5000,$A42)</f>
        <v>313.6</v>
      </c>
      <c r="E42" s="158" t="n">
        <f aca="false">SUMIFS('3 Base Saídas'!$R$2:$R$5000,'3 Base Saídas'!$B$2:$B$5000,$A42)</f>
        <v>0</v>
      </c>
      <c r="F42" s="158" t="n">
        <f aca="false">SUMIFS('3 Base Saldo Inicial 08-09'!$E$2:$E$5000,'3 Base Saldo Inicial 08-09'!$A$2:$A$5000,$A42)-SUMIFS('3 Base Saldo Inicial 08-09'!$E$2:$E$5000,'3 Base Saldo Inicial 08-09'!$A$2:$A$5000,$A42,'3 Base Saldo Inicial 08-09'!$C$2:$C$5000,"2008")+D42-E42</f>
        <v>313.6</v>
      </c>
      <c r="G42" s="158" t="n">
        <f aca="false">SUMIFS('3 Base Estoque Físico'!$J$2:$J$5000,'3 Base Estoque Físico'!$A$2:$A$5000,$A42)</f>
        <v>313.6</v>
      </c>
      <c r="H42" s="192" t="n">
        <f aca="false">ROUND(G42-F42,3)</f>
        <v>0</v>
      </c>
      <c r="I42" s="157" t="str">
        <f aca="false">IF(ABS(H42)&lt;=Parâmetros!$C$7,"OK",IF(H42&gt;0,"Sobra no estoque","Falta no estoque"))</f>
        <v>OK</v>
      </c>
      <c r="J42" s="157" t="str">
        <f aca="false">IF(I42="OK","",IF(AND(D42=0,E42=0),"Estoque sem movimento no período",IF(F42&lt;0,"Saídas maiores que entradas – estoque anterior ao período?",IF(G42=0,"Saldo calculado sem estoque físico – verificar",IF(H42&gt;0,"Estoque acima do esperado – saldo anterior ou entrada não listada","Estoque abaixo do esperado – saída/ajuste não listado")))))</f>
        <v/>
      </c>
      <c r="K42" s="158" t="n">
        <f aca="false">IF(C42=0,"",C42-D42)</f>
        <v>1559.6</v>
      </c>
    </row>
    <row r="43" customFormat="false" ht="15" hidden="false" customHeight="false" outlineLevel="0" collapsed="false">
      <c r="A43" s="157" t="s">
        <v>372</v>
      </c>
      <c r="B43" s="157" t="s">
        <v>65</v>
      </c>
      <c r="C43" s="158" t="n">
        <f aca="false">SUMIFS('3 Base Entrada 2008'!$G$2:$G$5000,'3 Base Entrada 2008'!$B$2:$B$5000,$A43,'3 Base Entrada 2008'!$K$2:$K$5000,"Recebido no 2008")</f>
        <v>2400</v>
      </c>
      <c r="D43" s="158" t="n">
        <f aca="false">SUMIFS('3 Base Entrada 2008'!$L$2:$L$5000,'3 Base Entrada 2008'!$B$2:$B$5000,$A43)</f>
        <v>1200</v>
      </c>
      <c r="E43" s="158" t="n">
        <f aca="false">SUMIFS('3 Base Saídas'!$R$2:$R$5000,'3 Base Saídas'!$B$2:$B$5000,$A43)</f>
        <v>0</v>
      </c>
      <c r="F43" s="158" t="n">
        <f aca="false">SUMIFS('3 Base Saldo Inicial 08-09'!$E$2:$E$5000,'3 Base Saldo Inicial 08-09'!$A$2:$A$5000,$A43)-SUMIFS('3 Base Saldo Inicial 08-09'!$E$2:$E$5000,'3 Base Saldo Inicial 08-09'!$A$2:$A$5000,$A43,'3 Base Saldo Inicial 08-09'!$C$2:$C$5000,"2008")+D43-E43</f>
        <v>1200</v>
      </c>
      <c r="G43" s="158" t="n">
        <f aca="false">SUMIFS('3 Base Estoque Físico'!$J$2:$J$5000,'3 Base Estoque Físico'!$A$2:$A$5000,$A43)</f>
        <v>1200</v>
      </c>
      <c r="H43" s="192" t="n">
        <f aca="false">ROUND(G43-F43,3)</f>
        <v>0</v>
      </c>
      <c r="I43" s="157" t="str">
        <f aca="false">IF(ABS(H43)&lt;=Parâmetros!$C$7,"OK",IF(H43&gt;0,"Sobra no estoque","Falta no estoque"))</f>
        <v>OK</v>
      </c>
      <c r="J43" s="157" t="str">
        <f aca="false">IF(I43="OK","",IF(AND(D43=0,E43=0),"Estoque sem movimento no período",IF(F43&lt;0,"Saídas maiores que entradas – estoque anterior ao período?",IF(G43=0,"Saldo calculado sem estoque físico – verificar",IF(H43&gt;0,"Estoque acima do esperado – saldo anterior ou entrada não listada","Estoque abaixo do esperado – saída/ajuste não listado")))))</f>
        <v/>
      </c>
      <c r="K43" s="158" t="n">
        <f aca="false">IF(C43=0,"",C43-D43)</f>
        <v>1200</v>
      </c>
    </row>
    <row r="44" customFormat="false" ht="15" hidden="false" customHeight="false" outlineLevel="0" collapsed="false">
      <c r="A44" s="157" t="s">
        <v>281</v>
      </c>
      <c r="B44" s="157" t="s">
        <v>65</v>
      </c>
      <c r="C44" s="158" t="n">
        <f aca="false">SUMIFS('3 Base Entrada 2008'!$G$2:$G$5000,'3 Base Entrada 2008'!$B$2:$B$5000,$A44,'3 Base Entrada 2008'!$K$2:$K$5000,"Recebido no 2008")</f>
        <v>864</v>
      </c>
      <c r="D44" s="158" t="n">
        <f aca="false">SUMIFS('3 Base Entrada 2008'!$L$2:$L$5000,'3 Base Entrada 2008'!$B$2:$B$5000,$A44)</f>
        <v>864</v>
      </c>
      <c r="E44" s="158" t="n">
        <f aca="false">SUMIFS('3 Base Saídas'!$R$2:$R$5000,'3 Base Saídas'!$B$2:$B$5000,$A44)</f>
        <v>306</v>
      </c>
      <c r="F44" s="158" t="n">
        <f aca="false">SUMIFS('3 Base Saldo Inicial 08-09'!$E$2:$E$5000,'3 Base Saldo Inicial 08-09'!$A$2:$A$5000,$A44)-SUMIFS('3 Base Saldo Inicial 08-09'!$E$2:$E$5000,'3 Base Saldo Inicial 08-09'!$A$2:$A$5000,$A44,'3 Base Saldo Inicial 08-09'!$C$2:$C$5000,"2008")+D44-E44</f>
        <v>558</v>
      </c>
      <c r="G44" s="158" t="n">
        <f aca="false">SUMIFS('3 Base Estoque Físico'!$J$2:$J$5000,'3 Base Estoque Físico'!$A$2:$A$5000,$A44)</f>
        <v>558</v>
      </c>
      <c r="H44" s="192" t="n">
        <f aca="false">ROUND(G44-F44,3)</f>
        <v>0</v>
      </c>
      <c r="I44" s="157" t="str">
        <f aca="false">IF(ABS(H44)&lt;=Parâmetros!$C$7,"OK",IF(H44&gt;0,"Sobra no estoque","Falta no estoque"))</f>
        <v>OK</v>
      </c>
      <c r="J44" s="157" t="str">
        <f aca="false">IF(I44="OK","",IF(AND(D44=0,E44=0),"Estoque sem movimento no período",IF(F44&lt;0,"Saídas maiores que entradas – estoque anterior ao período?",IF(G44=0,"Saldo calculado sem estoque físico – verificar",IF(H44&gt;0,"Estoque acima do esperado – saldo anterior ou entrada não listada","Estoque abaixo do esperado – saída/ajuste não listado")))))</f>
        <v/>
      </c>
      <c r="K44" s="158" t="n">
        <f aca="false">IF(C44=0,"",C44-D44)</f>
        <v>0</v>
      </c>
    </row>
    <row r="45" customFormat="false" ht="15" hidden="false" customHeight="false" outlineLevel="0" collapsed="false">
      <c r="A45" s="157" t="s">
        <v>375</v>
      </c>
      <c r="B45" s="157" t="s">
        <v>65</v>
      </c>
      <c r="C45" s="158" t="n">
        <f aca="false">SUMIFS('3 Base Entrada 2008'!$G$2:$G$5000,'3 Base Entrada 2008'!$B$2:$B$5000,$A45,'3 Base Entrada 2008'!$K$2:$K$5000,"Recebido no 2008")</f>
        <v>432</v>
      </c>
      <c r="D45" s="158" t="n">
        <f aca="false">SUMIFS('3 Base Entrada 2008'!$L$2:$L$5000,'3 Base Entrada 2008'!$B$2:$B$5000,$A45)</f>
        <v>0</v>
      </c>
      <c r="E45" s="158" t="n">
        <f aca="false">SUMIFS('3 Base Saídas'!$R$2:$R$5000,'3 Base Saídas'!$B$2:$B$5000,$A45)</f>
        <v>0</v>
      </c>
      <c r="F45" s="158" t="n">
        <f aca="false">SUMIFS('3 Base Saldo Inicial 08-09'!$E$2:$E$5000,'3 Base Saldo Inicial 08-09'!$A$2:$A$5000,$A45)-SUMIFS('3 Base Saldo Inicial 08-09'!$E$2:$E$5000,'3 Base Saldo Inicial 08-09'!$A$2:$A$5000,$A45,'3 Base Saldo Inicial 08-09'!$C$2:$C$5000,"2008")+D45-E45</f>
        <v>0</v>
      </c>
      <c r="G45" s="158" t="n">
        <f aca="false">SUMIFS('3 Base Estoque Físico'!$J$2:$J$5000,'3 Base Estoque Físico'!$A$2:$A$5000,$A45)</f>
        <v>0</v>
      </c>
      <c r="H45" s="192" t="n">
        <f aca="false">ROUND(G45-F45,3)</f>
        <v>0</v>
      </c>
      <c r="I45" s="157" t="str">
        <f aca="false">IF(ABS(H45)&lt;=Parâmetros!$C$7,"OK",IF(H45&gt;0,"Sobra no estoque","Falta no estoque"))</f>
        <v>OK</v>
      </c>
      <c r="J45" s="157" t="str">
        <f aca="false">IF(I45="OK","",IF(AND(D45=0,E45=0),"Estoque sem movimento no período",IF(F45&lt;0,"Saídas maiores que entradas – estoque anterior ao período?",IF(G45=0,"Saldo calculado sem estoque físico – verificar",IF(H45&gt;0,"Estoque acima do esperado – saldo anterior ou entrada não listada","Estoque abaixo do esperado – saída/ajuste não listado")))))</f>
        <v/>
      </c>
      <c r="K45" s="158" t="n">
        <f aca="false">IF(C45=0,"",C45-D45)</f>
        <v>432</v>
      </c>
    </row>
    <row r="46" customFormat="false" ht="15" hidden="false" customHeight="false" outlineLevel="0" collapsed="false">
      <c r="A46" s="157" t="s">
        <v>377</v>
      </c>
      <c r="B46" s="157" t="s">
        <v>65</v>
      </c>
      <c r="C46" s="158" t="n">
        <f aca="false">SUMIFS('3 Base Entrada 2008'!$G$2:$G$5000,'3 Base Entrada 2008'!$B$2:$B$5000,$A46,'3 Base Entrada 2008'!$K$2:$K$5000,"Recebido no 2008")</f>
        <v>11208</v>
      </c>
      <c r="D46" s="158" t="n">
        <f aca="false">SUMIFS('3 Base Entrada 2008'!$L$2:$L$5000,'3 Base Entrada 2008'!$B$2:$B$5000,$A46)</f>
        <v>0</v>
      </c>
      <c r="E46" s="158" t="n">
        <f aca="false">SUMIFS('3 Base Saídas'!$R$2:$R$5000,'3 Base Saídas'!$B$2:$B$5000,$A46)</f>
        <v>0</v>
      </c>
      <c r="F46" s="158" t="n">
        <f aca="false">SUMIFS('3 Base Saldo Inicial 08-09'!$E$2:$E$5000,'3 Base Saldo Inicial 08-09'!$A$2:$A$5000,$A46)-SUMIFS('3 Base Saldo Inicial 08-09'!$E$2:$E$5000,'3 Base Saldo Inicial 08-09'!$A$2:$A$5000,$A46,'3 Base Saldo Inicial 08-09'!$C$2:$C$5000,"2008")+D46-E46</f>
        <v>0</v>
      </c>
      <c r="G46" s="158" t="n">
        <f aca="false">SUMIFS('3 Base Estoque Físico'!$J$2:$J$5000,'3 Base Estoque Físico'!$A$2:$A$5000,$A46)</f>
        <v>0</v>
      </c>
      <c r="H46" s="192" t="n">
        <f aca="false">ROUND(G46-F46,3)</f>
        <v>0</v>
      </c>
      <c r="I46" s="157" t="str">
        <f aca="false">IF(ABS(H46)&lt;=Parâmetros!$C$7,"OK",IF(H46&gt;0,"Sobra no estoque","Falta no estoque"))</f>
        <v>OK</v>
      </c>
      <c r="J46" s="157" t="str">
        <f aca="false">IF(I46="OK","",IF(AND(D46=0,E46=0),"Estoque sem movimento no período",IF(F46&lt;0,"Saídas maiores que entradas – estoque anterior ao período?",IF(G46=0,"Saldo calculado sem estoque físico – verificar",IF(H46&gt;0,"Estoque acima do esperado – saldo anterior ou entrada não listada","Estoque abaixo do esperado – saída/ajuste não listado")))))</f>
        <v/>
      </c>
      <c r="K46" s="158" t="n">
        <f aca="false">IF(C46=0,"",C46-D46)</f>
        <v>11208</v>
      </c>
    </row>
    <row r="47" customFormat="false" ht="15" hidden="false" customHeight="false" outlineLevel="0" collapsed="false">
      <c r="A47" s="157" t="s">
        <v>380</v>
      </c>
      <c r="B47" s="157" t="s">
        <v>65</v>
      </c>
      <c r="C47" s="158" t="n">
        <f aca="false">SUMIFS('3 Base Entrada 2008'!$G$2:$G$5000,'3 Base Entrada 2008'!$B$2:$B$5000,$A47,'3 Base Entrada 2008'!$K$2:$K$5000,"Recebido no 2008")</f>
        <v>0</v>
      </c>
      <c r="D47" s="158" t="n">
        <f aca="false">SUMIFS('3 Base Entrada 2008'!$L$2:$L$5000,'3 Base Entrada 2008'!$B$2:$B$5000,$A47)</f>
        <v>850</v>
      </c>
      <c r="E47" s="158" t="n">
        <f aca="false">SUMIFS('3 Base Saídas'!$R$2:$R$5000,'3 Base Saídas'!$B$2:$B$5000,$A47)</f>
        <v>50</v>
      </c>
      <c r="F47" s="158" t="n">
        <f aca="false">SUMIFS('3 Base Saldo Inicial 08-09'!$E$2:$E$5000,'3 Base Saldo Inicial 08-09'!$A$2:$A$5000,$A47)-SUMIFS('3 Base Saldo Inicial 08-09'!$E$2:$E$5000,'3 Base Saldo Inicial 08-09'!$A$2:$A$5000,$A47,'3 Base Saldo Inicial 08-09'!$C$2:$C$5000,"2008")+D47-E47</f>
        <v>800</v>
      </c>
      <c r="G47" s="158" t="n">
        <f aca="false">SUMIFS('3 Base Estoque Físico'!$J$2:$J$5000,'3 Base Estoque Físico'!$A$2:$A$5000,$A47)</f>
        <v>800</v>
      </c>
      <c r="H47" s="192" t="n">
        <f aca="false">ROUND(G47-F47,3)</f>
        <v>0</v>
      </c>
      <c r="I47" s="157" t="str">
        <f aca="false">IF(ABS(H47)&lt;=Parâmetros!$C$7,"OK",IF(H47&gt;0,"Sobra no estoque","Falta no estoque"))</f>
        <v>OK</v>
      </c>
      <c r="J47" s="157" t="str">
        <f aca="false">IF(I47="OK","",IF(AND(D47=0,E47=0),"Estoque sem movimento no período",IF(F47&lt;0,"Saídas maiores que entradas – estoque anterior ao período?",IF(G47=0,"Saldo calculado sem estoque físico – verificar",IF(H47&gt;0,"Estoque acima do esperado – saldo anterior ou entrada não listada","Estoque abaixo do esperado – saída/ajuste não listado")))))</f>
        <v/>
      </c>
      <c r="K47" s="158" t="str">
        <f aca="false">IF(C47=0,"",C47-D47)</f>
        <v/>
      </c>
    </row>
    <row r="48" customFormat="false" ht="15" hidden="false" customHeight="false" outlineLevel="0" collapsed="false">
      <c r="A48" s="157" t="s">
        <v>284</v>
      </c>
      <c r="B48" s="157" t="s">
        <v>65</v>
      </c>
      <c r="C48" s="158" t="n">
        <f aca="false">SUMIFS('3 Base Entrada 2008'!$G$2:$G$5000,'3 Base Entrada 2008'!$B$2:$B$5000,$A48,'3 Base Entrada 2008'!$K$2:$K$5000,"Recebido no 2008")</f>
        <v>0</v>
      </c>
      <c r="D48" s="158" t="n">
        <f aca="false">SUMIFS('3 Base Entrada 2008'!$L$2:$L$5000,'3 Base Entrada 2008'!$B$2:$B$5000,$A48)</f>
        <v>1000</v>
      </c>
      <c r="E48" s="158" t="n">
        <f aca="false">SUMIFS('3 Base Saídas'!$R$2:$R$5000,'3 Base Saídas'!$B$2:$B$5000,$A48)</f>
        <v>0</v>
      </c>
      <c r="F48" s="158" t="n">
        <f aca="false">SUMIFS('3 Base Saldo Inicial 08-09'!$E$2:$E$5000,'3 Base Saldo Inicial 08-09'!$A$2:$A$5000,$A48)-SUMIFS('3 Base Saldo Inicial 08-09'!$E$2:$E$5000,'3 Base Saldo Inicial 08-09'!$A$2:$A$5000,$A48,'3 Base Saldo Inicial 08-09'!$C$2:$C$5000,"2008")+D48-E48</f>
        <v>1000</v>
      </c>
      <c r="G48" s="158" t="n">
        <f aca="false">SUMIFS('3 Base Estoque Físico'!$J$2:$J$5000,'3 Base Estoque Físico'!$A$2:$A$5000,$A48)</f>
        <v>1000</v>
      </c>
      <c r="H48" s="192" t="n">
        <f aca="false">ROUND(G48-F48,3)</f>
        <v>0</v>
      </c>
      <c r="I48" s="157" t="str">
        <f aca="false">IF(ABS(H48)&lt;=Parâmetros!$C$7,"OK",IF(H48&gt;0,"Sobra no estoque","Falta no estoque"))</f>
        <v>OK</v>
      </c>
      <c r="J48" s="157" t="str">
        <f aca="false">IF(I48="OK","",IF(AND(D48=0,E48=0),"Estoque sem movimento no período",IF(F48&lt;0,"Saídas maiores que entradas – estoque anterior ao período?",IF(G48=0,"Saldo calculado sem estoque físico – verificar",IF(H48&gt;0,"Estoque acima do esperado – saldo anterior ou entrada não listada","Estoque abaixo do esperado – saída/ajuste não listado")))))</f>
        <v/>
      </c>
      <c r="K48" s="158" t="str">
        <f aca="false">IF(C48=0,"",C48-D48)</f>
        <v/>
      </c>
    </row>
    <row r="49" customFormat="false" ht="15" hidden="false" customHeight="false" outlineLevel="0" collapsed="false">
      <c r="A49" s="157" t="s">
        <v>286</v>
      </c>
      <c r="B49" s="157" t="s">
        <v>147</v>
      </c>
      <c r="C49" s="158" t="n">
        <f aca="false">SUMIFS('3 Base Entrada 2008'!$G$2:$G$5000,'3 Base Entrada 2008'!$B$2:$B$5000,$A49,'3 Base Entrada 2008'!$K$2:$K$5000,"Recebido no 2008")</f>
        <v>1440</v>
      </c>
      <c r="D49" s="158" t="n">
        <f aca="false">SUMIFS('3 Base Entrada 2008'!$L$2:$L$5000,'3 Base Entrada 2008'!$B$2:$B$5000,$A49)</f>
        <v>1637.75</v>
      </c>
      <c r="E49" s="158" t="n">
        <f aca="false">SUMIFS('3 Base Saídas'!$R$2:$R$5000,'3 Base Saídas'!$B$2:$B$5000,$A49)</f>
        <v>101</v>
      </c>
      <c r="F49" s="158" t="n">
        <f aca="false">SUMIFS('3 Base Saldo Inicial 08-09'!$E$2:$E$5000,'3 Base Saldo Inicial 08-09'!$A$2:$A$5000,$A49)-SUMIFS('3 Base Saldo Inicial 08-09'!$E$2:$E$5000,'3 Base Saldo Inicial 08-09'!$A$2:$A$5000,$A49,'3 Base Saldo Inicial 08-09'!$C$2:$C$5000,"2008")+D49-E49</f>
        <v>1536.75</v>
      </c>
      <c r="G49" s="158" t="n">
        <f aca="false">SUMIFS('3 Base Estoque Físico'!$J$2:$J$5000,'3 Base Estoque Físico'!$A$2:$A$5000,$A49)</f>
        <v>1536.75</v>
      </c>
      <c r="H49" s="192" t="n">
        <f aca="false">ROUND(G49-F49,3)</f>
        <v>0</v>
      </c>
      <c r="I49" s="157" t="str">
        <f aca="false">IF(ABS(H49)&lt;=Parâmetros!$C$7,"OK",IF(H49&gt;0,"Sobra no estoque","Falta no estoque"))</f>
        <v>OK</v>
      </c>
      <c r="J49" s="157" t="str">
        <f aca="false">IF(I49="OK","",IF(AND(D49=0,E49=0),"Estoque sem movimento no período",IF(F49&lt;0,"Saídas maiores que entradas – estoque anterior ao período?",IF(G49=0,"Saldo calculado sem estoque físico – verificar",IF(H49&gt;0,"Estoque acima do esperado – saldo anterior ou entrada não listada","Estoque abaixo do esperado – saída/ajuste não listado")))))</f>
        <v/>
      </c>
      <c r="K49" s="158" t="n">
        <f aca="false">IF(C49=0,"",C49-D49)</f>
        <v>-197.75</v>
      </c>
    </row>
    <row r="50" customFormat="false" ht="15" hidden="false" customHeight="false" outlineLevel="0" collapsed="false">
      <c r="A50" s="157" t="s">
        <v>301</v>
      </c>
      <c r="B50" s="157" t="s">
        <v>65</v>
      </c>
      <c r="C50" s="158" t="n">
        <f aca="false">SUMIFS('3 Base Entrada 2008'!$G$2:$G$5000,'3 Base Entrada 2008'!$B$2:$B$5000,$A50,'3 Base Entrada 2008'!$K$2:$K$5000,"Recebido no 2008")</f>
        <v>4800</v>
      </c>
      <c r="D50" s="158" t="n">
        <f aca="false">SUMIFS('3 Base Entrada 2008'!$L$2:$L$5000,'3 Base Entrada 2008'!$B$2:$B$5000,$A50)</f>
        <v>6280</v>
      </c>
      <c r="E50" s="158" t="n">
        <f aca="false">SUMIFS('3 Base Saídas'!$R$2:$R$5000,'3 Base Saídas'!$B$2:$B$5000,$A50)</f>
        <v>1000</v>
      </c>
      <c r="F50" s="158" t="n">
        <f aca="false">SUMIFS('3 Base Saldo Inicial 08-09'!$E$2:$E$5000,'3 Base Saldo Inicial 08-09'!$A$2:$A$5000,$A50)-SUMIFS('3 Base Saldo Inicial 08-09'!$E$2:$E$5000,'3 Base Saldo Inicial 08-09'!$A$2:$A$5000,$A50,'3 Base Saldo Inicial 08-09'!$C$2:$C$5000,"2008")+D50-E50</f>
        <v>5280</v>
      </c>
      <c r="G50" s="158" t="n">
        <f aca="false">SUMIFS('3 Base Estoque Físico'!$J$2:$J$5000,'3 Base Estoque Físico'!$A$2:$A$5000,$A50)</f>
        <v>5280</v>
      </c>
      <c r="H50" s="192" t="n">
        <f aca="false">ROUND(G50-F50,3)</f>
        <v>0</v>
      </c>
      <c r="I50" s="157" t="str">
        <f aca="false">IF(ABS(H50)&lt;=Parâmetros!$C$7,"OK",IF(H50&gt;0,"Sobra no estoque","Falta no estoque"))</f>
        <v>OK</v>
      </c>
      <c r="J50" s="157" t="str">
        <f aca="false">IF(I50="OK","",IF(AND(D50=0,E50=0),"Estoque sem movimento no período",IF(F50&lt;0,"Saídas maiores que entradas – estoque anterior ao período?",IF(G50=0,"Saldo calculado sem estoque físico – verificar",IF(H50&gt;0,"Estoque acima do esperado – saldo anterior ou entrada não listada","Estoque abaixo do esperado – saída/ajuste não listado")))))</f>
        <v/>
      </c>
      <c r="K50" s="158" t="n">
        <f aca="false">IF(C50=0,"",C50-D50)</f>
        <v>-1480</v>
      </c>
    </row>
    <row r="51" customFormat="false" ht="15" hidden="false" customHeight="false" outlineLevel="0" collapsed="false">
      <c r="A51" s="157" t="s">
        <v>305</v>
      </c>
      <c r="B51" s="157" t="s">
        <v>65</v>
      </c>
      <c r="C51" s="158" t="n">
        <f aca="false">SUMIFS('3 Base Entrada 2008'!$G$2:$G$5000,'3 Base Entrada 2008'!$B$2:$B$5000,$A51,'3 Base Entrada 2008'!$K$2:$K$5000,"Recebido no 2008")</f>
        <v>400</v>
      </c>
      <c r="D51" s="158" t="n">
        <f aca="false">SUMIFS('3 Base Entrada 2008'!$L$2:$L$5000,'3 Base Entrada 2008'!$B$2:$B$5000,$A51)</f>
        <v>400</v>
      </c>
      <c r="E51" s="158" t="n">
        <f aca="false">SUMIFS('3 Base Saídas'!$R$2:$R$5000,'3 Base Saídas'!$B$2:$B$5000,$A51)</f>
        <v>120</v>
      </c>
      <c r="F51" s="158" t="n">
        <f aca="false">SUMIFS('3 Base Saldo Inicial 08-09'!$E$2:$E$5000,'3 Base Saldo Inicial 08-09'!$A$2:$A$5000,$A51)-SUMIFS('3 Base Saldo Inicial 08-09'!$E$2:$E$5000,'3 Base Saldo Inicial 08-09'!$A$2:$A$5000,$A51,'3 Base Saldo Inicial 08-09'!$C$2:$C$5000,"2008")+D51-E51</f>
        <v>280</v>
      </c>
      <c r="G51" s="158" t="n">
        <f aca="false">SUMIFS('3 Base Estoque Físico'!$J$2:$J$5000,'3 Base Estoque Físico'!$A$2:$A$5000,$A51)</f>
        <v>280</v>
      </c>
      <c r="H51" s="192" t="n">
        <f aca="false">ROUND(G51-F51,3)</f>
        <v>0</v>
      </c>
      <c r="I51" s="157" t="str">
        <f aca="false">IF(ABS(H51)&lt;=Parâmetros!$C$7,"OK",IF(H51&gt;0,"Sobra no estoque","Falta no estoque"))</f>
        <v>OK</v>
      </c>
      <c r="J51" s="157" t="str">
        <f aca="false">IF(I51="OK","",IF(AND(D51=0,E51=0),"Estoque sem movimento no período",IF(F51&lt;0,"Saídas maiores que entradas – estoque anterior ao período?",IF(G51=0,"Saldo calculado sem estoque físico – verificar",IF(H51&gt;0,"Estoque acima do esperado – saldo anterior ou entrada não listada","Estoque abaixo do esperado – saída/ajuste não listado")))))</f>
        <v/>
      </c>
      <c r="K51" s="158" t="n">
        <f aca="false">IF(C51=0,"",C51-D51)</f>
        <v>0</v>
      </c>
    </row>
    <row r="52" customFormat="false" ht="15" hidden="false" customHeight="false" outlineLevel="0" collapsed="false">
      <c r="A52" s="157" t="s">
        <v>387</v>
      </c>
      <c r="B52" s="157" t="s">
        <v>65</v>
      </c>
      <c r="C52" s="158" t="n">
        <f aca="false">SUMIFS('3 Base Entrada 2008'!$G$2:$G$5000,'3 Base Entrada 2008'!$B$2:$B$5000,$A52,'3 Base Entrada 2008'!$K$2:$K$5000,"Recebido no 2008")</f>
        <v>1920</v>
      </c>
      <c r="D52" s="158" t="n">
        <f aca="false">SUMIFS('3 Base Entrada 2008'!$L$2:$L$5000,'3 Base Entrada 2008'!$B$2:$B$5000,$A52)</f>
        <v>0</v>
      </c>
      <c r="E52" s="158" t="n">
        <f aca="false">SUMIFS('3 Base Saídas'!$R$2:$R$5000,'3 Base Saídas'!$B$2:$B$5000,$A52)</f>
        <v>0</v>
      </c>
      <c r="F52" s="158" t="n">
        <f aca="false">SUMIFS('3 Base Saldo Inicial 08-09'!$E$2:$E$5000,'3 Base Saldo Inicial 08-09'!$A$2:$A$5000,$A52)-SUMIFS('3 Base Saldo Inicial 08-09'!$E$2:$E$5000,'3 Base Saldo Inicial 08-09'!$A$2:$A$5000,$A52,'3 Base Saldo Inicial 08-09'!$C$2:$C$5000,"2008")+D52-E52</f>
        <v>0</v>
      </c>
      <c r="G52" s="158" t="n">
        <f aca="false">SUMIFS('3 Base Estoque Físico'!$J$2:$J$5000,'3 Base Estoque Físico'!$A$2:$A$5000,$A52)</f>
        <v>0</v>
      </c>
      <c r="H52" s="192" t="n">
        <f aca="false">ROUND(G52-F52,3)</f>
        <v>0</v>
      </c>
      <c r="I52" s="157" t="str">
        <f aca="false">IF(ABS(H52)&lt;=Parâmetros!$C$7,"OK",IF(H52&gt;0,"Sobra no estoque","Falta no estoque"))</f>
        <v>OK</v>
      </c>
      <c r="J52" s="157" t="str">
        <f aca="false">IF(I52="OK","",IF(AND(D52=0,E52=0),"Estoque sem movimento no período",IF(F52&lt;0,"Saídas maiores que entradas – estoque anterior ao período?",IF(G52=0,"Saldo calculado sem estoque físico – verificar",IF(H52&gt;0,"Estoque acima do esperado – saldo anterior ou entrada não listada","Estoque abaixo do esperado – saída/ajuste não listado")))))</f>
        <v/>
      </c>
      <c r="K52" s="158" t="n">
        <f aca="false">IF(C52=0,"",C52-D52)</f>
        <v>1920</v>
      </c>
    </row>
    <row r="53" customFormat="false" ht="15" hidden="false" customHeight="false" outlineLevel="0" collapsed="false">
      <c r="A53" s="157" t="s">
        <v>307</v>
      </c>
      <c r="B53" s="157" t="s">
        <v>65</v>
      </c>
      <c r="C53" s="158" t="n">
        <f aca="false">SUMIFS('3 Base Entrada 2008'!$G$2:$G$5000,'3 Base Entrada 2008'!$B$2:$B$5000,$A53,'3 Base Entrada 2008'!$K$2:$K$5000,"Recebido no 2008")</f>
        <v>3840</v>
      </c>
      <c r="D53" s="158" t="n">
        <f aca="false">SUMIFS('3 Base Entrada 2008'!$L$2:$L$5000,'3 Base Entrada 2008'!$B$2:$B$5000,$A53)</f>
        <v>1000</v>
      </c>
      <c r="E53" s="158" t="n">
        <f aca="false">SUMIFS('3 Base Saídas'!$R$2:$R$5000,'3 Base Saídas'!$B$2:$B$5000,$A53)</f>
        <v>0</v>
      </c>
      <c r="F53" s="158" t="n">
        <f aca="false">SUMIFS('3 Base Saldo Inicial 08-09'!$E$2:$E$5000,'3 Base Saldo Inicial 08-09'!$A$2:$A$5000,$A53)-SUMIFS('3 Base Saldo Inicial 08-09'!$E$2:$E$5000,'3 Base Saldo Inicial 08-09'!$A$2:$A$5000,$A53,'3 Base Saldo Inicial 08-09'!$C$2:$C$5000,"2008")+D53-E53</f>
        <v>1000</v>
      </c>
      <c r="G53" s="158" t="n">
        <f aca="false">SUMIFS('3 Base Estoque Físico'!$J$2:$J$5000,'3 Base Estoque Físico'!$A$2:$A$5000,$A53)</f>
        <v>1000</v>
      </c>
      <c r="H53" s="192" t="n">
        <f aca="false">ROUND(G53-F53,3)</f>
        <v>0</v>
      </c>
      <c r="I53" s="157" t="str">
        <f aca="false">IF(ABS(H53)&lt;=Parâmetros!$C$7,"OK",IF(H53&gt;0,"Sobra no estoque","Falta no estoque"))</f>
        <v>OK</v>
      </c>
      <c r="J53" s="157" t="str">
        <f aca="false">IF(I53="OK","",IF(AND(D53=0,E53=0),"Estoque sem movimento no período",IF(F53&lt;0,"Saídas maiores que entradas – estoque anterior ao período?",IF(G53=0,"Saldo calculado sem estoque físico – verificar",IF(H53&gt;0,"Estoque acima do esperado – saldo anterior ou entrada não listada","Estoque abaixo do esperado – saída/ajuste não listado")))))</f>
        <v/>
      </c>
      <c r="K53" s="158" t="n">
        <f aca="false">IF(C53=0,"",C53-D53)</f>
        <v>2840</v>
      </c>
    </row>
    <row r="54" customFormat="false" ht="15" hidden="false" customHeight="false" outlineLevel="0" collapsed="false">
      <c r="A54" s="157" t="s">
        <v>389</v>
      </c>
      <c r="B54" s="157" t="s">
        <v>65</v>
      </c>
      <c r="C54" s="158" t="n">
        <f aca="false">SUMIFS('3 Base Entrada 2008'!$G$2:$G$5000,'3 Base Entrada 2008'!$B$2:$B$5000,$A54,'3 Base Entrada 2008'!$K$2:$K$5000,"Recebido no 2008")</f>
        <v>2822.4</v>
      </c>
      <c r="D54" s="158" t="n">
        <f aca="false">SUMIFS('3 Base Entrada 2008'!$L$2:$L$5000,'3 Base Entrada 2008'!$B$2:$B$5000,$A54)</f>
        <v>680.4</v>
      </c>
      <c r="E54" s="158" t="n">
        <f aca="false">SUMIFS('3 Base Saídas'!$R$2:$R$5000,'3 Base Saídas'!$B$2:$B$5000,$A54)</f>
        <v>19.6</v>
      </c>
      <c r="F54" s="158" t="n">
        <f aca="false">SUMIFS('3 Base Saldo Inicial 08-09'!$E$2:$E$5000,'3 Base Saldo Inicial 08-09'!$A$2:$A$5000,$A54)-SUMIFS('3 Base Saldo Inicial 08-09'!$E$2:$E$5000,'3 Base Saldo Inicial 08-09'!$A$2:$A$5000,$A54,'3 Base Saldo Inicial 08-09'!$C$2:$C$5000,"2008")+D54-E54</f>
        <v>660.8</v>
      </c>
      <c r="G54" s="158" t="n">
        <f aca="false">SUMIFS('3 Base Estoque Físico'!$J$2:$J$5000,'3 Base Estoque Físico'!$A$2:$A$5000,$A54)</f>
        <v>660.8</v>
      </c>
      <c r="H54" s="192" t="n">
        <f aca="false">ROUND(G54-F54,3)</f>
        <v>0</v>
      </c>
      <c r="I54" s="157" t="str">
        <f aca="false">IF(ABS(H54)&lt;=Parâmetros!$C$7,"OK",IF(H54&gt;0,"Sobra no estoque","Falta no estoque"))</f>
        <v>OK</v>
      </c>
      <c r="J54" s="157" t="str">
        <f aca="false">IF(I54="OK","",IF(AND(D54=0,E54=0),"Estoque sem movimento no período",IF(F54&lt;0,"Saídas maiores que entradas – estoque anterior ao período?",IF(G54=0,"Saldo calculado sem estoque físico – verificar",IF(H54&gt;0,"Estoque acima do esperado – saldo anterior ou entrada não listada","Estoque abaixo do esperado – saída/ajuste não listado")))))</f>
        <v/>
      </c>
      <c r="K54" s="158" t="n">
        <f aca="false">IF(C54=0,"",C54-D54)</f>
        <v>2142</v>
      </c>
    </row>
    <row r="55" customFormat="false" ht="15" hidden="false" customHeight="false" outlineLevel="0" collapsed="false">
      <c r="A55" s="63" t="s">
        <v>2160</v>
      </c>
      <c r="C55" s="192" t="n">
        <f aca="false">SUM(C5:C54)</f>
        <v>78599.5</v>
      </c>
      <c r="D55" s="192" t="n">
        <f aca="false">SUM(D5:D54)</f>
        <v>72968.03</v>
      </c>
      <c r="E55" s="192" t="n">
        <f aca="false">SUM(E5:E54)</f>
        <v>29384.8</v>
      </c>
      <c r="F55" s="192" t="n">
        <f aca="false">SUM(F5:F54)</f>
        <v>43583.23</v>
      </c>
      <c r="G55" s="192" t="n">
        <f aca="false">SUM(G5:G54)</f>
        <v>63256.456</v>
      </c>
      <c r="H55" s="192" t="n">
        <f aca="false">SUM(H5:H54)</f>
        <v>19673.226</v>
      </c>
      <c r="K55" s="192" t="n">
        <f aca="false">SUM(K5:K54)</f>
        <v>33782.55</v>
      </c>
    </row>
  </sheetData>
  <autoFilter ref="A4:K54"/>
  <conditionalFormatting sqref="A5:K54">
    <cfRule type="expression" priority="2" aboveAverage="0" equalAverage="0" bottom="0" percent="0" rank="0" text="" dxfId="31">
      <formula>$I5="Falta no estoque"</formula>
    </cfRule>
    <cfRule type="expression" priority="3" aboveAverage="0" equalAverage="0" bottom="0" percent="0" rank="0" text="" dxfId="32">
      <formula>$I5="Sobra no estoque"</formula>
    </cfRule>
  </conditionalFormatting>
  <conditionalFormatting sqref="I5:I54">
    <cfRule type="expression" priority="4" aboveAverage="0" equalAverage="0" bottom="0" percent="0" rank="0" text="" dxfId="33">
      <formula>$I5="OK"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DB9D6"/>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6"/>
    <col collapsed="false" customWidth="true" hidden="false" outlineLevel="0" max="5" min="4" style="0" width="15"/>
    <col collapsed="false" customWidth="true" hidden="false" outlineLevel="0" max="6" min="6" style="0" width="13"/>
    <col collapsed="false" customWidth="true" hidden="false" outlineLevel="0" max="7" min="7" style="0" width="17"/>
    <col collapsed="false" customWidth="true" hidden="false" outlineLevel="0" max="8" min="8" style="0" width="13"/>
    <col collapsed="false" customWidth="true" hidden="false" outlineLevel="0" max="9" min="9" style="0" width="17"/>
    <col collapsed="false" customWidth="true" hidden="false" outlineLevel="0" max="10" min="10" style="0" width="26"/>
    <col collapsed="false" customWidth="true" hidden="false" outlineLevel="0" max="11" min="11" style="0" width="44"/>
    <col collapsed="false" customWidth="true" hidden="false" outlineLevel="0" max="12" min="12" style="0" width="18"/>
  </cols>
  <sheetData>
    <row r="1" customFormat="false" ht="26.8" hidden="false" customHeight="false" outlineLevel="0" collapsed="false">
      <c r="A1" s="29" t="s">
        <v>2161</v>
      </c>
    </row>
    <row r="2" customFormat="false" ht="15" hidden="false" customHeight="false" outlineLevel="0" collapsed="false">
      <c r="A2" s="31" t="s">
        <v>2151</v>
      </c>
    </row>
    <row r="4" customFormat="false" ht="45" hidden="false" customHeight="true" outlineLevel="0" collapsed="false">
      <c r="A4" s="15" t="s">
        <v>157</v>
      </c>
      <c r="B4" s="15" t="s">
        <v>60</v>
      </c>
      <c r="C4" s="15" t="s">
        <v>159</v>
      </c>
      <c r="D4" s="15" t="s">
        <v>2152</v>
      </c>
      <c r="E4" s="15" t="s">
        <v>2153</v>
      </c>
      <c r="F4" s="15" t="s">
        <v>2154</v>
      </c>
      <c r="G4" s="15" t="s">
        <v>2155</v>
      </c>
      <c r="H4" s="15" t="s">
        <v>2156</v>
      </c>
      <c r="I4" s="15" t="s">
        <v>2157</v>
      </c>
      <c r="J4" s="15" t="s">
        <v>1843</v>
      </c>
      <c r="K4" s="15" t="s">
        <v>2158</v>
      </c>
      <c r="L4" s="15" t="s">
        <v>2159</v>
      </c>
    </row>
    <row r="5" customFormat="false" ht="15" hidden="false" customHeight="false" outlineLevel="0" collapsed="false">
      <c r="A5" s="157" t="s">
        <v>314</v>
      </c>
      <c r="B5" s="157" t="s">
        <v>315</v>
      </c>
      <c r="C5" s="157" t="s">
        <v>65</v>
      </c>
      <c r="D5" s="158" t="n">
        <f aca="false">SUMIFS('3 Base Entrada 2008'!$G$2:$G$5000,'3 Base Entrada 2008'!$B$2:$B$5000,$A5,'3 Base Entrada 2008'!$C$2:$C$5000,$B5,'3 Base Entrada 2008'!$K$2:$K$5000,"Recebido no 2008")</f>
        <v>0</v>
      </c>
      <c r="E5" s="158" t="n">
        <f aca="false">SUMIFS('3 Base Entrada 2008'!$L$2:$L$5000,'3 Base Entrada 2008'!$B$2:$B$5000,$A5,'3 Base Entrada 2008'!$C$2:$C$5000,$B5)</f>
        <v>2.8</v>
      </c>
      <c r="F5" s="158" t="n">
        <f aca="false">SUMIFS('3 Base Saídas'!$R$2:$R$5000,'3 Base Saídas'!$B$2:$B$5000,$A5,'3 Base Saídas'!$C$2:$C$5000,$B5)</f>
        <v>226.8</v>
      </c>
      <c r="G5" s="158" t="n">
        <f aca="false">SUMIFS('3 Base Saldo Inicial 08-09'!$E$2:$E$5000,'3 Base Saldo Inicial 08-09'!$A$2:$A$5000,$A5,'3 Base Saldo Inicial 08-09'!$B$2:$B$5000,$B5)-SUMIFS('3 Base Saldo Inicial 08-09'!$E$2:$E$5000,'3 Base Saldo Inicial 08-09'!$A$2:$A$5000,$A5,'3 Base Saldo Inicial 08-09'!$B$2:$B$5000,$B5,'3 Base Saldo Inicial 08-09'!$C$2:$C$5000,"2008")+E5-F5</f>
        <v>-224</v>
      </c>
      <c r="H5" s="158" t="n">
        <f aca="false">SUMIFS('3 Base Estoque Físico'!$J$2:$J$5000,'3 Base Estoque Físico'!$A$2:$A$5000,$A5,'3 Base Estoque Físico'!$B$2:$B$5000,$B5)</f>
        <v>5513.2</v>
      </c>
      <c r="I5" s="192" t="n">
        <f aca="false">ROUND(H5-G5,3)</f>
        <v>5737.2</v>
      </c>
      <c r="J5" s="157" t="str">
        <f aca="false">IF(ABS(I5)&lt;=Parâmetros!$C$7,"OK",IF(I5&gt;0,"Sobra no estoque","Falta no estoque"))</f>
        <v>Sobra no estoque</v>
      </c>
      <c r="K5" s="157" t="str">
        <f aca="false">IF(J5="OK","",IF(AND(E5=0,F5=0),"Estoque sem movimento no período",IF(G5&lt;0,"Saídas maiores que entradas – estoque anterior ao período?",IF(H5=0,"Saldo calculado sem estoque físico – verificar",IF(I5&gt;0,"Estoque acima do esperado – saldo anterior ou entrada não listada","Estoque abaixo do esperado – saída/ajuste não listado")))))</f>
        <v>Saídas maiores que entradas – estoque anterior ao período?</v>
      </c>
      <c r="L5" s="158" t="str">
        <f aca="false">IF(D5=0,"",D5-E5)</f>
        <v/>
      </c>
    </row>
    <row r="6" customFormat="false" ht="15" hidden="false" customHeight="false" outlineLevel="0" collapsed="false">
      <c r="A6" s="157" t="s">
        <v>257</v>
      </c>
      <c r="B6" s="157" t="s">
        <v>258</v>
      </c>
      <c r="C6" s="157" t="s">
        <v>65</v>
      </c>
      <c r="D6" s="158" t="n">
        <f aca="false">SUMIFS('3 Base Entrada 2008'!$G$2:$G$5000,'3 Base Entrada 2008'!$B$2:$B$5000,$A6,'3 Base Entrada 2008'!$C$2:$C$5000,$B6,'3 Base Entrada 2008'!$K$2:$K$5000,"Recebido no 2008")</f>
        <v>0</v>
      </c>
      <c r="E6" s="158" t="n">
        <f aca="false">SUMIFS('3 Base Entrada 2008'!$L$2:$L$5000,'3 Base Entrada 2008'!$B$2:$B$5000,$A6,'3 Base Entrada 2008'!$C$2:$C$5000,$B6)</f>
        <v>966</v>
      </c>
      <c r="F6" s="158" t="n">
        <f aca="false">SUMIFS('3 Base Saídas'!$R$2:$R$5000,'3 Base Saídas'!$B$2:$B$5000,$A6,'3 Base Saídas'!$C$2:$C$5000,$B6)</f>
        <v>906</v>
      </c>
      <c r="G6" s="158" t="n">
        <f aca="false">SUMIFS('3 Base Saldo Inicial 08-09'!$E$2:$E$5000,'3 Base Saldo Inicial 08-09'!$A$2:$A$5000,$A6,'3 Base Saldo Inicial 08-09'!$B$2:$B$5000,$B6)-SUMIFS('3 Base Saldo Inicial 08-09'!$E$2:$E$5000,'3 Base Saldo Inicial 08-09'!$A$2:$A$5000,$A6,'3 Base Saldo Inicial 08-09'!$B$2:$B$5000,$B6,'3 Base Saldo Inicial 08-09'!$C$2:$C$5000,"2008")+E6-F6</f>
        <v>60</v>
      </c>
      <c r="H6" s="158" t="n">
        <f aca="false">SUMIFS('3 Base Estoque Físico'!$J$2:$J$5000,'3 Base Estoque Físico'!$A$2:$A$5000,$A6,'3 Base Estoque Físico'!$B$2:$B$5000,$B6)</f>
        <v>3754.998</v>
      </c>
      <c r="I6" s="192" t="n">
        <f aca="false">ROUND(H6-G6,3)</f>
        <v>3694.998</v>
      </c>
      <c r="J6" s="157" t="str">
        <f aca="false">IF(ABS(I6)&lt;=Parâmetros!$C$7,"OK",IF(I6&gt;0,"Sobra no estoque","Falta no estoque"))</f>
        <v>Sobra no estoque</v>
      </c>
      <c r="K6" s="157" t="str">
        <f aca="false">IF(J6="OK","",IF(AND(E6=0,F6=0),"Estoque sem movimento no período",IF(G6&lt;0,"Saídas maiores que entradas – estoque anterior ao período?",IF(H6=0,"Saldo calculado sem estoque físico – verificar",IF(I6&gt;0,"Estoque acima do esperado – saldo anterior ou entrada não listada","Estoque abaixo do esperado – saída/ajuste não listado")))))</f>
        <v>Estoque acima do esperado – saldo anterior ou entrada não listada</v>
      </c>
      <c r="L6" s="158" t="str">
        <f aca="false">IF(D6=0,"",D6-E6)</f>
        <v/>
      </c>
    </row>
    <row r="7" customFormat="false" ht="15" hidden="false" customHeight="false" outlineLevel="0" collapsed="false">
      <c r="A7" s="157" t="s">
        <v>245</v>
      </c>
      <c r="B7" s="157" t="s">
        <v>246</v>
      </c>
      <c r="C7" s="157" t="s">
        <v>65</v>
      </c>
      <c r="D7" s="158" t="n">
        <f aca="false">SUMIFS('3 Base Entrada 2008'!$G$2:$G$5000,'3 Base Entrada 2008'!$B$2:$B$5000,$A7,'3 Base Entrada 2008'!$C$2:$C$5000,$B7,'3 Base Entrada 2008'!$K$2:$K$5000,"Recebido no 2008")</f>
        <v>0</v>
      </c>
      <c r="E7" s="158" t="n">
        <f aca="false">SUMIFS('3 Base Entrada 2008'!$L$2:$L$5000,'3 Base Entrada 2008'!$B$2:$B$5000,$A7,'3 Base Entrada 2008'!$C$2:$C$5000,$B7)</f>
        <v>240</v>
      </c>
      <c r="F7" s="158" t="n">
        <f aca="false">SUMIFS('3 Base Saídas'!$R$2:$R$5000,'3 Base Saídas'!$B$2:$B$5000,$A7,'3 Base Saídas'!$C$2:$C$5000,$B7)</f>
        <v>6</v>
      </c>
      <c r="G7" s="158" t="n">
        <f aca="false">SUMIFS('3 Base Saldo Inicial 08-09'!$E$2:$E$5000,'3 Base Saldo Inicial 08-09'!$A$2:$A$5000,$A7,'3 Base Saldo Inicial 08-09'!$B$2:$B$5000,$B7)-SUMIFS('3 Base Saldo Inicial 08-09'!$E$2:$E$5000,'3 Base Saldo Inicial 08-09'!$A$2:$A$5000,$A7,'3 Base Saldo Inicial 08-09'!$B$2:$B$5000,$B7,'3 Base Saldo Inicial 08-09'!$C$2:$C$5000,"2008")+E7-F7</f>
        <v>234</v>
      </c>
      <c r="H7" s="158" t="n">
        <f aca="false">SUMIFS('3 Base Estoque Físico'!$J$2:$J$5000,'3 Base Estoque Físico'!$A$2:$A$5000,$A7,'3 Base Estoque Físico'!$B$2:$B$5000,$B7)</f>
        <v>3432</v>
      </c>
      <c r="I7" s="192" t="n">
        <f aca="false">ROUND(H7-G7,3)</f>
        <v>3198</v>
      </c>
      <c r="J7" s="157" t="str">
        <f aca="false">IF(ABS(I7)&lt;=Parâmetros!$C$7,"OK",IF(I7&gt;0,"Sobra no estoque","Falta no estoque"))</f>
        <v>Sobra no estoque</v>
      </c>
      <c r="K7" s="157" t="str">
        <f aca="false">IF(J7="OK","",IF(AND(E7=0,F7=0),"Estoque sem movimento no período",IF(G7&lt;0,"Saídas maiores que entradas – estoque anterior ao período?",IF(H7=0,"Saldo calculado sem estoque físico – verificar",IF(I7&gt;0,"Estoque acima do esperado – saldo anterior ou entrada não listada","Estoque abaixo do esperado – saída/ajuste não listado")))))</f>
        <v>Estoque acima do esperado – saldo anterior ou entrada não listada</v>
      </c>
      <c r="L7" s="158" t="str">
        <f aca="false">IF(D7=0,"",D7-E7)</f>
        <v/>
      </c>
    </row>
    <row r="8" customFormat="false" ht="15" hidden="false" customHeight="false" outlineLevel="0" collapsed="false">
      <c r="A8" s="157" t="s">
        <v>322</v>
      </c>
      <c r="B8" s="157" t="s">
        <v>323</v>
      </c>
      <c r="C8" s="157" t="s">
        <v>65</v>
      </c>
      <c r="D8" s="158" t="n">
        <f aca="false">SUMIFS('3 Base Entrada 2008'!$G$2:$G$5000,'3 Base Entrada 2008'!$B$2:$B$5000,$A8,'3 Base Entrada 2008'!$C$2:$C$5000,$B8,'3 Base Entrada 2008'!$K$2:$K$5000,"Recebido no 2008")</f>
        <v>0</v>
      </c>
      <c r="E8" s="158" t="n">
        <f aca="false">SUMIFS('3 Base Entrada 2008'!$L$2:$L$5000,'3 Base Entrada 2008'!$B$2:$B$5000,$A8,'3 Base Entrada 2008'!$C$2:$C$5000,$B8)</f>
        <v>2.8</v>
      </c>
      <c r="F8" s="158" t="n">
        <f aca="false">SUMIFS('3 Base Saídas'!$R$2:$R$5000,'3 Base Saídas'!$B$2:$B$5000,$A8,'3 Base Saídas'!$C$2:$C$5000,$B8)</f>
        <v>677.6</v>
      </c>
      <c r="G8" s="158" t="n">
        <f aca="false">SUMIFS('3 Base Saldo Inicial 08-09'!$E$2:$E$5000,'3 Base Saldo Inicial 08-09'!$A$2:$A$5000,$A8,'3 Base Saldo Inicial 08-09'!$B$2:$B$5000,$B8)-SUMIFS('3 Base Saldo Inicial 08-09'!$E$2:$E$5000,'3 Base Saldo Inicial 08-09'!$A$2:$A$5000,$A8,'3 Base Saldo Inicial 08-09'!$B$2:$B$5000,$B8,'3 Base Saldo Inicial 08-09'!$C$2:$C$5000,"2008")+E8-F8</f>
        <v>-674.8</v>
      </c>
      <c r="H8" s="158" t="n">
        <f aca="false">SUMIFS('3 Base Estoque Físico'!$J$2:$J$5000,'3 Base Estoque Físico'!$A$2:$A$5000,$A8,'3 Base Estoque Físico'!$B$2:$B$5000,$B8)</f>
        <v>1853.6</v>
      </c>
      <c r="I8" s="192" t="n">
        <f aca="false">ROUND(H8-G8,3)</f>
        <v>2528.4</v>
      </c>
      <c r="J8" s="157" t="str">
        <f aca="false">IF(ABS(I8)&lt;=Parâmetros!$C$7,"OK",IF(I8&gt;0,"Sobra no estoque","Falta no estoque"))</f>
        <v>Sobra no estoque</v>
      </c>
      <c r="K8" s="157" t="str">
        <f aca="false">IF(J8="OK","",IF(AND(E8=0,F8=0),"Estoque sem movimento no período",IF(G8&lt;0,"Saídas maiores que entradas – estoque anterior ao período?",IF(H8=0,"Saldo calculado sem estoque físico – verificar",IF(I8&gt;0,"Estoque acima do esperado – saldo anterior ou entrada não listada","Estoque abaixo do esperado – saída/ajuste não listado")))))</f>
        <v>Saídas maiores que entradas – estoque anterior ao período?</v>
      </c>
      <c r="L8" s="158" t="str">
        <f aca="false">IF(D8=0,"",D8-E8)</f>
        <v/>
      </c>
    </row>
    <row r="9" customFormat="false" ht="15" hidden="false" customHeight="false" outlineLevel="0" collapsed="false">
      <c r="A9" s="157" t="s">
        <v>201</v>
      </c>
      <c r="B9" s="157" t="s">
        <v>202</v>
      </c>
      <c r="C9" s="157" t="s">
        <v>65</v>
      </c>
      <c r="D9" s="158" t="n">
        <f aca="false">SUMIFS('3 Base Entrada 2008'!$G$2:$G$5000,'3 Base Entrada 2008'!$B$2:$B$5000,$A9,'3 Base Entrada 2008'!$C$2:$C$5000,$B9,'3 Base Entrada 2008'!$K$2:$K$5000,"Recebido no 2008")</f>
        <v>0</v>
      </c>
      <c r="E9" s="158" t="n">
        <f aca="false">SUMIFS('3 Base Entrada 2008'!$L$2:$L$5000,'3 Base Entrada 2008'!$B$2:$B$5000,$A9,'3 Base Entrada 2008'!$C$2:$C$5000,$B9)</f>
        <v>313.6</v>
      </c>
      <c r="F9" s="158" t="n">
        <f aca="false">SUMIFS('3 Base Saídas'!$R$2:$R$5000,'3 Base Saídas'!$B$2:$B$5000,$A9,'3 Base Saídas'!$C$2:$C$5000,$B9)</f>
        <v>221.2</v>
      </c>
      <c r="G9" s="158" t="n">
        <f aca="false">SUMIFS('3 Base Saldo Inicial 08-09'!$E$2:$E$5000,'3 Base Saldo Inicial 08-09'!$A$2:$A$5000,$A9,'3 Base Saldo Inicial 08-09'!$B$2:$B$5000,$B9)-SUMIFS('3 Base Saldo Inicial 08-09'!$E$2:$E$5000,'3 Base Saldo Inicial 08-09'!$A$2:$A$5000,$A9,'3 Base Saldo Inicial 08-09'!$B$2:$B$5000,$B9,'3 Base Saldo Inicial 08-09'!$C$2:$C$5000,"2008")+E9-F9</f>
        <v>92.4</v>
      </c>
      <c r="H9" s="158" t="n">
        <f aca="false">SUMIFS('3 Base Estoque Físico'!$J$2:$J$5000,'3 Base Estoque Físico'!$A$2:$A$5000,$A9,'3 Base Estoque Físico'!$B$2:$B$5000,$B9)</f>
        <v>1360.8</v>
      </c>
      <c r="I9" s="192" t="n">
        <f aca="false">ROUND(H9-G9,3)</f>
        <v>1268.4</v>
      </c>
      <c r="J9" s="157" t="str">
        <f aca="false">IF(ABS(I9)&lt;=Parâmetros!$C$7,"OK",IF(I9&gt;0,"Sobra no estoque","Falta no estoque"))</f>
        <v>Sobra no estoque</v>
      </c>
      <c r="K9" s="157" t="str">
        <f aca="false">IF(J9="OK","",IF(AND(E9=0,F9=0),"Estoque sem movimento no período",IF(G9&lt;0,"Saídas maiores que entradas – estoque anterior ao período?",IF(H9=0,"Saldo calculado sem estoque físico – verificar",IF(I9&gt;0,"Estoque acima do esperado – saldo anterior ou entrada não listada","Estoque abaixo do esperado – saída/ajuste não listado")))))</f>
        <v>Estoque acima do esperado – saldo anterior ou entrada não listada</v>
      </c>
      <c r="L9" s="158" t="str">
        <f aca="false">IF(D9=0,"",D9-E9)</f>
        <v/>
      </c>
    </row>
    <row r="10" customFormat="false" ht="15" hidden="false" customHeight="false" outlineLevel="0" collapsed="false">
      <c r="A10" s="157" t="s">
        <v>309</v>
      </c>
      <c r="B10" s="157" t="s">
        <v>395</v>
      </c>
      <c r="C10" s="157" t="s">
        <v>65</v>
      </c>
      <c r="D10" s="158" t="n">
        <f aca="false">SUMIFS('3 Base Entrada 2008'!$G$2:$G$5000,'3 Base Entrada 2008'!$B$2:$B$5000,$A10,'3 Base Entrada 2008'!$C$2:$C$5000,$B10,'3 Base Entrada 2008'!$K$2:$K$5000,"Recebido no 2008")</f>
        <v>20</v>
      </c>
      <c r="E10" s="158" t="n">
        <f aca="false">SUMIFS('3 Base Entrada 2008'!$L$2:$L$5000,'3 Base Entrada 2008'!$B$2:$B$5000,$A10,'3 Base Entrada 2008'!$C$2:$C$5000,$B10)</f>
        <v>0</v>
      </c>
      <c r="F10" s="158" t="n">
        <f aca="false">SUMIFS('3 Base Saídas'!$R$2:$R$5000,'3 Base Saídas'!$B$2:$B$5000,$A10,'3 Base Saídas'!$C$2:$C$5000,$B10)</f>
        <v>542.7</v>
      </c>
      <c r="G10" s="158" t="n">
        <f aca="false">SUMIFS('3 Base Saldo Inicial 08-09'!$E$2:$E$5000,'3 Base Saldo Inicial 08-09'!$A$2:$A$5000,$A10,'3 Base Saldo Inicial 08-09'!$B$2:$B$5000,$B10)-SUMIFS('3 Base Saldo Inicial 08-09'!$E$2:$E$5000,'3 Base Saldo Inicial 08-09'!$A$2:$A$5000,$A10,'3 Base Saldo Inicial 08-09'!$B$2:$B$5000,$B10,'3 Base Saldo Inicial 08-09'!$C$2:$C$5000,"2008")+E10-F10</f>
        <v>-542.7</v>
      </c>
      <c r="H10" s="158" t="n">
        <f aca="false">SUMIFS('3 Base Estoque Físico'!$J$2:$J$5000,'3 Base Estoque Físico'!$A$2:$A$5000,$A10,'3 Base Estoque Físico'!$B$2:$B$5000,$B10)</f>
        <v>540.69</v>
      </c>
      <c r="I10" s="192" t="n">
        <f aca="false">ROUND(H10-G10,3)</f>
        <v>1083.39</v>
      </c>
      <c r="J10" s="157" t="str">
        <f aca="false">IF(ABS(I10)&lt;=Parâmetros!$C$7,"OK",IF(I10&gt;0,"Sobra no estoque","Falta no estoque"))</f>
        <v>Sobra no estoque</v>
      </c>
      <c r="K10" s="157" t="str">
        <f aca="false">IF(J10="OK","",IF(AND(E10=0,F10=0),"Estoque sem movimento no período",IF(G10&lt;0,"Saídas maiores que entradas – estoque anterior ao período?",IF(H10=0,"Saldo calculado sem estoque físico – verificar",IF(I10&gt;0,"Estoque acima do esperado – saldo anterior ou entrada não listada","Estoque abaixo do esperado – saída/ajuste não listado")))))</f>
        <v>Saídas maiores que entradas – estoque anterior ao período?</v>
      </c>
      <c r="L10" s="158" t="n">
        <f aca="false">IF(D10=0,"",D10-E10)</f>
        <v>20</v>
      </c>
    </row>
    <row r="11" customFormat="false" ht="15" hidden="false" customHeight="false" outlineLevel="0" collapsed="false">
      <c r="A11" s="157" t="s">
        <v>276</v>
      </c>
      <c r="B11" s="157" t="s">
        <v>370</v>
      </c>
      <c r="C11" s="157" t="s">
        <v>65</v>
      </c>
      <c r="D11" s="158" t="n">
        <f aca="false">SUMIFS('3 Base Entrada 2008'!$G$2:$G$5000,'3 Base Entrada 2008'!$B$2:$B$5000,$A11,'3 Base Entrada 2008'!$C$2:$C$5000,$B11,'3 Base Entrada 2008'!$K$2:$K$5000,"Recebido no 2008")</f>
        <v>0</v>
      </c>
      <c r="E11" s="158" t="n">
        <f aca="false">SUMIFS('3 Base Entrada 2008'!$L$2:$L$5000,'3 Base Entrada 2008'!$B$2:$B$5000,$A11,'3 Base Entrada 2008'!$C$2:$C$5000,$B11)</f>
        <v>763.8</v>
      </c>
      <c r="F11" s="158" t="n">
        <f aca="false">SUMIFS('3 Base Saídas'!$R$2:$R$5000,'3 Base Saídas'!$B$2:$B$5000,$A11,'3 Base Saídas'!$C$2:$C$5000,$B11)</f>
        <v>924.6</v>
      </c>
      <c r="G11" s="158" t="n">
        <f aca="false">SUMIFS('3 Base Saldo Inicial 08-09'!$E$2:$E$5000,'3 Base Saldo Inicial 08-09'!$A$2:$A$5000,$A11,'3 Base Saldo Inicial 08-09'!$B$2:$B$5000,$B11)-SUMIFS('3 Base Saldo Inicial 08-09'!$E$2:$E$5000,'3 Base Saldo Inicial 08-09'!$A$2:$A$5000,$A11,'3 Base Saldo Inicial 08-09'!$B$2:$B$5000,$B11,'3 Base Saldo Inicial 08-09'!$C$2:$C$5000,"2008")+E11-F11</f>
        <v>-160.8</v>
      </c>
      <c r="H11" s="158" t="n">
        <f aca="false">SUMIFS('3 Base Estoque Físico'!$J$2:$J$5000,'3 Base Estoque Físico'!$A$2:$A$5000,$A11,'3 Base Estoque Físico'!$B$2:$B$5000,$B11)</f>
        <v>763.8</v>
      </c>
      <c r="I11" s="192" t="n">
        <f aca="false">ROUND(H11-G11,3)</f>
        <v>924.6</v>
      </c>
      <c r="J11" s="157" t="str">
        <f aca="false">IF(ABS(I11)&lt;=Parâmetros!$C$7,"OK",IF(I11&gt;0,"Sobra no estoque","Falta no estoque"))</f>
        <v>Sobra no estoque</v>
      </c>
      <c r="K11" s="157" t="str">
        <f aca="false">IF(J11="OK","",IF(AND(E11=0,F11=0),"Estoque sem movimento no período",IF(G11&lt;0,"Saídas maiores que entradas – estoque anterior ao período?",IF(H11=0,"Saldo calculado sem estoque físico – verificar",IF(I11&gt;0,"Estoque acima do esperado – saldo anterior ou entrada não listada","Estoque abaixo do esperado – saída/ajuste não listado")))))</f>
        <v>Saídas maiores que entradas – estoque anterior ao período?</v>
      </c>
      <c r="L11" s="158" t="str">
        <f aca="false">IF(D11=0,"",D11-E11)</f>
        <v/>
      </c>
    </row>
    <row r="12" customFormat="false" ht="15" hidden="false" customHeight="false" outlineLevel="0" collapsed="false">
      <c r="A12" s="157" t="s">
        <v>269</v>
      </c>
      <c r="B12" s="157" t="s">
        <v>270</v>
      </c>
      <c r="C12" s="157" t="s">
        <v>65</v>
      </c>
      <c r="D12" s="158" t="n">
        <f aca="false">SUMIFS('3 Base Entrada 2008'!$G$2:$G$5000,'3 Base Entrada 2008'!$B$2:$B$5000,$A12,'3 Base Entrada 2008'!$C$2:$C$5000,$B12,'3 Base Entrada 2008'!$K$2:$K$5000,"Recebido no 2008")</f>
        <v>0</v>
      </c>
      <c r="E12" s="158" t="n">
        <f aca="false">SUMIFS('3 Base Entrada 2008'!$L$2:$L$5000,'3 Base Entrada 2008'!$B$2:$B$5000,$A12,'3 Base Entrada 2008'!$C$2:$C$5000,$B12)</f>
        <v>918</v>
      </c>
      <c r="F12" s="158" t="n">
        <f aca="false">SUMIFS('3 Base Saídas'!$R$2:$R$5000,'3 Base Saídas'!$B$2:$B$5000,$A12,'3 Base Saídas'!$C$2:$C$5000,$B12)</f>
        <v>186</v>
      </c>
      <c r="G12" s="158" t="n">
        <f aca="false">SUMIFS('3 Base Saldo Inicial 08-09'!$E$2:$E$5000,'3 Base Saldo Inicial 08-09'!$A$2:$A$5000,$A12,'3 Base Saldo Inicial 08-09'!$B$2:$B$5000,$B12)-SUMIFS('3 Base Saldo Inicial 08-09'!$E$2:$E$5000,'3 Base Saldo Inicial 08-09'!$A$2:$A$5000,$A12,'3 Base Saldo Inicial 08-09'!$B$2:$B$5000,$B12,'3 Base Saldo Inicial 08-09'!$C$2:$C$5000,"2008")+E12-F12</f>
        <v>732</v>
      </c>
      <c r="H12" s="158" t="n">
        <f aca="false">SUMIFS('3 Base Estoque Físico'!$J$2:$J$5000,'3 Base Estoque Físico'!$A$2:$A$5000,$A12,'3 Base Estoque Físico'!$B$2:$B$5000,$B12)</f>
        <v>1272</v>
      </c>
      <c r="I12" s="192" t="n">
        <f aca="false">ROUND(H12-G12,3)</f>
        <v>540</v>
      </c>
      <c r="J12" s="157" t="str">
        <f aca="false">IF(ABS(I12)&lt;=Parâmetros!$C$7,"OK",IF(I12&gt;0,"Sobra no estoque","Falta no estoque"))</f>
        <v>Sobra no estoque</v>
      </c>
      <c r="K12" s="157" t="str">
        <f aca="false">IF(J12="OK","",IF(AND(E12=0,F12=0),"Estoque sem movimento no período",IF(G12&lt;0,"Saídas maiores que entradas – estoque anterior ao período?",IF(H12=0,"Saldo calculado sem estoque físico – verificar",IF(I12&gt;0,"Estoque acima do esperado – saldo anterior ou entrada não listada","Estoque abaixo do esperado – saída/ajuste não listado")))))</f>
        <v>Estoque acima do esperado – saldo anterior ou entrada não listada</v>
      </c>
      <c r="L12" s="158" t="str">
        <f aca="false">IF(D12=0,"",D12-E12)</f>
        <v/>
      </c>
    </row>
    <row r="13" customFormat="false" ht="15" hidden="false" customHeight="false" outlineLevel="0" collapsed="false">
      <c r="A13" s="157" t="s">
        <v>247</v>
      </c>
      <c r="B13" s="157" t="s">
        <v>248</v>
      </c>
      <c r="C13" s="157" t="s">
        <v>65</v>
      </c>
      <c r="D13" s="158" t="n">
        <f aca="false">SUMIFS('3 Base Entrada 2008'!$G$2:$G$5000,'3 Base Entrada 2008'!$B$2:$B$5000,$A13,'3 Base Entrada 2008'!$C$2:$C$5000,$B13,'3 Base Entrada 2008'!$K$2:$K$5000,"Recebido no 2008")</f>
        <v>1025.1</v>
      </c>
      <c r="E13" s="158" t="n">
        <f aca="false">SUMIFS('3 Base Entrada 2008'!$L$2:$L$5000,'3 Base Entrada 2008'!$B$2:$B$5000,$A13,'3 Base Entrada 2008'!$C$2:$C$5000,$B13)</f>
        <v>2673.3</v>
      </c>
      <c r="F13" s="158" t="n">
        <f aca="false">SUMIFS('3 Base Saídas'!$R$2:$R$5000,'3 Base Saídas'!$B$2:$B$5000,$A13,'3 Base Saídas'!$C$2:$C$5000,$B13)</f>
        <v>1005</v>
      </c>
      <c r="G13" s="158" t="n">
        <f aca="false">SUMIFS('3 Base Saldo Inicial 08-09'!$E$2:$E$5000,'3 Base Saldo Inicial 08-09'!$A$2:$A$5000,$A13,'3 Base Saldo Inicial 08-09'!$B$2:$B$5000,$B13)-SUMIFS('3 Base Saldo Inicial 08-09'!$E$2:$E$5000,'3 Base Saldo Inicial 08-09'!$A$2:$A$5000,$A13,'3 Base Saldo Inicial 08-09'!$B$2:$B$5000,$B13,'3 Base Saldo Inicial 08-09'!$C$2:$C$5000,"2008")+E13-F13</f>
        <v>1668.3</v>
      </c>
      <c r="H13" s="158" t="n">
        <f aca="false">SUMIFS('3 Base Estoque Físico'!$J$2:$J$5000,'3 Base Estoque Físico'!$A$2:$A$5000,$A13,'3 Base Estoque Físico'!$B$2:$B$5000,$B13)</f>
        <v>1226.1</v>
      </c>
      <c r="I13" s="192" t="n">
        <f aca="false">ROUND(H13-G13,3)</f>
        <v>-442.2</v>
      </c>
      <c r="J13" s="157" t="str">
        <f aca="false">IF(ABS(I13)&lt;=Parâmetros!$C$7,"OK",IF(I13&gt;0,"Sobra no estoque","Falta no estoque"))</f>
        <v>Falta no estoque</v>
      </c>
      <c r="K13" s="157" t="str">
        <f aca="false">IF(J13="OK","",IF(AND(E13=0,F13=0),"Estoque sem movimento no período",IF(G13&lt;0,"Saídas maiores que entradas – estoque anterior ao período?",IF(H13=0,"Saldo calculado sem estoque físico – verificar",IF(I13&gt;0,"Estoque acima do esperado – saldo anterior ou entrada não listada","Estoque abaixo do esperado – saída/ajuste não listado")))))</f>
        <v>Estoque abaixo do esperado – saída/ajuste não listado</v>
      </c>
      <c r="L13" s="158" t="n">
        <f aca="false">IF(D13=0,"",D13-E13)</f>
        <v>-1648.2</v>
      </c>
    </row>
    <row r="14" customFormat="false" ht="15" hidden="false" customHeight="false" outlineLevel="0" collapsed="false">
      <c r="A14" s="157" t="s">
        <v>192</v>
      </c>
      <c r="B14" s="157" t="s">
        <v>193</v>
      </c>
      <c r="C14" s="157" t="s">
        <v>65</v>
      </c>
      <c r="D14" s="158" t="n">
        <f aca="false">SUMIFS('3 Base Entrada 2008'!$G$2:$G$5000,'3 Base Entrada 2008'!$B$2:$B$5000,$A14,'3 Base Entrada 2008'!$C$2:$C$5000,$B14,'3 Base Entrada 2008'!$K$2:$K$5000,"Recebido no 2008")</f>
        <v>6633</v>
      </c>
      <c r="E14" s="158" t="n">
        <f aca="false">SUMIFS('3 Base Entrada 2008'!$L$2:$L$5000,'3 Base Entrada 2008'!$B$2:$B$5000,$A14,'3 Base Entrada 2008'!$C$2:$C$5000,$B14)</f>
        <v>603</v>
      </c>
      <c r="F14" s="158" t="n">
        <f aca="false">SUMIFS('3 Base Saídas'!$R$2:$R$5000,'3 Base Saídas'!$B$2:$B$5000,$A14,'3 Base Saídas'!$C$2:$C$5000,$B14)</f>
        <v>321.6</v>
      </c>
      <c r="G14" s="158" t="n">
        <f aca="false">SUMIFS('3 Base Saldo Inicial 08-09'!$E$2:$E$5000,'3 Base Saldo Inicial 08-09'!$A$2:$A$5000,$A14,'3 Base Saldo Inicial 08-09'!$B$2:$B$5000,$B14)-SUMIFS('3 Base Saldo Inicial 08-09'!$E$2:$E$5000,'3 Base Saldo Inicial 08-09'!$A$2:$A$5000,$A14,'3 Base Saldo Inicial 08-09'!$B$2:$B$5000,$B14,'3 Base Saldo Inicial 08-09'!$C$2:$C$5000,"2008")+E14-F14</f>
        <v>281.4</v>
      </c>
      <c r="H14" s="158" t="n">
        <f aca="false">SUMIFS('3 Base Estoque Físico'!$J$2:$J$5000,'3 Base Estoque Físico'!$A$2:$A$5000,$A14,'3 Base Estoque Físico'!$B$2:$B$5000,$B14)</f>
        <v>623.1</v>
      </c>
      <c r="I14" s="192" t="n">
        <f aca="false">ROUND(H14-G14,3)</f>
        <v>341.7</v>
      </c>
      <c r="J14" s="157" t="str">
        <f aca="false">IF(ABS(I14)&lt;=Parâmetros!$C$7,"OK",IF(I14&gt;0,"Sobra no estoque","Falta no estoque"))</f>
        <v>Sobra no estoque</v>
      </c>
      <c r="K14" s="157" t="str">
        <f aca="false">IF(J14="OK","",IF(AND(E14=0,F14=0),"Estoque sem movimento no período",IF(G14&lt;0,"Saídas maiores que entradas – estoque anterior ao período?",IF(H14=0,"Saldo calculado sem estoque físico – verificar",IF(I14&gt;0,"Estoque acima do esperado – saldo anterior ou entrada não listada","Estoque abaixo do esperado – saída/ajuste não listado")))))</f>
        <v>Estoque acima do esperado – saldo anterior ou entrada não listada</v>
      </c>
      <c r="L14" s="158" t="n">
        <f aca="false">IF(D14=0,"",D14-E14)</f>
        <v>6030</v>
      </c>
    </row>
    <row r="15" customFormat="false" ht="15" hidden="false" customHeight="false" outlineLevel="0" collapsed="false">
      <c r="A15" s="157" t="s">
        <v>205</v>
      </c>
      <c r="B15" s="157" t="s">
        <v>209</v>
      </c>
      <c r="C15" s="157" t="s">
        <v>65</v>
      </c>
      <c r="D15" s="158" t="n">
        <f aca="false">SUMIFS('3 Base Entrada 2008'!$G$2:$G$5000,'3 Base Entrada 2008'!$B$2:$B$5000,$A15,'3 Base Entrada 2008'!$C$2:$C$5000,$B15,'3 Base Entrada 2008'!$K$2:$K$5000,"Recebido no 2008")</f>
        <v>0</v>
      </c>
      <c r="E15" s="158" t="n">
        <f aca="false">SUMIFS('3 Base Entrada 2008'!$L$2:$L$5000,'3 Base Entrada 2008'!$B$2:$B$5000,$A15,'3 Base Entrada 2008'!$C$2:$C$5000,$B15)</f>
        <v>180.9</v>
      </c>
      <c r="F15" s="158" t="n">
        <f aca="false">SUMIFS('3 Base Saídas'!$R$2:$R$5000,'3 Base Saídas'!$B$2:$B$5000,$A15,'3 Base Saídas'!$C$2:$C$5000,$B15)</f>
        <v>180.9</v>
      </c>
      <c r="G15" s="158" t="n">
        <f aca="false">SUMIFS('3 Base Saldo Inicial 08-09'!$E$2:$E$5000,'3 Base Saldo Inicial 08-09'!$A$2:$A$5000,$A15,'3 Base Saldo Inicial 08-09'!$B$2:$B$5000,$B15)-SUMIFS('3 Base Saldo Inicial 08-09'!$E$2:$E$5000,'3 Base Saldo Inicial 08-09'!$A$2:$A$5000,$A15,'3 Base Saldo Inicial 08-09'!$B$2:$B$5000,$B15,'3 Base Saldo Inicial 08-09'!$C$2:$C$5000,"2008")+E15-F15</f>
        <v>0</v>
      </c>
      <c r="H15" s="158" t="n">
        <f aca="false">SUMIFS('3 Base Estoque Físico'!$J$2:$J$5000,'3 Base Estoque Físico'!$A$2:$A$5000,$A15,'3 Base Estoque Físico'!$B$2:$B$5000,$B15)</f>
        <v>273.36</v>
      </c>
      <c r="I15" s="192" t="n">
        <f aca="false">ROUND(H15-G15,3)</f>
        <v>273.36</v>
      </c>
      <c r="J15" s="157" t="str">
        <f aca="false">IF(ABS(I15)&lt;=Parâmetros!$C$7,"OK",IF(I15&gt;0,"Sobra no estoque","Falta no estoque"))</f>
        <v>Sobra no estoque</v>
      </c>
      <c r="K15" s="157" t="str">
        <f aca="false">IF(J15="OK","",IF(AND(E15=0,F15=0),"Estoque sem movimento no período",IF(G15&lt;0,"Saídas maiores que entradas – estoque anterior ao período?",IF(H15=0,"Saldo calculado sem estoque físico – verificar",IF(I15&gt;0,"Estoque acima do esperado – saldo anterior ou entrada não listada","Estoque abaixo do esperado – saída/ajuste não listado")))))</f>
        <v>Estoque acima do esperado – saldo anterior ou entrada não listada</v>
      </c>
      <c r="L15" s="158" t="str">
        <f aca="false">IF(D15=0,"",D15-E15)</f>
        <v/>
      </c>
    </row>
    <row r="16" customFormat="false" ht="15" hidden="false" customHeight="false" outlineLevel="0" collapsed="false">
      <c r="A16" s="157" t="s">
        <v>263</v>
      </c>
      <c r="B16" s="157" t="s">
        <v>264</v>
      </c>
      <c r="C16" s="157" t="s">
        <v>65</v>
      </c>
      <c r="D16" s="158" t="n">
        <f aca="false">SUMIFS('3 Base Entrada 2008'!$G$2:$G$5000,'3 Base Entrada 2008'!$B$2:$B$5000,$A16,'3 Base Entrada 2008'!$C$2:$C$5000,$B16,'3 Base Entrada 2008'!$K$2:$K$5000,"Recebido no 2008")</f>
        <v>0</v>
      </c>
      <c r="E16" s="158" t="n">
        <f aca="false">SUMIFS('3 Base Entrada 2008'!$L$2:$L$5000,'3 Base Entrada 2008'!$B$2:$B$5000,$A16,'3 Base Entrada 2008'!$C$2:$C$5000,$B16)</f>
        <v>261.12</v>
      </c>
      <c r="F16" s="158" t="n">
        <f aca="false">SUMIFS('3 Base Saídas'!$R$2:$R$5000,'3 Base Saídas'!$B$2:$B$5000,$A16,'3 Base Saídas'!$C$2:$C$5000,$B16)</f>
        <v>0</v>
      </c>
      <c r="G16" s="158" t="n">
        <f aca="false">SUMIFS('3 Base Saldo Inicial 08-09'!$E$2:$E$5000,'3 Base Saldo Inicial 08-09'!$A$2:$A$5000,$A16,'3 Base Saldo Inicial 08-09'!$B$2:$B$5000,$B16)-SUMIFS('3 Base Saldo Inicial 08-09'!$E$2:$E$5000,'3 Base Saldo Inicial 08-09'!$A$2:$A$5000,$A16,'3 Base Saldo Inicial 08-09'!$B$2:$B$5000,$B16,'3 Base Saldo Inicial 08-09'!$C$2:$C$5000,"2008")+E16-F16</f>
        <v>261.12</v>
      </c>
      <c r="H16" s="158" t="n">
        <f aca="false">SUMIFS('3 Base Estoque Físico'!$J$2:$J$5000,'3 Base Estoque Físico'!$A$2:$A$5000,$A16,'3 Base Estoque Físico'!$B$2:$B$5000,$B16)</f>
        <v>0</v>
      </c>
      <c r="I16" s="192" t="n">
        <f aca="false">ROUND(H16-G16,3)</f>
        <v>-261.12</v>
      </c>
      <c r="J16" s="157" t="str">
        <f aca="false">IF(ABS(I16)&lt;=Parâmetros!$C$7,"OK",IF(I16&gt;0,"Sobra no estoque","Falta no estoque"))</f>
        <v>Falta no estoque</v>
      </c>
      <c r="K16" s="157" t="str">
        <f aca="false">IF(J16="OK","",IF(AND(E16=0,F16=0),"Estoque sem movimento no período",IF(G16&lt;0,"Saídas maiores que entradas – estoque anterior ao período?",IF(H16=0,"Saldo calculado sem estoque físico – verificar",IF(I16&gt;0,"Estoque acima do esperado – saldo anterior ou entrada não listada","Estoque abaixo do esperado – saída/ajuste não listado")))))</f>
        <v>Saldo calculado sem estoque físico – verificar</v>
      </c>
      <c r="L16" s="158" t="str">
        <f aca="false">IF(D16=0,"",D16-E16)</f>
        <v/>
      </c>
    </row>
    <row r="17" customFormat="false" ht="15" hidden="false" customHeight="false" outlineLevel="0" collapsed="false">
      <c r="A17" s="157" t="s">
        <v>252</v>
      </c>
      <c r="B17" s="157" t="s">
        <v>253</v>
      </c>
      <c r="C17" s="157" t="s">
        <v>65</v>
      </c>
      <c r="D17" s="158" t="n">
        <f aca="false">SUMIFS('3 Base Entrada 2008'!$G$2:$G$5000,'3 Base Entrada 2008'!$B$2:$B$5000,$A17,'3 Base Entrada 2008'!$C$2:$C$5000,$B17,'3 Base Entrada 2008'!$K$2:$K$5000,"Recebido no 2008")</f>
        <v>1920</v>
      </c>
      <c r="E17" s="158" t="n">
        <f aca="false">SUMIFS('3 Base Entrada 2008'!$L$2:$L$5000,'3 Base Entrada 2008'!$B$2:$B$5000,$A17,'3 Base Entrada 2008'!$C$2:$C$5000,$B17)</f>
        <v>960</v>
      </c>
      <c r="F17" s="158" t="n">
        <f aca="false">SUMIFS('3 Base Saídas'!$R$2:$R$5000,'3 Base Saídas'!$B$2:$B$5000,$A17,'3 Base Saídas'!$C$2:$C$5000,$B17)</f>
        <v>176</v>
      </c>
      <c r="G17" s="158" t="n">
        <f aca="false">SUMIFS('3 Base Saldo Inicial 08-09'!$E$2:$E$5000,'3 Base Saldo Inicial 08-09'!$A$2:$A$5000,$A17,'3 Base Saldo Inicial 08-09'!$B$2:$B$5000,$B17)-SUMIFS('3 Base Saldo Inicial 08-09'!$E$2:$E$5000,'3 Base Saldo Inicial 08-09'!$A$2:$A$5000,$A17,'3 Base Saldo Inicial 08-09'!$B$2:$B$5000,$B17,'3 Base Saldo Inicial 08-09'!$C$2:$C$5000,"2008")+E17-F17</f>
        <v>784</v>
      </c>
      <c r="H17" s="158" t="n">
        <f aca="false">SUMIFS('3 Base Estoque Físico'!$J$2:$J$5000,'3 Base Estoque Físico'!$A$2:$A$5000,$A17,'3 Base Estoque Físico'!$B$2:$B$5000,$B17)</f>
        <v>1032</v>
      </c>
      <c r="I17" s="192" t="n">
        <f aca="false">ROUND(H17-G17,3)</f>
        <v>248</v>
      </c>
      <c r="J17" s="157" t="str">
        <f aca="false">IF(ABS(I17)&lt;=Parâmetros!$C$7,"OK",IF(I17&gt;0,"Sobra no estoque","Falta no estoque"))</f>
        <v>Sobra no estoque</v>
      </c>
      <c r="K17" s="157" t="str">
        <f aca="false">IF(J17="OK","",IF(AND(E17=0,F17=0),"Estoque sem movimento no período",IF(G17&lt;0,"Saídas maiores que entradas – estoque anterior ao período?",IF(H17=0,"Saldo calculado sem estoque físico – verificar",IF(I17&gt;0,"Estoque acima do esperado – saldo anterior ou entrada não listada","Estoque abaixo do esperado – saída/ajuste não listado")))))</f>
        <v>Estoque acima do esperado – saldo anterior ou entrada não listada</v>
      </c>
      <c r="L17" s="158" t="n">
        <f aca="false">IF(D17=0,"",D17-E17)</f>
        <v>960</v>
      </c>
    </row>
    <row r="18" customFormat="false" ht="15" hidden="false" customHeight="false" outlineLevel="0" collapsed="false">
      <c r="A18" s="157" t="s">
        <v>327</v>
      </c>
      <c r="B18" s="157" t="s">
        <v>329</v>
      </c>
      <c r="C18" s="157" t="s">
        <v>65</v>
      </c>
      <c r="D18" s="158" t="n">
        <f aca="false">SUMIFS('3 Base Entrada 2008'!$G$2:$G$5000,'3 Base Entrada 2008'!$B$2:$B$5000,$A18,'3 Base Entrada 2008'!$C$2:$C$5000,$B18,'3 Base Entrada 2008'!$K$2:$K$5000,"Recebido no 2008")</f>
        <v>0</v>
      </c>
      <c r="E18" s="158" t="n">
        <f aca="false">SUMIFS('3 Base Entrada 2008'!$L$2:$L$5000,'3 Base Entrada 2008'!$B$2:$B$5000,$A18,'3 Base Entrada 2008'!$C$2:$C$5000,$B18)</f>
        <v>480</v>
      </c>
      <c r="F18" s="158" t="n">
        <f aca="false">SUMIFS('3 Base Saídas'!$R$2:$R$5000,'3 Base Saídas'!$B$2:$B$5000,$A18,'3 Base Saídas'!$C$2:$C$5000,$B18)</f>
        <v>60</v>
      </c>
      <c r="G18" s="158" t="n">
        <f aca="false">SUMIFS('3 Base Saldo Inicial 08-09'!$E$2:$E$5000,'3 Base Saldo Inicial 08-09'!$A$2:$A$5000,$A18,'3 Base Saldo Inicial 08-09'!$B$2:$B$5000,$B18)-SUMIFS('3 Base Saldo Inicial 08-09'!$E$2:$E$5000,'3 Base Saldo Inicial 08-09'!$A$2:$A$5000,$A18,'3 Base Saldo Inicial 08-09'!$B$2:$B$5000,$B18,'3 Base Saldo Inicial 08-09'!$C$2:$C$5000,"2008")+E18-F18</f>
        <v>420</v>
      </c>
      <c r="H18" s="158" t="n">
        <f aca="false">SUMIFS('3 Base Estoque Físico'!$J$2:$J$5000,'3 Base Estoque Físico'!$A$2:$A$5000,$A18,'3 Base Estoque Físico'!$B$2:$B$5000,$B18)</f>
        <v>210</v>
      </c>
      <c r="I18" s="192" t="n">
        <f aca="false">ROUND(H18-G18,3)</f>
        <v>-210</v>
      </c>
      <c r="J18" s="157" t="str">
        <f aca="false">IF(ABS(I18)&lt;=Parâmetros!$C$7,"OK",IF(I18&gt;0,"Sobra no estoque","Falta no estoque"))</f>
        <v>Falta no estoque</v>
      </c>
      <c r="K18" s="157" t="str">
        <f aca="false">IF(J18="OK","",IF(AND(E18=0,F18=0),"Estoque sem movimento no período",IF(G18&lt;0,"Saídas maiores que entradas – estoque anterior ao período?",IF(H18=0,"Saldo calculado sem estoque físico – verificar",IF(I18&gt;0,"Estoque acima do esperado – saldo anterior ou entrada não listada","Estoque abaixo do esperado – saída/ajuste não listado")))))</f>
        <v>Estoque abaixo do esperado – saída/ajuste não listado</v>
      </c>
      <c r="L18" s="158" t="str">
        <f aca="false">IF(D18=0,"",D18-E18)</f>
        <v/>
      </c>
    </row>
    <row r="19" customFormat="false" ht="15" hidden="false" customHeight="false" outlineLevel="0" collapsed="false">
      <c r="A19" s="157" t="s">
        <v>198</v>
      </c>
      <c r="B19" s="157" t="s">
        <v>199</v>
      </c>
      <c r="C19" s="157" t="s">
        <v>65</v>
      </c>
      <c r="D19" s="158" t="n">
        <f aca="false">SUMIFS('3 Base Entrada 2008'!$G$2:$G$5000,'3 Base Entrada 2008'!$B$2:$B$5000,$A19,'3 Base Entrada 2008'!$C$2:$C$5000,$B19,'3 Base Entrada 2008'!$K$2:$K$5000,"Recebido no 2008")</f>
        <v>0</v>
      </c>
      <c r="E19" s="158" t="n">
        <f aca="false">SUMIFS('3 Base Entrada 2008'!$L$2:$L$5000,'3 Base Entrada 2008'!$B$2:$B$5000,$A19,'3 Base Entrada 2008'!$C$2:$C$5000,$B19)</f>
        <v>940.8</v>
      </c>
      <c r="F19" s="158" t="n">
        <f aca="false">SUMIFS('3 Base Saídas'!$R$2:$R$5000,'3 Base Saídas'!$B$2:$B$5000,$A19,'3 Base Saídas'!$C$2:$C$5000,$B19)</f>
        <v>781.2</v>
      </c>
      <c r="G19" s="158" t="n">
        <f aca="false">SUMIFS('3 Base Saldo Inicial 08-09'!$E$2:$E$5000,'3 Base Saldo Inicial 08-09'!$A$2:$A$5000,$A19,'3 Base Saldo Inicial 08-09'!$B$2:$B$5000,$B19)-SUMIFS('3 Base Saldo Inicial 08-09'!$E$2:$E$5000,'3 Base Saldo Inicial 08-09'!$A$2:$A$5000,$A19,'3 Base Saldo Inicial 08-09'!$B$2:$B$5000,$B19,'3 Base Saldo Inicial 08-09'!$C$2:$C$5000,"2008")+E19-F19</f>
        <v>159.6</v>
      </c>
      <c r="H19" s="158" t="n">
        <f aca="false">SUMIFS('3 Base Estoque Físico'!$J$2:$J$5000,'3 Base Estoque Físico'!$A$2:$A$5000,$A19,'3 Base Estoque Físico'!$B$2:$B$5000,$B19)</f>
        <v>333.2</v>
      </c>
      <c r="I19" s="192" t="n">
        <f aca="false">ROUND(H19-G19,3)</f>
        <v>173.6</v>
      </c>
      <c r="J19" s="157" t="str">
        <f aca="false">IF(ABS(I19)&lt;=Parâmetros!$C$7,"OK",IF(I19&gt;0,"Sobra no estoque","Falta no estoque"))</f>
        <v>Sobra no estoque</v>
      </c>
      <c r="K19" s="157" t="str">
        <f aca="false">IF(J19="OK","",IF(AND(E19=0,F19=0),"Estoque sem movimento no período",IF(G19&lt;0,"Saídas maiores que entradas – estoque anterior ao período?",IF(H19=0,"Saldo calculado sem estoque físico – verificar",IF(I19&gt;0,"Estoque acima do esperado – saldo anterior ou entrada não listada","Estoque abaixo do esperado – saída/ajuste não listado")))))</f>
        <v>Estoque acima do esperado – saldo anterior ou entrada não listada</v>
      </c>
      <c r="L19" s="158" t="str">
        <f aca="false">IF(D19=0,"",D19-E19)</f>
        <v/>
      </c>
    </row>
    <row r="20" customFormat="false" ht="15" hidden="false" customHeight="false" outlineLevel="0" collapsed="false">
      <c r="A20" s="157" t="s">
        <v>276</v>
      </c>
      <c r="B20" s="157" t="s">
        <v>278</v>
      </c>
      <c r="C20" s="157" t="s">
        <v>65</v>
      </c>
      <c r="D20" s="158" t="n">
        <f aca="false">SUMIFS('3 Base Entrada 2008'!$G$2:$G$5000,'3 Base Entrada 2008'!$B$2:$B$5000,$A20,'3 Base Entrada 2008'!$C$2:$C$5000,$B20,'3 Base Entrada 2008'!$K$2:$K$5000,"Recebido no 2008")</f>
        <v>40</v>
      </c>
      <c r="E20" s="158" t="n">
        <f aca="false">SUMIFS('3 Base Entrada 2008'!$L$2:$L$5000,'3 Base Entrada 2008'!$B$2:$B$5000,$A20,'3 Base Entrada 2008'!$C$2:$C$5000,$B20)</f>
        <v>2271.3</v>
      </c>
      <c r="F20" s="158" t="n">
        <f aca="false">SUMIFS('3 Base Saídas'!$R$2:$R$5000,'3 Base Saídas'!$B$2:$B$5000,$A20,'3 Base Saídas'!$C$2:$C$5000,$B20)</f>
        <v>562.8</v>
      </c>
      <c r="G20" s="158" t="n">
        <f aca="false">SUMIFS('3 Base Saldo Inicial 08-09'!$E$2:$E$5000,'3 Base Saldo Inicial 08-09'!$A$2:$A$5000,$A20,'3 Base Saldo Inicial 08-09'!$B$2:$B$5000,$B20)-SUMIFS('3 Base Saldo Inicial 08-09'!$E$2:$E$5000,'3 Base Saldo Inicial 08-09'!$A$2:$A$5000,$A20,'3 Base Saldo Inicial 08-09'!$B$2:$B$5000,$B20,'3 Base Saldo Inicial 08-09'!$C$2:$C$5000,"2008")+E20-F20</f>
        <v>1708.5</v>
      </c>
      <c r="H20" s="158" t="n">
        <f aca="false">SUMIFS('3 Base Estoque Físico'!$J$2:$J$5000,'3 Base Estoque Físico'!$A$2:$A$5000,$A20,'3 Base Estoque Físico'!$B$2:$B$5000,$B20)</f>
        <v>1829.1</v>
      </c>
      <c r="I20" s="192" t="n">
        <f aca="false">ROUND(H20-G20,3)</f>
        <v>120.6</v>
      </c>
      <c r="J20" s="157" t="str">
        <f aca="false">IF(ABS(I20)&lt;=Parâmetros!$C$7,"OK",IF(I20&gt;0,"Sobra no estoque","Falta no estoque"))</f>
        <v>Sobra no estoque</v>
      </c>
      <c r="K20" s="157" t="str">
        <f aca="false">IF(J20="OK","",IF(AND(E20=0,F20=0),"Estoque sem movimento no período",IF(G20&lt;0,"Saídas maiores que entradas – estoque anterior ao período?",IF(H20=0,"Saldo calculado sem estoque físico – verificar",IF(I20&gt;0,"Estoque acima do esperado – saldo anterior ou entrada não listada","Estoque abaixo do esperado – saída/ajuste não listado")))))</f>
        <v>Estoque acima do esperado – saldo anterior ou entrada não listada</v>
      </c>
      <c r="L20" s="158" t="n">
        <f aca="false">IF(D20=0,"",D20-E20)</f>
        <v>-2231.3</v>
      </c>
    </row>
    <row r="21" customFormat="false" ht="15" hidden="false" customHeight="false" outlineLevel="0" collapsed="false">
      <c r="A21" s="157" t="s">
        <v>286</v>
      </c>
      <c r="B21" s="157" t="s">
        <v>299</v>
      </c>
      <c r="C21" s="157" t="s">
        <v>147</v>
      </c>
      <c r="D21" s="158" t="n">
        <f aca="false">SUMIFS('3 Base Entrada 2008'!$G$2:$G$5000,'3 Base Entrada 2008'!$B$2:$B$5000,$A21,'3 Base Entrada 2008'!$C$2:$C$5000,$B21,'3 Base Entrada 2008'!$K$2:$K$5000,"Recebido no 2008")</f>
        <v>0</v>
      </c>
      <c r="E21" s="158" t="n">
        <f aca="false">SUMIFS('3 Base Entrada 2008'!$L$2:$L$5000,'3 Base Entrada 2008'!$B$2:$B$5000,$A21,'3 Base Entrada 2008'!$C$2:$C$5000,$B21)</f>
        <v>-120</v>
      </c>
      <c r="F21" s="158" t="n">
        <f aca="false">SUMIFS('3 Base Saídas'!$R$2:$R$5000,'3 Base Saídas'!$B$2:$B$5000,$A21,'3 Base Saídas'!$C$2:$C$5000,$B21)</f>
        <v>0</v>
      </c>
      <c r="G21" s="158" t="n">
        <f aca="false">SUMIFS('3 Base Saldo Inicial 08-09'!$E$2:$E$5000,'3 Base Saldo Inicial 08-09'!$A$2:$A$5000,$A21,'3 Base Saldo Inicial 08-09'!$B$2:$B$5000,$B21)-SUMIFS('3 Base Saldo Inicial 08-09'!$E$2:$E$5000,'3 Base Saldo Inicial 08-09'!$A$2:$A$5000,$A21,'3 Base Saldo Inicial 08-09'!$B$2:$B$5000,$B21,'3 Base Saldo Inicial 08-09'!$C$2:$C$5000,"2008")+E21-F21</f>
        <v>-120</v>
      </c>
      <c r="H21" s="158" t="n">
        <f aca="false">SUMIFS('3 Base Estoque Físico'!$J$2:$J$5000,'3 Base Estoque Físico'!$A$2:$A$5000,$A21,'3 Base Estoque Físico'!$B$2:$B$5000,$B21)</f>
        <v>0</v>
      </c>
      <c r="I21" s="192" t="n">
        <f aca="false">ROUND(H21-G21,3)</f>
        <v>120</v>
      </c>
      <c r="J21" s="157" t="str">
        <f aca="false">IF(ABS(I21)&lt;=Parâmetros!$C$7,"OK",IF(I21&gt;0,"Sobra no estoque","Falta no estoque"))</f>
        <v>Sobra no estoque</v>
      </c>
      <c r="K21" s="157" t="str">
        <f aca="false">IF(J21="OK","",IF(AND(E21=0,F21=0),"Estoque sem movimento no período",IF(G21&lt;0,"Saídas maiores que entradas – estoque anterior ao período?",IF(H21=0,"Saldo calculado sem estoque físico – verificar",IF(I21&gt;0,"Estoque acima do esperado – saldo anterior ou entrada não listada","Estoque abaixo do esperado – saída/ajuste não listado")))))</f>
        <v>Saídas maiores que entradas – estoque anterior ao período?</v>
      </c>
      <c r="L21" s="158" t="str">
        <f aca="false">IF(D21=0,"",D21-E21)</f>
        <v/>
      </c>
    </row>
    <row r="22" customFormat="false" ht="15" hidden="false" customHeight="false" outlineLevel="0" collapsed="false">
      <c r="A22" s="157" t="s">
        <v>286</v>
      </c>
      <c r="B22" s="157" t="s">
        <v>294</v>
      </c>
      <c r="C22" s="157" t="s">
        <v>147</v>
      </c>
      <c r="D22" s="158" t="n">
        <f aca="false">SUMIFS('3 Base Entrada 2008'!$G$2:$G$5000,'3 Base Entrada 2008'!$B$2:$B$5000,$A22,'3 Base Entrada 2008'!$C$2:$C$5000,$B22,'3 Base Entrada 2008'!$K$2:$K$5000,"Recebido no 2008")</f>
        <v>0</v>
      </c>
      <c r="E22" s="158" t="n">
        <f aca="false">SUMIFS('3 Base Entrada 2008'!$L$2:$L$5000,'3 Base Entrada 2008'!$B$2:$B$5000,$A22,'3 Base Entrada 2008'!$C$2:$C$5000,$B22)</f>
        <v>487</v>
      </c>
      <c r="F22" s="158" t="n">
        <f aca="false">SUMIFS('3 Base Saídas'!$R$2:$R$5000,'3 Base Saídas'!$B$2:$B$5000,$A22,'3 Base Saídas'!$C$2:$C$5000,$B22)</f>
        <v>0</v>
      </c>
      <c r="G22" s="158" t="n">
        <f aca="false">SUMIFS('3 Base Saldo Inicial 08-09'!$E$2:$E$5000,'3 Base Saldo Inicial 08-09'!$A$2:$A$5000,$A22,'3 Base Saldo Inicial 08-09'!$B$2:$B$5000,$B22)-SUMIFS('3 Base Saldo Inicial 08-09'!$E$2:$E$5000,'3 Base Saldo Inicial 08-09'!$A$2:$A$5000,$A22,'3 Base Saldo Inicial 08-09'!$B$2:$B$5000,$B22,'3 Base Saldo Inicial 08-09'!$C$2:$C$5000,"2008")+E22-F22</f>
        <v>487</v>
      </c>
      <c r="H22" s="158" t="n">
        <f aca="false">SUMIFS('3 Base Estoque Físico'!$J$2:$J$5000,'3 Base Estoque Físico'!$A$2:$A$5000,$A22,'3 Base Estoque Físico'!$B$2:$B$5000,$B22)</f>
        <v>367</v>
      </c>
      <c r="I22" s="192" t="n">
        <f aca="false">ROUND(H22-G22,3)</f>
        <v>-120</v>
      </c>
      <c r="J22" s="157" t="str">
        <f aca="false">IF(ABS(I22)&lt;=Parâmetros!$C$7,"OK",IF(I22&gt;0,"Sobra no estoque","Falta no estoque"))</f>
        <v>Falta no estoque</v>
      </c>
      <c r="K22" s="157" t="str">
        <f aca="false">IF(J22="OK","",IF(AND(E22=0,F22=0),"Estoque sem movimento no período",IF(G22&lt;0,"Saídas maiores que entradas – estoque anterior ao período?",IF(H22=0,"Saldo calculado sem estoque físico – verificar",IF(I22&gt;0,"Estoque acima do esperado – saldo anterior ou entrada não listada","Estoque abaixo do esperado – saída/ajuste não listado")))))</f>
        <v>Estoque abaixo do esperado – saída/ajuste não listado</v>
      </c>
      <c r="L22" s="158" t="str">
        <f aca="false">IF(D22=0,"",D22-E22)</f>
        <v/>
      </c>
    </row>
    <row r="23" customFormat="false" ht="15" hidden="false" customHeight="false" outlineLevel="0" collapsed="false">
      <c r="A23" s="157" t="s">
        <v>247</v>
      </c>
      <c r="B23" s="157" t="s">
        <v>348</v>
      </c>
      <c r="C23" s="157" t="s">
        <v>65</v>
      </c>
      <c r="D23" s="158" t="n">
        <f aca="false">SUMIFS('3 Base Entrada 2008'!$G$2:$G$5000,'3 Base Entrada 2008'!$B$2:$B$5000,$A23,'3 Base Entrada 2008'!$C$2:$C$5000,$B23,'3 Base Entrada 2008'!$K$2:$K$5000,"Recebido no 2008")</f>
        <v>0</v>
      </c>
      <c r="E23" s="158" t="n">
        <f aca="false">SUMIFS('3 Base Entrada 2008'!$L$2:$L$5000,'3 Base Entrada 2008'!$B$2:$B$5000,$A23,'3 Base Entrada 2008'!$C$2:$C$5000,$B23)</f>
        <v>40.2</v>
      </c>
      <c r="F23" s="158" t="n">
        <f aca="false">SUMIFS('3 Base Saídas'!$R$2:$R$5000,'3 Base Saídas'!$B$2:$B$5000,$A23,'3 Base Saídas'!$C$2:$C$5000,$B23)</f>
        <v>40.2</v>
      </c>
      <c r="G23" s="158" t="n">
        <f aca="false">SUMIFS('3 Base Saldo Inicial 08-09'!$E$2:$E$5000,'3 Base Saldo Inicial 08-09'!$A$2:$A$5000,$A23,'3 Base Saldo Inicial 08-09'!$B$2:$B$5000,$B23)-SUMIFS('3 Base Saldo Inicial 08-09'!$E$2:$E$5000,'3 Base Saldo Inicial 08-09'!$A$2:$A$5000,$A23,'3 Base Saldo Inicial 08-09'!$B$2:$B$5000,$B23,'3 Base Saldo Inicial 08-09'!$C$2:$C$5000,"2008")+E23-F23</f>
        <v>0</v>
      </c>
      <c r="H23" s="158" t="n">
        <f aca="false">SUMIFS('3 Base Estoque Físico'!$J$2:$J$5000,'3 Base Estoque Físico'!$A$2:$A$5000,$A23,'3 Base Estoque Físico'!$B$2:$B$5000,$B23)</f>
        <v>116.58</v>
      </c>
      <c r="I23" s="192" t="n">
        <f aca="false">ROUND(H23-G23,3)</f>
        <v>116.58</v>
      </c>
      <c r="J23" s="157" t="str">
        <f aca="false">IF(ABS(I23)&lt;=Parâmetros!$C$7,"OK",IF(I23&gt;0,"Sobra no estoque","Falta no estoque"))</f>
        <v>Sobra no estoque</v>
      </c>
      <c r="K23" s="157" t="str">
        <f aca="false">IF(J23="OK","",IF(AND(E23=0,F23=0),"Estoque sem movimento no período",IF(G23&lt;0,"Saídas maiores que entradas – estoque anterior ao período?",IF(H23=0,"Saldo calculado sem estoque físico – verificar",IF(I23&gt;0,"Estoque acima do esperado – saldo anterior ou entrada não listada","Estoque abaixo do esperado – saída/ajuste não listado")))))</f>
        <v>Estoque acima do esperado – saldo anterior ou entrada não listada</v>
      </c>
      <c r="L23" s="158" t="str">
        <f aca="false">IF(D23=0,"",D23-E23)</f>
        <v/>
      </c>
    </row>
    <row r="24" customFormat="false" ht="15" hidden="false" customHeight="false" outlineLevel="0" collapsed="false">
      <c r="A24" s="157" t="s">
        <v>220</v>
      </c>
      <c r="B24" s="157" t="s">
        <v>221</v>
      </c>
      <c r="C24" s="157" t="s">
        <v>65</v>
      </c>
      <c r="D24" s="158" t="n">
        <f aca="false">SUMIFS('3 Base Entrada 2008'!$G$2:$G$5000,'3 Base Entrada 2008'!$B$2:$B$5000,$A24,'3 Base Entrada 2008'!$C$2:$C$5000,$B24,'3 Base Entrada 2008'!$K$2:$K$5000,"Recebido no 2008")</f>
        <v>0</v>
      </c>
      <c r="E24" s="158" t="n">
        <f aca="false">SUMIFS('3 Base Entrada 2008'!$L$2:$L$5000,'3 Base Entrada 2008'!$B$2:$B$5000,$A24,'3 Base Entrada 2008'!$C$2:$C$5000,$B24)</f>
        <v>3612</v>
      </c>
      <c r="F24" s="158" t="n">
        <f aca="false">SUMIFS('3 Base Saídas'!$R$2:$R$5000,'3 Base Saídas'!$B$2:$B$5000,$A24,'3 Base Saídas'!$C$2:$C$5000,$B24)</f>
        <v>80.4</v>
      </c>
      <c r="G24" s="158" t="n">
        <f aca="false">SUMIFS('3 Base Saldo Inicial 08-09'!$E$2:$E$5000,'3 Base Saldo Inicial 08-09'!$A$2:$A$5000,$A24,'3 Base Saldo Inicial 08-09'!$B$2:$B$5000,$B24)-SUMIFS('3 Base Saldo Inicial 08-09'!$E$2:$E$5000,'3 Base Saldo Inicial 08-09'!$A$2:$A$5000,$A24,'3 Base Saldo Inicial 08-09'!$B$2:$B$5000,$B24,'3 Base Saldo Inicial 08-09'!$C$2:$C$5000,"2008")+E24-F24</f>
        <v>3531.6</v>
      </c>
      <c r="H24" s="158" t="n">
        <f aca="false">SUMIFS('3 Base Estoque Físico'!$J$2:$J$5000,'3 Base Estoque Físico'!$A$2:$A$5000,$A24,'3 Base Estoque Físico'!$B$2:$B$5000,$B24)</f>
        <v>3612</v>
      </c>
      <c r="I24" s="192" t="n">
        <f aca="false">ROUND(H24-G24,3)</f>
        <v>80.4</v>
      </c>
      <c r="J24" s="157" t="str">
        <f aca="false">IF(ABS(I24)&lt;=Parâmetros!$C$7,"OK",IF(I24&gt;0,"Sobra no estoque","Falta no estoque"))</f>
        <v>Sobra no estoque</v>
      </c>
      <c r="K24" s="157" t="str">
        <f aca="false">IF(J24="OK","",IF(AND(E24=0,F24=0),"Estoque sem movimento no período",IF(G24&lt;0,"Saídas maiores que entradas – estoque anterior ao período?",IF(H24=0,"Saldo calculado sem estoque físico – verificar",IF(I24&gt;0,"Estoque acima do esperado – saldo anterior ou entrada não listada","Estoque abaixo do esperado – saída/ajuste não listado")))))</f>
        <v>Estoque acima do esperado – saldo anterior ou entrada não listada</v>
      </c>
      <c r="L24" s="158" t="str">
        <f aca="false">IF(D24=0,"",D24-E24)</f>
        <v/>
      </c>
    </row>
    <row r="25" customFormat="false" ht="15" hidden="false" customHeight="false" outlineLevel="0" collapsed="false">
      <c r="A25" s="157" t="s">
        <v>250</v>
      </c>
      <c r="B25" s="157" t="s">
        <v>251</v>
      </c>
      <c r="C25" s="157" t="s">
        <v>65</v>
      </c>
      <c r="D25" s="158" t="n">
        <f aca="false">SUMIFS('3 Base Entrada 2008'!$G$2:$G$5000,'3 Base Entrada 2008'!$B$2:$B$5000,$A25,'3 Base Entrada 2008'!$C$2:$C$5000,$B25,'3 Base Entrada 2008'!$K$2:$K$5000,"Recebido no 2008")</f>
        <v>0</v>
      </c>
      <c r="E25" s="158" t="n">
        <f aca="false">SUMIFS('3 Base Entrada 2008'!$L$2:$L$5000,'3 Base Entrada 2008'!$B$2:$B$5000,$A25,'3 Base Entrada 2008'!$C$2:$C$5000,$B25)</f>
        <v>806.4</v>
      </c>
      <c r="F25" s="158" t="n">
        <f aca="false">SUMIFS('3 Base Saídas'!$R$2:$R$5000,'3 Base Saídas'!$B$2:$B$5000,$A25,'3 Base Saídas'!$C$2:$C$5000,$B25)</f>
        <v>53.2</v>
      </c>
      <c r="G25" s="158" t="n">
        <f aca="false">SUMIFS('3 Base Saldo Inicial 08-09'!$E$2:$E$5000,'3 Base Saldo Inicial 08-09'!$A$2:$A$5000,$A25,'3 Base Saldo Inicial 08-09'!$B$2:$B$5000,$B25)-SUMIFS('3 Base Saldo Inicial 08-09'!$E$2:$E$5000,'3 Base Saldo Inicial 08-09'!$A$2:$A$5000,$A25,'3 Base Saldo Inicial 08-09'!$B$2:$B$5000,$B25,'3 Base Saldo Inicial 08-09'!$C$2:$C$5000,"2008")+E25-F25</f>
        <v>753.2</v>
      </c>
      <c r="H25" s="158" t="n">
        <f aca="false">SUMIFS('3 Base Estoque Físico'!$J$2:$J$5000,'3 Base Estoque Físico'!$A$2:$A$5000,$A25,'3 Base Estoque Físico'!$B$2:$B$5000,$B25)</f>
        <v>825.999</v>
      </c>
      <c r="I25" s="192" t="n">
        <f aca="false">ROUND(H25-G25,3)</f>
        <v>72.799</v>
      </c>
      <c r="J25" s="157" t="str">
        <f aca="false">IF(ABS(I25)&lt;=Parâmetros!$C$7,"OK",IF(I25&gt;0,"Sobra no estoque","Falta no estoque"))</f>
        <v>Sobra no estoque</v>
      </c>
      <c r="K25" s="157" t="str">
        <f aca="false">IF(J25="OK","",IF(AND(E25=0,F25=0),"Estoque sem movimento no período",IF(G25&lt;0,"Saídas maiores que entradas – estoque anterior ao período?",IF(H25=0,"Saldo calculado sem estoque físico – verificar",IF(I25&gt;0,"Estoque acima do esperado – saldo anterior ou entrada não listada","Estoque abaixo do esperado – saída/ajuste não listado")))))</f>
        <v>Estoque acima do esperado – saldo anterior ou entrada não listada</v>
      </c>
      <c r="L25" s="158" t="str">
        <f aca="false">IF(D25=0,"",D25-E25)</f>
        <v/>
      </c>
    </row>
    <row r="26" customFormat="false" ht="15" hidden="false" customHeight="false" outlineLevel="0" collapsed="false">
      <c r="A26" s="157" t="s">
        <v>232</v>
      </c>
      <c r="B26" s="157" t="s">
        <v>241</v>
      </c>
      <c r="C26" s="157" t="s">
        <v>146</v>
      </c>
      <c r="D26" s="158" t="n">
        <f aca="false">SUMIFS('3 Base Entrada 2008'!$G$2:$G$5000,'3 Base Entrada 2008'!$B$2:$B$5000,$A26,'3 Base Entrada 2008'!$C$2:$C$5000,$B26,'3 Base Entrada 2008'!$K$2:$K$5000,"Recebido no 2008")</f>
        <v>0</v>
      </c>
      <c r="E26" s="158" t="n">
        <f aca="false">SUMIFS('3 Base Entrada 2008'!$L$2:$L$5000,'3 Base Entrada 2008'!$B$2:$B$5000,$A26,'3 Base Entrada 2008'!$C$2:$C$5000,$B26)</f>
        <v>450</v>
      </c>
      <c r="F26" s="158" t="n">
        <f aca="false">SUMIFS('3 Base Saídas'!$R$2:$R$5000,'3 Base Saídas'!$B$2:$B$5000,$A26,'3 Base Saídas'!$C$2:$C$5000,$B26)</f>
        <v>510</v>
      </c>
      <c r="G26" s="158" t="n">
        <f aca="false">SUMIFS('3 Base Saldo Inicial 08-09'!$E$2:$E$5000,'3 Base Saldo Inicial 08-09'!$A$2:$A$5000,$A26,'3 Base Saldo Inicial 08-09'!$B$2:$B$5000,$B26)-SUMIFS('3 Base Saldo Inicial 08-09'!$E$2:$E$5000,'3 Base Saldo Inicial 08-09'!$A$2:$A$5000,$A26,'3 Base Saldo Inicial 08-09'!$B$2:$B$5000,$B26,'3 Base Saldo Inicial 08-09'!$C$2:$C$5000,"2008")+E26-F26</f>
        <v>-60</v>
      </c>
      <c r="H26" s="158" t="n">
        <f aca="false">SUMIFS('3 Base Estoque Físico'!$J$2:$J$5000,'3 Base Estoque Físico'!$A$2:$A$5000,$A26,'3 Base Estoque Físico'!$B$2:$B$5000,$B26)</f>
        <v>0</v>
      </c>
      <c r="I26" s="192" t="n">
        <f aca="false">ROUND(H26-G26,3)</f>
        <v>60</v>
      </c>
      <c r="J26" s="157" t="str">
        <f aca="false">IF(ABS(I26)&lt;=Parâmetros!$C$7,"OK",IF(I26&gt;0,"Sobra no estoque","Falta no estoque"))</f>
        <v>Sobra no estoque</v>
      </c>
      <c r="K26" s="157" t="str">
        <f aca="false">IF(J26="OK","",IF(AND(E26=0,F26=0),"Estoque sem movimento no período",IF(G26&lt;0,"Saídas maiores que entradas – estoque anterior ao período?",IF(H26=0,"Saldo calculado sem estoque físico – verificar",IF(I26&gt;0,"Estoque acima do esperado – saldo anterior ou entrada não listada","Estoque abaixo do esperado – saída/ajuste não listado")))))</f>
        <v>Saídas maiores que entradas – estoque anterior ao período?</v>
      </c>
      <c r="L26" s="158" t="str">
        <f aca="false">IF(D26=0,"",D26-E26)</f>
        <v/>
      </c>
    </row>
    <row r="27" customFormat="false" ht="15" hidden="false" customHeight="false" outlineLevel="0" collapsed="false">
      <c r="A27" s="157" t="s">
        <v>354</v>
      </c>
      <c r="B27" s="157" t="s">
        <v>355</v>
      </c>
      <c r="C27" s="157" t="s">
        <v>65</v>
      </c>
      <c r="D27" s="158" t="n">
        <f aca="false">SUMIFS('3 Base Entrada 2008'!$G$2:$G$5000,'3 Base Entrada 2008'!$B$2:$B$5000,$A27,'3 Base Entrada 2008'!$C$2:$C$5000,$B27,'3 Base Entrada 2008'!$K$2:$K$5000,"Recebido no 2008")</f>
        <v>0</v>
      </c>
      <c r="E27" s="158" t="n">
        <f aca="false">SUMIFS('3 Base Entrada 2008'!$L$2:$L$5000,'3 Base Entrada 2008'!$B$2:$B$5000,$A27,'3 Base Entrada 2008'!$C$2:$C$5000,$B27)</f>
        <v>10</v>
      </c>
      <c r="F27" s="158" t="n">
        <f aca="false">SUMIFS('3 Base Saídas'!$R$2:$R$5000,'3 Base Saídas'!$B$2:$B$5000,$A27,'3 Base Saídas'!$C$2:$C$5000,$B27)</f>
        <v>60</v>
      </c>
      <c r="G27" s="158" t="n">
        <f aca="false">SUMIFS('3 Base Saldo Inicial 08-09'!$E$2:$E$5000,'3 Base Saldo Inicial 08-09'!$A$2:$A$5000,$A27,'3 Base Saldo Inicial 08-09'!$B$2:$B$5000,$B27)-SUMIFS('3 Base Saldo Inicial 08-09'!$E$2:$E$5000,'3 Base Saldo Inicial 08-09'!$A$2:$A$5000,$A27,'3 Base Saldo Inicial 08-09'!$B$2:$B$5000,$B27,'3 Base Saldo Inicial 08-09'!$C$2:$C$5000,"2008")+E27-F27</f>
        <v>-50</v>
      </c>
      <c r="H27" s="158" t="n">
        <f aca="false">SUMIFS('3 Base Estoque Físico'!$J$2:$J$5000,'3 Base Estoque Físico'!$A$2:$A$5000,$A27,'3 Base Estoque Físico'!$B$2:$B$5000,$B27)</f>
        <v>10</v>
      </c>
      <c r="I27" s="192" t="n">
        <f aca="false">ROUND(H27-G27,3)</f>
        <v>60</v>
      </c>
      <c r="J27" s="157" t="str">
        <f aca="false">IF(ABS(I27)&lt;=Parâmetros!$C$7,"OK",IF(I27&gt;0,"Sobra no estoque","Falta no estoque"))</f>
        <v>Sobra no estoque</v>
      </c>
      <c r="K27" s="157" t="str">
        <f aca="false">IF(J27="OK","",IF(AND(E27=0,F27=0),"Estoque sem movimento no período",IF(G27&lt;0,"Saídas maiores que entradas – estoque anterior ao período?",IF(H27=0,"Saldo calculado sem estoque físico – verificar",IF(I27&gt;0,"Estoque acima do esperado – saldo anterior ou entrada não listada","Estoque abaixo do esperado – saída/ajuste não listado")))))</f>
        <v>Saídas maiores que entradas – estoque anterior ao período?</v>
      </c>
      <c r="L27" s="158" t="str">
        <f aca="false">IF(D27=0,"",D27-E27)</f>
        <v/>
      </c>
    </row>
    <row r="28" customFormat="false" ht="15" hidden="false" customHeight="false" outlineLevel="0" collapsed="false">
      <c r="A28" s="157" t="s">
        <v>232</v>
      </c>
      <c r="B28" s="157" t="s">
        <v>237</v>
      </c>
      <c r="C28" s="157" t="s">
        <v>146</v>
      </c>
      <c r="D28" s="158" t="n">
        <f aca="false">SUMIFS('3 Base Entrada 2008'!$G$2:$G$5000,'3 Base Entrada 2008'!$B$2:$B$5000,$A28,'3 Base Entrada 2008'!$C$2:$C$5000,$B28,'3 Base Entrada 2008'!$K$2:$K$5000,"Recebido no 2008")</f>
        <v>0</v>
      </c>
      <c r="E28" s="158" t="n">
        <f aca="false">SUMIFS('3 Base Entrada 2008'!$L$2:$L$5000,'3 Base Entrada 2008'!$B$2:$B$5000,$A28,'3 Base Entrada 2008'!$C$2:$C$5000,$B28)</f>
        <v>1320</v>
      </c>
      <c r="F28" s="158" t="n">
        <f aca="false">SUMIFS('3 Base Saídas'!$R$2:$R$5000,'3 Base Saídas'!$B$2:$B$5000,$A28,'3 Base Saídas'!$C$2:$C$5000,$B28)</f>
        <v>330</v>
      </c>
      <c r="G28" s="158" t="n">
        <f aca="false">SUMIFS('3 Base Saldo Inicial 08-09'!$E$2:$E$5000,'3 Base Saldo Inicial 08-09'!$A$2:$A$5000,$A28,'3 Base Saldo Inicial 08-09'!$B$2:$B$5000,$B28)-SUMIFS('3 Base Saldo Inicial 08-09'!$E$2:$E$5000,'3 Base Saldo Inicial 08-09'!$A$2:$A$5000,$A28,'3 Base Saldo Inicial 08-09'!$B$2:$B$5000,$B28,'3 Base Saldo Inicial 08-09'!$C$2:$C$5000,"2008")+E28-F28</f>
        <v>990</v>
      </c>
      <c r="H28" s="158" t="n">
        <f aca="false">SUMIFS('3 Base Estoque Físico'!$J$2:$J$5000,'3 Base Estoque Físico'!$A$2:$A$5000,$A28,'3 Base Estoque Físico'!$B$2:$B$5000,$B28)</f>
        <v>1020</v>
      </c>
      <c r="I28" s="192" t="n">
        <f aca="false">ROUND(H28-G28,3)</f>
        <v>30</v>
      </c>
      <c r="J28" s="157" t="str">
        <f aca="false">IF(ABS(I28)&lt;=Parâmetros!$C$7,"OK",IF(I28&gt;0,"Sobra no estoque","Falta no estoque"))</f>
        <v>Sobra no estoque</v>
      </c>
      <c r="K28" s="157" t="str">
        <f aca="false">IF(J28="OK","",IF(AND(E28=0,F28=0),"Estoque sem movimento no período",IF(G28&lt;0,"Saídas maiores que entradas – estoque anterior ao período?",IF(H28=0,"Saldo calculado sem estoque físico – verificar",IF(I28&gt;0,"Estoque acima do esperado – saldo anterior ou entrada não listada","Estoque abaixo do esperado – saída/ajuste não listado")))))</f>
        <v>Estoque acima do esperado – saldo anterior ou entrada não listada</v>
      </c>
      <c r="L28" s="158" t="str">
        <f aca="false">IF(D28=0,"",D28-E28)</f>
        <v/>
      </c>
    </row>
    <row r="29" customFormat="false" ht="15" hidden="false" customHeight="false" outlineLevel="0" collapsed="false">
      <c r="A29" s="157" t="s">
        <v>232</v>
      </c>
      <c r="B29" s="157" t="s">
        <v>239</v>
      </c>
      <c r="C29" s="157" t="s">
        <v>146</v>
      </c>
      <c r="D29" s="158" t="n">
        <f aca="false">SUMIFS('3 Base Entrada 2008'!$G$2:$G$5000,'3 Base Entrada 2008'!$B$2:$B$5000,$A29,'3 Base Entrada 2008'!$C$2:$C$5000,$B29,'3 Base Entrada 2008'!$K$2:$K$5000,"Recebido no 2008")</f>
        <v>0</v>
      </c>
      <c r="E29" s="158" t="n">
        <f aca="false">SUMIFS('3 Base Entrada 2008'!$L$2:$L$5000,'3 Base Entrada 2008'!$B$2:$B$5000,$A29,'3 Base Entrada 2008'!$C$2:$C$5000,$B29)</f>
        <v>30</v>
      </c>
      <c r="F29" s="158" t="n">
        <f aca="false">SUMIFS('3 Base Saídas'!$R$2:$R$5000,'3 Base Saídas'!$B$2:$B$5000,$A29,'3 Base Saídas'!$C$2:$C$5000,$B29)</f>
        <v>0</v>
      </c>
      <c r="G29" s="158" t="n">
        <f aca="false">SUMIFS('3 Base Saldo Inicial 08-09'!$E$2:$E$5000,'3 Base Saldo Inicial 08-09'!$A$2:$A$5000,$A29,'3 Base Saldo Inicial 08-09'!$B$2:$B$5000,$B29)-SUMIFS('3 Base Saldo Inicial 08-09'!$E$2:$E$5000,'3 Base Saldo Inicial 08-09'!$A$2:$A$5000,$A29,'3 Base Saldo Inicial 08-09'!$B$2:$B$5000,$B29,'3 Base Saldo Inicial 08-09'!$C$2:$C$5000,"2008")+E29-F29</f>
        <v>30</v>
      </c>
      <c r="H29" s="158" t="n">
        <f aca="false">SUMIFS('3 Base Estoque Físico'!$J$2:$J$5000,'3 Base Estoque Físico'!$A$2:$A$5000,$A29,'3 Base Estoque Físico'!$B$2:$B$5000,$B29)</f>
        <v>4.219</v>
      </c>
      <c r="I29" s="192" t="n">
        <f aca="false">ROUND(H29-G29,3)</f>
        <v>-25.781</v>
      </c>
      <c r="J29" s="157" t="str">
        <f aca="false">IF(ABS(I29)&lt;=Parâmetros!$C$7,"OK",IF(I29&gt;0,"Sobra no estoque","Falta no estoque"))</f>
        <v>Falta no estoque</v>
      </c>
      <c r="K29" s="157" t="str">
        <f aca="false">IF(J29="OK","",IF(AND(E29=0,F29=0),"Estoque sem movimento no período",IF(G29&lt;0,"Saídas maiores que entradas – estoque anterior ao período?",IF(H29=0,"Saldo calculado sem estoque físico – verificar",IF(I29&gt;0,"Estoque acima do esperado – saldo anterior ou entrada não listada","Estoque abaixo do esperado – saída/ajuste não listado")))))</f>
        <v>Estoque abaixo do esperado – saída/ajuste não listado</v>
      </c>
      <c r="L29" s="158" t="str">
        <f aca="false">IF(D29=0,"",D29-E29)</f>
        <v/>
      </c>
    </row>
    <row r="30" customFormat="false" ht="15" hidden="false" customHeight="false" outlineLevel="0" collapsed="false">
      <c r="A30" s="157" t="s">
        <v>205</v>
      </c>
      <c r="B30" s="157" t="s">
        <v>206</v>
      </c>
      <c r="C30" s="157" t="s">
        <v>65</v>
      </c>
      <c r="D30" s="158" t="n">
        <f aca="false">SUMIFS('3 Base Entrada 2008'!$G$2:$G$5000,'3 Base Entrada 2008'!$B$2:$B$5000,$A30,'3 Base Entrada 2008'!$C$2:$C$5000,$B30,'3 Base Entrada 2008'!$K$2:$K$5000,"Recebido no 2008")</f>
        <v>0</v>
      </c>
      <c r="E30" s="158" t="n">
        <f aca="false">SUMIFS('3 Base Entrada 2008'!$L$2:$L$5000,'3 Base Entrada 2008'!$B$2:$B$5000,$A30,'3 Base Entrada 2008'!$C$2:$C$5000,$B30)</f>
        <v>2733.6</v>
      </c>
      <c r="F30" s="158" t="n">
        <f aca="false">SUMIFS('3 Base Saídas'!$R$2:$R$5000,'3 Base Saídas'!$B$2:$B$5000,$A30,'3 Base Saídas'!$C$2:$C$5000,$B30)</f>
        <v>1206</v>
      </c>
      <c r="G30" s="158" t="n">
        <f aca="false">SUMIFS('3 Base Saldo Inicial 08-09'!$E$2:$E$5000,'3 Base Saldo Inicial 08-09'!$A$2:$A$5000,$A30,'3 Base Saldo Inicial 08-09'!$B$2:$B$5000,$B30)-SUMIFS('3 Base Saldo Inicial 08-09'!$E$2:$E$5000,'3 Base Saldo Inicial 08-09'!$A$2:$A$5000,$A30,'3 Base Saldo Inicial 08-09'!$B$2:$B$5000,$B30,'3 Base Saldo Inicial 08-09'!$C$2:$C$5000,"2008")+E30-F30</f>
        <v>1527.6</v>
      </c>
      <c r="H30" s="158" t="n">
        <f aca="false">SUMIFS('3 Base Estoque Físico'!$J$2:$J$5000,'3 Base Estoque Físico'!$A$2:$A$5000,$A30,'3 Base Estoque Físico'!$B$2:$B$5000,$B30)</f>
        <v>1547.7</v>
      </c>
      <c r="I30" s="192" t="n">
        <f aca="false">ROUND(H30-G30,3)</f>
        <v>20.1</v>
      </c>
      <c r="J30" s="157" t="str">
        <f aca="false">IF(ABS(I30)&lt;=Parâmetros!$C$7,"OK",IF(I30&gt;0,"Sobra no estoque","Falta no estoque"))</f>
        <v>Sobra no estoque</v>
      </c>
      <c r="K30" s="157" t="str">
        <f aca="false">IF(J30="OK","",IF(AND(E30=0,F30=0),"Estoque sem movimento no período",IF(G30&lt;0,"Saídas maiores que entradas – estoque anterior ao período?",IF(H30=0,"Saldo calculado sem estoque físico – verificar",IF(I30&gt;0,"Estoque acima do esperado – saldo anterior ou entrada não listada","Estoque abaixo do esperado – saída/ajuste não listado")))))</f>
        <v>Estoque acima do esperado – saldo anterior ou entrada não listada</v>
      </c>
      <c r="L30" s="158" t="str">
        <f aca="false">IF(D30=0,"",D30-E30)</f>
        <v/>
      </c>
    </row>
    <row r="31" customFormat="false" ht="15" hidden="false" customHeight="false" outlineLevel="0" collapsed="false">
      <c r="A31" s="157" t="s">
        <v>276</v>
      </c>
      <c r="B31" s="157" t="s">
        <v>277</v>
      </c>
      <c r="C31" s="157" t="s">
        <v>65</v>
      </c>
      <c r="D31" s="158" t="n">
        <f aca="false">SUMIFS('3 Base Entrada 2008'!$G$2:$G$5000,'3 Base Entrada 2008'!$B$2:$B$5000,$A31,'3 Base Entrada 2008'!$C$2:$C$5000,$B31,'3 Base Entrada 2008'!$K$2:$K$5000,"Recebido no 2008")</f>
        <v>0</v>
      </c>
      <c r="E31" s="158" t="n">
        <f aca="false">SUMIFS('3 Base Entrada 2008'!$L$2:$L$5000,'3 Base Entrada 2008'!$B$2:$B$5000,$A31,'3 Base Entrada 2008'!$C$2:$C$5000,$B31)</f>
        <v>602.9</v>
      </c>
      <c r="F31" s="158" t="n">
        <f aca="false">SUMIFS('3 Base Saídas'!$R$2:$R$5000,'3 Base Saídas'!$B$2:$B$5000,$A31,'3 Base Saídas'!$C$2:$C$5000,$B31)</f>
        <v>301.5</v>
      </c>
      <c r="G31" s="158" t="n">
        <f aca="false">SUMIFS('3 Base Saldo Inicial 08-09'!$E$2:$E$5000,'3 Base Saldo Inicial 08-09'!$A$2:$A$5000,$A31,'3 Base Saldo Inicial 08-09'!$B$2:$B$5000,$B31)-SUMIFS('3 Base Saldo Inicial 08-09'!$E$2:$E$5000,'3 Base Saldo Inicial 08-09'!$A$2:$A$5000,$A31,'3 Base Saldo Inicial 08-09'!$B$2:$B$5000,$B31,'3 Base Saldo Inicial 08-09'!$C$2:$C$5000,"2008")+E31-F31</f>
        <v>301.4</v>
      </c>
      <c r="H31" s="158" t="n">
        <f aca="false">SUMIFS('3 Base Estoque Físico'!$J$2:$J$5000,'3 Base Estoque Físico'!$A$2:$A$5000,$A31,'3 Base Estoque Físico'!$B$2:$B$5000,$B31)</f>
        <v>321.5</v>
      </c>
      <c r="I31" s="192" t="n">
        <f aca="false">ROUND(H31-G31,3)</f>
        <v>20.1</v>
      </c>
      <c r="J31" s="157" t="str">
        <f aca="false">IF(ABS(I31)&lt;=Parâmetros!$C$7,"OK",IF(I31&gt;0,"Sobra no estoque","Falta no estoque"))</f>
        <v>Sobra no estoque</v>
      </c>
      <c r="K31" s="157" t="str">
        <f aca="false">IF(J31="OK","",IF(AND(E31=0,F31=0),"Estoque sem movimento no período",IF(G31&lt;0,"Saídas maiores que entradas – estoque anterior ao período?",IF(H31=0,"Saldo calculado sem estoque físico – verificar",IF(I31&gt;0,"Estoque acima do esperado – saldo anterior ou entrada não listada","Estoque abaixo do esperado – saída/ajuste não listado")))))</f>
        <v>Estoque acima do esperado – saldo anterior ou entrada não listada</v>
      </c>
      <c r="L31" s="158" t="str">
        <f aca="false">IF(D31=0,"",D31-E31)</f>
        <v/>
      </c>
    </row>
    <row r="32" customFormat="false" ht="15" hidden="false" customHeight="false" outlineLevel="0" collapsed="false">
      <c r="A32" s="157" t="s">
        <v>309</v>
      </c>
      <c r="B32" s="157" t="s">
        <v>310</v>
      </c>
      <c r="C32" s="157" t="s">
        <v>65</v>
      </c>
      <c r="D32" s="158" t="n">
        <f aca="false">SUMIFS('3 Base Entrada 2008'!$G$2:$G$5000,'3 Base Entrada 2008'!$B$2:$B$5000,$A32,'3 Base Entrada 2008'!$C$2:$C$5000,$B32,'3 Base Entrada 2008'!$K$2:$K$5000,"Recebido no 2008")</f>
        <v>2995</v>
      </c>
      <c r="E32" s="158" t="n">
        <f aca="false">SUMIFS('3 Base Entrada 2008'!$L$2:$L$5000,'3 Base Entrada 2008'!$B$2:$B$5000,$A32,'3 Base Entrada 2008'!$C$2:$C$5000,$B32)</f>
        <v>3025.7</v>
      </c>
      <c r="F32" s="158" t="n">
        <f aca="false">SUMIFS('3 Base Saídas'!$R$2:$R$5000,'3 Base Saídas'!$B$2:$B$5000,$A32,'3 Base Saídas'!$C$2:$C$5000,$B32)</f>
        <v>1366.8</v>
      </c>
      <c r="G32" s="158" t="n">
        <f aca="false">SUMIFS('3 Base Saldo Inicial 08-09'!$E$2:$E$5000,'3 Base Saldo Inicial 08-09'!$A$2:$A$5000,$A32,'3 Base Saldo Inicial 08-09'!$B$2:$B$5000,$B32)-SUMIFS('3 Base Saldo Inicial 08-09'!$E$2:$E$5000,'3 Base Saldo Inicial 08-09'!$A$2:$A$5000,$A32,'3 Base Saldo Inicial 08-09'!$B$2:$B$5000,$B32,'3 Base Saldo Inicial 08-09'!$C$2:$C$5000,"2008")+E32-F32</f>
        <v>1658.9</v>
      </c>
      <c r="H32" s="158" t="n">
        <f aca="false">SUMIFS('3 Base Estoque Físico'!$J$2:$J$5000,'3 Base Estoque Físico'!$A$2:$A$5000,$A32,'3 Base Estoque Físico'!$B$2:$B$5000,$B32)</f>
        <v>1679</v>
      </c>
      <c r="I32" s="192" t="n">
        <f aca="false">ROUND(H32-G32,3)</f>
        <v>20.1</v>
      </c>
      <c r="J32" s="157" t="str">
        <f aca="false">IF(ABS(I32)&lt;=Parâmetros!$C$7,"OK",IF(I32&gt;0,"Sobra no estoque","Falta no estoque"))</f>
        <v>Sobra no estoque</v>
      </c>
      <c r="K32" s="157" t="str">
        <f aca="false">IF(J32="OK","",IF(AND(E32=0,F32=0),"Estoque sem movimento no período",IF(G32&lt;0,"Saídas maiores que entradas – estoque anterior ao período?",IF(H32=0,"Saldo calculado sem estoque físico – verificar",IF(I32&gt;0,"Estoque acima do esperado – saldo anterior ou entrada não listada","Estoque abaixo do esperado – saída/ajuste não listado")))))</f>
        <v>Estoque acima do esperado – saldo anterior ou entrada não listada</v>
      </c>
      <c r="L32" s="158" t="n">
        <f aca="false">IF(D32=0,"",D32-E32)</f>
        <v>-30.7000000000003</v>
      </c>
    </row>
    <row r="33" customFormat="false" ht="15" hidden="false" customHeight="false" outlineLevel="0" collapsed="false">
      <c r="A33" s="157" t="s">
        <v>186</v>
      </c>
      <c r="B33" s="157" t="s">
        <v>187</v>
      </c>
      <c r="C33" s="157" t="s">
        <v>65</v>
      </c>
      <c r="D33" s="158" t="n">
        <f aca="false">SUMIFS('3 Base Entrada 2008'!$G$2:$G$5000,'3 Base Entrada 2008'!$B$2:$B$5000,$A33,'3 Base Entrada 2008'!$C$2:$C$5000,$B33,'3 Base Entrada 2008'!$K$2:$K$5000,"Recebido no 2008")</f>
        <v>0</v>
      </c>
      <c r="E33" s="158" t="n">
        <f aca="false">SUMIFS('3 Base Entrada 2008'!$L$2:$L$5000,'3 Base Entrada 2008'!$B$2:$B$5000,$A33,'3 Base Entrada 2008'!$C$2:$C$5000,$B33)</f>
        <v>1200</v>
      </c>
      <c r="F33" s="158" t="n">
        <f aca="false">SUMIFS('3 Base Saídas'!$R$2:$R$5000,'3 Base Saídas'!$B$2:$B$5000,$A33,'3 Base Saídas'!$C$2:$C$5000,$B33)</f>
        <v>0</v>
      </c>
      <c r="G33" s="158" t="n">
        <f aca="false">SUMIFS('3 Base Saldo Inicial 08-09'!$E$2:$E$5000,'3 Base Saldo Inicial 08-09'!$A$2:$A$5000,$A33,'3 Base Saldo Inicial 08-09'!$B$2:$B$5000,$B33)-SUMIFS('3 Base Saldo Inicial 08-09'!$E$2:$E$5000,'3 Base Saldo Inicial 08-09'!$A$2:$A$5000,$A33,'3 Base Saldo Inicial 08-09'!$B$2:$B$5000,$B33,'3 Base Saldo Inicial 08-09'!$C$2:$C$5000,"2008")+E33-F33</f>
        <v>1200</v>
      </c>
      <c r="H33" s="158" t="n">
        <f aca="false">SUMIFS('3 Base Estoque Físico'!$J$2:$J$5000,'3 Base Estoque Físico'!$A$2:$A$5000,$A33,'3 Base Estoque Físico'!$B$2:$B$5000,$B33)</f>
        <v>1200</v>
      </c>
      <c r="I33" s="192" t="n">
        <f aca="false">ROUND(H33-G33,3)</f>
        <v>0</v>
      </c>
      <c r="J33" s="157" t="str">
        <f aca="false">IF(ABS(I33)&lt;=Parâmetros!$C$7,"OK",IF(I33&gt;0,"Sobra no estoque","Falta no estoque"))</f>
        <v>OK</v>
      </c>
      <c r="K33" s="157" t="str">
        <f aca="false">IF(J33="OK","",IF(AND(E33=0,F33=0),"Estoque sem movimento no período",IF(G33&lt;0,"Saídas maiores que entradas – estoque anterior ao período?",IF(H33=0,"Saldo calculado sem estoque físico – verificar",IF(I33&gt;0,"Estoque acima do esperado – saldo anterior ou entrada não listada","Estoque abaixo do esperado – saída/ajuste não listado")))))</f>
        <v/>
      </c>
      <c r="L33" s="158" t="str">
        <f aca="false">IF(D33=0,"",D33-E33)</f>
        <v/>
      </c>
    </row>
    <row r="34" customFormat="false" ht="15" hidden="false" customHeight="false" outlineLevel="0" collapsed="false">
      <c r="A34" s="157" t="s">
        <v>192</v>
      </c>
      <c r="B34" s="157" t="s">
        <v>195</v>
      </c>
      <c r="C34" s="157" t="s">
        <v>65</v>
      </c>
      <c r="D34" s="158" t="n">
        <f aca="false">SUMIFS('3 Base Entrada 2008'!$G$2:$G$5000,'3 Base Entrada 2008'!$B$2:$B$5000,$A34,'3 Base Entrada 2008'!$C$2:$C$5000,$B34,'3 Base Entrada 2008'!$K$2:$K$5000,"Recebido no 2008")</f>
        <v>0</v>
      </c>
      <c r="E34" s="158" t="n">
        <f aca="false">SUMIFS('3 Base Entrada 2008'!$L$2:$L$5000,'3 Base Entrada 2008'!$B$2:$B$5000,$A34,'3 Base Entrada 2008'!$C$2:$C$5000,$B34)</f>
        <v>3015</v>
      </c>
      <c r="F34" s="158" t="n">
        <f aca="false">SUMIFS('3 Base Saídas'!$R$2:$R$5000,'3 Base Saídas'!$B$2:$B$5000,$A34,'3 Base Saídas'!$C$2:$C$5000,$B34)</f>
        <v>2673.3</v>
      </c>
      <c r="G34" s="158" t="n">
        <f aca="false">SUMIFS('3 Base Saldo Inicial 08-09'!$E$2:$E$5000,'3 Base Saldo Inicial 08-09'!$A$2:$A$5000,$A34,'3 Base Saldo Inicial 08-09'!$B$2:$B$5000,$B34)-SUMIFS('3 Base Saldo Inicial 08-09'!$E$2:$E$5000,'3 Base Saldo Inicial 08-09'!$A$2:$A$5000,$A34,'3 Base Saldo Inicial 08-09'!$B$2:$B$5000,$B34,'3 Base Saldo Inicial 08-09'!$C$2:$C$5000,"2008")+E34-F34</f>
        <v>341.7</v>
      </c>
      <c r="H34" s="158" t="n">
        <f aca="false">SUMIFS('3 Base Estoque Físico'!$J$2:$J$5000,'3 Base Estoque Físico'!$A$2:$A$5000,$A34,'3 Base Estoque Físico'!$B$2:$B$5000,$B34)</f>
        <v>341.7</v>
      </c>
      <c r="I34" s="192" t="n">
        <f aca="false">ROUND(H34-G34,3)</f>
        <v>0</v>
      </c>
      <c r="J34" s="157" t="str">
        <f aca="false">IF(ABS(I34)&lt;=Parâmetros!$C$7,"OK",IF(I34&gt;0,"Sobra no estoque","Falta no estoque"))</f>
        <v>OK</v>
      </c>
      <c r="K34" s="157" t="str">
        <f aca="false">IF(J34="OK","",IF(AND(E34=0,F34=0),"Estoque sem movimento no período",IF(G34&lt;0,"Saídas maiores que entradas – estoque anterior ao período?",IF(H34=0,"Saldo calculado sem estoque físico – verificar",IF(I34&gt;0,"Estoque acima do esperado – saldo anterior ou entrada não listada","Estoque abaixo do esperado – saída/ajuste não listado")))))</f>
        <v/>
      </c>
      <c r="L34" s="158" t="str">
        <f aca="false">IF(D34=0,"",D34-E34)</f>
        <v/>
      </c>
    </row>
    <row r="35" customFormat="false" ht="15" hidden="false" customHeight="false" outlineLevel="0" collapsed="false">
      <c r="A35" s="157" t="s">
        <v>201</v>
      </c>
      <c r="B35" s="157" t="s">
        <v>203</v>
      </c>
      <c r="C35" s="157" t="s">
        <v>65</v>
      </c>
      <c r="D35" s="158" t="n">
        <f aca="false">SUMIFS('3 Base Entrada 2008'!$G$2:$G$5000,'3 Base Entrada 2008'!$B$2:$B$5000,$A35,'3 Base Entrada 2008'!$C$2:$C$5000,$B35,'3 Base Entrada 2008'!$K$2:$K$5000,"Recebido no 2008")</f>
        <v>0</v>
      </c>
      <c r="E35" s="158" t="n">
        <f aca="false">SUMIFS('3 Base Entrada 2008'!$L$2:$L$5000,'3 Base Entrada 2008'!$B$2:$B$5000,$A35,'3 Base Entrada 2008'!$C$2:$C$5000,$B35)</f>
        <v>142.8</v>
      </c>
      <c r="F35" s="158" t="n">
        <f aca="false">SUMIFS('3 Base Saídas'!$R$2:$R$5000,'3 Base Saídas'!$B$2:$B$5000,$A35,'3 Base Saídas'!$C$2:$C$5000,$B35)</f>
        <v>0</v>
      </c>
      <c r="G35" s="158" t="n">
        <f aca="false">SUMIFS('3 Base Saldo Inicial 08-09'!$E$2:$E$5000,'3 Base Saldo Inicial 08-09'!$A$2:$A$5000,$A35,'3 Base Saldo Inicial 08-09'!$B$2:$B$5000,$B35)-SUMIFS('3 Base Saldo Inicial 08-09'!$E$2:$E$5000,'3 Base Saldo Inicial 08-09'!$A$2:$A$5000,$A35,'3 Base Saldo Inicial 08-09'!$B$2:$B$5000,$B35,'3 Base Saldo Inicial 08-09'!$C$2:$C$5000,"2008")+E35-F35</f>
        <v>142.8</v>
      </c>
      <c r="H35" s="158" t="n">
        <f aca="false">SUMIFS('3 Base Estoque Físico'!$J$2:$J$5000,'3 Base Estoque Físico'!$A$2:$A$5000,$A35,'3 Base Estoque Físico'!$B$2:$B$5000,$B35)</f>
        <v>142.8</v>
      </c>
      <c r="I35" s="192" t="n">
        <f aca="false">ROUND(H35-G35,3)</f>
        <v>0</v>
      </c>
      <c r="J35" s="157" t="str">
        <f aca="false">IF(ABS(I35)&lt;=Parâmetros!$C$7,"OK",IF(I35&gt;0,"Sobra no estoque","Falta no estoque"))</f>
        <v>OK</v>
      </c>
      <c r="K35" s="157" t="str">
        <f aca="false">IF(J35="OK","",IF(AND(E35=0,F35=0),"Estoque sem movimento no período",IF(G35&lt;0,"Saídas maiores que entradas – estoque anterior ao período?",IF(H35=0,"Saldo calculado sem estoque físico – verificar",IF(I35&gt;0,"Estoque acima do esperado – saldo anterior ou entrada não listada","Estoque abaixo do esperado – saída/ajuste não listado")))))</f>
        <v/>
      </c>
      <c r="L35" s="158" t="str">
        <f aca="false">IF(D35=0,"",D35-E35)</f>
        <v/>
      </c>
    </row>
    <row r="36" customFormat="false" ht="15" hidden="false" customHeight="false" outlineLevel="0" collapsed="false">
      <c r="A36" s="157" t="s">
        <v>211</v>
      </c>
      <c r="B36" s="157" t="s">
        <v>214</v>
      </c>
      <c r="C36" s="157" t="s">
        <v>65</v>
      </c>
      <c r="D36" s="158" t="n">
        <f aca="false">SUMIFS('3 Base Entrada 2008'!$G$2:$G$5000,'3 Base Entrada 2008'!$B$2:$B$5000,$A36,'3 Base Entrada 2008'!$C$2:$C$5000,$B36,'3 Base Entrada 2008'!$K$2:$K$5000,"Recebido no 2008")</f>
        <v>0</v>
      </c>
      <c r="E36" s="158" t="n">
        <f aca="false">SUMIFS('3 Base Entrada 2008'!$L$2:$L$5000,'3 Base Entrada 2008'!$B$2:$B$5000,$A36,'3 Base Entrada 2008'!$C$2:$C$5000,$B36)</f>
        <v>1500</v>
      </c>
      <c r="F36" s="158" t="n">
        <f aca="false">SUMIFS('3 Base Saídas'!$R$2:$R$5000,'3 Base Saídas'!$B$2:$B$5000,$A36,'3 Base Saídas'!$C$2:$C$5000,$B36)</f>
        <v>0</v>
      </c>
      <c r="G36" s="158" t="n">
        <f aca="false">SUMIFS('3 Base Saldo Inicial 08-09'!$E$2:$E$5000,'3 Base Saldo Inicial 08-09'!$A$2:$A$5000,$A36,'3 Base Saldo Inicial 08-09'!$B$2:$B$5000,$B36)-SUMIFS('3 Base Saldo Inicial 08-09'!$E$2:$E$5000,'3 Base Saldo Inicial 08-09'!$A$2:$A$5000,$A36,'3 Base Saldo Inicial 08-09'!$B$2:$B$5000,$B36,'3 Base Saldo Inicial 08-09'!$C$2:$C$5000,"2008")+E36-F36</f>
        <v>1500</v>
      </c>
      <c r="H36" s="158" t="n">
        <f aca="false">SUMIFS('3 Base Estoque Físico'!$J$2:$J$5000,'3 Base Estoque Físico'!$A$2:$A$5000,$A36,'3 Base Estoque Físico'!$B$2:$B$5000,$B36)</f>
        <v>1500</v>
      </c>
      <c r="I36" s="192" t="n">
        <f aca="false">ROUND(H36-G36,3)</f>
        <v>0</v>
      </c>
      <c r="J36" s="157" t="str">
        <f aca="false">IF(ABS(I36)&lt;=Parâmetros!$C$7,"OK",IF(I36&gt;0,"Sobra no estoque","Falta no estoque"))</f>
        <v>OK</v>
      </c>
      <c r="K36" s="157" t="str">
        <f aca="false">IF(J36="OK","",IF(AND(E36=0,F36=0),"Estoque sem movimento no período",IF(G36&lt;0,"Saídas maiores que entradas – estoque anterior ao período?",IF(H36=0,"Saldo calculado sem estoque físico – verificar",IF(I36&gt;0,"Estoque acima do esperado – saldo anterior ou entrada não listada","Estoque abaixo do esperado – saída/ajuste não listado")))))</f>
        <v/>
      </c>
      <c r="L36" s="158" t="str">
        <f aca="false">IF(D36=0,"",D36-E36)</f>
        <v/>
      </c>
    </row>
    <row r="37" customFormat="false" ht="15" hidden="false" customHeight="false" outlineLevel="0" collapsed="false">
      <c r="A37" s="157" t="s">
        <v>211</v>
      </c>
      <c r="B37" s="157" t="s">
        <v>212</v>
      </c>
      <c r="C37" s="157" t="s">
        <v>65</v>
      </c>
      <c r="D37" s="158" t="n">
        <f aca="false">SUMIFS('3 Base Entrada 2008'!$G$2:$G$5000,'3 Base Entrada 2008'!$B$2:$B$5000,$A37,'3 Base Entrada 2008'!$C$2:$C$5000,$B37,'3 Base Entrada 2008'!$K$2:$K$5000,"Recebido no 2008")</f>
        <v>0</v>
      </c>
      <c r="E37" s="158" t="n">
        <f aca="false">SUMIFS('3 Base Entrada 2008'!$L$2:$L$5000,'3 Base Entrada 2008'!$B$2:$B$5000,$A37,'3 Base Entrada 2008'!$C$2:$C$5000,$B37)</f>
        <v>1750</v>
      </c>
      <c r="F37" s="158" t="n">
        <f aca="false">SUMIFS('3 Base Saídas'!$R$2:$R$5000,'3 Base Saídas'!$B$2:$B$5000,$A37,'3 Base Saídas'!$C$2:$C$5000,$B37)</f>
        <v>800</v>
      </c>
      <c r="G37" s="158" t="n">
        <f aca="false">SUMIFS('3 Base Saldo Inicial 08-09'!$E$2:$E$5000,'3 Base Saldo Inicial 08-09'!$A$2:$A$5000,$A37,'3 Base Saldo Inicial 08-09'!$B$2:$B$5000,$B37)-SUMIFS('3 Base Saldo Inicial 08-09'!$E$2:$E$5000,'3 Base Saldo Inicial 08-09'!$A$2:$A$5000,$A37,'3 Base Saldo Inicial 08-09'!$B$2:$B$5000,$B37,'3 Base Saldo Inicial 08-09'!$C$2:$C$5000,"2008")+E37-F37</f>
        <v>950</v>
      </c>
      <c r="H37" s="158" t="n">
        <f aca="false">SUMIFS('3 Base Estoque Físico'!$J$2:$J$5000,'3 Base Estoque Físico'!$A$2:$A$5000,$A37,'3 Base Estoque Físico'!$B$2:$B$5000,$B37)</f>
        <v>950</v>
      </c>
      <c r="I37" s="192" t="n">
        <f aca="false">ROUND(H37-G37,3)</f>
        <v>0</v>
      </c>
      <c r="J37" s="157" t="str">
        <f aca="false">IF(ABS(I37)&lt;=Parâmetros!$C$7,"OK",IF(I37&gt;0,"Sobra no estoque","Falta no estoque"))</f>
        <v>OK</v>
      </c>
      <c r="K37" s="157" t="str">
        <f aca="false">IF(J37="OK","",IF(AND(E37=0,F37=0),"Estoque sem movimento no período",IF(G37&lt;0,"Saídas maiores que entradas – estoque anterior ao período?",IF(H37=0,"Saldo calculado sem estoque físico – verificar",IF(I37&gt;0,"Estoque acima do esperado – saldo anterior ou entrada não listada","Estoque abaixo do esperado – saída/ajuste não listado")))))</f>
        <v/>
      </c>
      <c r="L37" s="158" t="str">
        <f aca="false">IF(D37=0,"",D37-E37)</f>
        <v/>
      </c>
    </row>
    <row r="38" customFormat="false" ht="15" hidden="false" customHeight="false" outlineLevel="0" collapsed="false">
      <c r="A38" s="157" t="s">
        <v>218</v>
      </c>
      <c r="B38" s="157" t="s">
        <v>317</v>
      </c>
      <c r="C38" s="157" t="s">
        <v>65</v>
      </c>
      <c r="D38" s="158" t="n">
        <f aca="false">SUMIFS('3 Base Entrada 2008'!$G$2:$G$5000,'3 Base Entrada 2008'!$B$2:$B$5000,$A38,'3 Base Entrada 2008'!$C$2:$C$5000,$B38,'3 Base Entrada 2008'!$K$2:$K$5000,"Recebido no 2008")</f>
        <v>0</v>
      </c>
      <c r="E38" s="158" t="n">
        <f aca="false">SUMIFS('3 Base Entrada 2008'!$L$2:$L$5000,'3 Base Entrada 2008'!$B$2:$B$5000,$A38,'3 Base Entrada 2008'!$C$2:$C$5000,$B38)</f>
        <v>1800</v>
      </c>
      <c r="F38" s="158" t="n">
        <f aca="false">SUMIFS('3 Base Saídas'!$R$2:$R$5000,'3 Base Saídas'!$B$2:$B$5000,$A38,'3 Base Saídas'!$C$2:$C$5000,$B38)</f>
        <v>1780</v>
      </c>
      <c r="G38" s="158" t="n">
        <f aca="false">SUMIFS('3 Base Saldo Inicial 08-09'!$E$2:$E$5000,'3 Base Saldo Inicial 08-09'!$A$2:$A$5000,$A38,'3 Base Saldo Inicial 08-09'!$B$2:$B$5000,$B38)-SUMIFS('3 Base Saldo Inicial 08-09'!$E$2:$E$5000,'3 Base Saldo Inicial 08-09'!$A$2:$A$5000,$A38,'3 Base Saldo Inicial 08-09'!$B$2:$B$5000,$B38,'3 Base Saldo Inicial 08-09'!$C$2:$C$5000,"2008")+E38-F38</f>
        <v>20</v>
      </c>
      <c r="H38" s="158" t="n">
        <f aca="false">SUMIFS('3 Base Estoque Físico'!$J$2:$J$5000,'3 Base Estoque Físico'!$A$2:$A$5000,$A38,'3 Base Estoque Físico'!$B$2:$B$5000,$B38)</f>
        <v>20</v>
      </c>
      <c r="I38" s="192" t="n">
        <f aca="false">ROUND(H38-G38,3)</f>
        <v>0</v>
      </c>
      <c r="J38" s="157" t="str">
        <f aca="false">IF(ABS(I38)&lt;=Parâmetros!$C$7,"OK",IF(I38&gt;0,"Sobra no estoque","Falta no estoque"))</f>
        <v>OK</v>
      </c>
      <c r="K38" s="157" t="str">
        <f aca="false">IF(J38="OK","",IF(AND(E38=0,F38=0),"Estoque sem movimento no período",IF(G38&lt;0,"Saídas maiores que entradas – estoque anterior ao período?",IF(H38=0,"Saldo calculado sem estoque físico – verificar",IF(I38&gt;0,"Estoque acima do esperado – saldo anterior ou entrada não listada","Estoque abaixo do esperado – saída/ajuste não listado")))))</f>
        <v/>
      </c>
      <c r="L38" s="158" t="str">
        <f aca="false">IF(D38=0,"",D38-E38)</f>
        <v/>
      </c>
    </row>
    <row r="39" customFormat="false" ht="15" hidden="false" customHeight="false" outlineLevel="0" collapsed="false">
      <c r="A39" s="157" t="s">
        <v>218</v>
      </c>
      <c r="B39" s="157" t="s">
        <v>318</v>
      </c>
      <c r="C39" s="157" t="s">
        <v>65</v>
      </c>
      <c r="D39" s="158" t="n">
        <f aca="false">SUMIFS('3 Base Entrada 2008'!$G$2:$G$5000,'3 Base Entrada 2008'!$B$2:$B$5000,$A39,'3 Base Entrada 2008'!$C$2:$C$5000,$B39,'3 Base Entrada 2008'!$K$2:$K$5000,"Recebido no 2008")</f>
        <v>0</v>
      </c>
      <c r="E39" s="158" t="n">
        <f aca="false">SUMIFS('3 Base Entrada 2008'!$L$2:$L$5000,'3 Base Entrada 2008'!$B$2:$B$5000,$A39,'3 Base Entrada 2008'!$C$2:$C$5000,$B39)</f>
        <v>600</v>
      </c>
      <c r="F39" s="158" t="n">
        <f aca="false">SUMIFS('3 Base Saídas'!$R$2:$R$5000,'3 Base Saídas'!$B$2:$B$5000,$A39,'3 Base Saídas'!$C$2:$C$5000,$B39)</f>
        <v>0</v>
      </c>
      <c r="G39" s="158" t="n">
        <f aca="false">SUMIFS('3 Base Saldo Inicial 08-09'!$E$2:$E$5000,'3 Base Saldo Inicial 08-09'!$A$2:$A$5000,$A39,'3 Base Saldo Inicial 08-09'!$B$2:$B$5000,$B39)-SUMIFS('3 Base Saldo Inicial 08-09'!$E$2:$E$5000,'3 Base Saldo Inicial 08-09'!$A$2:$A$5000,$A39,'3 Base Saldo Inicial 08-09'!$B$2:$B$5000,$B39,'3 Base Saldo Inicial 08-09'!$C$2:$C$5000,"2008")+E39-F39</f>
        <v>600</v>
      </c>
      <c r="H39" s="158" t="n">
        <f aca="false">SUMIFS('3 Base Estoque Físico'!$J$2:$J$5000,'3 Base Estoque Físico'!$A$2:$A$5000,$A39,'3 Base Estoque Físico'!$B$2:$B$5000,$B39)</f>
        <v>600</v>
      </c>
      <c r="I39" s="192" t="n">
        <f aca="false">ROUND(H39-G39,3)</f>
        <v>0</v>
      </c>
      <c r="J39" s="157" t="str">
        <f aca="false">IF(ABS(I39)&lt;=Parâmetros!$C$7,"OK",IF(I39&gt;0,"Sobra no estoque","Falta no estoque"))</f>
        <v>OK</v>
      </c>
      <c r="K39" s="157" t="str">
        <f aca="false">IF(J39="OK","",IF(AND(E39=0,F39=0),"Estoque sem movimento no período",IF(G39&lt;0,"Saídas maiores que entradas – estoque anterior ao período?",IF(H39=0,"Saldo calculado sem estoque físico – verificar",IF(I39&gt;0,"Estoque acima do esperado – saldo anterior ou entrada não listada","Estoque abaixo do esperado – saída/ajuste não listado")))))</f>
        <v/>
      </c>
      <c r="L39" s="158" t="str">
        <f aca="false">IF(D39=0,"",D39-E39)</f>
        <v/>
      </c>
    </row>
    <row r="40" customFormat="false" ht="15" hidden="false" customHeight="false" outlineLevel="0" collapsed="false">
      <c r="A40" s="157" t="s">
        <v>218</v>
      </c>
      <c r="B40" s="157" t="s">
        <v>319</v>
      </c>
      <c r="C40" s="157" t="s">
        <v>65</v>
      </c>
      <c r="D40" s="158" t="n">
        <f aca="false">SUMIFS('3 Base Entrada 2008'!$G$2:$G$5000,'3 Base Entrada 2008'!$B$2:$B$5000,$A40,'3 Base Entrada 2008'!$C$2:$C$5000,$B40,'3 Base Entrada 2008'!$K$2:$K$5000,"Recebido no 2008")</f>
        <v>4360</v>
      </c>
      <c r="E40" s="158" t="n">
        <f aca="false">SUMIFS('3 Base Entrada 2008'!$L$2:$L$5000,'3 Base Entrada 2008'!$B$2:$B$5000,$A40,'3 Base Entrada 2008'!$C$2:$C$5000,$B40)</f>
        <v>1180</v>
      </c>
      <c r="F40" s="158" t="n">
        <f aca="false">SUMIFS('3 Base Saídas'!$R$2:$R$5000,'3 Base Saídas'!$B$2:$B$5000,$A40,'3 Base Saídas'!$C$2:$C$5000,$B40)</f>
        <v>1160</v>
      </c>
      <c r="G40" s="158" t="n">
        <f aca="false">SUMIFS('3 Base Saldo Inicial 08-09'!$E$2:$E$5000,'3 Base Saldo Inicial 08-09'!$A$2:$A$5000,$A40,'3 Base Saldo Inicial 08-09'!$B$2:$B$5000,$B40)-SUMIFS('3 Base Saldo Inicial 08-09'!$E$2:$E$5000,'3 Base Saldo Inicial 08-09'!$A$2:$A$5000,$A40,'3 Base Saldo Inicial 08-09'!$B$2:$B$5000,$B40,'3 Base Saldo Inicial 08-09'!$C$2:$C$5000,"2008")+E40-F40</f>
        <v>20</v>
      </c>
      <c r="H40" s="158" t="n">
        <f aca="false">SUMIFS('3 Base Estoque Físico'!$J$2:$J$5000,'3 Base Estoque Físico'!$A$2:$A$5000,$A40,'3 Base Estoque Físico'!$B$2:$B$5000,$B40)</f>
        <v>20</v>
      </c>
      <c r="I40" s="192" t="n">
        <f aca="false">ROUND(H40-G40,3)</f>
        <v>0</v>
      </c>
      <c r="J40" s="157" t="str">
        <f aca="false">IF(ABS(I40)&lt;=Parâmetros!$C$7,"OK",IF(I40&gt;0,"Sobra no estoque","Falta no estoque"))</f>
        <v>OK</v>
      </c>
      <c r="K40" s="157" t="str">
        <f aca="false">IF(J40="OK","",IF(AND(E40=0,F40=0),"Estoque sem movimento no período",IF(G40&lt;0,"Saídas maiores que entradas – estoque anterior ao período?",IF(H40=0,"Saldo calculado sem estoque físico – verificar",IF(I40&gt;0,"Estoque acima do esperado – saldo anterior ou entrada não listada","Estoque abaixo do esperado – saída/ajuste não listado")))))</f>
        <v/>
      </c>
      <c r="L40" s="158" t="n">
        <f aca="false">IF(D40=0,"",D40-E40)</f>
        <v>3180</v>
      </c>
    </row>
    <row r="41" customFormat="false" ht="15" hidden="false" customHeight="false" outlineLevel="0" collapsed="false">
      <c r="A41" s="157" t="s">
        <v>218</v>
      </c>
      <c r="B41" s="157" t="s">
        <v>219</v>
      </c>
      <c r="C41" s="157" t="s">
        <v>65</v>
      </c>
      <c r="D41" s="158" t="n">
        <f aca="false">SUMIFS('3 Base Entrada 2008'!$G$2:$G$5000,'3 Base Entrada 2008'!$B$2:$B$5000,$A41,'3 Base Entrada 2008'!$C$2:$C$5000,$B41,'3 Base Entrada 2008'!$K$2:$K$5000,"Recebido no 2008")</f>
        <v>5240</v>
      </c>
      <c r="E41" s="158" t="n">
        <f aca="false">SUMIFS('3 Base Entrada 2008'!$L$2:$L$5000,'3 Base Entrada 2008'!$B$2:$B$5000,$A41,'3 Base Entrada 2008'!$C$2:$C$5000,$B41)</f>
        <v>1660</v>
      </c>
      <c r="F41" s="158" t="n">
        <f aca="false">SUMIFS('3 Base Saídas'!$R$2:$R$5000,'3 Base Saídas'!$B$2:$B$5000,$A41,'3 Base Saídas'!$C$2:$C$5000,$B41)</f>
        <v>580</v>
      </c>
      <c r="G41" s="158" t="n">
        <f aca="false">SUMIFS('3 Base Saldo Inicial 08-09'!$E$2:$E$5000,'3 Base Saldo Inicial 08-09'!$A$2:$A$5000,$A41,'3 Base Saldo Inicial 08-09'!$B$2:$B$5000,$B41)-SUMIFS('3 Base Saldo Inicial 08-09'!$E$2:$E$5000,'3 Base Saldo Inicial 08-09'!$A$2:$A$5000,$A41,'3 Base Saldo Inicial 08-09'!$B$2:$B$5000,$B41,'3 Base Saldo Inicial 08-09'!$C$2:$C$5000,"2008")+E41-F41</f>
        <v>1080</v>
      </c>
      <c r="H41" s="158" t="n">
        <f aca="false">SUMIFS('3 Base Estoque Físico'!$J$2:$J$5000,'3 Base Estoque Físico'!$A$2:$A$5000,$A41,'3 Base Estoque Físico'!$B$2:$B$5000,$B41)</f>
        <v>1080</v>
      </c>
      <c r="I41" s="192" t="n">
        <f aca="false">ROUND(H41-G41,3)</f>
        <v>0</v>
      </c>
      <c r="J41" s="157" t="str">
        <f aca="false">IF(ABS(I41)&lt;=Parâmetros!$C$7,"OK",IF(I41&gt;0,"Sobra no estoque","Falta no estoque"))</f>
        <v>OK</v>
      </c>
      <c r="K41" s="157" t="str">
        <f aca="false">IF(J41="OK","",IF(AND(E41=0,F41=0),"Estoque sem movimento no período",IF(G41&lt;0,"Saídas maiores que entradas – estoque anterior ao período?",IF(H41=0,"Saldo calculado sem estoque físico – verificar",IF(I41&gt;0,"Estoque acima do esperado – saldo anterior ou entrada não listada","Estoque abaixo do esperado – saída/ajuste não listado")))))</f>
        <v/>
      </c>
      <c r="L41" s="158" t="n">
        <f aca="false">IF(D41=0,"",D41-E41)</f>
        <v>3580</v>
      </c>
    </row>
    <row r="42" customFormat="false" ht="15" hidden="false" customHeight="false" outlineLevel="0" collapsed="false">
      <c r="A42" s="157" t="s">
        <v>220</v>
      </c>
      <c r="B42" s="157" t="s">
        <v>223</v>
      </c>
      <c r="C42" s="157" t="s">
        <v>65</v>
      </c>
      <c r="D42" s="158" t="n">
        <f aca="false">SUMIFS('3 Base Entrada 2008'!$G$2:$G$5000,'3 Base Entrada 2008'!$B$2:$B$5000,$A42,'3 Base Entrada 2008'!$C$2:$C$5000,$B42,'3 Base Entrada 2008'!$K$2:$K$5000,"Recebido no 2008")</f>
        <v>0</v>
      </c>
      <c r="E42" s="158" t="n">
        <f aca="false">SUMIFS('3 Base Entrada 2008'!$L$2:$L$5000,'3 Base Entrada 2008'!$B$2:$B$5000,$A42,'3 Base Entrada 2008'!$C$2:$C$5000,$B42)</f>
        <v>461.9</v>
      </c>
      <c r="F42" s="158" t="n">
        <f aca="false">SUMIFS('3 Base Saídas'!$R$2:$R$5000,'3 Base Saídas'!$B$2:$B$5000,$A42,'3 Base Saídas'!$C$2:$C$5000,$B42)</f>
        <v>442.2</v>
      </c>
      <c r="G42" s="158" t="n">
        <f aca="false">SUMIFS('3 Base Saldo Inicial 08-09'!$E$2:$E$5000,'3 Base Saldo Inicial 08-09'!$A$2:$A$5000,$A42,'3 Base Saldo Inicial 08-09'!$B$2:$B$5000,$B42)-SUMIFS('3 Base Saldo Inicial 08-09'!$E$2:$E$5000,'3 Base Saldo Inicial 08-09'!$A$2:$A$5000,$A42,'3 Base Saldo Inicial 08-09'!$B$2:$B$5000,$B42,'3 Base Saldo Inicial 08-09'!$C$2:$C$5000,"2008")+E42-F42</f>
        <v>19.7</v>
      </c>
      <c r="H42" s="158" t="n">
        <f aca="false">SUMIFS('3 Base Estoque Físico'!$J$2:$J$5000,'3 Base Estoque Físico'!$A$2:$A$5000,$A42,'3 Base Estoque Físico'!$B$2:$B$5000,$B42)</f>
        <v>19.7</v>
      </c>
      <c r="I42" s="192" t="n">
        <f aca="false">ROUND(H42-G42,3)</f>
        <v>0</v>
      </c>
      <c r="J42" s="157" t="str">
        <f aca="false">IF(ABS(I42)&lt;=Parâmetros!$C$7,"OK",IF(I42&gt;0,"Sobra no estoque","Falta no estoque"))</f>
        <v>OK</v>
      </c>
      <c r="K42" s="157" t="str">
        <f aca="false">IF(J42="OK","",IF(AND(E42=0,F42=0),"Estoque sem movimento no período",IF(G42&lt;0,"Saídas maiores que entradas – estoque anterior ao período?",IF(H42=0,"Saldo calculado sem estoque físico – verificar",IF(I42&gt;0,"Estoque acima do esperado – saldo anterior ou entrada não listada","Estoque abaixo do esperado – saída/ajuste não listado")))))</f>
        <v/>
      </c>
      <c r="L42" s="158" t="str">
        <f aca="false">IF(D42=0,"",D42-E42)</f>
        <v/>
      </c>
    </row>
    <row r="43" customFormat="false" ht="15" hidden="false" customHeight="false" outlineLevel="0" collapsed="false">
      <c r="A43" s="157" t="s">
        <v>220</v>
      </c>
      <c r="B43" s="157" t="s">
        <v>224</v>
      </c>
      <c r="C43" s="157" t="s">
        <v>65</v>
      </c>
      <c r="D43" s="158" t="n">
        <f aca="false">SUMIFS('3 Base Entrada 2008'!$G$2:$G$5000,'3 Base Entrada 2008'!$B$2:$B$5000,$A43,'3 Base Entrada 2008'!$C$2:$C$5000,$B43,'3 Base Entrada 2008'!$K$2:$K$5000,"Recebido no 2008")</f>
        <v>0</v>
      </c>
      <c r="E43" s="158" t="n">
        <f aca="false">SUMIFS('3 Base Entrada 2008'!$L$2:$L$5000,'3 Base Entrada 2008'!$B$2:$B$5000,$A43,'3 Base Entrada 2008'!$C$2:$C$5000,$B43)</f>
        <v>1809</v>
      </c>
      <c r="F43" s="158" t="n">
        <f aca="false">SUMIFS('3 Base Saídas'!$R$2:$R$5000,'3 Base Saídas'!$B$2:$B$5000,$A43,'3 Base Saídas'!$C$2:$C$5000,$B43)</f>
        <v>1025.1</v>
      </c>
      <c r="G43" s="158" t="n">
        <f aca="false">SUMIFS('3 Base Saldo Inicial 08-09'!$E$2:$E$5000,'3 Base Saldo Inicial 08-09'!$A$2:$A$5000,$A43,'3 Base Saldo Inicial 08-09'!$B$2:$B$5000,$B43)-SUMIFS('3 Base Saldo Inicial 08-09'!$E$2:$E$5000,'3 Base Saldo Inicial 08-09'!$A$2:$A$5000,$A43,'3 Base Saldo Inicial 08-09'!$B$2:$B$5000,$B43,'3 Base Saldo Inicial 08-09'!$C$2:$C$5000,"2008")+E43-F43</f>
        <v>783.9</v>
      </c>
      <c r="H43" s="158" t="n">
        <f aca="false">SUMIFS('3 Base Estoque Físico'!$J$2:$J$5000,'3 Base Estoque Físico'!$A$2:$A$5000,$A43,'3 Base Estoque Físico'!$B$2:$B$5000,$B43)</f>
        <v>783.9</v>
      </c>
      <c r="I43" s="192" t="n">
        <f aca="false">ROUND(H43-G43,3)</f>
        <v>0</v>
      </c>
      <c r="J43" s="157" t="str">
        <f aca="false">IF(ABS(I43)&lt;=Parâmetros!$C$7,"OK",IF(I43&gt;0,"Sobra no estoque","Falta no estoque"))</f>
        <v>OK</v>
      </c>
      <c r="K43" s="157" t="str">
        <f aca="false">IF(J43="OK","",IF(AND(E43=0,F43=0),"Estoque sem movimento no período",IF(G43&lt;0,"Saídas maiores que entradas – estoque anterior ao período?",IF(H43=0,"Saldo calculado sem estoque físico – verificar",IF(I43&gt;0,"Estoque acima do esperado – saldo anterior ou entrada não listada","Estoque abaixo do esperado – saída/ajuste não listado")))))</f>
        <v/>
      </c>
      <c r="L43" s="158" t="str">
        <f aca="false">IF(D43=0,"",D43-E43)</f>
        <v/>
      </c>
    </row>
    <row r="44" customFormat="false" ht="15" hidden="false" customHeight="false" outlineLevel="0" collapsed="false">
      <c r="A44" s="157" t="s">
        <v>225</v>
      </c>
      <c r="B44" s="157" t="s">
        <v>226</v>
      </c>
      <c r="C44" s="157" t="s">
        <v>65</v>
      </c>
      <c r="D44" s="158" t="n">
        <f aca="false">SUMIFS('3 Base Entrada 2008'!$G$2:$G$5000,'3 Base Entrada 2008'!$B$2:$B$5000,$A44,'3 Base Entrada 2008'!$C$2:$C$5000,$B44,'3 Base Entrada 2008'!$K$2:$K$5000,"Recebido no 2008")</f>
        <v>0</v>
      </c>
      <c r="E44" s="158" t="n">
        <f aca="false">SUMIFS('3 Base Entrada 2008'!$L$2:$L$5000,'3 Base Entrada 2008'!$B$2:$B$5000,$A44,'3 Base Entrada 2008'!$C$2:$C$5000,$B44)</f>
        <v>1000</v>
      </c>
      <c r="F44" s="158" t="n">
        <f aca="false">SUMIFS('3 Base Saídas'!$R$2:$R$5000,'3 Base Saídas'!$B$2:$B$5000,$A44,'3 Base Saídas'!$C$2:$C$5000,$B44)</f>
        <v>0</v>
      </c>
      <c r="G44" s="158" t="n">
        <f aca="false">SUMIFS('3 Base Saldo Inicial 08-09'!$E$2:$E$5000,'3 Base Saldo Inicial 08-09'!$A$2:$A$5000,$A44,'3 Base Saldo Inicial 08-09'!$B$2:$B$5000,$B44)-SUMIFS('3 Base Saldo Inicial 08-09'!$E$2:$E$5000,'3 Base Saldo Inicial 08-09'!$A$2:$A$5000,$A44,'3 Base Saldo Inicial 08-09'!$B$2:$B$5000,$B44,'3 Base Saldo Inicial 08-09'!$C$2:$C$5000,"2008")+E44-F44</f>
        <v>1000</v>
      </c>
      <c r="H44" s="158" t="n">
        <f aca="false">SUMIFS('3 Base Estoque Físico'!$J$2:$J$5000,'3 Base Estoque Físico'!$A$2:$A$5000,$A44,'3 Base Estoque Físico'!$B$2:$B$5000,$B44)</f>
        <v>1000</v>
      </c>
      <c r="I44" s="192" t="n">
        <f aca="false">ROUND(H44-G44,3)</f>
        <v>0</v>
      </c>
      <c r="J44" s="157" t="str">
        <f aca="false">IF(ABS(I44)&lt;=Parâmetros!$C$7,"OK",IF(I44&gt;0,"Sobra no estoque","Falta no estoque"))</f>
        <v>OK</v>
      </c>
      <c r="K44" s="157" t="str">
        <f aca="false">IF(J44="OK","",IF(AND(E44=0,F44=0),"Estoque sem movimento no período",IF(G44&lt;0,"Saídas maiores que entradas – estoque anterior ao período?",IF(H44=0,"Saldo calculado sem estoque físico – verificar",IF(I44&gt;0,"Estoque acima do esperado – saldo anterior ou entrada não listada","Estoque abaixo do esperado – saída/ajuste não listado")))))</f>
        <v/>
      </c>
      <c r="L44" s="158" t="str">
        <f aca="false">IF(D44=0,"",D44-E44)</f>
        <v/>
      </c>
    </row>
    <row r="45" customFormat="false" ht="15" hidden="false" customHeight="false" outlineLevel="0" collapsed="false">
      <c r="A45" s="157" t="s">
        <v>227</v>
      </c>
      <c r="B45" s="157" t="s">
        <v>228</v>
      </c>
      <c r="C45" s="157" t="s">
        <v>65</v>
      </c>
      <c r="D45" s="158" t="n">
        <f aca="false">SUMIFS('3 Base Entrada 2008'!$G$2:$G$5000,'3 Base Entrada 2008'!$B$2:$B$5000,$A45,'3 Base Entrada 2008'!$C$2:$C$5000,$B45,'3 Base Entrada 2008'!$K$2:$K$5000,"Recebido no 2008")</f>
        <v>0</v>
      </c>
      <c r="E45" s="158" t="n">
        <f aca="false">SUMIFS('3 Base Entrada 2008'!$L$2:$L$5000,'3 Base Entrada 2008'!$B$2:$B$5000,$A45,'3 Base Entrada 2008'!$C$2:$C$5000,$B45)</f>
        <v>1800</v>
      </c>
      <c r="F45" s="158" t="n">
        <f aca="false">SUMIFS('3 Base Saídas'!$R$2:$R$5000,'3 Base Saídas'!$B$2:$B$5000,$A45,'3 Base Saídas'!$C$2:$C$5000,$B45)</f>
        <v>0</v>
      </c>
      <c r="G45" s="158" t="n">
        <f aca="false">SUMIFS('3 Base Saldo Inicial 08-09'!$E$2:$E$5000,'3 Base Saldo Inicial 08-09'!$A$2:$A$5000,$A45,'3 Base Saldo Inicial 08-09'!$B$2:$B$5000,$B45)-SUMIFS('3 Base Saldo Inicial 08-09'!$E$2:$E$5000,'3 Base Saldo Inicial 08-09'!$A$2:$A$5000,$A45,'3 Base Saldo Inicial 08-09'!$B$2:$B$5000,$B45,'3 Base Saldo Inicial 08-09'!$C$2:$C$5000,"2008")+E45-F45</f>
        <v>1800</v>
      </c>
      <c r="H45" s="158" t="n">
        <f aca="false">SUMIFS('3 Base Estoque Físico'!$J$2:$J$5000,'3 Base Estoque Físico'!$A$2:$A$5000,$A45,'3 Base Estoque Físico'!$B$2:$B$5000,$B45)</f>
        <v>1800</v>
      </c>
      <c r="I45" s="192" t="n">
        <f aca="false">ROUND(H45-G45,3)</f>
        <v>0</v>
      </c>
      <c r="J45" s="157" t="str">
        <f aca="false">IF(ABS(I45)&lt;=Parâmetros!$C$7,"OK",IF(I45&gt;0,"Sobra no estoque","Falta no estoque"))</f>
        <v>OK</v>
      </c>
      <c r="K45" s="157" t="str">
        <f aca="false">IF(J45="OK","",IF(AND(E45=0,F45=0),"Estoque sem movimento no período",IF(G45&lt;0,"Saídas maiores que entradas – estoque anterior ao período?",IF(H45=0,"Saldo calculado sem estoque físico – verificar",IF(I45&gt;0,"Estoque acima do esperado – saldo anterior ou entrada não listada","Estoque abaixo do esperado – saída/ajuste não listado")))))</f>
        <v/>
      </c>
      <c r="L45" s="158" t="str">
        <f aca="false">IF(D45=0,"",D45-E45)</f>
        <v/>
      </c>
    </row>
    <row r="46" customFormat="false" ht="15" hidden="false" customHeight="false" outlineLevel="0" collapsed="false">
      <c r="A46" s="157" t="s">
        <v>227</v>
      </c>
      <c r="B46" s="157" t="s">
        <v>230</v>
      </c>
      <c r="C46" s="157" t="s">
        <v>65</v>
      </c>
      <c r="D46" s="158" t="n">
        <f aca="false">SUMIFS('3 Base Entrada 2008'!$G$2:$G$5000,'3 Base Entrada 2008'!$B$2:$B$5000,$A46,'3 Base Entrada 2008'!$C$2:$C$5000,$B46,'3 Base Entrada 2008'!$K$2:$K$5000,"Recebido no 2008")</f>
        <v>6000</v>
      </c>
      <c r="E46" s="158" t="n">
        <f aca="false">SUMIFS('3 Base Entrada 2008'!$L$2:$L$5000,'3 Base Entrada 2008'!$B$2:$B$5000,$A46,'3 Base Entrada 2008'!$C$2:$C$5000,$B46)</f>
        <v>5940</v>
      </c>
      <c r="F46" s="158" t="n">
        <f aca="false">SUMIFS('3 Base Saídas'!$R$2:$R$5000,'3 Base Saídas'!$B$2:$B$5000,$A46,'3 Base Saídas'!$C$2:$C$5000,$B46)</f>
        <v>4940</v>
      </c>
      <c r="G46" s="158" t="n">
        <f aca="false">SUMIFS('3 Base Saldo Inicial 08-09'!$E$2:$E$5000,'3 Base Saldo Inicial 08-09'!$A$2:$A$5000,$A46,'3 Base Saldo Inicial 08-09'!$B$2:$B$5000,$B46)-SUMIFS('3 Base Saldo Inicial 08-09'!$E$2:$E$5000,'3 Base Saldo Inicial 08-09'!$A$2:$A$5000,$A46,'3 Base Saldo Inicial 08-09'!$B$2:$B$5000,$B46,'3 Base Saldo Inicial 08-09'!$C$2:$C$5000,"2008")+E46-F46</f>
        <v>1000</v>
      </c>
      <c r="H46" s="158" t="n">
        <f aca="false">SUMIFS('3 Base Estoque Físico'!$J$2:$J$5000,'3 Base Estoque Físico'!$A$2:$A$5000,$A46,'3 Base Estoque Físico'!$B$2:$B$5000,$B46)</f>
        <v>1000</v>
      </c>
      <c r="I46" s="192" t="n">
        <f aca="false">ROUND(H46-G46,3)</f>
        <v>0</v>
      </c>
      <c r="J46" s="157" t="str">
        <f aca="false">IF(ABS(I46)&lt;=Parâmetros!$C$7,"OK",IF(I46&gt;0,"Sobra no estoque","Falta no estoque"))</f>
        <v>OK</v>
      </c>
      <c r="K46" s="157" t="str">
        <f aca="false">IF(J46="OK","",IF(AND(E46=0,F46=0),"Estoque sem movimento no período",IF(G46&lt;0,"Saídas maiores que entradas – estoque anterior ao período?",IF(H46=0,"Saldo calculado sem estoque físico – verificar",IF(I46&gt;0,"Estoque acima do esperado – saldo anterior ou entrada não listada","Estoque abaixo do esperado – saída/ajuste não listado")))))</f>
        <v/>
      </c>
      <c r="L46" s="158" t="n">
        <f aca="false">IF(D46=0,"",D46-E46)</f>
        <v>60</v>
      </c>
    </row>
    <row r="47" customFormat="false" ht="15" hidden="false" customHeight="false" outlineLevel="0" collapsed="false">
      <c r="A47" s="157" t="s">
        <v>327</v>
      </c>
      <c r="B47" s="157" t="s">
        <v>328</v>
      </c>
      <c r="C47" s="157" t="s">
        <v>65</v>
      </c>
      <c r="D47" s="158" t="n">
        <f aca="false">SUMIFS('3 Base Entrada 2008'!$G$2:$G$5000,'3 Base Entrada 2008'!$B$2:$B$5000,$A47,'3 Base Entrada 2008'!$C$2:$C$5000,$B47,'3 Base Entrada 2008'!$K$2:$K$5000,"Recebido no 2008")</f>
        <v>0</v>
      </c>
      <c r="E47" s="158" t="n">
        <f aca="false">SUMIFS('3 Base Entrada 2008'!$L$2:$L$5000,'3 Base Entrada 2008'!$B$2:$B$5000,$A47,'3 Base Entrada 2008'!$C$2:$C$5000,$B47)</f>
        <v>720</v>
      </c>
      <c r="F47" s="158" t="n">
        <f aca="false">SUMIFS('3 Base Saídas'!$R$2:$R$5000,'3 Base Saídas'!$B$2:$B$5000,$A47,'3 Base Saídas'!$C$2:$C$5000,$B47)</f>
        <v>240</v>
      </c>
      <c r="G47" s="158" t="n">
        <f aca="false">SUMIFS('3 Base Saldo Inicial 08-09'!$E$2:$E$5000,'3 Base Saldo Inicial 08-09'!$A$2:$A$5000,$A47,'3 Base Saldo Inicial 08-09'!$B$2:$B$5000,$B47)-SUMIFS('3 Base Saldo Inicial 08-09'!$E$2:$E$5000,'3 Base Saldo Inicial 08-09'!$A$2:$A$5000,$A47,'3 Base Saldo Inicial 08-09'!$B$2:$B$5000,$B47,'3 Base Saldo Inicial 08-09'!$C$2:$C$5000,"2008")+E47-F47</f>
        <v>480</v>
      </c>
      <c r="H47" s="158" t="n">
        <f aca="false">SUMIFS('3 Base Estoque Físico'!$J$2:$J$5000,'3 Base Estoque Físico'!$A$2:$A$5000,$A47,'3 Base Estoque Físico'!$B$2:$B$5000,$B47)</f>
        <v>480</v>
      </c>
      <c r="I47" s="192" t="n">
        <f aca="false">ROUND(H47-G47,3)</f>
        <v>0</v>
      </c>
      <c r="J47" s="157" t="str">
        <f aca="false">IF(ABS(I47)&lt;=Parâmetros!$C$7,"OK",IF(I47&gt;0,"Sobra no estoque","Falta no estoque"))</f>
        <v>OK</v>
      </c>
      <c r="K47" s="157" t="str">
        <f aca="false">IF(J47="OK","",IF(AND(E47=0,F47=0),"Estoque sem movimento no período",IF(G47&lt;0,"Saídas maiores que entradas – estoque anterior ao período?",IF(H47=0,"Saldo calculado sem estoque físico – verificar",IF(I47&gt;0,"Estoque acima do esperado – saldo anterior ou entrada não listada","Estoque abaixo do esperado – saída/ajuste não listado")))))</f>
        <v/>
      </c>
      <c r="L47" s="158" t="str">
        <f aca="false">IF(D47=0,"",D47-E47)</f>
        <v/>
      </c>
    </row>
    <row r="48" customFormat="false" ht="15" hidden="false" customHeight="false" outlineLevel="0" collapsed="false">
      <c r="A48" s="157" t="s">
        <v>327</v>
      </c>
      <c r="B48" s="157" t="s">
        <v>330</v>
      </c>
      <c r="C48" s="157" t="s">
        <v>65</v>
      </c>
      <c r="D48" s="158" t="n">
        <f aca="false">SUMIFS('3 Base Entrada 2008'!$G$2:$G$5000,'3 Base Entrada 2008'!$B$2:$B$5000,$A48,'3 Base Entrada 2008'!$C$2:$C$5000,$B48,'3 Base Entrada 2008'!$K$2:$K$5000,"Recebido no 2008")</f>
        <v>2880</v>
      </c>
      <c r="E48" s="158" t="n">
        <f aca="false">SUMIFS('3 Base Entrada 2008'!$L$2:$L$5000,'3 Base Entrada 2008'!$B$2:$B$5000,$A48,'3 Base Entrada 2008'!$C$2:$C$5000,$B48)</f>
        <v>40</v>
      </c>
      <c r="F48" s="158" t="n">
        <f aca="false">SUMIFS('3 Base Saídas'!$R$2:$R$5000,'3 Base Saídas'!$B$2:$B$5000,$A48,'3 Base Saídas'!$C$2:$C$5000,$B48)</f>
        <v>0</v>
      </c>
      <c r="G48" s="158" t="n">
        <f aca="false">SUMIFS('3 Base Saldo Inicial 08-09'!$E$2:$E$5000,'3 Base Saldo Inicial 08-09'!$A$2:$A$5000,$A48,'3 Base Saldo Inicial 08-09'!$B$2:$B$5000,$B48)-SUMIFS('3 Base Saldo Inicial 08-09'!$E$2:$E$5000,'3 Base Saldo Inicial 08-09'!$A$2:$A$5000,$A48,'3 Base Saldo Inicial 08-09'!$B$2:$B$5000,$B48,'3 Base Saldo Inicial 08-09'!$C$2:$C$5000,"2008")+E48-F48</f>
        <v>40</v>
      </c>
      <c r="H48" s="158" t="n">
        <f aca="false">SUMIFS('3 Base Estoque Físico'!$J$2:$J$5000,'3 Base Estoque Físico'!$A$2:$A$5000,$A48,'3 Base Estoque Físico'!$B$2:$B$5000,$B48)</f>
        <v>40</v>
      </c>
      <c r="I48" s="192" t="n">
        <f aca="false">ROUND(H48-G48,3)</f>
        <v>0</v>
      </c>
      <c r="J48" s="157" t="str">
        <f aca="false">IF(ABS(I48)&lt;=Parâmetros!$C$7,"OK",IF(I48&gt;0,"Sobra no estoque","Falta no estoque"))</f>
        <v>OK</v>
      </c>
      <c r="K48" s="157" t="str">
        <f aca="false">IF(J48="OK","",IF(AND(E48=0,F48=0),"Estoque sem movimento no período",IF(G48&lt;0,"Saídas maiores que entradas – estoque anterior ao período?",IF(H48=0,"Saldo calculado sem estoque físico – verificar",IF(I48&gt;0,"Estoque acima do esperado – saldo anterior ou entrada não listada","Estoque abaixo do esperado – saída/ajuste não listado")))))</f>
        <v/>
      </c>
      <c r="L48" s="158" t="n">
        <f aca="false">IF(D48=0,"",D48-E48)</f>
        <v>2840</v>
      </c>
    </row>
    <row r="49" customFormat="false" ht="15" hidden="false" customHeight="false" outlineLevel="0" collapsed="false">
      <c r="A49" s="157" t="s">
        <v>232</v>
      </c>
      <c r="B49" s="157" t="s">
        <v>233</v>
      </c>
      <c r="C49" s="157" t="s">
        <v>146</v>
      </c>
      <c r="D49" s="158" t="n">
        <f aca="false">SUMIFS('3 Base Entrada 2008'!$G$2:$G$5000,'3 Base Entrada 2008'!$B$2:$B$5000,$A49,'3 Base Entrada 2008'!$C$2:$C$5000,$B49,'3 Base Entrada 2008'!$K$2:$K$5000,"Recebido no 2008")</f>
        <v>0</v>
      </c>
      <c r="E49" s="158" t="n">
        <f aca="false">SUMIFS('3 Base Entrada 2008'!$L$2:$L$5000,'3 Base Entrada 2008'!$B$2:$B$5000,$A49,'3 Base Entrada 2008'!$C$2:$C$5000,$B49)</f>
        <v>2250</v>
      </c>
      <c r="F49" s="158" t="n">
        <f aca="false">SUMIFS('3 Base Saídas'!$R$2:$R$5000,'3 Base Saídas'!$B$2:$B$5000,$A49,'3 Base Saídas'!$C$2:$C$5000,$B49)</f>
        <v>885</v>
      </c>
      <c r="G49" s="158" t="n">
        <f aca="false">SUMIFS('3 Base Saldo Inicial 08-09'!$E$2:$E$5000,'3 Base Saldo Inicial 08-09'!$A$2:$A$5000,$A49,'3 Base Saldo Inicial 08-09'!$B$2:$B$5000,$B49)-SUMIFS('3 Base Saldo Inicial 08-09'!$E$2:$E$5000,'3 Base Saldo Inicial 08-09'!$A$2:$A$5000,$A49,'3 Base Saldo Inicial 08-09'!$B$2:$B$5000,$B49,'3 Base Saldo Inicial 08-09'!$C$2:$C$5000,"2008")+E49-F49</f>
        <v>1365</v>
      </c>
      <c r="H49" s="158" t="n">
        <f aca="false">SUMIFS('3 Base Estoque Físico'!$J$2:$J$5000,'3 Base Estoque Físico'!$A$2:$A$5000,$A49,'3 Base Estoque Físico'!$B$2:$B$5000,$B49)</f>
        <v>1365</v>
      </c>
      <c r="I49" s="192" t="n">
        <f aca="false">ROUND(H49-G49,3)</f>
        <v>0</v>
      </c>
      <c r="J49" s="157" t="str">
        <f aca="false">IF(ABS(I49)&lt;=Parâmetros!$C$7,"OK",IF(I49&gt;0,"Sobra no estoque","Falta no estoque"))</f>
        <v>OK</v>
      </c>
      <c r="K49" s="157" t="str">
        <f aca="false">IF(J49="OK","",IF(AND(E49=0,F49=0),"Estoque sem movimento no período",IF(G49&lt;0,"Saídas maiores que entradas – estoque anterior ao período?",IF(H49=0,"Saldo calculado sem estoque físico – verificar",IF(I49&gt;0,"Estoque acima do esperado – saldo anterior ou entrada não listada","Estoque abaixo do esperado – saída/ajuste não listado")))))</f>
        <v/>
      </c>
      <c r="L49" s="158" t="str">
        <f aca="false">IF(D49=0,"",D49-E49)</f>
        <v/>
      </c>
    </row>
    <row r="50" customFormat="false" ht="15" hidden="false" customHeight="false" outlineLevel="0" collapsed="false">
      <c r="A50" s="157" t="s">
        <v>232</v>
      </c>
      <c r="B50" s="157" t="s">
        <v>235</v>
      </c>
      <c r="C50" s="157" t="s">
        <v>146</v>
      </c>
      <c r="D50" s="158" t="n">
        <f aca="false">SUMIFS('3 Base Entrada 2008'!$G$2:$G$5000,'3 Base Entrada 2008'!$B$2:$B$5000,$A50,'3 Base Entrada 2008'!$C$2:$C$5000,$B50,'3 Base Entrada 2008'!$K$2:$K$5000,"Recebido no 2008")</f>
        <v>0</v>
      </c>
      <c r="E50" s="158" t="n">
        <f aca="false">SUMIFS('3 Base Entrada 2008'!$L$2:$L$5000,'3 Base Entrada 2008'!$B$2:$B$5000,$A50,'3 Base Entrada 2008'!$C$2:$C$5000,$B50)</f>
        <v>450</v>
      </c>
      <c r="F50" s="158" t="n">
        <f aca="false">SUMIFS('3 Base Saídas'!$R$2:$R$5000,'3 Base Saídas'!$B$2:$B$5000,$A50,'3 Base Saídas'!$C$2:$C$5000,$B50)</f>
        <v>450</v>
      </c>
      <c r="G50" s="158" t="n">
        <f aca="false">SUMIFS('3 Base Saldo Inicial 08-09'!$E$2:$E$5000,'3 Base Saldo Inicial 08-09'!$A$2:$A$5000,$A50,'3 Base Saldo Inicial 08-09'!$B$2:$B$5000,$B50)-SUMIFS('3 Base Saldo Inicial 08-09'!$E$2:$E$5000,'3 Base Saldo Inicial 08-09'!$A$2:$A$5000,$A50,'3 Base Saldo Inicial 08-09'!$B$2:$B$5000,$B50,'3 Base Saldo Inicial 08-09'!$C$2:$C$5000,"2008")+E50-F50</f>
        <v>0</v>
      </c>
      <c r="H50" s="158" t="n">
        <f aca="false">SUMIFS('3 Base Estoque Físico'!$J$2:$J$5000,'3 Base Estoque Físico'!$A$2:$A$5000,$A50,'3 Base Estoque Físico'!$B$2:$B$5000,$B50)</f>
        <v>0</v>
      </c>
      <c r="I50" s="192" t="n">
        <f aca="false">ROUND(H50-G50,3)</f>
        <v>0</v>
      </c>
      <c r="J50" s="157" t="str">
        <f aca="false">IF(ABS(I50)&lt;=Parâmetros!$C$7,"OK",IF(I50&gt;0,"Sobra no estoque","Falta no estoque"))</f>
        <v>OK</v>
      </c>
      <c r="K50" s="157" t="str">
        <f aca="false">IF(J50="OK","",IF(AND(E50=0,F50=0),"Estoque sem movimento no período",IF(G50&lt;0,"Saídas maiores que entradas – estoque anterior ao período?",IF(H50=0,"Saldo calculado sem estoque físico – verificar",IF(I50&gt;0,"Estoque acima do esperado – saldo anterior ou entrada não listada","Estoque abaixo do esperado – saída/ajuste não listado")))))</f>
        <v/>
      </c>
      <c r="L50" s="158" t="str">
        <f aca="false">IF(D50=0,"",D50-E50)</f>
        <v/>
      </c>
    </row>
    <row r="51" customFormat="false" ht="15" hidden="false" customHeight="false" outlineLevel="0" collapsed="false">
      <c r="A51" s="157" t="s">
        <v>232</v>
      </c>
      <c r="B51" s="157" t="s">
        <v>334</v>
      </c>
      <c r="C51" s="157" t="s">
        <v>146</v>
      </c>
      <c r="D51" s="158" t="n">
        <f aca="false">SUMIFS('3 Base Entrada 2008'!$G$2:$G$5000,'3 Base Entrada 2008'!$B$2:$B$5000,$A51,'3 Base Entrada 2008'!$C$2:$C$5000,$B51,'3 Base Entrada 2008'!$K$2:$K$5000,"Recebido no 2008")</f>
        <v>0</v>
      </c>
      <c r="E51" s="158" t="n">
        <f aca="false">SUMIFS('3 Base Entrada 2008'!$L$2:$L$5000,'3 Base Entrada 2008'!$B$2:$B$5000,$A51,'3 Base Entrada 2008'!$C$2:$C$5000,$B51)</f>
        <v>900</v>
      </c>
      <c r="F51" s="158" t="n">
        <f aca="false">SUMIFS('3 Base Saídas'!$R$2:$R$5000,'3 Base Saídas'!$B$2:$B$5000,$A51,'3 Base Saídas'!$C$2:$C$5000,$B51)</f>
        <v>840</v>
      </c>
      <c r="G51" s="158" t="n">
        <f aca="false">SUMIFS('3 Base Saldo Inicial 08-09'!$E$2:$E$5000,'3 Base Saldo Inicial 08-09'!$A$2:$A$5000,$A51,'3 Base Saldo Inicial 08-09'!$B$2:$B$5000,$B51)-SUMIFS('3 Base Saldo Inicial 08-09'!$E$2:$E$5000,'3 Base Saldo Inicial 08-09'!$A$2:$A$5000,$A51,'3 Base Saldo Inicial 08-09'!$B$2:$B$5000,$B51,'3 Base Saldo Inicial 08-09'!$C$2:$C$5000,"2008")+E51-F51</f>
        <v>60</v>
      </c>
      <c r="H51" s="158" t="n">
        <f aca="false">SUMIFS('3 Base Estoque Físico'!$J$2:$J$5000,'3 Base Estoque Físico'!$A$2:$A$5000,$A51,'3 Base Estoque Físico'!$B$2:$B$5000,$B51)</f>
        <v>60</v>
      </c>
      <c r="I51" s="192" t="n">
        <f aca="false">ROUND(H51-G51,3)</f>
        <v>0</v>
      </c>
      <c r="J51" s="157" t="str">
        <f aca="false">IF(ABS(I51)&lt;=Parâmetros!$C$7,"OK",IF(I51&gt;0,"Sobra no estoque","Falta no estoque"))</f>
        <v>OK</v>
      </c>
      <c r="K51" s="157" t="str">
        <f aca="false">IF(J51="OK","",IF(AND(E51=0,F51=0),"Estoque sem movimento no período",IF(G51&lt;0,"Saídas maiores que entradas – estoque anterior ao período?",IF(H51=0,"Saldo calculado sem estoque físico – verificar",IF(I51&gt;0,"Estoque acima do esperado – saldo anterior ou entrada não listada","Estoque abaixo do esperado – saída/ajuste não listado")))))</f>
        <v/>
      </c>
      <c r="L51" s="158" t="str">
        <f aca="false">IF(D51=0,"",D51-E51)</f>
        <v/>
      </c>
    </row>
    <row r="52" customFormat="false" ht="15" hidden="false" customHeight="false" outlineLevel="0" collapsed="false">
      <c r="A52" s="157" t="s">
        <v>243</v>
      </c>
      <c r="B52" s="157" t="s">
        <v>244</v>
      </c>
      <c r="C52" s="157" t="s">
        <v>65</v>
      </c>
      <c r="D52" s="158" t="n">
        <f aca="false">SUMIFS('3 Base Entrada 2008'!$G$2:$G$5000,'3 Base Entrada 2008'!$B$2:$B$5000,$A52,'3 Base Entrada 2008'!$C$2:$C$5000,$B52,'3 Base Entrada 2008'!$K$2:$K$5000,"Recebido no 2008")</f>
        <v>0</v>
      </c>
      <c r="E52" s="158" t="n">
        <f aca="false">SUMIFS('3 Base Entrada 2008'!$L$2:$L$5000,'3 Base Entrada 2008'!$B$2:$B$5000,$A52,'3 Base Entrada 2008'!$C$2:$C$5000,$B52)</f>
        <v>648</v>
      </c>
      <c r="F52" s="158" t="n">
        <f aca="false">SUMIFS('3 Base Saídas'!$R$2:$R$5000,'3 Base Saídas'!$B$2:$B$5000,$A52,'3 Base Saídas'!$C$2:$C$5000,$B52)</f>
        <v>54</v>
      </c>
      <c r="G52" s="158" t="n">
        <f aca="false">SUMIFS('3 Base Saldo Inicial 08-09'!$E$2:$E$5000,'3 Base Saldo Inicial 08-09'!$A$2:$A$5000,$A52,'3 Base Saldo Inicial 08-09'!$B$2:$B$5000,$B52)-SUMIFS('3 Base Saldo Inicial 08-09'!$E$2:$E$5000,'3 Base Saldo Inicial 08-09'!$A$2:$A$5000,$A52,'3 Base Saldo Inicial 08-09'!$B$2:$B$5000,$B52,'3 Base Saldo Inicial 08-09'!$C$2:$C$5000,"2008")+E52-F52</f>
        <v>594</v>
      </c>
      <c r="H52" s="158" t="n">
        <f aca="false">SUMIFS('3 Base Estoque Físico'!$J$2:$J$5000,'3 Base Estoque Físico'!$A$2:$A$5000,$A52,'3 Base Estoque Físico'!$B$2:$B$5000,$B52)</f>
        <v>594</v>
      </c>
      <c r="I52" s="192" t="n">
        <f aca="false">ROUND(H52-G52,3)</f>
        <v>0</v>
      </c>
      <c r="J52" s="157" t="str">
        <f aca="false">IF(ABS(I52)&lt;=Parâmetros!$C$7,"OK",IF(I52&gt;0,"Sobra no estoque","Falta no estoque"))</f>
        <v>OK</v>
      </c>
      <c r="K52" s="157" t="str">
        <f aca="false">IF(J52="OK","",IF(AND(E52=0,F52=0),"Estoque sem movimento no período",IF(G52&lt;0,"Saídas maiores que entradas – estoque anterior ao período?",IF(H52=0,"Saldo calculado sem estoque físico – verificar",IF(I52&gt;0,"Estoque acima do esperado – saldo anterior ou entrada não listada","Estoque abaixo do esperado – saída/ajuste não listado")))))</f>
        <v/>
      </c>
      <c r="L52" s="158" t="str">
        <f aca="false">IF(D52=0,"",D52-E52)</f>
        <v/>
      </c>
    </row>
    <row r="53" customFormat="false" ht="15" hidden="false" customHeight="false" outlineLevel="0" collapsed="false">
      <c r="A53" s="157" t="s">
        <v>336</v>
      </c>
      <c r="B53" s="157" t="s">
        <v>337</v>
      </c>
      <c r="C53" s="157" t="s">
        <v>65</v>
      </c>
      <c r="D53" s="158" t="n">
        <f aca="false">SUMIFS('3 Base Entrada 2008'!$G$2:$G$5000,'3 Base Entrada 2008'!$B$2:$B$5000,$A53,'3 Base Entrada 2008'!$C$2:$C$5000,$B53,'3 Base Entrada 2008'!$K$2:$K$5000,"Recebido no 2008")</f>
        <v>2400</v>
      </c>
      <c r="E53" s="158" t="n">
        <f aca="false">SUMIFS('3 Base Entrada 2008'!$L$2:$L$5000,'3 Base Entrada 2008'!$B$2:$B$5000,$A53,'3 Base Entrada 2008'!$C$2:$C$5000,$B53)</f>
        <v>0</v>
      </c>
      <c r="F53" s="158" t="n">
        <f aca="false">SUMIFS('3 Base Saídas'!$R$2:$R$5000,'3 Base Saídas'!$B$2:$B$5000,$A53,'3 Base Saídas'!$C$2:$C$5000,$B53)</f>
        <v>0</v>
      </c>
      <c r="G53" s="158" t="n">
        <f aca="false">SUMIFS('3 Base Saldo Inicial 08-09'!$E$2:$E$5000,'3 Base Saldo Inicial 08-09'!$A$2:$A$5000,$A53,'3 Base Saldo Inicial 08-09'!$B$2:$B$5000,$B53)-SUMIFS('3 Base Saldo Inicial 08-09'!$E$2:$E$5000,'3 Base Saldo Inicial 08-09'!$A$2:$A$5000,$A53,'3 Base Saldo Inicial 08-09'!$B$2:$B$5000,$B53,'3 Base Saldo Inicial 08-09'!$C$2:$C$5000,"2008")+E53-F53</f>
        <v>0</v>
      </c>
      <c r="H53" s="158" t="n">
        <f aca="false">SUMIFS('3 Base Estoque Físico'!$J$2:$J$5000,'3 Base Estoque Físico'!$A$2:$A$5000,$A53,'3 Base Estoque Físico'!$B$2:$B$5000,$B53)</f>
        <v>0</v>
      </c>
      <c r="I53" s="192" t="n">
        <f aca="false">ROUND(H53-G53,3)</f>
        <v>0</v>
      </c>
      <c r="J53" s="157" t="str">
        <f aca="false">IF(ABS(I53)&lt;=Parâmetros!$C$7,"OK",IF(I53&gt;0,"Sobra no estoque","Falta no estoque"))</f>
        <v>OK</v>
      </c>
      <c r="K53" s="157" t="str">
        <f aca="false">IF(J53="OK","",IF(AND(E53=0,F53=0),"Estoque sem movimento no período",IF(G53&lt;0,"Saídas maiores que entradas – estoque anterior ao período?",IF(H53=0,"Saldo calculado sem estoque físico – verificar",IF(I53&gt;0,"Estoque acima do esperado – saldo anterior ou entrada não listada","Estoque abaixo do esperado – saída/ajuste não listado")))))</f>
        <v/>
      </c>
      <c r="L53" s="158" t="n">
        <f aca="false">IF(D53=0,"",D53-E53)</f>
        <v>2400</v>
      </c>
    </row>
    <row r="54" customFormat="false" ht="15" hidden="false" customHeight="false" outlineLevel="0" collapsed="false">
      <c r="A54" s="157" t="s">
        <v>338</v>
      </c>
      <c r="B54" s="157" t="s">
        <v>340</v>
      </c>
      <c r="C54" s="157" t="s">
        <v>65</v>
      </c>
      <c r="D54" s="158" t="n">
        <f aca="false">SUMIFS('3 Base Entrada 2008'!$G$2:$G$5000,'3 Base Entrada 2008'!$B$2:$B$5000,$A54,'3 Base Entrada 2008'!$C$2:$C$5000,$B54,'3 Base Entrada 2008'!$K$2:$K$5000,"Recebido no 2008")</f>
        <v>798</v>
      </c>
      <c r="E54" s="158" t="n">
        <f aca="false">SUMIFS('3 Base Entrada 2008'!$L$2:$L$5000,'3 Base Entrada 2008'!$B$2:$B$5000,$A54,'3 Base Entrada 2008'!$C$2:$C$5000,$B54)</f>
        <v>0</v>
      </c>
      <c r="F54" s="158" t="n">
        <f aca="false">SUMIFS('3 Base Saídas'!$R$2:$R$5000,'3 Base Saídas'!$B$2:$B$5000,$A54,'3 Base Saídas'!$C$2:$C$5000,$B54)</f>
        <v>0</v>
      </c>
      <c r="G54" s="158" t="n">
        <f aca="false">SUMIFS('3 Base Saldo Inicial 08-09'!$E$2:$E$5000,'3 Base Saldo Inicial 08-09'!$A$2:$A$5000,$A54,'3 Base Saldo Inicial 08-09'!$B$2:$B$5000,$B54)-SUMIFS('3 Base Saldo Inicial 08-09'!$E$2:$E$5000,'3 Base Saldo Inicial 08-09'!$A$2:$A$5000,$A54,'3 Base Saldo Inicial 08-09'!$B$2:$B$5000,$B54,'3 Base Saldo Inicial 08-09'!$C$2:$C$5000,"2008")+E54-F54</f>
        <v>0</v>
      </c>
      <c r="H54" s="158" t="n">
        <f aca="false">SUMIFS('3 Base Estoque Físico'!$J$2:$J$5000,'3 Base Estoque Físico'!$A$2:$A$5000,$A54,'3 Base Estoque Físico'!$B$2:$B$5000,$B54)</f>
        <v>0</v>
      </c>
      <c r="I54" s="192" t="n">
        <f aca="false">ROUND(H54-G54,3)</f>
        <v>0</v>
      </c>
      <c r="J54" s="157" t="str">
        <f aca="false">IF(ABS(I54)&lt;=Parâmetros!$C$7,"OK",IF(I54&gt;0,"Sobra no estoque","Falta no estoque"))</f>
        <v>OK</v>
      </c>
      <c r="K54" s="157" t="str">
        <f aca="false">IF(J54="OK","",IF(AND(E54=0,F54=0),"Estoque sem movimento no período",IF(G54&lt;0,"Saídas maiores que entradas – estoque anterior ao período?",IF(H54=0,"Saldo calculado sem estoque físico – verificar",IF(I54&gt;0,"Estoque acima do esperado – saldo anterior ou entrada não listada","Estoque abaixo do esperado – saída/ajuste não listado")))))</f>
        <v/>
      </c>
      <c r="L54" s="158" t="n">
        <f aca="false">IF(D54=0,"",D54-E54)</f>
        <v>798</v>
      </c>
    </row>
    <row r="55" customFormat="false" ht="15" hidden="false" customHeight="false" outlineLevel="0" collapsed="false">
      <c r="A55" s="157" t="s">
        <v>338</v>
      </c>
      <c r="B55" s="157" t="s">
        <v>339</v>
      </c>
      <c r="C55" s="157" t="s">
        <v>65</v>
      </c>
      <c r="D55" s="158" t="n">
        <f aca="false">SUMIFS('3 Base Entrada 2008'!$G$2:$G$5000,'3 Base Entrada 2008'!$B$2:$B$5000,$A55,'3 Base Entrada 2008'!$C$2:$C$5000,$B55,'3 Base Entrada 2008'!$K$2:$K$5000,"Recebido no 2008")</f>
        <v>1122</v>
      </c>
      <c r="E55" s="158" t="n">
        <f aca="false">SUMIFS('3 Base Entrada 2008'!$L$2:$L$5000,'3 Base Entrada 2008'!$B$2:$B$5000,$A55,'3 Base Entrada 2008'!$C$2:$C$5000,$B55)</f>
        <v>0</v>
      </c>
      <c r="F55" s="158" t="n">
        <f aca="false">SUMIFS('3 Base Saídas'!$R$2:$R$5000,'3 Base Saídas'!$B$2:$B$5000,$A55,'3 Base Saídas'!$C$2:$C$5000,$B55)</f>
        <v>0</v>
      </c>
      <c r="G55" s="158" t="n">
        <f aca="false">SUMIFS('3 Base Saldo Inicial 08-09'!$E$2:$E$5000,'3 Base Saldo Inicial 08-09'!$A$2:$A$5000,$A55,'3 Base Saldo Inicial 08-09'!$B$2:$B$5000,$B55)-SUMIFS('3 Base Saldo Inicial 08-09'!$E$2:$E$5000,'3 Base Saldo Inicial 08-09'!$A$2:$A$5000,$A55,'3 Base Saldo Inicial 08-09'!$B$2:$B$5000,$B55,'3 Base Saldo Inicial 08-09'!$C$2:$C$5000,"2008")+E55-F55</f>
        <v>0</v>
      </c>
      <c r="H55" s="158" t="n">
        <f aca="false">SUMIFS('3 Base Estoque Físico'!$J$2:$J$5000,'3 Base Estoque Físico'!$A$2:$A$5000,$A55,'3 Base Estoque Físico'!$B$2:$B$5000,$B55)</f>
        <v>0</v>
      </c>
      <c r="I55" s="192" t="n">
        <f aca="false">ROUND(H55-G55,3)</f>
        <v>0</v>
      </c>
      <c r="J55" s="157" t="str">
        <f aca="false">IF(ABS(I55)&lt;=Parâmetros!$C$7,"OK",IF(I55&gt;0,"Sobra no estoque","Falta no estoque"))</f>
        <v>OK</v>
      </c>
      <c r="K55" s="157" t="str">
        <f aca="false">IF(J55="OK","",IF(AND(E55=0,F55=0),"Estoque sem movimento no período",IF(G55&lt;0,"Saídas maiores que entradas – estoque anterior ao período?",IF(H55=0,"Saldo calculado sem estoque físico – verificar",IF(I55&gt;0,"Estoque acima do esperado – saldo anterior ou entrada não listada","Estoque abaixo do esperado – saída/ajuste não listado")))))</f>
        <v/>
      </c>
      <c r="L55" s="158" t="n">
        <f aca="false">IF(D55=0,"",D55-E55)</f>
        <v>1122</v>
      </c>
    </row>
    <row r="56" customFormat="false" ht="15" hidden="false" customHeight="false" outlineLevel="0" collapsed="false">
      <c r="A56" s="157" t="s">
        <v>341</v>
      </c>
      <c r="B56" s="157" t="s">
        <v>342</v>
      </c>
      <c r="C56" s="157" t="s">
        <v>65</v>
      </c>
      <c r="D56" s="158" t="n">
        <f aca="false">SUMIFS('3 Base Entrada 2008'!$G$2:$G$5000,'3 Base Entrada 2008'!$B$2:$B$5000,$A56,'3 Base Entrada 2008'!$C$2:$C$5000,$B56,'3 Base Entrada 2008'!$K$2:$K$5000,"Recebido no 2008")</f>
        <v>0</v>
      </c>
      <c r="E56" s="158" t="n">
        <f aca="false">SUMIFS('3 Base Entrada 2008'!$L$2:$L$5000,'3 Base Entrada 2008'!$B$2:$B$5000,$A56,'3 Base Entrada 2008'!$C$2:$C$5000,$B56)</f>
        <v>81.6</v>
      </c>
      <c r="F56" s="158" t="n">
        <f aca="false">SUMIFS('3 Base Saídas'!$R$2:$R$5000,'3 Base Saídas'!$B$2:$B$5000,$A56,'3 Base Saídas'!$C$2:$C$5000,$B56)</f>
        <v>0</v>
      </c>
      <c r="G56" s="158" t="n">
        <f aca="false">SUMIFS('3 Base Saldo Inicial 08-09'!$E$2:$E$5000,'3 Base Saldo Inicial 08-09'!$A$2:$A$5000,$A56,'3 Base Saldo Inicial 08-09'!$B$2:$B$5000,$B56)-SUMIFS('3 Base Saldo Inicial 08-09'!$E$2:$E$5000,'3 Base Saldo Inicial 08-09'!$A$2:$A$5000,$A56,'3 Base Saldo Inicial 08-09'!$B$2:$B$5000,$B56,'3 Base Saldo Inicial 08-09'!$C$2:$C$5000,"2008")+E56-F56</f>
        <v>81.6</v>
      </c>
      <c r="H56" s="158" t="n">
        <f aca="false">SUMIFS('3 Base Estoque Físico'!$J$2:$J$5000,'3 Base Estoque Físico'!$A$2:$A$5000,$A56,'3 Base Estoque Físico'!$B$2:$B$5000,$B56)</f>
        <v>81.6</v>
      </c>
      <c r="I56" s="192" t="n">
        <f aca="false">ROUND(H56-G56,3)</f>
        <v>0</v>
      </c>
      <c r="J56" s="157" t="str">
        <f aca="false">IF(ABS(I56)&lt;=Parâmetros!$C$7,"OK",IF(I56&gt;0,"Sobra no estoque","Falta no estoque"))</f>
        <v>OK</v>
      </c>
      <c r="K56" s="157" t="str">
        <f aca="false">IF(J56="OK","",IF(AND(E56=0,F56=0),"Estoque sem movimento no período",IF(G56&lt;0,"Saídas maiores que entradas – estoque anterior ao período?",IF(H56=0,"Saldo calculado sem estoque físico – verificar",IF(I56&gt;0,"Estoque acima do esperado – saldo anterior ou entrada não listada","Estoque abaixo do esperado – saída/ajuste não listado")))))</f>
        <v/>
      </c>
      <c r="L56" s="158" t="str">
        <f aca="false">IF(D56=0,"",D56-E56)</f>
        <v/>
      </c>
    </row>
    <row r="57" customFormat="false" ht="15" hidden="false" customHeight="false" outlineLevel="0" collapsed="false">
      <c r="A57" s="157" t="s">
        <v>343</v>
      </c>
      <c r="B57" s="157" t="s">
        <v>344</v>
      </c>
      <c r="C57" s="157" t="s">
        <v>65</v>
      </c>
      <c r="D57" s="158" t="n">
        <f aca="false">SUMIFS('3 Base Entrada 2008'!$G$2:$G$5000,'3 Base Entrada 2008'!$B$2:$B$5000,$A57,'3 Base Entrada 2008'!$C$2:$C$5000,$B57,'3 Base Entrada 2008'!$K$2:$K$5000,"Recebido no 2008")</f>
        <v>1296</v>
      </c>
      <c r="E57" s="158" t="n">
        <f aca="false">SUMIFS('3 Base Entrada 2008'!$L$2:$L$5000,'3 Base Entrada 2008'!$B$2:$B$5000,$A57,'3 Base Entrada 2008'!$C$2:$C$5000,$B57)</f>
        <v>0</v>
      </c>
      <c r="F57" s="158" t="n">
        <f aca="false">SUMIFS('3 Base Saídas'!$R$2:$R$5000,'3 Base Saídas'!$B$2:$B$5000,$A57,'3 Base Saídas'!$C$2:$C$5000,$B57)</f>
        <v>0</v>
      </c>
      <c r="G57" s="158" t="n">
        <f aca="false">SUMIFS('3 Base Saldo Inicial 08-09'!$E$2:$E$5000,'3 Base Saldo Inicial 08-09'!$A$2:$A$5000,$A57,'3 Base Saldo Inicial 08-09'!$B$2:$B$5000,$B57)-SUMIFS('3 Base Saldo Inicial 08-09'!$E$2:$E$5000,'3 Base Saldo Inicial 08-09'!$A$2:$A$5000,$A57,'3 Base Saldo Inicial 08-09'!$B$2:$B$5000,$B57,'3 Base Saldo Inicial 08-09'!$C$2:$C$5000,"2008")+E57-F57</f>
        <v>0</v>
      </c>
      <c r="H57" s="158" t="n">
        <f aca="false">SUMIFS('3 Base Estoque Físico'!$J$2:$J$5000,'3 Base Estoque Físico'!$A$2:$A$5000,$A57,'3 Base Estoque Físico'!$B$2:$B$5000,$B57)</f>
        <v>0</v>
      </c>
      <c r="I57" s="192" t="n">
        <f aca="false">ROUND(H57-G57,3)</f>
        <v>0</v>
      </c>
      <c r="J57" s="157" t="str">
        <f aca="false">IF(ABS(I57)&lt;=Parâmetros!$C$7,"OK",IF(I57&gt;0,"Sobra no estoque","Falta no estoque"))</f>
        <v>OK</v>
      </c>
      <c r="K57" s="157" t="str">
        <f aca="false">IF(J57="OK","",IF(AND(E57=0,F57=0),"Estoque sem movimento no período",IF(G57&lt;0,"Saídas maiores que entradas – estoque anterior ao período?",IF(H57=0,"Saldo calculado sem estoque físico – verificar",IF(I57&gt;0,"Estoque acima do esperado – saldo anterior ou entrada não listada","Estoque abaixo do esperado – saída/ajuste não listado")))))</f>
        <v/>
      </c>
      <c r="L57" s="158" t="n">
        <f aca="false">IF(D57=0,"",D57-E57)</f>
        <v>1296</v>
      </c>
    </row>
    <row r="58" customFormat="false" ht="15" hidden="false" customHeight="false" outlineLevel="0" collapsed="false">
      <c r="A58" s="157" t="s">
        <v>346</v>
      </c>
      <c r="B58" s="157" t="s">
        <v>347</v>
      </c>
      <c r="C58" s="157" t="s">
        <v>65</v>
      </c>
      <c r="D58" s="158" t="n">
        <f aca="false">SUMIFS('3 Base Entrada 2008'!$G$2:$G$5000,'3 Base Entrada 2008'!$B$2:$B$5000,$A58,'3 Base Entrada 2008'!$C$2:$C$5000,$B58,'3 Base Entrada 2008'!$K$2:$K$5000,"Recebido no 2008")</f>
        <v>1280</v>
      </c>
      <c r="E58" s="158" t="n">
        <f aca="false">SUMIFS('3 Base Entrada 2008'!$L$2:$L$5000,'3 Base Entrada 2008'!$B$2:$B$5000,$A58,'3 Base Entrada 2008'!$C$2:$C$5000,$B58)</f>
        <v>0</v>
      </c>
      <c r="F58" s="158" t="n">
        <f aca="false">SUMIFS('3 Base Saídas'!$R$2:$R$5000,'3 Base Saídas'!$B$2:$B$5000,$A58,'3 Base Saídas'!$C$2:$C$5000,$B58)</f>
        <v>0</v>
      </c>
      <c r="G58" s="158" t="n">
        <f aca="false">SUMIFS('3 Base Saldo Inicial 08-09'!$E$2:$E$5000,'3 Base Saldo Inicial 08-09'!$A$2:$A$5000,$A58,'3 Base Saldo Inicial 08-09'!$B$2:$B$5000,$B58)-SUMIFS('3 Base Saldo Inicial 08-09'!$E$2:$E$5000,'3 Base Saldo Inicial 08-09'!$A$2:$A$5000,$A58,'3 Base Saldo Inicial 08-09'!$B$2:$B$5000,$B58,'3 Base Saldo Inicial 08-09'!$C$2:$C$5000,"2008")+E58-F58</f>
        <v>0</v>
      </c>
      <c r="H58" s="158" t="n">
        <f aca="false">SUMIFS('3 Base Estoque Físico'!$J$2:$J$5000,'3 Base Estoque Físico'!$A$2:$A$5000,$A58,'3 Base Estoque Físico'!$B$2:$B$5000,$B58)</f>
        <v>0</v>
      </c>
      <c r="I58" s="192" t="n">
        <f aca="false">ROUND(H58-G58,3)</f>
        <v>0</v>
      </c>
      <c r="J58" s="157" t="str">
        <f aca="false">IF(ABS(I58)&lt;=Parâmetros!$C$7,"OK",IF(I58&gt;0,"Sobra no estoque","Falta no estoque"))</f>
        <v>OK</v>
      </c>
      <c r="K58" s="157" t="str">
        <f aca="false">IF(J58="OK","",IF(AND(E58=0,F58=0),"Estoque sem movimento no período",IF(G58&lt;0,"Saídas maiores que entradas – estoque anterior ao período?",IF(H58=0,"Saldo calculado sem estoque físico – verificar",IF(I58&gt;0,"Estoque acima do esperado – saldo anterior ou entrada não listada","Estoque abaixo do esperado – saída/ajuste não listado")))))</f>
        <v/>
      </c>
      <c r="L58" s="158" t="n">
        <f aca="false">IF(D58=0,"",D58-E58)</f>
        <v>1280</v>
      </c>
    </row>
    <row r="59" customFormat="false" ht="15" hidden="false" customHeight="false" outlineLevel="0" collapsed="false">
      <c r="A59" s="157" t="s">
        <v>247</v>
      </c>
      <c r="B59" s="157" t="s">
        <v>350</v>
      </c>
      <c r="C59" s="157" t="s">
        <v>65</v>
      </c>
      <c r="D59" s="158" t="n">
        <f aca="false">SUMIFS('3 Base Entrada 2008'!$G$2:$G$5000,'3 Base Entrada 2008'!$B$2:$B$5000,$A59,'3 Base Entrada 2008'!$C$2:$C$5000,$B59,'3 Base Entrada 2008'!$K$2:$K$5000,"Recebido no 2008")</f>
        <v>160.8</v>
      </c>
      <c r="E59" s="158" t="n">
        <f aca="false">SUMIFS('3 Base Entrada 2008'!$L$2:$L$5000,'3 Base Entrada 2008'!$B$2:$B$5000,$A59,'3 Base Entrada 2008'!$C$2:$C$5000,$B59)</f>
        <v>0</v>
      </c>
      <c r="F59" s="158" t="n">
        <f aca="false">SUMIFS('3 Base Saídas'!$R$2:$R$5000,'3 Base Saídas'!$B$2:$B$5000,$A59,'3 Base Saídas'!$C$2:$C$5000,$B59)</f>
        <v>0</v>
      </c>
      <c r="G59" s="158" t="n">
        <f aca="false">SUMIFS('3 Base Saldo Inicial 08-09'!$E$2:$E$5000,'3 Base Saldo Inicial 08-09'!$A$2:$A$5000,$A59,'3 Base Saldo Inicial 08-09'!$B$2:$B$5000,$B59)-SUMIFS('3 Base Saldo Inicial 08-09'!$E$2:$E$5000,'3 Base Saldo Inicial 08-09'!$A$2:$A$5000,$A59,'3 Base Saldo Inicial 08-09'!$B$2:$B$5000,$B59,'3 Base Saldo Inicial 08-09'!$C$2:$C$5000,"2008")+E59-F59</f>
        <v>0</v>
      </c>
      <c r="H59" s="158" t="n">
        <f aca="false">SUMIFS('3 Base Estoque Físico'!$J$2:$J$5000,'3 Base Estoque Físico'!$A$2:$A$5000,$A59,'3 Base Estoque Físico'!$B$2:$B$5000,$B59)</f>
        <v>0</v>
      </c>
      <c r="I59" s="192" t="n">
        <f aca="false">ROUND(H59-G59,3)</f>
        <v>0</v>
      </c>
      <c r="J59" s="157" t="str">
        <f aca="false">IF(ABS(I59)&lt;=Parâmetros!$C$7,"OK",IF(I59&gt;0,"Sobra no estoque","Falta no estoque"))</f>
        <v>OK</v>
      </c>
      <c r="K59" s="157" t="str">
        <f aca="false">IF(J59="OK","",IF(AND(E59=0,F59=0),"Estoque sem movimento no período",IF(G59&lt;0,"Saídas maiores que entradas – estoque anterior ao período?",IF(H59=0,"Saldo calculado sem estoque físico – verificar",IF(I59&gt;0,"Estoque acima do esperado – saldo anterior ou entrada não listada","Estoque abaixo do esperado – saída/ajuste não listado")))))</f>
        <v/>
      </c>
      <c r="L59" s="158" t="n">
        <f aca="false">IF(D59=0,"",D59-E59)</f>
        <v>160.8</v>
      </c>
    </row>
    <row r="60" customFormat="false" ht="15" hidden="false" customHeight="false" outlineLevel="0" collapsed="false">
      <c r="A60" s="157" t="s">
        <v>351</v>
      </c>
      <c r="B60" s="157" t="s">
        <v>352</v>
      </c>
      <c r="C60" s="157" t="s">
        <v>65</v>
      </c>
      <c r="D60" s="158" t="n">
        <f aca="false">SUMIFS('3 Base Entrada 2008'!$G$2:$G$5000,'3 Base Entrada 2008'!$B$2:$B$5000,$A60,'3 Base Entrada 2008'!$C$2:$C$5000,$B60,'3 Base Entrada 2008'!$K$2:$K$5000,"Recebido no 2008")</f>
        <v>640</v>
      </c>
      <c r="E60" s="158" t="n">
        <f aca="false">SUMIFS('3 Base Entrada 2008'!$L$2:$L$5000,'3 Base Entrada 2008'!$B$2:$B$5000,$A60,'3 Base Entrada 2008'!$C$2:$C$5000,$B60)</f>
        <v>0</v>
      </c>
      <c r="F60" s="158" t="n">
        <f aca="false">SUMIFS('3 Base Saídas'!$R$2:$R$5000,'3 Base Saídas'!$B$2:$B$5000,$A60,'3 Base Saídas'!$C$2:$C$5000,$B60)</f>
        <v>0</v>
      </c>
      <c r="G60" s="158" t="n">
        <f aca="false">SUMIFS('3 Base Saldo Inicial 08-09'!$E$2:$E$5000,'3 Base Saldo Inicial 08-09'!$A$2:$A$5000,$A60,'3 Base Saldo Inicial 08-09'!$B$2:$B$5000,$B60)-SUMIFS('3 Base Saldo Inicial 08-09'!$E$2:$E$5000,'3 Base Saldo Inicial 08-09'!$A$2:$A$5000,$A60,'3 Base Saldo Inicial 08-09'!$B$2:$B$5000,$B60,'3 Base Saldo Inicial 08-09'!$C$2:$C$5000,"2008")+E60-F60</f>
        <v>0</v>
      </c>
      <c r="H60" s="158" t="n">
        <f aca="false">SUMIFS('3 Base Estoque Físico'!$J$2:$J$5000,'3 Base Estoque Físico'!$A$2:$A$5000,$A60,'3 Base Estoque Físico'!$B$2:$B$5000,$B60)</f>
        <v>0</v>
      </c>
      <c r="I60" s="192" t="n">
        <f aca="false">ROUND(H60-G60,3)</f>
        <v>0</v>
      </c>
      <c r="J60" s="157" t="str">
        <f aca="false">IF(ABS(I60)&lt;=Parâmetros!$C$7,"OK",IF(I60&gt;0,"Sobra no estoque","Falta no estoque"))</f>
        <v>OK</v>
      </c>
      <c r="K60" s="157" t="str">
        <f aca="false">IF(J60="OK","",IF(AND(E60=0,F60=0),"Estoque sem movimento no período",IF(G60&lt;0,"Saídas maiores que entradas – estoque anterior ao período?",IF(H60=0,"Saldo calculado sem estoque físico – verificar",IF(I60&gt;0,"Estoque acima do esperado – saldo anterior ou entrada não listada","Estoque abaixo do esperado – saída/ajuste não listado")))))</f>
        <v/>
      </c>
      <c r="L60" s="158" t="n">
        <f aca="false">IF(D60=0,"",D60-E60)</f>
        <v>640</v>
      </c>
    </row>
    <row r="61" customFormat="false" ht="15" hidden="false" customHeight="false" outlineLevel="0" collapsed="false">
      <c r="A61" s="157" t="s">
        <v>356</v>
      </c>
      <c r="B61" s="157" t="s">
        <v>357</v>
      </c>
      <c r="C61" s="157" t="s">
        <v>65</v>
      </c>
      <c r="D61" s="158" t="n">
        <f aca="false">SUMIFS('3 Base Entrada 2008'!$G$2:$G$5000,'3 Base Entrada 2008'!$B$2:$B$5000,$A61,'3 Base Entrada 2008'!$C$2:$C$5000,$B61,'3 Base Entrada 2008'!$K$2:$K$5000,"Recebido no 2008")</f>
        <v>384</v>
      </c>
      <c r="E61" s="158" t="n">
        <f aca="false">SUMIFS('3 Base Entrada 2008'!$L$2:$L$5000,'3 Base Entrada 2008'!$B$2:$B$5000,$A61,'3 Base Entrada 2008'!$C$2:$C$5000,$B61)</f>
        <v>0</v>
      </c>
      <c r="F61" s="158" t="n">
        <f aca="false">SUMIFS('3 Base Saídas'!$R$2:$R$5000,'3 Base Saídas'!$B$2:$B$5000,$A61,'3 Base Saídas'!$C$2:$C$5000,$B61)</f>
        <v>0</v>
      </c>
      <c r="G61" s="158" t="n">
        <f aca="false">SUMIFS('3 Base Saldo Inicial 08-09'!$E$2:$E$5000,'3 Base Saldo Inicial 08-09'!$A$2:$A$5000,$A61,'3 Base Saldo Inicial 08-09'!$B$2:$B$5000,$B61)-SUMIFS('3 Base Saldo Inicial 08-09'!$E$2:$E$5000,'3 Base Saldo Inicial 08-09'!$A$2:$A$5000,$A61,'3 Base Saldo Inicial 08-09'!$B$2:$B$5000,$B61,'3 Base Saldo Inicial 08-09'!$C$2:$C$5000,"2008")+E61-F61</f>
        <v>0</v>
      </c>
      <c r="H61" s="158" t="n">
        <f aca="false">SUMIFS('3 Base Estoque Físico'!$J$2:$J$5000,'3 Base Estoque Físico'!$A$2:$A$5000,$A61,'3 Base Estoque Físico'!$B$2:$B$5000,$B61)</f>
        <v>0</v>
      </c>
      <c r="I61" s="192" t="n">
        <f aca="false">ROUND(H61-G61,3)</f>
        <v>0</v>
      </c>
      <c r="J61" s="157" t="str">
        <f aca="false">IF(ABS(I61)&lt;=Parâmetros!$C$7,"OK",IF(I61&gt;0,"Sobra no estoque","Falta no estoque"))</f>
        <v>OK</v>
      </c>
      <c r="K61" s="157" t="str">
        <f aca="false">IF(J61="OK","",IF(AND(E61=0,F61=0),"Estoque sem movimento no período",IF(G61&lt;0,"Saídas maiores que entradas – estoque anterior ao período?",IF(H61=0,"Saldo calculado sem estoque físico – verificar",IF(I61&gt;0,"Estoque acima do esperado – saldo anterior ou entrada não listada","Estoque abaixo do esperado – saída/ajuste não listado")))))</f>
        <v/>
      </c>
      <c r="L61" s="158" t="n">
        <f aca="false">IF(D61=0,"",D61-E61)</f>
        <v>384</v>
      </c>
    </row>
    <row r="62" customFormat="false" ht="15" hidden="false" customHeight="false" outlineLevel="0" collapsed="false">
      <c r="A62" s="157" t="s">
        <v>257</v>
      </c>
      <c r="B62" s="157" t="s">
        <v>209</v>
      </c>
      <c r="C62" s="157" t="s">
        <v>65</v>
      </c>
      <c r="D62" s="158" t="n">
        <f aca="false">SUMIFS('3 Base Entrada 2008'!$G$2:$G$5000,'3 Base Entrada 2008'!$B$2:$B$5000,$A62,'3 Base Entrada 2008'!$C$2:$C$5000,$B62,'3 Base Entrada 2008'!$K$2:$K$5000,"Recebido no 2008")</f>
        <v>0</v>
      </c>
      <c r="E62" s="158" t="n">
        <f aca="false">SUMIFS('3 Base Entrada 2008'!$L$2:$L$5000,'3 Base Entrada 2008'!$B$2:$B$5000,$A62,'3 Base Entrada 2008'!$C$2:$C$5000,$B62)</f>
        <v>288</v>
      </c>
      <c r="F62" s="158" t="n">
        <f aca="false">SUMIFS('3 Base Saídas'!$R$2:$R$5000,'3 Base Saídas'!$B$2:$B$5000,$A62,'3 Base Saídas'!$C$2:$C$5000,$B62)</f>
        <v>0</v>
      </c>
      <c r="G62" s="158" t="n">
        <f aca="false">SUMIFS('3 Base Saldo Inicial 08-09'!$E$2:$E$5000,'3 Base Saldo Inicial 08-09'!$A$2:$A$5000,$A62,'3 Base Saldo Inicial 08-09'!$B$2:$B$5000,$B62)-SUMIFS('3 Base Saldo Inicial 08-09'!$E$2:$E$5000,'3 Base Saldo Inicial 08-09'!$A$2:$A$5000,$A62,'3 Base Saldo Inicial 08-09'!$B$2:$B$5000,$B62,'3 Base Saldo Inicial 08-09'!$C$2:$C$5000,"2008")+E62-F62</f>
        <v>288</v>
      </c>
      <c r="H62" s="158" t="n">
        <f aca="false">SUMIFS('3 Base Estoque Físico'!$J$2:$J$5000,'3 Base Estoque Físico'!$A$2:$A$5000,$A62,'3 Base Estoque Físico'!$B$2:$B$5000,$B62)</f>
        <v>288</v>
      </c>
      <c r="I62" s="192" t="n">
        <f aca="false">ROUND(H62-G62,3)</f>
        <v>0</v>
      </c>
      <c r="J62" s="157" t="str">
        <f aca="false">IF(ABS(I62)&lt;=Parâmetros!$C$7,"OK",IF(I62&gt;0,"Sobra no estoque","Falta no estoque"))</f>
        <v>OK</v>
      </c>
      <c r="K62" s="157" t="str">
        <f aca="false">IF(J62="OK","",IF(AND(E62=0,F62=0),"Estoque sem movimento no período",IF(G62&lt;0,"Saídas maiores que entradas – estoque anterior ao período?",IF(H62=0,"Saldo calculado sem estoque físico – verificar",IF(I62&gt;0,"Estoque acima do esperado – saldo anterior ou entrada não listada","Estoque abaixo do esperado – saída/ajuste não listado")))))</f>
        <v/>
      </c>
      <c r="L62" s="158" t="str">
        <f aca="false">IF(D62=0,"",D62-E62)</f>
        <v/>
      </c>
    </row>
    <row r="63" customFormat="false" ht="15" hidden="false" customHeight="false" outlineLevel="0" collapsed="false">
      <c r="A63" s="157" t="s">
        <v>358</v>
      </c>
      <c r="B63" s="157" t="s">
        <v>360</v>
      </c>
      <c r="C63" s="157" t="s">
        <v>65</v>
      </c>
      <c r="D63" s="158" t="n">
        <f aca="false">SUMIFS('3 Base Entrada 2008'!$G$2:$G$5000,'3 Base Entrada 2008'!$B$2:$B$5000,$A63,'3 Base Entrada 2008'!$C$2:$C$5000,$B63,'3 Base Entrada 2008'!$K$2:$K$5000,"Recebido no 2008")</f>
        <v>1300</v>
      </c>
      <c r="E63" s="158" t="n">
        <f aca="false">SUMIFS('3 Base Entrada 2008'!$L$2:$L$5000,'3 Base Entrada 2008'!$B$2:$B$5000,$A63,'3 Base Entrada 2008'!$C$2:$C$5000,$B63)</f>
        <v>0</v>
      </c>
      <c r="F63" s="158" t="n">
        <f aca="false">SUMIFS('3 Base Saídas'!$R$2:$R$5000,'3 Base Saídas'!$B$2:$B$5000,$A63,'3 Base Saídas'!$C$2:$C$5000,$B63)</f>
        <v>0</v>
      </c>
      <c r="G63" s="158" t="n">
        <f aca="false">SUMIFS('3 Base Saldo Inicial 08-09'!$E$2:$E$5000,'3 Base Saldo Inicial 08-09'!$A$2:$A$5000,$A63,'3 Base Saldo Inicial 08-09'!$B$2:$B$5000,$B63)-SUMIFS('3 Base Saldo Inicial 08-09'!$E$2:$E$5000,'3 Base Saldo Inicial 08-09'!$A$2:$A$5000,$A63,'3 Base Saldo Inicial 08-09'!$B$2:$B$5000,$B63,'3 Base Saldo Inicial 08-09'!$C$2:$C$5000,"2008")+E63-F63</f>
        <v>0</v>
      </c>
      <c r="H63" s="158" t="n">
        <f aca="false">SUMIFS('3 Base Estoque Físico'!$J$2:$J$5000,'3 Base Estoque Físico'!$A$2:$A$5000,$A63,'3 Base Estoque Físico'!$B$2:$B$5000,$B63)</f>
        <v>0</v>
      </c>
      <c r="I63" s="192" t="n">
        <f aca="false">ROUND(H63-G63,3)</f>
        <v>0</v>
      </c>
      <c r="J63" s="157" t="str">
        <f aca="false">IF(ABS(I63)&lt;=Parâmetros!$C$7,"OK",IF(I63&gt;0,"Sobra no estoque","Falta no estoque"))</f>
        <v>OK</v>
      </c>
      <c r="K63" s="157" t="str">
        <f aca="false">IF(J63="OK","",IF(AND(E63=0,F63=0),"Estoque sem movimento no período",IF(G63&lt;0,"Saídas maiores que entradas – estoque anterior ao período?",IF(H63=0,"Saldo calculado sem estoque físico – verificar",IF(I63&gt;0,"Estoque acima do esperado – saldo anterior ou entrada não listada","Estoque abaixo do esperado – saída/ajuste não listado")))))</f>
        <v/>
      </c>
      <c r="L63" s="158" t="n">
        <f aca="false">IF(D63=0,"",D63-E63)</f>
        <v>1300</v>
      </c>
    </row>
    <row r="64" customFormat="false" ht="15" hidden="false" customHeight="false" outlineLevel="0" collapsed="false">
      <c r="A64" s="157" t="s">
        <v>358</v>
      </c>
      <c r="B64" s="157" t="s">
        <v>359</v>
      </c>
      <c r="C64" s="157" t="s">
        <v>65</v>
      </c>
      <c r="D64" s="158" t="n">
        <f aca="false">SUMIFS('3 Base Entrada 2008'!$G$2:$G$5000,'3 Base Entrada 2008'!$B$2:$B$5000,$A64,'3 Base Entrada 2008'!$C$2:$C$5000,$B64,'3 Base Entrada 2008'!$K$2:$K$5000,"Recebido no 2008")</f>
        <v>2900</v>
      </c>
      <c r="E64" s="158" t="n">
        <f aca="false">SUMIFS('3 Base Entrada 2008'!$L$2:$L$5000,'3 Base Entrada 2008'!$B$2:$B$5000,$A64,'3 Base Entrada 2008'!$C$2:$C$5000,$B64)</f>
        <v>0</v>
      </c>
      <c r="F64" s="158" t="n">
        <f aca="false">SUMIFS('3 Base Saídas'!$R$2:$R$5000,'3 Base Saídas'!$B$2:$B$5000,$A64,'3 Base Saídas'!$C$2:$C$5000,$B64)</f>
        <v>0</v>
      </c>
      <c r="G64" s="158" t="n">
        <f aca="false">SUMIFS('3 Base Saldo Inicial 08-09'!$E$2:$E$5000,'3 Base Saldo Inicial 08-09'!$A$2:$A$5000,$A64,'3 Base Saldo Inicial 08-09'!$B$2:$B$5000,$B64)-SUMIFS('3 Base Saldo Inicial 08-09'!$E$2:$E$5000,'3 Base Saldo Inicial 08-09'!$A$2:$A$5000,$A64,'3 Base Saldo Inicial 08-09'!$B$2:$B$5000,$B64,'3 Base Saldo Inicial 08-09'!$C$2:$C$5000,"2008")+E64-F64</f>
        <v>0</v>
      </c>
      <c r="H64" s="158" t="n">
        <f aca="false">SUMIFS('3 Base Estoque Físico'!$J$2:$J$5000,'3 Base Estoque Físico'!$A$2:$A$5000,$A64,'3 Base Estoque Físico'!$B$2:$B$5000,$B64)</f>
        <v>0</v>
      </c>
      <c r="I64" s="192" t="n">
        <f aca="false">ROUND(H64-G64,3)</f>
        <v>0</v>
      </c>
      <c r="J64" s="157" t="str">
        <f aca="false">IF(ABS(I64)&lt;=Parâmetros!$C$7,"OK",IF(I64&gt;0,"Sobra no estoque","Falta no estoque"))</f>
        <v>OK</v>
      </c>
      <c r="K64" s="157" t="str">
        <f aca="false">IF(J64="OK","",IF(AND(E64=0,F64=0),"Estoque sem movimento no período",IF(G64&lt;0,"Saídas maiores que entradas – estoque anterior ao período?",IF(H64=0,"Saldo calculado sem estoque físico – verificar",IF(I64&gt;0,"Estoque acima do esperado – saldo anterior ou entrada não listada","Estoque abaixo do esperado – saída/ajuste não listado")))))</f>
        <v/>
      </c>
      <c r="L64" s="158" t="n">
        <f aca="false">IF(D64=0,"",D64-E64)</f>
        <v>2900</v>
      </c>
    </row>
    <row r="65" customFormat="false" ht="15" hidden="false" customHeight="false" outlineLevel="0" collapsed="false">
      <c r="A65" s="157" t="s">
        <v>260</v>
      </c>
      <c r="B65" s="157" t="s">
        <v>261</v>
      </c>
      <c r="C65" s="157" t="s">
        <v>65</v>
      </c>
      <c r="D65" s="158" t="n">
        <f aca="false">SUMIFS('3 Base Entrada 2008'!$G$2:$G$5000,'3 Base Entrada 2008'!$B$2:$B$5000,$A65,'3 Base Entrada 2008'!$C$2:$C$5000,$B65,'3 Base Entrada 2008'!$K$2:$K$5000,"Recebido no 2008")</f>
        <v>0</v>
      </c>
      <c r="E65" s="158" t="n">
        <f aca="false">SUMIFS('3 Base Entrada 2008'!$L$2:$L$5000,'3 Base Entrada 2008'!$B$2:$B$5000,$A65,'3 Base Entrada 2008'!$C$2:$C$5000,$B65)</f>
        <v>108.8</v>
      </c>
      <c r="F65" s="158" t="n">
        <f aca="false">SUMIFS('3 Base Saídas'!$R$2:$R$5000,'3 Base Saídas'!$B$2:$B$5000,$A65,'3 Base Saídas'!$C$2:$C$5000,$B65)</f>
        <v>0</v>
      </c>
      <c r="G65" s="158" t="n">
        <f aca="false">SUMIFS('3 Base Saldo Inicial 08-09'!$E$2:$E$5000,'3 Base Saldo Inicial 08-09'!$A$2:$A$5000,$A65,'3 Base Saldo Inicial 08-09'!$B$2:$B$5000,$B65)-SUMIFS('3 Base Saldo Inicial 08-09'!$E$2:$E$5000,'3 Base Saldo Inicial 08-09'!$A$2:$A$5000,$A65,'3 Base Saldo Inicial 08-09'!$B$2:$B$5000,$B65,'3 Base Saldo Inicial 08-09'!$C$2:$C$5000,"2008")+E65-F65</f>
        <v>108.8</v>
      </c>
      <c r="H65" s="158" t="n">
        <f aca="false">SUMIFS('3 Base Estoque Físico'!$J$2:$J$5000,'3 Base Estoque Físico'!$A$2:$A$5000,$A65,'3 Base Estoque Físico'!$B$2:$B$5000,$B65)</f>
        <v>108.8</v>
      </c>
      <c r="I65" s="192" t="n">
        <f aca="false">ROUND(H65-G65,3)</f>
        <v>0</v>
      </c>
      <c r="J65" s="157" t="str">
        <f aca="false">IF(ABS(I65)&lt;=Parâmetros!$C$7,"OK",IF(I65&gt;0,"Sobra no estoque","Falta no estoque"))</f>
        <v>OK</v>
      </c>
      <c r="K65" s="157" t="str">
        <f aca="false">IF(J65="OK","",IF(AND(E65=0,F65=0),"Estoque sem movimento no período",IF(G65&lt;0,"Saídas maiores que entradas – estoque anterior ao período?",IF(H65=0,"Saldo calculado sem estoque físico – verificar",IF(I65&gt;0,"Estoque acima do esperado – saldo anterior ou entrada não listada","Estoque abaixo do esperado – saída/ajuste não listado")))))</f>
        <v/>
      </c>
      <c r="L65" s="158" t="str">
        <f aca="false">IF(D65=0,"",D65-E65)</f>
        <v/>
      </c>
    </row>
    <row r="66" customFormat="false" ht="15" hidden="false" customHeight="false" outlineLevel="0" collapsed="false">
      <c r="A66" s="157" t="s">
        <v>260</v>
      </c>
      <c r="B66" s="157" t="s">
        <v>362</v>
      </c>
      <c r="C66" s="157" t="s">
        <v>65</v>
      </c>
      <c r="D66" s="158" t="n">
        <f aca="false">SUMIFS('3 Base Entrada 2008'!$G$2:$G$5000,'3 Base Entrada 2008'!$B$2:$B$5000,$A66,'3 Base Entrada 2008'!$C$2:$C$5000,$B66,'3 Base Entrada 2008'!$K$2:$K$5000,"Recebido no 2008")</f>
        <v>0</v>
      </c>
      <c r="E66" s="158" t="n">
        <f aca="false">SUMIFS('3 Base Entrada 2008'!$L$2:$L$5000,'3 Base Entrada 2008'!$B$2:$B$5000,$A66,'3 Base Entrada 2008'!$C$2:$C$5000,$B66)</f>
        <v>195.84</v>
      </c>
      <c r="F66" s="158" t="n">
        <f aca="false">SUMIFS('3 Base Saídas'!$R$2:$R$5000,'3 Base Saídas'!$B$2:$B$5000,$A66,'3 Base Saídas'!$C$2:$C$5000,$B66)</f>
        <v>0</v>
      </c>
      <c r="G66" s="158" t="n">
        <f aca="false">SUMIFS('3 Base Saldo Inicial 08-09'!$E$2:$E$5000,'3 Base Saldo Inicial 08-09'!$A$2:$A$5000,$A66,'3 Base Saldo Inicial 08-09'!$B$2:$B$5000,$B66)-SUMIFS('3 Base Saldo Inicial 08-09'!$E$2:$E$5000,'3 Base Saldo Inicial 08-09'!$A$2:$A$5000,$A66,'3 Base Saldo Inicial 08-09'!$B$2:$B$5000,$B66,'3 Base Saldo Inicial 08-09'!$C$2:$C$5000,"2008")+E66-F66</f>
        <v>195.84</v>
      </c>
      <c r="H66" s="158" t="n">
        <f aca="false">SUMIFS('3 Base Estoque Físico'!$J$2:$J$5000,'3 Base Estoque Físico'!$A$2:$A$5000,$A66,'3 Base Estoque Físico'!$B$2:$B$5000,$B66)</f>
        <v>195.84</v>
      </c>
      <c r="I66" s="192" t="n">
        <f aca="false">ROUND(H66-G66,3)</f>
        <v>0</v>
      </c>
      <c r="J66" s="157" t="str">
        <f aca="false">IF(ABS(I66)&lt;=Parâmetros!$C$7,"OK",IF(I66&gt;0,"Sobra no estoque","Falta no estoque"))</f>
        <v>OK</v>
      </c>
      <c r="K66" s="157" t="str">
        <f aca="false">IF(J66="OK","",IF(AND(E66=0,F66=0),"Estoque sem movimento no período",IF(G66&lt;0,"Saídas maiores que entradas – estoque anterior ao período?",IF(H66=0,"Saldo calculado sem estoque físico – verificar",IF(I66&gt;0,"Estoque acima do esperado – saldo anterior ou entrada não listada","Estoque abaixo do esperado – saída/ajuste não listado")))))</f>
        <v/>
      </c>
      <c r="L66" s="158" t="str">
        <f aca="false">IF(D66=0,"",D66-E66)</f>
        <v/>
      </c>
    </row>
    <row r="67" customFormat="false" ht="15" hidden="false" customHeight="false" outlineLevel="0" collapsed="false">
      <c r="A67" s="157" t="s">
        <v>260</v>
      </c>
      <c r="B67" s="157" t="s">
        <v>363</v>
      </c>
      <c r="C67" s="157" t="s">
        <v>65</v>
      </c>
      <c r="D67" s="158" t="n">
        <f aca="false">SUMIFS('3 Base Entrada 2008'!$G$2:$G$5000,'3 Base Entrada 2008'!$B$2:$B$5000,$A67,'3 Base Entrada 2008'!$C$2:$C$5000,$B67,'3 Base Entrada 2008'!$K$2:$K$5000,"Recebido no 2008")</f>
        <v>0</v>
      </c>
      <c r="E67" s="158" t="n">
        <f aca="false">SUMIFS('3 Base Entrada 2008'!$L$2:$L$5000,'3 Base Entrada 2008'!$B$2:$B$5000,$A67,'3 Base Entrada 2008'!$C$2:$C$5000,$B67)</f>
        <v>295.12</v>
      </c>
      <c r="F67" s="158" t="n">
        <f aca="false">SUMIFS('3 Base Saídas'!$R$2:$R$5000,'3 Base Saídas'!$B$2:$B$5000,$A67,'3 Base Saídas'!$C$2:$C$5000,$B67)</f>
        <v>0</v>
      </c>
      <c r="G67" s="158" t="n">
        <f aca="false">SUMIFS('3 Base Saldo Inicial 08-09'!$E$2:$E$5000,'3 Base Saldo Inicial 08-09'!$A$2:$A$5000,$A67,'3 Base Saldo Inicial 08-09'!$B$2:$B$5000,$B67)-SUMIFS('3 Base Saldo Inicial 08-09'!$E$2:$E$5000,'3 Base Saldo Inicial 08-09'!$A$2:$A$5000,$A67,'3 Base Saldo Inicial 08-09'!$B$2:$B$5000,$B67,'3 Base Saldo Inicial 08-09'!$C$2:$C$5000,"2008")+E67-F67</f>
        <v>295.12</v>
      </c>
      <c r="H67" s="158" t="n">
        <f aca="false">SUMIFS('3 Base Estoque Físico'!$J$2:$J$5000,'3 Base Estoque Físico'!$A$2:$A$5000,$A67,'3 Base Estoque Físico'!$B$2:$B$5000,$B67)</f>
        <v>295.12</v>
      </c>
      <c r="I67" s="192" t="n">
        <f aca="false">ROUND(H67-G67,3)</f>
        <v>0</v>
      </c>
      <c r="J67" s="157" t="str">
        <f aca="false">IF(ABS(I67)&lt;=Parâmetros!$C$7,"OK",IF(I67&gt;0,"Sobra no estoque","Falta no estoque"))</f>
        <v>OK</v>
      </c>
      <c r="K67" s="157" t="str">
        <f aca="false">IF(J67="OK","",IF(AND(E67=0,F67=0),"Estoque sem movimento no período",IF(G67&lt;0,"Saídas maiores que entradas – estoque anterior ao período?",IF(H67=0,"Saldo calculado sem estoque físico – verificar",IF(I67&gt;0,"Estoque acima do esperado – saldo anterior ou entrada não listada","Estoque abaixo do esperado – saída/ajuste não listado")))))</f>
        <v/>
      </c>
      <c r="L67" s="158" t="str">
        <f aca="false">IF(D67=0,"",D67-E67)</f>
        <v/>
      </c>
    </row>
    <row r="68" customFormat="false" ht="15" hidden="false" customHeight="false" outlineLevel="0" collapsed="false">
      <c r="A68" s="157" t="s">
        <v>266</v>
      </c>
      <c r="B68" s="157" t="s">
        <v>267</v>
      </c>
      <c r="C68" s="157" t="s">
        <v>65</v>
      </c>
      <c r="D68" s="158" t="n">
        <f aca="false">SUMIFS('3 Base Entrada 2008'!$G$2:$G$5000,'3 Base Entrada 2008'!$B$2:$B$5000,$A68,'3 Base Entrada 2008'!$C$2:$C$5000,$B68,'3 Base Entrada 2008'!$K$2:$K$5000,"Recebido no 2008")</f>
        <v>0</v>
      </c>
      <c r="E68" s="158" t="n">
        <f aca="false">SUMIFS('3 Base Entrada 2008'!$L$2:$L$5000,'3 Base Entrada 2008'!$B$2:$B$5000,$A68,'3 Base Entrada 2008'!$C$2:$C$5000,$B68)</f>
        <v>432</v>
      </c>
      <c r="F68" s="158" t="n">
        <f aca="false">SUMIFS('3 Base Saídas'!$R$2:$R$5000,'3 Base Saídas'!$B$2:$B$5000,$A68,'3 Base Saídas'!$C$2:$C$5000,$B68)</f>
        <v>0</v>
      </c>
      <c r="G68" s="158" t="n">
        <f aca="false">SUMIFS('3 Base Saldo Inicial 08-09'!$E$2:$E$5000,'3 Base Saldo Inicial 08-09'!$A$2:$A$5000,$A68,'3 Base Saldo Inicial 08-09'!$B$2:$B$5000,$B68)-SUMIFS('3 Base Saldo Inicial 08-09'!$E$2:$E$5000,'3 Base Saldo Inicial 08-09'!$A$2:$A$5000,$A68,'3 Base Saldo Inicial 08-09'!$B$2:$B$5000,$B68,'3 Base Saldo Inicial 08-09'!$C$2:$C$5000,"2008")+E68-F68</f>
        <v>432</v>
      </c>
      <c r="H68" s="158" t="n">
        <f aca="false">SUMIFS('3 Base Estoque Físico'!$J$2:$J$5000,'3 Base Estoque Físico'!$A$2:$A$5000,$A68,'3 Base Estoque Físico'!$B$2:$B$5000,$B68)</f>
        <v>432</v>
      </c>
      <c r="I68" s="192" t="n">
        <f aca="false">ROUND(H68-G68,3)</f>
        <v>0</v>
      </c>
      <c r="J68" s="157" t="str">
        <f aca="false">IF(ABS(I68)&lt;=Parâmetros!$C$7,"OK",IF(I68&gt;0,"Sobra no estoque","Falta no estoque"))</f>
        <v>OK</v>
      </c>
      <c r="K68" s="157" t="str">
        <f aca="false">IF(J68="OK","",IF(AND(E68=0,F68=0),"Estoque sem movimento no período",IF(G68&lt;0,"Saídas maiores que entradas – estoque anterior ao período?",IF(H68=0,"Saldo calculado sem estoque físico – verificar",IF(I68&gt;0,"Estoque acima do esperado – saldo anterior ou entrada não listada","Estoque abaixo do esperado – saída/ajuste não listado")))))</f>
        <v/>
      </c>
      <c r="L68" s="158" t="str">
        <f aca="false">IF(D68=0,"",D68-E68)</f>
        <v/>
      </c>
    </row>
    <row r="69" customFormat="false" ht="15" hidden="false" customHeight="false" outlineLevel="0" collapsed="false">
      <c r="A69" s="157" t="s">
        <v>364</v>
      </c>
      <c r="B69" s="157" t="s">
        <v>365</v>
      </c>
      <c r="C69" s="157" t="s">
        <v>65</v>
      </c>
      <c r="D69" s="158" t="n">
        <f aca="false">SUMIFS('3 Base Entrada 2008'!$G$2:$G$5000,'3 Base Entrada 2008'!$B$2:$B$5000,$A69,'3 Base Entrada 2008'!$C$2:$C$5000,$B69,'3 Base Entrada 2008'!$K$2:$K$5000,"Recebido no 2008")</f>
        <v>1200</v>
      </c>
      <c r="E69" s="158" t="n">
        <f aca="false">SUMIFS('3 Base Entrada 2008'!$L$2:$L$5000,'3 Base Entrada 2008'!$B$2:$B$5000,$A69,'3 Base Entrada 2008'!$C$2:$C$5000,$B69)</f>
        <v>0</v>
      </c>
      <c r="F69" s="158" t="n">
        <f aca="false">SUMIFS('3 Base Saídas'!$R$2:$R$5000,'3 Base Saídas'!$B$2:$B$5000,$A69,'3 Base Saídas'!$C$2:$C$5000,$B69)</f>
        <v>0</v>
      </c>
      <c r="G69" s="158" t="n">
        <f aca="false">SUMIFS('3 Base Saldo Inicial 08-09'!$E$2:$E$5000,'3 Base Saldo Inicial 08-09'!$A$2:$A$5000,$A69,'3 Base Saldo Inicial 08-09'!$B$2:$B$5000,$B69)-SUMIFS('3 Base Saldo Inicial 08-09'!$E$2:$E$5000,'3 Base Saldo Inicial 08-09'!$A$2:$A$5000,$A69,'3 Base Saldo Inicial 08-09'!$B$2:$B$5000,$B69,'3 Base Saldo Inicial 08-09'!$C$2:$C$5000,"2008")+E69-F69</f>
        <v>0</v>
      </c>
      <c r="H69" s="158" t="n">
        <f aca="false">SUMIFS('3 Base Estoque Físico'!$J$2:$J$5000,'3 Base Estoque Físico'!$A$2:$A$5000,$A69,'3 Base Estoque Físico'!$B$2:$B$5000,$B69)</f>
        <v>0</v>
      </c>
      <c r="I69" s="192" t="n">
        <f aca="false">ROUND(H69-G69,3)</f>
        <v>0</v>
      </c>
      <c r="J69" s="157" t="str">
        <f aca="false">IF(ABS(I69)&lt;=Parâmetros!$C$7,"OK",IF(I69&gt;0,"Sobra no estoque","Falta no estoque"))</f>
        <v>OK</v>
      </c>
      <c r="K69" s="157" t="str">
        <f aca="false">IF(J69="OK","",IF(AND(E69=0,F69=0),"Estoque sem movimento no período",IF(G69&lt;0,"Saídas maiores que entradas – estoque anterior ao período?",IF(H69=0,"Saldo calculado sem estoque físico – verificar",IF(I69&gt;0,"Estoque acima do esperado – saldo anterior ou entrada não listada","Estoque abaixo do esperado – saída/ajuste não listado")))))</f>
        <v/>
      </c>
      <c r="L69" s="158" t="n">
        <f aca="false">IF(D69=0,"",D69-E69)</f>
        <v>1200</v>
      </c>
    </row>
    <row r="70" customFormat="false" ht="15" hidden="false" customHeight="false" outlineLevel="0" collapsed="false">
      <c r="A70" s="157" t="s">
        <v>271</v>
      </c>
      <c r="B70" s="157" t="s">
        <v>272</v>
      </c>
      <c r="C70" s="157" t="s">
        <v>65</v>
      </c>
      <c r="D70" s="158" t="n">
        <f aca="false">SUMIFS('3 Base Entrada 2008'!$G$2:$G$5000,'3 Base Entrada 2008'!$B$2:$B$5000,$A70,'3 Base Entrada 2008'!$C$2:$C$5000,$B70,'3 Base Entrada 2008'!$K$2:$K$5000,"Recebido no 2008")</f>
        <v>0</v>
      </c>
      <c r="E70" s="158" t="n">
        <f aca="false">SUMIFS('3 Base Entrada 2008'!$L$2:$L$5000,'3 Base Entrada 2008'!$B$2:$B$5000,$A70,'3 Base Entrada 2008'!$C$2:$C$5000,$B70)</f>
        <v>1860</v>
      </c>
      <c r="F70" s="158" t="n">
        <f aca="false">SUMIFS('3 Base Saídas'!$R$2:$R$5000,'3 Base Saídas'!$B$2:$B$5000,$A70,'3 Base Saídas'!$C$2:$C$5000,$B70)</f>
        <v>770</v>
      </c>
      <c r="G70" s="158" t="n">
        <f aca="false">SUMIFS('3 Base Saldo Inicial 08-09'!$E$2:$E$5000,'3 Base Saldo Inicial 08-09'!$A$2:$A$5000,$A70,'3 Base Saldo Inicial 08-09'!$B$2:$B$5000,$B70)-SUMIFS('3 Base Saldo Inicial 08-09'!$E$2:$E$5000,'3 Base Saldo Inicial 08-09'!$A$2:$A$5000,$A70,'3 Base Saldo Inicial 08-09'!$B$2:$B$5000,$B70,'3 Base Saldo Inicial 08-09'!$C$2:$C$5000,"2008")+E70-F70</f>
        <v>1090</v>
      </c>
      <c r="H70" s="158" t="n">
        <f aca="false">SUMIFS('3 Base Estoque Físico'!$J$2:$J$5000,'3 Base Estoque Físico'!$A$2:$A$5000,$A70,'3 Base Estoque Físico'!$B$2:$B$5000,$B70)</f>
        <v>1090</v>
      </c>
      <c r="I70" s="192" t="n">
        <f aca="false">ROUND(H70-G70,3)</f>
        <v>0</v>
      </c>
      <c r="J70" s="157" t="str">
        <f aca="false">IF(ABS(I70)&lt;=Parâmetros!$C$7,"OK",IF(I70&gt;0,"Sobra no estoque","Falta no estoque"))</f>
        <v>OK</v>
      </c>
      <c r="K70" s="157" t="str">
        <f aca="false">IF(J70="OK","",IF(AND(E70=0,F70=0),"Estoque sem movimento no período",IF(G70&lt;0,"Saídas maiores que entradas – estoque anterior ao período?",IF(H70=0,"Saldo calculado sem estoque físico – verificar",IF(I70&gt;0,"Estoque acima do esperado – saldo anterior ou entrada não listada","Estoque abaixo do esperado – saída/ajuste não listado")))))</f>
        <v/>
      </c>
      <c r="L70" s="158" t="str">
        <f aca="false">IF(D70=0,"",D70-E70)</f>
        <v/>
      </c>
    </row>
    <row r="71" customFormat="false" ht="15" hidden="false" customHeight="false" outlineLevel="0" collapsed="false">
      <c r="A71" s="157" t="s">
        <v>271</v>
      </c>
      <c r="B71" s="157" t="s">
        <v>273</v>
      </c>
      <c r="C71" s="157" t="s">
        <v>65</v>
      </c>
      <c r="D71" s="158" t="n">
        <f aca="false">SUMIFS('3 Base Entrada 2008'!$G$2:$G$5000,'3 Base Entrada 2008'!$B$2:$B$5000,$A71,'3 Base Entrada 2008'!$C$2:$C$5000,$B71,'3 Base Entrada 2008'!$K$2:$K$5000,"Recebido no 2008")</f>
        <v>840</v>
      </c>
      <c r="E71" s="158" t="n">
        <f aca="false">SUMIFS('3 Base Entrada 2008'!$L$2:$L$5000,'3 Base Entrada 2008'!$B$2:$B$5000,$A71,'3 Base Entrada 2008'!$C$2:$C$5000,$B71)</f>
        <v>1200</v>
      </c>
      <c r="F71" s="158" t="n">
        <f aca="false">SUMIFS('3 Base Saídas'!$R$2:$R$5000,'3 Base Saídas'!$B$2:$B$5000,$A71,'3 Base Saídas'!$C$2:$C$5000,$B71)</f>
        <v>0</v>
      </c>
      <c r="G71" s="158" t="n">
        <f aca="false">SUMIFS('3 Base Saldo Inicial 08-09'!$E$2:$E$5000,'3 Base Saldo Inicial 08-09'!$A$2:$A$5000,$A71,'3 Base Saldo Inicial 08-09'!$B$2:$B$5000,$B71)-SUMIFS('3 Base Saldo Inicial 08-09'!$E$2:$E$5000,'3 Base Saldo Inicial 08-09'!$A$2:$A$5000,$A71,'3 Base Saldo Inicial 08-09'!$B$2:$B$5000,$B71,'3 Base Saldo Inicial 08-09'!$C$2:$C$5000,"2008")+E71-F71</f>
        <v>1200</v>
      </c>
      <c r="H71" s="158" t="n">
        <f aca="false">SUMIFS('3 Base Estoque Físico'!$J$2:$J$5000,'3 Base Estoque Físico'!$A$2:$A$5000,$A71,'3 Base Estoque Físico'!$B$2:$B$5000,$B71)</f>
        <v>1200</v>
      </c>
      <c r="I71" s="192" t="n">
        <f aca="false">ROUND(H71-G71,3)</f>
        <v>0</v>
      </c>
      <c r="J71" s="157" t="str">
        <f aca="false">IF(ABS(I71)&lt;=Parâmetros!$C$7,"OK",IF(I71&gt;0,"Sobra no estoque","Falta no estoque"))</f>
        <v>OK</v>
      </c>
      <c r="K71" s="157" t="str">
        <f aca="false">IF(J71="OK","",IF(AND(E71=0,F71=0),"Estoque sem movimento no período",IF(G71&lt;0,"Saídas maiores que entradas – estoque anterior ao período?",IF(H71=0,"Saldo calculado sem estoque físico – verificar",IF(I71&gt;0,"Estoque acima do esperado – saldo anterior ou entrada não listada","Estoque abaixo do esperado – saída/ajuste não listado")))))</f>
        <v/>
      </c>
      <c r="L71" s="158" t="n">
        <f aca="false">IF(D71=0,"",D71-E71)</f>
        <v>-360</v>
      </c>
    </row>
    <row r="72" customFormat="false" ht="15" hidden="false" customHeight="false" outlineLevel="0" collapsed="false">
      <c r="A72" s="157" t="s">
        <v>368</v>
      </c>
      <c r="B72" s="157" t="s">
        <v>369</v>
      </c>
      <c r="C72" s="157" t="s">
        <v>65</v>
      </c>
      <c r="D72" s="158" t="n">
        <f aca="false">SUMIFS('3 Base Entrada 2008'!$G$2:$G$5000,'3 Base Entrada 2008'!$B$2:$B$5000,$A72,'3 Base Entrada 2008'!$C$2:$C$5000,$B72,'3 Base Entrada 2008'!$K$2:$K$5000,"Recebido no 2008")</f>
        <v>1873.2</v>
      </c>
      <c r="E72" s="158" t="n">
        <f aca="false">SUMIFS('3 Base Entrada 2008'!$L$2:$L$5000,'3 Base Entrada 2008'!$B$2:$B$5000,$A72,'3 Base Entrada 2008'!$C$2:$C$5000,$B72)</f>
        <v>313.6</v>
      </c>
      <c r="F72" s="158" t="n">
        <f aca="false">SUMIFS('3 Base Saídas'!$R$2:$R$5000,'3 Base Saídas'!$B$2:$B$5000,$A72,'3 Base Saídas'!$C$2:$C$5000,$B72)</f>
        <v>0</v>
      </c>
      <c r="G72" s="158" t="n">
        <f aca="false">SUMIFS('3 Base Saldo Inicial 08-09'!$E$2:$E$5000,'3 Base Saldo Inicial 08-09'!$A$2:$A$5000,$A72,'3 Base Saldo Inicial 08-09'!$B$2:$B$5000,$B72)-SUMIFS('3 Base Saldo Inicial 08-09'!$E$2:$E$5000,'3 Base Saldo Inicial 08-09'!$A$2:$A$5000,$A72,'3 Base Saldo Inicial 08-09'!$B$2:$B$5000,$B72,'3 Base Saldo Inicial 08-09'!$C$2:$C$5000,"2008")+E72-F72</f>
        <v>313.6</v>
      </c>
      <c r="H72" s="158" t="n">
        <f aca="false">SUMIFS('3 Base Estoque Físico'!$J$2:$J$5000,'3 Base Estoque Físico'!$A$2:$A$5000,$A72,'3 Base Estoque Físico'!$B$2:$B$5000,$B72)</f>
        <v>313.6</v>
      </c>
      <c r="I72" s="192" t="n">
        <f aca="false">ROUND(H72-G72,3)</f>
        <v>0</v>
      </c>
      <c r="J72" s="157" t="str">
        <f aca="false">IF(ABS(I72)&lt;=Parâmetros!$C$7,"OK",IF(I72&gt;0,"Sobra no estoque","Falta no estoque"))</f>
        <v>OK</v>
      </c>
      <c r="K72" s="157" t="str">
        <f aca="false">IF(J72="OK","",IF(AND(E72=0,F72=0),"Estoque sem movimento no período",IF(G72&lt;0,"Saídas maiores que entradas – estoque anterior ao período?",IF(H72=0,"Saldo calculado sem estoque físico – verificar",IF(I72&gt;0,"Estoque acima do esperado – saldo anterior ou entrada não listada","Estoque abaixo do esperado – saída/ajuste não listado")))))</f>
        <v/>
      </c>
      <c r="L72" s="158" t="n">
        <f aca="false">IF(D72=0,"",D72-E72)</f>
        <v>1559.6</v>
      </c>
    </row>
    <row r="73" customFormat="false" ht="15" hidden="false" customHeight="false" outlineLevel="0" collapsed="false">
      <c r="A73" s="157" t="s">
        <v>276</v>
      </c>
      <c r="B73" s="157" t="s">
        <v>371</v>
      </c>
      <c r="C73" s="157" t="s">
        <v>65</v>
      </c>
      <c r="D73" s="158" t="n">
        <f aca="false">SUMIFS('3 Base Entrada 2008'!$G$2:$G$5000,'3 Base Entrada 2008'!$B$2:$B$5000,$A73,'3 Base Entrada 2008'!$C$2:$C$5000,$B73,'3 Base Entrada 2008'!$K$2:$K$5000,"Recebido no 2008")</f>
        <v>0</v>
      </c>
      <c r="E73" s="158" t="n">
        <f aca="false">SUMIFS('3 Base Entrada 2008'!$L$2:$L$5000,'3 Base Entrada 2008'!$B$2:$B$5000,$A73,'3 Base Entrada 2008'!$C$2:$C$5000,$B73)</f>
        <v>603</v>
      </c>
      <c r="F73" s="158" t="n">
        <f aca="false">SUMIFS('3 Base Saídas'!$R$2:$R$5000,'3 Base Saídas'!$B$2:$B$5000,$A73,'3 Base Saídas'!$C$2:$C$5000,$B73)</f>
        <v>0</v>
      </c>
      <c r="G73" s="158" t="n">
        <f aca="false">SUMIFS('3 Base Saldo Inicial 08-09'!$E$2:$E$5000,'3 Base Saldo Inicial 08-09'!$A$2:$A$5000,$A73,'3 Base Saldo Inicial 08-09'!$B$2:$B$5000,$B73)-SUMIFS('3 Base Saldo Inicial 08-09'!$E$2:$E$5000,'3 Base Saldo Inicial 08-09'!$A$2:$A$5000,$A73,'3 Base Saldo Inicial 08-09'!$B$2:$B$5000,$B73,'3 Base Saldo Inicial 08-09'!$C$2:$C$5000,"2008")+E73-F73</f>
        <v>603</v>
      </c>
      <c r="H73" s="158" t="n">
        <f aca="false">SUMIFS('3 Base Estoque Físico'!$J$2:$J$5000,'3 Base Estoque Físico'!$A$2:$A$5000,$A73,'3 Base Estoque Físico'!$B$2:$B$5000,$B73)</f>
        <v>603</v>
      </c>
      <c r="I73" s="192" t="n">
        <f aca="false">ROUND(H73-G73,3)</f>
        <v>0</v>
      </c>
      <c r="J73" s="157" t="str">
        <f aca="false">IF(ABS(I73)&lt;=Parâmetros!$C$7,"OK",IF(I73&gt;0,"Sobra no estoque","Falta no estoque"))</f>
        <v>OK</v>
      </c>
      <c r="K73" s="157" t="str">
        <f aca="false">IF(J73="OK","",IF(AND(E73=0,F73=0),"Estoque sem movimento no período",IF(G73&lt;0,"Saídas maiores que entradas – estoque anterior ao período?",IF(H73=0,"Saldo calculado sem estoque físico – verificar",IF(I73&gt;0,"Estoque acima do esperado – saldo anterior ou entrada não listada","Estoque abaixo do esperado – saída/ajuste não listado")))))</f>
        <v/>
      </c>
      <c r="L73" s="158" t="str">
        <f aca="false">IF(D73=0,"",D73-E73)</f>
        <v/>
      </c>
    </row>
    <row r="74" customFormat="false" ht="15" hidden="false" customHeight="false" outlineLevel="0" collapsed="false">
      <c r="A74" s="157" t="s">
        <v>276</v>
      </c>
      <c r="B74" s="157" t="s">
        <v>280</v>
      </c>
      <c r="C74" s="157" t="s">
        <v>65</v>
      </c>
      <c r="D74" s="158" t="n">
        <f aca="false">SUMIFS('3 Base Entrada 2008'!$G$2:$G$5000,'3 Base Entrada 2008'!$B$2:$B$5000,$A74,'3 Base Entrada 2008'!$C$2:$C$5000,$B74,'3 Base Entrada 2008'!$K$2:$K$5000,"Recebido no 2008")</f>
        <v>1166</v>
      </c>
      <c r="E74" s="158" t="n">
        <f aca="false">SUMIFS('3 Base Entrada 2008'!$L$2:$L$5000,'3 Base Entrada 2008'!$B$2:$B$5000,$A74,'3 Base Entrada 2008'!$C$2:$C$5000,$B74)</f>
        <v>603</v>
      </c>
      <c r="F74" s="158" t="n">
        <f aca="false">SUMIFS('3 Base Saídas'!$R$2:$R$5000,'3 Base Saídas'!$B$2:$B$5000,$A74,'3 Base Saídas'!$C$2:$C$5000,$B74)</f>
        <v>422.1</v>
      </c>
      <c r="G74" s="158" t="n">
        <f aca="false">SUMIFS('3 Base Saldo Inicial 08-09'!$E$2:$E$5000,'3 Base Saldo Inicial 08-09'!$A$2:$A$5000,$A74,'3 Base Saldo Inicial 08-09'!$B$2:$B$5000,$B74)-SUMIFS('3 Base Saldo Inicial 08-09'!$E$2:$E$5000,'3 Base Saldo Inicial 08-09'!$A$2:$A$5000,$A74,'3 Base Saldo Inicial 08-09'!$B$2:$B$5000,$B74,'3 Base Saldo Inicial 08-09'!$C$2:$C$5000,"2008")+E74-F74</f>
        <v>180.9</v>
      </c>
      <c r="H74" s="158" t="n">
        <f aca="false">SUMIFS('3 Base Estoque Físico'!$J$2:$J$5000,'3 Base Estoque Físico'!$A$2:$A$5000,$A74,'3 Base Estoque Físico'!$B$2:$B$5000,$B74)</f>
        <v>180.9</v>
      </c>
      <c r="I74" s="192" t="n">
        <f aca="false">ROUND(H74-G74,3)</f>
        <v>0</v>
      </c>
      <c r="J74" s="157" t="str">
        <f aca="false">IF(ABS(I74)&lt;=Parâmetros!$C$7,"OK",IF(I74&gt;0,"Sobra no estoque","Falta no estoque"))</f>
        <v>OK</v>
      </c>
      <c r="K74" s="157" t="str">
        <f aca="false">IF(J74="OK","",IF(AND(E74=0,F74=0),"Estoque sem movimento no período",IF(G74&lt;0,"Saídas maiores que entradas – estoque anterior ao período?",IF(H74=0,"Saldo calculado sem estoque físico – verificar",IF(I74&gt;0,"Estoque acima do esperado – saldo anterior ou entrada não listada","Estoque abaixo do esperado – saída/ajuste não listado")))))</f>
        <v/>
      </c>
      <c r="L74" s="158" t="n">
        <f aca="false">IF(D74=0,"",D74-E74)</f>
        <v>563</v>
      </c>
    </row>
    <row r="75" customFormat="false" ht="15" hidden="false" customHeight="false" outlineLevel="0" collapsed="false">
      <c r="A75" s="157" t="s">
        <v>372</v>
      </c>
      <c r="B75" s="157" t="s">
        <v>373</v>
      </c>
      <c r="C75" s="157" t="s">
        <v>65</v>
      </c>
      <c r="D75" s="158" t="n">
        <f aca="false">SUMIFS('3 Base Entrada 2008'!$G$2:$G$5000,'3 Base Entrada 2008'!$B$2:$B$5000,$A75,'3 Base Entrada 2008'!$C$2:$C$5000,$B75,'3 Base Entrada 2008'!$K$2:$K$5000,"Recebido no 2008")</f>
        <v>0</v>
      </c>
      <c r="E75" s="158" t="n">
        <f aca="false">SUMIFS('3 Base Entrada 2008'!$L$2:$L$5000,'3 Base Entrada 2008'!$B$2:$B$5000,$A75,'3 Base Entrada 2008'!$C$2:$C$5000,$B75)</f>
        <v>1200</v>
      </c>
      <c r="F75" s="158" t="n">
        <f aca="false">SUMIFS('3 Base Saídas'!$R$2:$R$5000,'3 Base Saídas'!$B$2:$B$5000,$A75,'3 Base Saídas'!$C$2:$C$5000,$B75)</f>
        <v>0</v>
      </c>
      <c r="G75" s="158" t="n">
        <f aca="false">SUMIFS('3 Base Saldo Inicial 08-09'!$E$2:$E$5000,'3 Base Saldo Inicial 08-09'!$A$2:$A$5000,$A75,'3 Base Saldo Inicial 08-09'!$B$2:$B$5000,$B75)-SUMIFS('3 Base Saldo Inicial 08-09'!$E$2:$E$5000,'3 Base Saldo Inicial 08-09'!$A$2:$A$5000,$A75,'3 Base Saldo Inicial 08-09'!$B$2:$B$5000,$B75,'3 Base Saldo Inicial 08-09'!$C$2:$C$5000,"2008")+E75-F75</f>
        <v>1200</v>
      </c>
      <c r="H75" s="158" t="n">
        <f aca="false">SUMIFS('3 Base Estoque Físico'!$J$2:$J$5000,'3 Base Estoque Físico'!$A$2:$A$5000,$A75,'3 Base Estoque Físico'!$B$2:$B$5000,$B75)</f>
        <v>1200</v>
      </c>
      <c r="I75" s="192" t="n">
        <f aca="false">ROUND(H75-G75,3)</f>
        <v>0</v>
      </c>
      <c r="J75" s="157" t="str">
        <f aca="false">IF(ABS(I75)&lt;=Parâmetros!$C$7,"OK",IF(I75&gt;0,"Sobra no estoque","Falta no estoque"))</f>
        <v>OK</v>
      </c>
      <c r="K75" s="157" t="str">
        <f aca="false">IF(J75="OK","",IF(AND(E75=0,F75=0),"Estoque sem movimento no período",IF(G75&lt;0,"Saídas maiores que entradas – estoque anterior ao período?",IF(H75=0,"Saldo calculado sem estoque físico – verificar",IF(I75&gt;0,"Estoque acima do esperado – saldo anterior ou entrada não listada","Estoque abaixo do esperado – saída/ajuste não listado")))))</f>
        <v/>
      </c>
      <c r="L75" s="158" t="str">
        <f aca="false">IF(D75=0,"",D75-E75)</f>
        <v/>
      </c>
    </row>
    <row r="76" customFormat="false" ht="15" hidden="false" customHeight="false" outlineLevel="0" collapsed="false">
      <c r="A76" s="157" t="s">
        <v>372</v>
      </c>
      <c r="B76" s="157" t="s">
        <v>374</v>
      </c>
      <c r="C76" s="157" t="s">
        <v>65</v>
      </c>
      <c r="D76" s="158" t="n">
        <f aca="false">SUMIFS('3 Base Entrada 2008'!$G$2:$G$5000,'3 Base Entrada 2008'!$B$2:$B$5000,$A76,'3 Base Entrada 2008'!$C$2:$C$5000,$B76,'3 Base Entrada 2008'!$K$2:$K$5000,"Recebido no 2008")</f>
        <v>2400</v>
      </c>
      <c r="E76" s="158" t="n">
        <f aca="false">SUMIFS('3 Base Entrada 2008'!$L$2:$L$5000,'3 Base Entrada 2008'!$B$2:$B$5000,$A76,'3 Base Entrada 2008'!$C$2:$C$5000,$B76)</f>
        <v>0</v>
      </c>
      <c r="F76" s="158" t="n">
        <f aca="false">SUMIFS('3 Base Saídas'!$R$2:$R$5000,'3 Base Saídas'!$B$2:$B$5000,$A76,'3 Base Saídas'!$C$2:$C$5000,$B76)</f>
        <v>0</v>
      </c>
      <c r="G76" s="158" t="n">
        <f aca="false">SUMIFS('3 Base Saldo Inicial 08-09'!$E$2:$E$5000,'3 Base Saldo Inicial 08-09'!$A$2:$A$5000,$A76,'3 Base Saldo Inicial 08-09'!$B$2:$B$5000,$B76)-SUMIFS('3 Base Saldo Inicial 08-09'!$E$2:$E$5000,'3 Base Saldo Inicial 08-09'!$A$2:$A$5000,$A76,'3 Base Saldo Inicial 08-09'!$B$2:$B$5000,$B76,'3 Base Saldo Inicial 08-09'!$C$2:$C$5000,"2008")+E76-F76</f>
        <v>0</v>
      </c>
      <c r="H76" s="158" t="n">
        <f aca="false">SUMIFS('3 Base Estoque Físico'!$J$2:$J$5000,'3 Base Estoque Físico'!$A$2:$A$5000,$A76,'3 Base Estoque Físico'!$B$2:$B$5000,$B76)</f>
        <v>0</v>
      </c>
      <c r="I76" s="192" t="n">
        <f aca="false">ROUND(H76-G76,3)</f>
        <v>0</v>
      </c>
      <c r="J76" s="157" t="str">
        <f aca="false">IF(ABS(I76)&lt;=Parâmetros!$C$7,"OK",IF(I76&gt;0,"Sobra no estoque","Falta no estoque"))</f>
        <v>OK</v>
      </c>
      <c r="K76" s="157" t="str">
        <f aca="false">IF(J76="OK","",IF(AND(E76=0,F76=0),"Estoque sem movimento no período",IF(G76&lt;0,"Saídas maiores que entradas – estoque anterior ao período?",IF(H76=0,"Saldo calculado sem estoque físico – verificar",IF(I76&gt;0,"Estoque acima do esperado – saldo anterior ou entrada não listada","Estoque abaixo do esperado – saída/ajuste não listado")))))</f>
        <v/>
      </c>
      <c r="L76" s="158" t="n">
        <f aca="false">IF(D76=0,"",D76-E76)</f>
        <v>2400</v>
      </c>
    </row>
    <row r="77" customFormat="false" ht="15" hidden="false" customHeight="false" outlineLevel="0" collapsed="false">
      <c r="A77" s="157" t="s">
        <v>281</v>
      </c>
      <c r="B77" s="157" t="s">
        <v>282</v>
      </c>
      <c r="C77" s="157" t="s">
        <v>65</v>
      </c>
      <c r="D77" s="158" t="n">
        <f aca="false">SUMIFS('3 Base Entrada 2008'!$G$2:$G$5000,'3 Base Entrada 2008'!$B$2:$B$5000,$A77,'3 Base Entrada 2008'!$C$2:$C$5000,$B77,'3 Base Entrada 2008'!$K$2:$K$5000,"Recebido no 2008")</f>
        <v>864</v>
      </c>
      <c r="E77" s="158" t="n">
        <f aca="false">SUMIFS('3 Base Entrada 2008'!$L$2:$L$5000,'3 Base Entrada 2008'!$B$2:$B$5000,$A77,'3 Base Entrada 2008'!$C$2:$C$5000,$B77)</f>
        <v>864</v>
      </c>
      <c r="F77" s="158" t="n">
        <f aca="false">SUMIFS('3 Base Saídas'!$R$2:$R$5000,'3 Base Saídas'!$B$2:$B$5000,$A77,'3 Base Saídas'!$C$2:$C$5000,$B77)</f>
        <v>306</v>
      </c>
      <c r="G77" s="158" t="n">
        <f aca="false">SUMIFS('3 Base Saldo Inicial 08-09'!$E$2:$E$5000,'3 Base Saldo Inicial 08-09'!$A$2:$A$5000,$A77,'3 Base Saldo Inicial 08-09'!$B$2:$B$5000,$B77)-SUMIFS('3 Base Saldo Inicial 08-09'!$E$2:$E$5000,'3 Base Saldo Inicial 08-09'!$A$2:$A$5000,$A77,'3 Base Saldo Inicial 08-09'!$B$2:$B$5000,$B77,'3 Base Saldo Inicial 08-09'!$C$2:$C$5000,"2008")+E77-F77</f>
        <v>558</v>
      </c>
      <c r="H77" s="158" t="n">
        <f aca="false">SUMIFS('3 Base Estoque Físico'!$J$2:$J$5000,'3 Base Estoque Físico'!$A$2:$A$5000,$A77,'3 Base Estoque Físico'!$B$2:$B$5000,$B77)</f>
        <v>558</v>
      </c>
      <c r="I77" s="192" t="n">
        <f aca="false">ROUND(H77-G77,3)</f>
        <v>0</v>
      </c>
      <c r="J77" s="157" t="str">
        <f aca="false">IF(ABS(I77)&lt;=Parâmetros!$C$7,"OK",IF(I77&gt;0,"Sobra no estoque","Falta no estoque"))</f>
        <v>OK</v>
      </c>
      <c r="K77" s="157" t="str">
        <f aca="false">IF(J77="OK","",IF(AND(E77=0,F77=0),"Estoque sem movimento no período",IF(G77&lt;0,"Saídas maiores que entradas – estoque anterior ao período?",IF(H77=0,"Saldo calculado sem estoque físico – verificar",IF(I77&gt;0,"Estoque acima do esperado – saldo anterior ou entrada não listada","Estoque abaixo do esperado – saída/ajuste não listado")))))</f>
        <v/>
      </c>
      <c r="L77" s="158" t="n">
        <f aca="false">IF(D77=0,"",D77-E77)</f>
        <v>0</v>
      </c>
    </row>
    <row r="78" customFormat="false" ht="15" hidden="false" customHeight="false" outlineLevel="0" collapsed="false">
      <c r="A78" s="157" t="s">
        <v>375</v>
      </c>
      <c r="B78" s="157" t="s">
        <v>376</v>
      </c>
      <c r="C78" s="157" t="s">
        <v>65</v>
      </c>
      <c r="D78" s="158" t="n">
        <f aca="false">SUMIFS('3 Base Entrada 2008'!$G$2:$G$5000,'3 Base Entrada 2008'!$B$2:$B$5000,$A78,'3 Base Entrada 2008'!$C$2:$C$5000,$B78,'3 Base Entrada 2008'!$K$2:$K$5000,"Recebido no 2008")</f>
        <v>432</v>
      </c>
      <c r="E78" s="158" t="n">
        <f aca="false">SUMIFS('3 Base Entrada 2008'!$L$2:$L$5000,'3 Base Entrada 2008'!$B$2:$B$5000,$A78,'3 Base Entrada 2008'!$C$2:$C$5000,$B78)</f>
        <v>0</v>
      </c>
      <c r="F78" s="158" t="n">
        <f aca="false">SUMIFS('3 Base Saídas'!$R$2:$R$5000,'3 Base Saídas'!$B$2:$B$5000,$A78,'3 Base Saídas'!$C$2:$C$5000,$B78)</f>
        <v>0</v>
      </c>
      <c r="G78" s="158" t="n">
        <f aca="false">SUMIFS('3 Base Saldo Inicial 08-09'!$E$2:$E$5000,'3 Base Saldo Inicial 08-09'!$A$2:$A$5000,$A78,'3 Base Saldo Inicial 08-09'!$B$2:$B$5000,$B78)-SUMIFS('3 Base Saldo Inicial 08-09'!$E$2:$E$5000,'3 Base Saldo Inicial 08-09'!$A$2:$A$5000,$A78,'3 Base Saldo Inicial 08-09'!$B$2:$B$5000,$B78,'3 Base Saldo Inicial 08-09'!$C$2:$C$5000,"2008")+E78-F78</f>
        <v>0</v>
      </c>
      <c r="H78" s="158" t="n">
        <f aca="false">SUMIFS('3 Base Estoque Físico'!$J$2:$J$5000,'3 Base Estoque Físico'!$A$2:$A$5000,$A78,'3 Base Estoque Físico'!$B$2:$B$5000,$B78)</f>
        <v>0</v>
      </c>
      <c r="I78" s="192" t="n">
        <f aca="false">ROUND(H78-G78,3)</f>
        <v>0</v>
      </c>
      <c r="J78" s="157" t="str">
        <f aca="false">IF(ABS(I78)&lt;=Parâmetros!$C$7,"OK",IF(I78&gt;0,"Sobra no estoque","Falta no estoque"))</f>
        <v>OK</v>
      </c>
      <c r="K78" s="157" t="str">
        <f aca="false">IF(J78="OK","",IF(AND(E78=0,F78=0),"Estoque sem movimento no período",IF(G78&lt;0,"Saídas maiores que entradas – estoque anterior ao período?",IF(H78=0,"Saldo calculado sem estoque físico – verificar",IF(I78&gt;0,"Estoque acima do esperado – saldo anterior ou entrada não listada","Estoque abaixo do esperado – saída/ajuste não listado")))))</f>
        <v/>
      </c>
      <c r="L78" s="158" t="n">
        <f aca="false">IF(D78=0,"",D78-E78)</f>
        <v>432</v>
      </c>
    </row>
    <row r="79" customFormat="false" ht="15" hidden="false" customHeight="false" outlineLevel="0" collapsed="false">
      <c r="A79" s="157" t="s">
        <v>377</v>
      </c>
      <c r="B79" s="157" t="s">
        <v>378</v>
      </c>
      <c r="C79" s="157" t="s">
        <v>65</v>
      </c>
      <c r="D79" s="158" t="n">
        <f aca="false">SUMIFS('3 Base Entrada 2008'!$G$2:$G$5000,'3 Base Entrada 2008'!$B$2:$B$5000,$A79,'3 Base Entrada 2008'!$C$2:$C$5000,$B79,'3 Base Entrada 2008'!$K$2:$K$5000,"Recebido no 2008")</f>
        <v>4296</v>
      </c>
      <c r="E79" s="158" t="n">
        <f aca="false">SUMIFS('3 Base Entrada 2008'!$L$2:$L$5000,'3 Base Entrada 2008'!$B$2:$B$5000,$A79,'3 Base Entrada 2008'!$C$2:$C$5000,$B79)</f>
        <v>0</v>
      </c>
      <c r="F79" s="158" t="n">
        <f aca="false">SUMIFS('3 Base Saídas'!$R$2:$R$5000,'3 Base Saídas'!$B$2:$B$5000,$A79,'3 Base Saídas'!$C$2:$C$5000,$B79)</f>
        <v>0</v>
      </c>
      <c r="G79" s="158" t="n">
        <f aca="false">SUMIFS('3 Base Saldo Inicial 08-09'!$E$2:$E$5000,'3 Base Saldo Inicial 08-09'!$A$2:$A$5000,$A79,'3 Base Saldo Inicial 08-09'!$B$2:$B$5000,$B79)-SUMIFS('3 Base Saldo Inicial 08-09'!$E$2:$E$5000,'3 Base Saldo Inicial 08-09'!$A$2:$A$5000,$A79,'3 Base Saldo Inicial 08-09'!$B$2:$B$5000,$B79,'3 Base Saldo Inicial 08-09'!$C$2:$C$5000,"2008")+E79-F79</f>
        <v>0</v>
      </c>
      <c r="H79" s="158" t="n">
        <f aca="false">SUMIFS('3 Base Estoque Físico'!$J$2:$J$5000,'3 Base Estoque Físico'!$A$2:$A$5000,$A79,'3 Base Estoque Físico'!$B$2:$B$5000,$B79)</f>
        <v>0</v>
      </c>
      <c r="I79" s="192" t="n">
        <f aca="false">ROUND(H79-G79,3)</f>
        <v>0</v>
      </c>
      <c r="J79" s="157" t="str">
        <f aca="false">IF(ABS(I79)&lt;=Parâmetros!$C$7,"OK",IF(I79&gt;0,"Sobra no estoque","Falta no estoque"))</f>
        <v>OK</v>
      </c>
      <c r="K79" s="157" t="str">
        <f aca="false">IF(J79="OK","",IF(AND(E79=0,F79=0),"Estoque sem movimento no período",IF(G79&lt;0,"Saídas maiores que entradas – estoque anterior ao período?",IF(H79=0,"Saldo calculado sem estoque físico – verificar",IF(I79&gt;0,"Estoque acima do esperado – saldo anterior ou entrada não listada","Estoque abaixo do esperado – saída/ajuste não listado")))))</f>
        <v/>
      </c>
      <c r="L79" s="158" t="n">
        <f aca="false">IF(D79=0,"",D79-E79)</f>
        <v>4296</v>
      </c>
    </row>
    <row r="80" customFormat="false" ht="15" hidden="false" customHeight="false" outlineLevel="0" collapsed="false">
      <c r="A80" s="157" t="s">
        <v>377</v>
      </c>
      <c r="B80" s="157" t="s">
        <v>379</v>
      </c>
      <c r="C80" s="157" t="s">
        <v>65</v>
      </c>
      <c r="D80" s="158" t="n">
        <f aca="false">SUMIFS('3 Base Entrada 2008'!$G$2:$G$5000,'3 Base Entrada 2008'!$B$2:$B$5000,$A80,'3 Base Entrada 2008'!$C$2:$C$5000,$B80,'3 Base Entrada 2008'!$K$2:$K$5000,"Recebido no 2008")</f>
        <v>6912</v>
      </c>
      <c r="E80" s="158" t="n">
        <f aca="false">SUMIFS('3 Base Entrada 2008'!$L$2:$L$5000,'3 Base Entrada 2008'!$B$2:$B$5000,$A80,'3 Base Entrada 2008'!$C$2:$C$5000,$B80)</f>
        <v>0</v>
      </c>
      <c r="F80" s="158" t="n">
        <f aca="false">SUMIFS('3 Base Saídas'!$R$2:$R$5000,'3 Base Saídas'!$B$2:$B$5000,$A80,'3 Base Saídas'!$C$2:$C$5000,$B80)</f>
        <v>0</v>
      </c>
      <c r="G80" s="158" t="n">
        <f aca="false">SUMIFS('3 Base Saldo Inicial 08-09'!$E$2:$E$5000,'3 Base Saldo Inicial 08-09'!$A$2:$A$5000,$A80,'3 Base Saldo Inicial 08-09'!$B$2:$B$5000,$B80)-SUMIFS('3 Base Saldo Inicial 08-09'!$E$2:$E$5000,'3 Base Saldo Inicial 08-09'!$A$2:$A$5000,$A80,'3 Base Saldo Inicial 08-09'!$B$2:$B$5000,$B80,'3 Base Saldo Inicial 08-09'!$C$2:$C$5000,"2008")+E80-F80</f>
        <v>0</v>
      </c>
      <c r="H80" s="158" t="n">
        <f aca="false">SUMIFS('3 Base Estoque Físico'!$J$2:$J$5000,'3 Base Estoque Físico'!$A$2:$A$5000,$A80,'3 Base Estoque Físico'!$B$2:$B$5000,$B80)</f>
        <v>0</v>
      </c>
      <c r="I80" s="192" t="n">
        <f aca="false">ROUND(H80-G80,3)</f>
        <v>0</v>
      </c>
      <c r="J80" s="157" t="str">
        <f aca="false">IF(ABS(I80)&lt;=Parâmetros!$C$7,"OK",IF(I80&gt;0,"Sobra no estoque","Falta no estoque"))</f>
        <v>OK</v>
      </c>
      <c r="K80" s="157" t="str">
        <f aca="false">IF(J80="OK","",IF(AND(E80=0,F80=0),"Estoque sem movimento no período",IF(G80&lt;0,"Saídas maiores que entradas – estoque anterior ao período?",IF(H80=0,"Saldo calculado sem estoque físico – verificar",IF(I80&gt;0,"Estoque acima do esperado – saldo anterior ou entrada não listada","Estoque abaixo do esperado – saída/ajuste não listado")))))</f>
        <v/>
      </c>
      <c r="L80" s="158" t="n">
        <f aca="false">IF(D80=0,"",D80-E80)</f>
        <v>6912</v>
      </c>
    </row>
    <row r="81" customFormat="false" ht="15" hidden="false" customHeight="false" outlineLevel="0" collapsed="false">
      <c r="A81" s="157" t="s">
        <v>380</v>
      </c>
      <c r="B81" s="157" t="s">
        <v>381</v>
      </c>
      <c r="C81" s="157" t="s">
        <v>65</v>
      </c>
      <c r="D81" s="158" t="n">
        <f aca="false">SUMIFS('3 Base Entrada 2008'!$G$2:$G$5000,'3 Base Entrada 2008'!$B$2:$B$5000,$A81,'3 Base Entrada 2008'!$C$2:$C$5000,$B81,'3 Base Entrada 2008'!$K$2:$K$5000,"Recebido no 2008")</f>
        <v>0</v>
      </c>
      <c r="E81" s="158" t="n">
        <f aca="false">SUMIFS('3 Base Entrada 2008'!$L$2:$L$5000,'3 Base Entrada 2008'!$B$2:$B$5000,$A81,'3 Base Entrada 2008'!$C$2:$C$5000,$B81)</f>
        <v>850</v>
      </c>
      <c r="F81" s="158" t="n">
        <f aca="false">SUMIFS('3 Base Saídas'!$R$2:$R$5000,'3 Base Saídas'!$B$2:$B$5000,$A81,'3 Base Saídas'!$C$2:$C$5000,$B81)</f>
        <v>50</v>
      </c>
      <c r="G81" s="158" t="n">
        <f aca="false">SUMIFS('3 Base Saldo Inicial 08-09'!$E$2:$E$5000,'3 Base Saldo Inicial 08-09'!$A$2:$A$5000,$A81,'3 Base Saldo Inicial 08-09'!$B$2:$B$5000,$B81)-SUMIFS('3 Base Saldo Inicial 08-09'!$E$2:$E$5000,'3 Base Saldo Inicial 08-09'!$A$2:$A$5000,$A81,'3 Base Saldo Inicial 08-09'!$B$2:$B$5000,$B81,'3 Base Saldo Inicial 08-09'!$C$2:$C$5000,"2008")+E81-F81</f>
        <v>800</v>
      </c>
      <c r="H81" s="158" t="n">
        <f aca="false">SUMIFS('3 Base Estoque Físico'!$J$2:$J$5000,'3 Base Estoque Físico'!$A$2:$A$5000,$A81,'3 Base Estoque Físico'!$B$2:$B$5000,$B81)</f>
        <v>800</v>
      </c>
      <c r="I81" s="192" t="n">
        <f aca="false">ROUND(H81-G81,3)</f>
        <v>0</v>
      </c>
      <c r="J81" s="157" t="str">
        <f aca="false">IF(ABS(I81)&lt;=Parâmetros!$C$7,"OK",IF(I81&gt;0,"Sobra no estoque","Falta no estoque"))</f>
        <v>OK</v>
      </c>
      <c r="K81" s="157" t="str">
        <f aca="false">IF(J81="OK","",IF(AND(E81=0,F81=0),"Estoque sem movimento no período",IF(G81&lt;0,"Saídas maiores que entradas – estoque anterior ao período?",IF(H81=0,"Saldo calculado sem estoque físico – verificar",IF(I81&gt;0,"Estoque acima do esperado – saldo anterior ou entrada não listada","Estoque abaixo do esperado – saída/ajuste não listado")))))</f>
        <v/>
      </c>
      <c r="L81" s="158" t="str">
        <f aca="false">IF(D81=0,"",D81-E81)</f>
        <v/>
      </c>
    </row>
    <row r="82" customFormat="false" ht="15" hidden="false" customHeight="false" outlineLevel="0" collapsed="false">
      <c r="A82" s="157" t="s">
        <v>284</v>
      </c>
      <c r="B82" s="157" t="s">
        <v>285</v>
      </c>
      <c r="C82" s="157" t="s">
        <v>65</v>
      </c>
      <c r="D82" s="158" t="n">
        <f aca="false">SUMIFS('3 Base Entrada 2008'!$G$2:$G$5000,'3 Base Entrada 2008'!$B$2:$B$5000,$A82,'3 Base Entrada 2008'!$C$2:$C$5000,$B82,'3 Base Entrada 2008'!$K$2:$K$5000,"Recebido no 2008")</f>
        <v>0</v>
      </c>
      <c r="E82" s="158" t="n">
        <f aca="false">SUMIFS('3 Base Entrada 2008'!$L$2:$L$5000,'3 Base Entrada 2008'!$B$2:$B$5000,$A82,'3 Base Entrada 2008'!$C$2:$C$5000,$B82)</f>
        <v>1000</v>
      </c>
      <c r="F82" s="158" t="n">
        <f aca="false">SUMIFS('3 Base Saídas'!$R$2:$R$5000,'3 Base Saídas'!$B$2:$B$5000,$A82,'3 Base Saídas'!$C$2:$C$5000,$B82)</f>
        <v>0</v>
      </c>
      <c r="G82" s="158" t="n">
        <f aca="false">SUMIFS('3 Base Saldo Inicial 08-09'!$E$2:$E$5000,'3 Base Saldo Inicial 08-09'!$A$2:$A$5000,$A82,'3 Base Saldo Inicial 08-09'!$B$2:$B$5000,$B82)-SUMIFS('3 Base Saldo Inicial 08-09'!$E$2:$E$5000,'3 Base Saldo Inicial 08-09'!$A$2:$A$5000,$A82,'3 Base Saldo Inicial 08-09'!$B$2:$B$5000,$B82,'3 Base Saldo Inicial 08-09'!$C$2:$C$5000,"2008")+E82-F82</f>
        <v>1000</v>
      </c>
      <c r="H82" s="158" t="n">
        <f aca="false">SUMIFS('3 Base Estoque Físico'!$J$2:$J$5000,'3 Base Estoque Físico'!$A$2:$A$5000,$A82,'3 Base Estoque Físico'!$B$2:$B$5000,$B82)</f>
        <v>1000</v>
      </c>
      <c r="I82" s="192" t="n">
        <f aca="false">ROUND(H82-G82,3)</f>
        <v>0</v>
      </c>
      <c r="J82" s="157" t="str">
        <f aca="false">IF(ABS(I82)&lt;=Parâmetros!$C$7,"OK",IF(I82&gt;0,"Sobra no estoque","Falta no estoque"))</f>
        <v>OK</v>
      </c>
      <c r="K82" s="157" t="str">
        <f aca="false">IF(J82="OK","",IF(AND(E82=0,F82=0),"Estoque sem movimento no período",IF(G82&lt;0,"Saídas maiores que entradas – estoque anterior ao período?",IF(H82=0,"Saldo calculado sem estoque físico – verificar",IF(I82&gt;0,"Estoque acima do esperado – saldo anterior ou entrada não listada","Estoque abaixo do esperado – saída/ajuste não listado")))))</f>
        <v/>
      </c>
      <c r="L82" s="158" t="str">
        <f aca="false">IF(D82=0,"",D82-E82)</f>
        <v/>
      </c>
    </row>
    <row r="83" customFormat="false" ht="15" hidden="false" customHeight="false" outlineLevel="0" collapsed="false">
      <c r="A83" s="157" t="s">
        <v>286</v>
      </c>
      <c r="B83" s="157" t="s">
        <v>290</v>
      </c>
      <c r="C83" s="157" t="s">
        <v>147</v>
      </c>
      <c r="D83" s="158" t="n">
        <f aca="false">SUMIFS('3 Base Entrada 2008'!$G$2:$G$5000,'3 Base Entrada 2008'!$B$2:$B$5000,$A83,'3 Base Entrada 2008'!$C$2:$C$5000,$B83,'3 Base Entrada 2008'!$K$2:$K$5000,"Recebido no 2008")</f>
        <v>0</v>
      </c>
      <c r="E83" s="158" t="n">
        <f aca="false">SUMIFS('3 Base Entrada 2008'!$L$2:$L$5000,'3 Base Entrada 2008'!$B$2:$B$5000,$A83,'3 Base Entrada 2008'!$C$2:$C$5000,$B83)</f>
        <v>506</v>
      </c>
      <c r="F83" s="158" t="n">
        <f aca="false">SUMIFS('3 Base Saídas'!$R$2:$R$5000,'3 Base Saídas'!$B$2:$B$5000,$A83,'3 Base Saídas'!$C$2:$C$5000,$B83)</f>
        <v>101</v>
      </c>
      <c r="G83" s="158" t="n">
        <f aca="false">SUMIFS('3 Base Saldo Inicial 08-09'!$E$2:$E$5000,'3 Base Saldo Inicial 08-09'!$A$2:$A$5000,$A83,'3 Base Saldo Inicial 08-09'!$B$2:$B$5000,$B83)-SUMIFS('3 Base Saldo Inicial 08-09'!$E$2:$E$5000,'3 Base Saldo Inicial 08-09'!$A$2:$A$5000,$A83,'3 Base Saldo Inicial 08-09'!$B$2:$B$5000,$B83,'3 Base Saldo Inicial 08-09'!$C$2:$C$5000,"2008")+E83-F83</f>
        <v>405</v>
      </c>
      <c r="H83" s="158" t="n">
        <f aca="false">SUMIFS('3 Base Estoque Físico'!$J$2:$J$5000,'3 Base Estoque Físico'!$A$2:$A$5000,$A83,'3 Base Estoque Físico'!$B$2:$B$5000,$B83)</f>
        <v>405</v>
      </c>
      <c r="I83" s="192" t="n">
        <f aca="false">ROUND(H83-G83,3)</f>
        <v>0</v>
      </c>
      <c r="J83" s="157" t="str">
        <f aca="false">IF(ABS(I83)&lt;=Parâmetros!$C$7,"OK",IF(I83&gt;0,"Sobra no estoque","Falta no estoque"))</f>
        <v>OK</v>
      </c>
      <c r="K83" s="157" t="str">
        <f aca="false">IF(J83="OK","",IF(AND(E83=0,F83=0),"Estoque sem movimento no período",IF(G83&lt;0,"Saídas maiores que entradas – estoque anterior ao período?",IF(H83=0,"Saldo calculado sem estoque físico – verificar",IF(I83&gt;0,"Estoque acima do esperado – saldo anterior ou entrada não listada","Estoque abaixo do esperado – saída/ajuste não listado")))))</f>
        <v/>
      </c>
      <c r="L83" s="158" t="str">
        <f aca="false">IF(D83=0,"",D83-E83)</f>
        <v/>
      </c>
    </row>
    <row r="84" customFormat="false" ht="15" hidden="false" customHeight="false" outlineLevel="0" collapsed="false">
      <c r="A84" s="157" t="s">
        <v>286</v>
      </c>
      <c r="B84" s="157" t="s">
        <v>291</v>
      </c>
      <c r="C84" s="157" t="s">
        <v>147</v>
      </c>
      <c r="D84" s="158" t="n">
        <f aca="false">SUMIFS('3 Base Entrada 2008'!$G$2:$G$5000,'3 Base Entrada 2008'!$B$2:$B$5000,$A84,'3 Base Entrada 2008'!$C$2:$C$5000,$B84,'3 Base Entrada 2008'!$K$2:$K$5000,"Recebido no 2008")</f>
        <v>0</v>
      </c>
      <c r="E84" s="158" t="n">
        <f aca="false">SUMIFS('3 Base Entrada 2008'!$L$2:$L$5000,'3 Base Entrada 2008'!$B$2:$B$5000,$A84,'3 Base Entrada 2008'!$C$2:$C$5000,$B84)</f>
        <v>524.75</v>
      </c>
      <c r="F84" s="158" t="n">
        <f aca="false">SUMIFS('3 Base Saídas'!$R$2:$R$5000,'3 Base Saídas'!$B$2:$B$5000,$A84,'3 Base Saídas'!$C$2:$C$5000,$B84)</f>
        <v>0</v>
      </c>
      <c r="G84" s="158" t="n">
        <f aca="false">SUMIFS('3 Base Saldo Inicial 08-09'!$E$2:$E$5000,'3 Base Saldo Inicial 08-09'!$A$2:$A$5000,$A84,'3 Base Saldo Inicial 08-09'!$B$2:$B$5000,$B84)-SUMIFS('3 Base Saldo Inicial 08-09'!$E$2:$E$5000,'3 Base Saldo Inicial 08-09'!$A$2:$A$5000,$A84,'3 Base Saldo Inicial 08-09'!$B$2:$B$5000,$B84,'3 Base Saldo Inicial 08-09'!$C$2:$C$5000,"2008")+E84-F84</f>
        <v>524.75</v>
      </c>
      <c r="H84" s="158" t="n">
        <f aca="false">SUMIFS('3 Base Estoque Físico'!$J$2:$J$5000,'3 Base Estoque Físico'!$A$2:$A$5000,$A84,'3 Base Estoque Físico'!$B$2:$B$5000,$B84)</f>
        <v>524.75</v>
      </c>
      <c r="I84" s="192" t="n">
        <f aca="false">ROUND(H84-G84,3)</f>
        <v>0</v>
      </c>
      <c r="J84" s="157" t="str">
        <f aca="false">IF(ABS(I84)&lt;=Parâmetros!$C$7,"OK",IF(I84&gt;0,"Sobra no estoque","Falta no estoque"))</f>
        <v>OK</v>
      </c>
      <c r="K84" s="157" t="str">
        <f aca="false">IF(J84="OK","",IF(AND(E84=0,F84=0),"Estoque sem movimento no período",IF(G84&lt;0,"Saídas maiores que entradas – estoque anterior ao período?",IF(H84=0,"Saldo calculado sem estoque físico – verificar",IF(I84&gt;0,"Estoque acima do esperado – saldo anterior ou entrada não listada","Estoque abaixo do esperado – saída/ajuste não listado")))))</f>
        <v/>
      </c>
      <c r="L84" s="158" t="str">
        <f aca="false">IF(D84=0,"",D84-E84)</f>
        <v/>
      </c>
    </row>
    <row r="85" customFormat="false" ht="15" hidden="false" customHeight="false" outlineLevel="0" collapsed="false">
      <c r="A85" s="157" t="s">
        <v>286</v>
      </c>
      <c r="B85" s="157" t="s">
        <v>382</v>
      </c>
      <c r="C85" s="157" t="s">
        <v>147</v>
      </c>
      <c r="D85" s="158" t="n">
        <f aca="false">SUMIFS('3 Base Entrada 2008'!$G$2:$G$5000,'3 Base Entrada 2008'!$B$2:$B$5000,$A85,'3 Base Entrada 2008'!$C$2:$C$5000,$B85,'3 Base Entrada 2008'!$K$2:$K$5000,"Recebido no 2008")</f>
        <v>900</v>
      </c>
      <c r="E85" s="158" t="n">
        <f aca="false">SUMIFS('3 Base Entrada 2008'!$L$2:$L$5000,'3 Base Entrada 2008'!$B$2:$B$5000,$A85,'3 Base Entrada 2008'!$C$2:$C$5000,$B85)</f>
        <v>0</v>
      </c>
      <c r="F85" s="158" t="n">
        <f aca="false">SUMIFS('3 Base Saídas'!$R$2:$R$5000,'3 Base Saídas'!$B$2:$B$5000,$A85,'3 Base Saídas'!$C$2:$C$5000,$B85)</f>
        <v>0</v>
      </c>
      <c r="G85" s="158" t="n">
        <f aca="false">SUMIFS('3 Base Saldo Inicial 08-09'!$E$2:$E$5000,'3 Base Saldo Inicial 08-09'!$A$2:$A$5000,$A85,'3 Base Saldo Inicial 08-09'!$B$2:$B$5000,$B85)-SUMIFS('3 Base Saldo Inicial 08-09'!$E$2:$E$5000,'3 Base Saldo Inicial 08-09'!$A$2:$A$5000,$A85,'3 Base Saldo Inicial 08-09'!$B$2:$B$5000,$B85,'3 Base Saldo Inicial 08-09'!$C$2:$C$5000,"2008")+E85-F85</f>
        <v>0</v>
      </c>
      <c r="H85" s="158" t="n">
        <f aca="false">SUMIFS('3 Base Estoque Físico'!$J$2:$J$5000,'3 Base Estoque Físico'!$A$2:$A$5000,$A85,'3 Base Estoque Físico'!$B$2:$B$5000,$B85)</f>
        <v>0</v>
      </c>
      <c r="I85" s="192" t="n">
        <f aca="false">ROUND(H85-G85,3)</f>
        <v>0</v>
      </c>
      <c r="J85" s="157" t="str">
        <f aca="false">IF(ABS(I85)&lt;=Parâmetros!$C$7,"OK",IF(I85&gt;0,"Sobra no estoque","Falta no estoque"))</f>
        <v>OK</v>
      </c>
      <c r="K85" s="157" t="str">
        <f aca="false">IF(J85="OK","",IF(AND(E85=0,F85=0),"Estoque sem movimento no período",IF(G85&lt;0,"Saídas maiores que entradas – estoque anterior ao período?",IF(H85=0,"Saldo calculado sem estoque físico – verificar",IF(I85&gt;0,"Estoque acima do esperado – saldo anterior ou entrada não listada","Estoque abaixo do esperado – saída/ajuste não listado")))))</f>
        <v/>
      </c>
      <c r="L85" s="158" t="n">
        <f aca="false">IF(D85=0,"",D85-E85)</f>
        <v>900</v>
      </c>
    </row>
    <row r="86" customFormat="false" ht="15" hidden="false" customHeight="false" outlineLevel="0" collapsed="false">
      <c r="A86" s="157" t="s">
        <v>286</v>
      </c>
      <c r="B86" s="157" t="s">
        <v>383</v>
      </c>
      <c r="C86" s="157" t="s">
        <v>147</v>
      </c>
      <c r="D86" s="158" t="n">
        <f aca="false">SUMIFS('3 Base Entrada 2008'!$G$2:$G$5000,'3 Base Entrada 2008'!$B$2:$B$5000,$A86,'3 Base Entrada 2008'!$C$2:$C$5000,$B86,'3 Base Entrada 2008'!$K$2:$K$5000,"Recebido no 2008")</f>
        <v>300</v>
      </c>
      <c r="E86" s="158" t="n">
        <f aca="false">SUMIFS('3 Base Entrada 2008'!$L$2:$L$5000,'3 Base Entrada 2008'!$B$2:$B$5000,$A86,'3 Base Entrada 2008'!$C$2:$C$5000,$B86)</f>
        <v>0</v>
      </c>
      <c r="F86" s="158" t="n">
        <f aca="false">SUMIFS('3 Base Saídas'!$R$2:$R$5000,'3 Base Saídas'!$B$2:$B$5000,$A86,'3 Base Saídas'!$C$2:$C$5000,$B86)</f>
        <v>0</v>
      </c>
      <c r="G86" s="158" t="n">
        <f aca="false">SUMIFS('3 Base Saldo Inicial 08-09'!$E$2:$E$5000,'3 Base Saldo Inicial 08-09'!$A$2:$A$5000,$A86,'3 Base Saldo Inicial 08-09'!$B$2:$B$5000,$B86)-SUMIFS('3 Base Saldo Inicial 08-09'!$E$2:$E$5000,'3 Base Saldo Inicial 08-09'!$A$2:$A$5000,$A86,'3 Base Saldo Inicial 08-09'!$B$2:$B$5000,$B86,'3 Base Saldo Inicial 08-09'!$C$2:$C$5000,"2008")+E86-F86</f>
        <v>0</v>
      </c>
      <c r="H86" s="158" t="n">
        <f aca="false">SUMIFS('3 Base Estoque Físico'!$J$2:$J$5000,'3 Base Estoque Físico'!$A$2:$A$5000,$A86,'3 Base Estoque Físico'!$B$2:$B$5000,$B86)</f>
        <v>0</v>
      </c>
      <c r="I86" s="192" t="n">
        <f aca="false">ROUND(H86-G86,3)</f>
        <v>0</v>
      </c>
      <c r="J86" s="157" t="str">
        <f aca="false">IF(ABS(I86)&lt;=Parâmetros!$C$7,"OK",IF(I86&gt;0,"Sobra no estoque","Falta no estoque"))</f>
        <v>OK</v>
      </c>
      <c r="K86" s="157" t="str">
        <f aca="false">IF(J86="OK","",IF(AND(E86=0,F86=0),"Estoque sem movimento no período",IF(G86&lt;0,"Saídas maiores que entradas – estoque anterior ao período?",IF(H86=0,"Saldo calculado sem estoque físico – verificar",IF(I86&gt;0,"Estoque acima do esperado – saldo anterior ou entrada não listada","Estoque abaixo do esperado – saída/ajuste não listado")))))</f>
        <v/>
      </c>
      <c r="L86" s="158" t="n">
        <f aca="false">IF(D86=0,"",D86-E86)</f>
        <v>300</v>
      </c>
    </row>
    <row r="87" customFormat="false" ht="15" hidden="false" customHeight="false" outlineLevel="0" collapsed="false">
      <c r="A87" s="157" t="s">
        <v>286</v>
      </c>
      <c r="B87" s="157" t="s">
        <v>287</v>
      </c>
      <c r="C87" s="157" t="s">
        <v>147</v>
      </c>
      <c r="D87" s="158" t="n">
        <f aca="false">SUMIFS('3 Base Entrada 2008'!$G$2:$G$5000,'3 Base Entrada 2008'!$B$2:$B$5000,$A87,'3 Base Entrada 2008'!$C$2:$C$5000,$B87,'3 Base Entrada 2008'!$K$2:$K$5000,"Recebido no 2008")</f>
        <v>240</v>
      </c>
      <c r="E87" s="158" t="n">
        <f aca="false">SUMIFS('3 Base Entrada 2008'!$L$2:$L$5000,'3 Base Entrada 2008'!$B$2:$B$5000,$A87,'3 Base Entrada 2008'!$C$2:$C$5000,$B87)</f>
        <v>240</v>
      </c>
      <c r="F87" s="158" t="n">
        <f aca="false">SUMIFS('3 Base Saídas'!$R$2:$R$5000,'3 Base Saídas'!$B$2:$B$5000,$A87,'3 Base Saídas'!$C$2:$C$5000,$B87)</f>
        <v>0</v>
      </c>
      <c r="G87" s="158" t="n">
        <f aca="false">SUMIFS('3 Base Saldo Inicial 08-09'!$E$2:$E$5000,'3 Base Saldo Inicial 08-09'!$A$2:$A$5000,$A87,'3 Base Saldo Inicial 08-09'!$B$2:$B$5000,$B87)-SUMIFS('3 Base Saldo Inicial 08-09'!$E$2:$E$5000,'3 Base Saldo Inicial 08-09'!$A$2:$A$5000,$A87,'3 Base Saldo Inicial 08-09'!$B$2:$B$5000,$B87,'3 Base Saldo Inicial 08-09'!$C$2:$C$5000,"2008")+E87-F87</f>
        <v>240</v>
      </c>
      <c r="H87" s="158" t="n">
        <f aca="false">SUMIFS('3 Base Estoque Físico'!$J$2:$J$5000,'3 Base Estoque Físico'!$A$2:$A$5000,$A87,'3 Base Estoque Físico'!$B$2:$B$5000,$B87)</f>
        <v>240</v>
      </c>
      <c r="I87" s="192" t="n">
        <f aca="false">ROUND(H87-G87,3)</f>
        <v>0</v>
      </c>
      <c r="J87" s="157" t="str">
        <f aca="false">IF(ABS(I87)&lt;=Parâmetros!$C$7,"OK",IF(I87&gt;0,"Sobra no estoque","Falta no estoque"))</f>
        <v>OK</v>
      </c>
      <c r="K87" s="157" t="str">
        <f aca="false">IF(J87="OK","",IF(AND(E87=0,F87=0),"Estoque sem movimento no período",IF(G87&lt;0,"Saídas maiores que entradas – estoque anterior ao período?",IF(H87=0,"Saldo calculado sem estoque físico – verificar",IF(I87&gt;0,"Estoque acima do esperado – saldo anterior ou entrada não listada","Estoque abaixo do esperado – saída/ajuste não listado")))))</f>
        <v/>
      </c>
      <c r="L87" s="158" t="n">
        <f aca="false">IF(D87=0,"",D87-E87)</f>
        <v>0</v>
      </c>
    </row>
    <row r="88" customFormat="false" ht="15" hidden="false" customHeight="false" outlineLevel="0" collapsed="false">
      <c r="A88" s="157" t="s">
        <v>301</v>
      </c>
      <c r="B88" s="157" t="s">
        <v>385</v>
      </c>
      <c r="C88" s="157" t="s">
        <v>65</v>
      </c>
      <c r="D88" s="158" t="n">
        <f aca="false">SUMIFS('3 Base Entrada 2008'!$G$2:$G$5000,'3 Base Entrada 2008'!$B$2:$B$5000,$A88,'3 Base Entrada 2008'!$C$2:$C$5000,$B88,'3 Base Entrada 2008'!$K$2:$K$5000,"Recebido no 2008")</f>
        <v>0</v>
      </c>
      <c r="E88" s="158" t="n">
        <f aca="false">SUMIFS('3 Base Entrada 2008'!$L$2:$L$5000,'3 Base Entrada 2008'!$B$2:$B$5000,$A88,'3 Base Entrada 2008'!$C$2:$C$5000,$B88)</f>
        <v>1000</v>
      </c>
      <c r="F88" s="158" t="n">
        <f aca="false">SUMIFS('3 Base Saídas'!$R$2:$R$5000,'3 Base Saídas'!$B$2:$B$5000,$A88,'3 Base Saídas'!$C$2:$C$5000,$B88)</f>
        <v>1000</v>
      </c>
      <c r="G88" s="158" t="n">
        <f aca="false">SUMIFS('3 Base Saldo Inicial 08-09'!$E$2:$E$5000,'3 Base Saldo Inicial 08-09'!$A$2:$A$5000,$A88,'3 Base Saldo Inicial 08-09'!$B$2:$B$5000,$B88)-SUMIFS('3 Base Saldo Inicial 08-09'!$E$2:$E$5000,'3 Base Saldo Inicial 08-09'!$A$2:$A$5000,$A88,'3 Base Saldo Inicial 08-09'!$B$2:$B$5000,$B88,'3 Base Saldo Inicial 08-09'!$C$2:$C$5000,"2008")+E88-F88</f>
        <v>0</v>
      </c>
      <c r="H88" s="158" t="n">
        <f aca="false">SUMIFS('3 Base Estoque Físico'!$J$2:$J$5000,'3 Base Estoque Físico'!$A$2:$A$5000,$A88,'3 Base Estoque Físico'!$B$2:$B$5000,$B88)</f>
        <v>0</v>
      </c>
      <c r="I88" s="192" t="n">
        <f aca="false">ROUND(H88-G88,3)</f>
        <v>0</v>
      </c>
      <c r="J88" s="157" t="str">
        <f aca="false">IF(ABS(I88)&lt;=Parâmetros!$C$7,"OK",IF(I88&gt;0,"Sobra no estoque","Falta no estoque"))</f>
        <v>OK</v>
      </c>
      <c r="K88" s="157" t="str">
        <f aca="false">IF(J88="OK","",IF(AND(E88=0,F88=0),"Estoque sem movimento no período",IF(G88&lt;0,"Saídas maiores que entradas – estoque anterior ao período?",IF(H88=0,"Saldo calculado sem estoque físico – verificar",IF(I88&gt;0,"Estoque acima do esperado – saldo anterior ou entrada não listada","Estoque abaixo do esperado – saída/ajuste não listado")))))</f>
        <v/>
      </c>
      <c r="L88" s="158" t="str">
        <f aca="false">IF(D88=0,"",D88-E88)</f>
        <v/>
      </c>
    </row>
    <row r="89" customFormat="false" ht="15" hidden="false" customHeight="false" outlineLevel="0" collapsed="false">
      <c r="A89" s="157" t="s">
        <v>301</v>
      </c>
      <c r="B89" s="157" t="s">
        <v>302</v>
      </c>
      <c r="C89" s="157" t="s">
        <v>65</v>
      </c>
      <c r="D89" s="158" t="n">
        <f aca="false">SUMIFS('3 Base Entrada 2008'!$G$2:$G$5000,'3 Base Entrada 2008'!$B$2:$B$5000,$A89,'3 Base Entrada 2008'!$C$2:$C$5000,$B89,'3 Base Entrada 2008'!$K$2:$K$5000,"Recebido no 2008")</f>
        <v>4800</v>
      </c>
      <c r="E89" s="158" t="n">
        <f aca="false">SUMIFS('3 Base Entrada 2008'!$L$2:$L$5000,'3 Base Entrada 2008'!$B$2:$B$5000,$A89,'3 Base Entrada 2008'!$C$2:$C$5000,$B89)</f>
        <v>5280</v>
      </c>
      <c r="F89" s="158" t="n">
        <f aca="false">SUMIFS('3 Base Saídas'!$R$2:$R$5000,'3 Base Saídas'!$B$2:$B$5000,$A89,'3 Base Saídas'!$C$2:$C$5000,$B89)</f>
        <v>0</v>
      </c>
      <c r="G89" s="158" t="n">
        <f aca="false">SUMIFS('3 Base Saldo Inicial 08-09'!$E$2:$E$5000,'3 Base Saldo Inicial 08-09'!$A$2:$A$5000,$A89,'3 Base Saldo Inicial 08-09'!$B$2:$B$5000,$B89)-SUMIFS('3 Base Saldo Inicial 08-09'!$E$2:$E$5000,'3 Base Saldo Inicial 08-09'!$A$2:$A$5000,$A89,'3 Base Saldo Inicial 08-09'!$B$2:$B$5000,$B89,'3 Base Saldo Inicial 08-09'!$C$2:$C$5000,"2008")+E89-F89</f>
        <v>5280</v>
      </c>
      <c r="H89" s="158" t="n">
        <f aca="false">SUMIFS('3 Base Estoque Físico'!$J$2:$J$5000,'3 Base Estoque Físico'!$A$2:$A$5000,$A89,'3 Base Estoque Físico'!$B$2:$B$5000,$B89)</f>
        <v>5280</v>
      </c>
      <c r="I89" s="192" t="n">
        <f aca="false">ROUND(H89-G89,3)</f>
        <v>0</v>
      </c>
      <c r="J89" s="157" t="str">
        <f aca="false">IF(ABS(I89)&lt;=Parâmetros!$C$7,"OK",IF(I89&gt;0,"Sobra no estoque","Falta no estoque"))</f>
        <v>OK</v>
      </c>
      <c r="K89" s="157" t="str">
        <f aca="false">IF(J89="OK","",IF(AND(E89=0,F89=0),"Estoque sem movimento no período",IF(G89&lt;0,"Saídas maiores que entradas – estoque anterior ao período?",IF(H89=0,"Saldo calculado sem estoque físico – verificar",IF(I89&gt;0,"Estoque acima do esperado – saldo anterior ou entrada não listada","Estoque abaixo do esperado – saída/ajuste não listado")))))</f>
        <v/>
      </c>
      <c r="L89" s="158" t="n">
        <f aca="false">IF(D89=0,"",D89-E89)</f>
        <v>-480</v>
      </c>
    </row>
    <row r="90" customFormat="false" ht="15" hidden="false" customHeight="false" outlineLevel="0" collapsed="false">
      <c r="A90" s="157" t="s">
        <v>305</v>
      </c>
      <c r="B90" s="157" t="s">
        <v>386</v>
      </c>
      <c r="C90" s="157" t="s">
        <v>65</v>
      </c>
      <c r="D90" s="158" t="n">
        <f aca="false">SUMIFS('3 Base Entrada 2008'!$G$2:$G$5000,'3 Base Entrada 2008'!$B$2:$B$5000,$A90,'3 Base Entrada 2008'!$C$2:$C$5000,$B90,'3 Base Entrada 2008'!$K$2:$K$5000,"Recebido no 2008")</f>
        <v>400</v>
      </c>
      <c r="E90" s="158" t="n">
        <f aca="false">SUMIFS('3 Base Entrada 2008'!$L$2:$L$5000,'3 Base Entrada 2008'!$B$2:$B$5000,$A90,'3 Base Entrada 2008'!$C$2:$C$5000,$B90)</f>
        <v>0</v>
      </c>
      <c r="F90" s="158" t="n">
        <f aca="false">SUMIFS('3 Base Saídas'!$R$2:$R$5000,'3 Base Saídas'!$B$2:$B$5000,$A90,'3 Base Saídas'!$C$2:$C$5000,$B90)</f>
        <v>0</v>
      </c>
      <c r="G90" s="158" t="n">
        <f aca="false">SUMIFS('3 Base Saldo Inicial 08-09'!$E$2:$E$5000,'3 Base Saldo Inicial 08-09'!$A$2:$A$5000,$A90,'3 Base Saldo Inicial 08-09'!$B$2:$B$5000,$B90)-SUMIFS('3 Base Saldo Inicial 08-09'!$E$2:$E$5000,'3 Base Saldo Inicial 08-09'!$A$2:$A$5000,$A90,'3 Base Saldo Inicial 08-09'!$B$2:$B$5000,$B90,'3 Base Saldo Inicial 08-09'!$C$2:$C$5000,"2008")+E90-F90</f>
        <v>0</v>
      </c>
      <c r="H90" s="158" t="n">
        <f aca="false">SUMIFS('3 Base Estoque Físico'!$J$2:$J$5000,'3 Base Estoque Físico'!$A$2:$A$5000,$A90,'3 Base Estoque Físico'!$B$2:$B$5000,$B90)</f>
        <v>0</v>
      </c>
      <c r="I90" s="192" t="n">
        <f aca="false">ROUND(H90-G90,3)</f>
        <v>0</v>
      </c>
      <c r="J90" s="157" t="str">
        <f aca="false">IF(ABS(I90)&lt;=Parâmetros!$C$7,"OK",IF(I90&gt;0,"Sobra no estoque","Falta no estoque"))</f>
        <v>OK</v>
      </c>
      <c r="K90" s="157" t="str">
        <f aca="false">IF(J90="OK","",IF(AND(E90=0,F90=0),"Estoque sem movimento no período",IF(G90&lt;0,"Saídas maiores que entradas – estoque anterior ao período?",IF(H90=0,"Saldo calculado sem estoque físico – verificar",IF(I90&gt;0,"Estoque acima do esperado – saldo anterior ou entrada não listada","Estoque abaixo do esperado – saída/ajuste não listado")))))</f>
        <v/>
      </c>
      <c r="L90" s="158" t="n">
        <f aca="false">IF(D90=0,"",D90-E90)</f>
        <v>400</v>
      </c>
    </row>
    <row r="91" customFormat="false" ht="15" hidden="false" customHeight="false" outlineLevel="0" collapsed="false">
      <c r="A91" s="157" t="s">
        <v>305</v>
      </c>
      <c r="B91" s="157" t="s">
        <v>306</v>
      </c>
      <c r="C91" s="157" t="s">
        <v>65</v>
      </c>
      <c r="D91" s="158" t="n">
        <f aca="false">SUMIFS('3 Base Entrada 2008'!$G$2:$G$5000,'3 Base Entrada 2008'!$B$2:$B$5000,$A91,'3 Base Entrada 2008'!$C$2:$C$5000,$B91,'3 Base Entrada 2008'!$K$2:$K$5000,"Recebido no 2008")</f>
        <v>0</v>
      </c>
      <c r="E91" s="158" t="n">
        <f aca="false">SUMIFS('3 Base Entrada 2008'!$L$2:$L$5000,'3 Base Entrada 2008'!$B$2:$B$5000,$A91,'3 Base Entrada 2008'!$C$2:$C$5000,$B91)</f>
        <v>400</v>
      </c>
      <c r="F91" s="158" t="n">
        <f aca="false">SUMIFS('3 Base Saídas'!$R$2:$R$5000,'3 Base Saídas'!$B$2:$B$5000,$A91,'3 Base Saídas'!$C$2:$C$5000,$B91)</f>
        <v>120</v>
      </c>
      <c r="G91" s="158" t="n">
        <f aca="false">SUMIFS('3 Base Saldo Inicial 08-09'!$E$2:$E$5000,'3 Base Saldo Inicial 08-09'!$A$2:$A$5000,$A91,'3 Base Saldo Inicial 08-09'!$B$2:$B$5000,$B91)-SUMIFS('3 Base Saldo Inicial 08-09'!$E$2:$E$5000,'3 Base Saldo Inicial 08-09'!$A$2:$A$5000,$A91,'3 Base Saldo Inicial 08-09'!$B$2:$B$5000,$B91,'3 Base Saldo Inicial 08-09'!$C$2:$C$5000,"2008")+E91-F91</f>
        <v>280</v>
      </c>
      <c r="H91" s="158" t="n">
        <f aca="false">SUMIFS('3 Base Estoque Físico'!$J$2:$J$5000,'3 Base Estoque Físico'!$A$2:$A$5000,$A91,'3 Base Estoque Físico'!$B$2:$B$5000,$B91)</f>
        <v>280</v>
      </c>
      <c r="I91" s="192" t="n">
        <f aca="false">ROUND(H91-G91,3)</f>
        <v>0</v>
      </c>
      <c r="J91" s="157" t="str">
        <f aca="false">IF(ABS(I91)&lt;=Parâmetros!$C$7,"OK",IF(I91&gt;0,"Sobra no estoque","Falta no estoque"))</f>
        <v>OK</v>
      </c>
      <c r="K91" s="157" t="str">
        <f aca="false">IF(J91="OK","",IF(AND(E91=0,F91=0),"Estoque sem movimento no período",IF(G91&lt;0,"Saídas maiores que entradas – estoque anterior ao período?",IF(H91=0,"Saldo calculado sem estoque físico – verificar",IF(I91&gt;0,"Estoque acima do esperado – saldo anterior ou entrada não listada","Estoque abaixo do esperado – saída/ajuste não listado")))))</f>
        <v/>
      </c>
      <c r="L91" s="158" t="str">
        <f aca="false">IF(D91=0,"",D91-E91)</f>
        <v/>
      </c>
    </row>
    <row r="92" customFormat="false" ht="15" hidden="false" customHeight="false" outlineLevel="0" collapsed="false">
      <c r="A92" s="157" t="s">
        <v>387</v>
      </c>
      <c r="B92" s="157" t="s">
        <v>388</v>
      </c>
      <c r="C92" s="157" t="s">
        <v>65</v>
      </c>
      <c r="D92" s="158" t="n">
        <f aca="false">SUMIFS('3 Base Entrada 2008'!$G$2:$G$5000,'3 Base Entrada 2008'!$B$2:$B$5000,$A92,'3 Base Entrada 2008'!$C$2:$C$5000,$B92,'3 Base Entrada 2008'!$K$2:$K$5000,"Recebido no 2008")</f>
        <v>1920</v>
      </c>
      <c r="E92" s="158" t="n">
        <f aca="false">SUMIFS('3 Base Entrada 2008'!$L$2:$L$5000,'3 Base Entrada 2008'!$B$2:$B$5000,$A92,'3 Base Entrada 2008'!$C$2:$C$5000,$B92)</f>
        <v>0</v>
      </c>
      <c r="F92" s="158" t="n">
        <f aca="false">SUMIFS('3 Base Saídas'!$R$2:$R$5000,'3 Base Saídas'!$B$2:$B$5000,$A92,'3 Base Saídas'!$C$2:$C$5000,$B92)</f>
        <v>0</v>
      </c>
      <c r="G92" s="158" t="n">
        <f aca="false">SUMIFS('3 Base Saldo Inicial 08-09'!$E$2:$E$5000,'3 Base Saldo Inicial 08-09'!$A$2:$A$5000,$A92,'3 Base Saldo Inicial 08-09'!$B$2:$B$5000,$B92)-SUMIFS('3 Base Saldo Inicial 08-09'!$E$2:$E$5000,'3 Base Saldo Inicial 08-09'!$A$2:$A$5000,$A92,'3 Base Saldo Inicial 08-09'!$B$2:$B$5000,$B92,'3 Base Saldo Inicial 08-09'!$C$2:$C$5000,"2008")+E92-F92</f>
        <v>0</v>
      </c>
      <c r="H92" s="158" t="n">
        <f aca="false">SUMIFS('3 Base Estoque Físico'!$J$2:$J$5000,'3 Base Estoque Físico'!$A$2:$A$5000,$A92,'3 Base Estoque Físico'!$B$2:$B$5000,$B92)</f>
        <v>0</v>
      </c>
      <c r="I92" s="192" t="n">
        <f aca="false">ROUND(H92-G92,3)</f>
        <v>0</v>
      </c>
      <c r="J92" s="157" t="str">
        <f aca="false">IF(ABS(I92)&lt;=Parâmetros!$C$7,"OK",IF(I92&gt;0,"Sobra no estoque","Falta no estoque"))</f>
        <v>OK</v>
      </c>
      <c r="K92" s="157" t="str">
        <f aca="false">IF(J92="OK","",IF(AND(E92=0,F92=0),"Estoque sem movimento no período",IF(G92&lt;0,"Saídas maiores que entradas – estoque anterior ao período?",IF(H92=0,"Saldo calculado sem estoque físico – verificar",IF(I92&gt;0,"Estoque acima do esperado – saldo anterior ou entrada não listada","Estoque abaixo do esperado – saída/ajuste não listado")))))</f>
        <v/>
      </c>
      <c r="L92" s="158" t="n">
        <f aca="false">IF(D92=0,"",D92-E92)</f>
        <v>1920</v>
      </c>
    </row>
    <row r="93" customFormat="false" ht="15" hidden="false" customHeight="false" outlineLevel="0" collapsed="false">
      <c r="A93" s="157" t="s">
        <v>307</v>
      </c>
      <c r="B93" s="157" t="s">
        <v>308</v>
      </c>
      <c r="C93" s="157" t="s">
        <v>65</v>
      </c>
      <c r="D93" s="158" t="n">
        <f aca="false">SUMIFS('3 Base Entrada 2008'!$G$2:$G$5000,'3 Base Entrada 2008'!$B$2:$B$5000,$A93,'3 Base Entrada 2008'!$C$2:$C$5000,$B93,'3 Base Entrada 2008'!$K$2:$K$5000,"Recebido no 2008")</f>
        <v>3840</v>
      </c>
      <c r="E93" s="158" t="n">
        <f aca="false">SUMIFS('3 Base Entrada 2008'!$L$2:$L$5000,'3 Base Entrada 2008'!$B$2:$B$5000,$A93,'3 Base Entrada 2008'!$C$2:$C$5000,$B93)</f>
        <v>1000</v>
      </c>
      <c r="F93" s="158" t="n">
        <f aca="false">SUMIFS('3 Base Saídas'!$R$2:$R$5000,'3 Base Saídas'!$B$2:$B$5000,$A93,'3 Base Saídas'!$C$2:$C$5000,$B93)</f>
        <v>0</v>
      </c>
      <c r="G93" s="158" t="n">
        <f aca="false">SUMIFS('3 Base Saldo Inicial 08-09'!$E$2:$E$5000,'3 Base Saldo Inicial 08-09'!$A$2:$A$5000,$A93,'3 Base Saldo Inicial 08-09'!$B$2:$B$5000,$B93)-SUMIFS('3 Base Saldo Inicial 08-09'!$E$2:$E$5000,'3 Base Saldo Inicial 08-09'!$A$2:$A$5000,$A93,'3 Base Saldo Inicial 08-09'!$B$2:$B$5000,$B93,'3 Base Saldo Inicial 08-09'!$C$2:$C$5000,"2008")+E93-F93</f>
        <v>1000</v>
      </c>
      <c r="H93" s="158" t="n">
        <f aca="false">SUMIFS('3 Base Estoque Físico'!$J$2:$J$5000,'3 Base Estoque Físico'!$A$2:$A$5000,$A93,'3 Base Estoque Físico'!$B$2:$B$5000,$B93)</f>
        <v>1000</v>
      </c>
      <c r="I93" s="192" t="n">
        <f aca="false">ROUND(H93-G93,3)</f>
        <v>0</v>
      </c>
      <c r="J93" s="157" t="str">
        <f aca="false">IF(ABS(I93)&lt;=Parâmetros!$C$7,"OK",IF(I93&gt;0,"Sobra no estoque","Falta no estoque"))</f>
        <v>OK</v>
      </c>
      <c r="K93" s="157" t="str">
        <f aca="false">IF(J93="OK","",IF(AND(E93=0,F93=0),"Estoque sem movimento no período",IF(G93&lt;0,"Saídas maiores que entradas – estoque anterior ao período?",IF(H93=0,"Saldo calculado sem estoque físico – verificar",IF(I93&gt;0,"Estoque acima do esperado – saldo anterior ou entrada não listada","Estoque abaixo do esperado – saída/ajuste não listado")))))</f>
        <v/>
      </c>
      <c r="L93" s="158" t="n">
        <f aca="false">IF(D93=0,"",D93-E93)</f>
        <v>2840</v>
      </c>
    </row>
    <row r="94" customFormat="false" ht="15" hidden="false" customHeight="false" outlineLevel="0" collapsed="false">
      <c r="A94" s="157" t="s">
        <v>389</v>
      </c>
      <c r="B94" s="157" t="s">
        <v>390</v>
      </c>
      <c r="C94" s="157" t="s">
        <v>65</v>
      </c>
      <c r="D94" s="158" t="n">
        <f aca="false">SUMIFS('3 Base Entrada 2008'!$G$2:$G$5000,'3 Base Entrada 2008'!$B$2:$B$5000,$A94,'3 Base Entrada 2008'!$C$2:$C$5000,$B94,'3 Base Entrada 2008'!$K$2:$K$5000,"Recebido no 2008")</f>
        <v>0</v>
      </c>
      <c r="E94" s="158" t="n">
        <f aca="false">SUMIFS('3 Base Entrada 2008'!$L$2:$L$5000,'3 Base Entrada 2008'!$B$2:$B$5000,$A94,'3 Base Entrada 2008'!$C$2:$C$5000,$B94)</f>
        <v>53.2</v>
      </c>
      <c r="F94" s="158" t="n">
        <f aca="false">SUMIFS('3 Base Saídas'!$R$2:$R$5000,'3 Base Saídas'!$B$2:$B$5000,$A94,'3 Base Saídas'!$C$2:$C$5000,$B94)</f>
        <v>19.6</v>
      </c>
      <c r="G94" s="158" t="n">
        <f aca="false">SUMIFS('3 Base Saldo Inicial 08-09'!$E$2:$E$5000,'3 Base Saldo Inicial 08-09'!$A$2:$A$5000,$A94,'3 Base Saldo Inicial 08-09'!$B$2:$B$5000,$B94)-SUMIFS('3 Base Saldo Inicial 08-09'!$E$2:$E$5000,'3 Base Saldo Inicial 08-09'!$A$2:$A$5000,$A94,'3 Base Saldo Inicial 08-09'!$B$2:$B$5000,$B94,'3 Base Saldo Inicial 08-09'!$C$2:$C$5000,"2008")+E94-F94</f>
        <v>33.6</v>
      </c>
      <c r="H94" s="158" t="n">
        <f aca="false">SUMIFS('3 Base Estoque Físico'!$J$2:$J$5000,'3 Base Estoque Físico'!$A$2:$A$5000,$A94,'3 Base Estoque Físico'!$B$2:$B$5000,$B94)</f>
        <v>33.6</v>
      </c>
      <c r="I94" s="192" t="n">
        <f aca="false">ROUND(H94-G94,3)</f>
        <v>0</v>
      </c>
      <c r="J94" s="157" t="str">
        <f aca="false">IF(ABS(I94)&lt;=Parâmetros!$C$7,"OK",IF(I94&gt;0,"Sobra no estoque","Falta no estoque"))</f>
        <v>OK</v>
      </c>
      <c r="K94" s="157" t="str">
        <f aca="false">IF(J94="OK","",IF(AND(E94=0,F94=0),"Estoque sem movimento no período",IF(G94&lt;0,"Saídas maiores que entradas – estoque anterior ao período?",IF(H94=0,"Saldo calculado sem estoque físico – verificar",IF(I94&gt;0,"Estoque acima do esperado – saldo anterior ou entrada não listada","Estoque abaixo do esperado – saída/ajuste não listado")))))</f>
        <v/>
      </c>
      <c r="L94" s="158" t="str">
        <f aca="false">IF(D94=0,"",D94-E94)</f>
        <v/>
      </c>
    </row>
    <row r="95" customFormat="false" ht="15" hidden="false" customHeight="false" outlineLevel="0" collapsed="false">
      <c r="A95" s="157" t="s">
        <v>389</v>
      </c>
      <c r="B95" s="157" t="s">
        <v>391</v>
      </c>
      <c r="C95" s="157" t="s">
        <v>65</v>
      </c>
      <c r="D95" s="158" t="n">
        <f aca="false">SUMIFS('3 Base Entrada 2008'!$G$2:$G$5000,'3 Base Entrada 2008'!$B$2:$B$5000,$A95,'3 Base Entrada 2008'!$C$2:$C$5000,$B95,'3 Base Entrada 2008'!$K$2:$K$5000,"Recebido no 2008")</f>
        <v>0</v>
      </c>
      <c r="E95" s="158" t="n">
        <f aca="false">SUMIFS('3 Base Entrada 2008'!$L$2:$L$5000,'3 Base Entrada 2008'!$B$2:$B$5000,$A95,'3 Base Entrada 2008'!$C$2:$C$5000,$B95)</f>
        <v>627.2</v>
      </c>
      <c r="F95" s="158" t="n">
        <f aca="false">SUMIFS('3 Base Saídas'!$R$2:$R$5000,'3 Base Saídas'!$B$2:$B$5000,$A95,'3 Base Saídas'!$C$2:$C$5000,$B95)</f>
        <v>0</v>
      </c>
      <c r="G95" s="158" t="n">
        <f aca="false">SUMIFS('3 Base Saldo Inicial 08-09'!$E$2:$E$5000,'3 Base Saldo Inicial 08-09'!$A$2:$A$5000,$A95,'3 Base Saldo Inicial 08-09'!$B$2:$B$5000,$B95)-SUMIFS('3 Base Saldo Inicial 08-09'!$E$2:$E$5000,'3 Base Saldo Inicial 08-09'!$A$2:$A$5000,$A95,'3 Base Saldo Inicial 08-09'!$B$2:$B$5000,$B95,'3 Base Saldo Inicial 08-09'!$C$2:$C$5000,"2008")+E95-F95</f>
        <v>627.2</v>
      </c>
      <c r="H95" s="158" t="n">
        <f aca="false">SUMIFS('3 Base Estoque Físico'!$J$2:$J$5000,'3 Base Estoque Físico'!$A$2:$A$5000,$A95,'3 Base Estoque Físico'!$B$2:$B$5000,$B95)</f>
        <v>627.2</v>
      </c>
      <c r="I95" s="192" t="n">
        <f aca="false">ROUND(H95-G95,3)</f>
        <v>0</v>
      </c>
      <c r="J95" s="157" t="str">
        <f aca="false">IF(ABS(I95)&lt;=Parâmetros!$C$7,"OK",IF(I95&gt;0,"Sobra no estoque","Falta no estoque"))</f>
        <v>OK</v>
      </c>
      <c r="K95" s="157" t="str">
        <f aca="false">IF(J95="OK","",IF(AND(E95=0,F95=0),"Estoque sem movimento no período",IF(G95&lt;0,"Saídas maiores que entradas – estoque anterior ao período?",IF(H95=0,"Saldo calculado sem estoque físico – verificar",IF(I95&gt;0,"Estoque acima do esperado – saldo anterior ou entrada não listada","Estoque abaixo do esperado – saída/ajuste não listado")))))</f>
        <v/>
      </c>
      <c r="L95" s="158" t="str">
        <f aca="false">IF(D95=0,"",D95-E95)</f>
        <v/>
      </c>
    </row>
    <row r="96" customFormat="false" ht="15" hidden="false" customHeight="false" outlineLevel="0" collapsed="false">
      <c r="A96" s="157" t="s">
        <v>389</v>
      </c>
      <c r="B96" s="157" t="s">
        <v>394</v>
      </c>
      <c r="C96" s="157" t="s">
        <v>65</v>
      </c>
      <c r="D96" s="158" t="n">
        <f aca="false">SUMIFS('3 Base Entrada 2008'!$G$2:$G$5000,'3 Base Entrada 2008'!$B$2:$B$5000,$A96,'3 Base Entrada 2008'!$C$2:$C$5000,$B96,'3 Base Entrada 2008'!$K$2:$K$5000,"Recebido no 2008")</f>
        <v>204.4</v>
      </c>
      <c r="E96" s="158" t="n">
        <f aca="false">SUMIFS('3 Base Entrada 2008'!$L$2:$L$5000,'3 Base Entrada 2008'!$B$2:$B$5000,$A96,'3 Base Entrada 2008'!$C$2:$C$5000,$B96)</f>
        <v>0</v>
      </c>
      <c r="F96" s="158" t="n">
        <f aca="false">SUMIFS('3 Base Saídas'!$R$2:$R$5000,'3 Base Saídas'!$B$2:$B$5000,$A96,'3 Base Saídas'!$C$2:$C$5000,$B96)</f>
        <v>0</v>
      </c>
      <c r="G96" s="158" t="n">
        <f aca="false">SUMIFS('3 Base Saldo Inicial 08-09'!$E$2:$E$5000,'3 Base Saldo Inicial 08-09'!$A$2:$A$5000,$A96,'3 Base Saldo Inicial 08-09'!$B$2:$B$5000,$B96)-SUMIFS('3 Base Saldo Inicial 08-09'!$E$2:$E$5000,'3 Base Saldo Inicial 08-09'!$A$2:$A$5000,$A96,'3 Base Saldo Inicial 08-09'!$B$2:$B$5000,$B96,'3 Base Saldo Inicial 08-09'!$C$2:$C$5000,"2008")+E96-F96</f>
        <v>0</v>
      </c>
      <c r="H96" s="158" t="n">
        <f aca="false">SUMIFS('3 Base Estoque Físico'!$J$2:$J$5000,'3 Base Estoque Físico'!$A$2:$A$5000,$A96,'3 Base Estoque Físico'!$B$2:$B$5000,$B96)</f>
        <v>0</v>
      </c>
      <c r="I96" s="192" t="n">
        <f aca="false">ROUND(H96-G96,3)</f>
        <v>0</v>
      </c>
      <c r="J96" s="157" t="str">
        <f aca="false">IF(ABS(I96)&lt;=Parâmetros!$C$7,"OK",IF(I96&gt;0,"Sobra no estoque","Falta no estoque"))</f>
        <v>OK</v>
      </c>
      <c r="K96" s="157" t="str">
        <f aca="false">IF(J96="OK","",IF(AND(E96=0,F96=0),"Estoque sem movimento no período",IF(G96&lt;0,"Saídas maiores que entradas – estoque anterior ao período?",IF(H96=0,"Saldo calculado sem estoque físico – verificar",IF(I96&gt;0,"Estoque acima do esperado – saldo anterior ou entrada não listada","Estoque abaixo do esperado – saída/ajuste não listado")))))</f>
        <v/>
      </c>
      <c r="L96" s="158" t="n">
        <f aca="false">IF(D96=0,"",D96-E96)</f>
        <v>204.4</v>
      </c>
    </row>
    <row r="97" customFormat="false" ht="15" hidden="false" customHeight="false" outlineLevel="0" collapsed="false">
      <c r="A97" s="157" t="s">
        <v>389</v>
      </c>
      <c r="B97" s="157" t="s">
        <v>393</v>
      </c>
      <c r="C97" s="157" t="s">
        <v>65</v>
      </c>
      <c r="D97" s="158" t="n">
        <f aca="false">SUMIFS('3 Base Entrada 2008'!$G$2:$G$5000,'3 Base Entrada 2008'!$B$2:$B$5000,$A97,'3 Base Entrada 2008'!$C$2:$C$5000,$B97,'3 Base Entrada 2008'!$K$2:$K$5000,"Recebido no 2008")</f>
        <v>638.4</v>
      </c>
      <c r="E97" s="158" t="n">
        <f aca="false">SUMIFS('3 Base Entrada 2008'!$L$2:$L$5000,'3 Base Entrada 2008'!$B$2:$B$5000,$A97,'3 Base Entrada 2008'!$C$2:$C$5000,$B97)</f>
        <v>0</v>
      </c>
      <c r="F97" s="158" t="n">
        <f aca="false">SUMIFS('3 Base Saídas'!$R$2:$R$5000,'3 Base Saídas'!$B$2:$B$5000,$A97,'3 Base Saídas'!$C$2:$C$5000,$B97)</f>
        <v>0</v>
      </c>
      <c r="G97" s="158" t="n">
        <f aca="false">SUMIFS('3 Base Saldo Inicial 08-09'!$E$2:$E$5000,'3 Base Saldo Inicial 08-09'!$A$2:$A$5000,$A97,'3 Base Saldo Inicial 08-09'!$B$2:$B$5000,$B97)-SUMIFS('3 Base Saldo Inicial 08-09'!$E$2:$E$5000,'3 Base Saldo Inicial 08-09'!$A$2:$A$5000,$A97,'3 Base Saldo Inicial 08-09'!$B$2:$B$5000,$B97,'3 Base Saldo Inicial 08-09'!$C$2:$C$5000,"2008")+E97-F97</f>
        <v>0</v>
      </c>
      <c r="H97" s="158" t="n">
        <f aca="false">SUMIFS('3 Base Estoque Físico'!$J$2:$J$5000,'3 Base Estoque Físico'!$A$2:$A$5000,$A97,'3 Base Estoque Físico'!$B$2:$B$5000,$B97)</f>
        <v>0</v>
      </c>
      <c r="I97" s="192" t="n">
        <f aca="false">ROUND(H97-G97,3)</f>
        <v>0</v>
      </c>
      <c r="J97" s="157" t="str">
        <f aca="false">IF(ABS(I97)&lt;=Parâmetros!$C$7,"OK",IF(I97&gt;0,"Sobra no estoque","Falta no estoque"))</f>
        <v>OK</v>
      </c>
      <c r="K97" s="157" t="str">
        <f aca="false">IF(J97="OK","",IF(AND(E97=0,F97=0),"Estoque sem movimento no período",IF(G97&lt;0,"Saídas maiores que entradas – estoque anterior ao período?",IF(H97=0,"Saldo calculado sem estoque físico – verificar",IF(I97&gt;0,"Estoque acima do esperado – saldo anterior ou entrada não listada","Estoque abaixo do esperado – saída/ajuste não listado")))))</f>
        <v/>
      </c>
      <c r="L97" s="158" t="n">
        <f aca="false">IF(D97=0,"",D97-E97)</f>
        <v>638.4</v>
      </c>
    </row>
    <row r="98" customFormat="false" ht="15" hidden="false" customHeight="false" outlineLevel="0" collapsed="false">
      <c r="A98" s="157" t="s">
        <v>389</v>
      </c>
      <c r="B98" s="157" t="s">
        <v>392</v>
      </c>
      <c r="C98" s="157" t="s">
        <v>65</v>
      </c>
      <c r="D98" s="158" t="n">
        <f aca="false">SUMIFS('3 Base Entrada 2008'!$G$2:$G$5000,'3 Base Entrada 2008'!$B$2:$B$5000,$A98,'3 Base Entrada 2008'!$C$2:$C$5000,$B98,'3 Base Entrada 2008'!$K$2:$K$5000,"Recebido no 2008")</f>
        <v>1979.6</v>
      </c>
      <c r="E98" s="158" t="n">
        <f aca="false">SUMIFS('3 Base Entrada 2008'!$L$2:$L$5000,'3 Base Entrada 2008'!$B$2:$B$5000,$A98,'3 Base Entrada 2008'!$C$2:$C$5000,$B98)</f>
        <v>0</v>
      </c>
      <c r="F98" s="158" t="n">
        <f aca="false">SUMIFS('3 Base Saídas'!$R$2:$R$5000,'3 Base Saídas'!$B$2:$B$5000,$A98,'3 Base Saídas'!$C$2:$C$5000,$B98)</f>
        <v>0</v>
      </c>
      <c r="G98" s="158" t="n">
        <f aca="false">SUMIFS('3 Base Saldo Inicial 08-09'!$E$2:$E$5000,'3 Base Saldo Inicial 08-09'!$A$2:$A$5000,$A98,'3 Base Saldo Inicial 08-09'!$B$2:$B$5000,$B98)-SUMIFS('3 Base Saldo Inicial 08-09'!$E$2:$E$5000,'3 Base Saldo Inicial 08-09'!$A$2:$A$5000,$A98,'3 Base Saldo Inicial 08-09'!$B$2:$B$5000,$B98,'3 Base Saldo Inicial 08-09'!$C$2:$C$5000,"2008")+E98-F98</f>
        <v>0</v>
      </c>
      <c r="H98" s="158" t="n">
        <f aca="false">SUMIFS('3 Base Estoque Físico'!$J$2:$J$5000,'3 Base Estoque Físico'!$A$2:$A$5000,$A98,'3 Base Estoque Físico'!$B$2:$B$5000,$B98)</f>
        <v>0</v>
      </c>
      <c r="I98" s="192" t="n">
        <f aca="false">ROUND(H98-G98,3)</f>
        <v>0</v>
      </c>
      <c r="J98" s="157" t="str">
        <f aca="false">IF(ABS(I98)&lt;=Parâmetros!$C$7,"OK",IF(I98&gt;0,"Sobra no estoque","Falta no estoque"))</f>
        <v>OK</v>
      </c>
      <c r="K98" s="157" t="str">
        <f aca="false">IF(J98="OK","",IF(AND(E98=0,F98=0),"Estoque sem movimento no período",IF(G98&lt;0,"Saídas maiores que entradas – estoque anterior ao período?",IF(H98=0,"Saldo calculado sem estoque físico – verificar",IF(I98&gt;0,"Estoque acima do esperado – saldo anterior ou entrada não listada","Estoque abaixo do esperado – saída/ajuste não listado")))))</f>
        <v/>
      </c>
      <c r="L98" s="158" t="n">
        <f aca="false">IF(D98=0,"",D98-E98)</f>
        <v>1979.6</v>
      </c>
    </row>
    <row r="99" customFormat="false" ht="15" hidden="false" customHeight="false" outlineLevel="0" collapsed="false">
      <c r="A99" s="63" t="s">
        <v>2160</v>
      </c>
      <c r="D99" s="192" t="n">
        <f aca="false">SUM(D5:D98)</f>
        <v>78599.5</v>
      </c>
      <c r="E99" s="192" t="n">
        <f aca="false">SUM(E5:E98)</f>
        <v>72968.03</v>
      </c>
      <c r="F99" s="192" t="n">
        <f aca="false">SUM(F5:F98)</f>
        <v>29384.8</v>
      </c>
      <c r="G99" s="192" t="n">
        <f aca="false">SUM(G5:G98)</f>
        <v>43583.23</v>
      </c>
      <c r="H99" s="192" t="n">
        <f aca="false">SUM(H5:H98)</f>
        <v>63256.456</v>
      </c>
      <c r="I99" s="192" t="n">
        <f aca="false">SUM(I5:I98)</f>
        <v>19673.226</v>
      </c>
      <c r="L99" s="192" t="n">
        <f aca="false">SUM(L5:L98)</f>
        <v>50745.6</v>
      </c>
    </row>
  </sheetData>
  <autoFilter ref="A4:L98"/>
  <conditionalFormatting sqref="A5:L98">
    <cfRule type="expression" priority="2" aboveAverage="0" equalAverage="0" bottom="0" percent="0" rank="0" text="" dxfId="31">
      <formula>$J5="Falta no estoque"</formula>
    </cfRule>
    <cfRule type="expression" priority="3" aboveAverage="0" equalAverage="0" bottom="0" percent="0" rank="0" text="" dxfId="32">
      <formula>$J5="Sobra no estoque"</formula>
    </cfRule>
  </conditionalFormatting>
  <conditionalFormatting sqref="J5:J98">
    <cfRule type="expression" priority="4" aboveAverage="0" equalAverage="0" bottom="0" percent="0" rank="0" text="" dxfId="33">
      <formula>$J5="OK"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2026-10-02T02:37:22Z</dcterms:created>
  <dc:creator>openpyxl</dc:creator>
  <dc:description/>
  <dc:language>en-US</dc:language>
  <cp:lastModifiedBy/>
  <dcterms:modified xsi:type="dcterms:W3CDTF">2026-10-02T02:37:30Z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