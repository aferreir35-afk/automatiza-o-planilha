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çamentos" sheetId="1" state="visible" r:id="rId3"/>
    <sheet name="Pain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8" authorId="0">
      <text>
        <r>
          <rPr>
            <sz val="10"/>
            <rFont val="Arial"/>
            <family val="2"/>
          </rPr>
          <t xml:space="preserve">Limite usado nos alertas de Divisão, Turno e Projeção do mês. Edite este valor para mudar a meta mínima em todo o painel.</t>
        </r>
      </text>
    </comment>
    <comment ref="B29" authorId="0">
      <text>
        <r>
          <rPr>
            <sz val="10"/>
            <rFont val="Arial"/>
            <family val="2"/>
          </rPr>
          <t xml:space="preserve">Se o Saldo (Planejado - Realizado) acumulado da semana atual ultrapassar este valor, o status abaixo mostra ALERTA.</t>
        </r>
      </text>
    </comment>
  </commentList>
</comments>
</file>

<file path=xl/sharedStrings.xml><?xml version="1.0" encoding="utf-8"?>
<sst xmlns="http://schemas.openxmlformats.org/spreadsheetml/2006/main" count="83" uniqueCount="52">
  <si>
    <t xml:space="preserve">Volume por Turno — Setembro 2026</t>
  </si>
  <si>
    <t xml:space="preserve">Preencha apenas as células amarelas (Data, Turno, Divisão, Volume Planejado e Volume Realizado). O resto é calculado automaticamente.</t>
  </si>
  <si>
    <t xml:space="preserve">Data</t>
  </si>
  <si>
    <t xml:space="preserve">Dia</t>
  </si>
  <si>
    <t xml:space="preserve">Turno</t>
  </si>
  <si>
    <t xml:space="preserve">Divisão</t>
  </si>
  <si>
    <t xml:space="preserve">Volume Planejado (t)</t>
  </si>
  <si>
    <t xml:space="preserve">Volume Realizado (t)</t>
  </si>
  <si>
    <t xml:space="preserve">Atingimento %</t>
  </si>
  <si>
    <t xml:space="preserve">Saldo (t)</t>
  </si>
  <si>
    <t xml:space="preserve">Observação</t>
  </si>
  <si>
    <t xml:space="preserve">C</t>
  </si>
  <si>
    <t xml:space="preserve">SMART LOG</t>
  </si>
  <si>
    <t xml:space="preserve">D</t>
  </si>
  <si>
    <t xml:space="preserve">RJ</t>
  </si>
  <si>
    <t xml:space="preserve">SUL</t>
  </si>
  <si>
    <t xml:space="preserve">A</t>
  </si>
  <si>
    <t xml:space="preserve">Painel — Volume por Turno</t>
  </si>
  <si>
    <t xml:space="preserve">Atualiza automaticamente conforme você preenche a aba Lançamentos.</t>
  </si>
  <si>
    <t xml:space="preserve">Totais do mês</t>
  </si>
  <si>
    <t xml:space="preserve">Atingimento % geral</t>
  </si>
  <si>
    <t xml:space="preserve">Resumo por Divisão</t>
  </si>
  <si>
    <t xml:space="preserve">Planejado (t)</t>
  </si>
  <si>
    <t xml:space="preserve">Realizado (t)</t>
  </si>
  <si>
    <t xml:space="preserve">SP</t>
  </si>
  <si>
    <t xml:space="preserve">MG</t>
  </si>
  <si>
    <t xml:space="preserve">NORDESTE</t>
  </si>
  <si>
    <t xml:space="preserve">Resumo por Turno</t>
  </si>
  <si>
    <t xml:space="preserve">B</t>
  </si>
  <si>
    <t xml:space="preserve">Configurações de Alerta</t>
  </si>
  <si>
    <t xml:space="preserve">Meta mínima de Atingimento (%)</t>
  </si>
  <si>
    <t xml:space="preserve">Limite de Saldo Semanal (t)</t>
  </si>
  <si>
    <t xml:space="preserve">Alertas por Divisão</t>
  </si>
  <si>
    <t xml:space="preserve">Status</t>
  </si>
  <si>
    <t xml:space="preserve">Alertas por Turno</t>
  </si>
  <si>
    <t xml:space="preserve">Maiores Desvios do Mês (Top 3 Divisões)</t>
  </si>
  <si>
    <t xml:space="preserve">Saldo positivo = ficou abaixo do planejado. Em caso de empate de Saldo, o ranking pode repetir a divisão.</t>
  </si>
  <si>
    <t xml:space="preserve">Resumo da Semana Atual</t>
  </si>
  <si>
    <t xml:space="preserve">Última data com lançamento</t>
  </si>
  <si>
    <t xml:space="preserve">Início da semana (segunda)</t>
  </si>
  <si>
    <t xml:space="preserve">Fim da semana (domingo)</t>
  </si>
  <si>
    <t xml:space="preserve">Planejado da semana (t)</t>
  </si>
  <si>
    <t xml:space="preserve">Realizado da semana (t)</t>
  </si>
  <si>
    <t xml:space="preserve">Saldo da semana (t)</t>
  </si>
  <si>
    <t xml:space="preserve">Projeção de Fechamento do Mês</t>
  </si>
  <si>
    <t xml:space="preserve">Dias decorridos no mês</t>
  </si>
  <si>
    <t xml:space="preserve">Dias no mês</t>
  </si>
  <si>
    <t xml:space="preserve">Projeção Planejado (t)</t>
  </si>
  <si>
    <t xml:space="preserve">Projeção Realizado (t)</t>
  </si>
  <si>
    <t xml:space="preserve">Projeção Saldo (t)</t>
  </si>
  <si>
    <t xml:space="preserve">Projeção Atingimento %</t>
  </si>
  <si>
    <t xml:space="preserve">Projeção assume ritmo diário constante (total até a última data ÷ dias decorridos) aplicado aos dias restantes do mês.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</si>
</sst>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#,##0.00"/>
    <numFmt numFmtId="167" formatCode="0%"/>
    <numFmt numFmtId="168" formatCode="#,##0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DE9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DE9E7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9E7"/>
      <rgbColor rgb="FFC6E0B4"/>
      <rgbColor rgb="FFFFE6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Planejado x Realizado por Divisão (t)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Painel!B11</c:f>
              <c:strCache>
                <c:ptCount val="1"/>
                <c:pt idx="0">
                  <c:v>Planejado (t)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Painel!$A$12:$A$17</c:f>
              <c:strCache>
                <c:ptCount val="6"/>
                <c:pt idx="0">
                  <c:v>SMART LOG</c:v>
                </c:pt>
                <c:pt idx="1">
                  <c:v>RJ</c:v>
                </c:pt>
                <c:pt idx="2">
                  <c:v>SUL</c:v>
                </c:pt>
                <c:pt idx="3">
                  <c:v>SP</c:v>
                </c:pt>
                <c:pt idx="4">
                  <c:v>MG</c:v>
                </c:pt>
                <c:pt idx="5">
                  <c:v>NORDESTE</c:v>
                </c:pt>
              </c:strCache>
            </c:strRef>
          </c:cat>
          <c:val>
            <c:numRef>
              <c:f>Painel!$B$12:$B$17</c:f>
              <c:numCache>
                <c:formatCode>#,##0.00</c:formatCode>
                <c:ptCount val="6"/>
                <c:pt idx="0">
                  <c:v>91059</c:v>
                </c:pt>
                <c:pt idx="1">
                  <c:v>24960</c:v>
                </c:pt>
                <c:pt idx="2">
                  <c:v>43121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Painel!C11</c:f>
              <c:strCache>
                <c:ptCount val="1"/>
                <c:pt idx="0">
                  <c:v>Realizado (t)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Painel!$A$12:$A$17</c:f>
              <c:strCache>
                <c:ptCount val="6"/>
                <c:pt idx="0">
                  <c:v>SMART LOG</c:v>
                </c:pt>
                <c:pt idx="1">
                  <c:v>RJ</c:v>
                </c:pt>
                <c:pt idx="2">
                  <c:v>SUL</c:v>
                </c:pt>
                <c:pt idx="3">
                  <c:v>SP</c:v>
                </c:pt>
                <c:pt idx="4">
                  <c:v>MG</c:v>
                </c:pt>
                <c:pt idx="5">
                  <c:v>NORDESTE</c:v>
                </c:pt>
              </c:strCache>
            </c:strRef>
          </c:cat>
          <c:val>
            <c:numRef>
              <c:f>Painel!$C$12:$C$17</c:f>
              <c:numCache>
                <c:formatCode>#,##0.00</c:formatCode>
                <c:ptCount val="6"/>
                <c:pt idx="0">
                  <c:v>91059</c:v>
                </c:pt>
                <c:pt idx="1">
                  <c:v>24960</c:v>
                </c:pt>
                <c:pt idx="2">
                  <c:v>40121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18869725"/>
        <c:axId val="46682768"/>
      </c:barChart>
      <c:catAx>
        <c:axId val="188697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Divisão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82768"/>
        <c:crosses val="autoZero"/>
        <c:auto val="1"/>
        <c:lblAlgn val="ctr"/>
        <c:lblOffset val="100"/>
        <c:noMultiLvlLbl val="0"/>
      </c:catAx>
      <c:valAx>
        <c:axId val="46682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Toneladas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697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16</xdr:col>
      <xdr:colOff>82440</xdr:colOff>
      <xdr:row>19</xdr:row>
      <xdr:rowOff>131760</xdr:rowOff>
    </xdr:to>
    <xdr:graphicFrame>
      <xdr:nvGraphicFramePr>
        <xdr:cNvPr id="0" name="Chart 1"/>
        <xdr:cNvGraphicFramePr/>
      </xdr:nvGraphicFramePr>
      <xdr:xfrm>
        <a:off x="11023560" y="569160"/>
        <a:ext cx="8153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6" min="5" style="1" width="20"/>
    <col collapsed="false" customWidth="true" hidden="false" outlineLevel="0" max="9" min="7" style="1" width="1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n">
        <v>46277</v>
      </c>
      <c r="B5" s="6" t="str">
        <f aca="false">IFERROR(CHOOSE(WEEKDAY(A5),"DOMINGO","SEGUNDA","TERÇA","QUARTA","QUINTA","SEXTA","SÁBADO"),"")</f>
        <v>SÁBADO</v>
      </c>
      <c r="C5" s="7" t="s">
        <v>11</v>
      </c>
      <c r="D5" s="7" t="s">
        <v>12</v>
      </c>
      <c r="E5" s="8" t="n">
        <v>13900</v>
      </c>
      <c r="F5" s="8" t="n">
        <v>13900</v>
      </c>
      <c r="G5" s="9" t="n">
        <f aca="false">IF(E5=0,"",F5/E5)</f>
        <v>1</v>
      </c>
      <c r="H5" s="10" t="n">
        <f aca="false">IF(E5=0,"",E5-F5)</f>
        <v>0</v>
      </c>
      <c r="I5" s="6" t="str">
        <f aca="false">IF(E5=0,"",IF(G5&gt;=1,"Realizado",IF(G5&gt;=0.9,"Parcial","Abaixo da meta")))</f>
        <v>Realizado</v>
      </c>
    </row>
    <row r="6" customFormat="false" ht="15" hidden="false" customHeight="true" outlineLevel="0" collapsed="false">
      <c r="A6" s="5" t="n">
        <v>46277</v>
      </c>
      <c r="B6" s="6" t="str">
        <f aca="false">IFERROR(CHOOSE(WEEKDAY(A6),"DOMINGO","SEGUNDA","TERÇA","QUARTA","QUINTA","SEXTA","SÁBADO"),"")</f>
        <v>SÁBADO</v>
      </c>
      <c r="C6" s="7" t="s">
        <v>13</v>
      </c>
      <c r="D6" s="7" t="s">
        <v>12</v>
      </c>
      <c r="E6" s="8" t="n">
        <v>77159</v>
      </c>
      <c r="F6" s="8" t="n">
        <v>77159</v>
      </c>
      <c r="G6" s="9" t="n">
        <f aca="false">IF(E6=0,"",F6/E6)</f>
        <v>1</v>
      </c>
      <c r="H6" s="10" t="n">
        <f aca="false">IF(E6=0,"",E6-F6)</f>
        <v>0</v>
      </c>
      <c r="I6" s="6" t="str">
        <f aca="false">IF(E6=0,"",IF(G6&gt;=1,"Realizado",IF(G6&gt;=0.9,"Parcial","Abaixo da meta")))</f>
        <v>Realizado</v>
      </c>
    </row>
    <row r="7" customFormat="false" ht="15" hidden="false" customHeight="true" outlineLevel="0" collapsed="false">
      <c r="A7" s="5" t="n">
        <v>46278</v>
      </c>
      <c r="B7" s="6" t="str">
        <f aca="false">IFERROR(CHOOSE(WEEKDAY(A7),"DOMINGO","SEGUNDA","TERÇA","QUARTA","QUINTA","SEXTA","SÁBADO"),"")</f>
        <v>DOMINGO</v>
      </c>
      <c r="C7" s="7" t="s">
        <v>11</v>
      </c>
      <c r="D7" s="7" t="s">
        <v>14</v>
      </c>
      <c r="E7" s="8" t="n">
        <v>24960</v>
      </c>
      <c r="F7" s="8" t="n">
        <v>24960</v>
      </c>
      <c r="G7" s="9" t="n">
        <f aca="false">IF(E7=0,"",F7/E7)</f>
        <v>1</v>
      </c>
      <c r="H7" s="10" t="n">
        <f aca="false">IF(E7=0,"",E7-F7)</f>
        <v>0</v>
      </c>
      <c r="I7" s="6" t="str">
        <f aca="false">IF(E7=0,"",IF(G7&gt;=1,"Realizado",IF(G7&gt;=0.9,"Parcial","Abaixo da meta")))</f>
        <v>Realizado</v>
      </c>
    </row>
    <row r="8" customFormat="false" ht="15" hidden="false" customHeight="true" outlineLevel="0" collapsed="false">
      <c r="A8" s="5" t="n">
        <v>46278</v>
      </c>
      <c r="B8" s="6" t="str">
        <f aca="false">IFERROR(CHOOSE(WEEKDAY(A8),"DOMINGO","SEGUNDA","TERÇA","QUARTA","QUINTA","SEXTA","SÁBADO"),"")</f>
        <v>DOMINGO</v>
      </c>
      <c r="C8" s="7" t="s">
        <v>13</v>
      </c>
      <c r="D8" s="7" t="s">
        <v>15</v>
      </c>
      <c r="E8" s="8" t="n">
        <v>40121</v>
      </c>
      <c r="F8" s="8" t="n">
        <v>37121</v>
      </c>
      <c r="G8" s="9" t="n">
        <f aca="false">IF(E8=0,"",F8/E8)</f>
        <v>0.925226190772912</v>
      </c>
      <c r="H8" s="10" t="n">
        <f aca="false">IF(E8=0,"",E8-F8)</f>
        <v>3000</v>
      </c>
      <c r="I8" s="6" t="str">
        <f aca="false">IF(E8=0,"",IF(G8&gt;=1,"Realizado",IF(G8&gt;=0.9,"Parcial","Abaixo da meta")))</f>
        <v>Parcial</v>
      </c>
    </row>
    <row r="9" customFormat="false" ht="15" hidden="false" customHeight="true" outlineLevel="0" collapsed="false">
      <c r="A9" s="5" t="n">
        <v>46279</v>
      </c>
      <c r="B9" s="6" t="str">
        <f aca="false">IFERROR(CHOOSE(WEEKDAY(A9),"DOMINGO","SEGUNDA","TERÇA","QUARTA","QUINTA","SEXTA","SÁBADO"),"")</f>
        <v>SEGUNDA</v>
      </c>
      <c r="C9" s="7" t="s">
        <v>16</v>
      </c>
      <c r="D9" s="7" t="s">
        <v>15</v>
      </c>
      <c r="E9" s="8" t="n">
        <v>3000</v>
      </c>
      <c r="F9" s="8" t="n">
        <v>3000</v>
      </c>
      <c r="G9" s="9" t="n">
        <f aca="false">IF(E9=0,"",F9/E9)</f>
        <v>1</v>
      </c>
      <c r="H9" s="10" t="n">
        <f aca="false">IF(E9=0,"",E9-F9)</f>
        <v>0</v>
      </c>
      <c r="I9" s="6" t="str">
        <f aca="false">IF(E9=0,"",IF(G9&gt;=1,"Realizado",IF(G9&gt;=0.9,"Parcial","Abaixo da meta")))</f>
        <v>Realizado</v>
      </c>
    </row>
    <row r="10" customFormat="false" ht="15" hidden="false" customHeight="true" outlineLevel="0" collapsed="false">
      <c r="A10" s="5"/>
      <c r="B10" s="6" t="str">
        <f aca="false">IFERROR(CHOOSE(WEEKDAY(A10),"DOMINGO","SEGUNDA","TERÇA","QUARTA","QUINTA","SEXTA","SÁBADO"),"")</f>
        <v>SÁBADO</v>
      </c>
      <c r="C10" s="7"/>
      <c r="D10" s="7"/>
      <c r="E10" s="8"/>
      <c r="F10" s="8"/>
      <c r="G10" s="9" t="str">
        <f aca="false">IF(E10=0,"",F10/E10)</f>
        <v/>
      </c>
      <c r="H10" s="10" t="str">
        <f aca="false">IF(E10=0,"",E10-F10)</f>
        <v/>
      </c>
      <c r="I10" s="6" t="str">
        <f aca="false">IF(E10=0,"",IF(G10&gt;=1,"Realizado",IF(G10&gt;=0.9,"Parcial","Abaixo da meta")))</f>
        <v/>
      </c>
    </row>
    <row r="11" customFormat="false" ht="15" hidden="false" customHeight="true" outlineLevel="0" collapsed="false">
      <c r="A11" s="5"/>
      <c r="B11" s="6" t="str">
        <f aca="false">IFERROR(CHOOSE(WEEKDAY(A11),"DOMINGO","SEGUNDA","TERÇA","QUARTA","QUINTA","SEXTA","SÁBADO"),"")</f>
        <v>SÁBADO</v>
      </c>
      <c r="C11" s="7"/>
      <c r="D11" s="7"/>
      <c r="E11" s="8"/>
      <c r="F11" s="8"/>
      <c r="G11" s="9" t="str">
        <f aca="false">IF(E11=0,"",F11/E11)</f>
        <v/>
      </c>
      <c r="H11" s="10" t="str">
        <f aca="false">IF(E11=0,"",E11-F11)</f>
        <v/>
      </c>
      <c r="I11" s="6" t="str">
        <f aca="false">IF(E11=0,"",IF(G11&gt;=1,"Realizado",IF(G11&gt;=0.9,"Parcial","Abaixo da meta")))</f>
        <v/>
      </c>
    </row>
    <row r="12" customFormat="false" ht="15" hidden="false" customHeight="true" outlineLevel="0" collapsed="false">
      <c r="A12" s="5"/>
      <c r="B12" s="6" t="str">
        <f aca="false">IFERROR(CHOOSE(WEEKDAY(A12),"DOMINGO","SEGUNDA","TERÇA","QUARTA","QUINTA","SEXTA","SÁBADO"),"")</f>
        <v>SÁBADO</v>
      </c>
      <c r="C12" s="7"/>
      <c r="D12" s="7"/>
      <c r="E12" s="8"/>
      <c r="F12" s="8"/>
      <c r="G12" s="9" t="str">
        <f aca="false">IF(E12=0,"",F12/E12)</f>
        <v/>
      </c>
      <c r="H12" s="10" t="str">
        <f aca="false">IF(E12=0,"",E12-F12)</f>
        <v/>
      </c>
      <c r="I12" s="6" t="str">
        <f aca="false">IF(E12=0,"",IF(G12&gt;=1,"Realizado",IF(G12&gt;=0.9,"Parcial","Abaixo da meta")))</f>
        <v/>
      </c>
    </row>
    <row r="13" customFormat="false" ht="15" hidden="false" customHeight="true" outlineLevel="0" collapsed="false">
      <c r="A13" s="5"/>
      <c r="B13" s="6" t="str">
        <f aca="false">IFERROR(CHOOSE(WEEKDAY(A13),"DOMINGO","SEGUNDA","TERÇA","QUARTA","QUINTA","SEXTA","SÁBADO"),"")</f>
        <v>SÁBADO</v>
      </c>
      <c r="C13" s="7"/>
      <c r="D13" s="7"/>
      <c r="E13" s="8"/>
      <c r="F13" s="8"/>
      <c r="G13" s="9" t="str">
        <f aca="false">IF(E13=0,"",F13/E13)</f>
        <v/>
      </c>
      <c r="H13" s="10" t="str">
        <f aca="false">IF(E13=0,"",E13-F13)</f>
        <v/>
      </c>
      <c r="I13" s="6" t="str">
        <f aca="false">IF(E13=0,"",IF(G13&gt;=1,"Realizado",IF(G13&gt;=0.9,"Parcial","Abaixo da meta")))</f>
        <v/>
      </c>
    </row>
    <row r="14" customFormat="false" ht="15" hidden="false" customHeight="true" outlineLevel="0" collapsed="false">
      <c r="A14" s="5"/>
      <c r="B14" s="6" t="str">
        <f aca="false">IFERROR(CHOOSE(WEEKDAY(A14),"DOMINGO","SEGUNDA","TERÇA","QUARTA","QUINTA","SEXTA","SÁBADO"),"")</f>
        <v>SÁBADO</v>
      </c>
      <c r="C14" s="7"/>
      <c r="D14" s="7"/>
      <c r="E14" s="8"/>
      <c r="F14" s="8"/>
      <c r="G14" s="9" t="str">
        <f aca="false">IF(E14=0,"",F14/E14)</f>
        <v/>
      </c>
      <c r="H14" s="10" t="str">
        <f aca="false">IF(E14=0,"",E14-F14)</f>
        <v/>
      </c>
      <c r="I14" s="6" t="str">
        <f aca="false">IF(E14=0,"",IF(G14&gt;=1,"Realizado",IF(G14&gt;=0.9,"Parcial","Abaixo da meta")))</f>
        <v/>
      </c>
    </row>
    <row r="15" customFormat="false" ht="15" hidden="false" customHeight="true" outlineLevel="0" collapsed="false">
      <c r="A15" s="5"/>
      <c r="B15" s="6" t="str">
        <f aca="false">IFERROR(CHOOSE(WEEKDAY(A15),"DOMINGO","SEGUNDA","TERÇA","QUARTA","QUINTA","SEXTA","SÁBADO"),"")</f>
        <v>SÁBADO</v>
      </c>
      <c r="C15" s="7"/>
      <c r="D15" s="7"/>
      <c r="E15" s="8"/>
      <c r="F15" s="8"/>
      <c r="G15" s="9" t="str">
        <f aca="false">IF(E15=0,"",F15/E15)</f>
        <v/>
      </c>
      <c r="H15" s="10" t="str">
        <f aca="false">IF(E15=0,"",E15-F15)</f>
        <v/>
      </c>
      <c r="I15" s="6" t="str">
        <f aca="false">IF(E15=0,"",IF(G15&gt;=1,"Realizado",IF(G15&gt;=0.9,"Parcial","Abaixo da meta")))</f>
        <v/>
      </c>
    </row>
    <row r="16" customFormat="false" ht="15" hidden="false" customHeight="true" outlineLevel="0" collapsed="false">
      <c r="A16" s="5"/>
      <c r="B16" s="6" t="str">
        <f aca="false">IFERROR(CHOOSE(WEEKDAY(A16),"DOMINGO","SEGUNDA","TERÇA","QUARTA","QUINTA","SEXTA","SÁBADO"),"")</f>
        <v>SÁBADO</v>
      </c>
      <c r="C16" s="7"/>
      <c r="D16" s="7"/>
      <c r="E16" s="8"/>
      <c r="F16" s="8"/>
      <c r="G16" s="9" t="str">
        <f aca="false">IF(E16=0,"",F16/E16)</f>
        <v/>
      </c>
      <c r="H16" s="10" t="str">
        <f aca="false">IF(E16=0,"",E16-F16)</f>
        <v/>
      </c>
      <c r="I16" s="6" t="str">
        <f aca="false">IF(E16=0,"",IF(G16&gt;=1,"Realizado",IF(G16&gt;=0.9,"Parcial","Abaixo da meta")))</f>
        <v/>
      </c>
    </row>
    <row r="17" customFormat="false" ht="15" hidden="false" customHeight="true" outlineLevel="0" collapsed="false">
      <c r="A17" s="5"/>
      <c r="B17" s="6" t="str">
        <f aca="false">IFERROR(CHOOSE(WEEKDAY(A17),"DOMINGO","SEGUNDA","TERÇA","QUARTA","QUINTA","SEXTA","SÁBADO"),"")</f>
        <v>SÁBADO</v>
      </c>
      <c r="C17" s="7"/>
      <c r="D17" s="7"/>
      <c r="E17" s="8"/>
      <c r="F17" s="8"/>
      <c r="G17" s="9" t="str">
        <f aca="false">IF(E17=0,"",F17/E17)</f>
        <v/>
      </c>
      <c r="H17" s="10" t="str">
        <f aca="false">IF(E17=0,"",E17-F17)</f>
        <v/>
      </c>
      <c r="I17" s="6" t="str">
        <f aca="false">IF(E17=0,"",IF(G17&gt;=1,"Realizado",IF(G17&gt;=0.9,"Parcial","Abaixo da meta")))</f>
        <v/>
      </c>
    </row>
    <row r="18" customFormat="false" ht="15" hidden="false" customHeight="true" outlineLevel="0" collapsed="false">
      <c r="A18" s="5"/>
      <c r="B18" s="6" t="str">
        <f aca="false">IFERROR(CHOOSE(WEEKDAY(A18),"DOMINGO","SEGUNDA","TERÇA","QUARTA","QUINTA","SEXTA","SÁBADO"),"")</f>
        <v>SÁBADO</v>
      </c>
      <c r="C18" s="7"/>
      <c r="D18" s="7"/>
      <c r="E18" s="8"/>
      <c r="F18" s="8"/>
      <c r="G18" s="9" t="str">
        <f aca="false">IF(E18=0,"",F18/E18)</f>
        <v/>
      </c>
      <c r="H18" s="10" t="str">
        <f aca="false">IF(E18=0,"",E18-F18)</f>
        <v/>
      </c>
      <c r="I18" s="6" t="str">
        <f aca="false">IF(E18=0,"",IF(G18&gt;=1,"Realizado",IF(G18&gt;=0.9,"Parcial","Abaixo da meta")))</f>
        <v/>
      </c>
    </row>
    <row r="19" customFormat="false" ht="15" hidden="false" customHeight="true" outlineLevel="0" collapsed="false">
      <c r="A19" s="5"/>
      <c r="B19" s="6" t="str">
        <f aca="false">IFERROR(CHOOSE(WEEKDAY(A19),"DOMINGO","SEGUNDA","TERÇA","QUARTA","QUINTA","SEXTA","SÁBADO"),"")</f>
        <v>SÁBADO</v>
      </c>
      <c r="C19" s="7"/>
      <c r="D19" s="7"/>
      <c r="E19" s="8"/>
      <c r="F19" s="8"/>
      <c r="G19" s="9" t="str">
        <f aca="false">IF(E19=0,"",F19/E19)</f>
        <v/>
      </c>
      <c r="H19" s="10" t="str">
        <f aca="false">IF(E19=0,"",E19-F19)</f>
        <v/>
      </c>
      <c r="I19" s="6" t="str">
        <f aca="false">IF(E19=0,"",IF(G19&gt;=1,"Realizado",IF(G19&gt;=0.9,"Parcial","Abaixo da meta")))</f>
        <v/>
      </c>
    </row>
    <row r="20" customFormat="false" ht="15" hidden="false" customHeight="true" outlineLevel="0" collapsed="false">
      <c r="A20" s="5"/>
      <c r="B20" s="6" t="str">
        <f aca="false">IFERROR(CHOOSE(WEEKDAY(A20),"DOMINGO","SEGUNDA","TERÇA","QUARTA","QUINTA","SEXTA","SÁBADO"),"")</f>
        <v>SÁBADO</v>
      </c>
      <c r="C20" s="7"/>
      <c r="D20" s="7"/>
      <c r="E20" s="8"/>
      <c r="F20" s="8"/>
      <c r="G20" s="9" t="str">
        <f aca="false">IF(E20=0,"",F20/E20)</f>
        <v/>
      </c>
      <c r="H20" s="10" t="str">
        <f aca="false">IF(E20=0,"",E20-F20)</f>
        <v/>
      </c>
      <c r="I20" s="6" t="str">
        <f aca="false">IF(E20=0,"",IF(G20&gt;=1,"Realizado",IF(G20&gt;=0.9,"Parcial","Abaixo da meta")))</f>
        <v/>
      </c>
    </row>
    <row r="21" customFormat="false" ht="15" hidden="false" customHeight="true" outlineLevel="0" collapsed="false">
      <c r="A21" s="5"/>
      <c r="B21" s="6" t="str">
        <f aca="false">IFERROR(CHOOSE(WEEKDAY(A21),"DOMINGO","SEGUNDA","TERÇA","QUARTA","QUINTA","SEXTA","SÁBADO"),"")</f>
        <v>SÁBADO</v>
      </c>
      <c r="C21" s="7"/>
      <c r="D21" s="7"/>
      <c r="E21" s="8"/>
      <c r="F21" s="8"/>
      <c r="G21" s="9" t="str">
        <f aca="false">IF(E21=0,"",F21/E21)</f>
        <v/>
      </c>
      <c r="H21" s="10" t="str">
        <f aca="false">IF(E21=0,"",E21-F21)</f>
        <v/>
      </c>
      <c r="I21" s="6" t="str">
        <f aca="false">IF(E21=0,"",IF(G21&gt;=1,"Realizado",IF(G21&gt;=0.9,"Parcial","Abaixo da meta")))</f>
        <v/>
      </c>
    </row>
    <row r="22" customFormat="false" ht="15" hidden="false" customHeight="true" outlineLevel="0" collapsed="false">
      <c r="A22" s="5"/>
      <c r="B22" s="6" t="str">
        <f aca="false">IFERROR(CHOOSE(WEEKDAY(A22),"DOMINGO","SEGUNDA","TERÇA","QUARTA","QUINTA","SEXTA","SÁBADO"),"")</f>
        <v>SÁBADO</v>
      </c>
      <c r="C22" s="7"/>
      <c r="D22" s="7"/>
      <c r="E22" s="8"/>
      <c r="F22" s="8"/>
      <c r="G22" s="9" t="str">
        <f aca="false">IF(E22=0,"",F22/E22)</f>
        <v/>
      </c>
      <c r="H22" s="10" t="str">
        <f aca="false">IF(E22=0,"",E22-F22)</f>
        <v/>
      </c>
      <c r="I22" s="6" t="str">
        <f aca="false">IF(E22=0,"",IF(G22&gt;=1,"Realizado",IF(G22&gt;=0.9,"Parcial","Abaixo da meta")))</f>
        <v/>
      </c>
    </row>
    <row r="23" customFormat="false" ht="15" hidden="false" customHeight="true" outlineLevel="0" collapsed="false">
      <c r="A23" s="5"/>
      <c r="B23" s="6" t="str">
        <f aca="false">IFERROR(CHOOSE(WEEKDAY(A23),"DOMINGO","SEGUNDA","TERÇA","QUARTA","QUINTA","SEXTA","SÁBADO"),"")</f>
        <v>SÁBADO</v>
      </c>
      <c r="C23" s="7"/>
      <c r="D23" s="7"/>
      <c r="E23" s="8"/>
      <c r="F23" s="8"/>
      <c r="G23" s="9" t="str">
        <f aca="false">IF(E23=0,"",F23/E23)</f>
        <v/>
      </c>
      <c r="H23" s="10" t="str">
        <f aca="false">IF(E23=0,"",E23-F23)</f>
        <v/>
      </c>
      <c r="I23" s="6" t="str">
        <f aca="false">IF(E23=0,"",IF(G23&gt;=1,"Realizado",IF(G23&gt;=0.9,"Parcial","Abaixo da meta")))</f>
        <v/>
      </c>
    </row>
    <row r="24" customFormat="false" ht="15" hidden="false" customHeight="true" outlineLevel="0" collapsed="false">
      <c r="A24" s="5"/>
      <c r="B24" s="6" t="str">
        <f aca="false">IFERROR(CHOOSE(WEEKDAY(A24),"DOMINGO","SEGUNDA","TERÇA","QUARTA","QUINTA","SEXTA","SÁBADO"),"")</f>
        <v>SÁBADO</v>
      </c>
      <c r="C24" s="7"/>
      <c r="D24" s="7"/>
      <c r="E24" s="8"/>
      <c r="F24" s="8"/>
      <c r="G24" s="9" t="str">
        <f aca="false">IF(E24=0,"",F24/E24)</f>
        <v/>
      </c>
      <c r="H24" s="10" t="str">
        <f aca="false">IF(E24=0,"",E24-F24)</f>
        <v/>
      </c>
      <c r="I24" s="6" t="str">
        <f aca="false">IF(E24=0,"",IF(G24&gt;=1,"Realizado",IF(G24&gt;=0.9,"Parcial","Abaixo da meta")))</f>
        <v/>
      </c>
    </row>
    <row r="25" customFormat="false" ht="15" hidden="false" customHeight="true" outlineLevel="0" collapsed="false">
      <c r="A25" s="5"/>
      <c r="B25" s="6" t="str">
        <f aca="false">IFERROR(CHOOSE(WEEKDAY(A25),"DOMINGO","SEGUNDA","TERÇA","QUARTA","QUINTA","SEXTA","SÁBADO"),"")</f>
        <v>SÁBADO</v>
      </c>
      <c r="C25" s="7"/>
      <c r="D25" s="7"/>
      <c r="E25" s="8"/>
      <c r="F25" s="8"/>
      <c r="G25" s="9" t="str">
        <f aca="false">IF(E25=0,"",F25/E25)</f>
        <v/>
      </c>
      <c r="H25" s="10" t="str">
        <f aca="false">IF(E25=0,"",E25-F25)</f>
        <v/>
      </c>
      <c r="I25" s="6" t="str">
        <f aca="false">IF(E25=0,"",IF(G25&gt;=1,"Realizado",IF(G25&gt;=0.9,"Parcial","Abaixo da meta")))</f>
        <v/>
      </c>
    </row>
    <row r="26" customFormat="false" ht="15" hidden="false" customHeight="true" outlineLevel="0" collapsed="false">
      <c r="A26" s="5"/>
      <c r="B26" s="6" t="str">
        <f aca="false">IFERROR(CHOOSE(WEEKDAY(A26),"DOMINGO","SEGUNDA","TERÇA","QUARTA","QUINTA","SEXTA","SÁBADO"),"")</f>
        <v>SÁBADO</v>
      </c>
      <c r="C26" s="7"/>
      <c r="D26" s="7"/>
      <c r="E26" s="8"/>
      <c r="F26" s="8"/>
      <c r="G26" s="9" t="str">
        <f aca="false">IF(E26=0,"",F26/E26)</f>
        <v/>
      </c>
      <c r="H26" s="10" t="str">
        <f aca="false">IF(E26=0,"",E26-F26)</f>
        <v/>
      </c>
      <c r="I26" s="6" t="str">
        <f aca="false">IF(E26=0,"",IF(G26&gt;=1,"Realizado",IF(G26&gt;=0.9,"Parcial","Abaixo da meta")))</f>
        <v/>
      </c>
    </row>
    <row r="27" customFormat="false" ht="15" hidden="false" customHeight="true" outlineLevel="0" collapsed="false">
      <c r="A27" s="5"/>
      <c r="B27" s="6" t="str">
        <f aca="false">IFERROR(CHOOSE(WEEKDAY(A27),"DOMINGO","SEGUNDA","TERÇA","QUARTA","QUINTA","SEXTA","SÁBADO"),"")</f>
        <v>SÁBADO</v>
      </c>
      <c r="C27" s="7"/>
      <c r="D27" s="7"/>
      <c r="E27" s="8"/>
      <c r="F27" s="8"/>
      <c r="G27" s="9" t="str">
        <f aca="false">IF(E27=0,"",F27/E27)</f>
        <v/>
      </c>
      <c r="H27" s="10" t="str">
        <f aca="false">IF(E27=0,"",E27-F27)</f>
        <v/>
      </c>
      <c r="I27" s="6" t="str">
        <f aca="false">IF(E27=0,"",IF(G27&gt;=1,"Realizado",IF(G27&gt;=0.9,"Parcial","Abaixo da meta")))</f>
        <v/>
      </c>
    </row>
    <row r="28" customFormat="false" ht="15" hidden="false" customHeight="true" outlineLevel="0" collapsed="false">
      <c r="A28" s="5"/>
      <c r="B28" s="6" t="str">
        <f aca="false">IFERROR(CHOOSE(WEEKDAY(A28),"DOMINGO","SEGUNDA","TERÇA","QUARTA","QUINTA","SEXTA","SÁBADO"),"")</f>
        <v>SÁBADO</v>
      </c>
      <c r="C28" s="7"/>
      <c r="D28" s="7"/>
      <c r="E28" s="8"/>
      <c r="F28" s="8"/>
      <c r="G28" s="9" t="str">
        <f aca="false">IF(E28=0,"",F28/E28)</f>
        <v/>
      </c>
      <c r="H28" s="10" t="str">
        <f aca="false">IF(E28=0,"",E28-F28)</f>
        <v/>
      </c>
      <c r="I28" s="6" t="str">
        <f aca="false">IF(E28=0,"",IF(G28&gt;=1,"Realizado",IF(G28&gt;=0.9,"Parcial","Abaixo da meta")))</f>
        <v/>
      </c>
    </row>
    <row r="29" customFormat="false" ht="15" hidden="false" customHeight="true" outlineLevel="0" collapsed="false">
      <c r="A29" s="5"/>
      <c r="B29" s="6" t="str">
        <f aca="false">IFERROR(CHOOSE(WEEKDAY(A29),"DOMINGO","SEGUNDA","TERÇA","QUARTA","QUINTA","SEXTA","SÁBADO"),"")</f>
        <v>SÁBADO</v>
      </c>
      <c r="C29" s="7"/>
      <c r="D29" s="7"/>
      <c r="E29" s="8"/>
      <c r="F29" s="8"/>
      <c r="G29" s="9" t="str">
        <f aca="false">IF(E29=0,"",F29/E29)</f>
        <v/>
      </c>
      <c r="H29" s="10" t="str">
        <f aca="false">IF(E29=0,"",E29-F29)</f>
        <v/>
      </c>
      <c r="I29" s="6" t="str">
        <f aca="false">IF(E29=0,"",IF(G29&gt;=1,"Realizado",IF(G29&gt;=0.9,"Parcial","Abaixo da meta")))</f>
        <v/>
      </c>
    </row>
    <row r="30" customFormat="false" ht="15" hidden="false" customHeight="true" outlineLevel="0" collapsed="false">
      <c r="A30" s="5"/>
      <c r="B30" s="6" t="str">
        <f aca="false">IFERROR(CHOOSE(WEEKDAY(A30),"DOMINGO","SEGUNDA","TERÇA","QUARTA","QUINTA","SEXTA","SÁBADO"),"")</f>
        <v>SÁBADO</v>
      </c>
      <c r="C30" s="7"/>
      <c r="D30" s="7"/>
      <c r="E30" s="8"/>
      <c r="F30" s="8"/>
      <c r="G30" s="9" t="str">
        <f aca="false">IF(E30=0,"",F30/E30)</f>
        <v/>
      </c>
      <c r="H30" s="10" t="str">
        <f aca="false">IF(E30=0,"",E30-F30)</f>
        <v/>
      </c>
      <c r="I30" s="6" t="str">
        <f aca="false">IF(E30=0,"",IF(G30&gt;=1,"Realizado",IF(G30&gt;=0.9,"Parcial","Abaixo da meta")))</f>
        <v/>
      </c>
    </row>
    <row r="31" customFormat="false" ht="15" hidden="false" customHeight="true" outlineLevel="0" collapsed="false">
      <c r="A31" s="5"/>
      <c r="B31" s="6" t="str">
        <f aca="false">IFERROR(CHOOSE(WEEKDAY(A31),"DOMINGO","SEGUNDA","TERÇA","QUARTA","QUINTA","SEXTA","SÁBADO"),"")</f>
        <v>SÁBADO</v>
      </c>
      <c r="C31" s="7"/>
      <c r="D31" s="7"/>
      <c r="E31" s="8"/>
      <c r="F31" s="8"/>
      <c r="G31" s="9" t="str">
        <f aca="false">IF(E31=0,"",F31/E31)</f>
        <v/>
      </c>
      <c r="H31" s="10" t="str">
        <f aca="false">IF(E31=0,"",E31-F31)</f>
        <v/>
      </c>
      <c r="I31" s="6" t="str">
        <f aca="false">IF(E31=0,"",IF(G31&gt;=1,"Realizado",IF(G31&gt;=0.9,"Parcial","Abaixo da meta")))</f>
        <v/>
      </c>
    </row>
    <row r="32" customFormat="false" ht="15" hidden="false" customHeight="true" outlineLevel="0" collapsed="false">
      <c r="A32" s="5"/>
      <c r="B32" s="6" t="str">
        <f aca="false">IFERROR(CHOOSE(WEEKDAY(A32),"DOMINGO","SEGUNDA","TERÇA","QUARTA","QUINTA","SEXTA","SÁBADO"),"")</f>
        <v>SÁBADO</v>
      </c>
      <c r="C32" s="7"/>
      <c r="D32" s="7"/>
      <c r="E32" s="8"/>
      <c r="F32" s="8"/>
      <c r="G32" s="9" t="str">
        <f aca="false">IF(E32=0,"",F32/E32)</f>
        <v/>
      </c>
      <c r="H32" s="10" t="str">
        <f aca="false">IF(E32=0,"",E32-F32)</f>
        <v/>
      </c>
      <c r="I32" s="6" t="str">
        <f aca="false">IF(E32=0,"",IF(G32&gt;=1,"Realizado",IF(G32&gt;=0.9,"Parcial","Abaixo da meta")))</f>
        <v/>
      </c>
    </row>
    <row r="33" customFormat="false" ht="15" hidden="false" customHeight="true" outlineLevel="0" collapsed="false">
      <c r="A33" s="5"/>
      <c r="B33" s="6" t="str">
        <f aca="false">IFERROR(CHOOSE(WEEKDAY(A33),"DOMINGO","SEGUNDA","TERÇA","QUARTA","QUINTA","SEXTA","SÁBADO"),"")</f>
        <v>SÁBADO</v>
      </c>
      <c r="C33" s="7"/>
      <c r="D33" s="7"/>
      <c r="E33" s="8"/>
      <c r="F33" s="8"/>
      <c r="G33" s="9" t="str">
        <f aca="false">IF(E33=0,"",F33/E33)</f>
        <v/>
      </c>
      <c r="H33" s="10" t="str">
        <f aca="false">IF(E33=0,"",E33-F33)</f>
        <v/>
      </c>
      <c r="I33" s="6" t="str">
        <f aca="false">IF(E33=0,"",IF(G33&gt;=1,"Realizado",IF(G33&gt;=0.9,"Parcial","Abaixo da meta")))</f>
        <v/>
      </c>
    </row>
    <row r="34" customFormat="false" ht="15" hidden="false" customHeight="true" outlineLevel="0" collapsed="false">
      <c r="A34" s="5"/>
      <c r="B34" s="6" t="str">
        <f aca="false">IFERROR(CHOOSE(WEEKDAY(A34),"DOMINGO","SEGUNDA","TERÇA","QUARTA","QUINTA","SEXTA","SÁBADO"),"")</f>
        <v>SÁBADO</v>
      </c>
      <c r="C34" s="7"/>
      <c r="D34" s="7"/>
      <c r="E34" s="8"/>
      <c r="F34" s="8"/>
      <c r="G34" s="9" t="str">
        <f aca="false">IF(E34=0,"",F34/E34)</f>
        <v/>
      </c>
      <c r="H34" s="10" t="str">
        <f aca="false">IF(E34=0,"",E34-F34)</f>
        <v/>
      </c>
      <c r="I34" s="6" t="str">
        <f aca="false">IF(E34=0,"",IF(G34&gt;=1,"Realizado",IF(G34&gt;=0.9,"Parcial","Abaixo da meta")))</f>
        <v/>
      </c>
    </row>
    <row r="35" customFormat="false" ht="15" hidden="false" customHeight="true" outlineLevel="0" collapsed="false">
      <c r="A35" s="5"/>
      <c r="B35" s="6" t="str">
        <f aca="false">IFERROR(CHOOSE(WEEKDAY(A35),"DOMINGO","SEGUNDA","TERÇA","QUARTA","QUINTA","SEXTA","SÁBADO"),"")</f>
        <v>SÁBADO</v>
      </c>
      <c r="C35" s="7"/>
      <c r="D35" s="7"/>
      <c r="E35" s="8"/>
      <c r="F35" s="8"/>
      <c r="G35" s="9" t="str">
        <f aca="false">IF(E35=0,"",F35/E35)</f>
        <v/>
      </c>
      <c r="H35" s="10" t="str">
        <f aca="false">IF(E35=0,"",E35-F35)</f>
        <v/>
      </c>
      <c r="I35" s="6" t="str">
        <f aca="false">IF(E35=0,"",IF(G35&gt;=1,"Realizado",IF(G35&gt;=0.9,"Parcial","Abaixo da meta")))</f>
        <v/>
      </c>
    </row>
    <row r="36" customFormat="false" ht="15" hidden="false" customHeight="true" outlineLevel="0" collapsed="false">
      <c r="A36" s="5"/>
      <c r="B36" s="6" t="str">
        <f aca="false">IFERROR(CHOOSE(WEEKDAY(A36),"DOMINGO","SEGUNDA","TERÇA","QUARTA","QUINTA","SEXTA","SÁBADO"),"")</f>
        <v>SÁBADO</v>
      </c>
      <c r="C36" s="7"/>
      <c r="D36" s="7"/>
      <c r="E36" s="8"/>
      <c r="F36" s="8"/>
      <c r="G36" s="9" t="str">
        <f aca="false">IF(E36=0,"",F36/E36)</f>
        <v/>
      </c>
      <c r="H36" s="10" t="str">
        <f aca="false">IF(E36=0,"",E36-F36)</f>
        <v/>
      </c>
      <c r="I36" s="6" t="str">
        <f aca="false">IF(E36=0,"",IF(G36&gt;=1,"Realizado",IF(G36&gt;=0.9,"Parcial","Abaixo da meta")))</f>
        <v/>
      </c>
    </row>
    <row r="37" customFormat="false" ht="15" hidden="false" customHeight="true" outlineLevel="0" collapsed="false">
      <c r="A37" s="5"/>
      <c r="B37" s="6" t="str">
        <f aca="false">IFERROR(CHOOSE(WEEKDAY(A37),"DOMINGO","SEGUNDA","TERÇA","QUARTA","QUINTA","SEXTA","SÁBADO"),"")</f>
        <v>SÁBADO</v>
      </c>
      <c r="C37" s="7"/>
      <c r="D37" s="7"/>
      <c r="E37" s="8"/>
      <c r="F37" s="8"/>
      <c r="G37" s="9" t="str">
        <f aca="false">IF(E37=0,"",F37/E37)</f>
        <v/>
      </c>
      <c r="H37" s="10" t="str">
        <f aca="false">IF(E37=0,"",E37-F37)</f>
        <v/>
      </c>
      <c r="I37" s="6" t="str">
        <f aca="false">IF(E37=0,"",IF(G37&gt;=1,"Realizado",IF(G37&gt;=0.9,"Parcial","Abaixo da meta")))</f>
        <v/>
      </c>
    </row>
    <row r="38" customFormat="false" ht="15" hidden="false" customHeight="true" outlineLevel="0" collapsed="false">
      <c r="A38" s="5"/>
      <c r="B38" s="6" t="str">
        <f aca="false">IFERROR(CHOOSE(WEEKDAY(A38),"DOMINGO","SEGUNDA","TERÇA","QUARTA","QUINTA","SEXTA","SÁBADO"),"")</f>
        <v>SÁBADO</v>
      </c>
      <c r="C38" s="7"/>
      <c r="D38" s="7"/>
      <c r="E38" s="8"/>
      <c r="F38" s="8"/>
      <c r="G38" s="9" t="str">
        <f aca="false">IF(E38=0,"",F38/E38)</f>
        <v/>
      </c>
      <c r="H38" s="10" t="str">
        <f aca="false">IF(E38=0,"",E38-F38)</f>
        <v/>
      </c>
      <c r="I38" s="6" t="str">
        <f aca="false">IF(E38=0,"",IF(G38&gt;=1,"Realizado",IF(G38&gt;=0.9,"Parcial","Abaixo da meta")))</f>
        <v/>
      </c>
    </row>
    <row r="39" customFormat="false" ht="15" hidden="false" customHeight="true" outlineLevel="0" collapsed="false">
      <c r="A39" s="5"/>
      <c r="B39" s="6" t="str">
        <f aca="false">IFERROR(CHOOSE(WEEKDAY(A39),"DOMINGO","SEGUNDA","TERÇA","QUARTA","QUINTA","SEXTA","SÁBADO"),"")</f>
        <v>SÁBADO</v>
      </c>
      <c r="C39" s="7"/>
      <c r="D39" s="7"/>
      <c r="E39" s="8"/>
      <c r="F39" s="8"/>
      <c r="G39" s="9" t="str">
        <f aca="false">IF(E39=0,"",F39/E39)</f>
        <v/>
      </c>
      <c r="H39" s="10" t="str">
        <f aca="false">IF(E39=0,"",E39-F39)</f>
        <v/>
      </c>
      <c r="I39" s="6" t="str">
        <f aca="false">IF(E39=0,"",IF(G39&gt;=1,"Realizado",IF(G39&gt;=0.9,"Parcial","Abaixo da meta")))</f>
        <v/>
      </c>
    </row>
    <row r="40" customFormat="false" ht="15" hidden="false" customHeight="true" outlineLevel="0" collapsed="false">
      <c r="A40" s="5"/>
      <c r="B40" s="6" t="str">
        <f aca="false">IFERROR(CHOOSE(WEEKDAY(A40),"DOMINGO","SEGUNDA","TERÇA","QUARTA","QUINTA","SEXTA","SÁBADO"),"")</f>
        <v>SÁBADO</v>
      </c>
      <c r="C40" s="7"/>
      <c r="D40" s="7"/>
      <c r="E40" s="8"/>
      <c r="F40" s="8"/>
      <c r="G40" s="9" t="str">
        <f aca="false">IF(E40=0,"",F40/E40)</f>
        <v/>
      </c>
      <c r="H40" s="10" t="str">
        <f aca="false">IF(E40=0,"",E40-F40)</f>
        <v/>
      </c>
      <c r="I40" s="6" t="str">
        <f aca="false">IF(E40=0,"",IF(G40&gt;=1,"Realizado",IF(G40&gt;=0.9,"Parcial","Abaixo da meta")))</f>
        <v/>
      </c>
    </row>
    <row r="41" customFormat="false" ht="15" hidden="false" customHeight="true" outlineLevel="0" collapsed="false">
      <c r="A41" s="5"/>
      <c r="B41" s="6" t="str">
        <f aca="false">IFERROR(CHOOSE(WEEKDAY(A41),"DOMINGO","SEGUNDA","TERÇA","QUARTA","QUINTA","SEXTA","SÁBADO"),"")</f>
        <v>SÁBADO</v>
      </c>
      <c r="C41" s="7"/>
      <c r="D41" s="7"/>
      <c r="E41" s="8"/>
      <c r="F41" s="8"/>
      <c r="G41" s="9" t="str">
        <f aca="false">IF(E41=0,"",F41/E41)</f>
        <v/>
      </c>
      <c r="H41" s="10" t="str">
        <f aca="false">IF(E41=0,"",E41-F41)</f>
        <v/>
      </c>
      <c r="I41" s="6" t="str">
        <f aca="false">IF(E41=0,"",IF(G41&gt;=1,"Realizado",IF(G41&gt;=0.9,"Parcial","Abaixo da meta")))</f>
        <v/>
      </c>
    </row>
    <row r="42" customFormat="false" ht="15" hidden="false" customHeight="true" outlineLevel="0" collapsed="false">
      <c r="A42" s="5"/>
      <c r="B42" s="6" t="str">
        <f aca="false">IFERROR(CHOOSE(WEEKDAY(A42),"DOMINGO","SEGUNDA","TERÇA","QUARTA","QUINTA","SEXTA","SÁBADO"),"")</f>
        <v>SÁBADO</v>
      </c>
      <c r="C42" s="7"/>
      <c r="D42" s="7"/>
      <c r="E42" s="8"/>
      <c r="F42" s="8"/>
      <c r="G42" s="9" t="str">
        <f aca="false">IF(E42=0,"",F42/E42)</f>
        <v/>
      </c>
      <c r="H42" s="10" t="str">
        <f aca="false">IF(E42=0,"",E42-F42)</f>
        <v/>
      </c>
      <c r="I42" s="6" t="str">
        <f aca="false">IF(E42=0,"",IF(G42&gt;=1,"Realizado",IF(G42&gt;=0.9,"Parcial","Abaixo da meta")))</f>
        <v/>
      </c>
    </row>
    <row r="43" customFormat="false" ht="15" hidden="false" customHeight="true" outlineLevel="0" collapsed="false">
      <c r="A43" s="5"/>
      <c r="B43" s="6" t="str">
        <f aca="false">IFERROR(CHOOSE(WEEKDAY(A43),"DOMINGO","SEGUNDA","TERÇA","QUARTA","QUINTA","SEXTA","SÁBADO"),"")</f>
        <v>SÁBADO</v>
      </c>
      <c r="C43" s="7"/>
      <c r="D43" s="7"/>
      <c r="E43" s="8"/>
      <c r="F43" s="8"/>
      <c r="G43" s="9" t="str">
        <f aca="false">IF(E43=0,"",F43/E43)</f>
        <v/>
      </c>
      <c r="H43" s="10" t="str">
        <f aca="false">IF(E43=0,"",E43-F43)</f>
        <v/>
      </c>
      <c r="I43" s="6" t="str">
        <f aca="false">IF(E43=0,"",IF(G43&gt;=1,"Realizado",IF(G43&gt;=0.9,"Parcial","Abaixo da meta")))</f>
        <v/>
      </c>
    </row>
    <row r="44" customFormat="false" ht="15" hidden="false" customHeight="true" outlineLevel="0" collapsed="false">
      <c r="A44" s="5"/>
      <c r="B44" s="6" t="str">
        <f aca="false">IFERROR(CHOOSE(WEEKDAY(A44),"DOMINGO","SEGUNDA","TERÇA","QUARTA","QUINTA","SEXTA","SÁBADO"),"")</f>
        <v>SÁBADO</v>
      </c>
      <c r="C44" s="7"/>
      <c r="D44" s="7"/>
      <c r="E44" s="8"/>
      <c r="F44" s="8"/>
      <c r="G44" s="9" t="str">
        <f aca="false">IF(E44=0,"",F44/E44)</f>
        <v/>
      </c>
      <c r="H44" s="10" t="str">
        <f aca="false">IF(E44=0,"",E44-F44)</f>
        <v/>
      </c>
      <c r="I44" s="6" t="str">
        <f aca="false">IF(E44=0,"",IF(G44&gt;=1,"Realizado",IF(G44&gt;=0.9,"Parcial","Abaixo da meta")))</f>
        <v/>
      </c>
    </row>
    <row r="45" customFormat="false" ht="15" hidden="false" customHeight="true" outlineLevel="0" collapsed="false">
      <c r="A45" s="5"/>
      <c r="B45" s="6" t="str">
        <f aca="false">IFERROR(CHOOSE(WEEKDAY(A45),"DOMINGO","SEGUNDA","TERÇA","QUARTA","QUINTA","SEXTA","SÁBADO"),"")</f>
        <v>SÁBADO</v>
      </c>
      <c r="C45" s="7"/>
      <c r="D45" s="7"/>
      <c r="E45" s="8"/>
      <c r="F45" s="8"/>
      <c r="G45" s="9" t="str">
        <f aca="false">IF(E45=0,"",F45/E45)</f>
        <v/>
      </c>
      <c r="H45" s="10" t="str">
        <f aca="false">IF(E45=0,"",E45-F45)</f>
        <v/>
      </c>
      <c r="I45" s="6" t="str">
        <f aca="false">IF(E45=0,"",IF(G45&gt;=1,"Realizado",IF(G45&gt;=0.9,"Parcial","Abaixo da meta")))</f>
        <v/>
      </c>
    </row>
    <row r="46" customFormat="false" ht="15" hidden="false" customHeight="true" outlineLevel="0" collapsed="false">
      <c r="A46" s="5"/>
      <c r="B46" s="6" t="str">
        <f aca="false">IFERROR(CHOOSE(WEEKDAY(A46),"DOMINGO","SEGUNDA","TERÇA","QUARTA","QUINTA","SEXTA","SÁBADO"),"")</f>
        <v>SÁBADO</v>
      </c>
      <c r="C46" s="7"/>
      <c r="D46" s="7"/>
      <c r="E46" s="8"/>
      <c r="F46" s="8"/>
      <c r="G46" s="9" t="str">
        <f aca="false">IF(E46=0,"",F46/E46)</f>
        <v/>
      </c>
      <c r="H46" s="10" t="str">
        <f aca="false">IF(E46=0,"",E46-F46)</f>
        <v/>
      </c>
      <c r="I46" s="6" t="str">
        <f aca="false">IF(E46=0,"",IF(G46&gt;=1,"Realizado",IF(G46&gt;=0.9,"Parcial","Abaixo da meta")))</f>
        <v/>
      </c>
    </row>
    <row r="47" customFormat="false" ht="15" hidden="false" customHeight="true" outlineLevel="0" collapsed="false">
      <c r="A47" s="5"/>
      <c r="B47" s="6" t="str">
        <f aca="false">IFERROR(CHOOSE(WEEKDAY(A47),"DOMINGO","SEGUNDA","TERÇA","QUARTA","QUINTA","SEXTA","SÁBADO"),"")</f>
        <v>SÁBADO</v>
      </c>
      <c r="C47" s="7"/>
      <c r="D47" s="7"/>
      <c r="E47" s="8"/>
      <c r="F47" s="8"/>
      <c r="G47" s="9" t="str">
        <f aca="false">IF(E47=0,"",F47/E47)</f>
        <v/>
      </c>
      <c r="H47" s="10" t="str">
        <f aca="false">IF(E47=0,"",E47-F47)</f>
        <v/>
      </c>
      <c r="I47" s="6" t="str">
        <f aca="false">IF(E47=0,"",IF(G47&gt;=1,"Realizado",IF(G47&gt;=0.9,"Parcial","Abaixo da meta")))</f>
        <v/>
      </c>
    </row>
    <row r="48" customFormat="false" ht="15" hidden="false" customHeight="true" outlineLevel="0" collapsed="false">
      <c r="A48" s="5"/>
      <c r="B48" s="6" t="str">
        <f aca="false">IFERROR(CHOOSE(WEEKDAY(A48),"DOMINGO","SEGUNDA","TERÇA","QUARTA","QUINTA","SEXTA","SÁBADO"),"")</f>
        <v>SÁBADO</v>
      </c>
      <c r="C48" s="7"/>
      <c r="D48" s="7"/>
      <c r="E48" s="8"/>
      <c r="F48" s="8"/>
      <c r="G48" s="9" t="str">
        <f aca="false">IF(E48=0,"",F48/E48)</f>
        <v/>
      </c>
      <c r="H48" s="10" t="str">
        <f aca="false">IF(E48=0,"",E48-F48)</f>
        <v/>
      </c>
      <c r="I48" s="6" t="str">
        <f aca="false">IF(E48=0,"",IF(G48&gt;=1,"Realizado",IF(G48&gt;=0.9,"Parcial","Abaixo da meta")))</f>
        <v/>
      </c>
    </row>
    <row r="49" customFormat="false" ht="15" hidden="false" customHeight="true" outlineLevel="0" collapsed="false">
      <c r="A49" s="5"/>
      <c r="B49" s="6" t="str">
        <f aca="false">IFERROR(CHOOSE(WEEKDAY(A49),"DOMINGO","SEGUNDA","TERÇA","QUARTA","QUINTA","SEXTA","SÁBADO"),"")</f>
        <v>SÁBADO</v>
      </c>
      <c r="C49" s="7"/>
      <c r="D49" s="7"/>
      <c r="E49" s="8"/>
      <c r="F49" s="8"/>
      <c r="G49" s="9" t="str">
        <f aca="false">IF(E49=0,"",F49/E49)</f>
        <v/>
      </c>
      <c r="H49" s="10" t="str">
        <f aca="false">IF(E49=0,"",E49-F49)</f>
        <v/>
      </c>
      <c r="I49" s="6" t="str">
        <f aca="false">IF(E49=0,"",IF(G49&gt;=1,"Realizado",IF(G49&gt;=0.9,"Parcial","Abaixo da meta")))</f>
        <v/>
      </c>
    </row>
    <row r="50" customFormat="false" ht="15" hidden="false" customHeight="true" outlineLevel="0" collapsed="false">
      <c r="A50" s="5"/>
      <c r="B50" s="6" t="str">
        <f aca="false">IFERROR(CHOOSE(WEEKDAY(A50),"DOMINGO","SEGUNDA","TERÇA","QUARTA","QUINTA","SEXTA","SÁBADO"),"")</f>
        <v>SÁBADO</v>
      </c>
      <c r="C50" s="7"/>
      <c r="D50" s="7"/>
      <c r="E50" s="8"/>
      <c r="F50" s="8"/>
      <c r="G50" s="9" t="str">
        <f aca="false">IF(E50=0,"",F50/E50)</f>
        <v/>
      </c>
      <c r="H50" s="10" t="str">
        <f aca="false">IF(E50=0,"",E50-F50)</f>
        <v/>
      </c>
      <c r="I50" s="6" t="str">
        <f aca="false">IF(E50=0,"",IF(G50&gt;=1,"Realizado",IF(G50&gt;=0.9,"Parcial","Abaixo da meta")))</f>
        <v/>
      </c>
    </row>
    <row r="51" customFormat="false" ht="15" hidden="false" customHeight="true" outlineLevel="0" collapsed="false">
      <c r="A51" s="5"/>
      <c r="B51" s="6" t="str">
        <f aca="false">IFERROR(CHOOSE(WEEKDAY(A51),"DOMINGO","SEGUNDA","TERÇA","QUARTA","QUINTA","SEXTA","SÁBADO"),"")</f>
        <v>SÁBADO</v>
      </c>
      <c r="C51" s="7"/>
      <c r="D51" s="7"/>
      <c r="E51" s="8"/>
      <c r="F51" s="8"/>
      <c r="G51" s="9" t="str">
        <f aca="false">IF(E51=0,"",F51/E51)</f>
        <v/>
      </c>
      <c r="H51" s="10" t="str">
        <f aca="false">IF(E51=0,"",E51-F51)</f>
        <v/>
      </c>
      <c r="I51" s="6" t="str">
        <f aca="false">IF(E51=0,"",IF(G51&gt;=1,"Realizado",IF(G51&gt;=0.9,"Parcial","Abaixo da meta")))</f>
        <v/>
      </c>
    </row>
    <row r="52" customFormat="false" ht="15" hidden="false" customHeight="true" outlineLevel="0" collapsed="false">
      <c r="A52" s="5"/>
      <c r="B52" s="6" t="str">
        <f aca="false">IFERROR(CHOOSE(WEEKDAY(A52),"DOMINGO","SEGUNDA","TERÇA","QUARTA","QUINTA","SEXTA","SÁBADO"),"")</f>
        <v>SÁBADO</v>
      </c>
      <c r="C52" s="7"/>
      <c r="D52" s="7"/>
      <c r="E52" s="8"/>
      <c r="F52" s="8"/>
      <c r="G52" s="9" t="str">
        <f aca="false">IF(E52=0,"",F52/E52)</f>
        <v/>
      </c>
      <c r="H52" s="10" t="str">
        <f aca="false">IF(E52=0,"",E52-F52)</f>
        <v/>
      </c>
      <c r="I52" s="6" t="str">
        <f aca="false">IF(E52=0,"",IF(G52&gt;=1,"Realizado",IF(G52&gt;=0.9,"Parcial","Abaixo da meta")))</f>
        <v/>
      </c>
    </row>
    <row r="53" customFormat="false" ht="15" hidden="false" customHeight="true" outlineLevel="0" collapsed="false">
      <c r="A53" s="5"/>
      <c r="B53" s="6" t="str">
        <f aca="false">IFERROR(CHOOSE(WEEKDAY(A53),"DOMINGO","SEGUNDA","TERÇA","QUARTA","QUINTA","SEXTA","SÁBADO"),"")</f>
        <v>SÁBADO</v>
      </c>
      <c r="C53" s="7"/>
      <c r="D53" s="7"/>
      <c r="E53" s="8"/>
      <c r="F53" s="8"/>
      <c r="G53" s="9" t="str">
        <f aca="false">IF(E53=0,"",F53/E53)</f>
        <v/>
      </c>
      <c r="H53" s="10" t="str">
        <f aca="false">IF(E53=0,"",E53-F53)</f>
        <v/>
      </c>
      <c r="I53" s="6" t="str">
        <f aca="false">IF(E53=0,"",IF(G53&gt;=1,"Realizado",IF(G53&gt;=0.9,"Parcial","Abaixo da meta")))</f>
        <v/>
      </c>
    </row>
    <row r="54" customFormat="false" ht="15" hidden="false" customHeight="true" outlineLevel="0" collapsed="false">
      <c r="A54" s="5"/>
      <c r="B54" s="6" t="str">
        <f aca="false">IFERROR(CHOOSE(WEEKDAY(A54),"DOMINGO","SEGUNDA","TERÇA","QUARTA","QUINTA","SEXTA","SÁBADO"),"")</f>
        <v>SÁBADO</v>
      </c>
      <c r="C54" s="7"/>
      <c r="D54" s="7"/>
      <c r="E54" s="8"/>
      <c r="F54" s="8"/>
      <c r="G54" s="9" t="str">
        <f aca="false">IF(E54=0,"",F54/E54)</f>
        <v/>
      </c>
      <c r="H54" s="10" t="str">
        <f aca="false">IF(E54=0,"",E54-F54)</f>
        <v/>
      </c>
      <c r="I54" s="6" t="str">
        <f aca="false">IF(E54=0,"",IF(G54&gt;=1,"Realizado",IF(G54&gt;=0.9,"Parcial","Abaixo da meta")))</f>
        <v/>
      </c>
    </row>
    <row r="55" customFormat="false" ht="15" hidden="false" customHeight="true" outlineLevel="0" collapsed="false">
      <c r="A55" s="5"/>
      <c r="B55" s="6" t="str">
        <f aca="false">IFERROR(CHOOSE(WEEKDAY(A55),"DOMINGO","SEGUNDA","TERÇA","QUARTA","QUINTA","SEXTA","SÁBADO"),"")</f>
        <v>SÁBADO</v>
      </c>
      <c r="C55" s="7"/>
      <c r="D55" s="7"/>
      <c r="E55" s="8"/>
      <c r="F55" s="8"/>
      <c r="G55" s="9" t="str">
        <f aca="false">IF(E55=0,"",F55/E55)</f>
        <v/>
      </c>
      <c r="H55" s="10" t="str">
        <f aca="false">IF(E55=0,"",E55-F55)</f>
        <v/>
      </c>
      <c r="I55" s="6" t="str">
        <f aca="false">IF(E55=0,"",IF(G55&gt;=1,"Realizado",IF(G55&gt;=0.9,"Parcial","Abaixo da meta")))</f>
        <v/>
      </c>
    </row>
    <row r="56" customFormat="false" ht="15" hidden="false" customHeight="true" outlineLevel="0" collapsed="false">
      <c r="A56" s="5"/>
      <c r="B56" s="6" t="str">
        <f aca="false">IFERROR(CHOOSE(WEEKDAY(A56),"DOMINGO","SEGUNDA","TERÇA","QUARTA","QUINTA","SEXTA","SÁBADO"),"")</f>
        <v>SÁBADO</v>
      </c>
      <c r="C56" s="7"/>
      <c r="D56" s="7"/>
      <c r="E56" s="8"/>
      <c r="F56" s="8"/>
      <c r="G56" s="9" t="str">
        <f aca="false">IF(E56=0,"",F56/E56)</f>
        <v/>
      </c>
      <c r="H56" s="10" t="str">
        <f aca="false">IF(E56=0,"",E56-F56)</f>
        <v/>
      </c>
      <c r="I56" s="6" t="str">
        <f aca="false">IF(E56=0,"",IF(G56&gt;=1,"Realizado",IF(G56&gt;=0.9,"Parcial","Abaixo da meta")))</f>
        <v/>
      </c>
    </row>
    <row r="57" customFormat="false" ht="15" hidden="false" customHeight="true" outlineLevel="0" collapsed="false">
      <c r="A57" s="5"/>
      <c r="B57" s="6" t="str">
        <f aca="false">IFERROR(CHOOSE(WEEKDAY(A57),"DOMINGO","SEGUNDA","TERÇA","QUARTA","QUINTA","SEXTA","SÁBADO"),"")</f>
        <v>SÁBADO</v>
      </c>
      <c r="C57" s="7"/>
      <c r="D57" s="7"/>
      <c r="E57" s="8"/>
      <c r="F57" s="8"/>
      <c r="G57" s="9" t="str">
        <f aca="false">IF(E57=0,"",F57/E57)</f>
        <v/>
      </c>
      <c r="H57" s="10" t="str">
        <f aca="false">IF(E57=0,"",E57-F57)</f>
        <v/>
      </c>
      <c r="I57" s="6" t="str">
        <f aca="false">IF(E57=0,"",IF(G57&gt;=1,"Realizado",IF(G57&gt;=0.9,"Parcial","Abaixo da meta")))</f>
        <v/>
      </c>
    </row>
    <row r="58" customFormat="false" ht="15" hidden="false" customHeight="true" outlineLevel="0" collapsed="false">
      <c r="A58" s="5"/>
      <c r="B58" s="6" t="str">
        <f aca="false">IFERROR(CHOOSE(WEEKDAY(A58),"DOMINGO","SEGUNDA","TERÇA","QUARTA","QUINTA","SEXTA","SÁBADO"),"")</f>
        <v>SÁBADO</v>
      </c>
      <c r="C58" s="7"/>
      <c r="D58" s="7"/>
      <c r="E58" s="8"/>
      <c r="F58" s="8"/>
      <c r="G58" s="9" t="str">
        <f aca="false">IF(E58=0,"",F58/E58)</f>
        <v/>
      </c>
      <c r="H58" s="10" t="str">
        <f aca="false">IF(E58=0,"",E58-F58)</f>
        <v/>
      </c>
      <c r="I58" s="6" t="str">
        <f aca="false">IF(E58=0,"",IF(G58&gt;=1,"Realizado",IF(G58&gt;=0.9,"Parcial","Abaixo da meta")))</f>
        <v/>
      </c>
    </row>
    <row r="59" customFormat="false" ht="15" hidden="false" customHeight="true" outlineLevel="0" collapsed="false">
      <c r="A59" s="5"/>
      <c r="B59" s="6" t="str">
        <f aca="false">IFERROR(CHOOSE(WEEKDAY(A59),"DOMINGO","SEGUNDA","TERÇA","QUARTA","QUINTA","SEXTA","SÁBADO"),"")</f>
        <v>SÁBADO</v>
      </c>
      <c r="C59" s="7"/>
      <c r="D59" s="7"/>
      <c r="E59" s="8"/>
      <c r="F59" s="8"/>
      <c r="G59" s="9" t="str">
        <f aca="false">IF(E59=0,"",F59/E59)</f>
        <v/>
      </c>
      <c r="H59" s="10" t="str">
        <f aca="false">IF(E59=0,"",E59-F59)</f>
        <v/>
      </c>
      <c r="I59" s="6" t="str">
        <f aca="false">IF(E59=0,"",IF(G59&gt;=1,"Realizado",IF(G59&gt;=0.9,"Parcial","Abaixo da meta")))</f>
        <v/>
      </c>
    </row>
    <row r="60" customFormat="false" ht="15" hidden="false" customHeight="true" outlineLevel="0" collapsed="false">
      <c r="A60" s="5"/>
      <c r="B60" s="6" t="str">
        <f aca="false">IFERROR(CHOOSE(WEEKDAY(A60),"DOMINGO","SEGUNDA","TERÇA","QUARTA","QUINTA","SEXTA","SÁBADO"),"")</f>
        <v>SÁBADO</v>
      </c>
      <c r="C60" s="7"/>
      <c r="D60" s="7"/>
      <c r="E60" s="8"/>
      <c r="F60" s="8"/>
      <c r="G60" s="9" t="str">
        <f aca="false">IF(E60=0,"",F60/E60)</f>
        <v/>
      </c>
      <c r="H60" s="10" t="str">
        <f aca="false">IF(E60=0,"",E60-F60)</f>
        <v/>
      </c>
      <c r="I60" s="6" t="str">
        <f aca="false">IF(E60=0,"",IF(G60&gt;=1,"Realizado",IF(G60&gt;=0.9,"Parcial","Abaixo da meta")))</f>
        <v/>
      </c>
    </row>
    <row r="61" customFormat="false" ht="15" hidden="false" customHeight="true" outlineLevel="0" collapsed="false">
      <c r="A61" s="5"/>
      <c r="B61" s="6" t="str">
        <f aca="false">IFERROR(CHOOSE(WEEKDAY(A61),"DOMINGO","SEGUNDA","TERÇA","QUARTA","QUINTA","SEXTA","SÁBADO"),"")</f>
        <v>SÁBADO</v>
      </c>
      <c r="C61" s="7"/>
      <c r="D61" s="7"/>
      <c r="E61" s="8"/>
      <c r="F61" s="8"/>
      <c r="G61" s="9" t="str">
        <f aca="false">IF(E61=0,"",F61/E61)</f>
        <v/>
      </c>
      <c r="H61" s="10" t="str">
        <f aca="false">IF(E61=0,"",E61-F61)</f>
        <v/>
      </c>
      <c r="I61" s="6" t="str">
        <f aca="false">IF(E61=0,"",IF(G61&gt;=1,"Realizado",IF(G61&gt;=0.9,"Parcial","Abaixo da meta")))</f>
        <v/>
      </c>
    </row>
    <row r="62" customFormat="false" ht="15" hidden="false" customHeight="true" outlineLevel="0" collapsed="false">
      <c r="A62" s="5"/>
      <c r="B62" s="6" t="str">
        <f aca="false">IFERROR(CHOOSE(WEEKDAY(A62),"DOMINGO","SEGUNDA","TERÇA","QUARTA","QUINTA","SEXTA","SÁBADO"),"")</f>
        <v>SÁBADO</v>
      </c>
      <c r="C62" s="7"/>
      <c r="D62" s="7"/>
      <c r="E62" s="8"/>
      <c r="F62" s="8"/>
      <c r="G62" s="9" t="str">
        <f aca="false">IF(E62=0,"",F62/E62)</f>
        <v/>
      </c>
      <c r="H62" s="10" t="str">
        <f aca="false">IF(E62=0,"",E62-F62)</f>
        <v/>
      </c>
      <c r="I62" s="6" t="str">
        <f aca="false">IF(E62=0,"",IF(G62&gt;=1,"Realizado",IF(G62&gt;=0.9,"Parcial","Abaixo da meta")))</f>
        <v/>
      </c>
    </row>
    <row r="63" customFormat="false" ht="15" hidden="false" customHeight="true" outlineLevel="0" collapsed="false">
      <c r="A63" s="5"/>
      <c r="B63" s="6" t="str">
        <f aca="false">IFERROR(CHOOSE(WEEKDAY(A63),"DOMINGO","SEGUNDA","TERÇA","QUARTA","QUINTA","SEXTA","SÁBADO"),"")</f>
        <v>SÁBADO</v>
      </c>
      <c r="C63" s="7"/>
      <c r="D63" s="7"/>
      <c r="E63" s="8"/>
      <c r="F63" s="8"/>
      <c r="G63" s="9" t="str">
        <f aca="false">IF(E63=0,"",F63/E63)</f>
        <v/>
      </c>
      <c r="H63" s="10" t="str">
        <f aca="false">IF(E63=0,"",E63-F63)</f>
        <v/>
      </c>
      <c r="I63" s="6" t="str">
        <f aca="false">IF(E63=0,"",IF(G63&gt;=1,"Realizado",IF(G63&gt;=0.9,"Parcial","Abaixo da meta")))</f>
        <v/>
      </c>
    </row>
    <row r="64" customFormat="false" ht="15" hidden="false" customHeight="true" outlineLevel="0" collapsed="false">
      <c r="A64" s="5"/>
      <c r="B64" s="6" t="str">
        <f aca="false">IFERROR(CHOOSE(WEEKDAY(A64),"DOMINGO","SEGUNDA","TERÇA","QUARTA","QUINTA","SEXTA","SÁBADO"),"")</f>
        <v>SÁBADO</v>
      </c>
      <c r="C64" s="7"/>
      <c r="D64" s="7"/>
      <c r="E64" s="8"/>
      <c r="F64" s="8"/>
      <c r="G64" s="9" t="str">
        <f aca="false">IF(E64=0,"",F64/E64)</f>
        <v/>
      </c>
      <c r="H64" s="10" t="str">
        <f aca="false">IF(E64=0,"",E64-F64)</f>
        <v/>
      </c>
      <c r="I64" s="6" t="str">
        <f aca="false">IF(E64=0,"",IF(G64&gt;=1,"Realizado",IF(G64&gt;=0.9,"Parcial","Abaixo da meta")))</f>
        <v/>
      </c>
    </row>
    <row r="65" customFormat="false" ht="15" hidden="false" customHeight="true" outlineLevel="0" collapsed="false">
      <c r="A65" s="5"/>
      <c r="B65" s="6" t="str">
        <f aca="false">IFERROR(CHOOSE(WEEKDAY(A65),"DOMINGO","SEGUNDA","TERÇA","QUARTA","QUINTA","SEXTA","SÁBADO"),"")</f>
        <v>SÁBADO</v>
      </c>
      <c r="C65" s="7"/>
      <c r="D65" s="7"/>
      <c r="E65" s="8"/>
      <c r="F65" s="8"/>
      <c r="G65" s="9" t="str">
        <f aca="false">IF(E65=0,"",F65/E65)</f>
        <v/>
      </c>
      <c r="H65" s="10" t="str">
        <f aca="false">IF(E65=0,"",E65-F65)</f>
        <v/>
      </c>
      <c r="I65" s="6" t="str">
        <f aca="false">IF(E65=0,"",IF(G65&gt;=1,"Realizado",IF(G65&gt;=0.9,"Parcial","Abaixo da meta")))</f>
        <v/>
      </c>
    </row>
    <row r="66" customFormat="false" ht="15" hidden="false" customHeight="true" outlineLevel="0" collapsed="false">
      <c r="A66" s="5"/>
      <c r="B66" s="6" t="str">
        <f aca="false">IFERROR(CHOOSE(WEEKDAY(A66),"DOMINGO","SEGUNDA","TERÇA","QUARTA","QUINTA","SEXTA","SÁBADO"),"")</f>
        <v>SÁBADO</v>
      </c>
      <c r="C66" s="7"/>
      <c r="D66" s="7"/>
      <c r="E66" s="8"/>
      <c r="F66" s="8"/>
      <c r="G66" s="9" t="str">
        <f aca="false">IF(E66=0,"",F66/E66)</f>
        <v/>
      </c>
      <c r="H66" s="10" t="str">
        <f aca="false">IF(E66=0,"",E66-F66)</f>
        <v/>
      </c>
      <c r="I66" s="6" t="str">
        <f aca="false">IF(E66=0,"",IF(G66&gt;=1,"Realizado",IF(G66&gt;=0.9,"Parcial","Abaixo da meta")))</f>
        <v/>
      </c>
    </row>
    <row r="67" customFormat="false" ht="15" hidden="false" customHeight="true" outlineLevel="0" collapsed="false">
      <c r="A67" s="5"/>
      <c r="B67" s="6" t="str">
        <f aca="false">IFERROR(CHOOSE(WEEKDAY(A67),"DOMINGO","SEGUNDA","TERÇA","QUARTA","QUINTA","SEXTA","SÁBADO"),"")</f>
        <v>SÁBADO</v>
      </c>
      <c r="C67" s="7"/>
      <c r="D67" s="7"/>
      <c r="E67" s="8"/>
      <c r="F67" s="8"/>
      <c r="G67" s="9" t="str">
        <f aca="false">IF(E67=0,"",F67/E67)</f>
        <v/>
      </c>
      <c r="H67" s="10" t="str">
        <f aca="false">IF(E67=0,"",E67-F67)</f>
        <v/>
      </c>
      <c r="I67" s="6" t="str">
        <f aca="false">IF(E67=0,"",IF(G67&gt;=1,"Realizado",IF(G67&gt;=0.9,"Parcial","Abaixo da meta")))</f>
        <v/>
      </c>
    </row>
    <row r="68" customFormat="false" ht="15" hidden="false" customHeight="true" outlineLevel="0" collapsed="false">
      <c r="A68" s="5"/>
      <c r="B68" s="6" t="str">
        <f aca="false">IFERROR(CHOOSE(WEEKDAY(A68),"DOMINGO","SEGUNDA","TERÇA","QUARTA","QUINTA","SEXTA","SÁBADO"),"")</f>
        <v>SÁBADO</v>
      </c>
      <c r="C68" s="7"/>
      <c r="D68" s="7"/>
      <c r="E68" s="8"/>
      <c r="F68" s="8"/>
      <c r="G68" s="9" t="str">
        <f aca="false">IF(E68=0,"",F68/E68)</f>
        <v/>
      </c>
      <c r="H68" s="10" t="str">
        <f aca="false">IF(E68=0,"",E68-F68)</f>
        <v/>
      </c>
      <c r="I68" s="6" t="str">
        <f aca="false">IF(E68=0,"",IF(G68&gt;=1,"Realizado",IF(G68&gt;=0.9,"Parcial","Abaixo da meta")))</f>
        <v/>
      </c>
    </row>
    <row r="69" customFormat="false" ht="15" hidden="false" customHeight="true" outlineLevel="0" collapsed="false">
      <c r="A69" s="5"/>
      <c r="B69" s="6" t="str">
        <f aca="false">IFERROR(CHOOSE(WEEKDAY(A69),"DOMINGO","SEGUNDA","TERÇA","QUARTA","QUINTA","SEXTA","SÁBADO"),"")</f>
        <v>SÁBADO</v>
      </c>
      <c r="C69" s="7"/>
      <c r="D69" s="7"/>
      <c r="E69" s="8"/>
      <c r="F69" s="8"/>
      <c r="G69" s="9" t="str">
        <f aca="false">IF(E69=0,"",F69/E69)</f>
        <v/>
      </c>
      <c r="H69" s="10" t="str">
        <f aca="false">IF(E69=0,"",E69-F69)</f>
        <v/>
      </c>
      <c r="I69" s="6" t="str">
        <f aca="false">IF(E69=0,"",IF(G69&gt;=1,"Realizado",IF(G69&gt;=0.9,"Parcial","Abaixo da meta")))</f>
        <v/>
      </c>
    </row>
    <row r="70" customFormat="false" ht="15" hidden="false" customHeight="true" outlineLevel="0" collapsed="false">
      <c r="A70" s="5"/>
      <c r="B70" s="6" t="str">
        <f aca="false">IFERROR(CHOOSE(WEEKDAY(A70),"DOMINGO","SEGUNDA","TERÇA","QUARTA","QUINTA","SEXTA","SÁBADO"),"")</f>
        <v>SÁBADO</v>
      </c>
      <c r="C70" s="7"/>
      <c r="D70" s="7"/>
      <c r="E70" s="8"/>
      <c r="F70" s="8"/>
      <c r="G70" s="9" t="str">
        <f aca="false">IF(E70=0,"",F70/E70)</f>
        <v/>
      </c>
      <c r="H70" s="10" t="str">
        <f aca="false">IF(E70=0,"",E70-F70)</f>
        <v/>
      </c>
      <c r="I70" s="6" t="str">
        <f aca="false">IF(E70=0,"",IF(G70&gt;=1,"Realizado",IF(G70&gt;=0.9,"Parcial","Abaixo da meta")))</f>
        <v/>
      </c>
    </row>
    <row r="71" customFormat="false" ht="15" hidden="false" customHeight="true" outlineLevel="0" collapsed="false">
      <c r="A71" s="5"/>
      <c r="B71" s="6" t="str">
        <f aca="false">IFERROR(CHOOSE(WEEKDAY(A71),"DOMINGO","SEGUNDA","TERÇA","QUARTA","QUINTA","SEXTA","SÁBADO"),"")</f>
        <v>SÁBADO</v>
      </c>
      <c r="C71" s="7"/>
      <c r="D71" s="7"/>
      <c r="E71" s="8"/>
      <c r="F71" s="8"/>
      <c r="G71" s="9" t="str">
        <f aca="false">IF(E71=0,"",F71/E71)</f>
        <v/>
      </c>
      <c r="H71" s="10" t="str">
        <f aca="false">IF(E71=0,"",E71-F71)</f>
        <v/>
      </c>
      <c r="I71" s="6" t="str">
        <f aca="false">IF(E71=0,"",IF(G71&gt;=1,"Realizado",IF(G71&gt;=0.9,"Parcial","Abaixo da meta")))</f>
        <v/>
      </c>
    </row>
    <row r="72" customFormat="false" ht="15" hidden="false" customHeight="true" outlineLevel="0" collapsed="false">
      <c r="A72" s="5"/>
      <c r="B72" s="6" t="str">
        <f aca="false">IFERROR(CHOOSE(WEEKDAY(A72),"DOMINGO","SEGUNDA","TERÇA","QUARTA","QUINTA","SEXTA","SÁBADO"),"")</f>
        <v>SÁBADO</v>
      </c>
      <c r="C72" s="7"/>
      <c r="D72" s="7"/>
      <c r="E72" s="8"/>
      <c r="F72" s="8"/>
      <c r="G72" s="9" t="str">
        <f aca="false">IF(E72=0,"",F72/E72)</f>
        <v/>
      </c>
      <c r="H72" s="10" t="str">
        <f aca="false">IF(E72=0,"",E72-F72)</f>
        <v/>
      </c>
      <c r="I72" s="6" t="str">
        <f aca="false">IF(E72=0,"",IF(G72&gt;=1,"Realizado",IF(G72&gt;=0.9,"Parcial","Abaixo da meta")))</f>
        <v/>
      </c>
    </row>
    <row r="73" customFormat="false" ht="15" hidden="false" customHeight="true" outlineLevel="0" collapsed="false">
      <c r="A73" s="5"/>
      <c r="B73" s="6" t="str">
        <f aca="false">IFERROR(CHOOSE(WEEKDAY(A73),"DOMINGO","SEGUNDA","TERÇA","QUARTA","QUINTA","SEXTA","SÁBADO"),"")</f>
        <v>SÁBADO</v>
      </c>
      <c r="C73" s="7"/>
      <c r="D73" s="7"/>
      <c r="E73" s="8"/>
      <c r="F73" s="8"/>
      <c r="G73" s="9" t="str">
        <f aca="false">IF(E73=0,"",F73/E73)</f>
        <v/>
      </c>
      <c r="H73" s="10" t="str">
        <f aca="false">IF(E73=0,"",E73-F73)</f>
        <v/>
      </c>
      <c r="I73" s="6" t="str">
        <f aca="false">IF(E73=0,"",IF(G73&gt;=1,"Realizado",IF(G73&gt;=0.9,"Parcial","Abaixo da meta")))</f>
        <v/>
      </c>
    </row>
    <row r="74" customFormat="false" ht="15" hidden="false" customHeight="true" outlineLevel="0" collapsed="false">
      <c r="A74" s="5"/>
      <c r="B74" s="6" t="str">
        <f aca="false">IFERROR(CHOOSE(WEEKDAY(A74),"DOMINGO","SEGUNDA","TERÇA","QUARTA","QUINTA","SEXTA","SÁBADO"),"")</f>
        <v>SÁBADO</v>
      </c>
      <c r="C74" s="7"/>
      <c r="D74" s="7"/>
      <c r="E74" s="8"/>
      <c r="F74" s="8"/>
      <c r="G74" s="9" t="str">
        <f aca="false">IF(E74=0,"",F74/E74)</f>
        <v/>
      </c>
      <c r="H74" s="10" t="str">
        <f aca="false">IF(E74=0,"",E74-F74)</f>
        <v/>
      </c>
      <c r="I74" s="6" t="str">
        <f aca="false">IF(E74=0,"",IF(G74&gt;=1,"Realizado",IF(G74&gt;=0.9,"Parcial","Abaixo da meta")))</f>
        <v/>
      </c>
    </row>
    <row r="75" customFormat="false" ht="15" hidden="false" customHeight="true" outlineLevel="0" collapsed="false">
      <c r="A75" s="5"/>
      <c r="B75" s="6" t="str">
        <f aca="false">IFERROR(CHOOSE(WEEKDAY(A75),"DOMINGO","SEGUNDA","TERÇA","QUARTA","QUINTA","SEXTA","SÁBADO"),"")</f>
        <v>SÁBADO</v>
      </c>
      <c r="C75" s="7"/>
      <c r="D75" s="7"/>
      <c r="E75" s="8"/>
      <c r="F75" s="8"/>
      <c r="G75" s="9" t="str">
        <f aca="false">IF(E75=0,"",F75/E75)</f>
        <v/>
      </c>
      <c r="H75" s="10" t="str">
        <f aca="false">IF(E75=0,"",E75-F75)</f>
        <v/>
      </c>
      <c r="I75" s="6" t="str">
        <f aca="false">IF(E75=0,"",IF(G75&gt;=1,"Realizado",IF(G75&gt;=0.9,"Parcial","Abaixo da meta")))</f>
        <v/>
      </c>
    </row>
    <row r="76" customFormat="false" ht="15" hidden="false" customHeight="true" outlineLevel="0" collapsed="false">
      <c r="A76" s="5"/>
      <c r="B76" s="6" t="str">
        <f aca="false">IFERROR(CHOOSE(WEEKDAY(A76),"DOMINGO","SEGUNDA","TERÇA","QUARTA","QUINTA","SEXTA","SÁBADO"),"")</f>
        <v>SÁBADO</v>
      </c>
      <c r="C76" s="7"/>
      <c r="D76" s="7"/>
      <c r="E76" s="8"/>
      <c r="F76" s="8"/>
      <c r="G76" s="9" t="str">
        <f aca="false">IF(E76=0,"",F76/E76)</f>
        <v/>
      </c>
      <c r="H76" s="10" t="str">
        <f aca="false">IF(E76=0,"",E76-F76)</f>
        <v/>
      </c>
      <c r="I76" s="6" t="str">
        <f aca="false">IF(E76=0,"",IF(G76&gt;=1,"Realizado",IF(G76&gt;=0.9,"Parcial","Abaixo da meta")))</f>
        <v/>
      </c>
    </row>
    <row r="77" customFormat="false" ht="15" hidden="false" customHeight="true" outlineLevel="0" collapsed="false">
      <c r="A77" s="5"/>
      <c r="B77" s="6" t="str">
        <f aca="false">IFERROR(CHOOSE(WEEKDAY(A77),"DOMINGO","SEGUNDA","TERÇA","QUARTA","QUINTA","SEXTA","SÁBADO"),"")</f>
        <v>SÁBADO</v>
      </c>
      <c r="C77" s="7"/>
      <c r="D77" s="7"/>
      <c r="E77" s="8"/>
      <c r="F77" s="8"/>
      <c r="G77" s="9" t="str">
        <f aca="false">IF(E77=0,"",F77/E77)</f>
        <v/>
      </c>
      <c r="H77" s="10" t="str">
        <f aca="false">IF(E77=0,"",E77-F77)</f>
        <v/>
      </c>
      <c r="I77" s="6" t="str">
        <f aca="false">IF(E77=0,"",IF(G77&gt;=1,"Realizado",IF(G77&gt;=0.9,"Parcial","Abaixo da meta")))</f>
        <v/>
      </c>
    </row>
    <row r="78" customFormat="false" ht="15" hidden="false" customHeight="true" outlineLevel="0" collapsed="false">
      <c r="A78" s="5"/>
      <c r="B78" s="6" t="str">
        <f aca="false">IFERROR(CHOOSE(WEEKDAY(A78),"DOMINGO","SEGUNDA","TERÇA","QUARTA","QUINTA","SEXTA","SÁBADO"),"")</f>
        <v>SÁBADO</v>
      </c>
      <c r="C78" s="7"/>
      <c r="D78" s="7"/>
      <c r="E78" s="8"/>
      <c r="F78" s="8"/>
      <c r="G78" s="9" t="str">
        <f aca="false">IF(E78=0,"",F78/E78)</f>
        <v/>
      </c>
      <c r="H78" s="10" t="str">
        <f aca="false">IF(E78=0,"",E78-F78)</f>
        <v/>
      </c>
      <c r="I78" s="6" t="str">
        <f aca="false">IF(E78=0,"",IF(G78&gt;=1,"Realizado",IF(G78&gt;=0.9,"Parcial","Abaixo da meta")))</f>
        <v/>
      </c>
    </row>
    <row r="79" customFormat="false" ht="15" hidden="false" customHeight="true" outlineLevel="0" collapsed="false">
      <c r="A79" s="5"/>
      <c r="B79" s="6" t="str">
        <f aca="false">IFERROR(CHOOSE(WEEKDAY(A79),"DOMINGO","SEGUNDA","TERÇA","QUARTA","QUINTA","SEXTA","SÁBADO"),"")</f>
        <v>SÁBADO</v>
      </c>
      <c r="C79" s="7"/>
      <c r="D79" s="7"/>
      <c r="E79" s="8"/>
      <c r="F79" s="8"/>
      <c r="G79" s="9" t="str">
        <f aca="false">IF(E79=0,"",F79/E79)</f>
        <v/>
      </c>
      <c r="H79" s="10" t="str">
        <f aca="false">IF(E79=0,"",E79-F79)</f>
        <v/>
      </c>
      <c r="I79" s="6" t="str">
        <f aca="false">IF(E79=0,"",IF(G79&gt;=1,"Realizado",IF(G79&gt;=0.9,"Parcial","Abaixo da meta")))</f>
        <v/>
      </c>
    </row>
    <row r="80" customFormat="false" ht="15" hidden="false" customHeight="true" outlineLevel="0" collapsed="false">
      <c r="A80" s="5"/>
      <c r="B80" s="6" t="str">
        <f aca="false">IFERROR(CHOOSE(WEEKDAY(A80),"DOMINGO","SEGUNDA","TERÇA","QUARTA","QUINTA","SEXTA","SÁBADO"),"")</f>
        <v>SÁBADO</v>
      </c>
      <c r="C80" s="7"/>
      <c r="D80" s="7"/>
      <c r="E80" s="8"/>
      <c r="F80" s="8"/>
      <c r="G80" s="9" t="str">
        <f aca="false">IF(E80=0,"",F80/E80)</f>
        <v/>
      </c>
      <c r="H80" s="10" t="str">
        <f aca="false">IF(E80=0,"",E80-F80)</f>
        <v/>
      </c>
      <c r="I80" s="6" t="str">
        <f aca="false">IF(E80=0,"",IF(G80&gt;=1,"Realizado",IF(G80&gt;=0.9,"Parcial","Abaixo da meta")))</f>
        <v/>
      </c>
    </row>
    <row r="81" customFormat="false" ht="15" hidden="false" customHeight="true" outlineLevel="0" collapsed="false">
      <c r="A81" s="5"/>
      <c r="B81" s="6" t="str">
        <f aca="false">IFERROR(CHOOSE(WEEKDAY(A81),"DOMINGO","SEGUNDA","TERÇA","QUARTA","QUINTA","SEXTA","SÁBADO"),"")</f>
        <v>SÁBADO</v>
      </c>
      <c r="C81" s="7"/>
      <c r="D81" s="7"/>
      <c r="E81" s="8"/>
      <c r="F81" s="8"/>
      <c r="G81" s="9" t="str">
        <f aca="false">IF(E81=0,"",F81/E81)</f>
        <v/>
      </c>
      <c r="H81" s="10" t="str">
        <f aca="false">IF(E81=0,"",E81-F81)</f>
        <v/>
      </c>
      <c r="I81" s="6" t="str">
        <f aca="false">IF(E81=0,"",IF(G81&gt;=1,"Realizado",IF(G81&gt;=0.9,"Parcial","Abaixo da meta")))</f>
        <v/>
      </c>
    </row>
    <row r="82" customFormat="false" ht="15" hidden="false" customHeight="true" outlineLevel="0" collapsed="false">
      <c r="A82" s="5"/>
      <c r="B82" s="6" t="str">
        <f aca="false">IFERROR(CHOOSE(WEEKDAY(A82),"DOMINGO","SEGUNDA","TERÇA","QUARTA","QUINTA","SEXTA","SÁBADO"),"")</f>
        <v>SÁBADO</v>
      </c>
      <c r="C82" s="7"/>
      <c r="D82" s="7"/>
      <c r="E82" s="8"/>
      <c r="F82" s="8"/>
      <c r="G82" s="9" t="str">
        <f aca="false">IF(E82=0,"",F82/E82)</f>
        <v/>
      </c>
      <c r="H82" s="10" t="str">
        <f aca="false">IF(E82=0,"",E82-F82)</f>
        <v/>
      </c>
      <c r="I82" s="6" t="str">
        <f aca="false">IF(E82=0,"",IF(G82&gt;=1,"Realizado",IF(G82&gt;=0.9,"Parcial","Abaixo da meta")))</f>
        <v/>
      </c>
    </row>
    <row r="83" customFormat="false" ht="15" hidden="false" customHeight="true" outlineLevel="0" collapsed="false">
      <c r="A83" s="5"/>
      <c r="B83" s="6" t="str">
        <f aca="false">IFERROR(CHOOSE(WEEKDAY(A83),"DOMINGO","SEGUNDA","TERÇA","QUARTA","QUINTA","SEXTA","SÁBADO"),"")</f>
        <v>SÁBADO</v>
      </c>
      <c r="C83" s="7"/>
      <c r="D83" s="7"/>
      <c r="E83" s="8"/>
      <c r="F83" s="8"/>
      <c r="G83" s="9" t="str">
        <f aca="false">IF(E83=0,"",F83/E83)</f>
        <v/>
      </c>
      <c r="H83" s="10" t="str">
        <f aca="false">IF(E83=0,"",E83-F83)</f>
        <v/>
      </c>
      <c r="I83" s="6" t="str">
        <f aca="false">IF(E83=0,"",IF(G83&gt;=1,"Realizado",IF(G83&gt;=0.9,"Parcial","Abaixo da meta")))</f>
        <v/>
      </c>
    </row>
    <row r="84" customFormat="false" ht="15" hidden="false" customHeight="true" outlineLevel="0" collapsed="false">
      <c r="A84" s="5"/>
      <c r="B84" s="6" t="str">
        <f aca="false">IFERROR(CHOOSE(WEEKDAY(A84),"DOMINGO","SEGUNDA","TERÇA","QUARTA","QUINTA","SEXTA","SÁBADO"),"")</f>
        <v>SÁBADO</v>
      </c>
      <c r="C84" s="7"/>
      <c r="D84" s="7"/>
      <c r="E84" s="8"/>
      <c r="F84" s="8"/>
      <c r="G84" s="9" t="str">
        <f aca="false">IF(E84=0,"",F84/E84)</f>
        <v/>
      </c>
      <c r="H84" s="10" t="str">
        <f aca="false">IF(E84=0,"",E84-F84)</f>
        <v/>
      </c>
      <c r="I84" s="6" t="str">
        <f aca="false">IF(E84=0,"",IF(G84&gt;=1,"Realizado",IF(G84&gt;=0.9,"Parcial","Abaixo da meta")))</f>
        <v/>
      </c>
    </row>
    <row r="85" customFormat="false" ht="15" hidden="false" customHeight="true" outlineLevel="0" collapsed="false">
      <c r="A85" s="5"/>
      <c r="B85" s="6" t="str">
        <f aca="false">IFERROR(CHOOSE(WEEKDAY(A85),"DOMINGO","SEGUNDA","TERÇA","QUARTA","QUINTA","SEXTA","SÁBADO"),"")</f>
        <v>SÁBADO</v>
      </c>
      <c r="C85" s="7"/>
      <c r="D85" s="7"/>
      <c r="E85" s="8"/>
      <c r="F85" s="8"/>
      <c r="G85" s="9" t="str">
        <f aca="false">IF(E85=0,"",F85/E85)</f>
        <v/>
      </c>
      <c r="H85" s="10" t="str">
        <f aca="false">IF(E85=0,"",E85-F85)</f>
        <v/>
      </c>
      <c r="I85" s="6" t="str">
        <f aca="false">IF(E85=0,"",IF(G85&gt;=1,"Realizado",IF(G85&gt;=0.9,"Parcial","Abaixo da meta")))</f>
        <v/>
      </c>
    </row>
    <row r="86" customFormat="false" ht="15" hidden="false" customHeight="true" outlineLevel="0" collapsed="false">
      <c r="A86" s="5"/>
      <c r="B86" s="6" t="str">
        <f aca="false">IFERROR(CHOOSE(WEEKDAY(A86),"DOMINGO","SEGUNDA","TERÇA","QUARTA","QUINTA","SEXTA","SÁBADO"),"")</f>
        <v>SÁBADO</v>
      </c>
      <c r="C86" s="7"/>
      <c r="D86" s="7"/>
      <c r="E86" s="8"/>
      <c r="F86" s="8"/>
      <c r="G86" s="9" t="str">
        <f aca="false">IF(E86=0,"",F86/E86)</f>
        <v/>
      </c>
      <c r="H86" s="10" t="str">
        <f aca="false">IF(E86=0,"",E86-F86)</f>
        <v/>
      </c>
      <c r="I86" s="6" t="str">
        <f aca="false">IF(E86=0,"",IF(G86&gt;=1,"Realizado",IF(G86&gt;=0.9,"Parcial","Abaixo da meta")))</f>
        <v/>
      </c>
    </row>
    <row r="87" customFormat="false" ht="15" hidden="false" customHeight="true" outlineLevel="0" collapsed="false">
      <c r="A87" s="5"/>
      <c r="B87" s="6" t="str">
        <f aca="false">IFERROR(CHOOSE(WEEKDAY(A87),"DOMINGO","SEGUNDA","TERÇA","QUARTA","QUINTA","SEXTA","SÁBADO"),"")</f>
        <v>SÁBADO</v>
      </c>
      <c r="C87" s="7"/>
      <c r="D87" s="7"/>
      <c r="E87" s="8"/>
      <c r="F87" s="8"/>
      <c r="G87" s="9" t="str">
        <f aca="false">IF(E87=0,"",F87/E87)</f>
        <v/>
      </c>
      <c r="H87" s="10" t="str">
        <f aca="false">IF(E87=0,"",E87-F87)</f>
        <v/>
      </c>
      <c r="I87" s="6" t="str">
        <f aca="false">IF(E87=0,"",IF(G87&gt;=1,"Realizado",IF(G87&gt;=0.9,"Parcial","Abaixo da meta")))</f>
        <v/>
      </c>
    </row>
    <row r="88" customFormat="false" ht="15" hidden="false" customHeight="true" outlineLevel="0" collapsed="false">
      <c r="A88" s="5"/>
      <c r="B88" s="6" t="str">
        <f aca="false">IFERROR(CHOOSE(WEEKDAY(A88),"DOMINGO","SEGUNDA","TERÇA","QUARTA","QUINTA","SEXTA","SÁBADO"),"")</f>
        <v>SÁBADO</v>
      </c>
      <c r="C88" s="7"/>
      <c r="D88" s="7"/>
      <c r="E88" s="8"/>
      <c r="F88" s="8"/>
      <c r="G88" s="9" t="str">
        <f aca="false">IF(E88=0,"",F88/E88)</f>
        <v/>
      </c>
      <c r="H88" s="10" t="str">
        <f aca="false">IF(E88=0,"",E88-F88)</f>
        <v/>
      </c>
      <c r="I88" s="6" t="str">
        <f aca="false">IF(E88=0,"",IF(G88&gt;=1,"Realizado",IF(G88&gt;=0.9,"Parcial","Abaixo da meta")))</f>
        <v/>
      </c>
    </row>
    <row r="89" customFormat="false" ht="15" hidden="false" customHeight="true" outlineLevel="0" collapsed="false">
      <c r="A89" s="5"/>
      <c r="B89" s="6" t="str">
        <f aca="false">IFERROR(CHOOSE(WEEKDAY(A89),"DOMINGO","SEGUNDA","TERÇA","QUARTA","QUINTA","SEXTA","SÁBADO"),"")</f>
        <v>SÁBADO</v>
      </c>
      <c r="C89" s="7"/>
      <c r="D89" s="7"/>
      <c r="E89" s="8"/>
      <c r="F89" s="8"/>
      <c r="G89" s="9" t="str">
        <f aca="false">IF(E89=0,"",F89/E89)</f>
        <v/>
      </c>
      <c r="H89" s="10" t="str">
        <f aca="false">IF(E89=0,"",E89-F89)</f>
        <v/>
      </c>
      <c r="I89" s="6" t="str">
        <f aca="false">IF(E89=0,"",IF(G89&gt;=1,"Realizado",IF(G89&gt;=0.9,"Parcial","Abaixo da meta")))</f>
        <v/>
      </c>
    </row>
    <row r="90" customFormat="false" ht="15" hidden="false" customHeight="true" outlineLevel="0" collapsed="false">
      <c r="A90" s="5"/>
      <c r="B90" s="6" t="str">
        <f aca="false">IFERROR(CHOOSE(WEEKDAY(A90),"DOMINGO","SEGUNDA","TERÇA","QUARTA","QUINTA","SEXTA","SÁBADO"),"")</f>
        <v>SÁBADO</v>
      </c>
      <c r="C90" s="7"/>
      <c r="D90" s="7"/>
      <c r="E90" s="8"/>
      <c r="F90" s="8"/>
      <c r="G90" s="9" t="str">
        <f aca="false">IF(E90=0,"",F90/E90)</f>
        <v/>
      </c>
      <c r="H90" s="10" t="str">
        <f aca="false">IF(E90=0,"",E90-F90)</f>
        <v/>
      </c>
      <c r="I90" s="6" t="str">
        <f aca="false">IF(E90=0,"",IF(G90&gt;=1,"Realizado",IF(G90&gt;=0.9,"Parcial","Abaixo da meta")))</f>
        <v/>
      </c>
    </row>
    <row r="91" customFormat="false" ht="15" hidden="false" customHeight="true" outlineLevel="0" collapsed="false">
      <c r="A91" s="5"/>
      <c r="B91" s="6" t="str">
        <f aca="false">IFERROR(CHOOSE(WEEKDAY(A91),"DOMINGO","SEGUNDA","TERÇA","QUARTA","QUINTA","SEXTA","SÁBADO"),"")</f>
        <v>SÁBADO</v>
      </c>
      <c r="C91" s="7"/>
      <c r="D91" s="7"/>
      <c r="E91" s="8"/>
      <c r="F91" s="8"/>
      <c r="G91" s="9" t="str">
        <f aca="false">IF(E91=0,"",F91/E91)</f>
        <v/>
      </c>
      <c r="H91" s="10" t="str">
        <f aca="false">IF(E91=0,"",E91-F91)</f>
        <v/>
      </c>
      <c r="I91" s="6" t="str">
        <f aca="false">IF(E91=0,"",IF(G91&gt;=1,"Realizado",IF(G91&gt;=0.9,"Parcial","Abaixo da meta")))</f>
        <v/>
      </c>
    </row>
    <row r="92" customFormat="false" ht="15" hidden="false" customHeight="true" outlineLevel="0" collapsed="false">
      <c r="A92" s="5"/>
      <c r="B92" s="6" t="str">
        <f aca="false">IFERROR(CHOOSE(WEEKDAY(A92),"DOMINGO","SEGUNDA","TERÇA","QUARTA","QUINTA","SEXTA","SÁBADO"),"")</f>
        <v>SÁBADO</v>
      </c>
      <c r="C92" s="7"/>
      <c r="D92" s="7"/>
      <c r="E92" s="8"/>
      <c r="F92" s="8"/>
      <c r="G92" s="9" t="str">
        <f aca="false">IF(E92=0,"",F92/E92)</f>
        <v/>
      </c>
      <c r="H92" s="10" t="str">
        <f aca="false">IF(E92=0,"",E92-F92)</f>
        <v/>
      </c>
      <c r="I92" s="6" t="str">
        <f aca="false">IF(E92=0,"",IF(G92&gt;=1,"Realizado",IF(G92&gt;=0.9,"Parcial","Abaixo da meta")))</f>
        <v/>
      </c>
    </row>
    <row r="93" customFormat="false" ht="15" hidden="false" customHeight="true" outlineLevel="0" collapsed="false">
      <c r="A93" s="5"/>
      <c r="B93" s="6" t="str">
        <f aca="false">IFERROR(CHOOSE(WEEKDAY(A93),"DOMINGO","SEGUNDA","TERÇA","QUARTA","QUINTA","SEXTA","SÁBADO"),"")</f>
        <v>SÁBADO</v>
      </c>
      <c r="C93" s="7"/>
      <c r="D93" s="7"/>
      <c r="E93" s="8"/>
      <c r="F93" s="8"/>
      <c r="G93" s="9" t="str">
        <f aca="false">IF(E93=0,"",F93/E93)</f>
        <v/>
      </c>
      <c r="H93" s="10" t="str">
        <f aca="false">IF(E93=0,"",E93-F93)</f>
        <v/>
      </c>
      <c r="I93" s="6" t="str">
        <f aca="false">IF(E93=0,"",IF(G93&gt;=1,"Realizado",IF(G93&gt;=0.9,"Parcial","Abaixo da meta")))</f>
        <v/>
      </c>
    </row>
    <row r="94" customFormat="false" ht="15" hidden="false" customHeight="true" outlineLevel="0" collapsed="false">
      <c r="A94" s="5"/>
      <c r="B94" s="6" t="str">
        <f aca="false">IFERROR(CHOOSE(WEEKDAY(A94),"DOMINGO","SEGUNDA","TERÇA","QUARTA","QUINTA","SEXTA","SÁBADO"),"")</f>
        <v>SÁBADO</v>
      </c>
      <c r="C94" s="7"/>
      <c r="D94" s="7"/>
      <c r="E94" s="8"/>
      <c r="F94" s="8"/>
      <c r="G94" s="9" t="str">
        <f aca="false">IF(E94=0,"",F94/E94)</f>
        <v/>
      </c>
      <c r="H94" s="10" t="str">
        <f aca="false">IF(E94=0,"",E94-F94)</f>
        <v/>
      </c>
      <c r="I94" s="6" t="str">
        <f aca="false">IF(E94=0,"",IF(G94&gt;=1,"Realizado",IF(G94&gt;=0.9,"Parcial","Abaixo da meta")))</f>
        <v/>
      </c>
    </row>
    <row r="95" customFormat="false" ht="15" hidden="false" customHeight="true" outlineLevel="0" collapsed="false">
      <c r="A95" s="5"/>
      <c r="B95" s="6" t="str">
        <f aca="false">IFERROR(CHOOSE(WEEKDAY(A95),"DOMINGO","SEGUNDA","TERÇA","QUARTA","QUINTA","SEXTA","SÁBADO"),"")</f>
        <v>SÁBADO</v>
      </c>
      <c r="C95" s="7"/>
      <c r="D95" s="7"/>
      <c r="E95" s="8"/>
      <c r="F95" s="8"/>
      <c r="G95" s="9" t="str">
        <f aca="false">IF(E95=0,"",F95/E95)</f>
        <v/>
      </c>
      <c r="H95" s="10" t="str">
        <f aca="false">IF(E95=0,"",E95-F95)</f>
        <v/>
      </c>
      <c r="I95" s="6" t="str">
        <f aca="false">IF(E95=0,"",IF(G95&gt;=1,"Realizado",IF(G95&gt;=0.9,"Parcial","Abaixo da meta")))</f>
        <v/>
      </c>
    </row>
    <row r="96" customFormat="false" ht="15" hidden="false" customHeight="true" outlineLevel="0" collapsed="false">
      <c r="A96" s="5"/>
      <c r="B96" s="6" t="str">
        <f aca="false">IFERROR(CHOOSE(WEEKDAY(A96),"DOMINGO","SEGUNDA","TERÇA","QUARTA","QUINTA","SEXTA","SÁBADO"),"")</f>
        <v>SÁBADO</v>
      </c>
      <c r="C96" s="7"/>
      <c r="D96" s="7"/>
      <c r="E96" s="8"/>
      <c r="F96" s="8"/>
      <c r="G96" s="9" t="str">
        <f aca="false">IF(E96=0,"",F96/E96)</f>
        <v/>
      </c>
      <c r="H96" s="10" t="str">
        <f aca="false">IF(E96=0,"",E96-F96)</f>
        <v/>
      </c>
      <c r="I96" s="6" t="str">
        <f aca="false">IF(E96=0,"",IF(G96&gt;=1,"Realizado",IF(G96&gt;=0.9,"Parcial","Abaixo da meta")))</f>
        <v/>
      </c>
    </row>
    <row r="97" customFormat="false" ht="15" hidden="false" customHeight="true" outlineLevel="0" collapsed="false">
      <c r="A97" s="5"/>
      <c r="B97" s="6" t="str">
        <f aca="false">IFERROR(CHOOSE(WEEKDAY(A97),"DOMINGO","SEGUNDA","TERÇA","QUARTA","QUINTA","SEXTA","SÁBADO"),"")</f>
        <v>SÁBADO</v>
      </c>
      <c r="C97" s="7"/>
      <c r="D97" s="7"/>
      <c r="E97" s="8"/>
      <c r="F97" s="8"/>
      <c r="G97" s="9" t="str">
        <f aca="false">IF(E97=0,"",F97/E97)</f>
        <v/>
      </c>
      <c r="H97" s="10" t="str">
        <f aca="false">IF(E97=0,"",E97-F97)</f>
        <v/>
      </c>
      <c r="I97" s="6" t="str">
        <f aca="false">IF(E97=0,"",IF(G97&gt;=1,"Realizado",IF(G97&gt;=0.9,"Parcial","Abaixo da meta")))</f>
        <v/>
      </c>
    </row>
    <row r="98" customFormat="false" ht="15" hidden="false" customHeight="true" outlineLevel="0" collapsed="false">
      <c r="A98" s="5"/>
      <c r="B98" s="6" t="str">
        <f aca="false">IFERROR(CHOOSE(WEEKDAY(A98),"DOMINGO","SEGUNDA","TERÇA","QUARTA","QUINTA","SEXTA","SÁBADO"),"")</f>
        <v>SÁBADO</v>
      </c>
      <c r="C98" s="7"/>
      <c r="D98" s="7"/>
      <c r="E98" s="8"/>
      <c r="F98" s="8"/>
      <c r="G98" s="9" t="str">
        <f aca="false">IF(E98=0,"",F98/E98)</f>
        <v/>
      </c>
      <c r="H98" s="10" t="str">
        <f aca="false">IF(E98=0,"",E98-F98)</f>
        <v/>
      </c>
      <c r="I98" s="6" t="str">
        <f aca="false">IF(E98=0,"",IF(G98&gt;=1,"Realizado",IF(G98&gt;=0.9,"Parcial","Abaixo da meta")))</f>
        <v/>
      </c>
    </row>
    <row r="99" customFormat="false" ht="15" hidden="false" customHeight="true" outlineLevel="0" collapsed="false">
      <c r="A99" s="5"/>
      <c r="B99" s="6" t="str">
        <f aca="false">IFERROR(CHOOSE(WEEKDAY(A99),"DOMINGO","SEGUNDA","TERÇA","QUARTA","QUINTA","SEXTA","SÁBADO"),"")</f>
        <v>SÁBADO</v>
      </c>
      <c r="C99" s="7"/>
      <c r="D99" s="7"/>
      <c r="E99" s="8"/>
      <c r="F99" s="8"/>
      <c r="G99" s="9" t="str">
        <f aca="false">IF(E99=0,"",F99/E99)</f>
        <v/>
      </c>
      <c r="H99" s="10" t="str">
        <f aca="false">IF(E99=0,"",E99-F99)</f>
        <v/>
      </c>
      <c r="I99" s="6" t="str">
        <f aca="false">IF(E99=0,"",IF(G99&gt;=1,"Realizado",IF(G99&gt;=0.9,"Parcial","Abaixo da meta")))</f>
        <v/>
      </c>
    </row>
    <row r="100" customFormat="false" ht="15" hidden="false" customHeight="true" outlineLevel="0" collapsed="false">
      <c r="A100" s="5"/>
      <c r="B100" s="6" t="str">
        <f aca="false">IFERROR(CHOOSE(WEEKDAY(A100),"DOMINGO","SEGUNDA","TERÇA","QUARTA","QUINTA","SEXTA","SÁBADO"),"")</f>
        <v>SÁBADO</v>
      </c>
      <c r="C100" s="7"/>
      <c r="D100" s="7"/>
      <c r="E100" s="8"/>
      <c r="F100" s="8"/>
      <c r="G100" s="9" t="str">
        <f aca="false">IF(E100=0,"",F100/E100)</f>
        <v/>
      </c>
      <c r="H100" s="10" t="str">
        <f aca="false">IF(E100=0,"",E100-F100)</f>
        <v/>
      </c>
      <c r="I100" s="6" t="str">
        <f aca="false">IF(E100=0,"",IF(G100&gt;=1,"Realizado",IF(G100&gt;=0.9,"Parcial","Abaixo da meta")))</f>
        <v/>
      </c>
    </row>
    <row r="101" customFormat="false" ht="15" hidden="false" customHeight="true" outlineLevel="0" collapsed="false">
      <c r="A101" s="5"/>
      <c r="B101" s="6" t="str">
        <f aca="false">IFERROR(CHOOSE(WEEKDAY(A101),"DOMINGO","SEGUNDA","TERÇA","QUARTA","QUINTA","SEXTA","SÁBADO"),"")</f>
        <v>SÁBADO</v>
      </c>
      <c r="C101" s="7"/>
      <c r="D101" s="7"/>
      <c r="E101" s="8"/>
      <c r="F101" s="8"/>
      <c r="G101" s="9" t="str">
        <f aca="false">IF(E101=0,"",F101/E101)</f>
        <v/>
      </c>
      <c r="H101" s="10" t="str">
        <f aca="false">IF(E101=0,"",E101-F101)</f>
        <v/>
      </c>
      <c r="I101" s="6" t="str">
        <f aca="false">IF(E101=0,"",IF(G101&gt;=1,"Realizado",IF(G101&gt;=0.9,"Parcial","Abaixo da meta")))</f>
        <v/>
      </c>
    </row>
    <row r="102" customFormat="false" ht="15" hidden="false" customHeight="true" outlineLevel="0" collapsed="false">
      <c r="A102" s="5"/>
      <c r="B102" s="6" t="str">
        <f aca="false">IFERROR(CHOOSE(WEEKDAY(A102),"DOMINGO","SEGUNDA","TERÇA","QUARTA","QUINTA","SEXTA","SÁBADO"),"")</f>
        <v>SÁBADO</v>
      </c>
      <c r="C102" s="7"/>
      <c r="D102" s="7"/>
      <c r="E102" s="8"/>
      <c r="F102" s="8"/>
      <c r="G102" s="9" t="str">
        <f aca="false">IF(E102=0,"",F102/E102)</f>
        <v/>
      </c>
      <c r="H102" s="10" t="str">
        <f aca="false">IF(E102=0,"",E102-F102)</f>
        <v/>
      </c>
      <c r="I102" s="6" t="str">
        <f aca="false">IF(E102=0,"",IF(G102&gt;=1,"Realizado",IF(G102&gt;=0.9,"Parcial","Abaixo da meta")))</f>
        <v/>
      </c>
    </row>
    <row r="103" customFormat="false" ht="15" hidden="false" customHeight="true" outlineLevel="0" collapsed="false">
      <c r="A103" s="5"/>
      <c r="B103" s="6" t="str">
        <f aca="false">IFERROR(CHOOSE(WEEKDAY(A103),"DOMINGO","SEGUNDA","TERÇA","QUARTA","QUINTA","SEXTA","SÁBADO"),"")</f>
        <v>SÁBADO</v>
      </c>
      <c r="C103" s="7"/>
      <c r="D103" s="7"/>
      <c r="E103" s="8"/>
      <c r="F103" s="8"/>
      <c r="G103" s="9" t="str">
        <f aca="false">IF(E103=0,"",F103/E103)</f>
        <v/>
      </c>
      <c r="H103" s="10" t="str">
        <f aca="false">IF(E103=0,"",E103-F103)</f>
        <v/>
      </c>
      <c r="I103" s="6" t="str">
        <f aca="false">IF(E103=0,"",IF(G103&gt;=1,"Realizado",IF(G103&gt;=0.9,"Parcial","Abaixo da meta")))</f>
        <v/>
      </c>
    </row>
    <row r="104" customFormat="false" ht="15" hidden="false" customHeight="true" outlineLevel="0" collapsed="false">
      <c r="A104" s="5"/>
      <c r="B104" s="6" t="str">
        <f aca="false">IFERROR(CHOOSE(WEEKDAY(A104),"DOMINGO","SEGUNDA","TERÇA","QUARTA","QUINTA","SEXTA","SÁBADO"),"")</f>
        <v>SÁBADO</v>
      </c>
      <c r="C104" s="7"/>
      <c r="D104" s="7"/>
      <c r="E104" s="8"/>
      <c r="F104" s="8"/>
      <c r="G104" s="9" t="str">
        <f aca="false">IF(E104=0,"",F104/E104)</f>
        <v/>
      </c>
      <c r="H104" s="10" t="str">
        <f aca="false">IF(E104=0,"",E104-F104)</f>
        <v/>
      </c>
      <c r="I104" s="6" t="str">
        <f aca="false">IF(E104=0,"",IF(G104&gt;=1,"Realizado",IF(G104&gt;=0.9,"Parcial","Abaixo da meta")))</f>
        <v/>
      </c>
    </row>
    <row r="105" customFormat="false" ht="15" hidden="false" customHeight="true" outlineLevel="0" collapsed="false">
      <c r="A105" s="5"/>
      <c r="B105" s="6" t="str">
        <f aca="false">IFERROR(CHOOSE(WEEKDAY(A105),"DOMINGO","SEGUNDA","TERÇA","QUARTA","QUINTA","SEXTA","SÁBADO"),"")</f>
        <v>SÁBADO</v>
      </c>
      <c r="C105" s="7"/>
      <c r="D105" s="7"/>
      <c r="E105" s="8"/>
      <c r="F105" s="8"/>
      <c r="G105" s="9" t="str">
        <f aca="false">IF(E105=0,"",F105/E105)</f>
        <v/>
      </c>
      <c r="H105" s="10" t="str">
        <f aca="false">IF(E105=0,"",E105-F105)</f>
        <v/>
      </c>
      <c r="I105" s="6" t="str">
        <f aca="false">IF(E105=0,"",IF(G105&gt;=1,"Realizado",IF(G105&gt;=0.9,"Parcial","Abaixo da meta")))</f>
        <v/>
      </c>
    </row>
    <row r="106" customFormat="false" ht="15" hidden="false" customHeight="true" outlineLevel="0" collapsed="false">
      <c r="A106" s="5"/>
      <c r="B106" s="6" t="str">
        <f aca="false">IFERROR(CHOOSE(WEEKDAY(A106),"DOMINGO","SEGUNDA","TERÇA","QUARTA","QUINTA","SEXTA","SÁBADO"),"")</f>
        <v>SÁBADO</v>
      </c>
      <c r="C106" s="7"/>
      <c r="D106" s="7"/>
      <c r="E106" s="8"/>
      <c r="F106" s="8"/>
      <c r="G106" s="9" t="str">
        <f aca="false">IF(E106=0,"",F106/E106)</f>
        <v/>
      </c>
      <c r="H106" s="10" t="str">
        <f aca="false">IF(E106=0,"",E106-F106)</f>
        <v/>
      </c>
      <c r="I106" s="6" t="str">
        <f aca="false">IF(E106=0,"",IF(G106&gt;=1,"Realizado",IF(G106&gt;=0.9,"Parcial","Abaixo da meta")))</f>
        <v/>
      </c>
    </row>
    <row r="107" customFormat="false" ht="15" hidden="false" customHeight="true" outlineLevel="0" collapsed="false">
      <c r="A107" s="5"/>
      <c r="B107" s="6" t="str">
        <f aca="false">IFERROR(CHOOSE(WEEKDAY(A107),"DOMINGO","SEGUNDA","TERÇA","QUARTA","QUINTA","SEXTA","SÁBADO"),"")</f>
        <v>SÁBADO</v>
      </c>
      <c r="C107" s="7"/>
      <c r="D107" s="7"/>
      <c r="E107" s="8"/>
      <c r="F107" s="8"/>
      <c r="G107" s="9" t="str">
        <f aca="false">IF(E107=0,"",F107/E107)</f>
        <v/>
      </c>
      <c r="H107" s="10" t="str">
        <f aca="false">IF(E107=0,"",E107-F107)</f>
        <v/>
      </c>
      <c r="I107" s="6" t="str">
        <f aca="false">IF(E107=0,"",IF(G107&gt;=1,"Realizado",IF(G107&gt;=0.9,"Parcial","Abaixo da meta")))</f>
        <v/>
      </c>
    </row>
    <row r="108" customFormat="false" ht="15" hidden="false" customHeight="true" outlineLevel="0" collapsed="false">
      <c r="A108" s="5"/>
      <c r="B108" s="6" t="str">
        <f aca="false">IFERROR(CHOOSE(WEEKDAY(A108),"DOMINGO","SEGUNDA","TERÇA","QUARTA","QUINTA","SEXTA","SÁBADO"),"")</f>
        <v>SÁBADO</v>
      </c>
      <c r="C108" s="7"/>
      <c r="D108" s="7"/>
      <c r="E108" s="8"/>
      <c r="F108" s="8"/>
      <c r="G108" s="9" t="str">
        <f aca="false">IF(E108=0,"",F108/E108)</f>
        <v/>
      </c>
      <c r="H108" s="10" t="str">
        <f aca="false">IF(E108=0,"",E108-F108)</f>
        <v/>
      </c>
      <c r="I108" s="6" t="str">
        <f aca="false">IF(E108=0,"",IF(G108&gt;=1,"Realizado",IF(G108&gt;=0.9,"Parcial","Abaixo da meta")))</f>
        <v/>
      </c>
    </row>
    <row r="109" customFormat="false" ht="15" hidden="false" customHeight="true" outlineLevel="0" collapsed="false">
      <c r="A109" s="5"/>
      <c r="B109" s="6" t="str">
        <f aca="false">IFERROR(CHOOSE(WEEKDAY(A109),"DOMINGO","SEGUNDA","TERÇA","QUARTA","QUINTA","SEXTA","SÁBADO"),"")</f>
        <v>SÁBADO</v>
      </c>
      <c r="C109" s="7"/>
      <c r="D109" s="7"/>
      <c r="E109" s="8"/>
      <c r="F109" s="8"/>
      <c r="G109" s="9" t="str">
        <f aca="false">IF(E109=0,"",F109/E109)</f>
        <v/>
      </c>
      <c r="H109" s="10" t="str">
        <f aca="false">IF(E109=0,"",E109-F109)</f>
        <v/>
      </c>
      <c r="I109" s="6" t="str">
        <f aca="false">IF(E109=0,"",IF(G109&gt;=1,"Realizado",IF(G109&gt;=0.9,"Parcial","Abaixo da meta")))</f>
        <v/>
      </c>
    </row>
    <row r="110" customFormat="false" ht="15" hidden="false" customHeight="true" outlineLevel="0" collapsed="false">
      <c r="A110" s="5"/>
      <c r="B110" s="6" t="str">
        <f aca="false">IFERROR(CHOOSE(WEEKDAY(A110),"DOMINGO","SEGUNDA","TERÇA","QUARTA","QUINTA","SEXTA","SÁBADO"),"")</f>
        <v>SÁBADO</v>
      </c>
      <c r="C110" s="7"/>
      <c r="D110" s="7"/>
      <c r="E110" s="8"/>
      <c r="F110" s="8"/>
      <c r="G110" s="9" t="str">
        <f aca="false">IF(E110=0,"",F110/E110)</f>
        <v/>
      </c>
      <c r="H110" s="10" t="str">
        <f aca="false">IF(E110=0,"",E110-F110)</f>
        <v/>
      </c>
      <c r="I110" s="6" t="str">
        <f aca="false">IF(E110=0,"",IF(G110&gt;=1,"Realizado",IF(G110&gt;=0.9,"Parcial","Abaixo da meta")))</f>
        <v/>
      </c>
    </row>
    <row r="111" customFormat="false" ht="15" hidden="false" customHeight="true" outlineLevel="0" collapsed="false">
      <c r="A111" s="5"/>
      <c r="B111" s="6" t="str">
        <f aca="false">IFERROR(CHOOSE(WEEKDAY(A111),"DOMINGO","SEGUNDA","TERÇA","QUARTA","QUINTA","SEXTA","SÁBADO"),"")</f>
        <v>SÁBADO</v>
      </c>
      <c r="C111" s="7"/>
      <c r="D111" s="7"/>
      <c r="E111" s="8"/>
      <c r="F111" s="8"/>
      <c r="G111" s="9" t="str">
        <f aca="false">IF(E111=0,"",F111/E111)</f>
        <v/>
      </c>
      <c r="H111" s="10" t="str">
        <f aca="false">IF(E111=0,"",E111-F111)</f>
        <v/>
      </c>
      <c r="I111" s="6" t="str">
        <f aca="false">IF(E111=0,"",IF(G111&gt;=1,"Realizado",IF(G111&gt;=0.9,"Parcial","Abaixo da meta")))</f>
        <v/>
      </c>
    </row>
    <row r="112" customFormat="false" ht="15" hidden="false" customHeight="true" outlineLevel="0" collapsed="false">
      <c r="A112" s="5"/>
      <c r="B112" s="6" t="str">
        <f aca="false">IFERROR(CHOOSE(WEEKDAY(A112),"DOMINGO","SEGUNDA","TERÇA","QUARTA","QUINTA","SEXTA","SÁBADO"),"")</f>
        <v>SÁBADO</v>
      </c>
      <c r="C112" s="7"/>
      <c r="D112" s="7"/>
      <c r="E112" s="8"/>
      <c r="F112" s="8"/>
      <c r="G112" s="9" t="str">
        <f aca="false">IF(E112=0,"",F112/E112)</f>
        <v/>
      </c>
      <c r="H112" s="10" t="str">
        <f aca="false">IF(E112=0,"",E112-F112)</f>
        <v/>
      </c>
      <c r="I112" s="6" t="str">
        <f aca="false">IF(E112=0,"",IF(G112&gt;=1,"Realizado",IF(G112&gt;=0.9,"Parcial","Abaixo da meta")))</f>
        <v/>
      </c>
    </row>
    <row r="113" customFormat="false" ht="15" hidden="false" customHeight="true" outlineLevel="0" collapsed="false">
      <c r="A113" s="5"/>
      <c r="B113" s="6" t="str">
        <f aca="false">IFERROR(CHOOSE(WEEKDAY(A113),"DOMINGO","SEGUNDA","TERÇA","QUARTA","QUINTA","SEXTA","SÁBADO"),"")</f>
        <v>SÁBADO</v>
      </c>
      <c r="C113" s="7"/>
      <c r="D113" s="7"/>
      <c r="E113" s="8"/>
      <c r="F113" s="8"/>
      <c r="G113" s="9" t="str">
        <f aca="false">IF(E113=0,"",F113/E113)</f>
        <v/>
      </c>
      <c r="H113" s="10" t="str">
        <f aca="false">IF(E113=0,"",E113-F113)</f>
        <v/>
      </c>
      <c r="I113" s="6" t="str">
        <f aca="false">IF(E113=0,"",IF(G113&gt;=1,"Realizado",IF(G113&gt;=0.9,"Parcial","Abaixo da meta")))</f>
        <v/>
      </c>
    </row>
    <row r="114" customFormat="false" ht="15" hidden="false" customHeight="true" outlineLevel="0" collapsed="false">
      <c r="A114" s="5"/>
      <c r="B114" s="6" t="str">
        <f aca="false">IFERROR(CHOOSE(WEEKDAY(A114),"DOMINGO","SEGUNDA","TERÇA","QUARTA","QUINTA","SEXTA","SÁBADO"),"")</f>
        <v>SÁBADO</v>
      </c>
      <c r="C114" s="7"/>
      <c r="D114" s="7"/>
      <c r="E114" s="8"/>
      <c r="F114" s="8"/>
      <c r="G114" s="9" t="str">
        <f aca="false">IF(E114=0,"",F114/E114)</f>
        <v/>
      </c>
      <c r="H114" s="10" t="str">
        <f aca="false">IF(E114=0,"",E114-F114)</f>
        <v/>
      </c>
      <c r="I114" s="6" t="str">
        <f aca="false">IF(E114=0,"",IF(G114&gt;=1,"Realizado",IF(G114&gt;=0.9,"Parcial","Abaixo da meta")))</f>
        <v/>
      </c>
    </row>
    <row r="115" customFormat="false" ht="15" hidden="false" customHeight="true" outlineLevel="0" collapsed="false">
      <c r="A115" s="5"/>
      <c r="B115" s="6" t="str">
        <f aca="false">IFERROR(CHOOSE(WEEKDAY(A115),"DOMINGO","SEGUNDA","TERÇA","QUARTA","QUINTA","SEXTA","SÁBADO"),"")</f>
        <v>SÁBADO</v>
      </c>
      <c r="C115" s="7"/>
      <c r="D115" s="7"/>
      <c r="E115" s="8"/>
      <c r="F115" s="8"/>
      <c r="G115" s="9" t="str">
        <f aca="false">IF(E115=0,"",F115/E115)</f>
        <v/>
      </c>
      <c r="H115" s="10" t="str">
        <f aca="false">IF(E115=0,"",E115-F115)</f>
        <v/>
      </c>
      <c r="I115" s="6" t="str">
        <f aca="false">IF(E115=0,"",IF(G115&gt;=1,"Realizado",IF(G115&gt;=0.9,"Parcial","Abaixo da meta")))</f>
        <v/>
      </c>
    </row>
    <row r="116" customFormat="false" ht="15" hidden="false" customHeight="true" outlineLevel="0" collapsed="false">
      <c r="A116" s="5"/>
      <c r="B116" s="6" t="str">
        <f aca="false">IFERROR(CHOOSE(WEEKDAY(A116),"DOMINGO","SEGUNDA","TERÇA","QUARTA","QUINTA","SEXTA","SÁBADO"),"")</f>
        <v>SÁBADO</v>
      </c>
      <c r="C116" s="7"/>
      <c r="D116" s="7"/>
      <c r="E116" s="8"/>
      <c r="F116" s="8"/>
      <c r="G116" s="9" t="str">
        <f aca="false">IF(E116=0,"",F116/E116)</f>
        <v/>
      </c>
      <c r="H116" s="10" t="str">
        <f aca="false">IF(E116=0,"",E116-F116)</f>
        <v/>
      </c>
      <c r="I116" s="6" t="str">
        <f aca="false">IF(E116=0,"",IF(G116&gt;=1,"Realizado",IF(G116&gt;=0.9,"Parcial","Abaixo da meta")))</f>
        <v/>
      </c>
    </row>
    <row r="117" customFormat="false" ht="15" hidden="false" customHeight="true" outlineLevel="0" collapsed="false">
      <c r="A117" s="5"/>
      <c r="B117" s="6" t="str">
        <f aca="false">IFERROR(CHOOSE(WEEKDAY(A117),"DOMINGO","SEGUNDA","TERÇA","QUARTA","QUINTA","SEXTA","SÁBADO"),"")</f>
        <v>SÁBADO</v>
      </c>
      <c r="C117" s="7"/>
      <c r="D117" s="7"/>
      <c r="E117" s="8"/>
      <c r="F117" s="8"/>
      <c r="G117" s="9" t="str">
        <f aca="false">IF(E117=0,"",F117/E117)</f>
        <v/>
      </c>
      <c r="H117" s="10" t="str">
        <f aca="false">IF(E117=0,"",E117-F117)</f>
        <v/>
      </c>
      <c r="I117" s="6" t="str">
        <f aca="false">IF(E117=0,"",IF(G117&gt;=1,"Realizado",IF(G117&gt;=0.9,"Parcial","Abaixo da meta")))</f>
        <v/>
      </c>
    </row>
    <row r="118" customFormat="false" ht="15" hidden="false" customHeight="true" outlineLevel="0" collapsed="false">
      <c r="A118" s="5"/>
      <c r="B118" s="6" t="str">
        <f aca="false">IFERROR(CHOOSE(WEEKDAY(A118),"DOMINGO","SEGUNDA","TERÇA","QUARTA","QUINTA","SEXTA","SÁBADO"),"")</f>
        <v>SÁBADO</v>
      </c>
      <c r="C118" s="7"/>
      <c r="D118" s="7"/>
      <c r="E118" s="8"/>
      <c r="F118" s="8"/>
      <c r="G118" s="9" t="str">
        <f aca="false">IF(E118=0,"",F118/E118)</f>
        <v/>
      </c>
      <c r="H118" s="10" t="str">
        <f aca="false">IF(E118=0,"",E118-F118)</f>
        <v/>
      </c>
      <c r="I118" s="6" t="str">
        <f aca="false">IF(E118=0,"",IF(G118&gt;=1,"Realizado",IF(G118&gt;=0.9,"Parcial","Abaixo da meta")))</f>
        <v/>
      </c>
    </row>
    <row r="119" customFormat="false" ht="15" hidden="false" customHeight="true" outlineLevel="0" collapsed="false">
      <c r="A119" s="5"/>
      <c r="B119" s="6" t="str">
        <f aca="false">IFERROR(CHOOSE(WEEKDAY(A119),"DOMINGO","SEGUNDA","TERÇA","QUARTA","QUINTA","SEXTA","SÁBADO"),"")</f>
        <v>SÁBADO</v>
      </c>
      <c r="C119" s="7"/>
      <c r="D119" s="7"/>
      <c r="E119" s="8"/>
      <c r="F119" s="8"/>
      <c r="G119" s="9" t="str">
        <f aca="false">IF(E119=0,"",F119/E119)</f>
        <v/>
      </c>
      <c r="H119" s="10" t="str">
        <f aca="false">IF(E119=0,"",E119-F119)</f>
        <v/>
      </c>
      <c r="I119" s="6" t="str">
        <f aca="false">IF(E119=0,"",IF(G119&gt;=1,"Realizado",IF(G119&gt;=0.9,"Parcial","Abaixo da meta")))</f>
        <v/>
      </c>
    </row>
    <row r="120" customFormat="false" ht="15" hidden="false" customHeight="true" outlineLevel="0" collapsed="false">
      <c r="A120" s="5"/>
      <c r="B120" s="6" t="str">
        <f aca="false">IFERROR(CHOOSE(WEEKDAY(A120),"DOMINGO","SEGUNDA","TERÇA","QUARTA","QUINTA","SEXTA","SÁBADO"),"")</f>
        <v>SÁBADO</v>
      </c>
      <c r="C120" s="7"/>
      <c r="D120" s="7"/>
      <c r="E120" s="8"/>
      <c r="F120" s="8"/>
      <c r="G120" s="9" t="str">
        <f aca="false">IF(E120=0,"",F120/E120)</f>
        <v/>
      </c>
      <c r="H120" s="10" t="str">
        <f aca="false">IF(E120=0,"",E120-F120)</f>
        <v/>
      </c>
      <c r="I120" s="6" t="str">
        <f aca="false">IF(E120=0,"",IF(G120&gt;=1,"Realizado",IF(G120&gt;=0.9,"Parcial","Abaixo da meta")))</f>
        <v/>
      </c>
    </row>
    <row r="121" customFormat="false" ht="15" hidden="false" customHeight="true" outlineLevel="0" collapsed="false">
      <c r="A121" s="5"/>
      <c r="B121" s="6" t="str">
        <f aca="false">IFERROR(CHOOSE(WEEKDAY(A121),"DOMINGO","SEGUNDA","TERÇA","QUARTA","QUINTA","SEXTA","SÁBADO"),"")</f>
        <v>SÁBADO</v>
      </c>
      <c r="C121" s="7"/>
      <c r="D121" s="7"/>
      <c r="E121" s="8"/>
      <c r="F121" s="8"/>
      <c r="G121" s="9" t="str">
        <f aca="false">IF(E121=0,"",F121/E121)</f>
        <v/>
      </c>
      <c r="H121" s="10" t="str">
        <f aca="false">IF(E121=0,"",E121-F121)</f>
        <v/>
      </c>
      <c r="I121" s="6" t="str">
        <f aca="false">IF(E121=0,"",IF(G121&gt;=1,"Realizado",IF(G121&gt;=0.9,"Parcial","Abaixo da meta")))</f>
        <v/>
      </c>
    </row>
    <row r="122" customFormat="false" ht="15" hidden="false" customHeight="true" outlineLevel="0" collapsed="false">
      <c r="A122" s="5"/>
      <c r="B122" s="6" t="str">
        <f aca="false">IFERROR(CHOOSE(WEEKDAY(A122),"DOMINGO","SEGUNDA","TERÇA","QUARTA","QUINTA","SEXTA","SÁBADO"),"")</f>
        <v>SÁBADO</v>
      </c>
      <c r="C122" s="7"/>
      <c r="D122" s="7"/>
      <c r="E122" s="8"/>
      <c r="F122" s="8"/>
      <c r="G122" s="9" t="str">
        <f aca="false">IF(E122=0,"",F122/E122)</f>
        <v/>
      </c>
      <c r="H122" s="10" t="str">
        <f aca="false">IF(E122=0,"",E122-F122)</f>
        <v/>
      </c>
      <c r="I122" s="6" t="str">
        <f aca="false">IF(E122=0,"",IF(G122&gt;=1,"Realizado",IF(G122&gt;=0.9,"Parcial","Abaixo da meta")))</f>
        <v/>
      </c>
    </row>
    <row r="123" customFormat="false" ht="15" hidden="false" customHeight="true" outlineLevel="0" collapsed="false">
      <c r="A123" s="5"/>
      <c r="B123" s="6" t="str">
        <f aca="false">IFERROR(CHOOSE(WEEKDAY(A123),"DOMINGO","SEGUNDA","TERÇA","QUARTA","QUINTA","SEXTA","SÁBADO"),"")</f>
        <v>SÁBADO</v>
      </c>
      <c r="C123" s="7"/>
      <c r="D123" s="7"/>
      <c r="E123" s="8"/>
      <c r="F123" s="8"/>
      <c r="G123" s="9" t="str">
        <f aca="false">IF(E123=0,"",F123/E123)</f>
        <v/>
      </c>
      <c r="H123" s="10" t="str">
        <f aca="false">IF(E123=0,"",E123-F123)</f>
        <v/>
      </c>
      <c r="I123" s="6" t="str">
        <f aca="false">IF(E123=0,"",IF(G123&gt;=1,"Realizado",IF(G123&gt;=0.9,"Parcial","Abaixo da meta")))</f>
        <v/>
      </c>
    </row>
    <row r="124" customFormat="false" ht="15" hidden="false" customHeight="true" outlineLevel="0" collapsed="false">
      <c r="A124" s="5"/>
      <c r="B124" s="6" t="str">
        <f aca="false">IFERROR(CHOOSE(WEEKDAY(A124),"DOMINGO","SEGUNDA","TERÇA","QUARTA","QUINTA","SEXTA","SÁBADO"),"")</f>
        <v>SÁBADO</v>
      </c>
      <c r="C124" s="7"/>
      <c r="D124" s="7"/>
      <c r="E124" s="8"/>
      <c r="F124" s="8"/>
      <c r="G124" s="9" t="str">
        <f aca="false">IF(E124=0,"",F124/E124)</f>
        <v/>
      </c>
      <c r="H124" s="10" t="str">
        <f aca="false">IF(E124=0,"",E124-F124)</f>
        <v/>
      </c>
      <c r="I124" s="6" t="str">
        <f aca="false">IF(E124=0,"",IF(G124&gt;=1,"Realizado",IF(G124&gt;=0.9,"Parcial","Abaixo da meta")))</f>
        <v/>
      </c>
    </row>
    <row r="125" customFormat="false" ht="15" hidden="false" customHeight="true" outlineLevel="0" collapsed="false">
      <c r="A125" s="5"/>
      <c r="B125" s="6" t="str">
        <f aca="false">IFERROR(CHOOSE(WEEKDAY(A125),"DOMINGO","SEGUNDA","TERÇA","QUARTA","QUINTA","SEXTA","SÁBADO"),"")</f>
        <v>SÁBADO</v>
      </c>
      <c r="C125" s="7"/>
      <c r="D125" s="7"/>
      <c r="E125" s="8"/>
      <c r="F125" s="8"/>
      <c r="G125" s="9" t="str">
        <f aca="false">IF(E125=0,"",F125/E125)</f>
        <v/>
      </c>
      <c r="H125" s="10" t="str">
        <f aca="false">IF(E125=0,"",E125-F125)</f>
        <v/>
      </c>
      <c r="I125" s="6" t="str">
        <f aca="false">IF(E125=0,"",IF(G125&gt;=1,"Realizado",IF(G125&gt;=0.9,"Parcial","Abaixo da meta")))</f>
        <v/>
      </c>
    </row>
    <row r="126" customFormat="false" ht="15" hidden="false" customHeight="true" outlineLevel="0" collapsed="false">
      <c r="A126" s="5"/>
      <c r="B126" s="6" t="str">
        <f aca="false">IFERROR(CHOOSE(WEEKDAY(A126),"DOMINGO","SEGUNDA","TERÇA","QUARTA","QUINTA","SEXTA","SÁBADO"),"")</f>
        <v>SÁBADO</v>
      </c>
      <c r="C126" s="7"/>
      <c r="D126" s="7"/>
      <c r="E126" s="8"/>
      <c r="F126" s="8"/>
      <c r="G126" s="9" t="str">
        <f aca="false">IF(E126=0,"",F126/E126)</f>
        <v/>
      </c>
      <c r="H126" s="10" t="str">
        <f aca="false">IF(E126=0,"",E126-F126)</f>
        <v/>
      </c>
      <c r="I126" s="6" t="str">
        <f aca="false">IF(E126=0,"",IF(G126&gt;=1,"Realizado",IF(G126&gt;=0.9,"Parcial","Abaixo da meta")))</f>
        <v/>
      </c>
    </row>
    <row r="127" customFormat="false" ht="15" hidden="false" customHeight="true" outlineLevel="0" collapsed="false">
      <c r="A127" s="5"/>
      <c r="B127" s="6" t="str">
        <f aca="false">IFERROR(CHOOSE(WEEKDAY(A127),"DOMINGO","SEGUNDA","TERÇA","QUARTA","QUINTA","SEXTA","SÁBADO"),"")</f>
        <v>SÁBADO</v>
      </c>
      <c r="C127" s="7"/>
      <c r="D127" s="7"/>
      <c r="E127" s="8"/>
      <c r="F127" s="8"/>
      <c r="G127" s="9" t="str">
        <f aca="false">IF(E127=0,"",F127/E127)</f>
        <v/>
      </c>
      <c r="H127" s="10" t="str">
        <f aca="false">IF(E127=0,"",E127-F127)</f>
        <v/>
      </c>
      <c r="I127" s="6" t="str">
        <f aca="false">IF(E127=0,"",IF(G127&gt;=1,"Realizado",IF(G127&gt;=0.9,"Parcial","Abaixo da meta")))</f>
        <v/>
      </c>
    </row>
    <row r="128" customFormat="false" ht="15" hidden="false" customHeight="true" outlineLevel="0" collapsed="false">
      <c r="A128" s="5"/>
      <c r="B128" s="6" t="str">
        <f aca="false">IFERROR(CHOOSE(WEEKDAY(A128),"DOMINGO","SEGUNDA","TERÇA","QUARTA","QUINTA","SEXTA","SÁBADO"),"")</f>
        <v>SÁBADO</v>
      </c>
      <c r="C128" s="7"/>
      <c r="D128" s="7"/>
      <c r="E128" s="8"/>
      <c r="F128" s="8"/>
      <c r="G128" s="9" t="str">
        <f aca="false">IF(E128=0,"",F128/E128)</f>
        <v/>
      </c>
      <c r="H128" s="10" t="str">
        <f aca="false">IF(E128=0,"",E128-F128)</f>
        <v/>
      </c>
      <c r="I128" s="6" t="str">
        <f aca="false">IF(E128=0,"",IF(G128&gt;=1,"Realizado",IF(G128&gt;=0.9,"Parcial","Abaixo da meta")))</f>
        <v/>
      </c>
    </row>
    <row r="129" customFormat="false" ht="15" hidden="false" customHeight="true" outlineLevel="0" collapsed="false">
      <c r="A129" s="5"/>
      <c r="B129" s="6" t="str">
        <f aca="false">IFERROR(CHOOSE(WEEKDAY(A129),"DOMINGO","SEGUNDA","TERÇA","QUARTA","QUINTA","SEXTA","SÁBADO"),"")</f>
        <v>SÁBADO</v>
      </c>
      <c r="C129" s="7"/>
      <c r="D129" s="7"/>
      <c r="E129" s="8"/>
      <c r="F129" s="8"/>
      <c r="G129" s="9" t="str">
        <f aca="false">IF(E129=0,"",F129/E129)</f>
        <v/>
      </c>
      <c r="H129" s="10" t="str">
        <f aca="false">IF(E129=0,"",E129-F129)</f>
        <v/>
      </c>
      <c r="I129" s="6" t="str">
        <f aca="false">IF(E129=0,"",IF(G129&gt;=1,"Realizado",IF(G129&gt;=0.9,"Parcial","Abaixo da meta")))</f>
        <v/>
      </c>
    </row>
    <row r="130" customFormat="false" ht="15" hidden="false" customHeight="true" outlineLevel="0" collapsed="false">
      <c r="A130" s="5"/>
      <c r="B130" s="6" t="str">
        <f aca="false">IFERROR(CHOOSE(WEEKDAY(A130),"DOMINGO","SEGUNDA","TERÇA","QUARTA","QUINTA","SEXTA","SÁBADO"),"")</f>
        <v>SÁBADO</v>
      </c>
      <c r="C130" s="7"/>
      <c r="D130" s="7"/>
      <c r="E130" s="8"/>
      <c r="F130" s="8"/>
      <c r="G130" s="9" t="str">
        <f aca="false">IF(E130=0,"",F130/E130)</f>
        <v/>
      </c>
      <c r="H130" s="10" t="str">
        <f aca="false">IF(E130=0,"",E130-F130)</f>
        <v/>
      </c>
      <c r="I130" s="6" t="str">
        <f aca="false">IF(E130=0,"",IF(G130&gt;=1,"Realizado",IF(G130&gt;=0.9,"Parcial","Abaixo da meta")))</f>
        <v/>
      </c>
    </row>
    <row r="131" customFormat="false" ht="15" hidden="false" customHeight="true" outlineLevel="0" collapsed="false">
      <c r="A131" s="5"/>
      <c r="B131" s="6" t="str">
        <f aca="false">IFERROR(CHOOSE(WEEKDAY(A131),"DOMINGO","SEGUNDA","TERÇA","QUARTA","QUINTA","SEXTA","SÁBADO"),"")</f>
        <v>SÁBADO</v>
      </c>
      <c r="C131" s="7"/>
      <c r="D131" s="7"/>
      <c r="E131" s="8"/>
      <c r="F131" s="8"/>
      <c r="G131" s="9" t="str">
        <f aca="false">IF(E131=0,"",F131/E131)</f>
        <v/>
      </c>
      <c r="H131" s="10" t="str">
        <f aca="false">IF(E131=0,"",E131-F131)</f>
        <v/>
      </c>
      <c r="I131" s="6" t="str">
        <f aca="false">IF(E131=0,"",IF(G131&gt;=1,"Realizado",IF(G131&gt;=0.9,"Parcial","Abaixo da meta")))</f>
        <v/>
      </c>
    </row>
    <row r="132" customFormat="false" ht="15" hidden="false" customHeight="true" outlineLevel="0" collapsed="false">
      <c r="A132" s="5"/>
      <c r="B132" s="6" t="str">
        <f aca="false">IFERROR(CHOOSE(WEEKDAY(A132),"DOMINGO","SEGUNDA","TERÇA","QUARTA","QUINTA","SEXTA","SÁBADO"),"")</f>
        <v>SÁBADO</v>
      </c>
      <c r="C132" s="7"/>
      <c r="D132" s="7"/>
      <c r="E132" s="8"/>
      <c r="F132" s="8"/>
      <c r="G132" s="9" t="str">
        <f aca="false">IF(E132=0,"",F132/E132)</f>
        <v/>
      </c>
      <c r="H132" s="10" t="str">
        <f aca="false">IF(E132=0,"",E132-F132)</f>
        <v/>
      </c>
      <c r="I132" s="6" t="str">
        <f aca="false">IF(E132=0,"",IF(G132&gt;=1,"Realizado",IF(G132&gt;=0.9,"Parcial","Abaixo da meta")))</f>
        <v/>
      </c>
    </row>
    <row r="133" customFormat="false" ht="15" hidden="false" customHeight="true" outlineLevel="0" collapsed="false">
      <c r="A133" s="5"/>
      <c r="B133" s="6" t="str">
        <f aca="false">IFERROR(CHOOSE(WEEKDAY(A133),"DOMINGO","SEGUNDA","TERÇA","QUARTA","QUINTA","SEXTA","SÁBADO"),"")</f>
        <v>SÁBADO</v>
      </c>
      <c r="C133" s="7"/>
      <c r="D133" s="7"/>
      <c r="E133" s="8"/>
      <c r="F133" s="8"/>
      <c r="G133" s="9" t="str">
        <f aca="false">IF(E133=0,"",F133/E133)</f>
        <v/>
      </c>
      <c r="H133" s="10" t="str">
        <f aca="false">IF(E133=0,"",E133-F133)</f>
        <v/>
      </c>
      <c r="I133" s="6" t="str">
        <f aca="false">IF(E133=0,"",IF(G133&gt;=1,"Realizado",IF(G133&gt;=0.9,"Parcial","Abaixo da meta")))</f>
        <v/>
      </c>
    </row>
    <row r="134" customFormat="false" ht="15" hidden="false" customHeight="true" outlineLevel="0" collapsed="false">
      <c r="A134" s="5"/>
      <c r="B134" s="6" t="str">
        <f aca="false">IFERROR(CHOOSE(WEEKDAY(A134),"DOMINGO","SEGUNDA","TERÇA","QUARTA","QUINTA","SEXTA","SÁBADO"),"")</f>
        <v>SÁBADO</v>
      </c>
      <c r="C134" s="7"/>
      <c r="D134" s="7"/>
      <c r="E134" s="8"/>
      <c r="F134" s="8"/>
      <c r="G134" s="9" t="str">
        <f aca="false">IF(E134=0,"",F134/E134)</f>
        <v/>
      </c>
      <c r="H134" s="10" t="str">
        <f aca="false">IF(E134=0,"",E134-F134)</f>
        <v/>
      </c>
      <c r="I134" s="6" t="str">
        <f aca="false">IF(E134=0,"",IF(G134&gt;=1,"Realizado",IF(G134&gt;=0.9,"Parcial","Abaixo da meta")))</f>
        <v/>
      </c>
    </row>
    <row r="135" customFormat="false" ht="15" hidden="false" customHeight="true" outlineLevel="0" collapsed="false">
      <c r="A135" s="5"/>
      <c r="B135" s="6" t="str">
        <f aca="false">IFERROR(CHOOSE(WEEKDAY(A135),"DOMINGO","SEGUNDA","TERÇA","QUARTA","QUINTA","SEXTA","SÁBADO"),"")</f>
        <v>SÁBADO</v>
      </c>
      <c r="C135" s="7"/>
      <c r="D135" s="7"/>
      <c r="E135" s="8"/>
      <c r="F135" s="8"/>
      <c r="G135" s="9" t="str">
        <f aca="false">IF(E135=0,"",F135/E135)</f>
        <v/>
      </c>
      <c r="H135" s="10" t="str">
        <f aca="false">IF(E135=0,"",E135-F135)</f>
        <v/>
      </c>
      <c r="I135" s="6" t="str">
        <f aca="false">IF(E135=0,"",IF(G135&gt;=1,"Realizado",IF(G135&gt;=0.9,"Parcial","Abaixo da meta")))</f>
        <v/>
      </c>
    </row>
    <row r="136" customFormat="false" ht="15" hidden="false" customHeight="true" outlineLevel="0" collapsed="false">
      <c r="A136" s="5"/>
      <c r="B136" s="6" t="str">
        <f aca="false">IFERROR(CHOOSE(WEEKDAY(A136),"DOMINGO","SEGUNDA","TERÇA","QUARTA","QUINTA","SEXTA","SÁBADO"),"")</f>
        <v>SÁBADO</v>
      </c>
      <c r="C136" s="7"/>
      <c r="D136" s="7"/>
      <c r="E136" s="8"/>
      <c r="F136" s="8"/>
      <c r="G136" s="9" t="str">
        <f aca="false">IF(E136=0,"",F136/E136)</f>
        <v/>
      </c>
      <c r="H136" s="10" t="str">
        <f aca="false">IF(E136=0,"",E136-F136)</f>
        <v/>
      </c>
      <c r="I136" s="6" t="str">
        <f aca="false">IF(E136=0,"",IF(G136&gt;=1,"Realizado",IF(G136&gt;=0.9,"Parcial","Abaixo da meta")))</f>
        <v/>
      </c>
    </row>
    <row r="137" customFormat="false" ht="15" hidden="false" customHeight="true" outlineLevel="0" collapsed="false">
      <c r="A137" s="5"/>
      <c r="B137" s="6" t="str">
        <f aca="false">IFERROR(CHOOSE(WEEKDAY(A137),"DOMINGO","SEGUNDA","TERÇA","QUARTA","QUINTA","SEXTA","SÁBADO"),"")</f>
        <v>SÁBADO</v>
      </c>
      <c r="C137" s="7"/>
      <c r="D137" s="7"/>
      <c r="E137" s="8"/>
      <c r="F137" s="8"/>
      <c r="G137" s="9" t="str">
        <f aca="false">IF(E137=0,"",F137/E137)</f>
        <v/>
      </c>
      <c r="H137" s="10" t="str">
        <f aca="false">IF(E137=0,"",E137-F137)</f>
        <v/>
      </c>
      <c r="I137" s="6" t="str">
        <f aca="false">IF(E137=0,"",IF(G137&gt;=1,"Realizado",IF(G137&gt;=0.9,"Parcial","Abaixo da meta")))</f>
        <v/>
      </c>
    </row>
    <row r="138" customFormat="false" ht="15" hidden="false" customHeight="true" outlineLevel="0" collapsed="false">
      <c r="A138" s="5"/>
      <c r="B138" s="6" t="str">
        <f aca="false">IFERROR(CHOOSE(WEEKDAY(A138),"DOMINGO","SEGUNDA","TERÇA","QUARTA","QUINTA","SEXTA","SÁBADO"),"")</f>
        <v>SÁBADO</v>
      </c>
      <c r="C138" s="7"/>
      <c r="D138" s="7"/>
      <c r="E138" s="8"/>
      <c r="F138" s="8"/>
      <c r="G138" s="9" t="str">
        <f aca="false">IF(E138=0,"",F138/E138)</f>
        <v/>
      </c>
      <c r="H138" s="10" t="str">
        <f aca="false">IF(E138=0,"",E138-F138)</f>
        <v/>
      </c>
      <c r="I138" s="6" t="str">
        <f aca="false">IF(E138=0,"",IF(G138&gt;=1,"Realizado",IF(G138&gt;=0.9,"Parcial","Abaixo da meta")))</f>
        <v/>
      </c>
    </row>
    <row r="139" customFormat="false" ht="15" hidden="false" customHeight="true" outlineLevel="0" collapsed="false">
      <c r="A139" s="5"/>
      <c r="B139" s="6" t="str">
        <f aca="false">IFERROR(CHOOSE(WEEKDAY(A139),"DOMINGO","SEGUNDA","TERÇA","QUARTA","QUINTA","SEXTA","SÁBADO"),"")</f>
        <v>SÁBADO</v>
      </c>
      <c r="C139" s="7"/>
      <c r="D139" s="7"/>
      <c r="E139" s="8"/>
      <c r="F139" s="8"/>
      <c r="G139" s="9" t="str">
        <f aca="false">IF(E139=0,"",F139/E139)</f>
        <v/>
      </c>
      <c r="H139" s="10" t="str">
        <f aca="false">IF(E139=0,"",E139-F139)</f>
        <v/>
      </c>
      <c r="I139" s="6" t="str">
        <f aca="false">IF(E139=0,"",IF(G139&gt;=1,"Realizado",IF(G139&gt;=0.9,"Parcial","Abaixo da meta")))</f>
        <v/>
      </c>
    </row>
    <row r="140" customFormat="false" ht="15" hidden="false" customHeight="true" outlineLevel="0" collapsed="false">
      <c r="A140" s="5"/>
      <c r="B140" s="6" t="str">
        <f aca="false">IFERROR(CHOOSE(WEEKDAY(A140),"DOMINGO","SEGUNDA","TERÇA","QUARTA","QUINTA","SEXTA","SÁBADO"),"")</f>
        <v>SÁBADO</v>
      </c>
      <c r="C140" s="7"/>
      <c r="D140" s="7"/>
      <c r="E140" s="8"/>
      <c r="F140" s="8"/>
      <c r="G140" s="9" t="str">
        <f aca="false">IF(E140=0,"",F140/E140)</f>
        <v/>
      </c>
      <c r="H140" s="10" t="str">
        <f aca="false">IF(E140=0,"",E140-F140)</f>
        <v/>
      </c>
      <c r="I140" s="6" t="str">
        <f aca="false">IF(E140=0,"",IF(G140&gt;=1,"Realizado",IF(G140&gt;=0.9,"Parcial","Abaixo da meta")))</f>
        <v/>
      </c>
    </row>
    <row r="141" customFormat="false" ht="15" hidden="false" customHeight="true" outlineLevel="0" collapsed="false">
      <c r="A141" s="5"/>
      <c r="B141" s="6" t="str">
        <f aca="false">IFERROR(CHOOSE(WEEKDAY(A141),"DOMINGO","SEGUNDA","TERÇA","QUARTA","QUINTA","SEXTA","SÁBADO"),"")</f>
        <v>SÁBADO</v>
      </c>
      <c r="C141" s="7"/>
      <c r="D141" s="7"/>
      <c r="E141" s="8"/>
      <c r="F141" s="8"/>
      <c r="G141" s="9" t="str">
        <f aca="false">IF(E141=0,"",F141/E141)</f>
        <v/>
      </c>
      <c r="H141" s="10" t="str">
        <f aca="false">IF(E141=0,"",E141-F141)</f>
        <v/>
      </c>
      <c r="I141" s="6" t="str">
        <f aca="false">IF(E141=0,"",IF(G141&gt;=1,"Realizado",IF(G141&gt;=0.9,"Parcial","Abaixo da meta")))</f>
        <v/>
      </c>
    </row>
    <row r="142" customFormat="false" ht="15" hidden="false" customHeight="true" outlineLevel="0" collapsed="false">
      <c r="A142" s="5"/>
      <c r="B142" s="6" t="str">
        <f aca="false">IFERROR(CHOOSE(WEEKDAY(A142),"DOMINGO","SEGUNDA","TERÇA","QUARTA","QUINTA","SEXTA","SÁBADO"),"")</f>
        <v>SÁBADO</v>
      </c>
      <c r="C142" s="7"/>
      <c r="D142" s="7"/>
      <c r="E142" s="8"/>
      <c r="F142" s="8"/>
      <c r="G142" s="9" t="str">
        <f aca="false">IF(E142=0,"",F142/E142)</f>
        <v/>
      </c>
      <c r="H142" s="10" t="str">
        <f aca="false">IF(E142=0,"",E142-F142)</f>
        <v/>
      </c>
      <c r="I142" s="6" t="str">
        <f aca="false">IF(E142=0,"",IF(G142&gt;=1,"Realizado",IF(G142&gt;=0.9,"Parcial","Abaixo da meta")))</f>
        <v/>
      </c>
    </row>
    <row r="143" customFormat="false" ht="15" hidden="false" customHeight="true" outlineLevel="0" collapsed="false">
      <c r="A143" s="5"/>
      <c r="B143" s="6" t="str">
        <f aca="false">IFERROR(CHOOSE(WEEKDAY(A143),"DOMINGO","SEGUNDA","TERÇA","QUARTA","QUINTA","SEXTA","SÁBADO"),"")</f>
        <v>SÁBADO</v>
      </c>
      <c r="C143" s="7"/>
      <c r="D143" s="7"/>
      <c r="E143" s="8"/>
      <c r="F143" s="8"/>
      <c r="G143" s="9" t="str">
        <f aca="false">IF(E143=0,"",F143/E143)</f>
        <v/>
      </c>
      <c r="H143" s="10" t="str">
        <f aca="false">IF(E143=0,"",E143-F143)</f>
        <v/>
      </c>
      <c r="I143" s="6" t="str">
        <f aca="false">IF(E143=0,"",IF(G143&gt;=1,"Realizado",IF(G143&gt;=0.9,"Parcial","Abaixo da meta")))</f>
        <v/>
      </c>
    </row>
    <row r="144" customFormat="false" ht="15" hidden="false" customHeight="true" outlineLevel="0" collapsed="false">
      <c r="A144" s="5"/>
      <c r="B144" s="6" t="str">
        <f aca="false">IFERROR(CHOOSE(WEEKDAY(A144),"DOMINGO","SEGUNDA","TERÇA","QUARTA","QUINTA","SEXTA","SÁBADO"),"")</f>
        <v>SÁBADO</v>
      </c>
      <c r="C144" s="7"/>
      <c r="D144" s="7"/>
      <c r="E144" s="8"/>
      <c r="F144" s="8"/>
      <c r="G144" s="9" t="str">
        <f aca="false">IF(E144=0,"",F144/E144)</f>
        <v/>
      </c>
      <c r="H144" s="10" t="str">
        <f aca="false">IF(E144=0,"",E144-F144)</f>
        <v/>
      </c>
      <c r="I144" s="6" t="str">
        <f aca="false">IF(E144=0,"",IF(G144&gt;=1,"Realizado",IF(G144&gt;=0.9,"Parcial","Abaixo da meta")))</f>
        <v/>
      </c>
    </row>
    <row r="145" customFormat="false" ht="15" hidden="false" customHeight="true" outlineLevel="0" collapsed="false">
      <c r="A145" s="5"/>
      <c r="B145" s="6" t="str">
        <f aca="false">IFERROR(CHOOSE(WEEKDAY(A145),"DOMINGO","SEGUNDA","TERÇA","QUARTA","QUINTA","SEXTA","SÁBADO"),"")</f>
        <v>SÁBADO</v>
      </c>
      <c r="C145" s="7"/>
      <c r="D145" s="7"/>
      <c r="E145" s="8"/>
      <c r="F145" s="8"/>
      <c r="G145" s="9" t="str">
        <f aca="false">IF(E145=0,"",F145/E145)</f>
        <v/>
      </c>
      <c r="H145" s="10" t="str">
        <f aca="false">IF(E145=0,"",E145-F145)</f>
        <v/>
      </c>
      <c r="I145" s="6" t="str">
        <f aca="false">IF(E145=0,"",IF(G145&gt;=1,"Realizado",IF(G145&gt;=0.9,"Parcial","Abaixo da meta")))</f>
        <v/>
      </c>
    </row>
    <row r="146" customFormat="false" ht="15" hidden="false" customHeight="true" outlineLevel="0" collapsed="false">
      <c r="A146" s="5"/>
      <c r="B146" s="6" t="str">
        <f aca="false">IFERROR(CHOOSE(WEEKDAY(A146),"DOMINGO","SEGUNDA","TERÇA","QUARTA","QUINTA","SEXTA","SÁBADO"),"")</f>
        <v>SÁBADO</v>
      </c>
      <c r="C146" s="7"/>
      <c r="D146" s="7"/>
      <c r="E146" s="8"/>
      <c r="F146" s="8"/>
      <c r="G146" s="9" t="str">
        <f aca="false">IF(E146=0,"",F146/E146)</f>
        <v/>
      </c>
      <c r="H146" s="10" t="str">
        <f aca="false">IF(E146=0,"",E146-F146)</f>
        <v/>
      </c>
      <c r="I146" s="6" t="str">
        <f aca="false">IF(E146=0,"",IF(G146&gt;=1,"Realizado",IF(G146&gt;=0.9,"Parcial","Abaixo da meta")))</f>
        <v/>
      </c>
    </row>
    <row r="147" customFormat="false" ht="15" hidden="false" customHeight="true" outlineLevel="0" collapsed="false">
      <c r="A147" s="5"/>
      <c r="B147" s="6" t="str">
        <f aca="false">IFERROR(CHOOSE(WEEKDAY(A147),"DOMINGO","SEGUNDA","TERÇA","QUARTA","QUINTA","SEXTA","SÁBADO"),"")</f>
        <v>SÁBADO</v>
      </c>
      <c r="C147" s="7"/>
      <c r="D147" s="7"/>
      <c r="E147" s="8"/>
      <c r="F147" s="8"/>
      <c r="G147" s="9" t="str">
        <f aca="false">IF(E147=0,"",F147/E147)</f>
        <v/>
      </c>
      <c r="H147" s="10" t="str">
        <f aca="false">IF(E147=0,"",E147-F147)</f>
        <v/>
      </c>
      <c r="I147" s="6" t="str">
        <f aca="false">IF(E147=0,"",IF(G147&gt;=1,"Realizado",IF(G147&gt;=0.9,"Parcial","Abaixo da meta")))</f>
        <v/>
      </c>
    </row>
    <row r="148" customFormat="false" ht="15" hidden="false" customHeight="true" outlineLevel="0" collapsed="false">
      <c r="A148" s="5"/>
      <c r="B148" s="6" t="str">
        <f aca="false">IFERROR(CHOOSE(WEEKDAY(A148),"DOMINGO","SEGUNDA","TERÇA","QUARTA","QUINTA","SEXTA","SÁBADO"),"")</f>
        <v>SÁBADO</v>
      </c>
      <c r="C148" s="7"/>
      <c r="D148" s="7"/>
      <c r="E148" s="8"/>
      <c r="F148" s="8"/>
      <c r="G148" s="9" t="str">
        <f aca="false">IF(E148=0,"",F148/E148)</f>
        <v/>
      </c>
      <c r="H148" s="10" t="str">
        <f aca="false">IF(E148=0,"",E148-F148)</f>
        <v/>
      </c>
      <c r="I148" s="6" t="str">
        <f aca="false">IF(E148=0,"",IF(G148&gt;=1,"Realizado",IF(G148&gt;=0.9,"Parcial","Abaixo da meta")))</f>
        <v/>
      </c>
    </row>
    <row r="149" customFormat="false" ht="15" hidden="false" customHeight="true" outlineLevel="0" collapsed="false">
      <c r="A149" s="5"/>
      <c r="B149" s="6" t="str">
        <f aca="false">IFERROR(CHOOSE(WEEKDAY(A149),"DOMINGO","SEGUNDA","TERÇA","QUARTA","QUINTA","SEXTA","SÁBADO"),"")</f>
        <v>SÁBADO</v>
      </c>
      <c r="C149" s="7"/>
      <c r="D149" s="7"/>
      <c r="E149" s="8"/>
      <c r="F149" s="8"/>
      <c r="G149" s="9" t="str">
        <f aca="false">IF(E149=0,"",F149/E149)</f>
        <v/>
      </c>
      <c r="H149" s="10" t="str">
        <f aca="false">IF(E149=0,"",E149-F149)</f>
        <v/>
      </c>
      <c r="I149" s="6" t="str">
        <f aca="false">IF(E149=0,"",IF(G149&gt;=1,"Realizado",IF(G149&gt;=0.9,"Parcial","Abaixo da meta")))</f>
        <v/>
      </c>
    </row>
    <row r="150" customFormat="false" ht="15" hidden="false" customHeight="true" outlineLevel="0" collapsed="false">
      <c r="A150" s="5"/>
      <c r="B150" s="6" t="str">
        <f aca="false">IFERROR(CHOOSE(WEEKDAY(A150),"DOMINGO","SEGUNDA","TERÇA","QUARTA","QUINTA","SEXTA","SÁBADO"),"")</f>
        <v>SÁBADO</v>
      </c>
      <c r="C150" s="7"/>
      <c r="D150" s="7"/>
      <c r="E150" s="8"/>
      <c r="F150" s="8"/>
      <c r="G150" s="9" t="str">
        <f aca="false">IF(E150=0,"",F150/E150)</f>
        <v/>
      </c>
      <c r="H150" s="10" t="str">
        <f aca="false">IF(E150=0,"",E150-F150)</f>
        <v/>
      </c>
      <c r="I150" s="6" t="str">
        <f aca="false">IF(E150=0,"",IF(G150&gt;=1,"Realizado",IF(G150&gt;=0.9,"Parcial","Abaixo da meta")))</f>
        <v/>
      </c>
    </row>
    <row r="151" customFormat="false" ht="15" hidden="false" customHeight="true" outlineLevel="0" collapsed="false">
      <c r="A151" s="5"/>
      <c r="B151" s="6" t="str">
        <f aca="false">IFERROR(CHOOSE(WEEKDAY(A151),"DOMINGO","SEGUNDA","TERÇA","QUARTA","QUINTA","SEXTA","SÁBADO"),"")</f>
        <v>SÁBADO</v>
      </c>
      <c r="C151" s="7"/>
      <c r="D151" s="7"/>
      <c r="E151" s="8"/>
      <c r="F151" s="8"/>
      <c r="G151" s="9" t="str">
        <f aca="false">IF(E151=0,"",F151/E151)</f>
        <v/>
      </c>
      <c r="H151" s="10" t="str">
        <f aca="false">IF(E151=0,"",E151-F151)</f>
        <v/>
      </c>
      <c r="I151" s="6" t="str">
        <f aca="false">IF(E151=0,"",IF(G151&gt;=1,"Realizado",IF(G151&gt;=0.9,"Parcial","Abaixo da meta")))</f>
        <v/>
      </c>
    </row>
    <row r="152" customFormat="false" ht="15" hidden="false" customHeight="true" outlineLevel="0" collapsed="false">
      <c r="A152" s="5"/>
      <c r="B152" s="6" t="str">
        <f aca="false">IFERROR(CHOOSE(WEEKDAY(A152),"DOMINGO","SEGUNDA","TERÇA","QUARTA","QUINTA","SEXTA","SÁBADO"),"")</f>
        <v>SÁBADO</v>
      </c>
      <c r="C152" s="7"/>
      <c r="D152" s="7"/>
      <c r="E152" s="8"/>
      <c r="F152" s="8"/>
      <c r="G152" s="9" t="str">
        <f aca="false">IF(E152=0,"",F152/E152)</f>
        <v/>
      </c>
      <c r="H152" s="10" t="str">
        <f aca="false">IF(E152=0,"",E152-F152)</f>
        <v/>
      </c>
      <c r="I152" s="6" t="str">
        <f aca="false">IF(E152=0,"",IF(G152&gt;=1,"Realizado",IF(G152&gt;=0.9,"Parcial","Abaixo da meta")))</f>
        <v/>
      </c>
    </row>
    <row r="153" customFormat="false" ht="15" hidden="false" customHeight="true" outlineLevel="0" collapsed="false">
      <c r="A153" s="5"/>
      <c r="B153" s="6" t="str">
        <f aca="false">IFERROR(CHOOSE(WEEKDAY(A153),"DOMINGO","SEGUNDA","TERÇA","QUARTA","QUINTA","SEXTA","SÁBADO"),"")</f>
        <v>SÁBADO</v>
      </c>
      <c r="C153" s="7"/>
      <c r="D153" s="7"/>
      <c r="E153" s="8"/>
      <c r="F153" s="8"/>
      <c r="G153" s="9" t="str">
        <f aca="false">IF(E153=0,"",F153/E153)</f>
        <v/>
      </c>
      <c r="H153" s="10" t="str">
        <f aca="false">IF(E153=0,"",E153-F153)</f>
        <v/>
      </c>
      <c r="I153" s="6" t="str">
        <f aca="false">IF(E153=0,"",IF(G153&gt;=1,"Realizado",IF(G153&gt;=0.9,"Parcial","Abaixo da meta")))</f>
        <v/>
      </c>
    </row>
    <row r="154" customFormat="false" ht="15" hidden="false" customHeight="true" outlineLevel="0" collapsed="false">
      <c r="A154" s="5"/>
      <c r="B154" s="6" t="str">
        <f aca="false">IFERROR(CHOOSE(WEEKDAY(A154),"DOMINGO","SEGUNDA","TERÇA","QUARTA","QUINTA","SEXTA","SÁBADO"),"")</f>
        <v>SÁBADO</v>
      </c>
      <c r="C154" s="7"/>
      <c r="D154" s="7"/>
      <c r="E154" s="8"/>
      <c r="F154" s="8"/>
      <c r="G154" s="9" t="str">
        <f aca="false">IF(E154=0,"",F154/E154)</f>
        <v/>
      </c>
      <c r="H154" s="10" t="str">
        <f aca="false">IF(E154=0,"",E154-F154)</f>
        <v/>
      </c>
      <c r="I154" s="6" t="str">
        <f aca="false">IF(E154=0,"",IF(G154&gt;=1,"Realizado",IF(G154&gt;=0.9,"Parcial","Abaixo da meta")))</f>
        <v/>
      </c>
    </row>
    <row r="155" customFormat="false" ht="15" hidden="false" customHeight="true" outlineLevel="0" collapsed="false">
      <c r="A155" s="5"/>
      <c r="B155" s="6" t="str">
        <f aca="false">IFERROR(CHOOSE(WEEKDAY(A155),"DOMINGO","SEGUNDA","TERÇA","QUARTA","QUINTA","SEXTA","SÁBADO"),"")</f>
        <v>SÁBADO</v>
      </c>
      <c r="C155" s="7"/>
      <c r="D155" s="7"/>
      <c r="E155" s="8"/>
      <c r="F155" s="8"/>
      <c r="G155" s="9" t="str">
        <f aca="false">IF(E155=0,"",F155/E155)</f>
        <v/>
      </c>
      <c r="H155" s="10" t="str">
        <f aca="false">IF(E155=0,"",E155-F155)</f>
        <v/>
      </c>
      <c r="I155" s="6" t="str">
        <f aca="false">IF(E155=0,"",IF(G155&gt;=1,"Realizado",IF(G155&gt;=0.9,"Parcial","Abaixo da meta")))</f>
        <v/>
      </c>
    </row>
  </sheetData>
  <mergeCells count="2">
    <mergeCell ref="A1:I1"/>
    <mergeCell ref="A2:I2"/>
  </mergeCells>
  <conditionalFormatting sqref="G5:G155">
    <cfRule type="cellIs" priority="2" operator="lessThan" aboveAverage="0" equalAverage="0" bottom="0" percent="0" rank="0" text="" dxfId="0">
      <formula>0.9</formula>
    </cfRule>
    <cfRule type="cellIs" priority="3" operator="between" aboveAverage="0" equalAverage="0" bottom="0" percent="0" rank="0" text="" dxfId="1">
      <formula>0.9</formula>
      <formula>0.999</formula>
    </cfRule>
    <cfRule type="cellIs" priority="4" operator="greaterThanOrEqual" aboveAverage="0" equalAverage="0" bottom="0" percent="0" rank="0" text="" dxfId="2">
      <formula>1</formula>
    </cfRule>
  </conditionalFormatting>
  <conditionalFormatting sqref="I5:I155">
    <cfRule type="expression" priority="5" aboveAverage="0" equalAverage="0" bottom="0" percent="0" rank="0" text="" dxfId="0">
      <formula>$I5="Abaixo da meta"</formula>
    </cfRule>
  </conditionalFormatting>
  <dataValidations count="2">
    <dataValidation allowBlank="true" errorStyle="stop" operator="between" showDropDown="false" showErrorMessage="false" showInputMessage="false" sqref="C5:C155" type="list">
      <formula1>"A,B,C,D"</formula1>
      <formula2>0</formula2>
    </dataValidation>
    <dataValidation allowBlank="true" errorStyle="stop" operator="between" showDropDown="false" showErrorMessage="false" showInputMessage="false" sqref="D5:D155" type="list">
      <formula1>"SMART LOG,RJ,SUL,SP,MG,NORDESTE"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30"/>
    <col collapsed="false" customWidth="true" hidden="false" outlineLevel="0" max="6" min="5" style="1" width="4"/>
  </cols>
  <sheetData>
    <row r="1" customFormat="false" ht="19.5" hidden="false" customHeight="true" outlineLevel="0" collapsed="false">
      <c r="A1" s="2" t="s">
        <v>17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18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1" t="s">
        <v>19</v>
      </c>
    </row>
    <row r="5" customFormat="false" ht="15" hidden="false" customHeight="true" outlineLevel="0" collapsed="false">
      <c r="A5" s="12" t="s">
        <v>6</v>
      </c>
      <c r="B5" s="13" t="n">
        <f aca="false">SUM(Lançamentos!$E$5:$E$155)</f>
        <v>159140</v>
      </c>
    </row>
    <row r="6" customFormat="false" ht="15" hidden="false" customHeight="true" outlineLevel="0" collapsed="false">
      <c r="A6" s="12" t="s">
        <v>7</v>
      </c>
      <c r="B6" s="13" t="n">
        <f aca="false">SUM(Lançamentos!$F$5:$F$155)</f>
        <v>156140</v>
      </c>
    </row>
    <row r="7" customFormat="false" ht="15" hidden="false" customHeight="true" outlineLevel="0" collapsed="false">
      <c r="A7" s="12" t="s">
        <v>9</v>
      </c>
      <c r="B7" s="13" t="n">
        <f aca="false">B5-B6</f>
        <v>3000</v>
      </c>
    </row>
    <row r="8" customFormat="false" ht="15" hidden="false" customHeight="true" outlineLevel="0" collapsed="false">
      <c r="A8" s="12" t="s">
        <v>20</v>
      </c>
      <c r="B8" s="14" t="n">
        <f aca="false">IF(B5=0,"",B6/B5)</f>
        <v>0.981148674123413</v>
      </c>
    </row>
    <row r="10" customFormat="false" ht="15" hidden="false" customHeight="true" outlineLevel="0" collapsed="false">
      <c r="A10" s="11" t="s">
        <v>21</v>
      </c>
    </row>
    <row r="11" customFormat="false" ht="15" hidden="false" customHeight="true" outlineLevel="0" collapsed="false">
      <c r="A11" s="15" t="s">
        <v>5</v>
      </c>
      <c r="B11" s="15" t="s">
        <v>22</v>
      </c>
      <c r="C11" s="15" t="s">
        <v>23</v>
      </c>
      <c r="D11" s="15" t="s">
        <v>8</v>
      </c>
    </row>
    <row r="12" customFormat="false" ht="15" hidden="false" customHeight="true" outlineLevel="0" collapsed="false">
      <c r="A12" s="6" t="s">
        <v>12</v>
      </c>
      <c r="B12" s="16" t="n">
        <f aca="false">SUMIFS(Lançamentos!$E$5:$E$155,Lançamentos!$D$5:$D$155,A12)</f>
        <v>91059</v>
      </c>
      <c r="C12" s="16" t="n">
        <f aca="false">SUMIFS(Lançamentos!$F$5:$F$155,Lançamentos!$D$5:$D$155,A12)</f>
        <v>91059</v>
      </c>
      <c r="D12" s="17" t="n">
        <f aca="false">IF(B12=0,"",C12/B12)</f>
        <v>1</v>
      </c>
    </row>
    <row r="13" customFormat="false" ht="15" hidden="false" customHeight="true" outlineLevel="0" collapsed="false">
      <c r="A13" s="6" t="s">
        <v>14</v>
      </c>
      <c r="B13" s="16" t="n">
        <f aca="false">SUMIFS(Lançamentos!$E$5:$E$155,Lançamentos!$D$5:$D$155,A13)</f>
        <v>24960</v>
      </c>
      <c r="C13" s="16" t="n">
        <f aca="false">SUMIFS(Lançamentos!$F$5:$F$155,Lançamentos!$D$5:$D$155,A13)</f>
        <v>24960</v>
      </c>
      <c r="D13" s="17" t="n">
        <f aca="false">IF(B13=0,"",C13/B13)</f>
        <v>1</v>
      </c>
    </row>
    <row r="14" customFormat="false" ht="15" hidden="false" customHeight="true" outlineLevel="0" collapsed="false">
      <c r="A14" s="6" t="s">
        <v>15</v>
      </c>
      <c r="B14" s="16" t="n">
        <f aca="false">SUMIFS(Lançamentos!$E$5:$E$155,Lançamentos!$D$5:$D$155,A14)</f>
        <v>43121</v>
      </c>
      <c r="C14" s="16" t="n">
        <f aca="false">SUMIFS(Lançamentos!$F$5:$F$155,Lançamentos!$D$5:$D$155,A14)</f>
        <v>40121</v>
      </c>
      <c r="D14" s="17" t="n">
        <f aca="false">IF(B14=0,"",C14/B14)</f>
        <v>0.930428329584193</v>
      </c>
    </row>
    <row r="15" customFormat="false" ht="15" hidden="false" customHeight="true" outlineLevel="0" collapsed="false">
      <c r="A15" s="6" t="s">
        <v>24</v>
      </c>
      <c r="B15" s="16" t="n">
        <f aca="false">SUMIFS(Lançamentos!$E$5:$E$155,Lançamentos!$D$5:$D$155,A15)</f>
        <v>0</v>
      </c>
      <c r="C15" s="16" t="n">
        <f aca="false">SUMIFS(Lançamentos!$F$5:$F$155,Lançamentos!$D$5:$D$155,A15)</f>
        <v>0</v>
      </c>
      <c r="D15" s="17" t="str">
        <f aca="false">IF(B15=0,"",C15/B15)</f>
        <v/>
      </c>
    </row>
    <row r="16" customFormat="false" ht="15" hidden="false" customHeight="true" outlineLevel="0" collapsed="false">
      <c r="A16" s="6" t="s">
        <v>25</v>
      </c>
      <c r="B16" s="16" t="n">
        <f aca="false">SUMIFS(Lançamentos!$E$5:$E$155,Lançamentos!$D$5:$D$155,A16)</f>
        <v>0</v>
      </c>
      <c r="C16" s="16" t="n">
        <f aca="false">SUMIFS(Lançamentos!$F$5:$F$155,Lançamentos!$D$5:$D$155,A16)</f>
        <v>0</v>
      </c>
      <c r="D16" s="17" t="str">
        <f aca="false">IF(B16=0,"",C16/B16)</f>
        <v/>
      </c>
    </row>
    <row r="17" customFormat="false" ht="15" hidden="false" customHeight="true" outlineLevel="0" collapsed="false">
      <c r="A17" s="6" t="s">
        <v>26</v>
      </c>
      <c r="B17" s="16" t="n">
        <f aca="false">SUMIFS(Lançamentos!$E$5:$E$155,Lançamentos!$D$5:$D$155,A17)</f>
        <v>0</v>
      </c>
      <c r="C17" s="16" t="n">
        <f aca="false">SUMIFS(Lançamentos!$F$5:$F$155,Lançamentos!$D$5:$D$155,A17)</f>
        <v>0</v>
      </c>
      <c r="D17" s="17" t="str">
        <f aca="false">IF(B17=0,"",C17/B17)</f>
        <v/>
      </c>
    </row>
    <row r="19" customFormat="false" ht="15" hidden="false" customHeight="true" outlineLevel="0" collapsed="false">
      <c r="A19" s="11" t="s">
        <v>27</v>
      </c>
    </row>
    <row r="20" customFormat="false" ht="15" hidden="false" customHeight="true" outlineLevel="0" collapsed="false">
      <c r="A20" s="15" t="s">
        <v>4</v>
      </c>
      <c r="B20" s="15" t="s">
        <v>22</v>
      </c>
      <c r="C20" s="15" t="s">
        <v>23</v>
      </c>
      <c r="D20" s="15" t="s">
        <v>8</v>
      </c>
    </row>
    <row r="21" customFormat="false" ht="15" hidden="false" customHeight="true" outlineLevel="0" collapsed="false">
      <c r="A21" s="6" t="s">
        <v>16</v>
      </c>
      <c r="B21" s="16" t="n">
        <f aca="false">SUMIFS(Lançamentos!$E$5:$E$155,Lançamentos!$C$5:$C$155,A21)</f>
        <v>3000</v>
      </c>
      <c r="C21" s="16" t="n">
        <f aca="false">SUMIFS(Lançamentos!$F$5:$F$155,Lançamentos!$C$5:$C$155,A21)</f>
        <v>3000</v>
      </c>
      <c r="D21" s="17" t="n">
        <f aca="false">IF(B21=0,"",C21/B21)</f>
        <v>1</v>
      </c>
    </row>
    <row r="22" customFormat="false" ht="15" hidden="false" customHeight="true" outlineLevel="0" collapsed="false">
      <c r="A22" s="6" t="s">
        <v>28</v>
      </c>
      <c r="B22" s="16" t="n">
        <f aca="false">SUMIFS(Lançamentos!$E$5:$E$155,Lançamentos!$C$5:$C$155,A22)</f>
        <v>0</v>
      </c>
      <c r="C22" s="16" t="n">
        <f aca="false">SUMIFS(Lançamentos!$F$5:$F$155,Lançamentos!$C$5:$C$155,A22)</f>
        <v>0</v>
      </c>
      <c r="D22" s="17" t="str">
        <f aca="false">IF(B22=0,"",C22/B22)</f>
        <v/>
      </c>
    </row>
    <row r="23" customFormat="false" ht="15" hidden="false" customHeight="true" outlineLevel="0" collapsed="false">
      <c r="A23" s="6" t="s">
        <v>11</v>
      </c>
      <c r="B23" s="16" t="n">
        <f aca="false">SUMIFS(Lançamentos!$E$5:$E$155,Lançamentos!$C$5:$C$155,A23)</f>
        <v>38860</v>
      </c>
      <c r="C23" s="16" t="n">
        <f aca="false">SUMIFS(Lançamentos!$F$5:$F$155,Lançamentos!$C$5:$C$155,A23)</f>
        <v>38860</v>
      </c>
      <c r="D23" s="17" t="n">
        <f aca="false">IF(B23=0,"",C23/B23)</f>
        <v>1</v>
      </c>
    </row>
    <row r="24" customFormat="false" ht="15" hidden="false" customHeight="true" outlineLevel="0" collapsed="false">
      <c r="A24" s="6" t="s">
        <v>13</v>
      </c>
      <c r="B24" s="16" t="n">
        <f aca="false">SUMIFS(Lançamentos!$E$5:$E$155,Lançamentos!$C$5:$C$155,A24)</f>
        <v>117280</v>
      </c>
      <c r="C24" s="16" t="n">
        <f aca="false">SUMIFS(Lançamentos!$F$5:$F$155,Lançamentos!$C$5:$C$155,A24)</f>
        <v>114280</v>
      </c>
      <c r="D24" s="17" t="n">
        <f aca="false">IF(B24=0,"",C24/B24)</f>
        <v>0.974420190995907</v>
      </c>
    </row>
    <row r="27" customFormat="false" ht="15" hidden="false" customHeight="false" outlineLevel="0" collapsed="false">
      <c r="A27" s="18" t="s">
        <v>29</v>
      </c>
    </row>
    <row r="28" customFormat="false" ht="15" hidden="false" customHeight="false" outlineLevel="0" collapsed="false">
      <c r="A28" s="19" t="s">
        <v>30</v>
      </c>
      <c r="B28" s="20" t="n">
        <v>0.9</v>
      </c>
    </row>
    <row r="29" customFormat="false" ht="15" hidden="false" customHeight="false" outlineLevel="0" collapsed="false">
      <c r="A29" s="19" t="s">
        <v>31</v>
      </c>
      <c r="B29" s="21" t="n">
        <v>5000</v>
      </c>
    </row>
    <row r="31" customFormat="false" ht="15" hidden="false" customHeight="false" outlineLevel="0" collapsed="false">
      <c r="A31" s="18" t="s">
        <v>32</v>
      </c>
    </row>
    <row r="32" customFormat="false" ht="15" hidden="false" customHeight="false" outlineLevel="0" collapsed="false">
      <c r="A32" s="22" t="s">
        <v>5</v>
      </c>
      <c r="B32" s="22" t="s">
        <v>8</v>
      </c>
      <c r="C32" s="22" t="s">
        <v>9</v>
      </c>
      <c r="D32" s="22" t="s">
        <v>33</v>
      </c>
    </row>
    <row r="33" customFormat="false" ht="15" hidden="false" customHeight="false" outlineLevel="0" collapsed="false">
      <c r="A33" s="19" t="str">
        <f aca="false">A12</f>
        <v>SMART LOG</v>
      </c>
      <c r="B33" s="23" t="n">
        <f aca="false">D12</f>
        <v>1</v>
      </c>
      <c r="C33" s="24" t="n">
        <f aca="false">B12-C12</f>
        <v>0</v>
      </c>
      <c r="D33" s="19" t="str">
        <f aca="false">IF(B12=0,"Sem dados",IF(B33&lt;$B$28,"🔴 ALERTA","✅ OK"))</f>
        <v>✅ OK</v>
      </c>
    </row>
    <row r="34" customFormat="false" ht="15" hidden="false" customHeight="false" outlineLevel="0" collapsed="false">
      <c r="A34" s="19" t="str">
        <f aca="false">A13</f>
        <v>RJ</v>
      </c>
      <c r="B34" s="23" t="n">
        <f aca="false">D13</f>
        <v>1</v>
      </c>
      <c r="C34" s="24" t="n">
        <f aca="false">B13-C13</f>
        <v>0</v>
      </c>
      <c r="D34" s="19" t="str">
        <f aca="false">IF(B13=0,"Sem dados",IF(B34&lt;$B$28,"🔴 ALERTA","✅ OK"))</f>
        <v>✅ OK</v>
      </c>
    </row>
    <row r="35" customFormat="false" ht="15" hidden="false" customHeight="false" outlineLevel="0" collapsed="false">
      <c r="A35" s="19" t="str">
        <f aca="false">A14</f>
        <v>SUL</v>
      </c>
      <c r="B35" s="23" t="n">
        <f aca="false">D14</f>
        <v>0.930428329584193</v>
      </c>
      <c r="C35" s="24" t="n">
        <f aca="false">B14-C14</f>
        <v>3000</v>
      </c>
      <c r="D35" s="19" t="str">
        <f aca="false">IF(B14=0,"Sem dados",IF(B35&lt;$B$28,"🔴 ALERTA","✅ OK"))</f>
        <v>✅ OK</v>
      </c>
    </row>
    <row r="36" customFormat="false" ht="15" hidden="false" customHeight="false" outlineLevel="0" collapsed="false">
      <c r="A36" s="19" t="str">
        <f aca="false">A15</f>
        <v>SP</v>
      </c>
      <c r="B36" s="23" t="str">
        <f aca="false">D15</f>
        <v/>
      </c>
      <c r="C36" s="24" t="n">
        <f aca="false">B15-C15</f>
        <v>0</v>
      </c>
      <c r="D36" s="19" t="str">
        <f aca="false">IF(B15=0,"Sem dados",IF(B36&lt;$B$28,"🔴 ALERTA","✅ OK"))</f>
        <v>Sem dados</v>
      </c>
    </row>
    <row r="37" customFormat="false" ht="15" hidden="false" customHeight="false" outlineLevel="0" collapsed="false">
      <c r="A37" s="19" t="str">
        <f aca="false">A16</f>
        <v>MG</v>
      </c>
      <c r="B37" s="23" t="str">
        <f aca="false">D16</f>
        <v/>
      </c>
      <c r="C37" s="24" t="n">
        <f aca="false">B16-C16</f>
        <v>0</v>
      </c>
      <c r="D37" s="19" t="str">
        <f aca="false">IF(B16=0,"Sem dados",IF(B37&lt;$B$28,"🔴 ALERTA","✅ OK"))</f>
        <v>Sem dados</v>
      </c>
    </row>
    <row r="38" customFormat="false" ht="15" hidden="false" customHeight="false" outlineLevel="0" collapsed="false">
      <c r="A38" s="19" t="str">
        <f aca="false">A17</f>
        <v>NORDESTE</v>
      </c>
      <c r="B38" s="23" t="str">
        <f aca="false">D17</f>
        <v/>
      </c>
      <c r="C38" s="24" t="n">
        <f aca="false">B17-C17</f>
        <v>0</v>
      </c>
      <c r="D38" s="19" t="str">
        <f aca="false">IF(B17=0,"Sem dados",IF(B38&lt;$B$28,"🔴 ALERTA","✅ OK"))</f>
        <v>Sem dados</v>
      </c>
    </row>
    <row r="40" customFormat="false" ht="15" hidden="false" customHeight="false" outlineLevel="0" collapsed="false">
      <c r="A40" s="18" t="s">
        <v>34</v>
      </c>
    </row>
    <row r="41" customFormat="false" ht="15" hidden="false" customHeight="false" outlineLevel="0" collapsed="false">
      <c r="A41" s="22" t="s">
        <v>4</v>
      </c>
      <c r="B41" s="22" t="s">
        <v>8</v>
      </c>
      <c r="C41" s="22" t="s">
        <v>9</v>
      </c>
      <c r="D41" s="22" t="s">
        <v>33</v>
      </c>
    </row>
    <row r="42" customFormat="false" ht="15" hidden="false" customHeight="false" outlineLevel="0" collapsed="false">
      <c r="A42" s="19" t="str">
        <f aca="false">A21</f>
        <v>A</v>
      </c>
      <c r="B42" s="23" t="n">
        <f aca="false">D21</f>
        <v>1</v>
      </c>
      <c r="C42" s="24" t="n">
        <f aca="false">B21-C21</f>
        <v>0</v>
      </c>
      <c r="D42" s="19" t="str">
        <f aca="false">IF(B21=0,"Sem dados",IF(B42&lt;$B$28,"🔴 ALERTA","✅ OK"))</f>
        <v>✅ OK</v>
      </c>
    </row>
    <row r="43" customFormat="false" ht="15" hidden="false" customHeight="false" outlineLevel="0" collapsed="false">
      <c r="A43" s="19" t="str">
        <f aca="false">A22</f>
        <v>B</v>
      </c>
      <c r="B43" s="23" t="str">
        <f aca="false">D22</f>
        <v/>
      </c>
      <c r="C43" s="24" t="n">
        <f aca="false">B22-C22</f>
        <v>0</v>
      </c>
      <c r="D43" s="19" t="str">
        <f aca="false">IF(B22=0,"Sem dados",IF(B43&lt;$B$28,"🔴 ALERTA","✅ OK"))</f>
        <v>Sem dados</v>
      </c>
    </row>
    <row r="44" customFormat="false" ht="15" hidden="false" customHeight="false" outlineLevel="0" collapsed="false">
      <c r="A44" s="19" t="str">
        <f aca="false">A23</f>
        <v>C</v>
      </c>
      <c r="B44" s="23" t="n">
        <f aca="false">D23</f>
        <v>1</v>
      </c>
      <c r="C44" s="24" t="n">
        <f aca="false">B23-C23</f>
        <v>0</v>
      </c>
      <c r="D44" s="19" t="str">
        <f aca="false">IF(B23=0,"Sem dados",IF(B44&lt;$B$28,"🔴 ALERTA","✅ OK"))</f>
        <v>✅ OK</v>
      </c>
    </row>
    <row r="45" customFormat="false" ht="15" hidden="false" customHeight="false" outlineLevel="0" collapsed="false">
      <c r="A45" s="19" t="str">
        <f aca="false">A24</f>
        <v>D</v>
      </c>
      <c r="B45" s="23" t="n">
        <f aca="false">D24</f>
        <v>0.974420190995907</v>
      </c>
      <c r="C45" s="24" t="n">
        <f aca="false">B24-C24</f>
        <v>3000</v>
      </c>
      <c r="D45" s="19" t="str">
        <f aca="false">IF(B24=0,"Sem dados",IF(B45&lt;$B$28,"🔴 ALERTA","✅ OK"))</f>
        <v>✅ OK</v>
      </c>
    </row>
    <row r="47" customFormat="false" ht="15" hidden="false" customHeight="false" outlineLevel="0" collapsed="false">
      <c r="A47" s="18" t="s">
        <v>35</v>
      </c>
    </row>
    <row r="48" customFormat="false" ht="15" hidden="false" customHeight="false" outlineLevel="0" collapsed="false">
      <c r="A48" s="22" t="s">
        <v>5</v>
      </c>
      <c r="B48" s="22" t="s">
        <v>9</v>
      </c>
      <c r="C48" s="22" t="s">
        <v>8</v>
      </c>
    </row>
    <row r="49" customFormat="false" ht="15" hidden="false" customHeight="false" outlineLevel="0" collapsed="false">
      <c r="A49" s="19" t="str">
        <f aca="false">IFERROR(INDEX($A$33:$A$38,MATCH(B49,$C$33:$C$38,0)),"")</f>
        <v>SUL</v>
      </c>
      <c r="B49" s="24" t="n">
        <f aca="false">LARGE($C$33:$C$38,1)</f>
        <v>3000</v>
      </c>
      <c r="C49" s="23" t="n">
        <f aca="false">IFERROR(INDEX($B$33:$B$38,MATCH(B49,$C$33:$C$38,0)),"")</f>
        <v>0.930428329584193</v>
      </c>
    </row>
    <row r="50" customFormat="false" ht="15" hidden="false" customHeight="false" outlineLevel="0" collapsed="false">
      <c r="A50" s="19" t="str">
        <f aca="false">IFERROR(INDEX($A$33:$A$38,MATCH(B50,$C$33:$C$38,0)),"")</f>
        <v>SMART LOG</v>
      </c>
      <c r="B50" s="24" t="n">
        <f aca="false">LARGE($C$33:$C$38,2)</f>
        <v>0</v>
      </c>
      <c r="C50" s="23" t="n">
        <f aca="false">IFERROR(INDEX($B$33:$B$38,MATCH(B50,$C$33:$C$38,0)),"")</f>
        <v>1</v>
      </c>
    </row>
    <row r="51" customFormat="false" ht="15" hidden="false" customHeight="false" outlineLevel="0" collapsed="false">
      <c r="A51" s="19" t="str">
        <f aca="false">IFERROR(INDEX($A$33:$A$38,MATCH(B51,$C$33:$C$38,0)),"")</f>
        <v>SMART LOG</v>
      </c>
      <c r="B51" s="24" t="n">
        <f aca="false">LARGE($C$33:$C$38,3)</f>
        <v>0</v>
      </c>
      <c r="C51" s="23" t="n">
        <f aca="false">IFERROR(INDEX($B$33:$B$38,MATCH(B51,$C$33:$C$38,0)),"")</f>
        <v>1</v>
      </c>
    </row>
    <row r="52" customFormat="false" ht="15" hidden="false" customHeight="false" outlineLevel="0" collapsed="false">
      <c r="A52" s="25" t="s">
        <v>36</v>
      </c>
    </row>
    <row r="54" customFormat="false" ht="15" hidden="false" customHeight="false" outlineLevel="0" collapsed="false">
      <c r="A54" s="18" t="s">
        <v>37</v>
      </c>
    </row>
    <row r="55" customFormat="false" ht="15" hidden="false" customHeight="false" outlineLevel="0" collapsed="false">
      <c r="A55" s="19" t="s">
        <v>38</v>
      </c>
      <c r="B55" s="26" t="n">
        <f aca="false">IFERROR(MAX(Lançamentos!$A$5:$A$155),"")</f>
        <v>46279</v>
      </c>
    </row>
    <row r="56" customFormat="false" ht="15" hidden="false" customHeight="false" outlineLevel="0" collapsed="false">
      <c r="A56" s="19" t="s">
        <v>39</v>
      </c>
      <c r="B56" s="26" t="n">
        <f aca="false">IF($B$55="","",$B$55-WEEKDAY($B$55,3))</f>
        <v>46279</v>
      </c>
    </row>
    <row r="57" customFormat="false" ht="15" hidden="false" customHeight="false" outlineLevel="0" collapsed="false">
      <c r="A57" s="19" t="s">
        <v>40</v>
      </c>
      <c r="B57" s="26" t="n">
        <f aca="false">IF($B$56="","",$B$56+6)</f>
        <v>46285</v>
      </c>
    </row>
    <row r="58" customFormat="false" ht="15" hidden="false" customHeight="false" outlineLevel="0" collapsed="false">
      <c r="A58" s="19" t="s">
        <v>41</v>
      </c>
      <c r="B58" s="24" t="n">
        <f aca="false">IF($B$56="","",SUMIFS(Lançamentos!$E$5:$E$155,Lançamentos!$A$5:$A$155,"&gt;="&amp;$B$56,Lançamentos!$A$5:$A$155,"&lt;="&amp;$B$57))</f>
        <v>3000</v>
      </c>
    </row>
    <row r="59" customFormat="false" ht="15" hidden="false" customHeight="false" outlineLevel="0" collapsed="false">
      <c r="A59" s="19" t="s">
        <v>42</v>
      </c>
      <c r="B59" s="24" t="n">
        <f aca="false">IF($B$56="","",SUMIFS(Lançamentos!$F$5:$F$155,Lançamentos!$A$5:$A$155,"&gt;="&amp;$B$56,Lançamentos!$A$5:$A$155,"&lt;="&amp;$B$57))</f>
        <v>3000</v>
      </c>
    </row>
    <row r="60" customFormat="false" ht="15" hidden="false" customHeight="false" outlineLevel="0" collapsed="false">
      <c r="A60" s="19" t="s">
        <v>43</v>
      </c>
      <c r="B60" s="24" t="n">
        <f aca="false">IF($B$58="","",$B$58-$B$59)</f>
        <v>0</v>
      </c>
    </row>
    <row r="61" customFormat="false" ht="15" hidden="false" customHeight="false" outlineLevel="0" collapsed="false">
      <c r="A61" s="19" t="s">
        <v>33</v>
      </c>
      <c r="B61" s="19" t="str">
        <f aca="false">IF($B$60="","",IF($B$60&gt;$B$29,"🔴 ALERTA - saldo acima do limite","✅ OK"))</f>
        <v>✅ OK</v>
      </c>
    </row>
    <row r="63" customFormat="false" ht="15" hidden="false" customHeight="false" outlineLevel="0" collapsed="false">
      <c r="A63" s="18" t="s">
        <v>44</v>
      </c>
    </row>
    <row r="64" customFormat="false" ht="15" hidden="false" customHeight="false" outlineLevel="0" collapsed="false">
      <c r="A64" s="19" t="s">
        <v>45</v>
      </c>
      <c r="B64" s="27" t="n">
        <f aca="false">IF($B$55="","",DAY($B$55))</f>
        <v>14</v>
      </c>
    </row>
    <row r="65" customFormat="false" ht="15" hidden="false" customHeight="false" outlineLevel="0" collapsed="false">
      <c r="A65" s="19" t="s">
        <v>46</v>
      </c>
      <c r="B65" s="27" t="n">
        <f aca="false">IF($B$55="","",DAY(EOMONTH($B$55,0)))</f>
        <v>30</v>
      </c>
    </row>
    <row r="66" customFormat="false" ht="15" hidden="false" customHeight="false" outlineLevel="0" collapsed="false">
      <c r="A66" s="19" t="s">
        <v>47</v>
      </c>
      <c r="B66" s="24" t="n">
        <f aca="false">IF(OR($B$64="",$B$64=0),"",$B$5/$B$64*$B$65)</f>
        <v>341014.285714286</v>
      </c>
    </row>
    <row r="67" customFormat="false" ht="15" hidden="false" customHeight="false" outlineLevel="0" collapsed="false">
      <c r="A67" s="19" t="s">
        <v>48</v>
      </c>
      <c r="B67" s="24" t="n">
        <f aca="false">IF(OR($B$64="",$B$64=0),"",$B$6/$B$64*$B$65)</f>
        <v>334585.714285714</v>
      </c>
    </row>
    <row r="68" customFormat="false" ht="15" hidden="false" customHeight="false" outlineLevel="0" collapsed="false">
      <c r="A68" s="19" t="s">
        <v>49</v>
      </c>
      <c r="B68" s="24" t="n">
        <f aca="false">IF(OR($B$66="",$B$67=""),"",$B$66-$B$67)</f>
        <v>6428.57142857136</v>
      </c>
    </row>
    <row r="69" customFormat="false" ht="15" hidden="false" customHeight="false" outlineLevel="0" collapsed="false">
      <c r="A69" s="19" t="s">
        <v>50</v>
      </c>
      <c r="B69" s="23" t="n">
        <f aca="false">IF(OR($B$66="",$B$66=0),"",$B$67/$B$66)</f>
        <v>0.981148674123414</v>
      </c>
    </row>
    <row r="70" customFormat="false" ht="15" hidden="false" customHeight="false" outlineLevel="0" collapsed="false">
      <c r="A70" s="19" t="s">
        <v>33</v>
      </c>
      <c r="B70" s="19" t="str">
        <f aca="false">IF($B$69="","",IF($B$69&lt;$B$28,"🔴 ALERTA","✅ OK"))</f>
        <v>✅ OK</v>
      </c>
    </row>
    <row r="71" customFormat="false" ht="15" hidden="false" customHeight="false" outlineLevel="0" collapsed="false">
      <c r="A71" s="25" t="s">
        <v>51</v>
      </c>
    </row>
  </sheetData>
  <mergeCells count="2">
    <mergeCell ref="A1:F1"/>
    <mergeCell ref="A2:F2"/>
  </mergeCells>
  <conditionalFormatting sqref="B8">
    <cfRule type="cellIs" priority="2" operator="lessThan" aboveAverage="0" equalAverage="0" bottom="0" percent="0" rank="0" text="" dxfId="3">
      <formula>0.9</formula>
    </cfRule>
    <cfRule type="cellIs" priority="3" operator="between" aboveAverage="0" equalAverage="0" bottom="0" percent="0" rank="0" text="" dxfId="4">
      <formula>0.9</formula>
      <formula>0.999</formula>
    </cfRule>
    <cfRule type="cellIs" priority="4" operator="greaterThanOrEqual" aboveAverage="0" equalAverage="0" bottom="0" percent="0" rank="0" text="" dxfId="5">
      <formula>1</formula>
    </cfRule>
  </conditionalFormatting>
  <conditionalFormatting sqref="D12:D17">
    <cfRule type="cellIs" priority="5" operator="lessThan" aboveAverage="0" equalAverage="0" bottom="0" percent="0" rank="0" text="" dxfId="3">
      <formula>0.9</formula>
    </cfRule>
    <cfRule type="cellIs" priority="6" operator="between" aboveAverage="0" equalAverage="0" bottom="0" percent="0" rank="0" text="" dxfId="4">
      <formula>0.9</formula>
      <formula>0.999</formula>
    </cfRule>
    <cfRule type="cellIs" priority="7" operator="greaterThanOrEqual" aboveAverage="0" equalAverage="0" bottom="0" percent="0" rank="0" text="" dxfId="5">
      <formula>1</formula>
    </cfRule>
  </conditionalFormatting>
  <conditionalFormatting sqref="D21:D24">
    <cfRule type="cellIs" priority="8" operator="lessThan" aboveAverage="0" equalAverage="0" bottom="0" percent="0" rank="0" text="" dxfId="3">
      <formula>0.9</formula>
    </cfRule>
    <cfRule type="cellIs" priority="9" operator="between" aboveAverage="0" equalAverage="0" bottom="0" percent="0" rank="0" text="" dxfId="4">
      <formula>0.9</formula>
      <formula>0.999</formula>
    </cfRule>
    <cfRule type="cellIs" priority="10" operator="greaterThanOrEqual" aboveAverage="0" equalAverage="0" bottom="0" percent="0" rank="0" text="" dxfId="5">
      <formula>1</formula>
    </cfRule>
  </conditionalFormatting>
  <conditionalFormatting sqref="B33:B38">
    <cfRule type="cellIs" priority="11" operator="lessThan" aboveAverage="0" equalAverage="0" bottom="0" percent="0" rank="0" text="" dxfId="3">
      <formula>0.9</formula>
    </cfRule>
    <cfRule type="cellIs" priority="12" operator="between" aboveAverage="0" equalAverage="0" bottom="0" percent="0" rank="0" text="" dxfId="4">
      <formula>0.9</formula>
      <formula>0.999</formula>
    </cfRule>
    <cfRule type="cellIs" priority="13" operator="greaterThanOrEqual" aboveAverage="0" equalAverage="0" bottom="0" percent="0" rank="0" text="" dxfId="5">
      <formula>1</formula>
    </cfRule>
  </conditionalFormatting>
  <conditionalFormatting sqref="A33:D38">
    <cfRule type="expression" priority="14" aboveAverage="0" equalAverage="0" bottom="0" percent="0" rank="0" text="" dxfId="6">
      <formula>$D33="🔴 ALERTA"</formula>
    </cfRule>
    <cfRule type="expression" priority="15" aboveAverage="0" equalAverage="0" bottom="0" percent="0" rank="0" text="" dxfId="7">
      <formula>$D33="Sem dados"</formula>
    </cfRule>
  </conditionalFormatting>
  <conditionalFormatting sqref="B42:B45">
    <cfRule type="cellIs" priority="16" operator="lessThan" aboveAverage="0" equalAverage="0" bottom="0" percent="0" rank="0" text="" dxfId="3">
      <formula>0.9</formula>
    </cfRule>
    <cfRule type="cellIs" priority="17" operator="between" aboveAverage="0" equalAverage="0" bottom="0" percent="0" rank="0" text="" dxfId="4">
      <formula>0.9</formula>
      <formula>0.999</formula>
    </cfRule>
    <cfRule type="cellIs" priority="18" operator="greaterThanOrEqual" aboveAverage="0" equalAverage="0" bottom="0" percent="0" rank="0" text="" dxfId="5">
      <formula>1</formula>
    </cfRule>
  </conditionalFormatting>
  <conditionalFormatting sqref="A42:D45">
    <cfRule type="expression" priority="19" aboveAverage="0" equalAverage="0" bottom="0" percent="0" rank="0" text="" dxfId="6">
      <formula>$D42="🔴 ALERTA"</formula>
    </cfRule>
    <cfRule type="expression" priority="20" aboveAverage="0" equalAverage="0" bottom="0" percent="0" rank="0" text="" dxfId="7">
      <formula>$D42="Sem dados"</formula>
    </cfRule>
  </conditionalFormatting>
  <conditionalFormatting sqref="A61:B61">
    <cfRule type="expression" priority="21" aboveAverage="0" equalAverage="0" bottom="0" percent="0" rank="0" text="" dxfId="3">
      <formula>ISNUMBER(SEARCH("ALERTA",$B$61))</formula>
    </cfRule>
  </conditionalFormatting>
  <conditionalFormatting sqref="B69">
    <cfRule type="cellIs" priority="22" operator="lessThan" aboveAverage="0" equalAverage="0" bottom="0" percent="0" rank="0" text="" dxfId="3">
      <formula>0.9</formula>
    </cfRule>
    <cfRule type="cellIs" priority="23" operator="between" aboveAverage="0" equalAverage="0" bottom="0" percent="0" rank="0" text="" dxfId="4">
      <formula>0.9</formula>
      <formula>0.999</formula>
    </cfRule>
    <cfRule type="cellIs" priority="24" operator="greaterThanOrEqual" aboveAverage="0" equalAverage="0" bottom="0" percent="0" rank="0" text="" dxfId="5">
      <formula>1</formula>
    </cfRule>
  </conditionalFormatting>
  <conditionalFormatting sqref="A70:B70">
    <cfRule type="expression" priority="25" aboveAverage="0" equalAverage="0" bottom="0" percent="0" rank="0" text="" dxfId="3">
      <formula>$B$70="🔴 ALERTA"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2026-09-14T19:36:55Z</dcterms:created>
  <dc:creator>openpyxl</dc:creator>
  <dc:description/>
  <dc:language>en-US</dc:language>
  <cp:lastModifiedBy/>
  <dcterms:modified xsi:type="dcterms:W3CDTF">2026-09-14T20:14:05Z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