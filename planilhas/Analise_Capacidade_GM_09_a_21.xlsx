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Dados_Filtrados" sheetId="2" state="visible" r:id="rId4"/>
    <sheet name="Dimensionamento" sheetId="3" state="visible" r:id="rId5"/>
    <sheet name="Analise_Diar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Informado pelo usuário.</t>
        </r>
      </text>
    </comment>
    <comment ref="B6" authorId="0">
      <text>
        <r>
          <rPr>
            <sz val="10"/>
            <rFont val="Arial"/>
            <family val="2"/>
          </rPr>
          <t xml:space="preserve">Informado pelo usuário.</t>
        </r>
      </text>
    </comment>
    <comment ref="B7" authorId="0">
      <text>
        <r>
          <rPr>
            <sz val="10"/>
            <rFont val="Arial"/>
            <family val="2"/>
          </rPr>
          <t xml:space="preserve">Escala 2x2 de 12h: 1 turno diurno + 1 turno noturno cobrindo as 24h do dia.</t>
        </r>
      </text>
    </comment>
    <comment ref="B8" authorId="0">
      <text>
        <r>
          <rPr>
            <sz val="10"/>
            <rFont val="Arial"/>
            <family val="2"/>
          </rPr>
          <t xml:space="preserve">Informado pelo usuário (escala 2x2 de 12h).</t>
        </r>
      </text>
    </comment>
    <comment ref="B9" authorId="0">
      <text>
        <r>
          <rPr>
            <sz val="10"/>
            <rFont val="Arial"/>
            <family val="2"/>
          </rPr>
          <t xml:space="preserve">Cada equipe trabalha 2 dias e folga 2 dias, revezando com outra equipe -&gt; cobertura de 7 dias/semana com a mesma equipe de plantão por dia (4 separadores + 3 operadores por turno).</t>
        </r>
      </text>
    </comment>
    <comment ref="B17" authorId="0">
      <text>
        <r>
          <rPr>
            <sz val="10"/>
            <rFont val="Arial"/>
            <family val="2"/>
          </rPr>
          <t xml:space="preserve">Informado pelo usuário: capacidade diária de 35 a 40 t.</t>
        </r>
      </text>
    </comment>
    <comment ref="B18" authorId="0">
      <text>
        <r>
          <rPr>
            <sz val="10"/>
            <rFont val="Arial"/>
            <family val="2"/>
          </rPr>
          <t xml:space="preserve">Informado pelo usuário: capacidade diária de 35 a 40 t.</t>
        </r>
      </text>
    </comment>
  </commentList>
</comments>
</file>

<file path=xl/sharedStrings.xml><?xml version="1.0" encoding="utf-8"?>
<sst xmlns="http://schemas.openxmlformats.org/spreadsheetml/2006/main" count="8330" uniqueCount="2764">
  <si>
    <t xml:space="preserve">Painel — Volume Bruto x Capacidade de Separação (09 a 21/09/2026)</t>
  </si>
  <si>
    <t xml:space="preserve">GM — Fornecimentos / Peso Bruto | Equipe: 4 separadores + 3 operadores por turno | Escala 2x2 de 12h | Capacidade de referência: 35–40 t/dia</t>
  </si>
  <si>
    <t xml:space="preserve">Total de fornecimentos (09–21/09)</t>
  </si>
  <si>
    <t xml:space="preserve">Peso bruto total (t)</t>
  </si>
  <si>
    <t xml:space="preserve">Média diária (t/dia)</t>
  </si>
  <si>
    <t xml:space="preserve">Capacidade média de referência (t/dia)</t>
  </si>
  <si>
    <t xml:space="preserve">Dias ACIMA da capacidade máxima</t>
  </si>
  <si>
    <t xml:space="preserve">Dias DENTRO da faixa</t>
  </si>
  <si>
    <t xml:space="preserve">Dias ABAIXO da capacidade mínima</t>
  </si>
  <si>
    <t xml:space="preserve">Maior gap de separadores em 1 dia (est.)</t>
  </si>
  <si>
    <t xml:space="preserve">Volume Bruto Diário x Faixa de Capacidade (35–40 t/dia)</t>
  </si>
  <si>
    <t xml:space="preserve">Leitura rápida</t>
  </si>
  <si>
    <t xml:space="preserve">• De 09 a 21/09, o volume bruto diário oscilou entre 0,6 t e 127,2 t — muito acima ou abaixo da faixa de 35–40 t/dia declarada como capacidade.</t>
  </si>
  <si>
    <t xml:space="preserve">• Dias 12, 14, 15, 16, 17, 18 e 19/09 (sáb., seg., ter., qua., qui., sex. e sáb.) ficaram ACIMA da capacidade máxima, alguns em mais de 3x (ex.: 14/09 com ~127 t e 19/09 com ~92 t).</t>
  </si>
  <si>
    <t xml:space="preserve">• Dias 13 e 20/09 (domingos) e 21/09 (segunda, ainda em programação) ficaram bem ABAIXO da capacidade mínima — sugerindo concentração de "data do picking" em poucos dias em vez de distribuição uniforme.</t>
  </si>
  <si>
    <t xml:space="preserve">• Nos dias de pico (14/09 e 19/09), a equipe de 4 separadores por turno (8/dia) precisaria, na produtividade máxima de referência (5,0 t/separador/dia), de aproximadamente 25 e 18 separadores/dia, respectivamente — um gap de +17 e +10 separadores frente aos 8 instalados.</t>
  </si>
  <si>
    <t xml:space="preserve">• Atenção: "Data do picking" é um campo de status do sistema, não um apontamento de horas por turno. Os dias 19–21/09 ainda têm parte relevante dos pedidos em "GERAR/FATURAR" (não concluídos), então parte desse volume é programação, não execução confirmada.</t>
  </si>
  <si>
    <t xml:space="preserve">• Recomenda-se: (1) validar a concentração de volume com o time operacional (é pico real de demanda ou efeito de atualização em lote do status?); (2) planejar reforço temporário/hora-extra para os dias de pico identificados; (3) medir produtividade real por separador com apontamento de mão de obra para substituir a produtividade implícita usada aqui.</t>
  </si>
  <si>
    <t xml:space="preserve">Fornecimento</t>
  </si>
  <si>
    <t xml:space="preserve">Peso Bruto (kg)</t>
  </si>
  <si>
    <t xml:space="preserve">Peso Líquido (kg)</t>
  </si>
  <si>
    <t xml:space="preserve">Recebedor da Mercadoria</t>
  </si>
  <si>
    <t xml:space="preserve">Ponto de Expedição</t>
  </si>
  <si>
    <t xml:space="preserve">Cidade Destino</t>
  </si>
  <si>
    <t xml:space="preserve">Itinerário</t>
  </si>
  <si>
    <t xml:space="preserve">Data do Picking</t>
  </si>
  <si>
    <t xml:space="preserve">Saída de Mercadoria (prevista)</t>
  </si>
  <si>
    <t xml:space="preserve">Status Global Picking</t>
  </si>
  <si>
    <t xml:space="preserve">17854238</t>
  </si>
  <si>
    <t xml:space="preserve">VERONA GELATERIA LTDA</t>
  </si>
  <si>
    <t xml:space="preserve">BR19</t>
  </si>
  <si>
    <t xml:space="preserve">RIO VERDE</t>
  </si>
  <si>
    <t xml:space="preserve">BR_CO</t>
  </si>
  <si>
    <t xml:space="preserve">FATURADO</t>
  </si>
  <si>
    <t xml:space="preserve">17854324</t>
  </si>
  <si>
    <t xml:space="preserve">SUMMEL DOCES BAZAR LTDA</t>
  </si>
  <si>
    <t xml:space="preserve">SAPUCAIA DO SUL</t>
  </si>
  <si>
    <t xml:space="preserve">BR_RS</t>
  </si>
  <si>
    <t xml:space="preserve">17854325</t>
  </si>
  <si>
    <t xml:space="preserve">MERCADOCE DISTRIBUIDORA DOCES LTDA</t>
  </si>
  <si>
    <t xml:space="preserve">CURITIBA</t>
  </si>
  <si>
    <t xml:space="preserve">BR_PR</t>
  </si>
  <si>
    <t xml:space="preserve">17854327</t>
  </si>
  <si>
    <t xml:space="preserve">SÓ FESTA ATACADO E VAREJO LTDA</t>
  </si>
  <si>
    <t xml:space="preserve">JOINVILLE</t>
  </si>
  <si>
    <t xml:space="preserve">BR_SC</t>
  </si>
  <si>
    <t xml:space="preserve">17854333</t>
  </si>
  <si>
    <t xml:space="preserve">MARIA DE FATIMA MACHADO</t>
  </si>
  <si>
    <t xml:space="preserve">SANTANA DO LIVRAMENTO</t>
  </si>
  <si>
    <t xml:space="preserve">17854335</t>
  </si>
  <si>
    <t xml:space="preserve">RODRIGO CARDODO KUCH</t>
  </si>
  <si>
    <t xml:space="preserve">PARANAGUA</t>
  </si>
  <si>
    <t xml:space="preserve">17854336</t>
  </si>
  <si>
    <t xml:space="preserve">CHINA FESTAS LOJA</t>
  </si>
  <si>
    <t xml:space="preserve">IMBITUBA</t>
  </si>
  <si>
    <t xml:space="preserve">17854339</t>
  </si>
  <si>
    <t xml:space="preserve">TK PRODUTOS DE LIMPEZA E</t>
  </si>
  <si>
    <t xml:space="preserve">NOVA PETROPOLIS</t>
  </si>
  <si>
    <t xml:space="preserve">17854340</t>
  </si>
  <si>
    <t xml:space="preserve">MARCIO SANTOS RAMOS</t>
  </si>
  <si>
    <t xml:space="preserve">SAO BORJA</t>
  </si>
  <si>
    <t xml:space="preserve">17854341</t>
  </si>
  <si>
    <t xml:space="preserve">CONFRARIA DAS EMBALAGENS LTDA</t>
  </si>
  <si>
    <t xml:space="preserve">BENTO GONCALVES</t>
  </si>
  <si>
    <t xml:space="preserve">17854343</t>
  </si>
  <si>
    <t xml:space="preserve">COMERCIO DE ARTIGOS PARA ALIMENTOS</t>
  </si>
  <si>
    <t xml:space="preserve">SAPIRANGA</t>
  </si>
  <si>
    <t xml:space="preserve">17854345</t>
  </si>
  <si>
    <t xml:space="preserve">BAGGIO FESTAS COMERCIO DE</t>
  </si>
  <si>
    <t xml:space="preserve">CAXIAS DO SUL</t>
  </si>
  <si>
    <t xml:space="preserve">17854346</t>
  </si>
  <si>
    <t xml:space="preserve">COMERCIO DE DOCES DIANEZ LTDA</t>
  </si>
  <si>
    <t xml:space="preserve">TOLEDO</t>
  </si>
  <si>
    <t xml:space="preserve">17854347</t>
  </si>
  <si>
    <t xml:space="preserve">ANDREI ERNANI FREITAS LTDA</t>
  </si>
  <si>
    <t xml:space="preserve">ITAPERUCU</t>
  </si>
  <si>
    <t xml:space="preserve">17854349</t>
  </si>
  <si>
    <t xml:space="preserve">MARISSOL DURANTE ME</t>
  </si>
  <si>
    <t xml:space="preserve">ICARA</t>
  </si>
  <si>
    <t xml:space="preserve">17854350</t>
  </si>
  <si>
    <t xml:space="preserve">MAXPAN DISTRIBUIDORA DE</t>
  </si>
  <si>
    <t xml:space="preserve">MARINGA</t>
  </si>
  <si>
    <t xml:space="preserve">17854351</t>
  </si>
  <si>
    <t xml:space="preserve">FAZENDINHA DISTRIBUIDORA DE DOCES</t>
  </si>
  <si>
    <t xml:space="preserve">17854352</t>
  </si>
  <si>
    <t xml:space="preserve">NADIR MARTA GOULART ME</t>
  </si>
  <si>
    <t xml:space="preserve">SAO LEOPOLDO</t>
  </si>
  <si>
    <t xml:space="preserve">17854354</t>
  </si>
  <si>
    <t xml:space="preserve">BAZZO &amp; BAZZO ATACADO E VAREJO LTDA</t>
  </si>
  <si>
    <t xml:space="preserve">CEU AZUL</t>
  </si>
  <si>
    <t xml:space="preserve">17854356</t>
  </si>
  <si>
    <t xml:space="preserve">JAQUE ATACADO E VAREJO DE</t>
  </si>
  <si>
    <t xml:space="preserve">ITAJAI</t>
  </si>
  <si>
    <t xml:space="preserve">17854376</t>
  </si>
  <si>
    <t xml:space="preserve">BIAZI DOCES E FESTAS LTDA</t>
  </si>
  <si>
    <t xml:space="preserve">LONDRINA</t>
  </si>
  <si>
    <t xml:space="preserve">17854377</t>
  </si>
  <si>
    <t xml:space="preserve">ROSSET EMBALAGENS E PAPELARIA LTDA</t>
  </si>
  <si>
    <t xml:space="preserve">PORTO ALEGRE</t>
  </si>
  <si>
    <t xml:space="preserve">17854378</t>
  </si>
  <si>
    <t xml:space="preserve">SANDRA HELENA GALANTE</t>
  </si>
  <si>
    <t xml:space="preserve">RIO NEGRO</t>
  </si>
  <si>
    <t xml:space="preserve">17854379</t>
  </si>
  <si>
    <t xml:space="preserve">RUDINALDO BARBOZA</t>
  </si>
  <si>
    <t xml:space="preserve">RIO PARDO</t>
  </si>
  <si>
    <t xml:space="preserve">17854380</t>
  </si>
  <si>
    <t xml:space="preserve">17854383</t>
  </si>
  <si>
    <t xml:space="preserve">17854385</t>
  </si>
  <si>
    <t xml:space="preserve">CONFEITAR COMERCIO DE GENEROS</t>
  </si>
  <si>
    <t xml:space="preserve">17854387</t>
  </si>
  <si>
    <t xml:space="preserve">VDZ DOCES LTDA</t>
  </si>
  <si>
    <t xml:space="preserve">NAVEGANTES</t>
  </si>
  <si>
    <t xml:space="preserve">17854388</t>
  </si>
  <si>
    <t xml:space="preserve">PUSCH &amp; MELO COMÉRCIO DE FRIOS LTDA</t>
  </si>
  <si>
    <t xml:space="preserve">BOMBINHAS</t>
  </si>
  <si>
    <t xml:space="preserve">17854389</t>
  </si>
  <si>
    <t xml:space="preserve">C. M. DA SILVA EMBALAGENS - ME</t>
  </si>
  <si>
    <t xml:space="preserve">IVAIPORÃ</t>
  </si>
  <si>
    <t xml:space="preserve">17854390</t>
  </si>
  <si>
    <t xml:space="preserve">MGL COMERCIO DE PRODUTOS</t>
  </si>
  <si>
    <t xml:space="preserve">MAFRA</t>
  </si>
  <si>
    <t xml:space="preserve">17854392</t>
  </si>
  <si>
    <t xml:space="preserve">OSNY P DE BITTENCOURT</t>
  </si>
  <si>
    <t xml:space="preserve">17854401</t>
  </si>
  <si>
    <t xml:space="preserve">PIPPI &amp; DINIZ LTDA</t>
  </si>
  <si>
    <t xml:space="preserve">SANTA MARIA</t>
  </si>
  <si>
    <t xml:space="preserve">17854405</t>
  </si>
  <si>
    <t xml:space="preserve">MARIA TEREZA PIRES MACHADO</t>
  </si>
  <si>
    <t xml:space="preserve">SÃO BORJA</t>
  </si>
  <si>
    <t xml:space="preserve">17854409</t>
  </si>
  <si>
    <t xml:space="preserve">CASA DO DOCE LTDA</t>
  </si>
  <si>
    <t xml:space="preserve">FARROUPILHA</t>
  </si>
  <si>
    <t xml:space="preserve">17854410</t>
  </si>
  <si>
    <t xml:space="preserve">LUIZA TEREZINHA LOURENCETTI ALMEIDA</t>
  </si>
  <si>
    <t xml:space="preserve">VACARIA</t>
  </si>
  <si>
    <t xml:space="preserve">17854412</t>
  </si>
  <si>
    <t xml:space="preserve">COMERCIO DE DOCES APARECIDA LTDA</t>
  </si>
  <si>
    <t xml:space="preserve">CASCAVEL</t>
  </si>
  <si>
    <t xml:space="preserve">17854414</t>
  </si>
  <si>
    <t xml:space="preserve">COMERCIAL MURANAKA DE ALIMENTOS</t>
  </si>
  <si>
    <t xml:space="preserve">17854415</t>
  </si>
  <si>
    <t xml:space="preserve">FERNANDO LOUREIRO DE FIGUEIREDO EPP</t>
  </si>
  <si>
    <t xml:space="preserve">CANOAS</t>
  </si>
  <si>
    <t xml:space="preserve">17854417</t>
  </si>
  <si>
    <t xml:space="preserve">C. AKIRA FUJII EIRELI - EPP</t>
  </si>
  <si>
    <t xml:space="preserve">PATO BRANCO</t>
  </si>
  <si>
    <t xml:space="preserve">17854419</t>
  </si>
  <si>
    <t xml:space="preserve">17854421</t>
  </si>
  <si>
    <t xml:space="preserve">CAPIM LIMAO PRODUTOS NATURAIS</t>
  </si>
  <si>
    <t xml:space="preserve">17854431</t>
  </si>
  <si>
    <t xml:space="preserve">HOFFMEISTER &amp; IASTROMBECK COMERCIO</t>
  </si>
  <si>
    <t xml:space="preserve">MARECHAL CANDIDO RONDON</t>
  </si>
  <si>
    <t xml:space="preserve">17854433</t>
  </si>
  <si>
    <t xml:space="preserve">JUSSARA GARCIA ROCHA E CIA LTDA</t>
  </si>
  <si>
    <t xml:space="preserve">PELOTAS</t>
  </si>
  <si>
    <t xml:space="preserve">17854443</t>
  </si>
  <si>
    <t xml:space="preserve">S R FERREIRA COMERCIO DE EMBALAGENS</t>
  </si>
  <si>
    <t xml:space="preserve">GOIANIA</t>
  </si>
  <si>
    <t xml:space="preserve">17854446</t>
  </si>
  <si>
    <t xml:space="preserve">OESTE PRODUTOS PARA FESTAS LTDA</t>
  </si>
  <si>
    <t xml:space="preserve">17854448</t>
  </si>
  <si>
    <t xml:space="preserve">FEST SHOW PRODUTOS</t>
  </si>
  <si>
    <t xml:space="preserve">CALDAS NOVAS</t>
  </si>
  <si>
    <t xml:space="preserve">17854450</t>
  </si>
  <si>
    <t xml:space="preserve">ACHEI EMBALAGENS &amp; UTILIDADES LTDA</t>
  </si>
  <si>
    <t xml:space="preserve">LUZIANIA</t>
  </si>
  <si>
    <t xml:space="preserve">17854451</t>
  </si>
  <si>
    <t xml:space="preserve">NEYLOR C BARBOSA</t>
  </si>
  <si>
    <t xml:space="preserve">BRASILIA</t>
  </si>
  <si>
    <t xml:space="preserve">17854453</t>
  </si>
  <si>
    <t xml:space="preserve">MD PRODUTOS ALIMENTICIOS LTDAEPP</t>
  </si>
  <si>
    <t xml:space="preserve">17854454</t>
  </si>
  <si>
    <t xml:space="preserve">JUDA PRDODUTOS</t>
  </si>
  <si>
    <t xml:space="preserve">17854455</t>
  </si>
  <si>
    <t xml:space="preserve">PRIME PRODUTOS PARA FESTAS LTDA</t>
  </si>
  <si>
    <t xml:space="preserve">ANAPOLIS</t>
  </si>
  <si>
    <t xml:space="preserve">17854456</t>
  </si>
  <si>
    <t xml:space="preserve">ZAFIR FESTAS LTDA</t>
  </si>
  <si>
    <t xml:space="preserve">17854458</t>
  </si>
  <si>
    <t xml:space="preserve">COMERCIAL DE DOCES E BEBIDAS</t>
  </si>
  <si>
    <t xml:space="preserve">17854460</t>
  </si>
  <si>
    <t xml:space="preserve">ATM FESTAS LTDA</t>
  </si>
  <si>
    <t xml:space="preserve">APARECIDA DE GOIANIA</t>
  </si>
  <si>
    <t xml:space="preserve">17854462</t>
  </si>
  <si>
    <t xml:space="preserve">A FESTIVA CONFEITOS E ORNAMENTACOES</t>
  </si>
  <si>
    <t xml:space="preserve">17854587</t>
  </si>
  <si>
    <t xml:space="preserve">VIBELLA DOCES SAM LTDA</t>
  </si>
  <si>
    <t xml:space="preserve">17854747</t>
  </si>
  <si>
    <t xml:space="preserve">DOVALE COMERCIAL DE SECOS E</t>
  </si>
  <si>
    <t xml:space="preserve">CERES</t>
  </si>
  <si>
    <t xml:space="preserve">17854857</t>
  </si>
  <si>
    <t xml:space="preserve">GP EMBALAGENS EIRELLI EPP</t>
  </si>
  <si>
    <t xml:space="preserve">CAMPO GRANDE</t>
  </si>
  <si>
    <t xml:space="preserve">17854889</t>
  </si>
  <si>
    <t xml:space="preserve">MENDONCA &amp; FILHO LTDA</t>
  </si>
  <si>
    <t xml:space="preserve">17854998</t>
  </si>
  <si>
    <t xml:space="preserve">CARAMUJO DIST DE EMBALAGENS LTDA EP</t>
  </si>
  <si>
    <t xml:space="preserve">17855000</t>
  </si>
  <si>
    <t xml:space="preserve">CHOCOMEL DOCES E BOMBONIERES LTDA E</t>
  </si>
  <si>
    <t xml:space="preserve">17855001</t>
  </si>
  <si>
    <t xml:space="preserve">OPENFESTAS COMERCIAL DE PRODUTOS</t>
  </si>
  <si>
    <t xml:space="preserve">17855052</t>
  </si>
  <si>
    <t xml:space="preserve">17855053</t>
  </si>
  <si>
    <t xml:space="preserve">17855054</t>
  </si>
  <si>
    <t xml:space="preserve">KI FEST COMERCIO DE EMBALAGENS LTDA</t>
  </si>
  <si>
    <t xml:space="preserve">17855055</t>
  </si>
  <si>
    <t xml:space="preserve">17855056</t>
  </si>
  <si>
    <t xml:space="preserve">HAROLBERG COMERCIO DE PRODUTOS</t>
  </si>
  <si>
    <t xml:space="preserve">17855057</t>
  </si>
  <si>
    <t xml:space="preserve">MOREIRA DE AGUIAR &amp; AGUIAR LTDA ME</t>
  </si>
  <si>
    <t xml:space="preserve">ARAGARCAS</t>
  </si>
  <si>
    <t xml:space="preserve">17855069</t>
  </si>
  <si>
    <t xml:space="preserve">DENISE CRISTINA DOS</t>
  </si>
  <si>
    <t xml:space="preserve">TRES LAGOAS</t>
  </si>
  <si>
    <t xml:space="preserve">17855120</t>
  </si>
  <si>
    <t xml:space="preserve">CALDAS PRODUTOS PARA FESTAS LTDA</t>
  </si>
  <si>
    <t xml:space="preserve">17855121</t>
  </si>
  <si>
    <t xml:space="preserve">DOCELAGENS EMBALAGENS E DOCES LTDA</t>
  </si>
  <si>
    <t xml:space="preserve">17855122</t>
  </si>
  <si>
    <t xml:space="preserve">ITUMBIARA</t>
  </si>
  <si>
    <t xml:space="preserve">17855123</t>
  </si>
  <si>
    <t xml:space="preserve">LEANDRO DELFINO DE SOUSA</t>
  </si>
  <si>
    <t xml:space="preserve">URUAÇU</t>
  </si>
  <si>
    <t xml:space="preserve">17855124</t>
  </si>
  <si>
    <t xml:space="preserve">17855126</t>
  </si>
  <si>
    <t xml:space="preserve">DI FESTA PROD PARA FESTAS LTDA EPP</t>
  </si>
  <si>
    <t xml:space="preserve">17855127</t>
  </si>
  <si>
    <t xml:space="preserve">QUERENFESTA PRODUTOS</t>
  </si>
  <si>
    <t xml:space="preserve">QUERENCIA</t>
  </si>
  <si>
    <t xml:space="preserve">17855128</t>
  </si>
  <si>
    <t xml:space="preserve">CASA DA CONFEITARIA ARTIGOS</t>
  </si>
  <si>
    <t xml:space="preserve">17855130</t>
  </si>
  <si>
    <t xml:space="preserve">B.B.M. ALIMENTOS LTDA</t>
  </si>
  <si>
    <t xml:space="preserve">17855131</t>
  </si>
  <si>
    <t xml:space="preserve">J2M PRODUTOS PARA FESTAS LTDA</t>
  </si>
  <si>
    <t xml:space="preserve">17855132</t>
  </si>
  <si>
    <t xml:space="preserve">SERRA DOURADA ARTIGOS PARA FESTA</t>
  </si>
  <si>
    <t xml:space="preserve">17859117</t>
  </si>
  <si>
    <t xml:space="preserve">UNIQUE - SERVICOS DE HOTELARIA E AL</t>
  </si>
  <si>
    <t xml:space="preserve">SAO PAULO</t>
  </si>
  <si>
    <t xml:space="preserve">BR_OMX</t>
  </si>
  <si>
    <t xml:space="preserve">17859119</t>
  </si>
  <si>
    <t xml:space="preserve">PADOCA DO MANI ALIMENTOS LTDA</t>
  </si>
  <si>
    <t xml:space="preserve">SÃO PAULO</t>
  </si>
  <si>
    <t xml:space="preserve">17859122</t>
  </si>
  <si>
    <t xml:space="preserve">SALT BAKERY LTDA</t>
  </si>
  <si>
    <t xml:space="preserve">17864012</t>
  </si>
  <si>
    <t xml:space="preserve">MBF INDUSTRIA E COM DE ALIM LTDA</t>
  </si>
  <si>
    <t xml:space="preserve">BR10</t>
  </si>
  <si>
    <t xml:space="preserve">SANTANA DE PARNAIBA</t>
  </si>
  <si>
    <t xml:space="preserve">BR_RET</t>
  </si>
  <si>
    <t xml:space="preserve">17854241</t>
  </si>
  <si>
    <t xml:space="preserve">CONFEITARIA DE PARIS LTDA</t>
  </si>
  <si>
    <t xml:space="preserve">VALINHOS</t>
  </si>
  <si>
    <t xml:space="preserve">GERAR</t>
  </si>
  <si>
    <t xml:space="preserve">17854251</t>
  </si>
  <si>
    <t xml:space="preserve">ML &amp; JR CONFEITARIA E CHOCOLATERIA</t>
  </si>
  <si>
    <t xml:space="preserve">17854253</t>
  </si>
  <si>
    <t xml:space="preserve">PONTO DE BRIGADEIRO LTDA ­ EPP</t>
  </si>
  <si>
    <t xml:space="preserve">17854260</t>
  </si>
  <si>
    <t xml:space="preserve">MORUMBY HOTEIS LTDA</t>
  </si>
  <si>
    <t xml:space="preserve">17854262</t>
  </si>
  <si>
    <t xml:space="preserve">UNIQUE GARDEN EMPREEND HOTELEIROS</t>
  </si>
  <si>
    <t xml:space="preserve">MAIRIPORA</t>
  </si>
  <si>
    <t xml:space="preserve">17854264</t>
  </si>
  <si>
    <t xml:space="preserve">VIMEG COMERCIO DE CHOCOLATES LTDA</t>
  </si>
  <si>
    <t xml:space="preserve">17854269</t>
  </si>
  <si>
    <t xml:space="preserve">PADARIA MARIA CEREJA LTDA</t>
  </si>
  <si>
    <t xml:space="preserve">GUARULHOS</t>
  </si>
  <si>
    <t xml:space="preserve">17854283</t>
  </si>
  <si>
    <t xml:space="preserve">MADALENA BRIGADEIROS</t>
  </si>
  <si>
    <t xml:space="preserve">SANTOS</t>
  </si>
  <si>
    <t xml:space="preserve">17854463</t>
  </si>
  <si>
    <t xml:space="preserve">IRMAOS REBOUCAS COM DE DOCES LTDA</t>
  </si>
  <si>
    <t xml:space="preserve">ILHEUS</t>
  </si>
  <si>
    <t xml:space="preserve">BR_BA</t>
  </si>
  <si>
    <t xml:space="preserve">17854464</t>
  </si>
  <si>
    <t xml:space="preserve">P&amp;B DISTRIBUIDORA LTDA</t>
  </si>
  <si>
    <t xml:space="preserve">LINHARES</t>
  </si>
  <si>
    <t xml:space="preserve">BR_ES</t>
  </si>
  <si>
    <t xml:space="preserve">17854465</t>
  </si>
  <si>
    <t xml:space="preserve">CARAMELO DISTRIBUIDORA</t>
  </si>
  <si>
    <t xml:space="preserve">ITAPEMIRIM</t>
  </si>
  <si>
    <t xml:space="preserve">17854466</t>
  </si>
  <si>
    <t xml:space="preserve">DADALTO &amp; SILVA LTDA</t>
  </si>
  <si>
    <t xml:space="preserve">17854467</t>
  </si>
  <si>
    <t xml:space="preserve">SOUZA COMERCIAL DE ALIMENTOS</t>
  </si>
  <si>
    <t xml:space="preserve">ALAGOINHAS</t>
  </si>
  <si>
    <t xml:space="preserve">17854468</t>
  </si>
  <si>
    <t xml:space="preserve">17854469</t>
  </si>
  <si>
    <t xml:space="preserve">FESTCON COMERCIO DE ARTIGOS</t>
  </si>
  <si>
    <t xml:space="preserve">FEIRA DE SANTANA</t>
  </si>
  <si>
    <t xml:space="preserve">17854471</t>
  </si>
  <si>
    <t xml:space="preserve">MIRALI ARTIGOS PARA FESTAS E</t>
  </si>
  <si>
    <t xml:space="preserve">17854473</t>
  </si>
  <si>
    <t xml:space="preserve">17854474</t>
  </si>
  <si>
    <t xml:space="preserve">HLF COMERCIO DE CONDIMENTOS LTDA</t>
  </si>
  <si>
    <t xml:space="preserve">DIVINOPOLIS</t>
  </si>
  <si>
    <t xml:space="preserve">BR_MG</t>
  </si>
  <si>
    <t xml:space="preserve">17854476</t>
  </si>
  <si>
    <t xml:space="preserve">MANIA DE FESTA PERIPERI LTDA</t>
  </si>
  <si>
    <t xml:space="preserve">SALVADOR</t>
  </si>
  <si>
    <t xml:space="preserve">17854477</t>
  </si>
  <si>
    <t xml:space="preserve">BUZIM DISTRIBUIDORA DE DOCES LTDA</t>
  </si>
  <si>
    <t xml:space="preserve">CARIACICA</t>
  </si>
  <si>
    <t xml:space="preserve">17854479</t>
  </si>
  <si>
    <t xml:space="preserve">SOARES BEZERRA COM DE ART P F LTDA</t>
  </si>
  <si>
    <t xml:space="preserve">17854481</t>
  </si>
  <si>
    <t xml:space="preserve">MANIA DE FESTA CENTRO LTDA</t>
  </si>
  <si>
    <t xml:space="preserve">17854482</t>
  </si>
  <si>
    <t xml:space="preserve">MANIA DE FESTA SIMOES FILHO LTDA</t>
  </si>
  <si>
    <t xml:space="preserve">SIMOES FILHO</t>
  </si>
  <si>
    <t xml:space="preserve">17854483</t>
  </si>
  <si>
    <t xml:space="preserve">MARIA CHOCOLATE LTDA</t>
  </si>
  <si>
    <t xml:space="preserve">BELO HORIZONTE</t>
  </si>
  <si>
    <t xml:space="preserve">17854485</t>
  </si>
  <si>
    <t xml:space="preserve">DRIFT COMERCIO DE ALIMENTOS S A.</t>
  </si>
  <si>
    <t xml:space="preserve">SERRA</t>
  </si>
  <si>
    <t xml:space="preserve">17854486</t>
  </si>
  <si>
    <t xml:space="preserve">QUALITY PAN INDUSTRIA ALIMENTICIA</t>
  </si>
  <si>
    <t xml:space="preserve">VIANA</t>
  </si>
  <si>
    <t xml:space="preserve">17854487</t>
  </si>
  <si>
    <t xml:space="preserve">CABRAL &amp; SOUSA LTDA</t>
  </si>
  <si>
    <t xml:space="preserve">VITORIA DA CONQUISTA</t>
  </si>
  <si>
    <t xml:space="preserve">17854491</t>
  </si>
  <si>
    <t xml:space="preserve">TETE FESTAS DISTRIB EIRELI - EPP</t>
  </si>
  <si>
    <t xml:space="preserve">JUIZ DE FORA</t>
  </si>
  <si>
    <t xml:space="preserve">17854492</t>
  </si>
  <si>
    <t xml:space="preserve">17854531</t>
  </si>
  <si>
    <t xml:space="preserve">GI CARVALHO DOCERIA UBERABA LTDA</t>
  </si>
  <si>
    <t xml:space="preserve">UBERABA</t>
  </si>
  <si>
    <t xml:space="preserve">17854540</t>
  </si>
  <si>
    <t xml:space="preserve">JANE'S APPLE FACTORY LTDA</t>
  </si>
  <si>
    <t xml:space="preserve">TIRADENTES</t>
  </si>
  <si>
    <t xml:space="preserve">17854542</t>
  </si>
  <si>
    <t xml:space="preserve">ALIMENTOS TIA SONIA LTDA</t>
  </si>
  <si>
    <t xml:space="preserve">17854544</t>
  </si>
  <si>
    <t xml:space="preserve">FSF ALIMENTOS E FRANQUIAS LTDA</t>
  </si>
  <si>
    <t xml:space="preserve">17854588</t>
  </si>
  <si>
    <t xml:space="preserve">VMX EMBALAGENS LTDA</t>
  </si>
  <si>
    <t xml:space="preserve">17854589</t>
  </si>
  <si>
    <t xml:space="preserve">MARIA APARECIDA DA CONCEICAO - ME</t>
  </si>
  <si>
    <t xml:space="preserve">VILA VELHA</t>
  </si>
  <si>
    <t xml:space="preserve">17854590</t>
  </si>
  <si>
    <t xml:space="preserve">DOCE DIA COMERCIO DE DOCES LTDA</t>
  </si>
  <si>
    <t xml:space="preserve">SANTA MARIA DE JETIBA</t>
  </si>
  <si>
    <t xml:space="preserve">17854595</t>
  </si>
  <si>
    <t xml:space="preserve">A. S. NORBIATO ME</t>
  </si>
  <si>
    <t xml:space="preserve">CACHOEIRO DE ITAPEMIRIM</t>
  </si>
  <si>
    <t xml:space="preserve">17854621</t>
  </si>
  <si>
    <t xml:space="preserve">CBB - FARIA LIMA ADMINISTRACAO</t>
  </si>
  <si>
    <t xml:space="preserve">17854631</t>
  </si>
  <si>
    <t xml:space="preserve">V C DE ALMEIDA OLIVEIRA ME</t>
  </si>
  <si>
    <t xml:space="preserve">IBATIBA</t>
  </si>
  <si>
    <t xml:space="preserve">FATURAR</t>
  </si>
  <si>
    <t xml:space="preserve">17854632</t>
  </si>
  <si>
    <t xml:space="preserve">SOUZA FESTA LTDA</t>
  </si>
  <si>
    <t xml:space="preserve">GUARAPARI</t>
  </si>
  <si>
    <t xml:space="preserve">17854633</t>
  </si>
  <si>
    <t xml:space="preserve">SANTO ATACADO LTDA</t>
  </si>
  <si>
    <t xml:space="preserve">17854634</t>
  </si>
  <si>
    <t xml:space="preserve">MARTINS &amp; COSTA PRODUTOS DE</t>
  </si>
  <si>
    <t xml:space="preserve">DORES DO RIO PRETO</t>
  </si>
  <si>
    <t xml:space="preserve">17854638</t>
  </si>
  <si>
    <t xml:space="preserve">COMERCIAL JULIANA DE ITUBERA LTDA</t>
  </si>
  <si>
    <t xml:space="preserve">ITUBERA</t>
  </si>
  <si>
    <t xml:space="preserve">17854902</t>
  </si>
  <si>
    <t xml:space="preserve">PANN COM VAR ATAC PROD ALIM LTDA ME</t>
  </si>
  <si>
    <t xml:space="preserve">ILHEÚS</t>
  </si>
  <si>
    <t xml:space="preserve">17854903</t>
  </si>
  <si>
    <t xml:space="preserve">RAFA COMERCIO DE ARTIGOS PARA</t>
  </si>
  <si>
    <t xml:space="preserve">17854904</t>
  </si>
  <si>
    <t xml:space="preserve">17854932</t>
  </si>
  <si>
    <t xml:space="preserve">VINICYUS TELLES SERRA SANTANA</t>
  </si>
  <si>
    <t xml:space="preserve">17855002</t>
  </si>
  <si>
    <t xml:space="preserve">DISTRIBUIDORA BRISA DOCE - LTDA</t>
  </si>
  <si>
    <t xml:space="preserve">17855003</t>
  </si>
  <si>
    <t xml:space="preserve">CASA DO SORVETEIRO CIDADE NOVA LTDA</t>
  </si>
  <si>
    <t xml:space="preserve">ANANINDEUA</t>
  </si>
  <si>
    <t xml:space="preserve">BR_NO</t>
  </si>
  <si>
    <t xml:space="preserve">17855059</t>
  </si>
  <si>
    <t xml:space="preserve">HIPERDOCES EMBALAGENS</t>
  </si>
  <si>
    <t xml:space="preserve">NOVA VENECIA</t>
  </si>
  <si>
    <t xml:space="preserve">17855071</t>
  </si>
  <si>
    <t xml:space="preserve">J.B.DISTRIB DE DOCES LTDA - EPP</t>
  </si>
  <si>
    <t xml:space="preserve">POCOS DE CALDAS</t>
  </si>
  <si>
    <t xml:space="preserve">17855072</t>
  </si>
  <si>
    <t xml:space="preserve">C E CARDOSO ME</t>
  </si>
  <si>
    <t xml:space="preserve">ARAGUARI</t>
  </si>
  <si>
    <t xml:space="preserve">17855073</t>
  </si>
  <si>
    <t xml:space="preserve">VIDA E FESTA COMÉRCIO</t>
  </si>
  <si>
    <t xml:space="preserve">PATROCÍNIO</t>
  </si>
  <si>
    <t xml:space="preserve">17855074</t>
  </si>
  <si>
    <t xml:space="preserve">PLASPEL FESTAS E DOCES LTDA</t>
  </si>
  <si>
    <t xml:space="preserve">PATOS DE MINAS</t>
  </si>
  <si>
    <t xml:space="preserve">17855075</t>
  </si>
  <si>
    <t xml:space="preserve">CRC COMERCIO DE ALIMENTOS LTDA ME</t>
  </si>
  <si>
    <t xml:space="preserve">DOURADOS</t>
  </si>
  <si>
    <t xml:space="preserve">17855133</t>
  </si>
  <si>
    <t xml:space="preserve">P. PACK EMBALAGENS EIRELI</t>
  </si>
  <si>
    <t xml:space="preserve">VENDA NOVA DO IMIGRANTE</t>
  </si>
  <si>
    <t xml:space="preserve">17855134</t>
  </si>
  <si>
    <t xml:space="preserve">OLIVEIRA &amp; BESSA LTDA</t>
  </si>
  <si>
    <t xml:space="preserve">CASTELO</t>
  </si>
  <si>
    <t xml:space="preserve">17855135</t>
  </si>
  <si>
    <t xml:space="preserve">M &amp; M EBALAGENS LTDA ME</t>
  </si>
  <si>
    <t xml:space="preserve">17855136</t>
  </si>
  <si>
    <t xml:space="preserve">BIG 2 DISTRIBUIDORA LTDA</t>
  </si>
  <si>
    <t xml:space="preserve">COLATINA</t>
  </si>
  <si>
    <t xml:space="preserve">17856410</t>
  </si>
  <si>
    <t xml:space="preserve">BRASIL CAFE COMERCIO E SERVICOS</t>
  </si>
  <si>
    <t xml:space="preserve">17856411</t>
  </si>
  <si>
    <t xml:space="preserve">ATELIER LU CHOCOLATES LTDA</t>
  </si>
  <si>
    <t xml:space="preserve">SANTO ANDRE</t>
  </si>
  <si>
    <t xml:space="preserve">17858769</t>
  </si>
  <si>
    <t xml:space="preserve">17854366</t>
  </si>
  <si>
    <t xml:space="preserve">MMC INDÚSTRIA DE NUTRACEUTICOS LTDA</t>
  </si>
  <si>
    <t xml:space="preserve">XAXIM</t>
  </si>
  <si>
    <t xml:space="preserve">17854422</t>
  </si>
  <si>
    <t xml:space="preserve">UBIPLASTIC EMBALAGENS LTDA.</t>
  </si>
  <si>
    <t xml:space="preserve">UBIRATA</t>
  </si>
  <si>
    <t xml:space="preserve">17854424</t>
  </si>
  <si>
    <t xml:space="preserve">ATAIRINE NASCIMENTO DE SOUZA</t>
  </si>
  <si>
    <t xml:space="preserve">ARAQUARI</t>
  </si>
  <si>
    <t xml:space="preserve">17854426</t>
  </si>
  <si>
    <t xml:space="preserve">EMBAFEST COM EMB DESCARTAVEIS LTDA</t>
  </si>
  <si>
    <t xml:space="preserve">17854427</t>
  </si>
  <si>
    <t xml:space="preserve">ELIANE MARI CIONEK</t>
  </si>
  <si>
    <t xml:space="preserve">CONTENDA</t>
  </si>
  <si>
    <t xml:space="preserve">17854429</t>
  </si>
  <si>
    <t xml:space="preserve">TIO MARIO EMBALAGENS LTDA</t>
  </si>
  <si>
    <t xml:space="preserve">SAO LUIZ GONZAGA</t>
  </si>
  <si>
    <t xml:space="preserve">17854436</t>
  </si>
  <si>
    <t xml:space="preserve">BASSEM BEITUNI DAHLEH EIRELI EPP</t>
  </si>
  <si>
    <t xml:space="preserve">URUGUAIANA</t>
  </si>
  <si>
    <t xml:space="preserve">17854439</t>
  </si>
  <si>
    <t xml:space="preserve">CASA DO DOCE E FESTAS</t>
  </si>
  <si>
    <t xml:space="preserve">SANTO ANTONIO DA PLATINA</t>
  </si>
  <si>
    <t xml:space="preserve">17854440</t>
  </si>
  <si>
    <t xml:space="preserve">FESTAS AGRONOMICA LTDA</t>
  </si>
  <si>
    <t xml:space="preserve">FLORIANOPOLIS</t>
  </si>
  <si>
    <t xml:space="preserve">17854495</t>
  </si>
  <si>
    <t xml:space="preserve">17854496</t>
  </si>
  <si>
    <t xml:space="preserve">MAICON DU COCO COMERCIAL</t>
  </si>
  <si>
    <t xml:space="preserve">IVOTI</t>
  </si>
  <si>
    <t xml:space="preserve">17854498</t>
  </si>
  <si>
    <t xml:space="preserve">17854499</t>
  </si>
  <si>
    <t xml:space="preserve">LUIZA COMERCIO DE EMBALAGENS LTDA</t>
  </si>
  <si>
    <t xml:space="preserve">CRICIUMA</t>
  </si>
  <si>
    <t xml:space="preserve">17854558</t>
  </si>
  <si>
    <t xml:space="preserve">PORTUA COMERCIO E PRODUCAO</t>
  </si>
  <si>
    <t xml:space="preserve">MONTENEGRO</t>
  </si>
  <si>
    <t xml:space="preserve">17854570</t>
  </si>
  <si>
    <t xml:space="preserve">MICHELE BRITO MONTIPO</t>
  </si>
  <si>
    <t xml:space="preserve">PASSO FUNDO</t>
  </si>
  <si>
    <t xml:space="preserve">17854572</t>
  </si>
  <si>
    <t xml:space="preserve">BOHRER E SCHEID FABRICAÇÃO DE</t>
  </si>
  <si>
    <t xml:space="preserve">17854582</t>
  </si>
  <si>
    <t xml:space="preserve">SPACE DONUTS PANIFICACAO LTDA</t>
  </si>
  <si>
    <t xml:space="preserve">LAGES</t>
  </si>
  <si>
    <t xml:space="preserve">17854596</t>
  </si>
  <si>
    <t xml:space="preserve">MRP DISTRIBUIDORA LTDA</t>
  </si>
  <si>
    <t xml:space="preserve">COLOMBO</t>
  </si>
  <si>
    <t xml:space="preserve">17854597</t>
  </si>
  <si>
    <t xml:space="preserve">ELITE COMERCIO DE ALIMENTOS LTDA</t>
  </si>
  <si>
    <t xml:space="preserve">GRAVATAI</t>
  </si>
  <si>
    <t xml:space="preserve">17854605</t>
  </si>
  <si>
    <t xml:space="preserve">MUNDO DO CHOCOLATE LTDA</t>
  </si>
  <si>
    <t xml:space="preserve">CHAPECÓ</t>
  </si>
  <si>
    <t xml:space="preserve">17854611</t>
  </si>
  <si>
    <t xml:space="preserve">COTRIPAL AGROPECUARIA COOPERATIVA</t>
  </si>
  <si>
    <t xml:space="preserve">PANAMBI</t>
  </si>
  <si>
    <t xml:space="preserve">17854615</t>
  </si>
  <si>
    <t xml:space="preserve">CAPANNOLI COMERCIO DE</t>
  </si>
  <si>
    <t xml:space="preserve">GRAMADO</t>
  </si>
  <si>
    <t xml:space="preserve">17854641</t>
  </si>
  <si>
    <t xml:space="preserve">ADOLETA FESTAS</t>
  </si>
  <si>
    <t xml:space="preserve">SÃO JOSÉ</t>
  </si>
  <si>
    <t xml:space="preserve">17854676</t>
  </si>
  <si>
    <t xml:space="preserve">F &amp; A EMBALAGENS LTDA</t>
  </si>
  <si>
    <t xml:space="preserve">MARMELEIRO</t>
  </si>
  <si>
    <t xml:space="preserve">17854690</t>
  </si>
  <si>
    <t xml:space="preserve">CONFRARIA DO CONFEITEIRO LTDA</t>
  </si>
  <si>
    <t xml:space="preserve">17854765</t>
  </si>
  <si>
    <t xml:space="preserve">DEVORATA INDUSTRIA E COMERCIO DE</t>
  </si>
  <si>
    <t xml:space="preserve">GARIBALDI</t>
  </si>
  <si>
    <t xml:space="preserve">17854766</t>
  </si>
  <si>
    <t xml:space="preserve">17854786</t>
  </si>
  <si>
    <t xml:space="preserve">CONFEITARIA FINO SABOR</t>
  </si>
  <si>
    <t xml:space="preserve">VIDEIRA</t>
  </si>
  <si>
    <t xml:space="preserve">17857047</t>
  </si>
  <si>
    <t xml:space="preserve">17857095</t>
  </si>
  <si>
    <t xml:space="preserve">17857138</t>
  </si>
  <si>
    <t xml:space="preserve">COMERCIO DE EMBALAGENS EDUARDO</t>
  </si>
  <si>
    <t xml:space="preserve">17857139</t>
  </si>
  <si>
    <t xml:space="preserve">PRESTINARIA IND. E COM. DE</t>
  </si>
  <si>
    <t xml:space="preserve">17857140</t>
  </si>
  <si>
    <t xml:space="preserve">IRMAOS CAMPOS LTDA - EPP</t>
  </si>
  <si>
    <t xml:space="preserve">17857141</t>
  </si>
  <si>
    <t xml:space="preserve">COMERCIO E REPRESENTAÇÕES BELLATO L</t>
  </si>
  <si>
    <t xml:space="preserve">17857143</t>
  </si>
  <si>
    <t xml:space="preserve">M.L. BERNARDI &amp; CIA LTDA</t>
  </si>
  <si>
    <t xml:space="preserve">17857144</t>
  </si>
  <si>
    <t xml:space="preserve">SORVETES E FESTAS COM. ALIM.</t>
  </si>
  <si>
    <t xml:space="preserve">FOZ DO IGUAÇU</t>
  </si>
  <si>
    <t xml:space="preserve">17857145</t>
  </si>
  <si>
    <t xml:space="preserve">DISTRIBUIDORA DE DOCES CORREA</t>
  </si>
  <si>
    <t xml:space="preserve">UNIÃO DA VITORIA</t>
  </si>
  <si>
    <t xml:space="preserve">17857285</t>
  </si>
  <si>
    <t xml:space="preserve">CONFPACK EMBALAGENS E ARTIGOS</t>
  </si>
  <si>
    <t xml:space="preserve">CAMBORIU</t>
  </si>
  <si>
    <t xml:space="preserve">17857286</t>
  </si>
  <si>
    <t xml:space="preserve">CLEIBY DAROSSI ME</t>
  </si>
  <si>
    <t xml:space="preserve">BALNEÁRIO PIÇARRAS</t>
  </si>
  <si>
    <t xml:space="preserve">17857287</t>
  </si>
  <si>
    <t xml:space="preserve">IGOR DA SILVA MEIRELLES COMERCIO</t>
  </si>
  <si>
    <t xml:space="preserve">17857288</t>
  </si>
  <si>
    <t xml:space="preserve">RICARDO ANDREIS ME</t>
  </si>
  <si>
    <t xml:space="preserve">CRUZ ALTA</t>
  </si>
  <si>
    <t xml:space="preserve">17857289</t>
  </si>
  <si>
    <t xml:space="preserve">17857290</t>
  </si>
  <si>
    <t xml:space="preserve">AGGIO E CIA LTDA ME</t>
  </si>
  <si>
    <t xml:space="preserve">CAMPO LARGO</t>
  </si>
  <si>
    <t xml:space="preserve">17857291</t>
  </si>
  <si>
    <t xml:space="preserve">SILVA DALLA CORTE &amp; CIA LTDA</t>
  </si>
  <si>
    <t xml:space="preserve">QUARAI</t>
  </si>
  <si>
    <t xml:space="preserve">17857293</t>
  </si>
  <si>
    <t xml:space="preserve">MOLIANI &amp; GIRALDI LTDA</t>
  </si>
  <si>
    <t xml:space="preserve">ARAPONGAS</t>
  </si>
  <si>
    <t xml:space="preserve">17857294</t>
  </si>
  <si>
    <t xml:space="preserve">MARCELO DA ROCHA FERNANDES</t>
  </si>
  <si>
    <t xml:space="preserve">ALVORADA</t>
  </si>
  <si>
    <t xml:space="preserve">17857295</t>
  </si>
  <si>
    <t xml:space="preserve">COMERCIAL DE ALIMENTOS MADRI LTDA -</t>
  </si>
  <si>
    <t xml:space="preserve">17857296</t>
  </si>
  <si>
    <t xml:space="preserve">EPA COMERC. E REPRESENTA.</t>
  </si>
  <si>
    <t xml:space="preserve">17857297</t>
  </si>
  <si>
    <t xml:space="preserve">ALEGRA FESTAS COMERCIO DE ARTIGOS</t>
  </si>
  <si>
    <t xml:space="preserve">ITAJAÍ</t>
  </si>
  <si>
    <t xml:space="preserve">17857298</t>
  </si>
  <si>
    <t xml:space="preserve">FERNANDA LENIR WERNER</t>
  </si>
  <si>
    <t xml:space="preserve">BLUMENAU</t>
  </si>
  <si>
    <t xml:space="preserve">17857299</t>
  </si>
  <si>
    <t xml:space="preserve">MAIS DOCE CASA DO CHOCOLATE LTDA</t>
  </si>
  <si>
    <t xml:space="preserve">TORRES</t>
  </si>
  <si>
    <t xml:space="preserve">17857300</t>
  </si>
  <si>
    <t xml:space="preserve">REI DA FESTA COMERCIO DE DOCES</t>
  </si>
  <si>
    <t xml:space="preserve">MANDAGUAR</t>
  </si>
  <si>
    <t xml:space="preserve">17857301</t>
  </si>
  <si>
    <t xml:space="preserve">FERNANDO GASPAR &amp; CIA LTDA</t>
  </si>
  <si>
    <t xml:space="preserve">PONTA GROSSA</t>
  </si>
  <si>
    <t xml:space="preserve">17857302</t>
  </si>
  <si>
    <t xml:space="preserve">COIADO &amp; COIADO</t>
  </si>
  <si>
    <t xml:space="preserve">17857305</t>
  </si>
  <si>
    <t xml:space="preserve">INDUSTRIA DE CHOCOLATES TREZE TILIA</t>
  </si>
  <si>
    <t xml:space="preserve">TREZE TILIAS</t>
  </si>
  <si>
    <t xml:space="preserve">17857322</t>
  </si>
  <si>
    <t xml:space="preserve">HERMÍNIA MARLENE VIVIANE M.E.</t>
  </si>
  <si>
    <t xml:space="preserve">17857323</t>
  </si>
  <si>
    <t xml:space="preserve">LUDWIG ARTIGOS PARA FESTAS EIRELI</t>
  </si>
  <si>
    <t xml:space="preserve">17857324</t>
  </si>
  <si>
    <t xml:space="preserve">NATALLY VIEIRA DE FELIPPE</t>
  </si>
  <si>
    <t xml:space="preserve">RIO GRANDE</t>
  </si>
  <si>
    <t xml:space="preserve">17857325</t>
  </si>
  <si>
    <t xml:space="preserve">EMPORIUM KERO MAIS ATACADISTA LTDA</t>
  </si>
  <si>
    <t xml:space="preserve">FRAIBURGO</t>
  </si>
  <si>
    <t xml:space="preserve">17857326</t>
  </si>
  <si>
    <t xml:space="preserve">DOCEBAR COMERCIAL LTDA</t>
  </si>
  <si>
    <t xml:space="preserve">17857327</t>
  </si>
  <si>
    <t xml:space="preserve">EMBALAGENS TRES IRMAOS LTDA</t>
  </si>
  <si>
    <t xml:space="preserve">17857328</t>
  </si>
  <si>
    <t xml:space="preserve">ODISSEIA CORREA DA SILVA-ME</t>
  </si>
  <si>
    <t xml:space="preserve">ITAQUI</t>
  </si>
  <si>
    <t xml:space="preserve">17857329</t>
  </si>
  <si>
    <t xml:space="preserve">AAMEMFES COMERCIO DE</t>
  </si>
  <si>
    <t xml:space="preserve">17857330</t>
  </si>
  <si>
    <t xml:space="preserve">LUPEL EMBALAGENS LTDA</t>
  </si>
  <si>
    <t xml:space="preserve">TIJUCAS</t>
  </si>
  <si>
    <t xml:space="preserve">17857331</t>
  </si>
  <si>
    <t xml:space="preserve">COMERCIO DE DOCES JS LTDA</t>
  </si>
  <si>
    <t xml:space="preserve">RIO DO SUL</t>
  </si>
  <si>
    <t xml:space="preserve">17857332</t>
  </si>
  <si>
    <t xml:space="preserve">M L SCHWERZ EMBALAGENS</t>
  </si>
  <si>
    <t xml:space="preserve">SANTA CRUZ DO SUL</t>
  </si>
  <si>
    <t xml:space="preserve">17857333</t>
  </si>
  <si>
    <t xml:space="preserve">MARISIL COMERCIO DE EMBALAGENS</t>
  </si>
  <si>
    <t xml:space="preserve">GUAIBA</t>
  </si>
  <si>
    <t xml:space="preserve">17858355</t>
  </si>
  <si>
    <t xml:space="preserve">BIMBO DO BRASIL LTDA</t>
  </si>
  <si>
    <t xml:space="preserve">GUARAPUAVA</t>
  </si>
  <si>
    <t xml:space="preserve">17858356</t>
  </si>
  <si>
    <t xml:space="preserve">17858566</t>
  </si>
  <si>
    <t xml:space="preserve">17858779</t>
  </si>
  <si>
    <t xml:space="preserve">BRIOCHE DELIVERY LTDA</t>
  </si>
  <si>
    <t xml:space="preserve">17858787</t>
  </si>
  <si>
    <t xml:space="preserve">VIAREGGIO INDUSTRIA &amp; COMERCIO DE</t>
  </si>
  <si>
    <t xml:space="preserve">17863765</t>
  </si>
  <si>
    <t xml:space="preserve">BAUDELAIRE COOKIES LTDA</t>
  </si>
  <si>
    <t xml:space="preserve">APUCARANA</t>
  </si>
  <si>
    <t xml:space="preserve">17863768</t>
  </si>
  <si>
    <t xml:space="preserve">IBBT INDUSTRIA E COMERCIO DE</t>
  </si>
  <si>
    <t xml:space="preserve">17863769</t>
  </si>
  <si>
    <t xml:space="preserve">17867612</t>
  </si>
  <si>
    <t xml:space="preserve">17867613</t>
  </si>
  <si>
    <t xml:space="preserve">17867614</t>
  </si>
  <si>
    <t xml:space="preserve">HAPPS CHOCOLATE</t>
  </si>
  <si>
    <t xml:space="preserve">17854292</t>
  </si>
  <si>
    <t xml:space="preserve">DELICATESSEN CATETE EIRELI</t>
  </si>
  <si>
    <t xml:space="preserve">RIO DE JANEIRO</t>
  </si>
  <si>
    <t xml:space="preserve">BR_RJ</t>
  </si>
  <si>
    <t xml:space="preserve">17854293</t>
  </si>
  <si>
    <t xml:space="preserve">TATIANE CRISTINE LEMOS AVILA</t>
  </si>
  <si>
    <t xml:space="preserve">PARATY</t>
  </si>
  <si>
    <t xml:space="preserve">17854296</t>
  </si>
  <si>
    <t xml:space="preserve">ARMAZEM DAS TORTAS COMERCIO DE</t>
  </si>
  <si>
    <t xml:space="preserve">PETROPOLIS</t>
  </si>
  <si>
    <t xml:space="preserve">17854300</t>
  </si>
  <si>
    <t xml:space="preserve">TALHO CAPIXABA LTDA</t>
  </si>
  <si>
    <t xml:space="preserve">17854322</t>
  </si>
  <si>
    <t xml:space="preserve">ALMA INDUSTRIA DE DOCES LTDA</t>
  </si>
  <si>
    <t xml:space="preserve">17854500</t>
  </si>
  <si>
    <t xml:space="preserve">COMPANHIA PALMARES HOTEIS E TURISMO</t>
  </si>
  <si>
    <t xml:space="preserve">17854502</t>
  </si>
  <si>
    <t xml:space="preserve">DISTRIBUIDORA DE EMBALAGENS</t>
  </si>
  <si>
    <t xml:space="preserve">17854504</t>
  </si>
  <si>
    <t xml:space="preserve">CECAL LOJA COMERCIO VAREJISTA LTDA</t>
  </si>
  <si>
    <t xml:space="preserve">CAMPOS DOS GOYTACAZES</t>
  </si>
  <si>
    <t xml:space="preserve">17854505</t>
  </si>
  <si>
    <t xml:space="preserve">DISTRIBUIDORA DE DOCES</t>
  </si>
  <si>
    <t xml:space="preserve">RIO BONITO</t>
  </si>
  <si>
    <t xml:space="preserve">17854506</t>
  </si>
  <si>
    <t xml:space="preserve">PEG MEL BOMBONIERE LTDA - ME</t>
  </si>
  <si>
    <t xml:space="preserve">RESENDE</t>
  </si>
  <si>
    <t xml:space="preserve">17854508</t>
  </si>
  <si>
    <t xml:space="preserve">DISTRIBUIDORA LIGEIRINHO DE</t>
  </si>
  <si>
    <t xml:space="preserve">SAO GONCALO</t>
  </si>
  <si>
    <t xml:space="preserve">17854532</t>
  </si>
  <si>
    <t xml:space="preserve">TALHO DELICATESSEN PAD E CONF LTDA</t>
  </si>
  <si>
    <t xml:space="preserve">17854533</t>
  </si>
  <si>
    <t xml:space="preserve">TALHO CAFE LTDA</t>
  </si>
  <si>
    <t xml:space="preserve">17854561</t>
  </si>
  <si>
    <t xml:space="preserve">PANIFICACAO IPANEMA LTDA</t>
  </si>
  <si>
    <t xml:space="preserve">17854598</t>
  </si>
  <si>
    <t xml:space="preserve">KOLCAM FESTAS LTDA ME</t>
  </si>
  <si>
    <t xml:space="preserve">17854622</t>
  </si>
  <si>
    <t xml:space="preserve">COM LUZIA MEIRE DE GENEROS</t>
  </si>
  <si>
    <t xml:space="preserve">BR_SPC</t>
  </si>
  <si>
    <t xml:space="preserve">17854664</t>
  </si>
  <si>
    <t xml:space="preserve">NEW FESTA LTDA</t>
  </si>
  <si>
    <t xml:space="preserve">17854665</t>
  </si>
  <si>
    <t xml:space="preserve">17854669</t>
  </si>
  <si>
    <t xml:space="preserve">EMBALEME COM. DE EMBALAGENS DESCART</t>
  </si>
  <si>
    <t xml:space="preserve">LEME</t>
  </si>
  <si>
    <t xml:space="preserve">BR_SPI</t>
  </si>
  <si>
    <t xml:space="preserve">17854677</t>
  </si>
  <si>
    <t xml:space="preserve">MACPAN - COM E DISTRIB DE PROD ALIM</t>
  </si>
  <si>
    <t xml:space="preserve">SAO VICENTE</t>
  </si>
  <si>
    <t xml:space="preserve">17854681</t>
  </si>
  <si>
    <t xml:space="preserve">17854682</t>
  </si>
  <si>
    <t xml:space="preserve">17854683</t>
  </si>
  <si>
    <t xml:space="preserve">DOCES DOCELANDIA &amp; VAZ LTDA</t>
  </si>
  <si>
    <t xml:space="preserve">17854685</t>
  </si>
  <si>
    <t xml:space="preserve">17854694</t>
  </si>
  <si>
    <t xml:space="preserve">VIEL VIEL &amp; CIA LTDA</t>
  </si>
  <si>
    <t xml:space="preserve">OSASCO</t>
  </si>
  <si>
    <t xml:space="preserve">17854702</t>
  </si>
  <si>
    <t xml:space="preserve">CCN COMERCIAL CENTRO</t>
  </si>
  <si>
    <t xml:space="preserve">NOVA FRIBURGO</t>
  </si>
  <si>
    <t xml:space="preserve">17854710</t>
  </si>
  <si>
    <t xml:space="preserve">17854711</t>
  </si>
  <si>
    <t xml:space="preserve">17854715</t>
  </si>
  <si>
    <t xml:space="preserve">17854722</t>
  </si>
  <si>
    <t xml:space="preserve">17854760</t>
  </si>
  <si>
    <t xml:space="preserve">PIRUETA BOA ESPERANCA</t>
  </si>
  <si>
    <t xml:space="preserve">17854761</t>
  </si>
  <si>
    <t xml:space="preserve">17854762</t>
  </si>
  <si>
    <t xml:space="preserve">PIRUETA BOA ESPERANCA COMERCIO DE</t>
  </si>
  <si>
    <t xml:space="preserve">SAO PAULO </t>
  </si>
  <si>
    <t xml:space="preserve">17854763</t>
  </si>
  <si>
    <t xml:space="preserve">17854770</t>
  </si>
  <si>
    <t xml:space="preserve">COMERC LUZIA MEIRE DE GEN ALIM</t>
  </si>
  <si>
    <t xml:space="preserve">17854771</t>
  </si>
  <si>
    <t xml:space="preserve">17854788</t>
  </si>
  <si>
    <t xml:space="preserve">COMERCIAL TATENO DELIHOUSE LTDA</t>
  </si>
  <si>
    <t xml:space="preserve">17854789</t>
  </si>
  <si>
    <t xml:space="preserve">17854790</t>
  </si>
  <si>
    <t xml:space="preserve">17854791</t>
  </si>
  <si>
    <t xml:space="preserve">CRISTINA ZUNTINI SANTOS EPP</t>
  </si>
  <si>
    <t xml:space="preserve">SOROCABA</t>
  </si>
  <si>
    <t xml:space="preserve">17854792</t>
  </si>
  <si>
    <t xml:space="preserve">17854798</t>
  </si>
  <si>
    <t xml:space="preserve">DISCAMP NOVA ODESSA DISTRIBUIDORA</t>
  </si>
  <si>
    <t xml:space="preserve">NOVA ODESSA</t>
  </si>
  <si>
    <t xml:space="preserve">17854799</t>
  </si>
  <si>
    <t xml:space="preserve">DISCAMP VALINHOS DISTRIBUIDORA LTDA</t>
  </si>
  <si>
    <t xml:space="preserve">17854800</t>
  </si>
  <si>
    <t xml:space="preserve">DISCAMPBAMBA DISTRIBUIDORA LTDA</t>
  </si>
  <si>
    <t xml:space="preserve">CAMPINAS</t>
  </si>
  <si>
    <t xml:space="preserve">17854802</t>
  </si>
  <si>
    <t xml:space="preserve">DISCAMPCHOC COMERCIO DE</t>
  </si>
  <si>
    <t xml:space="preserve">17854813</t>
  </si>
  <si>
    <t xml:space="preserve">DM MERCADO LTDA - ME</t>
  </si>
  <si>
    <t xml:space="preserve">SAO BERNARDO DO CAMPO</t>
  </si>
  <si>
    <t xml:space="preserve">17854814</t>
  </si>
  <si>
    <t xml:space="preserve">17854815</t>
  </si>
  <si>
    <t xml:space="preserve">DOCE FESTA DOCERRANO LTDA</t>
  </si>
  <si>
    <t xml:space="preserve">17854820</t>
  </si>
  <si>
    <t xml:space="preserve">DIADEMA</t>
  </si>
  <si>
    <t xml:space="preserve">17854821</t>
  </si>
  <si>
    <t xml:space="preserve">17854828</t>
  </si>
  <si>
    <t xml:space="preserve">17854830</t>
  </si>
  <si>
    <t xml:space="preserve">17854837</t>
  </si>
  <si>
    <t xml:space="preserve">EDUMIX SERVICOS COMERCIO E</t>
  </si>
  <si>
    <t xml:space="preserve">17854840</t>
  </si>
  <si>
    <t xml:space="preserve">17854841</t>
  </si>
  <si>
    <t xml:space="preserve">17854870</t>
  </si>
  <si>
    <t xml:space="preserve">J. ARAUJO DISTRIBUIDORA</t>
  </si>
  <si>
    <t xml:space="preserve">DUQUE DE CAXIAS</t>
  </si>
  <si>
    <t xml:space="preserve">17854879</t>
  </si>
  <si>
    <t xml:space="preserve">17854880</t>
  </si>
  <si>
    <t xml:space="preserve">17854912</t>
  </si>
  <si>
    <t xml:space="preserve">S.V. PROPLASTIK COMERCIAL LTDA</t>
  </si>
  <si>
    <t xml:space="preserve">17854916</t>
  </si>
  <si>
    <t xml:space="preserve">SUPER DOCES MARINGA LTDA</t>
  </si>
  <si>
    <t xml:space="preserve">TABOAO DA SERRA</t>
  </si>
  <si>
    <t xml:space="preserve">17854924</t>
  </si>
  <si>
    <t xml:space="preserve">PLATLOG IMP LOG E DISTR LTDA</t>
  </si>
  <si>
    <t xml:space="preserve">JUNDIAI</t>
  </si>
  <si>
    <t xml:space="preserve">17854928</t>
  </si>
  <si>
    <t xml:space="preserve">KKULA ALIMENTOS LTDA - ME</t>
  </si>
  <si>
    <t xml:space="preserve">17855032</t>
  </si>
  <si>
    <t xml:space="preserve">RIBERFOODS IMPORTADORA</t>
  </si>
  <si>
    <t xml:space="preserve">RIBEIRAO PRETO</t>
  </si>
  <si>
    <t xml:space="preserve">17855098</t>
  </si>
  <si>
    <t xml:space="preserve">COMERCIAL IMP.EXP.METAPUNTO LTDA</t>
  </si>
  <si>
    <t xml:space="preserve">17855107</t>
  </si>
  <si>
    <t xml:space="preserve">17855109</t>
  </si>
  <si>
    <t xml:space="preserve">CAFE PACIFICO S A</t>
  </si>
  <si>
    <t xml:space="preserve">17856095</t>
  </si>
  <si>
    <t xml:space="preserve">COMERCIAL LUZIA MEIRE DE GENEROS AL</t>
  </si>
  <si>
    <t xml:space="preserve">17856099</t>
  </si>
  <si>
    <t xml:space="preserve">17856105</t>
  </si>
  <si>
    <t xml:space="preserve">17856106</t>
  </si>
  <si>
    <t xml:space="preserve">17856111</t>
  </si>
  <si>
    <t xml:space="preserve">SHOP KID S MAGAZINE LTDA</t>
  </si>
  <si>
    <t xml:space="preserve">17856119</t>
  </si>
  <si>
    <t xml:space="preserve">17856120</t>
  </si>
  <si>
    <t xml:space="preserve">17856123</t>
  </si>
  <si>
    <t xml:space="preserve">17856148</t>
  </si>
  <si>
    <t xml:space="preserve">17856345</t>
  </si>
  <si>
    <t xml:space="preserve">17856444</t>
  </si>
  <si>
    <t xml:space="preserve">FUNCHAL INDUSTRIA E COMERCIO</t>
  </si>
  <si>
    <t xml:space="preserve">17856445</t>
  </si>
  <si>
    <t xml:space="preserve">17856446</t>
  </si>
  <si>
    <t xml:space="preserve">17856457</t>
  </si>
  <si>
    <t xml:space="preserve">LOPES SUPERMERCADOS LTDA</t>
  </si>
  <si>
    <t xml:space="preserve">PEREIRA BARRETO</t>
  </si>
  <si>
    <t xml:space="preserve">17856460</t>
  </si>
  <si>
    <t xml:space="preserve">SHIBATA COMERCIAL ATACADISTA</t>
  </si>
  <si>
    <t xml:space="preserve">MOGI DAS CRUZES</t>
  </si>
  <si>
    <t xml:space="preserve">17856681</t>
  </si>
  <si>
    <t xml:space="preserve">17856682</t>
  </si>
  <si>
    <t xml:space="preserve">17856685</t>
  </si>
  <si>
    <t xml:space="preserve">DISCAMP FOODS COMERCIO</t>
  </si>
  <si>
    <t xml:space="preserve">PAULINIA</t>
  </si>
  <si>
    <t xml:space="preserve">17856686</t>
  </si>
  <si>
    <t xml:space="preserve">17856689</t>
  </si>
  <si>
    <t xml:space="preserve">17856693</t>
  </si>
  <si>
    <t xml:space="preserve">LA ZUCKER ATACADO E DISTRIB. LTDA</t>
  </si>
  <si>
    <t xml:space="preserve">JARDINOPOLIS</t>
  </si>
  <si>
    <t xml:space="preserve">17856695</t>
  </si>
  <si>
    <t xml:space="preserve">17856753</t>
  </si>
  <si>
    <t xml:space="preserve">ANA ESTELA PIMENTEL DE OLIVEIRA</t>
  </si>
  <si>
    <t xml:space="preserve">17856759</t>
  </si>
  <si>
    <t xml:space="preserve">VIVIAN DOCERIA LTDA</t>
  </si>
  <si>
    <t xml:space="preserve">17856813</t>
  </si>
  <si>
    <t xml:space="preserve">17856850</t>
  </si>
  <si>
    <t xml:space="preserve">17857070</t>
  </si>
  <si>
    <t xml:space="preserve">VR-2 RESTAURANTE LTDA</t>
  </si>
  <si>
    <t xml:space="preserve">17857071</t>
  </si>
  <si>
    <t xml:space="preserve">EMPORIO JARDIM ALIMENTOS LTDA - ME</t>
  </si>
  <si>
    <t xml:space="preserve">17857072</t>
  </si>
  <si>
    <t xml:space="preserve">BAR BAIXO HORTO LTDA</t>
  </si>
  <si>
    <t xml:space="preserve">17857073</t>
  </si>
  <si>
    <t xml:space="preserve">DELI BOTAFOGO LTDA</t>
  </si>
  <si>
    <t xml:space="preserve">17857075</t>
  </si>
  <si>
    <t xml:space="preserve">CASA 201 GASTRONOMIA LTDA</t>
  </si>
  <si>
    <t xml:space="preserve">17857079</t>
  </si>
  <si>
    <t xml:space="preserve">O&amp;S FABRIQUE LTDA</t>
  </si>
  <si>
    <t xml:space="preserve">17857083</t>
  </si>
  <si>
    <t xml:space="preserve">25 GELATO VENTURES LTDA</t>
  </si>
  <si>
    <t xml:space="preserve">NITEROI</t>
  </si>
  <si>
    <t xml:space="preserve">17857087</t>
  </si>
  <si>
    <t xml:space="preserve">TONTTULAKKI COMÉRCIO DE CHOCOLATES</t>
  </si>
  <si>
    <t xml:space="preserve">ITATIAIA</t>
  </si>
  <si>
    <t xml:space="preserve">17857375</t>
  </si>
  <si>
    <t xml:space="preserve">DAGER COMERCIO ATACADISTA</t>
  </si>
  <si>
    <t xml:space="preserve">17857376</t>
  </si>
  <si>
    <t xml:space="preserve">L. P. MOREIRA MERCEARIA LTDA</t>
  </si>
  <si>
    <t xml:space="preserve">BARRA DO PIRAI</t>
  </si>
  <si>
    <t xml:space="preserve">17857377</t>
  </si>
  <si>
    <t xml:space="preserve">V R Z M GONCALVES LTDA</t>
  </si>
  <si>
    <t xml:space="preserve">17857378</t>
  </si>
  <si>
    <t xml:space="preserve">MERCEARIA MEGAPLAST FIGUEIRA LTDA</t>
  </si>
  <si>
    <t xml:space="preserve">ITAOCARA</t>
  </si>
  <si>
    <t xml:space="preserve">17857379</t>
  </si>
  <si>
    <t xml:space="preserve">BAZAR MACHADO MACAE LTDA</t>
  </si>
  <si>
    <t xml:space="preserve">MACAE</t>
  </si>
  <si>
    <t xml:space="preserve">17857381</t>
  </si>
  <si>
    <t xml:space="preserve">RJ DISTRIBUIDORA DE</t>
  </si>
  <si>
    <t xml:space="preserve">SAQUAREMA</t>
  </si>
  <si>
    <t xml:space="preserve">17858381</t>
  </si>
  <si>
    <t xml:space="preserve">17858406</t>
  </si>
  <si>
    <t xml:space="preserve">RENATA KIMIE ARASSIRO ME</t>
  </si>
  <si>
    <t xml:space="preserve">17858545</t>
  </si>
  <si>
    <t xml:space="preserve">PONCE DE LEON E ARAUJO ALIM LTDA</t>
  </si>
  <si>
    <t xml:space="preserve">17858546</t>
  </si>
  <si>
    <t xml:space="preserve">MERCEARIA 1928 ALIMENTOS</t>
  </si>
  <si>
    <t xml:space="preserve">17858550</t>
  </si>
  <si>
    <t xml:space="preserve">17858552</t>
  </si>
  <si>
    <t xml:space="preserve">D.O.C.BAKERY PADARIA E</t>
  </si>
  <si>
    <t xml:space="preserve">17858554</t>
  </si>
  <si>
    <t xml:space="preserve">TAURUS PRIME COFFEE LTDA</t>
  </si>
  <si>
    <t xml:space="preserve">17858617</t>
  </si>
  <si>
    <t xml:space="preserve">17858620</t>
  </si>
  <si>
    <t xml:space="preserve">17858631</t>
  </si>
  <si>
    <t xml:space="preserve">17858636</t>
  </si>
  <si>
    <t xml:space="preserve">17858731</t>
  </si>
  <si>
    <t xml:space="preserve">BRIGADEIRIA E ALGO MAIS LTDA - ME</t>
  </si>
  <si>
    <t xml:space="preserve">17858755</t>
  </si>
  <si>
    <t xml:space="preserve">MARCOS AMADO DA SILVA</t>
  </si>
  <si>
    <t xml:space="preserve">ITAQUAQUECETUBA</t>
  </si>
  <si>
    <t xml:space="preserve">17858767</t>
  </si>
  <si>
    <t xml:space="preserve">17858799</t>
  </si>
  <si>
    <t xml:space="preserve">SANTA CATARINA RESTAURANT</t>
  </si>
  <si>
    <t xml:space="preserve">17858804</t>
  </si>
  <si>
    <t xml:space="preserve">17859284</t>
  </si>
  <si>
    <t xml:space="preserve">17859288</t>
  </si>
  <si>
    <t xml:space="preserve">17859293</t>
  </si>
  <si>
    <t xml:space="preserve">SVP COMERCIO DE ALIMENTOS LTDA</t>
  </si>
  <si>
    <t xml:space="preserve">RIBEIRAO PIRES</t>
  </si>
  <si>
    <t xml:space="preserve">17859320</t>
  </si>
  <si>
    <t xml:space="preserve">17859321</t>
  </si>
  <si>
    <t xml:space="preserve">17859322</t>
  </si>
  <si>
    <t xml:space="preserve">17859323</t>
  </si>
  <si>
    <t xml:space="preserve">17859325</t>
  </si>
  <si>
    <t xml:space="preserve">17859343</t>
  </si>
  <si>
    <t xml:space="preserve">17859344</t>
  </si>
  <si>
    <t xml:space="preserve">17859356</t>
  </si>
  <si>
    <t xml:space="preserve">SELECTA DISTRIBUIDORA DE ALIMENTOS</t>
  </si>
  <si>
    <t xml:space="preserve">PETRÓPOLIS</t>
  </si>
  <si>
    <t xml:space="preserve">17860571</t>
  </si>
  <si>
    <t xml:space="preserve">WINDSOR BARRA HOTEL S/A</t>
  </si>
  <si>
    <t xml:space="preserve">17860576</t>
  </si>
  <si>
    <t xml:space="preserve">HORIZON 04 LTDA</t>
  </si>
  <si>
    <t xml:space="preserve">17860656</t>
  </si>
  <si>
    <t xml:space="preserve">GRANULADOS COM DOCES FINOS LTDA</t>
  </si>
  <si>
    <t xml:space="preserve">17860723</t>
  </si>
  <si>
    <t xml:space="preserve">DONA MOCA CONFEITARIA EIRELI - EPP</t>
  </si>
  <si>
    <t xml:space="preserve">17860841</t>
  </si>
  <si>
    <t xml:space="preserve">17860861</t>
  </si>
  <si>
    <t xml:space="preserve">SUPERMERCADOS MAMBO LTDA.</t>
  </si>
  <si>
    <t xml:space="preserve">BARUERI</t>
  </si>
  <si>
    <t xml:space="preserve">17860924</t>
  </si>
  <si>
    <t xml:space="preserve">PARMEZAO IND COM ALIMENTOS LTDA</t>
  </si>
  <si>
    <t xml:space="preserve">17860925</t>
  </si>
  <si>
    <t xml:space="preserve">17861009</t>
  </si>
  <si>
    <t xml:space="preserve">17861057</t>
  </si>
  <si>
    <t xml:space="preserve">CHEZ BONBON COMERCIO DE</t>
  </si>
  <si>
    <t xml:space="preserve">17861068</t>
  </si>
  <si>
    <t xml:space="preserve">MARIA MARIA GELATO 151 COMERCIAL</t>
  </si>
  <si>
    <t xml:space="preserve">ARMACAO DOS BUZIOS</t>
  </si>
  <si>
    <t xml:space="preserve">17861151</t>
  </si>
  <si>
    <t xml:space="preserve">17861184</t>
  </si>
  <si>
    <t xml:space="preserve">FABRICOOK ALIMENTOS LTDA</t>
  </si>
  <si>
    <t xml:space="preserve">17861186</t>
  </si>
  <si>
    <t xml:space="preserve">17861338</t>
  </si>
  <si>
    <t xml:space="preserve">CDI BARRA PRODUTOS</t>
  </si>
  <si>
    <t xml:space="preserve">17861339</t>
  </si>
  <si>
    <t xml:space="preserve">17861368</t>
  </si>
  <si>
    <t xml:space="preserve">MATONELLA PRODUTOS</t>
  </si>
  <si>
    <t xml:space="preserve">17863325</t>
  </si>
  <si>
    <t xml:space="preserve">MEC3 DO BRASIL PROD ALIM LTDA</t>
  </si>
  <si>
    <t xml:space="preserve">COTIA</t>
  </si>
  <si>
    <t xml:space="preserve">17863326</t>
  </si>
  <si>
    <t xml:space="preserve">17863334</t>
  </si>
  <si>
    <t xml:space="preserve">17863764</t>
  </si>
  <si>
    <t xml:space="preserve">DOLCE RICORDO PAES DE</t>
  </si>
  <si>
    <t xml:space="preserve">17863772</t>
  </si>
  <si>
    <t xml:space="preserve">BRUXELAS DOCES LTDA</t>
  </si>
  <si>
    <t xml:space="preserve">VOTORANTIM</t>
  </si>
  <si>
    <t xml:space="preserve">17857390</t>
  </si>
  <si>
    <t xml:space="preserve">17859330</t>
  </si>
  <si>
    <t xml:space="preserve">ORGANIZAÇÃO VERDEMAR LTDA</t>
  </si>
  <si>
    <t xml:space="preserve">NOVA LIMA</t>
  </si>
  <si>
    <t xml:space="preserve">17859365</t>
  </si>
  <si>
    <t xml:space="preserve">HD DISTRIBUIDORA DE</t>
  </si>
  <si>
    <t xml:space="preserve">PONTE NOVA</t>
  </si>
  <si>
    <t xml:space="preserve">17859396</t>
  </si>
  <si>
    <t xml:space="preserve">COMERCIAL DE UTILIDADES</t>
  </si>
  <si>
    <t xml:space="preserve">SETE LAGOAS</t>
  </si>
  <si>
    <t xml:space="preserve">17854205</t>
  </si>
  <si>
    <t xml:space="preserve">17854371</t>
  </si>
  <si>
    <t xml:space="preserve">WMB SUPERMERCADOS DO BRASIL</t>
  </si>
  <si>
    <t xml:space="preserve">ITAPEVI</t>
  </si>
  <si>
    <t xml:space="preserve">17854510</t>
  </si>
  <si>
    <t xml:space="preserve">UNIVERSO DOS TRIGOS COMERCIO</t>
  </si>
  <si>
    <t xml:space="preserve">17854511</t>
  </si>
  <si>
    <t xml:space="preserve">ANALO BIJU LTDA-EPP</t>
  </si>
  <si>
    <t xml:space="preserve">ANGRA DOS REIS</t>
  </si>
  <si>
    <t xml:space="preserve">17854513</t>
  </si>
  <si>
    <t xml:space="preserve">MASTER DISTRIB. E COMERCIO</t>
  </si>
  <si>
    <t xml:space="preserve">17854517</t>
  </si>
  <si>
    <t xml:space="preserve">UNIVERSO DAS FESTAS DE PEDRA</t>
  </si>
  <si>
    <t xml:space="preserve">17854520</t>
  </si>
  <si>
    <t xml:space="preserve">SCHUELER DOCES E FESTAS ME</t>
  </si>
  <si>
    <t xml:space="preserve">ITABORAÍ</t>
  </si>
  <si>
    <t xml:space="preserve">17854525</t>
  </si>
  <si>
    <t xml:space="preserve">PRINCESINHA DO MERCADO</t>
  </si>
  <si>
    <t xml:space="preserve">17854526</t>
  </si>
  <si>
    <t xml:space="preserve">DISTRIBUIDORA DE DOCES MERITI</t>
  </si>
  <si>
    <t xml:space="preserve">SÃO JOÃO DE MERITI</t>
  </si>
  <si>
    <t xml:space="preserve">17854537</t>
  </si>
  <si>
    <t xml:space="preserve">FONTE COMERCIAL DE ALIMENTOS LTDA</t>
  </si>
  <si>
    <t xml:space="preserve">17854538</t>
  </si>
  <si>
    <t xml:space="preserve">NOVAMIX FOOD SERVICE COMERCIO</t>
  </si>
  <si>
    <t xml:space="preserve">17854549</t>
  </si>
  <si>
    <t xml:space="preserve">TED-TON BAZAR LTDA</t>
  </si>
  <si>
    <t xml:space="preserve">17854552</t>
  </si>
  <si>
    <t xml:space="preserve">LABELLE FESTA DE XEREM</t>
  </si>
  <si>
    <t xml:space="preserve">17854553</t>
  </si>
  <si>
    <t xml:space="preserve">17854555</t>
  </si>
  <si>
    <t xml:space="preserve">FESTAS E SONHOS COMERCIO DE</t>
  </si>
  <si>
    <t xml:space="preserve">17854557</t>
  </si>
  <si>
    <t xml:space="preserve">HC MERCEARIA LTDA</t>
  </si>
  <si>
    <t xml:space="preserve">VASSOURAS</t>
  </si>
  <si>
    <t xml:space="preserve">17854560</t>
  </si>
  <si>
    <t xml:space="preserve">17854564</t>
  </si>
  <si>
    <t xml:space="preserve">17854566</t>
  </si>
  <si>
    <t xml:space="preserve">17854569</t>
  </si>
  <si>
    <t xml:space="preserve">JMF BASTO ARTIGOS DE CONFEITARIA</t>
  </si>
  <si>
    <t xml:space="preserve">TERESÓPOLIS</t>
  </si>
  <si>
    <t xml:space="preserve">17854571</t>
  </si>
  <si>
    <t xml:space="preserve">REI DOS DOCES COMERCIO</t>
  </si>
  <si>
    <t xml:space="preserve">SÃO GONÇALO</t>
  </si>
  <si>
    <t xml:space="preserve">17854591</t>
  </si>
  <si>
    <t xml:space="preserve">17854613</t>
  </si>
  <si>
    <t xml:space="preserve">17854647</t>
  </si>
  <si>
    <t xml:space="preserve">17854649</t>
  </si>
  <si>
    <t xml:space="preserve">LELECAS FEST ART LTDA</t>
  </si>
  <si>
    <t xml:space="preserve">QUEIMADOS</t>
  </si>
  <si>
    <t xml:space="preserve">17854656</t>
  </si>
  <si>
    <t xml:space="preserve">ANAJU BANGU PAPELARIA E</t>
  </si>
  <si>
    <t xml:space="preserve">17854674</t>
  </si>
  <si>
    <t xml:space="preserve">SOUZA E ROCHA COMERCIO VAREJISTA</t>
  </si>
  <si>
    <t xml:space="preserve">17854675</t>
  </si>
  <si>
    <t xml:space="preserve">17854679</t>
  </si>
  <si>
    <t xml:space="preserve">17854688</t>
  </si>
  <si>
    <t xml:space="preserve">PALADAR DO CEU LTDA</t>
  </si>
  <si>
    <t xml:space="preserve">17854703</t>
  </si>
  <si>
    <t xml:space="preserve">DINIZ COMERCIO ATACADISTA DE PRODUT</t>
  </si>
  <si>
    <t xml:space="preserve">LOUVEIRA</t>
  </si>
  <si>
    <t xml:space="preserve">17854708</t>
  </si>
  <si>
    <t xml:space="preserve">17854750</t>
  </si>
  <si>
    <t xml:space="preserve">17854751</t>
  </si>
  <si>
    <t xml:space="preserve">LANCHONETE KAMZU COOKIE</t>
  </si>
  <si>
    <t xml:space="preserve">SÃO CARLOS</t>
  </si>
  <si>
    <t xml:space="preserve">17854756</t>
  </si>
  <si>
    <t xml:space="preserve">17854823</t>
  </si>
  <si>
    <t xml:space="preserve">DORIVALI COMERCIO E DISTRIBUIDORA</t>
  </si>
  <si>
    <t xml:space="preserve">17854824</t>
  </si>
  <si>
    <t xml:space="preserve">17854849</t>
  </si>
  <si>
    <t xml:space="preserve">FESTINHA PRODUTOS</t>
  </si>
  <si>
    <t xml:space="preserve">BRAGANCA PAULISTA</t>
  </si>
  <si>
    <t xml:space="preserve">17855027</t>
  </si>
  <si>
    <t xml:space="preserve">17855031</t>
  </si>
  <si>
    <t xml:space="preserve">17855033</t>
  </si>
  <si>
    <t xml:space="preserve">17856150</t>
  </si>
  <si>
    <t xml:space="preserve">17856155</t>
  </si>
  <si>
    <t xml:space="preserve">17856529</t>
  </si>
  <si>
    <t xml:space="preserve">17857279</t>
  </si>
  <si>
    <t xml:space="preserve">17857382</t>
  </si>
  <si>
    <t xml:space="preserve">UNIVERSO DAS FESTAS DE</t>
  </si>
  <si>
    <t xml:space="preserve">17857383</t>
  </si>
  <si>
    <t xml:space="preserve">PRINCESINHA DE CAMPO GRANDE</t>
  </si>
  <si>
    <t xml:space="preserve">17857384</t>
  </si>
  <si>
    <t xml:space="preserve">NOVAMIX FOOD SERVICES</t>
  </si>
  <si>
    <t xml:space="preserve">17857385</t>
  </si>
  <si>
    <t xml:space="preserve">CRISTAL ARTE E FESTA LTDA</t>
  </si>
  <si>
    <t xml:space="preserve">BARRA MANSA</t>
  </si>
  <si>
    <t xml:space="preserve">17857386</t>
  </si>
  <si>
    <t xml:space="preserve">DOCEFESTAMIX DE ITAPERUNA</t>
  </si>
  <si>
    <t xml:space="preserve">ITAPERUNA</t>
  </si>
  <si>
    <t xml:space="preserve">17857387</t>
  </si>
  <si>
    <t xml:space="preserve">MONTEIRO E CHALOUB PAPEIS</t>
  </si>
  <si>
    <t xml:space="preserve">17857388</t>
  </si>
  <si>
    <t xml:space="preserve">ORGANIZACOES FARINHA PURA LTDA</t>
  </si>
  <si>
    <t xml:space="preserve">17857389</t>
  </si>
  <si>
    <t xml:space="preserve">ANA ALVES BARBOSA</t>
  </si>
  <si>
    <t xml:space="preserve">Volta Redonda</t>
  </si>
  <si>
    <t xml:space="preserve">17858373</t>
  </si>
  <si>
    <t xml:space="preserve">TRE BIMBI INDUSTRIA E COMERCIO</t>
  </si>
  <si>
    <t xml:space="preserve">17858768</t>
  </si>
  <si>
    <t xml:space="preserve">17859193</t>
  </si>
  <si>
    <t xml:space="preserve">HOT PORK PORCO QUENTE LTDA ME</t>
  </si>
  <si>
    <t xml:space="preserve">17859331</t>
  </si>
  <si>
    <t xml:space="preserve">AMO FESTAS COMERCIO DE DOCES,</t>
  </si>
  <si>
    <t xml:space="preserve">17859335</t>
  </si>
  <si>
    <t xml:space="preserve">17859336</t>
  </si>
  <si>
    <t xml:space="preserve">TERESOPOLIS</t>
  </si>
  <si>
    <t xml:space="preserve">17859338</t>
  </si>
  <si>
    <t xml:space="preserve">COMERCIO ATACADISTA DE EMBALAGENS</t>
  </si>
  <si>
    <t xml:space="preserve">NOVA IGUAÇU</t>
  </si>
  <si>
    <t xml:space="preserve">17859347</t>
  </si>
  <si>
    <t xml:space="preserve">17859357</t>
  </si>
  <si>
    <t xml:space="preserve">MC DISTRIBUIDORA EIRELLI</t>
  </si>
  <si>
    <t xml:space="preserve">SOMBRIO</t>
  </si>
  <si>
    <t xml:space="preserve">17859358</t>
  </si>
  <si>
    <t xml:space="preserve">CATARINA FERREIRA</t>
  </si>
  <si>
    <t xml:space="preserve">17859359</t>
  </si>
  <si>
    <t xml:space="preserve">CHOCOLANDIA SOBELA LTDA</t>
  </si>
  <si>
    <t xml:space="preserve">TIMBO</t>
  </si>
  <si>
    <t xml:space="preserve">17859360</t>
  </si>
  <si>
    <t xml:space="preserve">ML COMERCIO ARTIGOS PARA FESTAS</t>
  </si>
  <si>
    <t xml:space="preserve">OSORIO</t>
  </si>
  <si>
    <t xml:space="preserve">17859361</t>
  </si>
  <si>
    <t xml:space="preserve">PONTO FORTE COMERCIO</t>
  </si>
  <si>
    <t xml:space="preserve">BARRA VELHA</t>
  </si>
  <si>
    <t xml:space="preserve">17859362</t>
  </si>
  <si>
    <t xml:space="preserve">MATHEUS PEREIRA FERREIRA ME</t>
  </si>
  <si>
    <t xml:space="preserve">17859363</t>
  </si>
  <si>
    <t xml:space="preserve">MLV ALIMENTOS E EMBALAGENS LTDA</t>
  </si>
  <si>
    <t xml:space="preserve">SANTA ROSA</t>
  </si>
  <si>
    <t xml:space="preserve">17859364</t>
  </si>
  <si>
    <t xml:space="preserve">TATIANI FERNANDES CORREA ALANO</t>
  </si>
  <si>
    <t xml:space="preserve">MORRO DA FUMAÇA</t>
  </si>
  <si>
    <t xml:space="preserve">17859375</t>
  </si>
  <si>
    <t xml:space="preserve">90.702.119 VILMAR LUIZ MAURINA</t>
  </si>
  <si>
    <t xml:space="preserve">SAO MARCOS</t>
  </si>
  <si>
    <t xml:space="preserve">17859377</t>
  </si>
  <si>
    <t xml:space="preserve">BOMBAZAR COMERCIO DE ARTIGOS</t>
  </si>
  <si>
    <t xml:space="preserve">RIO NEGRINHO</t>
  </si>
  <si>
    <t xml:space="preserve">17859379</t>
  </si>
  <si>
    <t xml:space="preserve">17859381</t>
  </si>
  <si>
    <t xml:space="preserve">HJM DISTRIBUICAO DE FRIOS LTDA</t>
  </si>
  <si>
    <t xml:space="preserve">17859388</t>
  </si>
  <si>
    <t xml:space="preserve">DOCIBEL COMERCIO DE DOCES E</t>
  </si>
  <si>
    <t xml:space="preserve">CONCORDIA</t>
  </si>
  <si>
    <t xml:space="preserve">17859391</t>
  </si>
  <si>
    <t xml:space="preserve">PITTER PAN COMÉRCIO</t>
  </si>
  <si>
    <t xml:space="preserve">17859393</t>
  </si>
  <si>
    <t xml:space="preserve">DOCE FEST LTDA- ME</t>
  </si>
  <si>
    <t xml:space="preserve">17859394</t>
  </si>
  <si>
    <t xml:space="preserve">SORVETERIA LOURDES LTDA</t>
  </si>
  <si>
    <t xml:space="preserve">17859397</t>
  </si>
  <si>
    <t xml:space="preserve">17859398</t>
  </si>
  <si>
    <t xml:space="preserve">SOL LEVANTE ALIMENTOS E</t>
  </si>
  <si>
    <t xml:space="preserve">TELEMACO BORBA</t>
  </si>
  <si>
    <t xml:space="preserve">17859399</t>
  </si>
  <si>
    <t xml:space="preserve">LILIPE FESTAS AMERICAS LTDA</t>
  </si>
  <si>
    <t xml:space="preserve">17859400</t>
  </si>
  <si>
    <t xml:space="preserve">17859402</t>
  </si>
  <si>
    <t xml:space="preserve">BELLOS RIO COMERCIO DE DOCES LTDA</t>
  </si>
  <si>
    <t xml:space="preserve">MARICA</t>
  </si>
  <si>
    <t xml:space="preserve">17859403</t>
  </si>
  <si>
    <t xml:space="preserve">ATACADO NASCAR HIPICA LTDA</t>
  </si>
  <si>
    <t xml:space="preserve">17859404</t>
  </si>
  <si>
    <t xml:space="preserve">C V TRASEL &amp; CIA LTDA</t>
  </si>
  <si>
    <t xml:space="preserve">ARROIO DOS RATOS</t>
  </si>
  <si>
    <t xml:space="preserve">17859409</t>
  </si>
  <si>
    <t xml:space="preserve">ANAJU CAMPO GRANDE PAPELARIA</t>
  </si>
  <si>
    <t xml:space="preserve">17859411</t>
  </si>
  <si>
    <t xml:space="preserve">TOPFOX COM ATACADSITA E</t>
  </si>
  <si>
    <t xml:space="preserve">17859412</t>
  </si>
  <si>
    <t xml:space="preserve">17859446</t>
  </si>
  <si>
    <t xml:space="preserve">EMBALAGENS MANDAGUARI LTDA</t>
  </si>
  <si>
    <t xml:space="preserve">MANDAGUARI</t>
  </si>
  <si>
    <t xml:space="preserve">17859447</t>
  </si>
  <si>
    <t xml:space="preserve">ANA DE ARRUDA LEAL</t>
  </si>
  <si>
    <t xml:space="preserve">17859448</t>
  </si>
  <si>
    <t xml:space="preserve">CARNIATO EMBALAGENS LTDA</t>
  </si>
  <si>
    <t xml:space="preserve">IVAIPORA</t>
  </si>
  <si>
    <t xml:space="preserve">17859449</t>
  </si>
  <si>
    <t xml:space="preserve">HP LIMP HIGIENE E EMBALAGENS LTDA</t>
  </si>
  <si>
    <t xml:space="preserve">17859459</t>
  </si>
  <si>
    <t xml:space="preserve">EMBALAGENS JUPITER LTDA</t>
  </si>
  <si>
    <t xml:space="preserve">SAO JOSE DOS PINHAIS</t>
  </si>
  <si>
    <t xml:space="preserve">17859461</t>
  </si>
  <si>
    <t xml:space="preserve">TOP ICE SORVERTES LTDA</t>
  </si>
  <si>
    <t xml:space="preserve">17859493</t>
  </si>
  <si>
    <t xml:space="preserve">ARTGUSTO GASTRONOMIA LTDA</t>
  </si>
  <si>
    <t xml:space="preserve">17859494</t>
  </si>
  <si>
    <t xml:space="preserve">R S BELOS COMERCIO</t>
  </si>
  <si>
    <t xml:space="preserve">SÃO JOÃO DE MERETI</t>
  </si>
  <si>
    <t xml:space="preserve">17859505</t>
  </si>
  <si>
    <t xml:space="preserve">DAMA COMERCIO DE ALIMENTOS E PROMOC</t>
  </si>
  <si>
    <t xml:space="preserve">17860657</t>
  </si>
  <si>
    <t xml:space="preserve">TRUSTALENT LTDA</t>
  </si>
  <si>
    <t xml:space="preserve">17860658</t>
  </si>
  <si>
    <t xml:space="preserve">GRAN SABOR BUFFET LTDA, EPP</t>
  </si>
  <si>
    <t xml:space="preserve">AMERICANA</t>
  </si>
  <si>
    <t xml:space="preserve">17860719</t>
  </si>
  <si>
    <t xml:space="preserve">A CASA DO PORCO COZINHA DE</t>
  </si>
  <si>
    <t xml:space="preserve">17860824</t>
  </si>
  <si>
    <t xml:space="preserve">BM EMPREEND E PARTICIP S.A.</t>
  </si>
  <si>
    <t xml:space="preserve">17860828</t>
  </si>
  <si>
    <t xml:space="preserve">17860833</t>
  </si>
  <si>
    <t xml:space="preserve">17860834</t>
  </si>
  <si>
    <t xml:space="preserve">M &amp; P COMERCIO GASTRONOMICO LTDA</t>
  </si>
  <si>
    <t xml:space="preserve">17860835</t>
  </si>
  <si>
    <t xml:space="preserve">17860907</t>
  </si>
  <si>
    <t xml:space="preserve">LB CASA DE PAES LTDA</t>
  </si>
  <si>
    <t xml:space="preserve">17861080</t>
  </si>
  <si>
    <t xml:space="preserve">TAIANE DA SILVA MEIRELLES</t>
  </si>
  <si>
    <t xml:space="preserve">17861081</t>
  </si>
  <si>
    <t xml:space="preserve">NAS COMERCIO DE ALIMENTOS E ARTIGOS</t>
  </si>
  <si>
    <t xml:space="preserve">17861082</t>
  </si>
  <si>
    <t xml:space="preserve">17861083</t>
  </si>
  <si>
    <t xml:space="preserve">PAULO DE TARSO D AVILA NEVES - ME</t>
  </si>
  <si>
    <t xml:space="preserve">17861084</t>
  </si>
  <si>
    <t xml:space="preserve">MAGALY GOLO GARCZAL</t>
  </si>
  <si>
    <t xml:space="preserve">17861085</t>
  </si>
  <si>
    <t xml:space="preserve">LUCEL ATACAREJO EIRELI</t>
  </si>
  <si>
    <t xml:space="preserve">SEARA</t>
  </si>
  <si>
    <t xml:space="preserve">17861086</t>
  </si>
  <si>
    <t xml:space="preserve">COMERCIAL FRUBEL LTDA</t>
  </si>
  <si>
    <t xml:space="preserve">CHARQUEADAS</t>
  </si>
  <si>
    <t xml:space="preserve">17861152</t>
  </si>
  <si>
    <t xml:space="preserve">COMMEMORE COMERCIO DE ARTIGOS</t>
  </si>
  <si>
    <t xml:space="preserve">17861431</t>
  </si>
  <si>
    <t xml:space="preserve">ARTISANO GELATO LTDA</t>
  </si>
  <si>
    <t xml:space="preserve">17863010</t>
  </si>
  <si>
    <t xml:space="preserve">BRICO BREAD ALIMENTOS LTDA</t>
  </si>
  <si>
    <t xml:space="preserve">17863762</t>
  </si>
  <si>
    <t xml:space="preserve">CREMOSO ALIM. LTDA - EPP</t>
  </si>
  <si>
    <t xml:space="preserve">17863763</t>
  </si>
  <si>
    <t xml:space="preserve">O CHOCOLATEIRO</t>
  </si>
  <si>
    <t xml:space="preserve">17863770</t>
  </si>
  <si>
    <t xml:space="preserve">DELICIA INDUSTRIA E COMERCIO</t>
  </si>
  <si>
    <t xml:space="preserve">17863771</t>
  </si>
  <si>
    <t xml:space="preserve">SORVEMIX COMERCIO DE ALIMENTOS LTDA</t>
  </si>
  <si>
    <t xml:space="preserve">MARILIA</t>
  </si>
  <si>
    <t xml:space="preserve">17863773</t>
  </si>
  <si>
    <t xml:space="preserve">17863774</t>
  </si>
  <si>
    <t xml:space="preserve">CARMEL COMERCIO VAREJISTA LTDA</t>
  </si>
  <si>
    <t xml:space="preserve">17863775</t>
  </si>
  <si>
    <t xml:space="preserve">17863776</t>
  </si>
  <si>
    <t xml:space="preserve">ROSANE DE FATIMA MACHADO RECKZIEGEL</t>
  </si>
  <si>
    <t xml:space="preserve">AMPERE</t>
  </si>
  <si>
    <t xml:space="preserve">17863783</t>
  </si>
  <si>
    <t xml:space="preserve">CHOCOLATE CASEIRO CAMPOS DO JORDAO</t>
  </si>
  <si>
    <t xml:space="preserve">CAMPOS DO JORDAO</t>
  </si>
  <si>
    <t xml:space="preserve">17863796</t>
  </si>
  <si>
    <t xml:space="preserve">ATACADAO S.A.</t>
  </si>
  <si>
    <t xml:space="preserve">JACAREI</t>
  </si>
  <si>
    <t xml:space="preserve">17863797</t>
  </si>
  <si>
    <t xml:space="preserve">17863826</t>
  </si>
  <si>
    <t xml:space="preserve">5M COMERCIO ATACADISTA E VAREJISTA</t>
  </si>
  <si>
    <t xml:space="preserve">SÃO BERNARDO DO CAMPO</t>
  </si>
  <si>
    <t xml:space="preserve">17863829</t>
  </si>
  <si>
    <t xml:space="preserve">OMEGA YK FABRICA DE ALIMENTOS LTDA</t>
  </si>
  <si>
    <t xml:space="preserve">17863830</t>
  </si>
  <si>
    <t xml:space="preserve">17863831</t>
  </si>
  <si>
    <t xml:space="preserve">PASSIONE PER GELATO COMERCIO</t>
  </si>
  <si>
    <t xml:space="preserve">17863832</t>
  </si>
  <si>
    <t xml:space="preserve">17863833</t>
  </si>
  <si>
    <t xml:space="preserve">BISCOITE LTDA</t>
  </si>
  <si>
    <t xml:space="preserve">17863834</t>
  </si>
  <si>
    <t xml:space="preserve">17863874</t>
  </si>
  <si>
    <t xml:space="preserve">FABRIQUE - PAES ARTESANAIS LTDA</t>
  </si>
  <si>
    <t xml:space="preserve">17863876</t>
  </si>
  <si>
    <t xml:space="preserve">SWEET HOUSE CHOCOLATEIRA</t>
  </si>
  <si>
    <t xml:space="preserve">17863877</t>
  </si>
  <si>
    <t xml:space="preserve">HBR 66 - INVESTIMENTOS IMOBILIARIOS</t>
  </si>
  <si>
    <t xml:space="preserve">17863878</t>
  </si>
  <si>
    <t xml:space="preserve">CLUBE ATLETICO MONTE LIBANO</t>
  </si>
  <si>
    <t xml:space="preserve">17864020</t>
  </si>
  <si>
    <t xml:space="preserve">17864028</t>
  </si>
  <si>
    <t xml:space="preserve">SPAN VALE COMERCIO DE PRODUTOS</t>
  </si>
  <si>
    <t xml:space="preserve">TREMEMBE</t>
  </si>
  <si>
    <t xml:space="preserve">17864954</t>
  </si>
  <si>
    <t xml:space="preserve">BEHAR GOURMET COMERCIO DE ALIMENTOS</t>
  </si>
  <si>
    <t xml:space="preserve">17865094</t>
  </si>
  <si>
    <t xml:space="preserve">COMFRIO FOOD SERVICE LTDA</t>
  </si>
  <si>
    <t xml:space="preserve">JARINU</t>
  </si>
  <si>
    <t xml:space="preserve">17865095</t>
  </si>
  <si>
    <t xml:space="preserve">17865310</t>
  </si>
  <si>
    <t xml:space="preserve">CABANA BURGER REST E LANCH LTDA</t>
  </si>
  <si>
    <t xml:space="preserve">17865311</t>
  </si>
  <si>
    <t xml:space="preserve">17867616</t>
  </si>
  <si>
    <t xml:space="preserve">MARCELO FERREIRA FARIA</t>
  </si>
  <si>
    <t xml:space="preserve">SAO JOSE DOS CAMPOS</t>
  </si>
  <si>
    <t xml:space="preserve">17867617</t>
  </si>
  <si>
    <t xml:space="preserve">17869995</t>
  </si>
  <si>
    <t xml:space="preserve">17854273</t>
  </si>
  <si>
    <t xml:space="preserve">RCL COMERCIO DE PRODUTOS</t>
  </si>
  <si>
    <t xml:space="preserve">MANAUS</t>
  </si>
  <si>
    <t xml:space="preserve">17854278</t>
  </si>
  <si>
    <t xml:space="preserve">17854282</t>
  </si>
  <si>
    <t xml:space="preserve">M DE L O PADILHA COMERCIAL DE</t>
  </si>
  <si>
    <t xml:space="preserve">PARAUAPEBAS</t>
  </si>
  <si>
    <t xml:space="preserve">17854286</t>
  </si>
  <si>
    <t xml:space="preserve">17854288</t>
  </si>
  <si>
    <t xml:space="preserve">17854289</t>
  </si>
  <si>
    <t xml:space="preserve">COMERCIAL SIMAO EIRELI EPP</t>
  </si>
  <si>
    <t xml:space="preserve">RIO BRANCO </t>
  </si>
  <si>
    <t xml:space="preserve">17854291</t>
  </si>
  <si>
    <t xml:space="preserve">SORVEPANI COM E DIST LTDA</t>
  </si>
  <si>
    <t xml:space="preserve">17854294</t>
  </si>
  <si>
    <t xml:space="preserve">17854295</t>
  </si>
  <si>
    <t xml:space="preserve">RAL EMPREENDIMENTOS LTDA</t>
  </si>
  <si>
    <t xml:space="preserve">17854298</t>
  </si>
  <si>
    <t xml:space="preserve">17854301</t>
  </si>
  <si>
    <t xml:space="preserve">17854306</t>
  </si>
  <si>
    <t xml:space="preserve">17854672</t>
  </si>
  <si>
    <t xml:space="preserve">OESA COMERCIO E</t>
  </si>
  <si>
    <t xml:space="preserve">CONTAGEM</t>
  </si>
  <si>
    <t xml:space="preserve">17854736</t>
  </si>
  <si>
    <t xml:space="preserve">C D A DISTRIBIDORA LTDA</t>
  </si>
  <si>
    <t xml:space="preserve">CARATINGA</t>
  </si>
  <si>
    <t xml:space="preserve">17856286</t>
  </si>
  <si>
    <t xml:space="preserve">DISPAN DISTRIBUIDORA DE</t>
  </si>
  <si>
    <t xml:space="preserve">JABOATAO DOS GUARARAPES</t>
  </si>
  <si>
    <t xml:space="preserve">BR_RED</t>
  </si>
  <si>
    <t xml:space="preserve">17856300</t>
  </si>
  <si>
    <t xml:space="preserve">17856480</t>
  </si>
  <si>
    <t xml:space="preserve">DISPROPAN LTDA</t>
  </si>
  <si>
    <t xml:space="preserve">17856700</t>
  </si>
  <si>
    <t xml:space="preserve">MARCIA SILVEIRA SILVA</t>
  </si>
  <si>
    <t xml:space="preserve">PIUMHI</t>
  </si>
  <si>
    <t xml:space="preserve">17856826</t>
  </si>
  <si>
    <t xml:space="preserve">MARIA SALETE MARCELINO CPF:</t>
  </si>
  <si>
    <t xml:space="preserve">ANDRADAS</t>
  </si>
  <si>
    <t xml:space="preserve">17856847</t>
  </si>
  <si>
    <t xml:space="preserve">LOJA BODEVAN LTDA - EPP</t>
  </si>
  <si>
    <t xml:space="preserve">SAO LOURENCO</t>
  </si>
  <si>
    <t xml:space="preserve">17857334</t>
  </si>
  <si>
    <t xml:space="preserve">PAPELARIA ARTE &amp; COR LTDA</t>
  </si>
  <si>
    <t xml:space="preserve">JI-PARANA</t>
  </si>
  <si>
    <t xml:space="preserve">17857391</t>
  </si>
  <si>
    <t xml:space="preserve">MIRA DOCES LTDA</t>
  </si>
  <si>
    <t xml:space="preserve">TEIXEIRA DE FREITAS</t>
  </si>
  <si>
    <t xml:space="preserve">17858860</t>
  </si>
  <si>
    <t xml:space="preserve">PADEIRAO COMERCIO DE PRODUTOS</t>
  </si>
  <si>
    <t xml:space="preserve">17858863</t>
  </si>
  <si>
    <t xml:space="preserve">17858892</t>
  </si>
  <si>
    <t xml:space="preserve">MEGABOM INDUSTRIA E COMERCIO</t>
  </si>
  <si>
    <t xml:space="preserve">CACOAL</t>
  </si>
  <si>
    <t xml:space="preserve">17859267</t>
  </si>
  <si>
    <t xml:space="preserve">A M L MARTINS</t>
  </si>
  <si>
    <t xml:space="preserve">MACAPA</t>
  </si>
  <si>
    <t xml:space="preserve">17859329</t>
  </si>
  <si>
    <t xml:space="preserve">ARTE &amp; FESTA LTDA</t>
  </si>
  <si>
    <t xml:space="preserve">PORTO VELHO</t>
  </si>
  <si>
    <t xml:space="preserve">17859340</t>
  </si>
  <si>
    <t xml:space="preserve">LIDER INDUSTRIA E COMERCIO LTDA</t>
  </si>
  <si>
    <t xml:space="preserve">17859351</t>
  </si>
  <si>
    <t xml:space="preserve">17859366</t>
  </si>
  <si>
    <t xml:space="preserve">NATUREZA COMERCIO DE DESCARTAVEIS</t>
  </si>
  <si>
    <t xml:space="preserve">17859367</t>
  </si>
  <si>
    <t xml:space="preserve">SHOP FEST E DECORAÇÃO LTDA</t>
  </si>
  <si>
    <t xml:space="preserve">PALMAS</t>
  </si>
  <si>
    <t xml:space="preserve">17859368</t>
  </si>
  <si>
    <t xml:space="preserve">MEGAPLAST &amp; FESTAS COM LTDA</t>
  </si>
  <si>
    <t xml:space="preserve">BELEM</t>
  </si>
  <si>
    <t xml:space="preserve">17859369</t>
  </si>
  <si>
    <t xml:space="preserve">SUDOESTE INDUSTRIA E COMERCIO DE</t>
  </si>
  <si>
    <t xml:space="preserve">GUAJARA-MIRIM</t>
  </si>
  <si>
    <t xml:space="preserve">17859372</t>
  </si>
  <si>
    <t xml:space="preserve">SOUSA &amp; COSTA COMERCIODE</t>
  </si>
  <si>
    <t xml:space="preserve">17859383</t>
  </si>
  <si>
    <t xml:space="preserve">17859389</t>
  </si>
  <si>
    <t xml:space="preserve">A.E RIMAN COMERCIO DE ARTIGOS</t>
  </si>
  <si>
    <t xml:space="preserve">17859390</t>
  </si>
  <si>
    <t xml:space="preserve">HAPPY COMERCIO DE VARIEDADES LTDA</t>
  </si>
  <si>
    <t xml:space="preserve">17859392</t>
  </si>
  <si>
    <t xml:space="preserve">D O DE MENESES</t>
  </si>
  <si>
    <t xml:space="preserve">17859407</t>
  </si>
  <si>
    <t xml:space="preserve">K. CARNEIRO MOREIRA</t>
  </si>
  <si>
    <t xml:space="preserve">MACAPÁ</t>
  </si>
  <si>
    <t xml:space="preserve">17861329</t>
  </si>
  <si>
    <t xml:space="preserve">17861447</t>
  </si>
  <si>
    <t xml:space="preserve">DOCE AHAV PARTICIPACOES S.A</t>
  </si>
  <si>
    <t xml:space="preserve">17862924</t>
  </si>
  <si>
    <t xml:space="preserve">17862925</t>
  </si>
  <si>
    <t xml:space="preserve">17863195</t>
  </si>
  <si>
    <t xml:space="preserve">RONDONIA COMERCIO DE EMBALAGENS EIR</t>
  </si>
  <si>
    <t xml:space="preserve">17863671</t>
  </si>
  <si>
    <t xml:space="preserve">MINIBEL ARTIGOS PARA FESTA LTDA</t>
  </si>
  <si>
    <t xml:space="preserve">17863694</t>
  </si>
  <si>
    <t xml:space="preserve">17863695</t>
  </si>
  <si>
    <t xml:space="preserve">DISTRIBOM A CASA DO</t>
  </si>
  <si>
    <t xml:space="preserve">17863696</t>
  </si>
  <si>
    <t xml:space="preserve">17863697</t>
  </si>
  <si>
    <t xml:space="preserve">NASCIMENTO RODRIGUES</t>
  </si>
  <si>
    <t xml:space="preserve">17863709</t>
  </si>
  <si>
    <t xml:space="preserve">BETTA DOCES E FESTAS LTDA</t>
  </si>
  <si>
    <t xml:space="preserve">CAMANDUCAIA</t>
  </si>
  <si>
    <t xml:space="preserve">17864017</t>
  </si>
  <si>
    <t xml:space="preserve">17864018</t>
  </si>
  <si>
    <t xml:space="preserve">17865408</t>
  </si>
  <si>
    <t xml:space="preserve">ARMARINHO SPÍNDOLA LTDA ME</t>
  </si>
  <si>
    <t xml:space="preserve">CATAGUASES</t>
  </si>
  <si>
    <t xml:space="preserve">17865409</t>
  </si>
  <si>
    <t xml:space="preserve">RONALDO GUEDES ARAUJO JUNIOR</t>
  </si>
  <si>
    <t xml:space="preserve">GOVERNADOR VALADARES</t>
  </si>
  <si>
    <t xml:space="preserve">17865410</t>
  </si>
  <si>
    <t xml:space="preserve">17865411</t>
  </si>
  <si>
    <t xml:space="preserve">PAPELPLAST DISTRIBUIDORA DE EMBALAG</t>
  </si>
  <si>
    <t xml:space="preserve">MANHUACU</t>
  </si>
  <si>
    <t xml:space="preserve">17865412</t>
  </si>
  <si>
    <t xml:space="preserve">17865416</t>
  </si>
  <si>
    <t xml:space="preserve">CIBELE MENDES ALMEIDA ALVES</t>
  </si>
  <si>
    <t xml:space="preserve">SAO FRANCISCO</t>
  </si>
  <si>
    <t xml:space="preserve">17865417</t>
  </si>
  <si>
    <t xml:space="preserve">A DOCERIA VICOSA LTDA</t>
  </si>
  <si>
    <t xml:space="preserve">VICOSA</t>
  </si>
  <si>
    <t xml:space="preserve">17865418</t>
  </si>
  <si>
    <t xml:space="preserve">NOBRE SABOR CONFEITARIA LTDA. - ME</t>
  </si>
  <si>
    <t xml:space="preserve">17865419</t>
  </si>
  <si>
    <t xml:space="preserve">DECORE FESTAS ABAETE LTDA</t>
  </si>
  <si>
    <t xml:space="preserve">ABAETE</t>
  </si>
  <si>
    <t xml:space="preserve">17865421</t>
  </si>
  <si>
    <t xml:space="preserve">ANTONIO GOMES TERRA</t>
  </si>
  <si>
    <t xml:space="preserve">BAMBUÍ</t>
  </si>
  <si>
    <t xml:space="preserve">17865422</t>
  </si>
  <si>
    <t xml:space="preserve">M C EMBALAGENS E FESTAS EIRELI</t>
  </si>
  <si>
    <t xml:space="preserve">17865423</t>
  </si>
  <si>
    <t xml:space="preserve">COMERCIAL OLIVEIRA &amp; SA LTDA  EPP</t>
  </si>
  <si>
    <t xml:space="preserve">IPATINGA</t>
  </si>
  <si>
    <t xml:space="preserve">17865424</t>
  </si>
  <si>
    <t xml:space="preserve">VIAMEL DISTRIBUIDORA LTDA ME</t>
  </si>
  <si>
    <t xml:space="preserve">17865425</t>
  </si>
  <si>
    <t xml:space="preserve">STOCK PACK DISTRIBUIDORA LTDA</t>
  </si>
  <si>
    <t xml:space="preserve">CARDOSO</t>
  </si>
  <si>
    <t xml:space="preserve">17865532</t>
  </si>
  <si>
    <t xml:space="preserve">17865534</t>
  </si>
  <si>
    <t xml:space="preserve">DOCE &amp; FESTA LTDA</t>
  </si>
  <si>
    <t xml:space="preserve">VARGINHA</t>
  </si>
  <si>
    <t xml:space="preserve">17865620</t>
  </si>
  <si>
    <t xml:space="preserve">IND COM. GENEROS ALIM</t>
  </si>
  <si>
    <t xml:space="preserve">ARIQUEMES</t>
  </si>
  <si>
    <t xml:space="preserve">17865622</t>
  </si>
  <si>
    <t xml:space="preserve">COTART COMERCIO DE PRODUTOS</t>
  </si>
  <si>
    <t xml:space="preserve">ARAGUAINA</t>
  </si>
  <si>
    <t xml:space="preserve">17865623</t>
  </si>
  <si>
    <t xml:space="preserve">17865624</t>
  </si>
  <si>
    <t xml:space="preserve">LOURENCO &amp; MONTEIRO LTDA</t>
  </si>
  <si>
    <t xml:space="preserve">17865625</t>
  </si>
  <si>
    <t xml:space="preserve">RONDONIA COMERCIO DE EMB. EIRELI</t>
  </si>
  <si>
    <t xml:space="preserve">JARU</t>
  </si>
  <si>
    <t xml:space="preserve">17865626</t>
  </si>
  <si>
    <t xml:space="preserve">17865627</t>
  </si>
  <si>
    <t xml:space="preserve">K L COMERCIO DE PRODUTOS</t>
  </si>
  <si>
    <t xml:space="preserve">17865743</t>
  </si>
  <si>
    <t xml:space="preserve">17865755</t>
  </si>
  <si>
    <t xml:space="preserve">17865897</t>
  </si>
  <si>
    <t xml:space="preserve">NIB COMERCIO E EXPORTACAO</t>
  </si>
  <si>
    <t xml:space="preserve">17867495</t>
  </si>
  <si>
    <t xml:space="preserve">17867618</t>
  </si>
  <si>
    <t xml:space="preserve">ADOCICA CONFEITARIA LTDA</t>
  </si>
  <si>
    <t xml:space="preserve">17867631</t>
  </si>
  <si>
    <t xml:space="preserve">JGG Chocolates Artesanais LTDA</t>
  </si>
  <si>
    <t xml:space="preserve">Braganca Paulista</t>
  </si>
  <si>
    <t xml:space="preserve">17854308</t>
  </si>
  <si>
    <t xml:space="preserve">ARTPAN COMERC DE ALIMENT LTDA</t>
  </si>
  <si>
    <t xml:space="preserve">17854309</t>
  </si>
  <si>
    <t xml:space="preserve">INICIAL COMERCIO E DISTRIBUIDORA</t>
  </si>
  <si>
    <t xml:space="preserve">17854311</t>
  </si>
  <si>
    <t xml:space="preserve">INDUSTRIAL E COMERCIAL ALMEIDA LTDA</t>
  </si>
  <si>
    <t xml:space="preserve">VÁRZEA GRANDE</t>
  </si>
  <si>
    <t xml:space="preserve">17854312</t>
  </si>
  <si>
    <t xml:space="preserve">17854313</t>
  </si>
  <si>
    <t xml:space="preserve">17854315</t>
  </si>
  <si>
    <t xml:space="preserve">U.MAMI GELATERIA LTDA</t>
  </si>
  <si>
    <t xml:space="preserve">17854316</t>
  </si>
  <si>
    <t xml:space="preserve">LORENZ COMERCIO E DITRIBUIÇÃO</t>
  </si>
  <si>
    <t xml:space="preserve">17854318</t>
  </si>
  <si>
    <t xml:space="preserve">17854321</t>
  </si>
  <si>
    <t xml:space="preserve">17854323</t>
  </si>
  <si>
    <t xml:space="preserve">17854331</t>
  </si>
  <si>
    <t xml:space="preserve">17854334</t>
  </si>
  <si>
    <t xml:space="preserve">17856157</t>
  </si>
  <si>
    <t xml:space="preserve">WEA COMERCIO DE PRODUTOS</t>
  </si>
  <si>
    <t xml:space="preserve">17856701</t>
  </si>
  <si>
    <t xml:space="preserve">JANIO PATRICK CHAGAS FERREIRA ME</t>
  </si>
  <si>
    <t xml:space="preserve">17856702</t>
  </si>
  <si>
    <t xml:space="preserve">TAYARA GOMES MARANDUBA</t>
  </si>
  <si>
    <t xml:space="preserve">17856852</t>
  </si>
  <si>
    <t xml:space="preserve">17857146</t>
  </si>
  <si>
    <t xml:space="preserve">ML - DISTRIBUI DE DOCES E</t>
  </si>
  <si>
    <t xml:space="preserve">17857284</t>
  </si>
  <si>
    <t xml:space="preserve">COMPACTA COMERCIAL LTDA</t>
  </si>
  <si>
    <t xml:space="preserve">RONDONOPOLIS</t>
  </si>
  <si>
    <t xml:space="preserve">17857292</t>
  </si>
  <si>
    <t xml:space="preserve">17857303</t>
  </si>
  <si>
    <t xml:space="preserve">DIAS ARTIGOS PARA FESTAS LTDA</t>
  </si>
  <si>
    <t xml:space="preserve">17857335</t>
  </si>
  <si>
    <t xml:space="preserve">KAVI BOMBONIERE LTDA</t>
  </si>
  <si>
    <t xml:space="preserve">17857336</t>
  </si>
  <si>
    <t xml:space="preserve">JUDA PRODUTOS PARA</t>
  </si>
  <si>
    <t xml:space="preserve">APARECIDAA DE GOIANIA</t>
  </si>
  <si>
    <t xml:space="preserve">17857337</t>
  </si>
  <si>
    <t xml:space="preserve">PRIME PROD PARA FESTAS LTDA ME</t>
  </si>
  <si>
    <t xml:space="preserve">17857338</t>
  </si>
  <si>
    <t xml:space="preserve">INDUSTRIARIO EMBALAGENS</t>
  </si>
  <si>
    <t xml:space="preserve">CUIABA</t>
  </si>
  <si>
    <t xml:space="preserve">17857339</t>
  </si>
  <si>
    <t xml:space="preserve">KRIATIVA FESTAS E EMBALAGENS LTDA</t>
  </si>
  <si>
    <t xml:space="preserve">GUAPO</t>
  </si>
  <si>
    <t xml:space="preserve">17857340</t>
  </si>
  <si>
    <t xml:space="preserve">SOUSA DOS ANJOS EMBALAGENS LTDA</t>
  </si>
  <si>
    <t xml:space="preserve">VALPARAISO</t>
  </si>
  <si>
    <t xml:space="preserve">17857341</t>
  </si>
  <si>
    <t xml:space="preserve">M PEREIRA COMERCIO DE ARTIGOS PARA</t>
  </si>
  <si>
    <t xml:space="preserve">VALPARAISO DE GOIAS</t>
  </si>
  <si>
    <t xml:space="preserve">17857342</t>
  </si>
  <si>
    <t xml:space="preserve">EDSON G DE CARVALHO</t>
  </si>
  <si>
    <t xml:space="preserve">17857343</t>
  </si>
  <si>
    <t xml:space="preserve">OPENFESTAS ARTIGOS PARA FESTAS</t>
  </si>
  <si>
    <t xml:space="preserve">17858640</t>
  </si>
  <si>
    <t xml:space="preserve">17859205</t>
  </si>
  <si>
    <t xml:space="preserve">STA - DISTRIBUIDORA DE ALIMENTOS LT</t>
  </si>
  <si>
    <t xml:space="preserve">17859273</t>
  </si>
  <si>
    <t xml:space="preserve">COMERCIAL CARAPA DE SECOS E</t>
  </si>
  <si>
    <t xml:space="preserve">PRIMAVERA DO LESTE</t>
  </si>
  <si>
    <t xml:space="preserve">17859332</t>
  </si>
  <si>
    <t xml:space="preserve">MAX SHOP LTDA</t>
  </si>
  <si>
    <t xml:space="preserve">17859333</t>
  </si>
  <si>
    <t xml:space="preserve">JOY PRODUTOS PARA</t>
  </si>
  <si>
    <t xml:space="preserve">17859354</t>
  </si>
  <si>
    <t xml:space="preserve">17859374</t>
  </si>
  <si>
    <t xml:space="preserve">M.M. MENDES GOMES</t>
  </si>
  <si>
    <t xml:space="preserve">17859380</t>
  </si>
  <si>
    <t xml:space="preserve">MS BOUGAINVILLE LTDA</t>
  </si>
  <si>
    <t xml:space="preserve">17859384</t>
  </si>
  <si>
    <t xml:space="preserve">JC DISTRIBUICAO LOGISTICA</t>
  </si>
  <si>
    <t xml:space="preserve">17859385</t>
  </si>
  <si>
    <t xml:space="preserve">COMERCIAL SB LTDA</t>
  </si>
  <si>
    <t xml:space="preserve">17859395</t>
  </si>
  <si>
    <t xml:space="preserve">ESMERALDA COMERCIO E SERVICOS</t>
  </si>
  <si>
    <t xml:space="preserve">BARRA DO GARÇAS</t>
  </si>
  <si>
    <t xml:space="preserve">17859401</t>
  </si>
  <si>
    <t xml:space="preserve">MMP ALIMENTOS LTDA</t>
  </si>
  <si>
    <t xml:space="preserve">17859405</t>
  </si>
  <si>
    <t xml:space="preserve">RODRIGUES E CIA LTDA EPP</t>
  </si>
  <si>
    <t xml:space="preserve">17859406</t>
  </si>
  <si>
    <t xml:space="preserve">BOREAL COMERCIO E DISTRIBUICAO DE</t>
  </si>
  <si>
    <t xml:space="preserve">INHUMAS</t>
  </si>
  <si>
    <t xml:space="preserve">17859413</t>
  </si>
  <si>
    <t xml:space="preserve">17859414</t>
  </si>
  <si>
    <t xml:space="preserve">17859491</t>
  </si>
  <si>
    <t xml:space="preserve">LUCIANA GOMES VILELA DE LIMA</t>
  </si>
  <si>
    <t xml:space="preserve">MINEIROS</t>
  </si>
  <si>
    <t xml:space="preserve">17859492</t>
  </si>
  <si>
    <t xml:space="preserve">GIRE COMERCIO DE</t>
  </si>
  <si>
    <t xml:space="preserve">17860908</t>
  </si>
  <si>
    <t xml:space="preserve">17860948</t>
  </si>
  <si>
    <t xml:space="preserve">17861154</t>
  </si>
  <si>
    <t xml:space="preserve">17861155</t>
  </si>
  <si>
    <t xml:space="preserve">J. ROQUE COMERCIO DE ARTIGOS</t>
  </si>
  <si>
    <t xml:space="preserve">17863007</t>
  </si>
  <si>
    <t xml:space="preserve">FINARTE FAB DE BROWNIE LTDA - EPP</t>
  </si>
  <si>
    <t xml:space="preserve">17863668</t>
  </si>
  <si>
    <t xml:space="preserve">ELISANGELA CRISTINA HAMMES</t>
  </si>
  <si>
    <t xml:space="preserve">CAMPO BOM</t>
  </si>
  <si>
    <t xml:space="preserve">17863670</t>
  </si>
  <si>
    <t xml:space="preserve">SUPERMERCADO LEVE DOCES LTDA</t>
  </si>
  <si>
    <t xml:space="preserve">17863699</t>
  </si>
  <si>
    <t xml:space="preserve">SANDRA REGINA MORAES</t>
  </si>
  <si>
    <t xml:space="preserve">17863710</t>
  </si>
  <si>
    <t xml:space="preserve">17863711</t>
  </si>
  <si>
    <t xml:space="preserve">17863712</t>
  </si>
  <si>
    <t xml:space="preserve">17863713</t>
  </si>
  <si>
    <t xml:space="preserve">MARCIA SOUZA BORGES LTDA</t>
  </si>
  <si>
    <t xml:space="preserve">17863714</t>
  </si>
  <si>
    <t xml:space="preserve">17863715</t>
  </si>
  <si>
    <t xml:space="preserve">ATACAREJO DOS DOCES BR LTDA</t>
  </si>
  <si>
    <t xml:space="preserve">VIAMAO</t>
  </si>
  <si>
    <t xml:space="preserve">17863754</t>
  </si>
  <si>
    <t xml:space="preserve">17863755</t>
  </si>
  <si>
    <t xml:space="preserve">CHAPECO</t>
  </si>
  <si>
    <t xml:space="preserve">17863756</t>
  </si>
  <si>
    <t xml:space="preserve">RP REPRESENTAÇÕES COMERCIAIS LTDA</t>
  </si>
  <si>
    <t xml:space="preserve">17863758</t>
  </si>
  <si>
    <t xml:space="preserve">17863760</t>
  </si>
  <si>
    <t xml:space="preserve">CASA MAGICA COMÉRCIO</t>
  </si>
  <si>
    <t xml:space="preserve">17863777</t>
  </si>
  <si>
    <t xml:space="preserve">STOQ V &amp; V ALIMENTOS LTDA</t>
  </si>
  <si>
    <t xml:space="preserve">17863837</t>
  </si>
  <si>
    <t xml:space="preserve">AK COMERCIO LTDA</t>
  </si>
  <si>
    <t xml:space="preserve">17863838</t>
  </si>
  <si>
    <t xml:space="preserve">MAGDA LENA MARIUCCI TOCUNDUVA</t>
  </si>
  <si>
    <t xml:space="preserve">CORNELIO PROCOPIO</t>
  </si>
  <si>
    <t xml:space="preserve">17863840</t>
  </si>
  <si>
    <t xml:space="preserve">TUDO EM FESTAS COMERCIO</t>
  </si>
  <si>
    <t xml:space="preserve">17863841</t>
  </si>
  <si>
    <t xml:space="preserve">LOLLIPOP ARTIGOS DE FESTAS</t>
  </si>
  <si>
    <t xml:space="preserve">BALNEÁRIO CAMBORIÚ</t>
  </si>
  <si>
    <t xml:space="preserve">17863842</t>
  </si>
  <si>
    <t xml:space="preserve">CASA DAS EMBALAGENS PLAST CENTER</t>
  </si>
  <si>
    <t xml:space="preserve">SÃO JOÃO BATISTA</t>
  </si>
  <si>
    <t xml:space="preserve">17863844</t>
  </si>
  <si>
    <t xml:space="preserve">DOCE MIX DISTRIBUIDORA DE DOCES</t>
  </si>
  <si>
    <t xml:space="preserve">SÃO JOSÉ DO PINHAIS</t>
  </si>
  <si>
    <t xml:space="preserve">17863845</t>
  </si>
  <si>
    <t xml:space="preserve">DULEO COMERCIO DE DOCES EIRELLI</t>
  </si>
  <si>
    <t xml:space="preserve">17863848</t>
  </si>
  <si>
    <t xml:space="preserve">17863849</t>
  </si>
  <si>
    <t xml:space="preserve">AFAF ABDEL RAUF HASSAN YUSUF</t>
  </si>
  <si>
    <t xml:space="preserve">BAGE</t>
  </si>
  <si>
    <t xml:space="preserve">17863850</t>
  </si>
  <si>
    <t xml:space="preserve">DISTRIBUIDORA DE BALAS BASTOS LTDA</t>
  </si>
  <si>
    <t xml:space="preserve">VIAMÃO</t>
  </si>
  <si>
    <t xml:space="preserve">17863853</t>
  </si>
  <si>
    <t xml:space="preserve">GOIOPLAST FRIOS E EMBALAGENS LTDA</t>
  </si>
  <si>
    <t xml:space="preserve">GOIOERE</t>
  </si>
  <si>
    <t xml:space="preserve">17863854</t>
  </si>
  <si>
    <t xml:space="preserve">R R SCHABARUM ATACADO LTDA</t>
  </si>
  <si>
    <t xml:space="preserve">17863856</t>
  </si>
  <si>
    <t xml:space="preserve">V P COMERCIO DE ARTIGO</t>
  </si>
  <si>
    <t xml:space="preserve">17863857</t>
  </si>
  <si>
    <t xml:space="preserve">17863858</t>
  </si>
  <si>
    <t xml:space="preserve">FLECK &amp; TIMM - COMERCIO ALIMENTICIO</t>
  </si>
  <si>
    <t xml:space="preserve">17863859</t>
  </si>
  <si>
    <t xml:space="preserve">TIMM DOCES E FESTAS</t>
  </si>
  <si>
    <t xml:space="preserve">17863860</t>
  </si>
  <si>
    <t xml:space="preserve">JFT COMERCIO ALIMENTICIO DE DOCES</t>
  </si>
  <si>
    <t xml:space="preserve">17863865</t>
  </si>
  <si>
    <t xml:space="preserve">LARA &amp; LARA DISTRIBUIDORA LTDA</t>
  </si>
  <si>
    <t xml:space="preserve">17863879</t>
  </si>
  <si>
    <t xml:space="preserve">BARBOSA E WAGEMAKER COM DE ALIM</t>
  </si>
  <si>
    <t xml:space="preserve">HOLAMBRA</t>
  </si>
  <si>
    <t xml:space="preserve">17863881</t>
  </si>
  <si>
    <t xml:space="preserve">17863882</t>
  </si>
  <si>
    <t xml:space="preserve">DENILSON LIMA SUCRIER COMERCIO</t>
  </si>
  <si>
    <t xml:space="preserve">17863883</t>
  </si>
  <si>
    <t xml:space="preserve">FECCHIO CAMARGO PANIFICACAO</t>
  </si>
  <si>
    <t xml:space="preserve">17863885</t>
  </si>
  <si>
    <t xml:space="preserve">LA CLOCHE COOKIES COMERCIO</t>
  </si>
  <si>
    <t xml:space="preserve">17863886</t>
  </si>
  <si>
    <t xml:space="preserve">CASA SANTA LUZIA IMPORTADORA LTDA</t>
  </si>
  <si>
    <t xml:space="preserve">17863888</t>
  </si>
  <si>
    <t xml:space="preserve">HTL SP PARTICIPACOES S/A</t>
  </si>
  <si>
    <t xml:space="preserve">17863889</t>
  </si>
  <si>
    <t xml:space="preserve">17863890</t>
  </si>
  <si>
    <t xml:space="preserve">ATELIE MJ COMERCIO</t>
  </si>
  <si>
    <t xml:space="preserve">17863893</t>
  </si>
  <si>
    <t xml:space="preserve">17863894</t>
  </si>
  <si>
    <t xml:space="preserve">17863947</t>
  </si>
  <si>
    <t xml:space="preserve">COMERCIO DE DOCES ALMEIDA LTDA</t>
  </si>
  <si>
    <t xml:space="preserve">CURITIBANOS</t>
  </si>
  <si>
    <t xml:space="preserve">17863948</t>
  </si>
  <si>
    <t xml:space="preserve">B G V COMERCIAL DE</t>
  </si>
  <si>
    <t xml:space="preserve">17863949</t>
  </si>
  <si>
    <t xml:space="preserve">JOAO LUIS DA SILVA ME</t>
  </si>
  <si>
    <t xml:space="preserve">SÃO LEOPOLDO</t>
  </si>
  <si>
    <t xml:space="preserve">17863950</t>
  </si>
  <si>
    <t xml:space="preserve">JESSICA MACHADO ANTUNES DA ROSA</t>
  </si>
  <si>
    <t xml:space="preserve">LAURO MULLER</t>
  </si>
  <si>
    <t xml:space="preserve">17863951</t>
  </si>
  <si>
    <t xml:space="preserve">M.N VALIAS &amp; CIA LTDA</t>
  </si>
  <si>
    <t xml:space="preserve">UMUARAMA</t>
  </si>
  <si>
    <t xml:space="preserve">17863953</t>
  </si>
  <si>
    <t xml:space="preserve">KAROLINE JACOBSEN FABIAN DOS SANTOS</t>
  </si>
  <si>
    <t xml:space="preserve">CORONEL VIVIDA</t>
  </si>
  <si>
    <t xml:space="preserve">17863954</t>
  </si>
  <si>
    <t xml:space="preserve">FABIO ZIELINSKI - DOCES -ME</t>
  </si>
  <si>
    <t xml:space="preserve">17863955</t>
  </si>
  <si>
    <t xml:space="preserve">ANTONIO CARLOS ROHWEDER CHUARTS ME</t>
  </si>
  <si>
    <t xml:space="preserve">17863956</t>
  </si>
  <si>
    <t xml:space="preserve">SILVERADO CESTAS BASICAS LTDA</t>
  </si>
  <si>
    <t xml:space="preserve">CACHOEIRINHA</t>
  </si>
  <si>
    <t xml:space="preserve">17863957</t>
  </si>
  <si>
    <t xml:space="preserve">MANARA COM. DE GEN. ALIMEN. LTDA</t>
  </si>
  <si>
    <t xml:space="preserve">17863958</t>
  </si>
  <si>
    <t xml:space="preserve">MAYRA DA SILVA ALMEIDA</t>
  </si>
  <si>
    <t xml:space="preserve">SAO GABRIEL</t>
  </si>
  <si>
    <t xml:space="preserve">17863959</t>
  </si>
  <si>
    <t xml:space="preserve">M A LOPES COMERCIO DOCES</t>
  </si>
  <si>
    <t xml:space="preserve">17863960</t>
  </si>
  <si>
    <t xml:space="preserve">SANDRA FELIX DA SILVA</t>
  </si>
  <si>
    <t xml:space="preserve">17863961</t>
  </si>
  <si>
    <t xml:space="preserve">UPPER COMERCIO LTDA</t>
  </si>
  <si>
    <t xml:space="preserve">RIO BRANCO DO SUL</t>
  </si>
  <si>
    <t xml:space="preserve">17863962</t>
  </si>
  <si>
    <t xml:space="preserve">DC COMERCIO DE BALAS</t>
  </si>
  <si>
    <t xml:space="preserve">FLORIANPOLIS</t>
  </si>
  <si>
    <t xml:space="preserve">17863963</t>
  </si>
  <si>
    <t xml:space="preserve">MUNDO DAS FESTAS LTDA</t>
  </si>
  <si>
    <t xml:space="preserve">GAROPABA</t>
  </si>
  <si>
    <t xml:space="preserve">17863964</t>
  </si>
  <si>
    <t xml:space="preserve">PAES EMBALAGENS LTDA</t>
  </si>
  <si>
    <t xml:space="preserve">TUBARÃO</t>
  </si>
  <si>
    <t xml:space="preserve">17863965</t>
  </si>
  <si>
    <t xml:space="preserve">VM SHAWARSKI LTDA</t>
  </si>
  <si>
    <t xml:space="preserve">JARAGUÁ DO SUL</t>
  </si>
  <si>
    <t xml:space="preserve">17863966</t>
  </si>
  <si>
    <t xml:space="preserve">SOUMAR COMERCIO DE GENEROS</t>
  </si>
  <si>
    <t xml:space="preserve">TURVO</t>
  </si>
  <si>
    <t xml:space="preserve">17863967</t>
  </si>
  <si>
    <t xml:space="preserve">DECORO ARTIGOS PARA FESTAS</t>
  </si>
  <si>
    <t xml:space="preserve">FLORIANÓPOLIS</t>
  </si>
  <si>
    <t xml:space="preserve">17863968</t>
  </si>
  <si>
    <t xml:space="preserve">17863969</t>
  </si>
  <si>
    <t xml:space="preserve">CENTRAL DE AMENDOIM LTDA</t>
  </si>
  <si>
    <t xml:space="preserve">17863970</t>
  </si>
  <si>
    <t xml:space="preserve">17863971</t>
  </si>
  <si>
    <t xml:space="preserve">CRIATIVA EMBALAGENS LTDA</t>
  </si>
  <si>
    <t xml:space="preserve">MARAVILHA</t>
  </si>
  <si>
    <t xml:space="preserve">17863972</t>
  </si>
  <si>
    <t xml:space="preserve">17863973</t>
  </si>
  <si>
    <t xml:space="preserve">FJR COMERCIO DE EMBALAGENS EIRELLI</t>
  </si>
  <si>
    <t xml:space="preserve">17863974</t>
  </si>
  <si>
    <t xml:space="preserve">EMBALABEM COMÉRCIO DE</t>
  </si>
  <si>
    <t xml:space="preserve">17863975</t>
  </si>
  <si>
    <t xml:space="preserve">SCHAEFER COMERCIO DE</t>
  </si>
  <si>
    <t xml:space="preserve">17863976</t>
  </si>
  <si>
    <t xml:space="preserve">LUCARMO COMERCIO DE ALIMENTOS LTDA</t>
  </si>
  <si>
    <t xml:space="preserve">GUAIRA</t>
  </si>
  <si>
    <t xml:space="preserve">17863977</t>
  </si>
  <si>
    <t xml:space="preserve">R G DOS SANTOS ARMAZEM ME</t>
  </si>
  <si>
    <t xml:space="preserve">SAO JOSE DO NORTE</t>
  </si>
  <si>
    <t xml:space="preserve">17863978</t>
  </si>
  <si>
    <t xml:space="preserve">BIBI FEST ARTIGOS PARA FESTAS LTDA</t>
  </si>
  <si>
    <t xml:space="preserve">17863979</t>
  </si>
  <si>
    <t xml:space="preserve">LUCIA ELAINE RIBEIRO DE SOUZA ME</t>
  </si>
  <si>
    <t xml:space="preserve">SANTIAGO</t>
  </si>
  <si>
    <t xml:space="preserve">17863980</t>
  </si>
  <si>
    <t xml:space="preserve">17863981</t>
  </si>
  <si>
    <t xml:space="preserve">17864021</t>
  </si>
  <si>
    <t xml:space="preserve">17864022</t>
  </si>
  <si>
    <t xml:space="preserve">17864023</t>
  </si>
  <si>
    <t xml:space="preserve">BARBOSA EMBALAGENS LTDA</t>
  </si>
  <si>
    <t xml:space="preserve">17864024</t>
  </si>
  <si>
    <t xml:space="preserve">17864879</t>
  </si>
  <si>
    <t xml:space="preserve">MILANO COMERCIO VAREJISTA</t>
  </si>
  <si>
    <t xml:space="preserve">17865035</t>
  </si>
  <si>
    <t xml:space="preserve">17865293</t>
  </si>
  <si>
    <t xml:space="preserve">17865628</t>
  </si>
  <si>
    <t xml:space="preserve">CASA FESTA LTDA</t>
  </si>
  <si>
    <t xml:space="preserve">SAO LUIS DE MONTES BELOS</t>
  </si>
  <si>
    <t xml:space="preserve">17865629</t>
  </si>
  <si>
    <t xml:space="preserve">MAX EMBALAGENS ARAUJO LTDA</t>
  </si>
  <si>
    <t xml:space="preserve">RONDONÓPOLIS</t>
  </si>
  <si>
    <t xml:space="preserve">17865630</t>
  </si>
  <si>
    <t xml:space="preserve">17865631</t>
  </si>
  <si>
    <t xml:space="preserve">HAPPIER ARTIGOS PARA FESTAS E</t>
  </si>
  <si>
    <t xml:space="preserve">ÁGUAS LINDAS DE GOIÁS</t>
  </si>
  <si>
    <t xml:space="preserve">17865632</t>
  </si>
  <si>
    <t xml:space="preserve">MEGA CASA DAS EMBALAGENS LTDA</t>
  </si>
  <si>
    <t xml:space="preserve">NOVA MUTUM</t>
  </si>
  <si>
    <t xml:space="preserve">17865633</t>
  </si>
  <si>
    <t xml:space="preserve">JPD COMÉRCIO DE EMBALAGENS LTDA ME</t>
  </si>
  <si>
    <t xml:space="preserve">CACERES</t>
  </si>
  <si>
    <t xml:space="preserve">17865634</t>
  </si>
  <si>
    <t xml:space="preserve">PRATICA COMER ATACADI DE</t>
  </si>
  <si>
    <t xml:space="preserve">SORRISO</t>
  </si>
  <si>
    <t xml:space="preserve">17865636</t>
  </si>
  <si>
    <t xml:space="preserve">TOTAL DISTRIBUIDORA LTDA</t>
  </si>
  <si>
    <t xml:space="preserve">17865637</t>
  </si>
  <si>
    <t xml:space="preserve">ROQUE LIMA COMERCIO PARA</t>
  </si>
  <si>
    <t xml:space="preserve">17865638</t>
  </si>
  <si>
    <t xml:space="preserve">17865639</t>
  </si>
  <si>
    <t xml:space="preserve">ELOHIM PRODUTOS PARA</t>
  </si>
  <si>
    <t xml:space="preserve">17865640</t>
  </si>
  <si>
    <t xml:space="preserve">CM DOCIL COM DOCES E EMB LTDA</t>
  </si>
  <si>
    <t xml:space="preserve">17865642</t>
  </si>
  <si>
    <t xml:space="preserve">EDSON G DE CARVALHO EIRELI</t>
  </si>
  <si>
    <t xml:space="preserve">17865643</t>
  </si>
  <si>
    <t xml:space="preserve">17865645</t>
  </si>
  <si>
    <t xml:space="preserve">17865646</t>
  </si>
  <si>
    <t xml:space="preserve">17865647</t>
  </si>
  <si>
    <t xml:space="preserve">17865649</t>
  </si>
  <si>
    <t xml:space="preserve">17865650</t>
  </si>
  <si>
    <t xml:space="preserve">GIFT PRODUTOS PARA FESTAS</t>
  </si>
  <si>
    <t xml:space="preserve">17865651</t>
  </si>
  <si>
    <t xml:space="preserve">MEGA DOCES ATACADISTA LTDA</t>
  </si>
  <si>
    <t xml:space="preserve">17865652</t>
  </si>
  <si>
    <t xml:space="preserve">17865653</t>
  </si>
  <si>
    <t xml:space="preserve">HAPPY DAY FESTAS E EMBALAGENS LTDA</t>
  </si>
  <si>
    <t xml:space="preserve">GOIATUBA</t>
  </si>
  <si>
    <t xml:space="preserve">17865654</t>
  </si>
  <si>
    <t xml:space="preserve">17865687</t>
  </si>
  <si>
    <t xml:space="preserve">BRUSTELA E CIA LTDA</t>
  </si>
  <si>
    <t xml:space="preserve">BATAGUASSU</t>
  </si>
  <si>
    <t xml:space="preserve">17865688</t>
  </si>
  <si>
    <t xml:space="preserve">DOCE E CAKE ALIMENTOS LTDA</t>
  </si>
  <si>
    <t xml:space="preserve">FATIMA DO SUL</t>
  </si>
  <si>
    <t xml:space="preserve">17865689</t>
  </si>
  <si>
    <t xml:space="preserve">17865690</t>
  </si>
  <si>
    <t xml:space="preserve">17865701</t>
  </si>
  <si>
    <t xml:space="preserve">COMERCIO DE PRODs ALIMENTICIOS SLM</t>
  </si>
  <si>
    <t xml:space="preserve">17865724</t>
  </si>
  <si>
    <t xml:space="preserve">MAXIMA DISTRIB DE EMBAL LTDA EPP</t>
  </si>
  <si>
    <t xml:space="preserve">17865744</t>
  </si>
  <si>
    <t xml:space="preserve">17865787</t>
  </si>
  <si>
    <t xml:space="preserve">ANDRE FELIPE SAMRSLA DE VARGAS LTDA</t>
  </si>
  <si>
    <t xml:space="preserve">17865791</t>
  </si>
  <si>
    <t xml:space="preserve">17865792</t>
  </si>
  <si>
    <t xml:space="preserve">TERRA VITTA MERCATTO LTDA</t>
  </si>
  <si>
    <t xml:space="preserve">PIRAQUARA</t>
  </si>
  <si>
    <t xml:space="preserve">17865793</t>
  </si>
  <si>
    <t xml:space="preserve">DISTRIBUIDORA DE ALIMENTOS</t>
  </si>
  <si>
    <t xml:space="preserve">17865794</t>
  </si>
  <si>
    <t xml:space="preserve">LO CONFEITEIRA LTDA</t>
  </si>
  <si>
    <t xml:space="preserve">17865795</t>
  </si>
  <si>
    <t xml:space="preserve">17865796</t>
  </si>
  <si>
    <t xml:space="preserve">17865797</t>
  </si>
  <si>
    <t xml:space="preserve">17865846</t>
  </si>
  <si>
    <t xml:space="preserve">SCHERBIS LTDA</t>
  </si>
  <si>
    <t xml:space="preserve">17865869</t>
  </si>
  <si>
    <t xml:space="preserve">AM DISTRIBUIDORA DE</t>
  </si>
  <si>
    <t xml:space="preserve">17865871</t>
  </si>
  <si>
    <t xml:space="preserve">OLDISI COMER. DE PROD. ALIMENTI.</t>
  </si>
  <si>
    <t xml:space="preserve">GUAIBA </t>
  </si>
  <si>
    <t xml:space="preserve">17865872</t>
  </si>
  <si>
    <t xml:space="preserve">J. P. RAMOS ARMARINHO EIRELI</t>
  </si>
  <si>
    <t xml:space="preserve">17865874</t>
  </si>
  <si>
    <t xml:space="preserve">SHOPPING DO 9 COMERCIAL LTDA</t>
  </si>
  <si>
    <t xml:space="preserve">ANDIRA</t>
  </si>
  <si>
    <t xml:space="preserve">17865875</t>
  </si>
  <si>
    <t xml:space="preserve">17865877</t>
  </si>
  <si>
    <t xml:space="preserve">ADOCE ATACADO E VAREJO</t>
  </si>
  <si>
    <t xml:space="preserve">17865878</t>
  </si>
  <si>
    <t xml:space="preserve">R. BRUNETTO COMERCIO VAREJISTA DE</t>
  </si>
  <si>
    <t xml:space="preserve">17865879</t>
  </si>
  <si>
    <t xml:space="preserve">17865906</t>
  </si>
  <si>
    <t xml:space="preserve">TOK FESTAS E EMBALAGENS SJ LTDA</t>
  </si>
  <si>
    <t xml:space="preserve">17865907</t>
  </si>
  <si>
    <t xml:space="preserve">17865908</t>
  </si>
  <si>
    <t xml:space="preserve">BENGEDER DINECK DE FIGUEIREDO</t>
  </si>
  <si>
    <t xml:space="preserve">ROSARIO DO SUL</t>
  </si>
  <si>
    <t xml:space="preserve">17865909</t>
  </si>
  <si>
    <t xml:space="preserve">ROSA SUL PATO BRANCO LTDA</t>
  </si>
  <si>
    <t xml:space="preserve">17865910</t>
  </si>
  <si>
    <t xml:space="preserve">DIST. MAGIRUS EMBAL EIRELI</t>
  </si>
  <si>
    <t xml:space="preserve">DOIS VIZINHOS</t>
  </si>
  <si>
    <t xml:space="preserve">17865911</t>
  </si>
  <si>
    <t xml:space="preserve">FRANCISCO ORLANDO RIBEIRO CHICO</t>
  </si>
  <si>
    <t xml:space="preserve">17865912</t>
  </si>
  <si>
    <t xml:space="preserve">SHOW DOCES E EMBALAGENS LTDA</t>
  </si>
  <si>
    <t xml:space="preserve">17865936</t>
  </si>
  <si>
    <t xml:space="preserve">RENAN SCARDUELI BRESSAN</t>
  </si>
  <si>
    <t xml:space="preserve">17865937</t>
  </si>
  <si>
    <t xml:space="preserve">LALU COMERC DE ARTIG P/ FESTAS LTDA</t>
  </si>
  <si>
    <t xml:space="preserve">LUIZ ALVES</t>
  </si>
  <si>
    <t xml:space="preserve">17865938</t>
  </si>
  <si>
    <t xml:space="preserve">17865939</t>
  </si>
  <si>
    <t xml:space="preserve">DTD EMBALAGENS LTDA</t>
  </si>
  <si>
    <t xml:space="preserve">17865940</t>
  </si>
  <si>
    <t xml:space="preserve">ZATTI EMBALAGENS LTDA</t>
  </si>
  <si>
    <t xml:space="preserve">PALHOCA</t>
  </si>
  <si>
    <t xml:space="preserve">17865943</t>
  </si>
  <si>
    <t xml:space="preserve">S. CRECENCIO EMBALAGENS</t>
  </si>
  <si>
    <t xml:space="preserve">LARANJEIRAS DO SUL</t>
  </si>
  <si>
    <t xml:space="preserve">17865944</t>
  </si>
  <si>
    <t xml:space="preserve">FABRICIO DA SILVA WAWRZENIAK</t>
  </si>
  <si>
    <t xml:space="preserve">BUTIA</t>
  </si>
  <si>
    <t xml:space="preserve">17865946</t>
  </si>
  <si>
    <t xml:space="preserve">VARIEDADES BACH LTDA</t>
  </si>
  <si>
    <t xml:space="preserve">SÃO LEOPOLDP</t>
  </si>
  <si>
    <t xml:space="preserve">17865959</t>
  </si>
  <si>
    <t xml:space="preserve">17865960</t>
  </si>
  <si>
    <t xml:space="preserve">NORTFEST COMERCIAL LTDA</t>
  </si>
  <si>
    <t xml:space="preserve">BRACO DO NORTE</t>
  </si>
  <si>
    <t xml:space="preserve">17865961</t>
  </si>
  <si>
    <t xml:space="preserve">ROSEMEYRE DE FATIMA CAPELARI</t>
  </si>
  <si>
    <t xml:space="preserve">PARANAGUÁ</t>
  </si>
  <si>
    <t xml:space="preserve">17865962</t>
  </si>
  <si>
    <t xml:space="preserve">17865963</t>
  </si>
  <si>
    <t xml:space="preserve">17865964</t>
  </si>
  <si>
    <t xml:space="preserve">DO ALLE DOCES E EMBALAGENS EIRELI</t>
  </si>
  <si>
    <t xml:space="preserve">CANOINHAS</t>
  </si>
  <si>
    <t xml:space="preserve">17866748</t>
  </si>
  <si>
    <t xml:space="preserve">17866749</t>
  </si>
  <si>
    <t xml:space="preserve">17866794</t>
  </si>
  <si>
    <t xml:space="preserve">JULIA NUSSBACHER</t>
  </si>
  <si>
    <t xml:space="preserve">17867095</t>
  </si>
  <si>
    <t xml:space="preserve">M FOODS LTDA</t>
  </si>
  <si>
    <t xml:space="preserve">17867233</t>
  </si>
  <si>
    <t xml:space="preserve">17867496</t>
  </si>
  <si>
    <t xml:space="preserve">17867497</t>
  </si>
  <si>
    <t xml:space="preserve">17867499</t>
  </si>
  <si>
    <t xml:space="preserve">MARTINS &amp; BRUCHMAM MARTINS LTDA</t>
  </si>
  <si>
    <t xml:space="preserve">ALTA FLORESTA</t>
  </si>
  <si>
    <t xml:space="preserve">17867648</t>
  </si>
  <si>
    <t xml:space="preserve">COOKIE COMPANY CONFEITARIA LTDA</t>
  </si>
  <si>
    <t xml:space="preserve">17867695</t>
  </si>
  <si>
    <t xml:space="preserve">SWEET SCAPE COM ALIM LTDA</t>
  </si>
  <si>
    <t xml:space="preserve">17867977</t>
  </si>
  <si>
    <t xml:space="preserve">CONFEITARIA CRISTINA LTDA</t>
  </si>
  <si>
    <t xml:space="preserve">17868004</t>
  </si>
  <si>
    <t xml:space="preserve">GATE GOURMET LTDA</t>
  </si>
  <si>
    <t xml:space="preserve">17854342</t>
  </si>
  <si>
    <t xml:space="preserve">PRODUPAN - PRODUTOS PARA PANIFICACA</t>
  </si>
  <si>
    <t xml:space="preserve">TUBARAO</t>
  </si>
  <si>
    <t xml:space="preserve">17854355</t>
  </si>
  <si>
    <t xml:space="preserve">MAHEL EMPREENDIMENTOS LTDA</t>
  </si>
  <si>
    <t xml:space="preserve">SAO LUIS</t>
  </si>
  <si>
    <t xml:space="preserve">17854359</t>
  </si>
  <si>
    <t xml:space="preserve">CASA DA PANIFICACAO COM E REP DE PR</t>
  </si>
  <si>
    <t xml:space="preserve">SAO JOSE</t>
  </si>
  <si>
    <t xml:space="preserve">17854362</t>
  </si>
  <si>
    <t xml:space="preserve">17854364</t>
  </si>
  <si>
    <t xml:space="preserve">17854365</t>
  </si>
  <si>
    <t xml:space="preserve">17854369</t>
  </si>
  <si>
    <t xml:space="preserve">17854576</t>
  </si>
  <si>
    <t xml:space="preserve">CUNHAPAN DISTRIBUIDORA DE</t>
  </si>
  <si>
    <t xml:space="preserve">17854654</t>
  </si>
  <si>
    <t xml:space="preserve">COMERCIAL DISKPAN LTDA</t>
  </si>
  <si>
    <t xml:space="preserve">17854655</t>
  </si>
  <si>
    <t xml:space="preserve">17854657</t>
  </si>
  <si>
    <t xml:space="preserve">17854729</t>
  </si>
  <si>
    <t xml:space="preserve">ALE DO PUDIM LTDA</t>
  </si>
  <si>
    <t xml:space="preserve">VITORIA</t>
  </si>
  <si>
    <t xml:space="preserve">17854861</t>
  </si>
  <si>
    <t xml:space="preserve">ICE CREAM COMERCIO DE ALIMENTOS</t>
  </si>
  <si>
    <t xml:space="preserve">17854862</t>
  </si>
  <si>
    <t xml:space="preserve">ITABUNA</t>
  </si>
  <si>
    <t xml:space="preserve">17854921</t>
  </si>
  <si>
    <t xml:space="preserve">TRISTAO E MAZZOLI COMERCIO LTDA</t>
  </si>
  <si>
    <t xml:space="preserve">17854957</t>
  </si>
  <si>
    <t xml:space="preserve">17854966</t>
  </si>
  <si>
    <t xml:space="preserve">17855015</t>
  </si>
  <si>
    <t xml:space="preserve">17855082</t>
  </si>
  <si>
    <t xml:space="preserve">17855083</t>
  </si>
  <si>
    <t xml:space="preserve">17856156</t>
  </si>
  <si>
    <t xml:space="preserve">DISTRIBUIDORA NORDESTINA DE</t>
  </si>
  <si>
    <t xml:space="preserve">17856330</t>
  </si>
  <si>
    <t xml:space="preserve">17856456</t>
  </si>
  <si>
    <t xml:space="preserve">17856483</t>
  </si>
  <si>
    <t xml:space="preserve">BAKERY LTDA</t>
  </si>
  <si>
    <t xml:space="preserve">17857344</t>
  </si>
  <si>
    <t xml:space="preserve">CF OLIVEIRA DE FARIA LTDA</t>
  </si>
  <si>
    <t xml:space="preserve">17859337</t>
  </si>
  <si>
    <t xml:space="preserve">MC EMBALAGENS LTDA ME</t>
  </si>
  <si>
    <t xml:space="preserve">17859352</t>
  </si>
  <si>
    <t xml:space="preserve">LA PASTA PLACE BAR E REST EIRELLI</t>
  </si>
  <si>
    <t xml:space="preserve">17859353</t>
  </si>
  <si>
    <t xml:space="preserve">17859376</t>
  </si>
  <si>
    <t xml:space="preserve">17859429</t>
  </si>
  <si>
    <t xml:space="preserve">17859434</t>
  </si>
  <si>
    <t xml:space="preserve">WCN COMERCIO E REPRESENTACAO DE ALI</t>
  </si>
  <si>
    <t xml:space="preserve">17859512</t>
  </si>
  <si>
    <t xml:space="preserve">17861344</t>
  </si>
  <si>
    <t xml:space="preserve">17863795</t>
  </si>
  <si>
    <t xml:space="preserve">TANGARA DESENV IMOBIL</t>
  </si>
  <si>
    <t xml:space="preserve">17863999</t>
  </si>
  <si>
    <t xml:space="preserve">17864013</t>
  </si>
  <si>
    <t xml:space="preserve">17864883</t>
  </si>
  <si>
    <t xml:space="preserve">17864895</t>
  </si>
  <si>
    <t xml:space="preserve">17864944</t>
  </si>
  <si>
    <t xml:space="preserve">17864955</t>
  </si>
  <si>
    <t xml:space="preserve">PADARIA E CONVENIENCIA SILVEIRA LTD</t>
  </si>
  <si>
    <t xml:space="preserve">17864956</t>
  </si>
  <si>
    <t xml:space="preserve">SUCRIER CONFEIITARIA E COMERCIO DE</t>
  </si>
  <si>
    <t xml:space="preserve">17864995</t>
  </si>
  <si>
    <t xml:space="preserve">NEWREST BRASIL SERVICOS AUXILIARES</t>
  </si>
  <si>
    <t xml:space="preserve">17865010</t>
  </si>
  <si>
    <t xml:space="preserve">LA DE CASA COM DE BOLOS CASEIROS</t>
  </si>
  <si>
    <t xml:space="preserve">17865085</t>
  </si>
  <si>
    <t xml:space="preserve">17865413</t>
  </si>
  <si>
    <t xml:space="preserve">17865414</t>
  </si>
  <si>
    <t xml:space="preserve">IMPERIO DISTRIBUIDORA ATACADISTA</t>
  </si>
  <si>
    <t xml:space="preserve">17865415</t>
  </si>
  <si>
    <t xml:space="preserve">MARCELA RIBEIRO DE SOUZA SILVA</t>
  </si>
  <si>
    <t xml:space="preserve">GANDU</t>
  </si>
  <si>
    <t xml:space="preserve">17865426</t>
  </si>
  <si>
    <t xml:space="preserve">J A COMERCIO DE EMBALAGENS E</t>
  </si>
  <si>
    <t xml:space="preserve">17865655</t>
  </si>
  <si>
    <t xml:space="preserve">17865656</t>
  </si>
  <si>
    <t xml:space="preserve">GV FERNANDES COM. ATAC. VAREJO</t>
  </si>
  <si>
    <t xml:space="preserve">17865657</t>
  </si>
  <si>
    <t xml:space="preserve">GJ FESTAS LTDA</t>
  </si>
  <si>
    <t xml:space="preserve">17865658</t>
  </si>
  <si>
    <t xml:space="preserve">GJ GERAL COMERCIAL DE</t>
  </si>
  <si>
    <t xml:space="preserve">17865659</t>
  </si>
  <si>
    <t xml:space="preserve">MANOEL CAMILLO ALVES GUIMARAES</t>
  </si>
  <si>
    <t xml:space="preserve">17865660</t>
  </si>
  <si>
    <t xml:space="preserve">17865786</t>
  </si>
  <si>
    <t xml:space="preserve">F.F.F FERMENTAO COMERCIO E</t>
  </si>
  <si>
    <t xml:space="preserve">17866784</t>
  </si>
  <si>
    <t xml:space="preserve">17866845</t>
  </si>
  <si>
    <t xml:space="preserve">BARRY CALLEBAUT BRASIL INDUSTRIA E</t>
  </si>
  <si>
    <t xml:space="preserve">17866903</t>
  </si>
  <si>
    <t xml:space="preserve">PIKURRUCHA'S COM DE DOCES</t>
  </si>
  <si>
    <t xml:space="preserve">17867232</t>
  </si>
  <si>
    <t xml:space="preserve">17867980</t>
  </si>
  <si>
    <t xml:space="preserve">PERFETTO ALIMENTOS S.A.</t>
  </si>
  <si>
    <t xml:space="preserve">PATROCINIO PAULISTA</t>
  </si>
  <si>
    <t xml:space="preserve">17854382</t>
  </si>
  <si>
    <t xml:space="preserve">SANTA MARIA ALIMENTOS LTDA</t>
  </si>
  <si>
    <t xml:space="preserve">17854384</t>
  </si>
  <si>
    <t xml:space="preserve">HIMALAIA COMERCIO DE PRODUTOS</t>
  </si>
  <si>
    <t xml:space="preserve">ELDORADO DO SUL</t>
  </si>
  <si>
    <t xml:space="preserve">17854386</t>
  </si>
  <si>
    <t xml:space="preserve">M LOPES ALIMENTOS BELTRAO LTDA</t>
  </si>
  <si>
    <t xml:space="preserve">FRANCISCO BELTRAO</t>
  </si>
  <si>
    <t xml:space="preserve">17854393</t>
  </si>
  <si>
    <t xml:space="preserve">DISTRIBUIDORA DE FRIOS HASI LTDA</t>
  </si>
  <si>
    <t xml:space="preserve">ITAPEMA</t>
  </si>
  <si>
    <t xml:space="preserve">17854394</t>
  </si>
  <si>
    <t xml:space="preserve">COM. DOCES ROSITO LTDA</t>
  </si>
  <si>
    <t xml:space="preserve">17854395</t>
  </si>
  <si>
    <t xml:space="preserve">OESTEPAN DISTRIBUIDORA</t>
  </si>
  <si>
    <t xml:space="preserve">17854397</t>
  </si>
  <si>
    <t xml:space="preserve">TRANSELPE LTDA. - EPP</t>
  </si>
  <si>
    <t xml:space="preserve">17854398</t>
  </si>
  <si>
    <t xml:space="preserve">RIBERPAN COMERCIO DE ALIMENTOS LTDA</t>
  </si>
  <si>
    <t xml:space="preserve">17854399</t>
  </si>
  <si>
    <t xml:space="preserve">TBOLL DISTRIBUIDORA</t>
  </si>
  <si>
    <t xml:space="preserve">TRAMANDAI</t>
  </si>
  <si>
    <t xml:space="preserve">17854400</t>
  </si>
  <si>
    <t xml:space="preserve">17854402</t>
  </si>
  <si>
    <t xml:space="preserve">OESA COMÉRCIO E REPRESENTAÇÕES S/A</t>
  </si>
  <si>
    <t xml:space="preserve">ESTÂNCIA VELHA</t>
  </si>
  <si>
    <t xml:space="preserve">17854403</t>
  </si>
  <si>
    <t xml:space="preserve">17854406</t>
  </si>
  <si>
    <t xml:space="preserve">17854408</t>
  </si>
  <si>
    <t xml:space="preserve">YAMAGUCHI GELATERIA LTDA</t>
  </si>
  <si>
    <t xml:space="preserve">17854411</t>
  </si>
  <si>
    <t xml:space="preserve">17854413</t>
  </si>
  <si>
    <t xml:space="preserve">17854418</t>
  </si>
  <si>
    <t xml:space="preserve">CIERS DISTRIBUIDORA DE</t>
  </si>
  <si>
    <t xml:space="preserve">17854420</t>
  </si>
  <si>
    <t xml:space="preserve">DISTRIBUIDORA COSTA E CAMPOS LTDA</t>
  </si>
  <si>
    <t xml:space="preserve">17854423</t>
  </si>
  <si>
    <t xml:space="preserve">CAFETERIA COSMOPOLITA</t>
  </si>
  <si>
    <t xml:space="preserve">17854425</t>
  </si>
  <si>
    <t xml:space="preserve">FC DISTRIBUIDORA DE .</t>
  </si>
  <si>
    <t xml:space="preserve">17854428</t>
  </si>
  <si>
    <t xml:space="preserve">H. E. DISTRIBUIDORA LTDA</t>
  </si>
  <si>
    <t xml:space="preserve">HERVAL DOESTE</t>
  </si>
  <si>
    <t xml:space="preserve">17854432</t>
  </si>
  <si>
    <t xml:space="preserve">PANIFICADORA DAVIRENE LTDA</t>
  </si>
  <si>
    <t xml:space="preserve">17854435</t>
  </si>
  <si>
    <t xml:space="preserve">17854437</t>
  </si>
  <si>
    <t xml:space="preserve">17854438</t>
  </si>
  <si>
    <t xml:space="preserve">17854444</t>
  </si>
  <si>
    <t xml:space="preserve">17854447</t>
  </si>
  <si>
    <t xml:space="preserve">CAVIN PRODUTOS PARA PANIFICACAO LTD</t>
  </si>
  <si>
    <t xml:space="preserve">17854568</t>
  </si>
  <si>
    <t xml:space="preserve">VENETO IND COM DE ALIM LTDA</t>
  </si>
  <si>
    <t xml:space="preserve">17854826</t>
  </si>
  <si>
    <t xml:space="preserve">FERGA ALIMENTOS LTDA</t>
  </si>
  <si>
    <t xml:space="preserve">ESTANCIA VELHA</t>
  </si>
  <si>
    <t xml:space="preserve">17856815</t>
  </si>
  <si>
    <t xml:space="preserve">17856896</t>
  </si>
  <si>
    <t xml:space="preserve">17857307</t>
  </si>
  <si>
    <t xml:space="preserve">GILBERTO KAJEVSKI &amp; CIA LTDA ME</t>
  </si>
  <si>
    <t xml:space="preserve">17857308</t>
  </si>
  <si>
    <t xml:space="preserve">17857312</t>
  </si>
  <si>
    <t xml:space="preserve">CASA REAL PROD. ALIMENTICIOS LTDA</t>
  </si>
  <si>
    <t xml:space="preserve">17857313</t>
  </si>
  <si>
    <t xml:space="preserve">C DO FERMENTO COMERCIO</t>
  </si>
  <si>
    <t xml:space="preserve">17857314</t>
  </si>
  <si>
    <t xml:space="preserve">CINDREIA COMERCIO DE</t>
  </si>
  <si>
    <t xml:space="preserve">17857318</t>
  </si>
  <si>
    <t xml:space="preserve">PAPELAN LTDA</t>
  </si>
  <si>
    <t xml:space="preserve">MARAU</t>
  </si>
  <si>
    <t xml:space="preserve">17857345</t>
  </si>
  <si>
    <t xml:space="preserve">PERINI CAVALETT E CIA LTDA</t>
  </si>
  <si>
    <t xml:space="preserve">ERECHIM</t>
  </si>
  <si>
    <t xml:space="preserve">17857350</t>
  </si>
  <si>
    <t xml:space="preserve">17858878</t>
  </si>
  <si>
    <t xml:space="preserve">BASE COMERCIO DE ALIMENTOS LTDA</t>
  </si>
  <si>
    <t xml:space="preserve">17858882</t>
  </si>
  <si>
    <t xml:space="preserve">17859219</t>
  </si>
  <si>
    <t xml:space="preserve">FERMISUL FERMENTOS E PRODUTOS</t>
  </si>
  <si>
    <t xml:space="preserve">17859220</t>
  </si>
  <si>
    <t xml:space="preserve">RL ALIMENTOS LTDA</t>
  </si>
  <si>
    <t xml:space="preserve">17859221</t>
  </si>
  <si>
    <t xml:space="preserve">PAULO HENRIQUE POLICENO CUNHA</t>
  </si>
  <si>
    <t xml:space="preserve">17859223</t>
  </si>
  <si>
    <t xml:space="preserve">17859227</t>
  </si>
  <si>
    <t xml:space="preserve">17859228</t>
  </si>
  <si>
    <t xml:space="preserve">FC DISTRIBUIDORA</t>
  </si>
  <si>
    <t xml:space="preserve">17859237</t>
  </si>
  <si>
    <t xml:space="preserve">EMPÓRIO CAVIPAN COM.</t>
  </si>
  <si>
    <t xml:space="preserve">17859238</t>
  </si>
  <si>
    <t xml:space="preserve">AZEVEDO RIBEIRO E CIA LTDA</t>
  </si>
  <si>
    <t xml:space="preserve">17859248</t>
  </si>
  <si>
    <t xml:space="preserve">17859258</t>
  </si>
  <si>
    <t xml:space="preserve">17859266</t>
  </si>
  <si>
    <t xml:space="preserve">17859464</t>
  </si>
  <si>
    <t xml:space="preserve">17861183</t>
  </si>
  <si>
    <t xml:space="preserve">17861358</t>
  </si>
  <si>
    <t xml:space="preserve">JANAINA STEIN &amp;CIA LTDA</t>
  </si>
  <si>
    <t xml:space="preserve">17861446</t>
  </si>
  <si>
    <t xml:space="preserve">17863030</t>
  </si>
  <si>
    <t xml:space="preserve">JANA DOCES INDUSTRIA E COMERCIO</t>
  </si>
  <si>
    <t xml:space="preserve">17863794</t>
  </si>
  <si>
    <t xml:space="preserve">PRADO PEREIRA ALIMENTOS LTDA - EPP</t>
  </si>
  <si>
    <t xml:space="preserve">17865799</t>
  </si>
  <si>
    <t xml:space="preserve">17865880</t>
  </si>
  <si>
    <t xml:space="preserve">COMERCIO GENEROS ALIM. MATHESCH</t>
  </si>
  <si>
    <t xml:space="preserve">17865913</t>
  </si>
  <si>
    <t xml:space="preserve">C.L POLACHINI &amp; CIA LTDA</t>
  </si>
  <si>
    <t xml:space="preserve">17865947</t>
  </si>
  <si>
    <t xml:space="preserve">43.339.700 MERE TEREZINHA DE SOUZA</t>
  </si>
  <si>
    <t xml:space="preserve">BIGUACU</t>
  </si>
  <si>
    <t xml:space="preserve">17865948</t>
  </si>
  <si>
    <t xml:space="preserve">17865950</t>
  </si>
  <si>
    <t xml:space="preserve">DISTR. DE DOCES FOLLONI LTDA</t>
  </si>
  <si>
    <t xml:space="preserve">17865965</t>
  </si>
  <si>
    <t xml:space="preserve">CONFEITANDO ALIMENTOS LTDA</t>
  </si>
  <si>
    <t xml:space="preserve">INDAIAL</t>
  </si>
  <si>
    <t xml:space="preserve">17866795</t>
  </si>
  <si>
    <t xml:space="preserve">LUIZA LAFER CONFEITARIA LTDA</t>
  </si>
  <si>
    <t xml:space="preserve">17866797</t>
  </si>
  <si>
    <t xml:space="preserve">SANTU PANIFICACAO LTDA</t>
  </si>
  <si>
    <t xml:space="preserve">17866853</t>
  </si>
  <si>
    <t xml:space="preserve">17867098</t>
  </si>
  <si>
    <t xml:space="preserve">HANAMI SOBREMESAS E SORVETES LTDA</t>
  </si>
  <si>
    <t xml:space="preserve">17867099</t>
  </si>
  <si>
    <t xml:space="preserve">DANDOCE COMERCIO DE BOLO</t>
  </si>
  <si>
    <t xml:space="preserve">17867133</t>
  </si>
  <si>
    <t xml:space="preserve">17867138</t>
  </si>
  <si>
    <t xml:space="preserve">SUGARPLUM ARTIGOS PARA CASA E</t>
  </si>
  <si>
    <t xml:space="preserve">17867140</t>
  </si>
  <si>
    <t xml:space="preserve">17867141</t>
  </si>
  <si>
    <t xml:space="preserve">17867142</t>
  </si>
  <si>
    <t xml:space="preserve">17867143</t>
  </si>
  <si>
    <t xml:space="preserve">17867150</t>
  </si>
  <si>
    <t xml:space="preserve">LINO &amp; PEGORARO COM. DE PROD. ALIM.</t>
  </si>
  <si>
    <t xml:space="preserve">17867239</t>
  </si>
  <si>
    <t xml:space="preserve">ANGELA PRATI FAVARO . LTDA</t>
  </si>
  <si>
    <t xml:space="preserve">17867314</t>
  </si>
  <si>
    <t xml:space="preserve">17867353</t>
  </si>
  <si>
    <t xml:space="preserve">17867354</t>
  </si>
  <si>
    <t xml:space="preserve">17867355</t>
  </si>
  <si>
    <t xml:space="preserve">A COMERCIAL PAIVA LTDA</t>
  </si>
  <si>
    <t xml:space="preserve">17867444</t>
  </si>
  <si>
    <t xml:space="preserve">DISTRIBUIDORA DOCE MARTINA LTDA</t>
  </si>
  <si>
    <t xml:space="preserve">17867445</t>
  </si>
  <si>
    <t xml:space="preserve">17867446</t>
  </si>
  <si>
    <t xml:space="preserve">17867447</t>
  </si>
  <si>
    <t xml:space="preserve">SHOW DOCES E BALAS EIRELI</t>
  </si>
  <si>
    <t xml:space="preserve">17867448</t>
  </si>
  <si>
    <t xml:space="preserve">17867449</t>
  </si>
  <si>
    <t xml:space="preserve">PLASTIC TOP EMBALAGENS LTDA</t>
  </si>
  <si>
    <t xml:space="preserve">17867450</t>
  </si>
  <si>
    <t xml:space="preserve">CENTER COMERCIO DE EMBALAGENS</t>
  </si>
  <si>
    <t xml:space="preserve">17867451</t>
  </si>
  <si>
    <t xml:space="preserve">DOCES DA VOVO LTDA</t>
  </si>
  <si>
    <t xml:space="preserve">17867507</t>
  </si>
  <si>
    <t xml:space="preserve">17867510</t>
  </si>
  <si>
    <t xml:space="preserve">EVEREST</t>
  </si>
  <si>
    <t xml:space="preserve">17867513</t>
  </si>
  <si>
    <t xml:space="preserve">17867519</t>
  </si>
  <si>
    <t xml:space="preserve">17867521</t>
  </si>
  <si>
    <t xml:space="preserve">17867523</t>
  </si>
  <si>
    <t xml:space="preserve">17867619</t>
  </si>
  <si>
    <t xml:space="preserve">D'LENA ALIMENTOS</t>
  </si>
  <si>
    <t xml:space="preserve">CONCÓRDIA</t>
  </si>
  <si>
    <t xml:space="preserve">17867620</t>
  </si>
  <si>
    <t xml:space="preserve">17867621</t>
  </si>
  <si>
    <t xml:space="preserve">ZANON &amp; DE BORTOLI LTDA ME</t>
  </si>
  <si>
    <t xml:space="preserve">17867623</t>
  </si>
  <si>
    <t xml:space="preserve">PAO A MAO COMERCIO DE ALIMENTOS</t>
  </si>
  <si>
    <t xml:space="preserve">17867624</t>
  </si>
  <si>
    <t xml:space="preserve">LEILIANE PIETRO BIAZI</t>
  </si>
  <si>
    <t xml:space="preserve">SANTA HELENA</t>
  </si>
  <si>
    <t xml:space="preserve">17867626</t>
  </si>
  <si>
    <t xml:space="preserve">M3C INDUSTRIA DE ALIMENTOS LTDA</t>
  </si>
  <si>
    <t xml:space="preserve">DOIS IRMAOS</t>
  </si>
  <si>
    <t xml:space="preserve">17867628</t>
  </si>
  <si>
    <t xml:space="preserve">17867629</t>
  </si>
  <si>
    <t xml:space="preserve">KADY KREM COM PROD ALIM LTDA</t>
  </si>
  <si>
    <t xml:space="preserve">17867630</t>
  </si>
  <si>
    <t xml:space="preserve">17867643</t>
  </si>
  <si>
    <t xml:space="preserve">17867665</t>
  </si>
  <si>
    <t xml:space="preserve">17867673</t>
  </si>
  <si>
    <t xml:space="preserve">DOCE MINAS INDUSTRIA E COMERCIO</t>
  </si>
  <si>
    <t xml:space="preserve">17867676</t>
  </si>
  <si>
    <t xml:space="preserve">17867677</t>
  </si>
  <si>
    <t xml:space="preserve">17867680</t>
  </si>
  <si>
    <t xml:space="preserve">GDS - GROW DIETARY SUPPLEMENTS</t>
  </si>
  <si>
    <t xml:space="preserve">EMBU DAS ARTES</t>
  </si>
  <si>
    <t xml:space="preserve">17867689</t>
  </si>
  <si>
    <t xml:space="preserve">17867693</t>
  </si>
  <si>
    <t xml:space="preserve">SABOR DE FRANCE PANIFICADORA LTDA</t>
  </si>
  <si>
    <t xml:space="preserve">17867699</t>
  </si>
  <si>
    <t xml:space="preserve">17867846</t>
  </si>
  <si>
    <t xml:space="preserve">A.CARDOSO GONÇALVES</t>
  </si>
  <si>
    <t xml:space="preserve">17867847</t>
  </si>
  <si>
    <t xml:space="preserve">17867849</t>
  </si>
  <si>
    <t xml:space="preserve">17867850</t>
  </si>
  <si>
    <t xml:space="preserve">17867895</t>
  </si>
  <si>
    <t xml:space="preserve">17867896</t>
  </si>
  <si>
    <t xml:space="preserve">17867897</t>
  </si>
  <si>
    <t xml:space="preserve">KIMURA E CANTO LTDA</t>
  </si>
  <si>
    <t xml:space="preserve">17867898</t>
  </si>
  <si>
    <t xml:space="preserve">17867899</t>
  </si>
  <si>
    <t xml:space="preserve">SHOPPING DAS PADARIAS LTDA</t>
  </si>
  <si>
    <t xml:space="preserve">17867900</t>
  </si>
  <si>
    <t xml:space="preserve">CIANORTE COMERCIO DE PAPEIS E EMBAL</t>
  </si>
  <si>
    <t xml:space="preserve">CIANORTE</t>
  </si>
  <si>
    <t xml:space="preserve">17867902</t>
  </si>
  <si>
    <t xml:space="preserve">17867903</t>
  </si>
  <si>
    <t xml:space="preserve">17867904</t>
  </si>
  <si>
    <t xml:space="preserve">MERCADO DOS DOCES LTDA ME</t>
  </si>
  <si>
    <t xml:space="preserve">17867921</t>
  </si>
  <si>
    <t xml:space="preserve">SANTA BELLA COMERCIO DE</t>
  </si>
  <si>
    <t xml:space="preserve">17867922</t>
  </si>
  <si>
    <t xml:space="preserve">ALO EMBALAGENS LTDA</t>
  </si>
  <si>
    <t xml:space="preserve">17869531</t>
  </si>
  <si>
    <t xml:space="preserve">17869533</t>
  </si>
  <si>
    <t xml:space="preserve">17869536</t>
  </si>
  <si>
    <t xml:space="preserve">EVA CLEONI LAMAISON</t>
  </si>
  <si>
    <t xml:space="preserve">17870034</t>
  </si>
  <si>
    <t xml:space="preserve">TRIO CACAU INDUSTRIA E COMERCIO</t>
  </si>
  <si>
    <t xml:space="preserve">17870044</t>
  </si>
  <si>
    <t xml:space="preserve">17870136</t>
  </si>
  <si>
    <t xml:space="preserve">17871395</t>
  </si>
  <si>
    <t xml:space="preserve">17871398</t>
  </si>
  <si>
    <t xml:space="preserve">17872288</t>
  </si>
  <si>
    <t xml:space="preserve">NOVA MEGA G ATACADISTA DE ALIMENTOS</t>
  </si>
  <si>
    <t xml:space="preserve">17861461</t>
  </si>
  <si>
    <t xml:space="preserve">I.B.A.C. INDUSTRIA BRASILEIRA DE</t>
  </si>
  <si>
    <t xml:space="preserve">17863132</t>
  </si>
  <si>
    <t xml:space="preserve">AMERIPAN PRODUTOS</t>
  </si>
  <si>
    <t xml:space="preserve">17863322</t>
  </si>
  <si>
    <t xml:space="preserve">PATRICIA BRASIL DE ABREU EMBALAGENS</t>
  </si>
  <si>
    <t xml:space="preserve">17863323</t>
  </si>
  <si>
    <t xml:space="preserve">COMERCIAL CHOCOLANDIA LTDA</t>
  </si>
  <si>
    <t xml:space="preserve">17863328</t>
  </si>
  <si>
    <t xml:space="preserve">DB PIRUETA COMERCIAL LTDA</t>
  </si>
  <si>
    <t xml:space="preserve">TAUBATÉ</t>
  </si>
  <si>
    <t xml:space="preserve">17863329</t>
  </si>
  <si>
    <t xml:space="preserve">FACA A FESTA COMERCIO DE</t>
  </si>
  <si>
    <t xml:space="preserve">ATIBAIA</t>
  </si>
  <si>
    <t xml:space="preserve">17863331</t>
  </si>
  <si>
    <t xml:space="preserve">FRANCHINI E TONETTE LTDA</t>
  </si>
  <si>
    <t xml:space="preserve">ARARAS</t>
  </si>
  <si>
    <t xml:space="preserve">17863333</t>
  </si>
  <si>
    <t xml:space="preserve">17863335</t>
  </si>
  <si>
    <t xml:space="preserve">VILACOPOS DIST DE PROD ALIM LTDA</t>
  </si>
  <si>
    <t xml:space="preserve">ARARAQUARA</t>
  </si>
  <si>
    <t xml:space="preserve">17863336</t>
  </si>
  <si>
    <t xml:space="preserve">ANDRELLA COMERCIO VAREJISTA E</t>
  </si>
  <si>
    <t xml:space="preserve">TUPÃ</t>
  </si>
  <si>
    <t xml:space="preserve">17863338</t>
  </si>
  <si>
    <t xml:space="preserve">17863339</t>
  </si>
  <si>
    <t xml:space="preserve">PANICAMPOS</t>
  </si>
  <si>
    <t xml:space="preserve">PRESIDENTE PRUDENTE</t>
  </si>
  <si>
    <t xml:space="preserve">17863340</t>
  </si>
  <si>
    <t xml:space="preserve">RSM COMERCIO DE DOCES LTDA</t>
  </si>
  <si>
    <t xml:space="preserve">17863342</t>
  </si>
  <si>
    <t xml:space="preserve">COMERCIAL GARRIDO</t>
  </si>
  <si>
    <t xml:space="preserve">ANDRADINA</t>
  </si>
  <si>
    <t xml:space="preserve">17863348</t>
  </si>
  <si>
    <t xml:space="preserve">LOJAO PAGUE MENOS PROD ALIMENTICIOS</t>
  </si>
  <si>
    <t xml:space="preserve">17863371</t>
  </si>
  <si>
    <t xml:space="preserve">SHALOM FESTAS PROSPERA LTDA ME</t>
  </si>
  <si>
    <t xml:space="preserve">SERRA NEGRA</t>
  </si>
  <si>
    <t xml:space="preserve">17863372</t>
  </si>
  <si>
    <t xml:space="preserve">ELIZABETH DOS SANTOS ALMEIDA</t>
  </si>
  <si>
    <t xml:space="preserve">SALTO GRANDE</t>
  </si>
  <si>
    <t xml:space="preserve">17863374</t>
  </si>
  <si>
    <t xml:space="preserve">17863375</t>
  </si>
  <si>
    <t xml:space="preserve">GRANOVIE MERCADO NATURAL LTDA</t>
  </si>
  <si>
    <t xml:space="preserve">17863376</t>
  </si>
  <si>
    <t xml:space="preserve">KONPO EMBALAGENS E DESCARTAVEIS</t>
  </si>
  <si>
    <t xml:space="preserve">17863377</t>
  </si>
  <si>
    <t xml:space="preserve">R&amp;M - COMERCIO DE PRODUTOS ALIMENTI</t>
  </si>
  <si>
    <t xml:space="preserve">SAO JOSE DO RIO PRETO</t>
  </si>
  <si>
    <t xml:space="preserve">17863380</t>
  </si>
  <si>
    <t xml:space="preserve">17863381</t>
  </si>
  <si>
    <t xml:space="preserve">COMED COMERCIO DE EMBALAGENS</t>
  </si>
  <si>
    <t xml:space="preserve">17863382</t>
  </si>
  <si>
    <t xml:space="preserve">NUTRILEVI'S PRODUTOS NATURAIS LTDA</t>
  </si>
  <si>
    <t xml:space="preserve">17863383</t>
  </si>
  <si>
    <t xml:space="preserve">ABBA ECOMMERCE LTDA</t>
  </si>
  <si>
    <t xml:space="preserve">SANTA BARBARA DO OESTE</t>
  </si>
  <si>
    <t xml:space="preserve">17863384</t>
  </si>
  <si>
    <t xml:space="preserve">PLINIO FERREIRA JUNIOR &amp; CIA LTDA</t>
  </si>
  <si>
    <t xml:space="preserve">AVARE</t>
  </si>
  <si>
    <t xml:space="preserve">17863402</t>
  </si>
  <si>
    <t xml:space="preserve">KLEBER MOREIRA ABE - ME</t>
  </si>
  <si>
    <t xml:space="preserve">17863403</t>
  </si>
  <si>
    <t xml:space="preserve">64.216.627 PATRICIA DE BIANCHI</t>
  </si>
  <si>
    <t xml:space="preserve">17863404</t>
  </si>
  <si>
    <t xml:space="preserve">IRMAOS ZAQUEU LTDA EPP</t>
  </si>
  <si>
    <t xml:space="preserve">17863405</t>
  </si>
  <si>
    <t xml:space="preserve">17863406</t>
  </si>
  <si>
    <t xml:space="preserve">ESPIRITO SANTO COMERCIO</t>
  </si>
  <si>
    <t xml:space="preserve">BAURU</t>
  </si>
  <si>
    <t xml:space="preserve">17863407</t>
  </si>
  <si>
    <t xml:space="preserve">UNIVERSO DO CONFEITEIRO</t>
  </si>
  <si>
    <t xml:space="preserve">BIRIGUI</t>
  </si>
  <si>
    <t xml:space="preserve">17863408</t>
  </si>
  <si>
    <t xml:space="preserve">ESTORIL SOL FESTAS E DOCES LTDA EPP</t>
  </si>
  <si>
    <t xml:space="preserve">17863409</t>
  </si>
  <si>
    <t xml:space="preserve">17863410</t>
  </si>
  <si>
    <t xml:space="preserve">SAUI DOCES LTDA</t>
  </si>
  <si>
    <t xml:space="preserve">17863411</t>
  </si>
  <si>
    <t xml:space="preserve">ROMAFELE COMÉRCIO</t>
  </si>
  <si>
    <t xml:space="preserve">17863416</t>
  </si>
  <si>
    <t xml:space="preserve">17863418</t>
  </si>
  <si>
    <t xml:space="preserve">R.R.M. MANTOVANI DE OLIVEIRA ARTIGO</t>
  </si>
  <si>
    <t xml:space="preserve">CATANDUVA</t>
  </si>
  <si>
    <t xml:space="preserve">17863420</t>
  </si>
  <si>
    <t xml:space="preserve">SORVDOCE COMERCIO</t>
  </si>
  <si>
    <t xml:space="preserve">17863421</t>
  </si>
  <si>
    <t xml:space="preserve">FEST CHOC COMERCIO</t>
  </si>
  <si>
    <t xml:space="preserve">ITATIBA</t>
  </si>
  <si>
    <t xml:space="preserve">17863491</t>
  </si>
  <si>
    <t xml:space="preserve">17863494</t>
  </si>
  <si>
    <t xml:space="preserve">BRISA EMBALAGENS E DESCARTAVEIS</t>
  </si>
  <si>
    <t xml:space="preserve">FERNANDOPOLIS</t>
  </si>
  <si>
    <t xml:space="preserve">17863495</t>
  </si>
  <si>
    <t xml:space="preserve">REGINALDO APARECIDO SOLIS</t>
  </si>
  <si>
    <t xml:space="preserve">ADAMANTINA</t>
  </si>
  <si>
    <t xml:space="preserve">17863511</t>
  </si>
  <si>
    <t xml:space="preserve">17863716</t>
  </si>
  <si>
    <t xml:space="preserve">CENTRAL OSASCO DIST DE ALIM</t>
  </si>
  <si>
    <t xml:space="preserve">17863717</t>
  </si>
  <si>
    <t xml:space="preserve">LUNI FESTA LTDA</t>
  </si>
  <si>
    <t xml:space="preserve">ASSIS</t>
  </si>
  <si>
    <t xml:space="preserve">17863718</t>
  </si>
  <si>
    <t xml:space="preserve">SIMIAO &amp; SIMIAO LTDA - ME</t>
  </si>
  <si>
    <t xml:space="preserve">17863719</t>
  </si>
  <si>
    <t xml:space="preserve">17863720</t>
  </si>
  <si>
    <t xml:space="preserve">CLAUDIO JB MIGLIOLI EIRELLI ME</t>
  </si>
  <si>
    <t xml:space="preserve">OURINHOS</t>
  </si>
  <si>
    <t xml:space="preserve">17863721</t>
  </si>
  <si>
    <t xml:space="preserve">17863722</t>
  </si>
  <si>
    <t xml:space="preserve">RVM COM. PROD. ALIM. LTDA EPP</t>
  </si>
  <si>
    <t xml:space="preserve">MOGI MIRIM</t>
  </si>
  <si>
    <t xml:space="preserve">17863723</t>
  </si>
  <si>
    <t xml:space="preserve">BF COMERCIO DE ARTIGOS PARA FESTAS</t>
  </si>
  <si>
    <t xml:space="preserve">HORTOLANDIA</t>
  </si>
  <si>
    <t xml:space="preserve">17863724</t>
  </si>
  <si>
    <t xml:space="preserve">FLAMAR EMB LTDA EPP</t>
  </si>
  <si>
    <t xml:space="preserve">INDAIATUBA</t>
  </si>
  <si>
    <t xml:space="preserve">17863726</t>
  </si>
  <si>
    <t xml:space="preserve">ALG COMERCIO DE ARTIGOS PARA FESTAS</t>
  </si>
  <si>
    <t xml:space="preserve">CACAPAVA </t>
  </si>
  <si>
    <t xml:space="preserve">17863728</t>
  </si>
  <si>
    <t xml:space="preserve">LRI BUSA EMBALAGENS</t>
  </si>
  <si>
    <t xml:space="preserve">17863729</t>
  </si>
  <si>
    <t xml:space="preserve">ACG COM DE ART PARA FESTAS, EMB</t>
  </si>
  <si>
    <t xml:space="preserve">VOTUPORANGA</t>
  </si>
  <si>
    <t xml:space="preserve">17863730</t>
  </si>
  <si>
    <t xml:space="preserve">SILVA E MARQUES FESTAS</t>
  </si>
  <si>
    <t xml:space="preserve">BARRETOS</t>
  </si>
  <si>
    <t xml:space="preserve">17863731</t>
  </si>
  <si>
    <t xml:space="preserve">17863732</t>
  </si>
  <si>
    <t xml:space="preserve">PÉ DE MOLEQUE</t>
  </si>
  <si>
    <t xml:space="preserve">SÃO SEBASTIÃO</t>
  </si>
  <si>
    <t xml:space="preserve">17863733</t>
  </si>
  <si>
    <t xml:space="preserve">E. S. NEVES DISTRIBUIDORA DE</t>
  </si>
  <si>
    <t xml:space="preserve">17863734</t>
  </si>
  <si>
    <t xml:space="preserve">IRMAOS SECCO CAMPINAS LTDA</t>
  </si>
  <si>
    <t xml:space="preserve">17863735</t>
  </si>
  <si>
    <t xml:space="preserve">R2 COMERCIO DE PRODUTOS</t>
  </si>
  <si>
    <t xml:space="preserve">17863736</t>
  </si>
  <si>
    <t xml:space="preserve">FUNCHAL IND COM DE PAPEIS LT</t>
  </si>
  <si>
    <t xml:space="preserve">17863737</t>
  </si>
  <si>
    <t xml:space="preserve">VISUAL COMÉRCIO DE</t>
  </si>
  <si>
    <t xml:space="preserve">17863738</t>
  </si>
  <si>
    <t xml:space="preserve">BOM BAIANO DISTRIBUI DE DOCES LTDA</t>
  </si>
  <si>
    <t xml:space="preserve">17863739</t>
  </si>
  <si>
    <t xml:space="preserve">DELAN MERCADINHO EMBALAGENS</t>
  </si>
  <si>
    <t xml:space="preserve">CAMPOS DO JORDÃO</t>
  </si>
  <si>
    <t xml:space="preserve">17863740</t>
  </si>
  <si>
    <t xml:space="preserve">17863741</t>
  </si>
  <si>
    <t xml:space="preserve">17863742</t>
  </si>
  <si>
    <t xml:space="preserve">17863743</t>
  </si>
  <si>
    <t xml:space="preserve">17863744</t>
  </si>
  <si>
    <t xml:space="preserve">17863745</t>
  </si>
  <si>
    <t xml:space="preserve">RENAN MACHADO CHOPP</t>
  </si>
  <si>
    <t xml:space="preserve">17863746</t>
  </si>
  <si>
    <t xml:space="preserve">17863753</t>
  </si>
  <si>
    <t xml:space="preserve">VIVA FESTA COMERCIO DE</t>
  </si>
  <si>
    <t xml:space="preserve">17863757</t>
  </si>
  <si>
    <t xml:space="preserve">KJ PRADO COMERCIO DE PRODUTOS</t>
  </si>
  <si>
    <t xml:space="preserve">VARGEM GRANDE PAULISTA</t>
  </si>
  <si>
    <t xml:space="preserve">17863759</t>
  </si>
  <si>
    <t xml:space="preserve">17863761</t>
  </si>
  <si>
    <t xml:space="preserve">OLIVEIRA &amp; BIANCHI COMERCIAL LTDA</t>
  </si>
  <si>
    <t xml:space="preserve">RIBEIRÃO PRETO</t>
  </si>
  <si>
    <t xml:space="preserve">17863766</t>
  </si>
  <si>
    <t xml:space="preserve">E.N. COM DE PROD PARA</t>
  </si>
  <si>
    <t xml:space="preserve">JALES</t>
  </si>
  <si>
    <t xml:space="preserve">17863767</t>
  </si>
  <si>
    <t xml:space="preserve">CLUBE DO CONFEITEIRO LTDA</t>
  </si>
  <si>
    <t xml:space="preserve">17863846</t>
  </si>
  <si>
    <t xml:space="preserve">17863895</t>
  </si>
  <si>
    <t xml:space="preserve">BIG BROOKIE COMERCIAL LTDA</t>
  </si>
  <si>
    <t xml:space="preserve">MACAÉ</t>
  </si>
  <si>
    <t xml:space="preserve">17863896</t>
  </si>
  <si>
    <t xml:space="preserve">17863897</t>
  </si>
  <si>
    <t xml:space="preserve">17863898</t>
  </si>
  <si>
    <t xml:space="preserve">17863900</t>
  </si>
  <si>
    <t xml:space="preserve">17863901</t>
  </si>
  <si>
    <t xml:space="preserve">17863902</t>
  </si>
  <si>
    <t xml:space="preserve">17863903</t>
  </si>
  <si>
    <t xml:space="preserve">17863905</t>
  </si>
  <si>
    <t xml:space="preserve">17863910</t>
  </si>
  <si>
    <t xml:space="preserve">17864019</t>
  </si>
  <si>
    <t xml:space="preserve">BASMAR COMERCIO DE DOCES LTDA</t>
  </si>
  <si>
    <t xml:space="preserve">SÃO JOSÉ DO RIO PRETO</t>
  </si>
  <si>
    <t xml:space="preserve">17864958</t>
  </si>
  <si>
    <t xml:space="preserve">JOAO PADEIRO E CONFEITARIA</t>
  </si>
  <si>
    <t xml:space="preserve">17864977</t>
  </si>
  <si>
    <t xml:space="preserve">17865075</t>
  </si>
  <si>
    <t xml:space="preserve">ROMERO REPRESENTACOES LTDA</t>
  </si>
  <si>
    <t xml:space="preserve">17865282</t>
  </si>
  <si>
    <t xml:space="preserve">RIZZO IMPORT LTDA</t>
  </si>
  <si>
    <t xml:space="preserve">17865285</t>
  </si>
  <si>
    <t xml:space="preserve">17865301</t>
  </si>
  <si>
    <t xml:space="preserve">17865382</t>
  </si>
  <si>
    <t xml:space="preserve">17865390</t>
  </si>
  <si>
    <t xml:space="preserve">17865403</t>
  </si>
  <si>
    <t xml:space="preserve">17865536</t>
  </si>
  <si>
    <t xml:space="preserve">DOCEMIX COM DOCES DESC EIRELI-ME</t>
  </si>
  <si>
    <t xml:space="preserve">17865537</t>
  </si>
  <si>
    <t xml:space="preserve">17865538</t>
  </si>
  <si>
    <t xml:space="preserve">17865542</t>
  </si>
  <si>
    <t xml:space="preserve">17865543</t>
  </si>
  <si>
    <t xml:space="preserve">GARCIA &amp; GOMES COMERCIO</t>
  </si>
  <si>
    <t xml:space="preserve">UBATUBA</t>
  </si>
  <si>
    <t xml:space="preserve">17865544</t>
  </si>
  <si>
    <t xml:space="preserve">DR COMERCIO E REPRESENTACAO</t>
  </si>
  <si>
    <t xml:space="preserve">17865545</t>
  </si>
  <si>
    <t xml:space="preserve">CHPS COMERCIO DE ALIMENTOS LTDA</t>
  </si>
  <si>
    <t xml:space="preserve">17865546</t>
  </si>
  <si>
    <t xml:space="preserve">CAROLVIVIAN ARTIGOS PARA FESTAS LTD</t>
  </si>
  <si>
    <t xml:space="preserve">17865549</t>
  </si>
  <si>
    <t xml:space="preserve">MARTINS COMERCIO DE DOCES</t>
  </si>
  <si>
    <t xml:space="preserve">17865551</t>
  </si>
  <si>
    <t xml:space="preserve">17865554</t>
  </si>
  <si>
    <t xml:space="preserve">17865556</t>
  </si>
  <si>
    <t xml:space="preserve">17865557</t>
  </si>
  <si>
    <t xml:space="preserve">IDE BRASIL DISTRIBUIDORA E</t>
  </si>
  <si>
    <t xml:space="preserve">17865691</t>
  </si>
  <si>
    <t xml:space="preserve">17865697</t>
  </si>
  <si>
    <t xml:space="preserve">17865721</t>
  </si>
  <si>
    <t xml:space="preserve">17865722</t>
  </si>
  <si>
    <t xml:space="preserve">ARROBA EMBALAGENS LTDA</t>
  </si>
  <si>
    <t xml:space="preserve">PIRACICABA</t>
  </si>
  <si>
    <t xml:space="preserve">17865725</t>
  </si>
  <si>
    <t xml:space="preserve">DINHANA DISTRIBUIDORA DE</t>
  </si>
  <si>
    <t xml:space="preserve">VINHEDO</t>
  </si>
  <si>
    <t xml:space="preserve">17865726</t>
  </si>
  <si>
    <t xml:space="preserve">17865727</t>
  </si>
  <si>
    <t xml:space="preserve">CRISTO REDENTOR PRODUTOS PARA</t>
  </si>
  <si>
    <t xml:space="preserve">17865728</t>
  </si>
  <si>
    <t xml:space="preserve">17865746</t>
  </si>
  <si>
    <t xml:space="preserve">17865747</t>
  </si>
  <si>
    <t xml:space="preserve">17865748</t>
  </si>
  <si>
    <t xml:space="preserve">LICINIO CORREIA MACHADO</t>
  </si>
  <si>
    <t xml:space="preserve">17865749</t>
  </si>
  <si>
    <t xml:space="preserve">DICID STAR DOCES EIRELI</t>
  </si>
  <si>
    <t xml:space="preserve">17865751</t>
  </si>
  <si>
    <t xml:space="preserve">AB DA SILVA VARIEDADES - ME</t>
  </si>
  <si>
    <t xml:space="preserve">17865752</t>
  </si>
  <si>
    <t xml:space="preserve">GILMAR DA SILVA LEBRE ME</t>
  </si>
  <si>
    <t xml:space="preserve">SERRANA</t>
  </si>
  <si>
    <t xml:space="preserve">17865753</t>
  </si>
  <si>
    <t xml:space="preserve">RAYA COMERCIO DE DOCES E ARTIGOS</t>
  </si>
  <si>
    <t xml:space="preserve">17865760</t>
  </si>
  <si>
    <t xml:space="preserve">DECARTAVEIS DA PRAÇA DE</t>
  </si>
  <si>
    <t xml:space="preserve">17865761</t>
  </si>
  <si>
    <t xml:space="preserve">DISTRIBUIDORA RIO UTILIDADES FESTAS</t>
  </si>
  <si>
    <t xml:space="preserve">17865762</t>
  </si>
  <si>
    <t xml:space="preserve">RAF E BET BAZAR E LATICINIOS LTDA</t>
  </si>
  <si>
    <t xml:space="preserve">RIO DE JANERIO</t>
  </si>
  <si>
    <t xml:space="preserve">17865763</t>
  </si>
  <si>
    <t xml:space="preserve">UNIAO DA CAIRO DISTRIBUIDORA</t>
  </si>
  <si>
    <t xml:space="preserve">17865764</t>
  </si>
  <si>
    <t xml:space="preserve">17865766</t>
  </si>
  <si>
    <t xml:space="preserve">17865767</t>
  </si>
  <si>
    <t xml:space="preserve">17865768</t>
  </si>
  <si>
    <t xml:space="preserve">CAKE ART COMERCIO DE ARTIGOS PARA C</t>
  </si>
  <si>
    <t xml:space="preserve">17865769</t>
  </si>
  <si>
    <t xml:space="preserve">17865770</t>
  </si>
  <si>
    <t xml:space="preserve">ARMAZEM FSL DE ARARUAMA LTDA</t>
  </si>
  <si>
    <t xml:space="preserve">ARARUAMA</t>
  </si>
  <si>
    <t xml:space="preserve">17865771</t>
  </si>
  <si>
    <t xml:space="preserve">17865772</t>
  </si>
  <si>
    <t xml:space="preserve">17865773</t>
  </si>
  <si>
    <t xml:space="preserve">17865774</t>
  </si>
  <si>
    <t xml:space="preserve">BAZAR EMBALAR DO VALQUEIRE LTDA</t>
  </si>
  <si>
    <t xml:space="preserve">17865775</t>
  </si>
  <si>
    <t xml:space="preserve">MARIA JOSÉ DISTRIBUIDORA</t>
  </si>
  <si>
    <t xml:space="preserve">17865778</t>
  </si>
  <si>
    <t xml:space="preserve">BARRACHOC COMERC UNIPE LTDA</t>
  </si>
  <si>
    <t xml:space="preserve">17865780</t>
  </si>
  <si>
    <t xml:space="preserve">17865783</t>
  </si>
  <si>
    <t xml:space="preserve">EMPORIO MEGA 100</t>
  </si>
  <si>
    <t xml:space="preserve">17865784</t>
  </si>
  <si>
    <t xml:space="preserve">SHOPPING DO PANIFICADOR</t>
  </si>
  <si>
    <t xml:space="preserve">17865788</t>
  </si>
  <si>
    <t xml:space="preserve">REZENDE DISTRIBUIDORA</t>
  </si>
  <si>
    <t xml:space="preserve">MIRACEMA</t>
  </si>
  <si>
    <t xml:space="preserve">17865790</t>
  </si>
  <si>
    <t xml:space="preserve">HAND BAKER DISTRI. DE PROD.</t>
  </si>
  <si>
    <t xml:space="preserve">17865957</t>
  </si>
  <si>
    <t xml:space="preserve">17866799</t>
  </si>
  <si>
    <t xml:space="preserve">17867066</t>
  </si>
  <si>
    <t xml:space="preserve">PASSIONE PER GELATO</t>
  </si>
  <si>
    <t xml:space="preserve">17867100</t>
  </si>
  <si>
    <t xml:space="preserve">17867101</t>
  </si>
  <si>
    <t xml:space="preserve">17867104</t>
  </si>
  <si>
    <t xml:space="preserve">17867105</t>
  </si>
  <si>
    <t xml:space="preserve">GELATERIA PIEMONTE LTDA</t>
  </si>
  <si>
    <t xml:space="preserve">17867106</t>
  </si>
  <si>
    <t xml:space="preserve">FANTASTICA FABRICA DE CHOCOLATE</t>
  </si>
  <si>
    <t xml:space="preserve">17867584</t>
  </si>
  <si>
    <t xml:space="preserve">FERNANDES DISTR DOCES LTDA</t>
  </si>
  <si>
    <t xml:space="preserve">17867608</t>
  </si>
  <si>
    <t xml:space="preserve">MARDVI EMBALAGENS</t>
  </si>
  <si>
    <t xml:space="preserve">17867609</t>
  </si>
  <si>
    <t xml:space="preserve">17867632</t>
  </si>
  <si>
    <t xml:space="preserve">WINNER INDUSTRIA E COMERCIO DE ALIM</t>
  </si>
  <si>
    <t xml:space="preserve">17867639</t>
  </si>
  <si>
    <t xml:space="preserve">17867641</t>
  </si>
  <si>
    <t xml:space="preserve">17867644</t>
  </si>
  <si>
    <t xml:space="preserve">17867679</t>
  </si>
  <si>
    <t xml:space="preserve">17867682</t>
  </si>
  <si>
    <t xml:space="preserve">17867686</t>
  </si>
  <si>
    <t xml:space="preserve">17867688</t>
  </si>
  <si>
    <t xml:space="preserve">17867692</t>
  </si>
  <si>
    <t xml:space="preserve">DOCE &amp; FESTA DISTRIBUIDORA IAZETTA</t>
  </si>
  <si>
    <t xml:space="preserve">SERTAOZINHO</t>
  </si>
  <si>
    <t xml:space="preserve">17867694</t>
  </si>
  <si>
    <t xml:space="preserve">D TUDO CATANDUVA</t>
  </si>
  <si>
    <t xml:space="preserve">17867696</t>
  </si>
  <si>
    <t xml:space="preserve">DISTRIBUIDORA DE PROD ALIM MARSIL L</t>
  </si>
  <si>
    <t xml:space="preserve">17867703</t>
  </si>
  <si>
    <t xml:space="preserve">RODRIGUES &amp; VALIM COMERCIO</t>
  </si>
  <si>
    <t xml:space="preserve">17867720</t>
  </si>
  <si>
    <t xml:space="preserve">THIAGO GARCIA</t>
  </si>
  <si>
    <t xml:space="preserve">GUARATINGUETÁ</t>
  </si>
  <si>
    <t xml:space="preserve">17867731</t>
  </si>
  <si>
    <t xml:space="preserve">17867732</t>
  </si>
  <si>
    <t xml:space="preserve">17867733</t>
  </si>
  <si>
    <t xml:space="preserve">FUNCHAL IND E COM DE PAPEIS LTDA -</t>
  </si>
  <si>
    <t xml:space="preserve">17867734</t>
  </si>
  <si>
    <t xml:space="preserve">ART &amp; MAGIA ARTIGOS</t>
  </si>
  <si>
    <t xml:space="preserve">MOGI-GUACU</t>
  </si>
  <si>
    <t xml:space="preserve">17867735</t>
  </si>
  <si>
    <t xml:space="preserve">JOVAIR MENANDRO FRANCISCO</t>
  </si>
  <si>
    <t xml:space="preserve">17867736</t>
  </si>
  <si>
    <t xml:space="preserve">TREM DA ALEGRIA LTDA - EPP</t>
  </si>
  <si>
    <t xml:space="preserve">17867737</t>
  </si>
  <si>
    <t xml:space="preserve">MEIRE ELOISE TREVISAN</t>
  </si>
  <si>
    <t xml:space="preserve">17867839</t>
  </si>
  <si>
    <t xml:space="preserve">NOVA GERACAO COMESTIVEIS LTDA </t>
  </si>
  <si>
    <t xml:space="preserve">RIO DE JANEIRO </t>
  </si>
  <si>
    <t xml:space="preserve">17867864</t>
  </si>
  <si>
    <t xml:space="preserve">17867882</t>
  </si>
  <si>
    <t xml:space="preserve">17867884</t>
  </si>
  <si>
    <t xml:space="preserve">L.K. ATACADISTA E DISTRIBUIDORA DE</t>
  </si>
  <si>
    <t xml:space="preserve">17867885</t>
  </si>
  <si>
    <t xml:space="preserve">SIVEL COMERCIO DE ALIMENTOS LTDA</t>
  </si>
  <si>
    <t xml:space="preserve">17867886</t>
  </si>
  <si>
    <t xml:space="preserve">CASAL GARCIA BOLOS LTDA - ME</t>
  </si>
  <si>
    <t xml:space="preserve">17867887</t>
  </si>
  <si>
    <t xml:space="preserve">17867890</t>
  </si>
  <si>
    <t xml:space="preserve">17867891</t>
  </si>
  <si>
    <t xml:space="preserve">CHOKDOCE COMÉRCIO DE</t>
  </si>
  <si>
    <t xml:space="preserve">FRANCA</t>
  </si>
  <si>
    <t xml:space="preserve">17867892</t>
  </si>
  <si>
    <t xml:space="preserve">BRESSAN COMERCIO DE DOCES LTDA ME</t>
  </si>
  <si>
    <t xml:space="preserve">17869034</t>
  </si>
  <si>
    <t xml:space="preserve">GELATERIA E CONFEITARIA</t>
  </si>
  <si>
    <t xml:space="preserve">17869071</t>
  </si>
  <si>
    <t xml:space="preserve">BOULANGERIE COMERCIO</t>
  </si>
  <si>
    <t xml:space="preserve">NITERÓI</t>
  </si>
  <si>
    <t xml:space="preserve">17869072</t>
  </si>
  <si>
    <t xml:space="preserve">POPPINS DOCERIA LTDA</t>
  </si>
  <si>
    <t xml:space="preserve">17869074</t>
  </si>
  <si>
    <t xml:space="preserve">17869075</t>
  </si>
  <si>
    <t xml:space="preserve">QUE DOCE CONFEITARIA ARTESANAL LTDA</t>
  </si>
  <si>
    <t xml:space="preserve">17869076</t>
  </si>
  <si>
    <t xml:space="preserve">CASA DO ALEMAO INDUSTRIA E</t>
  </si>
  <si>
    <t xml:space="preserve">17869077</t>
  </si>
  <si>
    <t xml:space="preserve">17869078</t>
  </si>
  <si>
    <t xml:space="preserve">17869079</t>
  </si>
  <si>
    <t xml:space="preserve">EMILIANO RJ EMPRE E PARTIC HOTEL</t>
  </si>
  <si>
    <t xml:space="preserve">17869080</t>
  </si>
  <si>
    <t xml:space="preserve">17869121</t>
  </si>
  <si>
    <t xml:space="preserve">17869247</t>
  </si>
  <si>
    <t xml:space="preserve">ROSELI AMARO DE OLIVEIRA</t>
  </si>
  <si>
    <t xml:space="preserve">ITAPIRA</t>
  </si>
  <si>
    <t xml:space="preserve">17869248</t>
  </si>
  <si>
    <t xml:space="preserve">DELIFESTA COMERCIO</t>
  </si>
  <si>
    <t xml:space="preserve">17869251</t>
  </si>
  <si>
    <t xml:space="preserve">SILVINHA ARTIGOS PARA FESTAS LTDA</t>
  </si>
  <si>
    <t xml:space="preserve">SAO PEDRO</t>
  </si>
  <si>
    <t xml:space="preserve">17869274</t>
  </si>
  <si>
    <t xml:space="preserve">RANDAL DE OLIVEIRA FALEIROS</t>
  </si>
  <si>
    <t xml:space="preserve">17869297</t>
  </si>
  <si>
    <t xml:space="preserve">DOCEAKI COMERCIO DE DOCES LTDA</t>
  </si>
  <si>
    <t xml:space="preserve">17869336</t>
  </si>
  <si>
    <t xml:space="preserve">FERRO IPANEMA PIZZARIA LTDA</t>
  </si>
  <si>
    <t xml:space="preserve">17869337</t>
  </si>
  <si>
    <t xml:space="preserve">DOCE SENTIDO SORVETES LTDA</t>
  </si>
  <si>
    <t xml:space="preserve">NOVA IGUACU</t>
  </si>
  <si>
    <t xml:space="preserve">17869338</t>
  </si>
  <si>
    <t xml:space="preserve">EMPORIO JARDIM RESTAURANTE E</t>
  </si>
  <si>
    <t xml:space="preserve">17869340</t>
  </si>
  <si>
    <t xml:space="preserve">17869341</t>
  </si>
  <si>
    <t xml:space="preserve">A CASA AO LADO ALIM ARTES LTDA</t>
  </si>
  <si>
    <t xml:space="preserve">17869342</t>
  </si>
  <si>
    <t xml:space="preserve">CLARK PATISSERIE CONFEITARIA LTDA</t>
  </si>
  <si>
    <t xml:space="preserve">17869353</t>
  </si>
  <si>
    <t xml:space="preserve">17869537</t>
  </si>
  <si>
    <t xml:space="preserve">DESCARPACK BAZAR LTDA</t>
  </si>
  <si>
    <t xml:space="preserve">17869538</t>
  </si>
  <si>
    <t xml:space="preserve">17869539</t>
  </si>
  <si>
    <t xml:space="preserve">17869542</t>
  </si>
  <si>
    <t xml:space="preserve">PORTOBOY COM DE PAPEIS</t>
  </si>
  <si>
    <t xml:space="preserve">CABO FRIO</t>
  </si>
  <si>
    <t xml:space="preserve">17869545</t>
  </si>
  <si>
    <t xml:space="preserve">17869546</t>
  </si>
  <si>
    <t xml:space="preserve">ROMEU &amp; JULIETA MERCEARIA LTDA</t>
  </si>
  <si>
    <t xml:space="preserve">17869603</t>
  </si>
  <si>
    <t xml:space="preserve">ATACADÃO DE EMBALAGENS</t>
  </si>
  <si>
    <t xml:space="preserve">JANDIRA</t>
  </si>
  <si>
    <t xml:space="preserve">17869604</t>
  </si>
  <si>
    <t xml:space="preserve">17869610</t>
  </si>
  <si>
    <t xml:space="preserve">CARREFOUR COM E IND LTDA</t>
  </si>
  <si>
    <t xml:space="preserve">17869866</t>
  </si>
  <si>
    <t xml:space="preserve">17869867</t>
  </si>
  <si>
    <t xml:space="preserve">ADÃO RIBEIRO LTDA ME</t>
  </si>
  <si>
    <t xml:space="preserve">17869868</t>
  </si>
  <si>
    <t xml:space="preserve">PH 20 COMERCIO E ARTIGOS</t>
  </si>
  <si>
    <t xml:space="preserve">17869869</t>
  </si>
  <si>
    <t xml:space="preserve">17869870</t>
  </si>
  <si>
    <t xml:space="preserve">R.A. HAUBRICH EMBALAGENS</t>
  </si>
  <si>
    <t xml:space="preserve">MAGE</t>
  </si>
  <si>
    <t xml:space="preserve">17870006</t>
  </si>
  <si>
    <t xml:space="preserve">JF FESTAS E CIA LTDA</t>
  </si>
  <si>
    <t xml:space="preserve">IBIUNA</t>
  </si>
  <si>
    <t xml:space="preserve">17870010</t>
  </si>
  <si>
    <t xml:space="preserve">KRIATIVA COSMÉTICOS DOCES</t>
  </si>
  <si>
    <t xml:space="preserve">BOITUVA</t>
  </si>
  <si>
    <t xml:space="preserve">17870011</t>
  </si>
  <si>
    <t xml:space="preserve">GRAD COMERCIO DE PRODUTOS LTDA</t>
  </si>
  <si>
    <t xml:space="preserve">17870012</t>
  </si>
  <si>
    <t xml:space="preserve">17870013</t>
  </si>
  <si>
    <t xml:space="preserve">K.M.ABE DESCARTÁVEIS</t>
  </si>
  <si>
    <t xml:space="preserve">17870014</t>
  </si>
  <si>
    <t xml:space="preserve">17870015</t>
  </si>
  <si>
    <t xml:space="preserve">SOAZA COMÉRCIO</t>
  </si>
  <si>
    <t xml:space="preserve">SANTA ROSA DO VITERBO</t>
  </si>
  <si>
    <t xml:space="preserve">17870026</t>
  </si>
  <si>
    <t xml:space="preserve">17870037</t>
  </si>
  <si>
    <t xml:space="preserve">MOTHER S PRODUTOS ALIMENTICIOS LTDA</t>
  </si>
  <si>
    <t xml:space="preserve">17870080</t>
  </si>
  <si>
    <t xml:space="preserve">17870082</t>
  </si>
  <si>
    <t xml:space="preserve">17870084</t>
  </si>
  <si>
    <t xml:space="preserve">GABRIELA APARECIDA PEREIRA MARQUES</t>
  </si>
  <si>
    <t xml:space="preserve">17870085</t>
  </si>
  <si>
    <t xml:space="preserve">VICTOR HUGO POP EMBALAGENS EIRELLI</t>
  </si>
  <si>
    <t xml:space="preserve">17870098</t>
  </si>
  <si>
    <t xml:space="preserve">17870137</t>
  </si>
  <si>
    <t xml:space="preserve">17870141</t>
  </si>
  <si>
    <t xml:space="preserve">COMERCIAL DE PROD. ALIM. FALCON LTD</t>
  </si>
  <si>
    <t xml:space="preserve">17870142</t>
  </si>
  <si>
    <t xml:space="preserve">17870143</t>
  </si>
  <si>
    <t xml:space="preserve">COMERCIAL PIPOCOPOS LTDA</t>
  </si>
  <si>
    <t xml:space="preserve">17870150</t>
  </si>
  <si>
    <t xml:space="preserve">DPAE DISTRIBUIDORA DE PRODUTOS ALIM</t>
  </si>
  <si>
    <t xml:space="preserve">17870152</t>
  </si>
  <si>
    <t xml:space="preserve">17870153</t>
  </si>
  <si>
    <t xml:space="preserve">17870166</t>
  </si>
  <si>
    <t xml:space="preserve">R B COMERCIO DE DESCARTAVEIS</t>
  </si>
  <si>
    <t xml:space="preserve">CORDEIRO</t>
  </si>
  <si>
    <t xml:space="preserve">17870169</t>
  </si>
  <si>
    <t xml:space="preserve">17870170</t>
  </si>
  <si>
    <t xml:space="preserve">17870174</t>
  </si>
  <si>
    <t xml:space="preserve">17870183</t>
  </si>
  <si>
    <t xml:space="preserve">17870184</t>
  </si>
  <si>
    <t xml:space="preserve">17870185</t>
  </si>
  <si>
    <t xml:space="preserve">17870187</t>
  </si>
  <si>
    <t xml:space="preserve">17870190</t>
  </si>
  <si>
    <t xml:space="preserve">17870191</t>
  </si>
  <si>
    <t xml:space="preserve">17870192</t>
  </si>
  <si>
    <t xml:space="preserve">17870193</t>
  </si>
  <si>
    <t xml:space="preserve">17870233</t>
  </si>
  <si>
    <t xml:space="preserve">17870244</t>
  </si>
  <si>
    <t xml:space="preserve">17870245</t>
  </si>
  <si>
    <t xml:space="preserve">17870246</t>
  </si>
  <si>
    <t xml:space="preserve">17870247</t>
  </si>
  <si>
    <t xml:space="preserve">17870248</t>
  </si>
  <si>
    <t xml:space="preserve">17870279</t>
  </si>
  <si>
    <t xml:space="preserve">17870281</t>
  </si>
  <si>
    <t xml:space="preserve">17870283</t>
  </si>
  <si>
    <t xml:space="preserve">17870285</t>
  </si>
  <si>
    <t xml:space="preserve">RENATO COELHO EMBALAGENS LTDA</t>
  </si>
  <si>
    <t xml:space="preserve">APIAI</t>
  </si>
  <si>
    <t xml:space="preserve">17870286</t>
  </si>
  <si>
    <t xml:space="preserve">17870325</t>
  </si>
  <si>
    <t xml:space="preserve">SBB IND E COM DE PROD DE HIGIENE</t>
  </si>
  <si>
    <t xml:space="preserve">SARAPUI</t>
  </si>
  <si>
    <t xml:space="preserve">17871773</t>
  </si>
  <si>
    <t xml:space="preserve">17871774</t>
  </si>
  <si>
    <t xml:space="preserve">LA GUAPA EMPORIO E EMPANADAS S.A.</t>
  </si>
  <si>
    <t xml:space="preserve">17872245</t>
  </si>
  <si>
    <t xml:space="preserve">17872248</t>
  </si>
  <si>
    <t xml:space="preserve">17872249</t>
  </si>
  <si>
    <t xml:space="preserve">17872291</t>
  </si>
  <si>
    <t xml:space="preserve">17861460</t>
  </si>
  <si>
    <t xml:space="preserve">17861462</t>
  </si>
  <si>
    <t xml:space="preserve">17865558</t>
  </si>
  <si>
    <t xml:space="preserve">JJ EMBALAGENS E FESTAS LTDA</t>
  </si>
  <si>
    <t xml:space="preserve">17867704</t>
  </si>
  <si>
    <t xml:space="preserve">17867705</t>
  </si>
  <si>
    <t xml:space="preserve">17867803</t>
  </si>
  <si>
    <t xml:space="preserve">COMERCIAL ASPAHAN LTDA - EPP </t>
  </si>
  <si>
    <t xml:space="preserve">TEOFILO OTONI </t>
  </si>
  <si>
    <t xml:space="preserve">17867836</t>
  </si>
  <si>
    <t xml:space="preserve">SF DISTRIBUIDORA DE EMBALAGENS</t>
  </si>
  <si>
    <t xml:space="preserve">17867893</t>
  </si>
  <si>
    <t xml:space="preserve">17869548</t>
  </si>
  <si>
    <t xml:space="preserve">17869550</t>
  </si>
  <si>
    <t xml:space="preserve">17869551</t>
  </si>
  <si>
    <t xml:space="preserve">MULTIFESTAS COMÉRCIO</t>
  </si>
  <si>
    <t xml:space="preserve">17869809</t>
  </si>
  <si>
    <t xml:space="preserve">17869996</t>
  </si>
  <si>
    <t xml:space="preserve">17870009</t>
  </si>
  <si>
    <t xml:space="preserve">VIVA FESTAS COMERCIO DE</t>
  </si>
  <si>
    <t xml:space="preserve">CONSELHEIRO LAFAIETE</t>
  </si>
  <si>
    <t xml:space="preserve">17870016</t>
  </si>
  <si>
    <t xml:space="preserve">27.887.585 FRANCIELE RODRIGUES</t>
  </si>
  <si>
    <t xml:space="preserve">UBERLANDIA</t>
  </si>
  <si>
    <t xml:space="preserve">17870017</t>
  </si>
  <si>
    <t xml:space="preserve">CARLOS ALBERTO DE ASSIS -</t>
  </si>
  <si>
    <t xml:space="preserve">OURO FINO</t>
  </si>
  <si>
    <t xml:space="preserve">17870041</t>
  </si>
  <si>
    <t xml:space="preserve">MEIRE CRISTINA CONFEITARIA LTDA.</t>
  </si>
  <si>
    <t xml:space="preserve">MURIAE</t>
  </si>
  <si>
    <t xml:space="preserve">17870200</t>
  </si>
  <si>
    <t xml:space="preserve">DU PAIN &amp; C.A. COMERCIO DE</t>
  </si>
  <si>
    <t xml:space="preserve">17870201</t>
  </si>
  <si>
    <t xml:space="preserve">DISTRIBUIDORA MENEZES EIRELI</t>
  </si>
  <si>
    <t xml:space="preserve">17870202</t>
  </si>
  <si>
    <t xml:space="preserve">17872174</t>
  </si>
  <si>
    <t xml:space="preserve">17872208</t>
  </si>
  <si>
    <t xml:space="preserve">LOJAS BARATAO EMBALAGENS LTDA</t>
  </si>
  <si>
    <t xml:space="preserve">17872212</t>
  </si>
  <si>
    <t xml:space="preserve">17872228</t>
  </si>
  <si>
    <t xml:space="preserve">17863782</t>
  </si>
  <si>
    <t xml:space="preserve">17867295</t>
  </si>
  <si>
    <t xml:space="preserve">17867706</t>
  </si>
  <si>
    <t xml:space="preserve">17867978</t>
  </si>
  <si>
    <t xml:space="preserve">17869093</t>
  </si>
  <si>
    <t xml:space="preserve">C &amp; M DOCES E GULOSEIMAS LTDA - EPP</t>
  </si>
  <si>
    <t xml:space="preserve">17869094</t>
  </si>
  <si>
    <t xml:space="preserve">17869096</t>
  </si>
  <si>
    <t xml:space="preserve">17869172</t>
  </si>
  <si>
    <t xml:space="preserve">ELAINE CRISTINA BARRUECO ME</t>
  </si>
  <si>
    <t xml:space="preserve">17869177</t>
  </si>
  <si>
    <t xml:space="preserve">ALICE DE ANDRADE COUTINHO</t>
  </si>
  <si>
    <t xml:space="preserve">17869193</t>
  </si>
  <si>
    <t xml:space="preserve">PRALADEBOM ALIMENTOS LTDA</t>
  </si>
  <si>
    <t xml:space="preserve">17869315</t>
  </si>
  <si>
    <t xml:space="preserve">GERSON FELIX DOS SANTOS</t>
  </si>
  <si>
    <t xml:space="preserve">17869420</t>
  </si>
  <si>
    <t xml:space="preserve">DIVINA CEREJA LTDA</t>
  </si>
  <si>
    <t xml:space="preserve">PORTÃO</t>
  </si>
  <si>
    <t xml:space="preserve">17869801</t>
  </si>
  <si>
    <t xml:space="preserve">17869804</t>
  </si>
  <si>
    <t xml:space="preserve">UNIBOX DINARDELLI COMERCIO E</t>
  </si>
  <si>
    <t xml:space="preserve">17869806</t>
  </si>
  <si>
    <t xml:space="preserve">17869808</t>
  </si>
  <si>
    <t xml:space="preserve">COMERCIAL MARTINI-ALIMENTOS E</t>
  </si>
  <si>
    <t xml:space="preserve">17869929</t>
  </si>
  <si>
    <t xml:space="preserve">CASA DOS DOCES ARAUJO LTDA</t>
  </si>
  <si>
    <t xml:space="preserve">17869931</t>
  </si>
  <si>
    <t xml:space="preserve">MIO DOCES LTDA</t>
  </si>
  <si>
    <t xml:space="preserve">17869932</t>
  </si>
  <si>
    <t xml:space="preserve">GIG FESTAS COMERCIO DE ARTIGOS</t>
  </si>
  <si>
    <t xml:space="preserve">17869934</t>
  </si>
  <si>
    <t xml:space="preserve">EVISA ARTIGOS PARA FESTA S LTDA</t>
  </si>
  <si>
    <t xml:space="preserve">17869935</t>
  </si>
  <si>
    <t xml:space="preserve">MARIMEL DISTRIBUIDORA DE PRODUTOS</t>
  </si>
  <si>
    <t xml:space="preserve">17869936</t>
  </si>
  <si>
    <t xml:space="preserve">COMERCIAL DE ALIMENTOS ERENO</t>
  </si>
  <si>
    <t xml:space="preserve">17869937</t>
  </si>
  <si>
    <t xml:space="preserve">17869938</t>
  </si>
  <si>
    <t xml:space="preserve">17869939</t>
  </si>
  <si>
    <t xml:space="preserve">17869940</t>
  </si>
  <si>
    <t xml:space="preserve">17869942</t>
  </si>
  <si>
    <t xml:space="preserve">17870003</t>
  </si>
  <si>
    <t xml:space="preserve">17870004</t>
  </si>
  <si>
    <t xml:space="preserve">17870005</t>
  </si>
  <si>
    <t xml:space="preserve">17870007</t>
  </si>
  <si>
    <t xml:space="preserve">17870008</t>
  </si>
  <si>
    <t xml:space="preserve">WILSON DOS SANTOS</t>
  </si>
  <si>
    <t xml:space="preserve">XANXERE</t>
  </si>
  <si>
    <t xml:space="preserve">17870039</t>
  </si>
  <si>
    <t xml:space="preserve">URUGUAI ALFAJORES LTDA</t>
  </si>
  <si>
    <t xml:space="preserve">17870195</t>
  </si>
  <si>
    <t xml:space="preserve">17870197</t>
  </si>
  <si>
    <t xml:space="preserve">17870199</t>
  </si>
  <si>
    <t xml:space="preserve">17870239</t>
  </si>
  <si>
    <t xml:space="preserve">CENORADAS DOCERIA LTDA</t>
  </si>
  <si>
    <t xml:space="preserve">17870256</t>
  </si>
  <si>
    <t xml:space="preserve">LENICE LIMA SILVA SANTOS</t>
  </si>
  <si>
    <t xml:space="preserve">17871443</t>
  </si>
  <si>
    <t xml:space="preserve">17871840</t>
  </si>
  <si>
    <t xml:space="preserve">RENAISSANCE DO BRASIL HOTELARIA</t>
  </si>
  <si>
    <t xml:space="preserve">17871845</t>
  </si>
  <si>
    <t xml:space="preserve">17871851</t>
  </si>
  <si>
    <t xml:space="preserve">17871870</t>
  </si>
  <si>
    <t xml:space="preserve">17871872</t>
  </si>
  <si>
    <t xml:space="preserve">17871875</t>
  </si>
  <si>
    <t xml:space="preserve">CLUB ATHLETICO PAULISTANO</t>
  </si>
  <si>
    <t xml:space="preserve">17871927</t>
  </si>
  <si>
    <t xml:space="preserve">17871931</t>
  </si>
  <si>
    <t xml:space="preserve">BEAUBON CONFEITARIA LTDA</t>
  </si>
  <si>
    <t xml:space="preserve">17872214</t>
  </si>
  <si>
    <t xml:space="preserve">DISTRIBUIDORA DOCE SABOR</t>
  </si>
  <si>
    <t xml:space="preserve">ARUJA</t>
  </si>
  <si>
    <t xml:space="preserve">17872215</t>
  </si>
  <si>
    <t xml:space="preserve">SNG COMERCIO DE DOCES EIRELLI</t>
  </si>
  <si>
    <t xml:space="preserve">17872226</t>
  </si>
  <si>
    <t xml:space="preserve">FRAN PAPEL COMERCIAL LTDA</t>
  </si>
  <si>
    <t xml:space="preserve">Dimensionamento de Equipe e Capacidade Diária</t>
  </si>
  <si>
    <t xml:space="preserve">Premissas informadas pelo usuário + parâmetros de referência para a análise de 09 a 21/09/2026</t>
  </si>
  <si>
    <t xml:space="preserve">ESCALA E EQUIPE POR TURNO</t>
  </si>
  <si>
    <t xml:space="preserve">Separadores por turno</t>
  </si>
  <si>
    <t xml:space="preserve">Operadores por turno</t>
  </si>
  <si>
    <t xml:space="preserve">Turnos por dia (12h + 12h)</t>
  </si>
  <si>
    <t xml:space="preserve">Horas por turno</t>
  </si>
  <si>
    <t xml:space="preserve">Dias trabalhados por ciclo (2x2)</t>
  </si>
  <si>
    <t xml:space="preserve">EQUIPE TOTAL EM ATIVIDADE POR DIA (2 turnos)</t>
  </si>
  <si>
    <t xml:space="preserve">Separadores instalados / dia</t>
  </si>
  <si>
    <t xml:space="preserve">Separadores/turno x turnos/dia</t>
  </si>
  <si>
    <t xml:space="preserve">Operadores instalados / dia</t>
  </si>
  <si>
    <t xml:space="preserve">Operadores/turno x turnos/dia</t>
  </si>
  <si>
    <t xml:space="preserve">Total de pessoas em atividade / dia</t>
  </si>
  <si>
    <t xml:space="preserve">CAPACIDADE DIÁRIA DE REFERÊNCIA</t>
  </si>
  <si>
    <t xml:space="preserve">Capacidade mínima (t/dia)</t>
  </si>
  <si>
    <t xml:space="preserve">Capacidade máxima (t/dia)</t>
  </si>
  <si>
    <t xml:space="preserve">PRODUTIVIDADE IMPLÍCITA (referência p/ dimensionar picos)</t>
  </si>
  <si>
    <t xml:space="preserve">Produtividade mín. por separador (t/dia)</t>
  </si>
  <si>
    <t xml:space="preserve">Produtividade máx. por separador (t/dia)</t>
  </si>
  <si>
    <t xml:space="preserve">Capacidade máx. dividida pelos 8 separadores instalados/dia</t>
  </si>
  <si>
    <t xml:space="preserve">Produtividade mín. por operador (t/dia)</t>
  </si>
  <si>
    <t xml:space="preserve">Produtividade máx. por operador (t/dia)</t>
  </si>
  <si>
    <t xml:space="preserve">Nota: a "produtividade implícita" é calculada dividindo a capacidade declarada (35–40 t/dia) pela equipe instalada por dia. Ela é usada apenas para estimar quantos separadores adicionais seriam necessários nos dias de pico (aba Analise_Diaria), não é um indicador medido em campo.</t>
  </si>
  <si>
    <t xml:space="preserve">Análise Diária de Volume Bruto x Capacidade (09 a 21/09/2026)</t>
  </si>
  <si>
    <t xml:space="preserve">Data-base: "Data do picking" (dia em que a separação do pedido é atribuída). Dias 20 e 21/09 são total ou parcialmente programados (pedidos ainda em "GERAR/FATURAR").</t>
  </si>
  <si>
    <t xml:space="preserve">Data</t>
  </si>
  <si>
    <t xml:space="preserve">Dia da Semana</t>
  </si>
  <si>
    <t xml:space="preserve">Nº Fornecimentos</t>
  </si>
  <si>
    <t xml:space="preserve">% Faturado (concluído)</t>
  </si>
  <si>
    <t xml:space="preserve">Peso Bruto (t)</t>
  </si>
  <si>
    <t xml:space="preserve">Capac. Mín (t)</t>
  </si>
  <si>
    <t xml:space="preserve">Capac. Máx (t)</t>
  </si>
  <si>
    <t xml:space="preserve">% da Capac. Máx</t>
  </si>
  <si>
    <t xml:space="preserve">Status</t>
  </si>
  <si>
    <t xml:space="preserve">Separadores Necessários (est.)</t>
  </si>
  <si>
    <t xml:space="preserve">Gap de Separadores (est.)</t>
  </si>
  <si>
    <t xml:space="preserve">TOTAL / MÉDIA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</si>
</sst>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#,##0.0"/>
    <numFmt numFmtId="167" formatCode="0"/>
    <numFmt numFmtId="168" formatCode="\+#,##0.0"/>
    <numFmt numFmtId="169" formatCode="#,##0.000"/>
    <numFmt numFmtId="170" formatCode="dd/mm/yyyy"/>
    <numFmt numFmtId="171" formatCode="#,##0.00"/>
    <numFmt numFmtId="172" formatCode="0%"/>
    <numFmt numFmtId="173" formatCode="\+#,##0.0;\-#,##0.0;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1F4E78"/>
      <name val="Arial"/>
      <family val="0"/>
      <charset val="1"/>
    </font>
    <font>
      <b val="true"/>
      <sz val="16"/>
      <color rgb="FF1F4E78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AF1FB"/>
        <bgColor rgb="FFD9E1F2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5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EA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Peso Bruto (t) x Capacidade Mín/Máx por dia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"Peso Bruto (t)"</c:f>
              <c:strCache>
                <c:ptCount val="1"/>
                <c:pt idx="0">
                  <c:v>Peso Bruto (t)</c:v>
                </c:pt>
              </c:strCache>
            </c:strRef>
          </c:tx>
          <c:spPr>
            <a:solidFill>
              <a:srgbClr val="1f4e78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Analise_Diaria!$A$5:$A$17</c:f>
              <c:strCache>
                <c:ptCount val="13"/>
                <c:pt idx="0">
                  <c:v>09/09/2026</c:v>
                </c:pt>
                <c:pt idx="1">
                  <c:v>10/09/2026</c:v>
                </c:pt>
                <c:pt idx="2">
                  <c:v>11/09/2026</c:v>
                </c:pt>
                <c:pt idx="3">
                  <c:v>12/09/2026</c:v>
                </c:pt>
                <c:pt idx="4">
                  <c:v>13/09/2026</c:v>
                </c:pt>
                <c:pt idx="5">
                  <c:v>14/09/2026</c:v>
                </c:pt>
                <c:pt idx="6">
                  <c:v>15/09/2026</c:v>
                </c:pt>
                <c:pt idx="7">
                  <c:v>16/09/2026</c:v>
                </c:pt>
                <c:pt idx="8">
                  <c:v>17/09/2026</c:v>
                </c:pt>
                <c:pt idx="9">
                  <c:v>18/09/2026</c:v>
                </c:pt>
                <c:pt idx="10">
                  <c:v>19/09/2026</c:v>
                </c:pt>
                <c:pt idx="11">
                  <c:v>20/09/2026</c:v>
                </c:pt>
                <c:pt idx="12">
                  <c:v>21/09/2026</c:v>
                </c:pt>
              </c:strCache>
            </c:strRef>
          </c:cat>
          <c:val>
            <c:numRef>
              <c:f>Analise_Diaria!$F$5:$F$17</c:f>
              <c:numCache>
                <c:formatCode>#,##0.00</c:formatCode>
                <c:ptCount val="13"/>
                <c:pt idx="0">
                  <c:v>12.681518</c:v>
                </c:pt>
                <c:pt idx="1">
                  <c:v>9.52306</c:v>
                </c:pt>
                <c:pt idx="2">
                  <c:v>22.913514</c:v>
                </c:pt>
                <c:pt idx="3">
                  <c:v>84.129373</c:v>
                </c:pt>
                <c:pt idx="4">
                  <c:v>0.627214</c:v>
                </c:pt>
                <c:pt idx="5">
                  <c:v>127.18013</c:v>
                </c:pt>
                <c:pt idx="6">
                  <c:v>68.043</c:v>
                </c:pt>
                <c:pt idx="7">
                  <c:v>47.813547</c:v>
                </c:pt>
                <c:pt idx="8">
                  <c:v>51.929111</c:v>
                </c:pt>
                <c:pt idx="9">
                  <c:v>59.660811</c:v>
                </c:pt>
                <c:pt idx="10">
                  <c:v>91.750186</c:v>
                </c:pt>
                <c:pt idx="11">
                  <c:v>3.840874</c:v>
                </c:pt>
                <c:pt idx="12">
                  <c:v>6.780298</c:v>
                </c:pt>
              </c:numCache>
            </c:numRef>
          </c:val>
        </c:ser>
        <c:gapWidth val="150"/>
        <c:overlap val="0"/>
        <c:axId val="99876412"/>
        <c:axId val="62687728"/>
      </c:barChart>
      <c:lineChart>
        <c:grouping val="standard"/>
        <c:varyColors val="0"/>
        <c:ser>
          <c:idx val="1"/>
          <c:order val="1"/>
          <c:tx>
            <c:strRef>
              <c:f>Analise_Diaria!G4</c:f>
              <c:strCache>
                <c:ptCount val="1"/>
                <c:pt idx="0">
                  <c:v>Capac. Mín (t)</c:v>
                </c:pt>
              </c:strCache>
            </c:strRef>
          </c:tx>
          <c:spPr>
            <a:solidFill>
              <a:srgbClr val="00b050"/>
            </a:solidFill>
            <a:ln w="28440">
              <a:solidFill>
                <a:srgbClr val="00b05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Analise_Diaria!$A$5:$A$17</c:f>
              <c:strCache>
                <c:ptCount val="13"/>
                <c:pt idx="0">
                  <c:v>09/09/2026</c:v>
                </c:pt>
                <c:pt idx="1">
                  <c:v>10/09/2026</c:v>
                </c:pt>
                <c:pt idx="2">
                  <c:v>11/09/2026</c:v>
                </c:pt>
                <c:pt idx="3">
                  <c:v>12/09/2026</c:v>
                </c:pt>
                <c:pt idx="4">
                  <c:v>13/09/2026</c:v>
                </c:pt>
                <c:pt idx="5">
                  <c:v>14/09/2026</c:v>
                </c:pt>
                <c:pt idx="6">
                  <c:v>15/09/2026</c:v>
                </c:pt>
                <c:pt idx="7">
                  <c:v>16/09/2026</c:v>
                </c:pt>
                <c:pt idx="8">
                  <c:v>17/09/2026</c:v>
                </c:pt>
                <c:pt idx="9">
                  <c:v>18/09/2026</c:v>
                </c:pt>
                <c:pt idx="10">
                  <c:v>19/09/2026</c:v>
                </c:pt>
                <c:pt idx="11">
                  <c:v>20/09/2026</c:v>
                </c:pt>
                <c:pt idx="12">
                  <c:v>21/09/2026</c:v>
                </c:pt>
              </c:strCache>
            </c:strRef>
          </c:cat>
          <c:val>
            <c:numRef>
              <c:f>Analise_Diaria!$G$5:$G$17</c:f>
              <c:numCache>
                <c:formatCode>#,##0.0</c:formatCode>
                <c:ptCount val="13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Analise_Diaria!H4</c:f>
              <c:strCache>
                <c:ptCount val="1"/>
                <c:pt idx="0">
                  <c:v>Capac. Máx (t)</c:v>
                </c:pt>
              </c:strCache>
            </c:strRef>
          </c:tx>
          <c:spPr>
            <a:solidFill>
              <a:srgbClr val="c00000"/>
            </a:solidFill>
            <a:ln w="2844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Analise_Diaria!$A$5:$A$17</c:f>
              <c:strCache>
                <c:ptCount val="13"/>
                <c:pt idx="0">
                  <c:v>09/09/2026</c:v>
                </c:pt>
                <c:pt idx="1">
                  <c:v>10/09/2026</c:v>
                </c:pt>
                <c:pt idx="2">
                  <c:v>11/09/2026</c:v>
                </c:pt>
                <c:pt idx="3">
                  <c:v>12/09/2026</c:v>
                </c:pt>
                <c:pt idx="4">
                  <c:v>13/09/2026</c:v>
                </c:pt>
                <c:pt idx="5">
                  <c:v>14/09/2026</c:v>
                </c:pt>
                <c:pt idx="6">
                  <c:v>15/09/2026</c:v>
                </c:pt>
                <c:pt idx="7">
                  <c:v>16/09/2026</c:v>
                </c:pt>
                <c:pt idx="8">
                  <c:v>17/09/2026</c:v>
                </c:pt>
                <c:pt idx="9">
                  <c:v>18/09/2026</c:v>
                </c:pt>
                <c:pt idx="10">
                  <c:v>19/09/2026</c:v>
                </c:pt>
                <c:pt idx="11">
                  <c:v>20/09/2026</c:v>
                </c:pt>
                <c:pt idx="12">
                  <c:v>21/09/2026</c:v>
                </c:pt>
              </c:strCache>
            </c:strRef>
          </c:cat>
          <c:val>
            <c:numRef>
              <c:f>Analise_Diaria!$H$5:$H$17</c:f>
              <c:numCache>
                <c:formatCode>#,##0.0</c:formatCode>
                <c:ptCount val="13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40</c:v>
                </c:pt>
                <c:pt idx="4">
                  <c:v>40</c:v>
                </c:pt>
                <c:pt idx="5">
                  <c:v>40</c:v>
                </c:pt>
                <c:pt idx="6">
                  <c:v>40</c:v>
                </c:pt>
                <c:pt idx="7">
                  <c:v>40</c:v>
                </c:pt>
                <c:pt idx="8">
                  <c:v>40</c:v>
                </c:pt>
                <c:pt idx="9">
                  <c:v>40</c:v>
                </c:pt>
                <c:pt idx="10">
                  <c:v>40</c:v>
                </c:pt>
                <c:pt idx="11">
                  <c:v>40</c:v>
                </c:pt>
                <c:pt idx="12">
                  <c:v>40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99876412"/>
        <c:axId val="62687728"/>
      </c:lineChart>
      <c:catAx>
        <c:axId val="998764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Data (dia do picking)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/yyyy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87728"/>
        <c:crosses val="autoZero"/>
        <c:auto val="1"/>
        <c:lblAlgn val="ctr"/>
        <c:lblOffset val="100"/>
        <c:noMultiLvlLbl val="0"/>
      </c:catAx>
      <c:valAx>
        <c:axId val="6268772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Toneladas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98764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8</xdr:row>
      <xdr:rowOff>101160</xdr:rowOff>
    </xdr:from>
    <xdr:to>
      <xdr:col>6</xdr:col>
      <xdr:colOff>1090800</xdr:colOff>
      <xdr:row>27</xdr:row>
      <xdr:rowOff>80280</xdr:rowOff>
    </xdr:to>
    <xdr:graphicFrame>
      <xdr:nvGraphicFramePr>
        <xdr:cNvPr id="0" name="Chart 1"/>
        <xdr:cNvGraphicFramePr/>
      </xdr:nvGraphicFramePr>
      <xdr:xfrm>
        <a:off x="0" y="1901520"/>
        <a:ext cx="9358560" cy="3598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1" width="15.5"/>
  </cols>
  <sheetData>
    <row r="1" customFormat="false" ht="17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</row>
    <row r="5" customFormat="false" ht="19.5" hidden="false" customHeight="true" outlineLevel="0" collapsed="false">
      <c r="A5" s="5" t="n">
        <f aca="false">Analise_Diaria!C18</f>
        <v>1379</v>
      </c>
      <c r="B5" s="6" t="n">
        <f aca="false">Analise_Diaria!F18</f>
        <v>586.872636</v>
      </c>
      <c r="C5" s="6" t="n">
        <f aca="false">Analise_Diaria!F18/13</f>
        <v>45.1440489230769</v>
      </c>
      <c r="D5" s="6" t="n">
        <f aca="false">Dimensionamento!B19</f>
        <v>37.5</v>
      </c>
      <c r="E5" s="7" t="n">
        <f aca="false">COUNTIF(Analise_Diaria!J5:J17,"ACIMA DA CAPACIDADE")</f>
        <v>7</v>
      </c>
      <c r="F5" s="7" t="n">
        <f aca="false">COUNTIF(Analise_Diaria!J5:J17,"DENTRO DA FAIXA")</f>
        <v>0</v>
      </c>
      <c r="G5" s="7" t="n">
        <f aca="false">COUNTIF(Analise_Diaria!J5:J17,"ABAIXO DA CAPACIDADE")</f>
        <v>6</v>
      </c>
      <c r="H5" s="8" t="n">
        <f aca="false">MAX(Analise_Diaria!L5:L17)</f>
        <v>17.436026</v>
      </c>
    </row>
    <row r="9" customFormat="false" ht="15" hidden="false" customHeight="true" outlineLevel="0" collapsed="false">
      <c r="A9" s="9" t="s">
        <v>10</v>
      </c>
    </row>
    <row r="31" customFormat="false" ht="15" hidden="false" customHeight="true" outlineLevel="0" collapsed="false">
      <c r="A31" s="9" t="s">
        <v>11</v>
      </c>
    </row>
    <row r="32" customFormat="false" ht="27.75" hidden="false" customHeight="true" outlineLevel="0" collapsed="false">
      <c r="A32" s="10" t="s">
        <v>12</v>
      </c>
      <c r="B32" s="10"/>
      <c r="C32" s="10"/>
      <c r="D32" s="10"/>
      <c r="E32" s="10"/>
      <c r="F32" s="10"/>
      <c r="G32" s="10"/>
      <c r="H32" s="10"/>
    </row>
    <row r="33" customFormat="false" ht="27.75" hidden="false" customHeight="true" outlineLevel="0" collapsed="false">
      <c r="A33" s="10" t="s">
        <v>13</v>
      </c>
      <c r="B33" s="10"/>
      <c r="C33" s="10"/>
      <c r="D33" s="10"/>
      <c r="E33" s="10"/>
      <c r="F33" s="10"/>
      <c r="G33" s="10"/>
      <c r="H33" s="10"/>
    </row>
    <row r="34" customFormat="false" ht="27.75" hidden="false" customHeight="true" outlineLevel="0" collapsed="false">
      <c r="A34" s="10" t="s">
        <v>14</v>
      </c>
      <c r="B34" s="10"/>
      <c r="C34" s="10"/>
      <c r="D34" s="10"/>
      <c r="E34" s="10"/>
      <c r="F34" s="10"/>
      <c r="G34" s="10"/>
      <c r="H34" s="10"/>
    </row>
    <row r="35" customFormat="false" ht="27.75" hidden="false" customHeight="true" outlineLevel="0" collapsed="false">
      <c r="A35" s="10" t="s">
        <v>15</v>
      </c>
      <c r="B35" s="10"/>
      <c r="C35" s="10"/>
      <c r="D35" s="10"/>
      <c r="E35" s="10"/>
      <c r="F35" s="10"/>
      <c r="G35" s="10"/>
      <c r="H35" s="10"/>
    </row>
    <row r="36" customFormat="false" ht="27.75" hidden="false" customHeight="true" outlineLevel="0" collapsed="false">
      <c r="A36" s="10" t="s">
        <v>16</v>
      </c>
      <c r="B36" s="10"/>
      <c r="C36" s="10"/>
      <c r="D36" s="10"/>
      <c r="E36" s="10"/>
      <c r="F36" s="10"/>
      <c r="G36" s="10"/>
      <c r="H36" s="10"/>
    </row>
    <row r="37" customFormat="false" ht="27.75" hidden="false" customHeight="true" outlineLevel="0" collapsed="false">
      <c r="A37" s="10" t="s">
        <v>17</v>
      </c>
      <c r="B37" s="10"/>
      <c r="C37" s="10"/>
      <c r="D37" s="10"/>
      <c r="E37" s="10"/>
      <c r="F37" s="10"/>
      <c r="G37" s="10"/>
      <c r="H37" s="10"/>
    </row>
  </sheetData>
  <mergeCells count="8">
    <mergeCell ref="A1:H1"/>
    <mergeCell ref="A2:H2"/>
    <mergeCell ref="A32:H32"/>
    <mergeCell ref="A33:H33"/>
    <mergeCell ref="A34:H34"/>
    <mergeCell ref="A35:H35"/>
    <mergeCell ref="A36:H36"/>
    <mergeCell ref="A37:H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1" width="14"/>
    <col collapsed="false" customWidth="true" hidden="false" outlineLevel="0" max="4" min="4" style="1" width="32"/>
    <col collapsed="false" customWidth="true" hidden="false" outlineLevel="0" max="5" min="5" style="1" width="12"/>
    <col collapsed="false" customWidth="true" hidden="false" outlineLevel="0" max="6" min="6" style="1" width="20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20"/>
    <col collapsed="false" customWidth="true" hidden="false" outlineLevel="0" max="10" min="10" style="1" width="16"/>
  </cols>
  <sheetData>
    <row r="1" customFormat="false" ht="26.25" hidden="false" customHeight="true" outlineLevel="0" collapsed="false">
      <c r="A1" s="11" t="s">
        <v>18</v>
      </c>
      <c r="B1" s="11" t="s">
        <v>19</v>
      </c>
      <c r="C1" s="11" t="s">
        <v>20</v>
      </c>
      <c r="D1" s="11" t="s">
        <v>21</v>
      </c>
      <c r="E1" s="11" t="s">
        <v>22</v>
      </c>
      <c r="F1" s="11" t="s">
        <v>23</v>
      </c>
      <c r="G1" s="11" t="s">
        <v>24</v>
      </c>
      <c r="H1" s="11" t="s">
        <v>25</v>
      </c>
      <c r="I1" s="11" t="s">
        <v>26</v>
      </c>
      <c r="J1" s="11" t="s">
        <v>27</v>
      </c>
    </row>
    <row r="2" customFormat="false" ht="15" hidden="false" customHeight="true" outlineLevel="0" collapsed="false">
      <c r="A2" s="12" t="s">
        <v>28</v>
      </c>
      <c r="B2" s="13" t="n">
        <v>42.404</v>
      </c>
      <c r="C2" s="13" t="n">
        <v>40.1</v>
      </c>
      <c r="D2" s="12" t="s">
        <v>29</v>
      </c>
      <c r="E2" s="12" t="s">
        <v>30</v>
      </c>
      <c r="F2" s="12" t="s">
        <v>31</v>
      </c>
      <c r="G2" s="12" t="s">
        <v>32</v>
      </c>
      <c r="H2" s="14" t="n">
        <v>46274</v>
      </c>
      <c r="I2" s="14" t="n">
        <v>46275</v>
      </c>
      <c r="J2" s="12" t="s">
        <v>33</v>
      </c>
    </row>
    <row r="3" customFormat="false" ht="15" hidden="false" customHeight="true" outlineLevel="0" collapsed="false">
      <c r="A3" s="12" t="s">
        <v>34</v>
      </c>
      <c r="B3" s="13" t="n">
        <v>613.677</v>
      </c>
      <c r="C3" s="13" t="n">
        <v>565.6</v>
      </c>
      <c r="D3" s="12" t="s">
        <v>35</v>
      </c>
      <c r="E3" s="12" t="s">
        <v>30</v>
      </c>
      <c r="F3" s="12" t="s">
        <v>36</v>
      </c>
      <c r="G3" s="12" t="s">
        <v>37</v>
      </c>
      <c r="H3" s="14" t="n">
        <v>46274</v>
      </c>
      <c r="I3" s="14" t="n">
        <v>46274</v>
      </c>
      <c r="J3" s="12" t="s">
        <v>33</v>
      </c>
    </row>
    <row r="4" customFormat="false" ht="15" hidden="false" customHeight="true" outlineLevel="0" collapsed="false">
      <c r="A4" s="12" t="s">
        <v>38</v>
      </c>
      <c r="B4" s="13" t="n">
        <v>657.51</v>
      </c>
      <c r="C4" s="13" t="n">
        <v>606</v>
      </c>
      <c r="D4" s="12" t="s">
        <v>39</v>
      </c>
      <c r="E4" s="12" t="s">
        <v>30</v>
      </c>
      <c r="F4" s="12" t="s">
        <v>40</v>
      </c>
      <c r="G4" s="12" t="s">
        <v>41</v>
      </c>
      <c r="H4" s="14" t="n">
        <v>46274</v>
      </c>
      <c r="I4" s="14" t="n">
        <v>46274</v>
      </c>
      <c r="J4" s="12" t="s">
        <v>33</v>
      </c>
    </row>
    <row r="5" customFormat="false" ht="15" hidden="false" customHeight="true" outlineLevel="0" collapsed="false">
      <c r="A5" s="12" t="s">
        <v>42</v>
      </c>
      <c r="B5" s="13" t="n">
        <v>74.324</v>
      </c>
      <c r="C5" s="13" t="n">
        <v>68.68</v>
      </c>
      <c r="D5" s="12" t="s">
        <v>43</v>
      </c>
      <c r="E5" s="12" t="s">
        <v>30</v>
      </c>
      <c r="F5" s="12" t="s">
        <v>44</v>
      </c>
      <c r="G5" s="12" t="s">
        <v>45</v>
      </c>
      <c r="H5" s="14" t="n">
        <v>46274</v>
      </c>
      <c r="I5" s="14" t="n">
        <v>46274</v>
      </c>
      <c r="J5" s="12" t="s">
        <v>33</v>
      </c>
    </row>
    <row r="6" customFormat="false" ht="15" hidden="false" customHeight="true" outlineLevel="0" collapsed="false">
      <c r="A6" s="12" t="s">
        <v>46</v>
      </c>
      <c r="B6" s="13" t="n">
        <v>109.585</v>
      </c>
      <c r="C6" s="13" t="n">
        <v>101</v>
      </c>
      <c r="D6" s="12" t="s">
        <v>47</v>
      </c>
      <c r="E6" s="12" t="s">
        <v>30</v>
      </c>
      <c r="F6" s="12" t="s">
        <v>48</v>
      </c>
      <c r="G6" s="12" t="s">
        <v>37</v>
      </c>
      <c r="H6" s="14" t="n">
        <v>46274</v>
      </c>
      <c r="I6" s="14" t="n">
        <v>46274</v>
      </c>
      <c r="J6" s="12" t="s">
        <v>33</v>
      </c>
    </row>
    <row r="7" customFormat="false" ht="15" hidden="false" customHeight="true" outlineLevel="0" collapsed="false">
      <c r="A7" s="12" t="s">
        <v>49</v>
      </c>
      <c r="B7" s="13" t="n">
        <v>48.121</v>
      </c>
      <c r="C7" s="13" t="n">
        <v>44.44</v>
      </c>
      <c r="D7" s="12" t="s">
        <v>50</v>
      </c>
      <c r="E7" s="12" t="s">
        <v>30</v>
      </c>
      <c r="F7" s="12" t="s">
        <v>51</v>
      </c>
      <c r="G7" s="12" t="s">
        <v>41</v>
      </c>
      <c r="H7" s="14" t="n">
        <v>46274</v>
      </c>
      <c r="I7" s="14" t="n">
        <v>46274</v>
      </c>
      <c r="J7" s="12" t="s">
        <v>33</v>
      </c>
    </row>
    <row r="8" customFormat="false" ht="15" hidden="false" customHeight="true" outlineLevel="0" collapsed="false">
      <c r="A8" s="12" t="s">
        <v>52</v>
      </c>
      <c r="B8" s="13" t="n">
        <v>32.876</v>
      </c>
      <c r="C8" s="13" t="n">
        <v>30.3</v>
      </c>
      <c r="D8" s="12" t="s">
        <v>53</v>
      </c>
      <c r="E8" s="12" t="s">
        <v>30</v>
      </c>
      <c r="F8" s="12" t="s">
        <v>54</v>
      </c>
      <c r="G8" s="12" t="s">
        <v>45</v>
      </c>
      <c r="H8" s="14" t="n">
        <v>46274</v>
      </c>
      <c r="I8" s="14" t="n">
        <v>46274</v>
      </c>
      <c r="J8" s="12" t="s">
        <v>33</v>
      </c>
    </row>
    <row r="9" customFormat="false" ht="15" hidden="false" customHeight="true" outlineLevel="0" collapsed="false">
      <c r="A9" s="12" t="s">
        <v>55</v>
      </c>
      <c r="B9" s="13" t="n">
        <v>21.574</v>
      </c>
      <c r="C9" s="13" t="n">
        <v>20.2</v>
      </c>
      <c r="D9" s="12" t="s">
        <v>56</v>
      </c>
      <c r="E9" s="12" t="s">
        <v>30</v>
      </c>
      <c r="F9" s="12" t="s">
        <v>57</v>
      </c>
      <c r="G9" s="12" t="s">
        <v>37</v>
      </c>
      <c r="H9" s="14" t="n">
        <v>46274</v>
      </c>
      <c r="I9" s="14" t="n">
        <v>46274</v>
      </c>
      <c r="J9" s="12" t="s">
        <v>33</v>
      </c>
    </row>
    <row r="10" customFormat="false" ht="15" hidden="false" customHeight="true" outlineLevel="0" collapsed="false">
      <c r="A10" s="12" t="s">
        <v>58</v>
      </c>
      <c r="B10" s="13" t="n">
        <v>43.834</v>
      </c>
      <c r="C10" s="13" t="n">
        <v>40.4</v>
      </c>
      <c r="D10" s="12" t="s">
        <v>59</v>
      </c>
      <c r="E10" s="12" t="s">
        <v>30</v>
      </c>
      <c r="F10" s="12" t="s">
        <v>60</v>
      </c>
      <c r="G10" s="12" t="s">
        <v>37</v>
      </c>
      <c r="H10" s="14" t="n">
        <v>46274</v>
      </c>
      <c r="I10" s="14" t="n">
        <v>46274</v>
      </c>
      <c r="J10" s="12" t="s">
        <v>33</v>
      </c>
    </row>
    <row r="11" customFormat="false" ht="15" hidden="false" customHeight="true" outlineLevel="0" collapsed="false">
      <c r="A11" s="12" t="s">
        <v>61</v>
      </c>
      <c r="B11" s="13" t="n">
        <v>21.7</v>
      </c>
      <c r="C11" s="13" t="n">
        <v>20</v>
      </c>
      <c r="D11" s="12" t="s">
        <v>62</v>
      </c>
      <c r="E11" s="12" t="s">
        <v>30</v>
      </c>
      <c r="F11" s="12" t="s">
        <v>63</v>
      </c>
      <c r="G11" s="12" t="s">
        <v>37</v>
      </c>
      <c r="H11" s="14" t="n">
        <v>46274</v>
      </c>
      <c r="I11" s="14" t="n">
        <v>46274</v>
      </c>
      <c r="J11" s="12" t="s">
        <v>33</v>
      </c>
    </row>
    <row r="12" customFormat="false" ht="15" hidden="false" customHeight="true" outlineLevel="0" collapsed="false">
      <c r="A12" s="12" t="s">
        <v>64</v>
      </c>
      <c r="B12" s="13" t="n">
        <v>21.23</v>
      </c>
      <c r="C12" s="13" t="n">
        <v>20.2</v>
      </c>
      <c r="D12" s="12" t="s">
        <v>65</v>
      </c>
      <c r="E12" s="12" t="s">
        <v>30</v>
      </c>
      <c r="F12" s="12" t="s">
        <v>66</v>
      </c>
      <c r="G12" s="12" t="s">
        <v>37</v>
      </c>
      <c r="H12" s="14" t="n">
        <v>46274</v>
      </c>
      <c r="I12" s="14" t="n">
        <v>46274</v>
      </c>
      <c r="J12" s="12" t="s">
        <v>33</v>
      </c>
    </row>
    <row r="13" customFormat="false" ht="15" hidden="false" customHeight="true" outlineLevel="0" collapsed="false">
      <c r="A13" s="12" t="s">
        <v>67</v>
      </c>
      <c r="B13" s="13" t="n">
        <v>591.759</v>
      </c>
      <c r="C13" s="13" t="n">
        <v>545.4</v>
      </c>
      <c r="D13" s="12" t="s">
        <v>68</v>
      </c>
      <c r="E13" s="12" t="s">
        <v>30</v>
      </c>
      <c r="F13" s="12" t="s">
        <v>69</v>
      </c>
      <c r="G13" s="12" t="s">
        <v>37</v>
      </c>
      <c r="H13" s="14" t="n">
        <v>46274</v>
      </c>
      <c r="I13" s="14" t="n">
        <v>46274</v>
      </c>
      <c r="J13" s="12" t="s">
        <v>33</v>
      </c>
    </row>
    <row r="14" customFormat="false" ht="15" hidden="false" customHeight="true" outlineLevel="0" collapsed="false">
      <c r="A14" s="12" t="s">
        <v>70</v>
      </c>
      <c r="B14" s="13" t="n">
        <v>328.752</v>
      </c>
      <c r="C14" s="13" t="n">
        <v>303</v>
      </c>
      <c r="D14" s="12" t="s">
        <v>71</v>
      </c>
      <c r="E14" s="12" t="s">
        <v>30</v>
      </c>
      <c r="F14" s="12" t="s">
        <v>72</v>
      </c>
      <c r="G14" s="12" t="s">
        <v>41</v>
      </c>
      <c r="H14" s="14" t="n">
        <v>46274</v>
      </c>
      <c r="I14" s="14" t="n">
        <v>46274</v>
      </c>
      <c r="J14" s="12" t="s">
        <v>33</v>
      </c>
    </row>
    <row r="15" customFormat="false" ht="15" hidden="false" customHeight="true" outlineLevel="0" collapsed="false">
      <c r="A15" s="12" t="s">
        <v>73</v>
      </c>
      <c r="B15" s="13" t="n">
        <v>53.185</v>
      </c>
      <c r="C15" s="13" t="n">
        <v>49.2</v>
      </c>
      <c r="D15" s="12" t="s">
        <v>74</v>
      </c>
      <c r="E15" s="12" t="s">
        <v>30</v>
      </c>
      <c r="F15" s="12" t="s">
        <v>75</v>
      </c>
      <c r="G15" s="12" t="s">
        <v>41</v>
      </c>
      <c r="H15" s="14" t="n">
        <v>46274</v>
      </c>
      <c r="I15" s="14" t="n">
        <v>46274</v>
      </c>
      <c r="J15" s="12" t="s">
        <v>33</v>
      </c>
    </row>
    <row r="16" customFormat="false" ht="15" hidden="false" customHeight="true" outlineLevel="0" collapsed="false">
      <c r="A16" s="12" t="s">
        <v>76</v>
      </c>
      <c r="B16" s="13" t="n">
        <v>52.407</v>
      </c>
      <c r="C16" s="13" t="n">
        <v>48.48</v>
      </c>
      <c r="D16" s="12" t="s">
        <v>77</v>
      </c>
      <c r="E16" s="12" t="s">
        <v>30</v>
      </c>
      <c r="F16" s="12" t="s">
        <v>78</v>
      </c>
      <c r="G16" s="12" t="s">
        <v>45</v>
      </c>
      <c r="H16" s="14" t="n">
        <v>46274</v>
      </c>
      <c r="I16" s="14" t="n">
        <v>46274</v>
      </c>
      <c r="J16" s="12" t="s">
        <v>33</v>
      </c>
    </row>
    <row r="17" customFormat="false" ht="15" hidden="false" customHeight="true" outlineLevel="0" collapsed="false">
      <c r="A17" s="12" t="s">
        <v>79</v>
      </c>
      <c r="B17" s="13" t="n">
        <v>109.585</v>
      </c>
      <c r="C17" s="13" t="n">
        <v>101</v>
      </c>
      <c r="D17" s="12" t="s">
        <v>80</v>
      </c>
      <c r="E17" s="12" t="s">
        <v>30</v>
      </c>
      <c r="F17" s="12" t="s">
        <v>81</v>
      </c>
      <c r="G17" s="12" t="s">
        <v>41</v>
      </c>
      <c r="H17" s="14" t="n">
        <v>46274</v>
      </c>
      <c r="I17" s="14" t="n">
        <v>46274</v>
      </c>
      <c r="J17" s="12" t="s">
        <v>33</v>
      </c>
    </row>
    <row r="18" customFormat="false" ht="15" hidden="false" customHeight="true" outlineLevel="0" collapsed="false">
      <c r="A18" s="12" t="s">
        <v>82</v>
      </c>
      <c r="B18" s="13" t="n">
        <v>53.185</v>
      </c>
      <c r="C18" s="13" t="n">
        <v>49.2</v>
      </c>
      <c r="D18" s="12" t="s">
        <v>83</v>
      </c>
      <c r="E18" s="12" t="s">
        <v>30</v>
      </c>
      <c r="F18" s="12" t="s">
        <v>40</v>
      </c>
      <c r="G18" s="12" t="s">
        <v>41</v>
      </c>
      <c r="H18" s="14" t="n">
        <v>46274</v>
      </c>
      <c r="I18" s="14" t="n">
        <v>46274</v>
      </c>
      <c r="J18" s="12" t="s">
        <v>33</v>
      </c>
    </row>
    <row r="19" customFormat="false" ht="15" hidden="false" customHeight="true" outlineLevel="0" collapsed="false">
      <c r="A19" s="12" t="s">
        <v>84</v>
      </c>
      <c r="B19" s="13" t="n">
        <v>148.89</v>
      </c>
      <c r="C19" s="13" t="n">
        <v>137.36</v>
      </c>
      <c r="D19" s="12" t="s">
        <v>85</v>
      </c>
      <c r="E19" s="12" t="s">
        <v>30</v>
      </c>
      <c r="F19" s="12" t="s">
        <v>86</v>
      </c>
      <c r="G19" s="12" t="s">
        <v>37</v>
      </c>
      <c r="H19" s="14" t="n">
        <v>46274</v>
      </c>
      <c r="I19" s="14" t="n">
        <v>46274</v>
      </c>
      <c r="J19" s="12" t="s">
        <v>33</v>
      </c>
    </row>
    <row r="20" customFormat="false" ht="15" hidden="false" customHeight="true" outlineLevel="0" collapsed="false">
      <c r="A20" s="12" t="s">
        <v>87</v>
      </c>
      <c r="B20" s="13" t="n">
        <v>37.162</v>
      </c>
      <c r="C20" s="13" t="n">
        <v>34.34</v>
      </c>
      <c r="D20" s="12" t="s">
        <v>88</v>
      </c>
      <c r="E20" s="12" t="s">
        <v>30</v>
      </c>
      <c r="F20" s="12" t="s">
        <v>89</v>
      </c>
      <c r="G20" s="12" t="s">
        <v>41</v>
      </c>
      <c r="H20" s="14" t="n">
        <v>46274</v>
      </c>
      <c r="I20" s="14" t="n">
        <v>46274</v>
      </c>
      <c r="J20" s="12" t="s">
        <v>33</v>
      </c>
    </row>
    <row r="21" customFormat="false" ht="15" hidden="false" customHeight="true" outlineLevel="0" collapsed="false">
      <c r="A21" s="12" t="s">
        <v>90</v>
      </c>
      <c r="B21" s="13" t="n">
        <v>65.408</v>
      </c>
      <c r="C21" s="13" t="n">
        <v>60.6</v>
      </c>
      <c r="D21" s="12" t="s">
        <v>91</v>
      </c>
      <c r="E21" s="12" t="s">
        <v>30</v>
      </c>
      <c r="F21" s="12" t="s">
        <v>92</v>
      </c>
      <c r="G21" s="12" t="s">
        <v>45</v>
      </c>
      <c r="H21" s="14" t="n">
        <v>46274</v>
      </c>
      <c r="I21" s="14" t="n">
        <v>46274</v>
      </c>
      <c r="J21" s="12" t="s">
        <v>33</v>
      </c>
    </row>
    <row r="22" customFormat="false" ht="15" hidden="false" customHeight="true" outlineLevel="0" collapsed="false">
      <c r="A22" s="12" t="s">
        <v>93</v>
      </c>
      <c r="B22" s="13" t="n">
        <v>117.155</v>
      </c>
      <c r="C22" s="13" t="n">
        <v>107.6</v>
      </c>
      <c r="D22" s="12" t="s">
        <v>94</v>
      </c>
      <c r="E22" s="12" t="s">
        <v>30</v>
      </c>
      <c r="F22" s="12" t="s">
        <v>95</v>
      </c>
      <c r="G22" s="12" t="s">
        <v>41</v>
      </c>
      <c r="H22" s="14" t="n">
        <v>46274</v>
      </c>
      <c r="I22" s="14" t="n">
        <v>46274</v>
      </c>
      <c r="J22" s="12" t="s">
        <v>33</v>
      </c>
    </row>
    <row r="23" customFormat="false" ht="15" hidden="false" customHeight="true" outlineLevel="0" collapsed="false">
      <c r="A23" s="12" t="s">
        <v>96</v>
      </c>
      <c r="B23" s="13" t="n">
        <v>37.163</v>
      </c>
      <c r="C23" s="13" t="n">
        <v>34.34</v>
      </c>
      <c r="D23" s="12" t="s">
        <v>97</v>
      </c>
      <c r="E23" s="12" t="s">
        <v>30</v>
      </c>
      <c r="F23" s="12" t="s">
        <v>98</v>
      </c>
      <c r="G23" s="12" t="s">
        <v>37</v>
      </c>
      <c r="H23" s="14" t="n">
        <v>46274</v>
      </c>
      <c r="I23" s="14" t="n">
        <v>46274</v>
      </c>
      <c r="J23" s="12" t="s">
        <v>33</v>
      </c>
    </row>
    <row r="24" customFormat="false" ht="15" hidden="false" customHeight="true" outlineLevel="0" collapsed="false">
      <c r="A24" s="12" t="s">
        <v>99</v>
      </c>
      <c r="B24" s="13" t="n">
        <v>54.793</v>
      </c>
      <c r="C24" s="13" t="n">
        <v>50.5</v>
      </c>
      <c r="D24" s="12" t="s">
        <v>100</v>
      </c>
      <c r="E24" s="12" t="s">
        <v>30</v>
      </c>
      <c r="F24" s="12" t="s">
        <v>101</v>
      </c>
      <c r="G24" s="12" t="s">
        <v>41</v>
      </c>
      <c r="H24" s="14" t="n">
        <v>46274</v>
      </c>
      <c r="I24" s="14" t="n">
        <v>46274</v>
      </c>
      <c r="J24" s="12" t="s">
        <v>33</v>
      </c>
    </row>
    <row r="25" customFormat="false" ht="15" hidden="false" customHeight="true" outlineLevel="0" collapsed="false">
      <c r="A25" s="12" t="s">
        <v>102</v>
      </c>
      <c r="B25" s="13" t="n">
        <v>61.222</v>
      </c>
      <c r="C25" s="13" t="n">
        <v>56.56</v>
      </c>
      <c r="D25" s="12" t="s">
        <v>103</v>
      </c>
      <c r="E25" s="12" t="s">
        <v>30</v>
      </c>
      <c r="F25" s="12" t="s">
        <v>104</v>
      </c>
      <c r="G25" s="12" t="s">
        <v>37</v>
      </c>
      <c r="H25" s="14" t="n">
        <v>46274</v>
      </c>
      <c r="I25" s="14" t="n">
        <v>46274</v>
      </c>
      <c r="J25" s="12" t="s">
        <v>33</v>
      </c>
    </row>
    <row r="26" customFormat="false" ht="15" hidden="false" customHeight="true" outlineLevel="0" collapsed="false">
      <c r="A26" s="12" t="s">
        <v>105</v>
      </c>
      <c r="B26" s="13" t="n">
        <v>61.222</v>
      </c>
      <c r="C26" s="13" t="n">
        <v>56.56</v>
      </c>
      <c r="D26" s="12" t="s">
        <v>103</v>
      </c>
      <c r="E26" s="12" t="s">
        <v>30</v>
      </c>
      <c r="F26" s="12" t="s">
        <v>104</v>
      </c>
      <c r="G26" s="12" t="s">
        <v>37</v>
      </c>
      <c r="H26" s="14" t="n">
        <v>46274</v>
      </c>
      <c r="I26" s="14" t="n">
        <v>46274</v>
      </c>
      <c r="J26" s="12" t="s">
        <v>33</v>
      </c>
    </row>
    <row r="27" customFormat="false" ht="15" hidden="false" customHeight="true" outlineLevel="0" collapsed="false">
      <c r="A27" s="12" t="s">
        <v>106</v>
      </c>
      <c r="B27" s="13" t="n">
        <v>184.873</v>
      </c>
      <c r="C27" s="13" t="n">
        <v>172.42</v>
      </c>
      <c r="D27" s="12" t="s">
        <v>35</v>
      </c>
      <c r="E27" s="12" t="s">
        <v>30</v>
      </c>
      <c r="F27" s="12" t="s">
        <v>36</v>
      </c>
      <c r="G27" s="12" t="s">
        <v>37</v>
      </c>
      <c r="H27" s="14" t="n">
        <v>46274</v>
      </c>
      <c r="I27" s="14" t="n">
        <v>46274</v>
      </c>
      <c r="J27" s="12" t="s">
        <v>33</v>
      </c>
    </row>
    <row r="28" customFormat="false" ht="15" hidden="false" customHeight="true" outlineLevel="0" collapsed="false">
      <c r="A28" s="12" t="s">
        <v>107</v>
      </c>
      <c r="B28" s="13" t="n">
        <v>591.759</v>
      </c>
      <c r="C28" s="13" t="n">
        <v>545.4</v>
      </c>
      <c r="D28" s="12" t="s">
        <v>108</v>
      </c>
      <c r="E28" s="12" t="s">
        <v>30</v>
      </c>
      <c r="F28" s="12" t="s">
        <v>40</v>
      </c>
      <c r="G28" s="12" t="s">
        <v>41</v>
      </c>
      <c r="H28" s="14" t="n">
        <v>46274</v>
      </c>
      <c r="I28" s="14" t="n">
        <v>46274</v>
      </c>
      <c r="J28" s="12" t="s">
        <v>33</v>
      </c>
    </row>
    <row r="29" customFormat="false" ht="15" hidden="false" customHeight="true" outlineLevel="0" collapsed="false">
      <c r="A29" s="12" t="s">
        <v>109</v>
      </c>
      <c r="B29" s="13" t="n">
        <v>37.162</v>
      </c>
      <c r="C29" s="13" t="n">
        <v>34.34</v>
      </c>
      <c r="D29" s="12" t="s">
        <v>110</v>
      </c>
      <c r="E29" s="12" t="s">
        <v>30</v>
      </c>
      <c r="F29" s="12" t="s">
        <v>111</v>
      </c>
      <c r="G29" s="12" t="s">
        <v>45</v>
      </c>
      <c r="H29" s="14" t="n">
        <v>46274</v>
      </c>
      <c r="I29" s="14" t="n">
        <v>46274</v>
      </c>
      <c r="J29" s="12" t="s">
        <v>33</v>
      </c>
    </row>
    <row r="30" customFormat="false" ht="15" hidden="false" customHeight="true" outlineLevel="0" collapsed="false">
      <c r="A30" s="12" t="s">
        <v>112</v>
      </c>
      <c r="B30" s="13" t="n">
        <v>91.713</v>
      </c>
      <c r="C30" s="13" t="n">
        <v>84.84</v>
      </c>
      <c r="D30" s="12" t="s">
        <v>113</v>
      </c>
      <c r="E30" s="12" t="s">
        <v>30</v>
      </c>
      <c r="F30" s="12" t="s">
        <v>114</v>
      </c>
      <c r="G30" s="12" t="s">
        <v>45</v>
      </c>
      <c r="H30" s="14" t="n">
        <v>46274</v>
      </c>
      <c r="I30" s="14" t="n">
        <v>46274</v>
      </c>
      <c r="J30" s="12" t="s">
        <v>33</v>
      </c>
    </row>
    <row r="31" customFormat="false" ht="15" hidden="false" customHeight="true" outlineLevel="0" collapsed="false">
      <c r="A31" s="12" t="s">
        <v>115</v>
      </c>
      <c r="B31" s="13" t="n">
        <v>45.23</v>
      </c>
      <c r="C31" s="13" t="n">
        <v>41.36</v>
      </c>
      <c r="D31" s="12" t="s">
        <v>116</v>
      </c>
      <c r="E31" s="12" t="s">
        <v>30</v>
      </c>
      <c r="F31" s="12" t="s">
        <v>117</v>
      </c>
      <c r="G31" s="12" t="s">
        <v>41</v>
      </c>
      <c r="H31" s="14" t="n">
        <v>46274</v>
      </c>
      <c r="I31" s="14" t="n">
        <v>46274</v>
      </c>
      <c r="J31" s="12" t="s">
        <v>33</v>
      </c>
    </row>
    <row r="32" customFormat="false" ht="15" hidden="false" customHeight="true" outlineLevel="0" collapsed="false">
      <c r="A32" s="12" t="s">
        <v>118</v>
      </c>
      <c r="B32" s="13" t="n">
        <v>54.793</v>
      </c>
      <c r="C32" s="13" t="n">
        <v>50.5</v>
      </c>
      <c r="D32" s="12" t="s">
        <v>119</v>
      </c>
      <c r="E32" s="12" t="s">
        <v>30</v>
      </c>
      <c r="F32" s="12" t="s">
        <v>120</v>
      </c>
      <c r="G32" s="12" t="s">
        <v>45</v>
      </c>
      <c r="H32" s="14" t="n">
        <v>46274</v>
      </c>
      <c r="I32" s="14" t="n">
        <v>46274</v>
      </c>
      <c r="J32" s="12" t="s">
        <v>33</v>
      </c>
    </row>
    <row r="33" customFormat="false" ht="15" hidden="false" customHeight="true" outlineLevel="0" collapsed="false">
      <c r="A33" s="12" t="s">
        <v>121</v>
      </c>
      <c r="B33" s="13" t="n">
        <v>54.793</v>
      </c>
      <c r="C33" s="13" t="n">
        <v>50.5</v>
      </c>
      <c r="D33" s="12" t="s">
        <v>122</v>
      </c>
      <c r="E33" s="12" t="s">
        <v>30</v>
      </c>
      <c r="F33" s="12" t="s">
        <v>48</v>
      </c>
      <c r="G33" s="12" t="s">
        <v>37</v>
      </c>
      <c r="H33" s="14" t="n">
        <v>46274</v>
      </c>
      <c r="I33" s="14" t="n">
        <v>46274</v>
      </c>
      <c r="J33" s="12" t="s">
        <v>33</v>
      </c>
    </row>
    <row r="34" customFormat="false" ht="15" hidden="false" customHeight="true" outlineLevel="0" collapsed="false">
      <c r="A34" s="12" t="s">
        <v>123</v>
      </c>
      <c r="B34" s="13" t="n">
        <v>54.793</v>
      </c>
      <c r="C34" s="13" t="n">
        <v>50.5</v>
      </c>
      <c r="D34" s="12" t="s">
        <v>124</v>
      </c>
      <c r="E34" s="12" t="s">
        <v>30</v>
      </c>
      <c r="F34" s="12" t="s">
        <v>125</v>
      </c>
      <c r="G34" s="12" t="s">
        <v>37</v>
      </c>
      <c r="H34" s="14" t="n">
        <v>46274</v>
      </c>
      <c r="I34" s="14" t="n">
        <v>46274</v>
      </c>
      <c r="J34" s="12" t="s">
        <v>33</v>
      </c>
    </row>
    <row r="35" customFormat="false" ht="15" hidden="false" customHeight="true" outlineLevel="0" collapsed="false">
      <c r="A35" s="12" t="s">
        <v>126</v>
      </c>
      <c r="B35" s="13" t="n">
        <v>136.215</v>
      </c>
      <c r="C35" s="13" t="n">
        <v>127.26</v>
      </c>
      <c r="D35" s="12" t="s">
        <v>127</v>
      </c>
      <c r="E35" s="12" t="s">
        <v>30</v>
      </c>
      <c r="F35" s="12" t="s">
        <v>128</v>
      </c>
      <c r="G35" s="12" t="s">
        <v>37</v>
      </c>
      <c r="H35" s="14" t="n">
        <v>46274</v>
      </c>
      <c r="I35" s="14" t="n">
        <v>46274</v>
      </c>
      <c r="J35" s="12" t="s">
        <v>33</v>
      </c>
    </row>
    <row r="36" customFormat="false" ht="15" hidden="false" customHeight="true" outlineLevel="0" collapsed="false">
      <c r="A36" s="12" t="s">
        <v>129</v>
      </c>
      <c r="B36" s="13" t="n">
        <v>104.813</v>
      </c>
      <c r="C36" s="13" t="n">
        <v>96.96</v>
      </c>
      <c r="D36" s="12" t="s">
        <v>130</v>
      </c>
      <c r="E36" s="12" t="s">
        <v>30</v>
      </c>
      <c r="F36" s="12" t="s">
        <v>131</v>
      </c>
      <c r="G36" s="12" t="s">
        <v>37</v>
      </c>
      <c r="H36" s="14" t="n">
        <v>46274</v>
      </c>
      <c r="I36" s="14" t="n">
        <v>46274</v>
      </c>
      <c r="J36" s="12" t="s">
        <v>33</v>
      </c>
    </row>
    <row r="37" customFormat="false" ht="15" hidden="false" customHeight="true" outlineLevel="0" collapsed="false">
      <c r="A37" s="12" t="s">
        <v>132</v>
      </c>
      <c r="B37" s="13" t="n">
        <v>73.637</v>
      </c>
      <c r="C37" s="13" t="n">
        <v>68.68</v>
      </c>
      <c r="D37" s="12" t="s">
        <v>133</v>
      </c>
      <c r="E37" s="12" t="s">
        <v>30</v>
      </c>
      <c r="F37" s="12" t="s">
        <v>134</v>
      </c>
      <c r="G37" s="12" t="s">
        <v>37</v>
      </c>
      <c r="H37" s="14" t="n">
        <v>46274</v>
      </c>
      <c r="I37" s="14" t="n">
        <v>46274</v>
      </c>
      <c r="J37" s="12" t="s">
        <v>33</v>
      </c>
    </row>
    <row r="38" customFormat="false" ht="15" hidden="false" customHeight="true" outlineLevel="0" collapsed="false">
      <c r="A38" s="12" t="s">
        <v>135</v>
      </c>
      <c r="B38" s="13" t="n">
        <v>591.759</v>
      </c>
      <c r="C38" s="13" t="n">
        <v>545.4</v>
      </c>
      <c r="D38" s="12" t="s">
        <v>136</v>
      </c>
      <c r="E38" s="12" t="s">
        <v>30</v>
      </c>
      <c r="F38" s="12" t="s">
        <v>137</v>
      </c>
      <c r="G38" s="12" t="s">
        <v>41</v>
      </c>
      <c r="H38" s="14" t="n">
        <v>46274</v>
      </c>
      <c r="I38" s="14" t="n">
        <v>46274</v>
      </c>
      <c r="J38" s="12" t="s">
        <v>33</v>
      </c>
    </row>
    <row r="39" customFormat="false" ht="15" hidden="false" customHeight="true" outlineLevel="0" collapsed="false">
      <c r="A39" s="12" t="s">
        <v>138</v>
      </c>
      <c r="B39" s="13" t="n">
        <v>67.895</v>
      </c>
      <c r="C39" s="13" t="n">
        <v>62.62</v>
      </c>
      <c r="D39" s="12" t="s">
        <v>139</v>
      </c>
      <c r="E39" s="12" t="s">
        <v>30</v>
      </c>
      <c r="F39" s="12" t="s">
        <v>95</v>
      </c>
      <c r="G39" s="12" t="s">
        <v>41</v>
      </c>
      <c r="H39" s="14" t="n">
        <v>46274</v>
      </c>
      <c r="I39" s="14" t="n">
        <v>46274</v>
      </c>
      <c r="J39" s="12" t="s">
        <v>33</v>
      </c>
    </row>
    <row r="40" customFormat="false" ht="15" hidden="false" customHeight="true" outlineLevel="0" collapsed="false">
      <c r="A40" s="12" t="s">
        <v>140</v>
      </c>
      <c r="B40" s="13" t="n">
        <v>157.463</v>
      </c>
      <c r="C40" s="13" t="n">
        <v>145.44</v>
      </c>
      <c r="D40" s="12" t="s">
        <v>141</v>
      </c>
      <c r="E40" s="12" t="s">
        <v>30</v>
      </c>
      <c r="F40" s="12" t="s">
        <v>142</v>
      </c>
      <c r="G40" s="12" t="s">
        <v>37</v>
      </c>
      <c r="H40" s="14" t="n">
        <v>46274</v>
      </c>
      <c r="I40" s="14" t="n">
        <v>46274</v>
      </c>
      <c r="J40" s="12" t="s">
        <v>33</v>
      </c>
    </row>
    <row r="41" customFormat="false" ht="15" hidden="false" customHeight="true" outlineLevel="0" collapsed="false">
      <c r="A41" s="12" t="s">
        <v>143</v>
      </c>
      <c r="B41" s="13" t="n">
        <v>61.66</v>
      </c>
      <c r="C41" s="13" t="n">
        <v>57.04</v>
      </c>
      <c r="D41" s="12" t="s">
        <v>144</v>
      </c>
      <c r="E41" s="12" t="s">
        <v>30</v>
      </c>
      <c r="F41" s="12" t="s">
        <v>145</v>
      </c>
      <c r="G41" s="12" t="s">
        <v>41</v>
      </c>
      <c r="H41" s="14" t="n">
        <v>46274</v>
      </c>
      <c r="I41" s="14" t="n">
        <v>46274</v>
      </c>
      <c r="J41" s="12" t="s">
        <v>33</v>
      </c>
    </row>
    <row r="42" customFormat="false" ht="15" hidden="false" customHeight="true" outlineLevel="0" collapsed="false">
      <c r="A42" s="12" t="s">
        <v>146</v>
      </c>
      <c r="B42" s="13" t="n">
        <v>91.955</v>
      </c>
      <c r="C42" s="13" t="n">
        <v>84.84</v>
      </c>
      <c r="D42" s="12" t="s">
        <v>65</v>
      </c>
      <c r="E42" s="12" t="s">
        <v>30</v>
      </c>
      <c r="F42" s="12" t="s">
        <v>66</v>
      </c>
      <c r="G42" s="12" t="s">
        <v>37</v>
      </c>
      <c r="H42" s="14" t="n">
        <v>46274</v>
      </c>
      <c r="I42" s="14" t="n">
        <v>46274</v>
      </c>
      <c r="J42" s="12" t="s">
        <v>33</v>
      </c>
    </row>
    <row r="43" customFormat="false" ht="15" hidden="false" customHeight="true" outlineLevel="0" collapsed="false">
      <c r="A43" s="12" t="s">
        <v>147</v>
      </c>
      <c r="B43" s="13" t="n">
        <v>91.955</v>
      </c>
      <c r="C43" s="13" t="n">
        <v>84.84</v>
      </c>
      <c r="D43" s="12" t="s">
        <v>148</v>
      </c>
      <c r="E43" s="12" t="s">
        <v>30</v>
      </c>
      <c r="F43" s="12" t="s">
        <v>92</v>
      </c>
      <c r="G43" s="12" t="s">
        <v>45</v>
      </c>
      <c r="H43" s="14" t="n">
        <v>46274</v>
      </c>
      <c r="I43" s="14" t="n">
        <v>46274</v>
      </c>
      <c r="J43" s="12" t="s">
        <v>33</v>
      </c>
    </row>
    <row r="44" customFormat="false" ht="15" hidden="false" customHeight="true" outlineLevel="0" collapsed="false">
      <c r="A44" s="12" t="s">
        <v>149</v>
      </c>
      <c r="B44" s="13" t="n">
        <v>109.585</v>
      </c>
      <c r="C44" s="13" t="n">
        <v>101</v>
      </c>
      <c r="D44" s="12" t="s">
        <v>150</v>
      </c>
      <c r="E44" s="12" t="s">
        <v>30</v>
      </c>
      <c r="F44" s="12" t="s">
        <v>151</v>
      </c>
      <c r="G44" s="12" t="s">
        <v>41</v>
      </c>
      <c r="H44" s="14" t="n">
        <v>46274</v>
      </c>
      <c r="I44" s="14" t="n">
        <v>46274</v>
      </c>
      <c r="J44" s="12" t="s">
        <v>33</v>
      </c>
    </row>
    <row r="45" customFormat="false" ht="15" hidden="false" customHeight="true" outlineLevel="0" collapsed="false">
      <c r="A45" s="12" t="s">
        <v>152</v>
      </c>
      <c r="B45" s="13" t="n">
        <v>72.369</v>
      </c>
      <c r="C45" s="13" t="n">
        <v>66.6</v>
      </c>
      <c r="D45" s="12" t="s">
        <v>153</v>
      </c>
      <c r="E45" s="12" t="s">
        <v>30</v>
      </c>
      <c r="F45" s="12" t="s">
        <v>154</v>
      </c>
      <c r="G45" s="12" t="s">
        <v>37</v>
      </c>
      <c r="H45" s="14" t="n">
        <v>46274</v>
      </c>
      <c r="I45" s="14" t="n">
        <v>46274</v>
      </c>
      <c r="J45" s="12" t="s">
        <v>33</v>
      </c>
    </row>
    <row r="46" customFormat="false" ht="15" hidden="false" customHeight="true" outlineLevel="0" collapsed="false">
      <c r="A46" s="12" t="s">
        <v>155</v>
      </c>
      <c r="B46" s="13" t="n">
        <v>75.336</v>
      </c>
      <c r="C46" s="13" t="n">
        <v>70.7</v>
      </c>
      <c r="D46" s="12" t="s">
        <v>156</v>
      </c>
      <c r="E46" s="12" t="s">
        <v>30</v>
      </c>
      <c r="F46" s="12" t="s">
        <v>157</v>
      </c>
      <c r="G46" s="12" t="s">
        <v>32</v>
      </c>
      <c r="H46" s="14" t="n">
        <v>46274</v>
      </c>
      <c r="I46" s="14" t="n">
        <v>46275</v>
      </c>
      <c r="J46" s="12" t="s">
        <v>33</v>
      </c>
    </row>
    <row r="47" customFormat="false" ht="15" hidden="false" customHeight="true" outlineLevel="0" collapsed="false">
      <c r="A47" s="12" t="s">
        <v>158</v>
      </c>
      <c r="B47" s="13" t="n">
        <v>60.661</v>
      </c>
      <c r="C47" s="13" t="n">
        <v>53.82</v>
      </c>
      <c r="D47" s="12" t="s">
        <v>159</v>
      </c>
      <c r="E47" s="12" t="s">
        <v>30</v>
      </c>
      <c r="F47" s="12" t="s">
        <v>157</v>
      </c>
      <c r="G47" s="12" t="s">
        <v>32</v>
      </c>
      <c r="H47" s="14" t="n">
        <v>46274</v>
      </c>
      <c r="I47" s="14" t="n">
        <v>46275</v>
      </c>
      <c r="J47" s="12" t="s">
        <v>33</v>
      </c>
    </row>
    <row r="48" customFormat="false" ht="15" hidden="false" customHeight="true" outlineLevel="0" collapsed="false">
      <c r="A48" s="12" t="s">
        <v>160</v>
      </c>
      <c r="B48" s="13" t="n">
        <v>42.295</v>
      </c>
      <c r="C48" s="13" t="n">
        <v>38.4</v>
      </c>
      <c r="D48" s="12" t="s">
        <v>161</v>
      </c>
      <c r="E48" s="12" t="s">
        <v>30</v>
      </c>
      <c r="F48" s="12" t="s">
        <v>162</v>
      </c>
      <c r="G48" s="12" t="s">
        <v>32</v>
      </c>
      <c r="H48" s="14" t="n">
        <v>46274</v>
      </c>
      <c r="I48" s="14" t="n">
        <v>46275</v>
      </c>
      <c r="J48" s="12" t="s">
        <v>33</v>
      </c>
    </row>
    <row r="49" customFormat="false" ht="15" hidden="false" customHeight="true" outlineLevel="0" collapsed="false">
      <c r="A49" s="12" t="s">
        <v>163</v>
      </c>
      <c r="B49" s="13" t="n">
        <v>94.995</v>
      </c>
      <c r="C49" s="13" t="n">
        <v>87.4</v>
      </c>
      <c r="D49" s="12" t="s">
        <v>164</v>
      </c>
      <c r="E49" s="12" t="s">
        <v>30</v>
      </c>
      <c r="F49" s="12" t="s">
        <v>165</v>
      </c>
      <c r="G49" s="12" t="s">
        <v>32</v>
      </c>
      <c r="H49" s="14" t="n">
        <v>46274</v>
      </c>
      <c r="I49" s="14" t="n">
        <v>46275</v>
      </c>
      <c r="J49" s="12" t="s">
        <v>33</v>
      </c>
    </row>
    <row r="50" customFormat="false" ht="15" hidden="false" customHeight="true" outlineLevel="0" collapsed="false">
      <c r="A50" s="12" t="s">
        <v>166</v>
      </c>
      <c r="B50" s="13" t="n">
        <v>72.181</v>
      </c>
      <c r="C50" s="13" t="n">
        <v>66.66</v>
      </c>
      <c r="D50" s="12" t="s">
        <v>167</v>
      </c>
      <c r="E50" s="12" t="s">
        <v>30</v>
      </c>
      <c r="F50" s="12" t="s">
        <v>168</v>
      </c>
      <c r="G50" s="12" t="s">
        <v>32</v>
      </c>
      <c r="H50" s="14" t="n">
        <v>46274</v>
      </c>
      <c r="I50" s="14" t="n">
        <v>46275</v>
      </c>
      <c r="J50" s="12" t="s">
        <v>33</v>
      </c>
    </row>
    <row r="51" customFormat="false" ht="15" hidden="false" customHeight="true" outlineLevel="0" collapsed="false">
      <c r="A51" s="12" t="s">
        <v>169</v>
      </c>
      <c r="B51" s="13" t="n">
        <v>19.854</v>
      </c>
      <c r="C51" s="13" t="n">
        <v>18</v>
      </c>
      <c r="D51" s="12" t="s">
        <v>170</v>
      </c>
      <c r="E51" s="12" t="s">
        <v>30</v>
      </c>
      <c r="F51" s="12" t="s">
        <v>157</v>
      </c>
      <c r="G51" s="12" t="s">
        <v>32</v>
      </c>
      <c r="H51" s="14" t="n">
        <v>46274</v>
      </c>
      <c r="I51" s="14" t="n">
        <v>46275</v>
      </c>
      <c r="J51" s="12" t="s">
        <v>33</v>
      </c>
    </row>
    <row r="52" customFormat="false" ht="15" hidden="false" customHeight="true" outlineLevel="0" collapsed="false">
      <c r="A52" s="12" t="s">
        <v>171</v>
      </c>
      <c r="B52" s="13" t="n">
        <v>159.227</v>
      </c>
      <c r="C52" s="13" t="n">
        <v>151.5</v>
      </c>
      <c r="D52" s="12" t="s">
        <v>172</v>
      </c>
      <c r="E52" s="12" t="s">
        <v>30</v>
      </c>
      <c r="F52" s="12" t="s">
        <v>157</v>
      </c>
      <c r="G52" s="12" t="s">
        <v>32</v>
      </c>
      <c r="H52" s="14" t="n">
        <v>46274</v>
      </c>
      <c r="I52" s="14" t="n">
        <v>46275</v>
      </c>
      <c r="J52" s="12" t="s">
        <v>33</v>
      </c>
    </row>
    <row r="53" customFormat="false" ht="15" hidden="false" customHeight="true" outlineLevel="0" collapsed="false">
      <c r="A53" s="12" t="s">
        <v>173</v>
      </c>
      <c r="B53" s="13" t="n">
        <v>79.955</v>
      </c>
      <c r="C53" s="13" t="n">
        <v>73.16</v>
      </c>
      <c r="D53" s="12" t="s">
        <v>174</v>
      </c>
      <c r="E53" s="12" t="s">
        <v>30</v>
      </c>
      <c r="F53" s="12" t="s">
        <v>175</v>
      </c>
      <c r="G53" s="12" t="s">
        <v>32</v>
      </c>
      <c r="H53" s="14" t="n">
        <v>46274</v>
      </c>
      <c r="I53" s="14" t="n">
        <v>46275</v>
      </c>
      <c r="J53" s="12" t="s">
        <v>33</v>
      </c>
    </row>
    <row r="54" customFormat="false" ht="15" hidden="false" customHeight="true" outlineLevel="0" collapsed="false">
      <c r="A54" s="12" t="s">
        <v>176</v>
      </c>
      <c r="B54" s="13" t="n">
        <v>164.378</v>
      </c>
      <c r="C54" s="13" t="n">
        <v>151.5</v>
      </c>
      <c r="D54" s="12" t="s">
        <v>177</v>
      </c>
      <c r="E54" s="12" t="s">
        <v>30</v>
      </c>
      <c r="F54" s="12" t="s">
        <v>157</v>
      </c>
      <c r="G54" s="12" t="s">
        <v>32</v>
      </c>
      <c r="H54" s="14" t="n">
        <v>46274</v>
      </c>
      <c r="I54" s="14" t="n">
        <v>46275</v>
      </c>
      <c r="J54" s="12" t="s">
        <v>33</v>
      </c>
    </row>
    <row r="55" customFormat="false" ht="15" hidden="false" customHeight="true" outlineLevel="0" collapsed="false">
      <c r="A55" s="12" t="s">
        <v>178</v>
      </c>
      <c r="B55" s="13" t="n">
        <v>109.585</v>
      </c>
      <c r="C55" s="13" t="n">
        <v>101</v>
      </c>
      <c r="D55" s="12" t="s">
        <v>179</v>
      </c>
      <c r="E55" s="12" t="s">
        <v>30</v>
      </c>
      <c r="F55" s="12" t="s">
        <v>168</v>
      </c>
      <c r="G55" s="12" t="s">
        <v>32</v>
      </c>
      <c r="H55" s="14" t="n">
        <v>46274</v>
      </c>
      <c r="I55" s="14" t="n">
        <v>46275</v>
      </c>
      <c r="J55" s="12" t="s">
        <v>33</v>
      </c>
    </row>
    <row r="56" customFormat="false" ht="15" hidden="false" customHeight="true" outlineLevel="0" collapsed="false">
      <c r="A56" s="12" t="s">
        <v>180</v>
      </c>
      <c r="B56" s="13" t="n">
        <v>109.585</v>
      </c>
      <c r="C56" s="13" t="n">
        <v>101</v>
      </c>
      <c r="D56" s="12" t="s">
        <v>181</v>
      </c>
      <c r="E56" s="12" t="s">
        <v>30</v>
      </c>
      <c r="F56" s="12" t="s">
        <v>182</v>
      </c>
      <c r="G56" s="12" t="s">
        <v>32</v>
      </c>
      <c r="H56" s="14" t="n">
        <v>46274</v>
      </c>
      <c r="I56" s="14" t="n">
        <v>46275</v>
      </c>
      <c r="J56" s="12" t="s">
        <v>33</v>
      </c>
    </row>
    <row r="57" customFormat="false" ht="15" hidden="false" customHeight="true" outlineLevel="0" collapsed="false">
      <c r="A57" s="12" t="s">
        <v>183</v>
      </c>
      <c r="B57" s="13" t="n">
        <v>41.929</v>
      </c>
      <c r="C57" s="13" t="n">
        <v>40.2</v>
      </c>
      <c r="D57" s="12" t="s">
        <v>184</v>
      </c>
      <c r="E57" s="12" t="s">
        <v>30</v>
      </c>
      <c r="F57" s="12" t="s">
        <v>168</v>
      </c>
      <c r="G57" s="12" t="s">
        <v>32</v>
      </c>
      <c r="H57" s="14" t="n">
        <v>46274</v>
      </c>
      <c r="I57" s="14" t="n">
        <v>46275</v>
      </c>
      <c r="J57" s="12" t="s">
        <v>33</v>
      </c>
    </row>
    <row r="58" customFormat="false" ht="15" hidden="false" customHeight="true" outlineLevel="0" collapsed="false">
      <c r="A58" s="12" t="s">
        <v>185</v>
      </c>
      <c r="B58" s="13" t="n">
        <v>65.509</v>
      </c>
      <c r="C58" s="13" t="n">
        <v>60.6</v>
      </c>
      <c r="D58" s="12" t="s">
        <v>186</v>
      </c>
      <c r="E58" s="12" t="s">
        <v>30</v>
      </c>
      <c r="F58" s="12" t="s">
        <v>168</v>
      </c>
      <c r="G58" s="12" t="s">
        <v>32</v>
      </c>
      <c r="H58" s="14" t="n">
        <v>46274</v>
      </c>
      <c r="I58" s="14" t="n">
        <v>46275</v>
      </c>
      <c r="J58" s="12" t="s">
        <v>33</v>
      </c>
    </row>
    <row r="59" customFormat="false" ht="15" hidden="false" customHeight="true" outlineLevel="0" collapsed="false">
      <c r="A59" s="12" t="s">
        <v>187</v>
      </c>
      <c r="B59" s="13" t="n">
        <v>134.269</v>
      </c>
      <c r="C59" s="13" t="n">
        <v>127.2</v>
      </c>
      <c r="D59" s="12" t="s">
        <v>188</v>
      </c>
      <c r="E59" s="12" t="s">
        <v>30</v>
      </c>
      <c r="F59" s="12" t="s">
        <v>189</v>
      </c>
      <c r="G59" s="12" t="s">
        <v>32</v>
      </c>
      <c r="H59" s="14" t="n">
        <v>46274</v>
      </c>
      <c r="I59" s="14" t="n">
        <v>46275</v>
      </c>
      <c r="J59" s="12" t="s">
        <v>33</v>
      </c>
    </row>
    <row r="60" customFormat="false" ht="15" hidden="false" customHeight="true" outlineLevel="0" collapsed="false">
      <c r="A60" s="12" t="s">
        <v>190</v>
      </c>
      <c r="B60" s="13" t="n">
        <v>21.23</v>
      </c>
      <c r="C60" s="13" t="n">
        <v>20.2</v>
      </c>
      <c r="D60" s="12" t="s">
        <v>191</v>
      </c>
      <c r="E60" s="12" t="s">
        <v>30</v>
      </c>
      <c r="F60" s="12" t="s">
        <v>192</v>
      </c>
      <c r="G60" s="12" t="s">
        <v>32</v>
      </c>
      <c r="H60" s="14" t="n">
        <v>46274</v>
      </c>
      <c r="I60" s="14" t="n">
        <v>46275</v>
      </c>
      <c r="J60" s="12" t="s">
        <v>33</v>
      </c>
    </row>
    <row r="61" customFormat="false" ht="15" hidden="false" customHeight="true" outlineLevel="0" collapsed="false">
      <c r="A61" s="12" t="s">
        <v>193</v>
      </c>
      <c r="B61" s="13" t="n">
        <v>318.452</v>
      </c>
      <c r="C61" s="13" t="n">
        <v>303</v>
      </c>
      <c r="D61" s="12" t="s">
        <v>194</v>
      </c>
      <c r="E61" s="12" t="s">
        <v>30</v>
      </c>
      <c r="F61" s="12" t="s">
        <v>192</v>
      </c>
      <c r="G61" s="12" t="s">
        <v>32</v>
      </c>
      <c r="H61" s="14" t="n">
        <v>46274</v>
      </c>
      <c r="I61" s="14" t="n">
        <v>46275</v>
      </c>
      <c r="J61" s="12" t="s">
        <v>33</v>
      </c>
    </row>
    <row r="62" customFormat="false" ht="15" hidden="false" customHeight="true" outlineLevel="0" collapsed="false">
      <c r="A62" s="12" t="s">
        <v>195</v>
      </c>
      <c r="B62" s="13" t="n">
        <v>500.063</v>
      </c>
      <c r="C62" s="13" t="n">
        <v>465.3</v>
      </c>
      <c r="D62" s="12" t="s">
        <v>196</v>
      </c>
      <c r="E62" s="12" t="s">
        <v>30</v>
      </c>
      <c r="F62" s="12" t="s">
        <v>168</v>
      </c>
      <c r="G62" s="12" t="s">
        <v>32</v>
      </c>
      <c r="H62" s="14" t="n">
        <v>46274</v>
      </c>
      <c r="I62" s="14" t="n">
        <v>46275</v>
      </c>
      <c r="J62" s="12" t="s">
        <v>33</v>
      </c>
    </row>
    <row r="63" customFormat="false" ht="15" hidden="false" customHeight="true" outlineLevel="0" collapsed="false">
      <c r="A63" s="12" t="s">
        <v>197</v>
      </c>
      <c r="B63" s="13" t="n">
        <v>527.684</v>
      </c>
      <c r="C63" s="13" t="n">
        <v>475.8</v>
      </c>
      <c r="D63" s="12" t="s">
        <v>198</v>
      </c>
      <c r="E63" s="12" t="s">
        <v>30</v>
      </c>
      <c r="F63" s="12" t="s">
        <v>168</v>
      </c>
      <c r="G63" s="12" t="s">
        <v>32</v>
      </c>
      <c r="H63" s="14" t="n">
        <v>46274</v>
      </c>
      <c r="I63" s="14" t="n">
        <v>46275</v>
      </c>
      <c r="J63" s="12" t="s">
        <v>33</v>
      </c>
    </row>
    <row r="64" customFormat="false" ht="15" hidden="false" customHeight="true" outlineLevel="0" collapsed="false">
      <c r="A64" s="12" t="s">
        <v>199</v>
      </c>
      <c r="B64" s="13" t="n">
        <v>831.103</v>
      </c>
      <c r="C64" s="13" t="n">
        <v>768.72</v>
      </c>
      <c r="D64" s="12" t="s">
        <v>200</v>
      </c>
      <c r="E64" s="12" t="s">
        <v>30</v>
      </c>
      <c r="F64" s="12" t="s">
        <v>168</v>
      </c>
      <c r="G64" s="12" t="s">
        <v>32</v>
      </c>
      <c r="H64" s="14" t="n">
        <v>46274</v>
      </c>
      <c r="I64" s="14" t="n">
        <v>46275</v>
      </c>
      <c r="J64" s="12" t="s">
        <v>33</v>
      </c>
    </row>
    <row r="65" customFormat="false" ht="15" hidden="false" customHeight="true" outlineLevel="0" collapsed="false">
      <c r="A65" s="12" t="s">
        <v>201</v>
      </c>
      <c r="B65" s="13" t="n">
        <v>54.793</v>
      </c>
      <c r="C65" s="13" t="n">
        <v>50.5</v>
      </c>
      <c r="D65" s="12" t="s">
        <v>177</v>
      </c>
      <c r="E65" s="12" t="s">
        <v>30</v>
      </c>
      <c r="F65" s="12" t="s">
        <v>157</v>
      </c>
      <c r="G65" s="12" t="s">
        <v>32</v>
      </c>
      <c r="H65" s="14" t="n">
        <v>46274</v>
      </c>
      <c r="I65" s="14" t="n">
        <v>46282</v>
      </c>
      <c r="J65" s="12" t="s">
        <v>33</v>
      </c>
    </row>
    <row r="66" customFormat="false" ht="15" hidden="false" customHeight="true" outlineLevel="0" collapsed="false">
      <c r="A66" s="12" t="s">
        <v>202</v>
      </c>
      <c r="B66" s="13" t="n">
        <v>68.333</v>
      </c>
      <c r="C66" s="13" t="n">
        <v>63.1</v>
      </c>
      <c r="D66" s="12" t="s">
        <v>184</v>
      </c>
      <c r="E66" s="12" t="s">
        <v>30</v>
      </c>
      <c r="F66" s="12" t="s">
        <v>168</v>
      </c>
      <c r="G66" s="12" t="s">
        <v>32</v>
      </c>
      <c r="H66" s="14" t="n">
        <v>46274</v>
      </c>
      <c r="I66" s="14" t="n">
        <v>46282</v>
      </c>
      <c r="J66" s="12" t="s">
        <v>33</v>
      </c>
    </row>
    <row r="67" customFormat="false" ht="15" hidden="false" customHeight="true" outlineLevel="0" collapsed="false">
      <c r="A67" s="12" t="s">
        <v>203</v>
      </c>
      <c r="B67" s="13" t="n">
        <v>185.811</v>
      </c>
      <c r="C67" s="13" t="n">
        <v>171.7</v>
      </c>
      <c r="D67" s="12" t="s">
        <v>204</v>
      </c>
      <c r="E67" s="12" t="s">
        <v>30</v>
      </c>
      <c r="F67" s="12" t="s">
        <v>168</v>
      </c>
      <c r="G67" s="12" t="s">
        <v>32</v>
      </c>
      <c r="H67" s="14" t="n">
        <v>46274</v>
      </c>
      <c r="I67" s="14" t="n">
        <v>46282</v>
      </c>
      <c r="J67" s="12" t="s">
        <v>33</v>
      </c>
    </row>
    <row r="68" customFormat="false" ht="15" hidden="false" customHeight="true" outlineLevel="0" collapsed="false">
      <c r="A68" s="12" t="s">
        <v>205</v>
      </c>
      <c r="B68" s="13" t="n">
        <v>162.275</v>
      </c>
      <c r="C68" s="13" t="n">
        <v>148.92</v>
      </c>
      <c r="D68" s="12" t="s">
        <v>172</v>
      </c>
      <c r="E68" s="12" t="s">
        <v>30</v>
      </c>
      <c r="F68" s="12" t="s">
        <v>157</v>
      </c>
      <c r="G68" s="12" t="s">
        <v>32</v>
      </c>
      <c r="H68" s="14" t="n">
        <v>46274</v>
      </c>
      <c r="I68" s="14" t="n">
        <v>46282</v>
      </c>
      <c r="J68" s="12" t="s">
        <v>33</v>
      </c>
    </row>
    <row r="69" customFormat="false" ht="15" hidden="false" customHeight="true" outlineLevel="0" collapsed="false">
      <c r="A69" s="12" t="s">
        <v>206</v>
      </c>
      <c r="B69" s="13" t="n">
        <v>320.761</v>
      </c>
      <c r="C69" s="13" t="n">
        <v>295.88</v>
      </c>
      <c r="D69" s="12" t="s">
        <v>207</v>
      </c>
      <c r="E69" s="12" t="s">
        <v>30</v>
      </c>
      <c r="F69" s="12" t="s">
        <v>168</v>
      </c>
      <c r="G69" s="12" t="s">
        <v>32</v>
      </c>
      <c r="H69" s="14" t="n">
        <v>46274</v>
      </c>
      <c r="I69" s="14" t="n">
        <v>46282</v>
      </c>
      <c r="J69" s="12" t="s">
        <v>33</v>
      </c>
    </row>
    <row r="70" customFormat="false" ht="15" hidden="false" customHeight="true" outlineLevel="0" collapsed="false">
      <c r="A70" s="12" t="s">
        <v>208</v>
      </c>
      <c r="B70" s="13" t="n">
        <v>511.448</v>
      </c>
      <c r="C70" s="13" t="n">
        <v>469.64</v>
      </c>
      <c r="D70" s="12" t="s">
        <v>209</v>
      </c>
      <c r="E70" s="12" t="s">
        <v>30</v>
      </c>
      <c r="F70" s="12" t="s">
        <v>210</v>
      </c>
      <c r="G70" s="12" t="s">
        <v>32</v>
      </c>
      <c r="H70" s="14" t="n">
        <v>46274</v>
      </c>
      <c r="I70" s="14" t="n">
        <v>46282</v>
      </c>
      <c r="J70" s="12" t="s">
        <v>33</v>
      </c>
    </row>
    <row r="71" customFormat="false" ht="15" hidden="false" customHeight="true" outlineLevel="0" collapsed="false">
      <c r="A71" s="12" t="s">
        <v>211</v>
      </c>
      <c r="B71" s="13" t="n">
        <v>183.408</v>
      </c>
      <c r="C71" s="13" t="n">
        <v>171.6</v>
      </c>
      <c r="D71" s="12" t="s">
        <v>212</v>
      </c>
      <c r="E71" s="12" t="s">
        <v>30</v>
      </c>
      <c r="F71" s="12" t="s">
        <v>213</v>
      </c>
      <c r="G71" s="12" t="s">
        <v>32</v>
      </c>
      <c r="H71" s="14" t="n">
        <v>46274</v>
      </c>
      <c r="I71" s="14" t="n">
        <v>46275</v>
      </c>
      <c r="J71" s="12" t="s">
        <v>33</v>
      </c>
    </row>
    <row r="72" customFormat="false" ht="15" hidden="false" customHeight="true" outlineLevel="0" collapsed="false">
      <c r="A72" s="12" t="s">
        <v>214</v>
      </c>
      <c r="B72" s="13" t="n">
        <v>84.939</v>
      </c>
      <c r="C72" s="13" t="n">
        <v>78.78</v>
      </c>
      <c r="D72" s="12" t="s">
        <v>215</v>
      </c>
      <c r="E72" s="12" t="s">
        <v>30</v>
      </c>
      <c r="F72" s="12" t="s">
        <v>162</v>
      </c>
      <c r="G72" s="12" t="s">
        <v>32</v>
      </c>
      <c r="H72" s="14" t="n">
        <v>46274</v>
      </c>
      <c r="I72" s="14" t="n">
        <v>46282</v>
      </c>
      <c r="J72" s="12" t="s">
        <v>33</v>
      </c>
    </row>
    <row r="73" customFormat="false" ht="15" hidden="false" customHeight="true" outlineLevel="0" collapsed="false">
      <c r="A73" s="12" t="s">
        <v>216</v>
      </c>
      <c r="B73" s="13" t="n">
        <v>155.321</v>
      </c>
      <c r="C73" s="13" t="n">
        <v>143.42</v>
      </c>
      <c r="D73" s="12" t="s">
        <v>217</v>
      </c>
      <c r="E73" s="12" t="s">
        <v>30</v>
      </c>
      <c r="F73" s="12" t="s">
        <v>157</v>
      </c>
      <c r="G73" s="12" t="s">
        <v>32</v>
      </c>
      <c r="H73" s="14" t="n">
        <v>46274</v>
      </c>
      <c r="I73" s="14" t="n">
        <v>46282</v>
      </c>
      <c r="J73" s="12" t="s">
        <v>33</v>
      </c>
    </row>
    <row r="74" customFormat="false" ht="15" hidden="false" customHeight="true" outlineLevel="0" collapsed="false">
      <c r="A74" s="12" t="s">
        <v>218</v>
      </c>
      <c r="B74" s="13" t="n">
        <v>32.189</v>
      </c>
      <c r="C74" s="13" t="n">
        <v>30.3</v>
      </c>
      <c r="D74" s="12" t="s">
        <v>174</v>
      </c>
      <c r="E74" s="12" t="s">
        <v>30</v>
      </c>
      <c r="F74" s="12" t="s">
        <v>219</v>
      </c>
      <c r="G74" s="12" t="s">
        <v>32</v>
      </c>
      <c r="H74" s="14" t="n">
        <v>46274</v>
      </c>
      <c r="I74" s="14" t="n">
        <v>46282</v>
      </c>
      <c r="J74" s="12" t="s">
        <v>33</v>
      </c>
    </row>
    <row r="75" customFormat="false" ht="15" hidden="false" customHeight="true" outlineLevel="0" collapsed="false">
      <c r="A75" s="12" t="s">
        <v>220</v>
      </c>
      <c r="B75" s="13" t="n">
        <v>113.185</v>
      </c>
      <c r="C75" s="13" t="n">
        <v>105.04</v>
      </c>
      <c r="D75" s="12" t="s">
        <v>221</v>
      </c>
      <c r="E75" s="12" t="s">
        <v>30</v>
      </c>
      <c r="F75" s="12" t="s">
        <v>222</v>
      </c>
      <c r="G75" s="12" t="s">
        <v>32</v>
      </c>
      <c r="H75" s="14" t="n">
        <v>46274</v>
      </c>
      <c r="I75" s="14" t="n">
        <v>46282</v>
      </c>
      <c r="J75" s="12" t="s">
        <v>33</v>
      </c>
    </row>
    <row r="76" customFormat="false" ht="15" hidden="false" customHeight="true" outlineLevel="0" collapsed="false">
      <c r="A76" s="12" t="s">
        <v>223</v>
      </c>
      <c r="B76" s="13" t="n">
        <v>21.917</v>
      </c>
      <c r="C76" s="13" t="n">
        <v>20.2</v>
      </c>
      <c r="D76" s="12" t="s">
        <v>161</v>
      </c>
      <c r="E76" s="12" t="s">
        <v>30</v>
      </c>
      <c r="F76" s="12" t="s">
        <v>162</v>
      </c>
      <c r="G76" s="12" t="s">
        <v>32</v>
      </c>
      <c r="H76" s="14" t="n">
        <v>46274</v>
      </c>
      <c r="I76" s="14" t="n">
        <v>46282</v>
      </c>
      <c r="J76" s="12" t="s">
        <v>33</v>
      </c>
    </row>
    <row r="77" customFormat="false" ht="15" hidden="false" customHeight="true" outlineLevel="0" collapsed="false">
      <c r="A77" s="12" t="s">
        <v>224</v>
      </c>
      <c r="B77" s="13" t="n">
        <v>60.536</v>
      </c>
      <c r="C77" s="13" t="n">
        <v>56.56</v>
      </c>
      <c r="D77" s="12" t="s">
        <v>225</v>
      </c>
      <c r="E77" s="12" t="s">
        <v>30</v>
      </c>
      <c r="F77" s="12" t="s">
        <v>157</v>
      </c>
      <c r="G77" s="12" t="s">
        <v>32</v>
      </c>
      <c r="H77" s="14" t="n">
        <v>46274</v>
      </c>
      <c r="I77" s="14" t="n">
        <v>46282</v>
      </c>
      <c r="J77" s="12" t="s">
        <v>33</v>
      </c>
    </row>
    <row r="78" customFormat="false" ht="15" hidden="false" customHeight="true" outlineLevel="0" collapsed="false">
      <c r="A78" s="12" t="s">
        <v>226</v>
      </c>
      <c r="B78" s="13" t="n">
        <v>115.407</v>
      </c>
      <c r="C78" s="13" t="n">
        <v>107.86</v>
      </c>
      <c r="D78" s="12" t="s">
        <v>227</v>
      </c>
      <c r="E78" s="12" t="s">
        <v>30</v>
      </c>
      <c r="F78" s="12" t="s">
        <v>228</v>
      </c>
      <c r="G78" s="12" t="s">
        <v>32</v>
      </c>
      <c r="H78" s="14" t="n">
        <v>46274</v>
      </c>
      <c r="I78" s="14" t="n">
        <v>46282</v>
      </c>
      <c r="J78" s="12" t="s">
        <v>33</v>
      </c>
    </row>
    <row r="79" customFormat="false" ht="15" hidden="false" customHeight="true" outlineLevel="0" collapsed="false">
      <c r="A79" s="12" t="s">
        <v>229</v>
      </c>
      <c r="B79" s="13" t="n">
        <v>45.978</v>
      </c>
      <c r="C79" s="13" t="n">
        <v>42.42</v>
      </c>
      <c r="D79" s="12" t="s">
        <v>230</v>
      </c>
      <c r="E79" s="12" t="s">
        <v>30</v>
      </c>
      <c r="F79" s="12" t="s">
        <v>175</v>
      </c>
      <c r="G79" s="12" t="s">
        <v>32</v>
      </c>
      <c r="H79" s="14" t="n">
        <v>46274</v>
      </c>
      <c r="I79" s="14" t="n">
        <v>46282</v>
      </c>
      <c r="J79" s="12" t="s">
        <v>33</v>
      </c>
    </row>
    <row r="80" customFormat="false" ht="15" hidden="false" customHeight="true" outlineLevel="0" collapsed="false">
      <c r="A80" s="12" t="s">
        <v>231</v>
      </c>
      <c r="B80" s="13" t="n">
        <v>122.687</v>
      </c>
      <c r="C80" s="13" t="n">
        <v>113.12</v>
      </c>
      <c r="D80" s="12" t="s">
        <v>232</v>
      </c>
      <c r="E80" s="12" t="s">
        <v>30</v>
      </c>
      <c r="F80" s="12" t="s">
        <v>157</v>
      </c>
      <c r="G80" s="12" t="s">
        <v>32</v>
      </c>
      <c r="H80" s="14" t="n">
        <v>46274</v>
      </c>
      <c r="I80" s="14" t="n">
        <v>46282</v>
      </c>
      <c r="J80" s="12" t="s">
        <v>33</v>
      </c>
    </row>
    <row r="81" customFormat="false" ht="15" hidden="false" customHeight="true" outlineLevel="0" collapsed="false">
      <c r="A81" s="12" t="s">
        <v>233</v>
      </c>
      <c r="B81" s="13" t="n">
        <v>109.585</v>
      </c>
      <c r="C81" s="13" t="n">
        <v>101</v>
      </c>
      <c r="D81" s="12" t="s">
        <v>234</v>
      </c>
      <c r="E81" s="12" t="s">
        <v>30</v>
      </c>
      <c r="F81" s="12" t="s">
        <v>182</v>
      </c>
      <c r="G81" s="12" t="s">
        <v>32</v>
      </c>
      <c r="H81" s="14" t="n">
        <v>46274</v>
      </c>
      <c r="I81" s="14" t="n">
        <v>46282</v>
      </c>
      <c r="J81" s="12" t="s">
        <v>33</v>
      </c>
    </row>
    <row r="82" customFormat="false" ht="15" hidden="false" customHeight="true" outlineLevel="0" collapsed="false">
      <c r="A82" s="12" t="s">
        <v>235</v>
      </c>
      <c r="B82" s="13" t="n">
        <v>201.488</v>
      </c>
      <c r="C82" s="13" t="n">
        <v>184.58</v>
      </c>
      <c r="D82" s="12" t="s">
        <v>236</v>
      </c>
      <c r="E82" s="12" t="s">
        <v>30</v>
      </c>
      <c r="F82" s="12" t="s">
        <v>157</v>
      </c>
      <c r="G82" s="12" t="s">
        <v>32</v>
      </c>
      <c r="H82" s="14" t="n">
        <v>46274</v>
      </c>
      <c r="I82" s="14" t="n">
        <v>46282</v>
      </c>
      <c r="J82" s="12" t="s">
        <v>33</v>
      </c>
    </row>
    <row r="83" customFormat="false" ht="15" hidden="false" customHeight="true" outlineLevel="0" collapsed="false">
      <c r="A83" s="12" t="s">
        <v>237</v>
      </c>
      <c r="B83" s="13" t="n">
        <v>83.857</v>
      </c>
      <c r="C83" s="13" t="n">
        <v>80.4</v>
      </c>
      <c r="D83" s="12" t="s">
        <v>238</v>
      </c>
      <c r="E83" s="12" t="s">
        <v>30</v>
      </c>
      <c r="F83" s="12" t="s">
        <v>239</v>
      </c>
      <c r="G83" s="12" t="s">
        <v>240</v>
      </c>
      <c r="H83" s="14" t="n">
        <v>46274</v>
      </c>
      <c r="I83" s="14" t="n">
        <v>46280</v>
      </c>
      <c r="J83" s="12" t="s">
        <v>33</v>
      </c>
    </row>
    <row r="84" customFormat="false" ht="15" hidden="false" customHeight="true" outlineLevel="0" collapsed="false">
      <c r="A84" s="12" t="s">
        <v>241</v>
      </c>
      <c r="B84" s="13" t="n">
        <v>41.328</v>
      </c>
      <c r="C84" s="13" t="n">
        <v>36</v>
      </c>
      <c r="D84" s="12" t="s">
        <v>242</v>
      </c>
      <c r="E84" s="12" t="s">
        <v>30</v>
      </c>
      <c r="F84" s="12" t="s">
        <v>243</v>
      </c>
      <c r="G84" s="12" t="s">
        <v>240</v>
      </c>
      <c r="H84" s="14" t="n">
        <v>46274</v>
      </c>
      <c r="I84" s="14" t="n">
        <v>46274</v>
      </c>
      <c r="J84" s="12" t="s">
        <v>33</v>
      </c>
    </row>
    <row r="85" customFormat="false" ht="15" hidden="false" customHeight="true" outlineLevel="0" collapsed="false">
      <c r="A85" s="12" t="s">
        <v>244</v>
      </c>
      <c r="B85" s="13" t="n">
        <v>13.236</v>
      </c>
      <c r="C85" s="13" t="n">
        <v>12</v>
      </c>
      <c r="D85" s="12" t="s">
        <v>245</v>
      </c>
      <c r="E85" s="12" t="s">
        <v>30</v>
      </c>
      <c r="F85" s="12" t="s">
        <v>239</v>
      </c>
      <c r="G85" s="12" t="s">
        <v>240</v>
      </c>
      <c r="H85" s="14" t="n">
        <v>46274</v>
      </c>
      <c r="I85" s="14" t="n">
        <v>46274</v>
      </c>
      <c r="J85" s="12" t="s">
        <v>33</v>
      </c>
    </row>
    <row r="86" customFormat="false" ht="15" hidden="false" customHeight="true" outlineLevel="0" collapsed="false">
      <c r="A86" s="12" t="s">
        <v>246</v>
      </c>
      <c r="B86" s="13" t="n">
        <v>431.6</v>
      </c>
      <c r="C86" s="13" t="n">
        <v>400</v>
      </c>
      <c r="D86" s="12" t="s">
        <v>247</v>
      </c>
      <c r="E86" s="12" t="s">
        <v>248</v>
      </c>
      <c r="F86" s="12" t="s">
        <v>249</v>
      </c>
      <c r="G86" s="12" t="s">
        <v>250</v>
      </c>
      <c r="H86" s="14" t="n">
        <v>46274</v>
      </c>
      <c r="I86" s="14" t="n">
        <v>46283</v>
      </c>
      <c r="J86" s="12" t="s">
        <v>33</v>
      </c>
    </row>
    <row r="87" customFormat="false" ht="15" hidden="false" customHeight="true" outlineLevel="0" collapsed="false">
      <c r="A87" s="12" t="s">
        <v>251</v>
      </c>
      <c r="B87" s="13" t="n">
        <v>12.954</v>
      </c>
      <c r="C87" s="13" t="n">
        <v>8.16</v>
      </c>
      <c r="D87" s="12" t="s">
        <v>252</v>
      </c>
      <c r="E87" s="12" t="s">
        <v>30</v>
      </c>
      <c r="F87" s="12" t="s">
        <v>253</v>
      </c>
      <c r="G87" s="12" t="s">
        <v>240</v>
      </c>
      <c r="H87" s="14" t="n">
        <v>46275</v>
      </c>
      <c r="I87" s="14" t="n">
        <v>46275</v>
      </c>
      <c r="J87" s="12" t="s">
        <v>254</v>
      </c>
    </row>
    <row r="88" customFormat="false" ht="15" hidden="false" customHeight="true" outlineLevel="0" collapsed="false">
      <c r="A88" s="12" t="s">
        <v>255</v>
      </c>
      <c r="B88" s="13" t="n">
        <v>39.305</v>
      </c>
      <c r="C88" s="13" t="n">
        <v>36.36</v>
      </c>
      <c r="D88" s="12" t="s">
        <v>256</v>
      </c>
      <c r="E88" s="12" t="s">
        <v>30</v>
      </c>
      <c r="F88" s="12" t="s">
        <v>239</v>
      </c>
      <c r="G88" s="12" t="s">
        <v>240</v>
      </c>
      <c r="H88" s="14" t="n">
        <v>46275</v>
      </c>
      <c r="I88" s="14" t="n">
        <v>46275</v>
      </c>
      <c r="J88" s="12" t="s">
        <v>254</v>
      </c>
    </row>
    <row r="89" customFormat="false" ht="15" hidden="false" customHeight="true" outlineLevel="0" collapsed="false">
      <c r="A89" s="12" t="s">
        <v>257</v>
      </c>
      <c r="B89" s="13" t="n">
        <v>21.9</v>
      </c>
      <c r="C89" s="13" t="n">
        <v>19.2</v>
      </c>
      <c r="D89" s="12" t="s">
        <v>258</v>
      </c>
      <c r="E89" s="12" t="s">
        <v>30</v>
      </c>
      <c r="F89" s="12" t="s">
        <v>239</v>
      </c>
      <c r="G89" s="12" t="s">
        <v>240</v>
      </c>
      <c r="H89" s="14" t="n">
        <v>46275</v>
      </c>
      <c r="I89" s="14" t="n">
        <v>46275</v>
      </c>
      <c r="J89" s="12" t="s">
        <v>33</v>
      </c>
    </row>
    <row r="90" customFormat="false" ht="15" hidden="false" customHeight="true" outlineLevel="0" collapsed="false">
      <c r="A90" s="12" t="s">
        <v>259</v>
      </c>
      <c r="B90" s="13" t="n">
        <v>6.477</v>
      </c>
      <c r="C90" s="13" t="n">
        <v>4.08</v>
      </c>
      <c r="D90" s="12" t="s">
        <v>260</v>
      </c>
      <c r="E90" s="12" t="s">
        <v>30</v>
      </c>
      <c r="F90" s="12" t="s">
        <v>239</v>
      </c>
      <c r="G90" s="12" t="s">
        <v>240</v>
      </c>
      <c r="H90" s="14" t="n">
        <v>46275</v>
      </c>
      <c r="I90" s="14" t="n">
        <v>46275</v>
      </c>
      <c r="J90" s="12" t="s">
        <v>254</v>
      </c>
    </row>
    <row r="91" customFormat="false" ht="15" hidden="false" customHeight="true" outlineLevel="0" collapsed="false">
      <c r="A91" s="12" t="s">
        <v>261</v>
      </c>
      <c r="B91" s="13" t="n">
        <v>6.618</v>
      </c>
      <c r="C91" s="13" t="n">
        <v>6</v>
      </c>
      <c r="D91" s="12" t="s">
        <v>262</v>
      </c>
      <c r="E91" s="12" t="s">
        <v>30</v>
      </c>
      <c r="F91" s="12" t="s">
        <v>263</v>
      </c>
      <c r="G91" s="12" t="s">
        <v>240</v>
      </c>
      <c r="H91" s="14" t="n">
        <v>46275</v>
      </c>
      <c r="I91" s="14" t="n">
        <v>46275</v>
      </c>
      <c r="J91" s="12" t="s">
        <v>254</v>
      </c>
    </row>
    <row r="92" customFormat="false" ht="15" hidden="false" customHeight="true" outlineLevel="0" collapsed="false">
      <c r="A92" s="12" t="s">
        <v>264</v>
      </c>
      <c r="B92" s="13" t="n">
        <v>10.376</v>
      </c>
      <c r="C92" s="13" t="n">
        <v>9.2</v>
      </c>
      <c r="D92" s="12" t="s">
        <v>265</v>
      </c>
      <c r="E92" s="12" t="s">
        <v>30</v>
      </c>
      <c r="F92" s="12" t="s">
        <v>239</v>
      </c>
      <c r="G92" s="12" t="s">
        <v>240</v>
      </c>
      <c r="H92" s="14" t="n">
        <v>46275</v>
      </c>
      <c r="I92" s="14" t="n">
        <v>46275</v>
      </c>
      <c r="J92" s="12" t="s">
        <v>254</v>
      </c>
    </row>
    <row r="93" customFormat="false" ht="15" hidden="false" customHeight="true" outlineLevel="0" collapsed="false">
      <c r="A93" s="12" t="s">
        <v>266</v>
      </c>
      <c r="B93" s="13" t="n">
        <v>54.128</v>
      </c>
      <c r="C93" s="13" t="n">
        <v>52.5</v>
      </c>
      <c r="D93" s="12" t="s">
        <v>267</v>
      </c>
      <c r="E93" s="12" t="s">
        <v>30</v>
      </c>
      <c r="F93" s="12" t="s">
        <v>268</v>
      </c>
      <c r="G93" s="12" t="s">
        <v>240</v>
      </c>
      <c r="H93" s="14" t="n">
        <v>46275</v>
      </c>
      <c r="I93" s="14" t="n">
        <v>46275</v>
      </c>
      <c r="J93" s="12" t="s">
        <v>33</v>
      </c>
    </row>
    <row r="94" customFormat="false" ht="15" hidden="false" customHeight="true" outlineLevel="0" collapsed="false">
      <c r="A94" s="12" t="s">
        <v>269</v>
      </c>
      <c r="B94" s="13" t="n">
        <v>13.236</v>
      </c>
      <c r="C94" s="13" t="n">
        <v>12</v>
      </c>
      <c r="D94" s="12" t="s">
        <v>270</v>
      </c>
      <c r="E94" s="12" t="s">
        <v>30</v>
      </c>
      <c r="F94" s="12" t="s">
        <v>271</v>
      </c>
      <c r="G94" s="12" t="s">
        <v>240</v>
      </c>
      <c r="H94" s="14" t="n">
        <v>46275</v>
      </c>
      <c r="I94" s="14" t="n">
        <v>46275</v>
      </c>
      <c r="J94" s="12" t="s">
        <v>254</v>
      </c>
    </row>
    <row r="95" customFormat="false" ht="15" hidden="false" customHeight="true" outlineLevel="0" collapsed="false">
      <c r="A95" s="12" t="s">
        <v>272</v>
      </c>
      <c r="B95" s="13" t="n">
        <v>48.47</v>
      </c>
      <c r="C95" s="13" t="n">
        <v>43.5</v>
      </c>
      <c r="D95" s="12" t="s">
        <v>273</v>
      </c>
      <c r="E95" s="12" t="s">
        <v>30</v>
      </c>
      <c r="F95" s="12" t="s">
        <v>274</v>
      </c>
      <c r="G95" s="12" t="s">
        <v>275</v>
      </c>
      <c r="H95" s="14" t="n">
        <v>46275</v>
      </c>
      <c r="I95" s="14" t="n">
        <v>46275</v>
      </c>
      <c r="J95" s="12" t="s">
        <v>33</v>
      </c>
    </row>
    <row r="96" customFormat="false" ht="15" hidden="false" customHeight="true" outlineLevel="0" collapsed="false">
      <c r="A96" s="12" t="s">
        <v>276</v>
      </c>
      <c r="B96" s="13" t="n">
        <v>32.876</v>
      </c>
      <c r="C96" s="13" t="n">
        <v>30.3</v>
      </c>
      <c r="D96" s="12" t="s">
        <v>277</v>
      </c>
      <c r="E96" s="12" t="s">
        <v>30</v>
      </c>
      <c r="F96" s="12" t="s">
        <v>278</v>
      </c>
      <c r="G96" s="12" t="s">
        <v>279</v>
      </c>
      <c r="H96" s="14" t="n">
        <v>46275</v>
      </c>
      <c r="I96" s="14" t="n">
        <v>46276</v>
      </c>
      <c r="J96" s="12" t="s">
        <v>33</v>
      </c>
    </row>
    <row r="97" customFormat="false" ht="15" hidden="false" customHeight="true" outlineLevel="0" collapsed="false">
      <c r="A97" s="12" t="s">
        <v>280</v>
      </c>
      <c r="B97" s="13" t="n">
        <v>27.155</v>
      </c>
      <c r="C97" s="13" t="n">
        <v>25.2</v>
      </c>
      <c r="D97" s="12" t="s">
        <v>281</v>
      </c>
      <c r="E97" s="12" t="s">
        <v>30</v>
      </c>
      <c r="F97" s="12" t="s">
        <v>282</v>
      </c>
      <c r="G97" s="12" t="s">
        <v>279</v>
      </c>
      <c r="H97" s="14" t="n">
        <v>46275</v>
      </c>
      <c r="I97" s="14" t="n">
        <v>46276</v>
      </c>
      <c r="J97" s="12" t="s">
        <v>33</v>
      </c>
    </row>
    <row r="98" customFormat="false" ht="15" hidden="false" customHeight="true" outlineLevel="0" collapsed="false">
      <c r="A98" s="12" t="s">
        <v>283</v>
      </c>
      <c r="B98" s="13" t="n">
        <v>159.227</v>
      </c>
      <c r="C98" s="13" t="n">
        <v>151.5</v>
      </c>
      <c r="D98" s="12" t="s">
        <v>284</v>
      </c>
      <c r="E98" s="12" t="s">
        <v>30</v>
      </c>
      <c r="F98" s="12" t="s">
        <v>278</v>
      </c>
      <c r="G98" s="12" t="s">
        <v>279</v>
      </c>
      <c r="H98" s="14" t="n">
        <v>46275</v>
      </c>
      <c r="I98" s="14" t="n">
        <v>46276</v>
      </c>
      <c r="J98" s="12" t="s">
        <v>33</v>
      </c>
    </row>
    <row r="99" customFormat="false" ht="15" hidden="false" customHeight="true" outlineLevel="0" collapsed="false">
      <c r="A99" s="12" t="s">
        <v>285</v>
      </c>
      <c r="B99" s="13" t="n">
        <v>84.92</v>
      </c>
      <c r="C99" s="13" t="n">
        <v>80.8</v>
      </c>
      <c r="D99" s="12" t="s">
        <v>286</v>
      </c>
      <c r="E99" s="12" t="s">
        <v>30</v>
      </c>
      <c r="F99" s="12" t="s">
        <v>287</v>
      </c>
      <c r="G99" s="12" t="s">
        <v>275</v>
      </c>
      <c r="H99" s="14" t="n">
        <v>46275</v>
      </c>
      <c r="I99" s="14" t="n">
        <v>46275</v>
      </c>
      <c r="J99" s="12" t="s">
        <v>33</v>
      </c>
    </row>
    <row r="100" customFormat="false" ht="15" hidden="false" customHeight="true" outlineLevel="0" collapsed="false">
      <c r="A100" s="12" t="s">
        <v>288</v>
      </c>
      <c r="B100" s="13" t="n">
        <v>84.921</v>
      </c>
      <c r="C100" s="13" t="n">
        <v>80.8</v>
      </c>
      <c r="D100" s="12" t="s">
        <v>277</v>
      </c>
      <c r="E100" s="12" t="s">
        <v>30</v>
      </c>
      <c r="F100" s="12" t="s">
        <v>278</v>
      </c>
      <c r="G100" s="12" t="s">
        <v>279</v>
      </c>
      <c r="H100" s="14" t="n">
        <v>46275</v>
      </c>
      <c r="I100" s="14" t="n">
        <v>46276</v>
      </c>
      <c r="J100" s="12" t="s">
        <v>33</v>
      </c>
    </row>
    <row r="101" customFormat="false" ht="15" hidden="false" customHeight="true" outlineLevel="0" collapsed="false">
      <c r="A101" s="12" t="s">
        <v>289</v>
      </c>
      <c r="B101" s="13" t="n">
        <v>286.608</v>
      </c>
      <c r="C101" s="13" t="n">
        <v>272.7</v>
      </c>
      <c r="D101" s="12" t="s">
        <v>290</v>
      </c>
      <c r="E101" s="12" t="s">
        <v>30</v>
      </c>
      <c r="F101" s="12" t="s">
        <v>291</v>
      </c>
      <c r="G101" s="12" t="s">
        <v>275</v>
      </c>
      <c r="H101" s="14" t="n">
        <v>46275</v>
      </c>
      <c r="I101" s="14" t="n">
        <v>46275</v>
      </c>
      <c r="J101" s="12" t="s">
        <v>33</v>
      </c>
    </row>
    <row r="102" customFormat="false" ht="15" hidden="false" customHeight="true" outlineLevel="0" collapsed="false">
      <c r="A102" s="12" t="s">
        <v>292</v>
      </c>
      <c r="B102" s="13" t="n">
        <v>180.457</v>
      </c>
      <c r="C102" s="13" t="n">
        <v>171.7</v>
      </c>
      <c r="D102" s="12" t="s">
        <v>293</v>
      </c>
      <c r="E102" s="12" t="s">
        <v>30</v>
      </c>
      <c r="F102" s="12" t="s">
        <v>291</v>
      </c>
      <c r="G102" s="12" t="s">
        <v>275</v>
      </c>
      <c r="H102" s="14" t="n">
        <v>46275</v>
      </c>
      <c r="I102" s="14" t="n">
        <v>46275</v>
      </c>
      <c r="J102" s="12" t="s">
        <v>33</v>
      </c>
    </row>
    <row r="103" customFormat="false" ht="15" hidden="false" customHeight="true" outlineLevel="0" collapsed="false">
      <c r="A103" s="12" t="s">
        <v>294</v>
      </c>
      <c r="B103" s="13" t="n">
        <v>154.151</v>
      </c>
      <c r="C103" s="13" t="n">
        <v>142.6</v>
      </c>
      <c r="D103" s="12" t="s">
        <v>198</v>
      </c>
      <c r="E103" s="12" t="s">
        <v>30</v>
      </c>
      <c r="F103" s="12" t="s">
        <v>168</v>
      </c>
      <c r="G103" s="12" t="s">
        <v>32</v>
      </c>
      <c r="H103" s="14" t="n">
        <v>46275</v>
      </c>
      <c r="I103" s="14" t="n">
        <v>46275</v>
      </c>
      <c r="J103" s="12" t="s">
        <v>33</v>
      </c>
    </row>
    <row r="104" customFormat="false" ht="15" hidden="false" customHeight="true" outlineLevel="0" collapsed="false">
      <c r="A104" s="12" t="s">
        <v>295</v>
      </c>
      <c r="B104" s="13" t="n">
        <v>59.25</v>
      </c>
      <c r="C104" s="13" t="n">
        <v>50</v>
      </c>
      <c r="D104" s="12" t="s">
        <v>296</v>
      </c>
      <c r="E104" s="12" t="s">
        <v>30</v>
      </c>
      <c r="F104" s="12" t="s">
        <v>297</v>
      </c>
      <c r="G104" s="12" t="s">
        <v>298</v>
      </c>
      <c r="H104" s="14" t="n">
        <v>46275</v>
      </c>
      <c r="I104" s="14" t="n">
        <v>46275</v>
      </c>
      <c r="J104" s="12" t="s">
        <v>33</v>
      </c>
    </row>
    <row r="105" customFormat="false" ht="15" hidden="false" customHeight="true" outlineLevel="0" collapsed="false">
      <c r="A105" s="12" t="s">
        <v>299</v>
      </c>
      <c r="B105" s="13" t="n">
        <v>267.85</v>
      </c>
      <c r="C105" s="13" t="n">
        <v>252.5</v>
      </c>
      <c r="D105" s="12" t="s">
        <v>300</v>
      </c>
      <c r="E105" s="12" t="s">
        <v>30</v>
      </c>
      <c r="F105" s="12" t="s">
        <v>301</v>
      </c>
      <c r="G105" s="12" t="s">
        <v>275</v>
      </c>
      <c r="H105" s="14" t="n">
        <v>46275</v>
      </c>
      <c r="I105" s="14" t="n">
        <v>46275</v>
      </c>
      <c r="J105" s="12" t="s">
        <v>33</v>
      </c>
    </row>
    <row r="106" customFormat="false" ht="15" hidden="false" customHeight="true" outlineLevel="0" collapsed="false">
      <c r="A106" s="12" t="s">
        <v>302</v>
      </c>
      <c r="B106" s="13" t="n">
        <v>53.076</v>
      </c>
      <c r="C106" s="13" t="n">
        <v>50.5</v>
      </c>
      <c r="D106" s="12" t="s">
        <v>303</v>
      </c>
      <c r="E106" s="12" t="s">
        <v>30</v>
      </c>
      <c r="F106" s="12" t="s">
        <v>304</v>
      </c>
      <c r="G106" s="12" t="s">
        <v>279</v>
      </c>
      <c r="H106" s="14" t="n">
        <v>46275</v>
      </c>
      <c r="I106" s="14" t="n">
        <v>46276</v>
      </c>
      <c r="J106" s="12" t="s">
        <v>33</v>
      </c>
    </row>
    <row r="107" customFormat="false" ht="15" hidden="false" customHeight="true" outlineLevel="0" collapsed="false">
      <c r="A107" s="12" t="s">
        <v>305</v>
      </c>
      <c r="B107" s="13" t="n">
        <v>257.235</v>
      </c>
      <c r="C107" s="13" t="n">
        <v>242.4</v>
      </c>
      <c r="D107" s="12" t="s">
        <v>306</v>
      </c>
      <c r="E107" s="12" t="s">
        <v>30</v>
      </c>
      <c r="F107" s="12" t="s">
        <v>301</v>
      </c>
      <c r="G107" s="12" t="s">
        <v>275</v>
      </c>
      <c r="H107" s="14" t="n">
        <v>46275</v>
      </c>
      <c r="I107" s="14" t="n">
        <v>46275</v>
      </c>
      <c r="J107" s="12" t="s">
        <v>33</v>
      </c>
    </row>
    <row r="108" customFormat="false" ht="15" hidden="false" customHeight="true" outlineLevel="0" collapsed="false">
      <c r="A108" s="12" t="s">
        <v>307</v>
      </c>
      <c r="B108" s="13" t="n">
        <v>191.07</v>
      </c>
      <c r="C108" s="13" t="n">
        <v>181.8</v>
      </c>
      <c r="D108" s="12" t="s">
        <v>308</v>
      </c>
      <c r="E108" s="12" t="s">
        <v>30</v>
      </c>
      <c r="F108" s="12" t="s">
        <v>301</v>
      </c>
      <c r="G108" s="12" t="s">
        <v>275</v>
      </c>
      <c r="H108" s="14" t="n">
        <v>46275</v>
      </c>
      <c r="I108" s="14" t="n">
        <v>46275</v>
      </c>
      <c r="J108" s="12" t="s">
        <v>33</v>
      </c>
    </row>
    <row r="109" customFormat="false" ht="15" hidden="false" customHeight="true" outlineLevel="0" collapsed="false">
      <c r="A109" s="12" t="s">
        <v>309</v>
      </c>
      <c r="B109" s="13" t="n">
        <v>180.455</v>
      </c>
      <c r="C109" s="13" t="n">
        <v>171.7</v>
      </c>
      <c r="D109" s="12" t="s">
        <v>310</v>
      </c>
      <c r="E109" s="12" t="s">
        <v>30</v>
      </c>
      <c r="F109" s="12" t="s">
        <v>311</v>
      </c>
      <c r="G109" s="12" t="s">
        <v>275</v>
      </c>
      <c r="H109" s="14" t="n">
        <v>46275</v>
      </c>
      <c r="I109" s="14" t="n">
        <v>46275</v>
      </c>
      <c r="J109" s="12" t="s">
        <v>33</v>
      </c>
    </row>
    <row r="110" customFormat="false" ht="15" hidden="false" customHeight="true" outlineLevel="0" collapsed="false">
      <c r="A110" s="12" t="s">
        <v>312</v>
      </c>
      <c r="B110" s="13" t="n">
        <v>709.135</v>
      </c>
      <c r="C110" s="13" t="n">
        <v>656</v>
      </c>
      <c r="D110" s="12" t="s">
        <v>313</v>
      </c>
      <c r="E110" s="12" t="s">
        <v>30</v>
      </c>
      <c r="F110" s="12" t="s">
        <v>314</v>
      </c>
      <c r="G110" s="12" t="s">
        <v>298</v>
      </c>
      <c r="H110" s="14" t="n">
        <v>46275</v>
      </c>
      <c r="I110" s="14" t="n">
        <v>46275</v>
      </c>
      <c r="J110" s="12" t="s">
        <v>33</v>
      </c>
    </row>
    <row r="111" customFormat="false" ht="15" hidden="false" customHeight="true" outlineLevel="0" collapsed="false">
      <c r="A111" s="12" t="s">
        <v>315</v>
      </c>
      <c r="B111" s="13" t="n">
        <v>180.489</v>
      </c>
      <c r="C111" s="13" t="n">
        <v>160.4</v>
      </c>
      <c r="D111" s="12" t="s">
        <v>316</v>
      </c>
      <c r="E111" s="12" t="s">
        <v>30</v>
      </c>
      <c r="F111" s="12" t="s">
        <v>317</v>
      </c>
      <c r="G111" s="12" t="s">
        <v>279</v>
      </c>
      <c r="H111" s="14" t="n">
        <v>46275</v>
      </c>
      <c r="I111" s="14" t="n">
        <v>46276</v>
      </c>
      <c r="J111" s="12" t="s">
        <v>33</v>
      </c>
    </row>
    <row r="112" customFormat="false" ht="15" hidden="false" customHeight="true" outlineLevel="0" collapsed="false">
      <c r="A112" s="12" t="s">
        <v>318</v>
      </c>
      <c r="B112" s="13" t="n">
        <v>289.358</v>
      </c>
      <c r="C112" s="13" t="n">
        <v>271.7</v>
      </c>
      <c r="D112" s="12" t="s">
        <v>319</v>
      </c>
      <c r="E112" s="12" t="s">
        <v>30</v>
      </c>
      <c r="F112" s="12" t="s">
        <v>320</v>
      </c>
      <c r="G112" s="12" t="s">
        <v>279</v>
      </c>
      <c r="H112" s="14" t="n">
        <v>46275</v>
      </c>
      <c r="I112" s="14" t="n">
        <v>46276</v>
      </c>
      <c r="J112" s="12" t="s">
        <v>33</v>
      </c>
    </row>
    <row r="113" customFormat="false" ht="15" hidden="false" customHeight="true" outlineLevel="0" collapsed="false">
      <c r="A113" s="12" t="s">
        <v>321</v>
      </c>
      <c r="B113" s="13" t="n">
        <v>63.691</v>
      </c>
      <c r="C113" s="13" t="n">
        <v>60.6</v>
      </c>
      <c r="D113" s="12" t="s">
        <v>322</v>
      </c>
      <c r="E113" s="12" t="s">
        <v>30</v>
      </c>
      <c r="F113" s="12" t="s">
        <v>323</v>
      </c>
      <c r="G113" s="12" t="s">
        <v>275</v>
      </c>
      <c r="H113" s="14" t="n">
        <v>46275</v>
      </c>
      <c r="I113" s="14" t="n">
        <v>46275</v>
      </c>
      <c r="J113" s="12" t="s">
        <v>33</v>
      </c>
    </row>
    <row r="114" customFormat="false" ht="15" hidden="false" customHeight="true" outlineLevel="0" collapsed="false">
      <c r="A114" s="12" t="s">
        <v>324</v>
      </c>
      <c r="B114" s="13" t="n">
        <v>142.328</v>
      </c>
      <c r="C114" s="13" t="n">
        <v>131.7</v>
      </c>
      <c r="D114" s="12" t="s">
        <v>325</v>
      </c>
      <c r="E114" s="12" t="s">
        <v>30</v>
      </c>
      <c r="F114" s="12" t="s">
        <v>326</v>
      </c>
      <c r="G114" s="12" t="s">
        <v>298</v>
      </c>
      <c r="H114" s="14" t="n">
        <v>46275</v>
      </c>
      <c r="I114" s="14" t="n">
        <v>46275</v>
      </c>
      <c r="J114" s="12" t="s">
        <v>33</v>
      </c>
    </row>
    <row r="115" customFormat="false" ht="15" hidden="false" customHeight="true" outlineLevel="0" collapsed="false">
      <c r="A115" s="12" t="s">
        <v>327</v>
      </c>
      <c r="B115" s="13" t="n">
        <v>104.816</v>
      </c>
      <c r="C115" s="13" t="n">
        <v>96.96</v>
      </c>
      <c r="D115" s="12" t="s">
        <v>277</v>
      </c>
      <c r="E115" s="12" t="s">
        <v>30</v>
      </c>
      <c r="F115" s="12" t="s">
        <v>278</v>
      </c>
      <c r="G115" s="12" t="s">
        <v>279</v>
      </c>
      <c r="H115" s="14" t="n">
        <v>46275</v>
      </c>
      <c r="I115" s="14" t="n">
        <v>46275</v>
      </c>
      <c r="J115" s="12" t="s">
        <v>33</v>
      </c>
    </row>
    <row r="116" customFormat="false" ht="15" hidden="false" customHeight="true" outlineLevel="0" collapsed="false">
      <c r="A116" s="12" t="s">
        <v>328</v>
      </c>
      <c r="B116" s="13" t="n">
        <v>106.37</v>
      </c>
      <c r="C116" s="13" t="n">
        <v>98.4</v>
      </c>
      <c r="D116" s="12" t="s">
        <v>329</v>
      </c>
      <c r="E116" s="12" t="s">
        <v>30</v>
      </c>
      <c r="F116" s="12" t="s">
        <v>330</v>
      </c>
      <c r="G116" s="12" t="s">
        <v>298</v>
      </c>
      <c r="H116" s="14" t="n">
        <v>46275</v>
      </c>
      <c r="I116" s="14" t="n">
        <v>46275</v>
      </c>
      <c r="J116" s="12" t="s">
        <v>33</v>
      </c>
    </row>
    <row r="117" customFormat="false" ht="15" hidden="false" customHeight="true" outlineLevel="0" collapsed="false">
      <c r="A117" s="12" t="s">
        <v>331</v>
      </c>
      <c r="B117" s="13" t="n">
        <v>35.563</v>
      </c>
      <c r="C117" s="13" t="n">
        <v>32.899</v>
      </c>
      <c r="D117" s="12" t="s">
        <v>332</v>
      </c>
      <c r="E117" s="12" t="s">
        <v>30</v>
      </c>
      <c r="F117" s="12" t="s">
        <v>333</v>
      </c>
      <c r="G117" s="12" t="s">
        <v>298</v>
      </c>
      <c r="H117" s="14" t="n">
        <v>46275</v>
      </c>
      <c r="I117" s="14" t="n">
        <v>46275</v>
      </c>
      <c r="J117" s="12" t="s">
        <v>33</v>
      </c>
    </row>
    <row r="118" customFormat="false" ht="15" hidden="false" customHeight="true" outlineLevel="0" collapsed="false">
      <c r="A118" s="12" t="s">
        <v>334</v>
      </c>
      <c r="B118" s="13" t="n">
        <v>177.282</v>
      </c>
      <c r="C118" s="13" t="n">
        <v>164</v>
      </c>
      <c r="D118" s="12" t="s">
        <v>335</v>
      </c>
      <c r="E118" s="12" t="s">
        <v>30</v>
      </c>
      <c r="F118" s="12" t="s">
        <v>323</v>
      </c>
      <c r="G118" s="12" t="s">
        <v>275</v>
      </c>
      <c r="H118" s="14" t="n">
        <v>46275</v>
      </c>
      <c r="I118" s="14" t="n">
        <v>46275</v>
      </c>
      <c r="J118" s="12" t="s">
        <v>33</v>
      </c>
    </row>
    <row r="119" customFormat="false" ht="15" hidden="false" customHeight="true" outlineLevel="0" collapsed="false">
      <c r="A119" s="12" t="s">
        <v>336</v>
      </c>
      <c r="B119" s="13" t="n">
        <v>162.75</v>
      </c>
      <c r="C119" s="13" t="n">
        <v>150</v>
      </c>
      <c r="D119" s="12" t="s">
        <v>337</v>
      </c>
      <c r="E119" s="12" t="s">
        <v>30</v>
      </c>
      <c r="F119" s="12" t="s">
        <v>301</v>
      </c>
      <c r="G119" s="12" t="s">
        <v>275</v>
      </c>
      <c r="H119" s="14" t="n">
        <v>46275</v>
      </c>
      <c r="I119" s="14" t="n">
        <v>46275</v>
      </c>
      <c r="J119" s="12" t="s">
        <v>33</v>
      </c>
    </row>
    <row r="120" customFormat="false" ht="15" hidden="false" customHeight="true" outlineLevel="0" collapsed="false">
      <c r="A120" s="12" t="s">
        <v>338</v>
      </c>
      <c r="B120" s="13" t="n">
        <v>84.418</v>
      </c>
      <c r="C120" s="13" t="n">
        <v>75.5</v>
      </c>
      <c r="D120" s="12" t="s">
        <v>339</v>
      </c>
      <c r="E120" s="12" t="s">
        <v>30</v>
      </c>
      <c r="F120" s="12" t="s">
        <v>320</v>
      </c>
      <c r="G120" s="12" t="s">
        <v>279</v>
      </c>
      <c r="H120" s="14" t="n">
        <v>46275</v>
      </c>
      <c r="I120" s="14" t="n">
        <v>46276</v>
      </c>
      <c r="J120" s="12" t="s">
        <v>33</v>
      </c>
    </row>
    <row r="121" customFormat="false" ht="15" hidden="false" customHeight="true" outlineLevel="0" collapsed="false">
      <c r="A121" s="12" t="s">
        <v>340</v>
      </c>
      <c r="B121" s="13" t="n">
        <v>220.487</v>
      </c>
      <c r="C121" s="13" t="n">
        <v>202.68</v>
      </c>
      <c r="D121" s="12" t="s">
        <v>341</v>
      </c>
      <c r="E121" s="12" t="s">
        <v>30</v>
      </c>
      <c r="F121" s="12" t="s">
        <v>342</v>
      </c>
      <c r="G121" s="12" t="s">
        <v>279</v>
      </c>
      <c r="H121" s="14" t="n">
        <v>46275</v>
      </c>
      <c r="I121" s="14" t="n">
        <v>46276</v>
      </c>
      <c r="J121" s="12" t="s">
        <v>33</v>
      </c>
    </row>
    <row r="122" customFormat="false" ht="15" hidden="false" customHeight="true" outlineLevel="0" collapsed="false">
      <c r="A122" s="12" t="s">
        <v>343</v>
      </c>
      <c r="B122" s="13" t="n">
        <v>326.564</v>
      </c>
      <c r="C122" s="13" t="n">
        <v>302.16</v>
      </c>
      <c r="D122" s="12" t="s">
        <v>344</v>
      </c>
      <c r="E122" s="12" t="s">
        <v>30</v>
      </c>
      <c r="F122" s="12" t="s">
        <v>345</v>
      </c>
      <c r="G122" s="12" t="s">
        <v>279</v>
      </c>
      <c r="H122" s="14" t="n">
        <v>46275</v>
      </c>
      <c r="I122" s="14" t="n">
        <v>46275</v>
      </c>
      <c r="J122" s="12" t="s">
        <v>33</v>
      </c>
    </row>
    <row r="123" customFormat="false" ht="15" hidden="false" customHeight="true" outlineLevel="0" collapsed="false">
      <c r="A123" s="12" t="s">
        <v>346</v>
      </c>
      <c r="B123" s="13" t="n">
        <v>284.87</v>
      </c>
      <c r="C123" s="13" t="n">
        <v>267.5</v>
      </c>
      <c r="D123" s="12" t="s">
        <v>347</v>
      </c>
      <c r="E123" s="12" t="s">
        <v>30</v>
      </c>
      <c r="F123" s="12" t="s">
        <v>348</v>
      </c>
      <c r="G123" s="12" t="s">
        <v>279</v>
      </c>
      <c r="H123" s="14" t="n">
        <v>46275</v>
      </c>
      <c r="I123" s="14" t="n">
        <v>46276</v>
      </c>
      <c r="J123" s="12" t="s">
        <v>33</v>
      </c>
    </row>
    <row r="124" customFormat="false" ht="15" hidden="false" customHeight="true" outlineLevel="0" collapsed="false">
      <c r="A124" s="12" t="s">
        <v>349</v>
      </c>
      <c r="B124" s="13" t="n">
        <v>111.432</v>
      </c>
      <c r="C124" s="13" t="n">
        <v>102.96</v>
      </c>
      <c r="D124" s="12" t="s">
        <v>350</v>
      </c>
      <c r="E124" s="12" t="s">
        <v>30</v>
      </c>
      <c r="F124" s="12" t="s">
        <v>239</v>
      </c>
      <c r="G124" s="12" t="s">
        <v>240</v>
      </c>
      <c r="H124" s="14" t="n">
        <v>46275</v>
      </c>
      <c r="I124" s="14" t="n">
        <v>46275</v>
      </c>
      <c r="J124" s="12" t="s">
        <v>33</v>
      </c>
    </row>
    <row r="125" customFormat="false" ht="15" hidden="false" customHeight="true" outlineLevel="0" collapsed="false">
      <c r="A125" s="12" t="s">
        <v>351</v>
      </c>
      <c r="B125" s="13" t="n">
        <v>249.128</v>
      </c>
      <c r="C125" s="13" t="n">
        <v>232.74</v>
      </c>
      <c r="D125" s="12" t="s">
        <v>352</v>
      </c>
      <c r="E125" s="12" t="s">
        <v>30</v>
      </c>
      <c r="F125" s="12" t="s">
        <v>353</v>
      </c>
      <c r="G125" s="12" t="s">
        <v>279</v>
      </c>
      <c r="H125" s="14" t="n">
        <v>46275</v>
      </c>
      <c r="I125" s="14" t="n">
        <v>46275</v>
      </c>
      <c r="J125" s="12" t="s">
        <v>354</v>
      </c>
    </row>
    <row r="126" customFormat="false" ht="15" hidden="false" customHeight="true" outlineLevel="0" collapsed="false">
      <c r="A126" s="12" t="s">
        <v>355</v>
      </c>
      <c r="B126" s="13" t="n">
        <v>121.812</v>
      </c>
      <c r="C126" s="13" t="n">
        <v>112.2</v>
      </c>
      <c r="D126" s="12" t="s">
        <v>356</v>
      </c>
      <c r="E126" s="12" t="s">
        <v>30</v>
      </c>
      <c r="F126" s="12" t="s">
        <v>357</v>
      </c>
      <c r="G126" s="12" t="s">
        <v>279</v>
      </c>
      <c r="H126" s="14" t="n">
        <v>46275</v>
      </c>
      <c r="I126" s="14" t="n">
        <v>46276</v>
      </c>
      <c r="J126" s="12" t="s">
        <v>33</v>
      </c>
    </row>
    <row r="127" customFormat="false" ht="15" hidden="false" customHeight="true" outlineLevel="0" collapsed="false">
      <c r="A127" s="12" t="s">
        <v>358</v>
      </c>
      <c r="B127" s="13" t="n">
        <v>85.607</v>
      </c>
      <c r="C127" s="13" t="n">
        <v>80.8</v>
      </c>
      <c r="D127" s="12" t="s">
        <v>359</v>
      </c>
      <c r="E127" s="12" t="s">
        <v>30</v>
      </c>
      <c r="F127" s="12" t="s">
        <v>317</v>
      </c>
      <c r="G127" s="12" t="s">
        <v>279</v>
      </c>
      <c r="H127" s="14" t="n">
        <v>46275</v>
      </c>
      <c r="I127" s="14" t="n">
        <v>46276</v>
      </c>
      <c r="J127" s="12" t="s">
        <v>33</v>
      </c>
    </row>
    <row r="128" customFormat="false" ht="15" hidden="false" customHeight="true" outlineLevel="0" collapsed="false">
      <c r="A128" s="12" t="s">
        <v>360</v>
      </c>
      <c r="B128" s="13" t="n">
        <v>80.548</v>
      </c>
      <c r="C128" s="13" t="n">
        <v>73.8</v>
      </c>
      <c r="D128" s="12" t="s">
        <v>361</v>
      </c>
      <c r="E128" s="12" t="s">
        <v>30</v>
      </c>
      <c r="F128" s="12" t="s">
        <v>362</v>
      </c>
      <c r="G128" s="12" t="s">
        <v>279</v>
      </c>
      <c r="H128" s="14" t="n">
        <v>46275</v>
      </c>
      <c r="I128" s="14" t="n">
        <v>46276</v>
      </c>
      <c r="J128" s="12" t="s">
        <v>33</v>
      </c>
    </row>
    <row r="129" customFormat="false" ht="15" hidden="false" customHeight="true" outlineLevel="0" collapsed="false">
      <c r="A129" s="12" t="s">
        <v>363</v>
      </c>
      <c r="B129" s="13" t="n">
        <v>194.658</v>
      </c>
      <c r="C129" s="13" t="n">
        <v>177.9</v>
      </c>
      <c r="D129" s="12" t="s">
        <v>364</v>
      </c>
      <c r="E129" s="12" t="s">
        <v>30</v>
      </c>
      <c r="F129" s="12" t="s">
        <v>365</v>
      </c>
      <c r="G129" s="12" t="s">
        <v>275</v>
      </c>
      <c r="H129" s="14" t="n">
        <v>46275</v>
      </c>
      <c r="I129" s="14" t="n">
        <v>46275</v>
      </c>
      <c r="J129" s="12" t="s">
        <v>33</v>
      </c>
    </row>
    <row r="130" customFormat="false" ht="15" hidden="false" customHeight="true" outlineLevel="0" collapsed="false">
      <c r="A130" s="12" t="s">
        <v>366</v>
      </c>
      <c r="B130" s="13" t="n">
        <v>170.872</v>
      </c>
      <c r="C130" s="13" t="n">
        <v>161.6</v>
      </c>
      <c r="D130" s="12" t="s">
        <v>367</v>
      </c>
      <c r="E130" s="12" t="s">
        <v>30</v>
      </c>
      <c r="F130" s="12" t="s">
        <v>368</v>
      </c>
      <c r="G130" s="12" t="s">
        <v>275</v>
      </c>
      <c r="H130" s="14" t="n">
        <v>46275</v>
      </c>
      <c r="I130" s="14" t="n">
        <v>46275</v>
      </c>
      <c r="J130" s="12" t="s">
        <v>33</v>
      </c>
    </row>
    <row r="131" customFormat="false" ht="15" hidden="false" customHeight="true" outlineLevel="0" collapsed="false">
      <c r="A131" s="12" t="s">
        <v>369</v>
      </c>
      <c r="B131" s="13" t="n">
        <v>74.992</v>
      </c>
      <c r="C131" s="13" t="n">
        <v>70.7</v>
      </c>
      <c r="D131" s="12" t="s">
        <v>370</v>
      </c>
      <c r="E131" s="12" t="s">
        <v>30</v>
      </c>
      <c r="F131" s="12" t="s">
        <v>301</v>
      </c>
      <c r="G131" s="12" t="s">
        <v>275</v>
      </c>
      <c r="H131" s="14" t="n">
        <v>46275</v>
      </c>
      <c r="I131" s="14" t="n">
        <v>46275</v>
      </c>
      <c r="J131" s="12" t="s">
        <v>33</v>
      </c>
    </row>
    <row r="132" customFormat="false" ht="15" hidden="false" customHeight="true" outlineLevel="0" collapsed="false">
      <c r="A132" s="12" t="s">
        <v>371</v>
      </c>
      <c r="B132" s="13" t="n">
        <v>106.151</v>
      </c>
      <c r="C132" s="13" t="n">
        <v>101</v>
      </c>
      <c r="D132" s="12" t="s">
        <v>273</v>
      </c>
      <c r="E132" s="12" t="s">
        <v>30</v>
      </c>
      <c r="F132" s="12" t="s">
        <v>274</v>
      </c>
      <c r="G132" s="12" t="s">
        <v>275</v>
      </c>
      <c r="H132" s="14" t="n">
        <v>46275</v>
      </c>
      <c r="I132" s="14" t="n">
        <v>46275</v>
      </c>
      <c r="J132" s="12" t="s">
        <v>33</v>
      </c>
    </row>
    <row r="133" customFormat="false" ht="15" hidden="false" customHeight="true" outlineLevel="0" collapsed="false">
      <c r="A133" s="12" t="s">
        <v>372</v>
      </c>
      <c r="B133" s="13" t="n">
        <v>49.373</v>
      </c>
      <c r="C133" s="13" t="n">
        <v>44.44</v>
      </c>
      <c r="D133" s="12" t="s">
        <v>373</v>
      </c>
      <c r="E133" s="12" t="s">
        <v>30</v>
      </c>
      <c r="F133" s="12" t="s">
        <v>301</v>
      </c>
      <c r="G133" s="12" t="s">
        <v>275</v>
      </c>
      <c r="H133" s="14" t="n">
        <v>46275</v>
      </c>
      <c r="I133" s="14" t="n">
        <v>46275</v>
      </c>
      <c r="J133" s="12" t="s">
        <v>33</v>
      </c>
    </row>
    <row r="134" customFormat="false" ht="15" hidden="false" customHeight="true" outlineLevel="0" collapsed="false">
      <c r="A134" s="12" t="s">
        <v>374</v>
      </c>
      <c r="B134" s="13" t="n">
        <v>348.773</v>
      </c>
      <c r="C134" s="13" t="n">
        <v>323.2</v>
      </c>
      <c r="D134" s="12" t="s">
        <v>375</v>
      </c>
      <c r="E134" s="12" t="s">
        <v>30</v>
      </c>
      <c r="F134" s="12" t="s">
        <v>342</v>
      </c>
      <c r="G134" s="12" t="s">
        <v>279</v>
      </c>
      <c r="H134" s="14" t="n">
        <v>46275</v>
      </c>
      <c r="I134" s="14" t="n">
        <v>46276</v>
      </c>
      <c r="J134" s="12" t="s">
        <v>33</v>
      </c>
    </row>
    <row r="135" customFormat="false" ht="15" hidden="false" customHeight="true" outlineLevel="0" collapsed="false">
      <c r="A135" s="12" t="s">
        <v>376</v>
      </c>
      <c r="B135" s="13" t="n">
        <v>639.455</v>
      </c>
      <c r="C135" s="13" t="n">
        <v>591.24</v>
      </c>
      <c r="D135" s="12" t="s">
        <v>377</v>
      </c>
      <c r="E135" s="12" t="s">
        <v>30</v>
      </c>
      <c r="F135" s="12" t="s">
        <v>378</v>
      </c>
      <c r="G135" s="12" t="s">
        <v>379</v>
      </c>
      <c r="H135" s="14" t="n">
        <v>46275</v>
      </c>
      <c r="I135" s="14" t="n">
        <v>46275</v>
      </c>
      <c r="J135" s="12" t="s">
        <v>33</v>
      </c>
    </row>
    <row r="136" customFormat="false" ht="15" hidden="false" customHeight="true" outlineLevel="0" collapsed="false">
      <c r="A136" s="12" t="s">
        <v>380</v>
      </c>
      <c r="B136" s="13" t="n">
        <v>165.291</v>
      </c>
      <c r="C136" s="13" t="n">
        <v>150.6</v>
      </c>
      <c r="D136" s="12" t="s">
        <v>381</v>
      </c>
      <c r="E136" s="12" t="s">
        <v>30</v>
      </c>
      <c r="F136" s="12" t="s">
        <v>382</v>
      </c>
      <c r="G136" s="12" t="s">
        <v>279</v>
      </c>
      <c r="H136" s="14" t="n">
        <v>46275</v>
      </c>
      <c r="I136" s="14" t="n">
        <v>46275</v>
      </c>
      <c r="J136" s="12" t="s">
        <v>33</v>
      </c>
    </row>
    <row r="137" customFormat="false" ht="15" hidden="false" customHeight="true" outlineLevel="0" collapsed="false">
      <c r="A137" s="12" t="s">
        <v>383</v>
      </c>
      <c r="B137" s="13" t="n">
        <v>77.504</v>
      </c>
      <c r="C137" s="13" t="n">
        <v>70.3</v>
      </c>
      <c r="D137" s="12" t="s">
        <v>384</v>
      </c>
      <c r="E137" s="12" t="s">
        <v>30</v>
      </c>
      <c r="F137" s="12" t="s">
        <v>385</v>
      </c>
      <c r="G137" s="12" t="s">
        <v>298</v>
      </c>
      <c r="H137" s="14" t="n">
        <v>46275</v>
      </c>
      <c r="I137" s="14" t="n">
        <v>46285</v>
      </c>
      <c r="J137" s="12" t="s">
        <v>33</v>
      </c>
    </row>
    <row r="138" customFormat="false" ht="15" hidden="false" customHeight="true" outlineLevel="0" collapsed="false">
      <c r="A138" s="12" t="s">
        <v>386</v>
      </c>
      <c r="B138" s="13" t="n">
        <v>35.457</v>
      </c>
      <c r="C138" s="13" t="n">
        <v>32.8</v>
      </c>
      <c r="D138" s="12" t="s">
        <v>387</v>
      </c>
      <c r="E138" s="12" t="s">
        <v>30</v>
      </c>
      <c r="F138" s="12" t="s">
        <v>388</v>
      </c>
      <c r="G138" s="12" t="s">
        <v>298</v>
      </c>
      <c r="H138" s="14" t="n">
        <v>46275</v>
      </c>
      <c r="I138" s="14" t="n">
        <v>46285</v>
      </c>
      <c r="J138" s="12" t="s">
        <v>33</v>
      </c>
    </row>
    <row r="139" customFormat="false" ht="15" hidden="false" customHeight="true" outlineLevel="0" collapsed="false">
      <c r="A139" s="12" t="s">
        <v>389</v>
      </c>
      <c r="B139" s="13" t="n">
        <v>209</v>
      </c>
      <c r="C139" s="13" t="n">
        <v>200</v>
      </c>
      <c r="D139" s="12" t="s">
        <v>390</v>
      </c>
      <c r="E139" s="12" t="s">
        <v>30</v>
      </c>
      <c r="F139" s="12" t="s">
        <v>391</v>
      </c>
      <c r="G139" s="12" t="s">
        <v>298</v>
      </c>
      <c r="H139" s="14" t="n">
        <v>46275</v>
      </c>
      <c r="I139" s="14" t="n">
        <v>46275</v>
      </c>
      <c r="J139" s="12" t="s">
        <v>354</v>
      </c>
    </row>
    <row r="140" customFormat="false" ht="15" hidden="false" customHeight="true" outlineLevel="0" collapsed="false">
      <c r="A140" s="12" t="s">
        <v>392</v>
      </c>
      <c r="B140" s="13" t="n">
        <v>201.59</v>
      </c>
      <c r="C140" s="13" t="n">
        <v>185.32</v>
      </c>
      <c r="D140" s="12" t="s">
        <v>393</v>
      </c>
      <c r="E140" s="12" t="s">
        <v>30</v>
      </c>
      <c r="F140" s="12" t="s">
        <v>394</v>
      </c>
      <c r="G140" s="12" t="s">
        <v>298</v>
      </c>
      <c r="H140" s="14" t="n">
        <v>46275</v>
      </c>
      <c r="I140" s="14" t="n">
        <v>46285</v>
      </c>
      <c r="J140" s="12" t="s">
        <v>33</v>
      </c>
    </row>
    <row r="141" customFormat="false" ht="15" hidden="false" customHeight="true" outlineLevel="0" collapsed="false">
      <c r="A141" s="12" t="s">
        <v>395</v>
      </c>
      <c r="B141" s="13" t="n">
        <v>176.045</v>
      </c>
      <c r="C141" s="13" t="n">
        <v>162.56</v>
      </c>
      <c r="D141" s="12" t="s">
        <v>396</v>
      </c>
      <c r="E141" s="12" t="s">
        <v>30</v>
      </c>
      <c r="F141" s="12" t="s">
        <v>397</v>
      </c>
      <c r="G141" s="12" t="s">
        <v>32</v>
      </c>
      <c r="H141" s="14" t="n">
        <v>46275</v>
      </c>
      <c r="I141" s="14" t="n">
        <v>46275</v>
      </c>
      <c r="J141" s="12" t="s">
        <v>33</v>
      </c>
    </row>
    <row r="142" customFormat="false" ht="15" hidden="false" customHeight="true" outlineLevel="0" collapsed="false">
      <c r="A142" s="12" t="s">
        <v>398</v>
      </c>
      <c r="B142" s="13" t="n">
        <v>87.426</v>
      </c>
      <c r="C142" s="13" t="n">
        <v>80.8</v>
      </c>
      <c r="D142" s="12" t="s">
        <v>399</v>
      </c>
      <c r="E142" s="12" t="s">
        <v>30</v>
      </c>
      <c r="F142" s="12" t="s">
        <v>400</v>
      </c>
      <c r="G142" s="12" t="s">
        <v>279</v>
      </c>
      <c r="H142" s="14" t="n">
        <v>46275</v>
      </c>
      <c r="I142" s="14" t="n">
        <v>46275</v>
      </c>
      <c r="J142" s="12" t="s">
        <v>33</v>
      </c>
    </row>
    <row r="143" customFormat="false" ht="15" hidden="false" customHeight="true" outlineLevel="0" collapsed="false">
      <c r="A143" s="12" t="s">
        <v>401</v>
      </c>
      <c r="B143" s="13" t="n">
        <v>160.828</v>
      </c>
      <c r="C143" s="13" t="n">
        <v>150.02</v>
      </c>
      <c r="D143" s="12" t="s">
        <v>402</v>
      </c>
      <c r="E143" s="12" t="s">
        <v>30</v>
      </c>
      <c r="F143" s="12" t="s">
        <v>403</v>
      </c>
      <c r="G143" s="12" t="s">
        <v>279</v>
      </c>
      <c r="H143" s="14" t="n">
        <v>46275</v>
      </c>
      <c r="I143" s="14" t="n">
        <v>46275</v>
      </c>
      <c r="J143" s="12" t="s">
        <v>33</v>
      </c>
    </row>
    <row r="144" customFormat="false" ht="15" hidden="false" customHeight="true" outlineLevel="0" collapsed="false">
      <c r="A144" s="12" t="s">
        <v>404</v>
      </c>
      <c r="B144" s="13" t="n">
        <v>65.508</v>
      </c>
      <c r="C144" s="13" t="n">
        <v>60.6</v>
      </c>
      <c r="D144" s="12" t="s">
        <v>405</v>
      </c>
      <c r="E144" s="12" t="s">
        <v>30</v>
      </c>
      <c r="F144" s="12" t="s">
        <v>317</v>
      </c>
      <c r="G144" s="12" t="s">
        <v>279</v>
      </c>
      <c r="H144" s="14" t="n">
        <v>46275</v>
      </c>
      <c r="I144" s="14" t="n">
        <v>46275</v>
      </c>
      <c r="J144" s="12" t="s">
        <v>33</v>
      </c>
    </row>
    <row r="145" customFormat="false" ht="15" hidden="false" customHeight="true" outlineLevel="0" collapsed="false">
      <c r="A145" s="12" t="s">
        <v>406</v>
      </c>
      <c r="B145" s="13" t="n">
        <v>148.611</v>
      </c>
      <c r="C145" s="13" t="n">
        <v>141.4</v>
      </c>
      <c r="D145" s="12" t="s">
        <v>407</v>
      </c>
      <c r="E145" s="12" t="s">
        <v>30</v>
      </c>
      <c r="F145" s="12" t="s">
        <v>408</v>
      </c>
      <c r="G145" s="12" t="s">
        <v>279</v>
      </c>
      <c r="H145" s="14" t="n">
        <v>46275</v>
      </c>
      <c r="I145" s="14" t="n">
        <v>46275</v>
      </c>
      <c r="J145" s="12" t="s">
        <v>33</v>
      </c>
    </row>
    <row r="146" customFormat="false" ht="15" hidden="false" customHeight="true" outlineLevel="0" collapsed="false">
      <c r="A146" s="12" t="s">
        <v>409</v>
      </c>
      <c r="B146" s="13" t="n">
        <v>165.083</v>
      </c>
      <c r="C146" s="13" t="n">
        <v>153.42</v>
      </c>
      <c r="D146" s="12" t="s">
        <v>410</v>
      </c>
      <c r="E146" s="12" t="s">
        <v>30</v>
      </c>
      <c r="F146" s="12" t="s">
        <v>239</v>
      </c>
      <c r="G146" s="12" t="s">
        <v>240</v>
      </c>
      <c r="H146" s="14" t="n">
        <v>46275</v>
      </c>
      <c r="I146" s="14" t="n">
        <v>46275</v>
      </c>
      <c r="J146" s="12" t="s">
        <v>33</v>
      </c>
    </row>
    <row r="147" customFormat="false" ht="15" hidden="false" customHeight="true" outlineLevel="0" collapsed="false">
      <c r="A147" s="12" t="s">
        <v>411</v>
      </c>
      <c r="B147" s="13" t="n">
        <v>644.53</v>
      </c>
      <c r="C147" s="13" t="n">
        <v>602.1</v>
      </c>
      <c r="D147" s="12" t="s">
        <v>412</v>
      </c>
      <c r="E147" s="12" t="s">
        <v>30</v>
      </c>
      <c r="F147" s="12" t="s">
        <v>413</v>
      </c>
      <c r="G147" s="12" t="s">
        <v>240</v>
      </c>
      <c r="H147" s="14" t="n">
        <v>46275</v>
      </c>
      <c r="I147" s="14" t="n">
        <v>46280</v>
      </c>
      <c r="J147" s="12" t="s">
        <v>33</v>
      </c>
    </row>
    <row r="148" customFormat="false" ht="15" hidden="false" customHeight="true" outlineLevel="0" collapsed="false">
      <c r="A148" s="12" t="s">
        <v>414</v>
      </c>
      <c r="B148" s="13" t="n">
        <v>32.55</v>
      </c>
      <c r="C148" s="13" t="n">
        <v>30</v>
      </c>
      <c r="D148" s="12" t="s">
        <v>332</v>
      </c>
      <c r="E148" s="12" t="s">
        <v>30</v>
      </c>
      <c r="F148" s="12" t="s">
        <v>333</v>
      </c>
      <c r="G148" s="12" t="s">
        <v>298</v>
      </c>
      <c r="H148" s="14" t="n">
        <v>46275</v>
      </c>
      <c r="I148" s="14" t="n">
        <v>46283</v>
      </c>
      <c r="J148" s="12" t="s">
        <v>254</v>
      </c>
    </row>
    <row r="149" customFormat="false" ht="15" hidden="false" customHeight="true" outlineLevel="0" collapsed="false">
      <c r="A149" s="12" t="s">
        <v>415</v>
      </c>
      <c r="B149" s="13" t="n">
        <v>318.139</v>
      </c>
      <c r="C149" s="13" t="n">
        <v>265.6</v>
      </c>
      <c r="D149" s="12" t="s">
        <v>416</v>
      </c>
      <c r="E149" s="12" t="s">
        <v>30</v>
      </c>
      <c r="F149" s="12" t="s">
        <v>417</v>
      </c>
      <c r="G149" s="12" t="s">
        <v>45</v>
      </c>
      <c r="H149" s="14" t="n">
        <v>46276</v>
      </c>
      <c r="I149" s="14" t="n">
        <v>46276</v>
      </c>
      <c r="J149" s="12" t="s">
        <v>33</v>
      </c>
    </row>
    <row r="150" customFormat="false" ht="15" hidden="false" customHeight="true" outlineLevel="0" collapsed="false">
      <c r="A150" s="12" t="s">
        <v>418</v>
      </c>
      <c r="B150" s="13" t="n">
        <v>21.917</v>
      </c>
      <c r="C150" s="13" t="n">
        <v>20.2</v>
      </c>
      <c r="D150" s="12" t="s">
        <v>419</v>
      </c>
      <c r="E150" s="12" t="s">
        <v>30</v>
      </c>
      <c r="F150" s="12" t="s">
        <v>420</v>
      </c>
      <c r="G150" s="12" t="s">
        <v>41</v>
      </c>
      <c r="H150" s="14" t="n">
        <v>46276</v>
      </c>
      <c r="I150" s="14" t="n">
        <v>46276</v>
      </c>
      <c r="J150" s="12" t="s">
        <v>33</v>
      </c>
    </row>
    <row r="151" customFormat="false" ht="15" hidden="false" customHeight="true" outlineLevel="0" collapsed="false">
      <c r="A151" s="12" t="s">
        <v>421</v>
      </c>
      <c r="B151" s="13" t="n">
        <v>54.793</v>
      </c>
      <c r="C151" s="13" t="n">
        <v>50.5</v>
      </c>
      <c r="D151" s="12" t="s">
        <v>422</v>
      </c>
      <c r="E151" s="12" t="s">
        <v>30</v>
      </c>
      <c r="F151" s="12" t="s">
        <v>423</v>
      </c>
      <c r="G151" s="12" t="s">
        <v>45</v>
      </c>
      <c r="H151" s="14" t="n">
        <v>46276</v>
      </c>
      <c r="I151" s="14" t="n">
        <v>46276</v>
      </c>
      <c r="J151" s="12" t="s">
        <v>33</v>
      </c>
    </row>
    <row r="152" customFormat="false" ht="15" hidden="false" customHeight="true" outlineLevel="0" collapsed="false">
      <c r="A152" s="12" t="s">
        <v>424</v>
      </c>
      <c r="B152" s="13" t="n">
        <v>109.585</v>
      </c>
      <c r="C152" s="13" t="n">
        <v>101</v>
      </c>
      <c r="D152" s="12" t="s">
        <v>425</v>
      </c>
      <c r="E152" s="12" t="s">
        <v>30</v>
      </c>
      <c r="F152" s="12" t="s">
        <v>81</v>
      </c>
      <c r="G152" s="12" t="s">
        <v>41</v>
      </c>
      <c r="H152" s="14" t="n">
        <v>46276</v>
      </c>
      <c r="I152" s="14" t="n">
        <v>46276</v>
      </c>
      <c r="J152" s="12" t="s">
        <v>33</v>
      </c>
    </row>
    <row r="153" customFormat="false" ht="15" hidden="false" customHeight="true" outlineLevel="0" collapsed="false">
      <c r="A153" s="12" t="s">
        <v>426</v>
      </c>
      <c r="B153" s="13" t="n">
        <v>43.147</v>
      </c>
      <c r="C153" s="13" t="n">
        <v>40.4</v>
      </c>
      <c r="D153" s="12" t="s">
        <v>427</v>
      </c>
      <c r="E153" s="12" t="s">
        <v>30</v>
      </c>
      <c r="F153" s="12" t="s">
        <v>428</v>
      </c>
      <c r="G153" s="12" t="s">
        <v>41</v>
      </c>
      <c r="H153" s="14" t="n">
        <v>46276</v>
      </c>
      <c r="I153" s="14" t="n">
        <v>46276</v>
      </c>
      <c r="J153" s="12" t="s">
        <v>33</v>
      </c>
    </row>
    <row r="154" customFormat="false" ht="15" hidden="false" customHeight="true" outlineLevel="0" collapsed="false">
      <c r="A154" s="12" t="s">
        <v>429</v>
      </c>
      <c r="B154" s="13" t="n">
        <v>32.532</v>
      </c>
      <c r="C154" s="13" t="n">
        <v>30.3</v>
      </c>
      <c r="D154" s="12" t="s">
        <v>430</v>
      </c>
      <c r="E154" s="12" t="s">
        <v>30</v>
      </c>
      <c r="F154" s="12" t="s">
        <v>431</v>
      </c>
      <c r="G154" s="12" t="s">
        <v>37</v>
      </c>
      <c r="H154" s="14" t="n">
        <v>46276</v>
      </c>
      <c r="I154" s="14" t="n">
        <v>46276</v>
      </c>
      <c r="J154" s="12" t="s">
        <v>33</v>
      </c>
    </row>
    <row r="155" customFormat="false" ht="15" hidden="false" customHeight="true" outlineLevel="0" collapsed="false">
      <c r="A155" s="12" t="s">
        <v>432</v>
      </c>
      <c r="B155" s="13" t="n">
        <v>109.585</v>
      </c>
      <c r="C155" s="13" t="n">
        <v>101</v>
      </c>
      <c r="D155" s="12" t="s">
        <v>433</v>
      </c>
      <c r="E155" s="12" t="s">
        <v>30</v>
      </c>
      <c r="F155" s="12" t="s">
        <v>434</v>
      </c>
      <c r="G155" s="12" t="s">
        <v>37</v>
      </c>
      <c r="H155" s="14" t="n">
        <v>46276</v>
      </c>
      <c r="I155" s="14" t="n">
        <v>46276</v>
      </c>
      <c r="J155" s="12" t="s">
        <v>33</v>
      </c>
    </row>
    <row r="156" customFormat="false" ht="15" hidden="false" customHeight="true" outlineLevel="0" collapsed="false">
      <c r="A156" s="12" t="s">
        <v>435</v>
      </c>
      <c r="B156" s="13" t="n">
        <v>26.203</v>
      </c>
      <c r="C156" s="13" t="n">
        <v>24.24</v>
      </c>
      <c r="D156" s="12" t="s">
        <v>436</v>
      </c>
      <c r="E156" s="12" t="s">
        <v>30</v>
      </c>
      <c r="F156" s="12" t="s">
        <v>437</v>
      </c>
      <c r="G156" s="12" t="s">
        <v>41</v>
      </c>
      <c r="H156" s="14" t="n">
        <v>46276</v>
      </c>
      <c r="I156" s="14" t="n">
        <v>46276</v>
      </c>
      <c r="J156" s="12" t="s">
        <v>33</v>
      </c>
    </row>
    <row r="157" customFormat="false" ht="15" hidden="false" customHeight="true" outlineLevel="0" collapsed="false">
      <c r="A157" s="12" t="s">
        <v>438</v>
      </c>
      <c r="B157" s="13" t="n">
        <v>21.574</v>
      </c>
      <c r="C157" s="13" t="n">
        <v>20.2</v>
      </c>
      <c r="D157" s="12" t="s">
        <v>439</v>
      </c>
      <c r="E157" s="12" t="s">
        <v>30</v>
      </c>
      <c r="F157" s="12" t="s">
        <v>440</v>
      </c>
      <c r="G157" s="12" t="s">
        <v>45</v>
      </c>
      <c r="H157" s="14" t="n">
        <v>46276</v>
      </c>
      <c r="I157" s="14" t="n">
        <v>46276</v>
      </c>
      <c r="J157" s="12" t="s">
        <v>33</v>
      </c>
    </row>
    <row r="158" customFormat="false" ht="15" hidden="false" customHeight="true" outlineLevel="0" collapsed="false">
      <c r="A158" s="12" t="s">
        <v>441</v>
      </c>
      <c r="B158" s="13" t="n">
        <v>84.92</v>
      </c>
      <c r="C158" s="13" t="n">
        <v>80.8</v>
      </c>
      <c r="D158" s="12" t="s">
        <v>136</v>
      </c>
      <c r="E158" s="12" t="s">
        <v>30</v>
      </c>
      <c r="F158" s="12" t="s">
        <v>137</v>
      </c>
      <c r="G158" s="12" t="s">
        <v>41</v>
      </c>
      <c r="H158" s="14" t="n">
        <v>46276</v>
      </c>
      <c r="I158" s="14" t="n">
        <v>46276</v>
      </c>
      <c r="J158" s="12" t="s">
        <v>33</v>
      </c>
    </row>
    <row r="159" customFormat="false" ht="15" hidden="false" customHeight="true" outlineLevel="0" collapsed="false">
      <c r="A159" s="12" t="s">
        <v>442</v>
      </c>
      <c r="B159" s="13" t="n">
        <v>157.89</v>
      </c>
      <c r="C159" s="13" t="n">
        <v>147.46</v>
      </c>
      <c r="D159" s="12" t="s">
        <v>443</v>
      </c>
      <c r="E159" s="12" t="s">
        <v>30</v>
      </c>
      <c r="F159" s="12" t="s">
        <v>444</v>
      </c>
      <c r="G159" s="12" t="s">
        <v>37</v>
      </c>
      <c r="H159" s="14" t="n">
        <v>46276</v>
      </c>
      <c r="I159" s="14" t="n">
        <v>46276</v>
      </c>
      <c r="J159" s="12" t="s">
        <v>33</v>
      </c>
    </row>
    <row r="160" customFormat="false" ht="15" hidden="false" customHeight="true" outlineLevel="0" collapsed="false">
      <c r="A160" s="12" t="s">
        <v>445</v>
      </c>
      <c r="B160" s="13" t="n">
        <v>39.305</v>
      </c>
      <c r="C160" s="13" t="n">
        <v>36.36</v>
      </c>
      <c r="D160" s="12" t="s">
        <v>439</v>
      </c>
      <c r="E160" s="12" t="s">
        <v>30</v>
      </c>
      <c r="F160" s="12" t="s">
        <v>440</v>
      </c>
      <c r="G160" s="12" t="s">
        <v>45</v>
      </c>
      <c r="H160" s="14" t="n">
        <v>46276</v>
      </c>
      <c r="I160" s="14" t="n">
        <v>46276</v>
      </c>
      <c r="J160" s="12" t="s">
        <v>33</v>
      </c>
    </row>
    <row r="161" customFormat="false" ht="15" hidden="false" customHeight="true" outlineLevel="0" collapsed="false">
      <c r="A161" s="12" t="s">
        <v>446</v>
      </c>
      <c r="B161" s="13" t="n">
        <v>65.508</v>
      </c>
      <c r="C161" s="13" t="n">
        <v>60.6</v>
      </c>
      <c r="D161" s="12" t="s">
        <v>447</v>
      </c>
      <c r="E161" s="12" t="s">
        <v>30</v>
      </c>
      <c r="F161" s="12" t="s">
        <v>448</v>
      </c>
      <c r="G161" s="12" t="s">
        <v>45</v>
      </c>
      <c r="H161" s="14" t="n">
        <v>46276</v>
      </c>
      <c r="I161" s="14" t="n">
        <v>46276</v>
      </c>
      <c r="J161" s="12" t="s">
        <v>33</v>
      </c>
    </row>
    <row r="162" customFormat="false" ht="15" hidden="false" customHeight="true" outlineLevel="0" collapsed="false">
      <c r="A162" s="12" t="s">
        <v>449</v>
      </c>
      <c r="B162" s="13" t="n">
        <v>1515.57</v>
      </c>
      <c r="C162" s="13" t="n">
        <v>1470</v>
      </c>
      <c r="D162" s="12" t="s">
        <v>450</v>
      </c>
      <c r="E162" s="12" t="s">
        <v>30</v>
      </c>
      <c r="F162" s="12" t="s">
        <v>451</v>
      </c>
      <c r="G162" s="12" t="s">
        <v>37</v>
      </c>
      <c r="H162" s="14" t="n">
        <v>46276</v>
      </c>
      <c r="I162" s="14" t="n">
        <v>46276</v>
      </c>
      <c r="J162" s="12" t="s">
        <v>33</v>
      </c>
    </row>
    <row r="163" customFormat="false" ht="15" hidden="false" customHeight="true" outlineLevel="0" collapsed="false">
      <c r="A163" s="12" t="s">
        <v>452</v>
      </c>
      <c r="B163" s="13" t="n">
        <v>104.822</v>
      </c>
      <c r="C163" s="13" t="n">
        <v>100.5</v>
      </c>
      <c r="D163" s="12" t="s">
        <v>453</v>
      </c>
      <c r="E163" s="12" t="s">
        <v>30</v>
      </c>
      <c r="F163" s="12" t="s">
        <v>454</v>
      </c>
      <c r="G163" s="12" t="s">
        <v>37</v>
      </c>
      <c r="H163" s="14" t="n">
        <v>46276</v>
      </c>
      <c r="I163" s="14" t="n">
        <v>46276</v>
      </c>
      <c r="J163" s="12" t="s">
        <v>33</v>
      </c>
    </row>
    <row r="164" customFormat="false" ht="15" hidden="false" customHeight="true" outlineLevel="0" collapsed="false">
      <c r="A164" s="12" t="s">
        <v>455</v>
      </c>
      <c r="B164" s="13" t="n">
        <v>328.755</v>
      </c>
      <c r="C164" s="13" t="n">
        <v>303</v>
      </c>
      <c r="D164" s="12" t="s">
        <v>456</v>
      </c>
      <c r="E164" s="12" t="s">
        <v>30</v>
      </c>
      <c r="F164" s="12" t="s">
        <v>98</v>
      </c>
      <c r="G164" s="12" t="s">
        <v>37</v>
      </c>
      <c r="H164" s="14" t="n">
        <v>46276</v>
      </c>
      <c r="I164" s="14" t="n">
        <v>46276</v>
      </c>
      <c r="J164" s="12" t="s">
        <v>33</v>
      </c>
    </row>
    <row r="165" customFormat="false" ht="15" hidden="false" customHeight="true" outlineLevel="0" collapsed="false">
      <c r="A165" s="12" t="s">
        <v>457</v>
      </c>
      <c r="B165" s="13" t="n">
        <v>105.396</v>
      </c>
      <c r="C165" s="13" t="n">
        <v>97.2</v>
      </c>
      <c r="D165" s="12" t="s">
        <v>458</v>
      </c>
      <c r="E165" s="12" t="s">
        <v>30</v>
      </c>
      <c r="F165" s="12" t="s">
        <v>459</v>
      </c>
      <c r="G165" s="12" t="s">
        <v>45</v>
      </c>
      <c r="H165" s="14" t="n">
        <v>46276</v>
      </c>
      <c r="I165" s="14" t="n">
        <v>46276</v>
      </c>
      <c r="J165" s="12" t="s">
        <v>33</v>
      </c>
    </row>
    <row r="166" customFormat="false" ht="15" hidden="false" customHeight="true" outlineLevel="0" collapsed="false">
      <c r="A166" s="12" t="s">
        <v>460</v>
      </c>
      <c r="B166" s="13" t="n">
        <v>113.954</v>
      </c>
      <c r="C166" s="13" t="n">
        <v>107.06</v>
      </c>
      <c r="D166" s="12" t="s">
        <v>461</v>
      </c>
      <c r="E166" s="12" t="s">
        <v>30</v>
      </c>
      <c r="F166" s="12" t="s">
        <v>462</v>
      </c>
      <c r="G166" s="12" t="s">
        <v>41</v>
      </c>
      <c r="H166" s="14" t="n">
        <v>46276</v>
      </c>
      <c r="I166" s="14" t="n">
        <v>46276</v>
      </c>
      <c r="J166" s="12" t="s">
        <v>33</v>
      </c>
    </row>
    <row r="167" customFormat="false" ht="15" hidden="false" customHeight="true" outlineLevel="0" collapsed="false">
      <c r="A167" s="12" t="s">
        <v>463</v>
      </c>
      <c r="B167" s="13" t="n">
        <v>106.151</v>
      </c>
      <c r="C167" s="13" t="n">
        <v>101</v>
      </c>
      <c r="D167" s="12" t="s">
        <v>464</v>
      </c>
      <c r="E167" s="12" t="s">
        <v>30</v>
      </c>
      <c r="F167" s="12" t="s">
        <v>465</v>
      </c>
      <c r="G167" s="12" t="s">
        <v>37</v>
      </c>
      <c r="H167" s="14" t="n">
        <v>46276</v>
      </c>
      <c r="I167" s="14" t="n">
        <v>46276</v>
      </c>
      <c r="J167" s="12" t="s">
        <v>33</v>
      </c>
    </row>
    <row r="168" customFormat="false" ht="15" hidden="false" customHeight="true" outlineLevel="0" collapsed="false">
      <c r="A168" s="12" t="s">
        <v>466</v>
      </c>
      <c r="B168" s="13" t="n">
        <v>195.013</v>
      </c>
      <c r="C168" s="13" t="n">
        <v>180.4</v>
      </c>
      <c r="D168" s="12" t="s">
        <v>467</v>
      </c>
      <c r="E168" s="12" t="s">
        <v>30</v>
      </c>
      <c r="F168" s="12" t="s">
        <v>468</v>
      </c>
      <c r="G168" s="12" t="s">
        <v>45</v>
      </c>
      <c r="H168" s="14" t="n">
        <v>46276</v>
      </c>
      <c r="I168" s="14" t="n">
        <v>46276</v>
      </c>
      <c r="J168" s="12" t="s">
        <v>33</v>
      </c>
    </row>
    <row r="169" customFormat="false" ht="15" hidden="false" customHeight="true" outlineLevel="0" collapsed="false">
      <c r="A169" s="12" t="s">
        <v>469</v>
      </c>
      <c r="B169" s="13" t="n">
        <v>212.302</v>
      </c>
      <c r="C169" s="13" t="n">
        <v>202</v>
      </c>
      <c r="D169" s="12" t="s">
        <v>470</v>
      </c>
      <c r="E169" s="12" t="s">
        <v>30</v>
      </c>
      <c r="F169" s="12" t="s">
        <v>471</v>
      </c>
      <c r="G169" s="12" t="s">
        <v>37</v>
      </c>
      <c r="H169" s="14" t="n">
        <v>46276</v>
      </c>
      <c r="I169" s="14" t="n">
        <v>46276</v>
      </c>
      <c r="J169" s="12" t="s">
        <v>33</v>
      </c>
    </row>
    <row r="170" customFormat="false" ht="15" hidden="false" customHeight="true" outlineLevel="0" collapsed="false">
      <c r="A170" s="12" t="s">
        <v>472</v>
      </c>
      <c r="B170" s="13" t="n">
        <v>85.271</v>
      </c>
      <c r="C170" s="13" t="n">
        <v>80.6</v>
      </c>
      <c r="D170" s="12" t="s">
        <v>473</v>
      </c>
      <c r="E170" s="12" t="s">
        <v>30</v>
      </c>
      <c r="F170" s="12" t="s">
        <v>474</v>
      </c>
      <c r="G170" s="12" t="s">
        <v>37</v>
      </c>
      <c r="H170" s="14" t="n">
        <v>46276</v>
      </c>
      <c r="I170" s="14" t="n">
        <v>46276</v>
      </c>
      <c r="J170" s="12" t="s">
        <v>33</v>
      </c>
    </row>
    <row r="171" customFormat="false" ht="15" hidden="false" customHeight="true" outlineLevel="0" collapsed="false">
      <c r="A171" s="12" t="s">
        <v>475</v>
      </c>
      <c r="B171" s="13" t="n">
        <v>145.042</v>
      </c>
      <c r="C171" s="13" t="n">
        <v>133.8</v>
      </c>
      <c r="D171" s="12" t="s">
        <v>476</v>
      </c>
      <c r="E171" s="12" t="s">
        <v>30</v>
      </c>
      <c r="F171" s="12" t="s">
        <v>477</v>
      </c>
      <c r="G171" s="12" t="s">
        <v>45</v>
      </c>
      <c r="H171" s="14" t="n">
        <v>46276</v>
      </c>
      <c r="I171" s="14" t="n">
        <v>46276</v>
      </c>
      <c r="J171" s="12" t="s">
        <v>33</v>
      </c>
    </row>
    <row r="172" customFormat="false" ht="15" hidden="false" customHeight="true" outlineLevel="0" collapsed="false">
      <c r="A172" s="12" t="s">
        <v>478</v>
      </c>
      <c r="B172" s="13" t="n">
        <v>97.698</v>
      </c>
      <c r="C172" s="13" t="n">
        <v>90.9</v>
      </c>
      <c r="D172" s="12" t="s">
        <v>479</v>
      </c>
      <c r="E172" s="12" t="s">
        <v>30</v>
      </c>
      <c r="F172" s="12" t="s">
        <v>480</v>
      </c>
      <c r="G172" s="12" t="s">
        <v>41</v>
      </c>
      <c r="H172" s="14" t="n">
        <v>46276</v>
      </c>
      <c r="I172" s="14" t="n">
        <v>46276</v>
      </c>
      <c r="J172" s="12" t="s">
        <v>33</v>
      </c>
    </row>
    <row r="173" customFormat="false" ht="15" hidden="false" customHeight="true" outlineLevel="0" collapsed="false">
      <c r="A173" s="12" t="s">
        <v>481</v>
      </c>
      <c r="B173" s="13" t="n">
        <v>72.521</v>
      </c>
      <c r="C173" s="13" t="n">
        <v>66.9</v>
      </c>
      <c r="D173" s="12" t="s">
        <v>482</v>
      </c>
      <c r="E173" s="12" t="s">
        <v>30</v>
      </c>
      <c r="F173" s="12" t="s">
        <v>142</v>
      </c>
      <c r="G173" s="12" t="s">
        <v>37</v>
      </c>
      <c r="H173" s="14" t="n">
        <v>46276</v>
      </c>
      <c r="I173" s="14" t="n">
        <v>46276</v>
      </c>
      <c r="J173" s="12" t="s">
        <v>33</v>
      </c>
    </row>
    <row r="174" customFormat="false" ht="15" hidden="false" customHeight="true" outlineLevel="0" collapsed="false">
      <c r="A174" s="12" t="s">
        <v>483</v>
      </c>
      <c r="B174" s="13" t="n">
        <v>141.827</v>
      </c>
      <c r="C174" s="13" t="n">
        <v>131.2</v>
      </c>
      <c r="D174" s="12" t="s">
        <v>484</v>
      </c>
      <c r="E174" s="12" t="s">
        <v>30</v>
      </c>
      <c r="F174" s="12" t="s">
        <v>485</v>
      </c>
      <c r="G174" s="12" t="s">
        <v>37</v>
      </c>
      <c r="H174" s="14" t="n">
        <v>46276</v>
      </c>
      <c r="I174" s="14" t="n">
        <v>46276</v>
      </c>
      <c r="J174" s="12" t="s">
        <v>33</v>
      </c>
    </row>
    <row r="175" customFormat="false" ht="15" hidden="false" customHeight="true" outlineLevel="0" collapsed="false">
      <c r="A175" s="12" t="s">
        <v>486</v>
      </c>
      <c r="B175" s="13" t="n">
        <v>336.84</v>
      </c>
      <c r="C175" s="13" t="n">
        <v>311.6</v>
      </c>
      <c r="D175" s="12" t="s">
        <v>467</v>
      </c>
      <c r="E175" s="12" t="s">
        <v>30</v>
      </c>
      <c r="F175" s="12" t="s">
        <v>468</v>
      </c>
      <c r="G175" s="12" t="s">
        <v>45</v>
      </c>
      <c r="H175" s="14" t="n">
        <v>46276</v>
      </c>
      <c r="I175" s="14" t="n">
        <v>46276</v>
      </c>
      <c r="J175" s="12" t="s">
        <v>33</v>
      </c>
    </row>
    <row r="176" customFormat="false" ht="15" hidden="false" customHeight="true" outlineLevel="0" collapsed="false">
      <c r="A176" s="12" t="s">
        <v>487</v>
      </c>
      <c r="B176" s="13" t="n">
        <v>35.458</v>
      </c>
      <c r="C176" s="13" t="n">
        <v>32.8</v>
      </c>
      <c r="D176" s="12" t="s">
        <v>488</v>
      </c>
      <c r="E176" s="12" t="s">
        <v>30</v>
      </c>
      <c r="F176" s="12" t="s">
        <v>489</v>
      </c>
      <c r="G176" s="12" t="s">
        <v>45</v>
      </c>
      <c r="H176" s="14" t="n">
        <v>46276</v>
      </c>
      <c r="I176" s="14" t="n">
        <v>46276</v>
      </c>
      <c r="J176" s="12" t="s">
        <v>33</v>
      </c>
    </row>
    <row r="177" customFormat="false" ht="15" hidden="false" customHeight="true" outlineLevel="0" collapsed="false">
      <c r="A177" s="12" t="s">
        <v>490</v>
      </c>
      <c r="B177" s="13" t="n">
        <v>53.325</v>
      </c>
      <c r="C177" s="13" t="n">
        <v>45</v>
      </c>
      <c r="D177" s="12" t="s">
        <v>265</v>
      </c>
      <c r="E177" s="12" t="s">
        <v>30</v>
      </c>
      <c r="F177" s="12" t="s">
        <v>239</v>
      </c>
      <c r="G177" s="12" t="s">
        <v>240</v>
      </c>
      <c r="H177" s="14" t="n">
        <v>46276</v>
      </c>
      <c r="I177" s="14" t="n">
        <v>46276</v>
      </c>
      <c r="J177" s="12" t="s">
        <v>33</v>
      </c>
    </row>
    <row r="178" customFormat="false" ht="15" hidden="false" customHeight="true" outlineLevel="0" collapsed="false">
      <c r="A178" s="12" t="s">
        <v>491</v>
      </c>
      <c r="B178" s="13" t="n">
        <v>1089</v>
      </c>
      <c r="C178" s="13" t="n">
        <v>1000</v>
      </c>
      <c r="D178" s="12" t="s">
        <v>470</v>
      </c>
      <c r="E178" s="12" t="s">
        <v>30</v>
      </c>
      <c r="F178" s="12" t="s">
        <v>471</v>
      </c>
      <c r="G178" s="12" t="s">
        <v>37</v>
      </c>
      <c r="H178" s="14" t="n">
        <v>46276</v>
      </c>
      <c r="I178" s="14" t="n">
        <v>46276</v>
      </c>
      <c r="J178" s="12" t="s">
        <v>33</v>
      </c>
    </row>
    <row r="179" customFormat="false" ht="15" hidden="false" customHeight="true" outlineLevel="0" collapsed="false">
      <c r="A179" s="12" t="s">
        <v>492</v>
      </c>
      <c r="B179" s="13" t="n">
        <v>252.407</v>
      </c>
      <c r="C179" s="13" t="n">
        <v>232.32</v>
      </c>
      <c r="D179" s="12" t="s">
        <v>493</v>
      </c>
      <c r="E179" s="12" t="s">
        <v>30</v>
      </c>
      <c r="F179" s="12" t="s">
        <v>465</v>
      </c>
      <c r="G179" s="12" t="s">
        <v>37</v>
      </c>
      <c r="H179" s="14" t="n">
        <v>46276</v>
      </c>
      <c r="I179" s="14" t="n">
        <v>46276</v>
      </c>
      <c r="J179" s="12" t="s">
        <v>33</v>
      </c>
    </row>
    <row r="180" customFormat="false" ht="15" hidden="false" customHeight="true" outlineLevel="0" collapsed="false">
      <c r="A180" s="12" t="s">
        <v>494</v>
      </c>
      <c r="B180" s="13" t="n">
        <v>54.793</v>
      </c>
      <c r="C180" s="13" t="n">
        <v>50.5</v>
      </c>
      <c r="D180" s="12" t="s">
        <v>495</v>
      </c>
      <c r="E180" s="12" t="s">
        <v>30</v>
      </c>
      <c r="F180" s="12" t="s">
        <v>40</v>
      </c>
      <c r="G180" s="12" t="s">
        <v>41</v>
      </c>
      <c r="H180" s="14" t="n">
        <v>46276</v>
      </c>
      <c r="I180" s="14" t="n">
        <v>46279</v>
      </c>
      <c r="J180" s="12" t="s">
        <v>33</v>
      </c>
    </row>
    <row r="181" customFormat="false" ht="15" hidden="false" customHeight="true" outlineLevel="0" collapsed="false">
      <c r="A181" s="12" t="s">
        <v>496</v>
      </c>
      <c r="B181" s="13" t="n">
        <v>265.547</v>
      </c>
      <c r="C181" s="13" t="n">
        <v>245.44</v>
      </c>
      <c r="D181" s="12" t="s">
        <v>497</v>
      </c>
      <c r="E181" s="12" t="s">
        <v>30</v>
      </c>
      <c r="F181" s="12" t="s">
        <v>95</v>
      </c>
      <c r="G181" s="12" t="s">
        <v>41</v>
      </c>
      <c r="H181" s="14" t="n">
        <v>46276</v>
      </c>
      <c r="I181" s="14" t="n">
        <v>46279</v>
      </c>
      <c r="J181" s="12" t="s">
        <v>33</v>
      </c>
    </row>
    <row r="182" customFormat="false" ht="15" hidden="false" customHeight="true" outlineLevel="0" collapsed="false">
      <c r="A182" s="12" t="s">
        <v>498</v>
      </c>
      <c r="B182" s="13" t="n">
        <v>228.802</v>
      </c>
      <c r="C182" s="13" t="n">
        <v>213.06</v>
      </c>
      <c r="D182" s="12" t="s">
        <v>499</v>
      </c>
      <c r="E182" s="12" t="s">
        <v>30</v>
      </c>
      <c r="F182" s="12" t="s">
        <v>459</v>
      </c>
      <c r="G182" s="12" t="s">
        <v>45</v>
      </c>
      <c r="H182" s="14" t="n">
        <v>46276</v>
      </c>
      <c r="I182" s="14" t="n">
        <v>46276</v>
      </c>
      <c r="J182" s="12" t="s">
        <v>33</v>
      </c>
    </row>
    <row r="183" customFormat="false" ht="15" hidden="false" customHeight="true" outlineLevel="0" collapsed="false">
      <c r="A183" s="12" t="s">
        <v>500</v>
      </c>
      <c r="B183" s="13" t="n">
        <v>545.07</v>
      </c>
      <c r="C183" s="13" t="n">
        <v>501</v>
      </c>
      <c r="D183" s="12" t="s">
        <v>501</v>
      </c>
      <c r="E183" s="12" t="s">
        <v>30</v>
      </c>
      <c r="F183" s="12" t="s">
        <v>40</v>
      </c>
      <c r="G183" s="12" t="s">
        <v>41</v>
      </c>
      <c r="H183" s="14" t="n">
        <v>46276</v>
      </c>
      <c r="I183" s="14" t="n">
        <v>46279</v>
      </c>
      <c r="J183" s="12" t="s">
        <v>33</v>
      </c>
    </row>
    <row r="184" customFormat="false" ht="15" hidden="false" customHeight="true" outlineLevel="0" collapsed="false">
      <c r="A184" s="12" t="s">
        <v>502</v>
      </c>
      <c r="B184" s="13" t="n">
        <v>1448.896</v>
      </c>
      <c r="C184" s="13" t="n">
        <v>1343.3</v>
      </c>
      <c r="D184" s="12" t="s">
        <v>503</v>
      </c>
      <c r="E184" s="12" t="s">
        <v>30</v>
      </c>
      <c r="F184" s="12" t="s">
        <v>504</v>
      </c>
      <c r="G184" s="12" t="s">
        <v>41</v>
      </c>
      <c r="H184" s="14" t="n">
        <v>46276</v>
      </c>
      <c r="I184" s="14" t="n">
        <v>46279</v>
      </c>
      <c r="J184" s="12" t="s">
        <v>33</v>
      </c>
    </row>
    <row r="185" customFormat="false" ht="15" hidden="false" customHeight="true" outlineLevel="0" collapsed="false">
      <c r="A185" s="12" t="s">
        <v>505</v>
      </c>
      <c r="B185" s="13" t="n">
        <v>553.284</v>
      </c>
      <c r="C185" s="13" t="n">
        <v>509.66</v>
      </c>
      <c r="D185" s="12" t="s">
        <v>506</v>
      </c>
      <c r="E185" s="12" t="s">
        <v>30</v>
      </c>
      <c r="F185" s="12" t="s">
        <v>507</v>
      </c>
      <c r="G185" s="12" t="s">
        <v>41</v>
      </c>
      <c r="H185" s="14" t="n">
        <v>46276</v>
      </c>
      <c r="I185" s="14" t="n">
        <v>46279</v>
      </c>
      <c r="J185" s="12" t="s">
        <v>33</v>
      </c>
    </row>
    <row r="186" customFormat="false" ht="15" hidden="false" customHeight="true" outlineLevel="0" collapsed="false">
      <c r="A186" s="12" t="s">
        <v>508</v>
      </c>
      <c r="B186" s="13" t="n">
        <v>80.996</v>
      </c>
      <c r="C186" s="13" t="n">
        <v>74.74</v>
      </c>
      <c r="D186" s="12" t="s">
        <v>509</v>
      </c>
      <c r="E186" s="12" t="s">
        <v>30</v>
      </c>
      <c r="F186" s="12" t="s">
        <v>510</v>
      </c>
      <c r="G186" s="12" t="s">
        <v>45</v>
      </c>
      <c r="H186" s="14" t="n">
        <v>46276</v>
      </c>
      <c r="I186" s="14" t="n">
        <v>46276</v>
      </c>
      <c r="J186" s="12" t="s">
        <v>33</v>
      </c>
    </row>
    <row r="187" customFormat="false" ht="15" hidden="false" customHeight="true" outlineLevel="0" collapsed="false">
      <c r="A187" s="12" t="s">
        <v>511</v>
      </c>
      <c r="B187" s="13" t="n">
        <v>72.181</v>
      </c>
      <c r="C187" s="13" t="n">
        <v>66.66</v>
      </c>
      <c r="D187" s="12" t="s">
        <v>512</v>
      </c>
      <c r="E187" s="12" t="s">
        <v>30</v>
      </c>
      <c r="F187" s="12" t="s">
        <v>513</v>
      </c>
      <c r="G187" s="12" t="s">
        <v>45</v>
      </c>
      <c r="H187" s="14" t="n">
        <v>46276</v>
      </c>
      <c r="I187" s="14" t="n">
        <v>46276</v>
      </c>
      <c r="J187" s="12" t="s">
        <v>33</v>
      </c>
    </row>
    <row r="188" customFormat="false" ht="15" hidden="false" customHeight="true" outlineLevel="0" collapsed="false">
      <c r="A188" s="12" t="s">
        <v>514</v>
      </c>
      <c r="B188" s="13" t="n">
        <v>86.981</v>
      </c>
      <c r="C188" s="13" t="n">
        <v>80.8</v>
      </c>
      <c r="D188" s="12" t="s">
        <v>515</v>
      </c>
      <c r="E188" s="12" t="s">
        <v>30</v>
      </c>
      <c r="F188" s="12" t="s">
        <v>98</v>
      </c>
      <c r="G188" s="12" t="s">
        <v>37</v>
      </c>
      <c r="H188" s="14" t="n">
        <v>46276</v>
      </c>
      <c r="I188" s="14" t="n">
        <v>46276</v>
      </c>
      <c r="J188" s="12" t="s">
        <v>33</v>
      </c>
    </row>
    <row r="189" customFormat="false" ht="15" hidden="false" customHeight="true" outlineLevel="0" collapsed="false">
      <c r="A189" s="12" t="s">
        <v>516</v>
      </c>
      <c r="B189" s="13" t="n">
        <v>54.793</v>
      </c>
      <c r="C189" s="13" t="n">
        <v>50.5</v>
      </c>
      <c r="D189" s="12" t="s">
        <v>517</v>
      </c>
      <c r="E189" s="12" t="s">
        <v>30</v>
      </c>
      <c r="F189" s="12" t="s">
        <v>518</v>
      </c>
      <c r="G189" s="12" t="s">
        <v>37</v>
      </c>
      <c r="H189" s="14" t="n">
        <v>46276</v>
      </c>
      <c r="I189" s="14" t="n">
        <v>46276</v>
      </c>
      <c r="J189" s="12" t="s">
        <v>33</v>
      </c>
    </row>
    <row r="190" customFormat="false" ht="15" hidden="false" customHeight="true" outlineLevel="0" collapsed="false">
      <c r="A190" s="12" t="s">
        <v>519</v>
      </c>
      <c r="B190" s="13" t="n">
        <v>109.585</v>
      </c>
      <c r="C190" s="13" t="n">
        <v>101</v>
      </c>
      <c r="D190" s="12" t="s">
        <v>419</v>
      </c>
      <c r="E190" s="12" t="s">
        <v>30</v>
      </c>
      <c r="F190" s="12" t="s">
        <v>420</v>
      </c>
      <c r="G190" s="12" t="s">
        <v>41</v>
      </c>
      <c r="H190" s="14" t="n">
        <v>46276</v>
      </c>
      <c r="I190" s="14" t="n">
        <v>46279</v>
      </c>
      <c r="J190" s="12" t="s">
        <v>33</v>
      </c>
    </row>
    <row r="191" customFormat="false" ht="15" hidden="false" customHeight="true" outlineLevel="0" collapsed="false">
      <c r="A191" s="12" t="s">
        <v>520</v>
      </c>
      <c r="B191" s="13" t="n">
        <v>109.585</v>
      </c>
      <c r="C191" s="13" t="n">
        <v>101</v>
      </c>
      <c r="D191" s="12" t="s">
        <v>521</v>
      </c>
      <c r="E191" s="12" t="s">
        <v>30</v>
      </c>
      <c r="F191" s="12" t="s">
        <v>522</v>
      </c>
      <c r="G191" s="12" t="s">
        <v>41</v>
      </c>
      <c r="H191" s="14" t="n">
        <v>46276</v>
      </c>
      <c r="I191" s="14" t="n">
        <v>46279</v>
      </c>
      <c r="J191" s="12" t="s">
        <v>33</v>
      </c>
    </row>
    <row r="192" customFormat="false" ht="15" hidden="false" customHeight="true" outlineLevel="0" collapsed="false">
      <c r="A192" s="12" t="s">
        <v>523</v>
      </c>
      <c r="B192" s="13" t="n">
        <v>273.963</v>
      </c>
      <c r="C192" s="13" t="n">
        <v>252.5</v>
      </c>
      <c r="D192" s="12" t="s">
        <v>524</v>
      </c>
      <c r="E192" s="12" t="s">
        <v>30</v>
      </c>
      <c r="F192" s="12" t="s">
        <v>525</v>
      </c>
      <c r="G192" s="12" t="s">
        <v>37</v>
      </c>
      <c r="H192" s="14" t="n">
        <v>46276</v>
      </c>
      <c r="I192" s="14" t="n">
        <v>46276</v>
      </c>
      <c r="J192" s="12" t="s">
        <v>33</v>
      </c>
    </row>
    <row r="193" customFormat="false" ht="15" hidden="false" customHeight="true" outlineLevel="0" collapsed="false">
      <c r="A193" s="12" t="s">
        <v>526</v>
      </c>
      <c r="B193" s="13" t="n">
        <v>85.607</v>
      </c>
      <c r="C193" s="13" t="n">
        <v>80.8</v>
      </c>
      <c r="D193" s="12" t="s">
        <v>527</v>
      </c>
      <c r="E193" s="12" t="s">
        <v>30</v>
      </c>
      <c r="F193" s="12" t="s">
        <v>528</v>
      </c>
      <c r="G193" s="12" t="s">
        <v>41</v>
      </c>
      <c r="H193" s="14" t="n">
        <v>46276</v>
      </c>
      <c r="I193" s="14" t="n">
        <v>46279</v>
      </c>
      <c r="J193" s="12" t="s">
        <v>33</v>
      </c>
    </row>
    <row r="194" customFormat="false" ht="15" hidden="false" customHeight="true" outlineLevel="0" collapsed="false">
      <c r="A194" s="12" t="s">
        <v>529</v>
      </c>
      <c r="B194" s="13" t="n">
        <v>109.585</v>
      </c>
      <c r="C194" s="13" t="n">
        <v>101</v>
      </c>
      <c r="D194" s="12" t="s">
        <v>530</v>
      </c>
      <c r="E194" s="12" t="s">
        <v>30</v>
      </c>
      <c r="F194" s="12" t="s">
        <v>531</v>
      </c>
      <c r="G194" s="12" t="s">
        <v>37</v>
      </c>
      <c r="H194" s="14" t="n">
        <v>46276</v>
      </c>
      <c r="I194" s="14" t="n">
        <v>46276</v>
      </c>
      <c r="J194" s="12" t="s">
        <v>33</v>
      </c>
    </row>
    <row r="195" customFormat="false" ht="15" hidden="false" customHeight="true" outlineLevel="0" collapsed="false">
      <c r="A195" s="12" t="s">
        <v>532</v>
      </c>
      <c r="B195" s="13" t="n">
        <v>164.378</v>
      </c>
      <c r="C195" s="13" t="n">
        <v>151.5</v>
      </c>
      <c r="D195" s="12" t="s">
        <v>533</v>
      </c>
      <c r="E195" s="12" t="s">
        <v>30</v>
      </c>
      <c r="F195" s="12" t="s">
        <v>98</v>
      </c>
      <c r="G195" s="12" t="s">
        <v>37</v>
      </c>
      <c r="H195" s="14" t="n">
        <v>46276</v>
      </c>
      <c r="I195" s="14" t="n">
        <v>46276</v>
      </c>
      <c r="J195" s="12" t="s">
        <v>33</v>
      </c>
    </row>
    <row r="196" customFormat="false" ht="15" hidden="false" customHeight="true" outlineLevel="0" collapsed="false">
      <c r="A196" s="12" t="s">
        <v>534</v>
      </c>
      <c r="B196" s="13" t="n">
        <v>284.679</v>
      </c>
      <c r="C196" s="13" t="n">
        <v>262.6</v>
      </c>
      <c r="D196" s="12" t="s">
        <v>535</v>
      </c>
      <c r="E196" s="12" t="s">
        <v>30</v>
      </c>
      <c r="F196" s="12" t="s">
        <v>434</v>
      </c>
      <c r="G196" s="12" t="s">
        <v>37</v>
      </c>
      <c r="H196" s="14" t="n">
        <v>46276</v>
      </c>
      <c r="I196" s="14" t="n">
        <v>46276</v>
      </c>
      <c r="J196" s="12" t="s">
        <v>33</v>
      </c>
    </row>
    <row r="197" customFormat="false" ht="15" hidden="false" customHeight="true" outlineLevel="0" collapsed="false">
      <c r="A197" s="12" t="s">
        <v>536</v>
      </c>
      <c r="B197" s="13" t="n">
        <v>83.139</v>
      </c>
      <c r="C197" s="13" t="n">
        <v>76.76</v>
      </c>
      <c r="D197" s="12" t="s">
        <v>537</v>
      </c>
      <c r="E197" s="12" t="s">
        <v>30</v>
      </c>
      <c r="F197" s="12" t="s">
        <v>538</v>
      </c>
      <c r="G197" s="12" t="s">
        <v>45</v>
      </c>
      <c r="H197" s="14" t="n">
        <v>46276</v>
      </c>
      <c r="I197" s="14" t="n">
        <v>46276</v>
      </c>
      <c r="J197" s="12" t="s">
        <v>33</v>
      </c>
    </row>
    <row r="198" customFormat="false" ht="15" hidden="false" customHeight="true" outlineLevel="0" collapsed="false">
      <c r="A198" s="12" t="s">
        <v>539</v>
      </c>
      <c r="B198" s="13" t="n">
        <v>157.222</v>
      </c>
      <c r="C198" s="13" t="n">
        <v>145.44</v>
      </c>
      <c r="D198" s="12" t="s">
        <v>540</v>
      </c>
      <c r="E198" s="12" t="s">
        <v>30</v>
      </c>
      <c r="F198" s="12" t="s">
        <v>541</v>
      </c>
      <c r="G198" s="12" t="s">
        <v>45</v>
      </c>
      <c r="H198" s="14" t="n">
        <v>46276</v>
      </c>
      <c r="I198" s="14" t="n">
        <v>46276</v>
      </c>
      <c r="J198" s="12" t="s">
        <v>33</v>
      </c>
    </row>
    <row r="199" customFormat="false" ht="15" hidden="false" customHeight="true" outlineLevel="0" collapsed="false">
      <c r="A199" s="12" t="s">
        <v>542</v>
      </c>
      <c r="B199" s="13" t="n">
        <v>268.707</v>
      </c>
      <c r="C199" s="13" t="n">
        <v>248.46</v>
      </c>
      <c r="D199" s="12" t="s">
        <v>543</v>
      </c>
      <c r="E199" s="12" t="s">
        <v>30</v>
      </c>
      <c r="F199" s="12" t="s">
        <v>544</v>
      </c>
      <c r="G199" s="12" t="s">
        <v>37</v>
      </c>
      <c r="H199" s="14" t="n">
        <v>46276</v>
      </c>
      <c r="I199" s="14" t="n">
        <v>46276</v>
      </c>
      <c r="J199" s="12" t="s">
        <v>33</v>
      </c>
    </row>
    <row r="200" customFormat="false" ht="15" hidden="false" customHeight="true" outlineLevel="0" collapsed="false">
      <c r="A200" s="12" t="s">
        <v>545</v>
      </c>
      <c r="B200" s="13" t="n">
        <v>214.397</v>
      </c>
      <c r="C200" s="13" t="n">
        <v>197.96</v>
      </c>
      <c r="D200" s="12" t="s">
        <v>546</v>
      </c>
      <c r="E200" s="12" t="s">
        <v>30</v>
      </c>
      <c r="F200" s="12" t="s">
        <v>547</v>
      </c>
      <c r="G200" s="12" t="s">
        <v>41</v>
      </c>
      <c r="H200" s="14" t="n">
        <v>46276</v>
      </c>
      <c r="I200" s="14" t="n">
        <v>46279</v>
      </c>
      <c r="J200" s="12" t="s">
        <v>33</v>
      </c>
    </row>
    <row r="201" customFormat="false" ht="15" hidden="false" customHeight="true" outlineLevel="0" collapsed="false">
      <c r="A201" s="12" t="s">
        <v>548</v>
      </c>
      <c r="B201" s="13" t="n">
        <v>308.301</v>
      </c>
      <c r="C201" s="13" t="n">
        <v>285.2</v>
      </c>
      <c r="D201" s="12" t="s">
        <v>549</v>
      </c>
      <c r="E201" s="12" t="s">
        <v>30</v>
      </c>
      <c r="F201" s="12" t="s">
        <v>550</v>
      </c>
      <c r="G201" s="12" t="s">
        <v>41</v>
      </c>
      <c r="H201" s="14" t="n">
        <v>46276</v>
      </c>
      <c r="I201" s="14" t="n">
        <v>46279</v>
      </c>
      <c r="J201" s="12" t="s">
        <v>33</v>
      </c>
    </row>
    <row r="202" customFormat="false" ht="15" hidden="false" customHeight="true" outlineLevel="0" collapsed="false">
      <c r="A202" s="12" t="s">
        <v>551</v>
      </c>
      <c r="B202" s="13" t="n">
        <v>345.416</v>
      </c>
      <c r="C202" s="13" t="n">
        <v>319.16</v>
      </c>
      <c r="D202" s="12" t="s">
        <v>552</v>
      </c>
      <c r="E202" s="12" t="s">
        <v>30</v>
      </c>
      <c r="F202" s="12" t="s">
        <v>40</v>
      </c>
      <c r="G202" s="12" t="s">
        <v>41</v>
      </c>
      <c r="H202" s="14" t="n">
        <v>46276</v>
      </c>
      <c r="I202" s="14" t="n">
        <v>46279</v>
      </c>
      <c r="J202" s="12" t="s">
        <v>33</v>
      </c>
    </row>
    <row r="203" customFormat="false" ht="15" hidden="false" customHeight="true" outlineLevel="0" collapsed="false">
      <c r="A203" s="12" t="s">
        <v>553</v>
      </c>
      <c r="B203" s="13" t="n">
        <v>53.185</v>
      </c>
      <c r="C203" s="13" t="n">
        <v>49.2</v>
      </c>
      <c r="D203" s="12" t="s">
        <v>554</v>
      </c>
      <c r="E203" s="12" t="s">
        <v>30</v>
      </c>
      <c r="F203" s="12" t="s">
        <v>555</v>
      </c>
      <c r="G203" s="12" t="s">
        <v>45</v>
      </c>
      <c r="H203" s="14" t="n">
        <v>46276</v>
      </c>
      <c r="I203" s="14" t="n">
        <v>46276</v>
      </c>
      <c r="J203" s="12" t="s">
        <v>33</v>
      </c>
    </row>
    <row r="204" customFormat="false" ht="15" hidden="false" customHeight="true" outlineLevel="0" collapsed="false">
      <c r="A204" s="12" t="s">
        <v>556</v>
      </c>
      <c r="B204" s="13" t="n">
        <v>92.723</v>
      </c>
      <c r="C204" s="13" t="n">
        <v>85.62</v>
      </c>
      <c r="D204" s="12" t="s">
        <v>557</v>
      </c>
      <c r="E204" s="12" t="s">
        <v>30</v>
      </c>
      <c r="F204" s="12" t="s">
        <v>462</v>
      </c>
      <c r="G204" s="12" t="s">
        <v>41</v>
      </c>
      <c r="H204" s="14" t="n">
        <v>46276</v>
      </c>
      <c r="I204" s="14" t="n">
        <v>46279</v>
      </c>
      <c r="J204" s="12" t="s">
        <v>33</v>
      </c>
    </row>
    <row r="205" customFormat="false" ht="15" hidden="false" customHeight="true" outlineLevel="0" collapsed="false">
      <c r="A205" s="12" t="s">
        <v>558</v>
      </c>
      <c r="B205" s="13" t="n">
        <v>67.895</v>
      </c>
      <c r="C205" s="13" t="n">
        <v>62.62</v>
      </c>
      <c r="D205" s="12" t="s">
        <v>559</v>
      </c>
      <c r="E205" s="12" t="s">
        <v>30</v>
      </c>
      <c r="F205" s="12" t="s">
        <v>477</v>
      </c>
      <c r="G205" s="12" t="s">
        <v>45</v>
      </c>
      <c r="H205" s="14" t="n">
        <v>46276</v>
      </c>
      <c r="I205" s="14" t="n">
        <v>46276</v>
      </c>
      <c r="J205" s="12" t="s">
        <v>33</v>
      </c>
    </row>
    <row r="206" customFormat="false" ht="15" hidden="false" customHeight="true" outlineLevel="0" collapsed="false">
      <c r="A206" s="12" t="s">
        <v>560</v>
      </c>
      <c r="B206" s="13" t="n">
        <v>70.037</v>
      </c>
      <c r="C206" s="13" t="n">
        <v>64.64</v>
      </c>
      <c r="D206" s="12" t="s">
        <v>561</v>
      </c>
      <c r="E206" s="12" t="s">
        <v>30</v>
      </c>
      <c r="F206" s="12" t="s">
        <v>562</v>
      </c>
      <c r="G206" s="12" t="s">
        <v>37</v>
      </c>
      <c r="H206" s="14" t="n">
        <v>46276</v>
      </c>
      <c r="I206" s="14" t="n">
        <v>46276</v>
      </c>
      <c r="J206" s="12" t="s">
        <v>33</v>
      </c>
    </row>
    <row r="207" customFormat="false" ht="15" hidden="false" customHeight="true" outlineLevel="0" collapsed="false">
      <c r="A207" s="12" t="s">
        <v>563</v>
      </c>
      <c r="B207" s="13" t="n">
        <v>89.812</v>
      </c>
      <c r="C207" s="13" t="n">
        <v>82.82</v>
      </c>
      <c r="D207" s="12" t="s">
        <v>564</v>
      </c>
      <c r="E207" s="12" t="s">
        <v>30</v>
      </c>
      <c r="F207" s="12" t="s">
        <v>565</v>
      </c>
      <c r="G207" s="12" t="s">
        <v>45</v>
      </c>
      <c r="H207" s="14" t="n">
        <v>46276</v>
      </c>
      <c r="I207" s="14" t="n">
        <v>46276</v>
      </c>
      <c r="J207" s="12" t="s">
        <v>33</v>
      </c>
    </row>
    <row r="208" customFormat="false" ht="15" hidden="false" customHeight="true" outlineLevel="0" collapsed="false">
      <c r="A208" s="12" t="s">
        <v>566</v>
      </c>
      <c r="B208" s="13" t="n">
        <v>65.064</v>
      </c>
      <c r="C208" s="13" t="n">
        <v>60.6</v>
      </c>
      <c r="D208" s="12" t="s">
        <v>567</v>
      </c>
      <c r="E208" s="12" t="s">
        <v>30</v>
      </c>
      <c r="F208" s="12" t="s">
        <v>98</v>
      </c>
      <c r="G208" s="12" t="s">
        <v>37</v>
      </c>
      <c r="H208" s="14" t="n">
        <v>46276</v>
      </c>
      <c r="I208" s="14" t="n">
        <v>46276</v>
      </c>
      <c r="J208" s="12" t="s">
        <v>33</v>
      </c>
    </row>
    <row r="209" customFormat="false" ht="15" hidden="false" customHeight="true" outlineLevel="0" collapsed="false">
      <c r="A209" s="12" t="s">
        <v>568</v>
      </c>
      <c r="B209" s="13" t="n">
        <v>74.323</v>
      </c>
      <c r="C209" s="13" t="n">
        <v>68.68</v>
      </c>
      <c r="D209" s="12" t="s">
        <v>569</v>
      </c>
      <c r="E209" s="12" t="s">
        <v>30</v>
      </c>
      <c r="F209" s="12" t="s">
        <v>541</v>
      </c>
      <c r="G209" s="12" t="s">
        <v>45</v>
      </c>
      <c r="H209" s="14" t="n">
        <v>46276</v>
      </c>
      <c r="I209" s="14" t="n">
        <v>46276</v>
      </c>
      <c r="J209" s="12" t="s">
        <v>33</v>
      </c>
    </row>
    <row r="210" customFormat="false" ht="15" hidden="false" customHeight="true" outlineLevel="0" collapsed="false">
      <c r="A210" s="12" t="s">
        <v>570</v>
      </c>
      <c r="B210" s="13" t="n">
        <v>71.676</v>
      </c>
      <c r="C210" s="13" t="n">
        <v>65.6</v>
      </c>
      <c r="D210" s="12" t="s">
        <v>571</v>
      </c>
      <c r="E210" s="12" t="s">
        <v>30</v>
      </c>
      <c r="F210" s="12" t="s">
        <v>572</v>
      </c>
      <c r="G210" s="12" t="s">
        <v>37</v>
      </c>
      <c r="H210" s="14" t="n">
        <v>46276</v>
      </c>
      <c r="I210" s="14" t="n">
        <v>46276</v>
      </c>
      <c r="J210" s="12" t="s">
        <v>33</v>
      </c>
    </row>
    <row r="211" customFormat="false" ht="15" hidden="false" customHeight="true" outlineLevel="0" collapsed="false">
      <c r="A211" s="12" t="s">
        <v>573</v>
      </c>
      <c r="B211" s="13" t="n">
        <v>45.978</v>
      </c>
      <c r="C211" s="13" t="n">
        <v>42.42</v>
      </c>
      <c r="D211" s="12" t="s">
        <v>574</v>
      </c>
      <c r="E211" s="12" t="s">
        <v>30</v>
      </c>
      <c r="F211" s="12" t="s">
        <v>40</v>
      </c>
      <c r="G211" s="12" t="s">
        <v>41</v>
      </c>
      <c r="H211" s="14" t="n">
        <v>46276</v>
      </c>
      <c r="I211" s="14" t="n">
        <v>46279</v>
      </c>
      <c r="J211" s="12" t="s">
        <v>33</v>
      </c>
    </row>
    <row r="212" customFormat="false" ht="15" hidden="false" customHeight="true" outlineLevel="0" collapsed="false">
      <c r="A212" s="12" t="s">
        <v>575</v>
      </c>
      <c r="B212" s="13" t="n">
        <v>80.996</v>
      </c>
      <c r="C212" s="13" t="n">
        <v>74.74</v>
      </c>
      <c r="D212" s="12" t="s">
        <v>576</v>
      </c>
      <c r="E212" s="12" t="s">
        <v>30</v>
      </c>
      <c r="F212" s="12" t="s">
        <v>577</v>
      </c>
      <c r="G212" s="12" t="s">
        <v>45</v>
      </c>
      <c r="H212" s="14" t="n">
        <v>46276</v>
      </c>
      <c r="I212" s="14" t="n">
        <v>46276</v>
      </c>
      <c r="J212" s="12" t="s">
        <v>33</v>
      </c>
    </row>
    <row r="213" customFormat="false" ht="15" hidden="false" customHeight="true" outlineLevel="0" collapsed="false">
      <c r="A213" s="12" t="s">
        <v>578</v>
      </c>
      <c r="B213" s="13" t="n">
        <v>99.281</v>
      </c>
      <c r="C213" s="13" t="n">
        <v>91.44</v>
      </c>
      <c r="D213" s="12" t="s">
        <v>579</v>
      </c>
      <c r="E213" s="12" t="s">
        <v>30</v>
      </c>
      <c r="F213" s="12" t="s">
        <v>580</v>
      </c>
      <c r="G213" s="12" t="s">
        <v>45</v>
      </c>
      <c r="H213" s="14" t="n">
        <v>46276</v>
      </c>
      <c r="I213" s="14" t="n">
        <v>46279</v>
      </c>
      <c r="J213" s="12" t="s">
        <v>33</v>
      </c>
    </row>
    <row r="214" customFormat="false" ht="15" hidden="false" customHeight="true" outlineLevel="0" collapsed="false">
      <c r="A214" s="12" t="s">
        <v>581</v>
      </c>
      <c r="B214" s="13" t="n">
        <v>57.329</v>
      </c>
      <c r="C214" s="13" t="n">
        <v>52</v>
      </c>
      <c r="D214" s="12" t="s">
        <v>582</v>
      </c>
      <c r="E214" s="12" t="s">
        <v>30</v>
      </c>
      <c r="F214" s="12" t="s">
        <v>583</v>
      </c>
      <c r="G214" s="12" t="s">
        <v>37</v>
      </c>
      <c r="H214" s="14" t="n">
        <v>46276</v>
      </c>
      <c r="I214" s="14" t="n">
        <v>46276</v>
      </c>
      <c r="J214" s="12" t="s">
        <v>33</v>
      </c>
    </row>
    <row r="215" customFormat="false" ht="15" hidden="false" customHeight="true" outlineLevel="0" collapsed="false">
      <c r="A215" s="12" t="s">
        <v>584</v>
      </c>
      <c r="B215" s="13" t="n">
        <v>54.793</v>
      </c>
      <c r="C215" s="13" t="n">
        <v>50.5</v>
      </c>
      <c r="D215" s="12" t="s">
        <v>585</v>
      </c>
      <c r="E215" s="12" t="s">
        <v>30</v>
      </c>
      <c r="F215" s="12" t="s">
        <v>586</v>
      </c>
      <c r="G215" s="12" t="s">
        <v>37</v>
      </c>
      <c r="H215" s="14" t="n">
        <v>46276</v>
      </c>
      <c r="I215" s="14" t="n">
        <v>46276</v>
      </c>
      <c r="J215" s="12" t="s">
        <v>33</v>
      </c>
    </row>
    <row r="216" customFormat="false" ht="15" hidden="false" customHeight="true" outlineLevel="0" collapsed="false">
      <c r="A216" s="12" t="s">
        <v>587</v>
      </c>
      <c r="B216" s="13" t="n">
        <v>2158</v>
      </c>
      <c r="C216" s="13" t="n">
        <v>2000</v>
      </c>
      <c r="D216" s="12" t="s">
        <v>588</v>
      </c>
      <c r="E216" s="12" t="s">
        <v>248</v>
      </c>
      <c r="F216" s="12" t="s">
        <v>589</v>
      </c>
      <c r="G216" s="12"/>
      <c r="H216" s="14" t="n">
        <v>46276</v>
      </c>
      <c r="I216" s="14" t="n">
        <v>46276</v>
      </c>
      <c r="J216" s="12" t="s">
        <v>33</v>
      </c>
    </row>
    <row r="217" customFormat="false" ht="15" hidden="false" customHeight="true" outlineLevel="0" collapsed="false">
      <c r="A217" s="12" t="s">
        <v>590</v>
      </c>
      <c r="B217" s="13" t="n">
        <v>1791.14</v>
      </c>
      <c r="C217" s="13" t="n">
        <v>1660</v>
      </c>
      <c r="D217" s="12" t="s">
        <v>588</v>
      </c>
      <c r="E217" s="12" t="s">
        <v>248</v>
      </c>
      <c r="F217" s="12" t="s">
        <v>589</v>
      </c>
      <c r="G217" s="12"/>
      <c r="H217" s="14" t="n">
        <v>46276</v>
      </c>
      <c r="I217" s="14" t="n">
        <v>46279</v>
      </c>
      <c r="J217" s="12" t="s">
        <v>33</v>
      </c>
    </row>
    <row r="218" customFormat="false" ht="15" hidden="false" customHeight="true" outlineLevel="0" collapsed="false">
      <c r="A218" s="12" t="s">
        <v>591</v>
      </c>
      <c r="B218" s="13" t="n">
        <v>13.236</v>
      </c>
      <c r="C218" s="13" t="n">
        <v>12</v>
      </c>
      <c r="D218" s="12" t="s">
        <v>270</v>
      </c>
      <c r="E218" s="12" t="s">
        <v>30</v>
      </c>
      <c r="F218" s="12" t="s">
        <v>271</v>
      </c>
      <c r="G218" s="12" t="s">
        <v>240</v>
      </c>
      <c r="H218" s="14" t="n">
        <v>46276</v>
      </c>
      <c r="I218" s="14" t="n">
        <v>46276</v>
      </c>
      <c r="J218" s="12" t="s">
        <v>254</v>
      </c>
    </row>
    <row r="219" customFormat="false" ht="15" hidden="false" customHeight="true" outlineLevel="0" collapsed="false">
      <c r="A219" s="12" t="s">
        <v>592</v>
      </c>
      <c r="B219" s="13" t="n">
        <v>40.475</v>
      </c>
      <c r="C219" s="13" t="n">
        <v>35</v>
      </c>
      <c r="D219" s="12" t="s">
        <v>593</v>
      </c>
      <c r="E219" s="12" t="s">
        <v>30</v>
      </c>
      <c r="F219" s="12" t="s">
        <v>81</v>
      </c>
      <c r="G219" s="12" t="s">
        <v>41</v>
      </c>
      <c r="H219" s="14" t="n">
        <v>46276</v>
      </c>
      <c r="I219" s="14" t="n">
        <v>46279</v>
      </c>
      <c r="J219" s="12" t="s">
        <v>33</v>
      </c>
    </row>
    <row r="220" customFormat="false" ht="15" hidden="false" customHeight="true" outlineLevel="0" collapsed="false">
      <c r="A220" s="12" t="s">
        <v>594</v>
      </c>
      <c r="B220" s="13" t="n">
        <v>117.915</v>
      </c>
      <c r="C220" s="13" t="n">
        <v>109.08</v>
      </c>
      <c r="D220" s="12" t="s">
        <v>595</v>
      </c>
      <c r="E220" s="12" t="s">
        <v>30</v>
      </c>
      <c r="F220" s="12" t="s">
        <v>40</v>
      </c>
      <c r="G220" s="12" t="s">
        <v>41</v>
      </c>
      <c r="H220" s="14" t="n">
        <v>46276</v>
      </c>
      <c r="I220" s="14" t="n">
        <v>46279</v>
      </c>
      <c r="J220" s="12" t="s">
        <v>33</v>
      </c>
    </row>
    <row r="221" customFormat="false" ht="15" hidden="false" customHeight="true" outlineLevel="0" collapsed="false">
      <c r="A221" s="12" t="s">
        <v>596</v>
      </c>
      <c r="B221" s="13" t="n">
        <v>196.579</v>
      </c>
      <c r="C221" s="13" t="n">
        <v>190.2</v>
      </c>
      <c r="D221" s="12" t="s">
        <v>597</v>
      </c>
      <c r="E221" s="12" t="s">
        <v>30</v>
      </c>
      <c r="F221" s="12" t="s">
        <v>598</v>
      </c>
      <c r="G221" s="12" t="s">
        <v>41</v>
      </c>
      <c r="H221" s="14" t="n">
        <v>46276</v>
      </c>
      <c r="I221" s="14" t="n">
        <v>46283</v>
      </c>
      <c r="J221" s="12" t="s">
        <v>33</v>
      </c>
    </row>
    <row r="222" customFormat="false" ht="15" hidden="false" customHeight="true" outlineLevel="0" collapsed="false">
      <c r="A222" s="12" t="s">
        <v>599</v>
      </c>
      <c r="B222" s="13" t="n">
        <v>4340</v>
      </c>
      <c r="C222" s="13" t="n">
        <v>4000</v>
      </c>
      <c r="D222" s="12" t="s">
        <v>600</v>
      </c>
      <c r="E222" s="12" t="s">
        <v>30</v>
      </c>
      <c r="F222" s="12" t="s">
        <v>462</v>
      </c>
      <c r="G222" s="12" t="s">
        <v>41</v>
      </c>
      <c r="H222" s="14" t="n">
        <v>46276</v>
      </c>
      <c r="I222" s="14" t="n">
        <v>46283</v>
      </c>
      <c r="J222" s="12" t="s">
        <v>33</v>
      </c>
    </row>
    <row r="223" customFormat="false" ht="15" hidden="false" customHeight="true" outlineLevel="0" collapsed="false">
      <c r="A223" s="12" t="s">
        <v>601</v>
      </c>
      <c r="B223" s="13" t="n">
        <v>157.22</v>
      </c>
      <c r="C223" s="13" t="n">
        <v>145.44</v>
      </c>
      <c r="D223" s="12" t="s">
        <v>595</v>
      </c>
      <c r="E223" s="12" t="s">
        <v>30</v>
      </c>
      <c r="F223" s="12" t="s">
        <v>40</v>
      </c>
      <c r="G223" s="12" t="s">
        <v>41</v>
      </c>
      <c r="H223" s="14" t="n">
        <v>46276</v>
      </c>
      <c r="I223" s="14" t="n">
        <v>46283</v>
      </c>
      <c r="J223" s="12" t="s">
        <v>33</v>
      </c>
    </row>
    <row r="224" customFormat="false" ht="15" hidden="false" customHeight="true" outlineLevel="0" collapsed="false">
      <c r="A224" s="12" t="s">
        <v>602</v>
      </c>
      <c r="B224" s="13" t="n">
        <v>542.5</v>
      </c>
      <c r="C224" s="13" t="n">
        <v>500</v>
      </c>
      <c r="D224" s="12" t="s">
        <v>484</v>
      </c>
      <c r="E224" s="12" t="s">
        <v>30</v>
      </c>
      <c r="F224" s="12" t="s">
        <v>485</v>
      </c>
      <c r="G224" s="12" t="s">
        <v>37</v>
      </c>
      <c r="H224" s="14" t="n">
        <v>46276</v>
      </c>
      <c r="I224" s="14" t="n">
        <v>46276</v>
      </c>
      <c r="J224" s="12" t="s">
        <v>254</v>
      </c>
    </row>
    <row r="225" customFormat="false" ht="15" hidden="false" customHeight="true" outlineLevel="0" collapsed="false">
      <c r="A225" s="12" t="s">
        <v>603</v>
      </c>
      <c r="B225" s="13" t="n">
        <v>325.5</v>
      </c>
      <c r="C225" s="13" t="n">
        <v>300</v>
      </c>
      <c r="D225" s="12" t="s">
        <v>554</v>
      </c>
      <c r="E225" s="12" t="s">
        <v>30</v>
      </c>
      <c r="F225" s="12" t="s">
        <v>555</v>
      </c>
      <c r="G225" s="12" t="s">
        <v>45</v>
      </c>
      <c r="H225" s="14" t="n">
        <v>46276</v>
      </c>
      <c r="I225" s="14" t="n">
        <v>46276</v>
      </c>
      <c r="J225" s="12" t="s">
        <v>254</v>
      </c>
    </row>
    <row r="226" customFormat="false" ht="15" hidden="false" customHeight="true" outlineLevel="0" collapsed="false">
      <c r="A226" s="12" t="s">
        <v>604</v>
      </c>
      <c r="B226" s="13" t="n">
        <v>325.5</v>
      </c>
      <c r="C226" s="13" t="n">
        <v>300</v>
      </c>
      <c r="D226" s="12" t="s">
        <v>605</v>
      </c>
      <c r="E226" s="12" t="s">
        <v>30</v>
      </c>
      <c r="F226" s="12" t="s">
        <v>541</v>
      </c>
      <c r="G226" s="12" t="s">
        <v>45</v>
      </c>
      <c r="H226" s="14" t="n">
        <v>46276</v>
      </c>
      <c r="I226" s="14" t="n">
        <v>46276</v>
      </c>
      <c r="J226" s="12" t="s">
        <v>254</v>
      </c>
    </row>
    <row r="227" customFormat="false" ht="15" hidden="false" customHeight="true" outlineLevel="0" collapsed="false">
      <c r="A227" s="12" t="s">
        <v>606</v>
      </c>
      <c r="B227" s="13" t="n">
        <v>74.9</v>
      </c>
      <c r="C227" s="13" t="n">
        <v>70</v>
      </c>
      <c r="D227" s="12" t="s">
        <v>607</v>
      </c>
      <c r="E227" s="12" t="s">
        <v>30</v>
      </c>
      <c r="F227" s="12" t="s">
        <v>608</v>
      </c>
      <c r="G227" s="12" t="s">
        <v>609</v>
      </c>
      <c r="H227" s="14" t="n">
        <v>46277</v>
      </c>
      <c r="I227" s="14" t="n">
        <v>46279</v>
      </c>
      <c r="J227" s="12" t="s">
        <v>33</v>
      </c>
    </row>
    <row r="228" customFormat="false" ht="15" hidden="false" customHeight="true" outlineLevel="0" collapsed="false">
      <c r="A228" s="12" t="s">
        <v>610</v>
      </c>
      <c r="B228" s="13" t="n">
        <v>25.95</v>
      </c>
      <c r="C228" s="13" t="n">
        <v>25</v>
      </c>
      <c r="D228" s="12" t="s">
        <v>611</v>
      </c>
      <c r="E228" s="12" t="s">
        <v>30</v>
      </c>
      <c r="F228" s="12" t="s">
        <v>612</v>
      </c>
      <c r="G228" s="12" t="s">
        <v>609</v>
      </c>
      <c r="H228" s="14" t="n">
        <v>46277</v>
      </c>
      <c r="I228" s="14" t="n">
        <v>46279</v>
      </c>
      <c r="J228" s="12" t="s">
        <v>33</v>
      </c>
    </row>
    <row r="229" customFormat="false" ht="15" hidden="false" customHeight="true" outlineLevel="0" collapsed="false">
      <c r="A229" s="12" t="s">
        <v>613</v>
      </c>
      <c r="B229" s="13" t="n">
        <v>129.906</v>
      </c>
      <c r="C229" s="13" t="n">
        <v>126</v>
      </c>
      <c r="D229" s="12" t="s">
        <v>614</v>
      </c>
      <c r="E229" s="12" t="s">
        <v>30</v>
      </c>
      <c r="F229" s="12" t="s">
        <v>615</v>
      </c>
      <c r="G229" s="12" t="s">
        <v>609</v>
      </c>
      <c r="H229" s="14" t="n">
        <v>46277</v>
      </c>
      <c r="I229" s="14" t="n">
        <v>46279</v>
      </c>
      <c r="J229" s="12" t="s">
        <v>33</v>
      </c>
    </row>
    <row r="230" customFormat="false" ht="15" hidden="false" customHeight="true" outlineLevel="0" collapsed="false">
      <c r="A230" s="12" t="s">
        <v>616</v>
      </c>
      <c r="B230" s="13" t="n">
        <v>86.168</v>
      </c>
      <c r="C230" s="13" t="n">
        <v>76</v>
      </c>
      <c r="D230" s="12" t="s">
        <v>617</v>
      </c>
      <c r="E230" s="12" t="s">
        <v>30</v>
      </c>
      <c r="F230" s="12" t="s">
        <v>608</v>
      </c>
      <c r="G230" s="12" t="s">
        <v>609</v>
      </c>
      <c r="H230" s="14" t="n">
        <v>46277</v>
      </c>
      <c r="I230" s="14" t="n">
        <v>46279</v>
      </c>
      <c r="J230" s="12" t="s">
        <v>33</v>
      </c>
    </row>
    <row r="231" customFormat="false" ht="15" hidden="false" customHeight="true" outlineLevel="0" collapsed="false">
      <c r="A231" s="12" t="s">
        <v>618</v>
      </c>
      <c r="B231" s="13" t="n">
        <v>12.954</v>
      </c>
      <c r="C231" s="13" t="n">
        <v>8.16</v>
      </c>
      <c r="D231" s="12" t="s">
        <v>619</v>
      </c>
      <c r="E231" s="12" t="s">
        <v>30</v>
      </c>
      <c r="F231" s="12" t="s">
        <v>608</v>
      </c>
      <c r="G231" s="12" t="s">
        <v>609</v>
      </c>
      <c r="H231" s="14" t="n">
        <v>46277</v>
      </c>
      <c r="I231" s="14" t="n">
        <v>46279</v>
      </c>
      <c r="J231" s="12" t="s">
        <v>33</v>
      </c>
    </row>
    <row r="232" customFormat="false" ht="15" hidden="false" customHeight="true" outlineLevel="0" collapsed="false">
      <c r="A232" s="12" t="s">
        <v>620</v>
      </c>
      <c r="B232" s="13" t="n">
        <v>334.753</v>
      </c>
      <c r="C232" s="13" t="n">
        <v>310.2</v>
      </c>
      <c r="D232" s="12" t="s">
        <v>621</v>
      </c>
      <c r="E232" s="12" t="s">
        <v>30</v>
      </c>
      <c r="F232" s="12" t="s">
        <v>608</v>
      </c>
      <c r="G232" s="12" t="s">
        <v>609</v>
      </c>
      <c r="H232" s="14" t="n">
        <v>46277</v>
      </c>
      <c r="I232" s="14" t="n">
        <v>46279</v>
      </c>
      <c r="J232" s="12" t="s">
        <v>33</v>
      </c>
    </row>
    <row r="233" customFormat="false" ht="15" hidden="false" customHeight="true" outlineLevel="0" collapsed="false">
      <c r="A233" s="12" t="s">
        <v>622</v>
      </c>
      <c r="B233" s="13" t="n">
        <v>131.017</v>
      </c>
      <c r="C233" s="13" t="n">
        <v>121.2</v>
      </c>
      <c r="D233" s="12" t="s">
        <v>623</v>
      </c>
      <c r="E233" s="12" t="s">
        <v>30</v>
      </c>
      <c r="F233" s="12" t="s">
        <v>608</v>
      </c>
      <c r="G233" s="12" t="s">
        <v>609</v>
      </c>
      <c r="H233" s="14" t="n">
        <v>46277</v>
      </c>
      <c r="I233" s="14" t="n">
        <v>46279</v>
      </c>
      <c r="J233" s="12" t="s">
        <v>33</v>
      </c>
    </row>
    <row r="234" customFormat="false" ht="15" hidden="false" customHeight="true" outlineLevel="0" collapsed="false">
      <c r="A234" s="12" t="s">
        <v>624</v>
      </c>
      <c r="B234" s="13" t="n">
        <v>131.017</v>
      </c>
      <c r="C234" s="13" t="n">
        <v>121.2</v>
      </c>
      <c r="D234" s="12" t="s">
        <v>625</v>
      </c>
      <c r="E234" s="12" t="s">
        <v>30</v>
      </c>
      <c r="F234" s="12" t="s">
        <v>626</v>
      </c>
      <c r="G234" s="12" t="s">
        <v>609</v>
      </c>
      <c r="H234" s="14" t="n">
        <v>46277</v>
      </c>
      <c r="I234" s="14" t="n">
        <v>46279</v>
      </c>
      <c r="J234" s="12" t="s">
        <v>33</v>
      </c>
    </row>
    <row r="235" customFormat="false" ht="15" hidden="false" customHeight="true" outlineLevel="0" collapsed="false">
      <c r="A235" s="12" t="s">
        <v>627</v>
      </c>
      <c r="B235" s="13" t="n">
        <v>131.016</v>
      </c>
      <c r="C235" s="13" t="n">
        <v>121.2</v>
      </c>
      <c r="D235" s="12" t="s">
        <v>628</v>
      </c>
      <c r="E235" s="12" t="s">
        <v>30</v>
      </c>
      <c r="F235" s="12" t="s">
        <v>629</v>
      </c>
      <c r="G235" s="12" t="s">
        <v>609</v>
      </c>
      <c r="H235" s="14" t="n">
        <v>46277</v>
      </c>
      <c r="I235" s="14" t="n">
        <v>46279</v>
      </c>
      <c r="J235" s="12" t="s">
        <v>33</v>
      </c>
    </row>
    <row r="236" customFormat="false" ht="15" hidden="false" customHeight="true" outlineLevel="0" collapsed="false">
      <c r="A236" s="12" t="s">
        <v>630</v>
      </c>
      <c r="B236" s="13" t="n">
        <v>55.562</v>
      </c>
      <c r="C236" s="13" t="n">
        <v>52.52</v>
      </c>
      <c r="D236" s="12" t="s">
        <v>631</v>
      </c>
      <c r="E236" s="12" t="s">
        <v>30</v>
      </c>
      <c r="F236" s="12" t="s">
        <v>632</v>
      </c>
      <c r="G236" s="12" t="s">
        <v>609</v>
      </c>
      <c r="H236" s="14" t="n">
        <v>46277</v>
      </c>
      <c r="I236" s="14" t="n">
        <v>46279</v>
      </c>
      <c r="J236" s="12" t="s">
        <v>33</v>
      </c>
    </row>
    <row r="237" customFormat="false" ht="15" hidden="false" customHeight="true" outlineLevel="0" collapsed="false">
      <c r="A237" s="12" t="s">
        <v>633</v>
      </c>
      <c r="B237" s="13" t="n">
        <v>81.765</v>
      </c>
      <c r="C237" s="13" t="n">
        <v>76.76</v>
      </c>
      <c r="D237" s="12" t="s">
        <v>634</v>
      </c>
      <c r="E237" s="12" t="s">
        <v>30</v>
      </c>
      <c r="F237" s="12" t="s">
        <v>635</v>
      </c>
      <c r="G237" s="12" t="s">
        <v>609</v>
      </c>
      <c r="H237" s="14" t="n">
        <v>46277</v>
      </c>
      <c r="I237" s="14" t="n">
        <v>46279</v>
      </c>
      <c r="J237" s="12" t="s">
        <v>33</v>
      </c>
    </row>
    <row r="238" customFormat="false" ht="15" hidden="false" customHeight="true" outlineLevel="0" collapsed="false">
      <c r="A238" s="12" t="s">
        <v>636</v>
      </c>
      <c r="B238" s="13" t="n">
        <v>41.929</v>
      </c>
      <c r="C238" s="13" t="n">
        <v>40.2</v>
      </c>
      <c r="D238" s="12" t="s">
        <v>637</v>
      </c>
      <c r="E238" s="12" t="s">
        <v>30</v>
      </c>
      <c r="F238" s="12" t="s">
        <v>608</v>
      </c>
      <c r="G238" s="12" t="s">
        <v>609</v>
      </c>
      <c r="H238" s="14" t="n">
        <v>46277</v>
      </c>
      <c r="I238" s="14" t="n">
        <v>46279</v>
      </c>
      <c r="J238" s="12" t="s">
        <v>33</v>
      </c>
    </row>
    <row r="239" customFormat="false" ht="15" hidden="false" customHeight="true" outlineLevel="0" collapsed="false">
      <c r="A239" s="12" t="s">
        <v>638</v>
      </c>
      <c r="B239" s="13" t="n">
        <v>13.236</v>
      </c>
      <c r="C239" s="13" t="n">
        <v>12</v>
      </c>
      <c r="D239" s="12" t="s">
        <v>639</v>
      </c>
      <c r="E239" s="12" t="s">
        <v>30</v>
      </c>
      <c r="F239" s="12" t="s">
        <v>608</v>
      </c>
      <c r="G239" s="12" t="s">
        <v>609</v>
      </c>
      <c r="H239" s="14" t="n">
        <v>46277</v>
      </c>
      <c r="I239" s="14" t="n">
        <v>46279</v>
      </c>
      <c r="J239" s="12" t="s">
        <v>33</v>
      </c>
    </row>
    <row r="240" customFormat="false" ht="15" hidden="false" customHeight="true" outlineLevel="0" collapsed="false">
      <c r="A240" s="12" t="s">
        <v>640</v>
      </c>
      <c r="B240" s="13" t="n">
        <v>40.804</v>
      </c>
      <c r="C240" s="13" t="n">
        <v>37.04</v>
      </c>
      <c r="D240" s="12" t="s">
        <v>641</v>
      </c>
      <c r="E240" s="12" t="s">
        <v>30</v>
      </c>
      <c r="F240" s="12" t="s">
        <v>608</v>
      </c>
      <c r="G240" s="12" t="s">
        <v>609</v>
      </c>
      <c r="H240" s="14" t="n">
        <v>46277</v>
      </c>
      <c r="I240" s="14" t="n">
        <v>46279</v>
      </c>
      <c r="J240" s="12" t="s">
        <v>33</v>
      </c>
    </row>
    <row r="241" customFormat="false" ht="15" hidden="false" customHeight="true" outlineLevel="0" collapsed="false">
      <c r="A241" s="12" t="s">
        <v>642</v>
      </c>
      <c r="B241" s="13" t="n">
        <v>52.406</v>
      </c>
      <c r="C241" s="13" t="n">
        <v>48.48</v>
      </c>
      <c r="D241" s="12" t="s">
        <v>643</v>
      </c>
      <c r="E241" s="12" t="s">
        <v>30</v>
      </c>
      <c r="F241" s="12" t="s">
        <v>608</v>
      </c>
      <c r="G241" s="12" t="s">
        <v>609</v>
      </c>
      <c r="H241" s="14" t="n">
        <v>46277</v>
      </c>
      <c r="I241" s="14" t="n">
        <v>46279</v>
      </c>
      <c r="J241" s="12" t="s">
        <v>33</v>
      </c>
    </row>
    <row r="242" customFormat="false" ht="15" hidden="false" customHeight="true" outlineLevel="0" collapsed="false">
      <c r="A242" s="12" t="s">
        <v>644</v>
      </c>
      <c r="B242" s="13" t="n">
        <v>6222.671</v>
      </c>
      <c r="C242" s="13" t="n">
        <v>5756.4</v>
      </c>
      <c r="D242" s="12" t="s">
        <v>645</v>
      </c>
      <c r="E242" s="12" t="s">
        <v>30</v>
      </c>
      <c r="F242" s="12" t="s">
        <v>239</v>
      </c>
      <c r="G242" s="12" t="s">
        <v>646</v>
      </c>
      <c r="H242" s="14" t="n">
        <v>46277</v>
      </c>
      <c r="I242" s="14" t="n">
        <v>46279</v>
      </c>
      <c r="J242" s="12" t="s">
        <v>254</v>
      </c>
    </row>
    <row r="243" customFormat="false" ht="15" hidden="false" customHeight="true" outlineLevel="0" collapsed="false">
      <c r="A243" s="12" t="s">
        <v>647</v>
      </c>
      <c r="B243" s="13" t="n">
        <v>1800.517</v>
      </c>
      <c r="C243" s="13" t="n">
        <v>1665.6</v>
      </c>
      <c r="D243" s="12" t="s">
        <v>648</v>
      </c>
      <c r="E243" s="12" t="s">
        <v>30</v>
      </c>
      <c r="F243" s="12" t="s">
        <v>239</v>
      </c>
      <c r="G243" s="12" t="s">
        <v>646</v>
      </c>
      <c r="H243" s="14" t="n">
        <v>46277</v>
      </c>
      <c r="I243" s="14" t="n">
        <v>46279</v>
      </c>
      <c r="J243" s="12" t="s">
        <v>33</v>
      </c>
    </row>
    <row r="244" customFormat="false" ht="15" hidden="false" customHeight="true" outlineLevel="0" collapsed="false">
      <c r="A244" s="12" t="s">
        <v>649</v>
      </c>
      <c r="B244" s="13" t="n">
        <v>1775.277</v>
      </c>
      <c r="C244" s="13" t="n">
        <v>1636.2</v>
      </c>
      <c r="D244" s="12" t="s">
        <v>648</v>
      </c>
      <c r="E244" s="12" t="s">
        <v>30</v>
      </c>
      <c r="F244" s="12" t="s">
        <v>243</v>
      </c>
      <c r="G244" s="12" t="s">
        <v>646</v>
      </c>
      <c r="H244" s="14" t="n">
        <v>46277</v>
      </c>
      <c r="I244" s="14" t="n">
        <v>46279</v>
      </c>
      <c r="J244" s="12" t="s">
        <v>33</v>
      </c>
    </row>
    <row r="245" customFormat="false" ht="15" hidden="false" customHeight="true" outlineLevel="0" collapsed="false">
      <c r="A245" s="12" t="s">
        <v>650</v>
      </c>
      <c r="B245" s="13" t="n">
        <v>1742.401</v>
      </c>
      <c r="C245" s="13" t="n">
        <v>1605.9</v>
      </c>
      <c r="D245" s="12" t="s">
        <v>651</v>
      </c>
      <c r="E245" s="12" t="s">
        <v>30</v>
      </c>
      <c r="F245" s="12" t="s">
        <v>652</v>
      </c>
      <c r="G245" s="12" t="s">
        <v>653</v>
      </c>
      <c r="H245" s="14" t="n">
        <v>46277</v>
      </c>
      <c r="I245" s="14" t="n">
        <v>46279</v>
      </c>
      <c r="J245" s="12" t="s">
        <v>33</v>
      </c>
    </row>
    <row r="246" customFormat="false" ht="15" hidden="false" customHeight="true" outlineLevel="0" collapsed="false">
      <c r="A246" s="12" t="s">
        <v>654</v>
      </c>
      <c r="B246" s="13" t="n">
        <v>1572.208</v>
      </c>
      <c r="C246" s="13" t="n">
        <v>1454.4</v>
      </c>
      <c r="D246" s="12" t="s">
        <v>655</v>
      </c>
      <c r="E246" s="12" t="s">
        <v>30</v>
      </c>
      <c r="F246" s="12" t="s">
        <v>656</v>
      </c>
      <c r="G246" s="12" t="s">
        <v>646</v>
      </c>
      <c r="H246" s="14" t="n">
        <v>46277</v>
      </c>
      <c r="I246" s="14" t="n">
        <v>46279</v>
      </c>
      <c r="J246" s="12" t="s">
        <v>33</v>
      </c>
    </row>
    <row r="247" customFormat="false" ht="15" hidden="false" customHeight="true" outlineLevel="0" collapsed="false">
      <c r="A247" s="12" t="s">
        <v>657</v>
      </c>
      <c r="B247" s="13" t="n">
        <v>1310.172</v>
      </c>
      <c r="C247" s="13" t="n">
        <v>1212</v>
      </c>
      <c r="D247" s="12" t="s">
        <v>655</v>
      </c>
      <c r="E247" s="12" t="s">
        <v>30</v>
      </c>
      <c r="F247" s="12" t="s">
        <v>656</v>
      </c>
      <c r="G247" s="12" t="s">
        <v>646</v>
      </c>
      <c r="H247" s="14" t="n">
        <v>46277</v>
      </c>
      <c r="I247" s="14" t="n">
        <v>46279</v>
      </c>
      <c r="J247" s="12" t="s">
        <v>33</v>
      </c>
    </row>
    <row r="248" customFormat="false" ht="15" hidden="false" customHeight="true" outlineLevel="0" collapsed="false">
      <c r="A248" s="12" t="s">
        <v>658</v>
      </c>
      <c r="B248" s="13" t="n">
        <v>1276.448</v>
      </c>
      <c r="C248" s="13" t="n">
        <v>1180.8</v>
      </c>
      <c r="D248" s="12" t="s">
        <v>648</v>
      </c>
      <c r="E248" s="12" t="s">
        <v>30</v>
      </c>
      <c r="F248" s="12" t="s">
        <v>239</v>
      </c>
      <c r="G248" s="12" t="s">
        <v>646</v>
      </c>
      <c r="H248" s="14" t="n">
        <v>46277</v>
      </c>
      <c r="I248" s="14" t="n">
        <v>46279</v>
      </c>
      <c r="J248" s="12" t="s">
        <v>254</v>
      </c>
    </row>
    <row r="249" customFormat="false" ht="15" hidden="false" customHeight="true" outlineLevel="0" collapsed="false">
      <c r="A249" s="12" t="s">
        <v>659</v>
      </c>
      <c r="B249" s="13" t="n">
        <v>1276.445</v>
      </c>
      <c r="C249" s="13" t="n">
        <v>1180.8</v>
      </c>
      <c r="D249" s="12" t="s">
        <v>660</v>
      </c>
      <c r="E249" s="12" t="s">
        <v>30</v>
      </c>
      <c r="F249" s="12" t="s">
        <v>239</v>
      </c>
      <c r="G249" s="12" t="s">
        <v>646</v>
      </c>
      <c r="H249" s="14" t="n">
        <v>46277</v>
      </c>
      <c r="I249" s="14" t="n">
        <v>46274</v>
      </c>
      <c r="J249" s="12" t="s">
        <v>33</v>
      </c>
    </row>
    <row r="250" customFormat="false" ht="15" hidden="false" customHeight="true" outlineLevel="0" collapsed="false">
      <c r="A250" s="12" t="s">
        <v>661</v>
      </c>
      <c r="B250" s="13" t="n">
        <v>1162.881</v>
      </c>
      <c r="C250" s="13" t="n">
        <v>1126.74</v>
      </c>
      <c r="D250" s="12" t="s">
        <v>651</v>
      </c>
      <c r="E250" s="12" t="s">
        <v>30</v>
      </c>
      <c r="F250" s="12" t="s">
        <v>652</v>
      </c>
      <c r="G250" s="12" t="s">
        <v>653</v>
      </c>
      <c r="H250" s="14" t="n">
        <v>46277</v>
      </c>
      <c r="I250" s="14" t="n">
        <v>46279</v>
      </c>
      <c r="J250" s="12" t="s">
        <v>33</v>
      </c>
    </row>
    <row r="251" customFormat="false" ht="15" hidden="false" customHeight="true" outlineLevel="0" collapsed="false">
      <c r="A251" s="12" t="s">
        <v>662</v>
      </c>
      <c r="B251" s="13" t="n">
        <v>1089</v>
      </c>
      <c r="C251" s="13" t="n">
        <v>990</v>
      </c>
      <c r="D251" s="12" t="s">
        <v>663</v>
      </c>
      <c r="E251" s="12" t="s">
        <v>30</v>
      </c>
      <c r="F251" s="12" t="s">
        <v>664</v>
      </c>
      <c r="G251" s="12" t="s">
        <v>653</v>
      </c>
      <c r="H251" s="14" t="n">
        <v>46277</v>
      </c>
      <c r="I251" s="14" t="n">
        <v>46275</v>
      </c>
      <c r="J251" s="12" t="s">
        <v>33</v>
      </c>
    </row>
    <row r="252" customFormat="false" ht="15" hidden="false" customHeight="true" outlineLevel="0" collapsed="false">
      <c r="A252" s="12" t="s">
        <v>665</v>
      </c>
      <c r="B252" s="13" t="n">
        <v>1015.493</v>
      </c>
      <c r="C252" s="13" t="n">
        <v>983</v>
      </c>
      <c r="D252" s="12" t="s">
        <v>666</v>
      </c>
      <c r="E252" s="12" t="s">
        <v>30</v>
      </c>
      <c r="F252" s="12" t="s">
        <v>667</v>
      </c>
      <c r="G252" s="12" t="s">
        <v>609</v>
      </c>
      <c r="H252" s="14" t="n">
        <v>46277</v>
      </c>
      <c r="I252" s="14" t="n">
        <v>46279</v>
      </c>
      <c r="J252" s="12" t="s">
        <v>33</v>
      </c>
    </row>
    <row r="253" customFormat="false" ht="15" hidden="false" customHeight="true" outlineLevel="0" collapsed="false">
      <c r="A253" s="12" t="s">
        <v>668</v>
      </c>
      <c r="B253" s="13" t="n">
        <v>900.256</v>
      </c>
      <c r="C253" s="13" t="n">
        <v>832.8</v>
      </c>
      <c r="D253" s="12" t="s">
        <v>648</v>
      </c>
      <c r="E253" s="12" t="s">
        <v>30</v>
      </c>
      <c r="F253" s="12" t="s">
        <v>243</v>
      </c>
      <c r="G253" s="12" t="s">
        <v>646</v>
      </c>
      <c r="H253" s="14" t="n">
        <v>46277</v>
      </c>
      <c r="I253" s="14" t="n">
        <v>46279</v>
      </c>
      <c r="J253" s="12" t="s">
        <v>33</v>
      </c>
    </row>
    <row r="254" customFormat="false" ht="15" hidden="false" customHeight="true" outlineLevel="0" collapsed="false">
      <c r="A254" s="12" t="s">
        <v>669</v>
      </c>
      <c r="B254" s="13" t="n">
        <v>891</v>
      </c>
      <c r="C254" s="13" t="n">
        <v>810</v>
      </c>
      <c r="D254" s="12" t="s">
        <v>655</v>
      </c>
      <c r="E254" s="12" t="s">
        <v>30</v>
      </c>
      <c r="F254" s="12" t="s">
        <v>656</v>
      </c>
      <c r="G254" s="12" t="s">
        <v>646</v>
      </c>
      <c r="H254" s="14" t="n">
        <v>46277</v>
      </c>
      <c r="I254" s="14" t="n">
        <v>46279</v>
      </c>
      <c r="J254" s="12" t="s">
        <v>33</v>
      </c>
    </row>
    <row r="255" customFormat="false" ht="15" hidden="false" customHeight="true" outlineLevel="0" collapsed="false">
      <c r="A255" s="12" t="s">
        <v>670</v>
      </c>
      <c r="B255" s="13" t="n">
        <v>430.269</v>
      </c>
      <c r="C255" s="13" t="n">
        <v>410.2</v>
      </c>
      <c r="D255" s="12" t="s">
        <v>651</v>
      </c>
      <c r="E255" s="12" t="s">
        <v>30</v>
      </c>
      <c r="F255" s="12" t="s">
        <v>652</v>
      </c>
      <c r="G255" s="12" t="s">
        <v>653</v>
      </c>
      <c r="H255" s="14" t="n">
        <v>46277</v>
      </c>
      <c r="I255" s="14" t="n">
        <v>46279</v>
      </c>
      <c r="J255" s="12" t="s">
        <v>33</v>
      </c>
    </row>
    <row r="256" customFormat="false" ht="15" hidden="false" customHeight="true" outlineLevel="0" collapsed="false">
      <c r="A256" s="12" t="s">
        <v>671</v>
      </c>
      <c r="B256" s="13" t="n">
        <v>709.136</v>
      </c>
      <c r="C256" s="13" t="n">
        <v>656</v>
      </c>
      <c r="D256" s="12" t="s">
        <v>655</v>
      </c>
      <c r="E256" s="12" t="s">
        <v>30</v>
      </c>
      <c r="F256" s="12" t="s">
        <v>656</v>
      </c>
      <c r="G256" s="12" t="s">
        <v>646</v>
      </c>
      <c r="H256" s="14" t="n">
        <v>46277</v>
      </c>
      <c r="I256" s="14" t="n">
        <v>46279</v>
      </c>
      <c r="J256" s="12" t="s">
        <v>33</v>
      </c>
    </row>
    <row r="257" customFormat="false" ht="15" hidden="false" customHeight="true" outlineLevel="0" collapsed="false">
      <c r="A257" s="12" t="s">
        <v>672</v>
      </c>
      <c r="B257" s="13" t="n">
        <v>76.807</v>
      </c>
      <c r="C257" s="13" t="n">
        <v>70.94</v>
      </c>
      <c r="D257" s="12" t="s">
        <v>673</v>
      </c>
      <c r="E257" s="12" t="s">
        <v>30</v>
      </c>
      <c r="F257" s="12" t="s">
        <v>239</v>
      </c>
      <c r="G257" s="12" t="s">
        <v>646</v>
      </c>
      <c r="H257" s="14" t="n">
        <v>46277</v>
      </c>
      <c r="I257" s="14" t="n">
        <v>46279</v>
      </c>
      <c r="J257" s="12" t="s">
        <v>33</v>
      </c>
    </row>
    <row r="258" customFormat="false" ht="15" hidden="false" customHeight="true" outlineLevel="0" collapsed="false">
      <c r="A258" s="12" t="s">
        <v>674</v>
      </c>
      <c r="B258" s="13" t="n">
        <v>113.72</v>
      </c>
      <c r="C258" s="13" t="n">
        <v>105.76</v>
      </c>
      <c r="D258" s="12" t="s">
        <v>673</v>
      </c>
      <c r="E258" s="12" t="s">
        <v>30</v>
      </c>
      <c r="F258" s="12" t="s">
        <v>239</v>
      </c>
      <c r="G258" s="12" t="s">
        <v>646</v>
      </c>
      <c r="H258" s="14" t="n">
        <v>46277</v>
      </c>
      <c r="I258" s="14" t="n">
        <v>46279</v>
      </c>
      <c r="J258" s="12" t="s">
        <v>33</v>
      </c>
    </row>
    <row r="259" customFormat="false" ht="15" hidden="false" customHeight="true" outlineLevel="0" collapsed="false">
      <c r="A259" s="12" t="s">
        <v>675</v>
      </c>
      <c r="B259" s="13" t="n">
        <v>126.973</v>
      </c>
      <c r="C259" s="13" t="n">
        <v>117.16</v>
      </c>
      <c r="D259" s="12" t="s">
        <v>676</v>
      </c>
      <c r="E259" s="12" t="s">
        <v>30</v>
      </c>
      <c r="F259" s="12" t="s">
        <v>677</v>
      </c>
      <c r="G259" s="12" t="s">
        <v>646</v>
      </c>
      <c r="H259" s="14" t="n">
        <v>46277</v>
      </c>
      <c r="I259" s="14" t="n">
        <v>46279</v>
      </c>
      <c r="J259" s="12" t="s">
        <v>33</v>
      </c>
    </row>
    <row r="260" customFormat="false" ht="15" hidden="false" customHeight="true" outlineLevel="0" collapsed="false">
      <c r="A260" s="12" t="s">
        <v>678</v>
      </c>
      <c r="B260" s="13" t="n">
        <v>153.026</v>
      </c>
      <c r="C260" s="13" t="n">
        <v>142.12</v>
      </c>
      <c r="D260" s="12" t="s">
        <v>676</v>
      </c>
      <c r="E260" s="12" t="s">
        <v>30</v>
      </c>
      <c r="F260" s="12" t="s">
        <v>677</v>
      </c>
      <c r="G260" s="12" t="s">
        <v>646</v>
      </c>
      <c r="H260" s="14" t="n">
        <v>46277</v>
      </c>
      <c r="I260" s="14" t="n">
        <v>46274</v>
      </c>
      <c r="J260" s="12" t="s">
        <v>33</v>
      </c>
    </row>
    <row r="261" customFormat="false" ht="15" hidden="false" customHeight="true" outlineLevel="0" collapsed="false">
      <c r="A261" s="12" t="s">
        <v>679</v>
      </c>
      <c r="B261" s="13" t="n">
        <v>75.48</v>
      </c>
      <c r="C261" s="13" t="n">
        <v>70.2</v>
      </c>
      <c r="D261" s="12" t="s">
        <v>680</v>
      </c>
      <c r="E261" s="12" t="s">
        <v>30</v>
      </c>
      <c r="F261" s="12" t="s">
        <v>243</v>
      </c>
      <c r="G261" s="12" t="s">
        <v>646</v>
      </c>
      <c r="H261" s="14" t="n">
        <v>46277</v>
      </c>
      <c r="I261" s="14" t="n">
        <v>46279</v>
      </c>
      <c r="J261" s="12" t="s">
        <v>254</v>
      </c>
    </row>
    <row r="262" customFormat="false" ht="15" hidden="false" customHeight="true" outlineLevel="0" collapsed="false">
      <c r="A262" s="12" t="s">
        <v>681</v>
      </c>
      <c r="B262" s="13" t="n">
        <v>20.178</v>
      </c>
      <c r="C262" s="13" t="n">
        <v>18</v>
      </c>
      <c r="D262" s="12" t="s">
        <v>680</v>
      </c>
      <c r="E262" s="12" t="s">
        <v>30</v>
      </c>
      <c r="F262" s="12" t="s">
        <v>243</v>
      </c>
      <c r="G262" s="12" t="s">
        <v>646</v>
      </c>
      <c r="H262" s="14" t="n">
        <v>46277</v>
      </c>
      <c r="I262" s="14" t="n">
        <v>46279</v>
      </c>
      <c r="J262" s="12" t="s">
        <v>254</v>
      </c>
    </row>
    <row r="263" customFormat="false" ht="15" hidden="false" customHeight="true" outlineLevel="0" collapsed="false">
      <c r="A263" s="12" t="s">
        <v>682</v>
      </c>
      <c r="B263" s="13" t="n">
        <v>86.738</v>
      </c>
      <c r="C263" s="13" t="n">
        <v>80.8</v>
      </c>
      <c r="D263" s="12" t="s">
        <v>683</v>
      </c>
      <c r="E263" s="12" t="s">
        <v>30</v>
      </c>
      <c r="F263" s="12" t="s">
        <v>239</v>
      </c>
      <c r="G263" s="12" t="s">
        <v>646</v>
      </c>
      <c r="H263" s="14" t="n">
        <v>46277</v>
      </c>
      <c r="I263" s="14" t="n">
        <v>46279</v>
      </c>
      <c r="J263" s="12" t="s">
        <v>254</v>
      </c>
    </row>
    <row r="264" customFormat="false" ht="15" hidden="false" customHeight="true" outlineLevel="0" collapsed="false">
      <c r="A264" s="12" t="s">
        <v>684</v>
      </c>
      <c r="B264" s="13" t="n">
        <v>14.071</v>
      </c>
      <c r="C264" s="13" t="n">
        <v>12.12</v>
      </c>
      <c r="D264" s="12" t="s">
        <v>683</v>
      </c>
      <c r="E264" s="12" t="s">
        <v>30</v>
      </c>
      <c r="F264" s="12" t="s">
        <v>239</v>
      </c>
      <c r="G264" s="12" t="s">
        <v>646</v>
      </c>
      <c r="H264" s="14" t="n">
        <v>46277</v>
      </c>
      <c r="I264" s="14" t="n">
        <v>46279</v>
      </c>
      <c r="J264" s="12" t="s">
        <v>254</v>
      </c>
    </row>
    <row r="265" customFormat="false" ht="15" hidden="false" customHeight="true" outlineLevel="0" collapsed="false">
      <c r="A265" s="12" t="s">
        <v>685</v>
      </c>
      <c r="B265" s="13" t="n">
        <v>21.917</v>
      </c>
      <c r="C265" s="13" t="n">
        <v>20.2</v>
      </c>
      <c r="D265" s="12" t="s">
        <v>683</v>
      </c>
      <c r="E265" s="12" t="s">
        <v>30</v>
      </c>
      <c r="F265" s="12" t="s">
        <v>239</v>
      </c>
      <c r="G265" s="12" t="s">
        <v>646</v>
      </c>
      <c r="H265" s="14" t="n">
        <v>46277</v>
      </c>
      <c r="I265" s="14" t="n">
        <v>46279</v>
      </c>
      <c r="J265" s="12" t="s">
        <v>254</v>
      </c>
    </row>
    <row r="266" customFormat="false" ht="15" hidden="false" customHeight="true" outlineLevel="0" collapsed="false">
      <c r="A266" s="12" t="s">
        <v>686</v>
      </c>
      <c r="B266" s="13" t="n">
        <v>130.68</v>
      </c>
      <c r="C266" s="13" t="n">
        <v>118.8</v>
      </c>
      <c r="D266" s="12" t="s">
        <v>687</v>
      </c>
      <c r="E266" s="12" t="s">
        <v>30</v>
      </c>
      <c r="F266" s="12" t="s">
        <v>688</v>
      </c>
      <c r="G266" s="12" t="s">
        <v>653</v>
      </c>
      <c r="H266" s="14" t="n">
        <v>46277</v>
      </c>
      <c r="I266" s="14" t="n">
        <v>46279</v>
      </c>
      <c r="J266" s="12" t="s">
        <v>254</v>
      </c>
    </row>
    <row r="267" customFormat="false" ht="15" hidden="false" customHeight="true" outlineLevel="0" collapsed="false">
      <c r="A267" s="12" t="s">
        <v>689</v>
      </c>
      <c r="B267" s="13" t="n">
        <v>65.509</v>
      </c>
      <c r="C267" s="13" t="n">
        <v>60.6</v>
      </c>
      <c r="D267" s="12" t="s">
        <v>687</v>
      </c>
      <c r="E267" s="12" t="s">
        <v>30</v>
      </c>
      <c r="F267" s="12" t="s">
        <v>688</v>
      </c>
      <c r="G267" s="12" t="s">
        <v>653</v>
      </c>
      <c r="H267" s="14" t="n">
        <v>46277</v>
      </c>
      <c r="I267" s="14" t="n">
        <v>46279</v>
      </c>
      <c r="J267" s="12" t="s">
        <v>254</v>
      </c>
    </row>
    <row r="268" customFormat="false" ht="15" hidden="false" customHeight="true" outlineLevel="0" collapsed="false">
      <c r="A268" s="12" t="s">
        <v>690</v>
      </c>
      <c r="B268" s="13" t="n">
        <v>74.306</v>
      </c>
      <c r="C268" s="13" t="n">
        <v>70.7</v>
      </c>
      <c r="D268" s="12" t="s">
        <v>691</v>
      </c>
      <c r="E268" s="12" t="s">
        <v>30</v>
      </c>
      <c r="F268" s="12" t="s">
        <v>692</v>
      </c>
      <c r="G268" s="12" t="s">
        <v>653</v>
      </c>
      <c r="H268" s="14" t="n">
        <v>46277</v>
      </c>
      <c r="I268" s="14" t="n">
        <v>46279</v>
      </c>
      <c r="J268" s="12" t="s">
        <v>254</v>
      </c>
    </row>
    <row r="269" customFormat="false" ht="15" hidden="false" customHeight="true" outlineLevel="0" collapsed="false">
      <c r="A269" s="12" t="s">
        <v>693</v>
      </c>
      <c r="B269" s="13" t="n">
        <v>88.642</v>
      </c>
      <c r="C269" s="13" t="n">
        <v>82</v>
      </c>
      <c r="D269" s="12" t="s">
        <v>694</v>
      </c>
      <c r="E269" s="12" t="s">
        <v>30</v>
      </c>
      <c r="F269" s="12" t="s">
        <v>253</v>
      </c>
      <c r="G269" s="12" t="s">
        <v>653</v>
      </c>
      <c r="H269" s="14" t="n">
        <v>46277</v>
      </c>
      <c r="I269" s="14" t="n">
        <v>46279</v>
      </c>
      <c r="J269" s="12" t="s">
        <v>254</v>
      </c>
    </row>
    <row r="270" customFormat="false" ht="15" hidden="false" customHeight="true" outlineLevel="0" collapsed="false">
      <c r="A270" s="12" t="s">
        <v>695</v>
      </c>
      <c r="B270" s="13" t="n">
        <v>186.826</v>
      </c>
      <c r="C270" s="13" t="n">
        <v>176.34</v>
      </c>
      <c r="D270" s="12" t="s">
        <v>696</v>
      </c>
      <c r="E270" s="12" t="s">
        <v>30</v>
      </c>
      <c r="F270" s="12" t="s">
        <v>697</v>
      </c>
      <c r="G270" s="12" t="s">
        <v>653</v>
      </c>
      <c r="H270" s="14" t="n">
        <v>46277</v>
      </c>
      <c r="I270" s="14" t="n">
        <v>46279</v>
      </c>
      <c r="J270" s="12" t="s">
        <v>254</v>
      </c>
    </row>
    <row r="271" customFormat="false" ht="15" hidden="false" customHeight="true" outlineLevel="0" collapsed="false">
      <c r="A271" s="12" t="s">
        <v>698</v>
      </c>
      <c r="B271" s="13" t="n">
        <v>106.151</v>
      </c>
      <c r="C271" s="13" t="n">
        <v>101</v>
      </c>
      <c r="D271" s="12" t="s">
        <v>699</v>
      </c>
      <c r="E271" s="12" t="s">
        <v>30</v>
      </c>
      <c r="F271" s="12" t="s">
        <v>697</v>
      </c>
      <c r="G271" s="12" t="s">
        <v>653</v>
      </c>
      <c r="H271" s="14" t="n">
        <v>46277</v>
      </c>
      <c r="I271" s="14" t="n">
        <v>46279</v>
      </c>
      <c r="J271" s="12" t="s">
        <v>254</v>
      </c>
    </row>
    <row r="272" customFormat="false" ht="15" hidden="false" customHeight="true" outlineLevel="0" collapsed="false">
      <c r="A272" s="12" t="s">
        <v>700</v>
      </c>
      <c r="B272" s="13" t="n">
        <v>319.111</v>
      </c>
      <c r="C272" s="13" t="n">
        <v>295.2</v>
      </c>
      <c r="D272" s="12" t="s">
        <v>701</v>
      </c>
      <c r="E272" s="12" t="s">
        <v>30</v>
      </c>
      <c r="F272" s="12" t="s">
        <v>702</v>
      </c>
      <c r="G272" s="12" t="s">
        <v>653</v>
      </c>
      <c r="H272" s="14" t="n">
        <v>46277</v>
      </c>
      <c r="I272" s="14" t="n">
        <v>46276</v>
      </c>
      <c r="J272" s="12" t="s">
        <v>33</v>
      </c>
    </row>
    <row r="273" customFormat="false" ht="15" hidden="false" customHeight="true" outlineLevel="0" collapsed="false">
      <c r="A273" s="12" t="s">
        <v>703</v>
      </c>
      <c r="B273" s="13" t="n">
        <v>230.129</v>
      </c>
      <c r="C273" s="13" t="n">
        <v>212.1</v>
      </c>
      <c r="D273" s="12" t="s">
        <v>701</v>
      </c>
      <c r="E273" s="12" t="s">
        <v>30</v>
      </c>
      <c r="F273" s="12" t="s">
        <v>702</v>
      </c>
      <c r="G273" s="12" t="s">
        <v>653</v>
      </c>
      <c r="H273" s="14" t="n">
        <v>46277</v>
      </c>
      <c r="I273" s="14" t="n">
        <v>46276</v>
      </c>
      <c r="J273" s="12" t="s">
        <v>33</v>
      </c>
    </row>
    <row r="274" customFormat="false" ht="15" hidden="false" customHeight="true" outlineLevel="0" collapsed="false">
      <c r="A274" s="12" t="s">
        <v>704</v>
      </c>
      <c r="B274" s="13" t="n">
        <v>102.96</v>
      </c>
      <c r="C274" s="13" t="n">
        <v>93.6</v>
      </c>
      <c r="D274" s="12" t="s">
        <v>705</v>
      </c>
      <c r="E274" s="12" t="s">
        <v>30</v>
      </c>
      <c r="F274" s="12" t="s">
        <v>688</v>
      </c>
      <c r="G274" s="12" t="s">
        <v>653</v>
      </c>
      <c r="H274" s="14" t="n">
        <v>46277</v>
      </c>
      <c r="I274" s="14" t="n">
        <v>46279</v>
      </c>
      <c r="J274" s="12" t="s">
        <v>354</v>
      </c>
    </row>
    <row r="275" customFormat="false" ht="15" hidden="false" customHeight="true" outlineLevel="0" collapsed="false">
      <c r="A275" s="12" t="s">
        <v>706</v>
      </c>
      <c r="B275" s="13" t="n">
        <v>228.371</v>
      </c>
      <c r="C275" s="13" t="n">
        <v>212.1</v>
      </c>
      <c r="D275" s="12" t="s">
        <v>660</v>
      </c>
      <c r="E275" s="12" t="s">
        <v>30</v>
      </c>
      <c r="F275" s="12" t="s">
        <v>707</v>
      </c>
      <c r="G275" s="12" t="s">
        <v>646</v>
      </c>
      <c r="H275" s="14" t="n">
        <v>46277</v>
      </c>
      <c r="I275" s="14" t="n">
        <v>46279</v>
      </c>
      <c r="J275" s="12" t="s">
        <v>254</v>
      </c>
    </row>
    <row r="276" customFormat="false" ht="15" hidden="false" customHeight="true" outlineLevel="0" collapsed="false">
      <c r="A276" s="12" t="s">
        <v>708</v>
      </c>
      <c r="B276" s="13" t="n">
        <v>21.651</v>
      </c>
      <c r="C276" s="13" t="n">
        <v>21</v>
      </c>
      <c r="D276" s="12" t="s">
        <v>660</v>
      </c>
      <c r="E276" s="12" t="s">
        <v>30</v>
      </c>
      <c r="F276" s="12" t="s">
        <v>239</v>
      </c>
      <c r="G276" s="12" t="s">
        <v>646</v>
      </c>
      <c r="H276" s="14" t="n">
        <v>46277</v>
      </c>
      <c r="I276" s="14" t="n">
        <v>46276</v>
      </c>
      <c r="J276" s="12" t="s">
        <v>33</v>
      </c>
    </row>
    <row r="277" customFormat="false" ht="15" hidden="false" customHeight="true" outlineLevel="0" collapsed="false">
      <c r="A277" s="12" t="s">
        <v>709</v>
      </c>
      <c r="B277" s="13" t="n">
        <v>53.076</v>
      </c>
      <c r="C277" s="13" t="n">
        <v>50.5</v>
      </c>
      <c r="D277" s="12" t="s">
        <v>663</v>
      </c>
      <c r="E277" s="12" t="s">
        <v>30</v>
      </c>
      <c r="F277" s="12" t="s">
        <v>664</v>
      </c>
      <c r="G277" s="12" t="s">
        <v>653</v>
      </c>
      <c r="H277" s="14" t="n">
        <v>46277</v>
      </c>
      <c r="I277" s="14" t="n">
        <v>46279</v>
      </c>
      <c r="J277" s="12" t="s">
        <v>33</v>
      </c>
    </row>
    <row r="278" customFormat="false" ht="15" hidden="false" customHeight="true" outlineLevel="0" collapsed="false">
      <c r="A278" s="12" t="s">
        <v>710</v>
      </c>
      <c r="B278" s="13" t="n">
        <v>262.034</v>
      </c>
      <c r="C278" s="13" t="n">
        <v>242.4</v>
      </c>
      <c r="D278" s="12" t="s">
        <v>663</v>
      </c>
      <c r="E278" s="12" t="s">
        <v>30</v>
      </c>
      <c r="F278" s="12" t="s">
        <v>664</v>
      </c>
      <c r="G278" s="12" t="s">
        <v>653</v>
      </c>
      <c r="H278" s="14" t="n">
        <v>46277</v>
      </c>
      <c r="I278" s="14" t="n">
        <v>46279</v>
      </c>
      <c r="J278" s="12" t="s">
        <v>33</v>
      </c>
    </row>
    <row r="279" customFormat="false" ht="15" hidden="false" customHeight="true" outlineLevel="0" collapsed="false">
      <c r="A279" s="12" t="s">
        <v>711</v>
      </c>
      <c r="B279" s="13" t="n">
        <v>34.332</v>
      </c>
      <c r="C279" s="13" t="n">
        <v>32.32</v>
      </c>
      <c r="D279" s="12" t="s">
        <v>712</v>
      </c>
      <c r="E279" s="12" t="s">
        <v>30</v>
      </c>
      <c r="F279" s="12" t="s">
        <v>626</v>
      </c>
      <c r="G279" s="12" t="s">
        <v>609</v>
      </c>
      <c r="H279" s="14" t="n">
        <v>46277</v>
      </c>
      <c r="I279" s="14" t="n">
        <v>46279</v>
      </c>
      <c r="J279" s="12" t="s">
        <v>33</v>
      </c>
    </row>
    <row r="280" customFormat="false" ht="15" hidden="false" customHeight="true" outlineLevel="0" collapsed="false">
      <c r="A280" s="12" t="s">
        <v>713</v>
      </c>
      <c r="B280" s="13" t="n">
        <v>778.983</v>
      </c>
      <c r="C280" s="13" t="n">
        <v>729.42</v>
      </c>
      <c r="D280" s="12" t="s">
        <v>651</v>
      </c>
      <c r="E280" s="12" t="s">
        <v>30</v>
      </c>
      <c r="F280" s="12" t="s">
        <v>652</v>
      </c>
      <c r="G280" s="12" t="s">
        <v>653</v>
      </c>
      <c r="H280" s="14" t="n">
        <v>46277</v>
      </c>
      <c r="I280" s="14" t="n">
        <v>46279</v>
      </c>
      <c r="J280" s="12" t="s">
        <v>254</v>
      </c>
    </row>
    <row r="281" customFormat="false" ht="15" hidden="false" customHeight="true" outlineLevel="0" collapsed="false">
      <c r="A281" s="12" t="s">
        <v>714</v>
      </c>
      <c r="B281" s="13" t="n">
        <v>3.65</v>
      </c>
      <c r="C281" s="13" t="n">
        <v>3.2</v>
      </c>
      <c r="D281" s="12" t="s">
        <v>651</v>
      </c>
      <c r="E281" s="12" t="s">
        <v>30</v>
      </c>
      <c r="F281" s="12" t="s">
        <v>652</v>
      </c>
      <c r="G281" s="12" t="s">
        <v>653</v>
      </c>
      <c r="H281" s="14" t="n">
        <v>46277</v>
      </c>
      <c r="I281" s="14" t="n">
        <v>46279</v>
      </c>
      <c r="J281" s="12" t="s">
        <v>33</v>
      </c>
    </row>
    <row r="282" customFormat="false" ht="15" hidden="false" customHeight="true" outlineLevel="0" collapsed="false">
      <c r="A282" s="12" t="s">
        <v>715</v>
      </c>
      <c r="B282" s="13" t="n">
        <v>159.227</v>
      </c>
      <c r="C282" s="13" t="n">
        <v>151.5</v>
      </c>
      <c r="D282" s="12" t="s">
        <v>716</v>
      </c>
      <c r="E282" s="12" t="s">
        <v>30</v>
      </c>
      <c r="F282" s="12" t="s">
        <v>717</v>
      </c>
      <c r="G282" s="12" t="s">
        <v>609</v>
      </c>
      <c r="H282" s="14" t="n">
        <v>46277</v>
      </c>
      <c r="I282" s="14" t="n">
        <v>46279</v>
      </c>
      <c r="J282" s="12" t="s">
        <v>33</v>
      </c>
    </row>
    <row r="283" customFormat="false" ht="15" hidden="false" customHeight="true" outlineLevel="0" collapsed="false">
      <c r="A283" s="12" t="s">
        <v>718</v>
      </c>
      <c r="B283" s="13" t="n">
        <v>541.275</v>
      </c>
      <c r="C283" s="13" t="n">
        <v>525</v>
      </c>
      <c r="D283" s="12" t="s">
        <v>655</v>
      </c>
      <c r="E283" s="12" t="s">
        <v>30</v>
      </c>
      <c r="F283" s="12" t="s">
        <v>656</v>
      </c>
      <c r="G283" s="12" t="s">
        <v>646</v>
      </c>
      <c r="H283" s="14" t="n">
        <v>46277</v>
      </c>
      <c r="I283" s="14" t="n">
        <v>46279</v>
      </c>
      <c r="J283" s="12" t="s">
        <v>33</v>
      </c>
    </row>
    <row r="284" customFormat="false" ht="15" hidden="false" customHeight="true" outlineLevel="0" collapsed="false">
      <c r="A284" s="12" t="s">
        <v>719</v>
      </c>
      <c r="B284" s="13" t="n">
        <v>318.453</v>
      </c>
      <c r="C284" s="13" t="n">
        <v>303</v>
      </c>
      <c r="D284" s="12" t="s">
        <v>655</v>
      </c>
      <c r="E284" s="12" t="s">
        <v>30</v>
      </c>
      <c r="F284" s="12" t="s">
        <v>656</v>
      </c>
      <c r="G284" s="12" t="s">
        <v>646</v>
      </c>
      <c r="H284" s="14" t="n">
        <v>46277</v>
      </c>
      <c r="I284" s="14" t="n">
        <v>46279</v>
      </c>
      <c r="J284" s="12" t="s">
        <v>33</v>
      </c>
    </row>
    <row r="285" customFormat="false" ht="15" hidden="false" customHeight="true" outlineLevel="0" collapsed="false">
      <c r="A285" s="12" t="s">
        <v>720</v>
      </c>
      <c r="B285" s="13" t="n">
        <v>86.848</v>
      </c>
      <c r="C285" s="13" t="n">
        <v>81.34</v>
      </c>
      <c r="D285" s="12" t="s">
        <v>721</v>
      </c>
      <c r="E285" s="12" t="s">
        <v>30</v>
      </c>
      <c r="F285" s="12" t="s">
        <v>656</v>
      </c>
      <c r="G285" s="12" t="s">
        <v>646</v>
      </c>
      <c r="H285" s="14" t="n">
        <v>46277</v>
      </c>
      <c r="I285" s="14" t="n">
        <v>46285</v>
      </c>
      <c r="J285" s="12" t="s">
        <v>33</v>
      </c>
    </row>
    <row r="286" customFormat="false" ht="15" hidden="false" customHeight="true" outlineLevel="0" collapsed="false">
      <c r="A286" s="12" t="s">
        <v>722</v>
      </c>
      <c r="B286" s="13" t="n">
        <v>131.017</v>
      </c>
      <c r="C286" s="13" t="n">
        <v>121.2</v>
      </c>
      <c r="D286" s="12" t="s">
        <v>723</v>
      </c>
      <c r="E286" s="12" t="s">
        <v>30</v>
      </c>
      <c r="F286" s="12" t="s">
        <v>724</v>
      </c>
      <c r="G286" s="12" t="s">
        <v>653</v>
      </c>
      <c r="H286" s="14" t="n">
        <v>46277</v>
      </c>
      <c r="I286" s="14" t="n">
        <v>46279</v>
      </c>
      <c r="J286" s="12" t="s">
        <v>254</v>
      </c>
    </row>
    <row r="287" customFormat="false" ht="15" hidden="false" customHeight="true" outlineLevel="0" collapsed="false">
      <c r="A287" s="12" t="s">
        <v>725</v>
      </c>
      <c r="B287" s="13" t="n">
        <v>3255</v>
      </c>
      <c r="C287" s="13" t="n">
        <v>3000</v>
      </c>
      <c r="D287" s="12" t="s">
        <v>726</v>
      </c>
      <c r="E287" s="12" t="s">
        <v>30</v>
      </c>
      <c r="F287" s="12" t="s">
        <v>727</v>
      </c>
      <c r="G287" s="12" t="s">
        <v>653</v>
      </c>
      <c r="H287" s="14" t="n">
        <v>46277</v>
      </c>
      <c r="I287" s="14" t="n">
        <v>46279</v>
      </c>
      <c r="J287" s="12" t="s">
        <v>33</v>
      </c>
    </row>
    <row r="288" customFormat="false" ht="15" hidden="false" customHeight="true" outlineLevel="0" collapsed="false">
      <c r="A288" s="12" t="s">
        <v>728</v>
      </c>
      <c r="B288" s="13" t="n">
        <v>119.081</v>
      </c>
      <c r="C288" s="13" t="n">
        <v>115.5</v>
      </c>
      <c r="D288" s="12" t="s">
        <v>729</v>
      </c>
      <c r="E288" s="12" t="s">
        <v>30</v>
      </c>
      <c r="F288" s="12" t="s">
        <v>608</v>
      </c>
      <c r="G288" s="12" t="s">
        <v>609</v>
      </c>
      <c r="H288" s="14" t="n">
        <v>46277</v>
      </c>
      <c r="I288" s="14" t="n">
        <v>46279</v>
      </c>
      <c r="J288" s="12" t="s">
        <v>33</v>
      </c>
    </row>
    <row r="289" customFormat="false" ht="15" hidden="false" customHeight="true" outlineLevel="0" collapsed="false">
      <c r="A289" s="12" t="s">
        <v>730</v>
      </c>
      <c r="B289" s="13" t="n">
        <v>278.72</v>
      </c>
      <c r="C289" s="13" t="n">
        <v>260</v>
      </c>
      <c r="D289" s="12" t="s">
        <v>731</v>
      </c>
      <c r="E289" s="12" t="s">
        <v>30</v>
      </c>
      <c r="F289" s="12" t="s">
        <v>732</v>
      </c>
      <c r="G289" s="12" t="s">
        <v>653</v>
      </c>
      <c r="H289" s="14" t="n">
        <v>46277</v>
      </c>
      <c r="I289" s="14" t="n">
        <v>46279</v>
      </c>
      <c r="J289" s="12" t="s">
        <v>33</v>
      </c>
    </row>
    <row r="290" customFormat="false" ht="15" hidden="false" customHeight="true" outlineLevel="0" collapsed="false">
      <c r="A290" s="12" t="s">
        <v>733</v>
      </c>
      <c r="B290" s="13" t="n">
        <v>65.751</v>
      </c>
      <c r="C290" s="13" t="n">
        <v>60.6</v>
      </c>
      <c r="D290" s="12" t="s">
        <v>734</v>
      </c>
      <c r="E290" s="12" t="s">
        <v>30</v>
      </c>
      <c r="F290" s="12" t="s">
        <v>239</v>
      </c>
      <c r="G290" s="12" t="s">
        <v>646</v>
      </c>
      <c r="H290" s="14" t="n">
        <v>46277</v>
      </c>
      <c r="I290" s="14" t="n">
        <v>46279</v>
      </c>
      <c r="J290" s="12" t="s">
        <v>354</v>
      </c>
    </row>
    <row r="291" customFormat="false" ht="15" hidden="false" customHeight="true" outlineLevel="0" collapsed="false">
      <c r="A291" s="12" t="s">
        <v>735</v>
      </c>
      <c r="B291" s="13" t="n">
        <v>685.969</v>
      </c>
      <c r="C291" s="13" t="n">
        <v>595.52</v>
      </c>
      <c r="D291" s="12" t="s">
        <v>651</v>
      </c>
      <c r="E291" s="12" t="s">
        <v>30</v>
      </c>
      <c r="F291" s="12" t="s">
        <v>652</v>
      </c>
      <c r="G291" s="12" t="s">
        <v>653</v>
      </c>
      <c r="H291" s="14" t="n">
        <v>46277</v>
      </c>
      <c r="I291" s="14" t="n">
        <v>46279</v>
      </c>
      <c r="J291" s="12" t="s">
        <v>33</v>
      </c>
    </row>
    <row r="292" customFormat="false" ht="15" hidden="false" customHeight="true" outlineLevel="0" collapsed="false">
      <c r="A292" s="12" t="s">
        <v>736</v>
      </c>
      <c r="B292" s="13" t="n">
        <v>436.788</v>
      </c>
      <c r="C292" s="13" t="n">
        <v>396</v>
      </c>
      <c r="D292" s="12" t="s">
        <v>737</v>
      </c>
      <c r="E292" s="12" t="s">
        <v>30</v>
      </c>
      <c r="F292" s="12" t="s">
        <v>727</v>
      </c>
      <c r="G292" s="12" t="s">
        <v>653</v>
      </c>
      <c r="H292" s="14" t="n">
        <v>46277</v>
      </c>
      <c r="I292" s="14" t="n">
        <v>46279</v>
      </c>
      <c r="J292" s="12" t="s">
        <v>33</v>
      </c>
    </row>
    <row r="293" customFormat="false" ht="15" hidden="false" customHeight="true" outlineLevel="0" collapsed="false">
      <c r="A293" s="12" t="s">
        <v>738</v>
      </c>
      <c r="B293" s="13" t="n">
        <v>53.076</v>
      </c>
      <c r="C293" s="13" t="n">
        <v>50.5</v>
      </c>
      <c r="D293" s="12" t="s">
        <v>739</v>
      </c>
      <c r="E293" s="12" t="s">
        <v>30</v>
      </c>
      <c r="F293" s="12" t="s">
        <v>239</v>
      </c>
      <c r="G293" s="12" t="s">
        <v>646</v>
      </c>
      <c r="H293" s="14" t="n">
        <v>46277</v>
      </c>
      <c r="I293" s="14" t="n">
        <v>46276</v>
      </c>
      <c r="J293" s="12" t="s">
        <v>33</v>
      </c>
    </row>
    <row r="294" customFormat="false" ht="15" hidden="false" customHeight="true" outlineLevel="0" collapsed="false">
      <c r="A294" s="12" t="s">
        <v>740</v>
      </c>
      <c r="B294" s="13" t="n">
        <v>141.634</v>
      </c>
      <c r="C294" s="13" t="n">
        <v>131.3</v>
      </c>
      <c r="D294" s="12" t="s">
        <v>660</v>
      </c>
      <c r="E294" s="12" t="s">
        <v>30</v>
      </c>
      <c r="F294" s="12" t="s">
        <v>239</v>
      </c>
      <c r="G294" s="12" t="s">
        <v>646</v>
      </c>
      <c r="H294" s="14" t="n">
        <v>46277</v>
      </c>
      <c r="I294" s="14" t="n">
        <v>46276</v>
      </c>
      <c r="J294" s="12" t="s">
        <v>33</v>
      </c>
    </row>
    <row r="295" customFormat="false" ht="15" hidden="false" customHeight="true" outlineLevel="0" collapsed="false">
      <c r="A295" s="12" t="s">
        <v>741</v>
      </c>
      <c r="B295" s="13" t="n">
        <v>1667.385</v>
      </c>
      <c r="C295" s="13" t="n">
        <v>1615</v>
      </c>
      <c r="D295" s="12" t="s">
        <v>716</v>
      </c>
      <c r="E295" s="12" t="s">
        <v>30</v>
      </c>
      <c r="F295" s="12" t="s">
        <v>717</v>
      </c>
      <c r="G295" s="12" t="s">
        <v>609</v>
      </c>
      <c r="H295" s="14" t="n">
        <v>46277</v>
      </c>
      <c r="I295" s="14" t="n">
        <v>46279</v>
      </c>
      <c r="J295" s="12" t="s">
        <v>33</v>
      </c>
    </row>
    <row r="296" customFormat="false" ht="15" hidden="false" customHeight="true" outlineLevel="0" collapsed="false">
      <c r="A296" s="12" t="s">
        <v>742</v>
      </c>
      <c r="B296" s="13" t="n">
        <v>827.951</v>
      </c>
      <c r="C296" s="13" t="n">
        <v>765.68</v>
      </c>
      <c r="D296" s="12" t="s">
        <v>701</v>
      </c>
      <c r="E296" s="12" t="s">
        <v>30</v>
      </c>
      <c r="F296" s="12" t="s">
        <v>702</v>
      </c>
      <c r="G296" s="12" t="s">
        <v>653</v>
      </c>
      <c r="H296" s="14" t="n">
        <v>46277</v>
      </c>
      <c r="I296" s="14" t="n">
        <v>46276</v>
      </c>
      <c r="J296" s="12" t="s">
        <v>33</v>
      </c>
    </row>
    <row r="297" customFormat="false" ht="15" hidden="false" customHeight="true" outlineLevel="0" collapsed="false">
      <c r="A297" s="12" t="s">
        <v>743</v>
      </c>
      <c r="B297" s="13" t="n">
        <v>89.225</v>
      </c>
      <c r="C297" s="13" t="n">
        <v>82.82</v>
      </c>
      <c r="D297" s="12" t="s">
        <v>744</v>
      </c>
      <c r="E297" s="12" t="s">
        <v>30</v>
      </c>
      <c r="F297" s="12" t="s">
        <v>239</v>
      </c>
      <c r="G297" s="12" t="s">
        <v>646</v>
      </c>
      <c r="H297" s="14" t="n">
        <v>46277</v>
      </c>
      <c r="I297" s="14" t="n">
        <v>46275</v>
      </c>
      <c r="J297" s="12" t="s">
        <v>33</v>
      </c>
    </row>
    <row r="298" customFormat="false" ht="15" hidden="false" customHeight="true" outlineLevel="0" collapsed="false">
      <c r="A298" s="12" t="s">
        <v>745</v>
      </c>
      <c r="B298" s="13" t="n">
        <v>152.49</v>
      </c>
      <c r="C298" s="13" t="n">
        <v>145.36</v>
      </c>
      <c r="D298" s="12" t="s">
        <v>699</v>
      </c>
      <c r="E298" s="12" t="s">
        <v>30</v>
      </c>
      <c r="F298" s="12" t="s">
        <v>697</v>
      </c>
      <c r="G298" s="12" t="s">
        <v>653</v>
      </c>
      <c r="H298" s="14" t="n">
        <v>46277</v>
      </c>
      <c r="I298" s="14" t="n">
        <v>46279</v>
      </c>
      <c r="J298" s="12" t="s">
        <v>254</v>
      </c>
    </row>
    <row r="299" customFormat="false" ht="15" hidden="false" customHeight="true" outlineLevel="0" collapsed="false">
      <c r="A299" s="12" t="s">
        <v>746</v>
      </c>
      <c r="B299" s="13" t="n">
        <v>397.063</v>
      </c>
      <c r="C299" s="13" t="n">
        <v>375.72</v>
      </c>
      <c r="D299" s="12" t="s">
        <v>716</v>
      </c>
      <c r="E299" s="12" t="s">
        <v>30</v>
      </c>
      <c r="F299" s="12" t="s">
        <v>717</v>
      </c>
      <c r="G299" s="12" t="s">
        <v>609</v>
      </c>
      <c r="H299" s="14" t="n">
        <v>46277</v>
      </c>
      <c r="I299" s="14" t="n">
        <v>46279</v>
      </c>
      <c r="J299" s="12" t="s">
        <v>33</v>
      </c>
    </row>
    <row r="300" customFormat="false" ht="15" hidden="false" customHeight="true" outlineLevel="0" collapsed="false">
      <c r="A300" s="12" t="s">
        <v>747</v>
      </c>
      <c r="B300" s="13" t="n">
        <v>99.84</v>
      </c>
      <c r="C300" s="13" t="n">
        <v>92.92</v>
      </c>
      <c r="D300" s="12" t="s">
        <v>660</v>
      </c>
      <c r="E300" s="12" t="s">
        <v>30</v>
      </c>
      <c r="F300" s="12" t="s">
        <v>239</v>
      </c>
      <c r="G300" s="12" t="s">
        <v>646</v>
      </c>
      <c r="H300" s="14" t="n">
        <v>46277</v>
      </c>
      <c r="I300" s="14" t="n">
        <v>46276</v>
      </c>
      <c r="J300" s="12" t="s">
        <v>33</v>
      </c>
    </row>
    <row r="301" customFormat="false" ht="15" hidden="false" customHeight="true" outlineLevel="0" collapsed="false">
      <c r="A301" s="12" t="s">
        <v>748</v>
      </c>
      <c r="B301" s="13" t="n">
        <v>909.342</v>
      </c>
      <c r="C301" s="13" t="n">
        <v>882</v>
      </c>
      <c r="D301" s="12" t="s">
        <v>666</v>
      </c>
      <c r="E301" s="12" t="s">
        <v>30</v>
      </c>
      <c r="F301" s="12" t="s">
        <v>667</v>
      </c>
      <c r="G301" s="12" t="s">
        <v>609</v>
      </c>
      <c r="H301" s="14" t="n">
        <v>46277</v>
      </c>
      <c r="I301" s="14" t="n">
        <v>46279</v>
      </c>
      <c r="J301" s="12" t="s">
        <v>33</v>
      </c>
    </row>
    <row r="302" customFormat="false" ht="15" hidden="false" customHeight="true" outlineLevel="0" collapsed="false">
      <c r="A302" s="12" t="s">
        <v>749</v>
      </c>
      <c r="B302" s="13" t="n">
        <v>3452.898</v>
      </c>
      <c r="C302" s="13" t="n">
        <v>3264.04</v>
      </c>
      <c r="D302" s="12" t="s">
        <v>716</v>
      </c>
      <c r="E302" s="12" t="s">
        <v>30</v>
      </c>
      <c r="F302" s="12" t="s">
        <v>717</v>
      </c>
      <c r="G302" s="12" t="s">
        <v>609</v>
      </c>
      <c r="H302" s="14" t="n">
        <v>46277</v>
      </c>
      <c r="I302" s="14" t="n">
        <v>46279</v>
      </c>
      <c r="J302" s="12" t="s">
        <v>33</v>
      </c>
    </row>
    <row r="303" customFormat="false" ht="15" hidden="false" customHeight="true" outlineLevel="0" collapsed="false">
      <c r="A303" s="12" t="s">
        <v>750</v>
      </c>
      <c r="B303" s="13" t="n">
        <v>69.505</v>
      </c>
      <c r="C303" s="13" t="n">
        <v>66.24</v>
      </c>
      <c r="D303" s="12" t="s">
        <v>751</v>
      </c>
      <c r="E303" s="12" t="s">
        <v>30</v>
      </c>
      <c r="F303" s="12" t="s">
        <v>268</v>
      </c>
      <c r="G303" s="12" t="s">
        <v>646</v>
      </c>
      <c r="H303" s="14" t="n">
        <v>46277</v>
      </c>
      <c r="I303" s="14" t="n">
        <v>46279</v>
      </c>
      <c r="J303" s="12" t="s">
        <v>33</v>
      </c>
    </row>
    <row r="304" customFormat="false" ht="15" hidden="false" customHeight="true" outlineLevel="0" collapsed="false">
      <c r="A304" s="12" t="s">
        <v>752</v>
      </c>
      <c r="B304" s="13" t="n">
        <v>26.203</v>
      </c>
      <c r="C304" s="13" t="n">
        <v>24.24</v>
      </c>
      <c r="D304" s="12" t="s">
        <v>751</v>
      </c>
      <c r="E304" s="12" t="s">
        <v>30</v>
      </c>
      <c r="F304" s="12" t="s">
        <v>268</v>
      </c>
      <c r="G304" s="12" t="s">
        <v>646</v>
      </c>
      <c r="H304" s="14" t="n">
        <v>46277</v>
      </c>
      <c r="I304" s="14" t="n">
        <v>46279</v>
      </c>
      <c r="J304" s="12" t="s">
        <v>33</v>
      </c>
    </row>
    <row r="305" customFormat="false" ht="15" hidden="false" customHeight="true" outlineLevel="0" collapsed="false">
      <c r="A305" s="12" t="s">
        <v>753</v>
      </c>
      <c r="B305" s="13" t="n">
        <v>342.902</v>
      </c>
      <c r="C305" s="13" t="n">
        <v>316.72</v>
      </c>
      <c r="D305" s="12" t="s">
        <v>751</v>
      </c>
      <c r="E305" s="12" t="s">
        <v>30</v>
      </c>
      <c r="F305" s="12" t="s">
        <v>268</v>
      </c>
      <c r="G305" s="12" t="s">
        <v>646</v>
      </c>
      <c r="H305" s="14" t="n">
        <v>46277</v>
      </c>
      <c r="I305" s="14" t="n">
        <v>46279</v>
      </c>
      <c r="J305" s="12" t="s">
        <v>33</v>
      </c>
    </row>
    <row r="306" customFormat="false" ht="15" hidden="false" customHeight="true" outlineLevel="0" collapsed="false">
      <c r="A306" s="12" t="s">
        <v>754</v>
      </c>
      <c r="B306" s="13" t="n">
        <v>10850</v>
      </c>
      <c r="C306" s="13" t="n">
        <v>10000</v>
      </c>
      <c r="D306" s="12" t="s">
        <v>755</v>
      </c>
      <c r="E306" s="12" t="s">
        <v>30</v>
      </c>
      <c r="F306" s="12" t="s">
        <v>756</v>
      </c>
      <c r="G306" s="12" t="s">
        <v>653</v>
      </c>
      <c r="H306" s="14" t="n">
        <v>46277</v>
      </c>
      <c r="I306" s="14" t="n">
        <v>46275</v>
      </c>
      <c r="J306" s="12" t="s">
        <v>33</v>
      </c>
    </row>
    <row r="307" customFormat="false" ht="15" hidden="false" customHeight="true" outlineLevel="0" collapsed="false">
      <c r="A307" s="12" t="s">
        <v>757</v>
      </c>
      <c r="B307" s="13" t="n">
        <v>8680</v>
      </c>
      <c r="C307" s="13" t="n">
        <v>8000</v>
      </c>
      <c r="D307" s="12" t="s">
        <v>758</v>
      </c>
      <c r="E307" s="12" t="s">
        <v>30</v>
      </c>
      <c r="F307" s="12" t="s">
        <v>759</v>
      </c>
      <c r="G307" s="12" t="s">
        <v>653</v>
      </c>
      <c r="H307" s="14" t="n">
        <v>46277</v>
      </c>
      <c r="I307" s="14" t="n">
        <v>46279</v>
      </c>
      <c r="J307" s="12" t="s">
        <v>33</v>
      </c>
    </row>
    <row r="308" customFormat="false" ht="15" hidden="false" customHeight="true" outlineLevel="0" collapsed="false">
      <c r="A308" s="12" t="s">
        <v>760</v>
      </c>
      <c r="B308" s="13" t="n">
        <v>301.383</v>
      </c>
      <c r="C308" s="13" t="n">
        <v>278.8</v>
      </c>
      <c r="D308" s="12" t="s">
        <v>696</v>
      </c>
      <c r="E308" s="12" t="s">
        <v>30</v>
      </c>
      <c r="F308" s="12" t="s">
        <v>697</v>
      </c>
      <c r="G308" s="12" t="s">
        <v>653</v>
      </c>
      <c r="H308" s="14" t="n">
        <v>46277</v>
      </c>
      <c r="I308" s="14" t="n">
        <v>46279</v>
      </c>
      <c r="J308" s="12" t="s">
        <v>254</v>
      </c>
    </row>
    <row r="309" customFormat="false" ht="15" hidden="false" customHeight="true" outlineLevel="0" collapsed="false">
      <c r="A309" s="12" t="s">
        <v>761</v>
      </c>
      <c r="B309" s="13" t="n">
        <v>21.23</v>
      </c>
      <c r="C309" s="13" t="n">
        <v>20.2</v>
      </c>
      <c r="D309" s="12" t="s">
        <v>683</v>
      </c>
      <c r="E309" s="12" t="s">
        <v>30</v>
      </c>
      <c r="F309" s="12" t="s">
        <v>239</v>
      </c>
      <c r="G309" s="12" t="s">
        <v>646</v>
      </c>
      <c r="H309" s="14" t="n">
        <v>46277</v>
      </c>
      <c r="I309" s="14" t="n">
        <v>46279</v>
      </c>
      <c r="J309" s="12" t="s">
        <v>254</v>
      </c>
    </row>
    <row r="310" customFormat="false" ht="15" hidden="false" customHeight="true" outlineLevel="0" collapsed="false">
      <c r="A310" s="12" t="s">
        <v>762</v>
      </c>
      <c r="B310" s="13" t="n">
        <v>283.654</v>
      </c>
      <c r="C310" s="13" t="n">
        <v>262.4</v>
      </c>
      <c r="D310" s="12" t="s">
        <v>763</v>
      </c>
      <c r="E310" s="12" t="s">
        <v>30</v>
      </c>
      <c r="F310" s="12" t="s">
        <v>764</v>
      </c>
      <c r="G310" s="12" t="s">
        <v>653</v>
      </c>
      <c r="H310" s="14" t="n">
        <v>46277</v>
      </c>
      <c r="I310" s="14" t="n">
        <v>46279</v>
      </c>
      <c r="J310" s="12" t="s">
        <v>254</v>
      </c>
    </row>
    <row r="311" customFormat="false" ht="15" hidden="false" customHeight="true" outlineLevel="0" collapsed="false">
      <c r="A311" s="12" t="s">
        <v>765</v>
      </c>
      <c r="B311" s="13" t="n">
        <v>68.663</v>
      </c>
      <c r="C311" s="13" t="n">
        <v>64.64</v>
      </c>
      <c r="D311" s="12" t="s">
        <v>721</v>
      </c>
      <c r="E311" s="12" t="s">
        <v>30</v>
      </c>
      <c r="F311" s="12" t="s">
        <v>656</v>
      </c>
      <c r="G311" s="12" t="s">
        <v>646</v>
      </c>
      <c r="H311" s="14" t="n">
        <v>46277</v>
      </c>
      <c r="I311" s="14" t="n">
        <v>46279</v>
      </c>
      <c r="J311" s="12" t="s">
        <v>33</v>
      </c>
    </row>
    <row r="312" customFormat="false" ht="15" hidden="false" customHeight="true" outlineLevel="0" collapsed="false">
      <c r="A312" s="12" t="s">
        <v>766</v>
      </c>
      <c r="B312" s="13" t="n">
        <v>42.46</v>
      </c>
      <c r="C312" s="13" t="n">
        <v>40.4</v>
      </c>
      <c r="D312" s="12" t="s">
        <v>694</v>
      </c>
      <c r="E312" s="12" t="s">
        <v>30</v>
      </c>
      <c r="F312" s="12" t="s">
        <v>253</v>
      </c>
      <c r="G312" s="12" t="s">
        <v>653</v>
      </c>
      <c r="H312" s="14" t="n">
        <v>46277</v>
      </c>
      <c r="I312" s="14" t="n">
        <v>46279</v>
      </c>
      <c r="J312" s="12" t="s">
        <v>254</v>
      </c>
    </row>
    <row r="313" customFormat="false" ht="15" hidden="false" customHeight="true" outlineLevel="0" collapsed="false">
      <c r="A313" s="12" t="s">
        <v>767</v>
      </c>
      <c r="B313" s="13" t="n">
        <v>65.024</v>
      </c>
      <c r="C313" s="13" t="n">
        <v>60.6</v>
      </c>
      <c r="D313" s="12" t="s">
        <v>768</v>
      </c>
      <c r="E313" s="12" t="s">
        <v>30</v>
      </c>
      <c r="F313" s="12" t="s">
        <v>769</v>
      </c>
      <c r="G313" s="12" t="s">
        <v>653</v>
      </c>
      <c r="H313" s="14" t="n">
        <v>46277</v>
      </c>
      <c r="I313" s="14" t="n">
        <v>46279</v>
      </c>
      <c r="J313" s="12" t="s">
        <v>33</v>
      </c>
    </row>
    <row r="314" customFormat="false" ht="15" hidden="false" customHeight="true" outlineLevel="0" collapsed="false">
      <c r="A314" s="12" t="s">
        <v>770</v>
      </c>
      <c r="B314" s="13" t="n">
        <v>46.985</v>
      </c>
      <c r="C314" s="13" t="n">
        <v>43.5</v>
      </c>
      <c r="D314" s="12" t="s">
        <v>768</v>
      </c>
      <c r="E314" s="12" t="s">
        <v>30</v>
      </c>
      <c r="F314" s="12" t="s">
        <v>769</v>
      </c>
      <c r="G314" s="12" t="s">
        <v>653</v>
      </c>
      <c r="H314" s="14" t="n">
        <v>46277</v>
      </c>
      <c r="I314" s="14" t="n">
        <v>46279</v>
      </c>
      <c r="J314" s="12" t="s">
        <v>33</v>
      </c>
    </row>
    <row r="315" customFormat="false" ht="15" hidden="false" customHeight="true" outlineLevel="0" collapsed="false">
      <c r="A315" s="12" t="s">
        <v>771</v>
      </c>
      <c r="B315" s="13" t="n">
        <v>85.762</v>
      </c>
      <c r="C315" s="13" t="n">
        <v>82.4</v>
      </c>
      <c r="D315" s="12" t="s">
        <v>772</v>
      </c>
      <c r="E315" s="12" t="s">
        <v>30</v>
      </c>
      <c r="F315" s="12" t="s">
        <v>667</v>
      </c>
      <c r="G315" s="12" t="s">
        <v>609</v>
      </c>
      <c r="H315" s="14" t="n">
        <v>46277</v>
      </c>
      <c r="I315" s="14" t="n">
        <v>46279</v>
      </c>
      <c r="J315" s="12" t="s">
        <v>33</v>
      </c>
    </row>
    <row r="316" customFormat="false" ht="15" hidden="false" customHeight="true" outlineLevel="0" collapsed="false">
      <c r="A316" s="12" t="s">
        <v>773</v>
      </c>
      <c r="B316" s="13" t="n">
        <v>13.102</v>
      </c>
      <c r="C316" s="13" t="n">
        <v>12.12</v>
      </c>
      <c r="D316" s="12" t="s">
        <v>774</v>
      </c>
      <c r="E316" s="12" t="s">
        <v>30</v>
      </c>
      <c r="F316" s="12" t="s">
        <v>608</v>
      </c>
      <c r="G316" s="12" t="s">
        <v>609</v>
      </c>
      <c r="H316" s="14" t="n">
        <v>46277</v>
      </c>
      <c r="I316" s="14" t="n">
        <v>46279</v>
      </c>
      <c r="J316" s="12" t="s">
        <v>33</v>
      </c>
    </row>
    <row r="317" customFormat="false" ht="15" hidden="false" customHeight="true" outlineLevel="0" collapsed="false">
      <c r="A317" s="12" t="s">
        <v>775</v>
      </c>
      <c r="B317" s="13" t="n">
        <v>286.452</v>
      </c>
      <c r="C317" s="13" t="n">
        <v>266.52</v>
      </c>
      <c r="D317" s="12" t="s">
        <v>691</v>
      </c>
      <c r="E317" s="12" t="s">
        <v>30</v>
      </c>
      <c r="F317" s="12" t="s">
        <v>692</v>
      </c>
      <c r="G317" s="12" t="s">
        <v>653</v>
      </c>
      <c r="H317" s="14" t="n">
        <v>46277</v>
      </c>
      <c r="I317" s="14" t="n">
        <v>46279</v>
      </c>
      <c r="J317" s="12" t="s">
        <v>254</v>
      </c>
    </row>
    <row r="318" customFormat="false" ht="15" hidden="false" customHeight="true" outlineLevel="0" collapsed="false">
      <c r="A318" s="12" t="s">
        <v>776</v>
      </c>
      <c r="B318" s="13" t="n">
        <v>88.642</v>
      </c>
      <c r="C318" s="13" t="n">
        <v>82</v>
      </c>
      <c r="D318" s="12" t="s">
        <v>751</v>
      </c>
      <c r="E318" s="12" t="s">
        <v>30</v>
      </c>
      <c r="F318" s="12" t="s">
        <v>268</v>
      </c>
      <c r="G318" s="12" t="s">
        <v>646</v>
      </c>
      <c r="H318" s="14" t="n">
        <v>46277</v>
      </c>
      <c r="I318" s="14" t="n">
        <v>46279</v>
      </c>
      <c r="J318" s="12" t="s">
        <v>33</v>
      </c>
    </row>
    <row r="319" customFormat="false" ht="15" hidden="false" customHeight="true" outlineLevel="0" collapsed="false">
      <c r="A319" s="12" t="s">
        <v>777</v>
      </c>
      <c r="B319" s="13" t="n">
        <v>80.26</v>
      </c>
      <c r="C319" s="13" t="n">
        <v>75</v>
      </c>
      <c r="D319" s="12" t="s">
        <v>778</v>
      </c>
      <c r="E319" s="12" t="s">
        <v>30</v>
      </c>
      <c r="F319" s="12" t="s">
        <v>608</v>
      </c>
      <c r="G319" s="12" t="s">
        <v>609</v>
      </c>
      <c r="H319" s="14" t="n">
        <v>46277</v>
      </c>
      <c r="I319" s="14" t="n">
        <v>46279</v>
      </c>
      <c r="J319" s="12" t="s">
        <v>33</v>
      </c>
    </row>
    <row r="320" customFormat="false" ht="15" hidden="false" customHeight="true" outlineLevel="0" collapsed="false">
      <c r="A320" s="12" t="s">
        <v>779</v>
      </c>
      <c r="B320" s="13" t="n">
        <v>47.53</v>
      </c>
      <c r="C320" s="13" t="n">
        <v>45</v>
      </c>
      <c r="D320" s="12" t="s">
        <v>780</v>
      </c>
      <c r="E320" s="12" t="s">
        <v>30</v>
      </c>
      <c r="F320" s="12" t="s">
        <v>608</v>
      </c>
      <c r="G320" s="12" t="s">
        <v>609</v>
      </c>
      <c r="H320" s="14" t="n">
        <v>46277</v>
      </c>
      <c r="I320" s="14" t="n">
        <v>46279</v>
      </c>
      <c r="J320" s="12" t="s">
        <v>33</v>
      </c>
    </row>
    <row r="321" customFormat="false" ht="15" hidden="false" customHeight="true" outlineLevel="0" collapsed="false">
      <c r="A321" s="12" t="s">
        <v>781</v>
      </c>
      <c r="B321" s="13" t="n">
        <v>39.305</v>
      </c>
      <c r="C321" s="13" t="n">
        <v>36.36</v>
      </c>
      <c r="D321" s="12" t="s">
        <v>782</v>
      </c>
      <c r="E321" s="12" t="s">
        <v>30</v>
      </c>
      <c r="F321" s="12" t="s">
        <v>608</v>
      </c>
      <c r="G321" s="12" t="s">
        <v>609</v>
      </c>
      <c r="H321" s="14" t="n">
        <v>46277</v>
      </c>
      <c r="I321" s="14" t="n">
        <v>46279</v>
      </c>
      <c r="J321" s="12" t="s">
        <v>33</v>
      </c>
    </row>
    <row r="322" customFormat="false" ht="15" hidden="false" customHeight="true" outlineLevel="0" collapsed="false">
      <c r="A322" s="12" t="s">
        <v>783</v>
      </c>
      <c r="B322" s="13" t="n">
        <v>54.25</v>
      </c>
      <c r="C322" s="13" t="n">
        <v>50</v>
      </c>
      <c r="D322" s="12" t="s">
        <v>784</v>
      </c>
      <c r="E322" s="12" t="s">
        <v>30</v>
      </c>
      <c r="F322" s="12" t="s">
        <v>608</v>
      </c>
      <c r="G322" s="12" t="s">
        <v>609</v>
      </c>
      <c r="H322" s="14" t="n">
        <v>46277</v>
      </c>
      <c r="I322" s="14" t="n">
        <v>46279</v>
      </c>
      <c r="J322" s="12" t="s">
        <v>33</v>
      </c>
    </row>
    <row r="323" customFormat="false" ht="15" hidden="false" customHeight="true" outlineLevel="0" collapsed="false">
      <c r="A323" s="12" t="s">
        <v>785</v>
      </c>
      <c r="B323" s="13" t="n">
        <v>21.58</v>
      </c>
      <c r="C323" s="13" t="n">
        <v>20</v>
      </c>
      <c r="D323" s="12" t="s">
        <v>786</v>
      </c>
      <c r="E323" s="12" t="s">
        <v>30</v>
      </c>
      <c r="F323" s="12" t="s">
        <v>608</v>
      </c>
      <c r="G323" s="12" t="s">
        <v>609</v>
      </c>
      <c r="H323" s="14" t="n">
        <v>46277</v>
      </c>
      <c r="I323" s="14" t="n">
        <v>46279</v>
      </c>
      <c r="J323" s="12" t="s">
        <v>33</v>
      </c>
    </row>
    <row r="324" customFormat="false" ht="15" hidden="false" customHeight="true" outlineLevel="0" collapsed="false">
      <c r="A324" s="12" t="s">
        <v>787</v>
      </c>
      <c r="B324" s="13" t="n">
        <v>71.303</v>
      </c>
      <c r="C324" s="13" t="n">
        <v>64.24</v>
      </c>
      <c r="D324" s="12" t="s">
        <v>788</v>
      </c>
      <c r="E324" s="12" t="s">
        <v>30</v>
      </c>
      <c r="F324" s="12" t="s">
        <v>608</v>
      </c>
      <c r="G324" s="12" t="s">
        <v>609</v>
      </c>
      <c r="H324" s="14" t="n">
        <v>46277</v>
      </c>
      <c r="I324" s="14" t="n">
        <v>46279</v>
      </c>
      <c r="J324" s="12" t="s">
        <v>33</v>
      </c>
    </row>
    <row r="325" customFormat="false" ht="15" hidden="false" customHeight="true" outlineLevel="0" collapsed="false">
      <c r="A325" s="12" t="s">
        <v>789</v>
      </c>
      <c r="B325" s="13" t="n">
        <v>5.925</v>
      </c>
      <c r="C325" s="13" t="n">
        <v>5</v>
      </c>
      <c r="D325" s="12" t="s">
        <v>790</v>
      </c>
      <c r="E325" s="12" t="s">
        <v>30</v>
      </c>
      <c r="F325" s="12" t="s">
        <v>791</v>
      </c>
      <c r="G325" s="12" t="s">
        <v>609</v>
      </c>
      <c r="H325" s="14" t="n">
        <v>46277</v>
      </c>
      <c r="I325" s="14" t="n">
        <v>46279</v>
      </c>
      <c r="J325" s="12" t="s">
        <v>33</v>
      </c>
    </row>
    <row r="326" customFormat="false" ht="15" hidden="false" customHeight="true" outlineLevel="0" collapsed="false">
      <c r="A326" s="12" t="s">
        <v>792</v>
      </c>
      <c r="B326" s="13" t="n">
        <v>108.921</v>
      </c>
      <c r="C326" s="13" t="n">
        <v>103</v>
      </c>
      <c r="D326" s="12" t="s">
        <v>793</v>
      </c>
      <c r="E326" s="12" t="s">
        <v>30</v>
      </c>
      <c r="F326" s="12" t="s">
        <v>794</v>
      </c>
      <c r="G326" s="12" t="s">
        <v>609</v>
      </c>
      <c r="H326" s="14" t="n">
        <v>46277</v>
      </c>
      <c r="I326" s="14" t="n">
        <v>46279</v>
      </c>
      <c r="J326" s="12" t="s">
        <v>33</v>
      </c>
    </row>
    <row r="327" customFormat="false" ht="15" hidden="false" customHeight="true" outlineLevel="0" collapsed="false">
      <c r="A327" s="12" t="s">
        <v>795</v>
      </c>
      <c r="B327" s="13" t="n">
        <v>458.56</v>
      </c>
      <c r="C327" s="13" t="n">
        <v>424.2</v>
      </c>
      <c r="D327" s="12" t="s">
        <v>796</v>
      </c>
      <c r="E327" s="12" t="s">
        <v>30</v>
      </c>
      <c r="F327" s="12" t="s">
        <v>608</v>
      </c>
      <c r="G327" s="12" t="s">
        <v>609</v>
      </c>
      <c r="H327" s="14" t="n">
        <v>46277</v>
      </c>
      <c r="I327" s="14" t="n">
        <v>46279</v>
      </c>
      <c r="J327" s="12" t="s">
        <v>33</v>
      </c>
    </row>
    <row r="328" customFormat="false" ht="15" hidden="false" customHeight="true" outlineLevel="0" collapsed="false">
      <c r="A328" s="12" t="s">
        <v>797</v>
      </c>
      <c r="B328" s="13" t="n">
        <v>207.727</v>
      </c>
      <c r="C328" s="13" t="n">
        <v>191.9</v>
      </c>
      <c r="D328" s="12" t="s">
        <v>798</v>
      </c>
      <c r="E328" s="12" t="s">
        <v>30</v>
      </c>
      <c r="F328" s="12" t="s">
        <v>799</v>
      </c>
      <c r="G328" s="12" t="s">
        <v>609</v>
      </c>
      <c r="H328" s="14" t="n">
        <v>46277</v>
      </c>
      <c r="I328" s="14" t="n">
        <v>46279</v>
      </c>
      <c r="J328" s="12" t="s">
        <v>33</v>
      </c>
    </row>
    <row r="329" customFormat="false" ht="15" hidden="false" customHeight="true" outlineLevel="0" collapsed="false">
      <c r="A329" s="12" t="s">
        <v>800</v>
      </c>
      <c r="B329" s="13" t="n">
        <v>118.158</v>
      </c>
      <c r="C329" s="13" t="n">
        <v>109.08</v>
      </c>
      <c r="D329" s="12" t="s">
        <v>801</v>
      </c>
      <c r="E329" s="12" t="s">
        <v>30</v>
      </c>
      <c r="F329" s="12" t="s">
        <v>608</v>
      </c>
      <c r="G329" s="12" t="s">
        <v>609</v>
      </c>
      <c r="H329" s="14" t="n">
        <v>46277</v>
      </c>
      <c r="I329" s="14" t="n">
        <v>46279</v>
      </c>
      <c r="J329" s="12" t="s">
        <v>33</v>
      </c>
    </row>
    <row r="330" customFormat="false" ht="15" hidden="false" customHeight="true" outlineLevel="0" collapsed="false">
      <c r="A330" s="12" t="s">
        <v>802</v>
      </c>
      <c r="B330" s="13" t="n">
        <v>214.399</v>
      </c>
      <c r="C330" s="13" t="n">
        <v>197.96</v>
      </c>
      <c r="D330" s="12" t="s">
        <v>803</v>
      </c>
      <c r="E330" s="12" t="s">
        <v>30</v>
      </c>
      <c r="F330" s="12" t="s">
        <v>804</v>
      </c>
      <c r="G330" s="12" t="s">
        <v>609</v>
      </c>
      <c r="H330" s="14" t="n">
        <v>46277</v>
      </c>
      <c r="I330" s="14" t="n">
        <v>46279</v>
      </c>
      <c r="J330" s="12" t="s">
        <v>33</v>
      </c>
    </row>
    <row r="331" customFormat="false" ht="15" hidden="false" customHeight="true" outlineLevel="0" collapsed="false">
      <c r="A331" s="12" t="s">
        <v>805</v>
      </c>
      <c r="B331" s="13" t="n">
        <v>59.079</v>
      </c>
      <c r="C331" s="13" t="n">
        <v>54.54</v>
      </c>
      <c r="D331" s="12" t="s">
        <v>806</v>
      </c>
      <c r="E331" s="12" t="s">
        <v>30</v>
      </c>
      <c r="F331" s="12" t="s">
        <v>807</v>
      </c>
      <c r="G331" s="12" t="s">
        <v>609</v>
      </c>
      <c r="H331" s="14" t="n">
        <v>46277</v>
      </c>
      <c r="I331" s="14" t="n">
        <v>46279</v>
      </c>
      <c r="J331" s="12" t="s">
        <v>33</v>
      </c>
    </row>
    <row r="332" customFormat="false" ht="15" hidden="false" customHeight="true" outlineLevel="0" collapsed="false">
      <c r="A332" s="12" t="s">
        <v>808</v>
      </c>
      <c r="B332" s="13" t="n">
        <v>527.48</v>
      </c>
      <c r="C332" s="13" t="n">
        <v>485.02</v>
      </c>
      <c r="D332" s="12" t="s">
        <v>809</v>
      </c>
      <c r="E332" s="12" t="s">
        <v>30</v>
      </c>
      <c r="F332" s="12" t="s">
        <v>810</v>
      </c>
      <c r="G332" s="12" t="s">
        <v>609</v>
      </c>
      <c r="H332" s="14" t="n">
        <v>46277</v>
      </c>
      <c r="I332" s="14" t="n">
        <v>46279</v>
      </c>
      <c r="J332" s="12" t="s">
        <v>33</v>
      </c>
    </row>
    <row r="333" customFormat="false" ht="15" hidden="false" customHeight="true" outlineLevel="0" collapsed="false">
      <c r="A333" s="12" t="s">
        <v>811</v>
      </c>
      <c r="B333" s="13" t="n">
        <v>74.321</v>
      </c>
      <c r="C333" s="13" t="n">
        <v>71.2</v>
      </c>
      <c r="D333" s="12" t="s">
        <v>641</v>
      </c>
      <c r="E333" s="12" t="s">
        <v>30</v>
      </c>
      <c r="F333" s="12" t="s">
        <v>608</v>
      </c>
      <c r="G333" s="12" t="s">
        <v>609</v>
      </c>
      <c r="H333" s="14" t="n">
        <v>46277</v>
      </c>
      <c r="I333" s="14" t="n">
        <v>46279</v>
      </c>
      <c r="J333" s="12" t="s">
        <v>33</v>
      </c>
    </row>
    <row r="334" customFormat="false" ht="15" hidden="false" customHeight="true" outlineLevel="0" collapsed="false">
      <c r="A334" s="12" t="s">
        <v>812</v>
      </c>
      <c r="B334" s="13" t="n">
        <v>88.668</v>
      </c>
      <c r="C334" s="13" t="n">
        <v>85.3</v>
      </c>
      <c r="D334" s="12" t="s">
        <v>813</v>
      </c>
      <c r="E334" s="12" t="s">
        <v>30</v>
      </c>
      <c r="F334" s="12" t="s">
        <v>239</v>
      </c>
      <c r="G334" s="12" t="s">
        <v>240</v>
      </c>
      <c r="H334" s="14" t="n">
        <v>46277</v>
      </c>
      <c r="I334" s="14" t="n">
        <v>46279</v>
      </c>
      <c r="J334" s="12" t="s">
        <v>33</v>
      </c>
    </row>
    <row r="335" customFormat="false" ht="15" hidden="false" customHeight="true" outlineLevel="0" collapsed="false">
      <c r="A335" s="12" t="s">
        <v>814</v>
      </c>
      <c r="B335" s="13" t="n">
        <v>51.849</v>
      </c>
      <c r="C335" s="13" t="n">
        <v>47.36</v>
      </c>
      <c r="D335" s="12" t="s">
        <v>815</v>
      </c>
      <c r="E335" s="12" t="s">
        <v>30</v>
      </c>
      <c r="F335" s="12" t="s">
        <v>608</v>
      </c>
      <c r="G335" s="12" t="s">
        <v>609</v>
      </c>
      <c r="H335" s="14" t="n">
        <v>46277</v>
      </c>
      <c r="I335" s="14" t="n">
        <v>46279</v>
      </c>
      <c r="J335" s="12" t="s">
        <v>33</v>
      </c>
    </row>
    <row r="336" customFormat="false" ht="15" hidden="false" customHeight="true" outlineLevel="0" collapsed="false">
      <c r="A336" s="12" t="s">
        <v>816</v>
      </c>
      <c r="B336" s="13" t="n">
        <v>59.017</v>
      </c>
      <c r="C336" s="13" t="n">
        <v>54.34</v>
      </c>
      <c r="D336" s="12" t="s">
        <v>817</v>
      </c>
      <c r="E336" s="12" t="s">
        <v>30</v>
      </c>
      <c r="F336" s="12" t="s">
        <v>608</v>
      </c>
      <c r="G336" s="12" t="s">
        <v>609</v>
      </c>
      <c r="H336" s="14" t="n">
        <v>46277</v>
      </c>
      <c r="I336" s="14" t="n">
        <v>46279</v>
      </c>
      <c r="J336" s="12" t="s">
        <v>33</v>
      </c>
    </row>
    <row r="337" customFormat="false" ht="15" hidden="false" customHeight="true" outlineLevel="0" collapsed="false">
      <c r="A337" s="12" t="s">
        <v>818</v>
      </c>
      <c r="B337" s="13" t="n">
        <v>84.329</v>
      </c>
      <c r="C337" s="13" t="n">
        <v>78.68</v>
      </c>
      <c r="D337" s="12" t="s">
        <v>774</v>
      </c>
      <c r="E337" s="12" t="s">
        <v>30</v>
      </c>
      <c r="F337" s="12" t="s">
        <v>608</v>
      </c>
      <c r="G337" s="12" t="s">
        <v>609</v>
      </c>
      <c r="H337" s="14" t="n">
        <v>46277</v>
      </c>
      <c r="I337" s="14" t="n">
        <v>46279</v>
      </c>
      <c r="J337" s="12" t="s">
        <v>33</v>
      </c>
    </row>
    <row r="338" customFormat="false" ht="15" hidden="false" customHeight="true" outlineLevel="0" collapsed="false">
      <c r="A338" s="12" t="s">
        <v>819</v>
      </c>
      <c r="B338" s="13" t="n">
        <v>17.444</v>
      </c>
      <c r="C338" s="13" t="n">
        <v>16.5</v>
      </c>
      <c r="D338" s="12" t="s">
        <v>820</v>
      </c>
      <c r="E338" s="12" t="s">
        <v>30</v>
      </c>
      <c r="F338" s="12" t="s">
        <v>608</v>
      </c>
      <c r="G338" s="12" t="s">
        <v>609</v>
      </c>
      <c r="H338" s="14" t="n">
        <v>46277</v>
      </c>
      <c r="I338" s="14" t="n">
        <v>46279</v>
      </c>
      <c r="J338" s="12" t="s">
        <v>33</v>
      </c>
    </row>
    <row r="339" customFormat="false" ht="15" hidden="false" customHeight="true" outlineLevel="0" collapsed="false">
      <c r="A339" s="12" t="s">
        <v>821</v>
      </c>
      <c r="B339" s="13" t="n">
        <v>103.505</v>
      </c>
      <c r="C339" s="13" t="n">
        <v>96.36</v>
      </c>
      <c r="D339" s="12" t="s">
        <v>822</v>
      </c>
      <c r="E339" s="12" t="s">
        <v>30</v>
      </c>
      <c r="F339" s="12" t="s">
        <v>608</v>
      </c>
      <c r="G339" s="12" t="s">
        <v>609</v>
      </c>
      <c r="H339" s="14" t="n">
        <v>46277</v>
      </c>
      <c r="I339" s="14" t="n">
        <v>46279</v>
      </c>
      <c r="J339" s="12" t="s">
        <v>33</v>
      </c>
    </row>
    <row r="340" customFormat="false" ht="15" hidden="false" customHeight="true" outlineLevel="0" collapsed="false">
      <c r="A340" s="12" t="s">
        <v>823</v>
      </c>
      <c r="B340" s="13" t="n">
        <v>11.85</v>
      </c>
      <c r="C340" s="13" t="n">
        <v>10</v>
      </c>
      <c r="D340" s="12" t="s">
        <v>676</v>
      </c>
      <c r="E340" s="12" t="s">
        <v>30</v>
      </c>
      <c r="F340" s="12" t="s">
        <v>677</v>
      </c>
      <c r="G340" s="12" t="s">
        <v>646</v>
      </c>
      <c r="H340" s="14" t="n">
        <v>46277</v>
      </c>
      <c r="I340" s="14" t="n">
        <v>46279</v>
      </c>
      <c r="J340" s="12" t="s">
        <v>33</v>
      </c>
    </row>
    <row r="341" customFormat="false" ht="15" hidden="false" customHeight="true" outlineLevel="0" collapsed="false">
      <c r="A341" s="12" t="s">
        <v>824</v>
      </c>
      <c r="B341" s="13" t="n">
        <v>373.275</v>
      </c>
      <c r="C341" s="13" t="n">
        <v>315</v>
      </c>
      <c r="D341" s="12" t="s">
        <v>660</v>
      </c>
      <c r="E341" s="12" t="s">
        <v>30</v>
      </c>
      <c r="F341" s="12" t="s">
        <v>239</v>
      </c>
      <c r="G341" s="12" t="s">
        <v>646</v>
      </c>
      <c r="H341" s="14" t="n">
        <v>46277</v>
      </c>
      <c r="I341" s="14" t="n">
        <v>46279</v>
      </c>
      <c r="J341" s="12" t="s">
        <v>254</v>
      </c>
    </row>
    <row r="342" customFormat="false" ht="15" hidden="false" customHeight="true" outlineLevel="0" collapsed="false">
      <c r="A342" s="12" t="s">
        <v>825</v>
      </c>
      <c r="B342" s="13" t="n">
        <v>11.85</v>
      </c>
      <c r="C342" s="13" t="n">
        <v>10</v>
      </c>
      <c r="D342" s="12" t="s">
        <v>751</v>
      </c>
      <c r="E342" s="12" t="s">
        <v>30</v>
      </c>
      <c r="F342" s="12" t="s">
        <v>268</v>
      </c>
      <c r="G342" s="12" t="s">
        <v>646</v>
      </c>
      <c r="H342" s="14" t="n">
        <v>46277</v>
      </c>
      <c r="I342" s="14" t="n">
        <v>46279</v>
      </c>
      <c r="J342" s="12" t="s">
        <v>33</v>
      </c>
    </row>
    <row r="343" customFormat="false" ht="15" hidden="false" customHeight="true" outlineLevel="0" collapsed="false">
      <c r="A343" s="12" t="s">
        <v>826</v>
      </c>
      <c r="B343" s="13" t="n">
        <v>592.5</v>
      </c>
      <c r="C343" s="13" t="n">
        <v>500</v>
      </c>
      <c r="D343" s="12" t="s">
        <v>734</v>
      </c>
      <c r="E343" s="12" t="s">
        <v>30</v>
      </c>
      <c r="F343" s="12" t="s">
        <v>239</v>
      </c>
      <c r="G343" s="12" t="s">
        <v>646</v>
      </c>
      <c r="H343" s="14" t="n">
        <v>46277</v>
      </c>
      <c r="I343" s="14" t="n">
        <v>46279</v>
      </c>
      <c r="J343" s="12" t="s">
        <v>354</v>
      </c>
    </row>
    <row r="344" customFormat="false" ht="15" hidden="false" customHeight="true" outlineLevel="0" collapsed="false">
      <c r="A344" s="12" t="s">
        <v>827</v>
      </c>
      <c r="B344" s="13" t="n">
        <v>25.73</v>
      </c>
      <c r="C344" s="13" t="n">
        <v>22.66</v>
      </c>
      <c r="D344" s="12" t="s">
        <v>828</v>
      </c>
      <c r="E344" s="12" t="s">
        <v>30</v>
      </c>
      <c r="F344" s="12" t="s">
        <v>626</v>
      </c>
      <c r="G344" s="12" t="s">
        <v>609</v>
      </c>
      <c r="H344" s="14" t="n">
        <v>46277</v>
      </c>
      <c r="I344" s="14" t="n">
        <v>46279</v>
      </c>
      <c r="J344" s="12" t="s">
        <v>33</v>
      </c>
    </row>
    <row r="345" customFormat="false" ht="15" hidden="false" customHeight="true" outlineLevel="0" collapsed="false">
      <c r="A345" s="12" t="s">
        <v>829</v>
      </c>
      <c r="B345" s="13" t="n">
        <v>11.15</v>
      </c>
      <c r="C345" s="13" t="n">
        <v>10</v>
      </c>
      <c r="D345" s="12" t="s">
        <v>830</v>
      </c>
      <c r="E345" s="12" t="s">
        <v>30</v>
      </c>
      <c r="F345" s="12" t="s">
        <v>831</v>
      </c>
      <c r="G345" s="12" t="s">
        <v>240</v>
      </c>
      <c r="H345" s="14" t="n">
        <v>46277</v>
      </c>
      <c r="I345" s="14" t="n">
        <v>46283</v>
      </c>
      <c r="J345" s="12" t="s">
        <v>33</v>
      </c>
    </row>
    <row r="346" customFormat="false" ht="15" hidden="false" customHeight="true" outlineLevel="0" collapsed="false">
      <c r="A346" s="12" t="s">
        <v>832</v>
      </c>
      <c r="B346" s="13" t="n">
        <v>3442.237</v>
      </c>
      <c r="C346" s="13" t="n">
        <v>3223.76</v>
      </c>
      <c r="D346" s="12" t="s">
        <v>731</v>
      </c>
      <c r="E346" s="12" t="s">
        <v>30</v>
      </c>
      <c r="F346" s="12" t="s">
        <v>732</v>
      </c>
      <c r="G346" s="12" t="s">
        <v>653</v>
      </c>
      <c r="H346" s="14" t="n">
        <v>46277</v>
      </c>
      <c r="I346" s="14" t="n">
        <v>46279</v>
      </c>
      <c r="J346" s="12" t="s">
        <v>33</v>
      </c>
    </row>
    <row r="347" customFormat="false" ht="15" hidden="false" customHeight="true" outlineLevel="0" collapsed="false">
      <c r="A347" s="12" t="s">
        <v>833</v>
      </c>
      <c r="B347" s="13" t="n">
        <v>38.692</v>
      </c>
      <c r="C347" s="13" t="n">
        <v>36.5</v>
      </c>
      <c r="D347" s="12" t="s">
        <v>834</v>
      </c>
      <c r="E347" s="12" t="s">
        <v>30</v>
      </c>
      <c r="F347" s="12" t="s">
        <v>608</v>
      </c>
      <c r="G347" s="12" t="s">
        <v>609</v>
      </c>
      <c r="H347" s="14" t="n">
        <v>46277</v>
      </c>
      <c r="I347" s="14" t="n">
        <v>46279</v>
      </c>
      <c r="J347" s="12" t="s">
        <v>33</v>
      </c>
    </row>
    <row r="348" customFormat="false" ht="15" hidden="false" customHeight="true" outlineLevel="0" collapsed="false">
      <c r="A348" s="12" t="s">
        <v>835</v>
      </c>
      <c r="B348" s="13" t="n">
        <v>29.625</v>
      </c>
      <c r="C348" s="13" t="n">
        <v>25</v>
      </c>
      <c r="D348" s="12" t="s">
        <v>822</v>
      </c>
      <c r="E348" s="12" t="s">
        <v>30</v>
      </c>
      <c r="F348" s="12" t="s">
        <v>608</v>
      </c>
      <c r="G348" s="12" t="s">
        <v>609</v>
      </c>
      <c r="H348" s="14" t="n">
        <v>46277</v>
      </c>
      <c r="I348" s="14" t="n">
        <v>46279</v>
      </c>
      <c r="J348" s="12" t="s">
        <v>33</v>
      </c>
    </row>
    <row r="349" customFormat="false" ht="15" hidden="false" customHeight="true" outlineLevel="0" collapsed="false">
      <c r="A349" s="12" t="s">
        <v>836</v>
      </c>
      <c r="B349" s="13" t="n">
        <v>46.2</v>
      </c>
      <c r="C349" s="13" t="n">
        <v>42</v>
      </c>
      <c r="D349" s="12" t="s">
        <v>680</v>
      </c>
      <c r="E349" s="12" t="s">
        <v>30</v>
      </c>
      <c r="F349" s="12" t="s">
        <v>243</v>
      </c>
      <c r="G349" s="12" t="s">
        <v>646</v>
      </c>
      <c r="H349" s="14" t="n">
        <v>46277</v>
      </c>
      <c r="I349" s="14" t="n">
        <v>46279</v>
      </c>
      <c r="J349" s="12" t="s">
        <v>254</v>
      </c>
    </row>
    <row r="350" customFormat="false" ht="15" hidden="false" customHeight="true" outlineLevel="0" collapsed="false">
      <c r="A350" s="12" t="s">
        <v>837</v>
      </c>
      <c r="B350" s="13" t="n">
        <v>132.36</v>
      </c>
      <c r="C350" s="13" t="n">
        <v>120</v>
      </c>
      <c r="D350" s="12" t="s">
        <v>739</v>
      </c>
      <c r="E350" s="12" t="s">
        <v>30</v>
      </c>
      <c r="F350" s="12" t="s">
        <v>239</v>
      </c>
      <c r="G350" s="12" t="s">
        <v>646</v>
      </c>
      <c r="H350" s="14" t="n">
        <v>46277</v>
      </c>
      <c r="I350" s="14" t="n">
        <v>46279</v>
      </c>
      <c r="J350" s="12" t="s">
        <v>254</v>
      </c>
    </row>
    <row r="351" customFormat="false" ht="15" hidden="false" customHeight="true" outlineLevel="0" collapsed="false">
      <c r="A351" s="12" t="s">
        <v>838</v>
      </c>
      <c r="B351" s="13" t="n">
        <v>1493.1</v>
      </c>
      <c r="C351" s="13" t="n">
        <v>1260</v>
      </c>
      <c r="D351" s="12" t="s">
        <v>839</v>
      </c>
      <c r="E351" s="12" t="s">
        <v>30</v>
      </c>
      <c r="F351" s="12" t="s">
        <v>840</v>
      </c>
      <c r="G351" s="12" t="s">
        <v>653</v>
      </c>
      <c r="H351" s="14" t="n">
        <v>46277</v>
      </c>
      <c r="I351" s="14" t="n">
        <v>46279</v>
      </c>
      <c r="J351" s="12" t="s">
        <v>254</v>
      </c>
    </row>
    <row r="352" customFormat="false" ht="15" hidden="false" customHeight="true" outlineLevel="0" collapsed="false">
      <c r="A352" s="12" t="s">
        <v>841</v>
      </c>
      <c r="B352" s="13" t="n">
        <v>39.306</v>
      </c>
      <c r="C352" s="13" t="n">
        <v>36.36</v>
      </c>
      <c r="D352" s="12" t="s">
        <v>751</v>
      </c>
      <c r="E352" s="12" t="s">
        <v>30</v>
      </c>
      <c r="F352" s="12" t="s">
        <v>268</v>
      </c>
      <c r="G352" s="12" t="s">
        <v>646</v>
      </c>
      <c r="H352" s="14" t="n">
        <v>46277</v>
      </c>
      <c r="I352" s="14" t="n">
        <v>46279</v>
      </c>
      <c r="J352" s="12" t="s">
        <v>33</v>
      </c>
    </row>
    <row r="353" customFormat="false" ht="15" hidden="false" customHeight="true" outlineLevel="0" collapsed="false">
      <c r="A353" s="12" t="s">
        <v>842</v>
      </c>
      <c r="B353" s="13" t="n">
        <v>145.456</v>
      </c>
      <c r="C353" s="13" t="n">
        <v>137.36</v>
      </c>
      <c r="D353" s="12" t="s">
        <v>763</v>
      </c>
      <c r="E353" s="12" t="s">
        <v>30</v>
      </c>
      <c r="F353" s="12" t="s">
        <v>764</v>
      </c>
      <c r="G353" s="12" t="s">
        <v>653</v>
      </c>
      <c r="H353" s="14" t="n">
        <v>46277</v>
      </c>
      <c r="I353" s="14" t="n">
        <v>46279</v>
      </c>
      <c r="J353" s="12" t="s">
        <v>254</v>
      </c>
    </row>
    <row r="354" customFormat="false" ht="15" hidden="false" customHeight="true" outlineLevel="0" collapsed="false">
      <c r="A354" s="12" t="s">
        <v>843</v>
      </c>
      <c r="B354" s="13" t="n">
        <v>19.8</v>
      </c>
      <c r="C354" s="13" t="n">
        <v>18</v>
      </c>
      <c r="D354" s="12" t="s">
        <v>663</v>
      </c>
      <c r="E354" s="12" t="s">
        <v>30</v>
      </c>
      <c r="F354" s="12" t="s">
        <v>664</v>
      </c>
      <c r="G354" s="12" t="s">
        <v>653</v>
      </c>
      <c r="H354" s="14" t="n">
        <v>46277</v>
      </c>
      <c r="I354" s="14" t="n">
        <v>46279</v>
      </c>
      <c r="J354" s="12" t="s">
        <v>254</v>
      </c>
    </row>
    <row r="355" customFormat="false" ht="15" hidden="false" customHeight="true" outlineLevel="0" collapsed="false">
      <c r="A355" s="12" t="s">
        <v>844</v>
      </c>
      <c r="B355" s="13" t="n">
        <v>65.508</v>
      </c>
      <c r="C355" s="13" t="n">
        <v>60.6</v>
      </c>
      <c r="D355" s="12" t="s">
        <v>660</v>
      </c>
      <c r="E355" s="12" t="s">
        <v>30</v>
      </c>
      <c r="F355" s="12" t="s">
        <v>239</v>
      </c>
      <c r="G355" s="12" t="s">
        <v>646</v>
      </c>
      <c r="H355" s="14" t="n">
        <v>46277</v>
      </c>
      <c r="I355" s="14" t="n">
        <v>46279</v>
      </c>
      <c r="J355" s="12" t="s">
        <v>254</v>
      </c>
    </row>
    <row r="356" customFormat="false" ht="15" hidden="false" customHeight="true" outlineLevel="0" collapsed="false">
      <c r="A356" s="12" t="s">
        <v>845</v>
      </c>
      <c r="B356" s="13" t="n">
        <v>521.06</v>
      </c>
      <c r="C356" s="13" t="n">
        <v>472</v>
      </c>
      <c r="D356" s="12" t="s">
        <v>739</v>
      </c>
      <c r="E356" s="12" t="s">
        <v>30</v>
      </c>
      <c r="F356" s="12" t="s">
        <v>239</v>
      </c>
      <c r="G356" s="12" t="s">
        <v>646</v>
      </c>
      <c r="H356" s="14" t="n">
        <v>46277</v>
      </c>
      <c r="I356" s="14" t="n">
        <v>46279</v>
      </c>
      <c r="J356" s="12" t="s">
        <v>254</v>
      </c>
    </row>
    <row r="357" customFormat="false" ht="15" hidden="false" customHeight="true" outlineLevel="0" collapsed="false">
      <c r="A357" s="12" t="s">
        <v>846</v>
      </c>
      <c r="B357" s="13" t="n">
        <v>159.227</v>
      </c>
      <c r="C357" s="13" t="n">
        <v>151.5</v>
      </c>
      <c r="D357" s="12" t="s">
        <v>716</v>
      </c>
      <c r="E357" s="12" t="s">
        <v>30</v>
      </c>
      <c r="F357" s="12" t="s">
        <v>717</v>
      </c>
      <c r="G357" s="12" t="s">
        <v>609</v>
      </c>
      <c r="H357" s="14" t="n">
        <v>46277</v>
      </c>
      <c r="I357" s="14" t="n">
        <v>46279</v>
      </c>
      <c r="J357" s="12" t="s">
        <v>33</v>
      </c>
    </row>
    <row r="358" customFormat="false" ht="15" hidden="false" customHeight="true" outlineLevel="0" collapsed="false">
      <c r="A358" s="12" t="s">
        <v>847</v>
      </c>
      <c r="B358" s="13" t="n">
        <v>474</v>
      </c>
      <c r="C358" s="13" t="n">
        <v>400</v>
      </c>
      <c r="D358" s="12" t="s">
        <v>666</v>
      </c>
      <c r="E358" s="12" t="s">
        <v>30</v>
      </c>
      <c r="F358" s="12" t="s">
        <v>667</v>
      </c>
      <c r="G358" s="12" t="s">
        <v>609</v>
      </c>
      <c r="H358" s="14" t="n">
        <v>46277</v>
      </c>
      <c r="I358" s="14" t="n">
        <v>46279</v>
      </c>
      <c r="J358" s="12" t="s">
        <v>33</v>
      </c>
    </row>
    <row r="359" customFormat="false" ht="15" hidden="false" customHeight="true" outlineLevel="0" collapsed="false">
      <c r="A359" s="12" t="s">
        <v>848</v>
      </c>
      <c r="B359" s="13" t="n">
        <v>1162.275</v>
      </c>
      <c r="C359" s="13" t="n">
        <v>1067.6</v>
      </c>
      <c r="D359" s="12" t="s">
        <v>849</v>
      </c>
      <c r="E359" s="12" t="s">
        <v>30</v>
      </c>
      <c r="F359" s="12" t="s">
        <v>850</v>
      </c>
      <c r="G359" s="12" t="s">
        <v>609</v>
      </c>
      <c r="H359" s="14" t="n">
        <v>46277</v>
      </c>
      <c r="I359" s="14" t="n">
        <v>46279</v>
      </c>
      <c r="J359" s="12" t="s">
        <v>33</v>
      </c>
    </row>
    <row r="360" customFormat="false" ht="15" hidden="false" customHeight="true" outlineLevel="0" collapsed="false">
      <c r="A360" s="12" t="s">
        <v>851</v>
      </c>
      <c r="B360" s="13" t="n">
        <v>110.65</v>
      </c>
      <c r="C360" s="13" t="n">
        <v>103.2</v>
      </c>
      <c r="D360" s="12" t="s">
        <v>852</v>
      </c>
      <c r="E360" s="12" t="s">
        <v>30</v>
      </c>
      <c r="F360" s="12" t="s">
        <v>608</v>
      </c>
      <c r="G360" s="12" t="s">
        <v>609</v>
      </c>
      <c r="H360" s="14" t="n">
        <v>46277</v>
      </c>
      <c r="I360" s="14" t="n">
        <v>46279</v>
      </c>
      <c r="J360" s="12" t="s">
        <v>33</v>
      </c>
    </row>
    <row r="361" customFormat="false" ht="15" hidden="false" customHeight="true" outlineLevel="0" collapsed="false">
      <c r="A361" s="12" t="s">
        <v>853</v>
      </c>
      <c r="B361" s="13" t="n">
        <v>63.733</v>
      </c>
      <c r="C361" s="13" t="n">
        <v>60.3</v>
      </c>
      <c r="D361" s="12" t="s">
        <v>854</v>
      </c>
      <c r="E361" s="12" t="s">
        <v>30</v>
      </c>
      <c r="F361" s="12" t="s">
        <v>608</v>
      </c>
      <c r="G361" s="12" t="s">
        <v>609</v>
      </c>
      <c r="H361" s="14" t="n">
        <v>46277</v>
      </c>
      <c r="I361" s="14" t="n">
        <v>46279</v>
      </c>
      <c r="J361" s="12" t="s">
        <v>33</v>
      </c>
    </row>
    <row r="362" customFormat="false" ht="15" hidden="false" customHeight="true" outlineLevel="0" collapsed="false">
      <c r="A362" s="12" t="s">
        <v>855</v>
      </c>
      <c r="B362" s="13" t="n">
        <v>85.363</v>
      </c>
      <c r="C362" s="13" t="n">
        <v>78.6</v>
      </c>
      <c r="D362" s="12" t="s">
        <v>856</v>
      </c>
      <c r="E362" s="12" t="s">
        <v>30</v>
      </c>
      <c r="F362" s="12" t="s">
        <v>608</v>
      </c>
      <c r="G362" s="12" t="s">
        <v>609</v>
      </c>
      <c r="H362" s="14" t="n">
        <v>46277</v>
      </c>
      <c r="I362" s="14" t="n">
        <v>46279</v>
      </c>
      <c r="J362" s="12" t="s">
        <v>33</v>
      </c>
    </row>
    <row r="363" customFormat="false" ht="15" hidden="false" customHeight="true" outlineLevel="0" collapsed="false">
      <c r="A363" s="12" t="s">
        <v>857</v>
      </c>
      <c r="B363" s="13" t="n">
        <v>108.255</v>
      </c>
      <c r="C363" s="13" t="n">
        <v>105</v>
      </c>
      <c r="D363" s="12" t="s">
        <v>858</v>
      </c>
      <c r="E363" s="12" t="s">
        <v>30</v>
      </c>
      <c r="F363" s="12" t="s">
        <v>608</v>
      </c>
      <c r="G363" s="12" t="s">
        <v>609</v>
      </c>
      <c r="H363" s="14" t="n">
        <v>46277</v>
      </c>
      <c r="I363" s="14" t="n">
        <v>46279</v>
      </c>
      <c r="J363" s="12" t="s">
        <v>33</v>
      </c>
    </row>
    <row r="364" customFormat="false" ht="15" hidden="false" customHeight="true" outlineLevel="0" collapsed="false">
      <c r="A364" s="12" t="s">
        <v>859</v>
      </c>
      <c r="B364" s="13" t="n">
        <v>3255</v>
      </c>
      <c r="C364" s="13" t="n">
        <v>3000</v>
      </c>
      <c r="D364" s="12" t="s">
        <v>726</v>
      </c>
      <c r="E364" s="12" t="s">
        <v>30</v>
      </c>
      <c r="F364" s="12" t="s">
        <v>727</v>
      </c>
      <c r="G364" s="12" t="s">
        <v>653</v>
      </c>
      <c r="H364" s="14" t="n">
        <v>46277</v>
      </c>
      <c r="I364" s="14" t="n">
        <v>46279</v>
      </c>
      <c r="J364" s="12" t="s">
        <v>33</v>
      </c>
    </row>
    <row r="365" customFormat="false" ht="15" hidden="false" customHeight="true" outlineLevel="0" collapsed="false">
      <c r="A365" s="12" t="s">
        <v>860</v>
      </c>
      <c r="B365" s="13" t="n">
        <v>44.139</v>
      </c>
      <c r="C365" s="13" t="n">
        <v>39.2</v>
      </c>
      <c r="D365" s="12" t="s">
        <v>861</v>
      </c>
      <c r="E365" s="12" t="s">
        <v>30</v>
      </c>
      <c r="F365" s="12" t="s">
        <v>862</v>
      </c>
      <c r="G365" s="12" t="s">
        <v>646</v>
      </c>
      <c r="H365" s="14" t="n">
        <v>46277</v>
      </c>
      <c r="I365" s="14" t="n">
        <v>46279</v>
      </c>
      <c r="J365" s="12" t="s">
        <v>33</v>
      </c>
    </row>
    <row r="366" customFormat="false" ht="15" hidden="false" customHeight="true" outlineLevel="0" collapsed="false">
      <c r="A366" s="12" t="s">
        <v>863</v>
      </c>
      <c r="B366" s="13" t="n">
        <v>974.294</v>
      </c>
      <c r="C366" s="13" t="n">
        <v>945</v>
      </c>
      <c r="D366" s="12" t="s">
        <v>864</v>
      </c>
      <c r="E366" s="12" t="s">
        <v>30</v>
      </c>
      <c r="F366" s="12" t="s">
        <v>608</v>
      </c>
      <c r="G366" s="12" t="s">
        <v>609</v>
      </c>
      <c r="H366" s="14" t="n">
        <v>46277</v>
      </c>
      <c r="I366" s="14" t="n">
        <v>46279</v>
      </c>
      <c r="J366" s="12" t="s">
        <v>33</v>
      </c>
    </row>
    <row r="367" customFormat="false" ht="15" hidden="false" customHeight="true" outlineLevel="0" collapsed="false">
      <c r="A367" s="12" t="s">
        <v>865</v>
      </c>
      <c r="B367" s="13" t="n">
        <v>54.128</v>
      </c>
      <c r="C367" s="13" t="n">
        <v>52.5</v>
      </c>
      <c r="D367" s="12" t="s">
        <v>614</v>
      </c>
      <c r="E367" s="12" t="s">
        <v>30</v>
      </c>
      <c r="F367" s="12" t="s">
        <v>615</v>
      </c>
      <c r="G367" s="12" t="s">
        <v>609</v>
      </c>
      <c r="H367" s="14" t="n">
        <v>46277</v>
      </c>
      <c r="I367" s="14" t="n">
        <v>46279</v>
      </c>
      <c r="J367" s="12" t="s">
        <v>33</v>
      </c>
    </row>
    <row r="368" customFormat="false" ht="15" hidden="false" customHeight="true" outlineLevel="0" collapsed="false">
      <c r="A368" s="12" t="s">
        <v>866</v>
      </c>
      <c r="B368" s="13" t="n">
        <v>212.301</v>
      </c>
      <c r="C368" s="13" t="n">
        <v>202</v>
      </c>
      <c r="D368" s="12" t="s">
        <v>716</v>
      </c>
      <c r="E368" s="12" t="s">
        <v>30</v>
      </c>
      <c r="F368" s="12" t="s">
        <v>717</v>
      </c>
      <c r="G368" s="12" t="s">
        <v>609</v>
      </c>
      <c r="H368" s="14" t="n">
        <v>46277</v>
      </c>
      <c r="I368" s="14" t="n">
        <v>46279</v>
      </c>
      <c r="J368" s="12" t="s">
        <v>33</v>
      </c>
    </row>
    <row r="369" customFormat="false" ht="15" hidden="false" customHeight="true" outlineLevel="0" collapsed="false">
      <c r="A369" s="12" t="s">
        <v>867</v>
      </c>
      <c r="B369" s="13" t="n">
        <v>122.25</v>
      </c>
      <c r="C369" s="13" t="n">
        <v>115</v>
      </c>
      <c r="D369" s="12" t="s">
        <v>868</v>
      </c>
      <c r="E369" s="12" t="s">
        <v>30</v>
      </c>
      <c r="F369" s="12" t="s">
        <v>615</v>
      </c>
      <c r="G369" s="12" t="s">
        <v>609</v>
      </c>
      <c r="H369" s="14" t="n">
        <v>46277</v>
      </c>
      <c r="I369" s="14" t="n">
        <v>46279</v>
      </c>
      <c r="J369" s="12" t="s">
        <v>33</v>
      </c>
    </row>
    <row r="370" customFormat="false" ht="15" hidden="false" customHeight="true" outlineLevel="0" collapsed="false">
      <c r="A370" s="12" t="s">
        <v>869</v>
      </c>
      <c r="B370" s="13" t="n">
        <v>38.877</v>
      </c>
      <c r="C370" s="13" t="n">
        <v>37.12</v>
      </c>
      <c r="D370" s="12" t="s">
        <v>870</v>
      </c>
      <c r="E370" s="12" t="s">
        <v>30</v>
      </c>
      <c r="F370" s="12" t="s">
        <v>871</v>
      </c>
      <c r="G370" s="12" t="s">
        <v>609</v>
      </c>
      <c r="H370" s="14" t="n">
        <v>46277</v>
      </c>
      <c r="I370" s="14" t="n">
        <v>46279</v>
      </c>
      <c r="J370" s="12" t="s">
        <v>33</v>
      </c>
    </row>
    <row r="371" customFormat="false" ht="15" hidden="false" customHeight="true" outlineLevel="0" collapsed="false">
      <c r="A371" s="12" t="s">
        <v>872</v>
      </c>
      <c r="B371" s="13" t="n">
        <v>21.7</v>
      </c>
      <c r="C371" s="13" t="n">
        <v>20</v>
      </c>
      <c r="D371" s="12" t="s">
        <v>739</v>
      </c>
      <c r="E371" s="12" t="s">
        <v>30</v>
      </c>
      <c r="F371" s="12" t="s">
        <v>239</v>
      </c>
      <c r="G371" s="12" t="s">
        <v>646</v>
      </c>
      <c r="H371" s="14" t="n">
        <v>46277</v>
      </c>
      <c r="I371" s="14" t="n">
        <v>46279</v>
      </c>
      <c r="J371" s="12" t="s">
        <v>254</v>
      </c>
    </row>
    <row r="372" customFormat="false" ht="15" hidden="false" customHeight="true" outlineLevel="0" collapsed="false">
      <c r="A372" s="12" t="s">
        <v>873</v>
      </c>
      <c r="B372" s="13" t="n">
        <v>83.233</v>
      </c>
      <c r="C372" s="13" t="n">
        <v>74.54</v>
      </c>
      <c r="D372" s="12" t="s">
        <v>874</v>
      </c>
      <c r="E372" s="12" t="s">
        <v>30</v>
      </c>
      <c r="F372" s="12" t="s">
        <v>608</v>
      </c>
      <c r="G372" s="12" t="s">
        <v>609</v>
      </c>
      <c r="H372" s="14" t="n">
        <v>46277</v>
      </c>
      <c r="I372" s="14" t="n">
        <v>46279</v>
      </c>
      <c r="J372" s="12" t="s">
        <v>33</v>
      </c>
    </row>
    <row r="373" customFormat="false" ht="15" hidden="false" customHeight="true" outlineLevel="0" collapsed="false">
      <c r="A373" s="12" t="s">
        <v>875</v>
      </c>
      <c r="B373" s="13" t="n">
        <v>32.477</v>
      </c>
      <c r="C373" s="13" t="n">
        <v>31.5</v>
      </c>
      <c r="D373" s="12" t="s">
        <v>701</v>
      </c>
      <c r="E373" s="12" t="s">
        <v>30</v>
      </c>
      <c r="F373" s="12" t="s">
        <v>702</v>
      </c>
      <c r="G373" s="12" t="s">
        <v>653</v>
      </c>
      <c r="H373" s="14" t="n">
        <v>46277</v>
      </c>
      <c r="I373" s="14" t="n">
        <v>46279</v>
      </c>
      <c r="J373" s="12" t="s">
        <v>354</v>
      </c>
    </row>
    <row r="374" customFormat="false" ht="15" hidden="false" customHeight="true" outlineLevel="0" collapsed="false">
      <c r="A374" s="12" t="s">
        <v>876</v>
      </c>
      <c r="B374" s="13" t="n">
        <v>118.5</v>
      </c>
      <c r="C374" s="13" t="n">
        <v>100</v>
      </c>
      <c r="D374" s="12" t="s">
        <v>877</v>
      </c>
      <c r="E374" s="12" t="s">
        <v>30</v>
      </c>
      <c r="F374" s="12" t="s">
        <v>608</v>
      </c>
      <c r="G374" s="12" t="s">
        <v>609</v>
      </c>
      <c r="H374" s="14" t="n">
        <v>46277</v>
      </c>
      <c r="I374" s="14" t="n">
        <v>46279</v>
      </c>
      <c r="J374" s="12" t="s">
        <v>33</v>
      </c>
    </row>
    <row r="375" customFormat="false" ht="15" hidden="false" customHeight="true" outlineLevel="0" collapsed="false">
      <c r="A375" s="12" t="s">
        <v>878</v>
      </c>
      <c r="B375" s="13" t="n">
        <v>29.625</v>
      </c>
      <c r="C375" s="13" t="n">
        <v>25</v>
      </c>
      <c r="D375" s="12" t="s">
        <v>877</v>
      </c>
      <c r="E375" s="12" t="s">
        <v>30</v>
      </c>
      <c r="F375" s="12" t="s">
        <v>608</v>
      </c>
      <c r="G375" s="12" t="s">
        <v>609</v>
      </c>
      <c r="H375" s="14" t="n">
        <v>46277</v>
      </c>
      <c r="I375" s="14" t="n">
        <v>46279</v>
      </c>
      <c r="J375" s="12" t="s">
        <v>33</v>
      </c>
    </row>
    <row r="376" customFormat="false" ht="15" hidden="false" customHeight="true" outlineLevel="0" collapsed="false">
      <c r="A376" s="12" t="s">
        <v>879</v>
      </c>
      <c r="B376" s="13" t="n">
        <v>2411.25</v>
      </c>
      <c r="C376" s="13" t="n">
        <v>2250</v>
      </c>
      <c r="D376" s="12" t="s">
        <v>880</v>
      </c>
      <c r="E376" s="12" t="s">
        <v>30</v>
      </c>
      <c r="F376" s="12" t="s">
        <v>608</v>
      </c>
      <c r="G376" s="12" t="s">
        <v>609</v>
      </c>
      <c r="H376" s="14" t="n">
        <v>46277</v>
      </c>
      <c r="I376" s="14" t="n">
        <v>46279</v>
      </c>
      <c r="J376" s="12" t="s">
        <v>33</v>
      </c>
    </row>
    <row r="377" customFormat="false" ht="15" hidden="false" customHeight="true" outlineLevel="0" collapsed="false">
      <c r="A377" s="12" t="s">
        <v>881</v>
      </c>
      <c r="B377" s="13" t="n">
        <v>159.556</v>
      </c>
      <c r="C377" s="13" t="n">
        <v>147.6</v>
      </c>
      <c r="D377" s="12" t="s">
        <v>882</v>
      </c>
      <c r="E377" s="12" t="s">
        <v>30</v>
      </c>
      <c r="F377" s="12" t="s">
        <v>883</v>
      </c>
      <c r="G377" s="12" t="s">
        <v>653</v>
      </c>
      <c r="H377" s="14" t="n">
        <v>46277</v>
      </c>
      <c r="I377" s="14" t="n">
        <v>46279</v>
      </c>
      <c r="J377" s="12" t="s">
        <v>354</v>
      </c>
    </row>
    <row r="378" customFormat="false" ht="15" hidden="false" customHeight="true" outlineLevel="0" collapsed="false">
      <c r="A378" s="12" t="s">
        <v>884</v>
      </c>
      <c r="B378" s="13" t="n">
        <v>336.84</v>
      </c>
      <c r="C378" s="13" t="n">
        <v>311.6</v>
      </c>
      <c r="D378" s="12" t="s">
        <v>882</v>
      </c>
      <c r="E378" s="12" t="s">
        <v>30</v>
      </c>
      <c r="F378" s="12" t="s">
        <v>883</v>
      </c>
      <c r="G378" s="12" t="s">
        <v>653</v>
      </c>
      <c r="H378" s="14" t="n">
        <v>46277</v>
      </c>
      <c r="I378" s="14" t="n">
        <v>46283</v>
      </c>
      <c r="J378" s="12" t="s">
        <v>354</v>
      </c>
    </row>
    <row r="379" customFormat="false" ht="15" hidden="false" customHeight="true" outlineLevel="0" collapsed="false">
      <c r="A379" s="12" t="s">
        <v>885</v>
      </c>
      <c r="B379" s="13" t="n">
        <v>160.5</v>
      </c>
      <c r="C379" s="13" t="n">
        <v>150</v>
      </c>
      <c r="D379" s="12" t="s">
        <v>882</v>
      </c>
      <c r="E379" s="12" t="s">
        <v>30</v>
      </c>
      <c r="F379" s="12" t="s">
        <v>883</v>
      </c>
      <c r="G379" s="12" t="s">
        <v>653</v>
      </c>
      <c r="H379" s="14" t="n">
        <v>46277</v>
      </c>
      <c r="I379" s="14" t="n">
        <v>46283</v>
      </c>
      <c r="J379" s="12" t="s">
        <v>354</v>
      </c>
    </row>
    <row r="380" customFormat="false" ht="15" hidden="false" customHeight="true" outlineLevel="0" collapsed="false">
      <c r="A380" s="12" t="s">
        <v>886</v>
      </c>
      <c r="B380" s="13" t="n">
        <v>1351.463</v>
      </c>
      <c r="C380" s="13" t="n">
        <v>1273</v>
      </c>
      <c r="D380" s="12" t="s">
        <v>887</v>
      </c>
      <c r="E380" s="12" t="s">
        <v>30</v>
      </c>
      <c r="F380" s="12" t="s">
        <v>239</v>
      </c>
      <c r="G380" s="12" t="s">
        <v>646</v>
      </c>
      <c r="H380" s="14" t="n">
        <v>46277</v>
      </c>
      <c r="I380" s="14" t="n">
        <v>46283</v>
      </c>
      <c r="J380" s="12" t="s">
        <v>33</v>
      </c>
    </row>
    <row r="381" customFormat="false" ht="15" hidden="false" customHeight="true" outlineLevel="0" collapsed="false">
      <c r="A381" s="12" t="s">
        <v>888</v>
      </c>
      <c r="B381" s="13" t="n">
        <v>32.55</v>
      </c>
      <c r="C381" s="13" t="n">
        <v>30</v>
      </c>
      <c r="D381" s="12" t="s">
        <v>889</v>
      </c>
      <c r="E381" s="12" t="s">
        <v>30</v>
      </c>
      <c r="F381" s="12" t="s">
        <v>890</v>
      </c>
      <c r="G381" s="12" t="s">
        <v>653</v>
      </c>
      <c r="H381" s="14" t="n">
        <v>46277</v>
      </c>
      <c r="I381" s="14" t="n">
        <v>46283</v>
      </c>
      <c r="J381" s="12" t="s">
        <v>254</v>
      </c>
    </row>
    <row r="382" customFormat="false" ht="15" hidden="false" customHeight="true" outlineLevel="0" collapsed="false">
      <c r="A382" s="12" t="s">
        <v>891</v>
      </c>
      <c r="B382" s="13" t="n">
        <v>262.034</v>
      </c>
      <c r="C382" s="13" t="n">
        <v>242.4</v>
      </c>
      <c r="D382" s="12" t="s">
        <v>313</v>
      </c>
      <c r="E382" s="12" t="s">
        <v>30</v>
      </c>
      <c r="F382" s="12" t="s">
        <v>314</v>
      </c>
      <c r="G382" s="12" t="s">
        <v>298</v>
      </c>
      <c r="H382" s="14" t="n">
        <v>46278</v>
      </c>
      <c r="I382" s="14" t="n">
        <v>46285</v>
      </c>
      <c r="J382" s="12" t="s">
        <v>33</v>
      </c>
    </row>
    <row r="383" customFormat="false" ht="15" hidden="false" customHeight="true" outlineLevel="0" collapsed="false">
      <c r="A383" s="12" t="s">
        <v>892</v>
      </c>
      <c r="B383" s="13" t="n">
        <v>177.75</v>
      </c>
      <c r="C383" s="13" t="n">
        <v>150</v>
      </c>
      <c r="D383" s="12" t="s">
        <v>893</v>
      </c>
      <c r="E383" s="12" t="s">
        <v>30</v>
      </c>
      <c r="F383" s="12" t="s">
        <v>894</v>
      </c>
      <c r="G383" s="12" t="s">
        <v>298</v>
      </c>
      <c r="H383" s="14" t="n">
        <v>46278</v>
      </c>
      <c r="I383" s="14" t="n">
        <v>46285</v>
      </c>
      <c r="J383" s="12" t="s">
        <v>33</v>
      </c>
    </row>
    <row r="384" customFormat="false" ht="15" hidden="false" customHeight="true" outlineLevel="0" collapsed="false">
      <c r="A384" s="12" t="s">
        <v>895</v>
      </c>
      <c r="B384" s="13" t="n">
        <v>118.5</v>
      </c>
      <c r="C384" s="13" t="n">
        <v>100</v>
      </c>
      <c r="D384" s="12" t="s">
        <v>896</v>
      </c>
      <c r="E384" s="12" t="s">
        <v>30</v>
      </c>
      <c r="F384" s="12" t="s">
        <v>897</v>
      </c>
      <c r="G384" s="12" t="s">
        <v>298</v>
      </c>
      <c r="H384" s="14" t="n">
        <v>46278</v>
      </c>
      <c r="I384" s="14" t="n">
        <v>46285</v>
      </c>
      <c r="J384" s="12" t="s">
        <v>33</v>
      </c>
    </row>
    <row r="385" customFormat="false" ht="15" hidden="false" customHeight="true" outlineLevel="0" collapsed="false">
      <c r="A385" s="12" t="s">
        <v>898</v>
      </c>
      <c r="B385" s="13" t="n">
        <v>68.93</v>
      </c>
      <c r="C385" s="13" t="n">
        <v>61.36</v>
      </c>
      <c r="D385" s="12" t="s">
        <v>899</v>
      </c>
      <c r="E385" s="12" t="s">
        <v>30</v>
      </c>
      <c r="F385" s="12" t="s">
        <v>900</v>
      </c>
      <c r="G385" s="12" t="s">
        <v>298</v>
      </c>
      <c r="H385" s="14" t="n">
        <v>46278</v>
      </c>
      <c r="I385" s="14" t="n">
        <v>46285</v>
      </c>
      <c r="J385" s="12" t="s">
        <v>33</v>
      </c>
    </row>
    <row r="386" customFormat="false" ht="15" hidden="false" customHeight="true" outlineLevel="0" collapsed="false">
      <c r="A386" s="12" t="s">
        <v>901</v>
      </c>
      <c r="B386" s="13" t="n">
        <v>20799.9</v>
      </c>
      <c r="C386" s="13" t="n">
        <v>19100</v>
      </c>
      <c r="D386" s="12" t="s">
        <v>731</v>
      </c>
      <c r="E386" s="12" t="s">
        <v>30</v>
      </c>
      <c r="F386" s="12" t="s">
        <v>732</v>
      </c>
      <c r="G386" s="12" t="s">
        <v>653</v>
      </c>
      <c r="H386" s="14" t="n">
        <v>46279</v>
      </c>
      <c r="I386" s="14" t="n">
        <v>46281</v>
      </c>
      <c r="J386" s="12" t="s">
        <v>33</v>
      </c>
    </row>
    <row r="387" customFormat="false" ht="15" hidden="false" customHeight="true" outlineLevel="0" collapsed="false">
      <c r="A387" s="12" t="s">
        <v>902</v>
      </c>
      <c r="B387" s="13" t="n">
        <v>19939.92</v>
      </c>
      <c r="C387" s="13" t="n">
        <v>18480</v>
      </c>
      <c r="D387" s="12" t="s">
        <v>903</v>
      </c>
      <c r="E387" s="12" t="s">
        <v>30</v>
      </c>
      <c r="F387" s="12" t="s">
        <v>904</v>
      </c>
      <c r="G387" s="12" t="s">
        <v>653</v>
      </c>
      <c r="H387" s="14" t="n">
        <v>46279</v>
      </c>
      <c r="I387" s="14" t="n">
        <v>46281</v>
      </c>
      <c r="J387" s="12" t="s">
        <v>33</v>
      </c>
    </row>
    <row r="388" customFormat="false" ht="15" hidden="false" customHeight="true" outlineLevel="0" collapsed="false">
      <c r="A388" s="12" t="s">
        <v>905</v>
      </c>
      <c r="B388" s="13" t="n">
        <v>220.91</v>
      </c>
      <c r="C388" s="13" t="n">
        <v>206.04</v>
      </c>
      <c r="D388" s="12" t="s">
        <v>906</v>
      </c>
      <c r="E388" s="12" t="s">
        <v>30</v>
      </c>
      <c r="F388" s="12" t="s">
        <v>626</v>
      </c>
      <c r="G388" s="12" t="s">
        <v>609</v>
      </c>
      <c r="H388" s="14" t="n">
        <v>46279</v>
      </c>
      <c r="I388" s="14" t="n">
        <v>46279</v>
      </c>
      <c r="J388" s="12" t="s">
        <v>33</v>
      </c>
    </row>
    <row r="389" customFormat="false" ht="15" hidden="false" customHeight="true" outlineLevel="0" collapsed="false">
      <c r="A389" s="12" t="s">
        <v>907</v>
      </c>
      <c r="B389" s="13" t="n">
        <v>195.988</v>
      </c>
      <c r="C389" s="13" t="n">
        <v>181.4</v>
      </c>
      <c r="D389" s="12" t="s">
        <v>908</v>
      </c>
      <c r="E389" s="12" t="s">
        <v>30</v>
      </c>
      <c r="F389" s="12" t="s">
        <v>909</v>
      </c>
      <c r="G389" s="12" t="s">
        <v>609</v>
      </c>
      <c r="H389" s="14" t="n">
        <v>46279</v>
      </c>
      <c r="I389" s="14" t="n">
        <v>46279</v>
      </c>
      <c r="J389" s="12" t="s">
        <v>33</v>
      </c>
    </row>
    <row r="390" customFormat="false" ht="15" hidden="false" customHeight="true" outlineLevel="0" collapsed="false">
      <c r="A390" s="12" t="s">
        <v>910</v>
      </c>
      <c r="B390" s="13" t="n">
        <v>381.831</v>
      </c>
      <c r="C390" s="13" t="n">
        <v>353.5</v>
      </c>
      <c r="D390" s="12" t="s">
        <v>911</v>
      </c>
      <c r="E390" s="12" t="s">
        <v>30</v>
      </c>
      <c r="F390" s="12" t="s">
        <v>909</v>
      </c>
      <c r="G390" s="12" t="s">
        <v>609</v>
      </c>
      <c r="H390" s="14" t="n">
        <v>46279</v>
      </c>
      <c r="I390" s="14" t="n">
        <v>46279</v>
      </c>
      <c r="J390" s="12" t="s">
        <v>33</v>
      </c>
    </row>
    <row r="391" customFormat="false" ht="15" hidden="false" customHeight="true" outlineLevel="0" collapsed="false">
      <c r="A391" s="12" t="s">
        <v>912</v>
      </c>
      <c r="B391" s="13" t="n">
        <v>32.189</v>
      </c>
      <c r="C391" s="13" t="n">
        <v>30.3</v>
      </c>
      <c r="D391" s="12" t="s">
        <v>913</v>
      </c>
      <c r="E391" s="12" t="s">
        <v>30</v>
      </c>
      <c r="F391" s="12" t="s">
        <v>608</v>
      </c>
      <c r="G391" s="12" t="s">
        <v>609</v>
      </c>
      <c r="H391" s="14" t="n">
        <v>46279</v>
      </c>
      <c r="I391" s="14" t="n">
        <v>46279</v>
      </c>
      <c r="J391" s="12" t="s">
        <v>33</v>
      </c>
    </row>
    <row r="392" customFormat="false" ht="15" hidden="false" customHeight="true" outlineLevel="0" collapsed="false">
      <c r="A392" s="12" t="s">
        <v>914</v>
      </c>
      <c r="B392" s="13" t="n">
        <v>152.148</v>
      </c>
      <c r="C392" s="13" t="n">
        <v>141.4</v>
      </c>
      <c r="D392" s="12" t="s">
        <v>915</v>
      </c>
      <c r="E392" s="12" t="s">
        <v>30</v>
      </c>
      <c r="F392" s="12" t="s">
        <v>916</v>
      </c>
      <c r="G392" s="12" t="s">
        <v>609</v>
      </c>
      <c r="H392" s="14" t="n">
        <v>46279</v>
      </c>
      <c r="I392" s="14" t="n">
        <v>46279</v>
      </c>
      <c r="J392" s="12" t="s">
        <v>33</v>
      </c>
    </row>
    <row r="393" customFormat="false" ht="15" hidden="false" customHeight="true" outlineLevel="0" collapsed="false">
      <c r="A393" s="12" t="s">
        <v>917</v>
      </c>
      <c r="B393" s="13" t="n">
        <v>21.23</v>
      </c>
      <c r="C393" s="13" t="n">
        <v>20.2</v>
      </c>
      <c r="D393" s="12" t="s">
        <v>918</v>
      </c>
      <c r="E393" s="12" t="s">
        <v>30</v>
      </c>
      <c r="F393" s="12" t="s">
        <v>608</v>
      </c>
      <c r="G393" s="12" t="s">
        <v>609</v>
      </c>
      <c r="H393" s="14" t="n">
        <v>46279</v>
      </c>
      <c r="I393" s="14" t="n">
        <v>46279</v>
      </c>
      <c r="J393" s="12" t="s">
        <v>33</v>
      </c>
    </row>
    <row r="394" customFormat="false" ht="15" hidden="false" customHeight="true" outlineLevel="0" collapsed="false">
      <c r="A394" s="12" t="s">
        <v>919</v>
      </c>
      <c r="B394" s="13" t="n">
        <v>183.891</v>
      </c>
      <c r="C394" s="13" t="n">
        <v>171.7</v>
      </c>
      <c r="D394" s="12" t="s">
        <v>920</v>
      </c>
      <c r="E394" s="12" t="s">
        <v>30</v>
      </c>
      <c r="F394" s="12" t="s">
        <v>921</v>
      </c>
      <c r="G394" s="12" t="s">
        <v>609</v>
      </c>
      <c r="H394" s="14" t="n">
        <v>46279</v>
      </c>
      <c r="I394" s="14" t="n">
        <v>46279</v>
      </c>
      <c r="J394" s="12" t="s">
        <v>33</v>
      </c>
    </row>
    <row r="395" customFormat="false" ht="15" hidden="false" customHeight="true" outlineLevel="0" collapsed="false">
      <c r="A395" s="12" t="s">
        <v>922</v>
      </c>
      <c r="B395" s="13" t="n">
        <v>106.151</v>
      </c>
      <c r="C395" s="13" t="n">
        <v>101</v>
      </c>
      <c r="D395" s="12" t="s">
        <v>923</v>
      </c>
      <c r="E395" s="12" t="s">
        <v>30</v>
      </c>
      <c r="F395" s="12" t="s">
        <v>608</v>
      </c>
      <c r="G395" s="12" t="s">
        <v>609</v>
      </c>
      <c r="H395" s="14" t="n">
        <v>46279</v>
      </c>
      <c r="I395" s="14" t="n">
        <v>46279</v>
      </c>
      <c r="J395" s="12" t="s">
        <v>33</v>
      </c>
    </row>
    <row r="396" customFormat="false" ht="15" hidden="false" customHeight="true" outlineLevel="0" collapsed="false">
      <c r="A396" s="12" t="s">
        <v>924</v>
      </c>
      <c r="B396" s="13" t="n">
        <v>212.302</v>
      </c>
      <c r="C396" s="13" t="n">
        <v>202</v>
      </c>
      <c r="D396" s="12" t="s">
        <v>925</v>
      </c>
      <c r="E396" s="12" t="s">
        <v>30</v>
      </c>
      <c r="F396" s="12" t="s">
        <v>667</v>
      </c>
      <c r="G396" s="12" t="s">
        <v>609</v>
      </c>
      <c r="H396" s="14" t="n">
        <v>46279</v>
      </c>
      <c r="I396" s="14" t="n">
        <v>46279</v>
      </c>
      <c r="J396" s="12" t="s">
        <v>33</v>
      </c>
    </row>
    <row r="397" customFormat="false" ht="15" hidden="false" customHeight="true" outlineLevel="0" collapsed="false">
      <c r="A397" s="12" t="s">
        <v>926</v>
      </c>
      <c r="B397" s="13" t="n">
        <v>39.305</v>
      </c>
      <c r="C397" s="13" t="n">
        <v>36.36</v>
      </c>
      <c r="D397" s="12" t="s">
        <v>927</v>
      </c>
      <c r="E397" s="12" t="s">
        <v>30</v>
      </c>
      <c r="F397" s="12" t="s">
        <v>635</v>
      </c>
      <c r="G397" s="12" t="s">
        <v>609</v>
      </c>
      <c r="H397" s="14" t="n">
        <v>46279</v>
      </c>
      <c r="I397" s="14" t="n">
        <v>46279</v>
      </c>
      <c r="J397" s="12" t="s">
        <v>33</v>
      </c>
    </row>
    <row r="398" customFormat="false" ht="15" hidden="false" customHeight="true" outlineLevel="0" collapsed="false">
      <c r="A398" s="12" t="s">
        <v>928</v>
      </c>
      <c r="B398" s="13" t="n">
        <v>53.076</v>
      </c>
      <c r="C398" s="13" t="n">
        <v>50.5</v>
      </c>
      <c r="D398" s="12" t="s">
        <v>929</v>
      </c>
      <c r="E398" s="12" t="s">
        <v>30</v>
      </c>
      <c r="F398" s="12" t="s">
        <v>608</v>
      </c>
      <c r="G398" s="12" t="s">
        <v>609</v>
      </c>
      <c r="H398" s="14" t="n">
        <v>46279</v>
      </c>
      <c r="I398" s="14" t="n">
        <v>46279</v>
      </c>
      <c r="J398" s="12" t="s">
        <v>33</v>
      </c>
    </row>
    <row r="399" customFormat="false" ht="15" hidden="false" customHeight="true" outlineLevel="0" collapsed="false">
      <c r="A399" s="12" t="s">
        <v>930</v>
      </c>
      <c r="B399" s="13" t="n">
        <v>141.43</v>
      </c>
      <c r="C399" s="13" t="n">
        <v>131.3</v>
      </c>
      <c r="D399" s="12" t="s">
        <v>906</v>
      </c>
      <c r="E399" s="12" t="s">
        <v>30</v>
      </c>
      <c r="F399" s="12" t="s">
        <v>626</v>
      </c>
      <c r="G399" s="12" t="s">
        <v>609</v>
      </c>
      <c r="H399" s="14" t="n">
        <v>46279</v>
      </c>
      <c r="I399" s="14" t="n">
        <v>46279</v>
      </c>
      <c r="J399" s="12" t="s">
        <v>33</v>
      </c>
    </row>
    <row r="400" customFormat="false" ht="15" hidden="false" customHeight="true" outlineLevel="0" collapsed="false">
      <c r="A400" s="12" t="s">
        <v>931</v>
      </c>
      <c r="B400" s="13" t="n">
        <v>145.042</v>
      </c>
      <c r="C400" s="13" t="n">
        <v>133.8</v>
      </c>
      <c r="D400" s="12" t="s">
        <v>932</v>
      </c>
      <c r="E400" s="12" t="s">
        <v>30</v>
      </c>
      <c r="F400" s="12" t="s">
        <v>608</v>
      </c>
      <c r="G400" s="12" t="s">
        <v>609</v>
      </c>
      <c r="H400" s="14" t="n">
        <v>46279</v>
      </c>
      <c r="I400" s="14" t="n">
        <v>46279</v>
      </c>
      <c r="J400" s="12" t="s">
        <v>33</v>
      </c>
    </row>
    <row r="401" customFormat="false" ht="15" hidden="false" customHeight="true" outlineLevel="0" collapsed="false">
      <c r="A401" s="12" t="s">
        <v>933</v>
      </c>
      <c r="B401" s="13" t="n">
        <v>53.419</v>
      </c>
      <c r="C401" s="13" t="n">
        <v>50.5</v>
      </c>
      <c r="D401" s="12" t="s">
        <v>934</v>
      </c>
      <c r="E401" s="12" t="s">
        <v>30</v>
      </c>
      <c r="F401" s="12" t="s">
        <v>935</v>
      </c>
      <c r="G401" s="12" t="s">
        <v>609</v>
      </c>
      <c r="H401" s="14" t="n">
        <v>46279</v>
      </c>
      <c r="I401" s="14" t="n">
        <v>46279</v>
      </c>
      <c r="J401" s="12" t="s">
        <v>33</v>
      </c>
    </row>
    <row r="402" customFormat="false" ht="15" hidden="false" customHeight="true" outlineLevel="0" collapsed="false">
      <c r="A402" s="12" t="s">
        <v>936</v>
      </c>
      <c r="B402" s="13" t="n">
        <v>53.762</v>
      </c>
      <c r="C402" s="13" t="n">
        <v>50.5</v>
      </c>
      <c r="D402" s="12" t="s">
        <v>634</v>
      </c>
      <c r="E402" s="12" t="s">
        <v>30</v>
      </c>
      <c r="F402" s="12" t="s">
        <v>635</v>
      </c>
      <c r="G402" s="12" t="s">
        <v>609</v>
      </c>
      <c r="H402" s="14" t="n">
        <v>46279</v>
      </c>
      <c r="I402" s="14" t="n">
        <v>46279</v>
      </c>
      <c r="J402" s="12" t="s">
        <v>33</v>
      </c>
    </row>
    <row r="403" customFormat="false" ht="15" hidden="false" customHeight="true" outlineLevel="0" collapsed="false">
      <c r="A403" s="12" t="s">
        <v>937</v>
      </c>
      <c r="B403" s="13" t="n">
        <v>83.139</v>
      </c>
      <c r="C403" s="13" t="n">
        <v>76.76</v>
      </c>
      <c r="D403" s="12" t="s">
        <v>801</v>
      </c>
      <c r="E403" s="12" t="s">
        <v>30</v>
      </c>
      <c r="F403" s="12" t="s">
        <v>608</v>
      </c>
      <c r="G403" s="12" t="s">
        <v>609</v>
      </c>
      <c r="H403" s="14" t="n">
        <v>46279</v>
      </c>
      <c r="I403" s="14" t="n">
        <v>46279</v>
      </c>
      <c r="J403" s="12" t="s">
        <v>33</v>
      </c>
    </row>
    <row r="404" customFormat="false" ht="15" hidden="false" customHeight="true" outlineLevel="0" collapsed="false">
      <c r="A404" s="12" t="s">
        <v>938</v>
      </c>
      <c r="B404" s="13" t="n">
        <v>177.287</v>
      </c>
      <c r="C404" s="13" t="n">
        <v>164</v>
      </c>
      <c r="D404" s="12" t="s">
        <v>906</v>
      </c>
      <c r="E404" s="12" t="s">
        <v>30</v>
      </c>
      <c r="F404" s="12" t="s">
        <v>626</v>
      </c>
      <c r="G404" s="12" t="s">
        <v>609</v>
      </c>
      <c r="H404" s="14" t="n">
        <v>46279</v>
      </c>
      <c r="I404" s="14" t="n">
        <v>46279</v>
      </c>
      <c r="J404" s="12" t="s">
        <v>33</v>
      </c>
    </row>
    <row r="405" customFormat="false" ht="15" hidden="false" customHeight="true" outlineLevel="0" collapsed="false">
      <c r="A405" s="12" t="s">
        <v>939</v>
      </c>
      <c r="B405" s="13" t="n">
        <v>109.587</v>
      </c>
      <c r="C405" s="13" t="n">
        <v>101</v>
      </c>
      <c r="D405" s="12" t="s">
        <v>940</v>
      </c>
      <c r="E405" s="12" t="s">
        <v>30</v>
      </c>
      <c r="F405" s="12" t="s">
        <v>941</v>
      </c>
      <c r="G405" s="12" t="s">
        <v>609</v>
      </c>
      <c r="H405" s="14" t="n">
        <v>46279</v>
      </c>
      <c r="I405" s="14" t="n">
        <v>46279</v>
      </c>
      <c r="J405" s="12" t="s">
        <v>33</v>
      </c>
    </row>
    <row r="406" customFormat="false" ht="15" hidden="false" customHeight="true" outlineLevel="0" collapsed="false">
      <c r="A406" s="12" t="s">
        <v>942</v>
      </c>
      <c r="B406" s="13" t="n">
        <v>109.585</v>
      </c>
      <c r="C406" s="13" t="n">
        <v>101</v>
      </c>
      <c r="D406" s="12" t="s">
        <v>943</v>
      </c>
      <c r="E406" s="12" t="s">
        <v>30</v>
      </c>
      <c r="F406" s="12" t="s">
        <v>944</v>
      </c>
      <c r="G406" s="12" t="s">
        <v>609</v>
      </c>
      <c r="H406" s="14" t="n">
        <v>46279</v>
      </c>
      <c r="I406" s="14" t="n">
        <v>46279</v>
      </c>
      <c r="J406" s="12" t="s">
        <v>33</v>
      </c>
    </row>
    <row r="407" customFormat="false" ht="15" hidden="false" customHeight="true" outlineLevel="0" collapsed="false">
      <c r="A407" s="12" t="s">
        <v>945</v>
      </c>
      <c r="B407" s="13" t="n">
        <v>531.849</v>
      </c>
      <c r="C407" s="13" t="n">
        <v>492</v>
      </c>
      <c r="D407" s="12" t="s">
        <v>484</v>
      </c>
      <c r="E407" s="12" t="s">
        <v>30</v>
      </c>
      <c r="F407" s="12" t="s">
        <v>485</v>
      </c>
      <c r="G407" s="12" t="s">
        <v>37</v>
      </c>
      <c r="H407" s="14" t="n">
        <v>46279</v>
      </c>
      <c r="I407" s="14" t="n">
        <v>46274</v>
      </c>
      <c r="J407" s="12" t="s">
        <v>33</v>
      </c>
    </row>
    <row r="408" customFormat="false" ht="15" hidden="false" customHeight="true" outlineLevel="0" collapsed="false">
      <c r="A408" s="12" t="s">
        <v>946</v>
      </c>
      <c r="B408" s="13" t="n">
        <v>53.185</v>
      </c>
      <c r="C408" s="13" t="n">
        <v>49.2</v>
      </c>
      <c r="D408" s="12" t="s">
        <v>470</v>
      </c>
      <c r="E408" s="12" t="s">
        <v>30</v>
      </c>
      <c r="F408" s="12" t="s">
        <v>471</v>
      </c>
      <c r="G408" s="12" t="s">
        <v>37</v>
      </c>
      <c r="H408" s="14" t="n">
        <v>46279</v>
      </c>
      <c r="I408" s="14" t="n">
        <v>46274</v>
      </c>
      <c r="J408" s="12" t="s">
        <v>33</v>
      </c>
    </row>
    <row r="409" customFormat="false" ht="15" hidden="false" customHeight="true" outlineLevel="0" collapsed="false">
      <c r="A409" s="12" t="s">
        <v>947</v>
      </c>
      <c r="B409" s="13" t="n">
        <v>2584.452</v>
      </c>
      <c r="C409" s="13" t="n">
        <v>2385.2</v>
      </c>
      <c r="D409" s="12" t="s">
        <v>731</v>
      </c>
      <c r="E409" s="12" t="s">
        <v>30</v>
      </c>
      <c r="F409" s="12" t="s">
        <v>732</v>
      </c>
      <c r="G409" s="12" t="s">
        <v>653</v>
      </c>
      <c r="H409" s="14" t="n">
        <v>46279</v>
      </c>
      <c r="I409" s="14" t="n">
        <v>46281</v>
      </c>
      <c r="J409" s="12" t="s">
        <v>33</v>
      </c>
    </row>
    <row r="410" customFormat="false" ht="15" hidden="false" customHeight="true" outlineLevel="0" collapsed="false">
      <c r="A410" s="12" t="s">
        <v>948</v>
      </c>
      <c r="B410" s="13" t="n">
        <v>117.452</v>
      </c>
      <c r="C410" s="13" t="n">
        <v>111.1</v>
      </c>
      <c r="D410" s="12" t="s">
        <v>949</v>
      </c>
      <c r="E410" s="12" t="s">
        <v>30</v>
      </c>
      <c r="F410" s="12" t="s">
        <v>950</v>
      </c>
      <c r="G410" s="12" t="s">
        <v>609</v>
      </c>
      <c r="H410" s="14" t="n">
        <v>46279</v>
      </c>
      <c r="I410" s="14" t="n">
        <v>46279</v>
      </c>
      <c r="J410" s="12" t="s">
        <v>33</v>
      </c>
    </row>
    <row r="411" customFormat="false" ht="15" hidden="false" customHeight="true" outlineLevel="0" collapsed="false">
      <c r="A411" s="12" t="s">
        <v>951</v>
      </c>
      <c r="B411" s="13" t="n">
        <v>98.283</v>
      </c>
      <c r="C411" s="13" t="n">
        <v>90.9</v>
      </c>
      <c r="D411" s="12" t="s">
        <v>952</v>
      </c>
      <c r="E411" s="12" t="s">
        <v>30</v>
      </c>
      <c r="F411" s="12" t="s">
        <v>608</v>
      </c>
      <c r="G411" s="12" t="s">
        <v>609</v>
      </c>
      <c r="H411" s="14" t="n">
        <v>46279</v>
      </c>
      <c r="I411" s="14" t="n">
        <v>46279</v>
      </c>
      <c r="J411" s="12" t="s">
        <v>33</v>
      </c>
    </row>
    <row r="412" customFormat="false" ht="15" hidden="false" customHeight="true" outlineLevel="0" collapsed="false">
      <c r="A412" s="12" t="s">
        <v>953</v>
      </c>
      <c r="B412" s="13" t="n">
        <v>94.098</v>
      </c>
      <c r="C412" s="13" t="n">
        <v>86.86</v>
      </c>
      <c r="D412" s="12" t="s">
        <v>954</v>
      </c>
      <c r="E412" s="12" t="s">
        <v>30</v>
      </c>
      <c r="F412" s="12" t="s">
        <v>608</v>
      </c>
      <c r="G412" s="12" t="s">
        <v>609</v>
      </c>
      <c r="H412" s="14" t="n">
        <v>46279</v>
      </c>
      <c r="I412" s="14" t="n">
        <v>46279</v>
      </c>
      <c r="J412" s="12" t="s">
        <v>33</v>
      </c>
    </row>
    <row r="413" customFormat="false" ht="15" hidden="false" customHeight="true" outlineLevel="0" collapsed="false">
      <c r="A413" s="12" t="s">
        <v>955</v>
      </c>
      <c r="B413" s="13" t="n">
        <v>1573.771</v>
      </c>
      <c r="C413" s="13" t="n">
        <v>1501</v>
      </c>
      <c r="D413" s="12" t="s">
        <v>731</v>
      </c>
      <c r="E413" s="12" t="s">
        <v>30</v>
      </c>
      <c r="F413" s="12" t="s">
        <v>732</v>
      </c>
      <c r="G413" s="12" t="s">
        <v>653</v>
      </c>
      <c r="H413" s="14" t="n">
        <v>46279</v>
      </c>
      <c r="I413" s="14" t="n">
        <v>46281</v>
      </c>
      <c r="J413" s="12" t="s">
        <v>33</v>
      </c>
    </row>
    <row r="414" customFormat="false" ht="15" hidden="false" customHeight="true" outlineLevel="0" collapsed="false">
      <c r="A414" s="12" t="s">
        <v>956</v>
      </c>
      <c r="B414" s="13" t="n">
        <v>212.302</v>
      </c>
      <c r="C414" s="13" t="n">
        <v>202</v>
      </c>
      <c r="D414" s="12" t="s">
        <v>731</v>
      </c>
      <c r="E414" s="12" t="s">
        <v>30</v>
      </c>
      <c r="F414" s="12" t="s">
        <v>732</v>
      </c>
      <c r="G414" s="12" t="s">
        <v>653</v>
      </c>
      <c r="H414" s="14" t="n">
        <v>46279</v>
      </c>
      <c r="I414" s="14" t="n">
        <v>46281</v>
      </c>
      <c r="J414" s="12" t="s">
        <v>33</v>
      </c>
    </row>
    <row r="415" customFormat="false" ht="15" hidden="false" customHeight="true" outlineLevel="0" collapsed="false">
      <c r="A415" s="12" t="s">
        <v>957</v>
      </c>
      <c r="B415" s="13" t="n">
        <v>54.793</v>
      </c>
      <c r="C415" s="13" t="n">
        <v>50.5</v>
      </c>
      <c r="D415" s="12" t="s">
        <v>958</v>
      </c>
      <c r="E415" s="12" t="s">
        <v>30</v>
      </c>
      <c r="F415" s="12" t="s">
        <v>635</v>
      </c>
      <c r="G415" s="12" t="s">
        <v>609</v>
      </c>
      <c r="H415" s="14" t="n">
        <v>46279</v>
      </c>
      <c r="I415" s="14" t="n">
        <v>46279</v>
      </c>
      <c r="J415" s="12" t="s">
        <v>33</v>
      </c>
    </row>
    <row r="416" customFormat="false" ht="15" hidden="false" customHeight="true" outlineLevel="0" collapsed="false">
      <c r="A416" s="12" t="s">
        <v>959</v>
      </c>
      <c r="B416" s="13" t="n">
        <v>301.383</v>
      </c>
      <c r="C416" s="13" t="n">
        <v>278.8</v>
      </c>
      <c r="D416" s="12" t="s">
        <v>960</v>
      </c>
      <c r="E416" s="12" t="s">
        <v>30</v>
      </c>
      <c r="F416" s="12" t="s">
        <v>961</v>
      </c>
      <c r="G416" s="12" t="s">
        <v>653</v>
      </c>
      <c r="H416" s="14" t="n">
        <v>46279</v>
      </c>
      <c r="I416" s="14" t="n">
        <v>46276</v>
      </c>
      <c r="J416" s="12" t="s">
        <v>33</v>
      </c>
    </row>
    <row r="417" customFormat="false" ht="15" hidden="false" customHeight="true" outlineLevel="0" collapsed="false">
      <c r="A417" s="12" t="s">
        <v>962</v>
      </c>
      <c r="B417" s="13" t="n">
        <v>70.914</v>
      </c>
      <c r="C417" s="13" t="n">
        <v>65.6</v>
      </c>
      <c r="D417" s="12" t="s">
        <v>731</v>
      </c>
      <c r="E417" s="12" t="s">
        <v>30</v>
      </c>
      <c r="F417" s="12" t="s">
        <v>732</v>
      </c>
      <c r="G417" s="12" t="s">
        <v>653</v>
      </c>
      <c r="H417" s="14" t="n">
        <v>46279</v>
      </c>
      <c r="I417" s="14" t="n">
        <v>46281</v>
      </c>
      <c r="J417" s="12" t="s">
        <v>33</v>
      </c>
    </row>
    <row r="418" customFormat="false" ht="15" hidden="false" customHeight="true" outlineLevel="0" collapsed="false">
      <c r="A418" s="12" t="s">
        <v>963</v>
      </c>
      <c r="B418" s="13" t="n">
        <v>5917.59</v>
      </c>
      <c r="C418" s="13" t="n">
        <v>5454</v>
      </c>
      <c r="D418" s="12" t="s">
        <v>731</v>
      </c>
      <c r="E418" s="12" t="s">
        <v>30</v>
      </c>
      <c r="F418" s="12" t="s">
        <v>732</v>
      </c>
      <c r="G418" s="12" t="s">
        <v>653</v>
      </c>
      <c r="H418" s="14" t="n">
        <v>46279</v>
      </c>
      <c r="I418" s="14" t="n">
        <v>46281</v>
      </c>
      <c r="J418" s="12" t="s">
        <v>33</v>
      </c>
    </row>
    <row r="419" customFormat="false" ht="15" hidden="false" customHeight="true" outlineLevel="0" collapsed="false">
      <c r="A419" s="12" t="s">
        <v>964</v>
      </c>
      <c r="B419" s="13" t="n">
        <v>35.457</v>
      </c>
      <c r="C419" s="13" t="n">
        <v>32.8</v>
      </c>
      <c r="D419" s="12" t="s">
        <v>965</v>
      </c>
      <c r="E419" s="12" t="s">
        <v>30</v>
      </c>
      <c r="F419" s="12" t="s">
        <v>966</v>
      </c>
      <c r="G419" s="12" t="s">
        <v>653</v>
      </c>
      <c r="H419" s="14" t="n">
        <v>46279</v>
      </c>
      <c r="I419" s="14" t="n">
        <v>46279</v>
      </c>
      <c r="J419" s="12" t="s">
        <v>33</v>
      </c>
    </row>
    <row r="420" customFormat="false" ht="15" hidden="false" customHeight="true" outlineLevel="0" collapsed="false">
      <c r="A420" s="12" t="s">
        <v>967</v>
      </c>
      <c r="B420" s="13" t="n">
        <v>88.642</v>
      </c>
      <c r="C420" s="13" t="n">
        <v>82</v>
      </c>
      <c r="D420" s="12" t="s">
        <v>470</v>
      </c>
      <c r="E420" s="12" t="s">
        <v>30</v>
      </c>
      <c r="F420" s="12" t="s">
        <v>471</v>
      </c>
      <c r="G420" s="12" t="s">
        <v>37</v>
      </c>
      <c r="H420" s="14" t="n">
        <v>46279</v>
      </c>
      <c r="I420" s="14" t="n">
        <v>46274</v>
      </c>
      <c r="J420" s="12" t="s">
        <v>33</v>
      </c>
    </row>
    <row r="421" customFormat="false" ht="15" hidden="false" customHeight="true" outlineLevel="0" collapsed="false">
      <c r="A421" s="12" t="s">
        <v>968</v>
      </c>
      <c r="B421" s="13" t="n">
        <v>250.082</v>
      </c>
      <c r="C421" s="13" t="n">
        <v>236.2</v>
      </c>
      <c r="D421" s="12" t="s">
        <v>969</v>
      </c>
      <c r="E421" s="12" t="s">
        <v>30</v>
      </c>
      <c r="F421" s="12" t="s">
        <v>253</v>
      </c>
      <c r="G421" s="12" t="s">
        <v>653</v>
      </c>
      <c r="H421" s="14" t="n">
        <v>46279</v>
      </c>
      <c r="I421" s="14" t="n">
        <v>46281</v>
      </c>
      <c r="J421" s="12" t="s">
        <v>254</v>
      </c>
    </row>
    <row r="422" customFormat="false" ht="15" hidden="false" customHeight="true" outlineLevel="0" collapsed="false">
      <c r="A422" s="12" t="s">
        <v>970</v>
      </c>
      <c r="B422" s="13" t="n">
        <v>541.275</v>
      </c>
      <c r="C422" s="13" t="n">
        <v>525</v>
      </c>
      <c r="D422" s="12" t="s">
        <v>969</v>
      </c>
      <c r="E422" s="12" t="s">
        <v>30</v>
      </c>
      <c r="F422" s="12" t="s">
        <v>253</v>
      </c>
      <c r="G422" s="12" t="s">
        <v>653</v>
      </c>
      <c r="H422" s="14" t="n">
        <v>46279</v>
      </c>
      <c r="I422" s="14" t="n">
        <v>46281</v>
      </c>
      <c r="J422" s="12" t="s">
        <v>254</v>
      </c>
    </row>
    <row r="423" customFormat="false" ht="15" hidden="false" customHeight="true" outlineLevel="0" collapsed="false">
      <c r="A423" s="12" t="s">
        <v>971</v>
      </c>
      <c r="B423" s="13" t="n">
        <v>141.829</v>
      </c>
      <c r="C423" s="13" t="n">
        <v>131.2</v>
      </c>
      <c r="D423" s="12" t="s">
        <v>972</v>
      </c>
      <c r="E423" s="12" t="s">
        <v>248</v>
      </c>
      <c r="F423" s="12" t="s">
        <v>973</v>
      </c>
      <c r="G423" s="12" t="s">
        <v>250</v>
      </c>
      <c r="H423" s="14" t="n">
        <v>46279</v>
      </c>
      <c r="I423" s="14" t="n">
        <v>46280</v>
      </c>
      <c r="J423" s="12" t="s">
        <v>33</v>
      </c>
    </row>
    <row r="424" customFormat="false" ht="15" hidden="false" customHeight="true" outlineLevel="0" collapsed="false">
      <c r="A424" s="12" t="s">
        <v>974</v>
      </c>
      <c r="B424" s="13" t="n">
        <v>88.642</v>
      </c>
      <c r="C424" s="13" t="n">
        <v>82</v>
      </c>
      <c r="D424" s="12" t="s">
        <v>731</v>
      </c>
      <c r="E424" s="12" t="s">
        <v>30</v>
      </c>
      <c r="F424" s="12" t="s">
        <v>732</v>
      </c>
      <c r="G424" s="12" t="s">
        <v>653</v>
      </c>
      <c r="H424" s="14" t="n">
        <v>46279</v>
      </c>
      <c r="I424" s="14" t="n">
        <v>46281</v>
      </c>
      <c r="J424" s="12" t="s">
        <v>33</v>
      </c>
    </row>
    <row r="425" customFormat="false" ht="15" hidden="false" customHeight="true" outlineLevel="0" collapsed="false">
      <c r="A425" s="12" t="s">
        <v>975</v>
      </c>
      <c r="B425" s="13" t="n">
        <v>131.017</v>
      </c>
      <c r="C425" s="13" t="n">
        <v>121.2</v>
      </c>
      <c r="D425" s="12" t="s">
        <v>731</v>
      </c>
      <c r="E425" s="12" t="s">
        <v>30</v>
      </c>
      <c r="F425" s="12" t="s">
        <v>732</v>
      </c>
      <c r="G425" s="12" t="s">
        <v>653</v>
      </c>
      <c r="H425" s="14" t="n">
        <v>46279</v>
      </c>
      <c r="I425" s="14" t="n">
        <v>46281</v>
      </c>
      <c r="J425" s="12" t="s">
        <v>33</v>
      </c>
    </row>
    <row r="426" customFormat="false" ht="15" hidden="false" customHeight="true" outlineLevel="0" collapsed="false">
      <c r="A426" s="12" t="s">
        <v>976</v>
      </c>
      <c r="B426" s="13" t="n">
        <v>4828.227</v>
      </c>
      <c r="C426" s="13" t="n">
        <v>4683</v>
      </c>
      <c r="D426" s="12" t="s">
        <v>731</v>
      </c>
      <c r="E426" s="12" t="s">
        <v>30</v>
      </c>
      <c r="F426" s="12" t="s">
        <v>732</v>
      </c>
      <c r="G426" s="12" t="s">
        <v>653</v>
      </c>
      <c r="H426" s="14" t="n">
        <v>46279</v>
      </c>
      <c r="I426" s="14" t="n">
        <v>46281</v>
      </c>
      <c r="J426" s="12" t="s">
        <v>33</v>
      </c>
    </row>
    <row r="427" customFormat="false" ht="15" hidden="false" customHeight="true" outlineLevel="0" collapsed="false">
      <c r="A427" s="12" t="s">
        <v>977</v>
      </c>
      <c r="B427" s="13" t="n">
        <v>3287.55</v>
      </c>
      <c r="C427" s="13" t="n">
        <v>3030</v>
      </c>
      <c r="D427" s="12" t="s">
        <v>960</v>
      </c>
      <c r="E427" s="12" t="s">
        <v>30</v>
      </c>
      <c r="F427" s="12" t="s">
        <v>961</v>
      </c>
      <c r="G427" s="12" t="s">
        <v>653</v>
      </c>
      <c r="H427" s="14" t="n">
        <v>46279</v>
      </c>
      <c r="I427" s="14" t="n">
        <v>46276</v>
      </c>
      <c r="J427" s="12" t="s">
        <v>33</v>
      </c>
    </row>
    <row r="428" customFormat="false" ht="15" hidden="false" customHeight="true" outlineLevel="0" collapsed="false">
      <c r="A428" s="12" t="s">
        <v>978</v>
      </c>
      <c r="B428" s="13" t="n">
        <v>1407.316</v>
      </c>
      <c r="C428" s="13" t="n">
        <v>1365</v>
      </c>
      <c r="D428" s="12" t="s">
        <v>960</v>
      </c>
      <c r="E428" s="12" t="s">
        <v>30</v>
      </c>
      <c r="F428" s="12" t="s">
        <v>961</v>
      </c>
      <c r="G428" s="12" t="s">
        <v>653</v>
      </c>
      <c r="H428" s="14" t="n">
        <v>46279</v>
      </c>
      <c r="I428" s="14" t="n">
        <v>46276</v>
      </c>
      <c r="J428" s="12" t="s">
        <v>33</v>
      </c>
    </row>
    <row r="429" customFormat="false" ht="15" hidden="false" customHeight="true" outlineLevel="0" collapsed="false">
      <c r="A429" s="12" t="s">
        <v>979</v>
      </c>
      <c r="B429" s="13" t="n">
        <v>162.383</v>
      </c>
      <c r="C429" s="13" t="n">
        <v>157.5</v>
      </c>
      <c r="D429" s="12" t="s">
        <v>969</v>
      </c>
      <c r="E429" s="12" t="s">
        <v>30</v>
      </c>
      <c r="F429" s="12" t="s">
        <v>253</v>
      </c>
      <c r="G429" s="12" t="s">
        <v>653</v>
      </c>
      <c r="H429" s="14" t="n">
        <v>46279</v>
      </c>
      <c r="I429" s="14" t="n">
        <v>46281</v>
      </c>
      <c r="J429" s="12" t="s">
        <v>254</v>
      </c>
    </row>
    <row r="430" customFormat="false" ht="15" hidden="false" customHeight="true" outlineLevel="0" collapsed="false">
      <c r="A430" s="12" t="s">
        <v>980</v>
      </c>
      <c r="B430" s="13" t="n">
        <v>144.79</v>
      </c>
      <c r="C430" s="13" t="n">
        <v>132.72</v>
      </c>
      <c r="D430" s="12" t="s">
        <v>270</v>
      </c>
      <c r="E430" s="12" t="s">
        <v>30</v>
      </c>
      <c r="F430" s="12" t="s">
        <v>271</v>
      </c>
      <c r="G430" s="12" t="s">
        <v>240</v>
      </c>
      <c r="H430" s="14" t="n">
        <v>46279</v>
      </c>
      <c r="I430" s="14" t="n">
        <v>46279</v>
      </c>
      <c r="J430" s="12" t="s">
        <v>33</v>
      </c>
    </row>
    <row r="431" customFormat="false" ht="15" hidden="false" customHeight="true" outlineLevel="0" collapsed="false">
      <c r="A431" s="12" t="s">
        <v>981</v>
      </c>
      <c r="B431" s="13" t="n">
        <v>67.208</v>
      </c>
      <c r="C431" s="13" t="n">
        <v>62.62</v>
      </c>
      <c r="D431" s="12" t="s">
        <v>982</v>
      </c>
      <c r="E431" s="12" t="s">
        <v>30</v>
      </c>
      <c r="F431" s="12" t="s">
        <v>608</v>
      </c>
      <c r="G431" s="12" t="s">
        <v>609</v>
      </c>
      <c r="H431" s="14" t="n">
        <v>46279</v>
      </c>
      <c r="I431" s="14" t="n">
        <v>46279</v>
      </c>
      <c r="J431" s="12" t="s">
        <v>33</v>
      </c>
    </row>
    <row r="432" customFormat="false" ht="15" hidden="false" customHeight="true" outlineLevel="0" collapsed="false">
      <c r="A432" s="12" t="s">
        <v>983</v>
      </c>
      <c r="B432" s="13" t="n">
        <v>293.819</v>
      </c>
      <c r="C432" s="13" t="n">
        <v>272.7</v>
      </c>
      <c r="D432" s="12" t="s">
        <v>984</v>
      </c>
      <c r="E432" s="12" t="s">
        <v>30</v>
      </c>
      <c r="F432" s="12" t="s">
        <v>608</v>
      </c>
      <c r="G432" s="12" t="s">
        <v>609</v>
      </c>
      <c r="H432" s="14" t="n">
        <v>46279</v>
      </c>
      <c r="I432" s="14" t="n">
        <v>46279</v>
      </c>
      <c r="J432" s="12" t="s">
        <v>33</v>
      </c>
    </row>
    <row r="433" customFormat="false" ht="15" hidden="false" customHeight="true" outlineLevel="0" collapsed="false">
      <c r="A433" s="12" t="s">
        <v>985</v>
      </c>
      <c r="B433" s="13" t="n">
        <v>328.755</v>
      </c>
      <c r="C433" s="13" t="n">
        <v>303</v>
      </c>
      <c r="D433" s="12" t="s">
        <v>986</v>
      </c>
      <c r="E433" s="12" t="s">
        <v>30</v>
      </c>
      <c r="F433" s="12" t="s">
        <v>667</v>
      </c>
      <c r="G433" s="12" t="s">
        <v>609</v>
      </c>
      <c r="H433" s="14" t="n">
        <v>46279</v>
      </c>
      <c r="I433" s="14" t="n">
        <v>46279</v>
      </c>
      <c r="J433" s="12" t="s">
        <v>33</v>
      </c>
    </row>
    <row r="434" customFormat="false" ht="15" hidden="false" customHeight="true" outlineLevel="0" collapsed="false">
      <c r="A434" s="12" t="s">
        <v>987</v>
      </c>
      <c r="B434" s="13" t="n">
        <v>152.045</v>
      </c>
      <c r="C434" s="13" t="n">
        <v>141.4</v>
      </c>
      <c r="D434" s="12" t="s">
        <v>988</v>
      </c>
      <c r="E434" s="12" t="s">
        <v>30</v>
      </c>
      <c r="F434" s="12" t="s">
        <v>989</v>
      </c>
      <c r="G434" s="12" t="s">
        <v>609</v>
      </c>
      <c r="H434" s="14" t="n">
        <v>46279</v>
      </c>
      <c r="I434" s="14" t="n">
        <v>46279</v>
      </c>
      <c r="J434" s="12" t="s">
        <v>33</v>
      </c>
    </row>
    <row r="435" customFormat="false" ht="15" hidden="false" customHeight="true" outlineLevel="0" collapsed="false">
      <c r="A435" s="12" t="s">
        <v>990</v>
      </c>
      <c r="B435" s="13" t="n">
        <v>80.996</v>
      </c>
      <c r="C435" s="13" t="n">
        <v>74.74</v>
      </c>
      <c r="D435" s="12" t="s">
        <v>991</v>
      </c>
      <c r="E435" s="12" t="s">
        <v>30</v>
      </c>
      <c r="F435" s="12" t="s">
        <v>992</v>
      </c>
      <c r="G435" s="12" t="s">
        <v>609</v>
      </c>
      <c r="H435" s="14" t="n">
        <v>46279</v>
      </c>
      <c r="I435" s="14" t="n">
        <v>46279</v>
      </c>
      <c r="J435" s="12" t="s">
        <v>33</v>
      </c>
    </row>
    <row r="436" customFormat="false" ht="15" hidden="false" customHeight="true" outlineLevel="0" collapsed="false">
      <c r="A436" s="12" t="s">
        <v>993</v>
      </c>
      <c r="B436" s="13" t="n">
        <v>177.388</v>
      </c>
      <c r="C436" s="13" t="n">
        <v>163.1</v>
      </c>
      <c r="D436" s="12" t="s">
        <v>994</v>
      </c>
      <c r="E436" s="12" t="s">
        <v>30</v>
      </c>
      <c r="F436" s="12" t="s">
        <v>807</v>
      </c>
      <c r="G436" s="12" t="s">
        <v>609</v>
      </c>
      <c r="H436" s="14" t="n">
        <v>46279</v>
      </c>
      <c r="I436" s="14" t="n">
        <v>46279</v>
      </c>
      <c r="J436" s="12" t="s">
        <v>33</v>
      </c>
    </row>
    <row r="437" customFormat="false" ht="15" hidden="false" customHeight="true" outlineLevel="0" collapsed="false">
      <c r="A437" s="12" t="s">
        <v>995</v>
      </c>
      <c r="B437" s="13" t="n">
        <v>111.427</v>
      </c>
      <c r="C437" s="13" t="n">
        <v>101.64</v>
      </c>
      <c r="D437" s="12" t="s">
        <v>996</v>
      </c>
      <c r="E437" s="12" t="s">
        <v>30</v>
      </c>
      <c r="F437" s="12" t="s">
        <v>608</v>
      </c>
      <c r="G437" s="12" t="s">
        <v>609</v>
      </c>
      <c r="H437" s="14" t="n">
        <v>46279</v>
      </c>
      <c r="I437" s="14" t="n">
        <v>46279</v>
      </c>
      <c r="J437" s="12" t="s">
        <v>33</v>
      </c>
    </row>
    <row r="438" customFormat="false" ht="15" hidden="false" customHeight="true" outlineLevel="0" collapsed="false">
      <c r="A438" s="12" t="s">
        <v>997</v>
      </c>
      <c r="B438" s="13" t="n">
        <v>612.222</v>
      </c>
      <c r="C438" s="13" t="n">
        <v>565.6</v>
      </c>
      <c r="D438" s="12" t="s">
        <v>998</v>
      </c>
      <c r="E438" s="12" t="s">
        <v>30</v>
      </c>
      <c r="F438" s="12" t="s">
        <v>999</v>
      </c>
      <c r="G438" s="12" t="s">
        <v>609</v>
      </c>
      <c r="H438" s="14" t="n">
        <v>46279</v>
      </c>
      <c r="I438" s="14" t="n">
        <v>46279</v>
      </c>
      <c r="J438" s="12" t="s">
        <v>33</v>
      </c>
    </row>
    <row r="439" customFormat="false" ht="15" hidden="false" customHeight="true" outlineLevel="0" collapsed="false">
      <c r="A439" s="12" t="s">
        <v>1000</v>
      </c>
      <c r="B439" s="13" t="n">
        <v>49.886</v>
      </c>
      <c r="C439" s="13" t="n">
        <v>46</v>
      </c>
      <c r="D439" s="12" t="s">
        <v>1001</v>
      </c>
      <c r="E439" s="12" t="s">
        <v>30</v>
      </c>
      <c r="F439" s="12" t="s">
        <v>239</v>
      </c>
      <c r="G439" s="12" t="s">
        <v>240</v>
      </c>
      <c r="H439" s="14" t="n">
        <v>46279</v>
      </c>
      <c r="I439" s="14" t="n">
        <v>46279</v>
      </c>
      <c r="J439" s="12" t="s">
        <v>33</v>
      </c>
    </row>
    <row r="440" customFormat="false" ht="15" hidden="false" customHeight="true" outlineLevel="0" collapsed="false">
      <c r="A440" s="12" t="s">
        <v>1002</v>
      </c>
      <c r="B440" s="13" t="n">
        <v>746.55</v>
      </c>
      <c r="C440" s="13" t="n">
        <v>630</v>
      </c>
      <c r="D440" s="12" t="s">
        <v>731</v>
      </c>
      <c r="E440" s="12" t="s">
        <v>30</v>
      </c>
      <c r="F440" s="12" t="s">
        <v>732</v>
      </c>
      <c r="G440" s="12" t="s">
        <v>653</v>
      </c>
      <c r="H440" s="14" t="n">
        <v>46279</v>
      </c>
      <c r="I440" s="14" t="n">
        <v>46281</v>
      </c>
      <c r="J440" s="12" t="s">
        <v>33</v>
      </c>
    </row>
    <row r="441" customFormat="false" ht="15" hidden="false" customHeight="true" outlineLevel="0" collapsed="false">
      <c r="A441" s="12" t="s">
        <v>1003</v>
      </c>
      <c r="B441" s="13" t="n">
        <v>26.203</v>
      </c>
      <c r="C441" s="13" t="n">
        <v>24.24</v>
      </c>
      <c r="D441" s="12" t="s">
        <v>1004</v>
      </c>
      <c r="E441" s="12" t="s">
        <v>30</v>
      </c>
      <c r="F441" s="12" t="s">
        <v>239</v>
      </c>
      <c r="G441" s="12" t="s">
        <v>240</v>
      </c>
      <c r="H441" s="14" t="n">
        <v>46279</v>
      </c>
      <c r="I441" s="14" t="n">
        <v>46279</v>
      </c>
      <c r="J441" s="12" t="s">
        <v>33</v>
      </c>
    </row>
    <row r="442" customFormat="false" ht="15" hidden="false" customHeight="true" outlineLevel="0" collapsed="false">
      <c r="A442" s="12" t="s">
        <v>1005</v>
      </c>
      <c r="B442" s="13" t="n">
        <v>171.955</v>
      </c>
      <c r="C442" s="13" t="n">
        <v>158.1</v>
      </c>
      <c r="D442" s="12" t="s">
        <v>1006</v>
      </c>
      <c r="E442" s="12" t="s">
        <v>30</v>
      </c>
      <c r="F442" s="12" t="s">
        <v>95</v>
      </c>
      <c r="G442" s="12" t="s">
        <v>41</v>
      </c>
      <c r="H442" s="14" t="n">
        <v>46279</v>
      </c>
      <c r="I442" s="14" t="n">
        <v>46279</v>
      </c>
      <c r="J442" s="12" t="s">
        <v>33</v>
      </c>
    </row>
    <row r="443" customFormat="false" ht="15" hidden="false" customHeight="true" outlineLevel="0" collapsed="false">
      <c r="A443" s="12" t="s">
        <v>1007</v>
      </c>
      <c r="B443" s="13" t="n">
        <v>29.625</v>
      </c>
      <c r="C443" s="13" t="n">
        <v>25</v>
      </c>
      <c r="D443" s="12" t="s">
        <v>503</v>
      </c>
      <c r="E443" s="12" t="s">
        <v>30</v>
      </c>
      <c r="F443" s="12" t="s">
        <v>504</v>
      </c>
      <c r="G443" s="12" t="s">
        <v>41</v>
      </c>
      <c r="H443" s="14" t="n">
        <v>46279</v>
      </c>
      <c r="I443" s="14" t="n">
        <v>46279</v>
      </c>
      <c r="J443" s="12" t="s">
        <v>33</v>
      </c>
    </row>
    <row r="444" customFormat="false" ht="15" hidden="false" customHeight="true" outlineLevel="0" collapsed="false">
      <c r="A444" s="12" t="s">
        <v>1008</v>
      </c>
      <c r="B444" s="13" t="n">
        <v>23.7</v>
      </c>
      <c r="C444" s="13" t="n">
        <v>20</v>
      </c>
      <c r="D444" s="12" t="s">
        <v>925</v>
      </c>
      <c r="E444" s="12" t="s">
        <v>30</v>
      </c>
      <c r="F444" s="12" t="s">
        <v>1009</v>
      </c>
      <c r="G444" s="12" t="s">
        <v>609</v>
      </c>
      <c r="H444" s="14" t="n">
        <v>46279</v>
      </c>
      <c r="I444" s="14" t="n">
        <v>46279</v>
      </c>
      <c r="J444" s="12" t="s">
        <v>33</v>
      </c>
    </row>
    <row r="445" customFormat="false" ht="15" hidden="false" customHeight="true" outlineLevel="0" collapsed="false">
      <c r="A445" s="12" t="s">
        <v>1010</v>
      </c>
      <c r="B445" s="13" t="n">
        <v>106.65</v>
      </c>
      <c r="C445" s="13" t="n">
        <v>90</v>
      </c>
      <c r="D445" s="12" t="s">
        <v>1011</v>
      </c>
      <c r="E445" s="12" t="s">
        <v>30</v>
      </c>
      <c r="F445" s="12" t="s">
        <v>1012</v>
      </c>
      <c r="G445" s="12" t="s">
        <v>609</v>
      </c>
      <c r="H445" s="14" t="n">
        <v>46279</v>
      </c>
      <c r="I445" s="14" t="n">
        <v>46279</v>
      </c>
      <c r="J445" s="12" t="s">
        <v>33</v>
      </c>
    </row>
    <row r="446" customFormat="false" ht="15" hidden="false" customHeight="true" outlineLevel="0" collapsed="false">
      <c r="A446" s="12" t="s">
        <v>1013</v>
      </c>
      <c r="B446" s="13" t="n">
        <v>355.5</v>
      </c>
      <c r="C446" s="13" t="n">
        <v>300</v>
      </c>
      <c r="D446" s="12" t="s">
        <v>960</v>
      </c>
      <c r="E446" s="12" t="s">
        <v>30</v>
      </c>
      <c r="F446" s="12" t="s">
        <v>961</v>
      </c>
      <c r="G446" s="12" t="s">
        <v>653</v>
      </c>
      <c r="H446" s="14" t="n">
        <v>46279</v>
      </c>
      <c r="I446" s="14" t="n">
        <v>46281</v>
      </c>
      <c r="J446" s="12" t="s">
        <v>254</v>
      </c>
    </row>
    <row r="447" customFormat="false" ht="15" hidden="false" customHeight="true" outlineLevel="0" collapsed="false">
      <c r="A447" s="12" t="s">
        <v>1014</v>
      </c>
      <c r="B447" s="13" t="n">
        <v>33.767</v>
      </c>
      <c r="C447" s="13" t="n">
        <v>30.2</v>
      </c>
      <c r="D447" s="12" t="s">
        <v>1015</v>
      </c>
      <c r="E447" s="12" t="s">
        <v>30</v>
      </c>
      <c r="F447" s="12" t="s">
        <v>1016</v>
      </c>
      <c r="G447" s="12" t="s">
        <v>45</v>
      </c>
      <c r="H447" s="14" t="n">
        <v>46279</v>
      </c>
      <c r="I447" s="14" t="n">
        <v>46279</v>
      </c>
      <c r="J447" s="12" t="s">
        <v>33</v>
      </c>
    </row>
    <row r="448" customFormat="false" ht="15" hidden="false" customHeight="true" outlineLevel="0" collapsed="false">
      <c r="A448" s="12" t="s">
        <v>1017</v>
      </c>
      <c r="B448" s="13" t="n">
        <v>137.689</v>
      </c>
      <c r="C448" s="13" t="n">
        <v>127.26</v>
      </c>
      <c r="D448" s="12" t="s">
        <v>1018</v>
      </c>
      <c r="E448" s="12" t="s">
        <v>30</v>
      </c>
      <c r="F448" s="12" t="s">
        <v>40</v>
      </c>
      <c r="G448" s="12" t="s">
        <v>41</v>
      </c>
      <c r="H448" s="14" t="n">
        <v>46279</v>
      </c>
      <c r="I448" s="14" t="n">
        <v>46279</v>
      </c>
      <c r="J448" s="12" t="s">
        <v>33</v>
      </c>
    </row>
    <row r="449" customFormat="false" ht="15" hidden="false" customHeight="true" outlineLevel="0" collapsed="false">
      <c r="A449" s="12" t="s">
        <v>1019</v>
      </c>
      <c r="B449" s="13" t="n">
        <v>67.967</v>
      </c>
      <c r="C449" s="13" t="n">
        <v>62.64</v>
      </c>
      <c r="D449" s="12" t="s">
        <v>1020</v>
      </c>
      <c r="E449" s="12" t="s">
        <v>30</v>
      </c>
      <c r="F449" s="12" t="s">
        <v>1021</v>
      </c>
      <c r="G449" s="12" t="s">
        <v>45</v>
      </c>
      <c r="H449" s="14" t="n">
        <v>46279</v>
      </c>
      <c r="I449" s="14" t="n">
        <v>46279</v>
      </c>
      <c r="J449" s="12" t="s">
        <v>33</v>
      </c>
    </row>
    <row r="450" customFormat="false" ht="15" hidden="false" customHeight="true" outlineLevel="0" collapsed="false">
      <c r="A450" s="12" t="s">
        <v>1022</v>
      </c>
      <c r="B450" s="13" t="n">
        <v>126.092</v>
      </c>
      <c r="C450" s="13" t="n">
        <v>116.22</v>
      </c>
      <c r="D450" s="12" t="s">
        <v>1023</v>
      </c>
      <c r="E450" s="12" t="s">
        <v>30</v>
      </c>
      <c r="F450" s="12" t="s">
        <v>1024</v>
      </c>
      <c r="G450" s="12" t="s">
        <v>37</v>
      </c>
      <c r="H450" s="14" t="n">
        <v>46279</v>
      </c>
      <c r="I450" s="14" t="n">
        <v>46279</v>
      </c>
      <c r="J450" s="12" t="s">
        <v>33</v>
      </c>
    </row>
    <row r="451" customFormat="false" ht="15" hidden="false" customHeight="true" outlineLevel="0" collapsed="false">
      <c r="A451" s="12" t="s">
        <v>1025</v>
      </c>
      <c r="B451" s="13" t="n">
        <v>96.338</v>
      </c>
      <c r="C451" s="13" t="n">
        <v>89.12</v>
      </c>
      <c r="D451" s="12" t="s">
        <v>1026</v>
      </c>
      <c r="E451" s="12" t="s">
        <v>30</v>
      </c>
      <c r="F451" s="12" t="s">
        <v>1027</v>
      </c>
      <c r="G451" s="12" t="s">
        <v>45</v>
      </c>
      <c r="H451" s="14" t="n">
        <v>46279</v>
      </c>
      <c r="I451" s="14" t="n">
        <v>46279</v>
      </c>
      <c r="J451" s="12" t="s">
        <v>33</v>
      </c>
    </row>
    <row r="452" customFormat="false" ht="15" hidden="false" customHeight="true" outlineLevel="0" collapsed="false">
      <c r="A452" s="12" t="s">
        <v>1028</v>
      </c>
      <c r="B452" s="13" t="n">
        <v>64.926</v>
      </c>
      <c r="C452" s="13" t="n">
        <v>60.5</v>
      </c>
      <c r="D452" s="12" t="s">
        <v>1029</v>
      </c>
      <c r="E452" s="12" t="s">
        <v>30</v>
      </c>
      <c r="F452" s="12" t="s">
        <v>465</v>
      </c>
      <c r="G452" s="12" t="s">
        <v>37</v>
      </c>
      <c r="H452" s="14" t="n">
        <v>46279</v>
      </c>
      <c r="I452" s="14" t="n">
        <v>46279</v>
      </c>
      <c r="J452" s="12" t="s">
        <v>33</v>
      </c>
    </row>
    <row r="453" customFormat="false" ht="15" hidden="false" customHeight="true" outlineLevel="0" collapsed="false">
      <c r="A453" s="12" t="s">
        <v>1030</v>
      </c>
      <c r="B453" s="13" t="n">
        <v>120.544</v>
      </c>
      <c r="C453" s="13" t="n">
        <v>111.1</v>
      </c>
      <c r="D453" s="12" t="s">
        <v>1031</v>
      </c>
      <c r="E453" s="12" t="s">
        <v>30</v>
      </c>
      <c r="F453" s="12" t="s">
        <v>1032</v>
      </c>
      <c r="G453" s="12" t="s">
        <v>37</v>
      </c>
      <c r="H453" s="14" t="n">
        <v>46279</v>
      </c>
      <c r="I453" s="14" t="n">
        <v>46279</v>
      </c>
      <c r="J453" s="12" t="s">
        <v>33</v>
      </c>
    </row>
    <row r="454" customFormat="false" ht="15" hidden="false" customHeight="true" outlineLevel="0" collapsed="false">
      <c r="A454" s="12" t="s">
        <v>1033</v>
      </c>
      <c r="B454" s="13" t="n">
        <v>151.688</v>
      </c>
      <c r="C454" s="13" t="n">
        <v>139.92</v>
      </c>
      <c r="D454" s="12" t="s">
        <v>1034</v>
      </c>
      <c r="E454" s="12" t="s">
        <v>30</v>
      </c>
      <c r="F454" s="12" t="s">
        <v>1035</v>
      </c>
      <c r="G454" s="12" t="s">
        <v>45</v>
      </c>
      <c r="H454" s="14" t="n">
        <v>46279</v>
      </c>
      <c r="I454" s="14" t="n">
        <v>46279</v>
      </c>
      <c r="J454" s="12" t="s">
        <v>33</v>
      </c>
    </row>
    <row r="455" customFormat="false" ht="15" hidden="false" customHeight="true" outlineLevel="0" collapsed="false">
      <c r="A455" s="12" t="s">
        <v>1036</v>
      </c>
      <c r="B455" s="13" t="n">
        <v>237.406</v>
      </c>
      <c r="C455" s="13" t="n">
        <v>221.26</v>
      </c>
      <c r="D455" s="12" t="s">
        <v>1037</v>
      </c>
      <c r="E455" s="12" t="s">
        <v>30</v>
      </c>
      <c r="F455" s="12" t="s">
        <v>1038</v>
      </c>
      <c r="G455" s="12" t="s">
        <v>37</v>
      </c>
      <c r="H455" s="14" t="n">
        <v>46279</v>
      </c>
      <c r="I455" s="14" t="n">
        <v>46279</v>
      </c>
      <c r="J455" s="12" t="s">
        <v>33</v>
      </c>
    </row>
    <row r="456" customFormat="false" ht="15" hidden="false" customHeight="true" outlineLevel="0" collapsed="false">
      <c r="A456" s="12" t="s">
        <v>1039</v>
      </c>
      <c r="B456" s="13" t="n">
        <v>170.323</v>
      </c>
      <c r="C456" s="13" t="n">
        <v>157.56</v>
      </c>
      <c r="D456" s="12" t="s">
        <v>1040</v>
      </c>
      <c r="E456" s="12" t="s">
        <v>30</v>
      </c>
      <c r="F456" s="12" t="s">
        <v>1041</v>
      </c>
      <c r="G456" s="12" t="s">
        <v>45</v>
      </c>
      <c r="H456" s="14" t="n">
        <v>46279</v>
      </c>
      <c r="I456" s="14" t="n">
        <v>46279</v>
      </c>
      <c r="J456" s="12" t="s">
        <v>33</v>
      </c>
    </row>
    <row r="457" customFormat="false" ht="15" hidden="false" customHeight="true" outlineLevel="0" collapsed="false">
      <c r="A457" s="12" t="s">
        <v>1042</v>
      </c>
      <c r="B457" s="13" t="n">
        <v>154.384</v>
      </c>
      <c r="C457" s="13" t="n">
        <v>135.6</v>
      </c>
      <c r="D457" s="12" t="s">
        <v>108</v>
      </c>
      <c r="E457" s="12" t="s">
        <v>30</v>
      </c>
      <c r="F457" s="12" t="s">
        <v>40</v>
      </c>
      <c r="G457" s="12" t="s">
        <v>41</v>
      </c>
      <c r="H457" s="14" t="n">
        <v>46279</v>
      </c>
      <c r="I457" s="14" t="n">
        <v>46279</v>
      </c>
      <c r="J457" s="12" t="s">
        <v>33</v>
      </c>
    </row>
    <row r="458" customFormat="false" ht="15" hidden="false" customHeight="true" outlineLevel="0" collapsed="false">
      <c r="A458" s="12" t="s">
        <v>1043</v>
      </c>
      <c r="B458" s="13" t="n">
        <v>133.343</v>
      </c>
      <c r="C458" s="13" t="n">
        <v>121.78</v>
      </c>
      <c r="D458" s="12" t="s">
        <v>1044</v>
      </c>
      <c r="E458" s="12" t="s">
        <v>30</v>
      </c>
      <c r="F458" s="12" t="s">
        <v>462</v>
      </c>
      <c r="G458" s="12" t="s">
        <v>41</v>
      </c>
      <c r="H458" s="14" t="n">
        <v>46279</v>
      </c>
      <c r="I458" s="14" t="n">
        <v>46279</v>
      </c>
      <c r="J458" s="12" t="s">
        <v>33</v>
      </c>
    </row>
    <row r="459" customFormat="false" ht="15" hidden="false" customHeight="true" outlineLevel="0" collapsed="false">
      <c r="A459" s="12" t="s">
        <v>1045</v>
      </c>
      <c r="B459" s="13" t="n">
        <v>44.4</v>
      </c>
      <c r="C459" s="13" t="n">
        <v>40</v>
      </c>
      <c r="D459" s="12" t="s">
        <v>1046</v>
      </c>
      <c r="E459" s="12" t="s">
        <v>30</v>
      </c>
      <c r="F459" s="12" t="s">
        <v>1047</v>
      </c>
      <c r="G459" s="12" t="s">
        <v>45</v>
      </c>
      <c r="H459" s="14" t="n">
        <v>46279</v>
      </c>
      <c r="I459" s="14" t="n">
        <v>46279</v>
      </c>
      <c r="J459" s="12" t="s">
        <v>33</v>
      </c>
    </row>
    <row r="460" customFormat="false" ht="15" hidden="false" customHeight="true" outlineLevel="0" collapsed="false">
      <c r="A460" s="12" t="s">
        <v>1048</v>
      </c>
      <c r="B460" s="13" t="n">
        <v>94.098</v>
      </c>
      <c r="C460" s="13" t="n">
        <v>86.86</v>
      </c>
      <c r="D460" s="12" t="s">
        <v>1049</v>
      </c>
      <c r="E460" s="12" t="s">
        <v>30</v>
      </c>
      <c r="F460" s="12" t="s">
        <v>44</v>
      </c>
      <c r="G460" s="12" t="s">
        <v>45</v>
      </c>
      <c r="H460" s="14" t="n">
        <v>46279</v>
      </c>
      <c r="I460" s="14" t="n">
        <v>46279</v>
      </c>
      <c r="J460" s="12" t="s">
        <v>33</v>
      </c>
    </row>
    <row r="461" customFormat="false" ht="15" hidden="false" customHeight="true" outlineLevel="0" collapsed="false">
      <c r="A461" s="12" t="s">
        <v>1050</v>
      </c>
      <c r="B461" s="13" t="n">
        <v>88.875</v>
      </c>
      <c r="C461" s="13" t="n">
        <v>75</v>
      </c>
      <c r="D461" s="12" t="s">
        <v>1051</v>
      </c>
      <c r="E461" s="12" t="s">
        <v>30</v>
      </c>
      <c r="F461" s="12" t="s">
        <v>137</v>
      </c>
      <c r="G461" s="12" t="s">
        <v>41</v>
      </c>
      <c r="H461" s="14" t="n">
        <v>46279</v>
      </c>
      <c r="I461" s="14" t="n">
        <v>46279</v>
      </c>
      <c r="J461" s="12" t="s">
        <v>33</v>
      </c>
    </row>
    <row r="462" customFormat="false" ht="15" hidden="false" customHeight="true" outlineLevel="0" collapsed="false">
      <c r="A462" s="12" t="s">
        <v>1052</v>
      </c>
      <c r="B462" s="13" t="n">
        <v>87.41</v>
      </c>
      <c r="C462" s="13" t="n">
        <v>80.7</v>
      </c>
      <c r="D462" s="12" t="s">
        <v>1053</v>
      </c>
      <c r="E462" s="12" t="s">
        <v>30</v>
      </c>
      <c r="F462" s="12" t="s">
        <v>69</v>
      </c>
      <c r="G462" s="12" t="s">
        <v>37</v>
      </c>
      <c r="H462" s="14" t="n">
        <v>46279</v>
      </c>
      <c r="I462" s="14" t="n">
        <v>46279</v>
      </c>
      <c r="J462" s="12" t="s">
        <v>33</v>
      </c>
    </row>
    <row r="463" customFormat="false" ht="15" hidden="false" customHeight="true" outlineLevel="0" collapsed="false">
      <c r="A463" s="12" t="s">
        <v>1054</v>
      </c>
      <c r="B463" s="13" t="n">
        <v>78.61</v>
      </c>
      <c r="C463" s="13" t="n">
        <v>72.72</v>
      </c>
      <c r="D463" s="12" t="s">
        <v>1015</v>
      </c>
      <c r="E463" s="12" t="s">
        <v>30</v>
      </c>
      <c r="F463" s="12" t="s">
        <v>1016</v>
      </c>
      <c r="G463" s="12" t="s">
        <v>45</v>
      </c>
      <c r="H463" s="14" t="n">
        <v>46279</v>
      </c>
      <c r="I463" s="14" t="n">
        <v>46279</v>
      </c>
      <c r="J463" s="12" t="s">
        <v>33</v>
      </c>
    </row>
    <row r="464" customFormat="false" ht="15" hidden="false" customHeight="true" outlineLevel="0" collapsed="false">
      <c r="A464" s="12" t="s">
        <v>1055</v>
      </c>
      <c r="B464" s="13" t="n">
        <v>78.5</v>
      </c>
      <c r="C464" s="13" t="n">
        <v>71.14</v>
      </c>
      <c r="D464" s="12" t="s">
        <v>1056</v>
      </c>
      <c r="E464" s="12" t="s">
        <v>30</v>
      </c>
      <c r="F464" s="12" t="s">
        <v>1057</v>
      </c>
      <c r="G464" s="12" t="s">
        <v>41</v>
      </c>
      <c r="H464" s="14" t="n">
        <v>46279</v>
      </c>
      <c r="I464" s="14" t="n">
        <v>46279</v>
      </c>
      <c r="J464" s="12" t="s">
        <v>33</v>
      </c>
    </row>
    <row r="465" customFormat="false" ht="15" hidden="false" customHeight="true" outlineLevel="0" collapsed="false">
      <c r="A465" s="12" t="s">
        <v>1058</v>
      </c>
      <c r="B465" s="13" t="n">
        <v>76.107</v>
      </c>
      <c r="C465" s="13" t="n">
        <v>68.48</v>
      </c>
      <c r="D465" s="12" t="s">
        <v>1059</v>
      </c>
      <c r="E465" s="12" t="s">
        <v>30</v>
      </c>
      <c r="F465" s="12" t="s">
        <v>608</v>
      </c>
      <c r="G465" s="12" t="s">
        <v>609</v>
      </c>
      <c r="H465" s="14" t="n">
        <v>46279</v>
      </c>
      <c r="I465" s="14" t="n">
        <v>46279</v>
      </c>
      <c r="J465" s="12" t="s">
        <v>33</v>
      </c>
    </row>
    <row r="466" customFormat="false" ht="15" hidden="false" customHeight="true" outlineLevel="0" collapsed="false">
      <c r="A466" s="12" t="s">
        <v>1060</v>
      </c>
      <c r="B466" s="13" t="n">
        <v>53.358</v>
      </c>
      <c r="C466" s="13" t="n">
        <v>49.44</v>
      </c>
      <c r="D466" s="12" t="s">
        <v>150</v>
      </c>
      <c r="E466" s="12" t="s">
        <v>30</v>
      </c>
      <c r="F466" s="12" t="s">
        <v>151</v>
      </c>
      <c r="G466" s="12" t="s">
        <v>41</v>
      </c>
      <c r="H466" s="14" t="n">
        <v>46279</v>
      </c>
      <c r="I466" s="14" t="n">
        <v>46279</v>
      </c>
      <c r="J466" s="12" t="s">
        <v>33</v>
      </c>
    </row>
    <row r="467" customFormat="false" ht="15" hidden="false" customHeight="true" outlineLevel="0" collapsed="false">
      <c r="A467" s="12" t="s">
        <v>1061</v>
      </c>
      <c r="B467" s="13" t="n">
        <v>72.789</v>
      </c>
      <c r="C467" s="13" t="n">
        <v>67.62</v>
      </c>
      <c r="D467" s="12" t="s">
        <v>1062</v>
      </c>
      <c r="E467" s="12" t="s">
        <v>30</v>
      </c>
      <c r="F467" s="12" t="s">
        <v>1063</v>
      </c>
      <c r="G467" s="12" t="s">
        <v>609</v>
      </c>
      <c r="H467" s="14" t="n">
        <v>46279</v>
      </c>
      <c r="I467" s="14" t="n">
        <v>46279</v>
      </c>
      <c r="J467" s="12" t="s">
        <v>33</v>
      </c>
    </row>
    <row r="468" customFormat="false" ht="15" hidden="false" customHeight="true" outlineLevel="0" collapsed="false">
      <c r="A468" s="12" t="s">
        <v>1064</v>
      </c>
      <c r="B468" s="13" t="n">
        <v>50.855</v>
      </c>
      <c r="C468" s="13" t="n">
        <v>45.2</v>
      </c>
      <c r="D468" s="12" t="s">
        <v>1065</v>
      </c>
      <c r="E468" s="12" t="s">
        <v>30</v>
      </c>
      <c r="F468" s="12" t="s">
        <v>98</v>
      </c>
      <c r="G468" s="12" t="s">
        <v>37</v>
      </c>
      <c r="H468" s="14" t="n">
        <v>46279</v>
      </c>
      <c r="I468" s="14" t="n">
        <v>46279</v>
      </c>
      <c r="J468" s="12" t="s">
        <v>33</v>
      </c>
    </row>
    <row r="469" customFormat="false" ht="15" hidden="false" customHeight="true" outlineLevel="0" collapsed="false">
      <c r="A469" s="12" t="s">
        <v>1066</v>
      </c>
      <c r="B469" s="13" t="n">
        <v>71.26</v>
      </c>
      <c r="C469" s="13" t="n">
        <v>67.2</v>
      </c>
      <c r="D469" s="12" t="s">
        <v>1067</v>
      </c>
      <c r="E469" s="12" t="s">
        <v>30</v>
      </c>
      <c r="F469" s="12" t="s">
        <v>1068</v>
      </c>
      <c r="G469" s="12" t="s">
        <v>37</v>
      </c>
      <c r="H469" s="14" t="n">
        <v>46279</v>
      </c>
      <c r="I469" s="14" t="n">
        <v>46279</v>
      </c>
      <c r="J469" s="12" t="s">
        <v>33</v>
      </c>
    </row>
    <row r="470" customFormat="false" ht="15" hidden="false" customHeight="true" outlineLevel="0" collapsed="false">
      <c r="A470" s="12" t="s">
        <v>1069</v>
      </c>
      <c r="B470" s="13" t="n">
        <v>65.751</v>
      </c>
      <c r="C470" s="13" t="n">
        <v>60.6</v>
      </c>
      <c r="D470" s="12" t="s">
        <v>1070</v>
      </c>
      <c r="E470" s="12" t="s">
        <v>30</v>
      </c>
      <c r="F470" s="12" t="s">
        <v>608</v>
      </c>
      <c r="G470" s="12" t="s">
        <v>609</v>
      </c>
      <c r="H470" s="14" t="n">
        <v>46279</v>
      </c>
      <c r="I470" s="14" t="n">
        <v>46279</v>
      </c>
      <c r="J470" s="12" t="s">
        <v>33</v>
      </c>
    </row>
    <row r="471" customFormat="false" ht="15" hidden="false" customHeight="true" outlineLevel="0" collapsed="false">
      <c r="A471" s="12" t="s">
        <v>1071</v>
      </c>
      <c r="B471" s="13" t="n">
        <v>61.47</v>
      </c>
      <c r="C471" s="13" t="n">
        <v>55.3</v>
      </c>
      <c r="D471" s="12" t="s">
        <v>1072</v>
      </c>
      <c r="E471" s="12" t="s">
        <v>30</v>
      </c>
      <c r="F471" s="12" t="s">
        <v>608</v>
      </c>
      <c r="G471" s="12" t="s">
        <v>609</v>
      </c>
      <c r="H471" s="14" t="n">
        <v>46279</v>
      </c>
      <c r="I471" s="14" t="n">
        <v>46279</v>
      </c>
      <c r="J471" s="12" t="s">
        <v>33</v>
      </c>
    </row>
    <row r="472" customFormat="false" ht="15" hidden="false" customHeight="true" outlineLevel="0" collapsed="false">
      <c r="A472" s="12" t="s">
        <v>1073</v>
      </c>
      <c r="B472" s="13" t="n">
        <v>50.651</v>
      </c>
      <c r="C472" s="13" t="n">
        <v>45.3</v>
      </c>
      <c r="D472" s="12" t="s">
        <v>509</v>
      </c>
      <c r="E472" s="12" t="s">
        <v>30</v>
      </c>
      <c r="F472" s="12" t="s">
        <v>510</v>
      </c>
      <c r="G472" s="12" t="s">
        <v>45</v>
      </c>
      <c r="H472" s="14" t="n">
        <v>46279</v>
      </c>
      <c r="I472" s="14" t="n">
        <v>46279</v>
      </c>
      <c r="J472" s="12" t="s">
        <v>33</v>
      </c>
    </row>
    <row r="473" customFormat="false" ht="15" hidden="false" customHeight="true" outlineLevel="0" collapsed="false">
      <c r="A473" s="12" t="s">
        <v>1074</v>
      </c>
      <c r="B473" s="13" t="n">
        <v>50.265</v>
      </c>
      <c r="C473" s="13" t="n">
        <v>46.46</v>
      </c>
      <c r="D473" s="12" t="s">
        <v>1075</v>
      </c>
      <c r="E473" s="12" t="s">
        <v>30</v>
      </c>
      <c r="F473" s="12" t="s">
        <v>1076</v>
      </c>
      <c r="G473" s="12" t="s">
        <v>41</v>
      </c>
      <c r="H473" s="14" t="n">
        <v>46279</v>
      </c>
      <c r="I473" s="14" t="n">
        <v>46279</v>
      </c>
      <c r="J473" s="12" t="s">
        <v>33</v>
      </c>
    </row>
    <row r="474" customFormat="false" ht="15" hidden="false" customHeight="true" outlineLevel="0" collapsed="false">
      <c r="A474" s="12" t="s">
        <v>1077</v>
      </c>
      <c r="B474" s="13" t="n">
        <v>39.101</v>
      </c>
      <c r="C474" s="13" t="n">
        <v>34.34</v>
      </c>
      <c r="D474" s="12" t="s">
        <v>1078</v>
      </c>
      <c r="E474" s="12" t="s">
        <v>30</v>
      </c>
      <c r="F474" s="12" t="s">
        <v>154</v>
      </c>
      <c r="G474" s="12" t="s">
        <v>37</v>
      </c>
      <c r="H474" s="14" t="n">
        <v>46279</v>
      </c>
      <c r="I474" s="14" t="n">
        <v>46279</v>
      </c>
      <c r="J474" s="12" t="s">
        <v>33</v>
      </c>
    </row>
    <row r="475" customFormat="false" ht="15" hidden="false" customHeight="true" outlineLevel="0" collapsed="false">
      <c r="A475" s="12" t="s">
        <v>1079</v>
      </c>
      <c r="B475" s="13" t="n">
        <v>64.377</v>
      </c>
      <c r="C475" s="13" t="n">
        <v>60.6</v>
      </c>
      <c r="D475" s="12" t="s">
        <v>1080</v>
      </c>
      <c r="E475" s="12" t="s">
        <v>30</v>
      </c>
      <c r="F475" s="12" t="s">
        <v>1081</v>
      </c>
      <c r="G475" s="12" t="s">
        <v>41</v>
      </c>
      <c r="H475" s="14" t="n">
        <v>46279</v>
      </c>
      <c r="I475" s="14" t="n">
        <v>46279</v>
      </c>
      <c r="J475" s="12" t="s">
        <v>33</v>
      </c>
    </row>
    <row r="476" customFormat="false" ht="15" hidden="false" customHeight="true" outlineLevel="0" collapsed="false">
      <c r="A476" s="12" t="s">
        <v>1082</v>
      </c>
      <c r="B476" s="13" t="n">
        <v>61.005</v>
      </c>
      <c r="C476" s="13" t="n">
        <v>56.36</v>
      </c>
      <c r="D476" s="12" t="s">
        <v>1083</v>
      </c>
      <c r="E476" s="12" t="s">
        <v>30</v>
      </c>
      <c r="F476" s="12" t="s">
        <v>95</v>
      </c>
      <c r="G476" s="12" t="s">
        <v>41</v>
      </c>
      <c r="H476" s="14" t="n">
        <v>46279</v>
      </c>
      <c r="I476" s="14" t="n">
        <v>46279</v>
      </c>
      <c r="J476" s="12" t="s">
        <v>33</v>
      </c>
    </row>
    <row r="477" customFormat="false" ht="15" hidden="false" customHeight="true" outlineLevel="0" collapsed="false">
      <c r="A477" s="12" t="s">
        <v>1084</v>
      </c>
      <c r="B477" s="13" t="n">
        <v>54.793</v>
      </c>
      <c r="C477" s="13" t="n">
        <v>50.5</v>
      </c>
      <c r="D477" s="12" t="s">
        <v>1085</v>
      </c>
      <c r="E477" s="12" t="s">
        <v>30</v>
      </c>
      <c r="F477" s="12" t="s">
        <v>1086</v>
      </c>
      <c r="G477" s="12" t="s">
        <v>41</v>
      </c>
      <c r="H477" s="14" t="n">
        <v>46279</v>
      </c>
      <c r="I477" s="14" t="n">
        <v>46279</v>
      </c>
      <c r="J477" s="12" t="s">
        <v>33</v>
      </c>
    </row>
    <row r="478" customFormat="false" ht="15" hidden="false" customHeight="true" outlineLevel="0" collapsed="false">
      <c r="A478" s="12" t="s">
        <v>1087</v>
      </c>
      <c r="B478" s="13" t="n">
        <v>52.054</v>
      </c>
      <c r="C478" s="13" t="n">
        <v>47.42</v>
      </c>
      <c r="D478" s="12" t="s">
        <v>1088</v>
      </c>
      <c r="E478" s="12" t="s">
        <v>30</v>
      </c>
      <c r="F478" s="12" t="s">
        <v>142</v>
      </c>
      <c r="G478" s="12" t="s">
        <v>37</v>
      </c>
      <c r="H478" s="14" t="n">
        <v>46279</v>
      </c>
      <c r="I478" s="14" t="n">
        <v>46279</v>
      </c>
      <c r="J478" s="12" t="s">
        <v>33</v>
      </c>
    </row>
    <row r="479" customFormat="false" ht="15" hidden="false" customHeight="true" outlineLevel="0" collapsed="false">
      <c r="A479" s="12" t="s">
        <v>1089</v>
      </c>
      <c r="B479" s="13" t="n">
        <v>22.36</v>
      </c>
      <c r="C479" s="13" t="n">
        <v>20</v>
      </c>
      <c r="D479" s="12" t="s">
        <v>1090</v>
      </c>
      <c r="E479" s="12" t="s">
        <v>30</v>
      </c>
      <c r="F479" s="12" t="s">
        <v>243</v>
      </c>
      <c r="G479" s="12" t="s">
        <v>240</v>
      </c>
      <c r="H479" s="14" t="n">
        <v>46279</v>
      </c>
      <c r="I479" s="14" t="n">
        <v>46279</v>
      </c>
      <c r="J479" s="12" t="s">
        <v>33</v>
      </c>
    </row>
    <row r="480" customFormat="false" ht="15" hidden="false" customHeight="true" outlineLevel="0" collapsed="false">
      <c r="A480" s="12" t="s">
        <v>1091</v>
      </c>
      <c r="B480" s="13" t="n">
        <v>53.762</v>
      </c>
      <c r="C480" s="13" t="n">
        <v>50.5</v>
      </c>
      <c r="D480" s="12" t="s">
        <v>1092</v>
      </c>
      <c r="E480" s="12" t="s">
        <v>30</v>
      </c>
      <c r="F480" s="12" t="s">
        <v>1093</v>
      </c>
      <c r="G480" s="12" t="s">
        <v>609</v>
      </c>
      <c r="H480" s="14" t="n">
        <v>46279</v>
      </c>
      <c r="I480" s="14" t="n">
        <v>46279</v>
      </c>
      <c r="J480" s="12" t="s">
        <v>33</v>
      </c>
    </row>
    <row r="481" customFormat="false" ht="15" hidden="false" customHeight="true" outlineLevel="0" collapsed="false">
      <c r="A481" s="12" t="s">
        <v>1094</v>
      </c>
      <c r="B481" s="13" t="n">
        <v>255.571</v>
      </c>
      <c r="C481" s="13" t="n">
        <v>236</v>
      </c>
      <c r="D481" s="12" t="s">
        <v>1095</v>
      </c>
      <c r="E481" s="12" t="s">
        <v>30</v>
      </c>
      <c r="F481" s="12" t="s">
        <v>239</v>
      </c>
      <c r="G481" s="12" t="s">
        <v>240</v>
      </c>
      <c r="H481" s="14" t="n">
        <v>46279</v>
      </c>
      <c r="I481" s="14" t="n">
        <v>46279</v>
      </c>
      <c r="J481" s="12" t="s">
        <v>33</v>
      </c>
    </row>
    <row r="482" customFormat="false" ht="15" hidden="false" customHeight="true" outlineLevel="0" collapsed="false">
      <c r="A482" s="12" t="s">
        <v>1096</v>
      </c>
      <c r="B482" s="13" t="n">
        <v>132.37</v>
      </c>
      <c r="C482" s="13" t="n">
        <v>124</v>
      </c>
      <c r="D482" s="12" t="s">
        <v>1097</v>
      </c>
      <c r="E482" s="12" t="s">
        <v>30</v>
      </c>
      <c r="F482" s="12" t="s">
        <v>862</v>
      </c>
      <c r="G482" s="12" t="s">
        <v>240</v>
      </c>
      <c r="H482" s="14" t="n">
        <v>46279</v>
      </c>
      <c r="I482" s="14" t="n">
        <v>46279</v>
      </c>
      <c r="J482" s="12" t="s">
        <v>33</v>
      </c>
    </row>
    <row r="483" customFormat="false" ht="15" hidden="false" customHeight="true" outlineLevel="0" collapsed="false">
      <c r="A483" s="12" t="s">
        <v>1098</v>
      </c>
      <c r="B483" s="13" t="n">
        <v>54.58</v>
      </c>
      <c r="C483" s="13" t="n">
        <v>50</v>
      </c>
      <c r="D483" s="12" t="s">
        <v>1099</v>
      </c>
      <c r="E483" s="12" t="s">
        <v>30</v>
      </c>
      <c r="F483" s="12" t="s">
        <v>1100</v>
      </c>
      <c r="G483" s="12" t="s">
        <v>240</v>
      </c>
      <c r="H483" s="14" t="n">
        <v>46279</v>
      </c>
      <c r="I483" s="14" t="n">
        <v>46279</v>
      </c>
      <c r="J483" s="12" t="s">
        <v>33</v>
      </c>
    </row>
    <row r="484" customFormat="false" ht="15" hidden="false" customHeight="true" outlineLevel="0" collapsed="false">
      <c r="A484" s="12" t="s">
        <v>1101</v>
      </c>
      <c r="B484" s="13" t="n">
        <v>13.102</v>
      </c>
      <c r="C484" s="13" t="n">
        <v>12.12</v>
      </c>
      <c r="D484" s="12" t="s">
        <v>1102</v>
      </c>
      <c r="E484" s="12" t="s">
        <v>30</v>
      </c>
      <c r="F484" s="12" t="s">
        <v>243</v>
      </c>
      <c r="G484" s="12" t="s">
        <v>240</v>
      </c>
      <c r="H484" s="14" t="n">
        <v>46279</v>
      </c>
      <c r="I484" s="14" t="n">
        <v>46279</v>
      </c>
      <c r="J484" s="12" t="s">
        <v>33</v>
      </c>
    </row>
    <row r="485" customFormat="false" ht="15" hidden="false" customHeight="true" outlineLevel="0" collapsed="false">
      <c r="A485" s="12" t="s">
        <v>1103</v>
      </c>
      <c r="B485" s="13" t="n">
        <v>317.463</v>
      </c>
      <c r="C485" s="13" t="n">
        <v>291.44</v>
      </c>
      <c r="D485" s="12" t="s">
        <v>1104</v>
      </c>
      <c r="E485" s="12" t="s">
        <v>30</v>
      </c>
      <c r="F485" s="12" t="s">
        <v>239</v>
      </c>
      <c r="G485" s="12" t="s">
        <v>240</v>
      </c>
      <c r="H485" s="14" t="n">
        <v>46279</v>
      </c>
      <c r="I485" s="14" t="n">
        <v>46279</v>
      </c>
      <c r="J485" s="12" t="s">
        <v>33</v>
      </c>
    </row>
    <row r="486" customFormat="false" ht="15" hidden="false" customHeight="true" outlineLevel="0" collapsed="false">
      <c r="A486" s="12" t="s">
        <v>1105</v>
      </c>
      <c r="B486" s="13" t="n">
        <v>171.39</v>
      </c>
      <c r="C486" s="13" t="n">
        <v>156.96</v>
      </c>
      <c r="D486" s="12" t="s">
        <v>270</v>
      </c>
      <c r="E486" s="12" t="s">
        <v>30</v>
      </c>
      <c r="F486" s="12" t="s">
        <v>271</v>
      </c>
      <c r="G486" s="12" t="s">
        <v>240</v>
      </c>
      <c r="H486" s="14" t="n">
        <v>46279</v>
      </c>
      <c r="I486" s="14" t="n">
        <v>46279</v>
      </c>
      <c r="J486" s="12" t="s">
        <v>33</v>
      </c>
    </row>
    <row r="487" customFormat="false" ht="15" hidden="false" customHeight="true" outlineLevel="0" collapsed="false">
      <c r="A487" s="12" t="s">
        <v>1106</v>
      </c>
      <c r="B487" s="13" t="n">
        <v>39.622</v>
      </c>
      <c r="C487" s="13" t="n">
        <v>36</v>
      </c>
      <c r="D487" s="12" t="s">
        <v>270</v>
      </c>
      <c r="E487" s="12" t="s">
        <v>30</v>
      </c>
      <c r="F487" s="12" t="s">
        <v>271</v>
      </c>
      <c r="G487" s="12" t="s">
        <v>240</v>
      </c>
      <c r="H487" s="14" t="n">
        <v>46279</v>
      </c>
      <c r="I487" s="14" t="n">
        <v>46279</v>
      </c>
      <c r="J487" s="12" t="s">
        <v>33</v>
      </c>
    </row>
    <row r="488" customFormat="false" ht="15" hidden="false" customHeight="true" outlineLevel="0" collapsed="false">
      <c r="A488" s="12" t="s">
        <v>1107</v>
      </c>
      <c r="B488" s="13" t="n">
        <v>84.96</v>
      </c>
      <c r="C488" s="13" t="n">
        <v>80</v>
      </c>
      <c r="D488" s="12" t="s">
        <v>1108</v>
      </c>
      <c r="E488" s="12" t="s">
        <v>30</v>
      </c>
      <c r="F488" s="12" t="s">
        <v>239</v>
      </c>
      <c r="G488" s="12" t="s">
        <v>240</v>
      </c>
      <c r="H488" s="14" t="n">
        <v>46279</v>
      </c>
      <c r="I488" s="14" t="n">
        <v>46279</v>
      </c>
      <c r="J488" s="12" t="s">
        <v>254</v>
      </c>
    </row>
    <row r="489" customFormat="false" ht="15" hidden="false" customHeight="true" outlineLevel="0" collapsed="false">
      <c r="A489" s="12" t="s">
        <v>1109</v>
      </c>
      <c r="B489" s="13" t="n">
        <v>13.236</v>
      </c>
      <c r="C489" s="13" t="n">
        <v>12</v>
      </c>
      <c r="D489" s="12" t="s">
        <v>260</v>
      </c>
      <c r="E489" s="12" t="s">
        <v>30</v>
      </c>
      <c r="F489" s="12" t="s">
        <v>239</v>
      </c>
      <c r="G489" s="12" t="s">
        <v>240</v>
      </c>
      <c r="H489" s="14" t="n">
        <v>46279</v>
      </c>
      <c r="I489" s="14" t="n">
        <v>46279</v>
      </c>
      <c r="J489" s="12" t="s">
        <v>254</v>
      </c>
    </row>
    <row r="490" customFormat="false" ht="15" hidden="false" customHeight="true" outlineLevel="0" collapsed="false">
      <c r="A490" s="12" t="s">
        <v>1110</v>
      </c>
      <c r="B490" s="13" t="n">
        <v>20.964</v>
      </c>
      <c r="C490" s="13" t="n">
        <v>20.1</v>
      </c>
      <c r="D490" s="12" t="s">
        <v>1111</v>
      </c>
      <c r="E490" s="12" t="s">
        <v>30</v>
      </c>
      <c r="F490" s="12" t="s">
        <v>239</v>
      </c>
      <c r="G490" s="12" t="s">
        <v>240</v>
      </c>
      <c r="H490" s="14" t="n">
        <v>46279</v>
      </c>
      <c r="I490" s="14" t="n">
        <v>46279</v>
      </c>
      <c r="J490" s="12" t="s">
        <v>33</v>
      </c>
    </row>
    <row r="491" customFormat="false" ht="15" hidden="false" customHeight="true" outlineLevel="0" collapsed="false">
      <c r="A491" s="12" t="s">
        <v>1112</v>
      </c>
      <c r="B491" s="13" t="n">
        <v>314.349</v>
      </c>
      <c r="C491" s="13" t="n">
        <v>291.42</v>
      </c>
      <c r="D491" s="12" t="s">
        <v>1113</v>
      </c>
      <c r="E491" s="12" t="s">
        <v>30</v>
      </c>
      <c r="F491" s="12" t="s">
        <v>98</v>
      </c>
      <c r="G491" s="12" t="s">
        <v>37</v>
      </c>
      <c r="H491" s="14" t="n">
        <v>46279</v>
      </c>
      <c r="I491" s="14" t="n">
        <v>46279</v>
      </c>
      <c r="J491" s="12" t="s">
        <v>33</v>
      </c>
    </row>
    <row r="492" customFormat="false" ht="15" hidden="false" customHeight="true" outlineLevel="0" collapsed="false">
      <c r="A492" s="12" t="s">
        <v>1114</v>
      </c>
      <c r="B492" s="13" t="n">
        <v>59.079</v>
      </c>
      <c r="C492" s="13" t="n">
        <v>54.54</v>
      </c>
      <c r="D492" s="12" t="s">
        <v>1115</v>
      </c>
      <c r="E492" s="12" t="s">
        <v>30</v>
      </c>
      <c r="F492" s="12" t="s">
        <v>44</v>
      </c>
      <c r="G492" s="12" t="s">
        <v>45</v>
      </c>
      <c r="H492" s="14" t="n">
        <v>46279</v>
      </c>
      <c r="I492" s="14" t="n">
        <v>46279</v>
      </c>
      <c r="J492" s="12" t="s">
        <v>33</v>
      </c>
    </row>
    <row r="493" customFormat="false" ht="15" hidden="false" customHeight="true" outlineLevel="0" collapsed="false">
      <c r="A493" s="12" t="s">
        <v>1116</v>
      </c>
      <c r="B493" s="13" t="n">
        <v>109.585</v>
      </c>
      <c r="C493" s="13" t="n">
        <v>101</v>
      </c>
      <c r="D493" s="12" t="s">
        <v>91</v>
      </c>
      <c r="E493" s="12" t="s">
        <v>30</v>
      </c>
      <c r="F493" s="12" t="s">
        <v>92</v>
      </c>
      <c r="G493" s="12" t="s">
        <v>45</v>
      </c>
      <c r="H493" s="14" t="n">
        <v>46279</v>
      </c>
      <c r="I493" s="14" t="n">
        <v>46279</v>
      </c>
      <c r="J493" s="12" t="s">
        <v>33</v>
      </c>
    </row>
    <row r="494" customFormat="false" ht="15" hidden="false" customHeight="true" outlineLevel="0" collapsed="false">
      <c r="A494" s="12" t="s">
        <v>1117</v>
      </c>
      <c r="B494" s="13" t="n">
        <v>32.55</v>
      </c>
      <c r="C494" s="13" t="n">
        <v>30</v>
      </c>
      <c r="D494" s="12" t="s">
        <v>1118</v>
      </c>
      <c r="E494" s="12" t="s">
        <v>30</v>
      </c>
      <c r="F494" s="12" t="s">
        <v>98</v>
      </c>
      <c r="G494" s="12" t="s">
        <v>37</v>
      </c>
      <c r="H494" s="14" t="n">
        <v>46279</v>
      </c>
      <c r="I494" s="14" t="n">
        <v>46279</v>
      </c>
      <c r="J494" s="12" t="s">
        <v>33</v>
      </c>
    </row>
    <row r="495" customFormat="false" ht="15" hidden="false" customHeight="true" outlineLevel="0" collapsed="false">
      <c r="A495" s="12" t="s">
        <v>1119</v>
      </c>
      <c r="B495" s="13" t="n">
        <v>89.57</v>
      </c>
      <c r="C495" s="13" t="n">
        <v>82.82</v>
      </c>
      <c r="D495" s="12" t="s">
        <v>1120</v>
      </c>
      <c r="E495" s="12" t="s">
        <v>30</v>
      </c>
      <c r="F495" s="12" t="s">
        <v>468</v>
      </c>
      <c r="G495" s="12" t="s">
        <v>45</v>
      </c>
      <c r="H495" s="14" t="n">
        <v>46279</v>
      </c>
      <c r="I495" s="14" t="n">
        <v>46279</v>
      </c>
      <c r="J495" s="12" t="s">
        <v>33</v>
      </c>
    </row>
    <row r="496" customFormat="false" ht="15" hidden="false" customHeight="true" outlineLevel="0" collapsed="false">
      <c r="A496" s="12" t="s">
        <v>1121</v>
      </c>
      <c r="B496" s="13" t="n">
        <v>110.352</v>
      </c>
      <c r="C496" s="13" t="n">
        <v>102.08</v>
      </c>
      <c r="D496" s="12" t="s">
        <v>1122</v>
      </c>
      <c r="E496" s="12" t="s">
        <v>30</v>
      </c>
      <c r="F496" s="12" t="s">
        <v>1123</v>
      </c>
      <c r="G496" s="12" t="s">
        <v>45</v>
      </c>
      <c r="H496" s="14" t="n">
        <v>46279</v>
      </c>
      <c r="I496" s="14" t="n">
        <v>46279</v>
      </c>
      <c r="J496" s="12" t="s">
        <v>33</v>
      </c>
    </row>
    <row r="497" customFormat="false" ht="15" hidden="false" customHeight="true" outlineLevel="0" collapsed="false">
      <c r="A497" s="12" t="s">
        <v>1124</v>
      </c>
      <c r="B497" s="13" t="n">
        <v>157.999</v>
      </c>
      <c r="C497" s="13" t="n">
        <v>146.16</v>
      </c>
      <c r="D497" s="12" t="s">
        <v>1125</v>
      </c>
      <c r="E497" s="12" t="s">
        <v>30</v>
      </c>
      <c r="F497" s="12" t="s">
        <v>1126</v>
      </c>
      <c r="G497" s="12" t="s">
        <v>37</v>
      </c>
      <c r="H497" s="14" t="n">
        <v>46279</v>
      </c>
      <c r="I497" s="14" t="n">
        <v>46279</v>
      </c>
      <c r="J497" s="12" t="s">
        <v>33</v>
      </c>
    </row>
    <row r="498" customFormat="false" ht="15" hidden="false" customHeight="true" outlineLevel="0" collapsed="false">
      <c r="A498" s="12" t="s">
        <v>1127</v>
      </c>
      <c r="B498" s="13" t="n">
        <v>65.751</v>
      </c>
      <c r="C498" s="13" t="n">
        <v>60.6</v>
      </c>
      <c r="D498" s="12" t="s">
        <v>1128</v>
      </c>
      <c r="E498" s="12" t="s">
        <v>30</v>
      </c>
      <c r="F498" s="12" t="s">
        <v>1009</v>
      </c>
      <c r="G498" s="12" t="s">
        <v>609</v>
      </c>
      <c r="H498" s="14" t="n">
        <v>46279</v>
      </c>
      <c r="I498" s="14" t="n">
        <v>46279</v>
      </c>
      <c r="J498" s="12" t="s">
        <v>33</v>
      </c>
    </row>
    <row r="499" customFormat="false" ht="15" hidden="false" customHeight="true" outlineLevel="0" collapsed="false">
      <c r="A499" s="12" t="s">
        <v>1129</v>
      </c>
      <c r="B499" s="13" t="n">
        <v>42.48</v>
      </c>
      <c r="C499" s="13" t="n">
        <v>40</v>
      </c>
      <c r="D499" s="12" t="s">
        <v>1130</v>
      </c>
      <c r="E499" s="12" t="s">
        <v>30</v>
      </c>
      <c r="F499" s="12" t="s">
        <v>239</v>
      </c>
      <c r="G499" s="12" t="s">
        <v>240</v>
      </c>
      <c r="H499" s="14" t="n">
        <v>46279</v>
      </c>
      <c r="I499" s="14" t="n">
        <v>46279</v>
      </c>
      <c r="J499" s="12" t="s">
        <v>254</v>
      </c>
    </row>
    <row r="500" customFormat="false" ht="15" hidden="false" customHeight="true" outlineLevel="0" collapsed="false">
      <c r="A500" s="12" t="s">
        <v>1131</v>
      </c>
      <c r="B500" s="13" t="n">
        <v>162.75</v>
      </c>
      <c r="C500" s="13" t="n">
        <v>150</v>
      </c>
      <c r="D500" s="12" t="s">
        <v>1132</v>
      </c>
      <c r="E500" s="12" t="s">
        <v>30</v>
      </c>
      <c r="F500" s="12" t="s">
        <v>883</v>
      </c>
      <c r="G500" s="12" t="s">
        <v>653</v>
      </c>
      <c r="H500" s="14" t="n">
        <v>46279</v>
      </c>
      <c r="I500" s="14" t="n">
        <v>46281</v>
      </c>
      <c r="J500" s="12" t="s">
        <v>354</v>
      </c>
    </row>
    <row r="501" customFormat="false" ht="15" hidden="false" customHeight="true" outlineLevel="0" collapsed="false">
      <c r="A501" s="12" t="s">
        <v>1133</v>
      </c>
      <c r="B501" s="13" t="n">
        <v>235.4</v>
      </c>
      <c r="C501" s="13" t="n">
        <v>220</v>
      </c>
      <c r="D501" s="12" t="s">
        <v>1134</v>
      </c>
      <c r="E501" s="12" t="s">
        <v>30</v>
      </c>
      <c r="F501" s="12" t="s">
        <v>417</v>
      </c>
      <c r="G501" s="12" t="s">
        <v>45</v>
      </c>
      <c r="H501" s="14" t="n">
        <v>46279</v>
      </c>
      <c r="I501" s="14" t="n">
        <v>46283</v>
      </c>
      <c r="J501" s="12" t="s">
        <v>33</v>
      </c>
    </row>
    <row r="502" customFormat="false" ht="15" hidden="false" customHeight="true" outlineLevel="0" collapsed="false">
      <c r="A502" s="12" t="s">
        <v>1135</v>
      </c>
      <c r="B502" s="13" t="n">
        <v>215.8</v>
      </c>
      <c r="C502" s="13" t="n">
        <v>200</v>
      </c>
      <c r="D502" s="12" t="s">
        <v>1136</v>
      </c>
      <c r="E502" s="12" t="s">
        <v>30</v>
      </c>
      <c r="F502" s="12" t="s">
        <v>541</v>
      </c>
      <c r="G502" s="12" t="s">
        <v>45</v>
      </c>
      <c r="H502" s="14" t="n">
        <v>46279</v>
      </c>
      <c r="I502" s="14" t="n">
        <v>46283</v>
      </c>
      <c r="J502" s="12" t="s">
        <v>33</v>
      </c>
    </row>
    <row r="503" customFormat="false" ht="15" hidden="false" customHeight="true" outlineLevel="0" collapsed="false">
      <c r="A503" s="12" t="s">
        <v>1137</v>
      </c>
      <c r="B503" s="13" t="n">
        <v>181.9</v>
      </c>
      <c r="C503" s="13" t="n">
        <v>170</v>
      </c>
      <c r="D503" s="12" t="s">
        <v>1138</v>
      </c>
      <c r="E503" s="12" t="s">
        <v>30</v>
      </c>
      <c r="F503" s="12" t="s">
        <v>268</v>
      </c>
      <c r="G503" s="12" t="s">
        <v>653</v>
      </c>
      <c r="H503" s="14" t="n">
        <v>46279</v>
      </c>
      <c r="I503" s="14" t="n">
        <v>46281</v>
      </c>
      <c r="J503" s="12" t="s">
        <v>354</v>
      </c>
    </row>
    <row r="504" customFormat="false" ht="15" hidden="false" customHeight="true" outlineLevel="0" collapsed="false">
      <c r="A504" s="12" t="s">
        <v>1139</v>
      </c>
      <c r="B504" s="13" t="n">
        <v>265.926</v>
      </c>
      <c r="C504" s="13" t="n">
        <v>246</v>
      </c>
      <c r="D504" s="12" t="s">
        <v>1140</v>
      </c>
      <c r="E504" s="12" t="s">
        <v>30</v>
      </c>
      <c r="F504" s="12" t="s">
        <v>1141</v>
      </c>
      <c r="G504" s="12" t="s">
        <v>653</v>
      </c>
      <c r="H504" s="14" t="n">
        <v>46279</v>
      </c>
      <c r="I504" s="14" t="n">
        <v>46281</v>
      </c>
      <c r="J504" s="12" t="s">
        <v>354</v>
      </c>
    </row>
    <row r="505" customFormat="false" ht="15" hidden="false" customHeight="true" outlineLevel="0" collapsed="false">
      <c r="A505" s="12" t="s">
        <v>1142</v>
      </c>
      <c r="B505" s="13" t="n">
        <v>904.148</v>
      </c>
      <c r="C505" s="13" t="n">
        <v>836.4</v>
      </c>
      <c r="D505" s="12" t="s">
        <v>731</v>
      </c>
      <c r="E505" s="12" t="s">
        <v>30</v>
      </c>
      <c r="F505" s="12" t="s">
        <v>732</v>
      </c>
      <c r="G505" s="12" t="s">
        <v>653</v>
      </c>
      <c r="H505" s="14" t="n">
        <v>46279</v>
      </c>
      <c r="I505" s="14" t="n">
        <v>46281</v>
      </c>
      <c r="J505" s="12" t="s">
        <v>254</v>
      </c>
    </row>
    <row r="506" customFormat="false" ht="15" hidden="false" customHeight="true" outlineLevel="0" collapsed="false">
      <c r="A506" s="12" t="s">
        <v>1143</v>
      </c>
      <c r="B506" s="13" t="n">
        <v>53.185</v>
      </c>
      <c r="C506" s="13" t="n">
        <v>49.2</v>
      </c>
      <c r="D506" s="12" t="s">
        <v>1144</v>
      </c>
      <c r="E506" s="12" t="s">
        <v>30</v>
      </c>
      <c r="F506" s="12" t="s">
        <v>759</v>
      </c>
      <c r="G506" s="12" t="s">
        <v>653</v>
      </c>
      <c r="H506" s="14" t="n">
        <v>46279</v>
      </c>
      <c r="I506" s="14" t="n">
        <v>46283</v>
      </c>
      <c r="J506" s="12" t="s">
        <v>354</v>
      </c>
    </row>
    <row r="507" customFormat="false" ht="15" hidden="false" customHeight="true" outlineLevel="0" collapsed="false">
      <c r="A507" s="12" t="s">
        <v>1145</v>
      </c>
      <c r="B507" s="13" t="n">
        <v>709.136</v>
      </c>
      <c r="C507" s="13" t="n">
        <v>656</v>
      </c>
      <c r="D507" s="12" t="s">
        <v>960</v>
      </c>
      <c r="E507" s="12" t="s">
        <v>30</v>
      </c>
      <c r="F507" s="12" t="s">
        <v>961</v>
      </c>
      <c r="G507" s="12" t="s">
        <v>653</v>
      </c>
      <c r="H507" s="14" t="n">
        <v>46279</v>
      </c>
      <c r="I507" s="14" t="n">
        <v>46281</v>
      </c>
      <c r="J507" s="12" t="s">
        <v>254</v>
      </c>
    </row>
    <row r="508" customFormat="false" ht="15" hidden="false" customHeight="true" outlineLevel="0" collapsed="false">
      <c r="A508" s="12" t="s">
        <v>1146</v>
      </c>
      <c r="B508" s="13" t="n">
        <v>160.5</v>
      </c>
      <c r="C508" s="13" t="n">
        <v>150</v>
      </c>
      <c r="D508" s="12" t="s">
        <v>1147</v>
      </c>
      <c r="E508" s="12" t="s">
        <v>30</v>
      </c>
      <c r="F508" s="12" t="s">
        <v>1148</v>
      </c>
      <c r="G508" s="12" t="s">
        <v>41</v>
      </c>
      <c r="H508" s="14" t="n">
        <v>46279</v>
      </c>
      <c r="I508" s="14" t="n">
        <v>46283</v>
      </c>
      <c r="J508" s="12" t="s">
        <v>33</v>
      </c>
    </row>
    <row r="509" customFormat="false" ht="15" hidden="false" customHeight="true" outlineLevel="0" collapsed="false">
      <c r="A509" s="12" t="s">
        <v>1149</v>
      </c>
      <c r="B509" s="13" t="n">
        <v>477.775</v>
      </c>
      <c r="C509" s="13" t="n">
        <v>450</v>
      </c>
      <c r="D509" s="12" t="s">
        <v>1150</v>
      </c>
      <c r="E509" s="12" t="s">
        <v>30</v>
      </c>
      <c r="F509" s="12" t="s">
        <v>1151</v>
      </c>
      <c r="G509" s="12" t="s">
        <v>653</v>
      </c>
      <c r="H509" s="14" t="n">
        <v>46279</v>
      </c>
      <c r="I509" s="14" t="n">
        <v>46283</v>
      </c>
      <c r="J509" s="12" t="s">
        <v>33</v>
      </c>
    </row>
    <row r="510" customFormat="false" ht="15" hidden="false" customHeight="true" outlineLevel="0" collapsed="false">
      <c r="A510" s="12" t="s">
        <v>1152</v>
      </c>
      <c r="B510" s="13" t="n">
        <v>24137.491</v>
      </c>
      <c r="C510" s="13" t="n">
        <v>22634.1</v>
      </c>
      <c r="D510" s="12" t="s">
        <v>1153</v>
      </c>
      <c r="E510" s="12" t="s">
        <v>30</v>
      </c>
      <c r="F510" s="12" t="s">
        <v>1154</v>
      </c>
      <c r="G510" s="12" t="s">
        <v>653</v>
      </c>
      <c r="H510" s="14" t="n">
        <v>46279</v>
      </c>
      <c r="I510" s="14" t="n">
        <v>46281</v>
      </c>
      <c r="J510" s="12" t="s">
        <v>254</v>
      </c>
    </row>
    <row r="511" customFormat="false" ht="15" hidden="false" customHeight="true" outlineLevel="0" collapsed="false">
      <c r="A511" s="12" t="s">
        <v>1155</v>
      </c>
      <c r="B511" s="13" t="n">
        <v>8019.378</v>
      </c>
      <c r="C511" s="13" t="n">
        <v>7453.8</v>
      </c>
      <c r="D511" s="12" t="s">
        <v>1153</v>
      </c>
      <c r="E511" s="12" t="s">
        <v>30</v>
      </c>
      <c r="F511" s="12" t="s">
        <v>1154</v>
      </c>
      <c r="G511" s="12" t="s">
        <v>653</v>
      </c>
      <c r="H511" s="14" t="n">
        <v>46279</v>
      </c>
      <c r="I511" s="14" t="n">
        <v>46281</v>
      </c>
      <c r="J511" s="12" t="s">
        <v>254</v>
      </c>
    </row>
    <row r="512" customFormat="false" ht="15" hidden="false" customHeight="true" outlineLevel="0" collapsed="false">
      <c r="A512" s="12" t="s">
        <v>1156</v>
      </c>
      <c r="B512" s="13" t="n">
        <v>4316</v>
      </c>
      <c r="C512" s="13" t="n">
        <v>4000</v>
      </c>
      <c r="D512" s="12" t="s">
        <v>1157</v>
      </c>
      <c r="E512" s="12" t="s">
        <v>30</v>
      </c>
      <c r="F512" s="12" t="s">
        <v>1158</v>
      </c>
      <c r="G512" s="12" t="s">
        <v>653</v>
      </c>
      <c r="H512" s="14" t="n">
        <v>46279</v>
      </c>
      <c r="I512" s="14" t="n">
        <v>46281</v>
      </c>
      <c r="J512" s="12" t="s">
        <v>33</v>
      </c>
    </row>
    <row r="513" customFormat="false" ht="15" hidden="false" customHeight="true" outlineLevel="0" collapsed="false">
      <c r="A513" s="12" t="s">
        <v>1159</v>
      </c>
      <c r="B513" s="13" t="n">
        <v>53.185</v>
      </c>
      <c r="C513" s="13" t="n">
        <v>49.2</v>
      </c>
      <c r="D513" s="12" t="s">
        <v>1160</v>
      </c>
      <c r="E513" s="12" t="s">
        <v>30</v>
      </c>
      <c r="F513" s="12" t="s">
        <v>239</v>
      </c>
      <c r="G513" s="12" t="s">
        <v>646</v>
      </c>
      <c r="H513" s="14" t="n">
        <v>46279</v>
      </c>
      <c r="I513" s="14" t="n">
        <v>46281</v>
      </c>
      <c r="J513" s="12" t="s">
        <v>354</v>
      </c>
    </row>
    <row r="514" customFormat="false" ht="15" hidden="false" customHeight="true" outlineLevel="0" collapsed="false">
      <c r="A514" s="12" t="s">
        <v>1161</v>
      </c>
      <c r="B514" s="13" t="n">
        <v>21.24</v>
      </c>
      <c r="C514" s="13" t="n">
        <v>20</v>
      </c>
      <c r="D514" s="12" t="s">
        <v>1160</v>
      </c>
      <c r="E514" s="12" t="s">
        <v>30</v>
      </c>
      <c r="F514" s="12" t="s">
        <v>239</v>
      </c>
      <c r="G514" s="12" t="s">
        <v>646</v>
      </c>
      <c r="H514" s="14" t="n">
        <v>46279</v>
      </c>
      <c r="I514" s="14" t="n">
        <v>46281</v>
      </c>
      <c r="J514" s="12" t="s">
        <v>354</v>
      </c>
    </row>
    <row r="515" customFormat="false" ht="15" hidden="false" customHeight="true" outlineLevel="0" collapsed="false">
      <c r="A515" s="12" t="s">
        <v>1162</v>
      </c>
      <c r="B515" s="13" t="n">
        <v>21.24</v>
      </c>
      <c r="C515" s="13" t="n">
        <v>20</v>
      </c>
      <c r="D515" s="12" t="s">
        <v>1163</v>
      </c>
      <c r="E515" s="12" t="s">
        <v>30</v>
      </c>
      <c r="F515" s="12" t="s">
        <v>243</v>
      </c>
      <c r="G515" s="12" t="s">
        <v>646</v>
      </c>
      <c r="H515" s="14" t="n">
        <v>46279</v>
      </c>
      <c r="I515" s="14" t="n">
        <v>46283</v>
      </c>
      <c r="J515" s="12" t="s">
        <v>33</v>
      </c>
    </row>
    <row r="516" customFormat="false" ht="15" hidden="false" customHeight="true" outlineLevel="0" collapsed="false">
      <c r="A516" s="12" t="s">
        <v>1164</v>
      </c>
      <c r="B516" s="13" t="n">
        <v>63.72</v>
      </c>
      <c r="C516" s="13" t="n">
        <v>60</v>
      </c>
      <c r="D516" s="12" t="s">
        <v>1160</v>
      </c>
      <c r="E516" s="12" t="s">
        <v>30</v>
      </c>
      <c r="F516" s="12" t="s">
        <v>239</v>
      </c>
      <c r="G516" s="12" t="s">
        <v>646</v>
      </c>
      <c r="H516" s="14" t="n">
        <v>46279</v>
      </c>
      <c r="I516" s="14" t="n">
        <v>46281</v>
      </c>
      <c r="J516" s="12" t="s">
        <v>254</v>
      </c>
    </row>
    <row r="517" customFormat="false" ht="15" hidden="false" customHeight="true" outlineLevel="0" collapsed="false">
      <c r="A517" s="12" t="s">
        <v>1165</v>
      </c>
      <c r="B517" s="13" t="n">
        <v>1527.545</v>
      </c>
      <c r="C517" s="13" t="n">
        <v>1415.12</v>
      </c>
      <c r="D517" s="12" t="s">
        <v>1166</v>
      </c>
      <c r="E517" s="12" t="s">
        <v>30</v>
      </c>
      <c r="F517" s="12" t="s">
        <v>239</v>
      </c>
      <c r="G517" s="12" t="s">
        <v>646</v>
      </c>
      <c r="H517" s="14" t="n">
        <v>46279</v>
      </c>
      <c r="I517" s="14" t="n">
        <v>46281</v>
      </c>
      <c r="J517" s="12" t="s">
        <v>354</v>
      </c>
    </row>
    <row r="518" customFormat="false" ht="15" hidden="false" customHeight="true" outlineLevel="0" collapsed="false">
      <c r="A518" s="12" t="s">
        <v>1167</v>
      </c>
      <c r="B518" s="13" t="n">
        <v>1527.545</v>
      </c>
      <c r="C518" s="13" t="n">
        <v>1415.12</v>
      </c>
      <c r="D518" s="12" t="s">
        <v>1166</v>
      </c>
      <c r="E518" s="12" t="s">
        <v>30</v>
      </c>
      <c r="F518" s="12" t="s">
        <v>239</v>
      </c>
      <c r="G518" s="12" t="s">
        <v>646</v>
      </c>
      <c r="H518" s="14" t="n">
        <v>46279</v>
      </c>
      <c r="I518" s="14" t="n">
        <v>46281</v>
      </c>
      <c r="J518" s="12" t="s">
        <v>354</v>
      </c>
    </row>
    <row r="519" customFormat="false" ht="15" hidden="false" customHeight="true" outlineLevel="0" collapsed="false">
      <c r="A519" s="12" t="s">
        <v>1168</v>
      </c>
      <c r="B519" s="13" t="n">
        <v>83.857</v>
      </c>
      <c r="C519" s="13" t="n">
        <v>80.4</v>
      </c>
      <c r="D519" s="12" t="s">
        <v>1169</v>
      </c>
      <c r="E519" s="12" t="s">
        <v>30</v>
      </c>
      <c r="F519" s="12" t="s">
        <v>239</v>
      </c>
      <c r="G519" s="12" t="s">
        <v>646</v>
      </c>
      <c r="H519" s="14" t="n">
        <v>46279</v>
      </c>
      <c r="I519" s="14" t="n">
        <v>46281</v>
      </c>
      <c r="J519" s="12" t="s">
        <v>33</v>
      </c>
    </row>
    <row r="520" customFormat="false" ht="15" hidden="false" customHeight="true" outlineLevel="0" collapsed="false">
      <c r="A520" s="12" t="s">
        <v>1170</v>
      </c>
      <c r="B520" s="13" t="n">
        <v>35.457</v>
      </c>
      <c r="C520" s="13" t="n">
        <v>32.8</v>
      </c>
      <c r="D520" s="12" t="s">
        <v>1171</v>
      </c>
      <c r="E520" s="12" t="s">
        <v>30</v>
      </c>
      <c r="F520" s="12" t="s">
        <v>664</v>
      </c>
      <c r="G520" s="12" t="s">
        <v>653</v>
      </c>
      <c r="H520" s="14" t="n">
        <v>46279</v>
      </c>
      <c r="I520" s="14" t="n">
        <v>46281</v>
      </c>
      <c r="J520" s="12" t="s">
        <v>354</v>
      </c>
    </row>
    <row r="521" customFormat="false" ht="15" hidden="false" customHeight="true" outlineLevel="0" collapsed="false">
      <c r="A521" s="12" t="s">
        <v>1172</v>
      </c>
      <c r="B521" s="13" t="n">
        <v>27.858</v>
      </c>
      <c r="C521" s="13" t="n">
        <v>26</v>
      </c>
      <c r="D521" s="12" t="s">
        <v>1173</v>
      </c>
      <c r="E521" s="12" t="s">
        <v>30</v>
      </c>
      <c r="F521" s="12" t="s">
        <v>239</v>
      </c>
      <c r="G521" s="12" t="s">
        <v>646</v>
      </c>
      <c r="H521" s="14" t="n">
        <v>46279</v>
      </c>
      <c r="I521" s="14" t="n">
        <v>46281</v>
      </c>
      <c r="J521" s="12" t="s">
        <v>254</v>
      </c>
    </row>
    <row r="522" customFormat="false" ht="15" hidden="false" customHeight="true" outlineLevel="0" collapsed="false">
      <c r="A522" s="12" t="s">
        <v>1174</v>
      </c>
      <c r="B522" s="13" t="n">
        <v>35.457</v>
      </c>
      <c r="C522" s="13" t="n">
        <v>32.8</v>
      </c>
      <c r="D522" s="12" t="s">
        <v>1175</v>
      </c>
      <c r="E522" s="12" t="s">
        <v>30</v>
      </c>
      <c r="F522" s="12" t="s">
        <v>239</v>
      </c>
      <c r="G522" s="12" t="s">
        <v>646</v>
      </c>
      <c r="H522" s="14" t="n">
        <v>46279</v>
      </c>
      <c r="I522" s="14" t="n">
        <v>46281</v>
      </c>
      <c r="J522" s="12" t="s">
        <v>354</v>
      </c>
    </row>
    <row r="523" customFormat="false" ht="15" hidden="false" customHeight="true" outlineLevel="0" collapsed="false">
      <c r="A523" s="12" t="s">
        <v>1176</v>
      </c>
      <c r="B523" s="13" t="n">
        <v>4030.876</v>
      </c>
      <c r="C523" s="13" t="n">
        <v>3714</v>
      </c>
      <c r="D523" s="12" t="s">
        <v>839</v>
      </c>
      <c r="E523" s="12" t="s">
        <v>30</v>
      </c>
      <c r="F523" s="12" t="s">
        <v>840</v>
      </c>
      <c r="G523" s="12" t="s">
        <v>653</v>
      </c>
      <c r="H523" s="14" t="n">
        <v>46279</v>
      </c>
      <c r="I523" s="14" t="n">
        <v>46281</v>
      </c>
      <c r="J523" s="12" t="s">
        <v>254</v>
      </c>
    </row>
    <row r="524" customFormat="false" ht="15" hidden="false" customHeight="true" outlineLevel="0" collapsed="false">
      <c r="A524" s="12" t="s">
        <v>1177</v>
      </c>
      <c r="B524" s="13" t="n">
        <v>1520.318</v>
      </c>
      <c r="C524" s="13" t="n">
        <v>1405</v>
      </c>
      <c r="D524" s="12" t="s">
        <v>1178</v>
      </c>
      <c r="E524" s="12" t="s">
        <v>30</v>
      </c>
      <c r="F524" s="12" t="s">
        <v>1179</v>
      </c>
      <c r="G524" s="12" t="s">
        <v>653</v>
      </c>
      <c r="H524" s="14" t="n">
        <v>46279</v>
      </c>
      <c r="I524" s="14" t="n">
        <v>46281</v>
      </c>
      <c r="J524" s="12" t="s">
        <v>254</v>
      </c>
    </row>
    <row r="525" customFormat="false" ht="15" hidden="false" customHeight="true" outlineLevel="0" collapsed="false">
      <c r="A525" s="12" t="s">
        <v>1180</v>
      </c>
      <c r="B525" s="13" t="n">
        <v>36.3</v>
      </c>
      <c r="C525" s="13" t="n">
        <v>30</v>
      </c>
      <c r="D525" s="12" t="s">
        <v>1181</v>
      </c>
      <c r="E525" s="12" t="s">
        <v>30</v>
      </c>
      <c r="F525" s="12" t="s">
        <v>239</v>
      </c>
      <c r="G525" s="12" t="s">
        <v>240</v>
      </c>
      <c r="H525" s="14" t="n">
        <v>46279</v>
      </c>
      <c r="I525" s="14" t="n">
        <v>46279</v>
      </c>
      <c r="J525" s="12" t="s">
        <v>33</v>
      </c>
    </row>
    <row r="526" customFormat="false" ht="15" hidden="false" customHeight="true" outlineLevel="0" collapsed="false">
      <c r="A526" s="12" t="s">
        <v>1182</v>
      </c>
      <c r="B526" s="13" t="n">
        <v>219.17</v>
      </c>
      <c r="C526" s="13" t="n">
        <v>202</v>
      </c>
      <c r="D526" s="12" t="s">
        <v>1183</v>
      </c>
      <c r="E526" s="12" t="s">
        <v>30</v>
      </c>
      <c r="F526" s="12" t="s">
        <v>1184</v>
      </c>
      <c r="G526" s="12" t="s">
        <v>653</v>
      </c>
      <c r="H526" s="14" t="n">
        <v>46279</v>
      </c>
      <c r="I526" s="14" t="n">
        <v>46281</v>
      </c>
      <c r="J526" s="12" t="s">
        <v>354</v>
      </c>
    </row>
    <row r="527" customFormat="false" ht="15" hidden="false" customHeight="true" outlineLevel="0" collapsed="false">
      <c r="A527" s="12" t="s">
        <v>1185</v>
      </c>
      <c r="B527" s="13" t="n">
        <v>142.461</v>
      </c>
      <c r="C527" s="13" t="n">
        <v>131.3</v>
      </c>
      <c r="D527" s="12" t="s">
        <v>1183</v>
      </c>
      <c r="E527" s="12" t="s">
        <v>30</v>
      </c>
      <c r="F527" s="12" t="s">
        <v>1184</v>
      </c>
      <c r="G527" s="12" t="s">
        <v>653</v>
      </c>
      <c r="H527" s="14" t="n">
        <v>46279</v>
      </c>
      <c r="I527" s="14" t="n">
        <v>46281</v>
      </c>
      <c r="J527" s="12" t="s">
        <v>354</v>
      </c>
    </row>
    <row r="528" customFormat="false" ht="15" hidden="false" customHeight="true" outlineLevel="0" collapsed="false">
      <c r="A528" s="12" t="s">
        <v>1186</v>
      </c>
      <c r="B528" s="13" t="n">
        <v>188.802</v>
      </c>
      <c r="C528" s="13" t="n">
        <v>174</v>
      </c>
      <c r="D528" s="12" t="s">
        <v>1187</v>
      </c>
      <c r="E528" s="12" t="s">
        <v>30</v>
      </c>
      <c r="F528" s="12" t="s">
        <v>249</v>
      </c>
      <c r="G528" s="12" t="s">
        <v>653</v>
      </c>
      <c r="H528" s="14" t="n">
        <v>46279</v>
      </c>
      <c r="I528" s="14" t="n">
        <v>46281</v>
      </c>
      <c r="J528" s="12" t="s">
        <v>354</v>
      </c>
    </row>
    <row r="529" customFormat="false" ht="15" hidden="false" customHeight="true" outlineLevel="0" collapsed="false">
      <c r="A529" s="12" t="s">
        <v>1188</v>
      </c>
      <c r="B529" s="13" t="n">
        <v>188.802</v>
      </c>
      <c r="C529" s="13" t="n">
        <v>174</v>
      </c>
      <c r="D529" s="12" t="s">
        <v>1187</v>
      </c>
      <c r="E529" s="12" t="s">
        <v>30</v>
      </c>
      <c r="F529" s="12" t="s">
        <v>249</v>
      </c>
      <c r="G529" s="12" t="s">
        <v>653</v>
      </c>
      <c r="H529" s="14" t="n">
        <v>46279</v>
      </c>
      <c r="I529" s="14" t="n">
        <v>46281</v>
      </c>
      <c r="J529" s="12" t="s">
        <v>354</v>
      </c>
    </row>
    <row r="530" customFormat="false" ht="15" hidden="false" customHeight="true" outlineLevel="0" collapsed="false">
      <c r="A530" s="12" t="s">
        <v>1189</v>
      </c>
      <c r="B530" s="13" t="n">
        <v>1605</v>
      </c>
      <c r="C530" s="13" t="n">
        <v>1500</v>
      </c>
      <c r="D530" s="12" t="s">
        <v>1190</v>
      </c>
      <c r="E530" s="12" t="s">
        <v>30</v>
      </c>
      <c r="F530" s="12" t="s">
        <v>1191</v>
      </c>
      <c r="G530" s="12" t="s">
        <v>653</v>
      </c>
      <c r="H530" s="14" t="n">
        <v>46279</v>
      </c>
      <c r="I530" s="14" t="n">
        <v>46281</v>
      </c>
      <c r="J530" s="12" t="s">
        <v>354</v>
      </c>
    </row>
    <row r="531" customFormat="false" ht="15" hidden="false" customHeight="true" outlineLevel="0" collapsed="false">
      <c r="A531" s="12" t="s">
        <v>1192</v>
      </c>
      <c r="B531" s="13" t="n">
        <v>1726.4</v>
      </c>
      <c r="C531" s="13" t="n">
        <v>1600</v>
      </c>
      <c r="D531" s="12" t="s">
        <v>247</v>
      </c>
      <c r="E531" s="12" t="s">
        <v>30</v>
      </c>
      <c r="F531" s="12" t="s">
        <v>249</v>
      </c>
      <c r="G531" s="12" t="s">
        <v>653</v>
      </c>
      <c r="H531" s="14" t="n">
        <v>46279</v>
      </c>
      <c r="I531" s="14" t="n">
        <v>46283</v>
      </c>
      <c r="J531" s="12" t="s">
        <v>33</v>
      </c>
    </row>
    <row r="532" customFormat="false" ht="15" hidden="false" customHeight="true" outlineLevel="0" collapsed="false">
      <c r="A532" s="12" t="s">
        <v>1193</v>
      </c>
      <c r="B532" s="13" t="n">
        <v>70.914</v>
      </c>
      <c r="C532" s="13" t="n">
        <v>65.6</v>
      </c>
      <c r="D532" s="12" t="s">
        <v>925</v>
      </c>
      <c r="E532" s="12" t="s">
        <v>30</v>
      </c>
      <c r="F532" s="12" t="s">
        <v>1009</v>
      </c>
      <c r="G532" s="12" t="s">
        <v>609</v>
      </c>
      <c r="H532" s="14" t="n">
        <v>46279</v>
      </c>
      <c r="I532" s="14" t="n">
        <v>46295</v>
      </c>
      <c r="J532" s="12" t="s">
        <v>254</v>
      </c>
    </row>
    <row r="533" customFormat="false" ht="15" hidden="false" customHeight="true" outlineLevel="0" collapsed="false">
      <c r="A533" s="12" t="s">
        <v>1194</v>
      </c>
      <c r="B533" s="13" t="n">
        <v>547.923</v>
      </c>
      <c r="C533" s="13" t="n">
        <v>505</v>
      </c>
      <c r="D533" s="12" t="s">
        <v>1195</v>
      </c>
      <c r="E533" s="12" t="s">
        <v>30</v>
      </c>
      <c r="F533" s="12" t="s">
        <v>1196</v>
      </c>
      <c r="G533" s="12" t="s">
        <v>379</v>
      </c>
      <c r="H533" s="14" t="n">
        <v>46280</v>
      </c>
      <c r="I533" s="14" t="n">
        <v>46282</v>
      </c>
      <c r="J533" s="12" t="s">
        <v>33</v>
      </c>
    </row>
    <row r="534" customFormat="false" ht="15" hidden="false" customHeight="true" outlineLevel="0" collapsed="false">
      <c r="A534" s="12" t="s">
        <v>1197</v>
      </c>
      <c r="B534" s="13" t="n">
        <v>1172.63</v>
      </c>
      <c r="C534" s="13" t="n">
        <v>1080.5</v>
      </c>
      <c r="D534" s="12" t="s">
        <v>1195</v>
      </c>
      <c r="E534" s="12" t="s">
        <v>30</v>
      </c>
      <c r="F534" s="12" t="s">
        <v>1196</v>
      </c>
      <c r="G534" s="12" t="s">
        <v>379</v>
      </c>
      <c r="H534" s="14" t="n">
        <v>46280</v>
      </c>
      <c r="I534" s="14" t="n">
        <v>46282</v>
      </c>
      <c r="J534" s="12" t="s">
        <v>33</v>
      </c>
    </row>
    <row r="535" customFormat="false" ht="15" hidden="false" customHeight="true" outlineLevel="0" collapsed="false">
      <c r="A535" s="12" t="s">
        <v>1198</v>
      </c>
      <c r="B535" s="13" t="n">
        <v>826.02</v>
      </c>
      <c r="C535" s="13" t="n">
        <v>771.6</v>
      </c>
      <c r="D535" s="12" t="s">
        <v>1199</v>
      </c>
      <c r="E535" s="12" t="s">
        <v>30</v>
      </c>
      <c r="F535" s="12" t="s">
        <v>1200</v>
      </c>
      <c r="G535" s="12" t="s">
        <v>379</v>
      </c>
      <c r="H535" s="14" t="n">
        <v>46280</v>
      </c>
      <c r="I535" s="14" t="n">
        <v>46282</v>
      </c>
      <c r="J535" s="12" t="s">
        <v>33</v>
      </c>
    </row>
    <row r="536" customFormat="false" ht="15" hidden="false" customHeight="true" outlineLevel="0" collapsed="false">
      <c r="A536" s="12" t="s">
        <v>1201</v>
      </c>
      <c r="B536" s="13" t="n">
        <v>531.767</v>
      </c>
      <c r="C536" s="13" t="n">
        <v>483</v>
      </c>
      <c r="D536" s="12" t="s">
        <v>1195</v>
      </c>
      <c r="E536" s="12" t="s">
        <v>30</v>
      </c>
      <c r="F536" s="12" t="s">
        <v>1196</v>
      </c>
      <c r="G536" s="12" t="s">
        <v>379</v>
      </c>
      <c r="H536" s="14" t="n">
        <v>46280</v>
      </c>
      <c r="I536" s="14" t="n">
        <v>46282</v>
      </c>
      <c r="J536" s="12" t="s">
        <v>33</v>
      </c>
    </row>
    <row r="537" customFormat="false" ht="15" hidden="false" customHeight="true" outlineLevel="0" collapsed="false">
      <c r="A537" s="12" t="s">
        <v>1202</v>
      </c>
      <c r="B537" s="13" t="n">
        <v>84.921</v>
      </c>
      <c r="C537" s="13" t="n">
        <v>80.8</v>
      </c>
      <c r="D537" s="12" t="s">
        <v>1199</v>
      </c>
      <c r="E537" s="12" t="s">
        <v>30</v>
      </c>
      <c r="F537" s="12" t="s">
        <v>1200</v>
      </c>
      <c r="G537" s="12" t="s">
        <v>379</v>
      </c>
      <c r="H537" s="14" t="n">
        <v>46280</v>
      </c>
      <c r="I537" s="14" t="n">
        <v>46282</v>
      </c>
      <c r="J537" s="12" t="s">
        <v>33</v>
      </c>
    </row>
    <row r="538" customFormat="false" ht="15" hidden="false" customHeight="true" outlineLevel="0" collapsed="false">
      <c r="A538" s="12" t="s">
        <v>1203</v>
      </c>
      <c r="B538" s="13" t="n">
        <v>318.453</v>
      </c>
      <c r="C538" s="13" t="n">
        <v>303</v>
      </c>
      <c r="D538" s="12" t="s">
        <v>1204</v>
      </c>
      <c r="E538" s="12" t="s">
        <v>30</v>
      </c>
      <c r="F538" s="12" t="s">
        <v>1205</v>
      </c>
      <c r="G538" s="12" t="s">
        <v>379</v>
      </c>
      <c r="H538" s="14" t="n">
        <v>46280</v>
      </c>
      <c r="I538" s="14" t="n">
        <v>46282</v>
      </c>
      <c r="J538" s="12" t="s">
        <v>33</v>
      </c>
    </row>
    <row r="539" customFormat="false" ht="15" hidden="false" customHeight="true" outlineLevel="0" collapsed="false">
      <c r="A539" s="12" t="s">
        <v>1206</v>
      </c>
      <c r="B539" s="13" t="n">
        <v>10651.66</v>
      </c>
      <c r="C539" s="13" t="n">
        <v>9817.2</v>
      </c>
      <c r="D539" s="12" t="s">
        <v>1207</v>
      </c>
      <c r="E539" s="12" t="s">
        <v>30</v>
      </c>
      <c r="F539" s="12" t="s">
        <v>1196</v>
      </c>
      <c r="G539" s="12" t="s">
        <v>379</v>
      </c>
      <c r="H539" s="14" t="n">
        <v>46280</v>
      </c>
      <c r="I539" s="14" t="n">
        <v>46282</v>
      </c>
      <c r="J539" s="12" t="s">
        <v>33</v>
      </c>
    </row>
    <row r="540" customFormat="false" ht="15" hidden="false" customHeight="true" outlineLevel="0" collapsed="false">
      <c r="A540" s="12" t="s">
        <v>1208</v>
      </c>
      <c r="B540" s="13" t="n">
        <v>212.302</v>
      </c>
      <c r="C540" s="13" t="n">
        <v>202</v>
      </c>
      <c r="D540" s="12" t="s">
        <v>1207</v>
      </c>
      <c r="E540" s="12" t="s">
        <v>30</v>
      </c>
      <c r="F540" s="12" t="s">
        <v>1196</v>
      </c>
      <c r="G540" s="12" t="s">
        <v>379</v>
      </c>
      <c r="H540" s="14" t="n">
        <v>46280</v>
      </c>
      <c r="I540" s="14" t="n">
        <v>46282</v>
      </c>
      <c r="J540" s="12" t="s">
        <v>33</v>
      </c>
    </row>
    <row r="541" customFormat="false" ht="15" hidden="false" customHeight="true" outlineLevel="0" collapsed="false">
      <c r="A541" s="12" t="s">
        <v>1209</v>
      </c>
      <c r="B541" s="13" t="n">
        <v>86.981</v>
      </c>
      <c r="C541" s="13" t="n">
        <v>80.8</v>
      </c>
      <c r="D541" s="12" t="s">
        <v>1210</v>
      </c>
      <c r="E541" s="12" t="s">
        <v>30</v>
      </c>
      <c r="F541" s="12" t="s">
        <v>1196</v>
      </c>
      <c r="G541" s="12" t="s">
        <v>379</v>
      </c>
      <c r="H541" s="14" t="n">
        <v>46280</v>
      </c>
      <c r="I541" s="14" t="n">
        <v>46282</v>
      </c>
      <c r="J541" s="12" t="s">
        <v>33</v>
      </c>
    </row>
    <row r="542" customFormat="false" ht="15" hidden="false" customHeight="true" outlineLevel="0" collapsed="false">
      <c r="A542" s="12" t="s">
        <v>1211</v>
      </c>
      <c r="B542" s="13" t="n">
        <v>106.151</v>
      </c>
      <c r="C542" s="13" t="n">
        <v>101</v>
      </c>
      <c r="D542" s="12" t="s">
        <v>1195</v>
      </c>
      <c r="E542" s="12" t="s">
        <v>30</v>
      </c>
      <c r="F542" s="12" t="s">
        <v>1196</v>
      </c>
      <c r="G542" s="12" t="s">
        <v>379</v>
      </c>
      <c r="H542" s="14" t="n">
        <v>46280</v>
      </c>
      <c r="I542" s="14" t="n">
        <v>46282</v>
      </c>
      <c r="J542" s="12" t="s">
        <v>33</v>
      </c>
    </row>
    <row r="543" customFormat="false" ht="15" hidden="false" customHeight="true" outlineLevel="0" collapsed="false">
      <c r="A543" s="12" t="s">
        <v>1212</v>
      </c>
      <c r="B543" s="13" t="n">
        <v>4142.313</v>
      </c>
      <c r="C543" s="13" t="n">
        <v>3817.8</v>
      </c>
      <c r="D543" s="12" t="s">
        <v>1199</v>
      </c>
      <c r="E543" s="12" t="s">
        <v>30</v>
      </c>
      <c r="F543" s="12" t="s">
        <v>1200</v>
      </c>
      <c r="G543" s="12" t="s">
        <v>379</v>
      </c>
      <c r="H543" s="14" t="n">
        <v>46280</v>
      </c>
      <c r="I543" s="14" t="n">
        <v>46282</v>
      </c>
      <c r="J543" s="12" t="s">
        <v>33</v>
      </c>
    </row>
    <row r="544" customFormat="false" ht="15" hidden="false" customHeight="true" outlineLevel="0" collapsed="false">
      <c r="A544" s="12" t="s">
        <v>1213</v>
      </c>
      <c r="B544" s="13" t="n">
        <v>53.076</v>
      </c>
      <c r="C544" s="13" t="n">
        <v>50.5</v>
      </c>
      <c r="D544" s="12" t="s">
        <v>1195</v>
      </c>
      <c r="E544" s="12" t="s">
        <v>30</v>
      </c>
      <c r="F544" s="12" t="s">
        <v>1196</v>
      </c>
      <c r="G544" s="12" t="s">
        <v>379</v>
      </c>
      <c r="H544" s="14" t="n">
        <v>46280</v>
      </c>
      <c r="I544" s="14" t="n">
        <v>46282</v>
      </c>
      <c r="J544" s="12" t="s">
        <v>254</v>
      </c>
    </row>
    <row r="545" customFormat="false" ht="15" hidden="false" customHeight="true" outlineLevel="0" collapsed="false">
      <c r="A545" s="12" t="s">
        <v>1214</v>
      </c>
      <c r="B545" s="13" t="n">
        <v>1614.401</v>
      </c>
      <c r="C545" s="13" t="n">
        <v>1542</v>
      </c>
      <c r="D545" s="12" t="s">
        <v>1215</v>
      </c>
      <c r="E545" s="12" t="s">
        <v>30</v>
      </c>
      <c r="F545" s="12" t="s">
        <v>1216</v>
      </c>
      <c r="G545" s="12" t="s">
        <v>298</v>
      </c>
      <c r="H545" s="14" t="n">
        <v>46280</v>
      </c>
      <c r="I545" s="14" t="n">
        <v>46275</v>
      </c>
      <c r="J545" s="12" t="s">
        <v>33</v>
      </c>
    </row>
    <row r="546" customFormat="false" ht="15" hidden="false" customHeight="true" outlineLevel="0" collapsed="false">
      <c r="A546" s="12" t="s">
        <v>1217</v>
      </c>
      <c r="B546" s="13" t="n">
        <v>58.048</v>
      </c>
      <c r="C546" s="13" t="n">
        <v>54.54</v>
      </c>
      <c r="D546" s="12" t="s">
        <v>1218</v>
      </c>
      <c r="E546" s="12" t="s">
        <v>30</v>
      </c>
      <c r="F546" s="12" t="s">
        <v>1219</v>
      </c>
      <c r="G546" s="12" t="s">
        <v>298</v>
      </c>
      <c r="H546" s="14" t="n">
        <v>46280</v>
      </c>
      <c r="I546" s="14" t="n">
        <v>46275</v>
      </c>
      <c r="J546" s="12" t="s">
        <v>33</v>
      </c>
    </row>
    <row r="547" customFormat="false" ht="15" hidden="false" customHeight="true" outlineLevel="0" collapsed="false">
      <c r="A547" s="12" t="s">
        <v>1220</v>
      </c>
      <c r="B547" s="13" t="n">
        <v>16569.253</v>
      </c>
      <c r="C547" s="13" t="n">
        <v>15271.2</v>
      </c>
      <c r="D547" s="12" t="s">
        <v>1221</v>
      </c>
      <c r="E547" s="12" t="s">
        <v>30</v>
      </c>
      <c r="F547" s="12" t="s">
        <v>1222</v>
      </c>
      <c r="G547" s="12" t="s">
        <v>1223</v>
      </c>
      <c r="H547" s="14" t="n">
        <v>46280</v>
      </c>
      <c r="I547" s="14" t="n">
        <v>46282</v>
      </c>
      <c r="J547" s="12" t="s">
        <v>33</v>
      </c>
    </row>
    <row r="548" customFormat="false" ht="15" hidden="false" customHeight="true" outlineLevel="0" collapsed="false">
      <c r="A548" s="12" t="s">
        <v>1224</v>
      </c>
      <c r="B548" s="13" t="n">
        <v>396</v>
      </c>
      <c r="C548" s="13" t="n">
        <v>360</v>
      </c>
      <c r="D548" s="12" t="s">
        <v>1221</v>
      </c>
      <c r="E548" s="12" t="s">
        <v>30</v>
      </c>
      <c r="F548" s="12" t="s">
        <v>1222</v>
      </c>
      <c r="G548" s="12" t="s">
        <v>1223</v>
      </c>
      <c r="H548" s="14" t="n">
        <v>46280</v>
      </c>
      <c r="I548" s="14" t="n">
        <v>46282</v>
      </c>
      <c r="J548" s="12" t="s">
        <v>33</v>
      </c>
    </row>
    <row r="549" customFormat="false" ht="15" hidden="false" customHeight="true" outlineLevel="0" collapsed="false">
      <c r="A549" s="12" t="s">
        <v>1225</v>
      </c>
      <c r="B549" s="13" t="n">
        <v>106.37</v>
      </c>
      <c r="C549" s="13" t="n">
        <v>98.4</v>
      </c>
      <c r="D549" s="12" t="s">
        <v>1226</v>
      </c>
      <c r="E549" s="12" t="s">
        <v>30</v>
      </c>
      <c r="F549" s="12" t="s">
        <v>326</v>
      </c>
      <c r="G549" s="12" t="s">
        <v>298</v>
      </c>
      <c r="H549" s="14" t="n">
        <v>46280</v>
      </c>
      <c r="I549" s="14" t="n">
        <v>46275</v>
      </c>
      <c r="J549" s="12" t="s">
        <v>33</v>
      </c>
    </row>
    <row r="550" customFormat="false" ht="15" hidden="false" customHeight="true" outlineLevel="0" collapsed="false">
      <c r="A550" s="12" t="s">
        <v>1227</v>
      </c>
      <c r="B550" s="13" t="n">
        <v>54.793</v>
      </c>
      <c r="C550" s="13" t="n">
        <v>50.5</v>
      </c>
      <c r="D550" s="12" t="s">
        <v>1228</v>
      </c>
      <c r="E550" s="12" t="s">
        <v>30</v>
      </c>
      <c r="F550" s="12" t="s">
        <v>1229</v>
      </c>
      <c r="G550" s="12" t="s">
        <v>298</v>
      </c>
      <c r="H550" s="14" t="n">
        <v>46280</v>
      </c>
      <c r="I550" s="14" t="n">
        <v>46275</v>
      </c>
      <c r="J550" s="12" t="s">
        <v>33</v>
      </c>
    </row>
    <row r="551" customFormat="false" ht="15" hidden="false" customHeight="true" outlineLevel="0" collapsed="false">
      <c r="A551" s="12" t="s">
        <v>1230</v>
      </c>
      <c r="B551" s="13" t="n">
        <v>173.105</v>
      </c>
      <c r="C551" s="13" t="n">
        <v>159.06</v>
      </c>
      <c r="D551" s="12" t="s">
        <v>1231</v>
      </c>
      <c r="E551" s="12" t="s">
        <v>30</v>
      </c>
      <c r="F551" s="12" t="s">
        <v>1232</v>
      </c>
      <c r="G551" s="12" t="s">
        <v>298</v>
      </c>
      <c r="H551" s="14" t="n">
        <v>46280</v>
      </c>
      <c r="I551" s="14" t="n">
        <v>46275</v>
      </c>
      <c r="J551" s="12" t="s">
        <v>33</v>
      </c>
    </row>
    <row r="552" customFormat="false" ht="15" hidden="false" customHeight="true" outlineLevel="0" collapsed="false">
      <c r="A552" s="12" t="s">
        <v>1233</v>
      </c>
      <c r="B552" s="13" t="n">
        <v>86.8</v>
      </c>
      <c r="C552" s="13" t="n">
        <v>80</v>
      </c>
      <c r="D552" s="12" t="s">
        <v>1234</v>
      </c>
      <c r="E552" s="12" t="s">
        <v>30</v>
      </c>
      <c r="F552" s="12" t="s">
        <v>1235</v>
      </c>
      <c r="G552" s="12" t="s">
        <v>298</v>
      </c>
      <c r="H552" s="14" t="n">
        <v>46280</v>
      </c>
      <c r="I552" s="14" t="n">
        <v>46275</v>
      </c>
      <c r="J552" s="12" t="s">
        <v>33</v>
      </c>
    </row>
    <row r="553" customFormat="false" ht="15" hidden="false" customHeight="true" outlineLevel="0" collapsed="false">
      <c r="A553" s="12" t="s">
        <v>1236</v>
      </c>
      <c r="B553" s="13" t="n">
        <v>50.651</v>
      </c>
      <c r="C553" s="13" t="n">
        <v>45.3</v>
      </c>
      <c r="D553" s="12" t="s">
        <v>1237</v>
      </c>
      <c r="E553" s="12" t="s">
        <v>30</v>
      </c>
      <c r="F553" s="12" t="s">
        <v>1238</v>
      </c>
      <c r="G553" s="12" t="s">
        <v>379</v>
      </c>
      <c r="H553" s="14" t="n">
        <v>46280</v>
      </c>
      <c r="I553" s="14" t="n">
        <v>46282</v>
      </c>
      <c r="J553" s="12" t="s">
        <v>254</v>
      </c>
    </row>
    <row r="554" customFormat="false" ht="15" hidden="false" customHeight="true" outlineLevel="0" collapsed="false">
      <c r="A554" s="12" t="s">
        <v>1239</v>
      </c>
      <c r="B554" s="13" t="n">
        <v>65.064</v>
      </c>
      <c r="C554" s="13" t="n">
        <v>60.6</v>
      </c>
      <c r="D554" s="12" t="s">
        <v>1240</v>
      </c>
      <c r="E554" s="12" t="s">
        <v>30</v>
      </c>
      <c r="F554" s="12" t="s">
        <v>1241</v>
      </c>
      <c r="G554" s="12" t="s">
        <v>275</v>
      </c>
      <c r="H554" s="14" t="n">
        <v>46280</v>
      </c>
      <c r="I554" s="14" t="n">
        <v>46285</v>
      </c>
      <c r="J554" s="12" t="s">
        <v>33</v>
      </c>
    </row>
    <row r="555" customFormat="false" ht="15" hidden="false" customHeight="true" outlineLevel="0" collapsed="false">
      <c r="A555" s="12" t="s">
        <v>1242</v>
      </c>
      <c r="B555" s="13" t="n">
        <v>316.8</v>
      </c>
      <c r="C555" s="13" t="n">
        <v>288</v>
      </c>
      <c r="D555" s="12" t="s">
        <v>1243</v>
      </c>
      <c r="E555" s="12" t="s">
        <v>30</v>
      </c>
      <c r="F555" s="12" t="s">
        <v>1222</v>
      </c>
      <c r="G555" s="12" t="s">
        <v>1223</v>
      </c>
      <c r="H555" s="14" t="n">
        <v>46280</v>
      </c>
      <c r="I555" s="14" t="n">
        <v>46282</v>
      </c>
      <c r="J555" s="12" t="s">
        <v>33</v>
      </c>
    </row>
    <row r="556" customFormat="false" ht="15" hidden="false" customHeight="true" outlineLevel="0" collapsed="false">
      <c r="A556" s="12" t="s">
        <v>1244</v>
      </c>
      <c r="B556" s="13" t="n">
        <v>16569.25</v>
      </c>
      <c r="C556" s="13" t="n">
        <v>15271.2</v>
      </c>
      <c r="D556" s="12" t="s">
        <v>1243</v>
      </c>
      <c r="E556" s="12" t="s">
        <v>30</v>
      </c>
      <c r="F556" s="12" t="s">
        <v>1222</v>
      </c>
      <c r="G556" s="12" t="s">
        <v>1223</v>
      </c>
      <c r="H556" s="14" t="n">
        <v>46280</v>
      </c>
      <c r="I556" s="14" t="n">
        <v>46282</v>
      </c>
      <c r="J556" s="12" t="s">
        <v>33</v>
      </c>
    </row>
    <row r="557" customFormat="false" ht="15" hidden="false" customHeight="true" outlineLevel="0" collapsed="false">
      <c r="A557" s="12" t="s">
        <v>1245</v>
      </c>
      <c r="B557" s="13" t="n">
        <v>550.273</v>
      </c>
      <c r="C557" s="13" t="n">
        <v>509.04</v>
      </c>
      <c r="D557" s="12" t="s">
        <v>1246</v>
      </c>
      <c r="E557" s="12" t="s">
        <v>30</v>
      </c>
      <c r="F557" s="12" t="s">
        <v>1247</v>
      </c>
      <c r="G557" s="12" t="s">
        <v>379</v>
      </c>
      <c r="H557" s="14" t="n">
        <v>46280</v>
      </c>
      <c r="I557" s="14" t="n">
        <v>46282</v>
      </c>
      <c r="J557" s="12" t="s">
        <v>33</v>
      </c>
    </row>
    <row r="558" customFormat="false" ht="15" hidden="false" customHeight="true" outlineLevel="0" collapsed="false">
      <c r="A558" s="12" t="s">
        <v>1248</v>
      </c>
      <c r="B558" s="13" t="n">
        <v>64.2</v>
      </c>
      <c r="C558" s="13" t="n">
        <v>60</v>
      </c>
      <c r="D558" s="12" t="s">
        <v>1249</v>
      </c>
      <c r="E558" s="12" t="s">
        <v>30</v>
      </c>
      <c r="F558" s="12" t="s">
        <v>1250</v>
      </c>
      <c r="G558" s="12" t="s">
        <v>379</v>
      </c>
      <c r="H558" s="14" t="n">
        <v>46280</v>
      </c>
      <c r="I558" s="14" t="n">
        <v>46282</v>
      </c>
      <c r="J558" s="12" t="s">
        <v>254</v>
      </c>
    </row>
    <row r="559" customFormat="false" ht="15" hidden="false" customHeight="true" outlineLevel="0" collapsed="false">
      <c r="A559" s="12" t="s">
        <v>1251</v>
      </c>
      <c r="B559" s="13" t="n">
        <v>319.95</v>
      </c>
      <c r="C559" s="13" t="n">
        <v>270</v>
      </c>
      <c r="D559" s="12" t="s">
        <v>1252</v>
      </c>
      <c r="E559" s="12" t="s">
        <v>30</v>
      </c>
      <c r="F559" s="12" t="s">
        <v>1253</v>
      </c>
      <c r="G559" s="12" t="s">
        <v>379</v>
      </c>
      <c r="H559" s="14" t="n">
        <v>46280</v>
      </c>
      <c r="I559" s="14" t="n">
        <v>46282</v>
      </c>
      <c r="J559" s="12" t="s">
        <v>33</v>
      </c>
    </row>
    <row r="560" customFormat="false" ht="15" hidden="false" customHeight="true" outlineLevel="0" collapsed="false">
      <c r="A560" s="12" t="s">
        <v>1254</v>
      </c>
      <c r="B560" s="13" t="n">
        <v>88.875</v>
      </c>
      <c r="C560" s="13" t="n">
        <v>75</v>
      </c>
      <c r="D560" s="12" t="s">
        <v>1255</v>
      </c>
      <c r="E560" s="12" t="s">
        <v>30</v>
      </c>
      <c r="F560" s="12" t="s">
        <v>1250</v>
      </c>
      <c r="G560" s="12" t="s">
        <v>379</v>
      </c>
      <c r="H560" s="14" t="n">
        <v>46280</v>
      </c>
      <c r="I560" s="14" t="n">
        <v>46282</v>
      </c>
      <c r="J560" s="12" t="s">
        <v>33</v>
      </c>
    </row>
    <row r="561" customFormat="false" ht="15" hidden="false" customHeight="true" outlineLevel="0" collapsed="false">
      <c r="A561" s="12" t="s">
        <v>1256</v>
      </c>
      <c r="B561" s="13" t="n">
        <v>173.208</v>
      </c>
      <c r="C561" s="13" t="n">
        <v>168</v>
      </c>
      <c r="D561" s="12" t="s">
        <v>1226</v>
      </c>
      <c r="E561" s="12" t="s">
        <v>30</v>
      </c>
      <c r="F561" s="12" t="s">
        <v>326</v>
      </c>
      <c r="G561" s="12" t="s">
        <v>298</v>
      </c>
      <c r="H561" s="14" t="n">
        <v>46280</v>
      </c>
      <c r="I561" s="14" t="n">
        <v>46285</v>
      </c>
      <c r="J561" s="12" t="s">
        <v>33</v>
      </c>
    </row>
    <row r="562" customFormat="false" ht="15" hidden="false" customHeight="true" outlineLevel="0" collapsed="false">
      <c r="A562" s="12" t="s">
        <v>1257</v>
      </c>
      <c r="B562" s="13" t="n">
        <v>296.25</v>
      </c>
      <c r="C562" s="13" t="n">
        <v>250</v>
      </c>
      <c r="D562" s="12" t="s">
        <v>1258</v>
      </c>
      <c r="E562" s="12" t="s">
        <v>30</v>
      </c>
      <c r="F562" s="12" t="s">
        <v>1196</v>
      </c>
      <c r="G562" s="12" t="s">
        <v>379</v>
      </c>
      <c r="H562" s="14" t="n">
        <v>46280</v>
      </c>
      <c r="I562" s="14" t="n">
        <v>46282</v>
      </c>
      <c r="J562" s="12" t="s">
        <v>33</v>
      </c>
    </row>
    <row r="563" customFormat="false" ht="15" hidden="false" customHeight="true" outlineLevel="0" collapsed="false">
      <c r="A563" s="12" t="s">
        <v>1259</v>
      </c>
      <c r="B563" s="13" t="n">
        <v>93.724</v>
      </c>
      <c r="C563" s="13" t="n">
        <v>86.06</v>
      </c>
      <c r="D563" s="12" t="s">
        <v>1260</v>
      </c>
      <c r="E563" s="12" t="s">
        <v>30</v>
      </c>
      <c r="F563" s="12" t="s">
        <v>1261</v>
      </c>
      <c r="G563" s="12" t="s">
        <v>379</v>
      </c>
      <c r="H563" s="14" t="n">
        <v>46280</v>
      </c>
      <c r="I563" s="14" t="n">
        <v>46282</v>
      </c>
      <c r="J563" s="12" t="s">
        <v>33</v>
      </c>
    </row>
    <row r="564" customFormat="false" ht="15" hidden="false" customHeight="true" outlineLevel="0" collapsed="false">
      <c r="A564" s="12" t="s">
        <v>1262</v>
      </c>
      <c r="B564" s="13" t="n">
        <v>162.383</v>
      </c>
      <c r="C564" s="13" t="n">
        <v>151.1</v>
      </c>
      <c r="D564" s="12" t="s">
        <v>1263</v>
      </c>
      <c r="E564" s="12" t="s">
        <v>30</v>
      </c>
      <c r="F564" s="12" t="s">
        <v>1264</v>
      </c>
      <c r="G564" s="12" t="s">
        <v>379</v>
      </c>
      <c r="H564" s="14" t="n">
        <v>46280</v>
      </c>
      <c r="I564" s="14" t="n">
        <v>46282</v>
      </c>
      <c r="J564" s="12" t="s">
        <v>33</v>
      </c>
    </row>
    <row r="565" customFormat="false" ht="15" hidden="false" customHeight="true" outlineLevel="0" collapsed="false">
      <c r="A565" s="12" t="s">
        <v>1265</v>
      </c>
      <c r="B565" s="13" t="n">
        <v>71.1</v>
      </c>
      <c r="C565" s="13" t="n">
        <v>60</v>
      </c>
      <c r="D565" s="12" t="s">
        <v>1266</v>
      </c>
      <c r="E565" s="12" t="s">
        <v>30</v>
      </c>
      <c r="F565" s="12" t="s">
        <v>1267</v>
      </c>
      <c r="G565" s="12" t="s">
        <v>379</v>
      </c>
      <c r="H565" s="14" t="n">
        <v>46280</v>
      </c>
      <c r="I565" s="14" t="n">
        <v>46282</v>
      </c>
      <c r="J565" s="12" t="s">
        <v>33</v>
      </c>
    </row>
    <row r="566" customFormat="false" ht="15" hidden="false" customHeight="true" outlineLevel="0" collapsed="false">
      <c r="A566" s="12" t="s">
        <v>1268</v>
      </c>
      <c r="B566" s="13" t="n">
        <v>296.25</v>
      </c>
      <c r="C566" s="13" t="n">
        <v>250</v>
      </c>
      <c r="D566" s="12" t="s">
        <v>1269</v>
      </c>
      <c r="E566" s="12" t="s">
        <v>30</v>
      </c>
      <c r="F566" s="12" t="s">
        <v>1253</v>
      </c>
      <c r="G566" s="12" t="s">
        <v>379</v>
      </c>
      <c r="H566" s="14" t="n">
        <v>46280</v>
      </c>
      <c r="I566" s="14" t="n">
        <v>46282</v>
      </c>
      <c r="J566" s="12" t="s">
        <v>33</v>
      </c>
    </row>
    <row r="567" customFormat="false" ht="15" hidden="false" customHeight="true" outlineLevel="0" collapsed="false">
      <c r="A567" s="12" t="s">
        <v>1270</v>
      </c>
      <c r="B567" s="13" t="n">
        <v>118.5</v>
      </c>
      <c r="C567" s="13" t="n">
        <v>100</v>
      </c>
      <c r="D567" s="12" t="s">
        <v>377</v>
      </c>
      <c r="E567" s="12" t="s">
        <v>30</v>
      </c>
      <c r="F567" s="12" t="s">
        <v>378</v>
      </c>
      <c r="G567" s="12" t="s">
        <v>379</v>
      </c>
      <c r="H567" s="14" t="n">
        <v>46280</v>
      </c>
      <c r="I567" s="14" t="n">
        <v>46282</v>
      </c>
      <c r="J567" s="12" t="s">
        <v>33</v>
      </c>
    </row>
    <row r="568" customFormat="false" ht="15" hidden="false" customHeight="true" outlineLevel="0" collapsed="false">
      <c r="A568" s="12" t="s">
        <v>1271</v>
      </c>
      <c r="B568" s="13" t="n">
        <v>52.407</v>
      </c>
      <c r="C568" s="13" t="n">
        <v>48.48</v>
      </c>
      <c r="D568" s="12" t="s">
        <v>1272</v>
      </c>
      <c r="E568" s="12" t="s">
        <v>30</v>
      </c>
      <c r="F568" s="12" t="s">
        <v>1264</v>
      </c>
      <c r="G568" s="12" t="s">
        <v>379</v>
      </c>
      <c r="H568" s="14" t="n">
        <v>46280</v>
      </c>
      <c r="I568" s="14" t="n">
        <v>46282</v>
      </c>
      <c r="J568" s="12" t="s">
        <v>33</v>
      </c>
    </row>
    <row r="569" customFormat="false" ht="15" hidden="false" customHeight="true" outlineLevel="0" collapsed="false">
      <c r="A569" s="12" t="s">
        <v>1273</v>
      </c>
      <c r="B569" s="13" t="n">
        <v>52.407</v>
      </c>
      <c r="C569" s="13" t="n">
        <v>48.48</v>
      </c>
      <c r="D569" s="12" t="s">
        <v>1274</v>
      </c>
      <c r="E569" s="12" t="s">
        <v>30</v>
      </c>
      <c r="F569" s="12" t="s">
        <v>1264</v>
      </c>
      <c r="G569" s="12" t="s">
        <v>379</v>
      </c>
      <c r="H569" s="14" t="n">
        <v>46280</v>
      </c>
      <c r="I569" s="14" t="n">
        <v>46282</v>
      </c>
      <c r="J569" s="12" t="s">
        <v>33</v>
      </c>
    </row>
    <row r="570" customFormat="false" ht="15" hidden="false" customHeight="true" outlineLevel="0" collapsed="false">
      <c r="A570" s="12" t="s">
        <v>1275</v>
      </c>
      <c r="B570" s="13" t="n">
        <v>91.095</v>
      </c>
      <c r="C570" s="13" t="n">
        <v>80.3</v>
      </c>
      <c r="D570" s="12" t="s">
        <v>1276</v>
      </c>
      <c r="E570" s="12" t="s">
        <v>30</v>
      </c>
      <c r="F570" s="12" t="s">
        <v>1196</v>
      </c>
      <c r="G570" s="12" t="s">
        <v>379</v>
      </c>
      <c r="H570" s="14" t="n">
        <v>46280</v>
      </c>
      <c r="I570" s="14" t="n">
        <v>46282</v>
      </c>
      <c r="J570" s="12" t="s">
        <v>33</v>
      </c>
    </row>
    <row r="571" customFormat="false" ht="15" hidden="false" customHeight="true" outlineLevel="0" collapsed="false">
      <c r="A571" s="12" t="s">
        <v>1277</v>
      </c>
      <c r="B571" s="13" t="n">
        <v>66.643</v>
      </c>
      <c r="C571" s="13" t="n">
        <v>60.5</v>
      </c>
      <c r="D571" s="12" t="s">
        <v>1278</v>
      </c>
      <c r="E571" s="12" t="s">
        <v>30</v>
      </c>
      <c r="F571" s="12" t="s">
        <v>1279</v>
      </c>
      <c r="G571" s="12" t="s">
        <v>379</v>
      </c>
      <c r="H571" s="14" t="n">
        <v>46280</v>
      </c>
      <c r="I571" s="14" t="n">
        <v>46282</v>
      </c>
      <c r="J571" s="12" t="s">
        <v>33</v>
      </c>
    </row>
    <row r="572" customFormat="false" ht="15" hidden="false" customHeight="true" outlineLevel="0" collapsed="false">
      <c r="A572" s="12" t="s">
        <v>1280</v>
      </c>
      <c r="B572" s="13" t="n">
        <v>11.85</v>
      </c>
      <c r="C572" s="13" t="n">
        <v>10</v>
      </c>
      <c r="D572" s="12" t="s">
        <v>390</v>
      </c>
      <c r="E572" s="12" t="s">
        <v>30</v>
      </c>
      <c r="F572" s="12" t="s">
        <v>391</v>
      </c>
      <c r="G572" s="12" t="s">
        <v>298</v>
      </c>
      <c r="H572" s="14" t="n">
        <v>46280</v>
      </c>
      <c r="I572" s="14" t="n">
        <v>46285</v>
      </c>
      <c r="J572" s="12" t="s">
        <v>33</v>
      </c>
    </row>
    <row r="573" customFormat="false" ht="15" hidden="false" customHeight="true" outlineLevel="0" collapsed="false">
      <c r="A573" s="12" t="s">
        <v>1281</v>
      </c>
      <c r="B573" s="13" t="n">
        <v>337.35</v>
      </c>
      <c r="C573" s="13" t="n">
        <v>299.6</v>
      </c>
      <c r="D573" s="12" t="s">
        <v>1282</v>
      </c>
      <c r="E573" s="12" t="s">
        <v>30</v>
      </c>
      <c r="F573" s="12" t="s">
        <v>239</v>
      </c>
      <c r="G573" s="12" t="s">
        <v>240</v>
      </c>
      <c r="H573" s="14" t="n">
        <v>46280</v>
      </c>
      <c r="I573" s="14" t="n">
        <v>46280</v>
      </c>
      <c r="J573" s="12" t="s">
        <v>33</v>
      </c>
    </row>
    <row r="574" customFormat="false" ht="15" hidden="false" customHeight="true" outlineLevel="0" collapsed="false">
      <c r="A574" s="12" t="s">
        <v>1283</v>
      </c>
      <c r="B574" s="13" t="n">
        <v>2667.193</v>
      </c>
      <c r="C574" s="13" t="n">
        <v>2536</v>
      </c>
      <c r="D574" s="12" t="s">
        <v>1221</v>
      </c>
      <c r="E574" s="12" t="s">
        <v>30</v>
      </c>
      <c r="F574" s="12" t="s">
        <v>1222</v>
      </c>
      <c r="G574" s="12" t="s">
        <v>1223</v>
      </c>
      <c r="H574" s="14" t="n">
        <v>46280</v>
      </c>
      <c r="I574" s="14" t="n">
        <v>46282</v>
      </c>
      <c r="J574" s="12" t="s">
        <v>33</v>
      </c>
    </row>
    <row r="575" customFormat="false" ht="15" hidden="false" customHeight="true" outlineLevel="0" collapsed="false">
      <c r="A575" s="12" t="s">
        <v>1284</v>
      </c>
      <c r="B575" s="13" t="n">
        <v>786.11</v>
      </c>
      <c r="C575" s="13" t="n">
        <v>727.2</v>
      </c>
      <c r="D575" s="12" t="s">
        <v>1221</v>
      </c>
      <c r="E575" s="12" t="s">
        <v>30</v>
      </c>
      <c r="F575" s="12" t="s">
        <v>1222</v>
      </c>
      <c r="G575" s="12" t="s">
        <v>1223</v>
      </c>
      <c r="H575" s="14" t="n">
        <v>46280</v>
      </c>
      <c r="I575" s="14" t="n">
        <v>46282</v>
      </c>
      <c r="J575" s="12" t="s">
        <v>33</v>
      </c>
    </row>
    <row r="576" customFormat="false" ht="15" hidden="false" customHeight="true" outlineLevel="0" collapsed="false">
      <c r="A576" s="12" t="s">
        <v>1285</v>
      </c>
      <c r="B576" s="13" t="n">
        <v>876.68</v>
      </c>
      <c r="C576" s="13" t="n">
        <v>808</v>
      </c>
      <c r="D576" s="12" t="s">
        <v>1286</v>
      </c>
      <c r="E576" s="12" t="s">
        <v>30</v>
      </c>
      <c r="F576" s="12" t="s">
        <v>1247</v>
      </c>
      <c r="G576" s="12" t="s">
        <v>379</v>
      </c>
      <c r="H576" s="14" t="n">
        <v>46280</v>
      </c>
      <c r="I576" s="14" t="n">
        <v>46282</v>
      </c>
      <c r="J576" s="12" t="s">
        <v>33</v>
      </c>
    </row>
    <row r="577" customFormat="false" ht="15" hidden="false" customHeight="true" outlineLevel="0" collapsed="false">
      <c r="A577" s="12" t="s">
        <v>1287</v>
      </c>
      <c r="B577" s="13" t="n">
        <v>64.926</v>
      </c>
      <c r="C577" s="13" t="n">
        <v>60.5</v>
      </c>
      <c r="D577" s="12" t="s">
        <v>1288</v>
      </c>
      <c r="E577" s="12" t="s">
        <v>30</v>
      </c>
      <c r="F577" s="12" t="s">
        <v>1264</v>
      </c>
      <c r="G577" s="12" t="s">
        <v>379</v>
      </c>
      <c r="H577" s="14" t="n">
        <v>46280</v>
      </c>
      <c r="I577" s="14" t="n">
        <v>46282</v>
      </c>
      <c r="J577" s="12" t="s">
        <v>33</v>
      </c>
    </row>
    <row r="578" customFormat="false" ht="15" hidden="false" customHeight="true" outlineLevel="0" collapsed="false">
      <c r="A578" s="12" t="s">
        <v>1289</v>
      </c>
      <c r="B578" s="13" t="n">
        <v>35.457</v>
      </c>
      <c r="C578" s="13" t="n">
        <v>32.8</v>
      </c>
      <c r="D578" s="12" t="s">
        <v>393</v>
      </c>
      <c r="E578" s="12" t="s">
        <v>30</v>
      </c>
      <c r="F578" s="12" t="s">
        <v>394</v>
      </c>
      <c r="G578" s="12" t="s">
        <v>298</v>
      </c>
      <c r="H578" s="14" t="n">
        <v>46280</v>
      </c>
      <c r="I578" s="14" t="n">
        <v>46282</v>
      </c>
      <c r="J578" s="12" t="s">
        <v>254</v>
      </c>
    </row>
    <row r="579" customFormat="false" ht="15" hidden="false" customHeight="true" outlineLevel="0" collapsed="false">
      <c r="A579" s="12" t="s">
        <v>1290</v>
      </c>
      <c r="B579" s="13" t="n">
        <v>29.625</v>
      </c>
      <c r="C579" s="13" t="n">
        <v>25</v>
      </c>
      <c r="D579" s="12" t="s">
        <v>1291</v>
      </c>
      <c r="E579" s="12" t="s">
        <v>30</v>
      </c>
      <c r="F579" s="12" t="s">
        <v>394</v>
      </c>
      <c r="G579" s="12" t="s">
        <v>298</v>
      </c>
      <c r="H579" s="14" t="n">
        <v>46280</v>
      </c>
      <c r="I579" s="14" t="n">
        <v>46285</v>
      </c>
      <c r="J579" s="12" t="s">
        <v>33</v>
      </c>
    </row>
    <row r="580" customFormat="false" ht="15" hidden="false" customHeight="true" outlineLevel="0" collapsed="false">
      <c r="A580" s="12" t="s">
        <v>1292</v>
      </c>
      <c r="B580" s="13" t="n">
        <v>21.23</v>
      </c>
      <c r="C580" s="13" t="n">
        <v>20.2</v>
      </c>
      <c r="D580" s="12" t="s">
        <v>387</v>
      </c>
      <c r="E580" s="12" t="s">
        <v>30</v>
      </c>
      <c r="F580" s="12" t="s">
        <v>388</v>
      </c>
      <c r="G580" s="12" t="s">
        <v>298</v>
      </c>
      <c r="H580" s="14" t="n">
        <v>46280</v>
      </c>
      <c r="I580" s="14" t="n">
        <v>46285</v>
      </c>
      <c r="J580" s="12" t="s">
        <v>33</v>
      </c>
    </row>
    <row r="581" customFormat="false" ht="15" hidden="false" customHeight="true" outlineLevel="0" collapsed="false">
      <c r="A581" s="12" t="s">
        <v>1293</v>
      </c>
      <c r="B581" s="13" t="n">
        <v>337.007</v>
      </c>
      <c r="C581" s="13" t="n">
        <v>315.12</v>
      </c>
      <c r="D581" s="12" t="s">
        <v>1294</v>
      </c>
      <c r="E581" s="12" t="s">
        <v>30</v>
      </c>
      <c r="F581" s="12" t="s">
        <v>330</v>
      </c>
      <c r="G581" s="12" t="s">
        <v>298</v>
      </c>
      <c r="H581" s="14" t="n">
        <v>46280</v>
      </c>
      <c r="I581" s="14" t="n">
        <v>46285</v>
      </c>
      <c r="J581" s="12" t="s">
        <v>33</v>
      </c>
    </row>
    <row r="582" customFormat="false" ht="15" hidden="false" customHeight="true" outlineLevel="0" collapsed="false">
      <c r="A582" s="12" t="s">
        <v>1295</v>
      </c>
      <c r="B582" s="13" t="n">
        <v>126.043</v>
      </c>
      <c r="C582" s="13" t="n">
        <v>117.16</v>
      </c>
      <c r="D582" s="12" t="s">
        <v>1296</v>
      </c>
      <c r="E582" s="12" t="s">
        <v>30</v>
      </c>
      <c r="F582" s="12" t="s">
        <v>1297</v>
      </c>
      <c r="G582" s="12" t="s">
        <v>298</v>
      </c>
      <c r="H582" s="14" t="n">
        <v>46280</v>
      </c>
      <c r="I582" s="14" t="n">
        <v>46285</v>
      </c>
      <c r="J582" s="12" t="s">
        <v>33</v>
      </c>
    </row>
    <row r="583" customFormat="false" ht="15" hidden="false" customHeight="true" outlineLevel="0" collapsed="false">
      <c r="A583" s="12" t="s">
        <v>1298</v>
      </c>
      <c r="B583" s="13" t="n">
        <v>41.475</v>
      </c>
      <c r="C583" s="13" t="n">
        <v>35</v>
      </c>
      <c r="D583" s="12" t="s">
        <v>1286</v>
      </c>
      <c r="E583" s="12" t="s">
        <v>30</v>
      </c>
      <c r="F583" s="12" t="s">
        <v>1247</v>
      </c>
      <c r="G583" s="12" t="s">
        <v>379</v>
      </c>
      <c r="H583" s="14" t="n">
        <v>46280</v>
      </c>
      <c r="I583" s="14" t="n">
        <v>46282</v>
      </c>
      <c r="J583" s="12" t="s">
        <v>33</v>
      </c>
    </row>
    <row r="584" customFormat="false" ht="15" hidden="false" customHeight="true" outlineLevel="0" collapsed="false">
      <c r="A584" s="12" t="s">
        <v>1299</v>
      </c>
      <c r="B584" s="13" t="n">
        <v>177.75</v>
      </c>
      <c r="C584" s="13" t="n">
        <v>150</v>
      </c>
      <c r="D584" s="12" t="s">
        <v>313</v>
      </c>
      <c r="E584" s="12" t="s">
        <v>30</v>
      </c>
      <c r="F584" s="12" t="s">
        <v>314</v>
      </c>
      <c r="G584" s="12" t="s">
        <v>298</v>
      </c>
      <c r="H584" s="14" t="n">
        <v>46280</v>
      </c>
      <c r="I584" s="14" t="n">
        <v>46285</v>
      </c>
      <c r="J584" s="12" t="s">
        <v>33</v>
      </c>
    </row>
    <row r="585" customFormat="false" ht="15" hidden="false" customHeight="true" outlineLevel="0" collapsed="false">
      <c r="A585" s="12" t="s">
        <v>1300</v>
      </c>
      <c r="B585" s="13" t="n">
        <v>222.265</v>
      </c>
      <c r="C585" s="13" t="n">
        <v>203.92</v>
      </c>
      <c r="D585" s="12" t="s">
        <v>1301</v>
      </c>
      <c r="E585" s="12" t="s">
        <v>30</v>
      </c>
      <c r="F585" s="12" t="s">
        <v>1302</v>
      </c>
      <c r="G585" s="12" t="s">
        <v>298</v>
      </c>
      <c r="H585" s="14" t="n">
        <v>46280</v>
      </c>
      <c r="I585" s="14" t="n">
        <v>46285</v>
      </c>
      <c r="J585" s="12" t="s">
        <v>33</v>
      </c>
    </row>
    <row r="586" customFormat="false" ht="15" hidden="false" customHeight="true" outlineLevel="0" collapsed="false">
      <c r="A586" s="12" t="s">
        <v>1303</v>
      </c>
      <c r="B586" s="13" t="n">
        <v>288.081</v>
      </c>
      <c r="C586" s="13" t="n">
        <v>275.5</v>
      </c>
      <c r="D586" s="12" t="s">
        <v>1304</v>
      </c>
      <c r="E586" s="12" t="s">
        <v>30</v>
      </c>
      <c r="F586" s="12" t="s">
        <v>1305</v>
      </c>
      <c r="G586" s="12" t="s">
        <v>298</v>
      </c>
      <c r="H586" s="14" t="n">
        <v>46280</v>
      </c>
      <c r="I586" s="14" t="n">
        <v>46282</v>
      </c>
      <c r="J586" s="12" t="s">
        <v>354</v>
      </c>
    </row>
    <row r="587" customFormat="false" ht="15" hidden="false" customHeight="true" outlineLevel="0" collapsed="false">
      <c r="A587" s="12" t="s">
        <v>1306</v>
      </c>
      <c r="B587" s="13" t="n">
        <v>110.438</v>
      </c>
      <c r="C587" s="13" t="n">
        <v>100.8</v>
      </c>
      <c r="D587" s="12" t="s">
        <v>899</v>
      </c>
      <c r="E587" s="12" t="s">
        <v>30</v>
      </c>
      <c r="F587" s="12" t="s">
        <v>900</v>
      </c>
      <c r="G587" s="12" t="s">
        <v>298</v>
      </c>
      <c r="H587" s="14" t="n">
        <v>46280</v>
      </c>
      <c r="I587" s="14" t="n">
        <v>46282</v>
      </c>
      <c r="J587" s="12" t="s">
        <v>33</v>
      </c>
    </row>
    <row r="588" customFormat="false" ht="15" hidden="false" customHeight="true" outlineLevel="0" collapsed="false">
      <c r="A588" s="12" t="s">
        <v>1307</v>
      </c>
      <c r="B588" s="13" t="n">
        <v>92.913</v>
      </c>
      <c r="C588" s="13" t="n">
        <v>86.8</v>
      </c>
      <c r="D588" s="12" t="s">
        <v>1308</v>
      </c>
      <c r="E588" s="12" t="s">
        <v>30</v>
      </c>
      <c r="F588" s="12" t="s">
        <v>1309</v>
      </c>
      <c r="G588" s="12" t="s">
        <v>298</v>
      </c>
      <c r="H588" s="14" t="n">
        <v>46280</v>
      </c>
      <c r="I588" s="14" t="n">
        <v>46285</v>
      </c>
      <c r="J588" s="12" t="s">
        <v>33</v>
      </c>
    </row>
    <row r="589" customFormat="false" ht="15" hidden="false" customHeight="true" outlineLevel="0" collapsed="false">
      <c r="A589" s="12" t="s">
        <v>1310</v>
      </c>
      <c r="B589" s="13" t="n">
        <v>327.543</v>
      </c>
      <c r="C589" s="13" t="n">
        <v>303</v>
      </c>
      <c r="D589" s="12" t="s">
        <v>313</v>
      </c>
      <c r="E589" s="12" t="s">
        <v>30</v>
      </c>
      <c r="F589" s="12" t="s">
        <v>314</v>
      </c>
      <c r="G589" s="12" t="s">
        <v>298</v>
      </c>
      <c r="H589" s="14" t="n">
        <v>46280</v>
      </c>
      <c r="I589" s="14" t="n">
        <v>46282</v>
      </c>
      <c r="J589" s="12" t="s">
        <v>254</v>
      </c>
    </row>
    <row r="590" customFormat="false" ht="15" hidden="false" customHeight="true" outlineLevel="0" collapsed="false">
      <c r="A590" s="12" t="s">
        <v>1311</v>
      </c>
      <c r="B590" s="13" t="n">
        <v>48.385</v>
      </c>
      <c r="C590" s="13" t="n">
        <v>45.4</v>
      </c>
      <c r="D590" s="12" t="s">
        <v>1312</v>
      </c>
      <c r="E590" s="12" t="s">
        <v>30</v>
      </c>
      <c r="F590" s="12" t="s">
        <v>1313</v>
      </c>
      <c r="G590" s="12" t="s">
        <v>298</v>
      </c>
      <c r="H590" s="14" t="n">
        <v>46280</v>
      </c>
      <c r="I590" s="14" t="n">
        <v>46285</v>
      </c>
      <c r="J590" s="12" t="s">
        <v>33</v>
      </c>
    </row>
    <row r="591" customFormat="false" ht="15" hidden="false" customHeight="true" outlineLevel="0" collapsed="false">
      <c r="A591" s="12" t="s">
        <v>1314</v>
      </c>
      <c r="B591" s="13" t="n">
        <v>35.911</v>
      </c>
      <c r="C591" s="13" t="n">
        <v>32.22</v>
      </c>
      <c r="D591" s="12" t="s">
        <v>1315</v>
      </c>
      <c r="E591" s="12" t="s">
        <v>30</v>
      </c>
      <c r="F591" s="12" t="s">
        <v>1316</v>
      </c>
      <c r="G591" s="12" t="s">
        <v>298</v>
      </c>
      <c r="H591" s="14" t="n">
        <v>46280</v>
      </c>
      <c r="I591" s="14" t="n">
        <v>46285</v>
      </c>
      <c r="J591" s="12" t="s">
        <v>33</v>
      </c>
    </row>
    <row r="592" customFormat="false" ht="15" hidden="false" customHeight="true" outlineLevel="0" collapsed="false">
      <c r="A592" s="12" t="s">
        <v>1317</v>
      </c>
      <c r="B592" s="13" t="n">
        <v>88.933</v>
      </c>
      <c r="C592" s="13" t="n">
        <v>82.16</v>
      </c>
      <c r="D592" s="12" t="s">
        <v>1318</v>
      </c>
      <c r="E592" s="12" t="s">
        <v>30</v>
      </c>
      <c r="F592" s="12" t="s">
        <v>297</v>
      </c>
      <c r="G592" s="12" t="s">
        <v>298</v>
      </c>
      <c r="H592" s="14" t="n">
        <v>46280</v>
      </c>
      <c r="I592" s="14" t="n">
        <v>46285</v>
      </c>
      <c r="J592" s="12" t="s">
        <v>33</v>
      </c>
    </row>
    <row r="593" customFormat="false" ht="15" hidden="false" customHeight="true" outlineLevel="0" collapsed="false">
      <c r="A593" s="12" t="s">
        <v>1319</v>
      </c>
      <c r="B593" s="13" t="n">
        <v>117.916</v>
      </c>
      <c r="C593" s="13" t="n">
        <v>109.08</v>
      </c>
      <c r="D593" s="12" t="s">
        <v>1320</v>
      </c>
      <c r="E593" s="12" t="s">
        <v>30</v>
      </c>
      <c r="F593" s="12" t="s">
        <v>1321</v>
      </c>
      <c r="G593" s="12" t="s">
        <v>298</v>
      </c>
      <c r="H593" s="14" t="n">
        <v>46280</v>
      </c>
      <c r="I593" s="14" t="n">
        <v>46285</v>
      </c>
      <c r="J593" s="12" t="s">
        <v>33</v>
      </c>
    </row>
    <row r="594" customFormat="false" ht="15" hidden="false" customHeight="true" outlineLevel="0" collapsed="false">
      <c r="A594" s="12" t="s">
        <v>1322</v>
      </c>
      <c r="B594" s="13" t="n">
        <v>143.601</v>
      </c>
      <c r="C594" s="13" t="n">
        <v>136.54</v>
      </c>
      <c r="D594" s="12" t="s">
        <v>1323</v>
      </c>
      <c r="E594" s="12" t="s">
        <v>30</v>
      </c>
      <c r="F594" s="12" t="s">
        <v>1324</v>
      </c>
      <c r="G594" s="12" t="s">
        <v>298</v>
      </c>
      <c r="H594" s="14" t="n">
        <v>46280</v>
      </c>
      <c r="I594" s="14" t="n">
        <v>46285</v>
      </c>
      <c r="J594" s="12" t="s">
        <v>33</v>
      </c>
    </row>
    <row r="595" customFormat="false" ht="15" hidden="false" customHeight="true" outlineLevel="0" collapsed="false">
      <c r="A595" s="12" t="s">
        <v>1325</v>
      </c>
      <c r="B595" s="13" t="n">
        <v>116.766</v>
      </c>
      <c r="C595" s="13" t="n">
        <v>111.1</v>
      </c>
      <c r="D595" s="12" t="s">
        <v>1326</v>
      </c>
      <c r="E595" s="12" t="s">
        <v>30</v>
      </c>
      <c r="F595" s="12" t="s">
        <v>1305</v>
      </c>
      <c r="G595" s="12" t="s">
        <v>298</v>
      </c>
      <c r="H595" s="14" t="n">
        <v>46280</v>
      </c>
      <c r="I595" s="14" t="n">
        <v>46285</v>
      </c>
      <c r="J595" s="12" t="s">
        <v>33</v>
      </c>
    </row>
    <row r="596" customFormat="false" ht="15" hidden="false" customHeight="true" outlineLevel="0" collapsed="false">
      <c r="A596" s="12" t="s">
        <v>1327</v>
      </c>
      <c r="B596" s="13" t="n">
        <v>26.472</v>
      </c>
      <c r="C596" s="13" t="n">
        <v>24</v>
      </c>
      <c r="D596" s="12" t="s">
        <v>1328</v>
      </c>
      <c r="E596" s="12" t="s">
        <v>30</v>
      </c>
      <c r="F596" s="12" t="s">
        <v>1329</v>
      </c>
      <c r="G596" s="12" t="s">
        <v>298</v>
      </c>
      <c r="H596" s="14" t="n">
        <v>46280</v>
      </c>
      <c r="I596" s="14" t="n">
        <v>46285</v>
      </c>
      <c r="J596" s="12" t="s">
        <v>33</v>
      </c>
    </row>
    <row r="597" customFormat="false" ht="15" hidden="false" customHeight="true" outlineLevel="0" collapsed="false">
      <c r="A597" s="12" t="s">
        <v>1330</v>
      </c>
      <c r="B597" s="13" t="n">
        <v>183.425</v>
      </c>
      <c r="C597" s="13" t="n">
        <v>169.68</v>
      </c>
      <c r="D597" s="12" t="s">
        <v>1331</v>
      </c>
      <c r="E597" s="12" t="s">
        <v>30</v>
      </c>
      <c r="F597" s="12" t="s">
        <v>314</v>
      </c>
      <c r="G597" s="12" t="s">
        <v>298</v>
      </c>
      <c r="H597" s="14" t="n">
        <v>46280</v>
      </c>
      <c r="I597" s="14" t="n">
        <v>46285</v>
      </c>
      <c r="J597" s="12" t="s">
        <v>33</v>
      </c>
    </row>
    <row r="598" customFormat="false" ht="15" hidden="false" customHeight="true" outlineLevel="0" collapsed="false">
      <c r="A598" s="12" t="s">
        <v>1332</v>
      </c>
      <c r="B598" s="13" t="n">
        <v>76.468</v>
      </c>
      <c r="C598" s="13" t="n">
        <v>70.7</v>
      </c>
      <c r="D598" s="12" t="s">
        <v>1333</v>
      </c>
      <c r="E598" s="12" t="s">
        <v>30</v>
      </c>
      <c r="F598" s="12" t="s">
        <v>1334</v>
      </c>
      <c r="G598" s="12" t="s">
        <v>298</v>
      </c>
      <c r="H598" s="14" t="n">
        <v>46280</v>
      </c>
      <c r="I598" s="14" t="n">
        <v>46285</v>
      </c>
      <c r="J598" s="12" t="s">
        <v>33</v>
      </c>
    </row>
    <row r="599" customFormat="false" ht="15" hidden="false" customHeight="true" outlineLevel="0" collapsed="false">
      <c r="A599" s="12" t="s">
        <v>1335</v>
      </c>
      <c r="B599" s="13" t="n">
        <v>70.914</v>
      </c>
      <c r="C599" s="13" t="n">
        <v>65.6</v>
      </c>
      <c r="D599" s="12" t="s">
        <v>1291</v>
      </c>
      <c r="E599" s="12" t="s">
        <v>30</v>
      </c>
      <c r="F599" s="12" t="s">
        <v>394</v>
      </c>
      <c r="G599" s="12" t="s">
        <v>298</v>
      </c>
      <c r="H599" s="14" t="n">
        <v>46280</v>
      </c>
      <c r="I599" s="14" t="n">
        <v>46282</v>
      </c>
      <c r="J599" s="12" t="s">
        <v>254</v>
      </c>
    </row>
    <row r="600" customFormat="false" ht="15" hidden="false" customHeight="true" outlineLevel="0" collapsed="false">
      <c r="A600" s="12" t="s">
        <v>1336</v>
      </c>
      <c r="B600" s="13" t="n">
        <v>473</v>
      </c>
      <c r="C600" s="13" t="n">
        <v>440.36</v>
      </c>
      <c r="D600" s="12" t="s">
        <v>1337</v>
      </c>
      <c r="E600" s="12" t="s">
        <v>30</v>
      </c>
      <c r="F600" s="12" t="s">
        <v>1338</v>
      </c>
      <c r="G600" s="12" t="s">
        <v>298</v>
      </c>
      <c r="H600" s="14" t="n">
        <v>46280</v>
      </c>
      <c r="I600" s="14" t="n">
        <v>46285</v>
      </c>
      <c r="J600" s="12" t="s">
        <v>33</v>
      </c>
    </row>
    <row r="601" customFormat="false" ht="15" hidden="false" customHeight="true" outlineLevel="0" collapsed="false">
      <c r="A601" s="12" t="s">
        <v>1339</v>
      </c>
      <c r="B601" s="13" t="n">
        <v>1105.791</v>
      </c>
      <c r="C601" s="13" t="n">
        <v>1050.4</v>
      </c>
      <c r="D601" s="12" t="s">
        <v>1340</v>
      </c>
      <c r="E601" s="12" t="s">
        <v>30</v>
      </c>
      <c r="F601" s="12" t="s">
        <v>1341</v>
      </c>
      <c r="G601" s="12" t="s">
        <v>379</v>
      </c>
      <c r="H601" s="14" t="n">
        <v>46280</v>
      </c>
      <c r="I601" s="14" t="n">
        <v>46282</v>
      </c>
      <c r="J601" s="12" t="s">
        <v>33</v>
      </c>
    </row>
    <row r="602" customFormat="false" ht="15" hidden="false" customHeight="true" outlineLevel="0" collapsed="false">
      <c r="A602" s="12" t="s">
        <v>1342</v>
      </c>
      <c r="B602" s="13" t="n">
        <v>279.796</v>
      </c>
      <c r="C602" s="13" t="n">
        <v>259.32</v>
      </c>
      <c r="D602" s="12" t="s">
        <v>1343</v>
      </c>
      <c r="E602" s="12" t="s">
        <v>30</v>
      </c>
      <c r="F602" s="12" t="s">
        <v>1344</v>
      </c>
      <c r="G602" s="12" t="s">
        <v>379</v>
      </c>
      <c r="H602" s="14" t="n">
        <v>46280</v>
      </c>
      <c r="I602" s="14" t="n">
        <v>46282</v>
      </c>
      <c r="J602" s="12" t="s">
        <v>33</v>
      </c>
    </row>
    <row r="603" customFormat="false" ht="15" hidden="false" customHeight="true" outlineLevel="0" collapsed="false">
      <c r="A603" s="12" t="s">
        <v>1345</v>
      </c>
      <c r="B603" s="13" t="n">
        <v>50.651</v>
      </c>
      <c r="C603" s="13" t="n">
        <v>45.3</v>
      </c>
      <c r="D603" s="12" t="s">
        <v>174</v>
      </c>
      <c r="E603" s="12" t="s">
        <v>30</v>
      </c>
      <c r="F603" s="12" t="s">
        <v>1261</v>
      </c>
      <c r="G603" s="12" t="s">
        <v>379</v>
      </c>
      <c r="H603" s="14" t="n">
        <v>46280</v>
      </c>
      <c r="I603" s="14" t="n">
        <v>46282</v>
      </c>
      <c r="J603" s="12" t="s">
        <v>33</v>
      </c>
    </row>
    <row r="604" customFormat="false" ht="15" hidden="false" customHeight="true" outlineLevel="0" collapsed="false">
      <c r="A604" s="12" t="s">
        <v>1346</v>
      </c>
      <c r="B604" s="13" t="n">
        <v>41.475</v>
      </c>
      <c r="C604" s="13" t="n">
        <v>35</v>
      </c>
      <c r="D604" s="12" t="s">
        <v>1347</v>
      </c>
      <c r="E604" s="12" t="s">
        <v>30</v>
      </c>
      <c r="F604" s="12" t="s">
        <v>1250</v>
      </c>
      <c r="G604" s="12" t="s">
        <v>379</v>
      </c>
      <c r="H604" s="14" t="n">
        <v>46280</v>
      </c>
      <c r="I604" s="14" t="n">
        <v>46282</v>
      </c>
      <c r="J604" s="12" t="s">
        <v>33</v>
      </c>
    </row>
    <row r="605" customFormat="false" ht="15" hidden="false" customHeight="true" outlineLevel="0" collapsed="false">
      <c r="A605" s="12" t="s">
        <v>1348</v>
      </c>
      <c r="B605" s="13" t="n">
        <v>41.475</v>
      </c>
      <c r="C605" s="13" t="n">
        <v>35</v>
      </c>
      <c r="D605" s="12" t="s">
        <v>1349</v>
      </c>
      <c r="E605" s="12" t="s">
        <v>30</v>
      </c>
      <c r="F605" s="12" t="s">
        <v>1350</v>
      </c>
      <c r="G605" s="12" t="s">
        <v>379</v>
      </c>
      <c r="H605" s="14" t="n">
        <v>46280</v>
      </c>
      <c r="I605" s="14" t="n">
        <v>46282</v>
      </c>
      <c r="J605" s="12" t="s">
        <v>33</v>
      </c>
    </row>
    <row r="606" customFormat="false" ht="15" hidden="false" customHeight="true" outlineLevel="0" collapsed="false">
      <c r="A606" s="12" t="s">
        <v>1351</v>
      </c>
      <c r="B606" s="13" t="n">
        <v>212.302</v>
      </c>
      <c r="C606" s="13" t="n">
        <v>202</v>
      </c>
      <c r="D606" s="12" t="s">
        <v>1276</v>
      </c>
      <c r="E606" s="12" t="s">
        <v>30</v>
      </c>
      <c r="F606" s="12" t="s">
        <v>1196</v>
      </c>
      <c r="G606" s="12" t="s">
        <v>379</v>
      </c>
      <c r="H606" s="14" t="n">
        <v>46280</v>
      </c>
      <c r="I606" s="14" t="n">
        <v>46282</v>
      </c>
      <c r="J606" s="12" t="s">
        <v>254</v>
      </c>
    </row>
    <row r="607" customFormat="false" ht="15" hidden="false" customHeight="true" outlineLevel="0" collapsed="false">
      <c r="A607" s="12" t="s">
        <v>1352</v>
      </c>
      <c r="B607" s="13" t="n">
        <v>360.738</v>
      </c>
      <c r="C607" s="13" t="n">
        <v>335.5</v>
      </c>
      <c r="D607" s="12" t="s">
        <v>1353</v>
      </c>
      <c r="E607" s="12" t="s">
        <v>30</v>
      </c>
      <c r="F607" s="12" t="s">
        <v>1196</v>
      </c>
      <c r="G607" s="12" t="s">
        <v>379</v>
      </c>
      <c r="H607" s="14" t="n">
        <v>46280</v>
      </c>
      <c r="I607" s="14" t="n">
        <v>46282</v>
      </c>
      <c r="J607" s="12" t="s">
        <v>33</v>
      </c>
    </row>
    <row r="608" customFormat="false" ht="15" hidden="false" customHeight="true" outlineLevel="0" collapsed="false">
      <c r="A608" s="12" t="s">
        <v>1354</v>
      </c>
      <c r="B608" s="13" t="n">
        <v>26.203</v>
      </c>
      <c r="C608" s="13" t="n">
        <v>24.24</v>
      </c>
      <c r="D608" s="12" t="s">
        <v>393</v>
      </c>
      <c r="E608" s="12" t="s">
        <v>30</v>
      </c>
      <c r="F608" s="12" t="s">
        <v>394</v>
      </c>
      <c r="G608" s="12" t="s">
        <v>298</v>
      </c>
      <c r="H608" s="14" t="n">
        <v>46280</v>
      </c>
      <c r="I608" s="14" t="n">
        <v>46282</v>
      </c>
      <c r="J608" s="12" t="s">
        <v>254</v>
      </c>
    </row>
    <row r="609" customFormat="false" ht="15" hidden="false" customHeight="true" outlineLevel="0" collapsed="false">
      <c r="A609" s="12" t="s">
        <v>1355</v>
      </c>
      <c r="B609" s="13" t="n">
        <v>265.378</v>
      </c>
      <c r="C609" s="13" t="n">
        <v>252.5</v>
      </c>
      <c r="D609" s="12" t="s">
        <v>1195</v>
      </c>
      <c r="E609" s="12" t="s">
        <v>30</v>
      </c>
      <c r="F609" s="12" t="s">
        <v>1196</v>
      </c>
      <c r="G609" s="12" t="s">
        <v>379</v>
      </c>
      <c r="H609" s="14" t="n">
        <v>46280</v>
      </c>
      <c r="I609" s="14" t="n">
        <v>46282</v>
      </c>
      <c r="J609" s="12" t="s">
        <v>254</v>
      </c>
    </row>
    <row r="610" customFormat="false" ht="15" hidden="false" customHeight="true" outlineLevel="0" collapsed="false">
      <c r="A610" s="12" t="s">
        <v>1356</v>
      </c>
      <c r="B610" s="13" t="n">
        <v>26.831</v>
      </c>
      <c r="C610" s="13" t="n">
        <v>22.4</v>
      </c>
      <c r="D610" s="12" t="s">
        <v>1357</v>
      </c>
      <c r="E610" s="12" t="s">
        <v>30</v>
      </c>
      <c r="F610" s="12" t="s">
        <v>239</v>
      </c>
      <c r="G610" s="12" t="s">
        <v>646</v>
      </c>
      <c r="H610" s="14" t="n">
        <v>46280</v>
      </c>
      <c r="I610" s="14" t="n">
        <v>46282</v>
      </c>
      <c r="J610" s="12" t="s">
        <v>254</v>
      </c>
    </row>
    <row r="611" customFormat="false" ht="15" hidden="false" customHeight="true" outlineLevel="0" collapsed="false">
      <c r="A611" s="12" t="s">
        <v>1358</v>
      </c>
      <c r="B611" s="13" t="n">
        <v>137.996</v>
      </c>
      <c r="C611" s="13" t="n">
        <v>131.3</v>
      </c>
      <c r="D611" s="12" t="s">
        <v>1195</v>
      </c>
      <c r="E611" s="12" t="s">
        <v>30</v>
      </c>
      <c r="F611" s="12" t="s">
        <v>1196</v>
      </c>
      <c r="G611" s="12" t="s">
        <v>379</v>
      </c>
      <c r="H611" s="14" t="n">
        <v>46280</v>
      </c>
      <c r="I611" s="14" t="n">
        <v>46286</v>
      </c>
      <c r="J611" s="12" t="s">
        <v>254</v>
      </c>
    </row>
    <row r="612" customFormat="false" ht="15" hidden="false" customHeight="true" outlineLevel="0" collapsed="false">
      <c r="A612" s="12" t="s">
        <v>1359</v>
      </c>
      <c r="B612" s="13" t="n">
        <v>118.029</v>
      </c>
      <c r="C612" s="13" t="n">
        <v>113.5</v>
      </c>
      <c r="D612" s="12" t="s">
        <v>1360</v>
      </c>
      <c r="E612" s="12" t="s">
        <v>30</v>
      </c>
      <c r="F612" s="12" t="s">
        <v>1253</v>
      </c>
      <c r="G612" s="12" t="s">
        <v>379</v>
      </c>
      <c r="H612" s="14" t="n">
        <v>46280</v>
      </c>
      <c r="I612" s="14" t="n">
        <v>46282</v>
      </c>
      <c r="J612" s="12" t="s">
        <v>33</v>
      </c>
    </row>
    <row r="613" customFormat="false" ht="15" hidden="false" customHeight="true" outlineLevel="0" collapsed="false">
      <c r="A613" s="12" t="s">
        <v>1361</v>
      </c>
      <c r="B613" s="13" t="n">
        <v>148.611</v>
      </c>
      <c r="C613" s="13" t="n">
        <v>141.4</v>
      </c>
      <c r="D613" s="12" t="s">
        <v>1362</v>
      </c>
      <c r="E613" s="12" t="s">
        <v>30</v>
      </c>
      <c r="F613" s="12" t="s">
        <v>1363</v>
      </c>
      <c r="G613" s="12" t="s">
        <v>653</v>
      </c>
      <c r="H613" s="14" t="n">
        <v>46280</v>
      </c>
      <c r="I613" s="14" t="n">
        <v>46286</v>
      </c>
      <c r="J613" s="12" t="s">
        <v>254</v>
      </c>
    </row>
    <row r="614" customFormat="false" ht="15" hidden="false" customHeight="true" outlineLevel="0" collapsed="false">
      <c r="A614" s="12" t="s">
        <v>1364</v>
      </c>
      <c r="B614" s="13" t="n">
        <v>63.691</v>
      </c>
      <c r="C614" s="13" t="n">
        <v>60.6</v>
      </c>
      <c r="D614" s="12" t="s">
        <v>1365</v>
      </c>
      <c r="E614" s="12" t="s">
        <v>30</v>
      </c>
      <c r="F614" s="12" t="s">
        <v>192</v>
      </c>
      <c r="G614" s="12" t="s">
        <v>32</v>
      </c>
      <c r="H614" s="14" t="n">
        <v>46281</v>
      </c>
      <c r="I614" s="14" t="n">
        <v>46282</v>
      </c>
      <c r="J614" s="12" t="s">
        <v>33</v>
      </c>
    </row>
    <row r="615" customFormat="false" ht="15" hidden="false" customHeight="true" outlineLevel="0" collapsed="false">
      <c r="A615" s="12" t="s">
        <v>1366</v>
      </c>
      <c r="B615" s="13" t="n">
        <v>53.078</v>
      </c>
      <c r="C615" s="13" t="n">
        <v>50.5</v>
      </c>
      <c r="D615" s="12" t="s">
        <v>1367</v>
      </c>
      <c r="E615" s="12" t="s">
        <v>30</v>
      </c>
      <c r="F615" s="12" t="s">
        <v>397</v>
      </c>
      <c r="G615" s="12" t="s">
        <v>32</v>
      </c>
      <c r="H615" s="14" t="n">
        <v>46281</v>
      </c>
      <c r="I615" s="14" t="n">
        <v>46282</v>
      </c>
      <c r="J615" s="12" t="s">
        <v>33</v>
      </c>
    </row>
    <row r="616" customFormat="false" ht="15" hidden="false" customHeight="true" outlineLevel="0" collapsed="false">
      <c r="A616" s="12" t="s">
        <v>1368</v>
      </c>
      <c r="B616" s="13" t="n">
        <v>2101.79</v>
      </c>
      <c r="C616" s="13" t="n">
        <v>1999.8</v>
      </c>
      <c r="D616" s="12" t="s">
        <v>1369</v>
      </c>
      <c r="E616" s="12" t="s">
        <v>30</v>
      </c>
      <c r="F616" s="12" t="s">
        <v>1370</v>
      </c>
      <c r="G616" s="12" t="s">
        <v>32</v>
      </c>
      <c r="H616" s="14" t="n">
        <v>46281</v>
      </c>
      <c r="I616" s="14" t="n">
        <v>46282</v>
      </c>
      <c r="J616" s="12" t="s">
        <v>33</v>
      </c>
    </row>
    <row r="617" customFormat="false" ht="15" hidden="false" customHeight="true" outlineLevel="0" collapsed="false">
      <c r="A617" s="12" t="s">
        <v>1371</v>
      </c>
      <c r="B617" s="13" t="n">
        <v>127.88</v>
      </c>
      <c r="C617" s="13" t="n">
        <v>110.2</v>
      </c>
      <c r="D617" s="12" t="s">
        <v>1365</v>
      </c>
      <c r="E617" s="12" t="s">
        <v>30</v>
      </c>
      <c r="F617" s="12" t="s">
        <v>192</v>
      </c>
      <c r="G617" s="12" t="s">
        <v>32</v>
      </c>
      <c r="H617" s="14" t="n">
        <v>46281</v>
      </c>
      <c r="I617" s="14" t="n">
        <v>46282</v>
      </c>
      <c r="J617" s="12" t="s">
        <v>33</v>
      </c>
    </row>
    <row r="618" customFormat="false" ht="15" hidden="false" customHeight="true" outlineLevel="0" collapsed="false">
      <c r="A618" s="12" t="s">
        <v>1372</v>
      </c>
      <c r="B618" s="13" t="n">
        <v>21.23</v>
      </c>
      <c r="C618" s="13" t="n">
        <v>20.2</v>
      </c>
      <c r="D618" s="12" t="s">
        <v>1365</v>
      </c>
      <c r="E618" s="12" t="s">
        <v>30</v>
      </c>
      <c r="F618" s="12" t="s">
        <v>192</v>
      </c>
      <c r="G618" s="12" t="s">
        <v>32</v>
      </c>
      <c r="H618" s="14" t="n">
        <v>46281</v>
      </c>
      <c r="I618" s="14" t="n">
        <v>46282</v>
      </c>
      <c r="J618" s="12" t="s">
        <v>33</v>
      </c>
    </row>
    <row r="619" customFormat="false" ht="15" hidden="false" customHeight="true" outlineLevel="0" collapsed="false">
      <c r="A619" s="12" t="s">
        <v>1373</v>
      </c>
      <c r="B619" s="13" t="n">
        <v>63.691</v>
      </c>
      <c r="C619" s="13" t="n">
        <v>60.6</v>
      </c>
      <c r="D619" s="12" t="s">
        <v>1374</v>
      </c>
      <c r="E619" s="12" t="s">
        <v>30</v>
      </c>
      <c r="F619" s="12" t="s">
        <v>192</v>
      </c>
      <c r="G619" s="12" t="s">
        <v>32</v>
      </c>
      <c r="H619" s="14" t="n">
        <v>46281</v>
      </c>
      <c r="I619" s="14" t="n">
        <v>46282</v>
      </c>
      <c r="J619" s="12" t="s">
        <v>33</v>
      </c>
    </row>
    <row r="620" customFormat="false" ht="15" hidden="false" customHeight="true" outlineLevel="0" collapsed="false">
      <c r="A620" s="12" t="s">
        <v>1375</v>
      </c>
      <c r="B620" s="13" t="n">
        <v>373.229</v>
      </c>
      <c r="C620" s="13" t="n">
        <v>346.6</v>
      </c>
      <c r="D620" s="12" t="s">
        <v>1376</v>
      </c>
      <c r="E620" s="12" t="s">
        <v>30</v>
      </c>
      <c r="F620" s="12" t="s">
        <v>192</v>
      </c>
      <c r="G620" s="12" t="s">
        <v>32</v>
      </c>
      <c r="H620" s="14" t="n">
        <v>46281</v>
      </c>
      <c r="I620" s="14" t="n">
        <v>46282</v>
      </c>
      <c r="J620" s="12" t="s">
        <v>33</v>
      </c>
    </row>
    <row r="621" customFormat="false" ht="15" hidden="false" customHeight="true" outlineLevel="0" collapsed="false">
      <c r="A621" s="12" t="s">
        <v>1377</v>
      </c>
      <c r="B621" s="13" t="n">
        <v>59.25</v>
      </c>
      <c r="C621" s="13" t="n">
        <v>50</v>
      </c>
      <c r="D621" s="12" t="s">
        <v>1376</v>
      </c>
      <c r="E621" s="12" t="s">
        <v>30</v>
      </c>
      <c r="F621" s="12" t="s">
        <v>192</v>
      </c>
      <c r="G621" s="12" t="s">
        <v>32</v>
      </c>
      <c r="H621" s="14" t="n">
        <v>46281</v>
      </c>
      <c r="I621" s="14" t="n">
        <v>46282</v>
      </c>
      <c r="J621" s="12" t="s">
        <v>33</v>
      </c>
    </row>
    <row r="622" customFormat="false" ht="15" hidden="false" customHeight="true" outlineLevel="0" collapsed="false">
      <c r="A622" s="12" t="s">
        <v>1378</v>
      </c>
      <c r="B622" s="13" t="n">
        <v>518.494</v>
      </c>
      <c r="C622" s="13" t="n">
        <v>480.76</v>
      </c>
      <c r="D622" s="12" t="s">
        <v>1376</v>
      </c>
      <c r="E622" s="12" t="s">
        <v>30</v>
      </c>
      <c r="F622" s="12" t="s">
        <v>192</v>
      </c>
      <c r="G622" s="12" t="s">
        <v>32</v>
      </c>
      <c r="H622" s="14" t="n">
        <v>46281</v>
      </c>
      <c r="I622" s="14" t="n">
        <v>46282</v>
      </c>
      <c r="J622" s="12" t="s">
        <v>33</v>
      </c>
    </row>
    <row r="623" customFormat="false" ht="15" hidden="false" customHeight="true" outlineLevel="0" collapsed="false">
      <c r="A623" s="12" t="s">
        <v>1379</v>
      </c>
      <c r="B623" s="13" t="n">
        <v>2101.789</v>
      </c>
      <c r="C623" s="13" t="n">
        <v>1999.8</v>
      </c>
      <c r="D623" s="12" t="s">
        <v>1369</v>
      </c>
      <c r="E623" s="12" t="s">
        <v>30</v>
      </c>
      <c r="F623" s="12" t="s">
        <v>1370</v>
      </c>
      <c r="G623" s="12" t="s">
        <v>32</v>
      </c>
      <c r="H623" s="14" t="n">
        <v>46281</v>
      </c>
      <c r="I623" s="14" t="n">
        <v>46282</v>
      </c>
      <c r="J623" s="12" t="s">
        <v>254</v>
      </c>
    </row>
    <row r="624" customFormat="false" ht="15" hidden="false" customHeight="true" outlineLevel="0" collapsed="false">
      <c r="A624" s="12" t="s">
        <v>1380</v>
      </c>
      <c r="B624" s="13" t="n">
        <v>1050.895</v>
      </c>
      <c r="C624" s="13" t="n">
        <v>999.9</v>
      </c>
      <c r="D624" s="12" t="s">
        <v>1369</v>
      </c>
      <c r="E624" s="12" t="s">
        <v>30</v>
      </c>
      <c r="F624" s="12" t="s">
        <v>1370</v>
      </c>
      <c r="G624" s="12" t="s">
        <v>32</v>
      </c>
      <c r="H624" s="14" t="n">
        <v>46281</v>
      </c>
      <c r="I624" s="14" t="n">
        <v>46282</v>
      </c>
      <c r="J624" s="12" t="s">
        <v>254</v>
      </c>
    </row>
    <row r="625" customFormat="false" ht="15" hidden="false" customHeight="true" outlineLevel="0" collapsed="false">
      <c r="A625" s="12" t="s">
        <v>1381</v>
      </c>
      <c r="B625" s="13" t="n">
        <v>21.23</v>
      </c>
      <c r="C625" s="13" t="n">
        <v>20.2</v>
      </c>
      <c r="D625" s="12" t="s">
        <v>1367</v>
      </c>
      <c r="E625" s="12" t="s">
        <v>30</v>
      </c>
      <c r="F625" s="12" t="s">
        <v>397</v>
      </c>
      <c r="G625" s="12" t="s">
        <v>32</v>
      </c>
      <c r="H625" s="14" t="n">
        <v>46281</v>
      </c>
      <c r="I625" s="14" t="n">
        <v>46282</v>
      </c>
      <c r="J625" s="12" t="s">
        <v>33</v>
      </c>
    </row>
    <row r="626" customFormat="false" ht="15" hidden="false" customHeight="true" outlineLevel="0" collapsed="false">
      <c r="A626" s="12" t="s">
        <v>1382</v>
      </c>
      <c r="B626" s="13" t="n">
        <v>591.759</v>
      </c>
      <c r="C626" s="13" t="n">
        <v>545.4</v>
      </c>
      <c r="D626" s="12" t="s">
        <v>1383</v>
      </c>
      <c r="E626" s="12" t="s">
        <v>30</v>
      </c>
      <c r="F626" s="12" t="s">
        <v>243</v>
      </c>
      <c r="G626" s="12" t="s">
        <v>646</v>
      </c>
      <c r="H626" s="14" t="n">
        <v>46281</v>
      </c>
      <c r="I626" s="14" t="n">
        <v>46276</v>
      </c>
      <c r="J626" s="12" t="s">
        <v>33</v>
      </c>
    </row>
    <row r="627" customFormat="false" ht="15" hidden="false" customHeight="true" outlineLevel="0" collapsed="false">
      <c r="A627" s="12" t="s">
        <v>1384</v>
      </c>
      <c r="B627" s="13" t="n">
        <v>109.585</v>
      </c>
      <c r="C627" s="13" t="n">
        <v>101</v>
      </c>
      <c r="D627" s="12" t="s">
        <v>1385</v>
      </c>
      <c r="E627" s="12" t="s">
        <v>30</v>
      </c>
      <c r="F627" s="12" t="s">
        <v>192</v>
      </c>
      <c r="G627" s="12" t="s">
        <v>32</v>
      </c>
      <c r="H627" s="14" t="n">
        <v>46281</v>
      </c>
      <c r="I627" s="14" t="n">
        <v>46282</v>
      </c>
      <c r="J627" s="12" t="s">
        <v>33</v>
      </c>
    </row>
    <row r="628" customFormat="false" ht="15" hidden="false" customHeight="true" outlineLevel="0" collapsed="false">
      <c r="A628" s="12" t="s">
        <v>1386</v>
      </c>
      <c r="B628" s="13" t="n">
        <v>32.55</v>
      </c>
      <c r="C628" s="13" t="n">
        <v>30</v>
      </c>
      <c r="D628" s="12" t="s">
        <v>1387</v>
      </c>
      <c r="E628" s="12" t="s">
        <v>30</v>
      </c>
      <c r="F628" s="12" t="s">
        <v>168</v>
      </c>
      <c r="G628" s="12" t="s">
        <v>32</v>
      </c>
      <c r="H628" s="14" t="n">
        <v>46281</v>
      </c>
      <c r="I628" s="14" t="n">
        <v>46282</v>
      </c>
      <c r="J628" s="12" t="s">
        <v>254</v>
      </c>
    </row>
    <row r="629" customFormat="false" ht="15" hidden="false" customHeight="true" outlineLevel="0" collapsed="false">
      <c r="A629" s="12" t="s">
        <v>1388</v>
      </c>
      <c r="B629" s="13" t="n">
        <v>65.51</v>
      </c>
      <c r="C629" s="13" t="n">
        <v>60.6</v>
      </c>
      <c r="D629" s="12" t="s">
        <v>396</v>
      </c>
      <c r="E629" s="12" t="s">
        <v>30</v>
      </c>
      <c r="F629" s="12" t="s">
        <v>397</v>
      </c>
      <c r="G629" s="12" t="s">
        <v>32</v>
      </c>
      <c r="H629" s="14" t="n">
        <v>46281</v>
      </c>
      <c r="I629" s="14" t="n">
        <v>46282</v>
      </c>
      <c r="J629" s="12" t="s">
        <v>33</v>
      </c>
    </row>
    <row r="630" customFormat="false" ht="15" hidden="false" customHeight="true" outlineLevel="0" collapsed="false">
      <c r="A630" s="12" t="s">
        <v>1389</v>
      </c>
      <c r="B630" s="13" t="n">
        <v>217.454</v>
      </c>
      <c r="C630" s="13" t="n">
        <v>202</v>
      </c>
      <c r="D630" s="12" t="s">
        <v>1390</v>
      </c>
      <c r="E630" s="12" t="s">
        <v>30</v>
      </c>
      <c r="F630" s="12" t="s">
        <v>168</v>
      </c>
      <c r="G630" s="12" t="s">
        <v>32</v>
      </c>
      <c r="H630" s="14" t="n">
        <v>46281</v>
      </c>
      <c r="I630" s="14" t="n">
        <v>46282</v>
      </c>
      <c r="J630" s="12" t="s">
        <v>33</v>
      </c>
    </row>
    <row r="631" customFormat="false" ht="15" hidden="false" customHeight="true" outlineLevel="0" collapsed="false">
      <c r="A631" s="12" t="s">
        <v>1391</v>
      </c>
      <c r="B631" s="13" t="n">
        <v>2158</v>
      </c>
      <c r="C631" s="13" t="n">
        <v>2000</v>
      </c>
      <c r="D631" s="12" t="s">
        <v>1392</v>
      </c>
      <c r="E631" s="12" t="s">
        <v>30</v>
      </c>
      <c r="F631" s="12" t="s">
        <v>1393</v>
      </c>
      <c r="G631" s="12" t="s">
        <v>32</v>
      </c>
      <c r="H631" s="14" t="n">
        <v>46281</v>
      </c>
      <c r="I631" s="14" t="n">
        <v>46282</v>
      </c>
      <c r="J631" s="12" t="s">
        <v>33</v>
      </c>
    </row>
    <row r="632" customFormat="false" ht="15" hidden="false" customHeight="true" outlineLevel="0" collapsed="false">
      <c r="A632" s="12" t="s">
        <v>1394</v>
      </c>
      <c r="B632" s="13" t="n">
        <v>2158</v>
      </c>
      <c r="C632" s="13" t="n">
        <v>2000</v>
      </c>
      <c r="D632" s="12" t="s">
        <v>1392</v>
      </c>
      <c r="E632" s="12" t="s">
        <v>30</v>
      </c>
      <c r="F632" s="12" t="s">
        <v>1393</v>
      </c>
      <c r="G632" s="12" t="s">
        <v>32</v>
      </c>
      <c r="H632" s="14" t="n">
        <v>46281</v>
      </c>
      <c r="I632" s="14" t="n">
        <v>46282</v>
      </c>
      <c r="J632" s="12" t="s">
        <v>33</v>
      </c>
    </row>
    <row r="633" customFormat="false" ht="15" hidden="false" customHeight="true" outlineLevel="0" collapsed="false">
      <c r="A633" s="12" t="s">
        <v>1395</v>
      </c>
      <c r="B633" s="13" t="n">
        <v>54.449</v>
      </c>
      <c r="C633" s="13" t="n">
        <v>50.5</v>
      </c>
      <c r="D633" s="12" t="s">
        <v>1396</v>
      </c>
      <c r="E633" s="12" t="s">
        <v>30</v>
      </c>
      <c r="F633" s="12" t="s">
        <v>157</v>
      </c>
      <c r="G633" s="12" t="s">
        <v>32</v>
      </c>
      <c r="H633" s="14" t="n">
        <v>46281</v>
      </c>
      <c r="I633" s="14" t="n">
        <v>46282</v>
      </c>
      <c r="J633" s="12" t="s">
        <v>33</v>
      </c>
    </row>
    <row r="634" customFormat="false" ht="15" hidden="false" customHeight="true" outlineLevel="0" collapsed="false">
      <c r="A634" s="12" t="s">
        <v>1397</v>
      </c>
      <c r="B634" s="13" t="n">
        <v>101.882</v>
      </c>
      <c r="C634" s="13" t="n">
        <v>94.94</v>
      </c>
      <c r="D634" s="12" t="s">
        <v>1398</v>
      </c>
      <c r="E634" s="12" t="s">
        <v>30</v>
      </c>
      <c r="F634" s="12" t="s">
        <v>168</v>
      </c>
      <c r="G634" s="12" t="s">
        <v>32</v>
      </c>
      <c r="H634" s="14" t="n">
        <v>46281</v>
      </c>
      <c r="I634" s="14" t="n">
        <v>46282</v>
      </c>
      <c r="J634" s="12" t="s">
        <v>33</v>
      </c>
    </row>
    <row r="635" customFormat="false" ht="15" hidden="false" customHeight="true" outlineLevel="0" collapsed="false">
      <c r="A635" s="12" t="s">
        <v>1399</v>
      </c>
      <c r="B635" s="13" t="n">
        <v>42.46</v>
      </c>
      <c r="C635" s="13" t="n">
        <v>40.4</v>
      </c>
      <c r="D635" s="12" t="s">
        <v>1400</v>
      </c>
      <c r="E635" s="12" t="s">
        <v>30</v>
      </c>
      <c r="F635" s="12" t="s">
        <v>1401</v>
      </c>
      <c r="G635" s="12" t="s">
        <v>32</v>
      </c>
      <c r="H635" s="14" t="n">
        <v>46281</v>
      </c>
      <c r="I635" s="14" t="n">
        <v>46282</v>
      </c>
      <c r="J635" s="12" t="s">
        <v>33</v>
      </c>
    </row>
    <row r="636" customFormat="false" ht="15" hidden="false" customHeight="true" outlineLevel="0" collapsed="false">
      <c r="A636" s="12" t="s">
        <v>1402</v>
      </c>
      <c r="B636" s="13" t="n">
        <v>74.323</v>
      </c>
      <c r="C636" s="13" t="n">
        <v>68.68</v>
      </c>
      <c r="D636" s="12" t="s">
        <v>1403</v>
      </c>
      <c r="E636" s="12" t="s">
        <v>30</v>
      </c>
      <c r="F636" s="12" t="s">
        <v>182</v>
      </c>
      <c r="G636" s="12" t="s">
        <v>32</v>
      </c>
      <c r="H636" s="14" t="n">
        <v>46281</v>
      </c>
      <c r="I636" s="14" t="n">
        <v>46282</v>
      </c>
      <c r="J636" s="12" t="s">
        <v>33</v>
      </c>
    </row>
    <row r="637" customFormat="false" ht="15" hidden="false" customHeight="true" outlineLevel="0" collapsed="false">
      <c r="A637" s="12" t="s">
        <v>1404</v>
      </c>
      <c r="B637" s="13" t="n">
        <v>54.106</v>
      </c>
      <c r="C637" s="13" t="n">
        <v>50.5</v>
      </c>
      <c r="D637" s="12" t="s">
        <v>1405</v>
      </c>
      <c r="E637" s="12" t="s">
        <v>30</v>
      </c>
      <c r="F637" s="12" t="s">
        <v>1406</v>
      </c>
      <c r="G637" s="12" t="s">
        <v>32</v>
      </c>
      <c r="H637" s="14" t="n">
        <v>46281</v>
      </c>
      <c r="I637" s="14" t="n">
        <v>46282</v>
      </c>
      <c r="J637" s="12" t="s">
        <v>33</v>
      </c>
    </row>
    <row r="638" customFormat="false" ht="15" hidden="false" customHeight="true" outlineLevel="0" collapsed="false">
      <c r="A638" s="12" t="s">
        <v>1407</v>
      </c>
      <c r="B638" s="13" t="n">
        <v>97.253</v>
      </c>
      <c r="C638" s="13" t="n">
        <v>90.9</v>
      </c>
      <c r="D638" s="12" t="s">
        <v>1408</v>
      </c>
      <c r="E638" s="12" t="s">
        <v>30</v>
      </c>
      <c r="F638" s="12" t="s">
        <v>1409</v>
      </c>
      <c r="G638" s="12" t="s">
        <v>32</v>
      </c>
      <c r="H638" s="14" t="n">
        <v>46281</v>
      </c>
      <c r="I638" s="14" t="n">
        <v>46282</v>
      </c>
      <c r="J638" s="12" t="s">
        <v>33</v>
      </c>
    </row>
    <row r="639" customFormat="false" ht="15" hidden="false" customHeight="true" outlineLevel="0" collapsed="false">
      <c r="A639" s="12" t="s">
        <v>1410</v>
      </c>
      <c r="B639" s="13" t="n">
        <v>69.695</v>
      </c>
      <c r="C639" s="13" t="n">
        <v>64.64</v>
      </c>
      <c r="D639" s="12" t="s">
        <v>1411</v>
      </c>
      <c r="E639" s="12" t="s">
        <v>30</v>
      </c>
      <c r="F639" s="12" t="s">
        <v>1412</v>
      </c>
      <c r="G639" s="12" t="s">
        <v>32</v>
      </c>
      <c r="H639" s="14" t="n">
        <v>46281</v>
      </c>
      <c r="I639" s="14" t="n">
        <v>46282</v>
      </c>
      <c r="J639" s="12" t="s">
        <v>33</v>
      </c>
    </row>
    <row r="640" customFormat="false" ht="15" hidden="false" customHeight="true" outlineLevel="0" collapsed="false">
      <c r="A640" s="12" t="s">
        <v>1413</v>
      </c>
      <c r="B640" s="13" t="n">
        <v>80.996</v>
      </c>
      <c r="C640" s="13" t="n">
        <v>74.74</v>
      </c>
      <c r="D640" s="12" t="s">
        <v>1414</v>
      </c>
      <c r="E640" s="12" t="s">
        <v>30</v>
      </c>
      <c r="F640" s="12" t="s">
        <v>1415</v>
      </c>
      <c r="G640" s="12" t="s">
        <v>32</v>
      </c>
      <c r="H640" s="14" t="n">
        <v>46281</v>
      </c>
      <c r="I640" s="14" t="n">
        <v>46282</v>
      </c>
      <c r="J640" s="12" t="s">
        <v>33</v>
      </c>
    </row>
    <row r="641" customFormat="false" ht="15" hidden="false" customHeight="true" outlineLevel="0" collapsed="false">
      <c r="A641" s="12" t="s">
        <v>1416</v>
      </c>
      <c r="B641" s="13" t="n">
        <v>99.821</v>
      </c>
      <c r="C641" s="13" t="n">
        <v>90.8</v>
      </c>
      <c r="D641" s="12" t="s">
        <v>1417</v>
      </c>
      <c r="E641" s="12" t="s">
        <v>30</v>
      </c>
      <c r="F641" s="12" t="s">
        <v>168</v>
      </c>
      <c r="G641" s="12" t="s">
        <v>32</v>
      </c>
      <c r="H641" s="14" t="n">
        <v>46281</v>
      </c>
      <c r="I641" s="14" t="n">
        <v>46282</v>
      </c>
      <c r="J641" s="12" t="s">
        <v>33</v>
      </c>
    </row>
    <row r="642" customFormat="false" ht="15" hidden="false" customHeight="true" outlineLevel="0" collapsed="false">
      <c r="A642" s="12" t="s">
        <v>1418</v>
      </c>
      <c r="B642" s="13" t="n">
        <v>53.376</v>
      </c>
      <c r="C642" s="13" t="n">
        <v>48.48</v>
      </c>
      <c r="D642" s="12" t="s">
        <v>1419</v>
      </c>
      <c r="E642" s="12" t="s">
        <v>30</v>
      </c>
      <c r="F642" s="12" t="s">
        <v>168</v>
      </c>
      <c r="G642" s="12" t="s">
        <v>32</v>
      </c>
      <c r="H642" s="14" t="n">
        <v>46281</v>
      </c>
      <c r="I642" s="14" t="n">
        <v>46282</v>
      </c>
      <c r="J642" s="12" t="s">
        <v>33</v>
      </c>
    </row>
    <row r="643" customFormat="false" ht="15" hidden="false" customHeight="true" outlineLevel="0" collapsed="false">
      <c r="A643" s="12" t="s">
        <v>1420</v>
      </c>
      <c r="B643" s="13" t="n">
        <v>29.625</v>
      </c>
      <c r="C643" s="13" t="n">
        <v>25</v>
      </c>
      <c r="D643" s="12" t="s">
        <v>396</v>
      </c>
      <c r="E643" s="12" t="s">
        <v>30</v>
      </c>
      <c r="F643" s="12" t="s">
        <v>397</v>
      </c>
      <c r="G643" s="12" t="s">
        <v>32</v>
      </c>
      <c r="H643" s="14" t="n">
        <v>46281</v>
      </c>
      <c r="I643" s="14" t="n">
        <v>46282</v>
      </c>
      <c r="J643" s="12" t="s">
        <v>33</v>
      </c>
    </row>
    <row r="644" customFormat="false" ht="15" hidden="false" customHeight="true" outlineLevel="0" collapsed="false">
      <c r="A644" s="12" t="s">
        <v>1421</v>
      </c>
      <c r="B644" s="13" t="n">
        <v>383.959</v>
      </c>
      <c r="C644" s="13" t="n">
        <v>363.6</v>
      </c>
      <c r="D644" s="12" t="s">
        <v>1422</v>
      </c>
      <c r="E644" s="12" t="s">
        <v>30</v>
      </c>
      <c r="F644" s="12" t="s">
        <v>182</v>
      </c>
      <c r="G644" s="12" t="s">
        <v>32</v>
      </c>
      <c r="H644" s="14" t="n">
        <v>46281</v>
      </c>
      <c r="I644" s="14" t="n">
        <v>46282</v>
      </c>
      <c r="J644" s="12" t="s">
        <v>33</v>
      </c>
    </row>
    <row r="645" customFormat="false" ht="15" hidden="false" customHeight="true" outlineLevel="0" collapsed="false">
      <c r="A645" s="12" t="s">
        <v>1423</v>
      </c>
      <c r="B645" s="13" t="n">
        <v>151.06</v>
      </c>
      <c r="C645" s="13" t="n">
        <v>136</v>
      </c>
      <c r="D645" s="12" t="s">
        <v>1424</v>
      </c>
      <c r="E645" s="12" t="s">
        <v>30</v>
      </c>
      <c r="F645" s="12" t="s">
        <v>1425</v>
      </c>
      <c r="G645" s="12" t="s">
        <v>32</v>
      </c>
      <c r="H645" s="14" t="n">
        <v>46281</v>
      </c>
      <c r="I645" s="14" t="n">
        <v>46282</v>
      </c>
      <c r="J645" s="12" t="s">
        <v>33</v>
      </c>
    </row>
    <row r="646" customFormat="false" ht="15" hidden="false" customHeight="true" outlineLevel="0" collapsed="false">
      <c r="A646" s="12" t="s">
        <v>1426</v>
      </c>
      <c r="B646" s="13" t="n">
        <v>59.25</v>
      </c>
      <c r="C646" s="13" t="n">
        <v>50</v>
      </c>
      <c r="D646" s="12" t="s">
        <v>1427</v>
      </c>
      <c r="E646" s="12" t="s">
        <v>30</v>
      </c>
      <c r="F646" s="12" t="s">
        <v>168</v>
      </c>
      <c r="G646" s="12" t="s">
        <v>32</v>
      </c>
      <c r="H646" s="14" t="n">
        <v>46281</v>
      </c>
      <c r="I646" s="14" t="n">
        <v>46282</v>
      </c>
      <c r="J646" s="12" t="s">
        <v>33</v>
      </c>
    </row>
    <row r="647" customFormat="false" ht="15" hidden="false" customHeight="true" outlineLevel="0" collapsed="false">
      <c r="A647" s="12" t="s">
        <v>1428</v>
      </c>
      <c r="B647" s="13" t="n">
        <v>49.072</v>
      </c>
      <c r="C647" s="13" t="n">
        <v>45.4</v>
      </c>
      <c r="D647" s="12" t="s">
        <v>1429</v>
      </c>
      <c r="E647" s="12" t="s">
        <v>30</v>
      </c>
      <c r="F647" s="12" t="s">
        <v>189</v>
      </c>
      <c r="G647" s="12" t="s">
        <v>32</v>
      </c>
      <c r="H647" s="14" t="n">
        <v>46281</v>
      </c>
      <c r="I647" s="14" t="n">
        <v>46282</v>
      </c>
      <c r="J647" s="12" t="s">
        <v>33</v>
      </c>
    </row>
    <row r="648" customFormat="false" ht="15" hidden="false" customHeight="true" outlineLevel="0" collapsed="false">
      <c r="A648" s="12" t="s">
        <v>1430</v>
      </c>
      <c r="B648" s="13" t="n">
        <v>373.275</v>
      </c>
      <c r="C648" s="13" t="n">
        <v>315</v>
      </c>
      <c r="D648" s="12" t="s">
        <v>1383</v>
      </c>
      <c r="E648" s="12" t="s">
        <v>30</v>
      </c>
      <c r="F648" s="12" t="s">
        <v>243</v>
      </c>
      <c r="G648" s="12" t="s">
        <v>646</v>
      </c>
      <c r="H648" s="14" t="n">
        <v>46281</v>
      </c>
      <c r="I648" s="14" t="n">
        <v>46283</v>
      </c>
      <c r="J648" s="12" t="s">
        <v>254</v>
      </c>
    </row>
    <row r="649" customFormat="false" ht="15" hidden="false" customHeight="true" outlineLevel="0" collapsed="false">
      <c r="A649" s="12" t="s">
        <v>1431</v>
      </c>
      <c r="B649" s="13" t="n">
        <v>238.658</v>
      </c>
      <c r="C649" s="13" t="n">
        <v>219.14</v>
      </c>
      <c r="D649" s="12" t="s">
        <v>1432</v>
      </c>
      <c r="E649" s="12" t="s">
        <v>30</v>
      </c>
      <c r="F649" s="12" t="s">
        <v>189</v>
      </c>
      <c r="G649" s="12" t="s">
        <v>32</v>
      </c>
      <c r="H649" s="14" t="n">
        <v>46281</v>
      </c>
      <c r="I649" s="14" t="n">
        <v>46282</v>
      </c>
      <c r="J649" s="12" t="s">
        <v>33</v>
      </c>
    </row>
    <row r="650" customFormat="false" ht="15" hidden="false" customHeight="true" outlineLevel="0" collapsed="false">
      <c r="A650" s="12" t="s">
        <v>1433</v>
      </c>
      <c r="B650" s="13" t="n">
        <v>139.043</v>
      </c>
      <c r="C650" s="13" t="n">
        <v>120.96</v>
      </c>
      <c r="D650" s="12" t="s">
        <v>1434</v>
      </c>
      <c r="E650" s="12" t="s">
        <v>30</v>
      </c>
      <c r="F650" s="12" t="s">
        <v>157</v>
      </c>
      <c r="G650" s="12" t="s">
        <v>32</v>
      </c>
      <c r="H650" s="14" t="n">
        <v>46281</v>
      </c>
      <c r="I650" s="14" t="n">
        <v>46282</v>
      </c>
      <c r="J650" s="12" t="s">
        <v>33</v>
      </c>
    </row>
    <row r="651" customFormat="false" ht="15" hidden="false" customHeight="true" outlineLevel="0" collapsed="false">
      <c r="A651" s="12" t="s">
        <v>1435</v>
      </c>
      <c r="B651" s="13" t="n">
        <v>118.5</v>
      </c>
      <c r="C651" s="13" t="n">
        <v>100</v>
      </c>
      <c r="D651" s="12" t="s">
        <v>1436</v>
      </c>
      <c r="E651" s="12" t="s">
        <v>30</v>
      </c>
      <c r="F651" s="12" t="s">
        <v>175</v>
      </c>
      <c r="G651" s="12" t="s">
        <v>32</v>
      </c>
      <c r="H651" s="14" t="n">
        <v>46281</v>
      </c>
      <c r="I651" s="14" t="n">
        <v>46282</v>
      </c>
      <c r="J651" s="12" t="s">
        <v>33</v>
      </c>
    </row>
    <row r="652" customFormat="false" ht="15" hidden="false" customHeight="true" outlineLevel="0" collapsed="false">
      <c r="A652" s="12" t="s">
        <v>1437</v>
      </c>
      <c r="B652" s="13" t="n">
        <v>118.002</v>
      </c>
      <c r="C652" s="13" t="n">
        <v>111</v>
      </c>
      <c r="D652" s="12" t="s">
        <v>1438</v>
      </c>
      <c r="E652" s="12" t="s">
        <v>30</v>
      </c>
      <c r="F652" s="12" t="s">
        <v>168</v>
      </c>
      <c r="G652" s="12" t="s">
        <v>32</v>
      </c>
      <c r="H652" s="14" t="n">
        <v>46281</v>
      </c>
      <c r="I652" s="14" t="n">
        <v>46282</v>
      </c>
      <c r="J652" s="12" t="s">
        <v>33</v>
      </c>
    </row>
    <row r="653" customFormat="false" ht="15" hidden="false" customHeight="true" outlineLevel="0" collapsed="false">
      <c r="A653" s="12" t="s">
        <v>1439</v>
      </c>
      <c r="B653" s="13" t="n">
        <v>49.072</v>
      </c>
      <c r="C653" s="13" t="n">
        <v>45.4</v>
      </c>
      <c r="D653" s="12" t="s">
        <v>1440</v>
      </c>
      <c r="E653" s="12" t="s">
        <v>30</v>
      </c>
      <c r="F653" s="12" t="s">
        <v>1441</v>
      </c>
      <c r="G653" s="12" t="s">
        <v>32</v>
      </c>
      <c r="H653" s="14" t="n">
        <v>46281</v>
      </c>
      <c r="I653" s="14" t="n">
        <v>46282</v>
      </c>
      <c r="J653" s="12" t="s">
        <v>33</v>
      </c>
    </row>
    <row r="654" customFormat="false" ht="15" hidden="false" customHeight="true" outlineLevel="0" collapsed="false">
      <c r="A654" s="12" t="s">
        <v>1442</v>
      </c>
      <c r="B654" s="13" t="n">
        <v>52.407</v>
      </c>
      <c r="C654" s="13" t="n">
        <v>48.48</v>
      </c>
      <c r="D654" s="12" t="s">
        <v>1443</v>
      </c>
      <c r="E654" s="12" t="s">
        <v>30</v>
      </c>
      <c r="F654" s="12" t="s">
        <v>175</v>
      </c>
      <c r="G654" s="12" t="s">
        <v>32</v>
      </c>
      <c r="H654" s="14" t="n">
        <v>46281</v>
      </c>
      <c r="I654" s="14" t="n">
        <v>46282</v>
      </c>
      <c r="J654" s="12" t="s">
        <v>33</v>
      </c>
    </row>
    <row r="655" customFormat="false" ht="15" hidden="false" customHeight="true" outlineLevel="0" collapsed="false">
      <c r="A655" s="12" t="s">
        <v>1444</v>
      </c>
      <c r="B655" s="13" t="n">
        <v>68.93</v>
      </c>
      <c r="C655" s="13" t="n">
        <v>61.36</v>
      </c>
      <c r="D655" s="12" t="s">
        <v>1445</v>
      </c>
      <c r="E655" s="12" t="s">
        <v>30</v>
      </c>
      <c r="F655" s="12" t="s">
        <v>168</v>
      </c>
      <c r="G655" s="12" t="s">
        <v>32</v>
      </c>
      <c r="H655" s="14" t="n">
        <v>46281</v>
      </c>
      <c r="I655" s="14" t="n">
        <v>46282</v>
      </c>
      <c r="J655" s="12" t="s">
        <v>33</v>
      </c>
    </row>
    <row r="656" customFormat="false" ht="15" hidden="false" customHeight="true" outlineLevel="0" collapsed="false">
      <c r="A656" s="12" t="s">
        <v>1446</v>
      </c>
      <c r="B656" s="13" t="n">
        <v>67.534</v>
      </c>
      <c r="C656" s="13" t="n">
        <v>60.4</v>
      </c>
      <c r="D656" s="12" t="s">
        <v>1447</v>
      </c>
      <c r="E656" s="12" t="s">
        <v>30</v>
      </c>
      <c r="F656" s="12" t="s">
        <v>1448</v>
      </c>
      <c r="G656" s="12" t="s">
        <v>32</v>
      </c>
      <c r="H656" s="14" t="n">
        <v>46281</v>
      </c>
      <c r="I656" s="14" t="n">
        <v>46282</v>
      </c>
      <c r="J656" s="12" t="s">
        <v>33</v>
      </c>
    </row>
    <row r="657" customFormat="false" ht="15" hidden="false" customHeight="true" outlineLevel="0" collapsed="false">
      <c r="A657" s="12" t="s">
        <v>1449</v>
      </c>
      <c r="B657" s="13" t="n">
        <v>58.736</v>
      </c>
      <c r="C657" s="13" t="n">
        <v>54.54</v>
      </c>
      <c r="D657" s="12" t="s">
        <v>174</v>
      </c>
      <c r="E657" s="12" t="s">
        <v>30</v>
      </c>
      <c r="F657" s="12" t="s">
        <v>182</v>
      </c>
      <c r="G657" s="12" t="s">
        <v>32</v>
      </c>
      <c r="H657" s="14" t="n">
        <v>46281</v>
      </c>
      <c r="I657" s="14" t="n">
        <v>46282</v>
      </c>
      <c r="J657" s="12" t="s">
        <v>33</v>
      </c>
    </row>
    <row r="658" customFormat="false" ht="15" hidden="false" customHeight="true" outlineLevel="0" collapsed="false">
      <c r="A658" s="12" t="s">
        <v>1450</v>
      </c>
      <c r="B658" s="13" t="n">
        <v>39.305</v>
      </c>
      <c r="C658" s="13" t="n">
        <v>36.36</v>
      </c>
      <c r="D658" s="12" t="s">
        <v>184</v>
      </c>
      <c r="E658" s="12" t="s">
        <v>30</v>
      </c>
      <c r="F658" s="12" t="s">
        <v>168</v>
      </c>
      <c r="G658" s="12" t="s">
        <v>32</v>
      </c>
      <c r="H658" s="14" t="n">
        <v>46281</v>
      </c>
      <c r="I658" s="14" t="n">
        <v>46282</v>
      </c>
      <c r="J658" s="12" t="s">
        <v>33</v>
      </c>
    </row>
    <row r="659" customFormat="false" ht="15" hidden="false" customHeight="true" outlineLevel="0" collapsed="false">
      <c r="A659" s="12" t="s">
        <v>1451</v>
      </c>
      <c r="B659" s="13" t="n">
        <v>56.249</v>
      </c>
      <c r="C659" s="13" t="n">
        <v>52.52</v>
      </c>
      <c r="D659" s="12" t="s">
        <v>1452</v>
      </c>
      <c r="E659" s="12" t="s">
        <v>30</v>
      </c>
      <c r="F659" s="12" t="s">
        <v>1453</v>
      </c>
      <c r="G659" s="12" t="s">
        <v>32</v>
      </c>
      <c r="H659" s="14" t="n">
        <v>46281</v>
      </c>
      <c r="I659" s="14" t="n">
        <v>46282</v>
      </c>
      <c r="J659" s="12" t="s">
        <v>33</v>
      </c>
    </row>
    <row r="660" customFormat="false" ht="15" hidden="false" customHeight="true" outlineLevel="0" collapsed="false">
      <c r="A660" s="12" t="s">
        <v>1454</v>
      </c>
      <c r="B660" s="13" t="n">
        <v>56.299</v>
      </c>
      <c r="C660" s="13" t="n">
        <v>52</v>
      </c>
      <c r="D660" s="12" t="s">
        <v>1455</v>
      </c>
      <c r="E660" s="12" t="s">
        <v>30</v>
      </c>
      <c r="F660" s="12" t="s">
        <v>1425</v>
      </c>
      <c r="G660" s="12" t="s">
        <v>32</v>
      </c>
      <c r="H660" s="14" t="n">
        <v>46281</v>
      </c>
      <c r="I660" s="14" t="n">
        <v>46282</v>
      </c>
      <c r="J660" s="12" t="s">
        <v>33</v>
      </c>
    </row>
    <row r="661" customFormat="false" ht="15" hidden="false" customHeight="true" outlineLevel="0" collapsed="false">
      <c r="A661" s="12" t="s">
        <v>1456</v>
      </c>
      <c r="B661" s="13" t="n">
        <v>229.68</v>
      </c>
      <c r="C661" s="13" t="n">
        <v>208.8</v>
      </c>
      <c r="D661" s="12" t="s">
        <v>1369</v>
      </c>
      <c r="E661" s="12" t="s">
        <v>30</v>
      </c>
      <c r="F661" s="12" t="s">
        <v>1370</v>
      </c>
      <c r="G661" s="12" t="s">
        <v>32</v>
      </c>
      <c r="H661" s="14" t="n">
        <v>46281</v>
      </c>
      <c r="I661" s="14" t="n">
        <v>46282</v>
      </c>
      <c r="J661" s="12" t="s">
        <v>33</v>
      </c>
    </row>
    <row r="662" customFormat="false" ht="15" hidden="false" customHeight="true" outlineLevel="0" collapsed="false">
      <c r="A662" s="12" t="s">
        <v>1457</v>
      </c>
      <c r="B662" s="13" t="n">
        <v>66.18</v>
      </c>
      <c r="C662" s="13" t="n">
        <v>60</v>
      </c>
      <c r="D662" s="12" t="s">
        <v>1369</v>
      </c>
      <c r="E662" s="12" t="s">
        <v>30</v>
      </c>
      <c r="F662" s="12" t="s">
        <v>1370</v>
      </c>
      <c r="G662" s="12" t="s">
        <v>32</v>
      </c>
      <c r="H662" s="14" t="n">
        <v>46281</v>
      </c>
      <c r="I662" s="14" t="n">
        <v>46282</v>
      </c>
      <c r="J662" s="12" t="s">
        <v>33</v>
      </c>
    </row>
    <row r="663" customFormat="false" ht="15" hidden="false" customHeight="true" outlineLevel="0" collapsed="false">
      <c r="A663" s="12" t="s">
        <v>1458</v>
      </c>
      <c r="B663" s="13" t="n">
        <v>109.585</v>
      </c>
      <c r="C663" s="13" t="n">
        <v>101</v>
      </c>
      <c r="D663" s="12" t="s">
        <v>188</v>
      </c>
      <c r="E663" s="12" t="s">
        <v>30</v>
      </c>
      <c r="F663" s="12" t="s">
        <v>189</v>
      </c>
      <c r="G663" s="12" t="s">
        <v>32</v>
      </c>
      <c r="H663" s="14" t="n">
        <v>46281</v>
      </c>
      <c r="I663" s="14" t="n">
        <v>46282</v>
      </c>
      <c r="J663" s="12" t="s">
        <v>33</v>
      </c>
    </row>
    <row r="664" customFormat="false" ht="15" hidden="false" customHeight="true" outlineLevel="0" collapsed="false">
      <c r="A664" s="12" t="s">
        <v>1459</v>
      </c>
      <c r="B664" s="13" t="n">
        <v>106.92</v>
      </c>
      <c r="C664" s="13" t="n">
        <v>97.2</v>
      </c>
      <c r="D664" s="12" t="s">
        <v>1460</v>
      </c>
      <c r="E664" s="12" t="s">
        <v>30</v>
      </c>
      <c r="F664" s="12" t="s">
        <v>168</v>
      </c>
      <c r="G664" s="12" t="s">
        <v>32</v>
      </c>
      <c r="H664" s="14" t="n">
        <v>46281</v>
      </c>
      <c r="I664" s="14" t="n">
        <v>46282</v>
      </c>
      <c r="J664" s="12" t="s">
        <v>33</v>
      </c>
    </row>
    <row r="665" customFormat="false" ht="15" hidden="false" customHeight="true" outlineLevel="0" collapsed="false">
      <c r="A665" s="12" t="s">
        <v>1461</v>
      </c>
      <c r="B665" s="13" t="n">
        <v>318.452</v>
      </c>
      <c r="C665" s="13" t="n">
        <v>303</v>
      </c>
      <c r="D665" s="12" t="s">
        <v>1462</v>
      </c>
      <c r="E665" s="12" t="s">
        <v>30</v>
      </c>
      <c r="F665" s="12" t="s">
        <v>239</v>
      </c>
      <c r="G665" s="12" t="s">
        <v>646</v>
      </c>
      <c r="H665" s="14" t="n">
        <v>46281</v>
      </c>
      <c r="I665" s="14" t="n">
        <v>46283</v>
      </c>
      <c r="J665" s="12" t="s">
        <v>354</v>
      </c>
    </row>
    <row r="666" customFormat="false" ht="15" hidden="false" customHeight="true" outlineLevel="0" collapsed="false">
      <c r="A666" s="12" t="s">
        <v>1463</v>
      </c>
      <c r="B666" s="13" t="n">
        <v>281.391</v>
      </c>
      <c r="C666" s="13" t="n">
        <v>261.14</v>
      </c>
      <c r="D666" s="12" t="s">
        <v>1464</v>
      </c>
      <c r="E666" s="12" t="s">
        <v>30</v>
      </c>
      <c r="F666" s="12" t="s">
        <v>1465</v>
      </c>
      <c r="G666" s="12" t="s">
        <v>37</v>
      </c>
      <c r="H666" s="14" t="n">
        <v>46281</v>
      </c>
      <c r="I666" s="14" t="n">
        <v>46281</v>
      </c>
      <c r="J666" s="12" t="s">
        <v>33</v>
      </c>
    </row>
    <row r="667" customFormat="false" ht="15" hidden="false" customHeight="true" outlineLevel="0" collapsed="false">
      <c r="A667" s="12" t="s">
        <v>1466</v>
      </c>
      <c r="B667" s="13" t="n">
        <v>93.852</v>
      </c>
      <c r="C667" s="13" t="n">
        <v>87.1</v>
      </c>
      <c r="D667" s="12" t="s">
        <v>1467</v>
      </c>
      <c r="E667" s="12" t="s">
        <v>30</v>
      </c>
      <c r="F667" s="12" t="s">
        <v>522</v>
      </c>
      <c r="G667" s="12" t="s">
        <v>41</v>
      </c>
      <c r="H667" s="14" t="n">
        <v>46281</v>
      </c>
      <c r="I667" s="14" t="n">
        <v>46281</v>
      </c>
      <c r="J667" s="12" t="s">
        <v>33</v>
      </c>
    </row>
    <row r="668" customFormat="false" ht="15" hidden="false" customHeight="true" outlineLevel="0" collapsed="false">
      <c r="A668" s="12" t="s">
        <v>1468</v>
      </c>
      <c r="B668" s="13" t="n">
        <v>152.815</v>
      </c>
      <c r="C668" s="13" t="n">
        <v>143.42</v>
      </c>
      <c r="D668" s="12" t="s">
        <v>1469</v>
      </c>
      <c r="E668" s="12" t="s">
        <v>30</v>
      </c>
      <c r="F668" s="12" t="s">
        <v>192</v>
      </c>
      <c r="G668" s="12" t="s">
        <v>32</v>
      </c>
      <c r="H668" s="14" t="n">
        <v>46281</v>
      </c>
      <c r="I668" s="14" t="n">
        <v>46282</v>
      </c>
      <c r="J668" s="12" t="s">
        <v>33</v>
      </c>
    </row>
    <row r="669" customFormat="false" ht="15" hidden="false" customHeight="true" outlineLevel="0" collapsed="false">
      <c r="A669" s="12" t="s">
        <v>1470</v>
      </c>
      <c r="B669" s="13" t="n">
        <v>200.768</v>
      </c>
      <c r="C669" s="13" t="n">
        <v>192</v>
      </c>
      <c r="D669" s="12" t="s">
        <v>495</v>
      </c>
      <c r="E669" s="12" t="s">
        <v>30</v>
      </c>
      <c r="F669" s="12" t="s">
        <v>40</v>
      </c>
      <c r="G669" s="12" t="s">
        <v>41</v>
      </c>
      <c r="H669" s="14" t="n">
        <v>46281</v>
      </c>
      <c r="I669" s="14" t="n">
        <v>46281</v>
      </c>
      <c r="J669" s="12" t="s">
        <v>254</v>
      </c>
    </row>
    <row r="670" customFormat="false" ht="15" hidden="false" customHeight="true" outlineLevel="0" collapsed="false">
      <c r="A670" s="12" t="s">
        <v>1471</v>
      </c>
      <c r="B670" s="13" t="n">
        <v>75.285</v>
      </c>
      <c r="C670" s="13" t="n">
        <v>72</v>
      </c>
      <c r="D670" s="12" t="s">
        <v>136</v>
      </c>
      <c r="E670" s="12" t="s">
        <v>30</v>
      </c>
      <c r="F670" s="12" t="s">
        <v>137</v>
      </c>
      <c r="G670" s="12" t="s">
        <v>41</v>
      </c>
      <c r="H670" s="14" t="n">
        <v>46281</v>
      </c>
      <c r="I670" s="14" t="n">
        <v>46281</v>
      </c>
      <c r="J670" s="12" t="s">
        <v>254</v>
      </c>
    </row>
    <row r="671" customFormat="false" ht="15" hidden="false" customHeight="true" outlineLevel="0" collapsed="false">
      <c r="A671" s="12" t="s">
        <v>1472</v>
      </c>
      <c r="B671" s="13" t="n">
        <v>513.492</v>
      </c>
      <c r="C671" s="13" t="n">
        <v>476.32</v>
      </c>
      <c r="D671" s="12" t="s">
        <v>1046</v>
      </c>
      <c r="E671" s="12" t="s">
        <v>30</v>
      </c>
      <c r="F671" s="12" t="s">
        <v>1047</v>
      </c>
      <c r="G671" s="12" t="s">
        <v>45</v>
      </c>
      <c r="H671" s="14" t="n">
        <v>46281</v>
      </c>
      <c r="I671" s="14" t="n">
        <v>46281</v>
      </c>
      <c r="J671" s="12" t="s">
        <v>33</v>
      </c>
    </row>
    <row r="672" customFormat="false" ht="15" hidden="false" customHeight="true" outlineLevel="0" collapsed="false">
      <c r="A672" s="12" t="s">
        <v>1473</v>
      </c>
      <c r="B672" s="13" t="n">
        <v>424.661</v>
      </c>
      <c r="C672" s="13" t="n">
        <v>392.84</v>
      </c>
      <c r="D672" s="12" t="s">
        <v>1474</v>
      </c>
      <c r="E672" s="12" t="s">
        <v>30</v>
      </c>
      <c r="F672" s="12" t="s">
        <v>142</v>
      </c>
      <c r="G672" s="12" t="s">
        <v>37</v>
      </c>
      <c r="H672" s="14" t="n">
        <v>46281</v>
      </c>
      <c r="I672" s="14" t="n">
        <v>46281</v>
      </c>
      <c r="J672" s="12" t="s">
        <v>33</v>
      </c>
    </row>
    <row r="673" customFormat="false" ht="15" hidden="false" customHeight="true" outlineLevel="0" collapsed="false">
      <c r="A673" s="12" t="s">
        <v>1475</v>
      </c>
      <c r="B673" s="13" t="n">
        <v>262.034</v>
      </c>
      <c r="C673" s="13" t="n">
        <v>242.4</v>
      </c>
      <c r="D673" s="12" t="s">
        <v>493</v>
      </c>
      <c r="E673" s="12" t="s">
        <v>30</v>
      </c>
      <c r="F673" s="12" t="s">
        <v>465</v>
      </c>
      <c r="G673" s="12" t="s">
        <v>37</v>
      </c>
      <c r="H673" s="14" t="n">
        <v>46281</v>
      </c>
      <c r="I673" s="14" t="n">
        <v>46281</v>
      </c>
      <c r="J673" s="12" t="s">
        <v>33</v>
      </c>
    </row>
    <row r="674" customFormat="false" ht="15" hidden="false" customHeight="true" outlineLevel="0" collapsed="false">
      <c r="A674" s="12" t="s">
        <v>1476</v>
      </c>
      <c r="B674" s="13" t="n">
        <v>534.059</v>
      </c>
      <c r="C674" s="13" t="n">
        <v>497.9</v>
      </c>
      <c r="D674" s="12" t="s">
        <v>1477</v>
      </c>
      <c r="E674" s="12" t="s">
        <v>30</v>
      </c>
      <c r="F674" s="12" t="s">
        <v>1478</v>
      </c>
      <c r="G674" s="12" t="s">
        <v>37</v>
      </c>
      <c r="H674" s="14" t="n">
        <v>46281</v>
      </c>
      <c r="I674" s="14" t="n">
        <v>46281</v>
      </c>
      <c r="J674" s="12" t="s">
        <v>33</v>
      </c>
    </row>
    <row r="675" customFormat="false" ht="15" hidden="false" customHeight="true" outlineLevel="0" collapsed="false">
      <c r="A675" s="12" t="s">
        <v>1479</v>
      </c>
      <c r="B675" s="13" t="n">
        <v>106.305</v>
      </c>
      <c r="C675" s="13" t="n">
        <v>101</v>
      </c>
      <c r="D675" s="12" t="s">
        <v>495</v>
      </c>
      <c r="E675" s="12" t="s">
        <v>30</v>
      </c>
      <c r="F675" s="12" t="s">
        <v>40</v>
      </c>
      <c r="G675" s="12" t="s">
        <v>41</v>
      </c>
      <c r="H675" s="14" t="n">
        <v>46281</v>
      </c>
      <c r="I675" s="14" t="n">
        <v>46281</v>
      </c>
      <c r="J675" s="12" t="s">
        <v>254</v>
      </c>
    </row>
    <row r="676" customFormat="false" ht="15" hidden="false" customHeight="true" outlineLevel="0" collapsed="false">
      <c r="A676" s="12" t="s">
        <v>1480</v>
      </c>
      <c r="B676" s="13" t="n">
        <v>399.212</v>
      </c>
      <c r="C676" s="13" t="n">
        <v>364.3</v>
      </c>
      <c r="D676" s="12" t="s">
        <v>628</v>
      </c>
      <c r="E676" s="12" t="s">
        <v>30</v>
      </c>
      <c r="F676" s="12" t="s">
        <v>1481</v>
      </c>
      <c r="G676" s="12" t="s">
        <v>45</v>
      </c>
      <c r="H676" s="14" t="n">
        <v>46281</v>
      </c>
      <c r="I676" s="14" t="n">
        <v>46281</v>
      </c>
      <c r="J676" s="12" t="s">
        <v>33</v>
      </c>
    </row>
    <row r="677" customFormat="false" ht="15" hidden="false" customHeight="true" outlineLevel="0" collapsed="false">
      <c r="A677" s="12" t="s">
        <v>1482</v>
      </c>
      <c r="B677" s="13" t="n">
        <v>367.118</v>
      </c>
      <c r="C677" s="13" t="n">
        <v>339.12</v>
      </c>
      <c r="D677" s="12" t="s">
        <v>1483</v>
      </c>
      <c r="E677" s="12" t="s">
        <v>30</v>
      </c>
      <c r="F677" s="12" t="s">
        <v>111</v>
      </c>
      <c r="G677" s="12" t="s">
        <v>45</v>
      </c>
      <c r="H677" s="14" t="n">
        <v>46281</v>
      </c>
      <c r="I677" s="14" t="n">
        <v>46281</v>
      </c>
      <c r="J677" s="12" t="s">
        <v>33</v>
      </c>
    </row>
    <row r="678" customFormat="false" ht="15" hidden="false" customHeight="true" outlineLevel="0" collapsed="false">
      <c r="A678" s="12" t="s">
        <v>1484</v>
      </c>
      <c r="B678" s="13" t="n">
        <v>242.157</v>
      </c>
      <c r="C678" s="13" t="n">
        <v>224.22</v>
      </c>
      <c r="D678" s="12" t="s">
        <v>1020</v>
      </c>
      <c r="E678" s="12" t="s">
        <v>30</v>
      </c>
      <c r="F678" s="12" t="s">
        <v>1021</v>
      </c>
      <c r="G678" s="12" t="s">
        <v>45</v>
      </c>
      <c r="H678" s="14" t="n">
        <v>46281</v>
      </c>
      <c r="I678" s="14" t="n">
        <v>46281</v>
      </c>
      <c r="J678" s="12" t="s">
        <v>33</v>
      </c>
    </row>
    <row r="679" customFormat="false" ht="15" hidden="false" customHeight="true" outlineLevel="0" collapsed="false">
      <c r="A679" s="12" t="s">
        <v>1485</v>
      </c>
      <c r="B679" s="13" t="n">
        <v>220.654</v>
      </c>
      <c r="C679" s="13" t="n">
        <v>205.54</v>
      </c>
      <c r="D679" s="12" t="s">
        <v>1486</v>
      </c>
      <c r="E679" s="12" t="s">
        <v>30</v>
      </c>
      <c r="F679" s="12" t="s">
        <v>145</v>
      </c>
      <c r="G679" s="12" t="s">
        <v>41</v>
      </c>
      <c r="H679" s="14" t="n">
        <v>46281</v>
      </c>
      <c r="I679" s="14" t="n">
        <v>46281</v>
      </c>
      <c r="J679" s="12" t="s">
        <v>33</v>
      </c>
    </row>
    <row r="680" customFormat="false" ht="15" hidden="false" customHeight="true" outlineLevel="0" collapsed="false">
      <c r="A680" s="12" t="s">
        <v>1487</v>
      </c>
      <c r="B680" s="13" t="n">
        <v>53.185</v>
      </c>
      <c r="C680" s="13" t="n">
        <v>49.2</v>
      </c>
      <c r="D680" s="12" t="s">
        <v>1488</v>
      </c>
      <c r="E680" s="12" t="s">
        <v>30</v>
      </c>
      <c r="F680" s="12" t="s">
        <v>239</v>
      </c>
      <c r="G680" s="12" t="s">
        <v>646</v>
      </c>
      <c r="H680" s="14" t="n">
        <v>46281</v>
      </c>
      <c r="I680" s="14" t="n">
        <v>46283</v>
      </c>
      <c r="J680" s="12" t="s">
        <v>354</v>
      </c>
    </row>
    <row r="681" customFormat="false" ht="15" hidden="false" customHeight="true" outlineLevel="0" collapsed="false">
      <c r="A681" s="12" t="s">
        <v>1489</v>
      </c>
      <c r="B681" s="13" t="n">
        <v>354.186</v>
      </c>
      <c r="C681" s="13" t="n">
        <v>326.3</v>
      </c>
      <c r="D681" s="12" t="s">
        <v>1490</v>
      </c>
      <c r="E681" s="12" t="s">
        <v>30</v>
      </c>
      <c r="F681" s="12" t="s">
        <v>98</v>
      </c>
      <c r="G681" s="12" t="s">
        <v>37</v>
      </c>
      <c r="H681" s="14" t="n">
        <v>46281</v>
      </c>
      <c r="I681" s="14" t="n">
        <v>46281</v>
      </c>
      <c r="J681" s="12" t="s">
        <v>33</v>
      </c>
    </row>
    <row r="682" customFormat="false" ht="15" hidden="false" customHeight="true" outlineLevel="0" collapsed="false">
      <c r="A682" s="12" t="s">
        <v>1491</v>
      </c>
      <c r="B682" s="13" t="n">
        <v>363.777</v>
      </c>
      <c r="C682" s="13" t="n">
        <v>336.52</v>
      </c>
      <c r="D682" s="12" t="s">
        <v>1492</v>
      </c>
      <c r="E682" s="12" t="s">
        <v>30</v>
      </c>
      <c r="F682" s="12" t="s">
        <v>1493</v>
      </c>
      <c r="G682" s="12" t="s">
        <v>41</v>
      </c>
      <c r="H682" s="14" t="n">
        <v>46281</v>
      </c>
      <c r="I682" s="14" t="n">
        <v>46281</v>
      </c>
      <c r="J682" s="12" t="s">
        <v>33</v>
      </c>
    </row>
    <row r="683" customFormat="false" ht="15" hidden="false" customHeight="true" outlineLevel="0" collapsed="false">
      <c r="A683" s="12" t="s">
        <v>1494</v>
      </c>
      <c r="B683" s="13" t="n">
        <v>221.803</v>
      </c>
      <c r="C683" s="13" t="n">
        <v>203.06</v>
      </c>
      <c r="D683" s="12" t="s">
        <v>1495</v>
      </c>
      <c r="E683" s="12" t="s">
        <v>30</v>
      </c>
      <c r="F683" s="12" t="s">
        <v>92</v>
      </c>
      <c r="G683" s="12" t="s">
        <v>45</v>
      </c>
      <c r="H683" s="14" t="n">
        <v>46281</v>
      </c>
      <c r="I683" s="14" t="n">
        <v>46281</v>
      </c>
      <c r="J683" s="12" t="s">
        <v>33</v>
      </c>
    </row>
    <row r="684" customFormat="false" ht="15" hidden="false" customHeight="true" outlineLevel="0" collapsed="false">
      <c r="A684" s="12" t="s">
        <v>1496</v>
      </c>
      <c r="B684" s="13" t="n">
        <v>194.88</v>
      </c>
      <c r="C684" s="13" t="n">
        <v>176.44</v>
      </c>
      <c r="D684" s="12" t="s">
        <v>1497</v>
      </c>
      <c r="E684" s="12" t="s">
        <v>30</v>
      </c>
      <c r="F684" s="12" t="s">
        <v>1498</v>
      </c>
      <c r="G684" s="12" t="s">
        <v>45</v>
      </c>
      <c r="H684" s="14" t="n">
        <v>46281</v>
      </c>
      <c r="I684" s="14" t="n">
        <v>46281</v>
      </c>
      <c r="J684" s="12" t="s">
        <v>33</v>
      </c>
    </row>
    <row r="685" customFormat="false" ht="15" hidden="false" customHeight="true" outlineLevel="0" collapsed="false">
      <c r="A685" s="12" t="s">
        <v>1499</v>
      </c>
      <c r="B685" s="13" t="n">
        <v>99.282</v>
      </c>
      <c r="C685" s="13" t="n">
        <v>91.44</v>
      </c>
      <c r="D685" s="12" t="s">
        <v>1500</v>
      </c>
      <c r="E685" s="12" t="s">
        <v>30</v>
      </c>
      <c r="F685" s="12" t="s">
        <v>1501</v>
      </c>
      <c r="G685" s="12" t="s">
        <v>45</v>
      </c>
      <c r="H685" s="14" t="n">
        <v>46281</v>
      </c>
      <c r="I685" s="14" t="n">
        <v>46281</v>
      </c>
      <c r="J685" s="12" t="s">
        <v>33</v>
      </c>
    </row>
    <row r="686" customFormat="false" ht="15" hidden="false" customHeight="true" outlineLevel="0" collapsed="false">
      <c r="A686" s="12" t="s">
        <v>1502</v>
      </c>
      <c r="B686" s="13" t="n">
        <v>264.288</v>
      </c>
      <c r="C686" s="13" t="n">
        <v>243.2</v>
      </c>
      <c r="D686" s="12" t="s">
        <v>1503</v>
      </c>
      <c r="E686" s="12" t="s">
        <v>30</v>
      </c>
      <c r="F686" s="12" t="s">
        <v>1504</v>
      </c>
      <c r="G686" s="12" t="s">
        <v>41</v>
      </c>
      <c r="H686" s="14" t="n">
        <v>46281</v>
      </c>
      <c r="I686" s="14" t="n">
        <v>46281</v>
      </c>
      <c r="J686" s="12" t="s">
        <v>33</v>
      </c>
    </row>
    <row r="687" customFormat="false" ht="15" hidden="false" customHeight="true" outlineLevel="0" collapsed="false">
      <c r="A687" s="12" t="s">
        <v>1505</v>
      </c>
      <c r="B687" s="13" t="n">
        <v>232.997</v>
      </c>
      <c r="C687" s="13" t="n">
        <v>212.16</v>
      </c>
      <c r="D687" s="12" t="s">
        <v>1506</v>
      </c>
      <c r="E687" s="12" t="s">
        <v>30</v>
      </c>
      <c r="F687" s="12" t="s">
        <v>40</v>
      </c>
      <c r="G687" s="12" t="s">
        <v>41</v>
      </c>
      <c r="H687" s="14" t="n">
        <v>46281</v>
      </c>
      <c r="I687" s="14" t="n">
        <v>46281</v>
      </c>
      <c r="J687" s="12" t="s">
        <v>33</v>
      </c>
    </row>
    <row r="688" customFormat="false" ht="15" hidden="false" customHeight="true" outlineLevel="0" collapsed="false">
      <c r="A688" s="12" t="s">
        <v>1507</v>
      </c>
      <c r="B688" s="13" t="n">
        <v>222.729</v>
      </c>
      <c r="C688" s="13" t="n">
        <v>206.04</v>
      </c>
      <c r="D688" s="12" t="s">
        <v>47</v>
      </c>
      <c r="E688" s="12" t="s">
        <v>30</v>
      </c>
      <c r="F688" s="12" t="s">
        <v>48</v>
      </c>
      <c r="G688" s="12" t="s">
        <v>37</v>
      </c>
      <c r="H688" s="14" t="n">
        <v>46281</v>
      </c>
      <c r="I688" s="14" t="n">
        <v>46281</v>
      </c>
      <c r="J688" s="12" t="s">
        <v>33</v>
      </c>
    </row>
    <row r="689" customFormat="false" ht="15" hidden="false" customHeight="true" outlineLevel="0" collapsed="false">
      <c r="A689" s="12" t="s">
        <v>1508</v>
      </c>
      <c r="B689" s="13" t="n">
        <v>204.191</v>
      </c>
      <c r="C689" s="13" t="n">
        <v>191.9</v>
      </c>
      <c r="D689" s="12" t="s">
        <v>1509</v>
      </c>
      <c r="E689" s="12" t="s">
        <v>30</v>
      </c>
      <c r="F689" s="12" t="s">
        <v>1510</v>
      </c>
      <c r="G689" s="12" t="s">
        <v>37</v>
      </c>
      <c r="H689" s="14" t="n">
        <v>46281</v>
      </c>
      <c r="I689" s="14" t="n">
        <v>46281</v>
      </c>
      <c r="J689" s="12" t="s">
        <v>33</v>
      </c>
    </row>
    <row r="690" customFormat="false" ht="15" hidden="false" customHeight="true" outlineLevel="0" collapsed="false">
      <c r="A690" s="12" t="s">
        <v>1511</v>
      </c>
      <c r="B690" s="13" t="n">
        <v>236.665</v>
      </c>
      <c r="C690" s="13" t="n">
        <v>216.7</v>
      </c>
      <c r="D690" s="12" t="s">
        <v>1512</v>
      </c>
      <c r="E690" s="12" t="s">
        <v>30</v>
      </c>
      <c r="F690" s="12" t="s">
        <v>1513</v>
      </c>
      <c r="G690" s="12" t="s">
        <v>37</v>
      </c>
      <c r="H690" s="14" t="n">
        <v>46281</v>
      </c>
      <c r="I690" s="14" t="n">
        <v>46281</v>
      </c>
      <c r="J690" s="12" t="s">
        <v>33</v>
      </c>
    </row>
    <row r="691" customFormat="false" ht="15" hidden="false" customHeight="true" outlineLevel="0" collapsed="false">
      <c r="A691" s="12" t="s">
        <v>1514</v>
      </c>
      <c r="B691" s="13" t="n">
        <v>296.266</v>
      </c>
      <c r="C691" s="13" t="n">
        <v>274.72</v>
      </c>
      <c r="D691" s="12" t="s">
        <v>1515</v>
      </c>
      <c r="E691" s="12" t="s">
        <v>30</v>
      </c>
      <c r="F691" s="12" t="s">
        <v>1516</v>
      </c>
      <c r="G691" s="12" t="s">
        <v>41</v>
      </c>
      <c r="H691" s="14" t="n">
        <v>46281</v>
      </c>
      <c r="I691" s="14" t="n">
        <v>46281</v>
      </c>
      <c r="J691" s="12" t="s">
        <v>33</v>
      </c>
    </row>
    <row r="692" customFormat="false" ht="15" hidden="false" customHeight="true" outlineLevel="0" collapsed="false">
      <c r="A692" s="12" t="s">
        <v>1517</v>
      </c>
      <c r="B692" s="13" t="n">
        <v>280.364</v>
      </c>
      <c r="C692" s="13" t="n">
        <v>258.56</v>
      </c>
      <c r="D692" s="12" t="s">
        <v>1518</v>
      </c>
      <c r="E692" s="12" t="s">
        <v>30</v>
      </c>
      <c r="F692" s="12" t="s">
        <v>142</v>
      </c>
      <c r="G692" s="12" t="s">
        <v>37</v>
      </c>
      <c r="H692" s="14" t="n">
        <v>46281</v>
      </c>
      <c r="I692" s="14" t="n">
        <v>46281</v>
      </c>
      <c r="J692" s="12" t="s">
        <v>33</v>
      </c>
    </row>
    <row r="693" customFormat="false" ht="15" hidden="false" customHeight="true" outlineLevel="0" collapsed="false">
      <c r="A693" s="12" t="s">
        <v>1519</v>
      </c>
      <c r="B693" s="13" t="n">
        <v>334.402</v>
      </c>
      <c r="C693" s="13" t="n">
        <v>315.12</v>
      </c>
      <c r="D693" s="12" t="s">
        <v>1520</v>
      </c>
      <c r="E693" s="12" t="s">
        <v>30</v>
      </c>
      <c r="F693" s="12" t="s">
        <v>1126</v>
      </c>
      <c r="G693" s="12" t="s">
        <v>37</v>
      </c>
      <c r="H693" s="14" t="n">
        <v>46281</v>
      </c>
      <c r="I693" s="14" t="n">
        <v>46281</v>
      </c>
      <c r="J693" s="12" t="s">
        <v>33</v>
      </c>
    </row>
    <row r="694" customFormat="false" ht="15" hidden="false" customHeight="true" outlineLevel="0" collapsed="false">
      <c r="A694" s="12" t="s">
        <v>1521</v>
      </c>
      <c r="B694" s="13" t="n">
        <v>273.685</v>
      </c>
      <c r="C694" s="13" t="n">
        <v>254.96</v>
      </c>
      <c r="D694" s="12" t="s">
        <v>1477</v>
      </c>
      <c r="E694" s="12" t="s">
        <v>30</v>
      </c>
      <c r="F694" s="12" t="s">
        <v>1478</v>
      </c>
      <c r="G694" s="12" t="s">
        <v>37</v>
      </c>
      <c r="H694" s="14" t="n">
        <v>46281</v>
      </c>
      <c r="I694" s="14" t="n">
        <v>46281</v>
      </c>
      <c r="J694" s="12" t="s">
        <v>33</v>
      </c>
    </row>
    <row r="695" customFormat="false" ht="15" hidden="false" customHeight="true" outlineLevel="0" collapsed="false">
      <c r="A695" s="12" t="s">
        <v>1522</v>
      </c>
      <c r="B695" s="13" t="n">
        <v>181.157</v>
      </c>
      <c r="C695" s="13" t="n">
        <v>168.74</v>
      </c>
      <c r="D695" s="12" t="s">
        <v>1523</v>
      </c>
      <c r="E695" s="12" t="s">
        <v>30</v>
      </c>
      <c r="F695" s="12" t="s">
        <v>98</v>
      </c>
      <c r="G695" s="12" t="s">
        <v>37</v>
      </c>
      <c r="H695" s="14" t="n">
        <v>46281</v>
      </c>
      <c r="I695" s="14" t="n">
        <v>46281</v>
      </c>
      <c r="J695" s="12" t="s">
        <v>33</v>
      </c>
    </row>
    <row r="696" customFormat="false" ht="15" hidden="false" customHeight="true" outlineLevel="0" collapsed="false">
      <c r="A696" s="12" t="s">
        <v>1524</v>
      </c>
      <c r="B696" s="13" t="n">
        <v>217.974</v>
      </c>
      <c r="C696" s="13" t="n">
        <v>203.08</v>
      </c>
      <c r="D696" s="12" t="s">
        <v>1525</v>
      </c>
      <c r="E696" s="12" t="s">
        <v>30</v>
      </c>
      <c r="F696" s="12" t="s">
        <v>98</v>
      </c>
      <c r="G696" s="12" t="s">
        <v>37</v>
      </c>
      <c r="H696" s="14" t="n">
        <v>46281</v>
      </c>
      <c r="I696" s="14" t="n">
        <v>46281</v>
      </c>
      <c r="J696" s="12" t="s">
        <v>33</v>
      </c>
    </row>
    <row r="697" customFormat="false" ht="15" hidden="false" customHeight="true" outlineLevel="0" collapsed="false">
      <c r="A697" s="12" t="s">
        <v>1526</v>
      </c>
      <c r="B697" s="13" t="n">
        <v>305.381</v>
      </c>
      <c r="C697" s="13" t="n">
        <v>285.9</v>
      </c>
      <c r="D697" s="12" t="s">
        <v>1527</v>
      </c>
      <c r="E697" s="12" t="s">
        <v>30</v>
      </c>
      <c r="F697" s="12" t="s">
        <v>465</v>
      </c>
      <c r="G697" s="12" t="s">
        <v>37</v>
      </c>
      <c r="H697" s="14" t="n">
        <v>46281</v>
      </c>
      <c r="I697" s="14" t="n">
        <v>46281</v>
      </c>
      <c r="J697" s="12" t="s">
        <v>33</v>
      </c>
    </row>
    <row r="698" customFormat="false" ht="15" hidden="false" customHeight="true" outlineLevel="0" collapsed="false">
      <c r="A698" s="12" t="s">
        <v>1528</v>
      </c>
      <c r="B698" s="13" t="n">
        <v>170.32</v>
      </c>
      <c r="C698" s="13" t="n">
        <v>157.56</v>
      </c>
      <c r="D698" s="12" t="s">
        <v>1529</v>
      </c>
      <c r="E698" s="12" t="s">
        <v>30</v>
      </c>
      <c r="F698" s="12" t="s">
        <v>40</v>
      </c>
      <c r="G698" s="12" t="s">
        <v>41</v>
      </c>
      <c r="H698" s="14" t="n">
        <v>46281</v>
      </c>
      <c r="I698" s="14" t="n">
        <v>46281</v>
      </c>
      <c r="J698" s="12" t="s">
        <v>33</v>
      </c>
    </row>
    <row r="699" customFormat="false" ht="15" hidden="false" customHeight="true" outlineLevel="0" collapsed="false">
      <c r="A699" s="12" t="s">
        <v>1530</v>
      </c>
      <c r="B699" s="13" t="n">
        <v>41.929</v>
      </c>
      <c r="C699" s="13" t="n">
        <v>40.2</v>
      </c>
      <c r="D699" s="12" t="s">
        <v>1531</v>
      </c>
      <c r="E699" s="12" t="s">
        <v>30</v>
      </c>
      <c r="F699" s="12" t="s">
        <v>1532</v>
      </c>
      <c r="G699" s="12" t="s">
        <v>240</v>
      </c>
      <c r="H699" s="14" t="n">
        <v>46281</v>
      </c>
      <c r="I699" s="14" t="n">
        <v>46281</v>
      </c>
      <c r="J699" s="12" t="s">
        <v>33</v>
      </c>
    </row>
    <row r="700" customFormat="false" ht="15" hidden="false" customHeight="true" outlineLevel="0" collapsed="false">
      <c r="A700" s="12" t="s">
        <v>1533</v>
      </c>
      <c r="B700" s="13" t="n">
        <v>106.974</v>
      </c>
      <c r="C700" s="13" t="n">
        <v>98</v>
      </c>
      <c r="D700" s="12" t="s">
        <v>258</v>
      </c>
      <c r="E700" s="12" t="s">
        <v>30</v>
      </c>
      <c r="F700" s="12" t="s">
        <v>239</v>
      </c>
      <c r="G700" s="12" t="s">
        <v>240</v>
      </c>
      <c r="H700" s="14" t="n">
        <v>46281</v>
      </c>
      <c r="I700" s="14" t="n">
        <v>46281</v>
      </c>
      <c r="J700" s="12" t="s">
        <v>33</v>
      </c>
    </row>
    <row r="701" customFormat="false" ht="15" hidden="false" customHeight="true" outlineLevel="0" collapsed="false">
      <c r="A701" s="12" t="s">
        <v>1534</v>
      </c>
      <c r="B701" s="13" t="n">
        <v>65.509</v>
      </c>
      <c r="C701" s="13" t="n">
        <v>60.6</v>
      </c>
      <c r="D701" s="12" t="s">
        <v>1535</v>
      </c>
      <c r="E701" s="12" t="s">
        <v>30</v>
      </c>
      <c r="F701" s="12" t="s">
        <v>239</v>
      </c>
      <c r="G701" s="12" t="s">
        <v>240</v>
      </c>
      <c r="H701" s="14" t="n">
        <v>46281</v>
      </c>
      <c r="I701" s="14" t="n">
        <v>46281</v>
      </c>
      <c r="J701" s="12" t="s">
        <v>33</v>
      </c>
    </row>
    <row r="702" customFormat="false" ht="15" hidden="false" customHeight="true" outlineLevel="0" collapsed="false">
      <c r="A702" s="12" t="s">
        <v>1536</v>
      </c>
      <c r="B702" s="13" t="n">
        <v>12.12</v>
      </c>
      <c r="C702" s="13" t="n">
        <v>12.12</v>
      </c>
      <c r="D702" s="12" t="s">
        <v>1537</v>
      </c>
      <c r="E702" s="12" t="s">
        <v>30</v>
      </c>
      <c r="F702" s="12" t="s">
        <v>239</v>
      </c>
      <c r="G702" s="12" t="s">
        <v>240</v>
      </c>
      <c r="H702" s="14" t="n">
        <v>46281</v>
      </c>
      <c r="I702" s="14" t="n">
        <v>46281</v>
      </c>
      <c r="J702" s="12" t="s">
        <v>33</v>
      </c>
    </row>
    <row r="703" customFormat="false" ht="15" hidden="false" customHeight="true" outlineLevel="0" collapsed="false">
      <c r="A703" s="12" t="s">
        <v>1538</v>
      </c>
      <c r="B703" s="13" t="n">
        <v>70.125</v>
      </c>
      <c r="C703" s="13" t="n">
        <v>65</v>
      </c>
      <c r="D703" s="12" t="s">
        <v>1539</v>
      </c>
      <c r="E703" s="12" t="s">
        <v>30</v>
      </c>
      <c r="F703" s="12" t="s">
        <v>239</v>
      </c>
      <c r="G703" s="12" t="s">
        <v>240</v>
      </c>
      <c r="H703" s="14" t="n">
        <v>46281</v>
      </c>
      <c r="I703" s="14" t="n">
        <v>46281</v>
      </c>
      <c r="J703" s="12" t="s">
        <v>33</v>
      </c>
    </row>
    <row r="704" customFormat="false" ht="15" hidden="false" customHeight="true" outlineLevel="0" collapsed="false">
      <c r="A704" s="12" t="s">
        <v>1540</v>
      </c>
      <c r="B704" s="13" t="n">
        <v>80.97</v>
      </c>
      <c r="C704" s="13" t="n">
        <v>72</v>
      </c>
      <c r="D704" s="12" t="s">
        <v>1541</v>
      </c>
      <c r="E704" s="12" t="s">
        <v>30</v>
      </c>
      <c r="F704" s="12" t="s">
        <v>239</v>
      </c>
      <c r="G704" s="12" t="s">
        <v>240</v>
      </c>
      <c r="H704" s="14" t="n">
        <v>46281</v>
      </c>
      <c r="I704" s="14" t="n">
        <v>46281</v>
      </c>
      <c r="J704" s="12" t="s">
        <v>33</v>
      </c>
    </row>
    <row r="705" customFormat="false" ht="15" hidden="false" customHeight="true" outlineLevel="0" collapsed="false">
      <c r="A705" s="12" t="s">
        <v>1542</v>
      </c>
      <c r="B705" s="13" t="n">
        <v>62.893</v>
      </c>
      <c r="C705" s="13" t="n">
        <v>60.3</v>
      </c>
      <c r="D705" s="12" t="s">
        <v>1543</v>
      </c>
      <c r="E705" s="12" t="s">
        <v>30</v>
      </c>
      <c r="F705" s="12" t="s">
        <v>239</v>
      </c>
      <c r="G705" s="12" t="s">
        <v>240</v>
      </c>
      <c r="H705" s="14" t="n">
        <v>46281</v>
      </c>
      <c r="I705" s="14" t="n">
        <v>46281</v>
      </c>
      <c r="J705" s="12" t="s">
        <v>33</v>
      </c>
    </row>
    <row r="706" customFormat="false" ht="15" hidden="false" customHeight="true" outlineLevel="0" collapsed="false">
      <c r="A706" s="12" t="s">
        <v>1544</v>
      </c>
      <c r="B706" s="13" t="n">
        <v>26.203</v>
      </c>
      <c r="C706" s="13" t="n">
        <v>24.24</v>
      </c>
      <c r="D706" s="12" t="s">
        <v>262</v>
      </c>
      <c r="E706" s="12" t="s">
        <v>30</v>
      </c>
      <c r="F706" s="12" t="s">
        <v>263</v>
      </c>
      <c r="G706" s="12" t="s">
        <v>240</v>
      </c>
      <c r="H706" s="14" t="n">
        <v>46281</v>
      </c>
      <c r="I706" s="14" t="n">
        <v>46281</v>
      </c>
      <c r="J706" s="12" t="s">
        <v>33</v>
      </c>
    </row>
    <row r="707" customFormat="false" ht="15" hidden="false" customHeight="true" outlineLevel="0" collapsed="false">
      <c r="A707" s="12" t="s">
        <v>1545</v>
      </c>
      <c r="B707" s="13" t="n">
        <v>42.48</v>
      </c>
      <c r="C707" s="13" t="n">
        <v>40</v>
      </c>
      <c r="D707" s="12" t="s">
        <v>1546</v>
      </c>
      <c r="E707" s="12" t="s">
        <v>30</v>
      </c>
      <c r="F707" s="12" t="s">
        <v>239</v>
      </c>
      <c r="G707" s="12" t="s">
        <v>240</v>
      </c>
      <c r="H707" s="14" t="n">
        <v>46281</v>
      </c>
      <c r="I707" s="14" t="n">
        <v>46281</v>
      </c>
      <c r="J707" s="12" t="s">
        <v>254</v>
      </c>
    </row>
    <row r="708" customFormat="false" ht="15" hidden="false" customHeight="true" outlineLevel="0" collapsed="false">
      <c r="A708" s="12" t="s">
        <v>1547</v>
      </c>
      <c r="B708" s="13" t="n">
        <v>41.929</v>
      </c>
      <c r="C708" s="13" t="n">
        <v>40.2</v>
      </c>
      <c r="D708" s="12" t="s">
        <v>830</v>
      </c>
      <c r="E708" s="12" t="s">
        <v>30</v>
      </c>
      <c r="F708" s="12" t="s">
        <v>831</v>
      </c>
      <c r="G708" s="12" t="s">
        <v>240</v>
      </c>
      <c r="H708" s="14" t="n">
        <v>46281</v>
      </c>
      <c r="I708" s="14" t="n">
        <v>46281</v>
      </c>
      <c r="J708" s="12" t="s">
        <v>33</v>
      </c>
    </row>
    <row r="709" customFormat="false" ht="15" hidden="false" customHeight="true" outlineLevel="0" collapsed="false">
      <c r="A709" s="12" t="s">
        <v>1548</v>
      </c>
      <c r="B709" s="13" t="n">
        <v>10.795</v>
      </c>
      <c r="C709" s="13" t="n">
        <v>6.8</v>
      </c>
      <c r="D709" s="12" t="s">
        <v>252</v>
      </c>
      <c r="E709" s="12" t="s">
        <v>30</v>
      </c>
      <c r="F709" s="12" t="s">
        <v>253</v>
      </c>
      <c r="G709" s="12" t="s">
        <v>240</v>
      </c>
      <c r="H709" s="14" t="n">
        <v>46281</v>
      </c>
      <c r="I709" s="14" t="n">
        <v>46281</v>
      </c>
      <c r="J709" s="12" t="s">
        <v>254</v>
      </c>
    </row>
    <row r="710" customFormat="false" ht="15" hidden="false" customHeight="true" outlineLevel="0" collapsed="false">
      <c r="A710" s="12" t="s">
        <v>1549</v>
      </c>
      <c r="B710" s="13" t="n">
        <v>65.51</v>
      </c>
      <c r="C710" s="13" t="n">
        <v>60.6</v>
      </c>
      <c r="D710" s="12" t="s">
        <v>1550</v>
      </c>
      <c r="E710" s="12" t="s">
        <v>30</v>
      </c>
      <c r="F710" s="12" t="s">
        <v>1551</v>
      </c>
      <c r="G710" s="12" t="s">
        <v>45</v>
      </c>
      <c r="H710" s="14" t="n">
        <v>46281</v>
      </c>
      <c r="I710" s="14" t="n">
        <v>46281</v>
      </c>
      <c r="J710" s="12" t="s">
        <v>33</v>
      </c>
    </row>
    <row r="711" customFormat="false" ht="15" hidden="false" customHeight="true" outlineLevel="0" collapsed="false">
      <c r="A711" s="12" t="s">
        <v>1552</v>
      </c>
      <c r="B711" s="13" t="n">
        <v>141.623</v>
      </c>
      <c r="C711" s="13" t="n">
        <v>130.24</v>
      </c>
      <c r="D711" s="12" t="s">
        <v>1553</v>
      </c>
      <c r="E711" s="12" t="s">
        <v>30</v>
      </c>
      <c r="F711" s="12" t="s">
        <v>98</v>
      </c>
      <c r="G711" s="12" t="s">
        <v>37</v>
      </c>
      <c r="H711" s="14" t="n">
        <v>46281</v>
      </c>
      <c r="I711" s="14" t="n">
        <v>46281</v>
      </c>
      <c r="J711" s="12" t="s">
        <v>33</v>
      </c>
    </row>
    <row r="712" customFormat="false" ht="15" hidden="false" customHeight="true" outlineLevel="0" collapsed="false">
      <c r="A712" s="12" t="s">
        <v>1554</v>
      </c>
      <c r="B712" s="13" t="n">
        <v>170.203</v>
      </c>
      <c r="C712" s="13" t="n">
        <v>159.58</v>
      </c>
      <c r="D712" s="12" t="s">
        <v>1555</v>
      </c>
      <c r="E712" s="12" t="s">
        <v>30</v>
      </c>
      <c r="F712" s="12" t="s">
        <v>1556</v>
      </c>
      <c r="G712" s="12" t="s">
        <v>37</v>
      </c>
      <c r="H712" s="14" t="n">
        <v>46281</v>
      </c>
      <c r="I712" s="14" t="n">
        <v>46281</v>
      </c>
      <c r="J712" s="12" t="s">
        <v>33</v>
      </c>
    </row>
    <row r="713" customFormat="false" ht="15" hidden="false" customHeight="true" outlineLevel="0" collapsed="false">
      <c r="A713" s="12" t="s">
        <v>1557</v>
      </c>
      <c r="B713" s="13" t="n">
        <v>102.67</v>
      </c>
      <c r="C713" s="13" t="n">
        <v>94.94</v>
      </c>
      <c r="D713" s="12" t="s">
        <v>1558</v>
      </c>
      <c r="E713" s="12" t="s">
        <v>30</v>
      </c>
      <c r="F713" s="12" t="s">
        <v>1559</v>
      </c>
      <c r="G713" s="12" t="s">
        <v>45</v>
      </c>
      <c r="H713" s="14" t="n">
        <v>46281</v>
      </c>
      <c r="I713" s="14" t="n">
        <v>46281</v>
      </c>
      <c r="J713" s="12" t="s">
        <v>33</v>
      </c>
    </row>
    <row r="714" customFormat="false" ht="15" hidden="false" customHeight="true" outlineLevel="0" collapsed="false">
      <c r="A714" s="12" t="s">
        <v>1560</v>
      </c>
      <c r="B714" s="13" t="n">
        <v>59.977</v>
      </c>
      <c r="C714" s="13" t="n">
        <v>55.08</v>
      </c>
      <c r="D714" s="12" t="s">
        <v>1561</v>
      </c>
      <c r="E714" s="12" t="s">
        <v>30</v>
      </c>
      <c r="F714" s="12" t="s">
        <v>1562</v>
      </c>
      <c r="G714" s="12" t="s">
        <v>41</v>
      </c>
      <c r="H714" s="14" t="n">
        <v>46281</v>
      </c>
      <c r="I714" s="14" t="n">
        <v>46281</v>
      </c>
      <c r="J714" s="12" t="s">
        <v>33</v>
      </c>
    </row>
    <row r="715" customFormat="false" ht="15" hidden="false" customHeight="true" outlineLevel="0" collapsed="false">
      <c r="A715" s="12" t="s">
        <v>1563</v>
      </c>
      <c r="B715" s="13" t="n">
        <v>111.485</v>
      </c>
      <c r="C715" s="13" t="n">
        <v>103.02</v>
      </c>
      <c r="D715" s="12" t="s">
        <v>1564</v>
      </c>
      <c r="E715" s="12" t="s">
        <v>30</v>
      </c>
      <c r="F715" s="12" t="s">
        <v>1565</v>
      </c>
      <c r="G715" s="12" t="s">
        <v>41</v>
      </c>
      <c r="H715" s="14" t="n">
        <v>46281</v>
      </c>
      <c r="I715" s="14" t="n">
        <v>46281</v>
      </c>
      <c r="J715" s="12" t="s">
        <v>33</v>
      </c>
    </row>
    <row r="716" customFormat="false" ht="15" hidden="false" customHeight="true" outlineLevel="0" collapsed="false">
      <c r="A716" s="12" t="s">
        <v>1566</v>
      </c>
      <c r="B716" s="13" t="n">
        <v>117.914</v>
      </c>
      <c r="C716" s="13" t="n">
        <v>109.08</v>
      </c>
      <c r="D716" s="12" t="s">
        <v>1567</v>
      </c>
      <c r="E716" s="12" t="s">
        <v>30</v>
      </c>
      <c r="F716" s="12" t="s">
        <v>589</v>
      </c>
      <c r="G716" s="12" t="s">
        <v>41</v>
      </c>
      <c r="H716" s="14" t="n">
        <v>46281</v>
      </c>
      <c r="I716" s="14" t="n">
        <v>46281</v>
      </c>
      <c r="J716" s="12" t="s">
        <v>33</v>
      </c>
    </row>
    <row r="717" customFormat="false" ht="15" hidden="false" customHeight="true" outlineLevel="0" collapsed="false">
      <c r="A717" s="12" t="s">
        <v>1568</v>
      </c>
      <c r="B717" s="13" t="n">
        <v>119.553</v>
      </c>
      <c r="C717" s="13" t="n">
        <v>110.04</v>
      </c>
      <c r="D717" s="12" t="s">
        <v>1569</v>
      </c>
      <c r="E717" s="12" t="s">
        <v>30</v>
      </c>
      <c r="F717" s="12" t="s">
        <v>145</v>
      </c>
      <c r="G717" s="12" t="s">
        <v>41</v>
      </c>
      <c r="H717" s="14" t="n">
        <v>46281</v>
      </c>
      <c r="I717" s="14" t="n">
        <v>46281</v>
      </c>
      <c r="J717" s="12" t="s">
        <v>33</v>
      </c>
    </row>
    <row r="718" customFormat="false" ht="15" hidden="false" customHeight="true" outlineLevel="0" collapsed="false">
      <c r="A718" s="12" t="s">
        <v>1570</v>
      </c>
      <c r="B718" s="13" t="n">
        <v>71.333</v>
      </c>
      <c r="C718" s="13" t="n">
        <v>65.6</v>
      </c>
      <c r="D718" s="12" t="s">
        <v>1571</v>
      </c>
      <c r="E718" s="12" t="s">
        <v>30</v>
      </c>
      <c r="F718" s="12" t="s">
        <v>1572</v>
      </c>
      <c r="G718" s="12" t="s">
        <v>37</v>
      </c>
      <c r="H718" s="14" t="n">
        <v>46281</v>
      </c>
      <c r="I718" s="14" t="n">
        <v>46281</v>
      </c>
      <c r="J718" s="12" t="s">
        <v>33</v>
      </c>
    </row>
    <row r="719" customFormat="false" ht="15" hidden="false" customHeight="true" outlineLevel="0" collapsed="false">
      <c r="A719" s="12" t="s">
        <v>1573</v>
      </c>
      <c r="B719" s="13" t="n">
        <v>60.645</v>
      </c>
      <c r="C719" s="13" t="n">
        <v>57.1</v>
      </c>
      <c r="D719" s="12" t="s">
        <v>1574</v>
      </c>
      <c r="E719" s="12" t="s">
        <v>30</v>
      </c>
      <c r="F719" s="12" t="s">
        <v>1510</v>
      </c>
      <c r="G719" s="12" t="s">
        <v>37</v>
      </c>
      <c r="H719" s="14" t="n">
        <v>46281</v>
      </c>
      <c r="I719" s="14" t="n">
        <v>46281</v>
      </c>
      <c r="J719" s="12" t="s">
        <v>33</v>
      </c>
    </row>
    <row r="720" customFormat="false" ht="15" hidden="false" customHeight="true" outlineLevel="0" collapsed="false">
      <c r="A720" s="12" t="s">
        <v>1575</v>
      </c>
      <c r="B720" s="13" t="n">
        <v>78.893</v>
      </c>
      <c r="C720" s="13" t="n">
        <v>70.62</v>
      </c>
      <c r="D720" s="12" t="s">
        <v>1576</v>
      </c>
      <c r="E720" s="12" t="s">
        <v>30</v>
      </c>
      <c r="F720" s="12" t="s">
        <v>1577</v>
      </c>
      <c r="G720" s="12" t="s">
        <v>37</v>
      </c>
      <c r="H720" s="14" t="n">
        <v>46281</v>
      </c>
      <c r="I720" s="14" t="n">
        <v>46281</v>
      </c>
      <c r="J720" s="12" t="s">
        <v>33</v>
      </c>
    </row>
    <row r="721" customFormat="false" ht="15" hidden="false" customHeight="true" outlineLevel="0" collapsed="false">
      <c r="A721" s="12" t="s">
        <v>1578</v>
      </c>
      <c r="B721" s="13" t="n">
        <v>137.689</v>
      </c>
      <c r="C721" s="13" t="n">
        <v>127.26</v>
      </c>
      <c r="D721" s="12" t="s">
        <v>1579</v>
      </c>
      <c r="E721" s="12" t="s">
        <v>30</v>
      </c>
      <c r="F721" s="12" t="s">
        <v>40</v>
      </c>
      <c r="G721" s="12" t="s">
        <v>41</v>
      </c>
      <c r="H721" s="14" t="n">
        <v>46281</v>
      </c>
      <c r="I721" s="14" t="n">
        <v>46281</v>
      </c>
      <c r="J721" s="12" t="s">
        <v>33</v>
      </c>
    </row>
    <row r="722" customFormat="false" ht="15" hidden="false" customHeight="true" outlineLevel="0" collapsed="false">
      <c r="A722" s="12" t="s">
        <v>1580</v>
      </c>
      <c r="B722" s="13" t="n">
        <v>81.208</v>
      </c>
      <c r="C722" s="13" t="n">
        <v>75.28</v>
      </c>
      <c r="D722" s="12" t="s">
        <v>1581</v>
      </c>
      <c r="E722" s="12" t="s">
        <v>30</v>
      </c>
      <c r="F722" s="12" t="s">
        <v>40</v>
      </c>
      <c r="G722" s="12" t="s">
        <v>41</v>
      </c>
      <c r="H722" s="14" t="n">
        <v>46281</v>
      </c>
      <c r="I722" s="14" t="n">
        <v>46281</v>
      </c>
      <c r="J722" s="12" t="s">
        <v>33</v>
      </c>
    </row>
    <row r="723" customFormat="false" ht="15" hidden="false" customHeight="true" outlineLevel="0" collapsed="false">
      <c r="A723" s="12" t="s">
        <v>1582</v>
      </c>
      <c r="B723" s="13" t="n">
        <v>76.468</v>
      </c>
      <c r="C723" s="13" t="n">
        <v>70.7</v>
      </c>
      <c r="D723" s="12" t="s">
        <v>1583</v>
      </c>
      <c r="E723" s="12" t="s">
        <v>30</v>
      </c>
      <c r="F723" s="12" t="s">
        <v>1584</v>
      </c>
      <c r="G723" s="12" t="s">
        <v>41</v>
      </c>
      <c r="H723" s="14" t="n">
        <v>46281</v>
      </c>
      <c r="I723" s="14" t="n">
        <v>46281</v>
      </c>
      <c r="J723" s="12" t="s">
        <v>33</v>
      </c>
    </row>
    <row r="724" customFormat="false" ht="15" hidden="false" customHeight="true" outlineLevel="0" collapsed="false">
      <c r="A724" s="12" t="s">
        <v>1585</v>
      </c>
      <c r="B724" s="13" t="n">
        <v>93.731</v>
      </c>
      <c r="C724" s="13" t="n">
        <v>86.4</v>
      </c>
      <c r="D724" s="12" t="s">
        <v>1586</v>
      </c>
      <c r="E724" s="12" t="s">
        <v>30</v>
      </c>
      <c r="F724" s="12" t="s">
        <v>1587</v>
      </c>
      <c r="G724" s="12" t="s">
        <v>45</v>
      </c>
      <c r="H724" s="14" t="n">
        <v>46281</v>
      </c>
      <c r="I724" s="14" t="n">
        <v>46281</v>
      </c>
      <c r="J724" s="12" t="s">
        <v>33</v>
      </c>
    </row>
    <row r="725" customFormat="false" ht="15" hidden="false" customHeight="true" outlineLevel="0" collapsed="false">
      <c r="A725" s="12" t="s">
        <v>1588</v>
      </c>
      <c r="B725" s="13" t="n">
        <v>126.388</v>
      </c>
      <c r="C725" s="13" t="n">
        <v>117.16</v>
      </c>
      <c r="D725" s="12" t="s">
        <v>1589</v>
      </c>
      <c r="E725" s="12" t="s">
        <v>30</v>
      </c>
      <c r="F725" s="12" t="s">
        <v>1590</v>
      </c>
      <c r="G725" s="12" t="s">
        <v>45</v>
      </c>
      <c r="H725" s="14" t="n">
        <v>46281</v>
      </c>
      <c r="I725" s="14" t="n">
        <v>46281</v>
      </c>
      <c r="J725" s="12" t="s">
        <v>33</v>
      </c>
    </row>
    <row r="726" customFormat="false" ht="15" hidden="false" customHeight="true" outlineLevel="0" collapsed="false">
      <c r="A726" s="12" t="s">
        <v>1591</v>
      </c>
      <c r="B726" s="13" t="n">
        <v>152.914</v>
      </c>
      <c r="C726" s="13" t="n">
        <v>143.42</v>
      </c>
      <c r="D726" s="12" t="s">
        <v>1592</v>
      </c>
      <c r="E726" s="12" t="s">
        <v>30</v>
      </c>
      <c r="F726" s="12" t="s">
        <v>1593</v>
      </c>
      <c r="G726" s="12" t="s">
        <v>45</v>
      </c>
      <c r="H726" s="14" t="n">
        <v>46281</v>
      </c>
      <c r="I726" s="14" t="n">
        <v>46281</v>
      </c>
      <c r="J726" s="12" t="s">
        <v>33</v>
      </c>
    </row>
    <row r="727" customFormat="false" ht="15" hidden="false" customHeight="true" outlineLevel="0" collapsed="false">
      <c r="A727" s="12" t="s">
        <v>1594</v>
      </c>
      <c r="B727" s="13" t="n">
        <v>150.926</v>
      </c>
      <c r="C727" s="13" t="n">
        <v>139.26</v>
      </c>
      <c r="D727" s="12" t="s">
        <v>1595</v>
      </c>
      <c r="E727" s="12" t="s">
        <v>30</v>
      </c>
      <c r="F727" s="12" t="s">
        <v>1596</v>
      </c>
      <c r="G727" s="12" t="s">
        <v>45</v>
      </c>
      <c r="H727" s="14" t="n">
        <v>46281</v>
      </c>
      <c r="I727" s="14" t="n">
        <v>46281</v>
      </c>
      <c r="J727" s="12" t="s">
        <v>33</v>
      </c>
    </row>
    <row r="728" customFormat="false" ht="15" hidden="false" customHeight="true" outlineLevel="0" collapsed="false">
      <c r="A728" s="12" t="s">
        <v>1597</v>
      </c>
      <c r="B728" s="13" t="n">
        <v>125.485</v>
      </c>
      <c r="C728" s="13" t="n">
        <v>115.68</v>
      </c>
      <c r="D728" s="12" t="s">
        <v>1598</v>
      </c>
      <c r="E728" s="12" t="s">
        <v>30</v>
      </c>
      <c r="F728" s="12" t="s">
        <v>1599</v>
      </c>
      <c r="G728" s="12" t="s">
        <v>45</v>
      </c>
      <c r="H728" s="14" t="n">
        <v>46281</v>
      </c>
      <c r="I728" s="14" t="n">
        <v>46281</v>
      </c>
      <c r="J728" s="12" t="s">
        <v>33</v>
      </c>
    </row>
    <row r="729" customFormat="false" ht="15" hidden="false" customHeight="true" outlineLevel="0" collapsed="false">
      <c r="A729" s="12" t="s">
        <v>1600</v>
      </c>
      <c r="B729" s="13" t="n">
        <v>80.402</v>
      </c>
      <c r="C729" s="13" t="n">
        <v>73.68</v>
      </c>
      <c r="D729" s="12" t="s">
        <v>1601</v>
      </c>
      <c r="E729" s="12" t="s">
        <v>30</v>
      </c>
      <c r="F729" s="12" t="s">
        <v>1602</v>
      </c>
      <c r="G729" s="12" t="s">
        <v>45</v>
      </c>
      <c r="H729" s="14" t="n">
        <v>46281</v>
      </c>
      <c r="I729" s="14" t="n">
        <v>46281</v>
      </c>
      <c r="J729" s="12" t="s">
        <v>33</v>
      </c>
    </row>
    <row r="730" customFormat="false" ht="15" hidden="false" customHeight="true" outlineLevel="0" collapsed="false">
      <c r="A730" s="12" t="s">
        <v>1603</v>
      </c>
      <c r="B730" s="13" t="n">
        <v>111.293</v>
      </c>
      <c r="C730" s="13" t="n">
        <v>103.02</v>
      </c>
      <c r="D730" s="12" t="s">
        <v>1075</v>
      </c>
      <c r="E730" s="12" t="s">
        <v>30</v>
      </c>
      <c r="F730" s="12" t="s">
        <v>1076</v>
      </c>
      <c r="G730" s="12" t="s">
        <v>41</v>
      </c>
      <c r="H730" s="14" t="n">
        <v>46281</v>
      </c>
      <c r="I730" s="14" t="n">
        <v>46281</v>
      </c>
      <c r="J730" s="12" t="s">
        <v>33</v>
      </c>
    </row>
    <row r="731" customFormat="false" ht="15" hidden="false" customHeight="true" outlineLevel="0" collapsed="false">
      <c r="A731" s="12" t="s">
        <v>1604</v>
      </c>
      <c r="B731" s="13" t="n">
        <v>164.814</v>
      </c>
      <c r="C731" s="13" t="n">
        <v>147</v>
      </c>
      <c r="D731" s="12" t="s">
        <v>1605</v>
      </c>
      <c r="E731" s="12" t="s">
        <v>30</v>
      </c>
      <c r="F731" s="12" t="s">
        <v>142</v>
      </c>
      <c r="G731" s="12" t="s">
        <v>37</v>
      </c>
      <c r="H731" s="14" t="n">
        <v>46281</v>
      </c>
      <c r="I731" s="14" t="n">
        <v>46281</v>
      </c>
      <c r="J731" s="12" t="s">
        <v>33</v>
      </c>
    </row>
    <row r="732" customFormat="false" ht="15" hidden="false" customHeight="true" outlineLevel="0" collapsed="false">
      <c r="A732" s="12" t="s">
        <v>1606</v>
      </c>
      <c r="B732" s="13" t="n">
        <v>71.1</v>
      </c>
      <c r="C732" s="13" t="n">
        <v>60</v>
      </c>
      <c r="D732" s="12" t="s">
        <v>1118</v>
      </c>
      <c r="E732" s="12" t="s">
        <v>30</v>
      </c>
      <c r="F732" s="12" t="s">
        <v>98</v>
      </c>
      <c r="G732" s="12" t="s">
        <v>37</v>
      </c>
      <c r="H732" s="14" t="n">
        <v>46281</v>
      </c>
      <c r="I732" s="14" t="n">
        <v>46281</v>
      </c>
      <c r="J732" s="12" t="s">
        <v>33</v>
      </c>
    </row>
    <row r="733" customFormat="false" ht="15" hidden="false" customHeight="true" outlineLevel="0" collapsed="false">
      <c r="A733" s="12" t="s">
        <v>1607</v>
      </c>
      <c r="B733" s="13" t="n">
        <v>67.148</v>
      </c>
      <c r="C733" s="13" t="n">
        <v>61.56</v>
      </c>
      <c r="D733" s="12" t="s">
        <v>1608</v>
      </c>
      <c r="E733" s="12" t="s">
        <v>30</v>
      </c>
      <c r="F733" s="12" t="s">
        <v>1609</v>
      </c>
      <c r="G733" s="12" t="s">
        <v>45</v>
      </c>
      <c r="H733" s="14" t="n">
        <v>46281</v>
      </c>
      <c r="I733" s="14" t="n">
        <v>46281</v>
      </c>
      <c r="J733" s="12" t="s">
        <v>33</v>
      </c>
    </row>
    <row r="734" customFormat="false" ht="15" hidden="false" customHeight="true" outlineLevel="0" collapsed="false">
      <c r="A734" s="12" t="s">
        <v>1610</v>
      </c>
      <c r="B734" s="13" t="n">
        <v>38.801</v>
      </c>
      <c r="C734" s="13" t="n">
        <v>35.3</v>
      </c>
      <c r="D734" s="12" t="s">
        <v>439</v>
      </c>
      <c r="E734" s="12" t="s">
        <v>30</v>
      </c>
      <c r="F734" s="12" t="s">
        <v>440</v>
      </c>
      <c r="G734" s="12" t="s">
        <v>45</v>
      </c>
      <c r="H734" s="14" t="n">
        <v>46281</v>
      </c>
      <c r="I734" s="14" t="n">
        <v>46281</v>
      </c>
      <c r="J734" s="12" t="s">
        <v>33</v>
      </c>
    </row>
    <row r="735" customFormat="false" ht="15" hidden="false" customHeight="true" outlineLevel="0" collapsed="false">
      <c r="A735" s="12" t="s">
        <v>1611</v>
      </c>
      <c r="B735" s="13" t="n">
        <v>29.625</v>
      </c>
      <c r="C735" s="13" t="n">
        <v>25</v>
      </c>
      <c r="D735" s="12" t="s">
        <v>1612</v>
      </c>
      <c r="E735" s="12" t="s">
        <v>30</v>
      </c>
      <c r="F735" s="12" t="s">
        <v>40</v>
      </c>
      <c r="G735" s="12" t="s">
        <v>41</v>
      </c>
      <c r="H735" s="14" t="n">
        <v>46281</v>
      </c>
      <c r="I735" s="14" t="n">
        <v>46281</v>
      </c>
      <c r="J735" s="12" t="s">
        <v>33</v>
      </c>
    </row>
    <row r="736" customFormat="false" ht="15" hidden="false" customHeight="true" outlineLevel="0" collapsed="false">
      <c r="A736" s="12" t="s">
        <v>1613</v>
      </c>
      <c r="B736" s="13" t="n">
        <v>49.903</v>
      </c>
      <c r="C736" s="13" t="n">
        <v>44.24</v>
      </c>
      <c r="D736" s="12" t="s">
        <v>1614</v>
      </c>
      <c r="E736" s="12" t="s">
        <v>30</v>
      </c>
      <c r="F736" s="12" t="s">
        <v>72</v>
      </c>
      <c r="G736" s="12" t="s">
        <v>41</v>
      </c>
      <c r="H736" s="14" t="n">
        <v>46281</v>
      </c>
      <c r="I736" s="14" t="n">
        <v>46281</v>
      </c>
      <c r="J736" s="12" t="s">
        <v>33</v>
      </c>
    </row>
    <row r="737" customFormat="false" ht="15" hidden="false" customHeight="true" outlineLevel="0" collapsed="false">
      <c r="A737" s="12" t="s">
        <v>1615</v>
      </c>
      <c r="B737" s="13" t="n">
        <v>51.155</v>
      </c>
      <c r="C737" s="13" t="n">
        <v>46.36</v>
      </c>
      <c r="D737" s="12" t="s">
        <v>1616</v>
      </c>
      <c r="E737" s="12" t="s">
        <v>30</v>
      </c>
      <c r="F737" s="12" t="s">
        <v>69</v>
      </c>
      <c r="G737" s="12" t="s">
        <v>37</v>
      </c>
      <c r="H737" s="14" t="n">
        <v>46281</v>
      </c>
      <c r="I737" s="14" t="n">
        <v>46281</v>
      </c>
      <c r="J737" s="12" t="s">
        <v>33</v>
      </c>
    </row>
    <row r="738" customFormat="false" ht="15" hidden="false" customHeight="true" outlineLevel="0" collapsed="false">
      <c r="A738" s="12" t="s">
        <v>1617</v>
      </c>
      <c r="B738" s="13" t="n">
        <v>44.726</v>
      </c>
      <c r="C738" s="13" t="n">
        <v>40.3</v>
      </c>
      <c r="D738" s="12" t="s">
        <v>1618</v>
      </c>
      <c r="E738" s="12" t="s">
        <v>30</v>
      </c>
      <c r="F738" s="12" t="s">
        <v>1619</v>
      </c>
      <c r="G738" s="12" t="s">
        <v>41</v>
      </c>
      <c r="H738" s="14" t="n">
        <v>46281</v>
      </c>
      <c r="I738" s="14" t="n">
        <v>46281</v>
      </c>
      <c r="J738" s="12" t="s">
        <v>33</v>
      </c>
    </row>
    <row r="739" customFormat="false" ht="15" hidden="false" customHeight="true" outlineLevel="0" collapsed="false">
      <c r="A739" s="12" t="s">
        <v>1620</v>
      </c>
      <c r="B739" s="13" t="n">
        <v>38.801</v>
      </c>
      <c r="C739" s="13" t="n">
        <v>35.3</v>
      </c>
      <c r="D739" s="12" t="s">
        <v>1621</v>
      </c>
      <c r="E739" s="12" t="s">
        <v>30</v>
      </c>
      <c r="F739" s="12" t="s">
        <v>1622</v>
      </c>
      <c r="G739" s="12" t="s">
        <v>37</v>
      </c>
      <c r="H739" s="14" t="n">
        <v>46281</v>
      </c>
      <c r="I739" s="14" t="n">
        <v>46281</v>
      </c>
      <c r="J739" s="12" t="s">
        <v>33</v>
      </c>
    </row>
    <row r="740" customFormat="false" ht="15" hidden="false" customHeight="true" outlineLevel="0" collapsed="false">
      <c r="A740" s="12" t="s">
        <v>1623</v>
      </c>
      <c r="B740" s="13" t="n">
        <v>43.978</v>
      </c>
      <c r="C740" s="13" t="n">
        <v>39.24</v>
      </c>
      <c r="D740" s="12" t="s">
        <v>1624</v>
      </c>
      <c r="E740" s="12" t="s">
        <v>30</v>
      </c>
      <c r="F740" s="12" t="s">
        <v>550</v>
      </c>
      <c r="G740" s="12" t="s">
        <v>41</v>
      </c>
      <c r="H740" s="14" t="n">
        <v>46281</v>
      </c>
      <c r="I740" s="14" t="n">
        <v>46281</v>
      </c>
      <c r="J740" s="12" t="s">
        <v>33</v>
      </c>
    </row>
    <row r="741" customFormat="false" ht="15" hidden="false" customHeight="true" outlineLevel="0" collapsed="false">
      <c r="A741" s="12" t="s">
        <v>1625</v>
      </c>
      <c r="B741" s="13" t="n">
        <v>38.801</v>
      </c>
      <c r="C741" s="13" t="n">
        <v>35.3</v>
      </c>
      <c r="D741" s="12" t="s">
        <v>1626</v>
      </c>
      <c r="E741" s="12" t="s">
        <v>30</v>
      </c>
      <c r="F741" s="12" t="s">
        <v>1627</v>
      </c>
      <c r="G741" s="12" t="s">
        <v>37</v>
      </c>
      <c r="H741" s="14" t="n">
        <v>46281</v>
      </c>
      <c r="I741" s="14" t="n">
        <v>46281</v>
      </c>
      <c r="J741" s="12" t="s">
        <v>33</v>
      </c>
    </row>
    <row r="742" customFormat="false" ht="15" hidden="false" customHeight="true" outlineLevel="0" collapsed="false">
      <c r="A742" s="12" t="s">
        <v>1628</v>
      </c>
      <c r="B742" s="13" t="n">
        <v>49.072</v>
      </c>
      <c r="C742" s="13" t="n">
        <v>45.4</v>
      </c>
      <c r="D742" s="12" t="s">
        <v>585</v>
      </c>
      <c r="E742" s="12" t="s">
        <v>30</v>
      </c>
      <c r="F742" s="12" t="s">
        <v>586</v>
      </c>
      <c r="G742" s="12" t="s">
        <v>37</v>
      </c>
      <c r="H742" s="14" t="n">
        <v>46281</v>
      </c>
      <c r="I742" s="14" t="n">
        <v>46281</v>
      </c>
      <c r="J742" s="12" t="s">
        <v>33</v>
      </c>
    </row>
    <row r="743" customFormat="false" ht="15" hidden="false" customHeight="true" outlineLevel="0" collapsed="false">
      <c r="A743" s="12" t="s">
        <v>1629</v>
      </c>
      <c r="B743" s="13" t="n">
        <v>59.25</v>
      </c>
      <c r="C743" s="13" t="n">
        <v>50</v>
      </c>
      <c r="D743" s="12" t="s">
        <v>464</v>
      </c>
      <c r="E743" s="12" t="s">
        <v>30</v>
      </c>
      <c r="F743" s="12" t="s">
        <v>465</v>
      </c>
      <c r="G743" s="12" t="s">
        <v>37</v>
      </c>
      <c r="H743" s="14" t="n">
        <v>46281</v>
      </c>
      <c r="I743" s="14" t="n">
        <v>46281</v>
      </c>
      <c r="J743" s="12" t="s">
        <v>33</v>
      </c>
    </row>
    <row r="744" customFormat="false" ht="15" hidden="false" customHeight="true" outlineLevel="0" collapsed="false">
      <c r="A744" s="12" t="s">
        <v>1630</v>
      </c>
      <c r="B744" s="13" t="n">
        <v>29.625</v>
      </c>
      <c r="C744" s="13" t="n">
        <v>25</v>
      </c>
      <c r="D744" s="12" t="s">
        <v>198</v>
      </c>
      <c r="E744" s="12" t="s">
        <v>30</v>
      </c>
      <c r="F744" s="12" t="s">
        <v>168</v>
      </c>
      <c r="G744" s="12" t="s">
        <v>32</v>
      </c>
      <c r="H744" s="14" t="n">
        <v>46281</v>
      </c>
      <c r="I744" s="14" t="n">
        <v>46282</v>
      </c>
      <c r="J744" s="12" t="s">
        <v>33</v>
      </c>
    </row>
    <row r="745" customFormat="false" ht="15" hidden="false" customHeight="true" outlineLevel="0" collapsed="false">
      <c r="A745" s="12" t="s">
        <v>1631</v>
      </c>
      <c r="B745" s="13" t="n">
        <v>135.775</v>
      </c>
      <c r="C745" s="13" t="n">
        <v>126</v>
      </c>
      <c r="D745" s="12" t="s">
        <v>1390</v>
      </c>
      <c r="E745" s="12" t="s">
        <v>30</v>
      </c>
      <c r="F745" s="12" t="s">
        <v>168</v>
      </c>
      <c r="G745" s="12" t="s">
        <v>32</v>
      </c>
      <c r="H745" s="14" t="n">
        <v>46281</v>
      </c>
      <c r="I745" s="14" t="n">
        <v>46282</v>
      </c>
      <c r="J745" s="12" t="s">
        <v>33</v>
      </c>
    </row>
    <row r="746" customFormat="false" ht="15" hidden="false" customHeight="true" outlineLevel="0" collapsed="false">
      <c r="A746" s="12" t="s">
        <v>1632</v>
      </c>
      <c r="B746" s="13" t="n">
        <v>98.998</v>
      </c>
      <c r="C746" s="13" t="n">
        <v>92.86</v>
      </c>
      <c r="D746" s="12" t="s">
        <v>1633</v>
      </c>
      <c r="E746" s="12" t="s">
        <v>30</v>
      </c>
      <c r="F746" s="12" t="s">
        <v>168</v>
      </c>
      <c r="G746" s="12" t="s">
        <v>32</v>
      </c>
      <c r="H746" s="14" t="n">
        <v>46281</v>
      </c>
      <c r="I746" s="14" t="n">
        <v>46282</v>
      </c>
      <c r="J746" s="12" t="s">
        <v>33</v>
      </c>
    </row>
    <row r="747" customFormat="false" ht="15" hidden="false" customHeight="true" outlineLevel="0" collapsed="false">
      <c r="A747" s="12" t="s">
        <v>1634</v>
      </c>
      <c r="B747" s="13" t="n">
        <v>300.854</v>
      </c>
      <c r="C747" s="13" t="n">
        <v>279.36</v>
      </c>
      <c r="D747" s="12" t="s">
        <v>1633</v>
      </c>
      <c r="E747" s="12" t="s">
        <v>30</v>
      </c>
      <c r="F747" s="12" t="s">
        <v>168</v>
      </c>
      <c r="G747" s="12" t="s">
        <v>32</v>
      </c>
      <c r="H747" s="14" t="n">
        <v>46281</v>
      </c>
      <c r="I747" s="14" t="n">
        <v>46282</v>
      </c>
      <c r="J747" s="12" t="s">
        <v>33</v>
      </c>
    </row>
    <row r="748" customFormat="false" ht="15" hidden="false" customHeight="true" outlineLevel="0" collapsed="false">
      <c r="A748" s="12" t="s">
        <v>1635</v>
      </c>
      <c r="B748" s="13" t="n">
        <v>3610.8</v>
      </c>
      <c r="C748" s="13" t="n">
        <v>3400</v>
      </c>
      <c r="D748" s="12" t="s">
        <v>1636</v>
      </c>
      <c r="E748" s="12" t="s">
        <v>30</v>
      </c>
      <c r="F748" s="12" t="s">
        <v>239</v>
      </c>
      <c r="G748" s="12" t="s">
        <v>646</v>
      </c>
      <c r="H748" s="14" t="n">
        <v>46281</v>
      </c>
      <c r="I748" s="14" t="n">
        <v>46283</v>
      </c>
      <c r="J748" s="12" t="s">
        <v>254</v>
      </c>
    </row>
    <row r="749" customFormat="false" ht="15" hidden="false" customHeight="true" outlineLevel="0" collapsed="false">
      <c r="A749" s="12" t="s">
        <v>1637</v>
      </c>
      <c r="B749" s="13" t="n">
        <v>20.964</v>
      </c>
      <c r="C749" s="13" t="n">
        <v>20.1</v>
      </c>
      <c r="D749" s="12" t="s">
        <v>1160</v>
      </c>
      <c r="E749" s="12" t="s">
        <v>30</v>
      </c>
      <c r="F749" s="12" t="s">
        <v>239</v>
      </c>
      <c r="G749" s="12" t="s">
        <v>646</v>
      </c>
      <c r="H749" s="14" t="n">
        <v>46281</v>
      </c>
      <c r="I749" s="14" t="n">
        <v>46283</v>
      </c>
      <c r="J749" s="12" t="s">
        <v>354</v>
      </c>
    </row>
    <row r="750" customFormat="false" ht="15" hidden="false" customHeight="true" outlineLevel="0" collapsed="false">
      <c r="A750" s="12" t="s">
        <v>1638</v>
      </c>
      <c r="B750" s="13" t="n">
        <v>228.495</v>
      </c>
      <c r="C750" s="13" t="n">
        <v>211</v>
      </c>
      <c r="D750" s="12" t="s">
        <v>1488</v>
      </c>
      <c r="E750" s="12" t="s">
        <v>30</v>
      </c>
      <c r="F750" s="12" t="s">
        <v>239</v>
      </c>
      <c r="G750" s="12" t="s">
        <v>646</v>
      </c>
      <c r="H750" s="14" t="n">
        <v>46281</v>
      </c>
      <c r="I750" s="14" t="n">
        <v>46283</v>
      </c>
      <c r="J750" s="12" t="s">
        <v>354</v>
      </c>
    </row>
    <row r="751" customFormat="false" ht="15" hidden="false" customHeight="true" outlineLevel="0" collapsed="false">
      <c r="A751" s="12" t="s">
        <v>1639</v>
      </c>
      <c r="B751" s="13" t="n">
        <v>159.029</v>
      </c>
      <c r="C751" s="13" t="n">
        <v>148</v>
      </c>
      <c r="D751" s="12" t="s">
        <v>1640</v>
      </c>
      <c r="E751" s="12" t="s">
        <v>30</v>
      </c>
      <c r="F751" s="12" t="s">
        <v>1641</v>
      </c>
      <c r="G751" s="12" t="s">
        <v>32</v>
      </c>
      <c r="H751" s="14" t="n">
        <v>46281</v>
      </c>
      <c r="I751" s="14" t="n">
        <v>46282</v>
      </c>
      <c r="J751" s="12" t="s">
        <v>33</v>
      </c>
    </row>
    <row r="752" customFormat="false" ht="15" hidden="false" customHeight="true" outlineLevel="0" collapsed="false">
      <c r="A752" s="12" t="s">
        <v>1642</v>
      </c>
      <c r="B752" s="13" t="n">
        <v>53.358</v>
      </c>
      <c r="C752" s="13" t="n">
        <v>49.44</v>
      </c>
      <c r="D752" s="12" t="s">
        <v>1643</v>
      </c>
      <c r="E752" s="12" t="s">
        <v>30</v>
      </c>
      <c r="F752" s="12" t="s">
        <v>1644</v>
      </c>
      <c r="G752" s="12" t="s">
        <v>32</v>
      </c>
      <c r="H752" s="14" t="n">
        <v>46281</v>
      </c>
      <c r="I752" s="14" t="n">
        <v>46282</v>
      </c>
      <c r="J752" s="12" t="s">
        <v>33</v>
      </c>
    </row>
    <row r="753" customFormat="false" ht="15" hidden="false" customHeight="true" outlineLevel="0" collapsed="false">
      <c r="A753" s="12" t="s">
        <v>1645</v>
      </c>
      <c r="B753" s="13" t="n">
        <v>2034.671</v>
      </c>
      <c r="C753" s="13" t="n">
        <v>1910.8</v>
      </c>
      <c r="D753" s="12" t="s">
        <v>198</v>
      </c>
      <c r="E753" s="12" t="s">
        <v>30</v>
      </c>
      <c r="F753" s="12" t="s">
        <v>168</v>
      </c>
      <c r="G753" s="12" t="s">
        <v>32</v>
      </c>
      <c r="H753" s="14" t="n">
        <v>46281</v>
      </c>
      <c r="I753" s="14" t="n">
        <v>46282</v>
      </c>
      <c r="J753" s="12" t="s">
        <v>33</v>
      </c>
    </row>
    <row r="754" customFormat="false" ht="15" hidden="false" customHeight="true" outlineLevel="0" collapsed="false">
      <c r="A754" s="12" t="s">
        <v>1646</v>
      </c>
      <c r="B754" s="13" t="n">
        <v>106.15</v>
      </c>
      <c r="C754" s="13" t="n">
        <v>101</v>
      </c>
      <c r="D754" s="12" t="s">
        <v>1647</v>
      </c>
      <c r="E754" s="12" t="s">
        <v>30</v>
      </c>
      <c r="F754" s="12" t="s">
        <v>1648</v>
      </c>
      <c r="G754" s="12" t="s">
        <v>32</v>
      </c>
      <c r="H754" s="14" t="n">
        <v>46281</v>
      </c>
      <c r="I754" s="14" t="n">
        <v>46282</v>
      </c>
      <c r="J754" s="12" t="s">
        <v>33</v>
      </c>
    </row>
    <row r="755" customFormat="false" ht="15" hidden="false" customHeight="true" outlineLevel="0" collapsed="false">
      <c r="A755" s="12" t="s">
        <v>1649</v>
      </c>
      <c r="B755" s="13" t="n">
        <v>206.666</v>
      </c>
      <c r="C755" s="13" t="n">
        <v>191.92</v>
      </c>
      <c r="D755" s="12" t="s">
        <v>1650</v>
      </c>
      <c r="E755" s="12" t="s">
        <v>30</v>
      </c>
      <c r="F755" s="12" t="s">
        <v>1651</v>
      </c>
      <c r="G755" s="12" t="s">
        <v>32</v>
      </c>
      <c r="H755" s="14" t="n">
        <v>46281</v>
      </c>
      <c r="I755" s="14" t="n">
        <v>46282</v>
      </c>
      <c r="J755" s="12" t="s">
        <v>33</v>
      </c>
    </row>
    <row r="756" customFormat="false" ht="15" hidden="false" customHeight="true" outlineLevel="0" collapsed="false">
      <c r="A756" s="12" t="s">
        <v>1652</v>
      </c>
      <c r="B756" s="13" t="n">
        <v>215.008</v>
      </c>
      <c r="C756" s="13" t="n">
        <v>202</v>
      </c>
      <c r="D756" s="12" t="s">
        <v>1653</v>
      </c>
      <c r="E756" s="12" t="s">
        <v>30</v>
      </c>
      <c r="F756" s="12" t="s">
        <v>1654</v>
      </c>
      <c r="G756" s="12" t="s">
        <v>32</v>
      </c>
      <c r="H756" s="14" t="n">
        <v>46281</v>
      </c>
      <c r="I756" s="14" t="n">
        <v>46282</v>
      </c>
      <c r="J756" s="12" t="s">
        <v>33</v>
      </c>
    </row>
    <row r="757" customFormat="false" ht="15" hidden="false" customHeight="true" outlineLevel="0" collapsed="false">
      <c r="A757" s="12" t="s">
        <v>1655</v>
      </c>
      <c r="B757" s="13" t="n">
        <v>193.646</v>
      </c>
      <c r="C757" s="13" t="n">
        <v>179.78</v>
      </c>
      <c r="D757" s="12" t="s">
        <v>1656</v>
      </c>
      <c r="E757" s="12" t="s">
        <v>30</v>
      </c>
      <c r="F757" s="12" t="s">
        <v>1657</v>
      </c>
      <c r="G757" s="12" t="s">
        <v>32</v>
      </c>
      <c r="H757" s="14" t="n">
        <v>46281</v>
      </c>
      <c r="I757" s="14" t="n">
        <v>46282</v>
      </c>
      <c r="J757" s="12" t="s">
        <v>33</v>
      </c>
    </row>
    <row r="758" customFormat="false" ht="15" hidden="false" customHeight="true" outlineLevel="0" collapsed="false">
      <c r="A758" s="12" t="s">
        <v>1658</v>
      </c>
      <c r="B758" s="13" t="n">
        <v>633.653</v>
      </c>
      <c r="C758" s="13" t="n">
        <v>585.8</v>
      </c>
      <c r="D758" s="12" t="s">
        <v>1659</v>
      </c>
      <c r="E758" s="12" t="s">
        <v>30</v>
      </c>
      <c r="F758" s="12" t="s">
        <v>168</v>
      </c>
      <c r="G758" s="12" t="s">
        <v>32</v>
      </c>
      <c r="H758" s="14" t="n">
        <v>46281</v>
      </c>
      <c r="I758" s="14" t="n">
        <v>46282</v>
      </c>
      <c r="J758" s="12" t="s">
        <v>33</v>
      </c>
    </row>
    <row r="759" customFormat="false" ht="15" hidden="false" customHeight="true" outlineLevel="0" collapsed="false">
      <c r="A759" s="12" t="s">
        <v>1660</v>
      </c>
      <c r="B759" s="13" t="n">
        <v>349.794</v>
      </c>
      <c r="C759" s="13" t="n">
        <v>311.58</v>
      </c>
      <c r="D759" s="12" t="s">
        <v>1661</v>
      </c>
      <c r="E759" s="12" t="s">
        <v>30</v>
      </c>
      <c r="F759" s="12" t="s">
        <v>168</v>
      </c>
      <c r="G759" s="12" t="s">
        <v>32</v>
      </c>
      <c r="H759" s="14" t="n">
        <v>46281</v>
      </c>
      <c r="I759" s="14" t="n">
        <v>46282</v>
      </c>
      <c r="J759" s="12" t="s">
        <v>33</v>
      </c>
    </row>
    <row r="760" customFormat="false" ht="15" hidden="false" customHeight="true" outlineLevel="0" collapsed="false">
      <c r="A760" s="12" t="s">
        <v>1662</v>
      </c>
      <c r="B760" s="13" t="n">
        <v>98.998</v>
      </c>
      <c r="C760" s="13" t="n">
        <v>92.86</v>
      </c>
      <c r="D760" s="12" t="s">
        <v>1633</v>
      </c>
      <c r="E760" s="12" t="s">
        <v>30</v>
      </c>
      <c r="F760" s="12" t="s">
        <v>168</v>
      </c>
      <c r="G760" s="12" t="s">
        <v>32</v>
      </c>
      <c r="H760" s="14" t="n">
        <v>46281</v>
      </c>
      <c r="I760" s="14" t="n">
        <v>46282</v>
      </c>
      <c r="J760" s="12" t="s">
        <v>33</v>
      </c>
    </row>
    <row r="761" customFormat="false" ht="15" hidden="false" customHeight="true" outlineLevel="0" collapsed="false">
      <c r="A761" s="12" t="s">
        <v>1663</v>
      </c>
      <c r="B761" s="13" t="n">
        <v>78.831</v>
      </c>
      <c r="C761" s="13" t="n">
        <v>73.8</v>
      </c>
      <c r="D761" s="12" t="s">
        <v>1664</v>
      </c>
      <c r="E761" s="12" t="s">
        <v>30</v>
      </c>
      <c r="F761" s="12" t="s">
        <v>397</v>
      </c>
      <c r="G761" s="12" t="s">
        <v>32</v>
      </c>
      <c r="H761" s="14" t="n">
        <v>46281</v>
      </c>
      <c r="I761" s="14" t="n">
        <v>46282</v>
      </c>
      <c r="J761" s="12" t="s">
        <v>33</v>
      </c>
    </row>
    <row r="762" customFormat="false" ht="15" hidden="false" customHeight="true" outlineLevel="0" collapsed="false">
      <c r="A762" s="12" t="s">
        <v>1665</v>
      </c>
      <c r="B762" s="13" t="n">
        <v>112.378</v>
      </c>
      <c r="C762" s="13" t="n">
        <v>102.92</v>
      </c>
      <c r="D762" s="12" t="s">
        <v>1666</v>
      </c>
      <c r="E762" s="12" t="s">
        <v>30</v>
      </c>
      <c r="F762" s="12" t="s">
        <v>168</v>
      </c>
      <c r="G762" s="12" t="s">
        <v>32</v>
      </c>
      <c r="H762" s="14" t="n">
        <v>46281</v>
      </c>
      <c r="I762" s="14" t="n">
        <v>46282</v>
      </c>
      <c r="J762" s="12" t="s">
        <v>33</v>
      </c>
    </row>
    <row r="763" customFormat="false" ht="15" hidden="false" customHeight="true" outlineLevel="0" collapsed="false">
      <c r="A763" s="12" t="s">
        <v>1667</v>
      </c>
      <c r="B763" s="13" t="n">
        <v>279.665</v>
      </c>
      <c r="C763" s="13" t="n">
        <v>258.56</v>
      </c>
      <c r="D763" s="12" t="s">
        <v>1668</v>
      </c>
      <c r="E763" s="12" t="s">
        <v>30</v>
      </c>
      <c r="F763" s="12" t="s">
        <v>168</v>
      </c>
      <c r="G763" s="12" t="s">
        <v>32</v>
      </c>
      <c r="H763" s="14" t="n">
        <v>46281</v>
      </c>
      <c r="I763" s="14" t="n">
        <v>46282</v>
      </c>
      <c r="J763" s="12" t="s">
        <v>33</v>
      </c>
    </row>
    <row r="764" customFormat="false" ht="15" hidden="false" customHeight="true" outlineLevel="0" collapsed="false">
      <c r="A764" s="12" t="s">
        <v>1669</v>
      </c>
      <c r="B764" s="13" t="n">
        <v>29.625</v>
      </c>
      <c r="C764" s="13" t="n">
        <v>25</v>
      </c>
      <c r="D764" s="12" t="s">
        <v>184</v>
      </c>
      <c r="E764" s="12" t="s">
        <v>30</v>
      </c>
      <c r="F764" s="12" t="s">
        <v>168</v>
      </c>
      <c r="G764" s="12" t="s">
        <v>32</v>
      </c>
      <c r="H764" s="14" t="n">
        <v>46281</v>
      </c>
      <c r="I764" s="14" t="n">
        <v>46282</v>
      </c>
      <c r="J764" s="12" t="s">
        <v>33</v>
      </c>
    </row>
    <row r="765" customFormat="false" ht="15" hidden="false" customHeight="true" outlineLevel="0" collapsed="false">
      <c r="A765" s="12" t="s">
        <v>1670</v>
      </c>
      <c r="B765" s="13" t="n">
        <v>5.925</v>
      </c>
      <c r="C765" s="13" t="n">
        <v>5</v>
      </c>
      <c r="D765" s="12" t="s">
        <v>207</v>
      </c>
      <c r="E765" s="12" t="s">
        <v>30</v>
      </c>
      <c r="F765" s="12" t="s">
        <v>168</v>
      </c>
      <c r="G765" s="12" t="s">
        <v>32</v>
      </c>
      <c r="H765" s="14" t="n">
        <v>46281</v>
      </c>
      <c r="I765" s="14" t="n">
        <v>46282</v>
      </c>
      <c r="J765" s="12" t="s">
        <v>33</v>
      </c>
    </row>
    <row r="766" customFormat="false" ht="15" hidden="false" customHeight="true" outlineLevel="0" collapsed="false">
      <c r="A766" s="12" t="s">
        <v>1671</v>
      </c>
      <c r="B766" s="13" t="n">
        <v>17.775</v>
      </c>
      <c r="C766" s="13" t="n">
        <v>15</v>
      </c>
      <c r="D766" s="12" t="s">
        <v>209</v>
      </c>
      <c r="E766" s="12" t="s">
        <v>30</v>
      </c>
      <c r="F766" s="12" t="s">
        <v>210</v>
      </c>
      <c r="G766" s="12" t="s">
        <v>32</v>
      </c>
      <c r="H766" s="14" t="n">
        <v>46281</v>
      </c>
      <c r="I766" s="14" t="n">
        <v>46282</v>
      </c>
      <c r="J766" s="12" t="s">
        <v>33</v>
      </c>
    </row>
    <row r="767" customFormat="false" ht="15" hidden="false" customHeight="true" outlineLevel="0" collapsed="false">
      <c r="A767" s="12" t="s">
        <v>1672</v>
      </c>
      <c r="B767" s="13" t="n">
        <v>29.625</v>
      </c>
      <c r="C767" s="13" t="n">
        <v>25</v>
      </c>
      <c r="D767" s="12" t="s">
        <v>196</v>
      </c>
      <c r="E767" s="12" t="s">
        <v>30</v>
      </c>
      <c r="F767" s="12" t="s">
        <v>168</v>
      </c>
      <c r="G767" s="12" t="s">
        <v>32</v>
      </c>
      <c r="H767" s="14" t="n">
        <v>46281</v>
      </c>
      <c r="I767" s="14" t="n">
        <v>46282</v>
      </c>
      <c r="J767" s="12" t="s">
        <v>33</v>
      </c>
    </row>
    <row r="768" customFormat="false" ht="15" hidden="false" customHeight="true" outlineLevel="0" collapsed="false">
      <c r="A768" s="12" t="s">
        <v>1673</v>
      </c>
      <c r="B768" s="13" t="n">
        <v>33.767</v>
      </c>
      <c r="C768" s="13" t="n">
        <v>30.2</v>
      </c>
      <c r="D768" s="12" t="s">
        <v>188</v>
      </c>
      <c r="E768" s="12" t="s">
        <v>30</v>
      </c>
      <c r="F768" s="12" t="s">
        <v>189</v>
      </c>
      <c r="G768" s="12" t="s">
        <v>32</v>
      </c>
      <c r="H768" s="14" t="n">
        <v>46281</v>
      </c>
      <c r="I768" s="14" t="n">
        <v>46282</v>
      </c>
      <c r="J768" s="12" t="s">
        <v>33</v>
      </c>
    </row>
    <row r="769" customFormat="false" ht="15" hidden="false" customHeight="true" outlineLevel="0" collapsed="false">
      <c r="A769" s="12" t="s">
        <v>1674</v>
      </c>
      <c r="B769" s="13" t="n">
        <v>40.944</v>
      </c>
      <c r="C769" s="13" t="n">
        <v>37.32</v>
      </c>
      <c r="D769" s="12" t="s">
        <v>1675</v>
      </c>
      <c r="E769" s="12" t="s">
        <v>30</v>
      </c>
      <c r="F769" s="12" t="s">
        <v>182</v>
      </c>
      <c r="G769" s="12" t="s">
        <v>32</v>
      </c>
      <c r="H769" s="14" t="n">
        <v>46281</v>
      </c>
      <c r="I769" s="14" t="n">
        <v>46282</v>
      </c>
      <c r="J769" s="12" t="s">
        <v>33</v>
      </c>
    </row>
    <row r="770" customFormat="false" ht="15" hidden="false" customHeight="true" outlineLevel="0" collapsed="false">
      <c r="A770" s="12" t="s">
        <v>1676</v>
      </c>
      <c r="B770" s="13" t="n">
        <v>56.189</v>
      </c>
      <c r="C770" s="13" t="n">
        <v>51.46</v>
      </c>
      <c r="D770" s="12" t="s">
        <v>1677</v>
      </c>
      <c r="E770" s="12" t="s">
        <v>30</v>
      </c>
      <c r="F770" s="12" t="s">
        <v>175</v>
      </c>
      <c r="G770" s="12" t="s">
        <v>32</v>
      </c>
      <c r="H770" s="14" t="n">
        <v>46281</v>
      </c>
      <c r="I770" s="14" t="n">
        <v>46282</v>
      </c>
      <c r="J770" s="12" t="s">
        <v>33</v>
      </c>
    </row>
    <row r="771" customFormat="false" ht="15" hidden="false" customHeight="true" outlineLevel="0" collapsed="false">
      <c r="A771" s="12" t="s">
        <v>1678</v>
      </c>
      <c r="B771" s="13" t="n">
        <v>49.416</v>
      </c>
      <c r="C771" s="13" t="n">
        <v>45.4</v>
      </c>
      <c r="D771" s="12" t="s">
        <v>181</v>
      </c>
      <c r="E771" s="12" t="s">
        <v>30</v>
      </c>
      <c r="F771" s="12" t="s">
        <v>182</v>
      </c>
      <c r="G771" s="12" t="s">
        <v>32</v>
      </c>
      <c r="H771" s="14" t="n">
        <v>46281</v>
      </c>
      <c r="I771" s="14" t="n">
        <v>46282</v>
      </c>
      <c r="J771" s="12" t="s">
        <v>33</v>
      </c>
    </row>
    <row r="772" customFormat="false" ht="15" hidden="false" customHeight="true" outlineLevel="0" collapsed="false">
      <c r="A772" s="12" t="s">
        <v>1679</v>
      </c>
      <c r="B772" s="13" t="n">
        <v>55.341</v>
      </c>
      <c r="C772" s="13" t="n">
        <v>50.4</v>
      </c>
      <c r="D772" s="12" t="s">
        <v>1680</v>
      </c>
      <c r="E772" s="12" t="s">
        <v>30</v>
      </c>
      <c r="F772" s="12" t="s">
        <v>1681</v>
      </c>
      <c r="G772" s="12" t="s">
        <v>32</v>
      </c>
      <c r="H772" s="14" t="n">
        <v>46281</v>
      </c>
      <c r="I772" s="14" t="n">
        <v>46282</v>
      </c>
      <c r="J772" s="12" t="s">
        <v>33</v>
      </c>
    </row>
    <row r="773" customFormat="false" ht="15" hidden="false" customHeight="true" outlineLevel="0" collapsed="false">
      <c r="A773" s="12" t="s">
        <v>1682</v>
      </c>
      <c r="B773" s="13" t="n">
        <v>148.125</v>
      </c>
      <c r="C773" s="13" t="n">
        <v>125</v>
      </c>
      <c r="D773" s="12" t="s">
        <v>170</v>
      </c>
      <c r="E773" s="12" t="s">
        <v>30</v>
      </c>
      <c r="F773" s="12" t="s">
        <v>157</v>
      </c>
      <c r="G773" s="12" t="s">
        <v>32</v>
      </c>
      <c r="H773" s="14" t="n">
        <v>46281</v>
      </c>
      <c r="I773" s="14" t="n">
        <v>46282</v>
      </c>
      <c r="J773" s="12" t="s">
        <v>33</v>
      </c>
    </row>
    <row r="774" customFormat="false" ht="15" hidden="false" customHeight="true" outlineLevel="0" collapsed="false">
      <c r="A774" s="12" t="s">
        <v>1683</v>
      </c>
      <c r="B774" s="13" t="n">
        <v>274.329</v>
      </c>
      <c r="C774" s="13" t="n">
        <v>256.54</v>
      </c>
      <c r="D774" s="12" t="s">
        <v>1684</v>
      </c>
      <c r="E774" s="12" t="s">
        <v>30</v>
      </c>
      <c r="F774" s="12" t="s">
        <v>1685</v>
      </c>
      <c r="G774" s="12" t="s">
        <v>32</v>
      </c>
      <c r="H774" s="14" t="n">
        <v>46281</v>
      </c>
      <c r="I774" s="14" t="n">
        <v>46282</v>
      </c>
      <c r="J774" s="12" t="s">
        <v>33</v>
      </c>
    </row>
    <row r="775" customFormat="false" ht="15" hidden="false" customHeight="true" outlineLevel="0" collapsed="false">
      <c r="A775" s="12" t="s">
        <v>1686</v>
      </c>
      <c r="B775" s="13" t="n">
        <v>159.913</v>
      </c>
      <c r="C775" s="13" t="n">
        <v>151.5</v>
      </c>
      <c r="D775" s="12" t="s">
        <v>1687</v>
      </c>
      <c r="E775" s="12" t="s">
        <v>30</v>
      </c>
      <c r="F775" s="12" t="s">
        <v>1688</v>
      </c>
      <c r="G775" s="12" t="s">
        <v>32</v>
      </c>
      <c r="H775" s="14" t="n">
        <v>46281</v>
      </c>
      <c r="I775" s="14" t="n">
        <v>46282</v>
      </c>
      <c r="J775" s="12" t="s">
        <v>33</v>
      </c>
    </row>
    <row r="776" customFormat="false" ht="15" hidden="false" customHeight="true" outlineLevel="0" collapsed="false">
      <c r="A776" s="12" t="s">
        <v>1689</v>
      </c>
      <c r="B776" s="13" t="n">
        <v>106.151</v>
      </c>
      <c r="C776" s="13" t="n">
        <v>101</v>
      </c>
      <c r="D776" s="12" t="s">
        <v>191</v>
      </c>
      <c r="E776" s="12" t="s">
        <v>30</v>
      </c>
      <c r="F776" s="12" t="s">
        <v>192</v>
      </c>
      <c r="G776" s="12" t="s">
        <v>32</v>
      </c>
      <c r="H776" s="14" t="n">
        <v>46281</v>
      </c>
      <c r="I776" s="14" t="n">
        <v>46282</v>
      </c>
      <c r="J776" s="12" t="s">
        <v>33</v>
      </c>
    </row>
    <row r="777" customFormat="false" ht="15" hidden="false" customHeight="true" outlineLevel="0" collapsed="false">
      <c r="A777" s="12" t="s">
        <v>1690</v>
      </c>
      <c r="B777" s="13" t="n">
        <v>84.921</v>
      </c>
      <c r="C777" s="13" t="n">
        <v>80.8</v>
      </c>
      <c r="D777" s="12" t="s">
        <v>1687</v>
      </c>
      <c r="E777" s="12" t="s">
        <v>30</v>
      </c>
      <c r="F777" s="12" t="s">
        <v>1688</v>
      </c>
      <c r="G777" s="12" t="s">
        <v>32</v>
      </c>
      <c r="H777" s="14" t="n">
        <v>46281</v>
      </c>
      <c r="I777" s="14" t="n">
        <v>46282</v>
      </c>
      <c r="J777" s="12" t="s">
        <v>33</v>
      </c>
    </row>
    <row r="778" customFormat="false" ht="15" hidden="false" customHeight="true" outlineLevel="0" collapsed="false">
      <c r="A778" s="12" t="s">
        <v>1691</v>
      </c>
      <c r="B778" s="13" t="n">
        <v>1183.518</v>
      </c>
      <c r="C778" s="13" t="n">
        <v>1090.8</v>
      </c>
      <c r="D778" s="12" t="s">
        <v>1692</v>
      </c>
      <c r="E778" s="12" t="s">
        <v>30</v>
      </c>
      <c r="F778" s="12" t="s">
        <v>40</v>
      </c>
      <c r="G778" s="12" t="s">
        <v>41</v>
      </c>
      <c r="H778" s="14" t="n">
        <v>46281</v>
      </c>
      <c r="I778" s="14" t="n">
        <v>46281</v>
      </c>
      <c r="J778" s="12" t="s">
        <v>33</v>
      </c>
    </row>
    <row r="779" customFormat="false" ht="15" hidden="false" customHeight="true" outlineLevel="0" collapsed="false">
      <c r="A779" s="12" t="s">
        <v>1693</v>
      </c>
      <c r="B779" s="13" t="n">
        <v>248.145</v>
      </c>
      <c r="C779" s="13" t="n">
        <v>230.28</v>
      </c>
      <c r="D779" s="12" t="s">
        <v>1694</v>
      </c>
      <c r="E779" s="12" t="s">
        <v>30</v>
      </c>
      <c r="F779" s="12" t="s">
        <v>192</v>
      </c>
      <c r="G779" s="12" t="s">
        <v>32</v>
      </c>
      <c r="H779" s="14" t="n">
        <v>46281</v>
      </c>
      <c r="I779" s="14" t="n">
        <v>46282</v>
      </c>
      <c r="J779" s="12" t="s">
        <v>33</v>
      </c>
    </row>
    <row r="780" customFormat="false" ht="15" hidden="false" customHeight="true" outlineLevel="0" collapsed="false">
      <c r="A780" s="12" t="s">
        <v>1695</v>
      </c>
      <c r="B780" s="13" t="n">
        <v>26.203</v>
      </c>
      <c r="C780" s="13" t="n">
        <v>24.24</v>
      </c>
      <c r="D780" s="12" t="s">
        <v>396</v>
      </c>
      <c r="E780" s="12" t="s">
        <v>30</v>
      </c>
      <c r="F780" s="12" t="s">
        <v>397</v>
      </c>
      <c r="G780" s="12" t="s">
        <v>32</v>
      </c>
      <c r="H780" s="14" t="n">
        <v>46281</v>
      </c>
      <c r="I780" s="14" t="n">
        <v>46282</v>
      </c>
      <c r="J780" s="12" t="s">
        <v>254</v>
      </c>
    </row>
    <row r="781" customFormat="false" ht="15" hidden="false" customHeight="true" outlineLevel="0" collapsed="false">
      <c r="A781" s="12" t="s">
        <v>1696</v>
      </c>
      <c r="B781" s="13" t="n">
        <v>303.07</v>
      </c>
      <c r="C781" s="13" t="n">
        <v>282.28</v>
      </c>
      <c r="D781" s="12" t="s">
        <v>1697</v>
      </c>
      <c r="E781" s="12" t="s">
        <v>30</v>
      </c>
      <c r="F781" s="12" t="s">
        <v>444</v>
      </c>
      <c r="G781" s="12" t="s">
        <v>37</v>
      </c>
      <c r="H781" s="14" t="n">
        <v>46281</v>
      </c>
      <c r="I781" s="14" t="n">
        <v>46281</v>
      </c>
      <c r="J781" s="12" t="s">
        <v>33</v>
      </c>
    </row>
    <row r="782" customFormat="false" ht="15" hidden="false" customHeight="true" outlineLevel="0" collapsed="false">
      <c r="A782" s="12" t="s">
        <v>1698</v>
      </c>
      <c r="B782" s="13" t="n">
        <v>756.474</v>
      </c>
      <c r="C782" s="13" t="n">
        <v>687.74</v>
      </c>
      <c r="D782" s="12" t="s">
        <v>1692</v>
      </c>
      <c r="E782" s="12" t="s">
        <v>30</v>
      </c>
      <c r="F782" s="12" t="s">
        <v>40</v>
      </c>
      <c r="G782" s="12" t="s">
        <v>41</v>
      </c>
      <c r="H782" s="14" t="n">
        <v>46281</v>
      </c>
      <c r="I782" s="14" t="n">
        <v>46281</v>
      </c>
      <c r="J782" s="12" t="s">
        <v>33</v>
      </c>
    </row>
    <row r="783" customFormat="false" ht="15" hidden="false" customHeight="true" outlineLevel="0" collapsed="false">
      <c r="A783" s="12" t="s">
        <v>1699</v>
      </c>
      <c r="B783" s="13" t="n">
        <v>109.585</v>
      </c>
      <c r="C783" s="13" t="n">
        <v>101</v>
      </c>
      <c r="D783" s="12" t="s">
        <v>1700</v>
      </c>
      <c r="E783" s="12" t="s">
        <v>30</v>
      </c>
      <c r="F783" s="12" t="s">
        <v>1701</v>
      </c>
      <c r="G783" s="12" t="s">
        <v>41</v>
      </c>
      <c r="H783" s="14" t="n">
        <v>46281</v>
      </c>
      <c r="I783" s="14" t="n">
        <v>46281</v>
      </c>
      <c r="J783" s="12" t="s">
        <v>33</v>
      </c>
    </row>
    <row r="784" customFormat="false" ht="15" hidden="false" customHeight="true" outlineLevel="0" collapsed="false">
      <c r="A784" s="12" t="s">
        <v>1702</v>
      </c>
      <c r="B784" s="13" t="n">
        <v>665.245</v>
      </c>
      <c r="C784" s="13" t="n">
        <v>612.6</v>
      </c>
      <c r="D784" s="12" t="s">
        <v>1703</v>
      </c>
      <c r="E784" s="12" t="s">
        <v>30</v>
      </c>
      <c r="F784" s="12" t="s">
        <v>40</v>
      </c>
      <c r="G784" s="12" t="s">
        <v>41</v>
      </c>
      <c r="H784" s="14" t="n">
        <v>46281</v>
      </c>
      <c r="I784" s="14" t="n">
        <v>46281</v>
      </c>
      <c r="J784" s="12" t="s">
        <v>33</v>
      </c>
    </row>
    <row r="785" customFormat="false" ht="15" hidden="false" customHeight="true" outlineLevel="0" collapsed="false">
      <c r="A785" s="12" t="s">
        <v>1704</v>
      </c>
      <c r="B785" s="13" t="n">
        <v>210.987</v>
      </c>
      <c r="C785" s="13" t="n">
        <v>193.98</v>
      </c>
      <c r="D785" s="12" t="s">
        <v>1705</v>
      </c>
      <c r="E785" s="12" t="s">
        <v>30</v>
      </c>
      <c r="F785" s="12" t="s">
        <v>86</v>
      </c>
      <c r="G785" s="12" t="s">
        <v>37</v>
      </c>
      <c r="H785" s="14" t="n">
        <v>46281</v>
      </c>
      <c r="I785" s="14" t="n">
        <v>46281</v>
      </c>
      <c r="J785" s="12" t="s">
        <v>33</v>
      </c>
    </row>
    <row r="786" customFormat="false" ht="15" hidden="false" customHeight="true" outlineLevel="0" collapsed="false">
      <c r="A786" s="12" t="s">
        <v>1706</v>
      </c>
      <c r="B786" s="13" t="n">
        <v>394.568</v>
      </c>
      <c r="C786" s="13" t="n">
        <v>367.68</v>
      </c>
      <c r="D786" s="12" t="s">
        <v>530</v>
      </c>
      <c r="E786" s="12" t="s">
        <v>30</v>
      </c>
      <c r="F786" s="12" t="s">
        <v>531</v>
      </c>
      <c r="G786" s="12" t="s">
        <v>37</v>
      </c>
      <c r="H786" s="14" t="n">
        <v>46281</v>
      </c>
      <c r="I786" s="14" t="n">
        <v>46281</v>
      </c>
      <c r="J786" s="12" t="s">
        <v>33</v>
      </c>
    </row>
    <row r="787" customFormat="false" ht="15" hidden="false" customHeight="true" outlineLevel="0" collapsed="false">
      <c r="A787" s="12" t="s">
        <v>1707</v>
      </c>
      <c r="B787" s="13" t="n">
        <v>118.5</v>
      </c>
      <c r="C787" s="13" t="n">
        <v>100</v>
      </c>
      <c r="D787" s="12" t="s">
        <v>464</v>
      </c>
      <c r="E787" s="12" t="s">
        <v>30</v>
      </c>
      <c r="F787" s="12" t="s">
        <v>465</v>
      </c>
      <c r="G787" s="12" t="s">
        <v>37</v>
      </c>
      <c r="H787" s="14" t="n">
        <v>46281</v>
      </c>
      <c r="I787" s="14" t="n">
        <v>46281</v>
      </c>
      <c r="J787" s="12" t="s">
        <v>33</v>
      </c>
    </row>
    <row r="788" customFormat="false" ht="15" hidden="false" customHeight="true" outlineLevel="0" collapsed="false">
      <c r="A788" s="12" t="s">
        <v>1708</v>
      </c>
      <c r="B788" s="13" t="n">
        <v>441.416</v>
      </c>
      <c r="C788" s="13" t="n">
        <v>408.04</v>
      </c>
      <c r="D788" s="12" t="s">
        <v>564</v>
      </c>
      <c r="E788" s="12" t="s">
        <v>30</v>
      </c>
      <c r="F788" s="12" t="s">
        <v>565</v>
      </c>
      <c r="G788" s="12" t="s">
        <v>45</v>
      </c>
      <c r="H788" s="14" t="n">
        <v>46281</v>
      </c>
      <c r="I788" s="14" t="n">
        <v>46281</v>
      </c>
      <c r="J788" s="12" t="s">
        <v>33</v>
      </c>
    </row>
    <row r="789" customFormat="false" ht="15" hidden="false" customHeight="true" outlineLevel="0" collapsed="false">
      <c r="A789" s="12" t="s">
        <v>1709</v>
      </c>
      <c r="B789" s="13" t="n">
        <v>107.284</v>
      </c>
      <c r="C789" s="13" t="n">
        <v>100.1</v>
      </c>
      <c r="D789" s="12" t="s">
        <v>1710</v>
      </c>
      <c r="E789" s="12" t="s">
        <v>30</v>
      </c>
      <c r="F789" s="12" t="s">
        <v>239</v>
      </c>
      <c r="G789" s="12" t="s">
        <v>240</v>
      </c>
      <c r="H789" s="14" t="n">
        <v>46281</v>
      </c>
      <c r="I789" s="14" t="n">
        <v>46281</v>
      </c>
      <c r="J789" s="12" t="s">
        <v>254</v>
      </c>
    </row>
    <row r="790" customFormat="false" ht="15" hidden="false" customHeight="true" outlineLevel="0" collapsed="false">
      <c r="A790" s="12" t="s">
        <v>1711</v>
      </c>
      <c r="B790" s="13" t="n">
        <v>279.51</v>
      </c>
      <c r="C790" s="13" t="n">
        <v>260.38</v>
      </c>
      <c r="D790" s="12" t="s">
        <v>1712</v>
      </c>
      <c r="E790" s="12" t="s">
        <v>30</v>
      </c>
      <c r="F790" s="12" t="s">
        <v>142</v>
      </c>
      <c r="G790" s="12" t="s">
        <v>37</v>
      </c>
      <c r="H790" s="14" t="n">
        <v>46281</v>
      </c>
      <c r="I790" s="14" t="n">
        <v>46284</v>
      </c>
      <c r="J790" s="12" t="s">
        <v>33</v>
      </c>
    </row>
    <row r="791" customFormat="false" ht="15" hidden="false" customHeight="true" outlineLevel="0" collapsed="false">
      <c r="A791" s="12" t="s">
        <v>1713</v>
      </c>
      <c r="B791" s="13" t="n">
        <v>344.351</v>
      </c>
      <c r="C791" s="13" t="n">
        <v>318.76</v>
      </c>
      <c r="D791" s="12" t="s">
        <v>1714</v>
      </c>
      <c r="E791" s="12" t="s">
        <v>30</v>
      </c>
      <c r="F791" s="12" t="s">
        <v>1715</v>
      </c>
      <c r="G791" s="12" t="s">
        <v>37</v>
      </c>
      <c r="H791" s="14" t="n">
        <v>46281</v>
      </c>
      <c r="I791" s="14" t="n">
        <v>46284</v>
      </c>
      <c r="J791" s="12" t="s">
        <v>33</v>
      </c>
    </row>
    <row r="792" customFormat="false" ht="15" hidden="false" customHeight="true" outlineLevel="0" collapsed="false">
      <c r="A792" s="12" t="s">
        <v>1716</v>
      </c>
      <c r="B792" s="13" t="n">
        <v>240.623</v>
      </c>
      <c r="C792" s="13" t="n">
        <v>222.64</v>
      </c>
      <c r="D792" s="12" t="s">
        <v>1717</v>
      </c>
      <c r="E792" s="12" t="s">
        <v>30</v>
      </c>
      <c r="F792" s="12" t="s">
        <v>98</v>
      </c>
      <c r="G792" s="12" t="s">
        <v>37</v>
      </c>
      <c r="H792" s="14" t="n">
        <v>46281</v>
      </c>
      <c r="I792" s="14" t="n">
        <v>46284</v>
      </c>
      <c r="J792" s="12" t="s">
        <v>33</v>
      </c>
    </row>
    <row r="793" customFormat="false" ht="15" hidden="false" customHeight="true" outlineLevel="0" collapsed="false">
      <c r="A793" s="12" t="s">
        <v>1718</v>
      </c>
      <c r="B793" s="13" t="n">
        <v>203.503</v>
      </c>
      <c r="C793" s="13" t="n">
        <v>191.9</v>
      </c>
      <c r="D793" s="12" t="s">
        <v>1719</v>
      </c>
      <c r="E793" s="12" t="s">
        <v>30</v>
      </c>
      <c r="F793" s="12" t="s">
        <v>1720</v>
      </c>
      <c r="G793" s="12" t="s">
        <v>41</v>
      </c>
      <c r="H793" s="14" t="n">
        <v>46281</v>
      </c>
      <c r="I793" s="14" t="n">
        <v>46284</v>
      </c>
      <c r="J793" s="12" t="s">
        <v>33</v>
      </c>
    </row>
    <row r="794" customFormat="false" ht="15" hidden="false" customHeight="true" outlineLevel="0" collapsed="false">
      <c r="A794" s="12" t="s">
        <v>1721</v>
      </c>
      <c r="B794" s="13" t="n">
        <v>104.816</v>
      </c>
      <c r="C794" s="13" t="n">
        <v>96.96</v>
      </c>
      <c r="D794" s="12" t="s">
        <v>425</v>
      </c>
      <c r="E794" s="12" t="s">
        <v>30</v>
      </c>
      <c r="F794" s="12" t="s">
        <v>81</v>
      </c>
      <c r="G794" s="12" t="s">
        <v>41</v>
      </c>
      <c r="H794" s="14" t="n">
        <v>46281</v>
      </c>
      <c r="I794" s="14" t="n">
        <v>46284</v>
      </c>
      <c r="J794" s="12" t="s">
        <v>33</v>
      </c>
    </row>
    <row r="795" customFormat="false" ht="15" hidden="false" customHeight="true" outlineLevel="0" collapsed="false">
      <c r="A795" s="12" t="s">
        <v>1722</v>
      </c>
      <c r="B795" s="13" t="n">
        <v>141.143</v>
      </c>
      <c r="C795" s="13" t="n">
        <v>130.38</v>
      </c>
      <c r="D795" s="12" t="s">
        <v>1723</v>
      </c>
      <c r="E795" s="12" t="s">
        <v>30</v>
      </c>
      <c r="F795" s="12" t="s">
        <v>440</v>
      </c>
      <c r="G795" s="12" t="s">
        <v>45</v>
      </c>
      <c r="H795" s="14" t="n">
        <v>46281</v>
      </c>
      <c r="I795" s="14" t="n">
        <v>46281</v>
      </c>
      <c r="J795" s="12" t="s">
        <v>33</v>
      </c>
    </row>
    <row r="796" customFormat="false" ht="15" hidden="false" customHeight="true" outlineLevel="0" collapsed="false">
      <c r="A796" s="12" t="s">
        <v>1724</v>
      </c>
      <c r="B796" s="13" t="n">
        <v>260.075</v>
      </c>
      <c r="C796" s="13" t="n">
        <v>238.72</v>
      </c>
      <c r="D796" s="12" t="s">
        <v>1725</v>
      </c>
      <c r="E796" s="12" t="s">
        <v>30</v>
      </c>
      <c r="F796" s="12" t="s">
        <v>1587</v>
      </c>
      <c r="G796" s="12" t="s">
        <v>45</v>
      </c>
      <c r="H796" s="14" t="n">
        <v>46281</v>
      </c>
      <c r="I796" s="14" t="n">
        <v>46284</v>
      </c>
      <c r="J796" s="12" t="s">
        <v>33</v>
      </c>
    </row>
    <row r="797" customFormat="false" ht="15" hidden="false" customHeight="true" outlineLevel="0" collapsed="false">
      <c r="A797" s="12" t="s">
        <v>1726</v>
      </c>
      <c r="B797" s="13" t="n">
        <v>170.323</v>
      </c>
      <c r="C797" s="13" t="n">
        <v>157.56</v>
      </c>
      <c r="D797" s="12" t="s">
        <v>1029</v>
      </c>
      <c r="E797" s="12" t="s">
        <v>30</v>
      </c>
      <c r="F797" s="12" t="s">
        <v>465</v>
      </c>
      <c r="G797" s="12" t="s">
        <v>37</v>
      </c>
      <c r="H797" s="14" t="n">
        <v>46281</v>
      </c>
      <c r="I797" s="14" t="n">
        <v>46284</v>
      </c>
      <c r="J797" s="12" t="s">
        <v>33</v>
      </c>
    </row>
    <row r="798" customFormat="false" ht="15" hidden="false" customHeight="true" outlineLevel="0" collapsed="false">
      <c r="A798" s="12" t="s">
        <v>1727</v>
      </c>
      <c r="B798" s="13" t="n">
        <v>133.056</v>
      </c>
      <c r="C798" s="13" t="n">
        <v>122.28</v>
      </c>
      <c r="D798" s="12" t="s">
        <v>1728</v>
      </c>
      <c r="E798" s="12" t="s">
        <v>30</v>
      </c>
      <c r="F798" s="12" t="s">
        <v>477</v>
      </c>
      <c r="G798" s="12" t="s">
        <v>45</v>
      </c>
      <c r="H798" s="14" t="n">
        <v>46281</v>
      </c>
      <c r="I798" s="14" t="n">
        <v>46281</v>
      </c>
      <c r="J798" s="12" t="s">
        <v>33</v>
      </c>
    </row>
    <row r="799" customFormat="false" ht="15" hidden="false" customHeight="true" outlineLevel="0" collapsed="false">
      <c r="A799" s="12" t="s">
        <v>1729</v>
      </c>
      <c r="B799" s="13" t="n">
        <v>107.247</v>
      </c>
      <c r="C799" s="13" t="n">
        <v>97.52</v>
      </c>
      <c r="D799" s="12" t="s">
        <v>1728</v>
      </c>
      <c r="E799" s="12" t="s">
        <v>30</v>
      </c>
      <c r="F799" s="12" t="s">
        <v>477</v>
      </c>
      <c r="G799" s="12" t="s">
        <v>45</v>
      </c>
      <c r="H799" s="14" t="n">
        <v>46281</v>
      </c>
      <c r="I799" s="14" t="n">
        <v>46281</v>
      </c>
      <c r="J799" s="12" t="s">
        <v>33</v>
      </c>
    </row>
    <row r="800" customFormat="false" ht="15" hidden="false" customHeight="true" outlineLevel="0" collapsed="false">
      <c r="A800" s="12" t="s">
        <v>1730</v>
      </c>
      <c r="B800" s="13" t="n">
        <v>103.971</v>
      </c>
      <c r="C800" s="13" t="n">
        <v>96.9</v>
      </c>
      <c r="D800" s="12" t="s">
        <v>1731</v>
      </c>
      <c r="E800" s="12" t="s">
        <v>30</v>
      </c>
      <c r="F800" s="12" t="s">
        <v>1732</v>
      </c>
      <c r="G800" s="12" t="s">
        <v>37</v>
      </c>
      <c r="H800" s="14" t="n">
        <v>46281</v>
      </c>
      <c r="I800" s="14" t="n">
        <v>46284</v>
      </c>
      <c r="J800" s="12" t="s">
        <v>33</v>
      </c>
    </row>
    <row r="801" customFormat="false" ht="15" hidden="false" customHeight="true" outlineLevel="0" collapsed="false">
      <c r="A801" s="12" t="s">
        <v>1733</v>
      </c>
      <c r="B801" s="13" t="n">
        <v>117.914</v>
      </c>
      <c r="C801" s="13" t="n">
        <v>109.08</v>
      </c>
      <c r="D801" s="12" t="s">
        <v>1734</v>
      </c>
      <c r="E801" s="12" t="s">
        <v>30</v>
      </c>
      <c r="F801" s="12" t="s">
        <v>145</v>
      </c>
      <c r="G801" s="12" t="s">
        <v>41</v>
      </c>
      <c r="H801" s="14" t="n">
        <v>46281</v>
      </c>
      <c r="I801" s="14" t="n">
        <v>46284</v>
      </c>
      <c r="J801" s="12" t="s">
        <v>33</v>
      </c>
    </row>
    <row r="802" customFormat="false" ht="15" hidden="false" customHeight="true" outlineLevel="0" collapsed="false">
      <c r="A802" s="12" t="s">
        <v>1735</v>
      </c>
      <c r="B802" s="13" t="n">
        <v>159.123</v>
      </c>
      <c r="C802" s="13" t="n">
        <v>147.36</v>
      </c>
      <c r="D802" s="12" t="s">
        <v>1736</v>
      </c>
      <c r="E802" s="12" t="s">
        <v>30</v>
      </c>
      <c r="F802" s="12" t="s">
        <v>1737</v>
      </c>
      <c r="G802" s="12" t="s">
        <v>41</v>
      </c>
      <c r="H802" s="14" t="n">
        <v>46281</v>
      </c>
      <c r="I802" s="14" t="n">
        <v>46284</v>
      </c>
      <c r="J802" s="12" t="s">
        <v>33</v>
      </c>
    </row>
    <row r="803" customFormat="false" ht="15" hidden="false" customHeight="true" outlineLevel="0" collapsed="false">
      <c r="A803" s="12" t="s">
        <v>1738</v>
      </c>
      <c r="B803" s="13" t="n">
        <v>235.83</v>
      </c>
      <c r="C803" s="13" t="n">
        <v>218.16</v>
      </c>
      <c r="D803" s="12" t="s">
        <v>1739</v>
      </c>
      <c r="E803" s="12" t="s">
        <v>30</v>
      </c>
      <c r="F803" s="12" t="s">
        <v>1261</v>
      </c>
      <c r="G803" s="12" t="s">
        <v>41</v>
      </c>
      <c r="H803" s="14" t="n">
        <v>46281</v>
      </c>
      <c r="I803" s="14" t="n">
        <v>46284</v>
      </c>
      <c r="J803" s="12" t="s">
        <v>33</v>
      </c>
    </row>
    <row r="804" customFormat="false" ht="15" hidden="false" customHeight="true" outlineLevel="0" collapsed="false">
      <c r="A804" s="12" t="s">
        <v>1740</v>
      </c>
      <c r="B804" s="13" t="n">
        <v>129.246</v>
      </c>
      <c r="C804" s="13" t="n">
        <v>120.26</v>
      </c>
      <c r="D804" s="12" t="s">
        <v>1741</v>
      </c>
      <c r="E804" s="12" t="s">
        <v>30</v>
      </c>
      <c r="F804" s="12" t="s">
        <v>142</v>
      </c>
      <c r="G804" s="12" t="s">
        <v>37</v>
      </c>
      <c r="H804" s="14" t="n">
        <v>46281</v>
      </c>
      <c r="I804" s="14" t="n">
        <v>46284</v>
      </c>
      <c r="J804" s="12" t="s">
        <v>33</v>
      </c>
    </row>
    <row r="805" customFormat="false" ht="15" hidden="false" customHeight="true" outlineLevel="0" collapsed="false">
      <c r="A805" s="12" t="s">
        <v>1742</v>
      </c>
      <c r="B805" s="13" t="n">
        <v>11.85</v>
      </c>
      <c r="C805" s="13" t="n">
        <v>10</v>
      </c>
      <c r="D805" s="12" t="s">
        <v>1743</v>
      </c>
      <c r="E805" s="12" t="s">
        <v>30</v>
      </c>
      <c r="F805" s="12" t="s">
        <v>1593</v>
      </c>
      <c r="G805" s="12" t="s">
        <v>45</v>
      </c>
      <c r="H805" s="14" t="n">
        <v>46281</v>
      </c>
      <c r="I805" s="14" t="n">
        <v>46281</v>
      </c>
      <c r="J805" s="12" t="s">
        <v>33</v>
      </c>
    </row>
    <row r="806" customFormat="false" ht="15" hidden="false" customHeight="true" outlineLevel="0" collapsed="false">
      <c r="A806" s="12" t="s">
        <v>1744</v>
      </c>
      <c r="B806" s="13" t="n">
        <v>32.128</v>
      </c>
      <c r="C806" s="13" t="n">
        <v>29.24</v>
      </c>
      <c r="D806" s="12" t="s">
        <v>1745</v>
      </c>
      <c r="E806" s="12" t="s">
        <v>30</v>
      </c>
      <c r="F806" s="12" t="s">
        <v>1746</v>
      </c>
      <c r="G806" s="12" t="s">
        <v>45</v>
      </c>
      <c r="H806" s="14" t="n">
        <v>46281</v>
      </c>
      <c r="I806" s="14" t="n">
        <v>46281</v>
      </c>
      <c r="J806" s="12" t="s">
        <v>33</v>
      </c>
    </row>
    <row r="807" customFormat="false" ht="15" hidden="false" customHeight="true" outlineLevel="0" collapsed="false">
      <c r="A807" s="12" t="s">
        <v>1747</v>
      </c>
      <c r="B807" s="13" t="n">
        <v>17.775</v>
      </c>
      <c r="C807" s="13" t="n">
        <v>15</v>
      </c>
      <c r="D807" s="12" t="s">
        <v>543</v>
      </c>
      <c r="E807" s="12" t="s">
        <v>30</v>
      </c>
      <c r="F807" s="12" t="s">
        <v>544</v>
      </c>
      <c r="G807" s="12" t="s">
        <v>37</v>
      </c>
      <c r="H807" s="14" t="n">
        <v>46281</v>
      </c>
      <c r="I807" s="14" t="n">
        <v>46284</v>
      </c>
      <c r="J807" s="12" t="s">
        <v>33</v>
      </c>
    </row>
    <row r="808" customFormat="false" ht="15" hidden="false" customHeight="true" outlineLevel="0" collapsed="false">
      <c r="A808" s="12" t="s">
        <v>1748</v>
      </c>
      <c r="B808" s="13" t="n">
        <v>177.886</v>
      </c>
      <c r="C808" s="13" t="n">
        <v>163.52</v>
      </c>
      <c r="D808" s="12" t="s">
        <v>1749</v>
      </c>
      <c r="E808" s="12" t="s">
        <v>30</v>
      </c>
      <c r="F808" s="12" t="s">
        <v>451</v>
      </c>
      <c r="G808" s="12" t="s">
        <v>37</v>
      </c>
      <c r="H808" s="14" t="n">
        <v>46281</v>
      </c>
      <c r="I808" s="14" t="n">
        <v>46284</v>
      </c>
      <c r="J808" s="12" t="s">
        <v>33</v>
      </c>
    </row>
    <row r="809" customFormat="false" ht="15" hidden="false" customHeight="true" outlineLevel="0" collapsed="false">
      <c r="A809" s="12" t="s">
        <v>1750</v>
      </c>
      <c r="B809" s="13" t="n">
        <v>52.408</v>
      </c>
      <c r="C809" s="13" t="n">
        <v>48.48</v>
      </c>
      <c r="D809" s="12" t="s">
        <v>1751</v>
      </c>
      <c r="E809" s="12" t="s">
        <v>30</v>
      </c>
      <c r="F809" s="12" t="s">
        <v>1752</v>
      </c>
      <c r="G809" s="12" t="s">
        <v>45</v>
      </c>
      <c r="H809" s="14" t="n">
        <v>46281</v>
      </c>
      <c r="I809" s="14" t="n">
        <v>46281</v>
      </c>
      <c r="J809" s="12" t="s">
        <v>33</v>
      </c>
    </row>
    <row r="810" customFormat="false" ht="15" hidden="false" customHeight="true" outlineLevel="0" collapsed="false">
      <c r="A810" s="12" t="s">
        <v>1753</v>
      </c>
      <c r="B810" s="13" t="n">
        <v>117.916</v>
      </c>
      <c r="C810" s="13" t="n">
        <v>109.08</v>
      </c>
      <c r="D810" s="12" t="s">
        <v>1754</v>
      </c>
      <c r="E810" s="12" t="s">
        <v>30</v>
      </c>
      <c r="F810" s="12" t="s">
        <v>1755</v>
      </c>
      <c r="G810" s="12" t="s">
        <v>41</v>
      </c>
      <c r="H810" s="14" t="n">
        <v>46281</v>
      </c>
      <c r="I810" s="14" t="n">
        <v>46284</v>
      </c>
      <c r="J810" s="12" t="s">
        <v>33</v>
      </c>
    </row>
    <row r="811" customFormat="false" ht="15" hidden="false" customHeight="true" outlineLevel="0" collapsed="false">
      <c r="A811" s="12" t="s">
        <v>1756</v>
      </c>
      <c r="B811" s="13" t="n">
        <v>97.353</v>
      </c>
      <c r="C811" s="13" t="n">
        <v>90.9</v>
      </c>
      <c r="D811" s="12" t="s">
        <v>1757</v>
      </c>
      <c r="E811" s="12" t="s">
        <v>30</v>
      </c>
      <c r="F811" s="12" t="s">
        <v>1758</v>
      </c>
      <c r="G811" s="12" t="s">
        <v>37</v>
      </c>
      <c r="H811" s="14" t="n">
        <v>46281</v>
      </c>
      <c r="I811" s="14" t="n">
        <v>46284</v>
      </c>
      <c r="J811" s="12" t="s">
        <v>33</v>
      </c>
    </row>
    <row r="812" customFormat="false" ht="15" hidden="false" customHeight="true" outlineLevel="0" collapsed="false">
      <c r="A812" s="12" t="s">
        <v>1759</v>
      </c>
      <c r="B812" s="13" t="n">
        <v>44.782</v>
      </c>
      <c r="C812" s="13" t="n">
        <v>40.42</v>
      </c>
      <c r="D812" s="12" t="s">
        <v>1760</v>
      </c>
      <c r="E812" s="12" t="s">
        <v>30</v>
      </c>
      <c r="F812" s="12" t="s">
        <v>1761</v>
      </c>
      <c r="G812" s="12" t="s">
        <v>37</v>
      </c>
      <c r="H812" s="14" t="n">
        <v>46281</v>
      </c>
      <c r="I812" s="14" t="n">
        <v>46284</v>
      </c>
      <c r="J812" s="12" t="s">
        <v>33</v>
      </c>
    </row>
    <row r="813" customFormat="false" ht="15" hidden="false" customHeight="true" outlineLevel="0" collapsed="false">
      <c r="A813" s="12" t="s">
        <v>1762</v>
      </c>
      <c r="B813" s="13" t="n">
        <v>52.801</v>
      </c>
      <c r="C813" s="13" t="n">
        <v>47.96</v>
      </c>
      <c r="D813" s="12" t="s">
        <v>1500</v>
      </c>
      <c r="E813" s="12" t="s">
        <v>30</v>
      </c>
      <c r="F813" s="12" t="s">
        <v>1501</v>
      </c>
      <c r="G813" s="12" t="s">
        <v>45</v>
      </c>
      <c r="H813" s="14" t="n">
        <v>46281</v>
      </c>
      <c r="I813" s="14" t="n">
        <v>46281</v>
      </c>
      <c r="J813" s="12" t="s">
        <v>33</v>
      </c>
    </row>
    <row r="814" customFormat="false" ht="15" hidden="false" customHeight="true" outlineLevel="0" collapsed="false">
      <c r="A814" s="12" t="s">
        <v>1763</v>
      </c>
      <c r="B814" s="13" t="n">
        <v>68.106</v>
      </c>
      <c r="C814" s="13" t="n">
        <v>63.16</v>
      </c>
      <c r="D814" s="12" t="s">
        <v>1764</v>
      </c>
      <c r="E814" s="12" t="s">
        <v>30</v>
      </c>
      <c r="F814" s="12" t="s">
        <v>1765</v>
      </c>
      <c r="G814" s="12" t="s">
        <v>45</v>
      </c>
      <c r="H814" s="14" t="n">
        <v>46281</v>
      </c>
      <c r="I814" s="14" t="n">
        <v>46281</v>
      </c>
      <c r="J814" s="12" t="s">
        <v>33</v>
      </c>
    </row>
    <row r="815" customFormat="false" ht="15" hidden="false" customHeight="true" outlineLevel="0" collapsed="false">
      <c r="A815" s="12" t="s">
        <v>1766</v>
      </c>
      <c r="B815" s="13" t="n">
        <v>60.536</v>
      </c>
      <c r="C815" s="13" t="n">
        <v>56.56</v>
      </c>
      <c r="D815" s="12" t="s">
        <v>1767</v>
      </c>
      <c r="E815" s="12" t="s">
        <v>30</v>
      </c>
      <c r="F815" s="12" t="s">
        <v>1768</v>
      </c>
      <c r="G815" s="12" t="s">
        <v>41</v>
      </c>
      <c r="H815" s="14" t="n">
        <v>46281</v>
      </c>
      <c r="I815" s="14" t="n">
        <v>46284</v>
      </c>
      <c r="J815" s="12" t="s">
        <v>33</v>
      </c>
    </row>
    <row r="816" customFormat="false" ht="15" hidden="false" customHeight="true" outlineLevel="0" collapsed="false">
      <c r="A816" s="12" t="s">
        <v>1769</v>
      </c>
      <c r="B816" s="13" t="n">
        <v>89.94</v>
      </c>
      <c r="C816" s="13" t="n">
        <v>83.24</v>
      </c>
      <c r="D816" s="12" t="s">
        <v>585</v>
      </c>
      <c r="E816" s="12" t="s">
        <v>30</v>
      </c>
      <c r="F816" s="12" t="s">
        <v>586</v>
      </c>
      <c r="G816" s="12" t="s">
        <v>37</v>
      </c>
      <c r="H816" s="14" t="n">
        <v>46281</v>
      </c>
      <c r="I816" s="14" t="n">
        <v>46284</v>
      </c>
      <c r="J816" s="12" t="s">
        <v>33</v>
      </c>
    </row>
    <row r="817" customFormat="false" ht="15" hidden="false" customHeight="true" outlineLevel="0" collapsed="false">
      <c r="A817" s="12" t="s">
        <v>1770</v>
      </c>
      <c r="B817" s="13" t="n">
        <v>91.712</v>
      </c>
      <c r="C817" s="13" t="n">
        <v>84.84</v>
      </c>
      <c r="D817" s="12" t="s">
        <v>35</v>
      </c>
      <c r="E817" s="12" t="s">
        <v>30</v>
      </c>
      <c r="F817" s="12" t="s">
        <v>36</v>
      </c>
      <c r="G817" s="12" t="s">
        <v>37</v>
      </c>
      <c r="H817" s="14" t="n">
        <v>46281</v>
      </c>
      <c r="I817" s="14" t="n">
        <v>46284</v>
      </c>
      <c r="J817" s="12" t="s">
        <v>33</v>
      </c>
    </row>
    <row r="818" customFormat="false" ht="15" hidden="false" customHeight="true" outlineLevel="0" collapsed="false">
      <c r="A818" s="12" t="s">
        <v>1771</v>
      </c>
      <c r="B818" s="13" t="n">
        <v>55.559</v>
      </c>
      <c r="C818" s="13" t="n">
        <v>51.28</v>
      </c>
      <c r="D818" s="12" t="s">
        <v>1772</v>
      </c>
      <c r="E818" s="12" t="s">
        <v>30</v>
      </c>
      <c r="F818" s="12" t="s">
        <v>1773</v>
      </c>
      <c r="G818" s="12" t="s">
        <v>45</v>
      </c>
      <c r="H818" s="14" t="n">
        <v>46281</v>
      </c>
      <c r="I818" s="14" t="n">
        <v>46281</v>
      </c>
      <c r="J818" s="12" t="s">
        <v>33</v>
      </c>
    </row>
    <row r="819" customFormat="false" ht="15" hidden="false" customHeight="true" outlineLevel="0" collapsed="false">
      <c r="A819" s="12" t="s">
        <v>1774</v>
      </c>
      <c r="B819" s="13" t="n">
        <v>20.963</v>
      </c>
      <c r="C819" s="13" t="n">
        <v>20.099</v>
      </c>
      <c r="D819" s="12" t="s">
        <v>29</v>
      </c>
      <c r="E819" s="12" t="s">
        <v>30</v>
      </c>
      <c r="F819" s="12" t="s">
        <v>31</v>
      </c>
      <c r="G819" s="12" t="s">
        <v>32</v>
      </c>
      <c r="H819" s="14" t="n">
        <v>46281</v>
      </c>
      <c r="I819" s="14" t="n">
        <v>46282</v>
      </c>
      <c r="J819" s="12" t="s">
        <v>33</v>
      </c>
    </row>
    <row r="820" customFormat="false" ht="15" hidden="false" customHeight="true" outlineLevel="0" collapsed="false">
      <c r="A820" s="12" t="s">
        <v>1775</v>
      </c>
      <c r="B820" s="13" t="n">
        <v>20.964</v>
      </c>
      <c r="C820" s="13" t="n">
        <v>20.1</v>
      </c>
      <c r="D820" s="12" t="s">
        <v>29</v>
      </c>
      <c r="E820" s="12" t="s">
        <v>30</v>
      </c>
      <c r="F820" s="12" t="s">
        <v>31</v>
      </c>
      <c r="G820" s="12" t="s">
        <v>32</v>
      </c>
      <c r="H820" s="14" t="n">
        <v>46281</v>
      </c>
      <c r="I820" s="14" t="n">
        <v>46282</v>
      </c>
      <c r="J820" s="12" t="s">
        <v>254</v>
      </c>
    </row>
    <row r="821" customFormat="false" ht="15" hidden="false" customHeight="true" outlineLevel="0" collapsed="false">
      <c r="A821" s="12" t="s">
        <v>1776</v>
      </c>
      <c r="B821" s="13" t="n">
        <v>77.937</v>
      </c>
      <c r="C821" s="13" t="n">
        <v>72.8</v>
      </c>
      <c r="D821" s="12" t="s">
        <v>1777</v>
      </c>
      <c r="E821" s="12" t="s">
        <v>30</v>
      </c>
      <c r="F821" s="12" t="s">
        <v>239</v>
      </c>
      <c r="G821" s="12" t="s">
        <v>646</v>
      </c>
      <c r="H821" s="14" t="n">
        <v>46281</v>
      </c>
      <c r="I821" s="14" t="n">
        <v>46283</v>
      </c>
      <c r="J821" s="12" t="s">
        <v>33</v>
      </c>
    </row>
    <row r="822" customFormat="false" ht="15" hidden="false" customHeight="true" outlineLevel="0" collapsed="false">
      <c r="A822" s="12" t="s">
        <v>1778</v>
      </c>
      <c r="B822" s="13" t="n">
        <v>150.537</v>
      </c>
      <c r="C822" s="13" t="n">
        <v>141.04</v>
      </c>
      <c r="D822" s="12" t="s">
        <v>1779</v>
      </c>
      <c r="E822" s="12" t="s">
        <v>30</v>
      </c>
      <c r="F822" s="12" t="s">
        <v>239</v>
      </c>
      <c r="G822" s="12" t="s">
        <v>646</v>
      </c>
      <c r="H822" s="14" t="n">
        <v>46281</v>
      </c>
      <c r="I822" s="14" t="n">
        <v>46283</v>
      </c>
      <c r="J822" s="12" t="s">
        <v>254</v>
      </c>
    </row>
    <row r="823" customFormat="false" ht="15" hidden="false" customHeight="true" outlineLevel="0" collapsed="false">
      <c r="A823" s="12" t="s">
        <v>1780</v>
      </c>
      <c r="B823" s="13" t="n">
        <v>21.651</v>
      </c>
      <c r="C823" s="13" t="n">
        <v>21</v>
      </c>
      <c r="D823" s="12" t="s">
        <v>1488</v>
      </c>
      <c r="E823" s="12" t="s">
        <v>30</v>
      </c>
      <c r="F823" s="12" t="s">
        <v>239</v>
      </c>
      <c r="G823" s="12" t="s">
        <v>646</v>
      </c>
      <c r="H823" s="14" t="n">
        <v>46281</v>
      </c>
      <c r="I823" s="14" t="n">
        <v>46283</v>
      </c>
      <c r="J823" s="12" t="s">
        <v>354</v>
      </c>
    </row>
    <row r="824" customFormat="false" ht="15" hidden="false" customHeight="true" outlineLevel="0" collapsed="false">
      <c r="A824" s="12" t="s">
        <v>1781</v>
      </c>
      <c r="B824" s="13" t="n">
        <v>54.25</v>
      </c>
      <c r="C824" s="13" t="n">
        <v>50</v>
      </c>
      <c r="D824" s="12" t="s">
        <v>1376</v>
      </c>
      <c r="E824" s="12" t="s">
        <v>30</v>
      </c>
      <c r="F824" s="12" t="s">
        <v>192</v>
      </c>
      <c r="G824" s="12" t="s">
        <v>32</v>
      </c>
      <c r="H824" s="14" t="n">
        <v>46281</v>
      </c>
      <c r="I824" s="14" t="n">
        <v>46286</v>
      </c>
      <c r="J824" s="12" t="s">
        <v>254</v>
      </c>
    </row>
    <row r="825" customFormat="false" ht="15" hidden="false" customHeight="true" outlineLevel="0" collapsed="false">
      <c r="A825" s="12" t="s">
        <v>1782</v>
      </c>
      <c r="B825" s="13" t="n">
        <v>1040.28</v>
      </c>
      <c r="C825" s="13" t="n">
        <v>989.8</v>
      </c>
      <c r="D825" s="12" t="s">
        <v>1369</v>
      </c>
      <c r="E825" s="12" t="s">
        <v>30</v>
      </c>
      <c r="F825" s="12" t="s">
        <v>1370</v>
      </c>
      <c r="G825" s="12" t="s">
        <v>32</v>
      </c>
      <c r="H825" s="14" t="n">
        <v>46281</v>
      </c>
      <c r="I825" s="14" t="n">
        <v>46282</v>
      </c>
      <c r="J825" s="12" t="s">
        <v>33</v>
      </c>
    </row>
    <row r="826" customFormat="false" ht="15" hidden="false" customHeight="true" outlineLevel="0" collapsed="false">
      <c r="A826" s="12" t="s">
        <v>1783</v>
      </c>
      <c r="B826" s="13" t="n">
        <v>22.465</v>
      </c>
      <c r="C826" s="13" t="n">
        <v>20.1</v>
      </c>
      <c r="D826" s="12" t="s">
        <v>1784</v>
      </c>
      <c r="E826" s="12" t="s">
        <v>30</v>
      </c>
      <c r="F826" s="12" t="s">
        <v>1785</v>
      </c>
      <c r="G826" s="12" t="s">
        <v>32</v>
      </c>
      <c r="H826" s="14" t="n">
        <v>46281</v>
      </c>
      <c r="I826" s="14" t="n">
        <v>46282</v>
      </c>
      <c r="J826" s="12" t="s">
        <v>33</v>
      </c>
    </row>
    <row r="827" customFormat="false" ht="15" hidden="false" customHeight="true" outlineLevel="0" collapsed="false">
      <c r="A827" s="12" t="s">
        <v>1786</v>
      </c>
      <c r="B827" s="13" t="n">
        <v>170.322</v>
      </c>
      <c r="C827" s="13" t="n">
        <v>157.56</v>
      </c>
      <c r="D827" s="12" t="s">
        <v>1787</v>
      </c>
      <c r="E827" s="12" t="s">
        <v>30</v>
      </c>
      <c r="F827" s="12" t="s">
        <v>239</v>
      </c>
      <c r="G827" s="12" t="s">
        <v>646</v>
      </c>
      <c r="H827" s="14" t="n">
        <v>46281</v>
      </c>
      <c r="I827" s="14" t="n">
        <v>46283</v>
      </c>
      <c r="J827" s="12" t="s">
        <v>254</v>
      </c>
    </row>
    <row r="828" customFormat="false" ht="15" hidden="false" customHeight="true" outlineLevel="0" collapsed="false">
      <c r="A828" s="12" t="s">
        <v>1788</v>
      </c>
      <c r="B828" s="13" t="n">
        <v>35.457</v>
      </c>
      <c r="C828" s="13" t="n">
        <v>32.8</v>
      </c>
      <c r="D828" s="12" t="s">
        <v>1789</v>
      </c>
      <c r="E828" s="12" t="s">
        <v>30</v>
      </c>
      <c r="F828" s="12" t="s">
        <v>239</v>
      </c>
      <c r="G828" s="12" t="s">
        <v>646</v>
      </c>
      <c r="H828" s="14" t="n">
        <v>46281</v>
      </c>
      <c r="I828" s="14" t="n">
        <v>46283</v>
      </c>
      <c r="J828" s="12" t="s">
        <v>254</v>
      </c>
    </row>
    <row r="829" customFormat="false" ht="15" hidden="false" customHeight="true" outlineLevel="0" collapsed="false">
      <c r="A829" s="12" t="s">
        <v>1790</v>
      </c>
      <c r="B829" s="13" t="n">
        <v>186.105</v>
      </c>
      <c r="C829" s="13" t="n">
        <v>180</v>
      </c>
      <c r="D829" s="12" t="s">
        <v>1791</v>
      </c>
      <c r="E829" s="12" t="s">
        <v>30</v>
      </c>
      <c r="F829" s="12" t="s">
        <v>239</v>
      </c>
      <c r="G829" s="12" t="s">
        <v>240</v>
      </c>
      <c r="H829" s="14" t="n">
        <v>46281</v>
      </c>
      <c r="I829" s="14" t="n">
        <v>46281</v>
      </c>
      <c r="J829" s="12" t="s">
        <v>254</v>
      </c>
    </row>
    <row r="830" customFormat="false" ht="15" hidden="false" customHeight="true" outlineLevel="0" collapsed="false">
      <c r="A830" s="12" t="s">
        <v>1792</v>
      </c>
      <c r="B830" s="13" t="n">
        <v>222.729</v>
      </c>
      <c r="C830" s="13" t="n">
        <v>206.04</v>
      </c>
      <c r="D830" s="12" t="s">
        <v>1793</v>
      </c>
      <c r="E830" s="12" t="s">
        <v>30</v>
      </c>
      <c r="F830" s="12" t="s">
        <v>268</v>
      </c>
      <c r="G830" s="12" t="s">
        <v>240</v>
      </c>
      <c r="H830" s="14" t="n">
        <v>46281</v>
      </c>
      <c r="I830" s="14" t="n">
        <v>46281</v>
      </c>
      <c r="J830" s="12" t="s">
        <v>254</v>
      </c>
    </row>
    <row r="831" customFormat="false" ht="15" hidden="false" customHeight="true" outlineLevel="0" collapsed="false">
      <c r="A831" s="12" t="s">
        <v>1794</v>
      </c>
      <c r="B831" s="13" t="n">
        <v>1677.956</v>
      </c>
      <c r="C831" s="13" t="n">
        <v>1627.5</v>
      </c>
      <c r="D831" s="12" t="s">
        <v>1795</v>
      </c>
      <c r="E831" s="12" t="s">
        <v>248</v>
      </c>
      <c r="F831" s="12" t="s">
        <v>1796</v>
      </c>
      <c r="G831" s="12" t="s">
        <v>250</v>
      </c>
      <c r="H831" s="14" t="n">
        <v>46282</v>
      </c>
      <c r="I831" s="14" t="n">
        <v>46283</v>
      </c>
      <c r="J831" s="12" t="s">
        <v>33</v>
      </c>
    </row>
    <row r="832" customFormat="false" ht="15" hidden="false" customHeight="true" outlineLevel="0" collapsed="false">
      <c r="A832" s="12" t="s">
        <v>1797</v>
      </c>
      <c r="B832" s="13" t="n">
        <v>4280.196</v>
      </c>
      <c r="C832" s="13" t="n">
        <v>4111</v>
      </c>
      <c r="D832" s="12" t="s">
        <v>1798</v>
      </c>
      <c r="E832" s="12" t="s">
        <v>248</v>
      </c>
      <c r="F832" s="12" t="s">
        <v>1799</v>
      </c>
      <c r="G832" s="12" t="s">
        <v>250</v>
      </c>
      <c r="H832" s="14" t="n">
        <v>46282</v>
      </c>
      <c r="I832" s="14" t="n">
        <v>46276</v>
      </c>
      <c r="J832" s="12" t="s">
        <v>33</v>
      </c>
    </row>
    <row r="833" customFormat="false" ht="15" hidden="false" customHeight="true" outlineLevel="0" collapsed="false">
      <c r="A833" s="12" t="s">
        <v>1800</v>
      </c>
      <c r="B833" s="13" t="n">
        <v>195.525</v>
      </c>
      <c r="C833" s="13" t="n">
        <v>165</v>
      </c>
      <c r="D833" s="12" t="s">
        <v>1801</v>
      </c>
      <c r="E833" s="12" t="s">
        <v>248</v>
      </c>
      <c r="F833" s="12" t="s">
        <v>1802</v>
      </c>
      <c r="G833" s="12" t="s">
        <v>250</v>
      </c>
      <c r="H833" s="14" t="n">
        <v>46282</v>
      </c>
      <c r="I833" s="14" t="n">
        <v>46283</v>
      </c>
      <c r="J833" s="12" t="s">
        <v>33</v>
      </c>
    </row>
    <row r="834" customFormat="false" ht="15" hidden="false" customHeight="true" outlineLevel="0" collapsed="false">
      <c r="A834" s="12" t="s">
        <v>1803</v>
      </c>
      <c r="B834" s="13" t="n">
        <v>475.2</v>
      </c>
      <c r="C834" s="13" t="n">
        <v>432</v>
      </c>
      <c r="D834" s="12" t="s">
        <v>1801</v>
      </c>
      <c r="E834" s="12" t="s">
        <v>248</v>
      </c>
      <c r="F834" s="12" t="s">
        <v>1802</v>
      </c>
      <c r="G834" s="12" t="s">
        <v>250</v>
      </c>
      <c r="H834" s="14" t="n">
        <v>46282</v>
      </c>
      <c r="I834" s="14" t="n">
        <v>46283</v>
      </c>
      <c r="J834" s="12" t="s">
        <v>33</v>
      </c>
    </row>
    <row r="835" customFormat="false" ht="15" hidden="false" customHeight="true" outlineLevel="0" collapsed="false">
      <c r="A835" s="12" t="s">
        <v>1804</v>
      </c>
      <c r="B835" s="13" t="n">
        <v>1418.141</v>
      </c>
      <c r="C835" s="13" t="n">
        <v>1375.5</v>
      </c>
      <c r="D835" s="12" t="s">
        <v>1795</v>
      </c>
      <c r="E835" s="12" t="s">
        <v>248</v>
      </c>
      <c r="F835" s="12" t="s">
        <v>1796</v>
      </c>
      <c r="G835" s="12" t="s">
        <v>250</v>
      </c>
      <c r="H835" s="14" t="n">
        <v>46282</v>
      </c>
      <c r="I835" s="14" t="n">
        <v>46283</v>
      </c>
      <c r="J835" s="12" t="s">
        <v>33</v>
      </c>
    </row>
    <row r="836" customFormat="false" ht="15" hidden="false" customHeight="true" outlineLevel="0" collapsed="false">
      <c r="A836" s="12" t="s">
        <v>1805</v>
      </c>
      <c r="B836" s="13" t="n">
        <v>1349.524</v>
      </c>
      <c r="C836" s="13" t="n">
        <v>1269.6</v>
      </c>
      <c r="D836" s="12" t="s">
        <v>1798</v>
      </c>
      <c r="E836" s="12" t="s">
        <v>248</v>
      </c>
      <c r="F836" s="12" t="s">
        <v>1799</v>
      </c>
      <c r="G836" s="12" t="s">
        <v>250</v>
      </c>
      <c r="H836" s="14" t="n">
        <v>46282</v>
      </c>
      <c r="I836" s="14" t="n">
        <v>46276</v>
      </c>
      <c r="J836" s="12" t="s">
        <v>33</v>
      </c>
    </row>
    <row r="837" customFormat="false" ht="15" hidden="false" customHeight="true" outlineLevel="0" collapsed="false">
      <c r="A837" s="12" t="s">
        <v>1806</v>
      </c>
      <c r="B837" s="13" t="n">
        <v>1379.337</v>
      </c>
      <c r="C837" s="13" t="n">
        <v>1330.5</v>
      </c>
      <c r="D837" s="12" t="s">
        <v>1798</v>
      </c>
      <c r="E837" s="12" t="s">
        <v>248</v>
      </c>
      <c r="F837" s="12" t="s">
        <v>1799</v>
      </c>
      <c r="G837" s="12" t="s">
        <v>250</v>
      </c>
      <c r="H837" s="14" t="n">
        <v>46282</v>
      </c>
      <c r="I837" s="14" t="n">
        <v>46276</v>
      </c>
      <c r="J837" s="12" t="s">
        <v>33</v>
      </c>
    </row>
    <row r="838" customFormat="false" ht="15" hidden="false" customHeight="true" outlineLevel="0" collapsed="false">
      <c r="A838" s="12" t="s">
        <v>1807</v>
      </c>
      <c r="B838" s="13" t="n">
        <v>49.3</v>
      </c>
      <c r="C838" s="13" t="n">
        <v>40</v>
      </c>
      <c r="D838" s="12" t="s">
        <v>1808</v>
      </c>
      <c r="E838" s="12" t="s">
        <v>248</v>
      </c>
      <c r="F838" s="12" t="s">
        <v>1802</v>
      </c>
      <c r="G838" s="12" t="s">
        <v>250</v>
      </c>
      <c r="H838" s="14" t="n">
        <v>46282</v>
      </c>
      <c r="I838" s="14" t="n">
        <v>46283</v>
      </c>
      <c r="J838" s="12" t="s">
        <v>33</v>
      </c>
    </row>
    <row r="839" customFormat="false" ht="15" hidden="false" customHeight="true" outlineLevel="0" collapsed="false">
      <c r="A839" s="12" t="s">
        <v>1809</v>
      </c>
      <c r="B839" s="13" t="n">
        <v>131.017</v>
      </c>
      <c r="C839" s="13" t="n">
        <v>121.2</v>
      </c>
      <c r="D839" s="12" t="s">
        <v>1810</v>
      </c>
      <c r="E839" s="12" t="s">
        <v>30</v>
      </c>
      <c r="F839" s="12" t="s">
        <v>304</v>
      </c>
      <c r="G839" s="12" t="s">
        <v>279</v>
      </c>
      <c r="H839" s="14" t="n">
        <v>46282</v>
      </c>
      <c r="I839" s="14" t="n">
        <v>46282</v>
      </c>
      <c r="J839" s="12" t="s">
        <v>33</v>
      </c>
    </row>
    <row r="840" customFormat="false" ht="15" hidden="false" customHeight="true" outlineLevel="0" collapsed="false">
      <c r="A840" s="12" t="s">
        <v>1811</v>
      </c>
      <c r="B840" s="13" t="n">
        <v>354.568</v>
      </c>
      <c r="C840" s="13" t="n">
        <v>328</v>
      </c>
      <c r="D840" s="12" t="s">
        <v>1810</v>
      </c>
      <c r="E840" s="12" t="s">
        <v>30</v>
      </c>
      <c r="F840" s="12" t="s">
        <v>304</v>
      </c>
      <c r="G840" s="12" t="s">
        <v>279</v>
      </c>
      <c r="H840" s="14" t="n">
        <v>46282</v>
      </c>
      <c r="I840" s="14" t="n">
        <v>46282</v>
      </c>
      <c r="J840" s="12" t="s">
        <v>33</v>
      </c>
    </row>
    <row r="841" customFormat="false" ht="15" hidden="false" customHeight="true" outlineLevel="0" collapsed="false">
      <c r="A841" s="12" t="s">
        <v>1812</v>
      </c>
      <c r="B841" s="13" t="n">
        <v>51.9</v>
      </c>
      <c r="C841" s="13" t="n">
        <v>50</v>
      </c>
      <c r="D841" s="12" t="s">
        <v>1810</v>
      </c>
      <c r="E841" s="12" t="s">
        <v>30</v>
      </c>
      <c r="F841" s="12" t="s">
        <v>304</v>
      </c>
      <c r="G841" s="12" t="s">
        <v>279</v>
      </c>
      <c r="H841" s="14" t="n">
        <v>46282</v>
      </c>
      <c r="I841" s="14" t="n">
        <v>46276</v>
      </c>
      <c r="J841" s="12" t="s">
        <v>33</v>
      </c>
    </row>
    <row r="842" customFormat="false" ht="15" hidden="false" customHeight="true" outlineLevel="0" collapsed="false">
      <c r="A842" s="12" t="s">
        <v>1813</v>
      </c>
      <c r="B842" s="13" t="n">
        <v>56.42</v>
      </c>
      <c r="C842" s="13" t="n">
        <v>52.9</v>
      </c>
      <c r="D842" s="12" t="s">
        <v>1814</v>
      </c>
      <c r="E842" s="12" t="s">
        <v>30</v>
      </c>
      <c r="F842" s="12" t="s">
        <v>1815</v>
      </c>
      <c r="G842" s="12" t="s">
        <v>279</v>
      </c>
      <c r="H842" s="14" t="n">
        <v>46282</v>
      </c>
      <c r="I842" s="14" t="n">
        <v>46282</v>
      </c>
      <c r="J842" s="12" t="s">
        <v>33</v>
      </c>
    </row>
    <row r="843" customFormat="false" ht="15" hidden="false" customHeight="true" outlineLevel="0" collapsed="false">
      <c r="A843" s="12" t="s">
        <v>1816</v>
      </c>
      <c r="B843" s="13" t="n">
        <v>177.284</v>
      </c>
      <c r="C843" s="13" t="n">
        <v>164</v>
      </c>
      <c r="D843" s="12" t="s">
        <v>1817</v>
      </c>
      <c r="E843" s="12" t="s">
        <v>30</v>
      </c>
      <c r="F843" s="12" t="s">
        <v>301</v>
      </c>
      <c r="G843" s="12" t="s">
        <v>275</v>
      </c>
      <c r="H843" s="14" t="n">
        <v>46282</v>
      </c>
      <c r="I843" s="14" t="n">
        <v>46282</v>
      </c>
      <c r="J843" s="12" t="s">
        <v>33</v>
      </c>
    </row>
    <row r="844" customFormat="false" ht="15" hidden="false" customHeight="true" outlineLevel="0" collapsed="false">
      <c r="A844" s="12" t="s">
        <v>1818</v>
      </c>
      <c r="B844" s="13" t="n">
        <v>604.965</v>
      </c>
      <c r="C844" s="13" t="n">
        <v>585.6</v>
      </c>
      <c r="D844" s="12" t="s">
        <v>1817</v>
      </c>
      <c r="E844" s="12" t="s">
        <v>30</v>
      </c>
      <c r="F844" s="12" t="s">
        <v>1819</v>
      </c>
      <c r="G844" s="12" t="s">
        <v>275</v>
      </c>
      <c r="H844" s="14" t="n">
        <v>46282</v>
      </c>
      <c r="I844" s="14" t="n">
        <v>46282</v>
      </c>
      <c r="J844" s="12" t="s">
        <v>33</v>
      </c>
    </row>
    <row r="845" customFormat="false" ht="15" hidden="false" customHeight="true" outlineLevel="0" collapsed="false">
      <c r="A845" s="12" t="s">
        <v>1820</v>
      </c>
      <c r="B845" s="13" t="n">
        <v>42.88</v>
      </c>
      <c r="C845" s="13" t="n">
        <v>40</v>
      </c>
      <c r="D845" s="12" t="s">
        <v>1821</v>
      </c>
      <c r="E845" s="12" t="s">
        <v>30</v>
      </c>
      <c r="F845" s="12" t="s">
        <v>342</v>
      </c>
      <c r="G845" s="12" t="s">
        <v>279</v>
      </c>
      <c r="H845" s="14" t="n">
        <v>46282</v>
      </c>
      <c r="I845" s="14" t="n">
        <v>46276</v>
      </c>
      <c r="J845" s="12" t="s">
        <v>33</v>
      </c>
    </row>
    <row r="846" customFormat="false" ht="15" hidden="false" customHeight="true" outlineLevel="0" collapsed="false">
      <c r="A846" s="12" t="s">
        <v>1822</v>
      </c>
      <c r="B846" s="13" t="n">
        <v>638.222</v>
      </c>
      <c r="C846" s="13" t="n">
        <v>590.4</v>
      </c>
      <c r="D846" s="12" t="s">
        <v>1795</v>
      </c>
      <c r="E846" s="12" t="s">
        <v>248</v>
      </c>
      <c r="F846" s="12" t="s">
        <v>1796</v>
      </c>
      <c r="G846" s="12" t="s">
        <v>250</v>
      </c>
      <c r="H846" s="14" t="n">
        <v>46282</v>
      </c>
      <c r="I846" s="14" t="n">
        <v>46283</v>
      </c>
      <c r="J846" s="12" t="s">
        <v>33</v>
      </c>
    </row>
    <row r="847" customFormat="false" ht="15" hidden="false" customHeight="true" outlineLevel="0" collapsed="false">
      <c r="A847" s="12" t="s">
        <v>1823</v>
      </c>
      <c r="B847" s="13" t="n">
        <v>1276.445</v>
      </c>
      <c r="C847" s="13" t="n">
        <v>1180.8</v>
      </c>
      <c r="D847" s="12" t="s">
        <v>1795</v>
      </c>
      <c r="E847" s="12" t="s">
        <v>248</v>
      </c>
      <c r="F847" s="12" t="s">
        <v>1796</v>
      </c>
      <c r="G847" s="12" t="s">
        <v>250</v>
      </c>
      <c r="H847" s="14" t="n">
        <v>46282</v>
      </c>
      <c r="I847" s="14" t="n">
        <v>46283</v>
      </c>
      <c r="J847" s="12" t="s">
        <v>33</v>
      </c>
    </row>
    <row r="848" customFormat="false" ht="15" hidden="false" customHeight="true" outlineLevel="0" collapsed="false">
      <c r="A848" s="12" t="s">
        <v>1824</v>
      </c>
      <c r="B848" s="13" t="n">
        <v>1178.607</v>
      </c>
      <c r="C848" s="13" t="n">
        <v>1142.7</v>
      </c>
      <c r="D848" s="12" t="s">
        <v>1808</v>
      </c>
      <c r="E848" s="12" t="s">
        <v>248</v>
      </c>
      <c r="F848" s="12" t="s">
        <v>1802</v>
      </c>
      <c r="G848" s="12" t="s">
        <v>250</v>
      </c>
      <c r="H848" s="14" t="n">
        <v>46282</v>
      </c>
      <c r="I848" s="14" t="n">
        <v>46283</v>
      </c>
      <c r="J848" s="12" t="s">
        <v>33</v>
      </c>
    </row>
    <row r="849" customFormat="false" ht="15" hidden="false" customHeight="true" outlineLevel="0" collapsed="false">
      <c r="A849" s="12" t="s">
        <v>1825</v>
      </c>
      <c r="B849" s="13" t="n">
        <v>54.128</v>
      </c>
      <c r="C849" s="13" t="n">
        <v>52.5</v>
      </c>
      <c r="D849" s="12" t="s">
        <v>1817</v>
      </c>
      <c r="E849" s="12" t="s">
        <v>30</v>
      </c>
      <c r="F849" s="12" t="s">
        <v>301</v>
      </c>
      <c r="G849" s="12" t="s">
        <v>275</v>
      </c>
      <c r="H849" s="14" t="n">
        <v>46282</v>
      </c>
      <c r="I849" s="14" t="n">
        <v>46285</v>
      </c>
      <c r="J849" s="12" t="s">
        <v>33</v>
      </c>
    </row>
    <row r="850" customFormat="false" ht="15" hidden="false" customHeight="true" outlineLevel="0" collapsed="false">
      <c r="A850" s="12" t="s">
        <v>1826</v>
      </c>
      <c r="B850" s="13" t="n">
        <v>142.77</v>
      </c>
      <c r="C850" s="13" t="n">
        <v>134.5</v>
      </c>
      <c r="D850" s="12" t="s">
        <v>1817</v>
      </c>
      <c r="E850" s="12" t="s">
        <v>30</v>
      </c>
      <c r="F850" s="12" t="s">
        <v>1819</v>
      </c>
      <c r="G850" s="12" t="s">
        <v>275</v>
      </c>
      <c r="H850" s="14" t="n">
        <v>46282</v>
      </c>
      <c r="I850" s="14" t="n">
        <v>46285</v>
      </c>
      <c r="J850" s="12" t="s">
        <v>33</v>
      </c>
    </row>
    <row r="851" customFormat="false" ht="15" hidden="false" customHeight="true" outlineLevel="0" collapsed="false">
      <c r="A851" s="12" t="s">
        <v>1827</v>
      </c>
      <c r="B851" s="13" t="n">
        <v>1279.076</v>
      </c>
      <c r="C851" s="13" t="n">
        <v>1231.8</v>
      </c>
      <c r="D851" s="12" t="s">
        <v>1828</v>
      </c>
      <c r="E851" s="12" t="s">
        <v>30</v>
      </c>
      <c r="F851" s="12" t="s">
        <v>301</v>
      </c>
      <c r="G851" s="12" t="s">
        <v>275</v>
      </c>
      <c r="H851" s="14" t="n">
        <v>46282</v>
      </c>
      <c r="I851" s="14" t="n">
        <v>46282</v>
      </c>
      <c r="J851" s="12" t="s">
        <v>33</v>
      </c>
    </row>
    <row r="852" customFormat="false" ht="15" hidden="false" customHeight="true" outlineLevel="0" collapsed="false">
      <c r="A852" s="12" t="s">
        <v>1829</v>
      </c>
      <c r="B852" s="13" t="n">
        <v>1276.444</v>
      </c>
      <c r="C852" s="13" t="n">
        <v>1180.8</v>
      </c>
      <c r="D852" s="12" t="s">
        <v>1795</v>
      </c>
      <c r="E852" s="12" t="s">
        <v>248</v>
      </c>
      <c r="F852" s="12" t="s">
        <v>1796</v>
      </c>
      <c r="G852" s="12" t="s">
        <v>250</v>
      </c>
      <c r="H852" s="14" t="n">
        <v>46282</v>
      </c>
      <c r="I852" s="14" t="n">
        <v>46276</v>
      </c>
      <c r="J852" s="12" t="s">
        <v>33</v>
      </c>
    </row>
    <row r="853" customFormat="false" ht="15" hidden="false" customHeight="true" outlineLevel="0" collapsed="false">
      <c r="A853" s="12" t="s">
        <v>1830</v>
      </c>
      <c r="B853" s="13" t="n">
        <v>350.299</v>
      </c>
      <c r="C853" s="13" t="n">
        <v>333.3</v>
      </c>
      <c r="D853" s="12" t="s">
        <v>1810</v>
      </c>
      <c r="E853" s="12" t="s">
        <v>30</v>
      </c>
      <c r="F853" s="12" t="s">
        <v>304</v>
      </c>
      <c r="G853" s="12" t="s">
        <v>279</v>
      </c>
      <c r="H853" s="14" t="n">
        <v>46282</v>
      </c>
      <c r="I853" s="14" t="n">
        <v>46282</v>
      </c>
      <c r="J853" s="12" t="s">
        <v>254</v>
      </c>
    </row>
    <row r="854" customFormat="false" ht="15" hidden="false" customHeight="true" outlineLevel="0" collapsed="false">
      <c r="A854" s="12" t="s">
        <v>1831</v>
      </c>
      <c r="B854" s="13" t="n">
        <v>83.857</v>
      </c>
      <c r="C854" s="13" t="n">
        <v>80.4</v>
      </c>
      <c r="D854" s="12" t="s">
        <v>1832</v>
      </c>
      <c r="E854" s="12" t="s">
        <v>30</v>
      </c>
      <c r="F854" s="12" t="s">
        <v>301</v>
      </c>
      <c r="G854" s="12" t="s">
        <v>275</v>
      </c>
      <c r="H854" s="14" t="n">
        <v>46282</v>
      </c>
      <c r="I854" s="14" t="n">
        <v>46282</v>
      </c>
      <c r="J854" s="12" t="s">
        <v>33</v>
      </c>
    </row>
    <row r="855" customFormat="false" ht="15" hidden="false" customHeight="true" outlineLevel="0" collapsed="false">
      <c r="A855" s="12" t="s">
        <v>1833</v>
      </c>
      <c r="B855" s="13" t="n">
        <v>77.311</v>
      </c>
      <c r="C855" s="13" t="n">
        <v>70.3</v>
      </c>
      <c r="D855" s="12" t="s">
        <v>1834</v>
      </c>
      <c r="E855" s="12" t="s">
        <v>30</v>
      </c>
      <c r="F855" s="12" t="s">
        <v>317</v>
      </c>
      <c r="G855" s="12" t="s">
        <v>279</v>
      </c>
      <c r="H855" s="14" t="n">
        <v>46282</v>
      </c>
      <c r="I855" s="14" t="n">
        <v>46282</v>
      </c>
      <c r="J855" s="12" t="s">
        <v>33</v>
      </c>
    </row>
    <row r="856" customFormat="false" ht="15" hidden="false" customHeight="true" outlineLevel="0" collapsed="false">
      <c r="A856" s="12" t="s">
        <v>1835</v>
      </c>
      <c r="B856" s="13" t="n">
        <v>127.36</v>
      </c>
      <c r="C856" s="13" t="n">
        <v>116</v>
      </c>
      <c r="D856" s="12" t="s">
        <v>1836</v>
      </c>
      <c r="E856" s="12" t="s">
        <v>30</v>
      </c>
      <c r="F856" s="12" t="s">
        <v>317</v>
      </c>
      <c r="G856" s="12" t="s">
        <v>279</v>
      </c>
      <c r="H856" s="14" t="n">
        <v>46282</v>
      </c>
      <c r="I856" s="14" t="n">
        <v>46282</v>
      </c>
      <c r="J856" s="12" t="s">
        <v>33</v>
      </c>
    </row>
    <row r="857" customFormat="false" ht="15" hidden="false" customHeight="true" outlineLevel="0" collapsed="false">
      <c r="A857" s="12" t="s">
        <v>1837</v>
      </c>
      <c r="B857" s="13" t="n">
        <v>41.928</v>
      </c>
      <c r="C857" s="13" t="n">
        <v>40.2</v>
      </c>
      <c r="D857" s="12" t="s">
        <v>1838</v>
      </c>
      <c r="E857" s="12" t="s">
        <v>30</v>
      </c>
      <c r="F857" s="12" t="s">
        <v>291</v>
      </c>
      <c r="G857" s="12" t="s">
        <v>275</v>
      </c>
      <c r="H857" s="14" t="n">
        <v>46282</v>
      </c>
      <c r="I857" s="14" t="n">
        <v>46285</v>
      </c>
      <c r="J857" s="12" t="s">
        <v>33</v>
      </c>
    </row>
    <row r="858" customFormat="false" ht="15" hidden="false" customHeight="true" outlineLevel="0" collapsed="false">
      <c r="A858" s="12" t="s">
        <v>1839</v>
      </c>
      <c r="B858" s="13" t="n">
        <v>66.18</v>
      </c>
      <c r="C858" s="13" t="n">
        <v>60</v>
      </c>
      <c r="D858" s="12" t="s">
        <v>1828</v>
      </c>
      <c r="E858" s="12" t="s">
        <v>30</v>
      </c>
      <c r="F858" s="12" t="s">
        <v>301</v>
      </c>
      <c r="G858" s="12" t="s">
        <v>275</v>
      </c>
      <c r="H858" s="14" t="n">
        <v>46282</v>
      </c>
      <c r="I858" s="14" t="n">
        <v>46285</v>
      </c>
      <c r="J858" s="12" t="s">
        <v>33</v>
      </c>
    </row>
    <row r="859" customFormat="false" ht="15" hidden="false" customHeight="true" outlineLevel="0" collapsed="false">
      <c r="A859" s="12" t="s">
        <v>1840</v>
      </c>
      <c r="B859" s="13" t="n">
        <v>207.375</v>
      </c>
      <c r="C859" s="13" t="n">
        <v>175</v>
      </c>
      <c r="D859" s="12" t="s">
        <v>375</v>
      </c>
      <c r="E859" s="12" t="s">
        <v>30</v>
      </c>
      <c r="F859" s="12" t="s">
        <v>342</v>
      </c>
      <c r="G859" s="12" t="s">
        <v>279</v>
      </c>
      <c r="H859" s="14" t="n">
        <v>46282</v>
      </c>
      <c r="I859" s="14" t="n">
        <v>46282</v>
      </c>
      <c r="J859" s="12" t="s">
        <v>33</v>
      </c>
    </row>
    <row r="860" customFormat="false" ht="15" hidden="false" customHeight="true" outlineLevel="0" collapsed="false">
      <c r="A860" s="12" t="s">
        <v>1841</v>
      </c>
      <c r="B860" s="13" t="n">
        <v>216.51</v>
      </c>
      <c r="C860" s="13" t="n">
        <v>210</v>
      </c>
      <c r="D860" s="12" t="s">
        <v>1828</v>
      </c>
      <c r="E860" s="12" t="s">
        <v>30</v>
      </c>
      <c r="F860" s="12" t="s">
        <v>301</v>
      </c>
      <c r="G860" s="12" t="s">
        <v>275</v>
      </c>
      <c r="H860" s="14" t="n">
        <v>46282</v>
      </c>
      <c r="I860" s="14" t="n">
        <v>46285</v>
      </c>
      <c r="J860" s="12" t="s">
        <v>33</v>
      </c>
    </row>
    <row r="861" customFormat="false" ht="15" hidden="false" customHeight="true" outlineLevel="0" collapsed="false">
      <c r="A861" s="12" t="s">
        <v>1842</v>
      </c>
      <c r="B861" s="13" t="n">
        <v>541.275</v>
      </c>
      <c r="C861" s="13" t="n">
        <v>525</v>
      </c>
      <c r="D861" s="12" t="s">
        <v>1843</v>
      </c>
      <c r="E861" s="12" t="s">
        <v>30</v>
      </c>
      <c r="F861" s="12" t="s">
        <v>301</v>
      </c>
      <c r="G861" s="12" t="s">
        <v>275</v>
      </c>
      <c r="H861" s="14" t="n">
        <v>46282</v>
      </c>
      <c r="I861" s="14" t="n">
        <v>46285</v>
      </c>
      <c r="J861" s="12" t="s">
        <v>33</v>
      </c>
    </row>
    <row r="862" customFormat="false" ht="15" hidden="false" customHeight="true" outlineLevel="0" collapsed="false">
      <c r="A862" s="12" t="s">
        <v>1844</v>
      </c>
      <c r="B862" s="13" t="n">
        <v>503.144</v>
      </c>
      <c r="C862" s="13" t="n">
        <v>482.4</v>
      </c>
      <c r="D862" s="12" t="s">
        <v>889</v>
      </c>
      <c r="E862" s="12" t="s">
        <v>248</v>
      </c>
      <c r="F862" s="12" t="s">
        <v>890</v>
      </c>
      <c r="G862" s="12" t="s">
        <v>250</v>
      </c>
      <c r="H862" s="14" t="n">
        <v>46282</v>
      </c>
      <c r="I862" s="14" t="n">
        <v>46276</v>
      </c>
      <c r="J862" s="12" t="s">
        <v>33</v>
      </c>
    </row>
    <row r="863" customFormat="false" ht="15" hidden="false" customHeight="true" outlineLevel="0" collapsed="false">
      <c r="A863" s="12" t="s">
        <v>1845</v>
      </c>
      <c r="B863" s="13" t="n">
        <v>10977.12</v>
      </c>
      <c r="C863" s="13" t="n">
        <v>10080</v>
      </c>
      <c r="D863" s="12" t="s">
        <v>1178</v>
      </c>
      <c r="E863" s="12" t="s">
        <v>248</v>
      </c>
      <c r="F863" s="12" t="s">
        <v>1179</v>
      </c>
      <c r="G863" s="12" t="s">
        <v>250</v>
      </c>
      <c r="H863" s="14" t="n">
        <v>46282</v>
      </c>
      <c r="I863" s="14" t="n">
        <v>46281</v>
      </c>
      <c r="J863" s="12" t="s">
        <v>33</v>
      </c>
    </row>
    <row r="864" customFormat="false" ht="15" hidden="false" customHeight="true" outlineLevel="0" collapsed="false">
      <c r="A864" s="12" t="s">
        <v>1846</v>
      </c>
      <c r="B864" s="13" t="n">
        <v>150.881</v>
      </c>
      <c r="C864" s="13" t="n">
        <v>144.6</v>
      </c>
      <c r="D864" s="12" t="s">
        <v>1847</v>
      </c>
      <c r="E864" s="12" t="s">
        <v>30</v>
      </c>
      <c r="F864" s="12" t="s">
        <v>239</v>
      </c>
      <c r="G864" s="12" t="s">
        <v>240</v>
      </c>
      <c r="H864" s="14" t="n">
        <v>46282</v>
      </c>
      <c r="I864" s="14" t="n">
        <v>46282</v>
      </c>
      <c r="J864" s="12" t="s">
        <v>33</v>
      </c>
    </row>
    <row r="865" customFormat="false" ht="15" hidden="false" customHeight="true" outlineLevel="0" collapsed="false">
      <c r="A865" s="12" t="s">
        <v>1848</v>
      </c>
      <c r="B865" s="13" t="n">
        <v>2678.516</v>
      </c>
      <c r="C865" s="13" t="n">
        <v>2500.2</v>
      </c>
      <c r="D865" s="12" t="s">
        <v>1810</v>
      </c>
      <c r="E865" s="12" t="s">
        <v>30</v>
      </c>
      <c r="F865" s="12" t="s">
        <v>304</v>
      </c>
      <c r="G865" s="12" t="s">
        <v>279</v>
      </c>
      <c r="H865" s="14" t="n">
        <v>46282</v>
      </c>
      <c r="I865" s="14" t="n">
        <v>46282</v>
      </c>
      <c r="J865" s="12" t="s">
        <v>33</v>
      </c>
    </row>
    <row r="866" customFormat="false" ht="15" hidden="false" customHeight="true" outlineLevel="0" collapsed="false">
      <c r="A866" s="12" t="s">
        <v>1849</v>
      </c>
      <c r="B866" s="13" t="n">
        <v>786.103</v>
      </c>
      <c r="C866" s="13" t="n">
        <v>727.2</v>
      </c>
      <c r="D866" s="12" t="s">
        <v>1810</v>
      </c>
      <c r="E866" s="12" t="s">
        <v>30</v>
      </c>
      <c r="F866" s="12" t="s">
        <v>304</v>
      </c>
      <c r="G866" s="12" t="s">
        <v>279</v>
      </c>
      <c r="H866" s="14" t="n">
        <v>46282</v>
      </c>
      <c r="I866" s="14" t="n">
        <v>46282</v>
      </c>
      <c r="J866" s="12" t="s">
        <v>33</v>
      </c>
    </row>
    <row r="867" customFormat="false" ht="15" hidden="false" customHeight="true" outlineLevel="0" collapsed="false">
      <c r="A867" s="12" t="s">
        <v>1850</v>
      </c>
      <c r="B867" s="13" t="n">
        <v>41.929</v>
      </c>
      <c r="C867" s="13" t="n">
        <v>40.2</v>
      </c>
      <c r="D867" s="12" t="s">
        <v>260</v>
      </c>
      <c r="E867" s="12" t="s">
        <v>30</v>
      </c>
      <c r="F867" s="12" t="s">
        <v>239</v>
      </c>
      <c r="G867" s="12" t="s">
        <v>240</v>
      </c>
      <c r="H867" s="14" t="n">
        <v>46282</v>
      </c>
      <c r="I867" s="14" t="n">
        <v>46282</v>
      </c>
      <c r="J867" s="12" t="s">
        <v>33</v>
      </c>
    </row>
    <row r="868" customFormat="false" ht="15" hidden="false" customHeight="true" outlineLevel="0" collapsed="false">
      <c r="A868" s="12" t="s">
        <v>1851</v>
      </c>
      <c r="B868" s="13" t="n">
        <v>244.413</v>
      </c>
      <c r="C868" s="13" t="n">
        <v>218.22</v>
      </c>
      <c r="D868" s="12" t="s">
        <v>1541</v>
      </c>
      <c r="E868" s="12" t="s">
        <v>30</v>
      </c>
      <c r="F868" s="12" t="s">
        <v>239</v>
      </c>
      <c r="G868" s="12" t="s">
        <v>240</v>
      </c>
      <c r="H868" s="14" t="n">
        <v>46282</v>
      </c>
      <c r="I868" s="14" t="n">
        <v>46282</v>
      </c>
      <c r="J868" s="12" t="s">
        <v>33</v>
      </c>
    </row>
    <row r="869" customFormat="false" ht="15" hidden="false" customHeight="true" outlineLevel="0" collapsed="false">
      <c r="A869" s="12" t="s">
        <v>1852</v>
      </c>
      <c r="B869" s="13" t="n">
        <v>71.247</v>
      </c>
      <c r="C869" s="13" t="n">
        <v>64.4</v>
      </c>
      <c r="D869" s="12" t="s">
        <v>1099</v>
      </c>
      <c r="E869" s="12" t="s">
        <v>30</v>
      </c>
      <c r="F869" s="12" t="s">
        <v>1100</v>
      </c>
      <c r="G869" s="12" t="s">
        <v>240</v>
      </c>
      <c r="H869" s="14" t="n">
        <v>46282</v>
      </c>
      <c r="I869" s="14" t="n">
        <v>46282</v>
      </c>
      <c r="J869" s="12" t="s">
        <v>33</v>
      </c>
    </row>
    <row r="870" customFormat="false" ht="15" hidden="false" customHeight="true" outlineLevel="0" collapsed="false">
      <c r="A870" s="12" t="s">
        <v>1853</v>
      </c>
      <c r="B870" s="13" t="n">
        <v>119.254</v>
      </c>
      <c r="C870" s="13" t="n">
        <v>115.2</v>
      </c>
      <c r="D870" s="12" t="s">
        <v>1854</v>
      </c>
      <c r="E870" s="12" t="s">
        <v>30</v>
      </c>
      <c r="F870" s="12" t="s">
        <v>239</v>
      </c>
      <c r="G870" s="12" t="s">
        <v>240</v>
      </c>
      <c r="H870" s="14" t="n">
        <v>46282</v>
      </c>
      <c r="I870" s="14" t="n">
        <v>46282</v>
      </c>
      <c r="J870" s="12" t="s">
        <v>33</v>
      </c>
    </row>
    <row r="871" customFormat="false" ht="15" hidden="false" customHeight="true" outlineLevel="0" collapsed="false">
      <c r="A871" s="12" t="s">
        <v>1855</v>
      </c>
      <c r="B871" s="13" t="n">
        <v>26.203</v>
      </c>
      <c r="C871" s="13" t="n">
        <v>24.24</v>
      </c>
      <c r="D871" s="12" t="s">
        <v>1856</v>
      </c>
      <c r="E871" s="12" t="s">
        <v>30</v>
      </c>
      <c r="F871" s="12" t="s">
        <v>239</v>
      </c>
      <c r="G871" s="12" t="s">
        <v>240</v>
      </c>
      <c r="H871" s="14" t="n">
        <v>46282</v>
      </c>
      <c r="I871" s="14" t="n">
        <v>46282</v>
      </c>
      <c r="J871" s="12" t="s">
        <v>33</v>
      </c>
    </row>
    <row r="872" customFormat="false" ht="15" hidden="false" customHeight="true" outlineLevel="0" collapsed="false">
      <c r="A872" s="12" t="s">
        <v>1857</v>
      </c>
      <c r="B872" s="13" t="n">
        <v>91.712</v>
      </c>
      <c r="C872" s="13" t="n">
        <v>84.84</v>
      </c>
      <c r="D872" s="12" t="s">
        <v>1858</v>
      </c>
      <c r="E872" s="12" t="s">
        <v>30</v>
      </c>
      <c r="F872" s="12" t="s">
        <v>268</v>
      </c>
      <c r="G872" s="12" t="s">
        <v>240</v>
      </c>
      <c r="H872" s="14" t="n">
        <v>46282</v>
      </c>
      <c r="I872" s="14" t="n">
        <v>46282</v>
      </c>
      <c r="J872" s="12" t="s">
        <v>33</v>
      </c>
    </row>
    <row r="873" customFormat="false" ht="15" hidden="false" customHeight="true" outlineLevel="0" collapsed="false">
      <c r="A873" s="12" t="s">
        <v>1859</v>
      </c>
      <c r="B873" s="13" t="n">
        <v>19.854</v>
      </c>
      <c r="C873" s="13" t="n">
        <v>18</v>
      </c>
      <c r="D873" s="12" t="s">
        <v>1860</v>
      </c>
      <c r="E873" s="12" t="s">
        <v>30</v>
      </c>
      <c r="F873" s="12" t="s">
        <v>239</v>
      </c>
      <c r="G873" s="12" t="s">
        <v>240</v>
      </c>
      <c r="H873" s="14" t="n">
        <v>46282</v>
      </c>
      <c r="I873" s="14" t="n">
        <v>46282</v>
      </c>
      <c r="J873" s="12" t="s">
        <v>33</v>
      </c>
    </row>
    <row r="874" customFormat="false" ht="15" hidden="false" customHeight="true" outlineLevel="0" collapsed="false">
      <c r="A874" s="12" t="s">
        <v>1861</v>
      </c>
      <c r="B874" s="13" t="n">
        <v>450.85</v>
      </c>
      <c r="C874" s="13" t="n">
        <v>400.4</v>
      </c>
      <c r="D874" s="12" t="s">
        <v>1282</v>
      </c>
      <c r="E874" s="12" t="s">
        <v>30</v>
      </c>
      <c r="F874" s="12" t="s">
        <v>239</v>
      </c>
      <c r="G874" s="12" t="s">
        <v>240</v>
      </c>
      <c r="H874" s="14" t="n">
        <v>46282</v>
      </c>
      <c r="I874" s="14" t="n">
        <v>46282</v>
      </c>
      <c r="J874" s="12" t="s">
        <v>33</v>
      </c>
    </row>
    <row r="875" customFormat="false" ht="15" hidden="false" customHeight="true" outlineLevel="0" collapsed="false">
      <c r="A875" s="12" t="s">
        <v>1862</v>
      </c>
      <c r="B875" s="13" t="n">
        <v>47.4</v>
      </c>
      <c r="C875" s="13" t="n">
        <v>40</v>
      </c>
      <c r="D875" s="12" t="s">
        <v>322</v>
      </c>
      <c r="E875" s="12" t="s">
        <v>30</v>
      </c>
      <c r="F875" s="12" t="s">
        <v>323</v>
      </c>
      <c r="G875" s="12" t="s">
        <v>275</v>
      </c>
      <c r="H875" s="14" t="n">
        <v>46282</v>
      </c>
      <c r="I875" s="14" t="n">
        <v>46285</v>
      </c>
      <c r="J875" s="12" t="s">
        <v>33</v>
      </c>
    </row>
    <row r="876" customFormat="false" ht="15" hidden="false" customHeight="true" outlineLevel="0" collapsed="false">
      <c r="A876" s="12" t="s">
        <v>1863</v>
      </c>
      <c r="B876" s="13" t="n">
        <v>388.955</v>
      </c>
      <c r="C876" s="13" t="n">
        <v>360.32</v>
      </c>
      <c r="D876" s="12" t="s">
        <v>1864</v>
      </c>
      <c r="E876" s="12" t="s">
        <v>30</v>
      </c>
      <c r="F876" s="12" t="s">
        <v>301</v>
      </c>
      <c r="G876" s="12" t="s">
        <v>275</v>
      </c>
      <c r="H876" s="14" t="n">
        <v>46282</v>
      </c>
      <c r="I876" s="14" t="n">
        <v>46285</v>
      </c>
      <c r="J876" s="12" t="s">
        <v>33</v>
      </c>
    </row>
    <row r="877" customFormat="false" ht="15" hidden="false" customHeight="true" outlineLevel="0" collapsed="false">
      <c r="A877" s="12" t="s">
        <v>1865</v>
      </c>
      <c r="B877" s="13" t="n">
        <v>162.304</v>
      </c>
      <c r="C877" s="13" t="n">
        <v>148.98</v>
      </c>
      <c r="D877" s="12" t="s">
        <v>1866</v>
      </c>
      <c r="E877" s="12" t="s">
        <v>30</v>
      </c>
      <c r="F877" s="12" t="s">
        <v>1867</v>
      </c>
      <c r="G877" s="12" t="s">
        <v>275</v>
      </c>
      <c r="H877" s="14" t="n">
        <v>46282</v>
      </c>
      <c r="I877" s="14" t="n">
        <v>46285</v>
      </c>
      <c r="J877" s="12" t="s">
        <v>33</v>
      </c>
    </row>
    <row r="878" customFormat="false" ht="15" hidden="false" customHeight="true" outlineLevel="0" collapsed="false">
      <c r="A878" s="12" t="s">
        <v>1868</v>
      </c>
      <c r="B878" s="13" t="n">
        <v>159.227</v>
      </c>
      <c r="C878" s="13" t="n">
        <v>151.5</v>
      </c>
      <c r="D878" s="12" t="s">
        <v>1869</v>
      </c>
      <c r="E878" s="12" t="s">
        <v>30</v>
      </c>
      <c r="F878" s="12" t="s">
        <v>291</v>
      </c>
      <c r="G878" s="12" t="s">
        <v>275</v>
      </c>
      <c r="H878" s="14" t="n">
        <v>46282</v>
      </c>
      <c r="I878" s="14" t="n">
        <v>46285</v>
      </c>
      <c r="J878" s="12" t="s">
        <v>33</v>
      </c>
    </row>
    <row r="879" customFormat="false" ht="15" hidden="false" customHeight="true" outlineLevel="0" collapsed="false">
      <c r="A879" s="12" t="s">
        <v>1870</v>
      </c>
      <c r="B879" s="13" t="n">
        <v>303.483</v>
      </c>
      <c r="C879" s="13" t="n">
        <v>280.2</v>
      </c>
      <c r="D879" s="12" t="s">
        <v>284</v>
      </c>
      <c r="E879" s="12" t="s">
        <v>30</v>
      </c>
      <c r="F879" s="12" t="s">
        <v>278</v>
      </c>
      <c r="G879" s="12" t="s">
        <v>279</v>
      </c>
      <c r="H879" s="14" t="n">
        <v>46282</v>
      </c>
      <c r="I879" s="14" t="n">
        <v>46282</v>
      </c>
      <c r="J879" s="12" t="s">
        <v>33</v>
      </c>
    </row>
    <row r="880" customFormat="false" ht="15" hidden="false" customHeight="true" outlineLevel="0" collapsed="false">
      <c r="A880" s="12" t="s">
        <v>1871</v>
      </c>
      <c r="B880" s="13" t="n">
        <v>91.532</v>
      </c>
      <c r="C880" s="13" t="n">
        <v>85.8</v>
      </c>
      <c r="D880" s="12" t="s">
        <v>1872</v>
      </c>
      <c r="E880" s="12" t="s">
        <v>30</v>
      </c>
      <c r="F880" s="12" t="s">
        <v>357</v>
      </c>
      <c r="G880" s="12" t="s">
        <v>279</v>
      </c>
      <c r="H880" s="14" t="n">
        <v>46282</v>
      </c>
      <c r="I880" s="14" t="n">
        <v>46282</v>
      </c>
      <c r="J880" s="12" t="s">
        <v>33</v>
      </c>
    </row>
    <row r="881" customFormat="false" ht="15" hidden="false" customHeight="true" outlineLevel="0" collapsed="false">
      <c r="A881" s="12" t="s">
        <v>1873</v>
      </c>
      <c r="B881" s="13" t="n">
        <v>93.164</v>
      </c>
      <c r="C881" s="13" t="n">
        <v>85.4</v>
      </c>
      <c r="D881" s="12" t="s">
        <v>1874</v>
      </c>
      <c r="E881" s="12" t="s">
        <v>30</v>
      </c>
      <c r="F881" s="12" t="s">
        <v>317</v>
      </c>
      <c r="G881" s="12" t="s">
        <v>279</v>
      </c>
      <c r="H881" s="14" t="n">
        <v>46282</v>
      </c>
      <c r="I881" s="14" t="n">
        <v>46282</v>
      </c>
      <c r="J881" s="12" t="s">
        <v>33</v>
      </c>
    </row>
    <row r="882" customFormat="false" ht="15" hidden="false" customHeight="true" outlineLevel="0" collapsed="false">
      <c r="A882" s="12" t="s">
        <v>1875</v>
      </c>
      <c r="B882" s="13" t="n">
        <v>116.062</v>
      </c>
      <c r="C882" s="13" t="n">
        <v>105.6</v>
      </c>
      <c r="D882" s="12" t="s">
        <v>1876</v>
      </c>
      <c r="E882" s="12" t="s">
        <v>30</v>
      </c>
      <c r="F882" s="12" t="s">
        <v>317</v>
      </c>
      <c r="G882" s="12" t="s">
        <v>279</v>
      </c>
      <c r="H882" s="14" t="n">
        <v>46282</v>
      </c>
      <c r="I882" s="14" t="n">
        <v>46282</v>
      </c>
      <c r="J882" s="12" t="s">
        <v>33</v>
      </c>
    </row>
    <row r="883" customFormat="false" ht="15" hidden="false" customHeight="true" outlineLevel="0" collapsed="false">
      <c r="A883" s="12" t="s">
        <v>1877</v>
      </c>
      <c r="B883" s="13" t="n">
        <v>122.69</v>
      </c>
      <c r="C883" s="13" t="n">
        <v>116.1</v>
      </c>
      <c r="D883" s="12" t="s">
        <v>1878</v>
      </c>
      <c r="E883" s="12" t="s">
        <v>30</v>
      </c>
      <c r="F883" s="12" t="s">
        <v>317</v>
      </c>
      <c r="G883" s="12" t="s">
        <v>279</v>
      </c>
      <c r="H883" s="14" t="n">
        <v>46282</v>
      </c>
      <c r="I883" s="14" t="n">
        <v>46282</v>
      </c>
      <c r="J883" s="12" t="s">
        <v>33</v>
      </c>
    </row>
    <row r="884" customFormat="false" ht="15" hidden="false" customHeight="true" outlineLevel="0" collapsed="false">
      <c r="A884" s="12" t="s">
        <v>1879</v>
      </c>
      <c r="B884" s="13" t="n">
        <v>177.75</v>
      </c>
      <c r="C884" s="13" t="n">
        <v>150</v>
      </c>
      <c r="D884" s="12" t="s">
        <v>375</v>
      </c>
      <c r="E884" s="12" t="s">
        <v>30</v>
      </c>
      <c r="F884" s="12" t="s">
        <v>342</v>
      </c>
      <c r="G884" s="12" t="s">
        <v>279</v>
      </c>
      <c r="H884" s="14" t="n">
        <v>46282</v>
      </c>
      <c r="I884" s="14" t="n">
        <v>46282</v>
      </c>
      <c r="J884" s="12" t="s">
        <v>33</v>
      </c>
    </row>
    <row r="885" customFormat="false" ht="15" hidden="false" customHeight="true" outlineLevel="0" collapsed="false">
      <c r="A885" s="12" t="s">
        <v>1880</v>
      </c>
      <c r="B885" s="13" t="n">
        <v>43.303</v>
      </c>
      <c r="C885" s="13" t="n">
        <v>42</v>
      </c>
      <c r="D885" s="12" t="s">
        <v>1881</v>
      </c>
      <c r="E885" s="12" t="s">
        <v>30</v>
      </c>
      <c r="F885" s="12" t="s">
        <v>291</v>
      </c>
      <c r="G885" s="12" t="s">
        <v>275</v>
      </c>
      <c r="H885" s="14" t="n">
        <v>46282</v>
      </c>
      <c r="I885" s="14" t="n">
        <v>46285</v>
      </c>
      <c r="J885" s="12" t="s">
        <v>33</v>
      </c>
    </row>
    <row r="886" customFormat="false" ht="15" hidden="false" customHeight="true" outlineLevel="0" collapsed="false">
      <c r="A886" s="12" t="s">
        <v>1882</v>
      </c>
      <c r="B886" s="13" t="n">
        <v>79.2</v>
      </c>
      <c r="C886" s="13" t="n">
        <v>72</v>
      </c>
      <c r="D886" s="12" t="s">
        <v>1828</v>
      </c>
      <c r="E886" s="12" t="s">
        <v>30</v>
      </c>
      <c r="F886" s="12" t="s">
        <v>301</v>
      </c>
      <c r="G886" s="12" t="s">
        <v>275</v>
      </c>
      <c r="H886" s="14" t="n">
        <v>46282</v>
      </c>
      <c r="I886" s="14" t="n">
        <v>46285</v>
      </c>
      <c r="J886" s="12" t="s">
        <v>33</v>
      </c>
    </row>
    <row r="887" customFormat="false" ht="15" hidden="false" customHeight="true" outlineLevel="0" collapsed="false">
      <c r="A887" s="12" t="s">
        <v>1883</v>
      </c>
      <c r="B887" s="13" t="n">
        <v>1136.678</v>
      </c>
      <c r="C887" s="13" t="n">
        <v>1102.5</v>
      </c>
      <c r="D887" s="12" t="s">
        <v>1884</v>
      </c>
      <c r="E887" s="12" t="s">
        <v>30</v>
      </c>
      <c r="F887" s="12" t="s">
        <v>274</v>
      </c>
      <c r="G887" s="12" t="s">
        <v>275</v>
      </c>
      <c r="H887" s="14" t="n">
        <v>46282</v>
      </c>
      <c r="I887" s="14" t="n">
        <v>46282</v>
      </c>
      <c r="J887" s="12" t="s">
        <v>254</v>
      </c>
    </row>
    <row r="888" customFormat="false" ht="15" hidden="false" customHeight="true" outlineLevel="0" collapsed="false">
      <c r="A888" s="12" t="s">
        <v>1885</v>
      </c>
      <c r="B888" s="13" t="n">
        <v>111.835</v>
      </c>
      <c r="C888" s="13" t="n">
        <v>102.6</v>
      </c>
      <c r="D888" s="12" t="s">
        <v>1886</v>
      </c>
      <c r="E888" s="12" t="s">
        <v>30</v>
      </c>
      <c r="F888" s="12" t="s">
        <v>243</v>
      </c>
      <c r="G888" s="12" t="s">
        <v>240</v>
      </c>
      <c r="H888" s="14" t="n">
        <v>46282</v>
      </c>
      <c r="I888" s="14" t="n">
        <v>46282</v>
      </c>
      <c r="J888" s="12" t="s">
        <v>254</v>
      </c>
    </row>
    <row r="889" customFormat="false" ht="15" hidden="false" customHeight="true" outlineLevel="0" collapsed="false">
      <c r="A889" s="12" t="s">
        <v>1887</v>
      </c>
      <c r="B889" s="13" t="n">
        <v>212.302</v>
      </c>
      <c r="C889" s="13" t="n">
        <v>202</v>
      </c>
      <c r="D889" s="12" t="s">
        <v>1828</v>
      </c>
      <c r="E889" s="12" t="s">
        <v>30</v>
      </c>
      <c r="F889" s="12" t="s">
        <v>301</v>
      </c>
      <c r="G889" s="12" t="s">
        <v>275</v>
      </c>
      <c r="H889" s="14" t="n">
        <v>46282</v>
      </c>
      <c r="I889" s="14" t="n">
        <v>46285</v>
      </c>
      <c r="J889" s="12" t="s">
        <v>33</v>
      </c>
    </row>
    <row r="890" customFormat="false" ht="15" hidden="false" customHeight="true" outlineLevel="0" collapsed="false">
      <c r="A890" s="12" t="s">
        <v>1888</v>
      </c>
      <c r="B890" s="13" t="n">
        <v>12720</v>
      </c>
      <c r="C890" s="13" t="n">
        <v>12000</v>
      </c>
      <c r="D890" s="12" t="s">
        <v>1889</v>
      </c>
      <c r="E890" s="12" t="s">
        <v>30</v>
      </c>
      <c r="F890" s="12" t="s">
        <v>1890</v>
      </c>
      <c r="G890" s="12" t="s">
        <v>240</v>
      </c>
      <c r="H890" s="14" t="n">
        <v>46282</v>
      </c>
      <c r="I890" s="14" t="n">
        <v>46282</v>
      </c>
      <c r="J890" s="12" t="s">
        <v>33</v>
      </c>
    </row>
    <row r="891" customFormat="false" ht="15" hidden="false" customHeight="true" outlineLevel="0" collapsed="false">
      <c r="A891" s="12" t="s">
        <v>1891</v>
      </c>
      <c r="B891" s="13" t="n">
        <v>212.741</v>
      </c>
      <c r="C891" s="13" t="n">
        <v>196.8</v>
      </c>
      <c r="D891" s="12" t="s">
        <v>1892</v>
      </c>
      <c r="E891" s="12" t="s">
        <v>30</v>
      </c>
      <c r="F891" s="12" t="s">
        <v>81</v>
      </c>
      <c r="G891" s="12" t="s">
        <v>41</v>
      </c>
      <c r="H891" s="14" t="n">
        <v>46283</v>
      </c>
      <c r="I891" s="14" t="n">
        <v>46283</v>
      </c>
      <c r="J891" s="12" t="s">
        <v>33</v>
      </c>
    </row>
    <row r="892" customFormat="false" ht="15" hidden="false" customHeight="true" outlineLevel="0" collapsed="false">
      <c r="A892" s="12" t="s">
        <v>1893</v>
      </c>
      <c r="B892" s="13" t="n">
        <v>208.914</v>
      </c>
      <c r="C892" s="13" t="n">
        <v>193.4</v>
      </c>
      <c r="D892" s="12" t="s">
        <v>1894</v>
      </c>
      <c r="E892" s="12" t="s">
        <v>30</v>
      </c>
      <c r="F892" s="12" t="s">
        <v>1895</v>
      </c>
      <c r="G892" s="12" t="s">
        <v>37</v>
      </c>
      <c r="H892" s="14" t="n">
        <v>46283</v>
      </c>
      <c r="I892" s="14" t="n">
        <v>46274</v>
      </c>
      <c r="J892" s="12" t="s">
        <v>33</v>
      </c>
    </row>
    <row r="893" customFormat="false" ht="15" hidden="false" customHeight="true" outlineLevel="0" collapsed="false">
      <c r="A893" s="12" t="s">
        <v>1896</v>
      </c>
      <c r="B893" s="13" t="n">
        <v>88.64</v>
      </c>
      <c r="C893" s="13" t="n">
        <v>82</v>
      </c>
      <c r="D893" s="12" t="s">
        <v>1897</v>
      </c>
      <c r="E893" s="12" t="s">
        <v>30</v>
      </c>
      <c r="F893" s="12" t="s">
        <v>1898</v>
      </c>
      <c r="G893" s="12" t="s">
        <v>41</v>
      </c>
      <c r="H893" s="14" t="n">
        <v>46283</v>
      </c>
      <c r="I893" s="14" t="n">
        <v>46283</v>
      </c>
      <c r="J893" s="12" t="s">
        <v>33</v>
      </c>
    </row>
    <row r="894" customFormat="false" ht="15" hidden="false" customHeight="true" outlineLevel="0" collapsed="false">
      <c r="A894" s="12" t="s">
        <v>1899</v>
      </c>
      <c r="B894" s="13" t="n">
        <v>120.748</v>
      </c>
      <c r="C894" s="13" t="n">
        <v>111</v>
      </c>
      <c r="D894" s="12" t="s">
        <v>1900</v>
      </c>
      <c r="E894" s="12" t="s">
        <v>30</v>
      </c>
      <c r="F894" s="12" t="s">
        <v>1901</v>
      </c>
      <c r="G894" s="12" t="s">
        <v>45</v>
      </c>
      <c r="H894" s="14" t="n">
        <v>46283</v>
      </c>
      <c r="I894" s="14" t="n">
        <v>46283</v>
      </c>
      <c r="J894" s="12" t="s">
        <v>33</v>
      </c>
    </row>
    <row r="895" customFormat="false" ht="15" hidden="false" customHeight="true" outlineLevel="0" collapsed="false">
      <c r="A895" s="12" t="s">
        <v>1902</v>
      </c>
      <c r="B895" s="13" t="n">
        <v>82.81</v>
      </c>
      <c r="C895" s="13" t="n">
        <v>74.2</v>
      </c>
      <c r="D895" s="12" t="s">
        <v>1903</v>
      </c>
      <c r="E895" s="12" t="s">
        <v>30</v>
      </c>
      <c r="F895" s="12" t="s">
        <v>1047</v>
      </c>
      <c r="G895" s="12" t="s">
        <v>45</v>
      </c>
      <c r="H895" s="14" t="n">
        <v>46283</v>
      </c>
      <c r="I895" s="14" t="n">
        <v>46283</v>
      </c>
      <c r="J895" s="12" t="s">
        <v>33</v>
      </c>
    </row>
    <row r="896" customFormat="false" ht="15" hidden="false" customHeight="true" outlineLevel="0" collapsed="false">
      <c r="A896" s="12" t="s">
        <v>1904</v>
      </c>
      <c r="B896" s="13" t="n">
        <v>23.7</v>
      </c>
      <c r="C896" s="13" t="n">
        <v>20</v>
      </c>
      <c r="D896" s="12" t="s">
        <v>1905</v>
      </c>
      <c r="E896" s="12" t="s">
        <v>30</v>
      </c>
      <c r="F896" s="12" t="s">
        <v>1481</v>
      </c>
      <c r="G896" s="12" t="s">
        <v>45</v>
      </c>
      <c r="H896" s="14" t="n">
        <v>46283</v>
      </c>
      <c r="I896" s="14" t="n">
        <v>46283</v>
      </c>
      <c r="J896" s="12" t="s">
        <v>33</v>
      </c>
    </row>
    <row r="897" customFormat="false" ht="15" hidden="false" customHeight="true" outlineLevel="0" collapsed="false">
      <c r="A897" s="12" t="s">
        <v>1906</v>
      </c>
      <c r="B897" s="13" t="n">
        <v>148.968</v>
      </c>
      <c r="C897" s="13" t="n">
        <v>138.24</v>
      </c>
      <c r="D897" s="12" t="s">
        <v>1907</v>
      </c>
      <c r="E897" s="12" t="s">
        <v>30</v>
      </c>
      <c r="F897" s="12" t="s">
        <v>1047</v>
      </c>
      <c r="G897" s="12" t="s">
        <v>45</v>
      </c>
      <c r="H897" s="14" t="n">
        <v>46283</v>
      </c>
      <c r="I897" s="14" t="n">
        <v>46283</v>
      </c>
      <c r="J897" s="12" t="s">
        <v>33</v>
      </c>
    </row>
    <row r="898" customFormat="false" ht="15" hidden="false" customHeight="true" outlineLevel="0" collapsed="false">
      <c r="A898" s="12" t="s">
        <v>1908</v>
      </c>
      <c r="B898" s="13" t="n">
        <v>222.917</v>
      </c>
      <c r="C898" s="13" t="n">
        <v>212.1</v>
      </c>
      <c r="D898" s="12" t="s">
        <v>1909</v>
      </c>
      <c r="E898" s="12" t="s">
        <v>30</v>
      </c>
      <c r="F898" s="12" t="s">
        <v>485</v>
      </c>
      <c r="G898" s="12" t="s">
        <v>37</v>
      </c>
      <c r="H898" s="14" t="n">
        <v>46283</v>
      </c>
      <c r="I898" s="14" t="n">
        <v>46274</v>
      </c>
      <c r="J898" s="12" t="s">
        <v>33</v>
      </c>
    </row>
    <row r="899" customFormat="false" ht="15" hidden="false" customHeight="true" outlineLevel="0" collapsed="false">
      <c r="A899" s="12" t="s">
        <v>1910</v>
      </c>
      <c r="B899" s="13" t="n">
        <v>131.018</v>
      </c>
      <c r="C899" s="13" t="n">
        <v>121.2</v>
      </c>
      <c r="D899" s="12" t="s">
        <v>1911</v>
      </c>
      <c r="E899" s="12" t="s">
        <v>30</v>
      </c>
      <c r="F899" s="12" t="s">
        <v>1912</v>
      </c>
      <c r="G899" s="12" t="s">
        <v>37</v>
      </c>
      <c r="H899" s="14" t="n">
        <v>46283</v>
      </c>
      <c r="I899" s="14" t="n">
        <v>46274</v>
      </c>
      <c r="J899" s="12" t="s">
        <v>33</v>
      </c>
    </row>
    <row r="900" customFormat="false" ht="15" hidden="false" customHeight="true" outlineLevel="0" collapsed="false">
      <c r="A900" s="12" t="s">
        <v>1913</v>
      </c>
      <c r="B900" s="13" t="n">
        <v>21.23</v>
      </c>
      <c r="C900" s="13" t="n">
        <v>20.2</v>
      </c>
      <c r="D900" s="12" t="s">
        <v>1894</v>
      </c>
      <c r="E900" s="12" t="s">
        <v>30</v>
      </c>
      <c r="F900" s="12" t="s">
        <v>1895</v>
      </c>
      <c r="G900" s="12" t="s">
        <v>37</v>
      </c>
      <c r="H900" s="14" t="n">
        <v>46283</v>
      </c>
      <c r="I900" s="14" t="n">
        <v>46274</v>
      </c>
      <c r="J900" s="12" t="s">
        <v>33</v>
      </c>
    </row>
    <row r="901" customFormat="false" ht="15" hidden="false" customHeight="true" outlineLevel="0" collapsed="false">
      <c r="A901" s="12" t="s">
        <v>1914</v>
      </c>
      <c r="B901" s="13" t="n">
        <v>531.852</v>
      </c>
      <c r="C901" s="13" t="n">
        <v>492</v>
      </c>
      <c r="D901" s="12" t="s">
        <v>1915</v>
      </c>
      <c r="E901" s="12" t="s">
        <v>30</v>
      </c>
      <c r="F901" s="12" t="s">
        <v>1916</v>
      </c>
      <c r="G901" s="12" t="s">
        <v>37</v>
      </c>
      <c r="H901" s="14" t="n">
        <v>46283</v>
      </c>
      <c r="I901" s="14" t="n">
        <v>46274</v>
      </c>
      <c r="J901" s="12" t="s">
        <v>33</v>
      </c>
    </row>
    <row r="902" customFormat="false" ht="15" hidden="false" customHeight="true" outlineLevel="0" collapsed="false">
      <c r="A902" s="12" t="s">
        <v>1917</v>
      </c>
      <c r="B902" s="13" t="n">
        <v>26.204</v>
      </c>
      <c r="C902" s="13" t="n">
        <v>24.24</v>
      </c>
      <c r="D902" s="12" t="s">
        <v>1894</v>
      </c>
      <c r="E902" s="12" t="s">
        <v>30</v>
      </c>
      <c r="F902" s="12" t="s">
        <v>1895</v>
      </c>
      <c r="G902" s="12" t="s">
        <v>37</v>
      </c>
      <c r="H902" s="14" t="n">
        <v>46283</v>
      </c>
      <c r="I902" s="14" t="n">
        <v>46274</v>
      </c>
      <c r="J902" s="12" t="s">
        <v>33</v>
      </c>
    </row>
    <row r="903" customFormat="false" ht="15" hidden="false" customHeight="true" outlineLevel="0" collapsed="false">
      <c r="A903" s="12" t="s">
        <v>1918</v>
      </c>
      <c r="B903" s="13" t="n">
        <v>270.638</v>
      </c>
      <c r="C903" s="13" t="n">
        <v>262.5</v>
      </c>
      <c r="D903" s="12" t="s">
        <v>1915</v>
      </c>
      <c r="E903" s="12" t="s">
        <v>30</v>
      </c>
      <c r="F903" s="12" t="s">
        <v>1916</v>
      </c>
      <c r="G903" s="12" t="s">
        <v>37</v>
      </c>
      <c r="H903" s="14" t="n">
        <v>46283</v>
      </c>
      <c r="I903" s="14" t="n">
        <v>46274</v>
      </c>
      <c r="J903" s="12" t="s">
        <v>33</v>
      </c>
    </row>
    <row r="904" customFormat="false" ht="15" hidden="false" customHeight="true" outlineLevel="0" collapsed="false">
      <c r="A904" s="12" t="s">
        <v>1919</v>
      </c>
      <c r="B904" s="13" t="n">
        <v>21.44</v>
      </c>
      <c r="C904" s="13" t="n">
        <v>20</v>
      </c>
      <c r="D904" s="12" t="s">
        <v>1920</v>
      </c>
      <c r="E904" s="12" t="s">
        <v>30</v>
      </c>
      <c r="F904" s="12" t="s">
        <v>81</v>
      </c>
      <c r="G904" s="12" t="s">
        <v>41</v>
      </c>
      <c r="H904" s="14" t="n">
        <v>46283</v>
      </c>
      <c r="I904" s="14" t="n">
        <v>46283</v>
      </c>
      <c r="J904" s="12" t="s">
        <v>33</v>
      </c>
    </row>
    <row r="905" customFormat="false" ht="15" hidden="false" customHeight="true" outlineLevel="0" collapsed="false">
      <c r="A905" s="12" t="s">
        <v>1921</v>
      </c>
      <c r="B905" s="13" t="n">
        <v>246.252</v>
      </c>
      <c r="C905" s="13" t="n">
        <v>236.3</v>
      </c>
      <c r="D905" s="12" t="s">
        <v>1894</v>
      </c>
      <c r="E905" s="12" t="s">
        <v>30</v>
      </c>
      <c r="F905" s="12" t="s">
        <v>1895</v>
      </c>
      <c r="G905" s="12" t="s">
        <v>37</v>
      </c>
      <c r="H905" s="14" t="n">
        <v>46283</v>
      </c>
      <c r="I905" s="14" t="n">
        <v>46274</v>
      </c>
      <c r="J905" s="12" t="s">
        <v>33</v>
      </c>
    </row>
    <row r="906" customFormat="false" ht="15" hidden="false" customHeight="true" outlineLevel="0" collapsed="false">
      <c r="A906" s="12" t="s">
        <v>1922</v>
      </c>
      <c r="B906" s="13" t="n">
        <v>324.765</v>
      </c>
      <c r="C906" s="13" t="n">
        <v>315</v>
      </c>
      <c r="D906" s="12" t="s">
        <v>1915</v>
      </c>
      <c r="E906" s="12" t="s">
        <v>30</v>
      </c>
      <c r="F906" s="12" t="s">
        <v>1916</v>
      </c>
      <c r="G906" s="12" t="s">
        <v>37</v>
      </c>
      <c r="H906" s="14" t="n">
        <v>46283</v>
      </c>
      <c r="I906" s="14" t="n">
        <v>46274</v>
      </c>
      <c r="J906" s="12" t="s">
        <v>33</v>
      </c>
    </row>
    <row r="907" customFormat="false" ht="15" hidden="false" customHeight="true" outlineLevel="0" collapsed="false">
      <c r="A907" s="12" t="s">
        <v>1923</v>
      </c>
      <c r="B907" s="13" t="n">
        <v>152.653</v>
      </c>
      <c r="C907" s="13" t="n">
        <v>141.7</v>
      </c>
      <c r="D907" s="12" t="s">
        <v>1924</v>
      </c>
      <c r="E907" s="12" t="s">
        <v>30</v>
      </c>
      <c r="F907" s="12" t="s">
        <v>98</v>
      </c>
      <c r="G907" s="12" t="s">
        <v>37</v>
      </c>
      <c r="H907" s="14" t="n">
        <v>46283</v>
      </c>
      <c r="I907" s="14" t="n">
        <v>46274</v>
      </c>
      <c r="J907" s="12" t="s">
        <v>33</v>
      </c>
    </row>
    <row r="908" customFormat="false" ht="15" hidden="false" customHeight="true" outlineLevel="0" collapsed="false">
      <c r="A908" s="12" t="s">
        <v>1925</v>
      </c>
      <c r="B908" s="13" t="n">
        <v>35.019</v>
      </c>
      <c r="C908" s="13" t="n">
        <v>32.32</v>
      </c>
      <c r="D908" s="12" t="s">
        <v>1926</v>
      </c>
      <c r="E908" s="12" t="s">
        <v>30</v>
      </c>
      <c r="F908" s="12" t="s">
        <v>51</v>
      </c>
      <c r="G908" s="12" t="s">
        <v>41</v>
      </c>
      <c r="H908" s="14" t="n">
        <v>46283</v>
      </c>
      <c r="I908" s="14" t="n">
        <v>46283</v>
      </c>
      <c r="J908" s="12" t="s">
        <v>33</v>
      </c>
    </row>
    <row r="909" customFormat="false" ht="15" hidden="false" customHeight="true" outlineLevel="0" collapsed="false">
      <c r="A909" s="12" t="s">
        <v>1927</v>
      </c>
      <c r="B909" s="13" t="n">
        <v>50.651</v>
      </c>
      <c r="C909" s="13" t="n">
        <v>45.3</v>
      </c>
      <c r="D909" s="12" t="s">
        <v>1928</v>
      </c>
      <c r="E909" s="12" t="s">
        <v>30</v>
      </c>
      <c r="F909" s="12" t="s">
        <v>125</v>
      </c>
      <c r="G909" s="12" t="s">
        <v>37</v>
      </c>
      <c r="H909" s="14" t="n">
        <v>46283</v>
      </c>
      <c r="I909" s="14" t="n">
        <v>46274</v>
      </c>
      <c r="J909" s="12" t="s">
        <v>33</v>
      </c>
    </row>
    <row r="910" customFormat="false" ht="15" hidden="false" customHeight="true" outlineLevel="0" collapsed="false">
      <c r="A910" s="12" t="s">
        <v>1929</v>
      </c>
      <c r="B910" s="13" t="n">
        <v>88.642</v>
      </c>
      <c r="C910" s="13" t="n">
        <v>82</v>
      </c>
      <c r="D910" s="12" t="s">
        <v>1930</v>
      </c>
      <c r="E910" s="12" t="s">
        <v>30</v>
      </c>
      <c r="F910" s="12" t="s">
        <v>40</v>
      </c>
      <c r="G910" s="12" t="s">
        <v>41</v>
      </c>
      <c r="H910" s="14" t="n">
        <v>46283</v>
      </c>
      <c r="I910" s="14" t="n">
        <v>46283</v>
      </c>
      <c r="J910" s="12" t="s">
        <v>33</v>
      </c>
    </row>
    <row r="911" customFormat="false" ht="15" hidden="false" customHeight="true" outlineLevel="0" collapsed="false">
      <c r="A911" s="12" t="s">
        <v>1931</v>
      </c>
      <c r="B911" s="13" t="n">
        <v>29.625</v>
      </c>
      <c r="C911" s="13" t="n">
        <v>25</v>
      </c>
      <c r="D911" s="12" t="s">
        <v>1932</v>
      </c>
      <c r="E911" s="12" t="s">
        <v>30</v>
      </c>
      <c r="F911" s="12" t="s">
        <v>1933</v>
      </c>
      <c r="G911" s="12" t="s">
        <v>45</v>
      </c>
      <c r="H911" s="14" t="n">
        <v>46283</v>
      </c>
      <c r="I911" s="14" t="n">
        <v>46283</v>
      </c>
      <c r="J911" s="12" t="s">
        <v>33</v>
      </c>
    </row>
    <row r="912" customFormat="false" ht="15" hidden="false" customHeight="true" outlineLevel="0" collapsed="false">
      <c r="A912" s="12" t="s">
        <v>1934</v>
      </c>
      <c r="B912" s="13" t="n">
        <v>57.108</v>
      </c>
      <c r="C912" s="13" t="n">
        <v>53.8</v>
      </c>
      <c r="D912" s="12" t="s">
        <v>1935</v>
      </c>
      <c r="E912" s="12" t="s">
        <v>30</v>
      </c>
      <c r="F912" s="12" t="s">
        <v>40</v>
      </c>
      <c r="G912" s="12" t="s">
        <v>41</v>
      </c>
      <c r="H912" s="14" t="n">
        <v>46283</v>
      </c>
      <c r="I912" s="14" t="n">
        <v>46283</v>
      </c>
      <c r="J912" s="12" t="s">
        <v>33</v>
      </c>
    </row>
    <row r="913" customFormat="false" ht="15" hidden="false" customHeight="true" outlineLevel="0" collapsed="false">
      <c r="A913" s="12" t="s">
        <v>1936</v>
      </c>
      <c r="B913" s="13" t="n">
        <v>108.118</v>
      </c>
      <c r="C913" s="13" t="n">
        <v>95.5</v>
      </c>
      <c r="D913" s="12" t="s">
        <v>1911</v>
      </c>
      <c r="E913" s="12" t="s">
        <v>30</v>
      </c>
      <c r="F913" s="12" t="s">
        <v>1912</v>
      </c>
      <c r="G913" s="12" t="s">
        <v>37</v>
      </c>
      <c r="H913" s="14" t="n">
        <v>46283</v>
      </c>
      <c r="I913" s="14" t="n">
        <v>46274</v>
      </c>
      <c r="J913" s="12" t="s">
        <v>33</v>
      </c>
    </row>
    <row r="914" customFormat="false" ht="15" hidden="false" customHeight="true" outlineLevel="0" collapsed="false">
      <c r="A914" s="12" t="s">
        <v>1937</v>
      </c>
      <c r="B914" s="13" t="n">
        <v>88.532</v>
      </c>
      <c r="C914" s="13" t="n">
        <v>83.3</v>
      </c>
      <c r="D914" s="12" t="s">
        <v>1924</v>
      </c>
      <c r="E914" s="12" t="s">
        <v>30</v>
      </c>
      <c r="F914" s="12" t="s">
        <v>98</v>
      </c>
      <c r="G914" s="12" t="s">
        <v>37</v>
      </c>
      <c r="H914" s="14" t="n">
        <v>46283</v>
      </c>
      <c r="I914" s="14" t="n">
        <v>46274</v>
      </c>
      <c r="J914" s="12" t="s">
        <v>33</v>
      </c>
    </row>
    <row r="915" customFormat="false" ht="15" hidden="false" customHeight="true" outlineLevel="0" collapsed="false">
      <c r="A915" s="12" t="s">
        <v>1938</v>
      </c>
      <c r="B915" s="13" t="n">
        <v>301.177</v>
      </c>
      <c r="C915" s="13" t="n">
        <v>277</v>
      </c>
      <c r="D915" s="12" t="s">
        <v>1915</v>
      </c>
      <c r="E915" s="12" t="s">
        <v>30</v>
      </c>
      <c r="F915" s="12" t="s">
        <v>1916</v>
      </c>
      <c r="G915" s="12" t="s">
        <v>37</v>
      </c>
      <c r="H915" s="14" t="n">
        <v>46283</v>
      </c>
      <c r="I915" s="14" t="n">
        <v>46274</v>
      </c>
      <c r="J915" s="12" t="s">
        <v>33</v>
      </c>
    </row>
    <row r="916" customFormat="false" ht="15" hidden="false" customHeight="true" outlineLevel="0" collapsed="false">
      <c r="A916" s="12" t="s">
        <v>1939</v>
      </c>
      <c r="B916" s="13" t="n">
        <v>31.845</v>
      </c>
      <c r="C916" s="13" t="n">
        <v>30.3</v>
      </c>
      <c r="D916" s="12" t="s">
        <v>1903</v>
      </c>
      <c r="E916" s="12" t="s">
        <v>30</v>
      </c>
      <c r="F916" s="12" t="s">
        <v>1047</v>
      </c>
      <c r="G916" s="12" t="s">
        <v>45</v>
      </c>
      <c r="H916" s="14" t="n">
        <v>46283</v>
      </c>
      <c r="I916" s="14" t="n">
        <v>46283</v>
      </c>
      <c r="J916" s="12" t="s">
        <v>33</v>
      </c>
    </row>
    <row r="917" customFormat="false" ht="15" hidden="false" customHeight="true" outlineLevel="0" collapsed="false">
      <c r="A917" s="12" t="s">
        <v>1940</v>
      </c>
      <c r="B917" s="13" t="n">
        <v>4734.072</v>
      </c>
      <c r="C917" s="13" t="n">
        <v>4363.2</v>
      </c>
      <c r="D917" s="12" t="s">
        <v>1941</v>
      </c>
      <c r="E917" s="12" t="s">
        <v>30</v>
      </c>
      <c r="F917" s="12" t="s">
        <v>454</v>
      </c>
      <c r="G917" s="12" t="s">
        <v>37</v>
      </c>
      <c r="H917" s="14" t="n">
        <v>46283</v>
      </c>
      <c r="I917" s="14" t="n">
        <v>46274</v>
      </c>
      <c r="J917" s="12" t="s">
        <v>33</v>
      </c>
    </row>
    <row r="918" customFormat="false" ht="15" hidden="false" customHeight="true" outlineLevel="0" collapsed="false">
      <c r="A918" s="12" t="s">
        <v>1942</v>
      </c>
      <c r="B918" s="13" t="n">
        <v>431.6</v>
      </c>
      <c r="C918" s="13" t="n">
        <v>400</v>
      </c>
      <c r="D918" s="12" t="s">
        <v>1943</v>
      </c>
      <c r="E918" s="12" t="s">
        <v>30</v>
      </c>
      <c r="F918" s="12" t="s">
        <v>462</v>
      </c>
      <c r="G918" s="12" t="s">
        <v>41</v>
      </c>
      <c r="H918" s="14" t="n">
        <v>46283</v>
      </c>
      <c r="I918" s="14" t="n">
        <v>46283</v>
      </c>
      <c r="J918" s="12" t="s">
        <v>33</v>
      </c>
    </row>
    <row r="919" customFormat="false" ht="15" hidden="false" customHeight="true" outlineLevel="0" collapsed="false">
      <c r="A919" s="12" t="s">
        <v>1944</v>
      </c>
      <c r="B919" s="13" t="n">
        <v>1913.351</v>
      </c>
      <c r="C919" s="13" t="n">
        <v>1786.8</v>
      </c>
      <c r="D919" s="12" t="s">
        <v>1945</v>
      </c>
      <c r="E919" s="12" t="s">
        <v>30</v>
      </c>
      <c r="F919" s="12" t="s">
        <v>1946</v>
      </c>
      <c r="G919" s="12" t="s">
        <v>37</v>
      </c>
      <c r="H919" s="14" t="n">
        <v>46283</v>
      </c>
      <c r="I919" s="14" t="n">
        <v>46274</v>
      </c>
      <c r="J919" s="12" t="s">
        <v>33</v>
      </c>
    </row>
    <row r="920" customFormat="false" ht="15" hidden="false" customHeight="true" outlineLevel="0" collapsed="false">
      <c r="A920" s="12" t="s">
        <v>1947</v>
      </c>
      <c r="B920" s="13" t="n">
        <v>445.66</v>
      </c>
      <c r="C920" s="13" t="n">
        <v>410.6</v>
      </c>
      <c r="D920" s="12" t="s">
        <v>1892</v>
      </c>
      <c r="E920" s="12" t="s">
        <v>30</v>
      </c>
      <c r="F920" s="12" t="s">
        <v>81</v>
      </c>
      <c r="G920" s="12" t="s">
        <v>41</v>
      </c>
      <c r="H920" s="14" t="n">
        <v>46283</v>
      </c>
      <c r="I920" s="14" t="n">
        <v>46279</v>
      </c>
      <c r="J920" s="12" t="s">
        <v>33</v>
      </c>
    </row>
    <row r="921" customFormat="false" ht="15" hidden="false" customHeight="true" outlineLevel="0" collapsed="false">
      <c r="A921" s="12" t="s">
        <v>1948</v>
      </c>
      <c r="B921" s="13" t="n">
        <v>325.54</v>
      </c>
      <c r="C921" s="13" t="n">
        <v>300.4</v>
      </c>
      <c r="D921" s="12" t="s">
        <v>1935</v>
      </c>
      <c r="E921" s="12" t="s">
        <v>30</v>
      </c>
      <c r="F921" s="12" t="s">
        <v>40</v>
      </c>
      <c r="G921" s="12" t="s">
        <v>41</v>
      </c>
      <c r="H921" s="14" t="n">
        <v>46283</v>
      </c>
      <c r="I921" s="14" t="n">
        <v>46279</v>
      </c>
      <c r="J921" s="12" t="s">
        <v>33</v>
      </c>
    </row>
    <row r="922" customFormat="false" ht="15" hidden="false" customHeight="true" outlineLevel="0" collapsed="false">
      <c r="A922" s="12" t="s">
        <v>1949</v>
      </c>
      <c r="B922" s="13" t="n">
        <v>52.407</v>
      </c>
      <c r="C922" s="13" t="n">
        <v>48.48</v>
      </c>
      <c r="D922" s="12" t="s">
        <v>1950</v>
      </c>
      <c r="E922" s="12" t="s">
        <v>30</v>
      </c>
      <c r="F922" s="12" t="s">
        <v>1596</v>
      </c>
      <c r="G922" s="12" t="s">
        <v>45</v>
      </c>
      <c r="H922" s="14" t="n">
        <v>46283</v>
      </c>
      <c r="I922" s="14" t="n">
        <v>46283</v>
      </c>
      <c r="J922" s="12" t="s">
        <v>33</v>
      </c>
    </row>
    <row r="923" customFormat="false" ht="15" hidden="false" customHeight="true" outlineLevel="0" collapsed="false">
      <c r="A923" s="12" t="s">
        <v>1951</v>
      </c>
      <c r="B923" s="13" t="n">
        <v>269.28</v>
      </c>
      <c r="C923" s="13" t="n">
        <v>244.8</v>
      </c>
      <c r="D923" s="12" t="s">
        <v>1945</v>
      </c>
      <c r="E923" s="12" t="s">
        <v>30</v>
      </c>
      <c r="F923" s="12" t="s">
        <v>1946</v>
      </c>
      <c r="G923" s="12" t="s">
        <v>37</v>
      </c>
      <c r="H923" s="14" t="n">
        <v>46283</v>
      </c>
      <c r="I923" s="14" t="n">
        <v>46283</v>
      </c>
      <c r="J923" s="12" t="s">
        <v>33</v>
      </c>
    </row>
    <row r="924" customFormat="false" ht="15" hidden="false" customHeight="true" outlineLevel="0" collapsed="false">
      <c r="A924" s="12" t="s">
        <v>1952</v>
      </c>
      <c r="B924" s="13" t="n">
        <v>273.963</v>
      </c>
      <c r="C924" s="13" t="n">
        <v>252.5</v>
      </c>
      <c r="D924" s="12" t="s">
        <v>1953</v>
      </c>
      <c r="E924" s="12" t="s">
        <v>30</v>
      </c>
      <c r="F924" s="12" t="s">
        <v>550</v>
      </c>
      <c r="G924" s="12" t="s">
        <v>41</v>
      </c>
      <c r="H924" s="14" t="n">
        <v>46283</v>
      </c>
      <c r="I924" s="14" t="n">
        <v>46279</v>
      </c>
      <c r="J924" s="12" t="s">
        <v>33</v>
      </c>
    </row>
    <row r="925" customFormat="false" ht="15" hidden="false" customHeight="true" outlineLevel="0" collapsed="false">
      <c r="A925" s="12" t="s">
        <v>1954</v>
      </c>
      <c r="B925" s="13" t="n">
        <v>3550.554</v>
      </c>
      <c r="C925" s="13" t="n">
        <v>3272.4</v>
      </c>
      <c r="D925" s="12" t="s">
        <v>1955</v>
      </c>
      <c r="E925" s="12" t="s">
        <v>30</v>
      </c>
      <c r="F925" s="12" t="s">
        <v>125</v>
      </c>
      <c r="G925" s="12" t="s">
        <v>37</v>
      </c>
      <c r="H925" s="14" t="n">
        <v>46283</v>
      </c>
      <c r="I925" s="14" t="n">
        <v>46283</v>
      </c>
      <c r="J925" s="12" t="s">
        <v>33</v>
      </c>
    </row>
    <row r="926" customFormat="false" ht="15" hidden="false" customHeight="true" outlineLevel="0" collapsed="false">
      <c r="A926" s="12" t="s">
        <v>1956</v>
      </c>
      <c r="B926" s="13" t="n">
        <v>576.379</v>
      </c>
      <c r="C926" s="13" t="n">
        <v>532.68</v>
      </c>
      <c r="D926" s="12" t="s">
        <v>1957</v>
      </c>
      <c r="E926" s="12" t="s">
        <v>30</v>
      </c>
      <c r="F926" s="12" t="s">
        <v>1572</v>
      </c>
      <c r="G926" s="12" t="s">
        <v>37</v>
      </c>
      <c r="H926" s="14" t="n">
        <v>46283</v>
      </c>
      <c r="I926" s="14" t="n">
        <v>46283</v>
      </c>
      <c r="J926" s="12" t="s">
        <v>33</v>
      </c>
    </row>
    <row r="927" customFormat="false" ht="15" hidden="false" customHeight="true" outlineLevel="0" collapsed="false">
      <c r="A927" s="12" t="s">
        <v>1958</v>
      </c>
      <c r="B927" s="13" t="n">
        <v>9.86</v>
      </c>
      <c r="C927" s="13" t="n">
        <v>8</v>
      </c>
      <c r="D927" s="12" t="s">
        <v>1959</v>
      </c>
      <c r="E927" s="12" t="s">
        <v>30</v>
      </c>
      <c r="F927" s="12" t="s">
        <v>1960</v>
      </c>
      <c r="G927" s="12" t="s">
        <v>37</v>
      </c>
      <c r="H927" s="14" t="n">
        <v>46283</v>
      </c>
      <c r="I927" s="14" t="n">
        <v>46283</v>
      </c>
      <c r="J927" s="12" t="s">
        <v>33</v>
      </c>
    </row>
    <row r="928" customFormat="false" ht="15" hidden="false" customHeight="true" outlineLevel="0" collapsed="false">
      <c r="A928" s="12" t="s">
        <v>1961</v>
      </c>
      <c r="B928" s="13" t="n">
        <v>273.963</v>
      </c>
      <c r="C928" s="13" t="n">
        <v>252.5</v>
      </c>
      <c r="D928" s="12" t="s">
        <v>1962</v>
      </c>
      <c r="E928" s="12" t="s">
        <v>30</v>
      </c>
      <c r="F928" s="12" t="s">
        <v>1963</v>
      </c>
      <c r="G928" s="12" t="s">
        <v>37</v>
      </c>
      <c r="H928" s="14" t="n">
        <v>46283</v>
      </c>
      <c r="I928" s="14" t="n">
        <v>46283</v>
      </c>
      <c r="J928" s="12" t="s">
        <v>33</v>
      </c>
    </row>
    <row r="929" customFormat="false" ht="15" hidden="false" customHeight="true" outlineLevel="0" collapsed="false">
      <c r="A929" s="12" t="s">
        <v>1964</v>
      </c>
      <c r="B929" s="13" t="n">
        <v>273.103</v>
      </c>
      <c r="C929" s="13" t="n">
        <v>252.9</v>
      </c>
      <c r="D929" s="12" t="s">
        <v>1909</v>
      </c>
      <c r="E929" s="12" t="s">
        <v>30</v>
      </c>
      <c r="F929" s="12" t="s">
        <v>485</v>
      </c>
      <c r="G929" s="12" t="s">
        <v>37</v>
      </c>
      <c r="H929" s="14" t="n">
        <v>46283</v>
      </c>
      <c r="I929" s="14" t="n">
        <v>46283</v>
      </c>
      <c r="J929" s="12" t="s">
        <v>33</v>
      </c>
    </row>
    <row r="930" customFormat="false" ht="15" hidden="false" customHeight="true" outlineLevel="0" collapsed="false">
      <c r="A930" s="12" t="s">
        <v>1965</v>
      </c>
      <c r="B930" s="13" t="n">
        <v>116.766</v>
      </c>
      <c r="C930" s="13" t="n">
        <v>111.1</v>
      </c>
      <c r="D930" s="12" t="s">
        <v>1966</v>
      </c>
      <c r="E930" s="12" t="s">
        <v>30</v>
      </c>
      <c r="F930" s="12" t="s">
        <v>1963</v>
      </c>
      <c r="G930" s="12" t="s">
        <v>37</v>
      </c>
      <c r="H930" s="14" t="n">
        <v>46283</v>
      </c>
      <c r="I930" s="14" t="n">
        <v>46283</v>
      </c>
      <c r="J930" s="12" t="s">
        <v>33</v>
      </c>
    </row>
    <row r="931" customFormat="false" ht="15" hidden="false" customHeight="true" outlineLevel="0" collapsed="false">
      <c r="A931" s="12" t="s">
        <v>1967</v>
      </c>
      <c r="B931" s="13" t="n">
        <v>141.827</v>
      </c>
      <c r="C931" s="13" t="n">
        <v>131.2</v>
      </c>
      <c r="D931" s="12" t="s">
        <v>458</v>
      </c>
      <c r="E931" s="12" t="s">
        <v>30</v>
      </c>
      <c r="F931" s="12" t="s">
        <v>459</v>
      </c>
      <c r="G931" s="12" t="s">
        <v>45</v>
      </c>
      <c r="H931" s="14" t="n">
        <v>46283</v>
      </c>
      <c r="I931" s="14" t="n">
        <v>46283</v>
      </c>
      <c r="J931" s="12" t="s">
        <v>33</v>
      </c>
    </row>
    <row r="932" customFormat="false" ht="15" hidden="false" customHeight="true" outlineLevel="0" collapsed="false">
      <c r="A932" s="12" t="s">
        <v>1968</v>
      </c>
      <c r="B932" s="13" t="n">
        <v>1548.325</v>
      </c>
      <c r="C932" s="13" t="n">
        <v>1413.9</v>
      </c>
      <c r="D932" s="12" t="s">
        <v>1969</v>
      </c>
      <c r="E932" s="12" t="s">
        <v>30</v>
      </c>
      <c r="F932" s="12" t="s">
        <v>40</v>
      </c>
      <c r="G932" s="12" t="s">
        <v>41</v>
      </c>
      <c r="H932" s="14" t="n">
        <v>46283</v>
      </c>
      <c r="I932" s="14" t="n">
        <v>46279</v>
      </c>
      <c r="J932" s="12" t="s">
        <v>33</v>
      </c>
    </row>
    <row r="933" customFormat="false" ht="15" hidden="false" customHeight="true" outlineLevel="0" collapsed="false">
      <c r="A933" s="12" t="s">
        <v>1970</v>
      </c>
      <c r="B933" s="13" t="n">
        <v>34.315</v>
      </c>
      <c r="C933" s="13" t="n">
        <v>30.1</v>
      </c>
      <c r="D933" s="12" t="s">
        <v>1971</v>
      </c>
      <c r="E933" s="12" t="s">
        <v>30</v>
      </c>
      <c r="F933" s="12" t="s">
        <v>1481</v>
      </c>
      <c r="G933" s="12" t="s">
        <v>45</v>
      </c>
      <c r="H933" s="14" t="n">
        <v>46283</v>
      </c>
      <c r="I933" s="14" t="n">
        <v>46283</v>
      </c>
      <c r="J933" s="12" t="s">
        <v>33</v>
      </c>
    </row>
    <row r="934" customFormat="false" ht="15" hidden="false" customHeight="true" outlineLevel="0" collapsed="false">
      <c r="A934" s="12" t="s">
        <v>1972</v>
      </c>
      <c r="B934" s="13" t="n">
        <v>1165.072</v>
      </c>
      <c r="C934" s="13" t="n">
        <v>1075.12</v>
      </c>
      <c r="D934" s="12" t="s">
        <v>1973</v>
      </c>
      <c r="E934" s="12" t="s">
        <v>30</v>
      </c>
      <c r="F934" s="12" t="s">
        <v>462</v>
      </c>
      <c r="G934" s="12" t="s">
        <v>41</v>
      </c>
      <c r="H934" s="14" t="n">
        <v>46283</v>
      </c>
      <c r="I934" s="14" t="n">
        <v>46279</v>
      </c>
      <c r="J934" s="12" t="s">
        <v>33</v>
      </c>
    </row>
    <row r="935" customFormat="false" ht="15" hidden="false" customHeight="true" outlineLevel="0" collapsed="false">
      <c r="A935" s="12" t="s">
        <v>1974</v>
      </c>
      <c r="B935" s="13" t="n">
        <v>328.77</v>
      </c>
      <c r="C935" s="13" t="n">
        <v>303</v>
      </c>
      <c r="D935" s="12" t="s">
        <v>1924</v>
      </c>
      <c r="E935" s="12" t="s">
        <v>30</v>
      </c>
      <c r="F935" s="12" t="s">
        <v>98</v>
      </c>
      <c r="G935" s="12" t="s">
        <v>37</v>
      </c>
      <c r="H935" s="14" t="n">
        <v>46283</v>
      </c>
      <c r="I935" s="14" t="n">
        <v>46283</v>
      </c>
      <c r="J935" s="12" t="s">
        <v>33</v>
      </c>
    </row>
    <row r="936" customFormat="false" ht="15" hidden="false" customHeight="true" outlineLevel="0" collapsed="false">
      <c r="A936" s="12" t="s">
        <v>1975</v>
      </c>
      <c r="B936" s="13" t="n">
        <v>1547.964</v>
      </c>
      <c r="C936" s="13" t="n">
        <v>1445.46</v>
      </c>
      <c r="D936" s="12" t="s">
        <v>1930</v>
      </c>
      <c r="E936" s="12" t="s">
        <v>30</v>
      </c>
      <c r="F936" s="12" t="s">
        <v>40</v>
      </c>
      <c r="G936" s="12" t="s">
        <v>41</v>
      </c>
      <c r="H936" s="14" t="n">
        <v>46283</v>
      </c>
      <c r="I936" s="14" t="n">
        <v>46279</v>
      </c>
      <c r="J936" s="12" t="s">
        <v>33</v>
      </c>
    </row>
    <row r="937" customFormat="false" ht="15" hidden="false" customHeight="true" outlineLevel="0" collapsed="false">
      <c r="A937" s="12" t="s">
        <v>1976</v>
      </c>
      <c r="B937" s="13" t="n">
        <v>1085.291</v>
      </c>
      <c r="C937" s="13" t="n">
        <v>1005.86</v>
      </c>
      <c r="D937" s="12" t="s">
        <v>1977</v>
      </c>
      <c r="E937" s="12" t="s">
        <v>30</v>
      </c>
      <c r="F937" s="12" t="s">
        <v>95</v>
      </c>
      <c r="G937" s="12" t="s">
        <v>41</v>
      </c>
      <c r="H937" s="14" t="n">
        <v>46283</v>
      </c>
      <c r="I937" s="14" t="n">
        <v>46279</v>
      </c>
      <c r="J937" s="12" t="s">
        <v>33</v>
      </c>
    </row>
    <row r="938" customFormat="false" ht="15" hidden="false" customHeight="true" outlineLevel="0" collapsed="false">
      <c r="A938" s="12" t="s">
        <v>1978</v>
      </c>
      <c r="B938" s="13" t="n">
        <v>57.08</v>
      </c>
      <c r="C938" s="13" t="n">
        <v>51.36</v>
      </c>
      <c r="D938" s="12" t="s">
        <v>1979</v>
      </c>
      <c r="E938" s="12" t="s">
        <v>30</v>
      </c>
      <c r="F938" s="12" t="s">
        <v>454</v>
      </c>
      <c r="G938" s="12" t="s">
        <v>37</v>
      </c>
      <c r="H938" s="14" t="n">
        <v>46283</v>
      </c>
      <c r="I938" s="14" t="n">
        <v>46283</v>
      </c>
      <c r="J938" s="12" t="s">
        <v>33</v>
      </c>
    </row>
    <row r="939" customFormat="false" ht="15" hidden="false" customHeight="true" outlineLevel="0" collapsed="false">
      <c r="A939" s="12" t="s">
        <v>1980</v>
      </c>
      <c r="B939" s="13" t="n">
        <v>49.62</v>
      </c>
      <c r="C939" s="13" t="n">
        <v>45.3</v>
      </c>
      <c r="D939" s="12" t="s">
        <v>1981</v>
      </c>
      <c r="E939" s="12" t="s">
        <v>30</v>
      </c>
      <c r="F939" s="12" t="s">
        <v>69</v>
      </c>
      <c r="G939" s="12" t="s">
        <v>37</v>
      </c>
      <c r="H939" s="14" t="n">
        <v>46283</v>
      </c>
      <c r="I939" s="14" t="n">
        <v>46283</v>
      </c>
      <c r="J939" s="12" t="s">
        <v>33</v>
      </c>
    </row>
    <row r="940" customFormat="false" ht="15" hidden="false" customHeight="true" outlineLevel="0" collapsed="false">
      <c r="A940" s="12" t="s">
        <v>1982</v>
      </c>
      <c r="B940" s="13" t="n">
        <v>533.25</v>
      </c>
      <c r="C940" s="13" t="n">
        <v>450</v>
      </c>
      <c r="D940" s="12" t="s">
        <v>1915</v>
      </c>
      <c r="E940" s="12" t="s">
        <v>30</v>
      </c>
      <c r="F940" s="12" t="s">
        <v>1916</v>
      </c>
      <c r="G940" s="12" t="s">
        <v>37</v>
      </c>
      <c r="H940" s="14" t="n">
        <v>46283</v>
      </c>
      <c r="I940" s="14" t="n">
        <v>46283</v>
      </c>
      <c r="J940" s="12" t="s">
        <v>33</v>
      </c>
    </row>
    <row r="941" customFormat="false" ht="15" hidden="false" customHeight="true" outlineLevel="0" collapsed="false">
      <c r="A941" s="12" t="s">
        <v>1983</v>
      </c>
      <c r="B941" s="13" t="n">
        <v>59.25</v>
      </c>
      <c r="C941" s="13" t="n">
        <v>50</v>
      </c>
      <c r="D941" s="12" t="s">
        <v>1935</v>
      </c>
      <c r="E941" s="12" t="s">
        <v>30</v>
      </c>
      <c r="F941" s="12" t="s">
        <v>40</v>
      </c>
      <c r="G941" s="12" t="s">
        <v>41</v>
      </c>
      <c r="H941" s="14" t="n">
        <v>46283</v>
      </c>
      <c r="I941" s="14" t="n">
        <v>46279</v>
      </c>
      <c r="J941" s="12" t="s">
        <v>33</v>
      </c>
    </row>
    <row r="942" customFormat="false" ht="15" hidden="false" customHeight="true" outlineLevel="0" collapsed="false">
      <c r="A942" s="12" t="s">
        <v>1984</v>
      </c>
      <c r="B942" s="13" t="n">
        <v>109.585</v>
      </c>
      <c r="C942" s="13" t="n">
        <v>101</v>
      </c>
      <c r="D942" s="12" t="s">
        <v>1953</v>
      </c>
      <c r="E942" s="12" t="s">
        <v>30</v>
      </c>
      <c r="F942" s="12" t="s">
        <v>550</v>
      </c>
      <c r="G942" s="12" t="s">
        <v>41</v>
      </c>
      <c r="H942" s="14" t="n">
        <v>46283</v>
      </c>
      <c r="I942" s="14" t="n">
        <v>46279</v>
      </c>
      <c r="J942" s="12" t="s">
        <v>33</v>
      </c>
    </row>
    <row r="943" customFormat="false" ht="15" hidden="false" customHeight="true" outlineLevel="0" collapsed="false">
      <c r="A943" s="12" t="s">
        <v>1985</v>
      </c>
      <c r="B943" s="13" t="n">
        <v>8284.626</v>
      </c>
      <c r="C943" s="13" t="n">
        <v>7635.6</v>
      </c>
      <c r="D943" s="12" t="s">
        <v>1945</v>
      </c>
      <c r="E943" s="12" t="s">
        <v>30</v>
      </c>
      <c r="F943" s="12" t="s">
        <v>1946</v>
      </c>
      <c r="G943" s="12" t="s">
        <v>37</v>
      </c>
      <c r="H943" s="14" t="n">
        <v>46283</v>
      </c>
      <c r="I943" s="14" t="n">
        <v>46283</v>
      </c>
      <c r="J943" s="12" t="s">
        <v>33</v>
      </c>
    </row>
    <row r="944" customFormat="false" ht="15" hidden="false" customHeight="true" outlineLevel="0" collapsed="false">
      <c r="A944" s="12" t="s">
        <v>1986</v>
      </c>
      <c r="B944" s="13" t="n">
        <v>649.56</v>
      </c>
      <c r="C944" s="13" t="n">
        <v>630</v>
      </c>
      <c r="D944" s="12" t="s">
        <v>1915</v>
      </c>
      <c r="E944" s="12" t="s">
        <v>30</v>
      </c>
      <c r="F944" s="12" t="s">
        <v>1916</v>
      </c>
      <c r="G944" s="12" t="s">
        <v>37</v>
      </c>
      <c r="H944" s="14" t="n">
        <v>46283</v>
      </c>
      <c r="I944" s="14" t="n">
        <v>46283</v>
      </c>
      <c r="J944" s="12" t="s">
        <v>33</v>
      </c>
    </row>
    <row r="945" customFormat="false" ht="15" hidden="false" customHeight="true" outlineLevel="0" collapsed="false">
      <c r="A945" s="12" t="s">
        <v>1987</v>
      </c>
      <c r="B945" s="13" t="n">
        <v>112.506</v>
      </c>
      <c r="C945" s="13" t="n">
        <v>102</v>
      </c>
      <c r="D945" s="12" t="s">
        <v>1988</v>
      </c>
      <c r="E945" s="12" t="s">
        <v>30</v>
      </c>
      <c r="F945" s="12" t="s">
        <v>125</v>
      </c>
      <c r="G945" s="12" t="s">
        <v>37</v>
      </c>
      <c r="H945" s="14" t="n">
        <v>46283</v>
      </c>
      <c r="I945" s="14" t="n">
        <v>46283</v>
      </c>
      <c r="J945" s="12" t="s">
        <v>33</v>
      </c>
    </row>
    <row r="946" customFormat="false" ht="15" hidden="false" customHeight="true" outlineLevel="0" collapsed="false">
      <c r="A946" s="12" t="s">
        <v>1989</v>
      </c>
      <c r="B946" s="13" t="n">
        <v>2986.394</v>
      </c>
      <c r="C946" s="13" t="n">
        <v>2781.1</v>
      </c>
      <c r="D946" s="12" t="s">
        <v>1915</v>
      </c>
      <c r="E946" s="12" t="s">
        <v>30</v>
      </c>
      <c r="F946" s="12" t="s">
        <v>1916</v>
      </c>
      <c r="G946" s="12" t="s">
        <v>37</v>
      </c>
      <c r="H946" s="14" t="n">
        <v>46283</v>
      </c>
      <c r="I946" s="14" t="n">
        <v>46283</v>
      </c>
      <c r="J946" s="12" t="s">
        <v>33</v>
      </c>
    </row>
    <row r="947" customFormat="false" ht="15" hidden="false" customHeight="true" outlineLevel="0" collapsed="false">
      <c r="A947" s="12" t="s">
        <v>1990</v>
      </c>
      <c r="B947" s="13" t="n">
        <v>1070</v>
      </c>
      <c r="C947" s="13" t="n">
        <v>1000</v>
      </c>
      <c r="D947" s="12" t="s">
        <v>1991</v>
      </c>
      <c r="E947" s="12" t="s">
        <v>30</v>
      </c>
      <c r="F947" s="12" t="s">
        <v>66</v>
      </c>
      <c r="G947" s="12" t="s">
        <v>37</v>
      </c>
      <c r="H947" s="14" t="n">
        <v>46283</v>
      </c>
      <c r="I947" s="14" t="n">
        <v>46283</v>
      </c>
      <c r="J947" s="12" t="s">
        <v>33</v>
      </c>
    </row>
    <row r="948" customFormat="false" ht="15" hidden="false" customHeight="true" outlineLevel="0" collapsed="false">
      <c r="A948" s="12" t="s">
        <v>1992</v>
      </c>
      <c r="B948" s="13" t="n">
        <v>170.303</v>
      </c>
      <c r="C948" s="13" t="n">
        <v>156.5</v>
      </c>
      <c r="D948" s="12" t="s">
        <v>1993</v>
      </c>
      <c r="E948" s="12" t="s">
        <v>30</v>
      </c>
      <c r="F948" s="12" t="s">
        <v>40</v>
      </c>
      <c r="G948" s="12" t="s">
        <v>41</v>
      </c>
      <c r="H948" s="14" t="n">
        <v>46283</v>
      </c>
      <c r="I948" s="14" t="n">
        <v>46283</v>
      </c>
      <c r="J948" s="12" t="s">
        <v>33</v>
      </c>
    </row>
    <row r="949" customFormat="false" ht="15" hidden="false" customHeight="true" outlineLevel="0" collapsed="false">
      <c r="A949" s="12" t="s">
        <v>1994</v>
      </c>
      <c r="B949" s="13" t="n">
        <v>106.65</v>
      </c>
      <c r="C949" s="13" t="n">
        <v>90</v>
      </c>
      <c r="D949" s="12" t="s">
        <v>1909</v>
      </c>
      <c r="E949" s="12" t="s">
        <v>30</v>
      </c>
      <c r="F949" s="12" t="s">
        <v>485</v>
      </c>
      <c r="G949" s="12" t="s">
        <v>37</v>
      </c>
      <c r="H949" s="14" t="n">
        <v>46283</v>
      </c>
      <c r="I949" s="14" t="n">
        <v>46283</v>
      </c>
      <c r="J949" s="12" t="s">
        <v>33</v>
      </c>
    </row>
    <row r="950" customFormat="false" ht="15" hidden="false" customHeight="true" outlineLevel="0" collapsed="false">
      <c r="A950" s="12" t="s">
        <v>1995</v>
      </c>
      <c r="B950" s="13" t="n">
        <v>262.034</v>
      </c>
      <c r="C950" s="13" t="n">
        <v>242.4</v>
      </c>
      <c r="D950" s="12" t="s">
        <v>1996</v>
      </c>
      <c r="E950" s="12" t="s">
        <v>30</v>
      </c>
      <c r="F950" s="12" t="s">
        <v>448</v>
      </c>
      <c r="G950" s="12" t="s">
        <v>45</v>
      </c>
      <c r="H950" s="14" t="n">
        <v>46283</v>
      </c>
      <c r="I950" s="14" t="n">
        <v>46284</v>
      </c>
      <c r="J950" s="12" t="s">
        <v>33</v>
      </c>
    </row>
    <row r="951" customFormat="false" ht="15" hidden="false" customHeight="true" outlineLevel="0" collapsed="false">
      <c r="A951" s="12" t="s">
        <v>1997</v>
      </c>
      <c r="B951" s="13" t="n">
        <v>300.088</v>
      </c>
      <c r="C951" s="13" t="n">
        <v>276.64</v>
      </c>
      <c r="D951" s="12" t="s">
        <v>1998</v>
      </c>
      <c r="E951" s="12" t="s">
        <v>30</v>
      </c>
      <c r="F951" s="12" t="s">
        <v>72</v>
      </c>
      <c r="G951" s="12" t="s">
        <v>41</v>
      </c>
      <c r="H951" s="14" t="n">
        <v>46283</v>
      </c>
      <c r="I951" s="14" t="n">
        <v>46284</v>
      </c>
      <c r="J951" s="12" t="s">
        <v>33</v>
      </c>
    </row>
    <row r="952" customFormat="false" ht="15" hidden="false" customHeight="true" outlineLevel="0" collapsed="false">
      <c r="A952" s="12" t="s">
        <v>1999</v>
      </c>
      <c r="B952" s="13" t="n">
        <v>26.597</v>
      </c>
      <c r="C952" s="13" t="n">
        <v>23.72</v>
      </c>
      <c r="D952" s="12" t="s">
        <v>2000</v>
      </c>
      <c r="E952" s="12" t="s">
        <v>30</v>
      </c>
      <c r="F952" s="12" t="s">
        <v>2001</v>
      </c>
      <c r="G952" s="12" t="s">
        <v>45</v>
      </c>
      <c r="H952" s="14" t="n">
        <v>46283</v>
      </c>
      <c r="I952" s="14" t="n">
        <v>46283</v>
      </c>
      <c r="J952" s="12" t="s">
        <v>33</v>
      </c>
    </row>
    <row r="953" customFormat="false" ht="15" hidden="false" customHeight="true" outlineLevel="0" collapsed="false">
      <c r="A953" s="12" t="s">
        <v>2002</v>
      </c>
      <c r="B953" s="13" t="n">
        <v>91.712</v>
      </c>
      <c r="C953" s="13" t="n">
        <v>84.84</v>
      </c>
      <c r="D953" s="12" t="s">
        <v>1492</v>
      </c>
      <c r="E953" s="12" t="s">
        <v>30</v>
      </c>
      <c r="F953" s="12" t="s">
        <v>1493</v>
      </c>
      <c r="G953" s="12" t="s">
        <v>41</v>
      </c>
      <c r="H953" s="14" t="n">
        <v>46283</v>
      </c>
      <c r="I953" s="14" t="n">
        <v>46284</v>
      </c>
      <c r="J953" s="12" t="s">
        <v>33</v>
      </c>
    </row>
    <row r="954" customFormat="false" ht="15" hidden="false" customHeight="true" outlineLevel="0" collapsed="false">
      <c r="A954" s="12" t="s">
        <v>2003</v>
      </c>
      <c r="B954" s="13" t="n">
        <v>125.879</v>
      </c>
      <c r="C954" s="13" t="n">
        <v>115.16</v>
      </c>
      <c r="D954" s="12" t="s">
        <v>2004</v>
      </c>
      <c r="E954" s="12" t="s">
        <v>30</v>
      </c>
      <c r="F954" s="12" t="s">
        <v>40</v>
      </c>
      <c r="G954" s="12" t="s">
        <v>41</v>
      </c>
      <c r="H954" s="14" t="n">
        <v>46283</v>
      </c>
      <c r="I954" s="14" t="n">
        <v>46284</v>
      </c>
      <c r="J954" s="12" t="s">
        <v>33</v>
      </c>
    </row>
    <row r="955" customFormat="false" ht="15" hidden="false" customHeight="true" outlineLevel="0" collapsed="false">
      <c r="A955" s="12" t="s">
        <v>2005</v>
      </c>
      <c r="B955" s="13" t="n">
        <v>112.942</v>
      </c>
      <c r="C955" s="13" t="n">
        <v>105.04</v>
      </c>
      <c r="D955" s="12" t="s">
        <v>2006</v>
      </c>
      <c r="E955" s="12" t="s">
        <v>30</v>
      </c>
      <c r="F955" s="12" t="s">
        <v>2007</v>
      </c>
      <c r="G955" s="12" t="s">
        <v>45</v>
      </c>
      <c r="H955" s="14" t="n">
        <v>46283</v>
      </c>
      <c r="I955" s="14" t="n">
        <v>46283</v>
      </c>
      <c r="J955" s="12" t="s">
        <v>33</v>
      </c>
    </row>
    <row r="956" customFormat="false" ht="15" hidden="false" customHeight="true" outlineLevel="0" collapsed="false">
      <c r="A956" s="12" t="s">
        <v>2008</v>
      </c>
      <c r="B956" s="13" t="n">
        <v>42.82</v>
      </c>
      <c r="C956" s="13" t="n">
        <v>40</v>
      </c>
      <c r="D956" s="12" t="s">
        <v>2009</v>
      </c>
      <c r="E956" s="12" t="s">
        <v>30</v>
      </c>
      <c r="F956" s="12" t="s">
        <v>239</v>
      </c>
      <c r="G956" s="12" t="s">
        <v>240</v>
      </c>
      <c r="H956" s="14" t="n">
        <v>46283</v>
      </c>
      <c r="I956" s="14" t="n">
        <v>46283</v>
      </c>
      <c r="J956" s="12" t="s">
        <v>254</v>
      </c>
    </row>
    <row r="957" customFormat="false" ht="15" hidden="false" customHeight="true" outlineLevel="0" collapsed="false">
      <c r="A957" s="12" t="s">
        <v>2010</v>
      </c>
      <c r="B957" s="13" t="n">
        <v>74.527</v>
      </c>
      <c r="C957" s="13" t="n">
        <v>70.1</v>
      </c>
      <c r="D957" s="12" t="s">
        <v>2011</v>
      </c>
      <c r="E957" s="12" t="s">
        <v>30</v>
      </c>
      <c r="F957" s="12" t="s">
        <v>239</v>
      </c>
      <c r="G957" s="12" t="s">
        <v>240</v>
      </c>
      <c r="H957" s="14" t="n">
        <v>46283</v>
      </c>
      <c r="I957" s="14" t="n">
        <v>46283</v>
      </c>
      <c r="J957" s="12" t="s">
        <v>254</v>
      </c>
    </row>
    <row r="958" customFormat="false" ht="15" hidden="false" customHeight="true" outlineLevel="0" collapsed="false">
      <c r="A958" s="12" t="s">
        <v>2012</v>
      </c>
      <c r="B958" s="13" t="n">
        <v>65.509</v>
      </c>
      <c r="C958" s="13" t="n">
        <v>60.6</v>
      </c>
      <c r="D958" s="12" t="s">
        <v>265</v>
      </c>
      <c r="E958" s="12" t="s">
        <v>30</v>
      </c>
      <c r="F958" s="12" t="s">
        <v>239</v>
      </c>
      <c r="G958" s="12" t="s">
        <v>240</v>
      </c>
      <c r="H958" s="14" t="n">
        <v>46283</v>
      </c>
      <c r="I958" s="14" t="n">
        <v>46283</v>
      </c>
      <c r="J958" s="12" t="s">
        <v>254</v>
      </c>
    </row>
    <row r="959" customFormat="false" ht="15" hidden="false" customHeight="true" outlineLevel="0" collapsed="false">
      <c r="A959" s="12" t="s">
        <v>2013</v>
      </c>
      <c r="B959" s="13" t="n">
        <v>129.48</v>
      </c>
      <c r="C959" s="13" t="n">
        <v>120</v>
      </c>
      <c r="D959" s="12" t="s">
        <v>2014</v>
      </c>
      <c r="E959" s="12" t="s">
        <v>30</v>
      </c>
      <c r="F959" s="12" t="s">
        <v>239</v>
      </c>
      <c r="G959" s="12" t="s">
        <v>240</v>
      </c>
      <c r="H959" s="14" t="n">
        <v>46283</v>
      </c>
      <c r="I959" s="14" t="n">
        <v>46283</v>
      </c>
      <c r="J959" s="12" t="s">
        <v>254</v>
      </c>
    </row>
    <row r="960" customFormat="false" ht="15" hidden="false" customHeight="true" outlineLevel="0" collapsed="false">
      <c r="A960" s="12" t="s">
        <v>2015</v>
      </c>
      <c r="B960" s="13" t="n">
        <v>225.012</v>
      </c>
      <c r="C960" s="13" t="n">
        <v>204</v>
      </c>
      <c r="D960" s="12" t="s">
        <v>2016</v>
      </c>
      <c r="E960" s="12" t="s">
        <v>30</v>
      </c>
      <c r="F960" s="12" t="s">
        <v>724</v>
      </c>
      <c r="G960" s="12" t="s">
        <v>240</v>
      </c>
      <c r="H960" s="14" t="n">
        <v>46283</v>
      </c>
      <c r="I960" s="14" t="n">
        <v>46283</v>
      </c>
      <c r="J960" s="12" t="s">
        <v>254</v>
      </c>
    </row>
    <row r="961" customFormat="false" ht="15" hidden="false" customHeight="true" outlineLevel="0" collapsed="false">
      <c r="A961" s="12" t="s">
        <v>2017</v>
      </c>
      <c r="B961" s="13" t="n">
        <v>6.618</v>
      </c>
      <c r="C961" s="13" t="n">
        <v>6</v>
      </c>
      <c r="D961" s="12" t="s">
        <v>1001</v>
      </c>
      <c r="E961" s="12" t="s">
        <v>30</v>
      </c>
      <c r="F961" s="12" t="s">
        <v>239</v>
      </c>
      <c r="G961" s="12" t="s">
        <v>240</v>
      </c>
      <c r="H961" s="14" t="n">
        <v>46283</v>
      </c>
      <c r="I961" s="14" t="n">
        <v>46283</v>
      </c>
      <c r="J961" s="12" t="s">
        <v>254</v>
      </c>
    </row>
    <row r="962" customFormat="false" ht="15" hidden="false" customHeight="true" outlineLevel="0" collapsed="false">
      <c r="A962" s="12" t="s">
        <v>2018</v>
      </c>
      <c r="B962" s="13" t="n">
        <v>144.035</v>
      </c>
      <c r="C962" s="13" t="n">
        <v>127.3</v>
      </c>
      <c r="D962" s="12" t="s">
        <v>2019</v>
      </c>
      <c r="E962" s="12" t="s">
        <v>30</v>
      </c>
      <c r="F962" s="12" t="s">
        <v>239</v>
      </c>
      <c r="G962" s="12" t="s">
        <v>240</v>
      </c>
      <c r="H962" s="14" t="n">
        <v>46283</v>
      </c>
      <c r="I962" s="14" t="n">
        <v>46283</v>
      </c>
      <c r="J962" s="12" t="s">
        <v>254</v>
      </c>
    </row>
    <row r="963" customFormat="false" ht="15" hidden="false" customHeight="true" outlineLevel="0" collapsed="false">
      <c r="A963" s="12" t="s">
        <v>2020</v>
      </c>
      <c r="B963" s="13" t="n">
        <v>13.236</v>
      </c>
      <c r="C963" s="13" t="n">
        <v>12</v>
      </c>
      <c r="D963" s="12" t="s">
        <v>242</v>
      </c>
      <c r="E963" s="12" t="s">
        <v>30</v>
      </c>
      <c r="F963" s="12" t="s">
        <v>243</v>
      </c>
      <c r="G963" s="12" t="s">
        <v>240</v>
      </c>
      <c r="H963" s="14" t="n">
        <v>46283</v>
      </c>
      <c r="I963" s="14" t="n">
        <v>46283</v>
      </c>
      <c r="J963" s="12" t="s">
        <v>254</v>
      </c>
    </row>
    <row r="964" customFormat="false" ht="15" hidden="false" customHeight="true" outlineLevel="0" collapsed="false">
      <c r="A964" s="12" t="s">
        <v>2021</v>
      </c>
      <c r="B964" s="13" t="n">
        <v>21.24</v>
      </c>
      <c r="C964" s="13" t="n">
        <v>20</v>
      </c>
      <c r="D964" s="12" t="s">
        <v>1097</v>
      </c>
      <c r="E964" s="12" t="s">
        <v>30</v>
      </c>
      <c r="F964" s="12" t="s">
        <v>862</v>
      </c>
      <c r="G964" s="12" t="s">
        <v>240</v>
      </c>
      <c r="H964" s="14" t="n">
        <v>46283</v>
      </c>
      <c r="I964" s="14" t="n">
        <v>46283</v>
      </c>
      <c r="J964" s="12" t="s">
        <v>254</v>
      </c>
    </row>
    <row r="965" customFormat="false" ht="15" hidden="false" customHeight="true" outlineLevel="0" collapsed="false">
      <c r="A965" s="12" t="s">
        <v>2022</v>
      </c>
      <c r="B965" s="13" t="n">
        <v>42.48</v>
      </c>
      <c r="C965" s="13" t="n">
        <v>40</v>
      </c>
      <c r="D965" s="12" t="s">
        <v>1111</v>
      </c>
      <c r="E965" s="12" t="s">
        <v>30</v>
      </c>
      <c r="F965" s="12" t="s">
        <v>239</v>
      </c>
      <c r="G965" s="12" t="s">
        <v>240</v>
      </c>
      <c r="H965" s="14" t="n">
        <v>46283</v>
      </c>
      <c r="I965" s="14" t="n">
        <v>46283</v>
      </c>
      <c r="J965" s="12" t="s">
        <v>254</v>
      </c>
    </row>
    <row r="966" customFormat="false" ht="15" hidden="false" customHeight="true" outlineLevel="0" collapsed="false">
      <c r="A966" s="12" t="s">
        <v>2023</v>
      </c>
      <c r="B966" s="13" t="n">
        <v>224.7</v>
      </c>
      <c r="C966" s="13" t="n">
        <v>210</v>
      </c>
      <c r="D966" s="12" t="s">
        <v>1886</v>
      </c>
      <c r="E966" s="12" t="s">
        <v>30</v>
      </c>
      <c r="F966" s="12" t="s">
        <v>243</v>
      </c>
      <c r="G966" s="12" t="s">
        <v>240</v>
      </c>
      <c r="H966" s="14" t="n">
        <v>46283</v>
      </c>
      <c r="I966" s="14" t="n">
        <v>46283</v>
      </c>
      <c r="J966" s="12" t="s">
        <v>254</v>
      </c>
    </row>
    <row r="967" customFormat="false" ht="15" hidden="false" customHeight="true" outlineLevel="0" collapsed="false">
      <c r="A967" s="12" t="s">
        <v>2024</v>
      </c>
      <c r="B967" s="13" t="n">
        <v>128.4</v>
      </c>
      <c r="C967" s="13" t="n">
        <v>120</v>
      </c>
      <c r="D967" s="12" t="s">
        <v>2025</v>
      </c>
      <c r="E967" s="12" t="s">
        <v>30</v>
      </c>
      <c r="F967" s="12" t="s">
        <v>697</v>
      </c>
      <c r="G967" s="12" t="s">
        <v>240</v>
      </c>
      <c r="H967" s="14" t="n">
        <v>46283</v>
      </c>
      <c r="I967" s="14" t="n">
        <v>46283</v>
      </c>
      <c r="J967" s="12" t="s">
        <v>254</v>
      </c>
    </row>
    <row r="968" customFormat="false" ht="15" hidden="false" customHeight="true" outlineLevel="0" collapsed="false">
      <c r="A968" s="12" t="s">
        <v>2026</v>
      </c>
      <c r="B968" s="13" t="n">
        <v>43.16</v>
      </c>
      <c r="C968" s="13" t="n">
        <v>40</v>
      </c>
      <c r="D968" s="12" t="s">
        <v>2027</v>
      </c>
      <c r="E968" s="12" t="s">
        <v>30</v>
      </c>
      <c r="F968" s="12" t="s">
        <v>239</v>
      </c>
      <c r="G968" s="12" t="s">
        <v>240</v>
      </c>
      <c r="H968" s="14" t="n">
        <v>46283</v>
      </c>
      <c r="I968" s="14" t="n">
        <v>46283</v>
      </c>
      <c r="J968" s="12" t="s">
        <v>254</v>
      </c>
    </row>
    <row r="969" customFormat="false" ht="15" hidden="false" customHeight="true" outlineLevel="0" collapsed="false">
      <c r="A969" s="12" t="s">
        <v>2028</v>
      </c>
      <c r="B969" s="13" t="n">
        <v>65.509</v>
      </c>
      <c r="C969" s="13" t="n">
        <v>60.6</v>
      </c>
      <c r="D969" s="12" t="s">
        <v>1090</v>
      </c>
      <c r="E969" s="12" t="s">
        <v>30</v>
      </c>
      <c r="F969" s="12" t="s">
        <v>243</v>
      </c>
      <c r="G969" s="12" t="s">
        <v>240</v>
      </c>
      <c r="H969" s="14" t="n">
        <v>46283</v>
      </c>
      <c r="I969" s="14" t="n">
        <v>46283</v>
      </c>
      <c r="J969" s="12" t="s">
        <v>254</v>
      </c>
    </row>
    <row r="970" customFormat="false" ht="15" hidden="false" customHeight="true" outlineLevel="0" collapsed="false">
      <c r="A970" s="12" t="s">
        <v>2029</v>
      </c>
      <c r="B970" s="13" t="n">
        <v>59.25</v>
      </c>
      <c r="C970" s="13" t="n">
        <v>50</v>
      </c>
      <c r="D970" s="12" t="s">
        <v>136</v>
      </c>
      <c r="E970" s="12" t="s">
        <v>30</v>
      </c>
      <c r="F970" s="12" t="s">
        <v>137</v>
      </c>
      <c r="G970" s="12" t="s">
        <v>41</v>
      </c>
      <c r="H970" s="14" t="n">
        <v>46283</v>
      </c>
      <c r="I970" s="14" t="n">
        <v>46284</v>
      </c>
      <c r="J970" s="12" t="s">
        <v>33</v>
      </c>
    </row>
    <row r="971" customFormat="false" ht="15" hidden="false" customHeight="true" outlineLevel="0" collapsed="false">
      <c r="A971" s="12" t="s">
        <v>2030</v>
      </c>
      <c r="B971" s="13" t="n">
        <v>265.378</v>
      </c>
      <c r="C971" s="13" t="n">
        <v>252.5</v>
      </c>
      <c r="D971" s="12" t="s">
        <v>503</v>
      </c>
      <c r="E971" s="12" t="s">
        <v>30</v>
      </c>
      <c r="F971" s="12" t="s">
        <v>504</v>
      </c>
      <c r="G971" s="12" t="s">
        <v>41</v>
      </c>
      <c r="H971" s="14" t="n">
        <v>46283</v>
      </c>
      <c r="I971" s="14" t="n">
        <v>46284</v>
      </c>
      <c r="J971" s="12" t="s">
        <v>33</v>
      </c>
    </row>
    <row r="972" customFormat="false" ht="15" hidden="false" customHeight="true" outlineLevel="0" collapsed="false">
      <c r="A972" s="12" t="s">
        <v>2031</v>
      </c>
      <c r="B972" s="13" t="n">
        <v>655.198</v>
      </c>
      <c r="C972" s="13" t="n">
        <v>597.2</v>
      </c>
      <c r="D972" s="12" t="s">
        <v>2032</v>
      </c>
      <c r="E972" s="12" t="s">
        <v>30</v>
      </c>
      <c r="F972" s="12" t="s">
        <v>40</v>
      </c>
      <c r="G972" s="12" t="s">
        <v>41</v>
      </c>
      <c r="H972" s="14" t="n">
        <v>46283</v>
      </c>
      <c r="I972" s="14" t="n">
        <v>46284</v>
      </c>
      <c r="J972" s="12" t="s">
        <v>33</v>
      </c>
    </row>
    <row r="973" customFormat="false" ht="15" hidden="false" customHeight="true" outlineLevel="0" collapsed="false">
      <c r="A973" s="12" t="s">
        <v>2033</v>
      </c>
      <c r="B973" s="13" t="n">
        <v>181.983</v>
      </c>
      <c r="C973" s="13" t="n">
        <v>166.94</v>
      </c>
      <c r="D973" s="12" t="s">
        <v>2034</v>
      </c>
      <c r="E973" s="12" t="s">
        <v>30</v>
      </c>
      <c r="F973" s="12" t="s">
        <v>1481</v>
      </c>
      <c r="G973" s="12" t="s">
        <v>45</v>
      </c>
      <c r="H973" s="14" t="n">
        <v>46283</v>
      </c>
      <c r="I973" s="14" t="n">
        <v>46283</v>
      </c>
      <c r="J973" s="12" t="s">
        <v>33</v>
      </c>
    </row>
    <row r="974" customFormat="false" ht="15" hidden="false" customHeight="true" outlineLevel="0" collapsed="false">
      <c r="A974" s="12" t="s">
        <v>2035</v>
      </c>
      <c r="B974" s="13" t="n">
        <v>235.832</v>
      </c>
      <c r="C974" s="13" t="n">
        <v>218.16</v>
      </c>
      <c r="D974" s="12" t="s">
        <v>91</v>
      </c>
      <c r="E974" s="12" t="s">
        <v>30</v>
      </c>
      <c r="F974" s="12" t="s">
        <v>92</v>
      </c>
      <c r="G974" s="12" t="s">
        <v>45</v>
      </c>
      <c r="H974" s="14" t="n">
        <v>46283</v>
      </c>
      <c r="I974" s="14" t="n">
        <v>46283</v>
      </c>
      <c r="J974" s="12" t="s">
        <v>33</v>
      </c>
    </row>
    <row r="975" customFormat="false" ht="15" hidden="false" customHeight="true" outlineLevel="0" collapsed="false">
      <c r="A975" s="12" t="s">
        <v>2036</v>
      </c>
      <c r="B975" s="13" t="n">
        <v>472.255</v>
      </c>
      <c r="C975" s="13" t="n">
        <v>442.28</v>
      </c>
      <c r="D975" s="12" t="s">
        <v>1477</v>
      </c>
      <c r="E975" s="12" t="s">
        <v>30</v>
      </c>
      <c r="F975" s="12" t="s">
        <v>1912</v>
      </c>
      <c r="G975" s="12" t="s">
        <v>37</v>
      </c>
      <c r="H975" s="14" t="n">
        <v>46283</v>
      </c>
      <c r="I975" s="14" t="n">
        <v>46284</v>
      </c>
      <c r="J975" s="12" t="s">
        <v>33</v>
      </c>
    </row>
    <row r="976" customFormat="false" ht="15" hidden="false" customHeight="true" outlineLevel="0" collapsed="false">
      <c r="A976" s="12" t="s">
        <v>2037</v>
      </c>
      <c r="B976" s="13" t="n">
        <v>354.521</v>
      </c>
      <c r="C976" s="13" t="n">
        <v>331.62</v>
      </c>
      <c r="D976" s="12" t="s">
        <v>2038</v>
      </c>
      <c r="E976" s="12" t="s">
        <v>30</v>
      </c>
      <c r="F976" s="12" t="s">
        <v>142</v>
      </c>
      <c r="G976" s="12" t="s">
        <v>37</v>
      </c>
      <c r="H976" s="14" t="n">
        <v>46283</v>
      </c>
      <c r="I976" s="14" t="n">
        <v>46284</v>
      </c>
      <c r="J976" s="12" t="s">
        <v>33</v>
      </c>
    </row>
    <row r="977" customFormat="false" ht="15" hidden="false" customHeight="true" outlineLevel="0" collapsed="false">
      <c r="A977" s="12" t="s">
        <v>2039</v>
      </c>
      <c r="B977" s="13" t="n">
        <v>269.83</v>
      </c>
      <c r="C977" s="13" t="n">
        <v>250.48</v>
      </c>
      <c r="D977" s="12" t="s">
        <v>1125</v>
      </c>
      <c r="E977" s="12" t="s">
        <v>30</v>
      </c>
      <c r="F977" s="12" t="s">
        <v>1126</v>
      </c>
      <c r="G977" s="12" t="s">
        <v>37</v>
      </c>
      <c r="H977" s="14" t="n">
        <v>46283</v>
      </c>
      <c r="I977" s="14" t="n">
        <v>46284</v>
      </c>
      <c r="J977" s="12" t="s">
        <v>33</v>
      </c>
    </row>
    <row r="978" customFormat="false" ht="15" hidden="false" customHeight="true" outlineLevel="0" collapsed="false">
      <c r="A978" s="12" t="s">
        <v>2040</v>
      </c>
      <c r="B978" s="13" t="n">
        <v>524.069</v>
      </c>
      <c r="C978" s="13" t="n">
        <v>484.8</v>
      </c>
      <c r="D978" s="12" t="s">
        <v>2041</v>
      </c>
      <c r="E978" s="12" t="s">
        <v>30</v>
      </c>
      <c r="F978" s="12" t="s">
        <v>95</v>
      </c>
      <c r="G978" s="12" t="s">
        <v>41</v>
      </c>
      <c r="H978" s="14" t="n">
        <v>46283</v>
      </c>
      <c r="I978" s="14" t="n">
        <v>46284</v>
      </c>
      <c r="J978" s="12" t="s">
        <v>33</v>
      </c>
    </row>
    <row r="979" customFormat="false" ht="15" hidden="false" customHeight="true" outlineLevel="0" collapsed="false">
      <c r="A979" s="12" t="s">
        <v>2042</v>
      </c>
      <c r="B979" s="13" t="n">
        <v>395.432</v>
      </c>
      <c r="C979" s="13" t="n">
        <v>366.08</v>
      </c>
      <c r="D979" s="12" t="s">
        <v>2043</v>
      </c>
      <c r="E979" s="12" t="s">
        <v>30</v>
      </c>
      <c r="F979" s="12" t="s">
        <v>81</v>
      </c>
      <c r="G979" s="12" t="s">
        <v>41</v>
      </c>
      <c r="H979" s="14" t="n">
        <v>46283</v>
      </c>
      <c r="I979" s="14" t="n">
        <v>46284</v>
      </c>
      <c r="J979" s="12" t="s">
        <v>33</v>
      </c>
    </row>
    <row r="980" customFormat="false" ht="15" hidden="false" customHeight="true" outlineLevel="0" collapsed="false">
      <c r="A980" s="12" t="s">
        <v>2044</v>
      </c>
      <c r="B980" s="13" t="n">
        <v>234.58</v>
      </c>
      <c r="C980" s="13" t="n">
        <v>216.04</v>
      </c>
      <c r="D980" s="12" t="s">
        <v>2045</v>
      </c>
      <c r="E980" s="12" t="s">
        <v>30</v>
      </c>
      <c r="F980" s="12" t="s">
        <v>451</v>
      </c>
      <c r="G980" s="12" t="s">
        <v>37</v>
      </c>
      <c r="H980" s="14" t="n">
        <v>46283</v>
      </c>
      <c r="I980" s="14" t="n">
        <v>46284</v>
      </c>
      <c r="J980" s="12" t="s">
        <v>33</v>
      </c>
    </row>
    <row r="981" customFormat="false" ht="15" hidden="false" customHeight="true" outlineLevel="0" collapsed="false">
      <c r="A981" s="12" t="s">
        <v>2046</v>
      </c>
      <c r="B981" s="13" t="n">
        <v>17.775</v>
      </c>
      <c r="C981" s="13" t="n">
        <v>15</v>
      </c>
      <c r="D981" s="12" t="s">
        <v>1911</v>
      </c>
      <c r="E981" s="12" t="s">
        <v>30</v>
      </c>
      <c r="F981" s="12" t="s">
        <v>1912</v>
      </c>
      <c r="G981" s="12" t="s">
        <v>37</v>
      </c>
      <c r="H981" s="14" t="n">
        <v>46283</v>
      </c>
      <c r="I981" s="14" t="n">
        <v>46284</v>
      </c>
      <c r="J981" s="12" t="s">
        <v>33</v>
      </c>
    </row>
    <row r="982" customFormat="false" ht="15" hidden="false" customHeight="true" outlineLevel="0" collapsed="false">
      <c r="A982" s="12" t="s">
        <v>2047</v>
      </c>
      <c r="B982" s="13" t="n">
        <v>53.075</v>
      </c>
      <c r="C982" s="13" t="n">
        <v>50.5</v>
      </c>
      <c r="D982" s="12" t="s">
        <v>2048</v>
      </c>
      <c r="E982" s="12" t="s">
        <v>30</v>
      </c>
      <c r="F982" s="12" t="s">
        <v>69</v>
      </c>
      <c r="G982" s="12" t="s">
        <v>37</v>
      </c>
      <c r="H982" s="14" t="n">
        <v>46283</v>
      </c>
      <c r="I982" s="14" t="n">
        <v>46284</v>
      </c>
      <c r="J982" s="12" t="s">
        <v>33</v>
      </c>
    </row>
    <row r="983" customFormat="false" ht="15" hidden="false" customHeight="true" outlineLevel="0" collapsed="false">
      <c r="A983" s="12" t="s">
        <v>2049</v>
      </c>
      <c r="B983" s="13" t="n">
        <v>88.642</v>
      </c>
      <c r="C983" s="13" t="n">
        <v>82</v>
      </c>
      <c r="D983" s="12" t="s">
        <v>1924</v>
      </c>
      <c r="E983" s="12" t="s">
        <v>30</v>
      </c>
      <c r="F983" s="12" t="s">
        <v>98</v>
      </c>
      <c r="G983" s="12" t="s">
        <v>37</v>
      </c>
      <c r="H983" s="14" t="n">
        <v>46283</v>
      </c>
      <c r="I983" s="14" t="n">
        <v>46284</v>
      </c>
      <c r="J983" s="12" t="s">
        <v>33</v>
      </c>
    </row>
    <row r="984" customFormat="false" ht="15" hidden="false" customHeight="true" outlineLevel="0" collapsed="false">
      <c r="A984" s="12" t="s">
        <v>2050</v>
      </c>
      <c r="B984" s="13" t="n">
        <v>124.099</v>
      </c>
      <c r="C984" s="13" t="n">
        <v>114.8</v>
      </c>
      <c r="D984" s="12" t="s">
        <v>1892</v>
      </c>
      <c r="E984" s="12" t="s">
        <v>30</v>
      </c>
      <c r="F984" s="12" t="s">
        <v>81</v>
      </c>
      <c r="G984" s="12" t="s">
        <v>41</v>
      </c>
      <c r="H984" s="14" t="n">
        <v>46283</v>
      </c>
      <c r="I984" s="14" t="n">
        <v>46284</v>
      </c>
      <c r="J984" s="12" t="s">
        <v>33</v>
      </c>
    </row>
    <row r="985" customFormat="false" ht="15" hidden="false" customHeight="true" outlineLevel="0" collapsed="false">
      <c r="A985" s="12" t="s">
        <v>2051</v>
      </c>
      <c r="B985" s="13" t="n">
        <v>73.32</v>
      </c>
      <c r="C985" s="13" t="n">
        <v>65.3</v>
      </c>
      <c r="D985" s="12" t="s">
        <v>1962</v>
      </c>
      <c r="E985" s="12" t="s">
        <v>30</v>
      </c>
      <c r="F985" s="12" t="s">
        <v>1963</v>
      </c>
      <c r="G985" s="12" t="s">
        <v>37</v>
      </c>
      <c r="H985" s="14" t="n">
        <v>46283</v>
      </c>
      <c r="I985" s="14" t="n">
        <v>46284</v>
      </c>
      <c r="J985" s="12" t="s">
        <v>33</v>
      </c>
    </row>
    <row r="986" customFormat="false" ht="15" hidden="false" customHeight="true" outlineLevel="0" collapsed="false">
      <c r="A986" s="12" t="s">
        <v>2052</v>
      </c>
      <c r="B986" s="13" t="n">
        <v>32.55</v>
      </c>
      <c r="C986" s="13" t="n">
        <v>30</v>
      </c>
      <c r="D986" s="12" t="s">
        <v>1894</v>
      </c>
      <c r="E986" s="12" t="s">
        <v>30</v>
      </c>
      <c r="F986" s="12" t="s">
        <v>1895</v>
      </c>
      <c r="G986" s="12" t="s">
        <v>37</v>
      </c>
      <c r="H986" s="14" t="n">
        <v>46283</v>
      </c>
      <c r="I986" s="14" t="n">
        <v>46286</v>
      </c>
      <c r="J986" s="12" t="s">
        <v>254</v>
      </c>
    </row>
    <row r="987" customFormat="false" ht="15" hidden="false" customHeight="true" outlineLevel="0" collapsed="false">
      <c r="A987" s="12" t="s">
        <v>2053</v>
      </c>
      <c r="B987" s="13" t="n">
        <v>428</v>
      </c>
      <c r="C987" s="13" t="n">
        <v>400</v>
      </c>
      <c r="D987" s="12" t="s">
        <v>2054</v>
      </c>
      <c r="E987" s="12" t="s">
        <v>30</v>
      </c>
      <c r="F987" s="12" t="s">
        <v>2055</v>
      </c>
      <c r="G987" s="12" t="s">
        <v>45</v>
      </c>
      <c r="H987" s="14" t="n">
        <v>46283</v>
      </c>
      <c r="I987" s="14" t="n">
        <v>46283</v>
      </c>
      <c r="J987" s="12" t="s">
        <v>33</v>
      </c>
    </row>
    <row r="988" customFormat="false" ht="15" hidden="false" customHeight="true" outlineLevel="0" collapsed="false">
      <c r="A988" s="12" t="s">
        <v>2056</v>
      </c>
      <c r="B988" s="13" t="n">
        <v>331.7</v>
      </c>
      <c r="C988" s="13" t="n">
        <v>310</v>
      </c>
      <c r="D988" s="12" t="s">
        <v>1138</v>
      </c>
      <c r="E988" s="12" t="s">
        <v>30</v>
      </c>
      <c r="F988" s="12" t="s">
        <v>268</v>
      </c>
      <c r="G988" s="12"/>
      <c r="H988" s="14" t="n">
        <v>46283</v>
      </c>
      <c r="I988" s="14" t="n">
        <v>46283</v>
      </c>
      <c r="J988" s="12" t="s">
        <v>254</v>
      </c>
    </row>
    <row r="989" customFormat="false" ht="15" hidden="false" customHeight="true" outlineLevel="0" collapsed="false">
      <c r="A989" s="12" t="s">
        <v>2057</v>
      </c>
      <c r="B989" s="13" t="n">
        <v>5.925</v>
      </c>
      <c r="C989" s="13" t="n">
        <v>5</v>
      </c>
      <c r="D989" s="12" t="s">
        <v>2058</v>
      </c>
      <c r="E989" s="12" t="s">
        <v>30</v>
      </c>
      <c r="F989" s="12" t="s">
        <v>518</v>
      </c>
      <c r="G989" s="12" t="s">
        <v>37</v>
      </c>
      <c r="H989" s="14" t="n">
        <v>46283</v>
      </c>
      <c r="I989" s="14" t="n">
        <v>46284</v>
      </c>
      <c r="J989" s="12" t="s">
        <v>33</v>
      </c>
    </row>
    <row r="990" customFormat="false" ht="15" hidden="false" customHeight="true" outlineLevel="0" collapsed="false">
      <c r="A990" s="12" t="s">
        <v>2059</v>
      </c>
      <c r="B990" s="13" t="n">
        <v>103.32</v>
      </c>
      <c r="C990" s="13" t="n">
        <v>90</v>
      </c>
      <c r="D990" s="12" t="s">
        <v>2060</v>
      </c>
      <c r="E990" s="12" t="s">
        <v>30</v>
      </c>
      <c r="F990" s="12" t="s">
        <v>1602</v>
      </c>
      <c r="G990" s="12" t="s">
        <v>45</v>
      </c>
      <c r="H990" s="14" t="n">
        <v>46283</v>
      </c>
      <c r="I990" s="14" t="n">
        <v>46283</v>
      </c>
      <c r="J990" s="12" t="s">
        <v>33</v>
      </c>
    </row>
    <row r="991" customFormat="false" ht="15" hidden="false" customHeight="true" outlineLevel="0" collapsed="false">
      <c r="A991" s="12" t="s">
        <v>2061</v>
      </c>
      <c r="B991" s="13" t="n">
        <v>75.402</v>
      </c>
      <c r="C991" s="13" t="n">
        <v>72</v>
      </c>
      <c r="D991" s="12" t="s">
        <v>2062</v>
      </c>
      <c r="E991" s="12" t="s">
        <v>30</v>
      </c>
      <c r="F991" s="12" t="s">
        <v>2063</v>
      </c>
      <c r="G991" s="12" t="s">
        <v>45</v>
      </c>
      <c r="H991" s="14" t="n">
        <v>46283</v>
      </c>
      <c r="I991" s="14" t="n">
        <v>46283</v>
      </c>
      <c r="J991" s="12" t="s">
        <v>33</v>
      </c>
    </row>
    <row r="992" customFormat="false" ht="15" hidden="false" customHeight="true" outlineLevel="0" collapsed="false">
      <c r="A992" s="12" t="s">
        <v>2064</v>
      </c>
      <c r="B992" s="13" t="n">
        <v>321</v>
      </c>
      <c r="C992" s="13" t="n">
        <v>300</v>
      </c>
      <c r="D992" s="12" t="s">
        <v>2065</v>
      </c>
      <c r="E992" s="12" t="s">
        <v>30</v>
      </c>
      <c r="F992" s="12" t="s">
        <v>2066</v>
      </c>
      <c r="G992" s="12" t="s">
        <v>37</v>
      </c>
      <c r="H992" s="14" t="n">
        <v>46283</v>
      </c>
      <c r="I992" s="14" t="n">
        <v>46284</v>
      </c>
      <c r="J992" s="12" t="s">
        <v>33</v>
      </c>
    </row>
    <row r="993" customFormat="false" ht="15" hidden="false" customHeight="true" outlineLevel="0" collapsed="false">
      <c r="A993" s="12" t="s">
        <v>2067</v>
      </c>
      <c r="B993" s="13" t="n">
        <v>6420</v>
      </c>
      <c r="C993" s="13" t="n">
        <v>6000</v>
      </c>
      <c r="D993" s="12" t="s">
        <v>600</v>
      </c>
      <c r="E993" s="12" t="s">
        <v>30</v>
      </c>
      <c r="F993" s="12" t="s">
        <v>462</v>
      </c>
      <c r="G993" s="12" t="s">
        <v>41</v>
      </c>
      <c r="H993" s="14" t="n">
        <v>46283</v>
      </c>
      <c r="I993" s="14" t="n">
        <v>46283</v>
      </c>
      <c r="J993" s="12" t="s">
        <v>33</v>
      </c>
    </row>
    <row r="994" customFormat="false" ht="15" hidden="false" customHeight="true" outlineLevel="0" collapsed="false">
      <c r="A994" s="12" t="s">
        <v>2068</v>
      </c>
      <c r="B994" s="13" t="n">
        <v>557.5</v>
      </c>
      <c r="C994" s="13" t="n">
        <v>500</v>
      </c>
      <c r="D994" s="12" t="s">
        <v>2069</v>
      </c>
      <c r="E994" s="12" t="s">
        <v>30</v>
      </c>
      <c r="F994" s="12" t="s">
        <v>239</v>
      </c>
      <c r="G994" s="12" t="s">
        <v>240</v>
      </c>
      <c r="H994" s="14" t="n">
        <v>46283</v>
      </c>
      <c r="I994" s="14" t="n">
        <v>46283</v>
      </c>
      <c r="J994" s="12" t="s">
        <v>254</v>
      </c>
    </row>
    <row r="995" customFormat="false" ht="15" hidden="false" customHeight="true" outlineLevel="0" collapsed="false">
      <c r="A995" s="12" t="s">
        <v>2070</v>
      </c>
      <c r="B995" s="13" t="n">
        <v>204.179</v>
      </c>
      <c r="C995" s="13" t="n">
        <v>193.5</v>
      </c>
      <c r="D995" s="12" t="s">
        <v>450</v>
      </c>
      <c r="E995" s="12" t="s">
        <v>30</v>
      </c>
      <c r="F995" s="12" t="s">
        <v>451</v>
      </c>
      <c r="G995" s="12" t="s">
        <v>37</v>
      </c>
      <c r="H995" s="14" t="n">
        <v>46283</v>
      </c>
      <c r="I995" s="14" t="n">
        <v>46283</v>
      </c>
      <c r="J995" s="12" t="s">
        <v>33</v>
      </c>
    </row>
    <row r="996" customFormat="false" ht="15" hidden="false" customHeight="true" outlineLevel="0" collapsed="false">
      <c r="A996" s="12" t="s">
        <v>2071</v>
      </c>
      <c r="B996" s="13" t="n">
        <v>322.659</v>
      </c>
      <c r="C996" s="13" t="n">
        <v>311</v>
      </c>
      <c r="D996" s="12" t="s">
        <v>593</v>
      </c>
      <c r="E996" s="12" t="s">
        <v>30</v>
      </c>
      <c r="F996" s="12" t="s">
        <v>81</v>
      </c>
      <c r="G996" s="12" t="s">
        <v>41</v>
      </c>
      <c r="H996" s="14" t="n">
        <v>46283</v>
      </c>
      <c r="I996" s="14" t="n">
        <v>46284</v>
      </c>
      <c r="J996" s="12" t="s">
        <v>33</v>
      </c>
    </row>
    <row r="997" customFormat="false" ht="15" hidden="false" customHeight="true" outlineLevel="0" collapsed="false">
      <c r="A997" s="12" t="s">
        <v>2072</v>
      </c>
      <c r="B997" s="13" t="n">
        <v>97.65</v>
      </c>
      <c r="C997" s="13" t="n">
        <v>90</v>
      </c>
      <c r="D997" s="12" t="s">
        <v>1150</v>
      </c>
      <c r="E997" s="12" t="s">
        <v>30</v>
      </c>
      <c r="F997" s="12" t="s">
        <v>1151</v>
      </c>
      <c r="G997" s="12"/>
      <c r="H997" s="14" t="n">
        <v>46283</v>
      </c>
      <c r="I997" s="14" t="n">
        <v>46283</v>
      </c>
      <c r="J997" s="12" t="s">
        <v>254</v>
      </c>
    </row>
    <row r="998" customFormat="false" ht="15" hidden="false" customHeight="true" outlineLevel="0" collapsed="false">
      <c r="A998" s="12" t="s">
        <v>2073</v>
      </c>
      <c r="B998" s="13" t="n">
        <v>104.5</v>
      </c>
      <c r="C998" s="13" t="n">
        <v>100</v>
      </c>
      <c r="D998" s="12" t="s">
        <v>2074</v>
      </c>
      <c r="E998" s="12" t="s">
        <v>30</v>
      </c>
      <c r="F998" s="12" t="s">
        <v>326</v>
      </c>
      <c r="G998" s="12"/>
      <c r="H998" s="14" t="n">
        <v>46283</v>
      </c>
      <c r="I998" s="14" t="n">
        <v>46283</v>
      </c>
      <c r="J998" s="12" t="s">
        <v>33</v>
      </c>
    </row>
    <row r="999" customFormat="false" ht="15" hidden="false" customHeight="true" outlineLevel="0" collapsed="false">
      <c r="A999" s="12" t="s">
        <v>2075</v>
      </c>
      <c r="B999" s="13" t="n">
        <v>128.4</v>
      </c>
      <c r="C999" s="13" t="n">
        <v>120</v>
      </c>
      <c r="D999" s="12" t="s">
        <v>2062</v>
      </c>
      <c r="E999" s="12" t="s">
        <v>30</v>
      </c>
      <c r="F999" s="12" t="s">
        <v>2063</v>
      </c>
      <c r="G999" s="12" t="s">
        <v>45</v>
      </c>
      <c r="H999" s="14" t="n">
        <v>46283</v>
      </c>
      <c r="I999" s="14" t="n">
        <v>46283</v>
      </c>
      <c r="J999" s="12" t="s">
        <v>33</v>
      </c>
    </row>
    <row r="1000" customFormat="false" ht="15" hidden="false" customHeight="true" outlineLevel="0" collapsed="false">
      <c r="A1000" s="12" t="s">
        <v>2076</v>
      </c>
      <c r="B1000" s="13" t="n">
        <v>325.5</v>
      </c>
      <c r="C1000" s="13" t="n">
        <v>300</v>
      </c>
      <c r="D1000" s="12" t="s">
        <v>605</v>
      </c>
      <c r="E1000" s="12" t="s">
        <v>30</v>
      </c>
      <c r="F1000" s="12" t="s">
        <v>541</v>
      </c>
      <c r="G1000" s="12" t="s">
        <v>45</v>
      </c>
      <c r="H1000" s="14" t="n">
        <v>46283</v>
      </c>
      <c r="I1000" s="14" t="n">
        <v>46283</v>
      </c>
      <c r="J1000" s="12" t="s">
        <v>254</v>
      </c>
    </row>
    <row r="1001" customFormat="false" ht="15" hidden="false" customHeight="true" outlineLevel="0" collapsed="false">
      <c r="A1001" s="12" t="s">
        <v>2077</v>
      </c>
      <c r="B1001" s="13" t="n">
        <v>1777.5</v>
      </c>
      <c r="C1001" s="13" t="n">
        <v>1500</v>
      </c>
      <c r="D1001" s="12" t="s">
        <v>2078</v>
      </c>
      <c r="E1001" s="12" t="s">
        <v>30</v>
      </c>
      <c r="F1001" s="12" t="s">
        <v>2079</v>
      </c>
      <c r="G1001" s="12"/>
      <c r="H1001" s="14" t="n">
        <v>46283</v>
      </c>
      <c r="I1001" s="14" t="n">
        <v>46283</v>
      </c>
      <c r="J1001" s="12" t="s">
        <v>354</v>
      </c>
    </row>
    <row r="1002" customFormat="false" ht="15" hidden="false" customHeight="true" outlineLevel="0" collapsed="false">
      <c r="A1002" s="12" t="s">
        <v>2080</v>
      </c>
      <c r="B1002" s="13" t="n">
        <v>65.509</v>
      </c>
      <c r="C1002" s="13" t="n">
        <v>60.6</v>
      </c>
      <c r="D1002" s="12" t="s">
        <v>1362</v>
      </c>
      <c r="E1002" s="12" t="s">
        <v>30</v>
      </c>
      <c r="F1002" s="12" t="s">
        <v>1363</v>
      </c>
      <c r="G1002" s="12"/>
      <c r="H1002" s="14" t="n">
        <v>46283</v>
      </c>
      <c r="I1002" s="14" t="n">
        <v>46283</v>
      </c>
      <c r="J1002" s="12" t="s">
        <v>254</v>
      </c>
    </row>
    <row r="1003" customFormat="false" ht="15" hidden="false" customHeight="true" outlineLevel="0" collapsed="false">
      <c r="A1003" s="12" t="s">
        <v>2081</v>
      </c>
      <c r="B1003" s="13" t="n">
        <v>100.38</v>
      </c>
      <c r="C1003" s="13" t="n">
        <v>96</v>
      </c>
      <c r="D1003" s="12" t="s">
        <v>2082</v>
      </c>
      <c r="E1003" s="12" t="s">
        <v>30</v>
      </c>
      <c r="F1003" s="12" t="s">
        <v>131</v>
      </c>
      <c r="G1003" s="12" t="s">
        <v>37</v>
      </c>
      <c r="H1003" s="14" t="n">
        <v>46283</v>
      </c>
      <c r="I1003" s="14" t="n">
        <v>46283</v>
      </c>
      <c r="J1003" s="12" t="s">
        <v>254</v>
      </c>
    </row>
    <row r="1004" customFormat="false" ht="15" hidden="false" customHeight="true" outlineLevel="0" collapsed="false">
      <c r="A1004" s="12" t="s">
        <v>2083</v>
      </c>
      <c r="B1004" s="13" t="n">
        <v>169.92</v>
      </c>
      <c r="C1004" s="13" t="n">
        <v>160</v>
      </c>
      <c r="D1004" s="12" t="s">
        <v>889</v>
      </c>
      <c r="E1004" s="12" t="s">
        <v>30</v>
      </c>
      <c r="F1004" s="12" t="s">
        <v>890</v>
      </c>
      <c r="G1004" s="12"/>
      <c r="H1004" s="14" t="n">
        <v>46283</v>
      </c>
      <c r="I1004" s="14" t="n">
        <v>46283</v>
      </c>
      <c r="J1004" s="12" t="s">
        <v>254</v>
      </c>
    </row>
    <row r="1005" customFormat="false" ht="15" hidden="false" customHeight="true" outlineLevel="0" collapsed="false">
      <c r="A1005" s="12" t="s">
        <v>2084</v>
      </c>
      <c r="B1005" s="13" t="n">
        <v>236.633</v>
      </c>
      <c r="C1005" s="13" t="n">
        <v>220.06</v>
      </c>
      <c r="D1005" s="12" t="s">
        <v>2085</v>
      </c>
      <c r="E1005" s="12" t="s">
        <v>30</v>
      </c>
      <c r="F1005" s="12" t="s">
        <v>95</v>
      </c>
      <c r="G1005" s="12" t="s">
        <v>41</v>
      </c>
      <c r="H1005" s="14" t="n">
        <v>46283</v>
      </c>
      <c r="I1005" s="14" t="n">
        <v>46284</v>
      </c>
      <c r="J1005" s="12" t="s">
        <v>33</v>
      </c>
    </row>
    <row r="1006" customFormat="false" ht="15" hidden="false" customHeight="true" outlineLevel="0" collapsed="false">
      <c r="A1006" s="12" t="s">
        <v>2086</v>
      </c>
      <c r="B1006" s="13" t="n">
        <v>197.107</v>
      </c>
      <c r="C1006" s="13" t="n">
        <v>183.72</v>
      </c>
      <c r="D1006" s="12" t="s">
        <v>1477</v>
      </c>
      <c r="E1006" s="12" t="s">
        <v>30</v>
      </c>
      <c r="F1006" s="12" t="s">
        <v>1478</v>
      </c>
      <c r="G1006" s="12" t="s">
        <v>37</v>
      </c>
      <c r="H1006" s="14" t="n">
        <v>46283</v>
      </c>
      <c r="I1006" s="14" t="n">
        <v>46284</v>
      </c>
      <c r="J1006" s="12" t="s">
        <v>33</v>
      </c>
    </row>
    <row r="1007" customFormat="false" ht="15" hidden="false" customHeight="true" outlineLevel="0" collapsed="false">
      <c r="A1007" s="12" t="s">
        <v>2087</v>
      </c>
      <c r="B1007" s="13" t="n">
        <v>218.337</v>
      </c>
      <c r="C1007" s="13" t="n">
        <v>203.92</v>
      </c>
      <c r="D1007" s="12" t="s">
        <v>1477</v>
      </c>
      <c r="E1007" s="12" t="s">
        <v>30</v>
      </c>
      <c r="F1007" s="12" t="s">
        <v>1478</v>
      </c>
      <c r="G1007" s="12" t="s">
        <v>37</v>
      </c>
      <c r="H1007" s="14" t="n">
        <v>46283</v>
      </c>
      <c r="I1007" s="14" t="n">
        <v>46284</v>
      </c>
      <c r="J1007" s="12" t="s">
        <v>33</v>
      </c>
    </row>
    <row r="1008" customFormat="false" ht="15" hidden="false" customHeight="true" outlineLevel="0" collapsed="false">
      <c r="A1008" s="12" t="s">
        <v>2088</v>
      </c>
      <c r="B1008" s="13" t="n">
        <v>183.423</v>
      </c>
      <c r="C1008" s="13" t="n">
        <v>169.68</v>
      </c>
      <c r="D1008" s="12" t="s">
        <v>1034</v>
      </c>
      <c r="E1008" s="12" t="s">
        <v>30</v>
      </c>
      <c r="F1008" s="12" t="s">
        <v>1035</v>
      </c>
      <c r="G1008" s="12" t="s">
        <v>45</v>
      </c>
      <c r="H1008" s="14" t="n">
        <v>46283</v>
      </c>
      <c r="I1008" s="14" t="n">
        <v>46283</v>
      </c>
      <c r="J1008" s="12" t="s">
        <v>33</v>
      </c>
    </row>
    <row r="1009" customFormat="false" ht="15" hidden="false" customHeight="true" outlineLevel="0" collapsed="false">
      <c r="A1009" s="12" t="s">
        <v>2089</v>
      </c>
      <c r="B1009" s="13" t="n">
        <v>32.128</v>
      </c>
      <c r="C1009" s="13" t="n">
        <v>29.24</v>
      </c>
      <c r="D1009" s="12" t="s">
        <v>1486</v>
      </c>
      <c r="E1009" s="12" t="s">
        <v>30</v>
      </c>
      <c r="F1009" s="12" t="s">
        <v>145</v>
      </c>
      <c r="G1009" s="12" t="s">
        <v>41</v>
      </c>
      <c r="H1009" s="14" t="n">
        <v>46283</v>
      </c>
      <c r="I1009" s="14" t="n">
        <v>46283</v>
      </c>
      <c r="J1009" s="12" t="s">
        <v>33</v>
      </c>
    </row>
    <row r="1010" customFormat="false" ht="15" hidden="false" customHeight="true" outlineLevel="0" collapsed="false">
      <c r="A1010" s="12" t="s">
        <v>2090</v>
      </c>
      <c r="B1010" s="13" t="n">
        <v>10.85</v>
      </c>
      <c r="C1010" s="13" t="n">
        <v>10</v>
      </c>
      <c r="D1010" s="12" t="s">
        <v>1692</v>
      </c>
      <c r="E1010" s="12" t="s">
        <v>30</v>
      </c>
      <c r="F1010" s="12" t="s">
        <v>40</v>
      </c>
      <c r="G1010" s="12" t="s">
        <v>41</v>
      </c>
      <c r="H1010" s="14" t="n">
        <v>46283</v>
      </c>
      <c r="I1010" s="14" t="n">
        <v>46283</v>
      </c>
      <c r="J1010" s="12" t="s">
        <v>33</v>
      </c>
    </row>
    <row r="1011" customFormat="false" ht="15" hidden="false" customHeight="true" outlineLevel="0" collapsed="false">
      <c r="A1011" s="12" t="s">
        <v>2091</v>
      </c>
      <c r="B1011" s="13" t="n">
        <v>38.053</v>
      </c>
      <c r="C1011" s="13" t="n">
        <v>34.24</v>
      </c>
      <c r="D1011" s="12" t="s">
        <v>2092</v>
      </c>
      <c r="E1011" s="12" t="s">
        <v>30</v>
      </c>
      <c r="F1011" s="12" t="s">
        <v>40</v>
      </c>
      <c r="G1011" s="12" t="s">
        <v>41</v>
      </c>
      <c r="H1011" s="14" t="n">
        <v>46283</v>
      </c>
      <c r="I1011" s="14" t="n">
        <v>46283</v>
      </c>
      <c r="J1011" s="12" t="s">
        <v>33</v>
      </c>
    </row>
    <row r="1012" customFormat="false" ht="15" hidden="false" customHeight="true" outlineLevel="0" collapsed="false">
      <c r="A1012" s="12" t="s">
        <v>2093</v>
      </c>
      <c r="B1012" s="13" t="n">
        <v>4.93</v>
      </c>
      <c r="C1012" s="13" t="n">
        <v>4</v>
      </c>
      <c r="D1012" s="12" t="s">
        <v>1018</v>
      </c>
      <c r="E1012" s="12" t="s">
        <v>30</v>
      </c>
      <c r="F1012" s="12" t="s">
        <v>40</v>
      </c>
      <c r="G1012" s="12" t="s">
        <v>41</v>
      </c>
      <c r="H1012" s="14" t="n">
        <v>46283</v>
      </c>
      <c r="I1012" s="14" t="n">
        <v>46283</v>
      </c>
      <c r="J1012" s="12" t="s">
        <v>33</v>
      </c>
    </row>
    <row r="1013" customFormat="false" ht="15" hidden="false" customHeight="true" outlineLevel="0" collapsed="false">
      <c r="A1013" s="12" t="s">
        <v>2094</v>
      </c>
      <c r="B1013" s="13" t="n">
        <v>48.56</v>
      </c>
      <c r="C1013" s="13" t="n">
        <v>44.92</v>
      </c>
      <c r="D1013" s="12" t="s">
        <v>2095</v>
      </c>
      <c r="E1013" s="12" t="s">
        <v>30</v>
      </c>
      <c r="F1013" s="12" t="s">
        <v>98</v>
      </c>
      <c r="G1013" s="12" t="s">
        <v>37</v>
      </c>
      <c r="H1013" s="14" t="n">
        <v>46283</v>
      </c>
      <c r="I1013" s="14" t="n">
        <v>46284</v>
      </c>
      <c r="J1013" s="12" t="s">
        <v>33</v>
      </c>
    </row>
    <row r="1014" customFormat="false" ht="15" hidden="false" customHeight="true" outlineLevel="0" collapsed="false">
      <c r="A1014" s="12" t="s">
        <v>2096</v>
      </c>
      <c r="B1014" s="13" t="n">
        <v>47.434</v>
      </c>
      <c r="C1014" s="13" t="n">
        <v>44.44</v>
      </c>
      <c r="D1014" s="12" t="s">
        <v>2097</v>
      </c>
      <c r="E1014" s="12" t="s">
        <v>30</v>
      </c>
      <c r="F1014" s="12" t="s">
        <v>2098</v>
      </c>
      <c r="G1014" s="12" t="s">
        <v>41</v>
      </c>
      <c r="H1014" s="14" t="n">
        <v>46283</v>
      </c>
      <c r="I1014" s="14" t="n">
        <v>46283</v>
      </c>
      <c r="J1014" s="12" t="s">
        <v>33</v>
      </c>
    </row>
    <row r="1015" customFormat="false" ht="15" hidden="false" customHeight="true" outlineLevel="0" collapsed="false">
      <c r="A1015" s="12" t="s">
        <v>2099</v>
      </c>
      <c r="B1015" s="13" t="n">
        <v>87.133</v>
      </c>
      <c r="C1015" s="13" t="n">
        <v>80.28</v>
      </c>
      <c r="D1015" s="12" t="s">
        <v>1023</v>
      </c>
      <c r="E1015" s="12" t="s">
        <v>30</v>
      </c>
      <c r="F1015" s="12" t="s">
        <v>1024</v>
      </c>
      <c r="G1015" s="12" t="s">
        <v>37</v>
      </c>
      <c r="H1015" s="14" t="n">
        <v>46283</v>
      </c>
      <c r="I1015" s="14" t="n">
        <v>46284</v>
      </c>
      <c r="J1015" s="12" t="s">
        <v>33</v>
      </c>
    </row>
    <row r="1016" customFormat="false" ht="15" hidden="false" customHeight="true" outlineLevel="0" collapsed="false">
      <c r="A1016" s="12" t="s">
        <v>2100</v>
      </c>
      <c r="B1016" s="13" t="n">
        <v>91.712</v>
      </c>
      <c r="C1016" s="13" t="n">
        <v>84.84</v>
      </c>
      <c r="D1016" s="12" t="s">
        <v>1083</v>
      </c>
      <c r="E1016" s="12" t="s">
        <v>30</v>
      </c>
      <c r="F1016" s="12" t="s">
        <v>95</v>
      </c>
      <c r="G1016" s="12" t="s">
        <v>41</v>
      </c>
      <c r="H1016" s="14" t="n">
        <v>46283</v>
      </c>
      <c r="I1016" s="14" t="n">
        <v>46284</v>
      </c>
      <c r="J1016" s="12" t="s">
        <v>33</v>
      </c>
    </row>
    <row r="1017" customFormat="false" ht="15" hidden="false" customHeight="true" outlineLevel="0" collapsed="false">
      <c r="A1017" s="12" t="s">
        <v>2101</v>
      </c>
      <c r="B1017" s="13" t="n">
        <v>105.876</v>
      </c>
      <c r="C1017" s="13" t="n">
        <v>98.46</v>
      </c>
      <c r="D1017" s="12" t="s">
        <v>2102</v>
      </c>
      <c r="E1017" s="12" t="s">
        <v>30</v>
      </c>
      <c r="F1017" s="12" t="s">
        <v>98</v>
      </c>
      <c r="G1017" s="12" t="s">
        <v>37</v>
      </c>
      <c r="H1017" s="14" t="n">
        <v>46283</v>
      </c>
      <c r="I1017" s="14" t="n">
        <v>46284</v>
      </c>
      <c r="J1017" s="12" t="s">
        <v>33</v>
      </c>
    </row>
    <row r="1018" customFormat="false" ht="15" hidden="false" customHeight="true" outlineLevel="0" collapsed="false">
      <c r="A1018" s="12" t="s">
        <v>2103</v>
      </c>
      <c r="B1018" s="13" t="n">
        <v>43.978</v>
      </c>
      <c r="C1018" s="13" t="n">
        <v>39.24</v>
      </c>
      <c r="D1018" s="12" t="s">
        <v>2104</v>
      </c>
      <c r="E1018" s="12" t="s">
        <v>30</v>
      </c>
      <c r="F1018" s="12" t="s">
        <v>40</v>
      </c>
      <c r="G1018" s="12" t="s">
        <v>41</v>
      </c>
      <c r="H1018" s="14" t="n">
        <v>46283</v>
      </c>
      <c r="I1018" s="14" t="n">
        <v>46283</v>
      </c>
      <c r="J1018" s="12" t="s">
        <v>33</v>
      </c>
    </row>
    <row r="1019" customFormat="false" ht="15" hidden="false" customHeight="true" outlineLevel="0" collapsed="false">
      <c r="A1019" s="12" t="s">
        <v>2105</v>
      </c>
      <c r="B1019" s="13" t="n">
        <v>23.7</v>
      </c>
      <c r="C1019" s="13" t="n">
        <v>20</v>
      </c>
      <c r="D1019" s="12" t="s">
        <v>2106</v>
      </c>
      <c r="E1019" s="12" t="s">
        <v>30</v>
      </c>
      <c r="F1019" s="12" t="s">
        <v>95</v>
      </c>
      <c r="G1019" s="12" t="s">
        <v>41</v>
      </c>
      <c r="H1019" s="14" t="n">
        <v>46283</v>
      </c>
      <c r="I1019" s="14" t="n">
        <v>46284</v>
      </c>
      <c r="J1019" s="12" t="s">
        <v>33</v>
      </c>
    </row>
    <row r="1020" customFormat="false" ht="15" hidden="false" customHeight="true" outlineLevel="0" collapsed="false">
      <c r="A1020" s="12" t="s">
        <v>2107</v>
      </c>
      <c r="B1020" s="13" t="n">
        <v>35.457</v>
      </c>
      <c r="C1020" s="13" t="n">
        <v>32.8</v>
      </c>
      <c r="D1020" s="12" t="s">
        <v>476</v>
      </c>
      <c r="E1020" s="12" t="s">
        <v>30</v>
      </c>
      <c r="F1020" s="12" t="s">
        <v>477</v>
      </c>
      <c r="G1020" s="12" t="s">
        <v>45</v>
      </c>
      <c r="H1020" s="14" t="n">
        <v>46283</v>
      </c>
      <c r="I1020" s="14" t="n">
        <v>46283</v>
      </c>
      <c r="J1020" s="12" t="s">
        <v>33</v>
      </c>
    </row>
    <row r="1021" customFormat="false" ht="15" hidden="false" customHeight="true" outlineLevel="0" collapsed="false">
      <c r="A1021" s="12" t="s">
        <v>2108</v>
      </c>
      <c r="B1021" s="13" t="n">
        <v>57.033</v>
      </c>
      <c r="C1021" s="13" t="n">
        <v>52.76</v>
      </c>
      <c r="D1021" s="12" t="s">
        <v>499</v>
      </c>
      <c r="E1021" s="12" t="s">
        <v>30</v>
      </c>
      <c r="F1021" s="12" t="s">
        <v>459</v>
      </c>
      <c r="G1021" s="12" t="s">
        <v>45</v>
      </c>
      <c r="H1021" s="14" t="n">
        <v>46283</v>
      </c>
      <c r="I1021" s="14" t="n">
        <v>46283</v>
      </c>
      <c r="J1021" s="12" t="s">
        <v>33</v>
      </c>
    </row>
    <row r="1022" customFormat="false" ht="15" hidden="false" customHeight="true" outlineLevel="0" collapsed="false">
      <c r="A1022" s="12" t="s">
        <v>2109</v>
      </c>
      <c r="B1022" s="13" t="n">
        <v>61.66</v>
      </c>
      <c r="C1022" s="13" t="n">
        <v>57.04</v>
      </c>
      <c r="D1022" s="12" t="s">
        <v>2110</v>
      </c>
      <c r="E1022" s="12" t="s">
        <v>30</v>
      </c>
      <c r="F1022" s="12" t="s">
        <v>589</v>
      </c>
      <c r="G1022" s="12" t="s">
        <v>41</v>
      </c>
      <c r="H1022" s="14" t="n">
        <v>46283</v>
      </c>
      <c r="I1022" s="14" t="n">
        <v>46283</v>
      </c>
      <c r="J1022" s="12" t="s">
        <v>33</v>
      </c>
    </row>
    <row r="1023" customFormat="false" ht="15" hidden="false" customHeight="true" outlineLevel="0" collapsed="false">
      <c r="A1023" s="12" t="s">
        <v>2111</v>
      </c>
      <c r="B1023" s="13" t="n">
        <v>460.938</v>
      </c>
      <c r="C1023" s="13" t="n">
        <v>426.4</v>
      </c>
      <c r="D1023" s="12" t="s">
        <v>2112</v>
      </c>
      <c r="E1023" s="12" t="s">
        <v>30</v>
      </c>
      <c r="F1023" s="12" t="s">
        <v>2055</v>
      </c>
      <c r="G1023" s="12" t="s">
        <v>45</v>
      </c>
      <c r="H1023" s="14" t="n">
        <v>46283</v>
      </c>
      <c r="I1023" s="14" t="n">
        <v>46283</v>
      </c>
      <c r="J1023" s="12" t="s">
        <v>254</v>
      </c>
    </row>
    <row r="1024" customFormat="false" ht="15" hidden="false" customHeight="true" outlineLevel="0" collapsed="false">
      <c r="A1024" s="12" t="s">
        <v>2113</v>
      </c>
      <c r="B1024" s="13" t="n">
        <v>214.776</v>
      </c>
      <c r="C1024" s="13" t="n">
        <v>200.3</v>
      </c>
      <c r="D1024" s="12" t="s">
        <v>887</v>
      </c>
      <c r="E1024" s="12" t="s">
        <v>30</v>
      </c>
      <c r="F1024" s="12" t="s">
        <v>239</v>
      </c>
      <c r="G1024" s="12"/>
      <c r="H1024" s="14" t="n">
        <v>46283</v>
      </c>
      <c r="I1024" s="14" t="n">
        <v>46283</v>
      </c>
      <c r="J1024" s="12" t="s">
        <v>254</v>
      </c>
    </row>
    <row r="1025" customFormat="false" ht="15" hidden="false" customHeight="true" outlineLevel="0" collapsed="false">
      <c r="A1025" s="12" t="s">
        <v>2114</v>
      </c>
      <c r="B1025" s="13" t="n">
        <v>128.4</v>
      </c>
      <c r="C1025" s="13" t="n">
        <v>120</v>
      </c>
      <c r="D1025" s="12" t="s">
        <v>1957</v>
      </c>
      <c r="E1025" s="12" t="s">
        <v>30</v>
      </c>
      <c r="F1025" s="12" t="s">
        <v>1572</v>
      </c>
      <c r="G1025" s="12" t="s">
        <v>37</v>
      </c>
      <c r="H1025" s="14" t="n">
        <v>46283</v>
      </c>
      <c r="I1025" s="14" t="n">
        <v>46284</v>
      </c>
      <c r="J1025" s="12" t="s">
        <v>33</v>
      </c>
    </row>
    <row r="1026" customFormat="false" ht="15" hidden="false" customHeight="true" outlineLevel="0" collapsed="false">
      <c r="A1026" s="12" t="s">
        <v>2115</v>
      </c>
      <c r="B1026" s="13" t="n">
        <v>1274.4</v>
      </c>
      <c r="C1026" s="13" t="n">
        <v>1200</v>
      </c>
      <c r="D1026" s="12" t="s">
        <v>889</v>
      </c>
      <c r="E1026" s="12" t="s">
        <v>30</v>
      </c>
      <c r="F1026" s="12" t="s">
        <v>890</v>
      </c>
      <c r="G1026" s="12"/>
      <c r="H1026" s="14" t="n">
        <v>46283</v>
      </c>
      <c r="I1026" s="14" t="n">
        <v>46283</v>
      </c>
      <c r="J1026" s="12" t="s">
        <v>254</v>
      </c>
    </row>
    <row r="1027" customFormat="false" ht="15" hidden="false" customHeight="true" outlineLevel="0" collapsed="false">
      <c r="A1027" s="12" t="s">
        <v>2116</v>
      </c>
      <c r="B1027" s="13" t="n">
        <v>339.84</v>
      </c>
      <c r="C1027" s="13" t="n">
        <v>320</v>
      </c>
      <c r="D1027" s="12" t="s">
        <v>889</v>
      </c>
      <c r="E1027" s="12" t="s">
        <v>30</v>
      </c>
      <c r="F1027" s="12" t="s">
        <v>890</v>
      </c>
      <c r="G1027" s="12"/>
      <c r="H1027" s="14" t="n">
        <v>46283</v>
      </c>
      <c r="I1027" s="14" t="n">
        <v>46283</v>
      </c>
      <c r="J1027" s="12" t="s">
        <v>254</v>
      </c>
    </row>
    <row r="1028" customFormat="false" ht="15" hidden="false" customHeight="true" outlineLevel="0" collapsed="false">
      <c r="A1028" s="12" t="s">
        <v>2117</v>
      </c>
      <c r="B1028" s="13" t="n">
        <v>1082.549</v>
      </c>
      <c r="C1028" s="13" t="n">
        <v>1050</v>
      </c>
      <c r="D1028" s="12" t="s">
        <v>2118</v>
      </c>
      <c r="E1028" s="12" t="s">
        <v>30</v>
      </c>
      <c r="F1028" s="12" t="s">
        <v>243</v>
      </c>
      <c r="G1028" s="12"/>
      <c r="H1028" s="14" t="n">
        <v>46283</v>
      </c>
      <c r="I1028" s="14" t="n">
        <v>46283</v>
      </c>
      <c r="J1028" s="12" t="s">
        <v>254</v>
      </c>
    </row>
    <row r="1029" customFormat="false" ht="15" hidden="false" customHeight="true" outlineLevel="0" collapsed="false">
      <c r="A1029" s="12" t="s">
        <v>2119</v>
      </c>
      <c r="B1029" s="13" t="n">
        <v>10790</v>
      </c>
      <c r="C1029" s="13" t="n">
        <v>10000</v>
      </c>
      <c r="D1029" s="12" t="s">
        <v>2120</v>
      </c>
      <c r="E1029" s="12" t="s">
        <v>248</v>
      </c>
      <c r="F1029" s="12" t="s">
        <v>904</v>
      </c>
      <c r="G1029" s="12" t="s">
        <v>240</v>
      </c>
      <c r="H1029" s="14" t="n">
        <v>46284</v>
      </c>
      <c r="I1029" s="14" t="n">
        <v>46284</v>
      </c>
      <c r="J1029" s="12" t="s">
        <v>354</v>
      </c>
    </row>
    <row r="1030" customFormat="false" ht="15" hidden="false" customHeight="true" outlineLevel="0" collapsed="false">
      <c r="A1030" s="12" t="s">
        <v>2121</v>
      </c>
      <c r="B1030" s="13" t="n">
        <v>9801</v>
      </c>
      <c r="C1030" s="13" t="n">
        <v>9000</v>
      </c>
      <c r="D1030" s="12" t="s">
        <v>2122</v>
      </c>
      <c r="E1030" s="12" t="s">
        <v>30</v>
      </c>
      <c r="F1030" s="12" t="s">
        <v>1100</v>
      </c>
      <c r="G1030" s="12" t="s">
        <v>653</v>
      </c>
      <c r="H1030" s="14" t="n">
        <v>46284</v>
      </c>
      <c r="I1030" s="14" t="n">
        <v>46286</v>
      </c>
      <c r="J1030" s="12" t="s">
        <v>33</v>
      </c>
    </row>
    <row r="1031" customFormat="false" ht="15" hidden="false" customHeight="true" outlineLevel="0" collapsed="false">
      <c r="A1031" s="12" t="s">
        <v>2123</v>
      </c>
      <c r="B1031" s="13" t="n">
        <v>13.102</v>
      </c>
      <c r="C1031" s="13" t="n">
        <v>12.12</v>
      </c>
      <c r="D1031" s="12" t="s">
        <v>2124</v>
      </c>
      <c r="E1031" s="12" t="s">
        <v>30</v>
      </c>
      <c r="F1031" s="12" t="s">
        <v>268</v>
      </c>
      <c r="G1031" s="12" t="s">
        <v>653</v>
      </c>
      <c r="H1031" s="14" t="n">
        <v>46284</v>
      </c>
      <c r="I1031" s="14" t="n">
        <v>46286</v>
      </c>
      <c r="J1031" s="12" t="s">
        <v>254</v>
      </c>
    </row>
    <row r="1032" customFormat="false" ht="15" hidden="false" customHeight="true" outlineLevel="0" collapsed="false">
      <c r="A1032" s="12" t="s">
        <v>2125</v>
      </c>
      <c r="B1032" s="13" t="n">
        <v>196.526</v>
      </c>
      <c r="C1032" s="13" t="n">
        <v>181.8</v>
      </c>
      <c r="D1032" s="12" t="s">
        <v>2126</v>
      </c>
      <c r="E1032" s="12" t="s">
        <v>30</v>
      </c>
      <c r="F1032" s="12" t="s">
        <v>413</v>
      </c>
      <c r="G1032" s="12" t="s">
        <v>646</v>
      </c>
      <c r="H1032" s="14" t="n">
        <v>46284</v>
      </c>
      <c r="I1032" s="14" t="n">
        <v>46286</v>
      </c>
      <c r="J1032" s="12" t="s">
        <v>254</v>
      </c>
    </row>
    <row r="1033" customFormat="false" ht="15" hidden="false" customHeight="true" outlineLevel="0" collapsed="false">
      <c r="A1033" s="12" t="s">
        <v>2127</v>
      </c>
      <c r="B1033" s="13" t="n">
        <v>26.203</v>
      </c>
      <c r="C1033" s="13" t="n">
        <v>24.24</v>
      </c>
      <c r="D1033" s="12" t="s">
        <v>2128</v>
      </c>
      <c r="E1033" s="12" t="s">
        <v>30</v>
      </c>
      <c r="F1033" s="12" t="s">
        <v>2129</v>
      </c>
      <c r="G1033" s="12" t="s">
        <v>653</v>
      </c>
      <c r="H1033" s="14" t="n">
        <v>46284</v>
      </c>
      <c r="I1033" s="14" t="n">
        <v>46286</v>
      </c>
      <c r="J1033" s="12" t="s">
        <v>254</v>
      </c>
    </row>
    <row r="1034" customFormat="false" ht="15" hidden="false" customHeight="true" outlineLevel="0" collapsed="false">
      <c r="A1034" s="12" t="s">
        <v>2130</v>
      </c>
      <c r="B1034" s="13" t="n">
        <v>265.926</v>
      </c>
      <c r="C1034" s="13" t="n">
        <v>246</v>
      </c>
      <c r="D1034" s="12" t="s">
        <v>2131</v>
      </c>
      <c r="E1034" s="12" t="s">
        <v>30</v>
      </c>
      <c r="F1034" s="12" t="s">
        <v>2132</v>
      </c>
      <c r="G1034" s="12" t="s">
        <v>653</v>
      </c>
      <c r="H1034" s="14" t="n">
        <v>46284</v>
      </c>
      <c r="I1034" s="14" t="n">
        <v>46286</v>
      </c>
      <c r="J1034" s="12" t="s">
        <v>354</v>
      </c>
    </row>
    <row r="1035" customFormat="false" ht="15" hidden="false" customHeight="true" outlineLevel="0" collapsed="false">
      <c r="A1035" s="12" t="s">
        <v>2133</v>
      </c>
      <c r="B1035" s="13" t="n">
        <v>10.615</v>
      </c>
      <c r="C1035" s="13" t="n">
        <v>10.1</v>
      </c>
      <c r="D1035" s="12" t="s">
        <v>2134</v>
      </c>
      <c r="E1035" s="12" t="s">
        <v>30</v>
      </c>
      <c r="F1035" s="12" t="s">
        <v>2135</v>
      </c>
      <c r="G1035" s="12" t="s">
        <v>653</v>
      </c>
      <c r="H1035" s="14" t="n">
        <v>46284</v>
      </c>
      <c r="I1035" s="14" t="n">
        <v>46286</v>
      </c>
      <c r="J1035" s="12" t="s">
        <v>254</v>
      </c>
    </row>
    <row r="1036" customFormat="false" ht="15" hidden="false" customHeight="true" outlineLevel="0" collapsed="false">
      <c r="A1036" s="12" t="s">
        <v>2136</v>
      </c>
      <c r="B1036" s="13" t="n">
        <v>65.509</v>
      </c>
      <c r="C1036" s="13" t="n">
        <v>60.6</v>
      </c>
      <c r="D1036" s="12" t="s">
        <v>2126</v>
      </c>
      <c r="E1036" s="12" t="s">
        <v>30</v>
      </c>
      <c r="F1036" s="12" t="s">
        <v>239</v>
      </c>
      <c r="G1036" s="12" t="s">
        <v>646</v>
      </c>
      <c r="H1036" s="14" t="n">
        <v>46284</v>
      </c>
      <c r="I1036" s="14" t="n">
        <v>46286</v>
      </c>
      <c r="J1036" s="12" t="s">
        <v>254</v>
      </c>
    </row>
    <row r="1037" customFormat="false" ht="15" hidden="false" customHeight="true" outlineLevel="0" collapsed="false">
      <c r="A1037" s="12" t="s">
        <v>2137</v>
      </c>
      <c r="B1037" s="13" t="n">
        <v>123.129</v>
      </c>
      <c r="C1037" s="13" t="n">
        <v>112.34</v>
      </c>
      <c r="D1037" s="12" t="s">
        <v>2138</v>
      </c>
      <c r="E1037" s="12" t="s">
        <v>30</v>
      </c>
      <c r="F1037" s="12" t="s">
        <v>2139</v>
      </c>
      <c r="G1037" s="12" t="s">
        <v>653</v>
      </c>
      <c r="H1037" s="14" t="n">
        <v>46284</v>
      </c>
      <c r="I1037" s="14" t="n">
        <v>46286</v>
      </c>
      <c r="J1037" s="12" t="s">
        <v>254</v>
      </c>
    </row>
    <row r="1038" customFormat="false" ht="15" hidden="false" customHeight="true" outlineLevel="0" collapsed="false">
      <c r="A1038" s="12" t="s">
        <v>2140</v>
      </c>
      <c r="B1038" s="13" t="n">
        <v>17.728</v>
      </c>
      <c r="C1038" s="13" t="n">
        <v>16.4</v>
      </c>
      <c r="D1038" s="12" t="s">
        <v>2141</v>
      </c>
      <c r="E1038" s="12" t="s">
        <v>30</v>
      </c>
      <c r="F1038" s="12" t="s">
        <v>2142</v>
      </c>
      <c r="G1038" s="12" t="s">
        <v>653</v>
      </c>
      <c r="H1038" s="14" t="n">
        <v>46284</v>
      </c>
      <c r="I1038" s="14" t="n">
        <v>46286</v>
      </c>
      <c r="J1038" s="12" t="s">
        <v>354</v>
      </c>
    </row>
    <row r="1039" customFormat="false" ht="15" hidden="false" customHeight="true" outlineLevel="0" collapsed="false">
      <c r="A1039" s="12" t="s">
        <v>2143</v>
      </c>
      <c r="B1039" s="13" t="n">
        <v>177.284</v>
      </c>
      <c r="C1039" s="13" t="n">
        <v>164</v>
      </c>
      <c r="D1039" s="12" t="s">
        <v>2126</v>
      </c>
      <c r="E1039" s="12" t="s">
        <v>30</v>
      </c>
      <c r="F1039" s="12" t="s">
        <v>239</v>
      </c>
      <c r="G1039" s="12" t="s">
        <v>646</v>
      </c>
      <c r="H1039" s="14" t="n">
        <v>46284</v>
      </c>
      <c r="I1039" s="14" t="n">
        <v>46283</v>
      </c>
      <c r="J1039" s="12" t="s">
        <v>33</v>
      </c>
    </row>
    <row r="1040" customFormat="false" ht="15" hidden="false" customHeight="true" outlineLevel="0" collapsed="false">
      <c r="A1040" s="12" t="s">
        <v>2144</v>
      </c>
      <c r="B1040" s="13" t="n">
        <v>70.914</v>
      </c>
      <c r="C1040" s="13" t="n">
        <v>65.6</v>
      </c>
      <c r="D1040" s="12" t="s">
        <v>2145</v>
      </c>
      <c r="E1040" s="12" t="s">
        <v>30</v>
      </c>
      <c r="F1040" s="12" t="s">
        <v>2146</v>
      </c>
      <c r="G1040" s="12" t="s">
        <v>653</v>
      </c>
      <c r="H1040" s="14" t="n">
        <v>46284</v>
      </c>
      <c r="I1040" s="14" t="n">
        <v>46286</v>
      </c>
      <c r="J1040" s="12" t="s">
        <v>254</v>
      </c>
    </row>
    <row r="1041" customFormat="false" ht="15" hidden="false" customHeight="true" outlineLevel="0" collapsed="false">
      <c r="A1041" s="12" t="s">
        <v>2147</v>
      </c>
      <c r="B1041" s="13" t="n">
        <v>17.728</v>
      </c>
      <c r="C1041" s="13" t="n">
        <v>16.4</v>
      </c>
      <c r="D1041" s="12" t="s">
        <v>2148</v>
      </c>
      <c r="E1041" s="12" t="s">
        <v>30</v>
      </c>
      <c r="F1041" s="12" t="s">
        <v>707</v>
      </c>
      <c r="G1041" s="12" t="s">
        <v>646</v>
      </c>
      <c r="H1041" s="14" t="n">
        <v>46284</v>
      </c>
      <c r="I1041" s="14" t="n">
        <v>46286</v>
      </c>
      <c r="J1041" s="12" t="s">
        <v>354</v>
      </c>
    </row>
    <row r="1042" customFormat="false" ht="15" hidden="false" customHeight="true" outlineLevel="0" collapsed="false">
      <c r="A1042" s="12" t="s">
        <v>2149</v>
      </c>
      <c r="B1042" s="13" t="n">
        <v>187.147</v>
      </c>
      <c r="C1042" s="13" t="n">
        <v>175.74</v>
      </c>
      <c r="D1042" s="12" t="s">
        <v>2150</v>
      </c>
      <c r="E1042" s="12" t="s">
        <v>30</v>
      </c>
      <c r="F1042" s="12" t="s">
        <v>2151</v>
      </c>
      <c r="G1042" s="12" t="s">
        <v>653</v>
      </c>
      <c r="H1042" s="14" t="n">
        <v>46284</v>
      </c>
      <c r="I1042" s="14" t="n">
        <v>46286</v>
      </c>
      <c r="J1042" s="12" t="s">
        <v>354</v>
      </c>
    </row>
    <row r="1043" customFormat="false" ht="15" hidden="false" customHeight="true" outlineLevel="0" collapsed="false">
      <c r="A1043" s="12" t="s">
        <v>2152</v>
      </c>
      <c r="B1043" s="13" t="n">
        <v>107.308</v>
      </c>
      <c r="C1043" s="13" t="n">
        <v>98.58</v>
      </c>
      <c r="D1043" s="12" t="s">
        <v>2153</v>
      </c>
      <c r="E1043" s="12" t="s">
        <v>30</v>
      </c>
      <c r="F1043" s="12" t="s">
        <v>239</v>
      </c>
      <c r="G1043" s="12" t="s">
        <v>646</v>
      </c>
      <c r="H1043" s="14" t="n">
        <v>46284</v>
      </c>
      <c r="I1043" s="14" t="n">
        <v>46286</v>
      </c>
      <c r="J1043" s="12" t="s">
        <v>354</v>
      </c>
    </row>
    <row r="1044" customFormat="false" ht="15" hidden="false" customHeight="true" outlineLevel="0" collapsed="false">
      <c r="A1044" s="12" t="s">
        <v>2154</v>
      </c>
      <c r="B1044" s="13" t="n">
        <v>112.201</v>
      </c>
      <c r="C1044" s="13" t="n">
        <v>104.1</v>
      </c>
      <c r="D1044" s="12" t="s">
        <v>2155</v>
      </c>
      <c r="E1044" s="12" t="s">
        <v>30</v>
      </c>
      <c r="F1044" s="12" t="s">
        <v>2156</v>
      </c>
      <c r="G1044" s="12" t="s">
        <v>653</v>
      </c>
      <c r="H1044" s="14" t="n">
        <v>46284</v>
      </c>
      <c r="I1044" s="14" t="n">
        <v>46286</v>
      </c>
      <c r="J1044" s="12" t="s">
        <v>354</v>
      </c>
    </row>
    <row r="1045" customFormat="false" ht="15" hidden="false" customHeight="true" outlineLevel="0" collapsed="false">
      <c r="A1045" s="12" t="s">
        <v>2157</v>
      </c>
      <c r="B1045" s="13" t="n">
        <v>97.596</v>
      </c>
      <c r="C1045" s="13" t="n">
        <v>90.9</v>
      </c>
      <c r="D1045" s="12" t="s">
        <v>2158</v>
      </c>
      <c r="E1045" s="12" t="s">
        <v>30</v>
      </c>
      <c r="F1045" s="12" t="s">
        <v>2159</v>
      </c>
      <c r="G1045" s="12" t="s">
        <v>653</v>
      </c>
      <c r="H1045" s="14" t="n">
        <v>46284</v>
      </c>
      <c r="I1045" s="14" t="n">
        <v>46286</v>
      </c>
      <c r="J1045" s="12" t="s">
        <v>354</v>
      </c>
    </row>
    <row r="1046" customFormat="false" ht="15" hidden="false" customHeight="true" outlineLevel="0" collapsed="false">
      <c r="A1046" s="12" t="s">
        <v>2160</v>
      </c>
      <c r="B1046" s="13" t="n">
        <v>97.94</v>
      </c>
      <c r="C1046" s="13" t="n">
        <v>90.9</v>
      </c>
      <c r="D1046" s="12" t="s">
        <v>2138</v>
      </c>
      <c r="E1046" s="12" t="s">
        <v>30</v>
      </c>
      <c r="F1046" s="12" t="s">
        <v>2139</v>
      </c>
      <c r="G1046" s="12" t="s">
        <v>653</v>
      </c>
      <c r="H1046" s="14" t="n">
        <v>46284</v>
      </c>
      <c r="I1046" s="14" t="n">
        <v>46286</v>
      </c>
      <c r="J1046" s="12" t="s">
        <v>254</v>
      </c>
    </row>
    <row r="1047" customFormat="false" ht="15" hidden="false" customHeight="true" outlineLevel="0" collapsed="false">
      <c r="A1047" s="12" t="s">
        <v>2161</v>
      </c>
      <c r="B1047" s="13" t="n">
        <v>56.595</v>
      </c>
      <c r="C1047" s="13" t="n">
        <v>51.6</v>
      </c>
      <c r="D1047" s="12" t="s">
        <v>2162</v>
      </c>
      <c r="E1047" s="12" t="s">
        <v>30</v>
      </c>
      <c r="F1047" s="12" t="s">
        <v>1191</v>
      </c>
      <c r="G1047" s="12" t="s">
        <v>653</v>
      </c>
      <c r="H1047" s="14" t="n">
        <v>46284</v>
      </c>
      <c r="I1047" s="14" t="n">
        <v>46283</v>
      </c>
      <c r="J1047" s="12" t="s">
        <v>33</v>
      </c>
    </row>
    <row r="1048" customFormat="false" ht="15" hidden="false" customHeight="true" outlineLevel="0" collapsed="false">
      <c r="A1048" s="12" t="s">
        <v>2163</v>
      </c>
      <c r="B1048" s="13" t="n">
        <v>101.879</v>
      </c>
      <c r="C1048" s="13" t="n">
        <v>94</v>
      </c>
      <c r="D1048" s="12" t="s">
        <v>2164</v>
      </c>
      <c r="E1048" s="12" t="s">
        <v>30</v>
      </c>
      <c r="F1048" s="12" t="s">
        <v>239</v>
      </c>
      <c r="G1048" s="12" t="s">
        <v>646</v>
      </c>
      <c r="H1048" s="14" t="n">
        <v>46284</v>
      </c>
      <c r="I1048" s="14" t="n">
        <v>46286</v>
      </c>
      <c r="J1048" s="12" t="s">
        <v>354</v>
      </c>
    </row>
    <row r="1049" customFormat="false" ht="15" hidden="false" customHeight="true" outlineLevel="0" collapsed="false">
      <c r="A1049" s="12" t="s">
        <v>2165</v>
      </c>
      <c r="B1049" s="13" t="n">
        <v>985.553</v>
      </c>
      <c r="C1049" s="13" t="n">
        <v>919.4</v>
      </c>
      <c r="D1049" s="12" t="s">
        <v>2166</v>
      </c>
      <c r="E1049" s="12" t="s">
        <v>30</v>
      </c>
      <c r="F1049" s="12" t="s">
        <v>2167</v>
      </c>
      <c r="G1049" s="12" t="s">
        <v>653</v>
      </c>
      <c r="H1049" s="14" t="n">
        <v>46284</v>
      </c>
      <c r="I1049" s="14" t="n">
        <v>46286</v>
      </c>
      <c r="J1049" s="12" t="s">
        <v>254</v>
      </c>
    </row>
    <row r="1050" customFormat="false" ht="15" hidden="false" customHeight="true" outlineLevel="0" collapsed="false">
      <c r="A1050" s="12" t="s">
        <v>2168</v>
      </c>
      <c r="B1050" s="13" t="n">
        <v>205.209</v>
      </c>
      <c r="C1050" s="13" t="n">
        <v>193.5</v>
      </c>
      <c r="D1050" s="12" t="s">
        <v>2134</v>
      </c>
      <c r="E1050" s="12" t="s">
        <v>30</v>
      </c>
      <c r="F1050" s="12" t="s">
        <v>2135</v>
      </c>
      <c r="G1050" s="12" t="s">
        <v>653</v>
      </c>
      <c r="H1050" s="14" t="n">
        <v>46284</v>
      </c>
      <c r="I1050" s="14" t="n">
        <v>46286</v>
      </c>
      <c r="J1050" s="12" t="s">
        <v>254</v>
      </c>
    </row>
    <row r="1051" customFormat="false" ht="15" hidden="false" customHeight="true" outlineLevel="0" collapsed="false">
      <c r="A1051" s="12" t="s">
        <v>2169</v>
      </c>
      <c r="B1051" s="13" t="n">
        <v>129.199</v>
      </c>
      <c r="C1051" s="13" t="n">
        <v>121.2</v>
      </c>
      <c r="D1051" s="12" t="s">
        <v>2170</v>
      </c>
      <c r="E1051" s="12" t="s">
        <v>30</v>
      </c>
      <c r="F1051" s="12" t="s">
        <v>727</v>
      </c>
      <c r="G1051" s="12" t="s">
        <v>653</v>
      </c>
      <c r="H1051" s="14" t="n">
        <v>46284</v>
      </c>
      <c r="I1051" s="14" t="n">
        <v>46286</v>
      </c>
      <c r="J1051" s="12" t="s">
        <v>354</v>
      </c>
    </row>
    <row r="1052" customFormat="false" ht="15" hidden="false" customHeight="true" outlineLevel="0" collapsed="false">
      <c r="A1052" s="12" t="s">
        <v>2171</v>
      </c>
      <c r="B1052" s="13" t="n">
        <v>61.753</v>
      </c>
      <c r="C1052" s="13" t="n">
        <v>54.24</v>
      </c>
      <c r="D1052" s="12" t="s">
        <v>2172</v>
      </c>
      <c r="E1052" s="12" t="s">
        <v>30</v>
      </c>
      <c r="F1052" s="12" t="s">
        <v>2132</v>
      </c>
      <c r="G1052" s="12" t="s">
        <v>653</v>
      </c>
      <c r="H1052" s="14" t="n">
        <v>46284</v>
      </c>
      <c r="I1052" s="14" t="n">
        <v>46286</v>
      </c>
      <c r="J1052" s="12" t="s">
        <v>354</v>
      </c>
    </row>
    <row r="1053" customFormat="false" ht="15" hidden="false" customHeight="true" outlineLevel="0" collapsed="false">
      <c r="A1053" s="12" t="s">
        <v>2173</v>
      </c>
      <c r="B1053" s="13" t="n">
        <v>98.627</v>
      </c>
      <c r="C1053" s="13" t="n">
        <v>90.9</v>
      </c>
      <c r="D1053" s="12" t="s">
        <v>2174</v>
      </c>
      <c r="E1053" s="12" t="s">
        <v>30</v>
      </c>
      <c r="F1053" s="12" t="s">
        <v>2175</v>
      </c>
      <c r="G1053" s="12" t="s">
        <v>653</v>
      </c>
      <c r="H1053" s="14" t="n">
        <v>46284</v>
      </c>
      <c r="I1053" s="14" t="n">
        <v>46286</v>
      </c>
      <c r="J1053" s="12" t="s">
        <v>354</v>
      </c>
    </row>
    <row r="1054" customFormat="false" ht="15" hidden="false" customHeight="true" outlineLevel="0" collapsed="false">
      <c r="A1054" s="12" t="s">
        <v>2176</v>
      </c>
      <c r="B1054" s="13" t="n">
        <v>114.798</v>
      </c>
      <c r="C1054" s="13" t="n">
        <v>107.4</v>
      </c>
      <c r="D1054" s="12" t="s">
        <v>2177</v>
      </c>
      <c r="E1054" s="12" t="s">
        <v>30</v>
      </c>
      <c r="F1054" s="12" t="s">
        <v>2178</v>
      </c>
      <c r="G1054" s="12" t="s">
        <v>653</v>
      </c>
      <c r="H1054" s="14" t="n">
        <v>46284</v>
      </c>
      <c r="I1054" s="14" t="n">
        <v>46286</v>
      </c>
      <c r="J1054" s="12" t="s">
        <v>354</v>
      </c>
    </row>
    <row r="1055" customFormat="false" ht="15" hidden="false" customHeight="true" outlineLevel="0" collapsed="false">
      <c r="A1055" s="12" t="s">
        <v>2179</v>
      </c>
      <c r="B1055" s="13" t="n">
        <v>88.642</v>
      </c>
      <c r="C1055" s="13" t="n">
        <v>82</v>
      </c>
      <c r="D1055" s="12" t="s">
        <v>2180</v>
      </c>
      <c r="E1055" s="12" t="s">
        <v>30</v>
      </c>
      <c r="F1055" s="12" t="s">
        <v>759</v>
      </c>
      <c r="G1055" s="12" t="s">
        <v>653</v>
      </c>
      <c r="H1055" s="14" t="n">
        <v>46284</v>
      </c>
      <c r="I1055" s="14" t="n">
        <v>46286</v>
      </c>
      <c r="J1055" s="12" t="s">
        <v>354</v>
      </c>
    </row>
    <row r="1056" customFormat="false" ht="15" hidden="false" customHeight="true" outlineLevel="0" collapsed="false">
      <c r="A1056" s="12" t="s">
        <v>2181</v>
      </c>
      <c r="B1056" s="13" t="n">
        <v>131.017</v>
      </c>
      <c r="C1056" s="13" t="n">
        <v>121.2</v>
      </c>
      <c r="D1056" s="12" t="s">
        <v>2182</v>
      </c>
      <c r="E1056" s="12" t="s">
        <v>30</v>
      </c>
      <c r="F1056" s="12" t="s">
        <v>2167</v>
      </c>
      <c r="G1056" s="12" t="s">
        <v>653</v>
      </c>
      <c r="H1056" s="14" t="n">
        <v>46284</v>
      </c>
      <c r="I1056" s="14" t="n">
        <v>46286</v>
      </c>
      <c r="J1056" s="12" t="s">
        <v>254</v>
      </c>
    </row>
    <row r="1057" customFormat="false" ht="15" hidden="false" customHeight="true" outlineLevel="0" collapsed="false">
      <c r="A1057" s="12" t="s">
        <v>2183</v>
      </c>
      <c r="B1057" s="13" t="n">
        <v>10.615</v>
      </c>
      <c r="C1057" s="13" t="n">
        <v>10.1</v>
      </c>
      <c r="D1057" s="12" t="s">
        <v>2184</v>
      </c>
      <c r="E1057" s="12" t="s">
        <v>30</v>
      </c>
      <c r="F1057" s="12" t="s">
        <v>2135</v>
      </c>
      <c r="G1057" s="12" t="s">
        <v>653</v>
      </c>
      <c r="H1057" s="14" t="n">
        <v>46284</v>
      </c>
      <c r="I1057" s="14" t="n">
        <v>46286</v>
      </c>
      <c r="J1057" s="12" t="s">
        <v>254</v>
      </c>
    </row>
    <row r="1058" customFormat="false" ht="15" hidden="false" customHeight="true" outlineLevel="0" collapsed="false">
      <c r="A1058" s="12" t="s">
        <v>2185</v>
      </c>
      <c r="B1058" s="13" t="n">
        <v>26.203</v>
      </c>
      <c r="C1058" s="13" t="n">
        <v>24.24</v>
      </c>
      <c r="D1058" s="12" t="s">
        <v>660</v>
      </c>
      <c r="E1058" s="12" t="s">
        <v>30</v>
      </c>
      <c r="F1058" s="12" t="s">
        <v>239</v>
      </c>
      <c r="G1058" s="12" t="s">
        <v>646</v>
      </c>
      <c r="H1058" s="14" t="n">
        <v>46284</v>
      </c>
      <c r="I1058" s="14" t="n">
        <v>46286</v>
      </c>
      <c r="J1058" s="12" t="s">
        <v>254</v>
      </c>
    </row>
    <row r="1059" customFormat="false" ht="15" hidden="false" customHeight="true" outlineLevel="0" collapsed="false">
      <c r="A1059" s="12" t="s">
        <v>2186</v>
      </c>
      <c r="B1059" s="13" t="n">
        <v>62.724</v>
      </c>
      <c r="C1059" s="13" t="n">
        <v>57.32</v>
      </c>
      <c r="D1059" s="12" t="s">
        <v>2187</v>
      </c>
      <c r="E1059" s="12" t="s">
        <v>30</v>
      </c>
      <c r="F1059" s="12" t="s">
        <v>2188</v>
      </c>
      <c r="G1059" s="12" t="s">
        <v>653</v>
      </c>
      <c r="H1059" s="14" t="n">
        <v>46284</v>
      </c>
      <c r="I1059" s="14" t="n">
        <v>46286</v>
      </c>
      <c r="J1059" s="12" t="s">
        <v>254</v>
      </c>
    </row>
    <row r="1060" customFormat="false" ht="15" hidden="false" customHeight="true" outlineLevel="0" collapsed="false">
      <c r="A1060" s="12" t="s">
        <v>2189</v>
      </c>
      <c r="B1060" s="13" t="n">
        <v>5.925</v>
      </c>
      <c r="C1060" s="13" t="n">
        <v>5</v>
      </c>
      <c r="D1060" s="12" t="s">
        <v>2190</v>
      </c>
      <c r="E1060" s="12" t="s">
        <v>30</v>
      </c>
      <c r="F1060" s="12" t="s">
        <v>2191</v>
      </c>
      <c r="G1060" s="12" t="s">
        <v>653</v>
      </c>
      <c r="H1060" s="14" t="n">
        <v>46284</v>
      </c>
      <c r="I1060" s="14" t="n">
        <v>46286</v>
      </c>
      <c r="J1060" s="12" t="s">
        <v>354</v>
      </c>
    </row>
    <row r="1061" customFormat="false" ht="15" hidden="false" customHeight="true" outlineLevel="0" collapsed="false">
      <c r="A1061" s="12" t="s">
        <v>2192</v>
      </c>
      <c r="B1061" s="13" t="n">
        <v>41.475</v>
      </c>
      <c r="C1061" s="13" t="n">
        <v>35</v>
      </c>
      <c r="D1061" s="12" t="s">
        <v>2193</v>
      </c>
      <c r="E1061" s="12" t="s">
        <v>30</v>
      </c>
      <c r="F1061" s="12" t="s">
        <v>1100</v>
      </c>
      <c r="G1061" s="12" t="s">
        <v>653</v>
      </c>
      <c r="H1061" s="14" t="n">
        <v>46284</v>
      </c>
      <c r="I1061" s="14" t="n">
        <v>46286</v>
      </c>
      <c r="J1061" s="12" t="s">
        <v>254</v>
      </c>
    </row>
    <row r="1062" customFormat="false" ht="15" hidden="false" customHeight="true" outlineLevel="0" collapsed="false">
      <c r="A1062" s="12" t="s">
        <v>2194</v>
      </c>
      <c r="B1062" s="13" t="n">
        <v>53.076</v>
      </c>
      <c r="C1062" s="13" t="n">
        <v>50.5</v>
      </c>
      <c r="D1062" s="12" t="s">
        <v>2145</v>
      </c>
      <c r="E1062" s="12" t="s">
        <v>30</v>
      </c>
      <c r="F1062" s="12" t="s">
        <v>2146</v>
      </c>
      <c r="G1062" s="12" t="s">
        <v>653</v>
      </c>
      <c r="H1062" s="14" t="n">
        <v>46284</v>
      </c>
      <c r="I1062" s="14" t="n">
        <v>46286</v>
      </c>
      <c r="J1062" s="12" t="s">
        <v>354</v>
      </c>
    </row>
    <row r="1063" customFormat="false" ht="15" hidden="false" customHeight="true" outlineLevel="0" collapsed="false">
      <c r="A1063" s="12" t="s">
        <v>2195</v>
      </c>
      <c r="B1063" s="13" t="n">
        <v>35.457</v>
      </c>
      <c r="C1063" s="13" t="n">
        <v>32.8</v>
      </c>
      <c r="D1063" s="12" t="s">
        <v>2196</v>
      </c>
      <c r="E1063" s="12" t="s">
        <v>30</v>
      </c>
      <c r="F1063" s="12" t="s">
        <v>243</v>
      </c>
      <c r="G1063" s="12" t="s">
        <v>646</v>
      </c>
      <c r="H1063" s="14" t="n">
        <v>46284</v>
      </c>
      <c r="I1063" s="14" t="n">
        <v>46286</v>
      </c>
      <c r="J1063" s="12" t="s">
        <v>354</v>
      </c>
    </row>
    <row r="1064" customFormat="false" ht="15" hidden="false" customHeight="true" outlineLevel="0" collapsed="false">
      <c r="A1064" s="12" t="s">
        <v>2197</v>
      </c>
      <c r="B1064" s="13" t="n">
        <v>17.728</v>
      </c>
      <c r="C1064" s="13" t="n">
        <v>16.4</v>
      </c>
      <c r="D1064" s="12" t="s">
        <v>2198</v>
      </c>
      <c r="E1064" s="12" t="s">
        <v>30</v>
      </c>
      <c r="F1064" s="12" t="s">
        <v>2146</v>
      </c>
      <c r="G1064" s="12" t="s">
        <v>653</v>
      </c>
      <c r="H1064" s="14" t="n">
        <v>46284</v>
      </c>
      <c r="I1064" s="14" t="n">
        <v>46286</v>
      </c>
      <c r="J1064" s="12" t="s">
        <v>354</v>
      </c>
    </row>
    <row r="1065" customFormat="false" ht="15" hidden="false" customHeight="true" outlineLevel="0" collapsed="false">
      <c r="A1065" s="12" t="s">
        <v>2199</v>
      </c>
      <c r="B1065" s="13" t="n">
        <v>88.642</v>
      </c>
      <c r="C1065" s="13" t="n">
        <v>82</v>
      </c>
      <c r="D1065" s="12" t="s">
        <v>751</v>
      </c>
      <c r="E1065" s="12" t="s">
        <v>30</v>
      </c>
      <c r="F1065" s="12" t="s">
        <v>268</v>
      </c>
      <c r="G1065" s="12" t="s">
        <v>646</v>
      </c>
      <c r="H1065" s="14" t="n">
        <v>46284</v>
      </c>
      <c r="I1065" s="14" t="n">
        <v>46286</v>
      </c>
      <c r="J1065" s="12" t="s">
        <v>354</v>
      </c>
    </row>
    <row r="1066" customFormat="false" ht="15" hidden="false" customHeight="true" outlineLevel="0" collapsed="false">
      <c r="A1066" s="12" t="s">
        <v>2200</v>
      </c>
      <c r="B1066" s="13" t="n">
        <v>22.465</v>
      </c>
      <c r="C1066" s="13" t="n">
        <v>20.1</v>
      </c>
      <c r="D1066" s="12" t="s">
        <v>2201</v>
      </c>
      <c r="E1066" s="12" t="s">
        <v>30</v>
      </c>
      <c r="F1066" s="12" t="s">
        <v>2202</v>
      </c>
      <c r="G1066" s="12" t="s">
        <v>653</v>
      </c>
      <c r="H1066" s="14" t="n">
        <v>46284</v>
      </c>
      <c r="I1066" s="14" t="n">
        <v>46286</v>
      </c>
      <c r="J1066" s="12" t="s">
        <v>254</v>
      </c>
    </row>
    <row r="1067" customFormat="false" ht="15" hidden="false" customHeight="true" outlineLevel="0" collapsed="false">
      <c r="A1067" s="12" t="s">
        <v>2203</v>
      </c>
      <c r="B1067" s="13" t="n">
        <v>17.728</v>
      </c>
      <c r="C1067" s="13" t="n">
        <v>16.4</v>
      </c>
      <c r="D1067" s="12" t="s">
        <v>2204</v>
      </c>
      <c r="E1067" s="12" t="s">
        <v>30</v>
      </c>
      <c r="F1067" s="12" t="s">
        <v>697</v>
      </c>
      <c r="G1067" s="12" t="s">
        <v>653</v>
      </c>
      <c r="H1067" s="14" t="n">
        <v>46284</v>
      </c>
      <c r="I1067" s="14" t="n">
        <v>46286</v>
      </c>
      <c r="J1067" s="12" t="s">
        <v>254</v>
      </c>
    </row>
    <row r="1068" customFormat="false" ht="15" hidden="false" customHeight="true" outlineLevel="0" collapsed="false">
      <c r="A1068" s="12" t="s">
        <v>2205</v>
      </c>
      <c r="B1068" s="13" t="n">
        <v>35.457</v>
      </c>
      <c r="C1068" s="13" t="n">
        <v>32.8</v>
      </c>
      <c r="D1068" s="12" t="s">
        <v>2206</v>
      </c>
      <c r="E1068" s="12" t="s">
        <v>30</v>
      </c>
      <c r="F1068" s="12" t="s">
        <v>2207</v>
      </c>
      <c r="G1068" s="12" t="s">
        <v>653</v>
      </c>
      <c r="H1068" s="14" t="n">
        <v>46284</v>
      </c>
      <c r="I1068" s="14" t="n">
        <v>46286</v>
      </c>
      <c r="J1068" s="12" t="s">
        <v>354</v>
      </c>
    </row>
    <row r="1069" customFormat="false" ht="15" hidden="false" customHeight="true" outlineLevel="0" collapsed="false">
      <c r="A1069" s="12" t="s">
        <v>2208</v>
      </c>
      <c r="B1069" s="13" t="n">
        <v>106.37</v>
      </c>
      <c r="C1069" s="13" t="n">
        <v>98.4</v>
      </c>
      <c r="D1069" s="12" t="s">
        <v>623</v>
      </c>
      <c r="E1069" s="12" t="s">
        <v>30</v>
      </c>
      <c r="F1069" s="12" t="s">
        <v>263</v>
      </c>
      <c r="G1069" s="12" t="s">
        <v>653</v>
      </c>
      <c r="H1069" s="14" t="n">
        <v>46284</v>
      </c>
      <c r="I1069" s="14" t="n">
        <v>46286</v>
      </c>
      <c r="J1069" s="12" t="s">
        <v>254</v>
      </c>
    </row>
    <row r="1070" customFormat="false" ht="15" hidden="false" customHeight="true" outlineLevel="0" collapsed="false">
      <c r="A1070" s="12" t="s">
        <v>2209</v>
      </c>
      <c r="B1070" s="13" t="n">
        <v>28.343</v>
      </c>
      <c r="C1070" s="13" t="n">
        <v>26.5</v>
      </c>
      <c r="D1070" s="12" t="s">
        <v>2210</v>
      </c>
      <c r="E1070" s="12" t="s">
        <v>30</v>
      </c>
      <c r="F1070" s="12" t="s">
        <v>2211</v>
      </c>
      <c r="G1070" s="12" t="s">
        <v>653</v>
      </c>
      <c r="H1070" s="14" t="n">
        <v>46284</v>
      </c>
      <c r="I1070" s="14" t="n">
        <v>46286</v>
      </c>
      <c r="J1070" s="12" t="s">
        <v>254</v>
      </c>
    </row>
    <row r="1071" customFormat="false" ht="15" hidden="false" customHeight="true" outlineLevel="0" collapsed="false">
      <c r="A1071" s="12" t="s">
        <v>2212</v>
      </c>
      <c r="B1071" s="13" t="n">
        <v>10.615</v>
      </c>
      <c r="C1071" s="13" t="n">
        <v>10.1</v>
      </c>
      <c r="D1071" s="12" t="s">
        <v>2213</v>
      </c>
      <c r="E1071" s="12" t="s">
        <v>30</v>
      </c>
      <c r="F1071" s="12" t="s">
        <v>2214</v>
      </c>
      <c r="G1071" s="12" t="s">
        <v>653</v>
      </c>
      <c r="H1071" s="14" t="n">
        <v>46284</v>
      </c>
      <c r="I1071" s="14" t="n">
        <v>46286</v>
      </c>
      <c r="J1071" s="12" t="s">
        <v>254</v>
      </c>
    </row>
    <row r="1072" customFormat="false" ht="15" hidden="false" customHeight="true" outlineLevel="0" collapsed="false">
      <c r="A1072" s="12" t="s">
        <v>2215</v>
      </c>
      <c r="B1072" s="13" t="n">
        <v>40.24</v>
      </c>
      <c r="C1072" s="13" t="n">
        <v>35.1</v>
      </c>
      <c r="D1072" s="12" t="s">
        <v>660</v>
      </c>
      <c r="E1072" s="12" t="s">
        <v>30</v>
      </c>
      <c r="F1072" s="12" t="s">
        <v>239</v>
      </c>
      <c r="G1072" s="12" t="s">
        <v>646</v>
      </c>
      <c r="H1072" s="14" t="n">
        <v>46284</v>
      </c>
      <c r="I1072" s="14" t="n">
        <v>46286</v>
      </c>
      <c r="J1072" s="12" t="s">
        <v>254</v>
      </c>
    </row>
    <row r="1073" customFormat="false" ht="15" hidden="false" customHeight="true" outlineLevel="0" collapsed="false">
      <c r="A1073" s="12" t="s">
        <v>2216</v>
      </c>
      <c r="B1073" s="13" t="n">
        <v>430.27</v>
      </c>
      <c r="C1073" s="13" t="n">
        <v>394.94</v>
      </c>
      <c r="D1073" s="12" t="s">
        <v>2217</v>
      </c>
      <c r="E1073" s="12" t="s">
        <v>30</v>
      </c>
      <c r="F1073" s="12" t="s">
        <v>664</v>
      </c>
      <c r="G1073" s="12" t="s">
        <v>653</v>
      </c>
      <c r="H1073" s="14" t="n">
        <v>46284</v>
      </c>
      <c r="I1073" s="14" t="n">
        <v>46286</v>
      </c>
      <c r="J1073" s="12" t="s">
        <v>354</v>
      </c>
    </row>
    <row r="1074" customFormat="false" ht="15" hidden="false" customHeight="true" outlineLevel="0" collapsed="false">
      <c r="A1074" s="12" t="s">
        <v>2218</v>
      </c>
      <c r="B1074" s="13" t="n">
        <v>70.737</v>
      </c>
      <c r="C1074" s="13" t="n">
        <v>65</v>
      </c>
      <c r="D1074" s="12" t="s">
        <v>2219</v>
      </c>
      <c r="E1074" s="12" t="s">
        <v>30</v>
      </c>
      <c r="F1074" s="12" t="s">
        <v>2220</v>
      </c>
      <c r="G1074" s="12" t="s">
        <v>653</v>
      </c>
      <c r="H1074" s="14" t="n">
        <v>46284</v>
      </c>
      <c r="I1074" s="14" t="n">
        <v>46286</v>
      </c>
      <c r="J1074" s="12" t="s">
        <v>354</v>
      </c>
    </row>
    <row r="1075" customFormat="false" ht="15" hidden="false" customHeight="true" outlineLevel="0" collapsed="false">
      <c r="A1075" s="12" t="s">
        <v>2221</v>
      </c>
      <c r="B1075" s="13" t="n">
        <v>281.239</v>
      </c>
      <c r="C1075" s="13" t="n">
        <v>259.04</v>
      </c>
      <c r="D1075" s="12" t="s">
        <v>2222</v>
      </c>
      <c r="E1075" s="12" t="s">
        <v>30</v>
      </c>
      <c r="F1075" s="12" t="s">
        <v>2220</v>
      </c>
      <c r="G1075" s="12" t="s">
        <v>653</v>
      </c>
      <c r="H1075" s="14" t="n">
        <v>46284</v>
      </c>
      <c r="I1075" s="14" t="n">
        <v>46286</v>
      </c>
      <c r="J1075" s="12" t="s">
        <v>354</v>
      </c>
    </row>
    <row r="1076" customFormat="false" ht="15" hidden="false" customHeight="true" outlineLevel="0" collapsed="false">
      <c r="A1076" s="12" t="s">
        <v>2223</v>
      </c>
      <c r="B1076" s="13" t="n">
        <v>363.778</v>
      </c>
      <c r="C1076" s="13" t="n">
        <v>341.88</v>
      </c>
      <c r="D1076" s="12" t="s">
        <v>2141</v>
      </c>
      <c r="E1076" s="12" t="s">
        <v>30</v>
      </c>
      <c r="F1076" s="12" t="s">
        <v>2142</v>
      </c>
      <c r="G1076" s="12" t="s">
        <v>653</v>
      </c>
      <c r="H1076" s="14" t="n">
        <v>46284</v>
      </c>
      <c r="I1076" s="14" t="n">
        <v>46286</v>
      </c>
      <c r="J1076" s="12" t="s">
        <v>354</v>
      </c>
    </row>
    <row r="1077" customFormat="false" ht="15" hidden="false" customHeight="true" outlineLevel="0" collapsed="false">
      <c r="A1077" s="12" t="s">
        <v>2224</v>
      </c>
      <c r="B1077" s="13" t="n">
        <v>200.749</v>
      </c>
      <c r="C1077" s="13" t="n">
        <v>192.4</v>
      </c>
      <c r="D1077" s="12" t="s">
        <v>2225</v>
      </c>
      <c r="E1077" s="12" t="s">
        <v>30</v>
      </c>
      <c r="F1077" s="12" t="s">
        <v>2226</v>
      </c>
      <c r="G1077" s="12" t="s">
        <v>653</v>
      </c>
      <c r="H1077" s="14" t="n">
        <v>46284</v>
      </c>
      <c r="I1077" s="14" t="n">
        <v>46286</v>
      </c>
      <c r="J1077" s="12" t="s">
        <v>354</v>
      </c>
    </row>
    <row r="1078" customFormat="false" ht="15" hidden="false" customHeight="true" outlineLevel="0" collapsed="false">
      <c r="A1078" s="12" t="s">
        <v>2227</v>
      </c>
      <c r="B1078" s="13" t="n">
        <v>910.744</v>
      </c>
      <c r="C1078" s="13" t="n">
        <v>846.1</v>
      </c>
      <c r="D1078" s="12" t="s">
        <v>687</v>
      </c>
      <c r="E1078" s="12" t="s">
        <v>30</v>
      </c>
      <c r="F1078" s="12" t="s">
        <v>688</v>
      </c>
      <c r="G1078" s="12" t="s">
        <v>653</v>
      </c>
      <c r="H1078" s="14" t="n">
        <v>46284</v>
      </c>
      <c r="I1078" s="14" t="n">
        <v>46286</v>
      </c>
      <c r="J1078" s="12" t="s">
        <v>254</v>
      </c>
    </row>
    <row r="1079" customFormat="false" ht="15" hidden="false" customHeight="true" outlineLevel="0" collapsed="false">
      <c r="A1079" s="12" t="s">
        <v>2228</v>
      </c>
      <c r="B1079" s="13" t="n">
        <v>59.978</v>
      </c>
      <c r="C1079" s="13" t="n">
        <v>55.08</v>
      </c>
      <c r="D1079" s="12" t="s">
        <v>2229</v>
      </c>
      <c r="E1079" s="12" t="s">
        <v>30</v>
      </c>
      <c r="F1079" s="12" t="s">
        <v>2230</v>
      </c>
      <c r="G1079" s="12" t="s">
        <v>653</v>
      </c>
      <c r="H1079" s="14" t="n">
        <v>46284</v>
      </c>
      <c r="I1079" s="14" t="n">
        <v>46286</v>
      </c>
      <c r="J1079" s="12" t="s">
        <v>254</v>
      </c>
    </row>
    <row r="1080" customFormat="false" ht="15" hidden="false" customHeight="true" outlineLevel="0" collapsed="false">
      <c r="A1080" s="12" t="s">
        <v>2231</v>
      </c>
      <c r="B1080" s="13" t="n">
        <v>103.67</v>
      </c>
      <c r="C1080" s="13" t="n">
        <v>94.94</v>
      </c>
      <c r="D1080" s="12" t="s">
        <v>2232</v>
      </c>
      <c r="E1080" s="12" t="s">
        <v>30</v>
      </c>
      <c r="F1080" s="12" t="s">
        <v>2233</v>
      </c>
      <c r="G1080" s="12" t="s">
        <v>653</v>
      </c>
      <c r="H1080" s="14" t="n">
        <v>46284</v>
      </c>
      <c r="I1080" s="14" t="n">
        <v>46286</v>
      </c>
      <c r="J1080" s="12" t="s">
        <v>254</v>
      </c>
    </row>
    <row r="1081" customFormat="false" ht="15" hidden="false" customHeight="true" outlineLevel="0" collapsed="false">
      <c r="A1081" s="12" t="s">
        <v>2234</v>
      </c>
      <c r="B1081" s="13" t="n">
        <v>134.929</v>
      </c>
      <c r="C1081" s="13" t="n">
        <v>122.98</v>
      </c>
      <c r="D1081" s="12" t="s">
        <v>2235</v>
      </c>
      <c r="E1081" s="12" t="s">
        <v>30</v>
      </c>
      <c r="F1081" s="12" t="s">
        <v>2236</v>
      </c>
      <c r="G1081" s="12" t="s">
        <v>653</v>
      </c>
      <c r="H1081" s="14" t="n">
        <v>46284</v>
      </c>
      <c r="I1081" s="14" t="n">
        <v>46286</v>
      </c>
      <c r="J1081" s="12" t="s">
        <v>354</v>
      </c>
    </row>
    <row r="1082" customFormat="false" ht="15" hidden="false" customHeight="true" outlineLevel="0" collapsed="false">
      <c r="A1082" s="12" t="s">
        <v>2237</v>
      </c>
      <c r="B1082" s="13" t="n">
        <v>87.319</v>
      </c>
      <c r="C1082" s="13" t="n">
        <v>80.7</v>
      </c>
      <c r="D1082" s="12" t="s">
        <v>2238</v>
      </c>
      <c r="E1082" s="12" t="s">
        <v>30</v>
      </c>
      <c r="F1082" s="12" t="s">
        <v>2239</v>
      </c>
      <c r="G1082" s="12" t="s">
        <v>653</v>
      </c>
      <c r="H1082" s="14" t="n">
        <v>46284</v>
      </c>
      <c r="I1082" s="14" t="n">
        <v>46283</v>
      </c>
      <c r="J1082" s="12" t="s">
        <v>33</v>
      </c>
    </row>
    <row r="1083" customFormat="false" ht="15" hidden="false" customHeight="true" outlineLevel="0" collapsed="false">
      <c r="A1083" s="12" t="s">
        <v>2240</v>
      </c>
      <c r="B1083" s="13" t="n">
        <v>259.715</v>
      </c>
      <c r="C1083" s="13" t="n">
        <v>241.24</v>
      </c>
      <c r="D1083" s="12" t="s">
        <v>2241</v>
      </c>
      <c r="E1083" s="12" t="s">
        <v>30</v>
      </c>
      <c r="F1083" s="12" t="s">
        <v>732</v>
      </c>
      <c r="G1083" s="12" t="s">
        <v>653</v>
      </c>
      <c r="H1083" s="14" t="n">
        <v>46284</v>
      </c>
      <c r="I1083" s="14" t="n">
        <v>46286</v>
      </c>
      <c r="J1083" s="12" t="s">
        <v>254</v>
      </c>
    </row>
    <row r="1084" customFormat="false" ht="15" hidden="false" customHeight="true" outlineLevel="0" collapsed="false">
      <c r="A1084" s="12" t="s">
        <v>2242</v>
      </c>
      <c r="B1084" s="13" t="n">
        <v>162.458</v>
      </c>
      <c r="C1084" s="13" t="n">
        <v>150.9</v>
      </c>
      <c r="D1084" s="12" t="s">
        <v>2243</v>
      </c>
      <c r="E1084" s="12" t="s">
        <v>30</v>
      </c>
      <c r="F1084" s="12" t="s">
        <v>2244</v>
      </c>
      <c r="G1084" s="12" t="s">
        <v>653</v>
      </c>
      <c r="H1084" s="14" t="n">
        <v>46284</v>
      </c>
      <c r="I1084" s="14" t="n">
        <v>46286</v>
      </c>
      <c r="J1084" s="12" t="s">
        <v>254</v>
      </c>
    </row>
    <row r="1085" customFormat="false" ht="15" hidden="false" customHeight="true" outlineLevel="0" collapsed="false">
      <c r="A1085" s="12" t="s">
        <v>2245</v>
      </c>
      <c r="B1085" s="13" t="n">
        <v>105.549</v>
      </c>
      <c r="C1085" s="13" t="n">
        <v>95.4</v>
      </c>
      <c r="D1085" s="12" t="s">
        <v>2246</v>
      </c>
      <c r="E1085" s="12" t="s">
        <v>30</v>
      </c>
      <c r="F1085" s="12" t="s">
        <v>2247</v>
      </c>
      <c r="G1085" s="12" t="s">
        <v>653</v>
      </c>
      <c r="H1085" s="14" t="n">
        <v>46284</v>
      </c>
      <c r="I1085" s="14" t="n">
        <v>46286</v>
      </c>
      <c r="J1085" s="12" t="s">
        <v>254</v>
      </c>
    </row>
    <row r="1086" customFormat="false" ht="15" hidden="false" customHeight="true" outlineLevel="0" collapsed="false">
      <c r="A1086" s="12" t="s">
        <v>2248</v>
      </c>
      <c r="B1086" s="13" t="n">
        <v>440.049</v>
      </c>
      <c r="C1086" s="13" t="n">
        <v>409.82</v>
      </c>
      <c r="D1086" s="12" t="s">
        <v>2138</v>
      </c>
      <c r="E1086" s="12" t="s">
        <v>30</v>
      </c>
      <c r="F1086" s="12" t="s">
        <v>2139</v>
      </c>
      <c r="G1086" s="12" t="s">
        <v>653</v>
      </c>
      <c r="H1086" s="14" t="n">
        <v>46284</v>
      </c>
      <c r="I1086" s="14" t="n">
        <v>46286</v>
      </c>
      <c r="J1086" s="12" t="s">
        <v>254</v>
      </c>
    </row>
    <row r="1087" customFormat="false" ht="15" hidden="false" customHeight="true" outlineLevel="0" collapsed="false">
      <c r="A1087" s="12" t="s">
        <v>2249</v>
      </c>
      <c r="B1087" s="13" t="n">
        <v>63.691</v>
      </c>
      <c r="C1087" s="13" t="n">
        <v>60.6</v>
      </c>
      <c r="D1087" s="12" t="s">
        <v>2250</v>
      </c>
      <c r="E1087" s="12" t="s">
        <v>30</v>
      </c>
      <c r="F1087" s="12" t="s">
        <v>2251</v>
      </c>
      <c r="G1087" s="12" t="s">
        <v>646</v>
      </c>
      <c r="H1087" s="14" t="n">
        <v>46284</v>
      </c>
      <c r="I1087" s="14" t="n">
        <v>46283</v>
      </c>
      <c r="J1087" s="12" t="s">
        <v>33</v>
      </c>
    </row>
    <row r="1088" customFormat="false" ht="15" hidden="false" customHeight="true" outlineLevel="0" collapsed="false">
      <c r="A1088" s="12" t="s">
        <v>2252</v>
      </c>
      <c r="B1088" s="13" t="n">
        <v>439.408</v>
      </c>
      <c r="C1088" s="13" t="n">
        <v>407.4</v>
      </c>
      <c r="D1088" s="12" t="s">
        <v>2253</v>
      </c>
      <c r="E1088" s="12" t="s">
        <v>30</v>
      </c>
      <c r="F1088" s="12" t="s">
        <v>2202</v>
      </c>
      <c r="G1088" s="12" t="s">
        <v>653</v>
      </c>
      <c r="H1088" s="14" t="n">
        <v>46284</v>
      </c>
      <c r="I1088" s="14" t="n">
        <v>46286</v>
      </c>
      <c r="J1088" s="12" t="s">
        <v>254</v>
      </c>
    </row>
    <row r="1089" customFormat="false" ht="15" hidden="false" customHeight="true" outlineLevel="0" collapsed="false">
      <c r="A1089" s="12" t="s">
        <v>2254</v>
      </c>
      <c r="B1089" s="13" t="n">
        <v>48.668</v>
      </c>
      <c r="C1089" s="13" t="n">
        <v>44.34</v>
      </c>
      <c r="D1089" s="12" t="s">
        <v>2255</v>
      </c>
      <c r="E1089" s="12" t="s">
        <v>30</v>
      </c>
      <c r="F1089" s="12" t="s">
        <v>697</v>
      </c>
      <c r="G1089" s="12" t="s">
        <v>653</v>
      </c>
      <c r="H1089" s="14" t="n">
        <v>46284</v>
      </c>
      <c r="I1089" s="14" t="n">
        <v>46286</v>
      </c>
      <c r="J1089" s="12" t="s">
        <v>254</v>
      </c>
    </row>
    <row r="1090" customFormat="false" ht="15" hidden="false" customHeight="true" outlineLevel="0" collapsed="false">
      <c r="A1090" s="12" t="s">
        <v>2256</v>
      </c>
      <c r="B1090" s="13" t="n">
        <v>65.442</v>
      </c>
      <c r="C1090" s="13" t="n">
        <v>60.02</v>
      </c>
      <c r="D1090" s="12" t="s">
        <v>2257</v>
      </c>
      <c r="E1090" s="12" t="s">
        <v>30</v>
      </c>
      <c r="F1090" s="12" t="s">
        <v>239</v>
      </c>
      <c r="G1090" s="12" t="s">
        <v>646</v>
      </c>
      <c r="H1090" s="14" t="n">
        <v>46284</v>
      </c>
      <c r="I1090" s="14" t="n">
        <v>46283</v>
      </c>
      <c r="J1090" s="12" t="s">
        <v>33</v>
      </c>
    </row>
    <row r="1091" customFormat="false" ht="15" hidden="false" customHeight="true" outlineLevel="0" collapsed="false">
      <c r="A1091" s="12" t="s">
        <v>2258</v>
      </c>
      <c r="B1091" s="13" t="n">
        <v>47.307</v>
      </c>
      <c r="C1091" s="13" t="n">
        <v>42.8</v>
      </c>
      <c r="D1091" s="12" t="s">
        <v>2259</v>
      </c>
      <c r="E1091" s="12" t="s">
        <v>30</v>
      </c>
      <c r="F1091" s="12" t="s">
        <v>2132</v>
      </c>
      <c r="G1091" s="12" t="s">
        <v>653</v>
      </c>
      <c r="H1091" s="14" t="n">
        <v>46284</v>
      </c>
      <c r="I1091" s="14" t="n">
        <v>46286</v>
      </c>
      <c r="J1091" s="12" t="s">
        <v>354</v>
      </c>
    </row>
    <row r="1092" customFormat="false" ht="15" hidden="false" customHeight="true" outlineLevel="0" collapsed="false">
      <c r="A1092" s="12" t="s">
        <v>2260</v>
      </c>
      <c r="B1092" s="13" t="n">
        <v>29.625</v>
      </c>
      <c r="C1092" s="13" t="n">
        <v>25</v>
      </c>
      <c r="D1092" s="12" t="s">
        <v>2261</v>
      </c>
      <c r="E1092" s="12" t="s">
        <v>30</v>
      </c>
      <c r="F1092" s="12" t="s">
        <v>239</v>
      </c>
      <c r="G1092" s="12" t="s">
        <v>646</v>
      </c>
      <c r="H1092" s="14" t="n">
        <v>46284</v>
      </c>
      <c r="I1092" s="14" t="n">
        <v>46286</v>
      </c>
      <c r="J1092" s="12" t="s">
        <v>354</v>
      </c>
    </row>
    <row r="1093" customFormat="false" ht="15" hidden="false" customHeight="true" outlineLevel="0" collapsed="false">
      <c r="A1093" s="12" t="s">
        <v>2262</v>
      </c>
      <c r="B1093" s="13" t="n">
        <v>29.625</v>
      </c>
      <c r="C1093" s="13" t="n">
        <v>25</v>
      </c>
      <c r="D1093" s="12" t="s">
        <v>2263</v>
      </c>
      <c r="E1093" s="12" t="s">
        <v>30</v>
      </c>
      <c r="F1093" s="12" t="s">
        <v>239</v>
      </c>
      <c r="G1093" s="12" t="s">
        <v>646</v>
      </c>
      <c r="H1093" s="14" t="n">
        <v>46284</v>
      </c>
      <c r="I1093" s="14" t="n">
        <v>46286</v>
      </c>
      <c r="J1093" s="12" t="s">
        <v>354</v>
      </c>
    </row>
    <row r="1094" customFormat="false" ht="15" hidden="false" customHeight="true" outlineLevel="0" collapsed="false">
      <c r="A1094" s="12" t="s">
        <v>2264</v>
      </c>
      <c r="B1094" s="13" t="n">
        <v>29.625</v>
      </c>
      <c r="C1094" s="13" t="n">
        <v>25</v>
      </c>
      <c r="D1094" s="12" t="s">
        <v>2265</v>
      </c>
      <c r="E1094" s="12" t="s">
        <v>30</v>
      </c>
      <c r="F1094" s="12" t="s">
        <v>2266</v>
      </c>
      <c r="G1094" s="12" t="s">
        <v>653</v>
      </c>
      <c r="H1094" s="14" t="n">
        <v>46284</v>
      </c>
      <c r="I1094" s="14" t="n">
        <v>46286</v>
      </c>
      <c r="J1094" s="12" t="s">
        <v>33</v>
      </c>
    </row>
    <row r="1095" customFormat="false" ht="15" hidden="false" customHeight="true" outlineLevel="0" collapsed="false">
      <c r="A1095" s="12" t="s">
        <v>2267</v>
      </c>
      <c r="B1095" s="13" t="n">
        <v>29.625</v>
      </c>
      <c r="C1095" s="13" t="n">
        <v>25</v>
      </c>
      <c r="D1095" s="12" t="s">
        <v>763</v>
      </c>
      <c r="E1095" s="12" t="s">
        <v>30</v>
      </c>
      <c r="F1095" s="12" t="s">
        <v>764</v>
      </c>
      <c r="G1095" s="12" t="s">
        <v>653</v>
      </c>
      <c r="H1095" s="14" t="n">
        <v>46284</v>
      </c>
      <c r="I1095" s="14" t="n">
        <v>46286</v>
      </c>
      <c r="J1095" s="12" t="s">
        <v>254</v>
      </c>
    </row>
    <row r="1096" customFormat="false" ht="15" hidden="false" customHeight="true" outlineLevel="0" collapsed="false">
      <c r="A1096" s="12" t="s">
        <v>2268</v>
      </c>
      <c r="B1096" s="13" t="n">
        <v>697.472</v>
      </c>
      <c r="C1096" s="13" t="n">
        <v>640.4</v>
      </c>
      <c r="D1096" s="12" t="s">
        <v>699</v>
      </c>
      <c r="E1096" s="12" t="s">
        <v>30</v>
      </c>
      <c r="F1096" s="12" t="s">
        <v>697</v>
      </c>
      <c r="G1096" s="12" t="s">
        <v>653</v>
      </c>
      <c r="H1096" s="14" t="n">
        <v>46284</v>
      </c>
      <c r="I1096" s="14" t="n">
        <v>46286</v>
      </c>
      <c r="J1096" s="12" t="s">
        <v>254</v>
      </c>
    </row>
    <row r="1097" customFormat="false" ht="15" hidden="false" customHeight="true" outlineLevel="0" collapsed="false">
      <c r="A1097" s="12" t="s">
        <v>2269</v>
      </c>
      <c r="B1097" s="13" t="n">
        <v>35.55</v>
      </c>
      <c r="C1097" s="13" t="n">
        <v>30</v>
      </c>
      <c r="D1097" s="12" t="s">
        <v>701</v>
      </c>
      <c r="E1097" s="12" t="s">
        <v>30</v>
      </c>
      <c r="F1097" s="12" t="s">
        <v>702</v>
      </c>
      <c r="G1097" s="12" t="s">
        <v>653</v>
      </c>
      <c r="H1097" s="14" t="n">
        <v>46284</v>
      </c>
      <c r="I1097" s="14" t="n">
        <v>46286</v>
      </c>
      <c r="J1097" s="12" t="s">
        <v>354</v>
      </c>
    </row>
    <row r="1098" customFormat="false" ht="15" hidden="false" customHeight="true" outlineLevel="0" collapsed="false">
      <c r="A1098" s="12" t="s">
        <v>2270</v>
      </c>
      <c r="B1098" s="13" t="n">
        <v>886.419</v>
      </c>
      <c r="C1098" s="13" t="n">
        <v>820</v>
      </c>
      <c r="D1098" s="12" t="s">
        <v>734</v>
      </c>
      <c r="E1098" s="12" t="s">
        <v>30</v>
      </c>
      <c r="F1098" s="12" t="s">
        <v>239</v>
      </c>
      <c r="G1098" s="12" t="s">
        <v>646</v>
      </c>
      <c r="H1098" s="14" t="n">
        <v>46284</v>
      </c>
      <c r="I1098" s="14" t="n">
        <v>46286</v>
      </c>
      <c r="J1098" s="12" t="s">
        <v>354</v>
      </c>
    </row>
    <row r="1099" customFormat="false" ht="15" hidden="false" customHeight="true" outlineLevel="0" collapsed="false">
      <c r="A1099" s="12" t="s">
        <v>2271</v>
      </c>
      <c r="B1099" s="13" t="n">
        <v>29.625</v>
      </c>
      <c r="C1099" s="13" t="n">
        <v>25</v>
      </c>
      <c r="D1099" s="12" t="s">
        <v>705</v>
      </c>
      <c r="E1099" s="12" t="s">
        <v>30</v>
      </c>
      <c r="F1099" s="12" t="s">
        <v>688</v>
      </c>
      <c r="G1099" s="12" t="s">
        <v>653</v>
      </c>
      <c r="H1099" s="14" t="n">
        <v>46284</v>
      </c>
      <c r="I1099" s="14" t="n">
        <v>46286</v>
      </c>
      <c r="J1099" s="12" t="s">
        <v>354</v>
      </c>
    </row>
    <row r="1100" customFormat="false" ht="15" hidden="false" customHeight="true" outlineLevel="0" collapsed="false">
      <c r="A1100" s="12" t="s">
        <v>2272</v>
      </c>
      <c r="B1100" s="13" t="n">
        <v>110.295</v>
      </c>
      <c r="C1100" s="13" t="n">
        <v>103</v>
      </c>
      <c r="D1100" s="12" t="s">
        <v>2273</v>
      </c>
      <c r="E1100" s="12" t="s">
        <v>30</v>
      </c>
      <c r="F1100" s="12" t="s">
        <v>1191</v>
      </c>
      <c r="G1100" s="12" t="s">
        <v>653</v>
      </c>
      <c r="H1100" s="14" t="n">
        <v>46284</v>
      </c>
      <c r="I1100" s="14" t="n">
        <v>46283</v>
      </c>
      <c r="J1100" s="12" t="s">
        <v>33</v>
      </c>
    </row>
    <row r="1101" customFormat="false" ht="15" hidden="false" customHeight="true" outlineLevel="0" collapsed="false">
      <c r="A1101" s="12" t="s">
        <v>2274</v>
      </c>
      <c r="B1101" s="13" t="n">
        <v>88.642</v>
      </c>
      <c r="C1101" s="13" t="n">
        <v>82</v>
      </c>
      <c r="D1101" s="12" t="s">
        <v>751</v>
      </c>
      <c r="E1101" s="12" t="s">
        <v>30</v>
      </c>
      <c r="F1101" s="12" t="s">
        <v>268</v>
      </c>
      <c r="G1101" s="12" t="s">
        <v>646</v>
      </c>
      <c r="H1101" s="14" t="n">
        <v>46284</v>
      </c>
      <c r="I1101" s="14" t="n">
        <v>46286</v>
      </c>
      <c r="J1101" s="12" t="s">
        <v>254</v>
      </c>
    </row>
    <row r="1102" customFormat="false" ht="15" hidden="false" customHeight="true" outlineLevel="0" collapsed="false">
      <c r="A1102" s="12" t="s">
        <v>2275</v>
      </c>
      <c r="B1102" s="13" t="n">
        <v>17.775</v>
      </c>
      <c r="C1102" s="13" t="n">
        <v>15</v>
      </c>
      <c r="D1102" s="12" t="s">
        <v>2276</v>
      </c>
      <c r="E1102" s="12" t="s">
        <v>30</v>
      </c>
      <c r="F1102" s="12" t="s">
        <v>239</v>
      </c>
      <c r="G1102" s="12" t="s">
        <v>646</v>
      </c>
      <c r="H1102" s="14" t="n">
        <v>46284</v>
      </c>
      <c r="I1102" s="14" t="n">
        <v>46286</v>
      </c>
      <c r="J1102" s="12" t="s">
        <v>354</v>
      </c>
    </row>
    <row r="1103" customFormat="false" ht="15" hidden="false" customHeight="true" outlineLevel="0" collapsed="false">
      <c r="A1103" s="12" t="s">
        <v>2277</v>
      </c>
      <c r="B1103" s="13" t="n">
        <v>88.642</v>
      </c>
      <c r="C1103" s="13" t="n">
        <v>82</v>
      </c>
      <c r="D1103" s="12" t="s">
        <v>2278</v>
      </c>
      <c r="E1103" s="12" t="s">
        <v>30</v>
      </c>
      <c r="F1103" s="12" t="s">
        <v>2279</v>
      </c>
      <c r="G1103" s="12" t="s">
        <v>653</v>
      </c>
      <c r="H1103" s="14" t="n">
        <v>46284</v>
      </c>
      <c r="I1103" s="14" t="n">
        <v>46286</v>
      </c>
      <c r="J1103" s="12" t="s">
        <v>354</v>
      </c>
    </row>
    <row r="1104" customFormat="false" ht="15" hidden="false" customHeight="true" outlineLevel="0" collapsed="false">
      <c r="A1104" s="12" t="s">
        <v>2280</v>
      </c>
      <c r="B1104" s="13" t="n">
        <v>2025.455</v>
      </c>
      <c r="C1104" s="13" t="n">
        <v>1872.66</v>
      </c>
      <c r="D1104" s="12" t="s">
        <v>687</v>
      </c>
      <c r="E1104" s="12" t="s">
        <v>30</v>
      </c>
      <c r="F1104" s="12" t="s">
        <v>688</v>
      </c>
      <c r="G1104" s="12" t="s">
        <v>653</v>
      </c>
      <c r="H1104" s="14" t="n">
        <v>46284</v>
      </c>
      <c r="I1104" s="14" t="n">
        <v>46286</v>
      </c>
      <c r="J1104" s="12" t="s">
        <v>254</v>
      </c>
    </row>
    <row r="1105" customFormat="false" ht="15" hidden="false" customHeight="true" outlineLevel="0" collapsed="false">
      <c r="A1105" s="12" t="s">
        <v>2281</v>
      </c>
      <c r="B1105" s="13" t="n">
        <v>243.193</v>
      </c>
      <c r="C1105" s="13" t="n">
        <v>228.24</v>
      </c>
      <c r="D1105" s="12" t="s">
        <v>2282</v>
      </c>
      <c r="E1105" s="12" t="s">
        <v>30</v>
      </c>
      <c r="F1105" s="12" t="s">
        <v>2283</v>
      </c>
      <c r="G1105" s="12" t="s">
        <v>653</v>
      </c>
      <c r="H1105" s="14" t="n">
        <v>46284</v>
      </c>
      <c r="I1105" s="14" t="n">
        <v>46286</v>
      </c>
      <c r="J1105" s="12" t="s">
        <v>254</v>
      </c>
    </row>
    <row r="1106" customFormat="false" ht="15" hidden="false" customHeight="true" outlineLevel="0" collapsed="false">
      <c r="A1106" s="12" t="s">
        <v>2284</v>
      </c>
      <c r="B1106" s="13" t="n">
        <v>399.091</v>
      </c>
      <c r="C1106" s="13" t="n">
        <v>381.72</v>
      </c>
      <c r="D1106" s="12" t="s">
        <v>2285</v>
      </c>
      <c r="E1106" s="12" t="s">
        <v>30</v>
      </c>
      <c r="F1106" s="12" t="s">
        <v>2286</v>
      </c>
      <c r="G1106" s="12" t="s">
        <v>653</v>
      </c>
      <c r="H1106" s="14" t="n">
        <v>46284</v>
      </c>
      <c r="I1106" s="14" t="n">
        <v>46286</v>
      </c>
      <c r="J1106" s="12" t="s">
        <v>254</v>
      </c>
    </row>
    <row r="1107" customFormat="false" ht="15" hidden="false" customHeight="true" outlineLevel="0" collapsed="false">
      <c r="A1107" s="12" t="s">
        <v>2287</v>
      </c>
      <c r="B1107" s="13" t="n">
        <v>88.875</v>
      </c>
      <c r="C1107" s="13" t="n">
        <v>75</v>
      </c>
      <c r="D1107" s="12" t="s">
        <v>2288</v>
      </c>
      <c r="E1107" s="12" t="s">
        <v>30</v>
      </c>
      <c r="F1107" s="12" t="s">
        <v>239</v>
      </c>
      <c r="G1107" s="12" t="s">
        <v>646</v>
      </c>
      <c r="H1107" s="14" t="n">
        <v>46284</v>
      </c>
      <c r="I1107" s="14" t="n">
        <v>46286</v>
      </c>
      <c r="J1107" s="12" t="s">
        <v>354</v>
      </c>
    </row>
    <row r="1108" customFormat="false" ht="15" hidden="false" customHeight="true" outlineLevel="0" collapsed="false">
      <c r="A1108" s="12" t="s">
        <v>2289</v>
      </c>
      <c r="B1108" s="13" t="n">
        <v>158.4</v>
      </c>
      <c r="C1108" s="13" t="n">
        <v>144</v>
      </c>
      <c r="D1108" s="12" t="s">
        <v>731</v>
      </c>
      <c r="E1108" s="12" t="s">
        <v>30</v>
      </c>
      <c r="F1108" s="12" t="s">
        <v>732</v>
      </c>
      <c r="G1108" s="12" t="s">
        <v>653</v>
      </c>
      <c r="H1108" s="14" t="n">
        <v>46284</v>
      </c>
      <c r="I1108" s="14" t="n">
        <v>46286</v>
      </c>
      <c r="J1108" s="12" t="s">
        <v>254</v>
      </c>
    </row>
    <row r="1109" customFormat="false" ht="15" hidden="false" customHeight="true" outlineLevel="0" collapsed="false">
      <c r="A1109" s="12" t="s">
        <v>2290</v>
      </c>
      <c r="B1109" s="13" t="n">
        <v>26.203</v>
      </c>
      <c r="C1109" s="13" t="n">
        <v>24.24</v>
      </c>
      <c r="D1109" s="12" t="s">
        <v>2291</v>
      </c>
      <c r="E1109" s="12" t="s">
        <v>30</v>
      </c>
      <c r="F1109" s="12" t="s">
        <v>2292</v>
      </c>
      <c r="G1109" s="12" t="s">
        <v>609</v>
      </c>
      <c r="H1109" s="14" t="n">
        <v>46284</v>
      </c>
      <c r="I1109" s="14" t="n">
        <v>46286</v>
      </c>
      <c r="J1109" s="12" t="s">
        <v>254</v>
      </c>
    </row>
    <row r="1110" customFormat="false" ht="15" hidden="false" customHeight="true" outlineLevel="0" collapsed="false">
      <c r="A1110" s="12" t="s">
        <v>2293</v>
      </c>
      <c r="B1110" s="13" t="n">
        <v>26.203</v>
      </c>
      <c r="C1110" s="13" t="n">
        <v>24.24</v>
      </c>
      <c r="D1110" s="12" t="s">
        <v>856</v>
      </c>
      <c r="E1110" s="12" t="s">
        <v>30</v>
      </c>
      <c r="F1110" s="12" t="s">
        <v>608</v>
      </c>
      <c r="G1110" s="12" t="s">
        <v>609</v>
      </c>
      <c r="H1110" s="14" t="n">
        <v>46284</v>
      </c>
      <c r="I1110" s="14" t="n">
        <v>46286</v>
      </c>
      <c r="J1110" s="12" t="s">
        <v>254</v>
      </c>
    </row>
    <row r="1111" customFormat="false" ht="15" hidden="false" customHeight="true" outlineLevel="0" collapsed="false">
      <c r="A1111" s="12" t="s">
        <v>2294</v>
      </c>
      <c r="B1111" s="13" t="n">
        <v>20.964</v>
      </c>
      <c r="C1111" s="13" t="n">
        <v>20.1</v>
      </c>
      <c r="D1111" s="12" t="s">
        <v>854</v>
      </c>
      <c r="E1111" s="12" t="s">
        <v>30</v>
      </c>
      <c r="F1111" s="12" t="s">
        <v>608</v>
      </c>
      <c r="G1111" s="12" t="s">
        <v>609</v>
      </c>
      <c r="H1111" s="14" t="n">
        <v>46284</v>
      </c>
      <c r="I1111" s="14" t="n">
        <v>46286</v>
      </c>
      <c r="J1111" s="12" t="s">
        <v>254</v>
      </c>
    </row>
    <row r="1112" customFormat="false" ht="15" hidden="false" customHeight="true" outlineLevel="0" collapsed="false">
      <c r="A1112" s="12" t="s">
        <v>2295</v>
      </c>
      <c r="B1112" s="13" t="n">
        <v>21.24</v>
      </c>
      <c r="C1112" s="13" t="n">
        <v>20</v>
      </c>
      <c r="D1112" s="12" t="s">
        <v>858</v>
      </c>
      <c r="E1112" s="12" t="s">
        <v>30</v>
      </c>
      <c r="F1112" s="12" t="s">
        <v>608</v>
      </c>
      <c r="G1112" s="12" t="s">
        <v>609</v>
      </c>
      <c r="H1112" s="14" t="n">
        <v>46284</v>
      </c>
      <c r="I1112" s="14" t="n">
        <v>46286</v>
      </c>
      <c r="J1112" s="12" t="s">
        <v>254</v>
      </c>
    </row>
    <row r="1113" customFormat="false" ht="15" hidden="false" customHeight="true" outlineLevel="0" collapsed="false">
      <c r="A1113" s="12" t="s">
        <v>2296</v>
      </c>
      <c r="B1113" s="13" t="n">
        <v>11.85</v>
      </c>
      <c r="C1113" s="13" t="n">
        <v>10</v>
      </c>
      <c r="D1113" s="12" t="s">
        <v>828</v>
      </c>
      <c r="E1113" s="12" t="s">
        <v>30</v>
      </c>
      <c r="F1113" s="12" t="s">
        <v>626</v>
      </c>
      <c r="G1113" s="12" t="s">
        <v>609</v>
      </c>
      <c r="H1113" s="14" t="n">
        <v>46284</v>
      </c>
      <c r="I1113" s="14" t="n">
        <v>46286</v>
      </c>
      <c r="J1113" s="12" t="s">
        <v>254</v>
      </c>
    </row>
    <row r="1114" customFormat="false" ht="15" hidden="false" customHeight="true" outlineLevel="0" collapsed="false">
      <c r="A1114" s="12" t="s">
        <v>2297</v>
      </c>
      <c r="B1114" s="13" t="n">
        <v>39.305</v>
      </c>
      <c r="C1114" s="13" t="n">
        <v>36.36</v>
      </c>
      <c r="D1114" s="12" t="s">
        <v>820</v>
      </c>
      <c r="E1114" s="12" t="s">
        <v>30</v>
      </c>
      <c r="F1114" s="12" t="s">
        <v>608</v>
      </c>
      <c r="G1114" s="12" t="s">
        <v>609</v>
      </c>
      <c r="H1114" s="14" t="n">
        <v>46284</v>
      </c>
      <c r="I1114" s="14" t="n">
        <v>46286</v>
      </c>
      <c r="J1114" s="12" t="s">
        <v>254</v>
      </c>
    </row>
    <row r="1115" customFormat="false" ht="15" hidden="false" customHeight="true" outlineLevel="0" collapsed="false">
      <c r="A1115" s="12" t="s">
        <v>2298</v>
      </c>
      <c r="B1115" s="13" t="n">
        <v>39.305</v>
      </c>
      <c r="C1115" s="13" t="n">
        <v>36.36</v>
      </c>
      <c r="D1115" s="12" t="s">
        <v>790</v>
      </c>
      <c r="E1115" s="12" t="s">
        <v>30</v>
      </c>
      <c r="F1115" s="12" t="s">
        <v>791</v>
      </c>
      <c r="G1115" s="12" t="s">
        <v>609</v>
      </c>
      <c r="H1115" s="14" t="n">
        <v>46284</v>
      </c>
      <c r="I1115" s="14" t="n">
        <v>46286</v>
      </c>
      <c r="J1115" s="12" t="s">
        <v>254</v>
      </c>
    </row>
    <row r="1116" customFormat="false" ht="15" hidden="false" customHeight="true" outlineLevel="0" collapsed="false">
      <c r="A1116" s="12" t="s">
        <v>2299</v>
      </c>
      <c r="B1116" s="13" t="n">
        <v>42.48</v>
      </c>
      <c r="C1116" s="13" t="n">
        <v>40</v>
      </c>
      <c r="D1116" s="12" t="s">
        <v>641</v>
      </c>
      <c r="E1116" s="12" t="s">
        <v>30</v>
      </c>
      <c r="F1116" s="12" t="s">
        <v>608</v>
      </c>
      <c r="G1116" s="12" t="s">
        <v>609</v>
      </c>
      <c r="H1116" s="14" t="n">
        <v>46284</v>
      </c>
      <c r="I1116" s="14" t="n">
        <v>46286</v>
      </c>
      <c r="J1116" s="12" t="s">
        <v>254</v>
      </c>
    </row>
    <row r="1117" customFormat="false" ht="15" hidden="false" customHeight="true" outlineLevel="0" collapsed="false">
      <c r="A1117" s="12" t="s">
        <v>2300</v>
      </c>
      <c r="B1117" s="13" t="n">
        <v>5.925</v>
      </c>
      <c r="C1117" s="13" t="n">
        <v>5</v>
      </c>
      <c r="D1117" s="12" t="s">
        <v>774</v>
      </c>
      <c r="E1117" s="12" t="s">
        <v>30</v>
      </c>
      <c r="F1117" s="12" t="s">
        <v>608</v>
      </c>
      <c r="G1117" s="12" t="s">
        <v>609</v>
      </c>
      <c r="H1117" s="14" t="n">
        <v>46284</v>
      </c>
      <c r="I1117" s="14" t="n">
        <v>46286</v>
      </c>
      <c r="J1117" s="12" t="s">
        <v>254</v>
      </c>
    </row>
    <row r="1118" customFormat="false" ht="15" hidden="false" customHeight="true" outlineLevel="0" collapsed="false">
      <c r="A1118" s="12" t="s">
        <v>2301</v>
      </c>
      <c r="B1118" s="13" t="n">
        <v>21.24</v>
      </c>
      <c r="C1118" s="13" t="n">
        <v>20</v>
      </c>
      <c r="D1118" s="12" t="s">
        <v>786</v>
      </c>
      <c r="E1118" s="12" t="s">
        <v>30</v>
      </c>
      <c r="F1118" s="12" t="s">
        <v>608</v>
      </c>
      <c r="G1118" s="12" t="s">
        <v>609</v>
      </c>
      <c r="H1118" s="14" t="n">
        <v>46284</v>
      </c>
      <c r="I1118" s="14" t="n">
        <v>46286</v>
      </c>
      <c r="J1118" s="12" t="s">
        <v>254</v>
      </c>
    </row>
    <row r="1119" customFormat="false" ht="15" hidden="false" customHeight="true" outlineLevel="0" collapsed="false">
      <c r="A1119" s="12" t="s">
        <v>2302</v>
      </c>
      <c r="B1119" s="13" t="n">
        <v>528.609</v>
      </c>
      <c r="C1119" s="13" t="n">
        <v>490.36</v>
      </c>
      <c r="D1119" s="12" t="s">
        <v>2303</v>
      </c>
      <c r="E1119" s="12" t="s">
        <v>30</v>
      </c>
      <c r="F1119" s="12" t="s">
        <v>2304</v>
      </c>
      <c r="G1119" s="12" t="s">
        <v>653</v>
      </c>
      <c r="H1119" s="14" t="n">
        <v>46284</v>
      </c>
      <c r="I1119" s="14" t="n">
        <v>46286</v>
      </c>
      <c r="J1119" s="12" t="s">
        <v>254</v>
      </c>
    </row>
    <row r="1120" customFormat="false" ht="15" hidden="false" customHeight="true" outlineLevel="0" collapsed="false">
      <c r="A1120" s="12" t="s">
        <v>2305</v>
      </c>
      <c r="B1120" s="13" t="n">
        <v>52.407</v>
      </c>
      <c r="C1120" s="13" t="n">
        <v>48.48</v>
      </c>
      <c r="D1120" s="12" t="s">
        <v>2306</v>
      </c>
      <c r="E1120" s="12" t="s">
        <v>30</v>
      </c>
      <c r="F1120" s="12" t="s">
        <v>608</v>
      </c>
      <c r="G1120" s="12" t="s">
        <v>609</v>
      </c>
      <c r="H1120" s="14" t="n">
        <v>46284</v>
      </c>
      <c r="I1120" s="14" t="n">
        <v>46286</v>
      </c>
      <c r="J1120" s="12" t="s">
        <v>254</v>
      </c>
    </row>
    <row r="1121" customFormat="false" ht="15" hidden="false" customHeight="true" outlineLevel="0" collapsed="false">
      <c r="A1121" s="12" t="s">
        <v>2307</v>
      </c>
      <c r="B1121" s="13" t="n">
        <v>31.983</v>
      </c>
      <c r="C1121" s="13" t="n">
        <v>30</v>
      </c>
      <c r="D1121" s="12" t="s">
        <v>639</v>
      </c>
      <c r="E1121" s="12" t="s">
        <v>30</v>
      </c>
      <c r="F1121" s="12" t="s">
        <v>608</v>
      </c>
      <c r="G1121" s="12" t="s">
        <v>609</v>
      </c>
      <c r="H1121" s="14" t="n">
        <v>46284</v>
      </c>
      <c r="I1121" s="14" t="n">
        <v>46286</v>
      </c>
      <c r="J1121" s="12" t="s">
        <v>254</v>
      </c>
    </row>
    <row r="1122" customFormat="false" ht="15" hidden="false" customHeight="true" outlineLevel="0" collapsed="false">
      <c r="A1122" s="12" t="s">
        <v>2308</v>
      </c>
      <c r="B1122" s="13" t="n">
        <v>11.1</v>
      </c>
      <c r="C1122" s="13" t="n">
        <v>10</v>
      </c>
      <c r="D1122" s="12" t="s">
        <v>2309</v>
      </c>
      <c r="E1122" s="12" t="s">
        <v>30</v>
      </c>
      <c r="F1122" s="12" t="s">
        <v>608</v>
      </c>
      <c r="G1122" s="12" t="s">
        <v>609</v>
      </c>
      <c r="H1122" s="14" t="n">
        <v>46284</v>
      </c>
      <c r="I1122" s="14" t="n">
        <v>46286</v>
      </c>
      <c r="J1122" s="12" t="s">
        <v>254</v>
      </c>
    </row>
    <row r="1123" customFormat="false" ht="15" hidden="false" customHeight="true" outlineLevel="0" collapsed="false">
      <c r="A1123" s="12" t="s">
        <v>2310</v>
      </c>
      <c r="B1123" s="13" t="n">
        <v>712.8</v>
      </c>
      <c r="C1123" s="13" t="n">
        <v>648</v>
      </c>
      <c r="D1123" s="12" t="s">
        <v>2311</v>
      </c>
      <c r="E1123" s="12" t="s">
        <v>30</v>
      </c>
      <c r="F1123" s="12" t="s">
        <v>239</v>
      </c>
      <c r="G1123" s="12" t="s">
        <v>653</v>
      </c>
      <c r="H1123" s="14" t="n">
        <v>46284</v>
      </c>
      <c r="I1123" s="14" t="n">
        <v>46286</v>
      </c>
      <c r="J1123" s="12" t="s">
        <v>354</v>
      </c>
    </row>
    <row r="1124" customFormat="false" ht="15" hidden="false" customHeight="true" outlineLevel="0" collapsed="false">
      <c r="A1124" s="12" t="s">
        <v>2312</v>
      </c>
      <c r="B1124" s="13" t="n">
        <v>13.102</v>
      </c>
      <c r="C1124" s="13" t="n">
        <v>12.12</v>
      </c>
      <c r="D1124" s="12" t="s">
        <v>870</v>
      </c>
      <c r="E1124" s="12" t="s">
        <v>30</v>
      </c>
      <c r="F1124" s="12" t="s">
        <v>871</v>
      </c>
      <c r="G1124" s="12" t="s">
        <v>609</v>
      </c>
      <c r="H1124" s="14" t="n">
        <v>46284</v>
      </c>
      <c r="I1124" s="14" t="n">
        <v>46286</v>
      </c>
      <c r="J1124" s="12" t="s">
        <v>254</v>
      </c>
    </row>
    <row r="1125" customFormat="false" ht="15" hidden="false" customHeight="true" outlineLevel="0" collapsed="false">
      <c r="A1125" s="12" t="s">
        <v>2313</v>
      </c>
      <c r="B1125" s="13" t="n">
        <v>76.107</v>
      </c>
      <c r="C1125" s="13" t="n">
        <v>68.48</v>
      </c>
      <c r="D1125" s="12" t="s">
        <v>868</v>
      </c>
      <c r="E1125" s="12" t="s">
        <v>30</v>
      </c>
      <c r="F1125" s="12" t="s">
        <v>615</v>
      </c>
      <c r="G1125" s="12" t="s">
        <v>609</v>
      </c>
      <c r="H1125" s="14" t="n">
        <v>46284</v>
      </c>
      <c r="I1125" s="14" t="n">
        <v>46286</v>
      </c>
      <c r="J1125" s="12" t="s">
        <v>254</v>
      </c>
    </row>
    <row r="1126" customFormat="false" ht="15" hidden="false" customHeight="true" outlineLevel="0" collapsed="false">
      <c r="A1126" s="12" t="s">
        <v>2314</v>
      </c>
      <c r="B1126" s="13" t="n">
        <v>1048.138</v>
      </c>
      <c r="C1126" s="13" t="n">
        <v>969.6</v>
      </c>
      <c r="D1126" s="12" t="s">
        <v>734</v>
      </c>
      <c r="E1126" s="12" t="s">
        <v>30</v>
      </c>
      <c r="F1126" s="12" t="s">
        <v>239</v>
      </c>
      <c r="G1126" s="12" t="s">
        <v>646</v>
      </c>
      <c r="H1126" s="14" t="n">
        <v>46284</v>
      </c>
      <c r="I1126" s="14" t="n">
        <v>46286</v>
      </c>
      <c r="J1126" s="12" t="s">
        <v>254</v>
      </c>
    </row>
    <row r="1127" customFormat="false" ht="15" hidden="false" customHeight="true" outlineLevel="0" collapsed="false">
      <c r="A1127" s="12" t="s">
        <v>2315</v>
      </c>
      <c r="B1127" s="13" t="n">
        <v>398.32</v>
      </c>
      <c r="C1127" s="13" t="n">
        <v>381.9</v>
      </c>
      <c r="D1127" s="12" t="s">
        <v>734</v>
      </c>
      <c r="E1127" s="12" t="s">
        <v>30</v>
      </c>
      <c r="F1127" s="12" t="s">
        <v>239</v>
      </c>
      <c r="G1127" s="12" t="s">
        <v>646</v>
      </c>
      <c r="H1127" s="14" t="n">
        <v>46284</v>
      </c>
      <c r="I1127" s="14" t="n">
        <v>46286</v>
      </c>
      <c r="J1127" s="12" t="s">
        <v>354</v>
      </c>
    </row>
    <row r="1128" customFormat="false" ht="15" hidden="false" customHeight="true" outlineLevel="0" collapsed="false">
      <c r="A1128" s="12" t="s">
        <v>2316</v>
      </c>
      <c r="B1128" s="13" t="n">
        <v>25.512</v>
      </c>
      <c r="C1128" s="13" t="n">
        <v>24</v>
      </c>
      <c r="D1128" s="12" t="s">
        <v>734</v>
      </c>
      <c r="E1128" s="12" t="s">
        <v>30</v>
      </c>
      <c r="F1128" s="12" t="s">
        <v>239</v>
      </c>
      <c r="G1128" s="12" t="s">
        <v>646</v>
      </c>
      <c r="H1128" s="14" t="n">
        <v>46284</v>
      </c>
      <c r="I1128" s="14" t="n">
        <v>46286</v>
      </c>
      <c r="J1128" s="12" t="s">
        <v>254</v>
      </c>
    </row>
    <row r="1129" customFormat="false" ht="15" hidden="false" customHeight="true" outlineLevel="0" collapsed="false">
      <c r="A1129" s="12" t="s">
        <v>2317</v>
      </c>
      <c r="B1129" s="13" t="n">
        <v>70.914</v>
      </c>
      <c r="C1129" s="13" t="n">
        <v>65.6</v>
      </c>
      <c r="D1129" s="12" t="s">
        <v>2318</v>
      </c>
      <c r="E1129" s="12" t="s">
        <v>30</v>
      </c>
      <c r="F1129" s="12" t="s">
        <v>268</v>
      </c>
      <c r="G1129" s="12" t="s">
        <v>653</v>
      </c>
      <c r="H1129" s="14" t="n">
        <v>46284</v>
      </c>
      <c r="I1129" s="14" t="n">
        <v>46286</v>
      </c>
      <c r="J1129" s="12" t="s">
        <v>254</v>
      </c>
    </row>
    <row r="1130" customFormat="false" ht="15" hidden="false" customHeight="true" outlineLevel="0" collapsed="false">
      <c r="A1130" s="12" t="s">
        <v>2319</v>
      </c>
      <c r="B1130" s="13" t="n">
        <v>88.642</v>
      </c>
      <c r="C1130" s="13" t="n">
        <v>82</v>
      </c>
      <c r="D1130" s="12" t="s">
        <v>676</v>
      </c>
      <c r="E1130" s="12" t="s">
        <v>30</v>
      </c>
      <c r="F1130" s="12" t="s">
        <v>677</v>
      </c>
      <c r="G1130" s="12" t="s">
        <v>646</v>
      </c>
      <c r="H1130" s="14" t="n">
        <v>46284</v>
      </c>
      <c r="I1130" s="14" t="n">
        <v>46286</v>
      </c>
      <c r="J1130" s="12" t="s">
        <v>254</v>
      </c>
    </row>
    <row r="1131" customFormat="false" ht="15" hidden="false" customHeight="true" outlineLevel="0" collapsed="false">
      <c r="A1131" s="12" t="s">
        <v>2320</v>
      </c>
      <c r="B1131" s="13" t="n">
        <v>65.509</v>
      </c>
      <c r="C1131" s="13" t="n">
        <v>60.6</v>
      </c>
      <c r="D1131" s="12" t="s">
        <v>2126</v>
      </c>
      <c r="E1131" s="12" t="s">
        <v>30</v>
      </c>
      <c r="F1131" s="12" t="s">
        <v>239</v>
      </c>
      <c r="G1131" s="12" t="s">
        <v>646</v>
      </c>
      <c r="H1131" s="14" t="n">
        <v>46284</v>
      </c>
      <c r="I1131" s="14" t="n">
        <v>46286</v>
      </c>
      <c r="J1131" s="12" t="s">
        <v>254</v>
      </c>
    </row>
    <row r="1132" customFormat="false" ht="15" hidden="false" customHeight="true" outlineLevel="0" collapsed="false">
      <c r="A1132" s="12" t="s">
        <v>2321</v>
      </c>
      <c r="B1132" s="13" t="n">
        <v>135.995</v>
      </c>
      <c r="C1132" s="13" t="n">
        <v>123.4</v>
      </c>
      <c r="D1132" s="12" t="s">
        <v>2259</v>
      </c>
      <c r="E1132" s="12" t="s">
        <v>30</v>
      </c>
      <c r="F1132" s="12" t="s">
        <v>2132</v>
      </c>
      <c r="G1132" s="12" t="s">
        <v>653</v>
      </c>
      <c r="H1132" s="14" t="n">
        <v>46284</v>
      </c>
      <c r="I1132" s="14" t="n">
        <v>46286</v>
      </c>
      <c r="J1132" s="12" t="s">
        <v>354</v>
      </c>
    </row>
    <row r="1133" customFormat="false" ht="15" hidden="false" customHeight="true" outlineLevel="0" collapsed="false">
      <c r="A1133" s="12" t="s">
        <v>2322</v>
      </c>
      <c r="B1133" s="13" t="n">
        <v>21.23</v>
      </c>
      <c r="C1133" s="13" t="n">
        <v>20.2</v>
      </c>
      <c r="D1133" s="12" t="s">
        <v>2323</v>
      </c>
      <c r="E1133" s="12" t="s">
        <v>30</v>
      </c>
      <c r="F1133" s="12" t="s">
        <v>2324</v>
      </c>
      <c r="G1133" s="12" t="s">
        <v>646</v>
      </c>
      <c r="H1133" s="14" t="n">
        <v>46284</v>
      </c>
      <c r="I1133" s="14" t="n">
        <v>46283</v>
      </c>
      <c r="J1133" s="12" t="s">
        <v>33</v>
      </c>
    </row>
    <row r="1134" customFormat="false" ht="15" hidden="false" customHeight="true" outlineLevel="0" collapsed="false">
      <c r="A1134" s="12" t="s">
        <v>2325</v>
      </c>
      <c r="B1134" s="13" t="n">
        <v>129.493</v>
      </c>
      <c r="C1134" s="13" t="n">
        <v>122</v>
      </c>
      <c r="D1134" s="12" t="s">
        <v>2326</v>
      </c>
      <c r="E1134" s="12" t="s">
        <v>30</v>
      </c>
      <c r="F1134" s="12" t="s">
        <v>727</v>
      </c>
      <c r="G1134" s="12" t="s">
        <v>653</v>
      </c>
      <c r="H1134" s="14" t="n">
        <v>46284</v>
      </c>
      <c r="I1134" s="14" t="n">
        <v>46286</v>
      </c>
      <c r="J1134" s="12" t="s">
        <v>354</v>
      </c>
    </row>
    <row r="1135" customFormat="false" ht="15" hidden="false" customHeight="true" outlineLevel="0" collapsed="false">
      <c r="A1135" s="12" t="s">
        <v>2327</v>
      </c>
      <c r="B1135" s="13" t="n">
        <v>43.302</v>
      </c>
      <c r="C1135" s="13" t="n">
        <v>42</v>
      </c>
      <c r="D1135" s="12" t="s">
        <v>2328</v>
      </c>
      <c r="E1135" s="12" t="s">
        <v>30</v>
      </c>
      <c r="F1135" s="12" t="s">
        <v>243</v>
      </c>
      <c r="G1135" s="12" t="s">
        <v>646</v>
      </c>
      <c r="H1135" s="14" t="n">
        <v>46284</v>
      </c>
      <c r="I1135" s="14" t="n">
        <v>46286</v>
      </c>
      <c r="J1135" s="12" t="s">
        <v>354</v>
      </c>
    </row>
    <row r="1136" customFormat="false" ht="15" hidden="false" customHeight="true" outlineLevel="0" collapsed="false">
      <c r="A1136" s="12" t="s">
        <v>2329</v>
      </c>
      <c r="B1136" s="13" t="n">
        <v>157.221</v>
      </c>
      <c r="C1136" s="13" t="n">
        <v>145.44</v>
      </c>
      <c r="D1136" s="12" t="s">
        <v>2330</v>
      </c>
      <c r="E1136" s="12" t="s">
        <v>30</v>
      </c>
      <c r="F1136" s="12" t="s">
        <v>2230</v>
      </c>
      <c r="G1136" s="12" t="s">
        <v>653</v>
      </c>
      <c r="H1136" s="14" t="n">
        <v>46284</v>
      </c>
      <c r="I1136" s="14" t="n">
        <v>46286</v>
      </c>
      <c r="J1136" s="12" t="s">
        <v>254</v>
      </c>
    </row>
    <row r="1137" customFormat="false" ht="15" hidden="false" customHeight="true" outlineLevel="0" collapsed="false">
      <c r="A1137" s="12" t="s">
        <v>2331</v>
      </c>
      <c r="B1137" s="13" t="n">
        <v>284.602</v>
      </c>
      <c r="C1137" s="13" t="n">
        <v>266.64</v>
      </c>
      <c r="D1137" s="12" t="s">
        <v>2332</v>
      </c>
      <c r="E1137" s="12" t="s">
        <v>30</v>
      </c>
      <c r="F1137" s="12" t="s">
        <v>697</v>
      </c>
      <c r="G1137" s="12" t="s">
        <v>653</v>
      </c>
      <c r="H1137" s="14" t="n">
        <v>46284</v>
      </c>
      <c r="I1137" s="14" t="n">
        <v>46286</v>
      </c>
      <c r="J1137" s="12" t="s">
        <v>254</v>
      </c>
    </row>
    <row r="1138" customFormat="false" ht="15" hidden="false" customHeight="true" outlineLevel="0" collapsed="false">
      <c r="A1138" s="12" t="s">
        <v>2333</v>
      </c>
      <c r="B1138" s="13" t="n">
        <v>65.509</v>
      </c>
      <c r="C1138" s="13" t="n">
        <v>60.6</v>
      </c>
      <c r="D1138" s="12" t="s">
        <v>2232</v>
      </c>
      <c r="E1138" s="12" t="s">
        <v>30</v>
      </c>
      <c r="F1138" s="12" t="s">
        <v>2233</v>
      </c>
      <c r="G1138" s="12" t="s">
        <v>653</v>
      </c>
      <c r="H1138" s="14" t="n">
        <v>46284</v>
      </c>
      <c r="I1138" s="14" t="n">
        <v>46286</v>
      </c>
      <c r="J1138" s="12" t="s">
        <v>254</v>
      </c>
    </row>
    <row r="1139" customFormat="false" ht="15" hidden="false" customHeight="true" outlineLevel="0" collapsed="false">
      <c r="A1139" s="12" t="s">
        <v>2334</v>
      </c>
      <c r="B1139" s="13" t="n">
        <v>13.102</v>
      </c>
      <c r="C1139" s="13" t="n">
        <v>12.12</v>
      </c>
      <c r="D1139" s="12" t="s">
        <v>2229</v>
      </c>
      <c r="E1139" s="12" t="s">
        <v>30</v>
      </c>
      <c r="F1139" s="12" t="s">
        <v>2230</v>
      </c>
      <c r="G1139" s="12" t="s">
        <v>653</v>
      </c>
      <c r="H1139" s="14" t="n">
        <v>46284</v>
      </c>
      <c r="I1139" s="14" t="n">
        <v>46286</v>
      </c>
      <c r="J1139" s="12" t="s">
        <v>254</v>
      </c>
    </row>
    <row r="1140" customFormat="false" ht="15" hidden="false" customHeight="true" outlineLevel="0" collapsed="false">
      <c r="A1140" s="12" t="s">
        <v>2335</v>
      </c>
      <c r="B1140" s="13" t="n">
        <v>65.509</v>
      </c>
      <c r="C1140" s="13" t="n">
        <v>60.6</v>
      </c>
      <c r="D1140" s="12" t="s">
        <v>2126</v>
      </c>
      <c r="E1140" s="12" t="s">
        <v>30</v>
      </c>
      <c r="F1140" s="12" t="s">
        <v>413</v>
      </c>
      <c r="G1140" s="12" t="s">
        <v>646</v>
      </c>
      <c r="H1140" s="14" t="n">
        <v>46284</v>
      </c>
      <c r="I1140" s="14" t="n">
        <v>46286</v>
      </c>
      <c r="J1140" s="12" t="s">
        <v>254</v>
      </c>
    </row>
    <row r="1141" customFormat="false" ht="15" hidden="false" customHeight="true" outlineLevel="0" collapsed="false">
      <c r="A1141" s="12" t="s">
        <v>2336</v>
      </c>
      <c r="B1141" s="13" t="n">
        <v>216.51</v>
      </c>
      <c r="C1141" s="13" t="n">
        <v>210</v>
      </c>
      <c r="D1141" s="12" t="s">
        <v>2337</v>
      </c>
      <c r="E1141" s="12" t="s">
        <v>30</v>
      </c>
      <c r="F1141" s="12" t="s">
        <v>664</v>
      </c>
      <c r="G1141" s="12" t="s">
        <v>653</v>
      </c>
      <c r="H1141" s="14" t="n">
        <v>46284</v>
      </c>
      <c r="I1141" s="14" t="n">
        <v>46286</v>
      </c>
      <c r="J1141" s="12" t="s">
        <v>354</v>
      </c>
    </row>
    <row r="1142" customFormat="false" ht="15" hidden="false" customHeight="true" outlineLevel="0" collapsed="false">
      <c r="A1142" s="12" t="s">
        <v>2338</v>
      </c>
      <c r="B1142" s="13" t="n">
        <v>20.964</v>
      </c>
      <c r="C1142" s="13" t="n">
        <v>20.1</v>
      </c>
      <c r="D1142" s="12" t="s">
        <v>660</v>
      </c>
      <c r="E1142" s="12" t="s">
        <v>30</v>
      </c>
      <c r="F1142" s="12" t="s">
        <v>239</v>
      </c>
      <c r="G1142" s="12" t="s">
        <v>646</v>
      </c>
      <c r="H1142" s="14" t="n">
        <v>46284</v>
      </c>
      <c r="I1142" s="14" t="n">
        <v>46286</v>
      </c>
      <c r="J1142" s="12" t="s">
        <v>254</v>
      </c>
    </row>
    <row r="1143" customFormat="false" ht="15" hidden="false" customHeight="true" outlineLevel="0" collapsed="false">
      <c r="A1143" s="12" t="s">
        <v>2339</v>
      </c>
      <c r="B1143" s="13" t="n">
        <v>25.095</v>
      </c>
      <c r="C1143" s="13" t="n">
        <v>24</v>
      </c>
      <c r="D1143" s="12" t="s">
        <v>660</v>
      </c>
      <c r="E1143" s="12" t="s">
        <v>30</v>
      </c>
      <c r="F1143" s="12" t="s">
        <v>239</v>
      </c>
      <c r="G1143" s="12" t="s">
        <v>646</v>
      </c>
      <c r="H1143" s="14" t="n">
        <v>46284</v>
      </c>
      <c r="I1143" s="14" t="n">
        <v>46286</v>
      </c>
      <c r="J1143" s="12" t="s">
        <v>254</v>
      </c>
    </row>
    <row r="1144" customFormat="false" ht="15" hidden="false" customHeight="true" outlineLevel="0" collapsed="false">
      <c r="A1144" s="12" t="s">
        <v>2340</v>
      </c>
      <c r="B1144" s="13" t="n">
        <v>7.3</v>
      </c>
      <c r="C1144" s="13" t="n">
        <v>6.4</v>
      </c>
      <c r="D1144" s="12" t="s">
        <v>680</v>
      </c>
      <c r="E1144" s="12" t="s">
        <v>30</v>
      </c>
      <c r="F1144" s="12" t="s">
        <v>243</v>
      </c>
      <c r="G1144" s="12" t="s">
        <v>646</v>
      </c>
      <c r="H1144" s="14" t="n">
        <v>46284</v>
      </c>
      <c r="I1144" s="14" t="n">
        <v>46286</v>
      </c>
      <c r="J1144" s="12" t="s">
        <v>254</v>
      </c>
    </row>
    <row r="1145" customFormat="false" ht="15" hidden="false" customHeight="true" outlineLevel="0" collapsed="false">
      <c r="A1145" s="12" t="s">
        <v>2341</v>
      </c>
      <c r="B1145" s="13" t="n">
        <v>23.7</v>
      </c>
      <c r="C1145" s="13" t="n">
        <v>20</v>
      </c>
      <c r="D1145" s="12" t="s">
        <v>2342</v>
      </c>
      <c r="E1145" s="12" t="s">
        <v>30</v>
      </c>
      <c r="F1145" s="12" t="s">
        <v>2343</v>
      </c>
      <c r="G1145" s="12" t="s">
        <v>653</v>
      </c>
      <c r="H1145" s="14" t="n">
        <v>46284</v>
      </c>
      <c r="I1145" s="14" t="n">
        <v>46286</v>
      </c>
      <c r="J1145" s="12" t="s">
        <v>254</v>
      </c>
    </row>
    <row r="1146" customFormat="false" ht="15" hidden="false" customHeight="true" outlineLevel="0" collapsed="false">
      <c r="A1146" s="12" t="s">
        <v>2344</v>
      </c>
      <c r="B1146" s="13" t="n">
        <v>283.449</v>
      </c>
      <c r="C1146" s="13" t="n">
        <v>261.54</v>
      </c>
      <c r="D1146" s="12" t="s">
        <v>2345</v>
      </c>
      <c r="E1146" s="12" t="s">
        <v>30</v>
      </c>
      <c r="F1146" s="12" t="s">
        <v>2346</v>
      </c>
      <c r="G1146" s="12" t="s">
        <v>653</v>
      </c>
      <c r="H1146" s="14" t="n">
        <v>46284</v>
      </c>
      <c r="I1146" s="14" t="n">
        <v>46286</v>
      </c>
      <c r="J1146" s="12" t="s">
        <v>354</v>
      </c>
    </row>
    <row r="1147" customFormat="false" ht="15" hidden="false" customHeight="true" outlineLevel="0" collapsed="false">
      <c r="A1147" s="12" t="s">
        <v>2347</v>
      </c>
      <c r="B1147" s="13" t="n">
        <v>314.442</v>
      </c>
      <c r="C1147" s="13" t="n">
        <v>290.88</v>
      </c>
      <c r="D1147" s="12" t="s">
        <v>2196</v>
      </c>
      <c r="E1147" s="12" t="s">
        <v>30</v>
      </c>
      <c r="F1147" s="12" t="s">
        <v>243</v>
      </c>
      <c r="G1147" s="12" t="s">
        <v>646</v>
      </c>
      <c r="H1147" s="14" t="n">
        <v>46284</v>
      </c>
      <c r="I1147" s="14" t="n">
        <v>46286</v>
      </c>
      <c r="J1147" s="12" t="s">
        <v>354</v>
      </c>
    </row>
    <row r="1148" customFormat="false" ht="15" hidden="false" customHeight="true" outlineLevel="0" collapsed="false">
      <c r="A1148" s="12" t="s">
        <v>2348</v>
      </c>
      <c r="B1148" s="13" t="n">
        <v>128.246</v>
      </c>
      <c r="C1148" s="13" t="n">
        <v>119.2</v>
      </c>
      <c r="D1148" s="12" t="s">
        <v>2349</v>
      </c>
      <c r="E1148" s="12" t="s">
        <v>30</v>
      </c>
      <c r="F1148" s="12" t="s">
        <v>732</v>
      </c>
      <c r="G1148" s="12" t="s">
        <v>653</v>
      </c>
      <c r="H1148" s="14" t="n">
        <v>46284</v>
      </c>
      <c r="I1148" s="14" t="n">
        <v>46286</v>
      </c>
      <c r="J1148" s="12" t="s">
        <v>254</v>
      </c>
    </row>
    <row r="1149" customFormat="false" ht="15" hidden="false" customHeight="true" outlineLevel="0" collapsed="false">
      <c r="A1149" s="12" t="s">
        <v>2350</v>
      </c>
      <c r="B1149" s="13" t="n">
        <v>26.203</v>
      </c>
      <c r="C1149" s="13" t="n">
        <v>24.24</v>
      </c>
      <c r="D1149" s="12" t="s">
        <v>660</v>
      </c>
      <c r="E1149" s="12" t="s">
        <v>30</v>
      </c>
      <c r="F1149" s="12" t="s">
        <v>239</v>
      </c>
      <c r="G1149" s="12" t="s">
        <v>646</v>
      </c>
      <c r="H1149" s="14" t="n">
        <v>46284</v>
      </c>
      <c r="I1149" s="14" t="n">
        <v>46286</v>
      </c>
      <c r="J1149" s="12" t="s">
        <v>254</v>
      </c>
    </row>
    <row r="1150" customFormat="false" ht="15" hidden="false" customHeight="true" outlineLevel="0" collapsed="false">
      <c r="A1150" s="12" t="s">
        <v>2351</v>
      </c>
      <c r="B1150" s="13" t="n">
        <v>26.203</v>
      </c>
      <c r="C1150" s="13" t="n">
        <v>24.24</v>
      </c>
      <c r="D1150" s="12" t="s">
        <v>660</v>
      </c>
      <c r="E1150" s="12" t="s">
        <v>30</v>
      </c>
      <c r="F1150" s="12" t="s">
        <v>239</v>
      </c>
      <c r="G1150" s="12" t="s">
        <v>646</v>
      </c>
      <c r="H1150" s="14" t="n">
        <v>46284</v>
      </c>
      <c r="I1150" s="14" t="n">
        <v>46286</v>
      </c>
      <c r="J1150" s="12" t="s">
        <v>254</v>
      </c>
    </row>
    <row r="1151" customFormat="false" ht="15" hidden="false" customHeight="true" outlineLevel="0" collapsed="false">
      <c r="A1151" s="12" t="s">
        <v>2352</v>
      </c>
      <c r="B1151" s="13" t="n">
        <v>39.305</v>
      </c>
      <c r="C1151" s="13" t="n">
        <v>36.36</v>
      </c>
      <c r="D1151" s="12" t="s">
        <v>651</v>
      </c>
      <c r="E1151" s="12" t="s">
        <v>30</v>
      </c>
      <c r="F1151" s="12" t="s">
        <v>652</v>
      </c>
      <c r="G1151" s="12" t="s">
        <v>653</v>
      </c>
      <c r="H1151" s="14" t="n">
        <v>46284</v>
      </c>
      <c r="I1151" s="14" t="n">
        <v>46286</v>
      </c>
      <c r="J1151" s="12" t="s">
        <v>254</v>
      </c>
    </row>
    <row r="1152" customFormat="false" ht="15" hidden="false" customHeight="true" outlineLevel="0" collapsed="false">
      <c r="A1152" s="12" t="s">
        <v>2353</v>
      </c>
      <c r="B1152" s="13" t="n">
        <v>227.5</v>
      </c>
      <c r="C1152" s="13" t="n">
        <v>210.08</v>
      </c>
      <c r="D1152" s="12" t="s">
        <v>2354</v>
      </c>
      <c r="E1152" s="12" t="s">
        <v>30</v>
      </c>
      <c r="F1152" s="12" t="s">
        <v>243</v>
      </c>
      <c r="G1152" s="12" t="s">
        <v>646</v>
      </c>
      <c r="H1152" s="14" t="n">
        <v>46284</v>
      </c>
      <c r="I1152" s="14" t="n">
        <v>46286</v>
      </c>
      <c r="J1152" s="12" t="s">
        <v>354</v>
      </c>
    </row>
    <row r="1153" customFormat="false" ht="15" hidden="false" customHeight="true" outlineLevel="0" collapsed="false">
      <c r="A1153" s="12" t="s">
        <v>2355</v>
      </c>
      <c r="B1153" s="13" t="n">
        <v>155.464</v>
      </c>
      <c r="C1153" s="13" t="n">
        <v>142.72</v>
      </c>
      <c r="D1153" s="12" t="s">
        <v>2356</v>
      </c>
      <c r="E1153" s="12" t="s">
        <v>30</v>
      </c>
      <c r="F1153" s="12" t="s">
        <v>688</v>
      </c>
      <c r="G1153" s="12" t="s">
        <v>653</v>
      </c>
      <c r="H1153" s="14" t="n">
        <v>46284</v>
      </c>
      <c r="I1153" s="14" t="n">
        <v>46286</v>
      </c>
      <c r="J1153" s="12" t="s">
        <v>354</v>
      </c>
    </row>
    <row r="1154" customFormat="false" ht="15" hidden="false" customHeight="true" outlineLevel="0" collapsed="false">
      <c r="A1154" s="12" t="s">
        <v>2357</v>
      </c>
      <c r="B1154" s="13" t="n">
        <v>97.253</v>
      </c>
      <c r="C1154" s="13" t="n">
        <v>90.9</v>
      </c>
      <c r="D1154" s="12" t="s">
        <v>2358</v>
      </c>
      <c r="E1154" s="12" t="s">
        <v>30</v>
      </c>
      <c r="F1154" s="12" t="s">
        <v>2211</v>
      </c>
      <c r="G1154" s="12" t="s">
        <v>653</v>
      </c>
      <c r="H1154" s="14" t="n">
        <v>46284</v>
      </c>
      <c r="I1154" s="14" t="n">
        <v>46286</v>
      </c>
      <c r="J1154" s="12" t="s">
        <v>254</v>
      </c>
    </row>
    <row r="1155" customFormat="false" ht="15" hidden="false" customHeight="true" outlineLevel="0" collapsed="false">
      <c r="A1155" s="12" t="s">
        <v>2359</v>
      </c>
      <c r="B1155" s="13" t="n">
        <v>196.045</v>
      </c>
      <c r="C1155" s="13" t="n">
        <v>185.84</v>
      </c>
      <c r="D1155" s="12" t="s">
        <v>2360</v>
      </c>
      <c r="E1155" s="12" t="s">
        <v>30</v>
      </c>
      <c r="F1155" s="12" t="s">
        <v>2361</v>
      </c>
      <c r="G1155" s="12" t="s">
        <v>653</v>
      </c>
      <c r="H1155" s="14" t="n">
        <v>46284</v>
      </c>
      <c r="I1155" s="14" t="n">
        <v>46286</v>
      </c>
      <c r="J1155" s="12" t="s">
        <v>254</v>
      </c>
    </row>
    <row r="1156" customFormat="false" ht="15" hidden="false" customHeight="true" outlineLevel="0" collapsed="false">
      <c r="A1156" s="12" t="s">
        <v>2362</v>
      </c>
      <c r="B1156" s="13" t="n">
        <v>262.034</v>
      </c>
      <c r="C1156" s="13" t="n">
        <v>242.4</v>
      </c>
      <c r="D1156" s="12" t="s">
        <v>2363</v>
      </c>
      <c r="E1156" s="12" t="s">
        <v>30</v>
      </c>
      <c r="F1156" s="12" t="s">
        <v>239</v>
      </c>
      <c r="G1156" s="12" t="s">
        <v>646</v>
      </c>
      <c r="H1156" s="14" t="n">
        <v>46284</v>
      </c>
      <c r="I1156" s="14" t="n">
        <v>46286</v>
      </c>
      <c r="J1156" s="12" t="s">
        <v>354</v>
      </c>
    </row>
    <row r="1157" customFormat="false" ht="15" hidden="false" customHeight="true" outlineLevel="0" collapsed="false">
      <c r="A1157" s="12" t="s">
        <v>2364</v>
      </c>
      <c r="B1157" s="13" t="n">
        <v>543.977</v>
      </c>
      <c r="C1157" s="13" t="n">
        <v>503.66</v>
      </c>
      <c r="D1157" s="12" t="s">
        <v>2365</v>
      </c>
      <c r="E1157" s="12" t="s">
        <v>30</v>
      </c>
      <c r="F1157" s="12" t="s">
        <v>608</v>
      </c>
      <c r="G1157" s="12" t="s">
        <v>609</v>
      </c>
      <c r="H1157" s="14" t="n">
        <v>46284</v>
      </c>
      <c r="I1157" s="14" t="n">
        <v>46286</v>
      </c>
      <c r="J1157" s="12" t="s">
        <v>254</v>
      </c>
    </row>
    <row r="1158" customFormat="false" ht="15" hidden="false" customHeight="true" outlineLevel="0" collapsed="false">
      <c r="A1158" s="12" t="s">
        <v>2366</v>
      </c>
      <c r="B1158" s="13" t="n">
        <v>477.28</v>
      </c>
      <c r="C1158" s="13" t="n">
        <v>443.46</v>
      </c>
      <c r="D1158" s="12" t="s">
        <v>2367</v>
      </c>
      <c r="E1158" s="12" t="s">
        <v>30</v>
      </c>
      <c r="F1158" s="12" t="s">
        <v>608</v>
      </c>
      <c r="G1158" s="12" t="s">
        <v>609</v>
      </c>
      <c r="H1158" s="14" t="n">
        <v>46284</v>
      </c>
      <c r="I1158" s="14" t="n">
        <v>46286</v>
      </c>
      <c r="J1158" s="12" t="s">
        <v>254</v>
      </c>
    </row>
    <row r="1159" customFormat="false" ht="15" hidden="false" customHeight="true" outlineLevel="0" collapsed="false">
      <c r="A1159" s="12" t="s">
        <v>2368</v>
      </c>
      <c r="B1159" s="13" t="n">
        <v>347.621</v>
      </c>
      <c r="C1159" s="13" t="n">
        <v>325.22</v>
      </c>
      <c r="D1159" s="12" t="s">
        <v>2369</v>
      </c>
      <c r="E1159" s="12" t="s">
        <v>30</v>
      </c>
      <c r="F1159" s="12" t="s">
        <v>2370</v>
      </c>
      <c r="G1159" s="12" t="s">
        <v>609</v>
      </c>
      <c r="H1159" s="14" t="n">
        <v>46284</v>
      </c>
      <c r="I1159" s="14" t="n">
        <v>46286</v>
      </c>
      <c r="J1159" s="12" t="s">
        <v>254</v>
      </c>
    </row>
    <row r="1160" customFormat="false" ht="15" hidden="false" customHeight="true" outlineLevel="0" collapsed="false">
      <c r="A1160" s="12" t="s">
        <v>2371</v>
      </c>
      <c r="B1160" s="13" t="n">
        <v>276.299</v>
      </c>
      <c r="C1160" s="13" t="n">
        <v>254.8</v>
      </c>
      <c r="D1160" s="12" t="s">
        <v>2372</v>
      </c>
      <c r="E1160" s="12" t="s">
        <v>30</v>
      </c>
      <c r="F1160" s="12" t="s">
        <v>608</v>
      </c>
      <c r="G1160" s="12" t="s">
        <v>609</v>
      </c>
      <c r="H1160" s="14" t="n">
        <v>46284</v>
      </c>
      <c r="I1160" s="14" t="n">
        <v>46286</v>
      </c>
      <c r="J1160" s="12" t="s">
        <v>254</v>
      </c>
    </row>
    <row r="1161" customFormat="false" ht="15" hidden="false" customHeight="true" outlineLevel="0" collapsed="false">
      <c r="A1161" s="12" t="s">
        <v>2373</v>
      </c>
      <c r="B1161" s="13" t="n">
        <v>157.221</v>
      </c>
      <c r="C1161" s="13" t="n">
        <v>145.44</v>
      </c>
      <c r="D1161" s="12" t="s">
        <v>796</v>
      </c>
      <c r="E1161" s="12" t="s">
        <v>30</v>
      </c>
      <c r="F1161" s="12" t="s">
        <v>608</v>
      </c>
      <c r="G1161" s="12" t="s">
        <v>609</v>
      </c>
      <c r="H1161" s="14" t="n">
        <v>46284</v>
      </c>
      <c r="I1161" s="14" t="n">
        <v>46286</v>
      </c>
      <c r="J1161" s="12" t="s">
        <v>254</v>
      </c>
    </row>
    <row r="1162" customFormat="false" ht="15" hidden="false" customHeight="true" outlineLevel="0" collapsed="false">
      <c r="A1162" s="12" t="s">
        <v>2374</v>
      </c>
      <c r="B1162" s="13" t="n">
        <v>35.55</v>
      </c>
      <c r="C1162" s="13" t="n">
        <v>30</v>
      </c>
      <c r="D1162" s="12" t="s">
        <v>988</v>
      </c>
      <c r="E1162" s="12" t="s">
        <v>30</v>
      </c>
      <c r="F1162" s="12" t="s">
        <v>989</v>
      </c>
      <c r="G1162" s="12" t="s">
        <v>609</v>
      </c>
      <c r="H1162" s="14" t="n">
        <v>46284</v>
      </c>
      <c r="I1162" s="14" t="n">
        <v>46286</v>
      </c>
      <c r="J1162" s="12" t="s">
        <v>254</v>
      </c>
    </row>
    <row r="1163" customFormat="false" ht="15" hidden="false" customHeight="true" outlineLevel="0" collapsed="false">
      <c r="A1163" s="12" t="s">
        <v>2375</v>
      </c>
      <c r="B1163" s="13" t="n">
        <v>119.102</v>
      </c>
      <c r="C1163" s="13" t="n">
        <v>108.68</v>
      </c>
      <c r="D1163" s="12" t="s">
        <v>1062</v>
      </c>
      <c r="E1163" s="12" t="s">
        <v>30</v>
      </c>
      <c r="F1163" s="12" t="s">
        <v>1063</v>
      </c>
      <c r="G1163" s="12" t="s">
        <v>609</v>
      </c>
      <c r="H1163" s="14" t="n">
        <v>46284</v>
      </c>
      <c r="I1163" s="14" t="n">
        <v>46286</v>
      </c>
      <c r="J1163" s="12" t="s">
        <v>254</v>
      </c>
    </row>
    <row r="1164" customFormat="false" ht="15" hidden="false" customHeight="true" outlineLevel="0" collapsed="false">
      <c r="A1164" s="12" t="s">
        <v>2376</v>
      </c>
      <c r="B1164" s="13" t="n">
        <v>117.221</v>
      </c>
      <c r="C1164" s="13" t="n">
        <v>104.3</v>
      </c>
      <c r="D1164" s="12" t="s">
        <v>2377</v>
      </c>
      <c r="E1164" s="12" t="s">
        <v>30</v>
      </c>
      <c r="F1164" s="12" t="s">
        <v>608</v>
      </c>
      <c r="G1164" s="12" t="s">
        <v>609</v>
      </c>
      <c r="H1164" s="14" t="n">
        <v>46284</v>
      </c>
      <c r="I1164" s="14" t="n">
        <v>46286</v>
      </c>
      <c r="J1164" s="12" t="s">
        <v>254</v>
      </c>
    </row>
    <row r="1165" customFormat="false" ht="15" hidden="false" customHeight="true" outlineLevel="0" collapsed="false">
      <c r="A1165" s="12" t="s">
        <v>2378</v>
      </c>
      <c r="B1165" s="13" t="n">
        <v>71.1</v>
      </c>
      <c r="C1165" s="13" t="n">
        <v>60</v>
      </c>
      <c r="D1165" s="12" t="s">
        <v>982</v>
      </c>
      <c r="E1165" s="12" t="s">
        <v>30</v>
      </c>
      <c r="F1165" s="12" t="s">
        <v>608</v>
      </c>
      <c r="G1165" s="12" t="s">
        <v>609</v>
      </c>
      <c r="H1165" s="14" t="n">
        <v>46284</v>
      </c>
      <c r="I1165" s="14" t="n">
        <v>46286</v>
      </c>
      <c r="J1165" s="12" t="s">
        <v>254</v>
      </c>
    </row>
    <row r="1166" customFormat="false" ht="15" hidden="false" customHeight="true" outlineLevel="0" collapsed="false">
      <c r="A1166" s="12" t="s">
        <v>2379</v>
      </c>
      <c r="B1166" s="13" t="n">
        <v>33.501</v>
      </c>
      <c r="C1166" s="13" t="n">
        <v>31</v>
      </c>
      <c r="D1166" s="12" t="s">
        <v>2380</v>
      </c>
      <c r="E1166" s="12" t="s">
        <v>30</v>
      </c>
      <c r="F1166" s="12" t="s">
        <v>2381</v>
      </c>
      <c r="G1166" s="12" t="s">
        <v>609</v>
      </c>
      <c r="H1166" s="14" t="n">
        <v>46284</v>
      </c>
      <c r="I1166" s="14" t="n">
        <v>46286</v>
      </c>
      <c r="J1166" s="12" t="s">
        <v>254</v>
      </c>
    </row>
    <row r="1167" customFormat="false" ht="15" hidden="false" customHeight="true" outlineLevel="0" collapsed="false">
      <c r="A1167" s="12" t="s">
        <v>2382</v>
      </c>
      <c r="B1167" s="13" t="n">
        <v>54.793</v>
      </c>
      <c r="C1167" s="13" t="n">
        <v>50.5</v>
      </c>
      <c r="D1167" s="12" t="s">
        <v>1128</v>
      </c>
      <c r="E1167" s="12" t="s">
        <v>30</v>
      </c>
      <c r="F1167" s="12" t="s">
        <v>1009</v>
      </c>
      <c r="G1167" s="12" t="s">
        <v>609</v>
      </c>
      <c r="H1167" s="14" t="n">
        <v>46284</v>
      </c>
      <c r="I1167" s="14" t="n">
        <v>46286</v>
      </c>
      <c r="J1167" s="12" t="s">
        <v>254</v>
      </c>
    </row>
    <row r="1168" customFormat="false" ht="15" hidden="false" customHeight="true" outlineLevel="0" collapsed="false">
      <c r="A1168" s="12" t="s">
        <v>2383</v>
      </c>
      <c r="B1168" s="13" t="n">
        <v>47.4</v>
      </c>
      <c r="C1168" s="13" t="n">
        <v>40</v>
      </c>
      <c r="D1168" s="12" t="s">
        <v>623</v>
      </c>
      <c r="E1168" s="12" t="s">
        <v>30</v>
      </c>
      <c r="F1168" s="12" t="s">
        <v>608</v>
      </c>
      <c r="G1168" s="12" t="s">
        <v>609</v>
      </c>
      <c r="H1168" s="14" t="n">
        <v>46284</v>
      </c>
      <c r="I1168" s="14" t="n">
        <v>46286</v>
      </c>
      <c r="J1168" s="12" t="s">
        <v>254</v>
      </c>
    </row>
    <row r="1169" customFormat="false" ht="15" hidden="false" customHeight="true" outlineLevel="0" collapsed="false">
      <c r="A1169" s="12" t="s">
        <v>2384</v>
      </c>
      <c r="B1169" s="13" t="n">
        <v>22.465</v>
      </c>
      <c r="C1169" s="13" t="n">
        <v>20.1</v>
      </c>
      <c r="D1169" s="12" t="s">
        <v>991</v>
      </c>
      <c r="E1169" s="12" t="s">
        <v>30</v>
      </c>
      <c r="F1169" s="12" t="s">
        <v>992</v>
      </c>
      <c r="G1169" s="12" t="s">
        <v>609</v>
      </c>
      <c r="H1169" s="14" t="n">
        <v>46284</v>
      </c>
      <c r="I1169" s="14" t="n">
        <v>46286</v>
      </c>
      <c r="J1169" s="12" t="s">
        <v>254</v>
      </c>
    </row>
    <row r="1170" customFormat="false" ht="15" hidden="false" customHeight="true" outlineLevel="0" collapsed="false">
      <c r="A1170" s="12" t="s">
        <v>2385</v>
      </c>
      <c r="B1170" s="13" t="n">
        <v>43.695</v>
      </c>
      <c r="C1170" s="13" t="n">
        <v>40.3</v>
      </c>
      <c r="D1170" s="12" t="s">
        <v>2386</v>
      </c>
      <c r="E1170" s="12" t="s">
        <v>30</v>
      </c>
      <c r="F1170" s="12" t="s">
        <v>608</v>
      </c>
      <c r="G1170" s="12" t="s">
        <v>609</v>
      </c>
      <c r="H1170" s="14" t="n">
        <v>46284</v>
      </c>
      <c r="I1170" s="14" t="n">
        <v>46286</v>
      </c>
      <c r="J1170" s="12" t="s">
        <v>254</v>
      </c>
    </row>
    <row r="1171" customFormat="false" ht="15" hidden="false" customHeight="true" outlineLevel="0" collapsed="false">
      <c r="A1171" s="12" t="s">
        <v>2387</v>
      </c>
      <c r="B1171" s="13" t="n">
        <v>43.088</v>
      </c>
      <c r="C1171" s="13" t="n">
        <v>39.34</v>
      </c>
      <c r="D1171" s="12" t="s">
        <v>2388</v>
      </c>
      <c r="E1171" s="12" t="s">
        <v>30</v>
      </c>
      <c r="F1171" s="12" t="s">
        <v>909</v>
      </c>
      <c r="G1171" s="12" t="s">
        <v>609</v>
      </c>
      <c r="H1171" s="14" t="n">
        <v>46284</v>
      </c>
      <c r="I1171" s="14" t="n">
        <v>46286</v>
      </c>
      <c r="J1171" s="12" t="s">
        <v>254</v>
      </c>
    </row>
    <row r="1172" customFormat="false" ht="15" hidden="false" customHeight="true" outlineLevel="0" collapsed="false">
      <c r="A1172" s="12" t="s">
        <v>2389</v>
      </c>
      <c r="B1172" s="13" t="n">
        <v>32.128</v>
      </c>
      <c r="C1172" s="13" t="n">
        <v>29.24</v>
      </c>
      <c r="D1172" s="12" t="s">
        <v>2390</v>
      </c>
      <c r="E1172" s="12" t="s">
        <v>30</v>
      </c>
      <c r="F1172" s="12" t="s">
        <v>632</v>
      </c>
      <c r="G1172" s="12" t="s">
        <v>609</v>
      </c>
      <c r="H1172" s="14" t="n">
        <v>46284</v>
      </c>
      <c r="I1172" s="14" t="n">
        <v>46286</v>
      </c>
      <c r="J1172" s="12" t="s">
        <v>254</v>
      </c>
    </row>
    <row r="1173" customFormat="false" ht="15" hidden="false" customHeight="true" outlineLevel="0" collapsed="false">
      <c r="A1173" s="12" t="s">
        <v>2391</v>
      </c>
      <c r="B1173" s="13" t="n">
        <v>29.625</v>
      </c>
      <c r="C1173" s="13" t="n">
        <v>25</v>
      </c>
      <c r="D1173" s="12" t="s">
        <v>1128</v>
      </c>
      <c r="E1173" s="12" t="s">
        <v>30</v>
      </c>
      <c r="F1173" s="12" t="s">
        <v>1009</v>
      </c>
      <c r="G1173" s="12" t="s">
        <v>609</v>
      </c>
      <c r="H1173" s="14" t="n">
        <v>46284</v>
      </c>
      <c r="I1173" s="14" t="n">
        <v>46286</v>
      </c>
      <c r="J1173" s="12" t="s">
        <v>254</v>
      </c>
    </row>
    <row r="1174" customFormat="false" ht="15" hidden="false" customHeight="true" outlineLevel="0" collapsed="false">
      <c r="A1174" s="12" t="s">
        <v>2392</v>
      </c>
      <c r="B1174" s="13" t="n">
        <v>62.165</v>
      </c>
      <c r="C1174" s="13" t="n">
        <v>60.1</v>
      </c>
      <c r="D1174" s="12" t="s">
        <v>2393</v>
      </c>
      <c r="E1174" s="12" t="s">
        <v>30</v>
      </c>
      <c r="F1174" s="12" t="s">
        <v>883</v>
      </c>
      <c r="G1174" s="12" t="s">
        <v>653</v>
      </c>
      <c r="H1174" s="14" t="n">
        <v>46284</v>
      </c>
      <c r="I1174" s="14" t="n">
        <v>46286</v>
      </c>
      <c r="J1174" s="12" t="s">
        <v>354</v>
      </c>
    </row>
    <row r="1175" customFormat="false" ht="15" hidden="false" customHeight="true" outlineLevel="0" collapsed="false">
      <c r="A1175" s="12" t="s">
        <v>2394</v>
      </c>
      <c r="B1175" s="13" t="n">
        <v>625.966</v>
      </c>
      <c r="C1175" s="13" t="n">
        <v>596.1</v>
      </c>
      <c r="D1175" s="12" t="s">
        <v>2395</v>
      </c>
      <c r="E1175" s="12" t="s">
        <v>30</v>
      </c>
      <c r="F1175" s="12" t="s">
        <v>2304</v>
      </c>
      <c r="G1175" s="12" t="s">
        <v>653</v>
      </c>
      <c r="H1175" s="14" t="n">
        <v>46284</v>
      </c>
      <c r="I1175" s="14" t="n">
        <v>46286</v>
      </c>
      <c r="J1175" s="12" t="s">
        <v>254</v>
      </c>
    </row>
    <row r="1176" customFormat="false" ht="15" hidden="false" customHeight="true" outlineLevel="0" collapsed="false">
      <c r="A1176" s="12" t="s">
        <v>2396</v>
      </c>
      <c r="B1176" s="13" t="n">
        <v>166.686</v>
      </c>
      <c r="C1176" s="13" t="n">
        <v>157.56</v>
      </c>
      <c r="D1176" s="12" t="s">
        <v>2397</v>
      </c>
      <c r="E1176" s="12" t="s">
        <v>30</v>
      </c>
      <c r="F1176" s="12" t="s">
        <v>2398</v>
      </c>
      <c r="G1176" s="12" t="s">
        <v>609</v>
      </c>
      <c r="H1176" s="14" t="n">
        <v>46284</v>
      </c>
      <c r="I1176" s="14" t="n">
        <v>46286</v>
      </c>
      <c r="J1176" s="12" t="s">
        <v>254</v>
      </c>
    </row>
    <row r="1177" customFormat="false" ht="15" hidden="false" customHeight="true" outlineLevel="0" collapsed="false">
      <c r="A1177" s="12" t="s">
        <v>2399</v>
      </c>
      <c r="B1177" s="13" t="n">
        <v>161.218</v>
      </c>
      <c r="C1177" s="13" t="n">
        <v>151.08</v>
      </c>
      <c r="D1177" s="12" t="s">
        <v>2400</v>
      </c>
      <c r="E1177" s="12" t="s">
        <v>30</v>
      </c>
      <c r="F1177" s="12" t="s">
        <v>608</v>
      </c>
      <c r="G1177" s="12" t="s">
        <v>609</v>
      </c>
      <c r="H1177" s="14" t="n">
        <v>46284</v>
      </c>
      <c r="I1177" s="14" t="n">
        <v>46286</v>
      </c>
      <c r="J1177" s="12" t="s">
        <v>254</v>
      </c>
    </row>
    <row r="1178" customFormat="false" ht="15" hidden="false" customHeight="true" outlineLevel="0" collapsed="false">
      <c r="A1178" s="12" t="s">
        <v>2401</v>
      </c>
      <c r="B1178" s="13" t="n">
        <v>179.709</v>
      </c>
      <c r="C1178" s="13" t="n">
        <v>159.6</v>
      </c>
      <c r="D1178" s="12" t="s">
        <v>651</v>
      </c>
      <c r="E1178" s="12" t="s">
        <v>30</v>
      </c>
      <c r="F1178" s="12" t="s">
        <v>652</v>
      </c>
      <c r="G1178" s="12" t="s">
        <v>653</v>
      </c>
      <c r="H1178" s="14" t="n">
        <v>46284</v>
      </c>
      <c r="I1178" s="14" t="n">
        <v>46286</v>
      </c>
      <c r="J1178" s="12" t="s">
        <v>354</v>
      </c>
    </row>
    <row r="1179" customFormat="false" ht="15" hidden="false" customHeight="true" outlineLevel="0" collapsed="false">
      <c r="A1179" s="12" t="s">
        <v>2402</v>
      </c>
      <c r="B1179" s="13" t="n">
        <v>125.786</v>
      </c>
      <c r="C1179" s="13" t="n">
        <v>120.6</v>
      </c>
      <c r="D1179" s="12" t="s">
        <v>637</v>
      </c>
      <c r="E1179" s="12" t="s">
        <v>30</v>
      </c>
      <c r="F1179" s="12" t="s">
        <v>608</v>
      </c>
      <c r="G1179" s="12" t="s">
        <v>609</v>
      </c>
      <c r="H1179" s="14" t="n">
        <v>46284</v>
      </c>
      <c r="I1179" s="14" t="n">
        <v>46286</v>
      </c>
      <c r="J1179" s="12" t="s">
        <v>254</v>
      </c>
    </row>
    <row r="1180" customFormat="false" ht="15" hidden="false" customHeight="true" outlineLevel="0" collapsed="false">
      <c r="A1180" s="12" t="s">
        <v>2403</v>
      </c>
      <c r="B1180" s="13" t="n">
        <v>184.81</v>
      </c>
      <c r="C1180" s="13" t="n">
        <v>172.72</v>
      </c>
      <c r="D1180" s="12" t="s">
        <v>2404</v>
      </c>
      <c r="E1180" s="12" t="s">
        <v>30</v>
      </c>
      <c r="F1180" s="12" t="s">
        <v>608</v>
      </c>
      <c r="G1180" s="12" t="s">
        <v>609</v>
      </c>
      <c r="H1180" s="14" t="n">
        <v>46284</v>
      </c>
      <c r="I1180" s="14" t="n">
        <v>46286</v>
      </c>
      <c r="J1180" s="12" t="s">
        <v>254</v>
      </c>
    </row>
    <row r="1181" customFormat="false" ht="15" hidden="false" customHeight="true" outlineLevel="0" collapsed="false">
      <c r="A1181" s="12" t="s">
        <v>2405</v>
      </c>
      <c r="B1181" s="13" t="n">
        <v>20.178</v>
      </c>
      <c r="C1181" s="13" t="n">
        <v>18</v>
      </c>
      <c r="D1181" s="12" t="s">
        <v>637</v>
      </c>
      <c r="E1181" s="12" t="s">
        <v>30</v>
      </c>
      <c r="F1181" s="12" t="s">
        <v>608</v>
      </c>
      <c r="G1181" s="12" t="s">
        <v>609</v>
      </c>
      <c r="H1181" s="14" t="n">
        <v>46284</v>
      </c>
      <c r="I1181" s="14" t="n">
        <v>46286</v>
      </c>
      <c r="J1181" s="12" t="s">
        <v>254</v>
      </c>
    </row>
    <row r="1182" customFormat="false" ht="15" hidden="false" customHeight="true" outlineLevel="0" collapsed="false">
      <c r="A1182" s="12" t="s">
        <v>2406</v>
      </c>
      <c r="B1182" s="13" t="n">
        <v>100.379</v>
      </c>
      <c r="C1182" s="13" t="n">
        <v>96.001</v>
      </c>
      <c r="D1182" s="12" t="s">
        <v>641</v>
      </c>
      <c r="E1182" s="12" t="s">
        <v>30</v>
      </c>
      <c r="F1182" s="12" t="s">
        <v>608</v>
      </c>
      <c r="G1182" s="12" t="s">
        <v>609</v>
      </c>
      <c r="H1182" s="14" t="n">
        <v>46284</v>
      </c>
      <c r="I1182" s="14" t="n">
        <v>46286</v>
      </c>
      <c r="J1182" s="12" t="s">
        <v>254</v>
      </c>
    </row>
    <row r="1183" customFormat="false" ht="15" hidden="false" customHeight="true" outlineLevel="0" collapsed="false">
      <c r="A1183" s="12" t="s">
        <v>2407</v>
      </c>
      <c r="B1183" s="13" t="n">
        <v>21.24</v>
      </c>
      <c r="C1183" s="13" t="n">
        <v>20</v>
      </c>
      <c r="D1183" s="12" t="s">
        <v>774</v>
      </c>
      <c r="E1183" s="12" t="s">
        <v>30</v>
      </c>
      <c r="F1183" s="12" t="s">
        <v>608</v>
      </c>
      <c r="G1183" s="12" t="s">
        <v>609</v>
      </c>
      <c r="H1183" s="14" t="n">
        <v>46284</v>
      </c>
      <c r="I1183" s="14" t="n">
        <v>46286</v>
      </c>
      <c r="J1183" s="12" t="s">
        <v>254</v>
      </c>
    </row>
    <row r="1184" customFormat="false" ht="15" hidden="false" customHeight="true" outlineLevel="0" collapsed="false">
      <c r="A1184" s="12" t="s">
        <v>2408</v>
      </c>
      <c r="B1184" s="13" t="n">
        <v>51.55</v>
      </c>
      <c r="C1184" s="13" t="n">
        <v>50</v>
      </c>
      <c r="D1184" s="12" t="s">
        <v>2409</v>
      </c>
      <c r="E1184" s="12" t="s">
        <v>30</v>
      </c>
      <c r="F1184" s="12" t="s">
        <v>608</v>
      </c>
      <c r="G1184" s="12" t="s">
        <v>609</v>
      </c>
      <c r="H1184" s="14" t="n">
        <v>46284</v>
      </c>
      <c r="I1184" s="14" t="n">
        <v>46286</v>
      </c>
      <c r="J1184" s="12" t="s">
        <v>254</v>
      </c>
    </row>
    <row r="1185" customFormat="false" ht="15" hidden="false" customHeight="true" outlineLevel="0" collapsed="false">
      <c r="A1185" s="12" t="s">
        <v>2410</v>
      </c>
      <c r="B1185" s="13" t="n">
        <v>214.114</v>
      </c>
      <c r="C1185" s="13" t="n">
        <v>196.96</v>
      </c>
      <c r="D1185" s="12" t="s">
        <v>2411</v>
      </c>
      <c r="E1185" s="12" t="s">
        <v>30</v>
      </c>
      <c r="F1185" s="12" t="s">
        <v>608</v>
      </c>
      <c r="G1185" s="12" t="s">
        <v>609</v>
      </c>
      <c r="H1185" s="14" t="n">
        <v>46284</v>
      </c>
      <c r="I1185" s="14" t="n">
        <v>46286</v>
      </c>
      <c r="J1185" s="12" t="s">
        <v>254</v>
      </c>
    </row>
    <row r="1186" customFormat="false" ht="15" hidden="false" customHeight="true" outlineLevel="0" collapsed="false">
      <c r="A1186" s="12" t="s">
        <v>2412</v>
      </c>
      <c r="B1186" s="13" t="n">
        <v>23.7</v>
      </c>
      <c r="C1186" s="13" t="n">
        <v>20</v>
      </c>
      <c r="D1186" s="12" t="s">
        <v>2413</v>
      </c>
      <c r="E1186" s="12" t="s">
        <v>30</v>
      </c>
      <c r="F1186" s="12" t="s">
        <v>243</v>
      </c>
      <c r="G1186" s="12" t="s">
        <v>646</v>
      </c>
      <c r="H1186" s="14" t="n">
        <v>46284</v>
      </c>
      <c r="I1186" s="14" t="n">
        <v>46286</v>
      </c>
      <c r="J1186" s="12" t="s">
        <v>354</v>
      </c>
    </row>
    <row r="1187" customFormat="false" ht="15" hidden="false" customHeight="true" outlineLevel="0" collapsed="false">
      <c r="A1187" s="12" t="s">
        <v>2414</v>
      </c>
      <c r="B1187" s="13" t="n">
        <v>35.55</v>
      </c>
      <c r="C1187" s="13" t="n">
        <v>30</v>
      </c>
      <c r="D1187" s="12" t="s">
        <v>2415</v>
      </c>
      <c r="E1187" s="12" t="s">
        <v>30</v>
      </c>
      <c r="F1187" s="12" t="s">
        <v>239</v>
      </c>
      <c r="G1187" s="12" t="s">
        <v>646</v>
      </c>
      <c r="H1187" s="14" t="n">
        <v>46284</v>
      </c>
      <c r="I1187" s="14" t="n">
        <v>46286</v>
      </c>
      <c r="J1187" s="12" t="s">
        <v>354</v>
      </c>
    </row>
    <row r="1188" customFormat="false" ht="15" hidden="false" customHeight="true" outlineLevel="0" collapsed="false">
      <c r="A1188" s="12" t="s">
        <v>2416</v>
      </c>
      <c r="B1188" s="13" t="n">
        <v>11.85</v>
      </c>
      <c r="C1188" s="13" t="n">
        <v>10</v>
      </c>
      <c r="D1188" s="12" t="s">
        <v>2145</v>
      </c>
      <c r="E1188" s="12" t="s">
        <v>30</v>
      </c>
      <c r="F1188" s="12" t="s">
        <v>2146</v>
      </c>
      <c r="G1188" s="12" t="s">
        <v>653</v>
      </c>
      <c r="H1188" s="14" t="n">
        <v>46284</v>
      </c>
      <c r="I1188" s="14" t="n">
        <v>46286</v>
      </c>
      <c r="J1188" s="12" t="s">
        <v>354</v>
      </c>
    </row>
    <row r="1189" customFormat="false" ht="15" hidden="false" customHeight="true" outlineLevel="0" collapsed="false">
      <c r="A1189" s="12" t="s">
        <v>2417</v>
      </c>
      <c r="B1189" s="13" t="n">
        <v>1070</v>
      </c>
      <c r="C1189" s="13" t="n">
        <v>1000</v>
      </c>
      <c r="D1189" s="12" t="s">
        <v>2418</v>
      </c>
      <c r="E1189" s="12" t="s">
        <v>30</v>
      </c>
      <c r="F1189" s="12" t="s">
        <v>608</v>
      </c>
      <c r="G1189" s="12" t="s">
        <v>609</v>
      </c>
      <c r="H1189" s="14" t="n">
        <v>46284</v>
      </c>
      <c r="I1189" s="14" t="n">
        <v>46286</v>
      </c>
      <c r="J1189" s="12" t="s">
        <v>254</v>
      </c>
    </row>
    <row r="1190" customFormat="false" ht="15" hidden="false" customHeight="true" outlineLevel="0" collapsed="false">
      <c r="A1190" s="12" t="s">
        <v>2419</v>
      </c>
      <c r="B1190" s="13" t="n">
        <v>54.128</v>
      </c>
      <c r="C1190" s="13" t="n">
        <v>52.5</v>
      </c>
      <c r="D1190" s="12" t="s">
        <v>2285</v>
      </c>
      <c r="E1190" s="12" t="s">
        <v>30</v>
      </c>
      <c r="F1190" s="12" t="s">
        <v>2286</v>
      </c>
      <c r="G1190" s="12" t="s">
        <v>653</v>
      </c>
      <c r="H1190" s="14" t="n">
        <v>46284</v>
      </c>
      <c r="I1190" s="14" t="n">
        <v>46286</v>
      </c>
      <c r="J1190" s="12" t="s">
        <v>254</v>
      </c>
    </row>
    <row r="1191" customFormat="false" ht="15" hidden="false" customHeight="true" outlineLevel="0" collapsed="false">
      <c r="A1191" s="12" t="s">
        <v>2420</v>
      </c>
      <c r="B1191" s="13" t="n">
        <v>76.776</v>
      </c>
      <c r="C1191" s="13" t="n">
        <v>70.5</v>
      </c>
      <c r="D1191" s="12" t="s">
        <v>2263</v>
      </c>
      <c r="E1191" s="12" t="s">
        <v>30</v>
      </c>
      <c r="F1191" s="12" t="s">
        <v>239</v>
      </c>
      <c r="G1191" s="12" t="s">
        <v>646</v>
      </c>
      <c r="H1191" s="14" t="n">
        <v>46284</v>
      </c>
      <c r="I1191" s="14" t="n">
        <v>46286</v>
      </c>
      <c r="J1191" s="12" t="s">
        <v>354</v>
      </c>
    </row>
    <row r="1192" customFormat="false" ht="15" hidden="false" customHeight="true" outlineLevel="0" collapsed="false">
      <c r="A1192" s="12" t="s">
        <v>2421</v>
      </c>
      <c r="B1192" s="13" t="n">
        <v>733.751</v>
      </c>
      <c r="C1192" s="13" t="n">
        <v>703.5</v>
      </c>
      <c r="D1192" s="12" t="s">
        <v>1169</v>
      </c>
      <c r="E1192" s="12" t="s">
        <v>30</v>
      </c>
      <c r="F1192" s="12" t="s">
        <v>239</v>
      </c>
      <c r="G1192" s="12" t="s">
        <v>646</v>
      </c>
      <c r="H1192" s="14" t="n">
        <v>46284</v>
      </c>
      <c r="I1192" s="14" t="n">
        <v>46286</v>
      </c>
      <c r="J1192" s="12" t="s">
        <v>254</v>
      </c>
    </row>
    <row r="1193" customFormat="false" ht="15" hidden="false" customHeight="true" outlineLevel="0" collapsed="false">
      <c r="A1193" s="12" t="s">
        <v>2422</v>
      </c>
      <c r="B1193" s="13" t="n">
        <v>10.615</v>
      </c>
      <c r="C1193" s="13" t="n">
        <v>10.1</v>
      </c>
      <c r="D1193" s="12" t="s">
        <v>2255</v>
      </c>
      <c r="E1193" s="12" t="s">
        <v>30</v>
      </c>
      <c r="F1193" s="12" t="s">
        <v>697</v>
      </c>
      <c r="G1193" s="12" t="s">
        <v>653</v>
      </c>
      <c r="H1193" s="14" t="n">
        <v>46284</v>
      </c>
      <c r="I1193" s="14" t="n">
        <v>46286</v>
      </c>
      <c r="J1193" s="12" t="s">
        <v>254</v>
      </c>
    </row>
    <row r="1194" customFormat="false" ht="15" hidden="false" customHeight="true" outlineLevel="0" collapsed="false">
      <c r="A1194" s="12" t="s">
        <v>2423</v>
      </c>
      <c r="B1194" s="13" t="n">
        <v>11.85</v>
      </c>
      <c r="C1194" s="13" t="n">
        <v>10</v>
      </c>
      <c r="D1194" s="12" t="s">
        <v>2126</v>
      </c>
      <c r="E1194" s="12" t="s">
        <v>30</v>
      </c>
      <c r="F1194" s="12" t="s">
        <v>239</v>
      </c>
      <c r="G1194" s="12" t="s">
        <v>646</v>
      </c>
      <c r="H1194" s="14" t="n">
        <v>46284</v>
      </c>
      <c r="I1194" s="14" t="n">
        <v>46286</v>
      </c>
      <c r="J1194" s="12" t="s">
        <v>354</v>
      </c>
    </row>
    <row r="1195" customFormat="false" ht="15" hidden="false" customHeight="true" outlineLevel="0" collapsed="false">
      <c r="A1195" s="12" t="s">
        <v>2424</v>
      </c>
      <c r="B1195" s="13" t="n">
        <v>23.7</v>
      </c>
      <c r="C1195" s="13" t="n">
        <v>20</v>
      </c>
      <c r="D1195" s="12" t="s">
        <v>2323</v>
      </c>
      <c r="E1195" s="12" t="s">
        <v>30</v>
      </c>
      <c r="F1195" s="12" t="s">
        <v>2324</v>
      </c>
      <c r="G1195" s="12" t="s">
        <v>646</v>
      </c>
      <c r="H1195" s="14" t="n">
        <v>46284</v>
      </c>
      <c r="I1195" s="14" t="n">
        <v>46286</v>
      </c>
      <c r="J1195" s="12" t="s">
        <v>354</v>
      </c>
    </row>
    <row r="1196" customFormat="false" ht="15" hidden="false" customHeight="true" outlineLevel="0" collapsed="false">
      <c r="A1196" s="12" t="s">
        <v>2425</v>
      </c>
      <c r="B1196" s="13" t="n">
        <v>106.621</v>
      </c>
      <c r="C1196" s="13" t="n">
        <v>100.8</v>
      </c>
      <c r="D1196" s="12" t="s">
        <v>699</v>
      </c>
      <c r="E1196" s="12" t="s">
        <v>30</v>
      </c>
      <c r="F1196" s="12" t="s">
        <v>697</v>
      </c>
      <c r="G1196" s="12" t="s">
        <v>653</v>
      </c>
      <c r="H1196" s="14" t="n">
        <v>46284</v>
      </c>
      <c r="I1196" s="14" t="n">
        <v>46286</v>
      </c>
      <c r="J1196" s="12" t="s">
        <v>254</v>
      </c>
    </row>
    <row r="1197" customFormat="false" ht="15" hidden="false" customHeight="true" outlineLevel="0" collapsed="false">
      <c r="A1197" s="12" t="s">
        <v>2426</v>
      </c>
      <c r="B1197" s="13" t="n">
        <v>29.625</v>
      </c>
      <c r="C1197" s="13" t="n">
        <v>25</v>
      </c>
      <c r="D1197" s="12" t="s">
        <v>2427</v>
      </c>
      <c r="E1197" s="12" t="s">
        <v>30</v>
      </c>
      <c r="F1197" s="12" t="s">
        <v>2428</v>
      </c>
      <c r="G1197" s="12" t="s">
        <v>653</v>
      </c>
      <c r="H1197" s="14" t="n">
        <v>46284</v>
      </c>
      <c r="I1197" s="14" t="n">
        <v>46286</v>
      </c>
      <c r="J1197" s="12" t="s">
        <v>254</v>
      </c>
    </row>
    <row r="1198" customFormat="false" ht="15" hidden="false" customHeight="true" outlineLevel="0" collapsed="false">
      <c r="A1198" s="12" t="s">
        <v>2429</v>
      </c>
      <c r="B1198" s="13" t="n">
        <v>17.728</v>
      </c>
      <c r="C1198" s="13" t="n">
        <v>16.4</v>
      </c>
      <c r="D1198" s="12" t="s">
        <v>2430</v>
      </c>
      <c r="E1198" s="12" t="s">
        <v>30</v>
      </c>
      <c r="F1198" s="12" t="s">
        <v>2202</v>
      </c>
      <c r="G1198" s="12" t="s">
        <v>653</v>
      </c>
      <c r="H1198" s="14" t="n">
        <v>46284</v>
      </c>
      <c r="I1198" s="14" t="n">
        <v>46286</v>
      </c>
      <c r="J1198" s="12" t="s">
        <v>254</v>
      </c>
    </row>
    <row r="1199" customFormat="false" ht="15" hidden="false" customHeight="true" outlineLevel="0" collapsed="false">
      <c r="A1199" s="12" t="s">
        <v>2431</v>
      </c>
      <c r="B1199" s="13" t="n">
        <v>53.076</v>
      </c>
      <c r="C1199" s="13" t="n">
        <v>50.5</v>
      </c>
      <c r="D1199" s="12" t="s">
        <v>2432</v>
      </c>
      <c r="E1199" s="12" t="s">
        <v>30</v>
      </c>
      <c r="F1199" s="12" t="s">
        <v>239</v>
      </c>
      <c r="G1199" s="12" t="s">
        <v>646</v>
      </c>
      <c r="H1199" s="14" t="n">
        <v>46284</v>
      </c>
      <c r="I1199" s="14" t="n">
        <v>46286</v>
      </c>
      <c r="J1199" s="12" t="s">
        <v>254</v>
      </c>
    </row>
    <row r="1200" customFormat="false" ht="15" hidden="false" customHeight="true" outlineLevel="0" collapsed="false">
      <c r="A1200" s="12" t="s">
        <v>2433</v>
      </c>
      <c r="B1200" s="13" t="n">
        <v>11.85</v>
      </c>
      <c r="C1200" s="13" t="n">
        <v>10</v>
      </c>
      <c r="D1200" s="12" t="s">
        <v>2434</v>
      </c>
      <c r="E1200" s="12" t="s">
        <v>30</v>
      </c>
      <c r="F1200" s="12" t="s">
        <v>2233</v>
      </c>
      <c r="G1200" s="12" t="s">
        <v>653</v>
      </c>
      <c r="H1200" s="14" t="n">
        <v>46284</v>
      </c>
      <c r="I1200" s="14" t="n">
        <v>46286</v>
      </c>
      <c r="J1200" s="12" t="s">
        <v>254</v>
      </c>
    </row>
    <row r="1201" customFormat="false" ht="15" hidden="false" customHeight="true" outlineLevel="0" collapsed="false">
      <c r="A1201" s="12" t="s">
        <v>2435</v>
      </c>
      <c r="B1201" s="13" t="n">
        <v>52.407</v>
      </c>
      <c r="C1201" s="13" t="n">
        <v>48.48</v>
      </c>
      <c r="D1201" s="12" t="s">
        <v>2436</v>
      </c>
      <c r="E1201" s="12" t="s">
        <v>30</v>
      </c>
      <c r="F1201" s="12" t="s">
        <v>2437</v>
      </c>
      <c r="G1201" s="12" t="s">
        <v>653</v>
      </c>
      <c r="H1201" s="14" t="n">
        <v>46284</v>
      </c>
      <c r="I1201" s="14" t="n">
        <v>46286</v>
      </c>
      <c r="J1201" s="12" t="s">
        <v>354</v>
      </c>
    </row>
    <row r="1202" customFormat="false" ht="15" hidden="false" customHeight="true" outlineLevel="0" collapsed="false">
      <c r="A1202" s="12" t="s">
        <v>2438</v>
      </c>
      <c r="B1202" s="13" t="n">
        <v>314.629</v>
      </c>
      <c r="C1202" s="13" t="n">
        <v>296.94</v>
      </c>
      <c r="D1202" s="12" t="s">
        <v>2432</v>
      </c>
      <c r="E1202" s="12" t="s">
        <v>30</v>
      </c>
      <c r="F1202" s="12" t="s">
        <v>239</v>
      </c>
      <c r="G1202" s="12" t="s">
        <v>646</v>
      </c>
      <c r="H1202" s="14" t="n">
        <v>46284</v>
      </c>
      <c r="I1202" s="14" t="n">
        <v>46286</v>
      </c>
      <c r="J1202" s="12" t="s">
        <v>254</v>
      </c>
    </row>
    <row r="1203" customFormat="false" ht="15" hidden="false" customHeight="true" outlineLevel="0" collapsed="false">
      <c r="A1203" s="12" t="s">
        <v>2439</v>
      </c>
      <c r="B1203" s="13" t="n">
        <v>677.238</v>
      </c>
      <c r="C1203" s="13" t="n">
        <v>616.5</v>
      </c>
      <c r="D1203" s="12" t="s">
        <v>2182</v>
      </c>
      <c r="E1203" s="12" t="s">
        <v>30</v>
      </c>
      <c r="F1203" s="12" t="s">
        <v>2167</v>
      </c>
      <c r="G1203" s="12" t="s">
        <v>653</v>
      </c>
      <c r="H1203" s="14" t="n">
        <v>46284</v>
      </c>
      <c r="I1203" s="14" t="n">
        <v>46286</v>
      </c>
      <c r="J1203" s="12" t="s">
        <v>254</v>
      </c>
    </row>
    <row r="1204" customFormat="false" ht="15" hidden="false" customHeight="true" outlineLevel="0" collapsed="false">
      <c r="A1204" s="12" t="s">
        <v>2440</v>
      </c>
      <c r="B1204" s="13" t="n">
        <v>1564.205</v>
      </c>
      <c r="C1204" s="13" t="n">
        <v>1441.52</v>
      </c>
      <c r="D1204" s="12" t="s">
        <v>2441</v>
      </c>
      <c r="E1204" s="12" t="s">
        <v>30</v>
      </c>
      <c r="F1204" s="12" t="s">
        <v>239</v>
      </c>
      <c r="G1204" s="12" t="s">
        <v>646</v>
      </c>
      <c r="H1204" s="14" t="n">
        <v>46284</v>
      </c>
      <c r="I1204" s="14" t="n">
        <v>46286</v>
      </c>
      <c r="J1204" s="12" t="s">
        <v>254</v>
      </c>
    </row>
    <row r="1205" customFormat="false" ht="15" hidden="false" customHeight="true" outlineLevel="0" collapsed="false">
      <c r="A1205" s="12" t="s">
        <v>2442</v>
      </c>
      <c r="B1205" s="13" t="n">
        <v>91.712</v>
      </c>
      <c r="C1205" s="13" t="n">
        <v>84.84</v>
      </c>
      <c r="D1205" s="12" t="s">
        <v>2443</v>
      </c>
      <c r="E1205" s="12" t="s">
        <v>30</v>
      </c>
      <c r="F1205" s="12" t="s">
        <v>2444</v>
      </c>
      <c r="G1205" s="12" t="s">
        <v>653</v>
      </c>
      <c r="H1205" s="14" t="n">
        <v>46284</v>
      </c>
      <c r="I1205" s="14" t="n">
        <v>46286</v>
      </c>
      <c r="J1205" s="12" t="s">
        <v>254</v>
      </c>
    </row>
    <row r="1206" customFormat="false" ht="15" hidden="false" customHeight="true" outlineLevel="0" collapsed="false">
      <c r="A1206" s="12" t="s">
        <v>2445</v>
      </c>
      <c r="B1206" s="13" t="n">
        <v>129.198</v>
      </c>
      <c r="C1206" s="13" t="n">
        <v>121.2</v>
      </c>
      <c r="D1206" s="12" t="s">
        <v>2446</v>
      </c>
      <c r="E1206" s="12" t="s">
        <v>30</v>
      </c>
      <c r="F1206" s="12" t="s">
        <v>2244</v>
      </c>
      <c r="G1206" s="12" t="s">
        <v>653</v>
      </c>
      <c r="H1206" s="14" t="n">
        <v>46284</v>
      </c>
      <c r="I1206" s="14" t="n">
        <v>46286</v>
      </c>
      <c r="J1206" s="12" t="s">
        <v>254</v>
      </c>
    </row>
    <row r="1207" customFormat="false" ht="15" hidden="false" customHeight="true" outlineLevel="0" collapsed="false">
      <c r="A1207" s="12" t="s">
        <v>2447</v>
      </c>
      <c r="B1207" s="13" t="n">
        <v>131.017</v>
      </c>
      <c r="C1207" s="13" t="n">
        <v>121.2</v>
      </c>
      <c r="D1207" s="12" t="s">
        <v>2448</v>
      </c>
      <c r="E1207" s="12" t="s">
        <v>30</v>
      </c>
      <c r="F1207" s="12" t="s">
        <v>239</v>
      </c>
      <c r="G1207" s="12" t="s">
        <v>646</v>
      </c>
      <c r="H1207" s="14" t="n">
        <v>46284</v>
      </c>
      <c r="I1207" s="14" t="n">
        <v>46286</v>
      </c>
      <c r="J1207" s="12" t="s">
        <v>254</v>
      </c>
    </row>
    <row r="1208" customFormat="false" ht="15" hidden="false" customHeight="true" outlineLevel="0" collapsed="false">
      <c r="A1208" s="12" t="s">
        <v>2449</v>
      </c>
      <c r="B1208" s="13" t="n">
        <v>175.172</v>
      </c>
      <c r="C1208" s="13" t="n">
        <v>159.9</v>
      </c>
      <c r="D1208" s="12" t="s">
        <v>2450</v>
      </c>
      <c r="E1208" s="12" t="s">
        <v>30</v>
      </c>
      <c r="F1208" s="12" t="s">
        <v>243</v>
      </c>
      <c r="G1208" s="12" t="s">
        <v>646</v>
      </c>
      <c r="H1208" s="14" t="n">
        <v>46284</v>
      </c>
      <c r="I1208" s="14" t="n">
        <v>46286</v>
      </c>
      <c r="J1208" s="12" t="s">
        <v>354</v>
      </c>
    </row>
    <row r="1209" customFormat="false" ht="15" hidden="false" customHeight="true" outlineLevel="0" collapsed="false">
      <c r="A1209" s="12" t="s">
        <v>2451</v>
      </c>
      <c r="B1209" s="13" t="n">
        <v>628.929</v>
      </c>
      <c r="C1209" s="13" t="n">
        <v>603</v>
      </c>
      <c r="D1209" s="12" t="s">
        <v>2452</v>
      </c>
      <c r="E1209" s="12" t="s">
        <v>30</v>
      </c>
      <c r="F1209" s="12" t="s">
        <v>2453</v>
      </c>
      <c r="G1209" s="12" t="s">
        <v>609</v>
      </c>
      <c r="H1209" s="14" t="n">
        <v>46284</v>
      </c>
      <c r="I1209" s="14" t="n">
        <v>46286</v>
      </c>
      <c r="J1209" s="12" t="s">
        <v>254</v>
      </c>
    </row>
    <row r="1210" customFormat="false" ht="15" hidden="false" customHeight="true" outlineLevel="0" collapsed="false">
      <c r="A1210" s="12" t="s">
        <v>2454</v>
      </c>
      <c r="B1210" s="13" t="n">
        <v>705.184</v>
      </c>
      <c r="C1210" s="13" t="n">
        <v>653.56</v>
      </c>
      <c r="D1210" s="12" t="s">
        <v>906</v>
      </c>
      <c r="E1210" s="12" t="s">
        <v>30</v>
      </c>
      <c r="F1210" s="12" t="s">
        <v>626</v>
      </c>
      <c r="G1210" s="12" t="s">
        <v>609</v>
      </c>
      <c r="H1210" s="14" t="n">
        <v>46284</v>
      </c>
      <c r="I1210" s="14" t="n">
        <v>46286</v>
      </c>
      <c r="J1210" s="12" t="s">
        <v>254</v>
      </c>
    </row>
    <row r="1211" customFormat="false" ht="15" hidden="false" customHeight="true" outlineLevel="0" collapsed="false">
      <c r="A1211" s="12" t="s">
        <v>2455</v>
      </c>
      <c r="B1211" s="13" t="n">
        <v>424.8</v>
      </c>
      <c r="C1211" s="13" t="n">
        <v>400</v>
      </c>
      <c r="D1211" s="12" t="s">
        <v>793</v>
      </c>
      <c r="E1211" s="12" t="s">
        <v>30</v>
      </c>
      <c r="F1211" s="12" t="s">
        <v>794</v>
      </c>
      <c r="G1211" s="12" t="s">
        <v>609</v>
      </c>
      <c r="H1211" s="14" t="n">
        <v>46284</v>
      </c>
      <c r="I1211" s="14" t="n">
        <v>46286</v>
      </c>
      <c r="J1211" s="12" t="s">
        <v>254</v>
      </c>
    </row>
    <row r="1212" customFormat="false" ht="15" hidden="false" customHeight="true" outlineLevel="0" collapsed="false">
      <c r="A1212" s="12" t="s">
        <v>2456</v>
      </c>
      <c r="B1212" s="13" t="n">
        <v>160.375</v>
      </c>
      <c r="C1212" s="13" t="n">
        <v>149.48</v>
      </c>
      <c r="D1212" s="12" t="s">
        <v>2457</v>
      </c>
      <c r="E1212" s="12" t="s">
        <v>30</v>
      </c>
      <c r="F1212" s="12" t="s">
        <v>635</v>
      </c>
      <c r="G1212" s="12" t="s">
        <v>609</v>
      </c>
      <c r="H1212" s="14" t="n">
        <v>46284</v>
      </c>
      <c r="I1212" s="14" t="n">
        <v>46286</v>
      </c>
      <c r="J1212" s="12" t="s">
        <v>254</v>
      </c>
    </row>
    <row r="1213" customFormat="false" ht="15" hidden="false" customHeight="true" outlineLevel="0" collapsed="false">
      <c r="A1213" s="12" t="s">
        <v>2458</v>
      </c>
      <c r="B1213" s="13" t="n">
        <v>148.282</v>
      </c>
      <c r="C1213" s="13" t="n">
        <v>137.4</v>
      </c>
      <c r="D1213" s="12" t="s">
        <v>2459</v>
      </c>
      <c r="E1213" s="12" t="s">
        <v>30</v>
      </c>
      <c r="F1213" s="12" t="s">
        <v>608</v>
      </c>
      <c r="G1213" s="12" t="s">
        <v>609</v>
      </c>
      <c r="H1213" s="14" t="n">
        <v>46284</v>
      </c>
      <c r="I1213" s="14" t="n">
        <v>46286</v>
      </c>
      <c r="J1213" s="12" t="s">
        <v>254</v>
      </c>
    </row>
    <row r="1214" customFormat="false" ht="15" hidden="false" customHeight="true" outlineLevel="0" collapsed="false">
      <c r="A1214" s="12" t="s">
        <v>2460</v>
      </c>
      <c r="B1214" s="13" t="n">
        <v>27.858</v>
      </c>
      <c r="C1214" s="13" t="n">
        <v>26</v>
      </c>
      <c r="D1214" s="12" t="s">
        <v>2461</v>
      </c>
      <c r="E1214" s="12" t="s">
        <v>30</v>
      </c>
      <c r="F1214" s="12" t="s">
        <v>791</v>
      </c>
      <c r="G1214" s="12" t="s">
        <v>609</v>
      </c>
      <c r="H1214" s="14" t="n">
        <v>46284</v>
      </c>
      <c r="I1214" s="14" t="n">
        <v>46286</v>
      </c>
      <c r="J1214" s="12" t="s">
        <v>254</v>
      </c>
    </row>
    <row r="1215" customFormat="false" ht="15" hidden="false" customHeight="true" outlineLevel="0" collapsed="false">
      <c r="A1215" s="12" t="s">
        <v>2462</v>
      </c>
      <c r="B1215" s="13" t="n">
        <v>35.55</v>
      </c>
      <c r="C1215" s="13" t="n">
        <v>30</v>
      </c>
      <c r="D1215" s="12" t="s">
        <v>988</v>
      </c>
      <c r="E1215" s="12" t="s">
        <v>30</v>
      </c>
      <c r="F1215" s="12" t="s">
        <v>989</v>
      </c>
      <c r="G1215" s="12" t="s">
        <v>609</v>
      </c>
      <c r="H1215" s="14" t="n">
        <v>46284</v>
      </c>
      <c r="I1215" s="14" t="n">
        <v>46286</v>
      </c>
      <c r="J1215" s="12" t="s">
        <v>254</v>
      </c>
    </row>
    <row r="1216" customFormat="false" ht="15" hidden="false" customHeight="true" outlineLevel="0" collapsed="false">
      <c r="A1216" s="12" t="s">
        <v>2463</v>
      </c>
      <c r="B1216" s="13" t="n">
        <v>83.857</v>
      </c>
      <c r="C1216" s="13" t="n">
        <v>80.4</v>
      </c>
      <c r="D1216" s="12" t="s">
        <v>651</v>
      </c>
      <c r="E1216" s="12" t="s">
        <v>30</v>
      </c>
      <c r="F1216" s="12" t="s">
        <v>652</v>
      </c>
      <c r="G1216" s="12" t="s">
        <v>653</v>
      </c>
      <c r="H1216" s="14" t="n">
        <v>46284</v>
      </c>
      <c r="I1216" s="14" t="n">
        <v>46286</v>
      </c>
      <c r="J1216" s="12" t="s">
        <v>354</v>
      </c>
    </row>
    <row r="1217" customFormat="false" ht="15" hidden="false" customHeight="true" outlineLevel="0" collapsed="false">
      <c r="A1217" s="12" t="s">
        <v>2464</v>
      </c>
      <c r="B1217" s="13" t="n">
        <v>20.964</v>
      </c>
      <c r="C1217" s="13" t="n">
        <v>20.1</v>
      </c>
      <c r="D1217" s="12" t="s">
        <v>2465</v>
      </c>
      <c r="E1217" s="12" t="s">
        <v>30</v>
      </c>
      <c r="F1217" s="12" t="s">
        <v>2466</v>
      </c>
      <c r="G1217" s="12" t="s">
        <v>653</v>
      </c>
      <c r="H1217" s="14" t="n">
        <v>46284</v>
      </c>
      <c r="I1217" s="14" t="n">
        <v>46286</v>
      </c>
      <c r="J1217" s="12" t="s">
        <v>254</v>
      </c>
    </row>
    <row r="1218" customFormat="false" ht="15" hidden="false" customHeight="true" outlineLevel="0" collapsed="false">
      <c r="A1218" s="12" t="s">
        <v>2467</v>
      </c>
      <c r="B1218" s="13" t="n">
        <v>89.94</v>
      </c>
      <c r="C1218" s="13" t="n">
        <v>83.9</v>
      </c>
      <c r="D1218" s="12" t="s">
        <v>2468</v>
      </c>
      <c r="E1218" s="12" t="s">
        <v>30</v>
      </c>
      <c r="F1218" s="12" t="s">
        <v>2283</v>
      </c>
      <c r="G1218" s="12" t="s">
        <v>653</v>
      </c>
      <c r="H1218" s="14" t="n">
        <v>46284</v>
      </c>
      <c r="I1218" s="14" t="n">
        <v>46286</v>
      </c>
      <c r="J1218" s="12" t="s">
        <v>254</v>
      </c>
    </row>
    <row r="1219" customFormat="false" ht="15" hidden="false" customHeight="true" outlineLevel="0" collapsed="false">
      <c r="A1219" s="12" t="s">
        <v>2469</v>
      </c>
      <c r="B1219" s="13" t="n">
        <v>20.964</v>
      </c>
      <c r="C1219" s="13" t="n">
        <v>20.1</v>
      </c>
      <c r="D1219" s="12" t="s">
        <v>2470</v>
      </c>
      <c r="E1219" s="12" t="s">
        <v>30</v>
      </c>
      <c r="F1219" s="12" t="s">
        <v>2167</v>
      </c>
      <c r="G1219" s="12" t="s">
        <v>653</v>
      </c>
      <c r="H1219" s="14" t="n">
        <v>46284</v>
      </c>
      <c r="I1219" s="14" t="n">
        <v>46286</v>
      </c>
      <c r="J1219" s="12" t="s">
        <v>254</v>
      </c>
    </row>
    <row r="1220" customFormat="false" ht="15" hidden="false" customHeight="true" outlineLevel="0" collapsed="false">
      <c r="A1220" s="12" t="s">
        <v>2471</v>
      </c>
      <c r="B1220" s="13" t="n">
        <v>32.359</v>
      </c>
      <c r="C1220" s="13" t="n">
        <v>30.1</v>
      </c>
      <c r="D1220" s="12" t="s">
        <v>2472</v>
      </c>
      <c r="E1220" s="12" t="s">
        <v>30</v>
      </c>
      <c r="F1220" s="12" t="s">
        <v>2473</v>
      </c>
      <c r="G1220" s="12" t="s">
        <v>609</v>
      </c>
      <c r="H1220" s="14" t="n">
        <v>46284</v>
      </c>
      <c r="I1220" s="14" t="n">
        <v>46286</v>
      </c>
      <c r="J1220" s="12" t="s">
        <v>254</v>
      </c>
    </row>
    <row r="1221" customFormat="false" ht="15" hidden="false" customHeight="true" outlineLevel="0" collapsed="false">
      <c r="A1221" s="12" t="s">
        <v>2474</v>
      </c>
      <c r="B1221" s="13" t="n">
        <v>29.988</v>
      </c>
      <c r="C1221" s="13" t="n">
        <v>27.32</v>
      </c>
      <c r="D1221" s="12" t="s">
        <v>2475</v>
      </c>
      <c r="E1221" s="12" t="s">
        <v>30</v>
      </c>
      <c r="F1221" s="12" t="s">
        <v>608</v>
      </c>
      <c r="G1221" s="12" t="s">
        <v>609</v>
      </c>
      <c r="H1221" s="14" t="n">
        <v>46284</v>
      </c>
      <c r="I1221" s="14" t="n">
        <v>46286</v>
      </c>
      <c r="J1221" s="12" t="s">
        <v>254</v>
      </c>
    </row>
    <row r="1222" customFormat="false" ht="15" hidden="false" customHeight="true" outlineLevel="0" collapsed="false">
      <c r="A1222" s="12" t="s">
        <v>2476</v>
      </c>
      <c r="B1222" s="13" t="n">
        <v>35.457</v>
      </c>
      <c r="C1222" s="13" t="n">
        <v>32.8</v>
      </c>
      <c r="D1222" s="12" t="s">
        <v>1175</v>
      </c>
      <c r="E1222" s="12" t="s">
        <v>30</v>
      </c>
      <c r="F1222" s="12" t="s">
        <v>239</v>
      </c>
      <c r="G1222" s="12" t="s">
        <v>646</v>
      </c>
      <c r="H1222" s="14" t="n">
        <v>46284</v>
      </c>
      <c r="I1222" s="14" t="n">
        <v>46286</v>
      </c>
      <c r="J1222" s="12" t="s">
        <v>254</v>
      </c>
    </row>
    <row r="1223" customFormat="false" ht="15" hidden="false" customHeight="true" outlineLevel="0" collapsed="false">
      <c r="A1223" s="12" t="s">
        <v>2477</v>
      </c>
      <c r="B1223" s="13" t="n">
        <v>194.111</v>
      </c>
      <c r="C1223" s="13" t="n">
        <v>178.52</v>
      </c>
      <c r="D1223" s="12" t="s">
        <v>2478</v>
      </c>
      <c r="E1223" s="12" t="s">
        <v>30</v>
      </c>
      <c r="F1223" s="12" t="s">
        <v>608</v>
      </c>
      <c r="G1223" s="12" t="s">
        <v>609</v>
      </c>
      <c r="H1223" s="14" t="n">
        <v>46284</v>
      </c>
      <c r="I1223" s="14" t="n">
        <v>46286</v>
      </c>
      <c r="J1223" s="12" t="s">
        <v>254</v>
      </c>
    </row>
    <row r="1224" customFormat="false" ht="15" hidden="false" customHeight="true" outlineLevel="0" collapsed="false">
      <c r="A1224" s="12" t="s">
        <v>2479</v>
      </c>
      <c r="B1224" s="13" t="n">
        <v>318.453</v>
      </c>
      <c r="C1224" s="13" t="n">
        <v>303</v>
      </c>
      <c r="D1224" s="12" t="s">
        <v>2480</v>
      </c>
      <c r="E1224" s="12" t="s">
        <v>30</v>
      </c>
      <c r="F1224" s="12" t="s">
        <v>615</v>
      </c>
      <c r="G1224" s="12" t="s">
        <v>609</v>
      </c>
      <c r="H1224" s="14" t="n">
        <v>46284</v>
      </c>
      <c r="I1224" s="14" t="n">
        <v>46286</v>
      </c>
      <c r="J1224" s="12" t="s">
        <v>254</v>
      </c>
    </row>
    <row r="1225" customFormat="false" ht="15" hidden="false" customHeight="true" outlineLevel="0" collapsed="false">
      <c r="A1225" s="12" t="s">
        <v>2481</v>
      </c>
      <c r="B1225" s="13" t="n">
        <v>72.531</v>
      </c>
      <c r="C1225" s="13" t="n">
        <v>67.84</v>
      </c>
      <c r="D1225" s="12" t="s">
        <v>641</v>
      </c>
      <c r="E1225" s="12" t="s">
        <v>30</v>
      </c>
      <c r="F1225" s="12" t="s">
        <v>608</v>
      </c>
      <c r="G1225" s="12" t="s">
        <v>609</v>
      </c>
      <c r="H1225" s="14" t="n">
        <v>46284</v>
      </c>
      <c r="I1225" s="14" t="n">
        <v>46286</v>
      </c>
      <c r="J1225" s="12" t="s">
        <v>254</v>
      </c>
    </row>
    <row r="1226" customFormat="false" ht="15" hidden="false" customHeight="true" outlineLevel="0" collapsed="false">
      <c r="A1226" s="12" t="s">
        <v>2482</v>
      </c>
      <c r="B1226" s="13" t="n">
        <v>25.095</v>
      </c>
      <c r="C1226" s="13" t="n">
        <v>24</v>
      </c>
      <c r="D1226" s="12" t="s">
        <v>637</v>
      </c>
      <c r="E1226" s="12" t="s">
        <v>30</v>
      </c>
      <c r="F1226" s="12" t="s">
        <v>608</v>
      </c>
      <c r="G1226" s="12" t="s">
        <v>609</v>
      </c>
      <c r="H1226" s="14" t="n">
        <v>46284</v>
      </c>
      <c r="I1226" s="14" t="n">
        <v>46286</v>
      </c>
      <c r="J1226" s="12" t="s">
        <v>254</v>
      </c>
    </row>
    <row r="1227" customFormat="false" ht="15" hidden="false" customHeight="true" outlineLevel="0" collapsed="false">
      <c r="A1227" s="12" t="s">
        <v>2483</v>
      </c>
      <c r="B1227" s="13" t="n">
        <v>25.095</v>
      </c>
      <c r="C1227" s="13" t="n">
        <v>24</v>
      </c>
      <c r="D1227" s="12" t="s">
        <v>2484</v>
      </c>
      <c r="E1227" s="12" t="s">
        <v>30</v>
      </c>
      <c r="F1227" s="12" t="s">
        <v>608</v>
      </c>
      <c r="G1227" s="12" t="s">
        <v>609</v>
      </c>
      <c r="H1227" s="14" t="n">
        <v>46284</v>
      </c>
      <c r="I1227" s="14" t="n">
        <v>46286</v>
      </c>
      <c r="J1227" s="12" t="s">
        <v>254</v>
      </c>
    </row>
    <row r="1228" customFormat="false" ht="15" hidden="false" customHeight="true" outlineLevel="0" collapsed="false">
      <c r="A1228" s="12" t="s">
        <v>2485</v>
      </c>
      <c r="B1228" s="13" t="n">
        <v>13.452</v>
      </c>
      <c r="C1228" s="13" t="n">
        <v>12</v>
      </c>
      <c r="D1228" s="12" t="s">
        <v>617</v>
      </c>
      <c r="E1228" s="12" t="s">
        <v>30</v>
      </c>
      <c r="F1228" s="12" t="s">
        <v>608</v>
      </c>
      <c r="G1228" s="12" t="s">
        <v>609</v>
      </c>
      <c r="H1228" s="14" t="n">
        <v>46284</v>
      </c>
      <c r="I1228" s="14" t="n">
        <v>46286</v>
      </c>
      <c r="J1228" s="12" t="s">
        <v>254</v>
      </c>
    </row>
    <row r="1229" customFormat="false" ht="15" hidden="false" customHeight="true" outlineLevel="0" collapsed="false">
      <c r="A1229" s="12" t="s">
        <v>2486</v>
      </c>
      <c r="B1229" s="13" t="n">
        <v>5.925</v>
      </c>
      <c r="C1229" s="13" t="n">
        <v>5</v>
      </c>
      <c r="D1229" s="12" t="s">
        <v>751</v>
      </c>
      <c r="E1229" s="12" t="s">
        <v>30</v>
      </c>
      <c r="F1229" s="12" t="s">
        <v>268</v>
      </c>
      <c r="G1229" s="12" t="s">
        <v>646</v>
      </c>
      <c r="H1229" s="14" t="n">
        <v>46284</v>
      </c>
      <c r="I1229" s="14" t="n">
        <v>46286</v>
      </c>
      <c r="J1229" s="12" t="s">
        <v>254</v>
      </c>
    </row>
    <row r="1230" customFormat="false" ht="15" hidden="false" customHeight="true" outlineLevel="0" collapsed="false">
      <c r="A1230" s="12" t="s">
        <v>2487</v>
      </c>
      <c r="B1230" s="13" t="n">
        <v>88.566</v>
      </c>
      <c r="C1230" s="13" t="n">
        <v>81.34</v>
      </c>
      <c r="D1230" s="12" t="s">
        <v>2488</v>
      </c>
      <c r="E1230" s="12" t="s">
        <v>30</v>
      </c>
      <c r="F1230" s="12" t="s">
        <v>2489</v>
      </c>
      <c r="G1230" s="12" t="s">
        <v>653</v>
      </c>
      <c r="H1230" s="14" t="n">
        <v>46284</v>
      </c>
      <c r="I1230" s="14" t="n">
        <v>46286</v>
      </c>
      <c r="J1230" s="12" t="s">
        <v>254</v>
      </c>
    </row>
    <row r="1231" customFormat="false" ht="15" hidden="false" customHeight="true" outlineLevel="0" collapsed="false">
      <c r="A1231" s="12" t="s">
        <v>2490</v>
      </c>
      <c r="B1231" s="13" t="n">
        <v>52.406</v>
      </c>
      <c r="C1231" s="13" t="n">
        <v>48.48</v>
      </c>
      <c r="D1231" s="12" t="s">
        <v>2491</v>
      </c>
      <c r="E1231" s="12" t="s">
        <v>30</v>
      </c>
      <c r="F1231" s="12" t="s">
        <v>2233</v>
      </c>
      <c r="G1231" s="12" t="s">
        <v>653</v>
      </c>
      <c r="H1231" s="14" t="n">
        <v>46284</v>
      </c>
      <c r="I1231" s="14" t="n">
        <v>46286</v>
      </c>
      <c r="J1231" s="12" t="s">
        <v>254</v>
      </c>
    </row>
    <row r="1232" customFormat="false" ht="15" hidden="false" customHeight="true" outlineLevel="0" collapsed="false">
      <c r="A1232" s="12" t="s">
        <v>2492</v>
      </c>
      <c r="B1232" s="13" t="n">
        <v>47.778</v>
      </c>
      <c r="C1232" s="13" t="n">
        <v>44.44</v>
      </c>
      <c r="D1232" s="12" t="s">
        <v>2493</v>
      </c>
      <c r="E1232" s="12" t="s">
        <v>30</v>
      </c>
      <c r="F1232" s="12" t="s">
        <v>2494</v>
      </c>
      <c r="G1232" s="12" t="s">
        <v>653</v>
      </c>
      <c r="H1232" s="14" t="n">
        <v>46284</v>
      </c>
      <c r="I1232" s="14" t="n">
        <v>46286</v>
      </c>
      <c r="J1232" s="12" t="s">
        <v>254</v>
      </c>
    </row>
    <row r="1233" customFormat="false" ht="15" hidden="false" customHeight="true" outlineLevel="0" collapsed="false">
      <c r="A1233" s="12" t="s">
        <v>2495</v>
      </c>
      <c r="B1233" s="13" t="n">
        <v>59.25</v>
      </c>
      <c r="C1233" s="13" t="n">
        <v>50</v>
      </c>
      <c r="D1233" s="12" t="s">
        <v>2496</v>
      </c>
      <c r="E1233" s="12" t="s">
        <v>30</v>
      </c>
      <c r="F1233" s="12" t="s">
        <v>1619</v>
      </c>
      <c r="G1233" s="12" t="s">
        <v>653</v>
      </c>
      <c r="H1233" s="14" t="n">
        <v>46284</v>
      </c>
      <c r="I1233" s="14" t="n">
        <v>46286</v>
      </c>
      <c r="J1233" s="12" t="s">
        <v>254</v>
      </c>
    </row>
    <row r="1234" customFormat="false" ht="15" hidden="false" customHeight="true" outlineLevel="0" collapsed="false">
      <c r="A1234" s="12" t="s">
        <v>2497</v>
      </c>
      <c r="B1234" s="13" t="n">
        <v>73.982</v>
      </c>
      <c r="C1234" s="13" t="n">
        <v>68.68</v>
      </c>
      <c r="D1234" s="12" t="s">
        <v>2498</v>
      </c>
      <c r="E1234" s="12" t="s">
        <v>30</v>
      </c>
      <c r="F1234" s="12" t="s">
        <v>961</v>
      </c>
      <c r="G1234" s="12" t="s">
        <v>653</v>
      </c>
      <c r="H1234" s="14" t="n">
        <v>46284</v>
      </c>
      <c r="I1234" s="14" t="n">
        <v>46286</v>
      </c>
      <c r="J1234" s="12" t="s">
        <v>254</v>
      </c>
    </row>
    <row r="1235" customFormat="false" ht="15" hidden="false" customHeight="true" outlineLevel="0" collapsed="false">
      <c r="A1235" s="12" t="s">
        <v>2499</v>
      </c>
      <c r="B1235" s="13" t="n">
        <v>78.61</v>
      </c>
      <c r="C1235" s="13" t="n">
        <v>72.72</v>
      </c>
      <c r="D1235" s="12" t="s">
        <v>2500</v>
      </c>
      <c r="E1235" s="12" t="s">
        <v>30</v>
      </c>
      <c r="F1235" s="12" t="s">
        <v>608</v>
      </c>
      <c r="G1235" s="12" t="s">
        <v>609</v>
      </c>
      <c r="H1235" s="14" t="n">
        <v>46284</v>
      </c>
      <c r="I1235" s="14" t="n">
        <v>46286</v>
      </c>
      <c r="J1235" s="12" t="s">
        <v>254</v>
      </c>
    </row>
    <row r="1236" customFormat="false" ht="15" hidden="false" customHeight="true" outlineLevel="0" collapsed="false">
      <c r="A1236" s="12" t="s">
        <v>2501</v>
      </c>
      <c r="B1236" s="13" t="n">
        <v>524.069</v>
      </c>
      <c r="C1236" s="13" t="n">
        <v>484.8</v>
      </c>
      <c r="D1236" s="12" t="s">
        <v>2502</v>
      </c>
      <c r="E1236" s="12" t="s">
        <v>30</v>
      </c>
      <c r="F1236" s="12" t="s">
        <v>2503</v>
      </c>
      <c r="G1236" s="12" t="s">
        <v>609</v>
      </c>
      <c r="H1236" s="14" t="n">
        <v>46284</v>
      </c>
      <c r="I1236" s="14" t="n">
        <v>46286</v>
      </c>
      <c r="J1236" s="12" t="s">
        <v>254</v>
      </c>
    </row>
    <row r="1237" customFormat="false" ht="15" hidden="false" customHeight="true" outlineLevel="0" collapsed="false">
      <c r="A1237" s="12" t="s">
        <v>2504</v>
      </c>
      <c r="B1237" s="13" t="n">
        <v>41.57</v>
      </c>
      <c r="C1237" s="13" t="n">
        <v>38.12</v>
      </c>
      <c r="D1237" s="12" t="s">
        <v>2505</v>
      </c>
      <c r="E1237" s="12" t="s">
        <v>30</v>
      </c>
      <c r="F1237" s="12" t="s">
        <v>608</v>
      </c>
      <c r="G1237" s="12" t="s">
        <v>609</v>
      </c>
      <c r="H1237" s="14" t="n">
        <v>46284</v>
      </c>
      <c r="I1237" s="14" t="n">
        <v>46286</v>
      </c>
      <c r="J1237" s="12" t="s">
        <v>254</v>
      </c>
    </row>
    <row r="1238" customFormat="false" ht="15" hidden="false" customHeight="true" outlineLevel="0" collapsed="false">
      <c r="A1238" s="12" t="s">
        <v>2506</v>
      </c>
      <c r="B1238" s="13" t="n">
        <v>124.529</v>
      </c>
      <c r="C1238" s="13" t="n">
        <v>116.84</v>
      </c>
      <c r="D1238" s="12" t="s">
        <v>641</v>
      </c>
      <c r="E1238" s="12" t="s">
        <v>30</v>
      </c>
      <c r="F1238" s="12" t="s">
        <v>608</v>
      </c>
      <c r="G1238" s="12" t="s">
        <v>609</v>
      </c>
      <c r="H1238" s="14" t="n">
        <v>46284</v>
      </c>
      <c r="I1238" s="14" t="n">
        <v>46286</v>
      </c>
      <c r="J1238" s="12" t="s">
        <v>254</v>
      </c>
    </row>
    <row r="1239" customFormat="false" ht="15" hidden="false" customHeight="true" outlineLevel="0" collapsed="false">
      <c r="A1239" s="12" t="s">
        <v>2507</v>
      </c>
      <c r="B1239" s="13" t="n">
        <v>51.527</v>
      </c>
      <c r="C1239" s="13" t="n">
        <v>47.12</v>
      </c>
      <c r="D1239" s="12" t="s">
        <v>2508</v>
      </c>
      <c r="E1239" s="12" t="s">
        <v>30</v>
      </c>
      <c r="F1239" s="12" t="s">
        <v>608</v>
      </c>
      <c r="G1239" s="12" t="s">
        <v>609</v>
      </c>
      <c r="H1239" s="14" t="n">
        <v>46284</v>
      </c>
      <c r="I1239" s="14" t="n">
        <v>46286</v>
      </c>
      <c r="J1239" s="12" t="s">
        <v>254</v>
      </c>
    </row>
    <row r="1240" customFormat="false" ht="15" hidden="false" customHeight="true" outlineLevel="0" collapsed="false">
      <c r="A1240" s="12" t="s">
        <v>2509</v>
      </c>
      <c r="B1240" s="13" t="n">
        <v>126.186</v>
      </c>
      <c r="C1240" s="13" t="n">
        <v>114.48</v>
      </c>
      <c r="D1240" s="12" t="s">
        <v>2510</v>
      </c>
      <c r="E1240" s="12" t="s">
        <v>30</v>
      </c>
      <c r="F1240" s="12" t="s">
        <v>608</v>
      </c>
      <c r="G1240" s="12" t="s">
        <v>609</v>
      </c>
      <c r="H1240" s="14" t="n">
        <v>46284</v>
      </c>
      <c r="I1240" s="14" t="n">
        <v>46286</v>
      </c>
      <c r="J1240" s="12" t="s">
        <v>254</v>
      </c>
    </row>
    <row r="1241" customFormat="false" ht="15" hidden="false" customHeight="true" outlineLevel="0" collapsed="false">
      <c r="A1241" s="12" t="s">
        <v>2511</v>
      </c>
      <c r="B1241" s="13" t="n">
        <v>66.18</v>
      </c>
      <c r="C1241" s="13" t="n">
        <v>60</v>
      </c>
      <c r="D1241" s="12" t="s">
        <v>2193</v>
      </c>
      <c r="E1241" s="12" t="s">
        <v>30</v>
      </c>
      <c r="F1241" s="12" t="s">
        <v>1100</v>
      </c>
      <c r="G1241" s="12" t="s">
        <v>653</v>
      </c>
      <c r="H1241" s="14" t="n">
        <v>46284</v>
      </c>
      <c r="I1241" s="14" t="n">
        <v>46286</v>
      </c>
      <c r="J1241" s="12" t="s">
        <v>254</v>
      </c>
    </row>
    <row r="1242" customFormat="false" ht="15" hidden="false" customHeight="true" outlineLevel="0" collapsed="false">
      <c r="A1242" s="12" t="s">
        <v>2512</v>
      </c>
      <c r="B1242" s="13" t="n">
        <v>65.509</v>
      </c>
      <c r="C1242" s="13" t="n">
        <v>60.6</v>
      </c>
      <c r="D1242" s="12" t="s">
        <v>2513</v>
      </c>
      <c r="E1242" s="12" t="s">
        <v>30</v>
      </c>
      <c r="F1242" s="12" t="s">
        <v>635</v>
      </c>
      <c r="G1242" s="12" t="s">
        <v>609</v>
      </c>
      <c r="H1242" s="14" t="n">
        <v>46284</v>
      </c>
      <c r="I1242" s="14" t="n">
        <v>46286</v>
      </c>
      <c r="J1242" s="12" t="s">
        <v>254</v>
      </c>
    </row>
    <row r="1243" customFormat="false" ht="15" hidden="false" customHeight="true" outlineLevel="0" collapsed="false">
      <c r="A1243" s="12" t="s">
        <v>2514</v>
      </c>
      <c r="B1243" s="13" t="n">
        <v>35.457</v>
      </c>
      <c r="C1243" s="13" t="n">
        <v>32.8</v>
      </c>
      <c r="D1243" s="12" t="s">
        <v>1128</v>
      </c>
      <c r="E1243" s="12" t="s">
        <v>30</v>
      </c>
      <c r="F1243" s="12" t="s">
        <v>1009</v>
      </c>
      <c r="G1243" s="12" t="s">
        <v>609</v>
      </c>
      <c r="H1243" s="14" t="n">
        <v>46284</v>
      </c>
      <c r="I1243" s="14" t="n">
        <v>46286</v>
      </c>
      <c r="J1243" s="12" t="s">
        <v>254</v>
      </c>
    </row>
    <row r="1244" customFormat="false" ht="15" hidden="false" customHeight="true" outlineLevel="0" collapsed="false">
      <c r="A1244" s="12" t="s">
        <v>2515</v>
      </c>
      <c r="B1244" s="13" t="n">
        <v>218.423</v>
      </c>
      <c r="C1244" s="13" t="n">
        <v>204.02</v>
      </c>
      <c r="D1244" s="12" t="s">
        <v>932</v>
      </c>
      <c r="E1244" s="12" t="s">
        <v>30</v>
      </c>
      <c r="F1244" s="12" t="s">
        <v>608</v>
      </c>
      <c r="G1244" s="12" t="s">
        <v>609</v>
      </c>
      <c r="H1244" s="14" t="n">
        <v>46284</v>
      </c>
      <c r="I1244" s="14" t="n">
        <v>46286</v>
      </c>
      <c r="J1244" s="12" t="s">
        <v>254</v>
      </c>
    </row>
    <row r="1245" customFormat="false" ht="15" hidden="false" customHeight="true" outlineLevel="0" collapsed="false">
      <c r="A1245" s="12" t="s">
        <v>2516</v>
      </c>
      <c r="B1245" s="13" t="n">
        <v>92.216</v>
      </c>
      <c r="C1245" s="13" t="n">
        <v>84.86</v>
      </c>
      <c r="D1245" s="12" t="s">
        <v>2517</v>
      </c>
      <c r="E1245" s="12" t="s">
        <v>30</v>
      </c>
      <c r="F1245" s="12" t="s">
        <v>2518</v>
      </c>
      <c r="G1245" s="12" t="s">
        <v>609</v>
      </c>
      <c r="H1245" s="14" t="n">
        <v>46284</v>
      </c>
      <c r="I1245" s="14" t="n">
        <v>46286</v>
      </c>
      <c r="J1245" s="12" t="s">
        <v>254</v>
      </c>
    </row>
    <row r="1246" customFormat="false" ht="15" hidden="false" customHeight="true" outlineLevel="0" collapsed="false">
      <c r="A1246" s="12" t="s">
        <v>2519</v>
      </c>
      <c r="B1246" s="13" t="n">
        <v>177.284</v>
      </c>
      <c r="C1246" s="13" t="n">
        <v>164</v>
      </c>
      <c r="D1246" s="12" t="s">
        <v>925</v>
      </c>
      <c r="E1246" s="12" t="s">
        <v>30</v>
      </c>
      <c r="F1246" s="12" t="s">
        <v>667</v>
      </c>
      <c r="G1246" s="12" t="s">
        <v>609</v>
      </c>
      <c r="H1246" s="14" t="n">
        <v>46284</v>
      </c>
      <c r="I1246" s="14" t="n">
        <v>46286</v>
      </c>
      <c r="J1246" s="12" t="s">
        <v>254</v>
      </c>
    </row>
    <row r="1247" customFormat="false" ht="15" hidden="false" customHeight="true" outlineLevel="0" collapsed="false">
      <c r="A1247" s="12" t="s">
        <v>2520</v>
      </c>
      <c r="B1247" s="13" t="n">
        <v>35.457</v>
      </c>
      <c r="C1247" s="13" t="n">
        <v>32.8</v>
      </c>
      <c r="D1247" s="12" t="s">
        <v>2521</v>
      </c>
      <c r="E1247" s="12" t="s">
        <v>30</v>
      </c>
      <c r="F1247" s="12" t="s">
        <v>608</v>
      </c>
      <c r="G1247" s="12" t="s">
        <v>609</v>
      </c>
      <c r="H1247" s="14" t="n">
        <v>46284</v>
      </c>
      <c r="I1247" s="14" t="n">
        <v>46286</v>
      </c>
      <c r="J1247" s="12" t="s">
        <v>254</v>
      </c>
    </row>
    <row r="1248" customFormat="false" ht="15" hidden="false" customHeight="true" outlineLevel="0" collapsed="false">
      <c r="A1248" s="12" t="s">
        <v>2522</v>
      </c>
      <c r="B1248" s="13" t="n">
        <v>159.307</v>
      </c>
      <c r="C1248" s="13" t="n">
        <v>145.58</v>
      </c>
      <c r="D1248" s="12" t="s">
        <v>2523</v>
      </c>
      <c r="E1248" s="12" t="s">
        <v>30</v>
      </c>
      <c r="F1248" s="12" t="s">
        <v>2524</v>
      </c>
      <c r="G1248" s="12" t="s">
        <v>653</v>
      </c>
      <c r="H1248" s="14" t="n">
        <v>46284</v>
      </c>
      <c r="I1248" s="14" t="n">
        <v>46286</v>
      </c>
      <c r="J1248" s="12" t="s">
        <v>254</v>
      </c>
    </row>
    <row r="1249" customFormat="false" ht="15" hidden="false" customHeight="true" outlineLevel="0" collapsed="false">
      <c r="A1249" s="12" t="s">
        <v>2525</v>
      </c>
      <c r="B1249" s="13" t="n">
        <v>159.307</v>
      </c>
      <c r="C1249" s="13" t="n">
        <v>145.58</v>
      </c>
      <c r="D1249" s="12" t="s">
        <v>2523</v>
      </c>
      <c r="E1249" s="12" t="s">
        <v>30</v>
      </c>
      <c r="F1249" s="12" t="s">
        <v>2524</v>
      </c>
      <c r="G1249" s="12" t="s">
        <v>653</v>
      </c>
      <c r="H1249" s="14" t="n">
        <v>46284</v>
      </c>
      <c r="I1249" s="14" t="n">
        <v>46286</v>
      </c>
      <c r="J1249" s="12" t="s">
        <v>254</v>
      </c>
    </row>
    <row r="1250" customFormat="false" ht="15" hidden="false" customHeight="true" outlineLevel="0" collapsed="false">
      <c r="A1250" s="12" t="s">
        <v>2526</v>
      </c>
      <c r="B1250" s="13" t="n">
        <v>19939.92</v>
      </c>
      <c r="C1250" s="13" t="n">
        <v>18480</v>
      </c>
      <c r="D1250" s="12" t="s">
        <v>2527</v>
      </c>
      <c r="E1250" s="12" t="s">
        <v>30</v>
      </c>
      <c r="F1250" s="12" t="s">
        <v>904</v>
      </c>
      <c r="G1250" s="12" t="s">
        <v>653</v>
      </c>
      <c r="H1250" s="14" t="n">
        <v>46284</v>
      </c>
      <c r="I1250" s="14" t="n">
        <v>46286</v>
      </c>
      <c r="J1250" s="12" t="s">
        <v>254</v>
      </c>
    </row>
    <row r="1251" customFormat="false" ht="15" hidden="false" customHeight="true" outlineLevel="0" collapsed="false">
      <c r="A1251" s="12" t="s">
        <v>2528</v>
      </c>
      <c r="B1251" s="13" t="n">
        <v>23.32</v>
      </c>
      <c r="C1251" s="13" t="n">
        <v>22</v>
      </c>
      <c r="D1251" s="12" t="s">
        <v>932</v>
      </c>
      <c r="E1251" s="12" t="s">
        <v>30</v>
      </c>
      <c r="F1251" s="12" t="s">
        <v>608</v>
      </c>
      <c r="G1251" s="12" t="s">
        <v>609</v>
      </c>
      <c r="H1251" s="14" t="n">
        <v>46284</v>
      </c>
      <c r="I1251" s="14" t="n">
        <v>46286</v>
      </c>
      <c r="J1251" s="12" t="s">
        <v>254</v>
      </c>
    </row>
    <row r="1252" customFormat="false" ht="15" hidden="false" customHeight="true" outlineLevel="0" collapsed="false">
      <c r="A1252" s="12" t="s">
        <v>2529</v>
      </c>
      <c r="B1252" s="13" t="n">
        <v>215.268</v>
      </c>
      <c r="C1252" s="13" t="n">
        <v>199.98</v>
      </c>
      <c r="D1252" s="12" t="s">
        <v>2530</v>
      </c>
      <c r="E1252" s="12" t="s">
        <v>30</v>
      </c>
      <c r="F1252" s="12" t="s">
        <v>1012</v>
      </c>
      <c r="G1252" s="12" t="s">
        <v>609</v>
      </c>
      <c r="H1252" s="14" t="n">
        <v>46284</v>
      </c>
      <c r="I1252" s="14" t="n">
        <v>46286</v>
      </c>
      <c r="J1252" s="12" t="s">
        <v>254</v>
      </c>
    </row>
    <row r="1253" customFormat="false" ht="15" hidden="false" customHeight="true" outlineLevel="0" collapsed="false">
      <c r="A1253" s="12" t="s">
        <v>2531</v>
      </c>
      <c r="B1253" s="13" t="n">
        <v>161.856</v>
      </c>
      <c r="C1253" s="13" t="n">
        <v>149.08</v>
      </c>
      <c r="D1253" s="12" t="s">
        <v>2532</v>
      </c>
      <c r="E1253" s="12" t="s">
        <v>30</v>
      </c>
      <c r="F1253" s="12" t="s">
        <v>944</v>
      </c>
      <c r="G1253" s="12" t="s">
        <v>609</v>
      </c>
      <c r="H1253" s="14" t="n">
        <v>46284</v>
      </c>
      <c r="I1253" s="14" t="n">
        <v>46286</v>
      </c>
      <c r="J1253" s="12" t="s">
        <v>254</v>
      </c>
    </row>
    <row r="1254" customFormat="false" ht="15" hidden="false" customHeight="true" outlineLevel="0" collapsed="false">
      <c r="A1254" s="12" t="s">
        <v>2533</v>
      </c>
      <c r="B1254" s="13" t="n">
        <v>184.762</v>
      </c>
      <c r="C1254" s="13" t="n">
        <v>173.72</v>
      </c>
      <c r="D1254" s="12" t="s">
        <v>934</v>
      </c>
      <c r="E1254" s="12" t="s">
        <v>30</v>
      </c>
      <c r="F1254" s="12" t="s">
        <v>935</v>
      </c>
      <c r="G1254" s="12" t="s">
        <v>609</v>
      </c>
      <c r="H1254" s="14" t="n">
        <v>46284</v>
      </c>
      <c r="I1254" s="14" t="n">
        <v>46286</v>
      </c>
      <c r="J1254" s="12" t="s">
        <v>254</v>
      </c>
    </row>
    <row r="1255" customFormat="false" ht="15" hidden="false" customHeight="true" outlineLevel="0" collapsed="false">
      <c r="A1255" s="12" t="s">
        <v>2534</v>
      </c>
      <c r="B1255" s="13" t="n">
        <v>271.152</v>
      </c>
      <c r="C1255" s="13" t="n">
        <v>250.48</v>
      </c>
      <c r="D1255" s="12" t="s">
        <v>2535</v>
      </c>
      <c r="E1255" s="12" t="s">
        <v>30</v>
      </c>
      <c r="F1255" s="12" t="s">
        <v>2536</v>
      </c>
      <c r="G1255" s="12" t="s">
        <v>609</v>
      </c>
      <c r="H1255" s="14" t="n">
        <v>46284</v>
      </c>
      <c r="I1255" s="14" t="n">
        <v>46286</v>
      </c>
      <c r="J1255" s="12" t="s">
        <v>254</v>
      </c>
    </row>
    <row r="1256" customFormat="false" ht="15" hidden="false" customHeight="true" outlineLevel="0" collapsed="false">
      <c r="A1256" s="12" t="s">
        <v>2537</v>
      </c>
      <c r="B1256" s="13" t="n">
        <v>91.711</v>
      </c>
      <c r="C1256" s="13" t="n">
        <v>84.84</v>
      </c>
      <c r="D1256" s="12" t="s">
        <v>2538</v>
      </c>
      <c r="E1256" s="12" t="s">
        <v>30</v>
      </c>
      <c r="F1256" s="12" t="s">
        <v>2539</v>
      </c>
      <c r="G1256" s="12" t="s">
        <v>653</v>
      </c>
      <c r="H1256" s="14" t="n">
        <v>46284</v>
      </c>
      <c r="I1256" s="14" t="n">
        <v>46286</v>
      </c>
      <c r="J1256" s="12" t="s">
        <v>254</v>
      </c>
    </row>
    <row r="1257" customFormat="false" ht="15" hidden="false" customHeight="true" outlineLevel="0" collapsed="false">
      <c r="A1257" s="12" t="s">
        <v>2540</v>
      </c>
      <c r="B1257" s="13" t="n">
        <v>262.146</v>
      </c>
      <c r="C1257" s="13" t="n">
        <v>246.82</v>
      </c>
      <c r="D1257" s="12" t="s">
        <v>2541</v>
      </c>
      <c r="E1257" s="12" t="s">
        <v>30</v>
      </c>
      <c r="F1257" s="12" t="s">
        <v>2542</v>
      </c>
      <c r="G1257" s="12" t="s">
        <v>653</v>
      </c>
      <c r="H1257" s="14" t="n">
        <v>46284</v>
      </c>
      <c r="I1257" s="14" t="n">
        <v>46286</v>
      </c>
      <c r="J1257" s="12" t="s">
        <v>254</v>
      </c>
    </row>
    <row r="1258" customFormat="false" ht="15" hidden="false" customHeight="true" outlineLevel="0" collapsed="false">
      <c r="A1258" s="12" t="s">
        <v>2543</v>
      </c>
      <c r="B1258" s="13" t="n">
        <v>233.297</v>
      </c>
      <c r="C1258" s="13" t="n">
        <v>223.1</v>
      </c>
      <c r="D1258" s="12" t="s">
        <v>2544</v>
      </c>
      <c r="E1258" s="12" t="s">
        <v>30</v>
      </c>
      <c r="F1258" s="12" t="s">
        <v>239</v>
      </c>
      <c r="G1258" s="12" t="s">
        <v>646</v>
      </c>
      <c r="H1258" s="14" t="n">
        <v>46284</v>
      </c>
      <c r="I1258" s="14" t="n">
        <v>46286</v>
      </c>
      <c r="J1258" s="12" t="s">
        <v>254</v>
      </c>
    </row>
    <row r="1259" customFormat="false" ht="15" hidden="false" customHeight="true" outlineLevel="0" collapsed="false">
      <c r="A1259" s="12" t="s">
        <v>2545</v>
      </c>
      <c r="B1259" s="13" t="n">
        <v>31.845</v>
      </c>
      <c r="C1259" s="13" t="n">
        <v>30.3</v>
      </c>
      <c r="D1259" s="12" t="s">
        <v>2282</v>
      </c>
      <c r="E1259" s="12" t="s">
        <v>30</v>
      </c>
      <c r="F1259" s="12" t="s">
        <v>2283</v>
      </c>
      <c r="G1259" s="12" t="s">
        <v>653</v>
      </c>
      <c r="H1259" s="14" t="n">
        <v>46284</v>
      </c>
      <c r="I1259" s="14" t="n">
        <v>46286</v>
      </c>
      <c r="J1259" s="12" t="s">
        <v>254</v>
      </c>
    </row>
    <row r="1260" customFormat="false" ht="15" hidden="false" customHeight="true" outlineLevel="0" collapsed="false">
      <c r="A1260" s="12" t="s">
        <v>2546</v>
      </c>
      <c r="B1260" s="13" t="n">
        <v>29.578</v>
      </c>
      <c r="C1260" s="13" t="n">
        <v>26.4</v>
      </c>
      <c r="D1260" s="12" t="s">
        <v>2547</v>
      </c>
      <c r="E1260" s="12" t="s">
        <v>30</v>
      </c>
      <c r="F1260" s="12" t="s">
        <v>759</v>
      </c>
      <c r="G1260" s="12" t="s">
        <v>653</v>
      </c>
      <c r="H1260" s="14" t="n">
        <v>46284</v>
      </c>
      <c r="I1260" s="14" t="n">
        <v>46286</v>
      </c>
      <c r="J1260" s="12" t="s">
        <v>254</v>
      </c>
    </row>
    <row r="1261" customFormat="false" ht="15" hidden="false" customHeight="true" outlineLevel="0" collapsed="false">
      <c r="A1261" s="12" t="s">
        <v>2548</v>
      </c>
      <c r="B1261" s="13" t="n">
        <v>268.811</v>
      </c>
      <c r="C1261" s="13" t="n">
        <v>255.5</v>
      </c>
      <c r="D1261" s="12" t="s">
        <v>734</v>
      </c>
      <c r="E1261" s="12" t="s">
        <v>30</v>
      </c>
      <c r="F1261" s="12" t="s">
        <v>239</v>
      </c>
      <c r="G1261" s="12" t="s">
        <v>646</v>
      </c>
      <c r="H1261" s="14" t="n">
        <v>46284</v>
      </c>
      <c r="I1261" s="14" t="n">
        <v>46286</v>
      </c>
      <c r="J1261" s="12" t="s">
        <v>254</v>
      </c>
    </row>
    <row r="1262" customFormat="false" ht="15" hidden="false" customHeight="true" outlineLevel="0" collapsed="false">
      <c r="A1262" s="12" t="s">
        <v>2549</v>
      </c>
      <c r="B1262" s="13" t="n">
        <v>99.075</v>
      </c>
      <c r="C1262" s="13" t="n">
        <v>94.92</v>
      </c>
      <c r="D1262" s="12" t="s">
        <v>2550</v>
      </c>
      <c r="E1262" s="12" t="s">
        <v>30</v>
      </c>
      <c r="F1262" s="12" t="s">
        <v>2551</v>
      </c>
      <c r="G1262" s="12" t="s">
        <v>653</v>
      </c>
      <c r="H1262" s="14" t="n">
        <v>46284</v>
      </c>
      <c r="I1262" s="14" t="n">
        <v>46286</v>
      </c>
      <c r="J1262" s="12" t="s">
        <v>254</v>
      </c>
    </row>
    <row r="1263" customFormat="false" ht="15" hidden="false" customHeight="true" outlineLevel="0" collapsed="false">
      <c r="A1263" s="12" t="s">
        <v>2552</v>
      </c>
      <c r="B1263" s="13" t="n">
        <v>1014.796</v>
      </c>
      <c r="C1263" s="13" t="n">
        <v>936.5</v>
      </c>
      <c r="D1263" s="12" t="s">
        <v>734</v>
      </c>
      <c r="E1263" s="12" t="s">
        <v>30</v>
      </c>
      <c r="F1263" s="12" t="s">
        <v>239</v>
      </c>
      <c r="G1263" s="12" t="s">
        <v>646</v>
      </c>
      <c r="H1263" s="14" t="n">
        <v>46284</v>
      </c>
      <c r="I1263" s="14" t="n">
        <v>46286</v>
      </c>
      <c r="J1263" s="12" t="s">
        <v>254</v>
      </c>
    </row>
    <row r="1264" customFormat="false" ht="15" hidden="false" customHeight="true" outlineLevel="0" collapsed="false">
      <c r="A1264" s="12" t="s">
        <v>2553</v>
      </c>
      <c r="B1264" s="13" t="n">
        <v>539.5</v>
      </c>
      <c r="C1264" s="13" t="n">
        <v>500</v>
      </c>
      <c r="D1264" s="12" t="s">
        <v>2554</v>
      </c>
      <c r="E1264" s="12" t="s">
        <v>30</v>
      </c>
      <c r="F1264" s="12" t="s">
        <v>697</v>
      </c>
      <c r="G1264" s="12" t="s">
        <v>653</v>
      </c>
      <c r="H1264" s="14" t="n">
        <v>46284</v>
      </c>
      <c r="I1264" s="14" t="n">
        <v>46286</v>
      </c>
      <c r="J1264" s="12" t="s">
        <v>254</v>
      </c>
    </row>
    <row r="1265" customFormat="false" ht="15" hidden="false" customHeight="true" outlineLevel="0" collapsed="false">
      <c r="A1265" s="12" t="s">
        <v>2555</v>
      </c>
      <c r="B1265" s="13" t="n">
        <v>1257.858</v>
      </c>
      <c r="C1265" s="13" t="n">
        <v>1206</v>
      </c>
      <c r="D1265" s="12" t="s">
        <v>734</v>
      </c>
      <c r="E1265" s="12" t="s">
        <v>30</v>
      </c>
      <c r="F1265" s="12" t="s">
        <v>239</v>
      </c>
      <c r="G1265" s="12" t="s">
        <v>646</v>
      </c>
      <c r="H1265" s="14" t="n">
        <v>46284</v>
      </c>
      <c r="I1265" s="14" t="n">
        <v>46286</v>
      </c>
      <c r="J1265" s="12" t="s">
        <v>254</v>
      </c>
    </row>
    <row r="1266" customFormat="false" ht="15" hidden="false" customHeight="true" outlineLevel="0" collapsed="false">
      <c r="A1266" s="12" t="s">
        <v>2556</v>
      </c>
      <c r="B1266" s="13" t="n">
        <v>628.929</v>
      </c>
      <c r="C1266" s="13" t="n">
        <v>603</v>
      </c>
      <c r="D1266" s="12" t="s">
        <v>734</v>
      </c>
      <c r="E1266" s="12" t="s">
        <v>30</v>
      </c>
      <c r="F1266" s="12" t="s">
        <v>239</v>
      </c>
      <c r="G1266" s="12" t="s">
        <v>646</v>
      </c>
      <c r="H1266" s="14" t="n">
        <v>46284</v>
      </c>
      <c r="I1266" s="14" t="n">
        <v>46286</v>
      </c>
      <c r="J1266" s="12" t="s">
        <v>254</v>
      </c>
    </row>
    <row r="1267" customFormat="false" ht="15" hidden="false" customHeight="true" outlineLevel="0" collapsed="false">
      <c r="A1267" s="12" t="s">
        <v>2557</v>
      </c>
      <c r="B1267" s="13" t="n">
        <v>105.592</v>
      </c>
      <c r="C1267" s="13" t="n">
        <v>99.52</v>
      </c>
      <c r="D1267" s="12" t="s">
        <v>2558</v>
      </c>
      <c r="E1267" s="12" t="s">
        <v>30</v>
      </c>
      <c r="F1267" s="12" t="s">
        <v>2247</v>
      </c>
      <c r="G1267" s="12" t="s">
        <v>653</v>
      </c>
      <c r="H1267" s="14" t="n">
        <v>46284</v>
      </c>
      <c r="I1267" s="14" t="n">
        <v>46286</v>
      </c>
      <c r="J1267" s="12" t="s">
        <v>254</v>
      </c>
    </row>
    <row r="1268" customFormat="false" ht="15" hidden="false" customHeight="true" outlineLevel="0" collapsed="false">
      <c r="A1268" s="12" t="s">
        <v>2559</v>
      </c>
      <c r="B1268" s="13" t="n">
        <v>135.407</v>
      </c>
      <c r="C1268" s="13" t="n">
        <v>126.68</v>
      </c>
      <c r="D1268" s="12" t="s">
        <v>2560</v>
      </c>
      <c r="E1268" s="12" t="s">
        <v>30</v>
      </c>
      <c r="F1268" s="12" t="s">
        <v>243</v>
      </c>
      <c r="G1268" s="12" t="s">
        <v>646</v>
      </c>
      <c r="H1268" s="14" t="n">
        <v>46284</v>
      </c>
      <c r="I1268" s="14" t="n">
        <v>46286</v>
      </c>
      <c r="J1268" s="12" t="s">
        <v>254</v>
      </c>
    </row>
    <row r="1269" customFormat="false" ht="15" hidden="false" customHeight="true" outlineLevel="0" collapsed="false">
      <c r="A1269" s="12" t="s">
        <v>2561</v>
      </c>
      <c r="B1269" s="13" t="n">
        <v>1502.853</v>
      </c>
      <c r="C1269" s="13" t="n">
        <v>1404.9</v>
      </c>
      <c r="D1269" s="12" t="s">
        <v>734</v>
      </c>
      <c r="E1269" s="12" t="s">
        <v>30</v>
      </c>
      <c r="F1269" s="12" t="s">
        <v>239</v>
      </c>
      <c r="G1269" s="12" t="s">
        <v>646</v>
      </c>
      <c r="H1269" s="14" t="n">
        <v>46284</v>
      </c>
      <c r="I1269" s="14" t="n">
        <v>46286</v>
      </c>
      <c r="J1269" s="12" t="s">
        <v>254</v>
      </c>
    </row>
    <row r="1270" customFormat="false" ht="15" hidden="false" customHeight="true" outlineLevel="0" collapsed="false">
      <c r="A1270" s="12" t="s">
        <v>2562</v>
      </c>
      <c r="B1270" s="13" t="n">
        <v>167.714</v>
      </c>
      <c r="C1270" s="13" t="n">
        <v>160.8</v>
      </c>
      <c r="D1270" s="12" t="s">
        <v>2465</v>
      </c>
      <c r="E1270" s="12" t="s">
        <v>30</v>
      </c>
      <c r="F1270" s="12" t="s">
        <v>2466</v>
      </c>
      <c r="G1270" s="12" t="s">
        <v>653</v>
      </c>
      <c r="H1270" s="14" t="n">
        <v>46284</v>
      </c>
      <c r="I1270" s="14" t="n">
        <v>46286</v>
      </c>
      <c r="J1270" s="12" t="s">
        <v>254</v>
      </c>
    </row>
    <row r="1271" customFormat="false" ht="15" hidden="false" customHeight="true" outlineLevel="0" collapsed="false">
      <c r="A1271" s="12" t="s">
        <v>2563</v>
      </c>
      <c r="B1271" s="13" t="n">
        <v>70.804</v>
      </c>
      <c r="C1271" s="13" t="n">
        <v>66.9</v>
      </c>
      <c r="D1271" s="12" t="s">
        <v>2564</v>
      </c>
      <c r="E1271" s="12" t="s">
        <v>30</v>
      </c>
      <c r="F1271" s="12" t="s">
        <v>239</v>
      </c>
      <c r="G1271" s="12" t="s">
        <v>646</v>
      </c>
      <c r="H1271" s="14" t="n">
        <v>46284</v>
      </c>
      <c r="I1271" s="14" t="n">
        <v>46286</v>
      </c>
      <c r="J1271" s="12" t="s">
        <v>254</v>
      </c>
    </row>
    <row r="1272" customFormat="false" ht="15" hidden="false" customHeight="true" outlineLevel="0" collapsed="false">
      <c r="A1272" s="12" t="s">
        <v>2565</v>
      </c>
      <c r="B1272" s="13" t="n">
        <v>233.532</v>
      </c>
      <c r="C1272" s="13" t="n">
        <v>222.2</v>
      </c>
      <c r="D1272" s="12" t="s">
        <v>2452</v>
      </c>
      <c r="E1272" s="12" t="s">
        <v>30</v>
      </c>
      <c r="F1272" s="12" t="s">
        <v>2453</v>
      </c>
      <c r="G1272" s="12" t="s">
        <v>609</v>
      </c>
      <c r="H1272" s="14" t="n">
        <v>46284</v>
      </c>
      <c r="I1272" s="14" t="n">
        <v>46286</v>
      </c>
      <c r="J1272" s="12" t="s">
        <v>254</v>
      </c>
    </row>
    <row r="1273" customFormat="false" ht="15" hidden="false" customHeight="true" outlineLevel="0" collapsed="false">
      <c r="A1273" s="12" t="s">
        <v>2566</v>
      </c>
      <c r="B1273" s="13" t="n">
        <v>270.824</v>
      </c>
      <c r="C1273" s="13" t="n">
        <v>249.1</v>
      </c>
      <c r="D1273" s="12" t="s">
        <v>2567</v>
      </c>
      <c r="E1273" s="12" t="s">
        <v>30</v>
      </c>
      <c r="F1273" s="12" t="s">
        <v>2139</v>
      </c>
      <c r="G1273" s="12" t="s">
        <v>653</v>
      </c>
      <c r="H1273" s="14" t="n">
        <v>46284</v>
      </c>
      <c r="I1273" s="14" t="n">
        <v>46286</v>
      </c>
      <c r="J1273" s="12" t="s">
        <v>254</v>
      </c>
    </row>
    <row r="1274" customFormat="false" ht="15" hidden="false" customHeight="true" outlineLevel="0" collapsed="false">
      <c r="A1274" s="12" t="s">
        <v>2568</v>
      </c>
      <c r="B1274" s="13" t="n">
        <v>29.642</v>
      </c>
      <c r="C1274" s="13" t="n">
        <v>27.22</v>
      </c>
      <c r="D1274" s="12" t="s">
        <v>2569</v>
      </c>
      <c r="E1274" s="12" t="s">
        <v>30</v>
      </c>
      <c r="F1274" s="12" t="s">
        <v>688</v>
      </c>
      <c r="G1274" s="12" t="s">
        <v>653</v>
      </c>
      <c r="H1274" s="14" t="n">
        <v>46284</v>
      </c>
      <c r="I1274" s="14" t="n">
        <v>46286</v>
      </c>
      <c r="J1274" s="12" t="s">
        <v>254</v>
      </c>
    </row>
    <row r="1275" customFormat="false" ht="15" hidden="false" customHeight="true" outlineLevel="0" collapsed="false">
      <c r="A1275" s="12" t="s">
        <v>2570</v>
      </c>
      <c r="B1275" s="13" t="n">
        <v>39.005</v>
      </c>
      <c r="C1275" s="13" t="n">
        <v>35.2</v>
      </c>
      <c r="D1275" s="12" t="s">
        <v>2128</v>
      </c>
      <c r="E1275" s="12" t="s">
        <v>30</v>
      </c>
      <c r="F1275" s="12" t="s">
        <v>2129</v>
      </c>
      <c r="G1275" s="12" t="s">
        <v>653</v>
      </c>
      <c r="H1275" s="14" t="n">
        <v>46284</v>
      </c>
      <c r="I1275" s="14" t="n">
        <v>46286</v>
      </c>
      <c r="J1275" s="12" t="s">
        <v>254</v>
      </c>
    </row>
    <row r="1276" customFormat="false" ht="15" hidden="false" customHeight="true" outlineLevel="0" collapsed="false">
      <c r="A1276" s="12" t="s">
        <v>2571</v>
      </c>
      <c r="B1276" s="13" t="n">
        <v>81.466</v>
      </c>
      <c r="C1276" s="13" t="n">
        <v>75.6</v>
      </c>
      <c r="D1276" s="12" t="s">
        <v>660</v>
      </c>
      <c r="E1276" s="12" t="s">
        <v>30</v>
      </c>
      <c r="F1276" s="12" t="s">
        <v>707</v>
      </c>
      <c r="G1276" s="12" t="s">
        <v>646</v>
      </c>
      <c r="H1276" s="14" t="n">
        <v>46284</v>
      </c>
      <c r="I1276" s="14" t="n">
        <v>46286</v>
      </c>
      <c r="J1276" s="12" t="s">
        <v>254</v>
      </c>
    </row>
    <row r="1277" customFormat="false" ht="15" hidden="false" customHeight="true" outlineLevel="0" collapsed="false">
      <c r="A1277" s="12" t="s">
        <v>2572</v>
      </c>
      <c r="B1277" s="13" t="n">
        <v>54.31</v>
      </c>
      <c r="C1277" s="13" t="n">
        <v>50.4</v>
      </c>
      <c r="D1277" s="12" t="s">
        <v>2573</v>
      </c>
      <c r="E1277" s="12" t="s">
        <v>30</v>
      </c>
      <c r="F1277" s="12" t="s">
        <v>2574</v>
      </c>
      <c r="G1277" s="12" t="s">
        <v>609</v>
      </c>
      <c r="H1277" s="14" t="n">
        <v>46284</v>
      </c>
      <c r="I1277" s="14" t="n">
        <v>46286</v>
      </c>
      <c r="J1277" s="12" t="s">
        <v>254</v>
      </c>
    </row>
    <row r="1278" customFormat="false" ht="15" hidden="false" customHeight="true" outlineLevel="0" collapsed="false">
      <c r="A1278" s="12" t="s">
        <v>2575</v>
      </c>
      <c r="B1278" s="13" t="n">
        <v>25.095</v>
      </c>
      <c r="C1278" s="13" t="n">
        <v>24</v>
      </c>
      <c r="D1278" s="12" t="s">
        <v>2377</v>
      </c>
      <c r="E1278" s="12" t="s">
        <v>30</v>
      </c>
      <c r="F1278" s="12" t="s">
        <v>608</v>
      </c>
      <c r="G1278" s="12" t="s">
        <v>609</v>
      </c>
      <c r="H1278" s="14" t="n">
        <v>46284</v>
      </c>
      <c r="I1278" s="14" t="n">
        <v>46286</v>
      </c>
      <c r="J1278" s="12" t="s">
        <v>254</v>
      </c>
    </row>
    <row r="1279" customFormat="false" ht="15" hidden="false" customHeight="true" outlineLevel="0" collapsed="false">
      <c r="A1279" s="12" t="s">
        <v>2576</v>
      </c>
      <c r="B1279" s="13" t="n">
        <v>21.441</v>
      </c>
      <c r="C1279" s="13" t="n">
        <v>20.6</v>
      </c>
      <c r="D1279" s="12" t="s">
        <v>2259</v>
      </c>
      <c r="E1279" s="12" t="s">
        <v>30</v>
      </c>
      <c r="F1279" s="12" t="s">
        <v>2132</v>
      </c>
      <c r="G1279" s="12" t="s">
        <v>653</v>
      </c>
      <c r="H1279" s="14" t="n">
        <v>46284</v>
      </c>
      <c r="I1279" s="14" t="n">
        <v>46286</v>
      </c>
      <c r="J1279" s="12" t="s">
        <v>254</v>
      </c>
    </row>
    <row r="1280" customFormat="false" ht="15" hidden="false" customHeight="true" outlineLevel="0" collapsed="false">
      <c r="A1280" s="12" t="s">
        <v>2577</v>
      </c>
      <c r="B1280" s="13" t="n">
        <v>27.39</v>
      </c>
      <c r="C1280" s="13" t="n">
        <v>25.1</v>
      </c>
      <c r="D1280" s="12" t="s">
        <v>2138</v>
      </c>
      <c r="E1280" s="12" t="s">
        <v>30</v>
      </c>
      <c r="F1280" s="12" t="s">
        <v>2139</v>
      </c>
      <c r="G1280" s="12" t="s">
        <v>653</v>
      </c>
      <c r="H1280" s="14" t="n">
        <v>46284</v>
      </c>
      <c r="I1280" s="14" t="n">
        <v>46286</v>
      </c>
      <c r="J1280" s="12" t="s">
        <v>254</v>
      </c>
    </row>
    <row r="1281" customFormat="false" ht="15" hidden="false" customHeight="true" outlineLevel="0" collapsed="false">
      <c r="A1281" s="12" t="s">
        <v>2578</v>
      </c>
      <c r="B1281" s="13" t="n">
        <v>58.048</v>
      </c>
      <c r="C1281" s="13" t="n">
        <v>54.54</v>
      </c>
      <c r="D1281" s="12" t="s">
        <v>806</v>
      </c>
      <c r="E1281" s="12" t="s">
        <v>30</v>
      </c>
      <c r="F1281" s="12" t="s">
        <v>807</v>
      </c>
      <c r="G1281" s="12" t="s">
        <v>609</v>
      </c>
      <c r="H1281" s="14" t="n">
        <v>46284</v>
      </c>
      <c r="I1281" s="14" t="n">
        <v>46286</v>
      </c>
      <c r="J1281" s="12" t="s">
        <v>254</v>
      </c>
    </row>
    <row r="1282" customFormat="false" ht="15" hidden="false" customHeight="true" outlineLevel="0" collapsed="false">
      <c r="A1282" s="12" t="s">
        <v>2579</v>
      </c>
      <c r="B1282" s="13" t="n">
        <v>95.536</v>
      </c>
      <c r="C1282" s="13" t="n">
        <v>90.9</v>
      </c>
      <c r="D1282" s="12" t="s">
        <v>988</v>
      </c>
      <c r="E1282" s="12" t="s">
        <v>30</v>
      </c>
      <c r="F1282" s="12" t="s">
        <v>989</v>
      </c>
      <c r="G1282" s="12" t="s">
        <v>609</v>
      </c>
      <c r="H1282" s="14" t="n">
        <v>46284</v>
      </c>
      <c r="I1282" s="14" t="n">
        <v>46286</v>
      </c>
      <c r="J1282" s="12" t="s">
        <v>254</v>
      </c>
    </row>
    <row r="1283" customFormat="false" ht="15" hidden="false" customHeight="true" outlineLevel="0" collapsed="false">
      <c r="A1283" s="12" t="s">
        <v>2580</v>
      </c>
      <c r="B1283" s="13" t="n">
        <v>318.453</v>
      </c>
      <c r="C1283" s="13" t="n">
        <v>303</v>
      </c>
      <c r="D1283" s="12" t="s">
        <v>998</v>
      </c>
      <c r="E1283" s="12" t="s">
        <v>30</v>
      </c>
      <c r="F1283" s="12" t="s">
        <v>999</v>
      </c>
      <c r="G1283" s="12" t="s">
        <v>609</v>
      </c>
      <c r="H1283" s="14" t="n">
        <v>46284</v>
      </c>
      <c r="I1283" s="14" t="n">
        <v>46286</v>
      </c>
      <c r="J1283" s="12" t="s">
        <v>254</v>
      </c>
    </row>
    <row r="1284" customFormat="false" ht="15" hidden="false" customHeight="true" outlineLevel="0" collapsed="false">
      <c r="A1284" s="12" t="s">
        <v>2581</v>
      </c>
      <c r="B1284" s="13" t="n">
        <v>129.868</v>
      </c>
      <c r="C1284" s="13" t="n">
        <v>123.22</v>
      </c>
      <c r="D1284" s="12" t="s">
        <v>798</v>
      </c>
      <c r="E1284" s="12" t="s">
        <v>30</v>
      </c>
      <c r="F1284" s="12" t="s">
        <v>799</v>
      </c>
      <c r="G1284" s="12" t="s">
        <v>609</v>
      </c>
      <c r="H1284" s="14" t="n">
        <v>46284</v>
      </c>
      <c r="I1284" s="14" t="n">
        <v>46286</v>
      </c>
      <c r="J1284" s="12" t="s">
        <v>254</v>
      </c>
    </row>
    <row r="1285" customFormat="false" ht="15" hidden="false" customHeight="true" outlineLevel="0" collapsed="false">
      <c r="A1285" s="12" t="s">
        <v>2582</v>
      </c>
      <c r="B1285" s="13" t="n">
        <v>43.695</v>
      </c>
      <c r="C1285" s="13" t="n">
        <v>40.3</v>
      </c>
      <c r="D1285" s="12" t="s">
        <v>925</v>
      </c>
      <c r="E1285" s="12" t="s">
        <v>30</v>
      </c>
      <c r="F1285" s="12" t="s">
        <v>667</v>
      </c>
      <c r="G1285" s="12" t="s">
        <v>609</v>
      </c>
      <c r="H1285" s="14" t="n">
        <v>46284</v>
      </c>
      <c r="I1285" s="14" t="n">
        <v>46286</v>
      </c>
      <c r="J1285" s="12" t="s">
        <v>254</v>
      </c>
    </row>
    <row r="1286" customFormat="false" ht="15" hidden="false" customHeight="true" outlineLevel="0" collapsed="false">
      <c r="A1286" s="12" t="s">
        <v>2583</v>
      </c>
      <c r="B1286" s="13" t="n">
        <v>106.151</v>
      </c>
      <c r="C1286" s="13" t="n">
        <v>101</v>
      </c>
      <c r="D1286" s="12" t="s">
        <v>925</v>
      </c>
      <c r="E1286" s="12" t="s">
        <v>30</v>
      </c>
      <c r="F1286" s="12" t="s">
        <v>1009</v>
      </c>
      <c r="G1286" s="12" t="s">
        <v>609</v>
      </c>
      <c r="H1286" s="14" t="n">
        <v>46284</v>
      </c>
      <c r="I1286" s="14" t="n">
        <v>46286</v>
      </c>
      <c r="J1286" s="12" t="s">
        <v>254</v>
      </c>
    </row>
    <row r="1287" customFormat="false" ht="15" hidden="false" customHeight="true" outlineLevel="0" collapsed="false">
      <c r="A1287" s="12" t="s">
        <v>2584</v>
      </c>
      <c r="B1287" s="13" t="n">
        <v>11.499</v>
      </c>
      <c r="C1287" s="13" t="n">
        <v>9.6</v>
      </c>
      <c r="D1287" s="12" t="s">
        <v>734</v>
      </c>
      <c r="E1287" s="12" t="s">
        <v>30</v>
      </c>
      <c r="F1287" s="12" t="s">
        <v>239</v>
      </c>
      <c r="G1287" s="12" t="s">
        <v>646</v>
      </c>
      <c r="H1287" s="14" t="n">
        <v>46284</v>
      </c>
      <c r="I1287" s="14" t="n">
        <v>46286</v>
      </c>
      <c r="J1287" s="12" t="s">
        <v>254</v>
      </c>
    </row>
    <row r="1288" customFormat="false" ht="15" hidden="false" customHeight="true" outlineLevel="0" collapsed="false">
      <c r="A1288" s="12" t="s">
        <v>2585</v>
      </c>
      <c r="B1288" s="13" t="n">
        <v>53.358</v>
      </c>
      <c r="C1288" s="13" t="n">
        <v>49.44</v>
      </c>
      <c r="D1288" s="12" t="s">
        <v>744</v>
      </c>
      <c r="E1288" s="12" t="s">
        <v>30</v>
      </c>
      <c r="F1288" s="12" t="s">
        <v>243</v>
      </c>
      <c r="G1288" s="12" t="s">
        <v>646</v>
      </c>
      <c r="H1288" s="14" t="n">
        <v>46284</v>
      </c>
      <c r="I1288" s="14" t="n">
        <v>46286</v>
      </c>
      <c r="J1288" s="12" t="s">
        <v>254</v>
      </c>
    </row>
    <row r="1289" customFormat="false" ht="15" hidden="false" customHeight="true" outlineLevel="0" collapsed="false">
      <c r="A1289" s="12" t="s">
        <v>2586</v>
      </c>
      <c r="B1289" s="13" t="n">
        <v>65.159</v>
      </c>
      <c r="C1289" s="13" t="n">
        <v>59.6</v>
      </c>
      <c r="D1289" s="12" t="s">
        <v>1779</v>
      </c>
      <c r="E1289" s="12" t="s">
        <v>30</v>
      </c>
      <c r="F1289" s="12" t="s">
        <v>239</v>
      </c>
      <c r="G1289" s="12" t="s">
        <v>646</v>
      </c>
      <c r="H1289" s="14" t="n">
        <v>46284</v>
      </c>
      <c r="I1289" s="14" t="n">
        <v>46286</v>
      </c>
      <c r="J1289" s="12" t="s">
        <v>254</v>
      </c>
    </row>
    <row r="1290" customFormat="false" ht="15" hidden="false" customHeight="true" outlineLevel="0" collapsed="false">
      <c r="A1290" s="12" t="s">
        <v>2587</v>
      </c>
      <c r="B1290" s="13" t="n">
        <v>10.94</v>
      </c>
      <c r="C1290" s="13" t="n">
        <v>10</v>
      </c>
      <c r="D1290" s="12" t="s">
        <v>854</v>
      </c>
      <c r="E1290" s="12" t="s">
        <v>30</v>
      </c>
      <c r="F1290" s="12" t="s">
        <v>608</v>
      </c>
      <c r="G1290" s="12" t="s">
        <v>609</v>
      </c>
      <c r="H1290" s="14" t="n">
        <v>46284</v>
      </c>
      <c r="I1290" s="14" t="n">
        <v>46286</v>
      </c>
      <c r="J1290" s="12" t="s">
        <v>254</v>
      </c>
    </row>
    <row r="1291" customFormat="false" ht="15" hidden="false" customHeight="true" outlineLevel="0" collapsed="false">
      <c r="A1291" s="12" t="s">
        <v>2588</v>
      </c>
      <c r="B1291" s="13" t="n">
        <v>10.94</v>
      </c>
      <c r="C1291" s="13" t="n">
        <v>10</v>
      </c>
      <c r="D1291" s="12" t="s">
        <v>793</v>
      </c>
      <c r="E1291" s="12" t="s">
        <v>30</v>
      </c>
      <c r="F1291" s="12" t="s">
        <v>794</v>
      </c>
      <c r="G1291" s="12" t="s">
        <v>609</v>
      </c>
      <c r="H1291" s="14" t="n">
        <v>46284</v>
      </c>
      <c r="I1291" s="14" t="n">
        <v>46286</v>
      </c>
      <c r="J1291" s="12" t="s">
        <v>254</v>
      </c>
    </row>
    <row r="1292" customFormat="false" ht="15" hidden="false" customHeight="true" outlineLevel="0" collapsed="false">
      <c r="A1292" s="12" t="s">
        <v>2589</v>
      </c>
      <c r="B1292" s="13" t="n">
        <v>10.94</v>
      </c>
      <c r="C1292" s="13" t="n">
        <v>10</v>
      </c>
      <c r="D1292" s="12" t="s">
        <v>868</v>
      </c>
      <c r="E1292" s="12" t="s">
        <v>30</v>
      </c>
      <c r="F1292" s="12" t="s">
        <v>615</v>
      </c>
      <c r="G1292" s="12" t="s">
        <v>609</v>
      </c>
      <c r="H1292" s="14" t="n">
        <v>46284</v>
      </c>
      <c r="I1292" s="14" t="n">
        <v>46286</v>
      </c>
      <c r="J1292" s="12" t="s">
        <v>254</v>
      </c>
    </row>
    <row r="1293" customFormat="false" ht="15" hidden="false" customHeight="true" outlineLevel="0" collapsed="false">
      <c r="A1293" s="12" t="s">
        <v>2590</v>
      </c>
      <c r="B1293" s="13" t="n">
        <v>10.85</v>
      </c>
      <c r="C1293" s="13" t="n">
        <v>10</v>
      </c>
      <c r="D1293" s="12" t="s">
        <v>2472</v>
      </c>
      <c r="E1293" s="12" t="s">
        <v>30</v>
      </c>
      <c r="F1293" s="12" t="s">
        <v>2473</v>
      </c>
      <c r="G1293" s="12" t="s">
        <v>609</v>
      </c>
      <c r="H1293" s="14" t="n">
        <v>46284</v>
      </c>
      <c r="I1293" s="14" t="n">
        <v>46286</v>
      </c>
      <c r="J1293" s="12" t="s">
        <v>254</v>
      </c>
    </row>
    <row r="1294" customFormat="false" ht="15" hidden="false" customHeight="true" outlineLevel="0" collapsed="false">
      <c r="A1294" s="12" t="s">
        <v>2591</v>
      </c>
      <c r="B1294" s="13" t="n">
        <v>17.417</v>
      </c>
      <c r="C1294" s="13" t="n">
        <v>14.08</v>
      </c>
      <c r="D1294" s="12" t="s">
        <v>2461</v>
      </c>
      <c r="E1294" s="12" t="s">
        <v>30</v>
      </c>
      <c r="F1294" s="12" t="s">
        <v>791</v>
      </c>
      <c r="G1294" s="12" t="s">
        <v>609</v>
      </c>
      <c r="H1294" s="14" t="n">
        <v>46284</v>
      </c>
      <c r="I1294" s="14" t="n">
        <v>46286</v>
      </c>
      <c r="J1294" s="12" t="s">
        <v>254</v>
      </c>
    </row>
    <row r="1295" customFormat="false" ht="15" hidden="false" customHeight="true" outlineLevel="0" collapsed="false">
      <c r="A1295" s="12" t="s">
        <v>2592</v>
      </c>
      <c r="B1295" s="13" t="n">
        <v>250.95</v>
      </c>
      <c r="C1295" s="13" t="n">
        <v>240</v>
      </c>
      <c r="D1295" s="12" t="s">
        <v>734</v>
      </c>
      <c r="E1295" s="12" t="s">
        <v>30</v>
      </c>
      <c r="F1295" s="12" t="s">
        <v>239</v>
      </c>
      <c r="G1295" s="12" t="s">
        <v>646</v>
      </c>
      <c r="H1295" s="14" t="n">
        <v>46284</v>
      </c>
      <c r="I1295" s="14" t="n">
        <v>46286</v>
      </c>
      <c r="J1295" s="12" t="s">
        <v>254</v>
      </c>
    </row>
    <row r="1296" customFormat="false" ht="15" hidden="false" customHeight="true" outlineLevel="0" collapsed="false">
      <c r="A1296" s="12" t="s">
        <v>2593</v>
      </c>
      <c r="B1296" s="13" t="n">
        <v>32.814</v>
      </c>
      <c r="C1296" s="13" t="n">
        <v>30.1</v>
      </c>
      <c r="D1296" s="12" t="s">
        <v>705</v>
      </c>
      <c r="E1296" s="12" t="s">
        <v>30</v>
      </c>
      <c r="F1296" s="12" t="s">
        <v>688</v>
      </c>
      <c r="G1296" s="12" t="s">
        <v>653</v>
      </c>
      <c r="H1296" s="14" t="n">
        <v>46284</v>
      </c>
      <c r="I1296" s="14" t="n">
        <v>46286</v>
      </c>
      <c r="J1296" s="12" t="s">
        <v>254</v>
      </c>
    </row>
    <row r="1297" customFormat="false" ht="15" hidden="false" customHeight="true" outlineLevel="0" collapsed="false">
      <c r="A1297" s="12" t="s">
        <v>2594</v>
      </c>
      <c r="B1297" s="13" t="n">
        <v>33.09</v>
      </c>
      <c r="C1297" s="13" t="n">
        <v>30</v>
      </c>
      <c r="D1297" s="12" t="s">
        <v>687</v>
      </c>
      <c r="E1297" s="12" t="s">
        <v>30</v>
      </c>
      <c r="F1297" s="12" t="s">
        <v>688</v>
      </c>
      <c r="G1297" s="12" t="s">
        <v>653</v>
      </c>
      <c r="H1297" s="14" t="n">
        <v>46284</v>
      </c>
      <c r="I1297" s="14" t="n">
        <v>46286</v>
      </c>
      <c r="J1297" s="12" t="s">
        <v>254</v>
      </c>
    </row>
    <row r="1298" customFormat="false" ht="15" hidden="false" customHeight="true" outlineLevel="0" collapsed="false">
      <c r="A1298" s="12" t="s">
        <v>2595</v>
      </c>
      <c r="B1298" s="13" t="n">
        <v>110.455</v>
      </c>
      <c r="C1298" s="13" t="n">
        <v>103.02</v>
      </c>
      <c r="D1298" s="12" t="s">
        <v>2596</v>
      </c>
      <c r="E1298" s="12" t="s">
        <v>30</v>
      </c>
      <c r="F1298" s="12" t="s">
        <v>2597</v>
      </c>
      <c r="G1298" s="12" t="s">
        <v>653</v>
      </c>
      <c r="H1298" s="14" t="n">
        <v>46284</v>
      </c>
      <c r="I1298" s="14" t="n">
        <v>46286</v>
      </c>
      <c r="J1298" s="12" t="s">
        <v>254</v>
      </c>
    </row>
    <row r="1299" customFormat="false" ht="15" hidden="false" customHeight="true" outlineLevel="0" collapsed="false">
      <c r="A1299" s="12" t="s">
        <v>2598</v>
      </c>
      <c r="B1299" s="13" t="n">
        <v>15.764</v>
      </c>
      <c r="C1299" s="13" t="n">
        <v>14</v>
      </c>
      <c r="D1299" s="12" t="s">
        <v>739</v>
      </c>
      <c r="E1299" s="12" t="s">
        <v>30</v>
      </c>
      <c r="F1299" s="12" t="s">
        <v>239</v>
      </c>
      <c r="G1299" s="12" t="s">
        <v>646</v>
      </c>
      <c r="H1299" s="14" t="n">
        <v>46284</v>
      </c>
      <c r="I1299" s="14" t="n">
        <v>46286</v>
      </c>
      <c r="J1299" s="12" t="s">
        <v>254</v>
      </c>
    </row>
    <row r="1300" customFormat="false" ht="15" hidden="false" customHeight="true" outlineLevel="0" collapsed="false">
      <c r="A1300" s="12" t="s">
        <v>2599</v>
      </c>
      <c r="B1300" s="13" t="n">
        <v>2612.5</v>
      </c>
      <c r="C1300" s="13" t="n">
        <v>2500</v>
      </c>
      <c r="D1300" s="12" t="s">
        <v>2600</v>
      </c>
      <c r="E1300" s="12" t="s">
        <v>248</v>
      </c>
      <c r="F1300" s="12" t="s">
        <v>2601</v>
      </c>
      <c r="G1300" s="12" t="s">
        <v>250</v>
      </c>
      <c r="H1300" s="14" t="n">
        <v>46284</v>
      </c>
      <c r="I1300" s="14" t="n">
        <v>46286</v>
      </c>
      <c r="J1300" s="12" t="s">
        <v>254</v>
      </c>
    </row>
    <row r="1301" customFormat="false" ht="15" hidden="false" customHeight="true" outlineLevel="0" collapsed="false">
      <c r="A1301" s="12" t="s">
        <v>2602</v>
      </c>
      <c r="B1301" s="13" t="n">
        <v>253.542</v>
      </c>
      <c r="C1301" s="13" t="n">
        <v>234</v>
      </c>
      <c r="D1301" s="12" t="s">
        <v>1187</v>
      </c>
      <c r="E1301" s="12" t="s">
        <v>30</v>
      </c>
      <c r="F1301" s="12" t="s">
        <v>249</v>
      </c>
      <c r="G1301" s="12" t="s">
        <v>653</v>
      </c>
      <c r="H1301" s="14" t="n">
        <v>46284</v>
      </c>
      <c r="I1301" s="14" t="n">
        <v>46286</v>
      </c>
      <c r="J1301" s="12" t="s">
        <v>254</v>
      </c>
    </row>
    <row r="1302" customFormat="false" ht="15" hidden="false" customHeight="true" outlineLevel="0" collapsed="false">
      <c r="A1302" s="12" t="s">
        <v>2603</v>
      </c>
      <c r="B1302" s="13" t="n">
        <v>27.552</v>
      </c>
      <c r="C1302" s="13" t="n">
        <v>24</v>
      </c>
      <c r="D1302" s="12" t="s">
        <v>2604</v>
      </c>
      <c r="E1302" s="12" t="s">
        <v>30</v>
      </c>
      <c r="F1302" s="12" t="s">
        <v>239</v>
      </c>
      <c r="G1302" s="12" t="s">
        <v>646</v>
      </c>
      <c r="H1302" s="14" t="n">
        <v>46284</v>
      </c>
      <c r="I1302" s="14" t="n">
        <v>46286</v>
      </c>
      <c r="J1302" s="12" t="s">
        <v>254</v>
      </c>
    </row>
    <row r="1303" customFormat="false" ht="15" hidden="false" customHeight="true" outlineLevel="0" collapsed="false">
      <c r="A1303" s="12" t="s">
        <v>2605</v>
      </c>
      <c r="B1303" s="13" t="n">
        <v>225.012</v>
      </c>
      <c r="C1303" s="13" t="n">
        <v>204</v>
      </c>
      <c r="D1303" s="12" t="s">
        <v>726</v>
      </c>
      <c r="E1303" s="12" t="s">
        <v>30</v>
      </c>
      <c r="F1303" s="12" t="s">
        <v>727</v>
      </c>
      <c r="G1303" s="12" t="s">
        <v>653</v>
      </c>
      <c r="H1303" s="14" t="n">
        <v>46284</v>
      </c>
      <c r="I1303" s="14" t="n">
        <v>46286</v>
      </c>
      <c r="J1303" s="12" t="s">
        <v>254</v>
      </c>
    </row>
    <row r="1304" customFormat="false" ht="15" hidden="false" customHeight="true" outlineLevel="0" collapsed="false">
      <c r="A1304" s="12" t="s">
        <v>2606</v>
      </c>
      <c r="B1304" s="13" t="n">
        <v>196.637</v>
      </c>
      <c r="C1304" s="13" t="n">
        <v>186.1</v>
      </c>
      <c r="D1304" s="12" t="s">
        <v>1178</v>
      </c>
      <c r="E1304" s="12" t="s">
        <v>30</v>
      </c>
      <c r="F1304" s="12" t="s">
        <v>1179</v>
      </c>
      <c r="G1304" s="12" t="s">
        <v>653</v>
      </c>
      <c r="H1304" s="14" t="n">
        <v>46284</v>
      </c>
      <c r="I1304" s="14" t="n">
        <v>46286</v>
      </c>
      <c r="J1304" s="12" t="s">
        <v>254</v>
      </c>
    </row>
    <row r="1305" customFormat="false" ht="15" hidden="false" customHeight="true" outlineLevel="0" collapsed="false">
      <c r="A1305" s="12" t="s">
        <v>2607</v>
      </c>
      <c r="B1305" s="13" t="n">
        <v>1235.56</v>
      </c>
      <c r="C1305" s="13" t="n">
        <v>1172</v>
      </c>
      <c r="D1305" s="12" t="s">
        <v>960</v>
      </c>
      <c r="E1305" s="12" t="s">
        <v>30</v>
      </c>
      <c r="F1305" s="12" t="s">
        <v>961</v>
      </c>
      <c r="G1305" s="12" t="s">
        <v>653</v>
      </c>
      <c r="H1305" s="14" t="n">
        <v>46284</v>
      </c>
      <c r="I1305" s="14" t="n">
        <v>46286</v>
      </c>
      <c r="J1305" s="12" t="s">
        <v>254</v>
      </c>
    </row>
    <row r="1306" customFormat="false" ht="15" hidden="false" customHeight="true" outlineLevel="0" collapsed="false">
      <c r="A1306" s="12" t="s">
        <v>2608</v>
      </c>
      <c r="B1306" s="13" t="n">
        <v>2284.151</v>
      </c>
      <c r="C1306" s="13" t="n">
        <v>2211.8</v>
      </c>
      <c r="D1306" s="12" t="s">
        <v>731</v>
      </c>
      <c r="E1306" s="12" t="s">
        <v>30</v>
      </c>
      <c r="F1306" s="12" t="s">
        <v>732</v>
      </c>
      <c r="G1306" s="12" t="s">
        <v>653</v>
      </c>
      <c r="H1306" s="14" t="n">
        <v>46284</v>
      </c>
      <c r="I1306" s="14" t="n">
        <v>46286</v>
      </c>
      <c r="J1306" s="12" t="s">
        <v>254</v>
      </c>
    </row>
    <row r="1307" customFormat="false" ht="15" hidden="false" customHeight="true" outlineLevel="0" collapsed="false">
      <c r="A1307" s="12" t="s">
        <v>2609</v>
      </c>
      <c r="B1307" s="13" t="n">
        <v>211.09</v>
      </c>
      <c r="C1307" s="13" t="n">
        <v>191.9</v>
      </c>
      <c r="D1307" s="12" t="s">
        <v>2120</v>
      </c>
      <c r="E1307" s="12" t="s">
        <v>30</v>
      </c>
      <c r="F1307" s="12" t="s">
        <v>904</v>
      </c>
      <c r="G1307" s="12" t="s">
        <v>240</v>
      </c>
      <c r="H1307" s="14" t="n">
        <v>46285</v>
      </c>
      <c r="I1307" s="14" t="n">
        <v>46285</v>
      </c>
      <c r="J1307" s="12" t="s">
        <v>354</v>
      </c>
    </row>
    <row r="1308" customFormat="false" ht="15" hidden="false" customHeight="true" outlineLevel="0" collapsed="false">
      <c r="A1308" s="12" t="s">
        <v>2610</v>
      </c>
      <c r="B1308" s="13" t="n">
        <v>105.888</v>
      </c>
      <c r="C1308" s="13" t="n">
        <v>96</v>
      </c>
      <c r="D1308" s="12" t="s">
        <v>2120</v>
      </c>
      <c r="E1308" s="12" t="s">
        <v>30</v>
      </c>
      <c r="F1308" s="12" t="s">
        <v>904</v>
      </c>
      <c r="G1308" s="12" t="s">
        <v>240</v>
      </c>
      <c r="H1308" s="14" t="n">
        <v>46285</v>
      </c>
      <c r="I1308" s="14" t="n">
        <v>46285</v>
      </c>
      <c r="J1308" s="12" t="s">
        <v>354</v>
      </c>
    </row>
    <row r="1309" customFormat="false" ht="15" hidden="false" customHeight="true" outlineLevel="0" collapsed="false">
      <c r="A1309" s="12" t="s">
        <v>2611</v>
      </c>
      <c r="B1309" s="13" t="n">
        <v>35.457</v>
      </c>
      <c r="C1309" s="13" t="n">
        <v>32.8</v>
      </c>
      <c r="D1309" s="12" t="s">
        <v>2612</v>
      </c>
      <c r="E1309" s="12" t="s">
        <v>30</v>
      </c>
      <c r="F1309" s="12" t="s">
        <v>243</v>
      </c>
      <c r="G1309" s="12" t="s">
        <v>646</v>
      </c>
      <c r="H1309" s="14" t="n">
        <v>46285</v>
      </c>
      <c r="I1309" s="14" t="n">
        <v>46287</v>
      </c>
      <c r="J1309" s="12" t="s">
        <v>254</v>
      </c>
    </row>
    <row r="1310" customFormat="false" ht="15" hidden="false" customHeight="true" outlineLevel="0" collapsed="false">
      <c r="A1310" s="12" t="s">
        <v>2613</v>
      </c>
      <c r="B1310" s="13" t="n">
        <v>17.728</v>
      </c>
      <c r="C1310" s="13" t="n">
        <v>16.4</v>
      </c>
      <c r="D1310" s="12" t="s">
        <v>2276</v>
      </c>
      <c r="E1310" s="12" t="s">
        <v>30</v>
      </c>
      <c r="F1310" s="12" t="s">
        <v>239</v>
      </c>
      <c r="G1310" s="12" t="s">
        <v>646</v>
      </c>
      <c r="H1310" s="14" t="n">
        <v>46285</v>
      </c>
      <c r="I1310" s="14" t="n">
        <v>46287</v>
      </c>
      <c r="J1310" s="12" t="s">
        <v>254</v>
      </c>
    </row>
    <row r="1311" customFormat="false" ht="15" hidden="false" customHeight="true" outlineLevel="0" collapsed="false">
      <c r="A1311" s="12" t="s">
        <v>2614</v>
      </c>
      <c r="B1311" s="13" t="n">
        <v>88.642</v>
      </c>
      <c r="C1311" s="13" t="n">
        <v>82</v>
      </c>
      <c r="D1311" s="12" t="s">
        <v>2332</v>
      </c>
      <c r="E1311" s="12" t="s">
        <v>30</v>
      </c>
      <c r="F1311" s="12" t="s">
        <v>697</v>
      </c>
      <c r="G1311" s="12" t="s">
        <v>653</v>
      </c>
      <c r="H1311" s="14" t="n">
        <v>46285</v>
      </c>
      <c r="I1311" s="14" t="n">
        <v>46288</v>
      </c>
      <c r="J1311" s="12" t="s">
        <v>254</v>
      </c>
    </row>
    <row r="1312" customFormat="false" ht="15" hidden="false" customHeight="true" outlineLevel="0" collapsed="false">
      <c r="A1312" s="12" t="s">
        <v>2615</v>
      </c>
      <c r="B1312" s="13" t="n">
        <v>99.84</v>
      </c>
      <c r="C1312" s="13" t="n">
        <v>92.92</v>
      </c>
      <c r="D1312" s="12" t="s">
        <v>2616</v>
      </c>
      <c r="E1312" s="12" t="s">
        <v>30</v>
      </c>
      <c r="F1312" s="12" t="s">
        <v>2617</v>
      </c>
      <c r="G1312" s="12" t="s">
        <v>298</v>
      </c>
      <c r="H1312" s="14" t="n">
        <v>46285</v>
      </c>
      <c r="I1312" s="14" t="n">
        <v>46287</v>
      </c>
      <c r="J1312" s="12" t="s">
        <v>33</v>
      </c>
    </row>
    <row r="1313" customFormat="false" ht="15" hidden="false" customHeight="true" outlineLevel="0" collapsed="false">
      <c r="A1313" s="12" t="s">
        <v>2618</v>
      </c>
      <c r="B1313" s="13" t="n">
        <v>155.969</v>
      </c>
      <c r="C1313" s="13" t="n">
        <v>143.32</v>
      </c>
      <c r="D1313" s="12" t="s">
        <v>2619</v>
      </c>
      <c r="E1313" s="12" t="s">
        <v>30</v>
      </c>
      <c r="F1313" s="12" t="s">
        <v>314</v>
      </c>
      <c r="G1313" s="12" t="s">
        <v>298</v>
      </c>
      <c r="H1313" s="14" t="n">
        <v>46285</v>
      </c>
      <c r="I1313" s="14" t="n">
        <v>46287</v>
      </c>
      <c r="J1313" s="12" t="s">
        <v>33</v>
      </c>
    </row>
    <row r="1314" customFormat="false" ht="15" hidden="false" customHeight="true" outlineLevel="0" collapsed="false">
      <c r="A1314" s="12" t="s">
        <v>2620</v>
      </c>
      <c r="B1314" s="13" t="n">
        <v>29.625</v>
      </c>
      <c r="C1314" s="13" t="n">
        <v>25</v>
      </c>
      <c r="D1314" s="12" t="s">
        <v>2126</v>
      </c>
      <c r="E1314" s="12" t="s">
        <v>30</v>
      </c>
      <c r="F1314" s="12" t="s">
        <v>413</v>
      </c>
      <c r="G1314" s="12" t="s">
        <v>646</v>
      </c>
      <c r="H1314" s="14" t="n">
        <v>46285</v>
      </c>
      <c r="I1314" s="14" t="n">
        <v>46287</v>
      </c>
      <c r="J1314" s="12" t="s">
        <v>254</v>
      </c>
    </row>
    <row r="1315" customFormat="false" ht="15" hidden="false" customHeight="true" outlineLevel="0" collapsed="false">
      <c r="A1315" s="12" t="s">
        <v>2621</v>
      </c>
      <c r="B1315" s="13" t="n">
        <v>17.728</v>
      </c>
      <c r="C1315" s="13" t="n">
        <v>16.4</v>
      </c>
      <c r="D1315" s="12" t="s">
        <v>1315</v>
      </c>
      <c r="E1315" s="12" t="s">
        <v>30</v>
      </c>
      <c r="F1315" s="12" t="s">
        <v>1316</v>
      </c>
      <c r="G1315" s="12" t="s">
        <v>298</v>
      </c>
      <c r="H1315" s="14" t="n">
        <v>46285</v>
      </c>
      <c r="I1315" s="14" t="n">
        <v>46287</v>
      </c>
      <c r="J1315" s="12" t="s">
        <v>33</v>
      </c>
    </row>
    <row r="1316" customFormat="false" ht="15" hidden="false" customHeight="true" outlineLevel="0" collapsed="false">
      <c r="A1316" s="12" t="s">
        <v>2622</v>
      </c>
      <c r="B1316" s="13" t="n">
        <v>393.052</v>
      </c>
      <c r="C1316" s="13" t="n">
        <v>363.6</v>
      </c>
      <c r="D1316" s="12" t="s">
        <v>313</v>
      </c>
      <c r="E1316" s="12" t="s">
        <v>30</v>
      </c>
      <c r="F1316" s="12" t="s">
        <v>314</v>
      </c>
      <c r="G1316" s="12" t="s">
        <v>298</v>
      </c>
      <c r="H1316" s="14" t="n">
        <v>46285</v>
      </c>
      <c r="I1316" s="14" t="n">
        <v>46287</v>
      </c>
      <c r="J1316" s="12" t="s">
        <v>254</v>
      </c>
    </row>
    <row r="1317" customFormat="false" ht="15" hidden="false" customHeight="true" outlineLevel="0" collapsed="false">
      <c r="A1317" s="12" t="s">
        <v>2623</v>
      </c>
      <c r="B1317" s="13" t="n">
        <v>55.562</v>
      </c>
      <c r="C1317" s="13" t="n">
        <v>52.52</v>
      </c>
      <c r="D1317" s="12" t="s">
        <v>2624</v>
      </c>
      <c r="E1317" s="12" t="s">
        <v>30</v>
      </c>
      <c r="F1317" s="12" t="s">
        <v>1216</v>
      </c>
      <c r="G1317" s="12" t="s">
        <v>298</v>
      </c>
      <c r="H1317" s="14" t="n">
        <v>46285</v>
      </c>
      <c r="I1317" s="14" t="n">
        <v>46287</v>
      </c>
      <c r="J1317" s="12" t="s">
        <v>33</v>
      </c>
    </row>
    <row r="1318" customFormat="false" ht="15" hidden="false" customHeight="true" outlineLevel="0" collapsed="false">
      <c r="A1318" s="12" t="s">
        <v>2625</v>
      </c>
      <c r="B1318" s="13" t="n">
        <v>59.25</v>
      </c>
      <c r="C1318" s="13" t="n">
        <v>50</v>
      </c>
      <c r="D1318" s="12" t="s">
        <v>313</v>
      </c>
      <c r="E1318" s="12" t="s">
        <v>30</v>
      </c>
      <c r="F1318" s="12" t="s">
        <v>314</v>
      </c>
      <c r="G1318" s="12" t="s">
        <v>298</v>
      </c>
      <c r="H1318" s="14" t="n">
        <v>46285</v>
      </c>
      <c r="I1318" s="14" t="n">
        <v>46287</v>
      </c>
      <c r="J1318" s="12" t="s">
        <v>33</v>
      </c>
    </row>
    <row r="1319" customFormat="false" ht="15" hidden="false" customHeight="true" outlineLevel="0" collapsed="false">
      <c r="A1319" s="12" t="s">
        <v>2626</v>
      </c>
      <c r="B1319" s="13" t="n">
        <v>28.343</v>
      </c>
      <c r="C1319" s="13" t="n">
        <v>26.5</v>
      </c>
      <c r="D1319" s="12" t="s">
        <v>1308</v>
      </c>
      <c r="E1319" s="12" t="s">
        <v>30</v>
      </c>
      <c r="F1319" s="12" t="s">
        <v>1309</v>
      </c>
      <c r="G1319" s="12" t="s">
        <v>298</v>
      </c>
      <c r="H1319" s="14" t="n">
        <v>46285</v>
      </c>
      <c r="I1319" s="14" t="n">
        <v>46287</v>
      </c>
      <c r="J1319" s="12" t="s">
        <v>33</v>
      </c>
    </row>
    <row r="1320" customFormat="false" ht="15" hidden="false" customHeight="true" outlineLevel="0" collapsed="false">
      <c r="A1320" s="12" t="s">
        <v>2627</v>
      </c>
      <c r="B1320" s="13" t="n">
        <v>44.947</v>
      </c>
      <c r="C1320" s="13" t="n">
        <v>42.42</v>
      </c>
      <c r="D1320" s="12" t="s">
        <v>2628</v>
      </c>
      <c r="E1320" s="12" t="s">
        <v>30</v>
      </c>
      <c r="F1320" s="12" t="s">
        <v>2629</v>
      </c>
      <c r="G1320" s="12" t="s">
        <v>298</v>
      </c>
      <c r="H1320" s="14" t="n">
        <v>46285</v>
      </c>
      <c r="I1320" s="14" t="n">
        <v>46287</v>
      </c>
      <c r="J1320" s="12" t="s">
        <v>33</v>
      </c>
    </row>
    <row r="1321" customFormat="false" ht="15" hidden="false" customHeight="true" outlineLevel="0" collapsed="false">
      <c r="A1321" s="12" t="s">
        <v>2630</v>
      </c>
      <c r="B1321" s="13" t="n">
        <v>47.433</v>
      </c>
      <c r="C1321" s="13" t="n">
        <v>44.44</v>
      </c>
      <c r="D1321" s="12" t="s">
        <v>2631</v>
      </c>
      <c r="E1321" s="12" t="s">
        <v>30</v>
      </c>
      <c r="F1321" s="12" t="s">
        <v>2632</v>
      </c>
      <c r="G1321" s="12" t="s">
        <v>298</v>
      </c>
      <c r="H1321" s="14" t="n">
        <v>46285</v>
      </c>
      <c r="I1321" s="14" t="n">
        <v>46287</v>
      </c>
      <c r="J1321" s="12" t="s">
        <v>33</v>
      </c>
    </row>
    <row r="1322" customFormat="false" ht="15" hidden="false" customHeight="true" outlineLevel="0" collapsed="false">
      <c r="A1322" s="12" t="s">
        <v>2633</v>
      </c>
      <c r="B1322" s="13" t="n">
        <v>104.813</v>
      </c>
      <c r="C1322" s="13" t="n">
        <v>96.96</v>
      </c>
      <c r="D1322" s="12" t="s">
        <v>2634</v>
      </c>
      <c r="E1322" s="12" t="s">
        <v>30</v>
      </c>
      <c r="F1322" s="12" t="s">
        <v>2635</v>
      </c>
      <c r="G1322" s="12" t="s">
        <v>298</v>
      </c>
      <c r="H1322" s="14" t="n">
        <v>46285</v>
      </c>
      <c r="I1322" s="14" t="n">
        <v>46287</v>
      </c>
      <c r="J1322" s="12" t="s">
        <v>33</v>
      </c>
    </row>
    <row r="1323" customFormat="false" ht="15" hidden="false" customHeight="true" outlineLevel="0" collapsed="false">
      <c r="A1323" s="12" t="s">
        <v>2636</v>
      </c>
      <c r="B1323" s="13" t="n">
        <v>84.921</v>
      </c>
      <c r="C1323" s="13" t="n">
        <v>80.8</v>
      </c>
      <c r="D1323" s="12" t="s">
        <v>2637</v>
      </c>
      <c r="E1323" s="12" t="s">
        <v>30</v>
      </c>
      <c r="F1323" s="12" t="s">
        <v>2638</v>
      </c>
      <c r="G1323" s="12" t="s">
        <v>298</v>
      </c>
      <c r="H1323" s="14" t="n">
        <v>46285</v>
      </c>
      <c r="I1323" s="14" t="n">
        <v>46287</v>
      </c>
      <c r="J1323" s="12" t="s">
        <v>33</v>
      </c>
    </row>
    <row r="1324" customFormat="false" ht="15" hidden="false" customHeight="true" outlineLevel="0" collapsed="false">
      <c r="A1324" s="12" t="s">
        <v>2639</v>
      </c>
      <c r="B1324" s="13" t="n">
        <v>25.095</v>
      </c>
      <c r="C1324" s="13" t="n">
        <v>24</v>
      </c>
      <c r="D1324" s="12" t="s">
        <v>2640</v>
      </c>
      <c r="E1324" s="12" t="s">
        <v>30</v>
      </c>
      <c r="F1324" s="12" t="s">
        <v>314</v>
      </c>
      <c r="G1324" s="12" t="s">
        <v>298</v>
      </c>
      <c r="H1324" s="14" t="n">
        <v>46285</v>
      </c>
      <c r="I1324" s="14" t="n">
        <v>46287</v>
      </c>
      <c r="J1324" s="12" t="s">
        <v>254</v>
      </c>
    </row>
    <row r="1325" customFormat="false" ht="15" hidden="false" customHeight="true" outlineLevel="0" collapsed="false">
      <c r="A1325" s="12" t="s">
        <v>2641</v>
      </c>
      <c r="B1325" s="13" t="n">
        <v>53.076</v>
      </c>
      <c r="C1325" s="13" t="n">
        <v>50.5</v>
      </c>
      <c r="D1325" s="12" t="s">
        <v>2642</v>
      </c>
      <c r="E1325" s="12" t="s">
        <v>30</v>
      </c>
      <c r="F1325" s="12" t="s">
        <v>314</v>
      </c>
      <c r="G1325" s="12" t="s">
        <v>298</v>
      </c>
      <c r="H1325" s="14" t="n">
        <v>46285</v>
      </c>
      <c r="I1325" s="14" t="n">
        <v>46287</v>
      </c>
      <c r="J1325" s="12" t="s">
        <v>254</v>
      </c>
    </row>
    <row r="1326" customFormat="false" ht="15" hidden="false" customHeight="true" outlineLevel="0" collapsed="false">
      <c r="A1326" s="12" t="s">
        <v>2643</v>
      </c>
      <c r="B1326" s="13" t="n">
        <v>42.46</v>
      </c>
      <c r="C1326" s="13" t="n">
        <v>40.4</v>
      </c>
      <c r="D1326" s="12" t="s">
        <v>313</v>
      </c>
      <c r="E1326" s="12" t="s">
        <v>30</v>
      </c>
      <c r="F1326" s="12" t="s">
        <v>314</v>
      </c>
      <c r="G1326" s="12" t="s">
        <v>298</v>
      </c>
      <c r="H1326" s="14" t="n">
        <v>46285</v>
      </c>
      <c r="I1326" s="14" t="n">
        <v>46287</v>
      </c>
      <c r="J1326" s="12" t="s">
        <v>254</v>
      </c>
    </row>
    <row r="1327" customFormat="false" ht="15" hidden="false" customHeight="true" outlineLevel="0" collapsed="false">
      <c r="A1327" s="12" t="s">
        <v>2644</v>
      </c>
      <c r="B1327" s="13" t="n">
        <v>628.929</v>
      </c>
      <c r="C1327" s="13" t="n">
        <v>603</v>
      </c>
      <c r="D1327" s="12" t="s">
        <v>734</v>
      </c>
      <c r="E1327" s="12" t="s">
        <v>30</v>
      </c>
      <c r="F1327" s="12" t="s">
        <v>239</v>
      </c>
      <c r="G1327" s="12" t="s">
        <v>646</v>
      </c>
      <c r="H1327" s="14" t="n">
        <v>46285</v>
      </c>
      <c r="I1327" s="14" t="n">
        <v>46287</v>
      </c>
      <c r="J1327" s="12" t="s">
        <v>254</v>
      </c>
    </row>
    <row r="1328" customFormat="false" ht="15" hidden="false" customHeight="true" outlineLevel="0" collapsed="false">
      <c r="A1328" s="12" t="s">
        <v>2645</v>
      </c>
      <c r="B1328" s="13" t="n">
        <v>22.561</v>
      </c>
      <c r="C1328" s="13" t="n">
        <v>20.52</v>
      </c>
      <c r="D1328" s="12" t="s">
        <v>2646</v>
      </c>
      <c r="E1328" s="12" t="s">
        <v>30</v>
      </c>
      <c r="F1328" s="12" t="s">
        <v>239</v>
      </c>
      <c r="G1328" s="12" t="s">
        <v>646</v>
      </c>
      <c r="H1328" s="14" t="n">
        <v>46285</v>
      </c>
      <c r="I1328" s="14" t="n">
        <v>46287</v>
      </c>
      <c r="J1328" s="12" t="s">
        <v>254</v>
      </c>
    </row>
    <row r="1329" customFormat="false" ht="15" hidden="false" customHeight="true" outlineLevel="0" collapsed="false">
      <c r="A1329" s="12" t="s">
        <v>2647</v>
      </c>
      <c r="B1329" s="13" t="n">
        <v>628.929</v>
      </c>
      <c r="C1329" s="13" t="n">
        <v>603</v>
      </c>
      <c r="D1329" s="12" t="s">
        <v>734</v>
      </c>
      <c r="E1329" s="12" t="s">
        <v>30</v>
      </c>
      <c r="F1329" s="12" t="s">
        <v>239</v>
      </c>
      <c r="G1329" s="12" t="s">
        <v>646</v>
      </c>
      <c r="H1329" s="14" t="n">
        <v>46285</v>
      </c>
      <c r="I1329" s="14" t="n">
        <v>46287</v>
      </c>
      <c r="J1329" s="12" t="s">
        <v>254</v>
      </c>
    </row>
    <row r="1330" customFormat="false" ht="15" hidden="false" customHeight="true" outlineLevel="0" collapsed="false">
      <c r="A1330" s="12" t="s">
        <v>2648</v>
      </c>
      <c r="B1330" s="13" t="n">
        <v>859.536</v>
      </c>
      <c r="C1330" s="13" t="n">
        <v>824.1</v>
      </c>
      <c r="D1330" s="12" t="s">
        <v>734</v>
      </c>
      <c r="E1330" s="12" t="s">
        <v>30</v>
      </c>
      <c r="F1330" s="12" t="s">
        <v>239</v>
      </c>
      <c r="G1330" s="12" t="s">
        <v>646</v>
      </c>
      <c r="H1330" s="14" t="n">
        <v>46285</v>
      </c>
      <c r="I1330" s="14" t="n">
        <v>46287</v>
      </c>
      <c r="J1330" s="12" t="s">
        <v>254</v>
      </c>
    </row>
    <row r="1331" customFormat="false" ht="15" hidden="false" customHeight="true" outlineLevel="0" collapsed="false">
      <c r="A1331" s="12" t="s">
        <v>2649</v>
      </c>
      <c r="B1331" s="13" t="n">
        <v>222.857</v>
      </c>
      <c r="C1331" s="13" t="n">
        <v>203</v>
      </c>
      <c r="D1331" s="12" t="s">
        <v>1971</v>
      </c>
      <c r="E1331" s="12" t="s">
        <v>30</v>
      </c>
      <c r="F1331" s="12" t="s">
        <v>1481</v>
      </c>
      <c r="G1331" s="12" t="s">
        <v>45</v>
      </c>
      <c r="H1331" s="14" t="n">
        <v>46286</v>
      </c>
      <c r="I1331" s="14" t="n">
        <v>46281</v>
      </c>
      <c r="J1331" s="12" t="s">
        <v>33</v>
      </c>
    </row>
    <row r="1332" customFormat="false" ht="15" hidden="false" customHeight="true" outlineLevel="0" collapsed="false">
      <c r="A1332" s="12" t="s">
        <v>2650</v>
      </c>
      <c r="B1332" s="13" t="n">
        <v>52.407</v>
      </c>
      <c r="C1332" s="13" t="n">
        <v>48.48</v>
      </c>
      <c r="D1332" s="12" t="s">
        <v>1090</v>
      </c>
      <c r="E1332" s="12" t="s">
        <v>30</v>
      </c>
      <c r="F1332" s="12" t="s">
        <v>243</v>
      </c>
      <c r="G1332" s="12" t="s">
        <v>240</v>
      </c>
      <c r="H1332" s="14" t="n">
        <v>46286</v>
      </c>
      <c r="I1332" s="14" t="n">
        <v>46286</v>
      </c>
      <c r="J1332" s="12" t="s">
        <v>254</v>
      </c>
    </row>
    <row r="1333" customFormat="false" ht="15" hidden="false" customHeight="true" outlineLevel="0" collapsed="false">
      <c r="A1333" s="12" t="s">
        <v>2651</v>
      </c>
      <c r="B1333" s="13" t="n">
        <v>53.185</v>
      </c>
      <c r="C1333" s="13" t="n">
        <v>49.2</v>
      </c>
      <c r="D1333" s="12" t="s">
        <v>2278</v>
      </c>
      <c r="E1333" s="12" t="s">
        <v>30</v>
      </c>
      <c r="F1333" s="12" t="s">
        <v>2279</v>
      </c>
      <c r="G1333" s="12" t="s">
        <v>653</v>
      </c>
      <c r="H1333" s="14" t="n">
        <v>46286</v>
      </c>
      <c r="I1333" s="14" t="n">
        <v>46288</v>
      </c>
      <c r="J1333" s="12" t="s">
        <v>254</v>
      </c>
    </row>
    <row r="1334" customFormat="false" ht="15" hidden="false" customHeight="true" outlineLevel="0" collapsed="false">
      <c r="A1334" s="12" t="s">
        <v>2652</v>
      </c>
      <c r="B1334" s="13" t="n">
        <v>25.95</v>
      </c>
      <c r="C1334" s="13" t="n">
        <v>25</v>
      </c>
      <c r="D1334" s="12" t="s">
        <v>1791</v>
      </c>
      <c r="E1334" s="12" t="s">
        <v>30</v>
      </c>
      <c r="F1334" s="12" t="s">
        <v>239</v>
      </c>
      <c r="G1334" s="12" t="s">
        <v>240</v>
      </c>
      <c r="H1334" s="14" t="n">
        <v>46286</v>
      </c>
      <c r="I1334" s="14" t="n">
        <v>46286</v>
      </c>
      <c r="J1334" s="12" t="s">
        <v>354</v>
      </c>
    </row>
    <row r="1335" customFormat="false" ht="15" hidden="false" customHeight="true" outlineLevel="0" collapsed="false">
      <c r="A1335" s="12" t="s">
        <v>2653</v>
      </c>
      <c r="B1335" s="13" t="n">
        <v>179.847</v>
      </c>
      <c r="C1335" s="13" t="n">
        <v>168.48</v>
      </c>
      <c r="D1335" s="12" t="s">
        <v>2654</v>
      </c>
      <c r="E1335" s="12" t="s">
        <v>30</v>
      </c>
      <c r="F1335" s="12" t="s">
        <v>239</v>
      </c>
      <c r="G1335" s="12" t="s">
        <v>240</v>
      </c>
      <c r="H1335" s="14" t="n">
        <v>46286</v>
      </c>
      <c r="I1335" s="14" t="n">
        <v>46286</v>
      </c>
      <c r="J1335" s="12" t="s">
        <v>254</v>
      </c>
    </row>
    <row r="1336" customFormat="false" ht="15" hidden="false" customHeight="true" outlineLevel="0" collapsed="false">
      <c r="A1336" s="12" t="s">
        <v>2655</v>
      </c>
      <c r="B1336" s="13" t="n">
        <v>129.907</v>
      </c>
      <c r="C1336" s="13" t="n">
        <v>126</v>
      </c>
      <c r="D1336" s="12" t="s">
        <v>267</v>
      </c>
      <c r="E1336" s="12" t="s">
        <v>30</v>
      </c>
      <c r="F1336" s="12" t="s">
        <v>268</v>
      </c>
      <c r="G1336" s="12" t="s">
        <v>240</v>
      </c>
      <c r="H1336" s="14" t="n">
        <v>46286</v>
      </c>
      <c r="I1336" s="14" t="n">
        <v>46286</v>
      </c>
      <c r="J1336" s="12" t="s">
        <v>254</v>
      </c>
    </row>
    <row r="1337" customFormat="false" ht="15" hidden="false" customHeight="true" outlineLevel="0" collapsed="false">
      <c r="A1337" s="12" t="s">
        <v>2656</v>
      </c>
      <c r="B1337" s="13" t="n">
        <v>54.128</v>
      </c>
      <c r="C1337" s="13" t="n">
        <v>52.5</v>
      </c>
      <c r="D1337" s="12" t="s">
        <v>267</v>
      </c>
      <c r="E1337" s="12" t="s">
        <v>30</v>
      </c>
      <c r="F1337" s="12" t="s">
        <v>268</v>
      </c>
      <c r="G1337" s="12" t="s">
        <v>240</v>
      </c>
      <c r="H1337" s="14" t="n">
        <v>46286</v>
      </c>
      <c r="I1337" s="14" t="n">
        <v>46286</v>
      </c>
      <c r="J1337" s="12" t="s">
        <v>254</v>
      </c>
    </row>
    <row r="1338" customFormat="false" ht="15" hidden="false" customHeight="true" outlineLevel="0" collapsed="false">
      <c r="A1338" s="12" t="s">
        <v>2657</v>
      </c>
      <c r="B1338" s="13" t="n">
        <v>26.4</v>
      </c>
      <c r="C1338" s="13" t="n">
        <v>24</v>
      </c>
      <c r="D1338" s="12" t="s">
        <v>2658</v>
      </c>
      <c r="E1338" s="12" t="s">
        <v>30</v>
      </c>
      <c r="F1338" s="12" t="s">
        <v>243</v>
      </c>
      <c r="G1338" s="12" t="s">
        <v>240</v>
      </c>
      <c r="H1338" s="14" t="n">
        <v>46286</v>
      </c>
      <c r="I1338" s="14" t="n">
        <v>46286</v>
      </c>
      <c r="J1338" s="12" t="s">
        <v>254</v>
      </c>
    </row>
    <row r="1339" customFormat="false" ht="15" hidden="false" customHeight="true" outlineLevel="0" collapsed="false">
      <c r="A1339" s="12" t="s">
        <v>2659</v>
      </c>
      <c r="B1339" s="13" t="n">
        <v>13.918</v>
      </c>
      <c r="C1339" s="13" t="n">
        <v>12.4</v>
      </c>
      <c r="D1339" s="12" t="s">
        <v>2660</v>
      </c>
      <c r="E1339" s="12" t="s">
        <v>30</v>
      </c>
      <c r="F1339" s="12" t="s">
        <v>239</v>
      </c>
      <c r="G1339" s="12" t="s">
        <v>240</v>
      </c>
      <c r="H1339" s="14" t="n">
        <v>46286</v>
      </c>
      <c r="I1339" s="14" t="n">
        <v>46286</v>
      </c>
      <c r="J1339" s="12" t="s">
        <v>254</v>
      </c>
    </row>
    <row r="1340" customFormat="false" ht="15" hidden="false" customHeight="true" outlineLevel="0" collapsed="false">
      <c r="A1340" s="12" t="s">
        <v>2661</v>
      </c>
      <c r="B1340" s="13" t="n">
        <v>46.739</v>
      </c>
      <c r="C1340" s="13" t="n">
        <v>45.1</v>
      </c>
      <c r="D1340" s="12" t="s">
        <v>2662</v>
      </c>
      <c r="E1340" s="12" t="s">
        <v>30</v>
      </c>
      <c r="F1340" s="12" t="s">
        <v>239</v>
      </c>
      <c r="G1340" s="12" t="s">
        <v>240</v>
      </c>
      <c r="H1340" s="14" t="n">
        <v>46286</v>
      </c>
      <c r="I1340" s="14" t="n">
        <v>46286</v>
      </c>
      <c r="J1340" s="12" t="s">
        <v>254</v>
      </c>
    </row>
    <row r="1341" customFormat="false" ht="15" hidden="false" customHeight="true" outlineLevel="0" collapsed="false">
      <c r="A1341" s="12" t="s">
        <v>2663</v>
      </c>
      <c r="B1341" s="13" t="n">
        <v>54.7</v>
      </c>
      <c r="C1341" s="13" t="n">
        <v>50</v>
      </c>
      <c r="D1341" s="12" t="s">
        <v>2664</v>
      </c>
      <c r="E1341" s="12" t="s">
        <v>30</v>
      </c>
      <c r="F1341" s="12" t="s">
        <v>271</v>
      </c>
      <c r="G1341" s="12" t="s">
        <v>240</v>
      </c>
      <c r="H1341" s="14" t="n">
        <v>46286</v>
      </c>
      <c r="I1341" s="14" t="n">
        <v>46286</v>
      </c>
      <c r="J1341" s="12" t="s">
        <v>254</v>
      </c>
    </row>
    <row r="1342" customFormat="false" ht="15" hidden="false" customHeight="true" outlineLevel="0" collapsed="false">
      <c r="A1342" s="12" t="s">
        <v>2665</v>
      </c>
      <c r="B1342" s="13" t="n">
        <v>168.431</v>
      </c>
      <c r="C1342" s="13" t="n">
        <v>156.8</v>
      </c>
      <c r="D1342" s="12" t="s">
        <v>2666</v>
      </c>
      <c r="E1342" s="12" t="s">
        <v>30</v>
      </c>
      <c r="F1342" s="12" t="s">
        <v>2667</v>
      </c>
      <c r="G1342" s="12" t="s">
        <v>37</v>
      </c>
      <c r="H1342" s="14" t="n">
        <v>46286</v>
      </c>
      <c r="I1342" s="14" t="n">
        <v>46284</v>
      </c>
      <c r="J1342" s="12" t="s">
        <v>33</v>
      </c>
    </row>
    <row r="1343" customFormat="false" ht="15" hidden="false" customHeight="true" outlineLevel="0" collapsed="false">
      <c r="A1343" s="12" t="s">
        <v>2668</v>
      </c>
      <c r="B1343" s="13" t="n">
        <v>104.822</v>
      </c>
      <c r="C1343" s="13" t="n">
        <v>100.5</v>
      </c>
      <c r="D1343" s="12" t="s">
        <v>1703</v>
      </c>
      <c r="E1343" s="12" t="s">
        <v>30</v>
      </c>
      <c r="F1343" s="12" t="s">
        <v>40</v>
      </c>
      <c r="G1343" s="12" t="s">
        <v>41</v>
      </c>
      <c r="H1343" s="14" t="n">
        <v>46286</v>
      </c>
      <c r="I1343" s="14" t="n">
        <v>46284</v>
      </c>
      <c r="J1343" s="12" t="s">
        <v>33</v>
      </c>
    </row>
    <row r="1344" customFormat="false" ht="15" hidden="false" customHeight="true" outlineLevel="0" collapsed="false">
      <c r="A1344" s="12" t="s">
        <v>2669</v>
      </c>
      <c r="B1344" s="13" t="n">
        <v>1122.069</v>
      </c>
      <c r="C1344" s="13" t="n">
        <v>1062.8</v>
      </c>
      <c r="D1344" s="12" t="s">
        <v>2670</v>
      </c>
      <c r="E1344" s="12" t="s">
        <v>30</v>
      </c>
      <c r="F1344" s="12" t="s">
        <v>2007</v>
      </c>
      <c r="G1344" s="12" t="s">
        <v>45</v>
      </c>
      <c r="H1344" s="14" t="n">
        <v>46286</v>
      </c>
      <c r="I1344" s="14" t="n">
        <v>46286</v>
      </c>
      <c r="J1344" s="12" t="s">
        <v>33</v>
      </c>
    </row>
    <row r="1345" customFormat="false" ht="15" hidden="false" customHeight="true" outlineLevel="0" collapsed="false">
      <c r="A1345" s="12" t="s">
        <v>2671</v>
      </c>
      <c r="B1345" s="13" t="n">
        <v>461.123</v>
      </c>
      <c r="C1345" s="13" t="n">
        <v>434.08</v>
      </c>
      <c r="D1345" s="12" t="s">
        <v>1029</v>
      </c>
      <c r="E1345" s="12" t="s">
        <v>30</v>
      </c>
      <c r="F1345" s="12" t="s">
        <v>465</v>
      </c>
      <c r="G1345" s="12" t="s">
        <v>37</v>
      </c>
      <c r="H1345" s="14" t="n">
        <v>46286</v>
      </c>
      <c r="I1345" s="14" t="n">
        <v>46284</v>
      </c>
      <c r="J1345" s="12" t="s">
        <v>33</v>
      </c>
    </row>
    <row r="1346" customFormat="false" ht="15" hidden="false" customHeight="true" outlineLevel="0" collapsed="false">
      <c r="A1346" s="12" t="s">
        <v>2672</v>
      </c>
      <c r="B1346" s="13" t="n">
        <v>587.936</v>
      </c>
      <c r="C1346" s="13" t="n">
        <v>545.42</v>
      </c>
      <c r="D1346" s="12" t="s">
        <v>2673</v>
      </c>
      <c r="E1346" s="12" t="s">
        <v>30</v>
      </c>
      <c r="F1346" s="12" t="s">
        <v>98</v>
      </c>
      <c r="G1346" s="12" t="s">
        <v>37</v>
      </c>
      <c r="H1346" s="14" t="n">
        <v>46286</v>
      </c>
      <c r="I1346" s="14" t="n">
        <v>46284</v>
      </c>
      <c r="J1346" s="12" t="s">
        <v>33</v>
      </c>
    </row>
    <row r="1347" customFormat="false" ht="15" hidden="false" customHeight="true" outlineLevel="0" collapsed="false">
      <c r="A1347" s="12" t="s">
        <v>2674</v>
      </c>
      <c r="B1347" s="13" t="n">
        <v>65.508</v>
      </c>
      <c r="C1347" s="13" t="n">
        <v>60.6</v>
      </c>
      <c r="D1347" s="12" t="s">
        <v>2675</v>
      </c>
      <c r="E1347" s="12" t="s">
        <v>30</v>
      </c>
      <c r="F1347" s="12" t="s">
        <v>465</v>
      </c>
      <c r="G1347" s="12" t="s">
        <v>37</v>
      </c>
      <c r="H1347" s="14" t="n">
        <v>46286</v>
      </c>
      <c r="I1347" s="14" t="n">
        <v>46284</v>
      </c>
      <c r="J1347" s="12" t="s">
        <v>33</v>
      </c>
    </row>
    <row r="1348" customFormat="false" ht="15" hidden="false" customHeight="true" outlineLevel="0" collapsed="false">
      <c r="A1348" s="12" t="s">
        <v>2676</v>
      </c>
      <c r="B1348" s="13" t="n">
        <v>163.35</v>
      </c>
      <c r="C1348" s="13" t="n">
        <v>150.52</v>
      </c>
      <c r="D1348" s="12" t="s">
        <v>2677</v>
      </c>
      <c r="E1348" s="12" t="s">
        <v>30</v>
      </c>
      <c r="F1348" s="12" t="s">
        <v>92</v>
      </c>
      <c r="G1348" s="12" t="s">
        <v>45</v>
      </c>
      <c r="H1348" s="14" t="n">
        <v>46286</v>
      </c>
      <c r="I1348" s="14" t="n">
        <v>46286</v>
      </c>
      <c r="J1348" s="12" t="s">
        <v>33</v>
      </c>
    </row>
    <row r="1349" customFormat="false" ht="15" hidden="false" customHeight="true" outlineLevel="0" collapsed="false">
      <c r="A1349" s="12" t="s">
        <v>2678</v>
      </c>
      <c r="B1349" s="13" t="n">
        <v>235.831</v>
      </c>
      <c r="C1349" s="13" t="n">
        <v>218.16</v>
      </c>
      <c r="D1349" s="12" t="s">
        <v>2679</v>
      </c>
      <c r="E1349" s="12" t="s">
        <v>30</v>
      </c>
      <c r="F1349" s="12" t="s">
        <v>538</v>
      </c>
      <c r="G1349" s="12" t="s">
        <v>45</v>
      </c>
      <c r="H1349" s="14" t="n">
        <v>46286</v>
      </c>
      <c r="I1349" s="14" t="n">
        <v>46286</v>
      </c>
      <c r="J1349" s="12" t="s">
        <v>33</v>
      </c>
    </row>
    <row r="1350" customFormat="false" ht="15" hidden="false" customHeight="true" outlineLevel="0" collapsed="false">
      <c r="A1350" s="12" t="s">
        <v>2680</v>
      </c>
      <c r="B1350" s="13" t="n">
        <v>59.33</v>
      </c>
      <c r="C1350" s="13" t="n">
        <v>53.5</v>
      </c>
      <c r="D1350" s="12" t="s">
        <v>2681</v>
      </c>
      <c r="E1350" s="12" t="s">
        <v>30</v>
      </c>
      <c r="F1350" s="12" t="s">
        <v>1912</v>
      </c>
      <c r="G1350" s="12" t="s">
        <v>37</v>
      </c>
      <c r="H1350" s="14" t="n">
        <v>46286</v>
      </c>
      <c r="I1350" s="14" t="n">
        <v>46284</v>
      </c>
      <c r="J1350" s="12" t="s">
        <v>33</v>
      </c>
    </row>
    <row r="1351" customFormat="false" ht="15" hidden="false" customHeight="true" outlineLevel="0" collapsed="false">
      <c r="A1351" s="12" t="s">
        <v>2682</v>
      </c>
      <c r="B1351" s="13" t="n">
        <v>137.327</v>
      </c>
      <c r="C1351" s="13" t="n">
        <v>129.28</v>
      </c>
      <c r="D1351" s="12" t="s">
        <v>2683</v>
      </c>
      <c r="E1351" s="12" t="s">
        <v>30</v>
      </c>
      <c r="F1351" s="12" t="s">
        <v>81</v>
      </c>
      <c r="G1351" s="12" t="s">
        <v>41</v>
      </c>
      <c r="H1351" s="14" t="n">
        <v>46286</v>
      </c>
      <c r="I1351" s="14" t="n">
        <v>46284</v>
      </c>
      <c r="J1351" s="12" t="s">
        <v>33</v>
      </c>
    </row>
    <row r="1352" customFormat="false" ht="15" hidden="false" customHeight="true" outlineLevel="0" collapsed="false">
      <c r="A1352" s="12" t="s">
        <v>2684</v>
      </c>
      <c r="B1352" s="13" t="n">
        <v>75.01</v>
      </c>
      <c r="C1352" s="13" t="n">
        <v>70.4</v>
      </c>
      <c r="D1352" s="12" t="s">
        <v>2685</v>
      </c>
      <c r="E1352" s="12" t="s">
        <v>30</v>
      </c>
      <c r="F1352" s="12" t="s">
        <v>86</v>
      </c>
      <c r="G1352" s="12" t="s">
        <v>37</v>
      </c>
      <c r="H1352" s="14" t="n">
        <v>46286</v>
      </c>
      <c r="I1352" s="14" t="n">
        <v>46284</v>
      </c>
      <c r="J1352" s="12" t="s">
        <v>33</v>
      </c>
    </row>
    <row r="1353" customFormat="false" ht="15" hidden="false" customHeight="true" outlineLevel="0" collapsed="false">
      <c r="A1353" s="12" t="s">
        <v>2686</v>
      </c>
      <c r="B1353" s="13" t="n">
        <v>154.151</v>
      </c>
      <c r="C1353" s="13" t="n">
        <v>142.6</v>
      </c>
      <c r="D1353" s="12" t="s">
        <v>464</v>
      </c>
      <c r="E1353" s="12" t="s">
        <v>30</v>
      </c>
      <c r="F1353" s="12" t="s">
        <v>465</v>
      </c>
      <c r="G1353" s="12" t="s">
        <v>37</v>
      </c>
      <c r="H1353" s="14" t="n">
        <v>46286</v>
      </c>
      <c r="I1353" s="14" t="n">
        <v>46284</v>
      </c>
      <c r="J1353" s="12" t="s">
        <v>33</v>
      </c>
    </row>
    <row r="1354" customFormat="false" ht="15" hidden="false" customHeight="true" outlineLevel="0" collapsed="false">
      <c r="A1354" s="12" t="s">
        <v>2687</v>
      </c>
      <c r="B1354" s="13" t="n">
        <v>88.381</v>
      </c>
      <c r="C1354" s="13" t="n">
        <v>81.52</v>
      </c>
      <c r="D1354" s="12" t="s">
        <v>628</v>
      </c>
      <c r="E1354" s="12" t="s">
        <v>30</v>
      </c>
      <c r="F1354" s="12" t="s">
        <v>1481</v>
      </c>
      <c r="G1354" s="12" t="s">
        <v>45</v>
      </c>
      <c r="H1354" s="14" t="n">
        <v>46286</v>
      </c>
      <c r="I1354" s="14" t="n">
        <v>46286</v>
      </c>
      <c r="J1354" s="12" t="s">
        <v>33</v>
      </c>
    </row>
    <row r="1355" customFormat="false" ht="15" hidden="false" customHeight="true" outlineLevel="0" collapsed="false">
      <c r="A1355" s="12" t="s">
        <v>2688</v>
      </c>
      <c r="B1355" s="13" t="n">
        <v>29.625</v>
      </c>
      <c r="C1355" s="13" t="n">
        <v>25</v>
      </c>
      <c r="D1355" s="12" t="s">
        <v>1692</v>
      </c>
      <c r="E1355" s="12" t="s">
        <v>30</v>
      </c>
      <c r="F1355" s="12" t="s">
        <v>40</v>
      </c>
      <c r="G1355" s="12" t="s">
        <v>41</v>
      </c>
      <c r="H1355" s="14" t="n">
        <v>46286</v>
      </c>
      <c r="I1355" s="14" t="n">
        <v>46284</v>
      </c>
      <c r="J1355" s="12" t="s">
        <v>33</v>
      </c>
    </row>
    <row r="1356" customFormat="false" ht="15" hidden="false" customHeight="true" outlineLevel="0" collapsed="false">
      <c r="A1356" s="12" t="s">
        <v>2689</v>
      </c>
      <c r="B1356" s="13" t="n">
        <v>35.457</v>
      </c>
      <c r="C1356" s="13" t="n">
        <v>32.8</v>
      </c>
      <c r="D1356" s="12" t="s">
        <v>533</v>
      </c>
      <c r="E1356" s="12" t="s">
        <v>30</v>
      </c>
      <c r="F1356" s="12" t="s">
        <v>98</v>
      </c>
      <c r="G1356" s="12" t="s">
        <v>37</v>
      </c>
      <c r="H1356" s="14" t="n">
        <v>46286</v>
      </c>
      <c r="I1356" s="14" t="n">
        <v>46284</v>
      </c>
      <c r="J1356" s="12" t="s">
        <v>33</v>
      </c>
    </row>
    <row r="1357" customFormat="false" ht="15" hidden="false" customHeight="true" outlineLevel="0" collapsed="false">
      <c r="A1357" s="12" t="s">
        <v>2690</v>
      </c>
      <c r="B1357" s="13" t="n">
        <v>52.407</v>
      </c>
      <c r="C1357" s="13" t="n">
        <v>48.48</v>
      </c>
      <c r="D1357" s="12" t="s">
        <v>116</v>
      </c>
      <c r="E1357" s="12" t="s">
        <v>30</v>
      </c>
      <c r="F1357" s="12" t="s">
        <v>117</v>
      </c>
      <c r="G1357" s="12" t="s">
        <v>41</v>
      </c>
      <c r="H1357" s="14" t="n">
        <v>46286</v>
      </c>
      <c r="I1357" s="14" t="n">
        <v>46284</v>
      </c>
      <c r="J1357" s="12" t="s">
        <v>33</v>
      </c>
    </row>
    <row r="1358" customFormat="false" ht="15" hidden="false" customHeight="true" outlineLevel="0" collapsed="false">
      <c r="A1358" s="12" t="s">
        <v>2691</v>
      </c>
      <c r="B1358" s="13" t="n">
        <v>51.997</v>
      </c>
      <c r="C1358" s="13" t="n">
        <v>47.9</v>
      </c>
      <c r="D1358" s="12" t="s">
        <v>540</v>
      </c>
      <c r="E1358" s="12" t="s">
        <v>30</v>
      </c>
      <c r="F1358" s="12" t="s">
        <v>541</v>
      </c>
      <c r="G1358" s="12" t="s">
        <v>45</v>
      </c>
      <c r="H1358" s="14" t="n">
        <v>46286</v>
      </c>
      <c r="I1358" s="14" t="n">
        <v>46286</v>
      </c>
      <c r="J1358" s="12" t="s">
        <v>33</v>
      </c>
    </row>
    <row r="1359" customFormat="false" ht="15" hidden="false" customHeight="true" outlineLevel="0" collapsed="false">
      <c r="A1359" s="12" t="s">
        <v>2692</v>
      </c>
      <c r="B1359" s="13" t="n">
        <v>35.457</v>
      </c>
      <c r="C1359" s="13" t="n">
        <v>32.8</v>
      </c>
      <c r="D1359" s="12" t="s">
        <v>546</v>
      </c>
      <c r="E1359" s="12" t="s">
        <v>30</v>
      </c>
      <c r="F1359" s="12" t="s">
        <v>547</v>
      </c>
      <c r="G1359" s="12" t="s">
        <v>41</v>
      </c>
      <c r="H1359" s="14" t="n">
        <v>46286</v>
      </c>
      <c r="I1359" s="14" t="n">
        <v>46286</v>
      </c>
      <c r="J1359" s="12" t="s">
        <v>33</v>
      </c>
    </row>
    <row r="1360" customFormat="false" ht="15" hidden="false" customHeight="true" outlineLevel="0" collapsed="false">
      <c r="A1360" s="12" t="s">
        <v>2693</v>
      </c>
      <c r="B1360" s="13" t="n">
        <v>82.764</v>
      </c>
      <c r="C1360" s="13" t="n">
        <v>75.6</v>
      </c>
      <c r="D1360" s="12" t="s">
        <v>546</v>
      </c>
      <c r="E1360" s="12" t="s">
        <v>30</v>
      </c>
      <c r="F1360" s="12" t="s">
        <v>547</v>
      </c>
      <c r="G1360" s="12" t="s">
        <v>41</v>
      </c>
      <c r="H1360" s="14" t="n">
        <v>46286</v>
      </c>
      <c r="I1360" s="14" t="n">
        <v>46284</v>
      </c>
      <c r="J1360" s="12" t="s">
        <v>33</v>
      </c>
    </row>
    <row r="1361" customFormat="false" ht="15" hidden="false" customHeight="true" outlineLevel="0" collapsed="false">
      <c r="A1361" s="12" t="s">
        <v>2694</v>
      </c>
      <c r="B1361" s="13" t="n">
        <v>41.382</v>
      </c>
      <c r="C1361" s="13" t="n">
        <v>37.8</v>
      </c>
      <c r="D1361" s="12" t="s">
        <v>2095</v>
      </c>
      <c r="E1361" s="12" t="s">
        <v>30</v>
      </c>
      <c r="F1361" s="12" t="s">
        <v>98</v>
      </c>
      <c r="G1361" s="12" t="s">
        <v>37</v>
      </c>
      <c r="H1361" s="14" t="n">
        <v>46286</v>
      </c>
      <c r="I1361" s="14" t="n">
        <v>46284</v>
      </c>
      <c r="J1361" s="12" t="s">
        <v>33</v>
      </c>
    </row>
    <row r="1362" customFormat="false" ht="15" hidden="false" customHeight="true" outlineLevel="0" collapsed="false">
      <c r="A1362" s="12" t="s">
        <v>2695</v>
      </c>
      <c r="B1362" s="13" t="n">
        <v>35.457</v>
      </c>
      <c r="C1362" s="13" t="n">
        <v>32.8</v>
      </c>
      <c r="D1362" s="12" t="s">
        <v>2696</v>
      </c>
      <c r="E1362" s="12" t="s">
        <v>30</v>
      </c>
      <c r="F1362" s="12" t="s">
        <v>2697</v>
      </c>
      <c r="G1362" s="12" t="s">
        <v>45</v>
      </c>
      <c r="H1362" s="14" t="n">
        <v>46286</v>
      </c>
      <c r="I1362" s="14" t="n">
        <v>46284</v>
      </c>
      <c r="J1362" s="12" t="s">
        <v>33</v>
      </c>
    </row>
    <row r="1363" customFormat="false" ht="15" hidden="false" customHeight="true" outlineLevel="0" collapsed="false">
      <c r="A1363" s="12" t="s">
        <v>2698</v>
      </c>
      <c r="B1363" s="13" t="n">
        <v>214</v>
      </c>
      <c r="C1363" s="13" t="n">
        <v>200</v>
      </c>
      <c r="D1363" s="12" t="s">
        <v>2699</v>
      </c>
      <c r="E1363" s="12" t="s">
        <v>30</v>
      </c>
      <c r="F1363" s="12" t="s">
        <v>57</v>
      </c>
      <c r="G1363" s="12" t="s">
        <v>37</v>
      </c>
      <c r="H1363" s="14" t="n">
        <v>46286</v>
      </c>
      <c r="I1363" s="14" t="n">
        <v>46284</v>
      </c>
      <c r="J1363" s="12" t="s">
        <v>33</v>
      </c>
    </row>
    <row r="1364" customFormat="false" ht="15" hidden="false" customHeight="true" outlineLevel="0" collapsed="false">
      <c r="A1364" s="12" t="s">
        <v>2700</v>
      </c>
      <c r="B1364" s="13" t="n">
        <v>348.768</v>
      </c>
      <c r="C1364" s="13" t="n">
        <v>320.16</v>
      </c>
      <c r="D1364" s="12" t="s">
        <v>265</v>
      </c>
      <c r="E1364" s="12" t="s">
        <v>30</v>
      </c>
      <c r="F1364" s="12" t="s">
        <v>239</v>
      </c>
      <c r="G1364" s="12" t="s">
        <v>240</v>
      </c>
      <c r="H1364" s="14" t="n">
        <v>46286</v>
      </c>
      <c r="I1364" s="14" t="n">
        <v>46286</v>
      </c>
      <c r="J1364" s="12" t="s">
        <v>254</v>
      </c>
    </row>
    <row r="1365" customFormat="false" ht="15" hidden="false" customHeight="true" outlineLevel="0" collapsed="false">
      <c r="A1365" s="12" t="s">
        <v>2701</v>
      </c>
      <c r="B1365" s="13" t="n">
        <v>17.775</v>
      </c>
      <c r="C1365" s="13" t="n">
        <v>15</v>
      </c>
      <c r="D1365" s="12" t="s">
        <v>1049</v>
      </c>
      <c r="E1365" s="12" t="s">
        <v>30</v>
      </c>
      <c r="F1365" s="12" t="s">
        <v>44</v>
      </c>
      <c r="G1365" s="12" t="s">
        <v>45</v>
      </c>
      <c r="H1365" s="14" t="n">
        <v>46286</v>
      </c>
      <c r="I1365" s="14" t="n">
        <v>46286</v>
      </c>
      <c r="J1365" s="12" t="s">
        <v>33</v>
      </c>
    </row>
    <row r="1366" customFormat="false" ht="15" hidden="false" customHeight="true" outlineLevel="0" collapsed="false">
      <c r="A1366" s="12" t="s">
        <v>2702</v>
      </c>
      <c r="B1366" s="13" t="n">
        <v>26.203</v>
      </c>
      <c r="C1366" s="13" t="n">
        <v>24.24</v>
      </c>
      <c r="D1366" s="12" t="s">
        <v>1743</v>
      </c>
      <c r="E1366" s="12" t="s">
        <v>30</v>
      </c>
      <c r="F1366" s="12" t="s">
        <v>1593</v>
      </c>
      <c r="G1366" s="12" t="s">
        <v>45</v>
      </c>
      <c r="H1366" s="14" t="n">
        <v>46286</v>
      </c>
      <c r="I1366" s="14" t="n">
        <v>46286</v>
      </c>
      <c r="J1366" s="12" t="s">
        <v>254</v>
      </c>
    </row>
    <row r="1367" customFormat="false" ht="15" hidden="false" customHeight="true" outlineLevel="0" collapsed="false">
      <c r="A1367" s="12" t="s">
        <v>2703</v>
      </c>
      <c r="B1367" s="13" t="n">
        <v>725.309</v>
      </c>
      <c r="C1367" s="13" t="n">
        <v>703.5</v>
      </c>
      <c r="D1367" s="12" t="s">
        <v>2704</v>
      </c>
      <c r="E1367" s="12" t="s">
        <v>30</v>
      </c>
      <c r="F1367" s="12" t="s">
        <v>239</v>
      </c>
      <c r="G1367" s="12" t="s">
        <v>240</v>
      </c>
      <c r="H1367" s="14" t="n">
        <v>46286</v>
      </c>
      <c r="I1367" s="14" t="n">
        <v>46286</v>
      </c>
      <c r="J1367" s="12" t="s">
        <v>254</v>
      </c>
    </row>
    <row r="1368" customFormat="false" ht="15" hidden="false" customHeight="true" outlineLevel="0" collapsed="false">
      <c r="A1368" s="12" t="s">
        <v>2705</v>
      </c>
      <c r="B1368" s="13" t="n">
        <v>54.128</v>
      </c>
      <c r="C1368" s="13" t="n">
        <v>52.5</v>
      </c>
      <c r="D1368" s="12" t="s">
        <v>2706</v>
      </c>
      <c r="E1368" s="12" t="s">
        <v>30</v>
      </c>
      <c r="F1368" s="12" t="s">
        <v>239</v>
      </c>
      <c r="G1368" s="12" t="s">
        <v>240</v>
      </c>
      <c r="H1368" s="14" t="n">
        <v>46286</v>
      </c>
      <c r="I1368" s="14" t="n">
        <v>46286</v>
      </c>
      <c r="J1368" s="12" t="s">
        <v>254</v>
      </c>
    </row>
    <row r="1369" customFormat="false" ht="15" hidden="false" customHeight="true" outlineLevel="0" collapsed="false">
      <c r="A1369" s="12" t="s">
        <v>2707</v>
      </c>
      <c r="B1369" s="13" t="n">
        <v>49.098</v>
      </c>
      <c r="C1369" s="13" t="n">
        <v>46</v>
      </c>
      <c r="D1369" s="12" t="s">
        <v>1099</v>
      </c>
      <c r="E1369" s="12" t="s">
        <v>30</v>
      </c>
      <c r="F1369" s="12" t="s">
        <v>1100</v>
      </c>
      <c r="G1369" s="12" t="s">
        <v>240</v>
      </c>
      <c r="H1369" s="14" t="n">
        <v>46286</v>
      </c>
      <c r="I1369" s="14" t="n">
        <v>46286</v>
      </c>
      <c r="J1369" s="12" t="s">
        <v>254</v>
      </c>
    </row>
    <row r="1370" customFormat="false" ht="15" hidden="false" customHeight="true" outlineLevel="0" collapsed="false">
      <c r="A1370" s="12" t="s">
        <v>2708</v>
      </c>
      <c r="B1370" s="13" t="n">
        <v>65.62</v>
      </c>
      <c r="C1370" s="13" t="n">
        <v>53.6</v>
      </c>
      <c r="D1370" s="12" t="s">
        <v>2709</v>
      </c>
      <c r="E1370" s="12" t="s">
        <v>30</v>
      </c>
      <c r="F1370" s="12" t="s">
        <v>239</v>
      </c>
      <c r="G1370" s="12" t="s">
        <v>240</v>
      </c>
      <c r="H1370" s="14" t="n">
        <v>46286</v>
      </c>
      <c r="I1370" s="14" t="n">
        <v>46286</v>
      </c>
      <c r="J1370" s="12" t="s">
        <v>254</v>
      </c>
    </row>
    <row r="1371" customFormat="false" ht="15" hidden="false" customHeight="true" outlineLevel="0" collapsed="false">
      <c r="A1371" s="12" t="s">
        <v>2710</v>
      </c>
      <c r="B1371" s="13" t="n">
        <v>17.728</v>
      </c>
      <c r="C1371" s="13" t="n">
        <v>16.4</v>
      </c>
      <c r="D1371" s="12" t="s">
        <v>262</v>
      </c>
      <c r="E1371" s="12" t="s">
        <v>30</v>
      </c>
      <c r="F1371" s="12" t="s">
        <v>263</v>
      </c>
      <c r="G1371" s="12" t="s">
        <v>240</v>
      </c>
      <c r="H1371" s="14" t="n">
        <v>46286</v>
      </c>
      <c r="I1371" s="14" t="n">
        <v>46286</v>
      </c>
      <c r="J1371" s="12" t="s">
        <v>254</v>
      </c>
    </row>
    <row r="1372" customFormat="false" ht="15" hidden="false" customHeight="true" outlineLevel="0" collapsed="false">
      <c r="A1372" s="12" t="s">
        <v>2711</v>
      </c>
      <c r="B1372" s="13" t="n">
        <v>17.728</v>
      </c>
      <c r="C1372" s="13" t="n">
        <v>16.4</v>
      </c>
      <c r="D1372" s="12" t="s">
        <v>1535</v>
      </c>
      <c r="E1372" s="12" t="s">
        <v>30</v>
      </c>
      <c r="F1372" s="12" t="s">
        <v>239</v>
      </c>
      <c r="G1372" s="12" t="s">
        <v>240</v>
      </c>
      <c r="H1372" s="14" t="n">
        <v>46286</v>
      </c>
      <c r="I1372" s="14" t="n">
        <v>46286</v>
      </c>
      <c r="J1372" s="12" t="s">
        <v>254</v>
      </c>
    </row>
    <row r="1373" customFormat="false" ht="15" hidden="false" customHeight="true" outlineLevel="0" collapsed="false">
      <c r="A1373" s="12" t="s">
        <v>2712</v>
      </c>
      <c r="B1373" s="13" t="n">
        <v>65.509</v>
      </c>
      <c r="C1373" s="13" t="n">
        <v>60.6</v>
      </c>
      <c r="D1373" s="12" t="s">
        <v>1787</v>
      </c>
      <c r="E1373" s="12" t="s">
        <v>30</v>
      </c>
      <c r="F1373" s="12" t="s">
        <v>239</v>
      </c>
      <c r="G1373" s="12" t="s">
        <v>240</v>
      </c>
      <c r="H1373" s="14" t="n">
        <v>46286</v>
      </c>
      <c r="I1373" s="14" t="n">
        <v>46286</v>
      </c>
      <c r="J1373" s="12" t="s">
        <v>254</v>
      </c>
    </row>
    <row r="1374" customFormat="false" ht="15" hidden="false" customHeight="true" outlineLevel="0" collapsed="false">
      <c r="A1374" s="12" t="s">
        <v>2713</v>
      </c>
      <c r="B1374" s="13" t="n">
        <v>104.822</v>
      </c>
      <c r="C1374" s="13" t="n">
        <v>100.5</v>
      </c>
      <c r="D1374" s="12" t="s">
        <v>1108</v>
      </c>
      <c r="E1374" s="12" t="s">
        <v>30</v>
      </c>
      <c r="F1374" s="12" t="s">
        <v>239</v>
      </c>
      <c r="G1374" s="12" t="s">
        <v>240</v>
      </c>
      <c r="H1374" s="14" t="n">
        <v>46286</v>
      </c>
      <c r="I1374" s="14" t="n">
        <v>46286</v>
      </c>
      <c r="J1374" s="12" t="s">
        <v>254</v>
      </c>
    </row>
    <row r="1375" customFormat="false" ht="15" hidden="false" customHeight="true" outlineLevel="0" collapsed="false">
      <c r="A1375" s="12" t="s">
        <v>2714</v>
      </c>
      <c r="B1375" s="13" t="n">
        <v>49.903</v>
      </c>
      <c r="C1375" s="13" t="n">
        <v>44.24</v>
      </c>
      <c r="D1375" s="12" t="s">
        <v>2715</v>
      </c>
      <c r="E1375" s="12" t="s">
        <v>30</v>
      </c>
      <c r="F1375" s="12" t="s">
        <v>239</v>
      </c>
      <c r="G1375" s="12" t="s">
        <v>240</v>
      </c>
      <c r="H1375" s="14" t="n">
        <v>46286</v>
      </c>
      <c r="I1375" s="14" t="n">
        <v>46286</v>
      </c>
      <c r="J1375" s="12" t="s">
        <v>254</v>
      </c>
    </row>
    <row r="1376" customFormat="false" ht="15" hidden="false" customHeight="true" outlineLevel="0" collapsed="false">
      <c r="A1376" s="12" t="s">
        <v>2716</v>
      </c>
      <c r="B1376" s="13" t="n">
        <v>170.977</v>
      </c>
      <c r="C1376" s="13" t="n">
        <v>159.5</v>
      </c>
      <c r="D1376" s="12" t="s">
        <v>2025</v>
      </c>
      <c r="E1376" s="12" t="s">
        <v>30</v>
      </c>
      <c r="F1376" s="12" t="s">
        <v>697</v>
      </c>
      <c r="G1376" s="12" t="s">
        <v>240</v>
      </c>
      <c r="H1376" s="14" t="n">
        <v>46286</v>
      </c>
      <c r="I1376" s="14" t="n">
        <v>46286</v>
      </c>
      <c r="J1376" s="12" t="s">
        <v>254</v>
      </c>
    </row>
    <row r="1377" customFormat="false" ht="15" hidden="false" customHeight="true" outlineLevel="0" collapsed="false">
      <c r="A1377" s="12" t="s">
        <v>2717</v>
      </c>
      <c r="B1377" s="13" t="n">
        <v>43.033</v>
      </c>
      <c r="C1377" s="13" t="n">
        <v>39.7</v>
      </c>
      <c r="D1377" s="12" t="s">
        <v>2718</v>
      </c>
      <c r="E1377" s="12" t="s">
        <v>30</v>
      </c>
      <c r="F1377" s="12" t="s">
        <v>239</v>
      </c>
      <c r="G1377" s="12" t="s">
        <v>240</v>
      </c>
      <c r="H1377" s="14" t="n">
        <v>46286</v>
      </c>
      <c r="I1377" s="14" t="n">
        <v>46286</v>
      </c>
      <c r="J1377" s="12" t="s">
        <v>254</v>
      </c>
    </row>
    <row r="1378" customFormat="false" ht="15" hidden="false" customHeight="true" outlineLevel="0" collapsed="false">
      <c r="A1378" s="12" t="s">
        <v>2719</v>
      </c>
      <c r="B1378" s="13" t="n">
        <v>22.561</v>
      </c>
      <c r="C1378" s="13" t="n">
        <v>20.52</v>
      </c>
      <c r="D1378" s="12" t="s">
        <v>2720</v>
      </c>
      <c r="E1378" s="12" t="s">
        <v>30</v>
      </c>
      <c r="F1378" s="12" t="s">
        <v>2721</v>
      </c>
      <c r="G1378" s="12" t="s">
        <v>653</v>
      </c>
      <c r="H1378" s="14" t="n">
        <v>46286</v>
      </c>
      <c r="I1378" s="14" t="n">
        <v>46288</v>
      </c>
      <c r="J1378" s="12" t="s">
        <v>254</v>
      </c>
    </row>
    <row r="1379" customFormat="false" ht="15" hidden="false" customHeight="true" outlineLevel="0" collapsed="false">
      <c r="A1379" s="12" t="s">
        <v>2722</v>
      </c>
      <c r="B1379" s="13" t="n">
        <v>86.876</v>
      </c>
      <c r="C1379" s="13" t="n">
        <v>82.62</v>
      </c>
      <c r="D1379" s="12" t="s">
        <v>2723</v>
      </c>
      <c r="E1379" s="12" t="s">
        <v>30</v>
      </c>
      <c r="F1379" s="12" t="s">
        <v>268</v>
      </c>
      <c r="G1379" s="12" t="s">
        <v>653</v>
      </c>
      <c r="H1379" s="14" t="n">
        <v>46286</v>
      </c>
      <c r="I1379" s="14" t="n">
        <v>46288</v>
      </c>
      <c r="J1379" s="12" t="s">
        <v>254</v>
      </c>
    </row>
    <row r="1380" customFormat="false" ht="15" hidden="false" customHeight="true" outlineLevel="0" collapsed="false">
      <c r="A1380" s="12" t="s">
        <v>2724</v>
      </c>
      <c r="B1380" s="13" t="n">
        <v>52.407</v>
      </c>
      <c r="C1380" s="13" t="n">
        <v>48.48</v>
      </c>
      <c r="D1380" s="12" t="s">
        <v>2725</v>
      </c>
      <c r="E1380" s="12" t="s">
        <v>30</v>
      </c>
      <c r="F1380" s="12" t="s">
        <v>759</v>
      </c>
      <c r="G1380" s="12" t="s">
        <v>653</v>
      </c>
      <c r="H1380" s="14" t="n">
        <v>46286</v>
      </c>
      <c r="I1380" s="14" t="n">
        <v>46288</v>
      </c>
      <c r="J1380" s="12" t="s">
        <v>254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6"/>
    <col collapsed="false" customWidth="true" hidden="false" outlineLevel="0" max="3" min="3" style="1" width="55"/>
  </cols>
  <sheetData>
    <row r="1" customFormat="false" ht="17.25" hidden="false" customHeight="true" outlineLevel="0" collapsed="false">
      <c r="A1" s="2" t="s">
        <v>2726</v>
      </c>
      <c r="B1" s="2"/>
      <c r="C1" s="2"/>
    </row>
    <row r="2" customFormat="false" ht="15" hidden="false" customHeight="true" outlineLevel="0" collapsed="false">
      <c r="A2" s="3" t="s">
        <v>2727</v>
      </c>
      <c r="B2" s="3"/>
      <c r="C2" s="3"/>
    </row>
    <row r="4" customFormat="false" ht="15" hidden="false" customHeight="true" outlineLevel="0" collapsed="false">
      <c r="A4" s="15" t="s">
        <v>2728</v>
      </c>
      <c r="B4" s="16"/>
      <c r="C4" s="16"/>
    </row>
    <row r="5" customFormat="false" ht="15" hidden="false" customHeight="true" outlineLevel="0" collapsed="false">
      <c r="A5" s="9" t="s">
        <v>2729</v>
      </c>
      <c r="B5" s="17" t="n">
        <v>4</v>
      </c>
    </row>
    <row r="6" customFormat="false" ht="15" hidden="false" customHeight="true" outlineLevel="0" collapsed="false">
      <c r="A6" s="9" t="s">
        <v>2730</v>
      </c>
      <c r="B6" s="17" t="n">
        <v>3</v>
      </c>
    </row>
    <row r="7" customFormat="false" ht="15" hidden="false" customHeight="true" outlineLevel="0" collapsed="false">
      <c r="A7" s="9" t="s">
        <v>2731</v>
      </c>
      <c r="B7" s="17" t="n">
        <v>2</v>
      </c>
    </row>
    <row r="8" customFormat="false" ht="15" hidden="false" customHeight="true" outlineLevel="0" collapsed="false">
      <c r="A8" s="9" t="s">
        <v>2732</v>
      </c>
      <c r="B8" s="17" t="n">
        <v>12</v>
      </c>
    </row>
    <row r="9" customFormat="false" ht="15" hidden="false" customHeight="true" outlineLevel="0" collapsed="false">
      <c r="A9" s="9" t="s">
        <v>2733</v>
      </c>
      <c r="B9" s="17" t="n">
        <v>2</v>
      </c>
    </row>
    <row r="11" customFormat="false" ht="15" hidden="false" customHeight="true" outlineLevel="0" collapsed="false">
      <c r="A11" s="15" t="s">
        <v>2734</v>
      </c>
      <c r="B11" s="16"/>
      <c r="C11" s="16"/>
    </row>
    <row r="12" customFormat="false" ht="15" hidden="false" customHeight="true" outlineLevel="0" collapsed="false">
      <c r="A12" s="9" t="s">
        <v>2735</v>
      </c>
      <c r="B12" s="12" t="n">
        <f aca="false">B5*B7</f>
        <v>8</v>
      </c>
      <c r="C12" s="18" t="s">
        <v>2736</v>
      </c>
    </row>
    <row r="13" customFormat="false" ht="15" hidden="false" customHeight="true" outlineLevel="0" collapsed="false">
      <c r="A13" s="9" t="s">
        <v>2737</v>
      </c>
      <c r="B13" s="12" t="n">
        <f aca="false">B6*B7</f>
        <v>6</v>
      </c>
      <c r="C13" s="18" t="s">
        <v>2738</v>
      </c>
    </row>
    <row r="14" customFormat="false" ht="15" hidden="false" customHeight="true" outlineLevel="0" collapsed="false">
      <c r="A14" s="9" t="s">
        <v>2739</v>
      </c>
      <c r="B14" s="12" t="n">
        <f aca="false">B12+B13</f>
        <v>14</v>
      </c>
    </row>
    <row r="16" customFormat="false" ht="15" hidden="false" customHeight="true" outlineLevel="0" collapsed="false">
      <c r="A16" s="15" t="s">
        <v>2740</v>
      </c>
      <c r="B16" s="16"/>
      <c r="C16" s="16"/>
    </row>
    <row r="17" customFormat="false" ht="15" hidden="false" customHeight="true" outlineLevel="0" collapsed="false">
      <c r="A17" s="9" t="s">
        <v>2741</v>
      </c>
      <c r="B17" s="19" t="n">
        <v>35</v>
      </c>
    </row>
    <row r="18" customFormat="false" ht="15" hidden="false" customHeight="true" outlineLevel="0" collapsed="false">
      <c r="A18" s="9" t="s">
        <v>2742</v>
      </c>
      <c r="B18" s="19" t="n">
        <v>40</v>
      </c>
    </row>
    <row r="19" customFormat="false" ht="15" hidden="false" customHeight="true" outlineLevel="0" collapsed="false">
      <c r="A19" s="9" t="s">
        <v>5</v>
      </c>
      <c r="B19" s="20" t="n">
        <f aca="false">AVERAGE(B17:B18)</f>
        <v>37.5</v>
      </c>
    </row>
    <row r="21" customFormat="false" ht="15" hidden="false" customHeight="true" outlineLevel="0" collapsed="false">
      <c r="A21" s="15" t="s">
        <v>2743</v>
      </c>
      <c r="B21" s="16"/>
      <c r="C21" s="16"/>
    </row>
    <row r="22" customFormat="false" ht="15" hidden="false" customHeight="true" outlineLevel="0" collapsed="false">
      <c r="A22" s="9" t="s">
        <v>2744</v>
      </c>
      <c r="B22" s="21" t="n">
        <f aca="false">B17/B12</f>
        <v>4.375</v>
      </c>
    </row>
    <row r="23" customFormat="false" ht="15" hidden="false" customHeight="true" outlineLevel="0" collapsed="false">
      <c r="A23" s="9" t="s">
        <v>2745</v>
      </c>
      <c r="B23" s="21" t="n">
        <f aca="false">B18/B12</f>
        <v>5</v>
      </c>
      <c r="C23" s="18" t="s">
        <v>2746</v>
      </c>
    </row>
    <row r="24" customFormat="false" ht="15" hidden="false" customHeight="true" outlineLevel="0" collapsed="false">
      <c r="A24" s="9" t="s">
        <v>2747</v>
      </c>
      <c r="B24" s="21" t="n">
        <f aca="false">B17/B13</f>
        <v>5.83333333333333</v>
      </c>
    </row>
    <row r="25" customFormat="false" ht="15" hidden="false" customHeight="true" outlineLevel="0" collapsed="false">
      <c r="A25" s="9" t="s">
        <v>2748</v>
      </c>
      <c r="B25" s="21" t="n">
        <f aca="false">B18/B13</f>
        <v>6.66666666666667</v>
      </c>
    </row>
    <row r="27" customFormat="false" ht="30" hidden="false" customHeight="true" outlineLevel="0" collapsed="false">
      <c r="A27" s="3" t="s">
        <v>2749</v>
      </c>
      <c r="B27" s="3"/>
      <c r="C27" s="3"/>
    </row>
  </sheetData>
  <mergeCells count="3">
    <mergeCell ref="A1:C1"/>
    <mergeCell ref="A2:C2"/>
    <mergeCell ref="A27:C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5" min="2" style="1" width="14"/>
    <col collapsed="false" customWidth="true" hidden="false" outlineLevel="0" max="6" min="6" style="1" width="12"/>
    <col collapsed="false" customWidth="true" hidden="false" outlineLevel="0" max="8" min="7" style="1" width="11"/>
    <col collapsed="false" customWidth="true" hidden="false" outlineLevel="0" max="9" min="9" style="1" width="12"/>
    <col collapsed="false" customWidth="true" hidden="false" outlineLevel="0" max="11" min="10" style="1" width="20"/>
    <col collapsed="false" customWidth="true" hidden="false" outlineLevel="0" max="12" min="12" style="1" width="18"/>
  </cols>
  <sheetData>
    <row r="1" customFormat="false" ht="17.25" hidden="false" customHeight="true" outlineLevel="0" collapsed="false">
      <c r="A1" s="2" t="s">
        <v>2750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5" hidden="false" customHeight="true" outlineLevel="0" collapsed="false">
      <c r="A2" s="3" t="s">
        <v>2751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4" customFormat="false" ht="26.25" hidden="false" customHeight="true" outlineLevel="0" collapsed="false">
      <c r="A4" s="11" t="s">
        <v>2752</v>
      </c>
      <c r="B4" s="11" t="s">
        <v>2753</v>
      </c>
      <c r="C4" s="11" t="s">
        <v>2754</v>
      </c>
      <c r="D4" s="11" t="s">
        <v>2755</v>
      </c>
      <c r="E4" s="11" t="s">
        <v>19</v>
      </c>
      <c r="F4" s="11" t="s">
        <v>2756</v>
      </c>
      <c r="G4" s="11" t="s">
        <v>2757</v>
      </c>
      <c r="H4" s="11" t="s">
        <v>2758</v>
      </c>
      <c r="I4" s="11" t="s">
        <v>2759</v>
      </c>
      <c r="J4" s="11" t="s">
        <v>2760</v>
      </c>
      <c r="K4" s="11" t="s">
        <v>2761</v>
      </c>
      <c r="L4" s="11" t="s">
        <v>2762</v>
      </c>
    </row>
    <row r="5" customFormat="false" ht="15" hidden="false" customHeight="true" outlineLevel="0" collapsed="false">
      <c r="A5" s="22" t="n">
        <v>46274</v>
      </c>
      <c r="B5" s="23" t="str">
        <f aca="false">CHOOSE(WEEKDAY(A5),"Domingo","Segunda-feira","Terça-feira","Quarta-feira","Quinta-feira","Sexta-feira","Sábado")</f>
        <v>Quarta-feira</v>
      </c>
      <c r="C5" s="23" t="n">
        <f aca="false">COUNTIFS(Dados_Filtrados!$H$2:$H$1380,A5)</f>
        <v>85</v>
      </c>
      <c r="D5" s="24" t="n">
        <f aca="false">IFERROR(COUNTIFS(Dados_Filtrados!$H$2:$H$1380,A5,Dados_Filtrados!$J$2:$J$1380,"FATURADO")/C5,0)</f>
        <v>1</v>
      </c>
      <c r="E5" s="25" t="n">
        <f aca="false">SUMIFS(Dados_Filtrados!$B$2:$B$1380,Dados_Filtrados!$H$2:$H$1380,A5)</f>
        <v>12681.518</v>
      </c>
      <c r="F5" s="26" t="n">
        <f aca="false">E5/1000</f>
        <v>12.681518</v>
      </c>
      <c r="G5" s="27" t="n">
        <f aca="false">Dimensionamento!$B$17</f>
        <v>35</v>
      </c>
      <c r="H5" s="27" t="n">
        <f aca="false">Dimensionamento!$B$18</f>
        <v>40</v>
      </c>
      <c r="I5" s="24" t="n">
        <f aca="false">F5/H5</f>
        <v>0.31703795</v>
      </c>
      <c r="J5" s="23" t="str">
        <f aca="false">IF(F5&gt;H5,"ACIMA DA CAPACIDADE",IF(F5&lt;G5,"ABAIXO DA CAPACIDADE","DENTRO DA FAIXA"))</f>
        <v>ABAIXO DA CAPACIDADE</v>
      </c>
      <c r="K5" s="27" t="n">
        <f aca="false">F5/Dimensionamento!$B$23</f>
        <v>2.5363036</v>
      </c>
      <c r="L5" s="28" t="n">
        <f aca="false">K5-Dimensionamento!$B$12</f>
        <v>-5.4636964</v>
      </c>
    </row>
    <row r="6" customFormat="false" ht="15" hidden="false" customHeight="true" outlineLevel="0" collapsed="false">
      <c r="A6" s="22" t="n">
        <v>46275</v>
      </c>
      <c r="B6" s="23" t="str">
        <f aca="false">CHOOSE(WEEKDAY(A6),"Domingo","Segunda-feira","Terça-feira","Quarta-feira","Quinta-feira","Sexta-feira","Sábado")</f>
        <v>Quinta-feira</v>
      </c>
      <c r="C6" s="23" t="n">
        <f aca="false">COUNTIFS(Dados_Filtrados!$H$2:$H$1380,A6)</f>
        <v>62</v>
      </c>
      <c r="D6" s="24" t="n">
        <f aca="false">IFERROR(COUNTIFS(Dados_Filtrados!$H$2:$H$1380,A6,Dados_Filtrados!$J$2:$J$1380,"FATURADO")/C6,0)</f>
        <v>0.854838709677419</v>
      </c>
      <c r="E6" s="25" t="n">
        <f aca="false">SUMIFS(Dados_Filtrados!$B$2:$B$1380,Dados_Filtrados!$H$2:$H$1380,A6)</f>
        <v>9523.06</v>
      </c>
      <c r="F6" s="26" t="n">
        <f aca="false">E6/1000</f>
        <v>9.52306</v>
      </c>
      <c r="G6" s="27" t="n">
        <f aca="false">Dimensionamento!$B$17</f>
        <v>35</v>
      </c>
      <c r="H6" s="27" t="n">
        <f aca="false">Dimensionamento!$B$18</f>
        <v>40</v>
      </c>
      <c r="I6" s="24" t="n">
        <f aca="false">F6/H6</f>
        <v>0.2380765</v>
      </c>
      <c r="J6" s="23" t="str">
        <f aca="false">IF(F6&gt;H6,"ACIMA DA CAPACIDADE",IF(F6&lt;G6,"ABAIXO DA CAPACIDADE","DENTRO DA FAIXA"))</f>
        <v>ABAIXO DA CAPACIDADE</v>
      </c>
      <c r="K6" s="27" t="n">
        <f aca="false">F6/Dimensionamento!$B$23</f>
        <v>1.904612</v>
      </c>
      <c r="L6" s="28" t="n">
        <f aca="false">K6-Dimensionamento!$B$12</f>
        <v>-6.095388</v>
      </c>
    </row>
    <row r="7" customFormat="false" ht="15" hidden="false" customHeight="true" outlineLevel="0" collapsed="false">
      <c r="A7" s="22" t="n">
        <v>46276</v>
      </c>
      <c r="B7" s="23" t="str">
        <f aca="false">CHOOSE(WEEKDAY(A7),"Domingo","Segunda-feira","Terça-feira","Quarta-feira","Quinta-feira","Sexta-feira","Sábado")</f>
        <v>Sexta-feira</v>
      </c>
      <c r="C7" s="23" t="n">
        <f aca="false">COUNTIFS(Dados_Filtrados!$H$2:$H$1380,A7)</f>
        <v>78</v>
      </c>
      <c r="D7" s="24" t="n">
        <f aca="false">IFERROR(COUNTIFS(Dados_Filtrados!$H$2:$H$1380,A7,Dados_Filtrados!$J$2:$J$1380,"FATURADO")/C7,0)</f>
        <v>0.948717948717949</v>
      </c>
      <c r="E7" s="25" t="n">
        <f aca="false">SUMIFS(Dados_Filtrados!$B$2:$B$1380,Dados_Filtrados!$H$2:$H$1380,A7)</f>
        <v>22913.514</v>
      </c>
      <c r="F7" s="26" t="n">
        <f aca="false">E7/1000</f>
        <v>22.913514</v>
      </c>
      <c r="G7" s="27" t="n">
        <f aca="false">Dimensionamento!$B$17</f>
        <v>35</v>
      </c>
      <c r="H7" s="27" t="n">
        <f aca="false">Dimensionamento!$B$18</f>
        <v>40</v>
      </c>
      <c r="I7" s="24" t="n">
        <f aca="false">F7/H7</f>
        <v>0.57283785</v>
      </c>
      <c r="J7" s="23" t="str">
        <f aca="false">IF(F7&gt;H7,"ACIMA DA CAPACIDADE",IF(F7&lt;G7,"ABAIXO DA CAPACIDADE","DENTRO DA FAIXA"))</f>
        <v>ABAIXO DA CAPACIDADE</v>
      </c>
      <c r="K7" s="27" t="n">
        <f aca="false">F7/Dimensionamento!$B$23</f>
        <v>4.5827028</v>
      </c>
      <c r="L7" s="28" t="n">
        <f aca="false">K7-Dimensionamento!$B$12</f>
        <v>-3.4172972</v>
      </c>
    </row>
    <row r="8" customFormat="false" ht="15" hidden="false" customHeight="true" outlineLevel="0" collapsed="false">
      <c r="A8" s="22" t="n">
        <v>46277</v>
      </c>
      <c r="B8" s="23" t="str">
        <f aca="false">CHOOSE(WEEKDAY(A8),"Domingo","Segunda-feira","Terça-feira","Quarta-feira","Quinta-feira","Sexta-feira","Sábado")</f>
        <v>Sábado</v>
      </c>
      <c r="C8" s="23" t="n">
        <f aca="false">COUNTIFS(Dados_Filtrados!$H$2:$H$1380,A8)</f>
        <v>155</v>
      </c>
      <c r="D8" s="24" t="n">
        <f aca="false">IFERROR(COUNTIFS(Dados_Filtrados!$H$2:$H$1380,A8,Dados_Filtrados!$J$2:$J$1380,"FATURADO")/C8,0)</f>
        <v>0.748387096774194</v>
      </c>
      <c r="E8" s="25" t="n">
        <f aca="false">SUMIFS(Dados_Filtrados!$B$2:$B$1380,Dados_Filtrados!$H$2:$H$1380,A8)</f>
        <v>84129.373</v>
      </c>
      <c r="F8" s="26" t="n">
        <f aca="false">E8/1000</f>
        <v>84.129373</v>
      </c>
      <c r="G8" s="27" t="n">
        <f aca="false">Dimensionamento!$B$17</f>
        <v>35</v>
      </c>
      <c r="H8" s="27" t="n">
        <f aca="false">Dimensionamento!$B$18</f>
        <v>40</v>
      </c>
      <c r="I8" s="24" t="n">
        <f aca="false">F8/H8</f>
        <v>2.103234325</v>
      </c>
      <c r="J8" s="23" t="str">
        <f aca="false">IF(F8&gt;H8,"ACIMA DA CAPACIDADE",IF(F8&lt;G8,"ABAIXO DA CAPACIDADE","DENTRO DA FAIXA"))</f>
        <v>ACIMA DA CAPACIDADE</v>
      </c>
      <c r="K8" s="27" t="n">
        <f aca="false">F8/Dimensionamento!$B$23</f>
        <v>16.8258746</v>
      </c>
      <c r="L8" s="28" t="n">
        <f aca="false">K8-Dimensionamento!$B$12</f>
        <v>8.8258746</v>
      </c>
    </row>
    <row r="9" customFormat="false" ht="15" hidden="false" customHeight="true" outlineLevel="0" collapsed="false">
      <c r="A9" s="22" t="n">
        <v>46278</v>
      </c>
      <c r="B9" s="23" t="str">
        <f aca="false">CHOOSE(WEEKDAY(A9),"Domingo","Segunda-feira","Terça-feira","Quarta-feira","Quinta-feira","Sexta-feira","Sábado")</f>
        <v>Domingo</v>
      </c>
      <c r="C9" s="23" t="n">
        <f aca="false">COUNTIFS(Dados_Filtrados!$H$2:$H$1380,A9)</f>
        <v>4</v>
      </c>
      <c r="D9" s="24" t="n">
        <f aca="false">IFERROR(COUNTIFS(Dados_Filtrados!$H$2:$H$1380,A9,Dados_Filtrados!$J$2:$J$1380,"FATURADO")/C9,0)</f>
        <v>1</v>
      </c>
      <c r="E9" s="25" t="n">
        <f aca="false">SUMIFS(Dados_Filtrados!$B$2:$B$1380,Dados_Filtrados!$H$2:$H$1380,A9)</f>
        <v>627.214</v>
      </c>
      <c r="F9" s="26" t="n">
        <f aca="false">E9/1000</f>
        <v>0.627214</v>
      </c>
      <c r="G9" s="27" t="n">
        <f aca="false">Dimensionamento!$B$17</f>
        <v>35</v>
      </c>
      <c r="H9" s="27" t="n">
        <f aca="false">Dimensionamento!$B$18</f>
        <v>40</v>
      </c>
      <c r="I9" s="24" t="n">
        <f aca="false">F9/H9</f>
        <v>0.01568035</v>
      </c>
      <c r="J9" s="23" t="str">
        <f aca="false">IF(F9&gt;H9,"ACIMA DA CAPACIDADE",IF(F9&lt;G9,"ABAIXO DA CAPACIDADE","DENTRO DA FAIXA"))</f>
        <v>ABAIXO DA CAPACIDADE</v>
      </c>
      <c r="K9" s="27" t="n">
        <f aca="false">F9/Dimensionamento!$B$23</f>
        <v>0.1254428</v>
      </c>
      <c r="L9" s="28" t="n">
        <f aca="false">K9-Dimensionamento!$B$12</f>
        <v>-7.8745572</v>
      </c>
    </row>
    <row r="10" customFormat="false" ht="15" hidden="false" customHeight="true" outlineLevel="0" collapsed="false">
      <c r="A10" s="22" t="n">
        <v>46279</v>
      </c>
      <c r="B10" s="23" t="str">
        <f aca="false">CHOOSE(WEEKDAY(A10),"Domingo","Segunda-feira","Terça-feira","Quarta-feira","Quinta-feira","Sexta-feira","Sábado")</f>
        <v>Segunda-feira</v>
      </c>
      <c r="C10" s="23" t="n">
        <f aca="false">COUNTIFS(Dados_Filtrados!$H$2:$H$1380,A10)</f>
        <v>147</v>
      </c>
      <c r="D10" s="24" t="n">
        <f aca="false">IFERROR(COUNTIFS(Dados_Filtrados!$H$2:$H$1380,A10,Dados_Filtrados!$J$2:$J$1380,"FATURADO")/C10,0)</f>
        <v>0.789115646258503</v>
      </c>
      <c r="E10" s="25" t="n">
        <f aca="false">SUMIFS(Dados_Filtrados!$B$2:$B$1380,Dados_Filtrados!$H$2:$H$1380,A10)</f>
        <v>127180.13</v>
      </c>
      <c r="F10" s="26" t="n">
        <f aca="false">E10/1000</f>
        <v>127.18013</v>
      </c>
      <c r="G10" s="27" t="n">
        <f aca="false">Dimensionamento!$B$17</f>
        <v>35</v>
      </c>
      <c r="H10" s="27" t="n">
        <f aca="false">Dimensionamento!$B$18</f>
        <v>40</v>
      </c>
      <c r="I10" s="24" t="n">
        <f aca="false">F10/H10</f>
        <v>3.17950325</v>
      </c>
      <c r="J10" s="23" t="str">
        <f aca="false">IF(F10&gt;H10,"ACIMA DA CAPACIDADE",IF(F10&lt;G10,"ABAIXO DA CAPACIDADE","DENTRO DA FAIXA"))</f>
        <v>ACIMA DA CAPACIDADE</v>
      </c>
      <c r="K10" s="27" t="n">
        <f aca="false">F10/Dimensionamento!$B$23</f>
        <v>25.436026</v>
      </c>
      <c r="L10" s="28" t="n">
        <f aca="false">K10-Dimensionamento!$B$12</f>
        <v>17.436026</v>
      </c>
    </row>
    <row r="11" customFormat="false" ht="15" hidden="false" customHeight="true" outlineLevel="0" collapsed="false">
      <c r="A11" s="22" t="n">
        <v>46280</v>
      </c>
      <c r="B11" s="23" t="str">
        <f aca="false">CHOOSE(WEEKDAY(A11),"Domingo","Segunda-feira","Terça-feira","Quarta-feira","Quinta-feira","Sexta-feira","Sábado")</f>
        <v>Terça-feira</v>
      </c>
      <c r="C11" s="23" t="n">
        <f aca="false">COUNTIFS(Dados_Filtrados!$H$2:$H$1380,A11)</f>
        <v>81</v>
      </c>
      <c r="D11" s="24" t="n">
        <f aca="false">IFERROR(COUNTIFS(Dados_Filtrados!$H$2:$H$1380,A11,Dados_Filtrados!$J$2:$J$1380,"FATURADO")/C11,0)</f>
        <v>0.839506172839506</v>
      </c>
      <c r="E11" s="25" t="n">
        <f aca="false">SUMIFS(Dados_Filtrados!$B$2:$B$1380,Dados_Filtrados!$H$2:$H$1380,A11)</f>
        <v>68043</v>
      </c>
      <c r="F11" s="26" t="n">
        <f aca="false">E11/1000</f>
        <v>68.043</v>
      </c>
      <c r="G11" s="27" t="n">
        <f aca="false">Dimensionamento!$B$17</f>
        <v>35</v>
      </c>
      <c r="H11" s="27" t="n">
        <f aca="false">Dimensionamento!$B$18</f>
        <v>40</v>
      </c>
      <c r="I11" s="24" t="n">
        <f aca="false">F11/H11</f>
        <v>1.701075</v>
      </c>
      <c r="J11" s="23" t="str">
        <f aca="false">IF(F11&gt;H11,"ACIMA DA CAPACIDADE",IF(F11&lt;G11,"ABAIXO DA CAPACIDADE","DENTRO DA FAIXA"))</f>
        <v>ACIMA DA CAPACIDADE</v>
      </c>
      <c r="K11" s="27" t="n">
        <f aca="false">F11/Dimensionamento!$B$23</f>
        <v>13.6086</v>
      </c>
      <c r="L11" s="28" t="n">
        <f aca="false">K11-Dimensionamento!$B$12</f>
        <v>5.6086</v>
      </c>
    </row>
    <row r="12" customFormat="false" ht="15" hidden="false" customHeight="true" outlineLevel="0" collapsed="false">
      <c r="A12" s="22" t="n">
        <v>46281</v>
      </c>
      <c r="B12" s="23" t="str">
        <f aca="false">CHOOSE(WEEKDAY(A12),"Domingo","Segunda-feira","Terça-feira","Quarta-feira","Quinta-feira","Sexta-feira","Sábado")</f>
        <v>Quarta-feira</v>
      </c>
      <c r="C12" s="23" t="n">
        <f aca="false">COUNTIFS(Dados_Filtrados!$H$2:$H$1380,A12)</f>
        <v>217</v>
      </c>
      <c r="D12" s="24" t="n">
        <f aca="false">IFERROR(COUNTIFS(Dados_Filtrados!$H$2:$H$1380,A12,Dados_Filtrados!$J$2:$J$1380,"FATURADO")/C12,0)</f>
        <v>0.889400921658986</v>
      </c>
      <c r="E12" s="25" t="n">
        <f aca="false">SUMIFS(Dados_Filtrados!$B$2:$B$1380,Dados_Filtrados!$H$2:$H$1380,A12)</f>
        <v>47813.547</v>
      </c>
      <c r="F12" s="26" t="n">
        <f aca="false">E12/1000</f>
        <v>47.813547</v>
      </c>
      <c r="G12" s="27" t="n">
        <f aca="false">Dimensionamento!$B$17</f>
        <v>35</v>
      </c>
      <c r="H12" s="27" t="n">
        <f aca="false">Dimensionamento!$B$18</f>
        <v>40</v>
      </c>
      <c r="I12" s="24" t="n">
        <f aca="false">F12/H12</f>
        <v>1.195338675</v>
      </c>
      <c r="J12" s="23" t="str">
        <f aca="false">IF(F12&gt;H12,"ACIMA DA CAPACIDADE",IF(F12&lt;G12,"ABAIXO DA CAPACIDADE","DENTRO DA FAIXA"))</f>
        <v>ACIMA DA CAPACIDADE</v>
      </c>
      <c r="K12" s="27" t="n">
        <f aca="false">F12/Dimensionamento!$B$23</f>
        <v>9.5627094</v>
      </c>
      <c r="L12" s="28" t="n">
        <f aca="false">K12-Dimensionamento!$B$12</f>
        <v>1.5627094</v>
      </c>
    </row>
    <row r="13" customFormat="false" ht="15" hidden="false" customHeight="true" outlineLevel="0" collapsed="false">
      <c r="A13" s="22" t="n">
        <v>46282</v>
      </c>
      <c r="B13" s="23" t="str">
        <f aca="false">CHOOSE(WEEKDAY(A13),"Domingo","Segunda-feira","Terça-feira","Quarta-feira","Quinta-feira","Sexta-feira","Sábado")</f>
        <v>Quinta-feira</v>
      </c>
      <c r="C13" s="23" t="n">
        <f aca="false">COUNTIFS(Dados_Filtrados!$H$2:$H$1380,A13)</f>
        <v>60</v>
      </c>
      <c r="D13" s="24" t="n">
        <f aca="false">IFERROR(COUNTIFS(Dados_Filtrados!$H$2:$H$1380,A13,Dados_Filtrados!$J$2:$J$1380,"FATURADO")/C13,0)</f>
        <v>0.95</v>
      </c>
      <c r="E13" s="25" t="n">
        <f aca="false">SUMIFS(Dados_Filtrados!$B$2:$B$1380,Dados_Filtrados!$H$2:$H$1380,A13)</f>
        <v>51929.111</v>
      </c>
      <c r="F13" s="26" t="n">
        <f aca="false">E13/1000</f>
        <v>51.929111</v>
      </c>
      <c r="G13" s="27" t="n">
        <f aca="false">Dimensionamento!$B$17</f>
        <v>35</v>
      </c>
      <c r="H13" s="27" t="n">
        <f aca="false">Dimensionamento!$B$18</f>
        <v>40</v>
      </c>
      <c r="I13" s="24" t="n">
        <f aca="false">F13/H13</f>
        <v>1.298227775</v>
      </c>
      <c r="J13" s="23" t="str">
        <f aca="false">IF(F13&gt;H13,"ACIMA DA CAPACIDADE",IF(F13&lt;G13,"ABAIXO DA CAPACIDADE","DENTRO DA FAIXA"))</f>
        <v>ACIMA DA CAPACIDADE</v>
      </c>
      <c r="K13" s="27" t="n">
        <f aca="false">F13/Dimensionamento!$B$23</f>
        <v>10.3858222</v>
      </c>
      <c r="L13" s="28" t="n">
        <f aca="false">K13-Dimensionamento!$B$12</f>
        <v>2.3858222</v>
      </c>
    </row>
    <row r="14" customFormat="false" ht="15" hidden="false" customHeight="true" outlineLevel="0" collapsed="false">
      <c r="A14" s="22" t="n">
        <v>46283</v>
      </c>
      <c r="B14" s="23" t="str">
        <f aca="false">CHOOSE(WEEKDAY(A14),"Domingo","Segunda-feira","Terça-feira","Quarta-feira","Quinta-feira","Sexta-feira","Sábado")</f>
        <v>Sexta-feira</v>
      </c>
      <c r="C14" s="23" t="n">
        <f aca="false">COUNTIFS(Dados_Filtrados!$H$2:$H$1380,A14)</f>
        <v>138</v>
      </c>
      <c r="D14" s="24" t="n">
        <f aca="false">IFERROR(COUNTIFS(Dados_Filtrados!$H$2:$H$1380,A14,Dados_Filtrados!$J$2:$J$1380,"FATURADO")/C14,0)</f>
        <v>0.797101449275362</v>
      </c>
      <c r="E14" s="25" t="n">
        <f aca="false">SUMIFS(Dados_Filtrados!$B$2:$B$1380,Dados_Filtrados!$H$2:$H$1380,A14)</f>
        <v>59660.811</v>
      </c>
      <c r="F14" s="26" t="n">
        <f aca="false">E14/1000</f>
        <v>59.660811</v>
      </c>
      <c r="G14" s="27" t="n">
        <f aca="false">Dimensionamento!$B$17</f>
        <v>35</v>
      </c>
      <c r="H14" s="27" t="n">
        <f aca="false">Dimensionamento!$B$18</f>
        <v>40</v>
      </c>
      <c r="I14" s="24" t="n">
        <f aca="false">F14/H14</f>
        <v>1.491520275</v>
      </c>
      <c r="J14" s="23" t="str">
        <f aca="false">IF(F14&gt;H14,"ACIMA DA CAPACIDADE",IF(F14&lt;G14,"ABAIXO DA CAPACIDADE","DENTRO DA FAIXA"))</f>
        <v>ACIMA DA CAPACIDADE</v>
      </c>
      <c r="K14" s="27" t="n">
        <f aca="false">F14/Dimensionamento!$B$23</f>
        <v>11.9321622</v>
      </c>
      <c r="L14" s="28" t="n">
        <f aca="false">K14-Dimensionamento!$B$12</f>
        <v>3.9321622</v>
      </c>
    </row>
    <row r="15" customFormat="false" ht="15" hidden="false" customHeight="true" outlineLevel="0" collapsed="false">
      <c r="A15" s="22" t="n">
        <v>46284</v>
      </c>
      <c r="B15" s="23" t="str">
        <f aca="false">CHOOSE(WEEKDAY(A15),"Domingo","Segunda-feira","Terça-feira","Quarta-feira","Quinta-feira","Sexta-feira","Sábado")</f>
        <v>Sábado</v>
      </c>
      <c r="C15" s="23" t="n">
        <f aca="false">COUNTIFS(Dados_Filtrados!$H$2:$H$1380,A15)</f>
        <v>278</v>
      </c>
      <c r="D15" s="24" t="n">
        <f aca="false">IFERROR(COUNTIFS(Dados_Filtrados!$H$2:$H$1380,A15,Dados_Filtrados!$J$2:$J$1380,"FATURADO")/C15,0)</f>
        <v>0.0323741007194245</v>
      </c>
      <c r="E15" s="25" t="n">
        <f aca="false">SUMIFS(Dados_Filtrados!$B$2:$B$1380,Dados_Filtrados!$H$2:$H$1380,A15)</f>
        <v>91750.186</v>
      </c>
      <c r="F15" s="26" t="n">
        <f aca="false">E15/1000</f>
        <v>91.750186</v>
      </c>
      <c r="G15" s="27" t="n">
        <f aca="false">Dimensionamento!$B$17</f>
        <v>35</v>
      </c>
      <c r="H15" s="27" t="n">
        <f aca="false">Dimensionamento!$B$18</f>
        <v>40</v>
      </c>
      <c r="I15" s="24" t="n">
        <f aca="false">F15/H15</f>
        <v>2.29375465</v>
      </c>
      <c r="J15" s="23" t="str">
        <f aca="false">IF(F15&gt;H15,"ACIMA DA CAPACIDADE",IF(F15&lt;G15,"ABAIXO DA CAPACIDADE","DENTRO DA FAIXA"))</f>
        <v>ACIMA DA CAPACIDADE</v>
      </c>
      <c r="K15" s="27" t="n">
        <f aca="false">F15/Dimensionamento!$B$23</f>
        <v>18.3500372</v>
      </c>
      <c r="L15" s="28" t="n">
        <f aca="false">K15-Dimensionamento!$B$12</f>
        <v>10.3500372</v>
      </c>
    </row>
    <row r="16" customFormat="false" ht="15" hidden="false" customHeight="true" outlineLevel="0" collapsed="false">
      <c r="A16" s="22" t="n">
        <v>46285</v>
      </c>
      <c r="B16" s="23" t="str">
        <f aca="false">CHOOSE(WEEKDAY(A16),"Domingo","Segunda-feira","Terça-feira","Quarta-feira","Quinta-feira","Sexta-feira","Sábado")</f>
        <v>Domingo</v>
      </c>
      <c r="C16" s="23" t="n">
        <f aca="false">COUNTIFS(Dados_Filtrados!$H$2:$H$1380,A16)</f>
        <v>24</v>
      </c>
      <c r="D16" s="24" t="n">
        <f aca="false">IFERROR(COUNTIFS(Dados_Filtrados!$H$2:$H$1380,A16,Dados_Filtrados!$J$2:$J$1380,"FATURADO")/C16,0)</f>
        <v>0.416666666666667</v>
      </c>
      <c r="E16" s="25" t="n">
        <f aca="false">SUMIFS(Dados_Filtrados!$B$2:$B$1380,Dados_Filtrados!$H$2:$H$1380,A16)</f>
        <v>3840.874</v>
      </c>
      <c r="F16" s="26" t="n">
        <f aca="false">E16/1000</f>
        <v>3.840874</v>
      </c>
      <c r="G16" s="27" t="n">
        <f aca="false">Dimensionamento!$B$17</f>
        <v>35</v>
      </c>
      <c r="H16" s="27" t="n">
        <f aca="false">Dimensionamento!$B$18</f>
        <v>40</v>
      </c>
      <c r="I16" s="24" t="n">
        <f aca="false">F16/H16</f>
        <v>0.09602185</v>
      </c>
      <c r="J16" s="23" t="str">
        <f aca="false">IF(F16&gt;H16,"ACIMA DA CAPACIDADE",IF(F16&lt;G16,"ABAIXO DA CAPACIDADE","DENTRO DA FAIXA"))</f>
        <v>ABAIXO DA CAPACIDADE</v>
      </c>
      <c r="K16" s="27" t="n">
        <f aca="false">F16/Dimensionamento!$B$23</f>
        <v>0.7681748</v>
      </c>
      <c r="L16" s="28" t="n">
        <f aca="false">K16-Dimensionamento!$B$12</f>
        <v>-7.2318252</v>
      </c>
    </row>
    <row r="17" customFormat="false" ht="15" hidden="false" customHeight="true" outlineLevel="0" collapsed="false">
      <c r="A17" s="22" t="n">
        <v>46286</v>
      </c>
      <c r="B17" s="23" t="str">
        <f aca="false">CHOOSE(WEEKDAY(A17),"Domingo","Segunda-feira","Terça-feira","Quarta-feira","Quinta-feira","Sexta-feira","Sábado")</f>
        <v>Segunda-feira</v>
      </c>
      <c r="C17" s="23" t="n">
        <f aca="false">COUNTIFS(Dados_Filtrados!$H$2:$H$1380,A17)</f>
        <v>50</v>
      </c>
      <c r="D17" s="24" t="n">
        <f aca="false">IFERROR(COUNTIFS(Dados_Filtrados!$H$2:$H$1380,A17,Dados_Filtrados!$J$2:$J$1380,"FATURADO")/C17,0)</f>
        <v>0.48</v>
      </c>
      <c r="E17" s="25" t="n">
        <f aca="false">SUMIFS(Dados_Filtrados!$B$2:$B$1380,Dados_Filtrados!$H$2:$H$1380,A17)</f>
        <v>6780.298</v>
      </c>
      <c r="F17" s="26" t="n">
        <f aca="false">E17/1000</f>
        <v>6.780298</v>
      </c>
      <c r="G17" s="27" t="n">
        <f aca="false">Dimensionamento!$B$17</f>
        <v>35</v>
      </c>
      <c r="H17" s="27" t="n">
        <f aca="false">Dimensionamento!$B$18</f>
        <v>40</v>
      </c>
      <c r="I17" s="24" t="n">
        <f aca="false">F17/H17</f>
        <v>0.16950745</v>
      </c>
      <c r="J17" s="23" t="str">
        <f aca="false">IF(F17&gt;H17,"ACIMA DA CAPACIDADE",IF(F17&lt;G17,"ABAIXO DA CAPACIDADE","DENTRO DA FAIXA"))</f>
        <v>ABAIXO DA CAPACIDADE</v>
      </c>
      <c r="K17" s="27" t="n">
        <f aca="false">F17/Dimensionamento!$B$23</f>
        <v>1.3560596</v>
      </c>
      <c r="L17" s="28" t="n">
        <f aca="false">K17-Dimensionamento!$B$12</f>
        <v>-6.6439404</v>
      </c>
    </row>
    <row r="18" customFormat="false" ht="15" hidden="false" customHeight="true" outlineLevel="0" collapsed="false">
      <c r="A18" s="29" t="s">
        <v>2763</v>
      </c>
      <c r="B18" s="30"/>
      <c r="C18" s="29" t="n">
        <f aca="false">SUM(C5:C17)</f>
        <v>1379</v>
      </c>
      <c r="D18" s="30"/>
      <c r="E18" s="31" t="n">
        <f aca="false">SUM(E5:E17)</f>
        <v>586872.636</v>
      </c>
      <c r="F18" s="32" t="n">
        <f aca="false">SUM(F5:F17)</f>
        <v>586.872636</v>
      </c>
      <c r="G18" s="30"/>
      <c r="H18" s="30"/>
      <c r="I18" s="33" t="n">
        <f aca="false">AVERAGE(I5:I17)</f>
        <v>1.12860122307692</v>
      </c>
      <c r="J18" s="30"/>
      <c r="K18" s="30"/>
      <c r="L18" s="30"/>
    </row>
  </sheetData>
  <mergeCells count="2">
    <mergeCell ref="A1:L1"/>
    <mergeCell ref="A2:L2"/>
  </mergeCells>
  <conditionalFormatting sqref="J5:J17">
    <cfRule type="cellIs" priority="2" operator="equal" aboveAverage="0" equalAverage="0" bottom="0" percent="0" rank="0" text="" dxfId="0">
      <formula>"ACIMA DA CAPACIDADE"</formula>
    </cfRule>
    <cfRule type="cellIs" priority="3" operator="equal" aboveAverage="0" equalAverage="0" bottom="0" percent="0" rank="0" text="" dxfId="1">
      <formula>"DENTRO DA FAIXA"</formula>
    </cfRule>
    <cfRule type="cellIs" priority="4" operator="equal" aboveAverage="0" equalAverage="0" bottom="0" percent="0" rank="0" text="" dxfId="2">
      <formula>"ABAIXO DA CAPACIDADE"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2026-09-20T20:14:03Z</dcterms:created>
  <dc:creator>openpyxl</dc:creator>
  <dc:description/>
  <dc:language>en-US</dc:language>
  <cp:lastModifiedBy/>
  <dcterms:modified xsi:type="dcterms:W3CDTF">2026-09-20T20:35:18Z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