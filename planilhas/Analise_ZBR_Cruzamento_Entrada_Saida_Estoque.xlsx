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vmlDrawing1.vml" ContentType="application/vnd.openxmlformats-officedocument.vmlDrawing"/>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inel" sheetId="1" state="visible" r:id="rId3"/>
    <sheet name="Cruzamento" sheetId="2" state="visible" r:id="rId4"/>
    <sheet name="Lançamentos" sheetId="3" state="visible" r:id="rId5"/>
    <sheet name="Estoque físico" sheetId="4" state="visible" r:id="rId6"/>
    <sheet name="Entrada" sheetId="5" state="visible" r:id="rId7"/>
    <sheet name="Saida" sheetId="6" state="visible" r:id="rId8"/>
    <sheet name="Resumo" sheetId="7" state="hidden" r:id="rId9"/>
    <sheet name="Cruzamento por Material" sheetId="8" state="hidden" r:id="rId10"/>
    <sheet name="Cruzamento por Lote" sheetId="9" state="hidden" r:id="rId11"/>
  </sheets>
  <definedNames>
    <definedName function="false" hidden="true" localSheetId="1" name="_xlnm._FilterDatabase" vbProcedure="false">Cruzamento!$A$12:$K$106</definedName>
    <definedName function="false" hidden="true" localSheetId="8" name="_xlnm._FilterDatabase" vbProcedure="false">'Cruzamento por Lote'!$A$4:$L$98</definedName>
    <definedName function="false" hidden="true" localSheetId="7" name="_xlnm._FilterDatabase" vbProcedure="false">'Cruzamento por Material'!$A$4:$K$54</definedName>
    <definedName function="false" hidden="true" localSheetId="4" name="_xlnm._FilterDatabase" vbProcedure="false">Entrada!$A$1:$L$202</definedName>
    <definedName function="false" hidden="true" localSheetId="3" name="_xlnm._FilterDatabase" vbProcedure="false">'Estoque físico'!$A$1:$P$229</definedName>
    <definedName function="false" hidden="false" localSheetId="0" name="_xlnm.Print_Area" vbProcedure="false">Painel!$A$1:$L$130</definedName>
    <definedName function="false" hidden="true" localSheetId="5" name="_xlnm._FilterDatabase" vbProcedure="false">Saida!$A$1:$R$406</definedName>
    <definedName function="false" hidden="false" name="ListaDatas" vbProcedure="false">Painel!$AU$1:$AU$23</definedName>
    <definedName function="false" hidden="false" name="ListaLotes" vbProcedure="false">OFFSET(Painel!$AV$1,0,0,1+MAX(Painel!$AY$1:$AY$94),1)</definedName>
    <definedName function="false" hidden="false" name="ListaMovimentacao" vbProcedure="false">Painel!$BA$1:$BA$5</definedName>
    <definedName function="false" hidden="false" name="ListaProdutos" vbProcedure="false">Painel!$AS$1:$AS$51</definedName>
    <definedName function="false" hidden="false" name="ListaUnidades" vbProcedure="false">Painel!$AZ$1:$AZ$3</definedName>
  </definedName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Lançamentos POSITIVOS no depósito 2008 até esta data são tratados como chegada da importação (ficam no 2008, não entram no ZBR). Positivos depois desta data são estornos de transferência. Premissa inferida dos dados (todos os positivos até 15/09 são recebimentos em lote; os posteriores anulam transferências).</t>
        </r>
      </text>
    </comment>
  </commentList>
</comments>
</file>

<file path=xl/sharedStrings.xml><?xml version="1.0" encoding="utf-8"?>
<sst xmlns="http://schemas.openxmlformats.org/spreadsheetml/2006/main" count="14678" uniqueCount="1673">
  <si>
    <t xml:space="preserve">Painel ZBR Importado</t>
  </si>
  <si>
    <t xml:space="preserve">Todos</t>
  </si>
  <si>
    <t xml:space="preserve">2665-E4-U71</t>
  </si>
  <si>
    <t xml:space="preserve">252800202</t>
  </si>
  <si>
    <t xml:space="preserve">KG</t>
  </si>
  <si>
    <t xml:space="preserve">Todas</t>
  </si>
  <si>
    <t xml:space="preserve">Entradas, saídas e estoque físico por SKU e lote · centro BR01 · movimentos de 09/09 a 01/10/2026</t>
  </si>
  <si>
    <t xml:space="preserve">70-30-38-BR-25A</t>
  </si>
  <si>
    <t xml:space="preserve">260070301</t>
  </si>
  <si>
    <t xml:space="preserve">UN</t>
  </si>
  <si>
    <t xml:space="preserve">Entrada</t>
  </si>
  <si>
    <t xml:space="preserve">260370301</t>
  </si>
  <si>
    <t xml:space="preserve">CX</t>
  </si>
  <si>
    <t xml:space="preserve">Saída</t>
  </si>
  <si>
    <t xml:space="preserve">SKU</t>
  </si>
  <si>
    <t xml:space="preserve">LOTE</t>
  </si>
  <si>
    <t xml:space="preserve">DATA INICIAL</t>
  </si>
  <si>
    <t xml:space="preserve">DATA FINAL</t>
  </si>
  <si>
    <t xml:space="preserve">UNIDADE</t>
  </si>
  <si>
    <t xml:space="preserve">MOVIMENTAÇÃO</t>
  </si>
  <si>
    <t xml:space="preserve">70-30-38-BR-D94</t>
  </si>
  <si>
    <t xml:space="preserve">253213449</t>
  </si>
  <si>
    <t xml:space="preserve">Recebido no 2008</t>
  </si>
  <si>
    <t xml:space="preserve">805-BR-D94</t>
  </si>
  <si>
    <t xml:space="preserve">251633359</t>
  </si>
  <si>
    <t xml:space="preserve">Estorno</t>
  </si>
  <si>
    <t xml:space="preserve">▼ Filtros: clique numa célula azul e depois na seta que aparece ao lado para escolher. “Todos” mostra tudo. A lista de lotes mostra só os lotes do SKU escolhido.</t>
  </si>
  <si>
    <t xml:space="preserve">811-BR-25A</t>
  </si>
  <si>
    <t xml:space="preserve">260130779</t>
  </si>
  <si>
    <t xml:space="preserve">811-BR-D94</t>
  </si>
  <si>
    <t xml:space="preserve">250880301</t>
  </si>
  <si>
    <t xml:space="preserve">811NV-132</t>
  </si>
  <si>
    <t xml:space="preserve">252450301</t>
  </si>
  <si>
    <t xml:space="preserve">811NV-595</t>
  </si>
  <si>
    <t xml:space="preserve">251643289</t>
  </si>
  <si>
    <t xml:space="preserve">823-BR-25A</t>
  </si>
  <si>
    <t xml:space="preserve">252510301</t>
  </si>
  <si>
    <t xml:space="preserve">transferido do 2008 para o ZBR</t>
  </si>
  <si>
    <t xml:space="preserve">vendas e entregas</t>
  </si>
  <si>
    <t xml:space="preserve">entrou − saiu</t>
  </si>
  <si>
    <t xml:space="preserve">o que tem no depósito hoje</t>
  </si>
  <si>
    <t xml:space="preserve">823-BR-D94</t>
  </si>
  <si>
    <t xml:space="preserve">253280301</t>
  </si>
  <si>
    <t xml:space="preserve">823NV-132</t>
  </si>
  <si>
    <t xml:space="preserve">260900702</t>
  </si>
  <si>
    <t xml:space="preserve">Movimentação por dia</t>
  </si>
  <si>
    <t xml:space="preserve">Maiores diferenças</t>
  </si>
  <si>
    <t xml:space="preserve">823NV-595</t>
  </si>
  <si>
    <t xml:space="preserve">260920702</t>
  </si>
  <si>
    <t xml:space="preserve">Azul: entrou no ZBR · Laranja: saiu (abaixo de zero). Recebimentos no 2008 ficam fora.</t>
  </si>
  <si>
    <t xml:space="preserve">Por SKU · lote. Diferença = estoque físico − (entrou − saiu). Amarelo: sobrando · Vermelho: faltando.</t>
  </si>
  <si>
    <t xml:space="preserve">BIG-PF-1BO-401</t>
  </si>
  <si>
    <t xml:space="preserve">261146101</t>
  </si>
  <si>
    <t xml:space="preserve">CHD-BB-308BY-357</t>
  </si>
  <si>
    <t xml:space="preserve">261146102</t>
  </si>
  <si>
    <t xml:space="preserve">CHD-DR-75Y5-E1-U68</t>
  </si>
  <si>
    <t xml:space="preserve">252100301</t>
  </si>
  <si>
    <t xml:space="preserve">CHD-SP-1M-2B-U77</t>
  </si>
  <si>
    <t xml:space="preserve">252900303</t>
  </si>
  <si>
    <t xml:space="preserve">CHD-SP-1M-BR-U73</t>
  </si>
  <si>
    <t xml:space="preserve">252940301</t>
  </si>
  <si>
    <t xml:space="preserve">CHD-SP-9Z4-BR-U73</t>
  </si>
  <si>
    <t xml:space="preserve">252103049</t>
  </si>
  <si>
    <t xml:space="preserve">CHD-TS-22350E0-999</t>
  </si>
  <si>
    <t xml:space="preserve">260880201</t>
  </si>
  <si>
    <t xml:space="preserve">CHD-VR-Z2S-E0-U68</t>
  </si>
  <si>
    <t xml:space="preserve">260416102</t>
  </si>
  <si>
    <t xml:space="preserve">CHK-D-413</t>
  </si>
  <si>
    <t xml:space="preserve">261376101</t>
  </si>
  <si>
    <t xml:space="preserve">CHK-R30GOLD-BR-25A</t>
  </si>
  <si>
    <t xml:space="preserve">26044019</t>
  </si>
  <si>
    <t xml:space="preserve">CHK-R30GOLD-E0-D94</t>
  </si>
  <si>
    <t xml:space="preserve">26093039</t>
  </si>
  <si>
    <t xml:space="preserve">CHK-W-413</t>
  </si>
  <si>
    <t xml:space="preserve">26126039</t>
  </si>
  <si>
    <t xml:space="preserve">CHM-BS-9U15-E0-07B</t>
  </si>
  <si>
    <t xml:space="preserve">250827800</t>
  </si>
  <si>
    <t xml:space="preserve">CHM-CU-7X80-E5-U70</t>
  </si>
  <si>
    <t xml:space="preserve">2529678000</t>
  </si>
  <si>
    <t xml:space="preserve">CHM-Q41ALUN-2B-U73</t>
  </si>
  <si>
    <t xml:space="preserve">2529778000</t>
  </si>
  <si>
    <t xml:space="preserve">CHM-SP-Z3L-BR-U73</t>
  </si>
  <si>
    <t xml:space="preserve">2609078000</t>
  </si>
  <si>
    <t xml:space="preserve">CHM-SP-Z3L-E0-U72</t>
  </si>
  <si>
    <t xml:space="preserve">2609178000</t>
  </si>
  <si>
    <t xml:space="preserve">CHM-TS-22351E0-999</t>
  </si>
  <si>
    <t xml:space="preserve">2611378000</t>
  </si>
  <si>
    <t xml:space="preserve">Cruzamento por SKU e lote</t>
  </si>
  <si>
    <t xml:space="preserve">CHM-TS-P23-E0-999</t>
  </si>
  <si>
    <t xml:space="preserve">252810301</t>
  </si>
  <si>
    <t xml:space="preserve">UM</t>
  </si>
  <si>
    <t xml:space="preserve">RECEBIDO 2008</t>
  </si>
  <si>
    <t xml:space="preserve">ENTROU</t>
  </si>
  <si>
    <t xml:space="preserve">SAIU</t>
  </si>
  <si>
    <t xml:space="preserve">DEVERIA TER</t>
  </si>
  <si>
    <t xml:space="preserve">ESTOQUE FÍSICO</t>
  </si>
  <si>
    <t xml:space="preserve">DIFERENÇA</t>
  </si>
  <si>
    <t xml:space="preserve">SITUAÇÃO</t>
  </si>
  <si>
    <t xml:space="preserve">LANÇAMENTOS</t>
  </si>
  <si>
    <t xml:space="preserve">DESCRIÇÃO</t>
  </si>
  <si>
    <t xml:space="preserve">CHM-VR-Z3S-E0-U68</t>
  </si>
  <si>
    <t xml:space="preserve">260880101</t>
  </si>
  <si>
    <t xml:space="preserve">CHM-VR-Z3S-E0-U72</t>
  </si>
  <si>
    <t xml:space="preserve">260310301</t>
  </si>
  <si>
    <t xml:space="preserve">CHP-20SICHP-760</t>
  </si>
  <si>
    <t xml:space="preserve">260880301</t>
  </si>
  <si>
    <t xml:space="preserve">CHR-Q37RB2-2B-U75</t>
  </si>
  <si>
    <t xml:space="preserve">250500301</t>
  </si>
  <si>
    <t xml:space="preserve">CHR-Q37RB2-E0-D94</t>
  </si>
  <si>
    <t xml:space="preserve">2520443650</t>
  </si>
  <si>
    <t xml:space="preserve">CW2-BR-25A</t>
  </si>
  <si>
    <t xml:space="preserve">261160301</t>
  </si>
  <si>
    <t xml:space="preserve">Produto</t>
  </si>
  <si>
    <t xml:space="preserve">Sobrando</t>
  </si>
  <si>
    <t xml:space="preserve">Faltando</t>
  </si>
  <si>
    <t xml:space="preserve">Entrou no ZBR</t>
  </si>
  <si>
    <t xml:space="preserve">Saiu</t>
  </si>
  <si>
    <t xml:space="preserve">CW2NV-595</t>
  </si>
  <si>
    <t xml:space="preserve">261756201</t>
  </si>
  <si>
    <t xml:space="preserve">CA MOEDAS 2,01KG/UC 10UC/CX 30CX/PAL</t>
  </si>
  <si>
    <t xml:space="preserve">261130301</t>
  </si>
  <si>
    <t xml:space="preserve">09/09</t>
  </si>
  <si>
    <t xml:space="preserve">DCP-10BONOI-89B</t>
  </si>
  <si>
    <t xml:space="preserve">252750301</t>
  </si>
  <si>
    <t xml:space="preserve">2605567696</t>
  </si>
  <si>
    <t xml:space="preserve">10/09</t>
  </si>
  <si>
    <t xml:space="preserve">DCP-20BODEC-89B</t>
  </si>
  <si>
    <t xml:space="preserve">253620301</t>
  </si>
  <si>
    <t xml:space="preserve">CB PAILLETÉ FEUILLETINE 2.5KG/UC 4UC/BOX</t>
  </si>
  <si>
    <t xml:space="preserve">11/09</t>
  </si>
  <si>
    <t xml:space="preserve">DCP-22ZEPLA-89B</t>
  </si>
  <si>
    <t xml:space="preserve">NIBS-S502-X47</t>
  </si>
  <si>
    <t xml:space="preserve">CA NIBS S 0.8KG/UC 4UC/BOX 120BOX/PAL</t>
  </si>
  <si>
    <t xml:space="preserve">253490619</t>
  </si>
  <si>
    <t xml:space="preserve">12/09</t>
  </si>
  <si>
    <t xml:space="preserve">GIA-145</t>
  </si>
  <si>
    <t xml:space="preserve">260720939</t>
  </si>
  <si>
    <t xml:space="preserve">CB EXTRUDED 8CM STICKS 1.6KG/UC 15UC/BOX</t>
  </si>
  <si>
    <t xml:space="preserve">13/09</t>
  </si>
  <si>
    <t xml:space="preserve">MALCHOC-D-123</t>
  </si>
  <si>
    <t xml:space="preserve">260536201</t>
  </si>
  <si>
    <t xml:space="preserve">CA MOEDAS 0,4KG/UC 7UC/CX 144CX/PAL</t>
  </si>
  <si>
    <t xml:space="preserve">14/09</t>
  </si>
  <si>
    <t xml:space="preserve">260701069</t>
  </si>
  <si>
    <t xml:space="preserve">CA MILK LARGE FLAKES SPLITTERS 1KG/UC</t>
  </si>
  <si>
    <t xml:space="preserve">251880301</t>
  </si>
  <si>
    <t xml:space="preserve">15/09</t>
  </si>
  <si>
    <t xml:space="preserve">PNP-T14</t>
  </si>
  <si>
    <t xml:space="preserve">2528749307</t>
  </si>
  <si>
    <t xml:space="preserve">96_FU:CHD-SP-1L-BR-U73</t>
  </si>
  <si>
    <t xml:space="preserve">16/09</t>
  </si>
  <si>
    <t xml:space="preserve">PRA-T14</t>
  </si>
  <si>
    <t xml:space="preserve">260660303</t>
  </si>
  <si>
    <t xml:space="preserve">17/09</t>
  </si>
  <si>
    <t xml:space="preserve">SPLIT-4-D-413</t>
  </si>
  <si>
    <t xml:space="preserve">18/09</t>
  </si>
  <si>
    <t xml:space="preserve">SPLIT-4-M-413</t>
  </si>
  <si>
    <t xml:space="preserve">W3-BR-25A</t>
  </si>
  <si>
    <t xml:space="preserve">253540301</t>
  </si>
  <si>
    <t xml:space="preserve">19/09</t>
  </si>
  <si>
    <t xml:space="preserve">W2-BR-D94</t>
  </si>
  <si>
    <t xml:space="preserve">253100102</t>
  </si>
  <si>
    <t xml:space="preserve">253470301</t>
  </si>
  <si>
    <t xml:space="preserve">20/09</t>
  </si>
  <si>
    <t xml:space="preserve">260580101</t>
  </si>
  <si>
    <t xml:space="preserve">CA SILKY CHOCO POWDER POWDER 1KG/UC</t>
  </si>
  <si>
    <t xml:space="preserve">252843369</t>
  </si>
  <si>
    <t xml:space="preserve">21/09</t>
  </si>
  <si>
    <t xml:space="preserve">2522444420</t>
  </si>
  <si>
    <t xml:space="preserve">22/09</t>
  </si>
  <si>
    <t xml:space="preserve">2525950306</t>
  </si>
  <si>
    <t xml:space="preserve">23/09</t>
  </si>
  <si>
    <t xml:space="preserve">2526050307</t>
  </si>
  <si>
    <t xml:space="preserve">CA MILK BLOSSOMS BLOSSOMS 1KG/UC 4UC/BOX</t>
  </si>
  <si>
    <t xml:space="preserve">24/09</t>
  </si>
  <si>
    <t xml:space="preserve">25/09</t>
  </si>
  <si>
    <t xml:space="preserve">260400301</t>
  </si>
  <si>
    <t xml:space="preserve">252650301</t>
  </si>
  <si>
    <t xml:space="preserve">26/09</t>
  </si>
  <si>
    <t xml:space="preserve">260600103</t>
  </si>
  <si>
    <t xml:space="preserve">242643099</t>
  </si>
  <si>
    <t xml:space="preserve">27/09</t>
  </si>
  <si>
    <t xml:space="preserve">28/09</t>
  </si>
  <si>
    <t xml:space="preserve">261320202</t>
  </si>
  <si>
    <t xml:space="preserve">29/09</t>
  </si>
  <si>
    <t xml:space="preserve">261320203</t>
  </si>
  <si>
    <t xml:space="preserve">CA CALLETS 0.4KG/UC 7UC/BOX 144BOX/PAL</t>
  </si>
  <si>
    <t xml:space="preserve">30/09</t>
  </si>
  <si>
    <t xml:space="preserve">261301539</t>
  </si>
  <si>
    <t xml:space="preserve">01/10</t>
  </si>
  <si>
    <t xml:space="preserve">252350301</t>
  </si>
  <si>
    <t xml:space="preserve">CA CHOCOCUBES CHUNKS 700CT/KG 2.5KG/UC</t>
  </si>
  <si>
    <t xml:space="preserve">252590301</t>
  </si>
  <si>
    <t xml:space="preserve">261070301</t>
  </si>
  <si>
    <t xml:space="preserve">261080301</t>
  </si>
  <si>
    <t xml:space="preserve">260850602</t>
  </si>
  <si>
    <t xml:space="preserve">261070601</t>
  </si>
  <si>
    <t xml:space="preserve">260778132</t>
  </si>
  <si>
    <t xml:space="preserve">261388131</t>
  </si>
  <si>
    <t xml:space="preserve">96_FU:811NV-50C_CA BLOCKS 5KG/UC 5UC</t>
  </si>
  <si>
    <t xml:space="preserve">260348131</t>
  </si>
  <si>
    <t xml:space="preserve">260358131</t>
  </si>
  <si>
    <t xml:space="preserve">CA CALLETS 10KG/UC 2UC/BOX 30BOX/PAL</t>
  </si>
  <si>
    <t xml:space="preserve">2518442009</t>
  </si>
  <si>
    <t xml:space="preserve">261060203</t>
  </si>
  <si>
    <t xml:space="preserve">252643099</t>
  </si>
  <si>
    <t xml:space="preserve">252683099</t>
  </si>
  <si>
    <t xml:space="preserve">260341149</t>
  </si>
  <si>
    <t xml:space="preserve">260611429</t>
  </si>
  <si>
    <t xml:space="preserve">260691479</t>
  </si>
  <si>
    <t xml:space="preserve">2608294084</t>
  </si>
  <si>
    <t xml:space="preserve">2613495951</t>
  </si>
  <si>
    <t xml:space="preserve">2611295089</t>
  </si>
  <si>
    <t xml:space="preserve">2611895339</t>
  </si>
  <si>
    <t xml:space="preserve">261826201</t>
  </si>
  <si>
    <t xml:space="preserve">CB CHIPS 7500CT/KG 1KG/UC 6UC/CX</t>
  </si>
  <si>
    <t xml:space="preserve">261596201</t>
  </si>
  <si>
    <t xml:space="preserve">252232739</t>
  </si>
  <si>
    <t xml:space="preserve">260700919</t>
  </si>
  <si>
    <t xml:space="preserve">261131599</t>
  </si>
  <si>
    <t xml:space="preserve">261181599</t>
  </si>
  <si>
    <t xml:space="preserve">261391599</t>
  </si>
  <si>
    <t xml:space="preserve">CA RUBY CALLETS 2.5KG/UC 4UC/BOX</t>
  </si>
  <si>
    <t xml:space="preserve">CA BOTANICAL NOIR INTENSE 1KG/UC 6UC/BOX</t>
  </si>
  <si>
    <t xml:space="preserve">CA BLOCKS 5KG/UC 5UC/BOX 40BOX/PAL</t>
  </si>
  <si>
    <t xml:space="preserve">CA 5KG/UC 2UC/BOX 50BOX/PAL</t>
  </si>
  <si>
    <t xml:space="preserve">Entrou = transferido do depósito 2008 para o ZBR (estornos já descontados). Saiu = vendas e entregas. Recebido no 2008 = importação que chegou e ainda não foi transferida.</t>
  </si>
  <si>
    <t xml:space="preserve">Sobras grandes podem ser estoque de antes de 09/09: o arquivo não traz o saldo inicial.</t>
  </si>
  <si>
    <t xml:space="preserve">Uma linha para cada SKU + lote · movimentos de 09/09 a 01/10/2026</t>
  </si>
  <si>
    <t xml:space="preserve">COMO LER</t>
  </si>
  <si>
    <t xml:space="preserve">ENTROU − SAIU = DEVERIA TER.  Depois compare com o ESTOQUE FÍSICO (o que tem no depósito hoje).</t>
  </si>
  <si>
    <t xml:space="preserve">DIFERENÇA = Estoque físico − Deveria ter.   0 = Confere  ·  positivo = Sobrando  ·  negativo = Faltando.</t>
  </si>
  <si>
    <t xml:space="preserve">SKU·LOTE CONFEREM</t>
  </si>
  <si>
    <t xml:space="preserve">SKU·LOTE SOBRANDO</t>
  </si>
  <si>
    <t xml:space="preserve">SKU·LOTE FALTANDO</t>
  </si>
  <si>
    <t xml:space="preserve">O QUE FAZER</t>
  </si>
  <si>
    <t xml:space="preserve">Ordem: primeiro FALTANDO, depois SOBRANDO (do maior para o menor) e por último CONFERE. Use as setas do cabeçalho para filtrar por SKU ou lote.</t>
  </si>
  <si>
    <t xml:space="preserve">Para ver cada movimento de um SKU/lote, use a aba "Lançamentos". Abas cinza = dados originais do SAP.</t>
  </si>
  <si>
    <t xml:space="preserve">DATA</t>
  </si>
  <si>
    <t xml:space="preserve">DEPÓSITO</t>
  </si>
  <si>
    <t xml:space="preserve">QTD NO SAP</t>
  </si>
  <si>
    <t xml:space="preserve">SALDO (±)</t>
  </si>
  <si>
    <t xml:space="preserve">DOCUMENTO</t>
  </si>
  <si>
    <t xml:space="preserve">CÓD. CLIENTE</t>
  </si>
  <si>
    <t xml:space="preserve">CLIENTE</t>
  </si>
  <si>
    <t xml:space="preserve">USUÁRIO</t>
  </si>
  <si>
    <t xml:space="preserve">9999</t>
  </si>
  <si>
    <t xml:space="preserve">4903838325</t>
  </si>
  <si>
    <t xml:space="preserve">51879</t>
  </si>
  <si>
    <t xml:space="preserve">TRANSELPE LTDA. - EPP</t>
  </si>
  <si>
    <t xml:space="preserve">BC140676</t>
  </si>
  <si>
    <t xml:space="preserve">2008</t>
  </si>
  <si>
    <t xml:space="preserve">4903843886</t>
  </si>
  <si>
    <t xml:space="preserve">4903864964</t>
  </si>
  <si>
    <t xml:space="preserve">0355</t>
  </si>
  <si>
    <t xml:space="preserve">4903867283</t>
  </si>
  <si>
    <t xml:space="preserve">78892</t>
  </si>
  <si>
    <t xml:space="preserve">TANGARA DESENV IMOBIL</t>
  </si>
  <si>
    <t xml:space="preserve">BC025148</t>
  </si>
  <si>
    <t xml:space="preserve">4903867234</t>
  </si>
  <si>
    <t xml:space="preserve">94669</t>
  </si>
  <si>
    <t xml:space="preserve">ARTISANO GELATO LTDA</t>
  </si>
  <si>
    <t xml:space="preserve">4903867892</t>
  </si>
  <si>
    <t xml:space="preserve">43229</t>
  </si>
  <si>
    <t xml:space="preserve">VIMEG COMERCIO DE CHOCOLATES LTDA</t>
  </si>
  <si>
    <t xml:space="preserve">4903865743</t>
  </si>
  <si>
    <t xml:space="preserve">4903869423</t>
  </si>
  <si>
    <t xml:space="preserve">48470</t>
  </si>
  <si>
    <t xml:space="preserve">MARIA CHOCOLATE LTDA</t>
  </si>
  <si>
    <t xml:space="preserve">BC116065</t>
  </si>
  <si>
    <t xml:space="preserve">4903867530</t>
  </si>
  <si>
    <t xml:space="preserve">4903867183</t>
  </si>
  <si>
    <t xml:space="preserve">4903859705</t>
  </si>
  <si>
    <t xml:space="preserve">90486</t>
  </si>
  <si>
    <t xml:space="preserve">GI CARVALHO DOCERIA UBERABA LTDA</t>
  </si>
  <si>
    <t xml:space="preserve">BC147417</t>
  </si>
  <si>
    <t xml:space="preserve">4903866106</t>
  </si>
  <si>
    <t xml:space="preserve">4903863360</t>
  </si>
  <si>
    <t xml:space="preserve">4903864617</t>
  </si>
  <si>
    <t xml:space="preserve">4903868815</t>
  </si>
  <si>
    <t xml:space="preserve">94605</t>
  </si>
  <si>
    <t xml:space="preserve">BAKERY LTDA</t>
  </si>
  <si>
    <t xml:space="preserve">4903867802</t>
  </si>
  <si>
    <t xml:space="preserve">42925</t>
  </si>
  <si>
    <t xml:space="preserve">MORUMBY HOTEIS LTDA</t>
  </si>
  <si>
    <t xml:space="preserve">4903867287</t>
  </si>
  <si>
    <t xml:space="preserve">75158</t>
  </si>
  <si>
    <t xml:space="preserve">ATELIE MJ COMERCIO</t>
  </si>
  <si>
    <t xml:space="preserve">4903868311</t>
  </si>
  <si>
    <t xml:space="preserve">207971</t>
  </si>
  <si>
    <t xml:space="preserve">ALICE DE ANDRADE COUTINHO</t>
  </si>
  <si>
    <t xml:space="preserve">4903867293</t>
  </si>
  <si>
    <t xml:space="preserve">217745</t>
  </si>
  <si>
    <t xml:space="preserve">HBR 66 - INVESTIMENTOS IMOBILIARIOS</t>
  </si>
  <si>
    <t xml:space="preserve">4903864174</t>
  </si>
  <si>
    <t xml:space="preserve">94517</t>
  </si>
  <si>
    <t xml:space="preserve">JANE'S APPLE FACTORY LTDA</t>
  </si>
  <si>
    <t xml:space="preserve">BC129357</t>
  </si>
  <si>
    <t xml:space="preserve">4903881852</t>
  </si>
  <si>
    <t xml:space="preserve">4903880733</t>
  </si>
  <si>
    <t xml:space="preserve">4903872001</t>
  </si>
  <si>
    <t xml:space="preserve">208132</t>
  </si>
  <si>
    <t xml:space="preserve">CASA DO SORVETEIRO CIDADE NOVA LTDA</t>
  </si>
  <si>
    <t xml:space="preserve">4903872462</t>
  </si>
  <si>
    <t xml:space="preserve">204826</t>
  </si>
  <si>
    <t xml:space="preserve">OESTE PRODUTOS PARA FESTAS LTDA</t>
  </si>
  <si>
    <t xml:space="preserve">4903872484</t>
  </si>
  <si>
    <t xml:space="preserve">52011</t>
  </si>
  <si>
    <t xml:space="preserve">CHOCOMEL DOCES E BOMBONIERES LTDA E</t>
  </si>
  <si>
    <t xml:space="preserve">4903881998</t>
  </si>
  <si>
    <t xml:space="preserve">212392</t>
  </si>
  <si>
    <t xml:space="preserve">MILANO COMERCIO VAREJISTA</t>
  </si>
  <si>
    <t xml:space="preserve">BC105440</t>
  </si>
  <si>
    <t xml:space="preserve">4903887109</t>
  </si>
  <si>
    <t xml:space="preserve">56938</t>
  </si>
  <si>
    <t xml:space="preserve">CUNHAPAN DISTRIBUIDORA DE</t>
  </si>
  <si>
    <t xml:space="preserve">4903883571</t>
  </si>
  <si>
    <t xml:space="preserve">219957</t>
  </si>
  <si>
    <t xml:space="preserve">BRUXELAS DOCES LTDA</t>
  </si>
  <si>
    <t xml:space="preserve">BC025150</t>
  </si>
  <si>
    <t xml:space="preserve">4903897767</t>
  </si>
  <si>
    <t xml:space="preserve">54480</t>
  </si>
  <si>
    <t xml:space="preserve">BARRY CALLEBAUT BRASIL INDUSTRIA E</t>
  </si>
  <si>
    <t xml:space="preserve">4903897880</t>
  </si>
  <si>
    <t xml:space="preserve">218057</t>
  </si>
  <si>
    <t xml:space="preserve">GELATO ARTESANAL AMERICANA LTDA</t>
  </si>
  <si>
    <t xml:space="preserve">4903897716</t>
  </si>
  <si>
    <t xml:space="preserve">220705</t>
  </si>
  <si>
    <t xml:space="preserve">CLUBE DO CONFEITEIRO LTDA</t>
  </si>
  <si>
    <t xml:space="preserve">4903897760</t>
  </si>
  <si>
    <t xml:space="preserve">221221</t>
  </si>
  <si>
    <t xml:space="preserve">SWEET HOUSE CHOCOLATEIRA</t>
  </si>
  <si>
    <t xml:space="preserve">4903897766</t>
  </si>
  <si>
    <t xml:space="preserve">207381</t>
  </si>
  <si>
    <t xml:space="preserve">DIO MIO COM DE SORVETES LTDA</t>
  </si>
  <si>
    <t xml:space="preserve">4903903473</t>
  </si>
  <si>
    <t xml:space="preserve">48664</t>
  </si>
  <si>
    <t xml:space="preserve">ORGANIZACOES FARINHA PURA LTDA</t>
  </si>
  <si>
    <t xml:space="preserve">BC130327</t>
  </si>
  <si>
    <t xml:space="preserve">4903905036</t>
  </si>
  <si>
    <t xml:space="preserve">93527</t>
  </si>
  <si>
    <t xml:space="preserve">BRIGADEIRIA E ALGO MAIS LTDA - ME</t>
  </si>
  <si>
    <t xml:space="preserve">4903906285</t>
  </si>
  <si>
    <t xml:space="preserve">206193</t>
  </si>
  <si>
    <t xml:space="preserve">SUPERMERCADOS MAMBO LTDA.</t>
  </si>
  <si>
    <t xml:space="preserve">4903906286</t>
  </si>
  <si>
    <t xml:space="preserve">4903899689</t>
  </si>
  <si>
    <t xml:space="preserve">219760</t>
  </si>
  <si>
    <t xml:space="preserve">64.216.627 PATRICIA DE BIANCHI</t>
  </si>
  <si>
    <t xml:space="preserve">4903899082</t>
  </si>
  <si>
    <t xml:space="preserve">95872</t>
  </si>
  <si>
    <t xml:space="preserve">QUALIDADE RIO CLARO COMERCIO</t>
  </si>
  <si>
    <t xml:space="preserve">4903902650</t>
  </si>
  <si>
    <t xml:space="preserve">98914</t>
  </si>
  <si>
    <t xml:space="preserve">TALHO DELICATESSEN PAD E CONF LTDA</t>
  </si>
  <si>
    <t xml:space="preserve">4903902668</t>
  </si>
  <si>
    <t xml:space="preserve">216990</t>
  </si>
  <si>
    <t xml:space="preserve">PANIFICACAO IPANEMA LTDA</t>
  </si>
  <si>
    <t xml:space="preserve">4903903474</t>
  </si>
  <si>
    <t xml:space="preserve">91111</t>
  </si>
  <si>
    <t xml:space="preserve">MERCEARIA 1928 ALIMENTOS</t>
  </si>
  <si>
    <t xml:space="preserve">4903916921</t>
  </si>
  <si>
    <t xml:space="preserve">92235</t>
  </si>
  <si>
    <t xml:space="preserve">FERMISUL FERMENTOS E PRODUTOS</t>
  </si>
  <si>
    <t xml:space="preserve">4903924349</t>
  </si>
  <si>
    <t xml:space="preserve">91915</t>
  </si>
  <si>
    <t xml:space="preserve">CHOCOLANDIA SOBELA LTDA</t>
  </si>
  <si>
    <t xml:space="preserve">4903914000</t>
  </si>
  <si>
    <t xml:space="preserve">99191</t>
  </si>
  <si>
    <t xml:space="preserve">HERMÍNIA MARLENE VIVIANE M.E.</t>
  </si>
  <si>
    <t xml:space="preserve">4903916923</t>
  </si>
  <si>
    <t xml:space="preserve">88585</t>
  </si>
  <si>
    <t xml:space="preserve">HJM DISTRIBUICAO DE FRIOS LTDA</t>
  </si>
  <si>
    <t xml:space="preserve">4903912817</t>
  </si>
  <si>
    <t xml:space="preserve">87628</t>
  </si>
  <si>
    <t xml:space="preserve">FC DISTRIBUIDORA</t>
  </si>
  <si>
    <t xml:space="preserve">4903922283</t>
  </si>
  <si>
    <t xml:space="preserve">47108</t>
  </si>
  <si>
    <t xml:space="preserve">RIBERFOODS IMPORTADORA</t>
  </si>
  <si>
    <t xml:space="preserve">4903909774</t>
  </si>
  <si>
    <t xml:space="preserve">206327</t>
  </si>
  <si>
    <t xml:space="preserve">PAPELAN LTDA</t>
  </si>
  <si>
    <t xml:space="preserve">4903922328</t>
  </si>
  <si>
    <t xml:space="preserve">4903915879</t>
  </si>
  <si>
    <t xml:space="preserve">86342</t>
  </si>
  <si>
    <t xml:space="preserve">FC DISTRIBUIDORA DE .</t>
  </si>
  <si>
    <t xml:space="preserve">4903921025</t>
  </si>
  <si>
    <t xml:space="preserve">50588</t>
  </si>
  <si>
    <t xml:space="preserve">DISTRIBUIDORA E IMPORTADORA IRMAOS</t>
  </si>
  <si>
    <t xml:space="preserve">4903941321</t>
  </si>
  <si>
    <t xml:space="preserve">217167</t>
  </si>
  <si>
    <t xml:space="preserve">BRASIL CAFE COMERCIO E SERVICOS</t>
  </si>
  <si>
    <t xml:space="preserve">4903941343</t>
  </si>
  <si>
    <t xml:space="preserve">99000</t>
  </si>
  <si>
    <t xml:space="preserve">BM EMPREEND E PARTICIP S.A.</t>
  </si>
  <si>
    <t xml:space="preserve">4903941347</t>
  </si>
  <si>
    <t xml:space="preserve">4903932874</t>
  </si>
  <si>
    <t xml:space="preserve">93151</t>
  </si>
  <si>
    <t xml:space="preserve">CENTRAL DO CONFEITEIRO PRODUTOS</t>
  </si>
  <si>
    <t xml:space="preserve">4903941329</t>
  </si>
  <si>
    <t xml:space="preserve">51836</t>
  </si>
  <si>
    <t xml:space="preserve">DAMA COMERCIO DE ALIMENTOS E PROMOC</t>
  </si>
  <si>
    <t xml:space="preserve">4903938740</t>
  </si>
  <si>
    <t xml:space="preserve">4903940761</t>
  </si>
  <si>
    <t xml:space="preserve">97991</t>
  </si>
  <si>
    <t xml:space="preserve">ATELIER LU CHOCOLATES LTDA</t>
  </si>
  <si>
    <t xml:space="preserve">4903941344</t>
  </si>
  <si>
    <t xml:space="preserve">84573</t>
  </si>
  <si>
    <t xml:space="preserve">MADALENA BRIGADEIROS</t>
  </si>
  <si>
    <t xml:space="preserve">4903940816</t>
  </si>
  <si>
    <t xml:space="preserve">43213</t>
  </si>
  <si>
    <t xml:space="preserve">UNIQUE - SERVICOS DE HOTELARIA E AL</t>
  </si>
  <si>
    <t xml:space="preserve">4903941345</t>
  </si>
  <si>
    <t xml:space="preserve">218812</t>
  </si>
  <si>
    <t xml:space="preserve">LB CASA DE PAES LTDA</t>
  </si>
  <si>
    <t xml:space="preserve">4903955920</t>
  </si>
  <si>
    <t xml:space="preserve">74842</t>
  </si>
  <si>
    <t xml:space="preserve">TUDO EM FESTAS COMERCIO</t>
  </si>
  <si>
    <t xml:space="preserve">4903960491</t>
  </si>
  <si>
    <t xml:space="preserve">92076</t>
  </si>
  <si>
    <t xml:space="preserve">DISTRIBUIDORA DE ALIMENTOS</t>
  </si>
  <si>
    <t xml:space="preserve">4903955908</t>
  </si>
  <si>
    <t xml:space="preserve">206653</t>
  </si>
  <si>
    <t xml:space="preserve">BAUDELAIRE COOKIES LTDA</t>
  </si>
  <si>
    <t xml:space="preserve">4903955186</t>
  </si>
  <si>
    <t xml:space="preserve">201887</t>
  </si>
  <si>
    <t xml:space="preserve">FUTURO REFEITORIO LTDA</t>
  </si>
  <si>
    <t xml:space="preserve">4903960762</t>
  </si>
  <si>
    <t xml:space="preserve">42779</t>
  </si>
  <si>
    <t xml:space="preserve">COMERCIO DE PRODs ALIMENTICIOS SLM</t>
  </si>
  <si>
    <t xml:space="preserve">4903976196</t>
  </si>
  <si>
    <t xml:space="preserve">97134</t>
  </si>
  <si>
    <t xml:space="preserve">BARBOSA E WAGEMAKER COM DE ALIM</t>
  </si>
  <si>
    <t xml:space="preserve">4903976262</t>
  </si>
  <si>
    <t xml:space="preserve">81180</t>
  </si>
  <si>
    <t xml:space="preserve">HTL SP PARTICIPACOES S/A</t>
  </si>
  <si>
    <t xml:space="preserve">4903963513</t>
  </si>
  <si>
    <t xml:space="preserve">50007</t>
  </si>
  <si>
    <t xml:space="preserve">FERGA ALIMENTOS LTDA</t>
  </si>
  <si>
    <t xml:space="preserve">4903974986</t>
  </si>
  <si>
    <t xml:space="preserve">67391</t>
  </si>
  <si>
    <t xml:space="preserve">SERRA DOURADA ARTIGOS PARA FESTA</t>
  </si>
  <si>
    <t xml:space="preserve">4903975779</t>
  </si>
  <si>
    <t xml:space="preserve">71899</t>
  </si>
  <si>
    <t xml:space="preserve">JUDA PRDODUTOS</t>
  </si>
  <si>
    <t xml:space="preserve">4903975002</t>
  </si>
  <si>
    <t xml:space="preserve">203766</t>
  </si>
  <si>
    <t xml:space="preserve">INDUSTRIAL E COMERCIAL ALMEIDA LTDA</t>
  </si>
  <si>
    <t xml:space="preserve">4903976308</t>
  </si>
  <si>
    <t xml:space="preserve">49308</t>
  </si>
  <si>
    <t xml:space="preserve">GRAN SABOR BUFFET LTDA, EPP</t>
  </si>
  <si>
    <t xml:space="preserve">4903974269</t>
  </si>
  <si>
    <t xml:space="preserve">4903963516</t>
  </si>
  <si>
    <t xml:space="preserve">97562</t>
  </si>
  <si>
    <t xml:space="preserve">LO CONFEITEIRA LTDA</t>
  </si>
  <si>
    <t xml:space="preserve">4903976267</t>
  </si>
  <si>
    <t xml:space="preserve">51880</t>
  </si>
  <si>
    <t xml:space="preserve">PADARIA E CONVENIENCIA SILVEIRA LTD</t>
  </si>
  <si>
    <t xml:space="preserve">4903976264</t>
  </si>
  <si>
    <t xml:space="preserve">4903976195</t>
  </si>
  <si>
    <t xml:space="preserve">220241</t>
  </si>
  <si>
    <t xml:space="preserve">FABRIQUE - PAES ARTESANAIS LTDA</t>
  </si>
  <si>
    <t xml:space="preserve">4903996209</t>
  </si>
  <si>
    <t xml:space="preserve">71246</t>
  </si>
  <si>
    <t xml:space="preserve">SHOP FEST E DECORAÇÃO LTDA</t>
  </si>
  <si>
    <t xml:space="preserve">4903994676</t>
  </si>
  <si>
    <t xml:space="preserve">204282</t>
  </si>
  <si>
    <t xml:space="preserve">DISPAN DISTRIBUIDORA DE</t>
  </si>
  <si>
    <t xml:space="preserve">4904003552</t>
  </si>
  <si>
    <t xml:space="preserve">97865</t>
  </si>
  <si>
    <t xml:space="preserve">R. BRUNETTO COMERCIO VAREJISTA DE</t>
  </si>
  <si>
    <t xml:space="preserve">4903997982</t>
  </si>
  <si>
    <t xml:space="preserve">66369</t>
  </si>
  <si>
    <t xml:space="preserve">DISCAMP VALINHOS DISTRIBUIDORA LTDA</t>
  </si>
  <si>
    <t xml:space="preserve">BC101483</t>
  </si>
  <si>
    <t xml:space="preserve">4903997124</t>
  </si>
  <si>
    <t xml:space="preserve">47808</t>
  </si>
  <si>
    <t xml:space="preserve">DISCAMPBAMBA DISTRIBUIDORA LTDA</t>
  </si>
  <si>
    <t xml:space="preserve">4904004938</t>
  </si>
  <si>
    <t xml:space="preserve">80395</t>
  </si>
  <si>
    <t xml:space="preserve">MIO DOCES LTDA</t>
  </si>
  <si>
    <t xml:space="preserve">4904004922</t>
  </si>
  <si>
    <t xml:space="preserve">51157</t>
  </si>
  <si>
    <t xml:space="preserve">GILBERTO KAJEVSKI &amp; CIA LTDA ME</t>
  </si>
  <si>
    <t xml:space="preserve">4904004848</t>
  </si>
  <si>
    <t xml:space="preserve">71363</t>
  </si>
  <si>
    <t xml:space="preserve">PADEIRITO COMERCIO E</t>
  </si>
  <si>
    <t xml:space="preserve">4904000697</t>
  </si>
  <si>
    <t xml:space="preserve">77684</t>
  </si>
  <si>
    <t xml:space="preserve">CENTER COMERCIO DE EMBALAGENS</t>
  </si>
  <si>
    <t xml:space="preserve">4904001348</t>
  </si>
  <si>
    <t xml:space="preserve">209001</t>
  </si>
  <si>
    <t xml:space="preserve">A COMERCIAL PAIVA LTDA</t>
  </si>
  <si>
    <t xml:space="preserve">4904004911</t>
  </si>
  <si>
    <t xml:space="preserve">96536</t>
  </si>
  <si>
    <t xml:space="preserve">DO ALLE DOCES E EMBALAGENS EIRELI</t>
  </si>
  <si>
    <t xml:space="preserve">4904004901</t>
  </si>
  <si>
    <t xml:space="preserve">86365</t>
  </si>
  <si>
    <t xml:space="preserve">ADOCE ATACADO E VAREJO</t>
  </si>
  <si>
    <t xml:space="preserve">4904004926</t>
  </si>
  <si>
    <t xml:space="preserve">94088</t>
  </si>
  <si>
    <t xml:space="preserve">CATARINA FERREIRA</t>
  </si>
  <si>
    <t xml:space="preserve">4904014031</t>
  </si>
  <si>
    <t xml:space="preserve">52367</t>
  </si>
  <si>
    <t xml:space="preserve">CENTRAL OSASCO DIST DE ALIM</t>
  </si>
  <si>
    <t xml:space="preserve">4904013363</t>
  </si>
  <si>
    <t xml:space="preserve">54289</t>
  </si>
  <si>
    <t xml:space="preserve">FLAMAR EMB LTDA EPP</t>
  </si>
  <si>
    <t xml:space="preserve">4904007669</t>
  </si>
  <si>
    <t xml:space="preserve">51222</t>
  </si>
  <si>
    <t xml:space="preserve">EMBALEME COM. DE EMBALAGENS DESCART</t>
  </si>
  <si>
    <t xml:space="preserve">4904014034</t>
  </si>
  <si>
    <t xml:space="preserve">91448</t>
  </si>
  <si>
    <t xml:space="preserve">STOQ V &amp; V ALIMENTOS LTDA</t>
  </si>
  <si>
    <t xml:space="preserve">4904013777</t>
  </si>
  <si>
    <t xml:space="preserve">74675</t>
  </si>
  <si>
    <t xml:space="preserve">MEIRE ELOISE TREVISAN</t>
  </si>
  <si>
    <t xml:space="preserve">4904013571</t>
  </si>
  <si>
    <t xml:space="preserve">54681</t>
  </si>
  <si>
    <t xml:space="preserve">PLINIO FERREIRA JUNIOR &amp; CIA LTDA</t>
  </si>
  <si>
    <t xml:space="preserve">4904010797</t>
  </si>
  <si>
    <t xml:space="preserve">214346</t>
  </si>
  <si>
    <t xml:space="preserve">DISTRIBUIDORA NORDESTINA DE</t>
  </si>
  <si>
    <t xml:space="preserve">BR106885</t>
  </si>
  <si>
    <t xml:space="preserve">4904007660</t>
  </si>
  <si>
    <t xml:space="preserve">4904010793</t>
  </si>
  <si>
    <t xml:space="preserve">85686</t>
  </si>
  <si>
    <t xml:space="preserve">LA PASTA PLACE BAR E REST EIRELLI</t>
  </si>
  <si>
    <t xml:space="preserve">4904020951</t>
  </si>
  <si>
    <t xml:space="preserve">84482</t>
  </si>
  <si>
    <t xml:space="preserve">DISTRIBUIDORA DOCE SABOR</t>
  </si>
  <si>
    <t xml:space="preserve">4904021567</t>
  </si>
  <si>
    <t xml:space="preserve">53125</t>
  </si>
  <si>
    <t xml:space="preserve">FUNCHAL IND E COM DE PAPEIS LTDA -</t>
  </si>
  <si>
    <t xml:space="preserve">4904029456</t>
  </si>
  <si>
    <t xml:space="preserve">4904031155</t>
  </si>
  <si>
    <t xml:space="preserve">70915</t>
  </si>
  <si>
    <t xml:space="preserve">UNIVERSO DOS TRIGOS COMERCIO</t>
  </si>
  <si>
    <t xml:space="preserve">4904019430</t>
  </si>
  <si>
    <t xml:space="preserve">209996</t>
  </si>
  <si>
    <t xml:space="preserve">LOJAS BARATAO EMBALAGENS LTDA</t>
  </si>
  <si>
    <t xml:space="preserve">4904025164</t>
  </si>
  <si>
    <t xml:space="preserve">4904026577</t>
  </si>
  <si>
    <t xml:space="preserve">202431</t>
  </si>
  <si>
    <t xml:space="preserve">SANTU PANIFICACAO LTDA</t>
  </si>
  <si>
    <t xml:space="preserve">4904023539</t>
  </si>
  <si>
    <t xml:space="preserve">87803</t>
  </si>
  <si>
    <t xml:space="preserve">COMERCIAL IMP.EXP.METAPUNTO LTDA</t>
  </si>
  <si>
    <t xml:space="preserve">4904019106</t>
  </si>
  <si>
    <t xml:space="preserve">73049</t>
  </si>
  <si>
    <t xml:space="preserve">POLIANE DE MATOS</t>
  </si>
  <si>
    <t xml:space="preserve">4904027499</t>
  </si>
  <si>
    <t xml:space="preserve">4904026661</t>
  </si>
  <si>
    <t xml:space="preserve">220868</t>
  </si>
  <si>
    <t xml:space="preserve">M FOODS LTDA</t>
  </si>
  <si>
    <t xml:space="preserve">4904048855</t>
  </si>
  <si>
    <t xml:space="preserve">4904035618</t>
  </si>
  <si>
    <t xml:space="preserve">201055</t>
  </si>
  <si>
    <t xml:space="preserve">OESA COMERCIO E</t>
  </si>
  <si>
    <t xml:space="preserve">4904048852</t>
  </si>
  <si>
    <t xml:space="preserve">71703</t>
  </si>
  <si>
    <t xml:space="preserve">ELAINE CRISTINA BARRUECO ME</t>
  </si>
  <si>
    <t xml:space="preserve">4904053448</t>
  </si>
  <si>
    <t xml:space="preserve">4904053657</t>
  </si>
  <si>
    <t xml:space="preserve">4904053653</t>
  </si>
  <si>
    <t xml:space="preserve">4904053772</t>
  </si>
  <si>
    <t xml:space="preserve">220661</t>
  </si>
  <si>
    <t xml:space="preserve">E. S. NEVES DISTRIBUIDORA DE</t>
  </si>
  <si>
    <t xml:space="preserve">4904053705</t>
  </si>
  <si>
    <t xml:space="preserve">50626</t>
  </si>
  <si>
    <t xml:space="preserve">CRISTINA ZUNTINI SANTOS EPP</t>
  </si>
  <si>
    <t xml:space="preserve">4904054024</t>
  </si>
  <si>
    <t xml:space="preserve">47306</t>
  </si>
  <si>
    <t xml:space="preserve">COMERCIAL LUZIA MEIRE DE GENEROS AL</t>
  </si>
  <si>
    <t xml:space="preserve">4904053574</t>
  </si>
  <si>
    <t xml:space="preserve">4904058131</t>
  </si>
  <si>
    <t xml:space="preserve">54789</t>
  </si>
  <si>
    <t xml:space="preserve">CASA DA PANIFICACAO COM E REP DE PR</t>
  </si>
  <si>
    <t xml:space="preserve">4904053733</t>
  </si>
  <si>
    <t xml:space="preserve">4904053779</t>
  </si>
  <si>
    <t xml:space="preserve">53632</t>
  </si>
  <si>
    <t xml:space="preserve">COMERC LUZIA MEIRE DE GEN ALIM</t>
  </si>
  <si>
    <t xml:space="preserve">4904053543</t>
  </si>
  <si>
    <t xml:space="preserve">4904053620</t>
  </si>
  <si>
    <t xml:space="preserve">4904083265</t>
  </si>
  <si>
    <t xml:space="preserve">4904083324</t>
  </si>
  <si>
    <t xml:space="preserve">4904078806</t>
  </si>
  <si>
    <t xml:space="preserve">4904078678</t>
  </si>
  <si>
    <t xml:space="preserve">220675</t>
  </si>
  <si>
    <t xml:space="preserve">DOCE OPIUM PREMIUM NUTS LTDA</t>
  </si>
  <si>
    <t xml:space="preserve">4904083667</t>
  </si>
  <si>
    <t xml:space="preserve">4904078534</t>
  </si>
  <si>
    <t xml:space="preserve">91343</t>
  </si>
  <si>
    <t xml:space="preserve">CABRAL &amp; SOUSA LTDA</t>
  </si>
  <si>
    <t xml:space="preserve">4904076521</t>
  </si>
  <si>
    <t xml:space="preserve">4904080361</t>
  </si>
  <si>
    <t xml:space="preserve">4904080055</t>
  </si>
  <si>
    <t xml:space="preserve">4904079821</t>
  </si>
  <si>
    <t xml:space="preserve">4904079952</t>
  </si>
  <si>
    <t xml:space="preserve">4904084255</t>
  </si>
  <si>
    <t xml:space="preserve">4904082979</t>
  </si>
  <si>
    <t xml:space="preserve">206720</t>
  </si>
  <si>
    <t xml:space="preserve">ARTPAN COMERC DE ALIMENT LTDA</t>
  </si>
  <si>
    <t xml:space="preserve">4904082971</t>
  </si>
  <si>
    <t xml:space="preserve">98282</t>
  </si>
  <si>
    <t xml:space="preserve">BLUE ATACADISTA E DISTRIBUIDORA</t>
  </si>
  <si>
    <t xml:space="preserve">4904080277</t>
  </si>
  <si>
    <t xml:space="preserve">4904081232</t>
  </si>
  <si>
    <t xml:space="preserve">4904081141</t>
  </si>
  <si>
    <t xml:space="preserve">4904080364</t>
  </si>
  <si>
    <t xml:space="preserve">4904080366</t>
  </si>
  <si>
    <t xml:space="preserve">4904079414</t>
  </si>
  <si>
    <t xml:space="preserve">81064</t>
  </si>
  <si>
    <t xml:space="preserve">ORGANIZAÇÃO VERDEMAR LTDA</t>
  </si>
  <si>
    <t xml:space="preserve">0360</t>
  </si>
  <si>
    <t xml:space="preserve">4904079094</t>
  </si>
  <si>
    <t xml:space="preserve">42759</t>
  </si>
  <si>
    <t xml:space="preserve">BB DOCES LTDA - ME</t>
  </si>
  <si>
    <t xml:space="preserve">4904080368</t>
  </si>
  <si>
    <t xml:space="preserve">4904084209</t>
  </si>
  <si>
    <t xml:space="preserve">4904075935</t>
  </si>
  <si>
    <t xml:space="preserve">220174</t>
  </si>
  <si>
    <t xml:space="preserve">E49 COMERCIO DE EMBALAGENS E</t>
  </si>
  <si>
    <t xml:space="preserve">4904083550</t>
  </si>
  <si>
    <t xml:space="preserve">4904084201</t>
  </si>
  <si>
    <t xml:space="preserve">4904084202</t>
  </si>
  <si>
    <t xml:space="preserve">4904084200</t>
  </si>
  <si>
    <t xml:space="preserve">4904083269</t>
  </si>
  <si>
    <t xml:space="preserve">4904081337</t>
  </si>
  <si>
    <t xml:space="preserve">4904098101</t>
  </si>
  <si>
    <t xml:space="preserve">203044</t>
  </si>
  <si>
    <t xml:space="preserve">RCL COMERCIO DE PRODUTOS</t>
  </si>
  <si>
    <t xml:space="preserve">4904090414</t>
  </si>
  <si>
    <t xml:space="preserve">4904099167</t>
  </si>
  <si>
    <t xml:space="preserve">51219</t>
  </si>
  <si>
    <t xml:space="preserve">COMERCIAL DISKPAN LTDA</t>
  </si>
  <si>
    <t xml:space="preserve">4904097929</t>
  </si>
  <si>
    <t xml:space="preserve">202171</t>
  </si>
  <si>
    <t xml:space="preserve">LOJA DOCE LTDA</t>
  </si>
  <si>
    <t xml:space="preserve">4904096363</t>
  </si>
  <si>
    <t xml:space="preserve">4904100797</t>
  </si>
  <si>
    <t xml:space="preserve">4904100798</t>
  </si>
  <si>
    <t xml:space="preserve">4904100506</t>
  </si>
  <si>
    <t xml:space="preserve">4904100503</t>
  </si>
  <si>
    <t xml:space="preserve">4904102999</t>
  </si>
  <si>
    <t xml:space="preserve">4904088757</t>
  </si>
  <si>
    <t xml:space="preserve">215975</t>
  </si>
  <si>
    <t xml:space="preserve">R. C. F. ALBUQUERQUE LTDA</t>
  </si>
  <si>
    <t xml:space="preserve">4904091531</t>
  </si>
  <si>
    <t xml:space="preserve">82681</t>
  </si>
  <si>
    <t xml:space="preserve">COMERCIAL ELOI CHAVES LTDA</t>
  </si>
  <si>
    <t xml:space="preserve">4904099149</t>
  </si>
  <si>
    <t xml:space="preserve">4904099147</t>
  </si>
  <si>
    <t xml:space="preserve">220476</t>
  </si>
  <si>
    <t xml:space="preserve">FARINHA E AGUA LTDA</t>
  </si>
  <si>
    <t xml:space="preserve">4904099148</t>
  </si>
  <si>
    <t xml:space="preserve">4904102995</t>
  </si>
  <si>
    <t xml:space="preserve">4904107186</t>
  </si>
  <si>
    <t xml:space="preserve">4904113553</t>
  </si>
  <si>
    <t xml:space="preserve">93285</t>
  </si>
  <si>
    <t xml:space="preserve">LA GUAPA EMPORIO E EMPANADAS S.A.</t>
  </si>
  <si>
    <t xml:space="preserve">4904105326</t>
  </si>
  <si>
    <t xml:space="preserve">49620</t>
  </si>
  <si>
    <t xml:space="preserve">SPAN VALE COMERCIO DE PRODUTOS</t>
  </si>
  <si>
    <t xml:space="preserve">4904113476</t>
  </si>
  <si>
    <t xml:space="preserve">4904105323</t>
  </si>
  <si>
    <t xml:space="preserve">4904107260</t>
  </si>
  <si>
    <t xml:space="preserve">99234</t>
  </si>
  <si>
    <t xml:space="preserve">CHOKDOCE COMÉRCIO DE</t>
  </si>
  <si>
    <t xml:space="preserve">4904113545</t>
  </si>
  <si>
    <t xml:space="preserve">4904113548</t>
  </si>
  <si>
    <t xml:space="preserve">4904113504</t>
  </si>
  <si>
    <t xml:space="preserve">4904113497</t>
  </si>
  <si>
    <t xml:space="preserve">4904108923</t>
  </si>
  <si>
    <t xml:space="preserve">4904113567</t>
  </si>
  <si>
    <t xml:space="preserve">4904113563</t>
  </si>
  <si>
    <t xml:space="preserve">4904111223</t>
  </si>
  <si>
    <t xml:space="preserve">4904108927</t>
  </si>
  <si>
    <t xml:space="preserve">4904113448</t>
  </si>
  <si>
    <t xml:space="preserve">49673</t>
  </si>
  <si>
    <t xml:space="preserve">OLIVEIRA &amp; BIANCHI COMERCIAL LTDA</t>
  </si>
  <si>
    <t xml:space="preserve">4904110821</t>
  </si>
  <si>
    <t xml:space="preserve">4904108848</t>
  </si>
  <si>
    <t xml:space="preserve">4904110891</t>
  </si>
  <si>
    <t xml:space="preserve">4904108108</t>
  </si>
  <si>
    <t xml:space="preserve">4904111194</t>
  </si>
  <si>
    <t xml:space="preserve">47807</t>
  </si>
  <si>
    <t xml:space="preserve">DISCAMPCHOC COMERCIO DE</t>
  </si>
  <si>
    <t xml:space="preserve">4904108062</t>
  </si>
  <si>
    <t xml:space="preserve">4904111409</t>
  </si>
  <si>
    <t xml:space="preserve">4904113552</t>
  </si>
  <si>
    <t xml:space="preserve">4904113568</t>
  </si>
  <si>
    <t xml:space="preserve">4904113571</t>
  </si>
  <si>
    <t xml:space="preserve">54379</t>
  </si>
  <si>
    <t xml:space="preserve">DOCE FESTA DOCERRANO LTDA</t>
  </si>
  <si>
    <t xml:space="preserve">4904108211</t>
  </si>
  <si>
    <t xml:space="preserve">4904113570</t>
  </si>
  <si>
    <t xml:space="preserve">4904113559</t>
  </si>
  <si>
    <t xml:space="preserve">4904113562</t>
  </si>
  <si>
    <t xml:space="preserve">4904107177</t>
  </si>
  <si>
    <t xml:space="preserve">4904119924</t>
  </si>
  <si>
    <t xml:space="preserve">73161</t>
  </si>
  <si>
    <t xml:space="preserve">LARGO DO CONFEITEIRO</t>
  </si>
  <si>
    <t xml:space="preserve">4904118269</t>
  </si>
  <si>
    <t xml:space="preserve">4904119956</t>
  </si>
  <si>
    <t xml:space="preserve">99526</t>
  </si>
  <si>
    <t xml:space="preserve">BRUNO MENEGATTE COMERCIO LTDA</t>
  </si>
  <si>
    <t xml:space="preserve">4904122562</t>
  </si>
  <si>
    <t xml:space="preserve">68094</t>
  </si>
  <si>
    <t xml:space="preserve">NOVA GERACAO COMESTIVEIS LTDA </t>
  </si>
  <si>
    <t xml:space="preserve">4904119981</t>
  </si>
  <si>
    <t xml:space="preserve">218044</t>
  </si>
  <si>
    <t xml:space="preserve">GELATERIA PIEMONTE LTDA</t>
  </si>
  <si>
    <t xml:space="preserve">4904119985</t>
  </si>
  <si>
    <t xml:space="preserve">4904119988</t>
  </si>
  <si>
    <t xml:space="preserve">218068</t>
  </si>
  <si>
    <t xml:space="preserve">ABSURDINHA CONFEITARIA LTDA</t>
  </si>
  <si>
    <t xml:space="preserve">4904117860</t>
  </si>
  <si>
    <t xml:space="preserve">50848</t>
  </si>
  <si>
    <t xml:space="preserve">SHOPPING DAS PADARIAS LTDA</t>
  </si>
  <si>
    <t xml:space="preserve">4904117864</t>
  </si>
  <si>
    <t xml:space="preserve">4904120015</t>
  </si>
  <si>
    <t xml:space="preserve">4904118767</t>
  </si>
  <si>
    <t xml:space="preserve">4904120010</t>
  </si>
  <si>
    <t xml:space="preserve">50523</t>
  </si>
  <si>
    <t xml:space="preserve">CAKE ART COMERCIO DE ARTIGOS PARA C</t>
  </si>
  <si>
    <t xml:space="preserve">4904118754</t>
  </si>
  <si>
    <t xml:space="preserve">4904119936</t>
  </si>
  <si>
    <t xml:space="preserve">221099</t>
  </si>
  <si>
    <t xml:space="preserve">ALMENDRA - BAR E RESTAURANTE LTDA</t>
  </si>
  <si>
    <t xml:space="preserve">4904119940</t>
  </si>
  <si>
    <t xml:space="preserve">209175</t>
  </si>
  <si>
    <t xml:space="preserve">QUE DOCE CONFEITARIA ARTESANAL LTDA</t>
  </si>
  <si>
    <t xml:space="preserve">4904120021</t>
  </si>
  <si>
    <t xml:space="preserve">82514</t>
  </si>
  <si>
    <t xml:space="preserve">JEB GASTRONOMIA LTDA</t>
  </si>
  <si>
    <t xml:space="preserve">4904119976</t>
  </si>
  <si>
    <t xml:space="preserve">88430</t>
  </si>
  <si>
    <t xml:space="preserve">PASSIONE PER GELATO</t>
  </si>
  <si>
    <t xml:space="preserve">4904120026</t>
  </si>
  <si>
    <t xml:space="preserve">4904118758</t>
  </si>
  <si>
    <t xml:space="preserve">201007</t>
  </si>
  <si>
    <t xml:space="preserve">AMENDOEIRA CHOCOLATERIE LTDA</t>
  </si>
  <si>
    <t xml:space="preserve">4904119949</t>
  </si>
  <si>
    <t xml:space="preserve">211116</t>
  </si>
  <si>
    <t xml:space="preserve">PECAN CONFEITARIA LTDA</t>
  </si>
  <si>
    <t xml:space="preserve">4904119939</t>
  </si>
  <si>
    <t xml:space="preserve">56337</t>
  </si>
  <si>
    <t xml:space="preserve">COMPANHIA PALMARES HOTEIS E TURISMO</t>
  </si>
  <si>
    <t xml:space="preserve">4904118766</t>
  </si>
  <si>
    <t xml:space="preserve">4904120004</t>
  </si>
  <si>
    <t xml:space="preserve">200231</t>
  </si>
  <si>
    <t xml:space="preserve">TALHO CAFE LTDA</t>
  </si>
  <si>
    <t xml:space="preserve">4904120005</t>
  </si>
  <si>
    <t xml:space="preserve">4904120003</t>
  </si>
  <si>
    <t xml:space="preserve">68780</t>
  </si>
  <si>
    <t xml:space="preserve">RIO JV PARTNERS PARTICIPACOES LTDA.</t>
  </si>
  <si>
    <t xml:space="preserve">4904120009</t>
  </si>
  <si>
    <t xml:space="preserve">4904117847</t>
  </si>
  <si>
    <t xml:space="preserve">207166</t>
  </si>
  <si>
    <t xml:space="preserve">PRESTINARIA IND. E COM. DE</t>
  </si>
  <si>
    <t xml:space="preserve">4904118268</t>
  </si>
  <si>
    <t xml:space="preserve">50342</t>
  </si>
  <si>
    <t xml:space="preserve">COMERCIO DE DOCES APARECIDA LTDA</t>
  </si>
  <si>
    <t xml:space="preserve">4904117853</t>
  </si>
  <si>
    <t xml:space="preserve">82511</t>
  </si>
  <si>
    <t xml:space="preserve">CONFEITAR COMERCIO DE GENEROS</t>
  </si>
  <si>
    <t xml:space="preserve">4904119953</t>
  </si>
  <si>
    <t xml:space="preserve">211975</t>
  </si>
  <si>
    <t xml:space="preserve">PADARIA ARAUCARIA LTDA</t>
  </si>
  <si>
    <t xml:space="preserve">4904119959</t>
  </si>
  <si>
    <t xml:space="preserve">4904118786</t>
  </si>
  <si>
    <t xml:space="preserve">4904120002</t>
  </si>
  <si>
    <t xml:space="preserve">84579</t>
  </si>
  <si>
    <t xml:space="preserve">PITITI COMERCIO DE PRODUTOS</t>
  </si>
  <si>
    <t xml:space="preserve">4904119958</t>
  </si>
  <si>
    <t xml:space="preserve">90699</t>
  </si>
  <si>
    <t xml:space="preserve">BOULANGERIE COMERCIO</t>
  </si>
  <si>
    <t xml:space="preserve">4904120007</t>
  </si>
  <si>
    <t xml:space="preserve">42816</t>
  </si>
  <si>
    <t xml:space="preserve">COMPANHIA HOTEIS PALACE</t>
  </si>
  <si>
    <t xml:space="preserve">4904118292</t>
  </si>
  <si>
    <t xml:space="preserve">4904119970</t>
  </si>
  <si>
    <t xml:space="preserve">4904117711</t>
  </si>
  <si>
    <t xml:space="preserve">4904119971</t>
  </si>
  <si>
    <t xml:space="preserve">58678</t>
  </si>
  <si>
    <t xml:space="preserve">TALHO CAPIXABA LTDA</t>
  </si>
  <si>
    <t xml:space="preserve">4904118265</t>
  </si>
  <si>
    <t xml:space="preserve">66066</t>
  </si>
  <si>
    <t xml:space="preserve">DEVORATA INDUSTRIA E COMERCIO DE</t>
  </si>
  <si>
    <t xml:space="preserve">4904117712</t>
  </si>
  <si>
    <t xml:space="preserve">201411</t>
  </si>
  <si>
    <t xml:space="preserve">PLATLOG IMP LOG E DISTR LTDA</t>
  </si>
  <si>
    <t xml:space="preserve">4904119998</t>
  </si>
  <si>
    <t xml:space="preserve">96831</t>
  </si>
  <si>
    <t xml:space="preserve">CHEZ BONBON COMERCIO DE</t>
  </si>
  <si>
    <t xml:space="preserve">4904119984</t>
  </si>
  <si>
    <t xml:space="preserve">203619</t>
  </si>
  <si>
    <t xml:space="preserve">CASAL GARCIA BOLOS LTDA - ME</t>
  </si>
  <si>
    <t xml:space="preserve">4904118763</t>
  </si>
  <si>
    <t xml:space="preserve">211381</t>
  </si>
  <si>
    <t xml:space="preserve">MARIA DANIELE MENEZES SILVA</t>
  </si>
  <si>
    <t xml:space="preserve">4904119997</t>
  </si>
  <si>
    <t xml:space="preserve">43218</t>
  </si>
  <si>
    <t xml:space="preserve">TONTTULAKKI COMÉRCIO DE CHOCOLATES</t>
  </si>
  <si>
    <t xml:space="preserve">4904118282</t>
  </si>
  <si>
    <t xml:space="preserve">54560</t>
  </si>
  <si>
    <t xml:space="preserve">OFELIA M MACHADO &amp; CIA LTDA</t>
  </si>
  <si>
    <t xml:space="preserve">4904118266</t>
  </si>
  <si>
    <t xml:space="preserve">219716</t>
  </si>
  <si>
    <t xml:space="preserve">VIAREGGIO INDUSTRIA &amp; COMERCIO DE</t>
  </si>
  <si>
    <t xml:space="preserve">4904118264</t>
  </si>
  <si>
    <t xml:space="preserve">50583</t>
  </si>
  <si>
    <t xml:space="preserve">CONFEITARIA ZUCHI LTDA ME</t>
  </si>
  <si>
    <t xml:space="preserve">4904118263</t>
  </si>
  <si>
    <t xml:space="preserve">67581</t>
  </si>
  <si>
    <t xml:space="preserve">RIBERPAN COMERCIO DE ALIMENTOS LTDA</t>
  </si>
  <si>
    <t xml:space="preserve">4904117664</t>
  </si>
  <si>
    <t xml:space="preserve">4904118284</t>
  </si>
  <si>
    <t xml:space="preserve">4904117845</t>
  </si>
  <si>
    <t xml:space="preserve">53798</t>
  </si>
  <si>
    <t xml:space="preserve">HART S - ALIMENTOS NATURAIS LTDA -</t>
  </si>
  <si>
    <t xml:space="preserve">4904119999</t>
  </si>
  <si>
    <t xml:space="preserve">4904119992</t>
  </si>
  <si>
    <t xml:space="preserve">99319</t>
  </si>
  <si>
    <t xml:space="preserve">SAWA SWEETS COM DE DOCES LTDA</t>
  </si>
  <si>
    <t xml:space="preserve">4904119993</t>
  </si>
  <si>
    <t xml:space="preserve">56369</t>
  </si>
  <si>
    <t xml:space="preserve">EMPORIO JARDIM ALIMENTOS LTDA - ME</t>
  </si>
  <si>
    <t xml:space="preserve">4904119994</t>
  </si>
  <si>
    <t xml:space="preserve">72032</t>
  </si>
  <si>
    <t xml:space="preserve">EMPORIO JARDIM RESTAURANTE E</t>
  </si>
  <si>
    <t xml:space="preserve">4904119995</t>
  </si>
  <si>
    <t xml:space="preserve">204781</t>
  </si>
  <si>
    <t xml:space="preserve">VR-2 RESTAURANTE LTDA</t>
  </si>
  <si>
    <t xml:space="preserve">4904119996</t>
  </si>
  <si>
    <t xml:space="preserve">4904117851</t>
  </si>
  <si>
    <t xml:space="preserve">4904120000</t>
  </si>
  <si>
    <t xml:space="preserve">4904120001</t>
  </si>
  <si>
    <t xml:space="preserve">4904120013</t>
  </si>
  <si>
    <t xml:space="preserve">4904134037</t>
  </si>
  <si>
    <t xml:space="preserve">4904134767</t>
  </si>
  <si>
    <t xml:space="preserve">4904134038</t>
  </si>
  <si>
    <t xml:space="preserve">4904134044</t>
  </si>
  <si>
    <t xml:space="preserve">96675</t>
  </si>
  <si>
    <t xml:space="preserve">BEAUBON CONFEITARIA LTDA</t>
  </si>
  <si>
    <t xml:space="preserve">4904134052</t>
  </si>
  <si>
    <t xml:space="preserve">4904134047</t>
  </si>
  <si>
    <t xml:space="preserve">4904159986</t>
  </si>
  <si>
    <t xml:space="preserve">4904153691</t>
  </si>
  <si>
    <t xml:space="preserve">4904145405</t>
  </si>
  <si>
    <t xml:space="preserve">4904159998</t>
  </si>
  <si>
    <t xml:space="preserve">4904159958</t>
  </si>
  <si>
    <t xml:space="preserve">4904151607</t>
  </si>
  <si>
    <t xml:space="preserve">4904150995</t>
  </si>
  <si>
    <t xml:space="preserve">4904151006</t>
  </si>
  <si>
    <t xml:space="preserve">52131</t>
  </si>
  <si>
    <t xml:space="preserve">ARROBA EMBALAGENS LTDA</t>
  </si>
  <si>
    <t xml:space="preserve">4904153935</t>
  </si>
  <si>
    <t xml:space="preserve">4904159968</t>
  </si>
  <si>
    <t xml:space="preserve">4904159967</t>
  </si>
  <si>
    <t xml:space="preserve">4904150992</t>
  </si>
  <si>
    <t xml:space="preserve">43025</t>
  </si>
  <si>
    <t xml:space="preserve">MOTHER S PRODUTOS ALIMENTICIOS LTDA</t>
  </si>
  <si>
    <t xml:space="preserve">4904144985</t>
  </si>
  <si>
    <t xml:space="preserve">219330</t>
  </si>
  <si>
    <t xml:space="preserve">ORGANIZACOES BRAZALMEIDA COMERCIO</t>
  </si>
  <si>
    <t xml:space="preserve">4904150998</t>
  </si>
  <si>
    <t xml:space="preserve">213196</t>
  </si>
  <si>
    <t xml:space="preserve">OMEGA YK FABRICA DE ALIMENTOS LTDA</t>
  </si>
  <si>
    <t xml:space="preserve">4904152481</t>
  </si>
  <si>
    <t xml:space="preserve">4904154931</t>
  </si>
  <si>
    <t xml:space="preserve">4904159993</t>
  </si>
  <si>
    <t xml:space="preserve">4904146767</t>
  </si>
  <si>
    <t xml:space="preserve">4904144961</t>
  </si>
  <si>
    <t xml:space="preserve">213466</t>
  </si>
  <si>
    <t xml:space="preserve">DU PAIN &amp; C.A. COMERCIO DE</t>
  </si>
  <si>
    <t xml:space="preserve">4904151005</t>
  </si>
  <si>
    <t xml:space="preserve">4904151560</t>
  </si>
  <si>
    <t xml:space="preserve">4904159995</t>
  </si>
  <si>
    <t xml:space="preserve">50981</t>
  </si>
  <si>
    <t xml:space="preserve">DOCES DOCELANDIA &amp; VAZ LTDA</t>
  </si>
  <si>
    <t xml:space="preserve">4904152483</t>
  </si>
  <si>
    <t xml:space="preserve">4904152385</t>
  </si>
  <si>
    <t xml:space="preserve">4904159988</t>
  </si>
  <si>
    <t xml:space="preserve">4904159989</t>
  </si>
  <si>
    <t xml:space="preserve">4904144944</t>
  </si>
  <si>
    <t xml:space="preserve">4904151671</t>
  </si>
  <si>
    <t xml:space="preserve">4904144963</t>
  </si>
  <si>
    <t xml:space="preserve">4904151600</t>
  </si>
  <si>
    <t xml:space="preserve">4904159918</t>
  </si>
  <si>
    <t xml:space="preserve">53780</t>
  </si>
  <si>
    <t xml:space="preserve">VIEL VIEL &amp; CIA LTDA</t>
  </si>
  <si>
    <t xml:space="preserve">4904159985</t>
  </si>
  <si>
    <t xml:space="preserve">4904159969</t>
  </si>
  <si>
    <t xml:space="preserve">4904159964</t>
  </si>
  <si>
    <t xml:space="preserve">4904159960</t>
  </si>
  <si>
    <t xml:space="preserve">64120</t>
  </si>
  <si>
    <t xml:space="preserve">DISCAMP FOODS COMERCIO</t>
  </si>
  <si>
    <t xml:space="preserve">4904159959</t>
  </si>
  <si>
    <t xml:space="preserve">4904146769</t>
  </si>
  <si>
    <t xml:space="preserve">205225</t>
  </si>
  <si>
    <t xml:space="preserve">COMERCIAL DE ALIMENTOS</t>
  </si>
  <si>
    <t xml:space="preserve">4904151004</t>
  </si>
  <si>
    <t xml:space="preserve">4904146910</t>
  </si>
  <si>
    <t xml:space="preserve">4904151338</t>
  </si>
  <si>
    <t xml:space="preserve">4904151002</t>
  </si>
  <si>
    <t xml:space="preserve">4904151029</t>
  </si>
  <si>
    <t xml:space="preserve">202972</t>
  </si>
  <si>
    <t xml:space="preserve">ALTHAIA S.A. INDUSTRIA FARMACEUTICA</t>
  </si>
  <si>
    <t xml:space="preserve">4904151335</t>
  </si>
  <si>
    <t xml:space="preserve">4904151609</t>
  </si>
  <si>
    <t xml:space="preserve">4904144948</t>
  </si>
  <si>
    <t xml:space="preserve">99917</t>
  </si>
  <si>
    <t xml:space="preserve">R F DE PAULA ALIMENTOS LTDA</t>
  </si>
  <si>
    <t xml:space="preserve">4904144947</t>
  </si>
  <si>
    <t xml:space="preserve">4904153175</t>
  </si>
  <si>
    <t xml:space="preserve">4904152897</t>
  </si>
  <si>
    <t xml:space="preserve">4904159980</t>
  </si>
  <si>
    <t xml:space="preserve">4904144962</t>
  </si>
  <si>
    <t xml:space="preserve">4904150997</t>
  </si>
  <si>
    <t xml:space="preserve">4904167047</t>
  </si>
  <si>
    <t xml:space="preserve">50643</t>
  </si>
  <si>
    <t xml:space="preserve">PRODUPAN - PRODUTOS PARA PANIFICACA</t>
  </si>
  <si>
    <t xml:space="preserve">4904165495</t>
  </si>
  <si>
    <t xml:space="preserve">218096</t>
  </si>
  <si>
    <t xml:space="preserve">T &amp; F ALIMENTOS LTDA</t>
  </si>
  <si>
    <t xml:space="preserve">4904175148</t>
  </si>
  <si>
    <t xml:space="preserve">218814</t>
  </si>
  <si>
    <t xml:space="preserve">ANGELA PRATI FAVARO . LTDA</t>
  </si>
  <si>
    <t xml:space="preserve">4904180982</t>
  </si>
  <si>
    <t xml:space="preserve">94663</t>
  </si>
  <si>
    <t xml:space="preserve">HAPPS CHOCOLATE</t>
  </si>
  <si>
    <t xml:space="preserve">4904165492</t>
  </si>
  <si>
    <t xml:space="preserve">78444</t>
  </si>
  <si>
    <t xml:space="preserve">MIX PRODUTOS PARA FESTAS LTDA</t>
  </si>
  <si>
    <t xml:space="preserve">4904179863</t>
  </si>
  <si>
    <t xml:space="preserve">86760</t>
  </si>
  <si>
    <t xml:space="preserve">CASA SANTA LUZIA IMPORT LTDA</t>
  </si>
  <si>
    <t xml:space="preserve">4904165514</t>
  </si>
  <si>
    <t xml:space="preserve">209546</t>
  </si>
  <si>
    <t xml:space="preserve">EBEYBE STORE LTDA</t>
  </si>
  <si>
    <t xml:space="preserve">4904165516</t>
  </si>
  <si>
    <t xml:space="preserve">208083</t>
  </si>
  <si>
    <t xml:space="preserve">PRIME PRODUTOS PARA FESTAS LTDA</t>
  </si>
  <si>
    <t xml:space="preserve">4904175204</t>
  </si>
  <si>
    <t xml:space="preserve">4904165133</t>
  </si>
  <si>
    <t xml:space="preserve">93762</t>
  </si>
  <si>
    <t xml:space="preserve">COM LUZIA MEIRE DE GENEROS</t>
  </si>
  <si>
    <t xml:space="preserve">4904181103</t>
  </si>
  <si>
    <t xml:space="preserve">83752</t>
  </si>
  <si>
    <t xml:space="preserve">DISTRIBUIDORA DE FRIOS HASI LTDA</t>
  </si>
  <si>
    <t xml:space="preserve">4904181173</t>
  </si>
  <si>
    <t xml:space="preserve">85762</t>
  </si>
  <si>
    <t xml:space="preserve">ROBERTA COLOMBO ZOGBI DOCES</t>
  </si>
  <si>
    <t xml:space="preserve">4904165512</t>
  </si>
  <si>
    <t xml:space="preserve">58541</t>
  </si>
  <si>
    <t xml:space="preserve">J. ROQUE COMERCIO DE ARTIGOS</t>
  </si>
  <si>
    <t xml:space="preserve">4904181101</t>
  </si>
  <si>
    <t xml:space="preserve">76385</t>
  </si>
  <si>
    <t xml:space="preserve">SORVETES E FESTAS COM. ALIM.</t>
  </si>
  <si>
    <t xml:space="preserve">4904166953</t>
  </si>
  <si>
    <t xml:space="preserve">4904181172</t>
  </si>
  <si>
    <t xml:space="preserve">4904181050</t>
  </si>
  <si>
    <t xml:space="preserve">4904181176</t>
  </si>
  <si>
    <t xml:space="preserve">220615</t>
  </si>
  <si>
    <t xml:space="preserve">PETITE FLEUR PATISSERIE LTDA</t>
  </si>
  <si>
    <t xml:space="preserve">4904167048</t>
  </si>
  <si>
    <t xml:space="preserve">4904165557</t>
  </si>
  <si>
    <t xml:space="preserve">202408</t>
  </si>
  <si>
    <t xml:space="preserve">MD PRODUTOS ALIMENTICIOS LTDAEPP</t>
  </si>
  <si>
    <t xml:space="preserve">4904165511</t>
  </si>
  <si>
    <t xml:space="preserve">4904165551</t>
  </si>
  <si>
    <t xml:space="preserve">50202</t>
  </si>
  <si>
    <t xml:space="preserve">STA - DISTRIBUIDORA DE ALIMENTOS LT</t>
  </si>
  <si>
    <t xml:space="preserve">4904165513</t>
  </si>
  <si>
    <t xml:space="preserve">89257</t>
  </si>
  <si>
    <t xml:space="preserve">ROQUE LIMA COMERCIO PARA</t>
  </si>
  <si>
    <t xml:space="preserve">4904165552</t>
  </si>
  <si>
    <t xml:space="preserve">4904180985</t>
  </si>
  <si>
    <t xml:space="preserve">85555</t>
  </si>
  <si>
    <t xml:space="preserve">SABOR DE FRANCE PANIFICADORA LTDA</t>
  </si>
  <si>
    <t xml:space="preserve">4904180986</t>
  </si>
  <si>
    <t xml:space="preserve">4904165515</t>
  </si>
  <si>
    <t xml:space="preserve">77156</t>
  </si>
  <si>
    <t xml:space="preserve">MIX TUDO COMERCIO E SERVIÇOS EIRELI</t>
  </si>
  <si>
    <t xml:space="preserve">4904182367</t>
  </si>
  <si>
    <t xml:space="preserve">217128</t>
  </si>
  <si>
    <t xml:space="preserve">DOCE AHAV PARTICIPACOES S.A</t>
  </si>
  <si>
    <t xml:space="preserve">4904179853</t>
  </si>
  <si>
    <t xml:space="preserve">50331</t>
  </si>
  <si>
    <t xml:space="preserve">RENAISSANCE DO BRASIL HOTELARIA</t>
  </si>
  <si>
    <t xml:space="preserve">4904179854</t>
  </si>
  <si>
    <t xml:space="preserve">4904179855</t>
  </si>
  <si>
    <t xml:space="preserve">4904179857</t>
  </si>
  <si>
    <t xml:space="preserve">217511</t>
  </si>
  <si>
    <t xml:space="preserve">FECCHIO CAMARGO PANIFICACAO</t>
  </si>
  <si>
    <t xml:space="preserve">4904181102</t>
  </si>
  <si>
    <t xml:space="preserve">4904181175</t>
  </si>
  <si>
    <t xml:space="preserve">4904179858</t>
  </si>
  <si>
    <t xml:space="preserve">4904182380</t>
  </si>
  <si>
    <t xml:space="preserve">211027</t>
  </si>
  <si>
    <t xml:space="preserve">COMERCIAL MARTINI-ALIMENTOS E</t>
  </si>
  <si>
    <t xml:space="preserve">4904175197</t>
  </si>
  <si>
    <t xml:space="preserve">220862</t>
  </si>
  <si>
    <t xml:space="preserve">NICO COOKIES LTDA</t>
  </si>
  <si>
    <t xml:space="preserve">4904165498</t>
  </si>
  <si>
    <t xml:space="preserve">4904180988</t>
  </si>
  <si>
    <t xml:space="preserve">4904180987</t>
  </si>
  <si>
    <t xml:space="preserve">71419</t>
  </si>
  <si>
    <t xml:space="preserve">ZANON &amp; DE BORTOLI LTDA ME</t>
  </si>
  <si>
    <t xml:space="preserve">4904180989</t>
  </si>
  <si>
    <t xml:space="preserve">4904165510</t>
  </si>
  <si>
    <t xml:space="preserve">4904181059</t>
  </si>
  <si>
    <t xml:space="preserve">66360</t>
  </si>
  <si>
    <t xml:space="preserve">CIMARA BRANDELLI RASIA ME</t>
  </si>
  <si>
    <t xml:space="preserve">4904180983</t>
  </si>
  <si>
    <t xml:space="preserve">4904182368</t>
  </si>
  <si>
    <t xml:space="preserve">52182</t>
  </si>
  <si>
    <t xml:space="preserve">CRM INDUSTRIA E COMERCIO DE</t>
  </si>
  <si>
    <t xml:space="preserve">4904180984</t>
  </si>
  <si>
    <t xml:space="preserve">85800</t>
  </si>
  <si>
    <t xml:space="preserve">MMC INDÚSTRIA DE NUTRACEUTICOS LTDA</t>
  </si>
  <si>
    <t xml:space="preserve">4904175189</t>
  </si>
  <si>
    <t xml:space="preserve">4904165499</t>
  </si>
  <si>
    <t xml:space="preserve">4904184887</t>
  </si>
  <si>
    <t xml:space="preserve">215356</t>
  </si>
  <si>
    <t xml:space="preserve">WMB SUPERMERCADOS DO BRASIL</t>
  </si>
  <si>
    <t xml:space="preserve">4904184448</t>
  </si>
  <si>
    <t xml:space="preserve">55885</t>
  </si>
  <si>
    <t xml:space="preserve">PADEIRAO COMERCIO DE PRODUTOS</t>
  </si>
  <si>
    <t xml:space="preserve">4904184883</t>
  </si>
  <si>
    <t xml:space="preserve">4904184884</t>
  </si>
  <si>
    <t xml:space="preserve">213773</t>
  </si>
  <si>
    <t xml:space="preserve">BRG SUPLEMENTOS NUTRICIONAIS LTDA</t>
  </si>
  <si>
    <t xml:space="preserve">TIPO DE DEPÓSITO</t>
  </si>
  <si>
    <t xml:space="preserve">POSIÇÃO NO DEPÓSITO</t>
  </si>
  <si>
    <t xml:space="preserve">Nº DE QUANTOS</t>
  </si>
  <si>
    <t xml:space="preserve">TIPO DE ESTOQUE</t>
  </si>
  <si>
    <t xml:space="preserve">UNIDADE DE DEPÓSITO</t>
  </si>
  <si>
    <t xml:space="preserve">ESTOQUE DISPONÍVEL</t>
  </si>
  <si>
    <t xml:space="preserve">ÚLTIMO MOVIMENTO</t>
  </si>
  <si>
    <t xml:space="preserve">DURAÇÃO</t>
  </si>
  <si>
    <t xml:space="preserve">INVENTÁRIO ATIVO</t>
  </si>
  <si>
    <t xml:space="preserve">DATA DO VENCIMENTO</t>
  </si>
  <si>
    <t xml:space="preserve">CENTRO</t>
  </si>
  <si>
    <t xml:space="preserve">922</t>
  </si>
  <si>
    <t xml:space="preserve">TR-ZONE</t>
  </si>
  <si>
    <t xml:space="preserve">3</t>
  </si>
  <si>
    <t xml:space="preserve">BR01</t>
  </si>
  <si>
    <t xml:space="preserve">0</t>
  </si>
  <si>
    <t xml:space="preserve">U-ZONE</t>
  </si>
  <si>
    <t xml:space="preserve">54</t>
  </si>
  <si>
    <t xml:space="preserve">DCK</t>
  </si>
  <si>
    <t xml:space="preserve">0017854245</t>
  </si>
  <si>
    <t xml:space="preserve">0017854263</t>
  </si>
  <si>
    <t xml:space="preserve">17</t>
  </si>
  <si>
    <t xml:space="preserve">0017854540</t>
  </si>
  <si>
    <t xml:space="preserve">0017854808</t>
  </si>
  <si>
    <t xml:space="preserve">0017871931</t>
  </si>
  <si>
    <t xml:space="preserve">9</t>
  </si>
  <si>
    <t xml:space="preserve">0017872245</t>
  </si>
  <si>
    <t xml:space="preserve">0017882892</t>
  </si>
  <si>
    <t xml:space="preserve">5</t>
  </si>
  <si>
    <t xml:space="preserve">0017883414</t>
  </si>
  <si>
    <t xml:space="preserve">DIF</t>
  </si>
  <si>
    <t xml:space="preserve">PICKLINE</t>
  </si>
  <si>
    <t xml:space="preserve">2</t>
  </si>
  <si>
    <t xml:space="preserve">FGF</t>
  </si>
  <si>
    <t xml:space="preserve">06-18-E</t>
  </si>
  <si>
    <t xml:space="preserve">06-20-E</t>
  </si>
  <si>
    <t xml:space="preserve">06-87-E</t>
  </si>
  <si>
    <t xml:space="preserve">07-107-E</t>
  </si>
  <si>
    <t xml:space="preserve">8</t>
  </si>
  <si>
    <t xml:space="preserve">07-78-C</t>
  </si>
  <si>
    <t xml:space="preserve">07-85-E</t>
  </si>
  <si>
    <t xml:space="preserve">FLR</t>
  </si>
  <si>
    <t xml:space="preserve">0007939602</t>
  </si>
  <si>
    <t xml:space="preserve">7</t>
  </si>
  <si>
    <t xml:space="preserve">0007940118</t>
  </si>
  <si>
    <t xml:space="preserve">0007950573</t>
  </si>
  <si>
    <t xml:space="preserve">0007950576</t>
  </si>
  <si>
    <t xml:space="preserve">0007950581</t>
  </si>
  <si>
    <t xml:space="preserve">0007950649</t>
  </si>
  <si>
    <t xml:space="preserve">0007950692</t>
  </si>
  <si>
    <t xml:space="preserve">0007953793</t>
  </si>
  <si>
    <t xml:space="preserve">1</t>
  </si>
  <si>
    <t xml:space="preserve">0007953794</t>
  </si>
  <si>
    <t xml:space="preserve">0007953795</t>
  </si>
  <si>
    <t xml:space="preserve">0007954407</t>
  </si>
  <si>
    <t xml:space="preserve">AREA</t>
  </si>
  <si>
    <t xml:space="preserve">S</t>
  </si>
  <si>
    <t xml:space="preserve">20</t>
  </si>
  <si>
    <t xml:space="preserve">Q</t>
  </si>
  <si>
    <t xml:space="preserve">22</t>
  </si>
  <si>
    <t xml:space="preserve">D2</t>
  </si>
  <si>
    <t xml:space="preserve">R</t>
  </si>
  <si>
    <t xml:space="preserve">10</t>
  </si>
  <si>
    <t xml:space="preserve">DESCARTE</t>
  </si>
  <si>
    <t xml:space="preserve">56</t>
  </si>
  <si>
    <t xml:space="preserve">DEVOLUÇÃO</t>
  </si>
  <si>
    <t xml:space="preserve">55</t>
  </si>
  <si>
    <t xml:space="preserve">FM1</t>
  </si>
  <si>
    <t xml:space="preserve">10-002-F</t>
  </si>
  <si>
    <t xml:space="preserve">10-031-B</t>
  </si>
  <si>
    <t xml:space="preserve">26</t>
  </si>
  <si>
    <t xml:space="preserve">10-036-G</t>
  </si>
  <si>
    <t xml:space="preserve">10-038-G</t>
  </si>
  <si>
    <t xml:space="preserve">10-042-G</t>
  </si>
  <si>
    <t xml:space="preserve">10-051-B</t>
  </si>
  <si>
    <t xml:space="preserve">10-060-B</t>
  </si>
  <si>
    <t xml:space="preserve">10-065-C</t>
  </si>
  <si>
    <t xml:space="preserve">57</t>
  </si>
  <si>
    <t xml:space="preserve">10-065-D</t>
  </si>
  <si>
    <t xml:space="preserve">10-074-C</t>
  </si>
  <si>
    <t xml:space="preserve">10-078-D</t>
  </si>
  <si>
    <t xml:space="preserve">10-080-B</t>
  </si>
  <si>
    <t xml:space="preserve">10-080-C</t>
  </si>
  <si>
    <t xml:space="preserve">10-082-E</t>
  </si>
  <si>
    <t xml:space="preserve">10-088-B</t>
  </si>
  <si>
    <t xml:space="preserve">10-090-C</t>
  </si>
  <si>
    <t xml:space="preserve">10-094-B</t>
  </si>
  <si>
    <t xml:space="preserve">10-098-B</t>
  </si>
  <si>
    <t xml:space="preserve">10-098-C</t>
  </si>
  <si>
    <t xml:space="preserve">10-100-B</t>
  </si>
  <si>
    <t xml:space="preserve">10-100-C</t>
  </si>
  <si>
    <t xml:space="preserve">10-106-B</t>
  </si>
  <si>
    <t xml:space="preserve">10-108-B</t>
  </si>
  <si>
    <t xml:space="preserve">10-110-B</t>
  </si>
  <si>
    <t xml:space="preserve">10-112-B</t>
  </si>
  <si>
    <t xml:space="preserve">10-112-G</t>
  </si>
  <si>
    <t xml:space="preserve">415</t>
  </si>
  <si>
    <t xml:space="preserve">10-118-B</t>
  </si>
  <si>
    <t xml:space="preserve">10-120-B</t>
  </si>
  <si>
    <t xml:space="preserve">11-006-C</t>
  </si>
  <si>
    <t xml:space="preserve">11-018-C</t>
  </si>
  <si>
    <t xml:space="preserve">11-084-B</t>
  </si>
  <si>
    <t xml:space="preserve">61</t>
  </si>
  <si>
    <t xml:space="preserve">12-059-D</t>
  </si>
  <si>
    <t xml:space="preserve">113</t>
  </si>
  <si>
    <t xml:space="preserve">12-072-B</t>
  </si>
  <si>
    <t xml:space="preserve">12-100-C</t>
  </si>
  <si>
    <t xml:space="preserve">12-102-C</t>
  </si>
  <si>
    <t xml:space="preserve">12-104-C</t>
  </si>
  <si>
    <t xml:space="preserve">12-106-C</t>
  </si>
  <si>
    <t xml:space="preserve">13-00E-C</t>
  </si>
  <si>
    <t xml:space="preserve">13-020-B</t>
  </si>
  <si>
    <t xml:space="preserve">13-020-F</t>
  </si>
  <si>
    <t xml:space="preserve">13-022-G</t>
  </si>
  <si>
    <t xml:space="preserve">127</t>
  </si>
  <si>
    <t xml:space="preserve">13-032-C</t>
  </si>
  <si>
    <t xml:space="preserve">13-032-E</t>
  </si>
  <si>
    <t xml:space="preserve">13-034-G</t>
  </si>
  <si>
    <t xml:space="preserve">13-036-D</t>
  </si>
  <si>
    <t xml:space="preserve">13-061-F</t>
  </si>
  <si>
    <t xml:space="preserve">13-066-C</t>
  </si>
  <si>
    <t xml:space="preserve">13-067-B</t>
  </si>
  <si>
    <t xml:space="preserve">13-072-C</t>
  </si>
  <si>
    <t xml:space="preserve">13-074-G</t>
  </si>
  <si>
    <t xml:space="preserve">60</t>
  </si>
  <si>
    <t xml:space="preserve">13-075-B</t>
  </si>
  <si>
    <t xml:space="preserve">13-083-F</t>
  </si>
  <si>
    <t xml:space="preserve">95</t>
  </si>
  <si>
    <t xml:space="preserve">13-085-E</t>
  </si>
  <si>
    <t xml:space="preserve">13-086-D</t>
  </si>
  <si>
    <t xml:space="preserve">13-088-G</t>
  </si>
  <si>
    <t xml:space="preserve">201</t>
  </si>
  <si>
    <t xml:space="preserve">13-093-E</t>
  </si>
  <si>
    <t xml:space="preserve">13-097-C</t>
  </si>
  <si>
    <t xml:space="preserve">13-098-F</t>
  </si>
  <si>
    <t xml:space="preserve">123</t>
  </si>
  <si>
    <t xml:space="preserve">13-099-D</t>
  </si>
  <si>
    <t xml:space="preserve">13-101-D</t>
  </si>
  <si>
    <t xml:space="preserve">13-103-C</t>
  </si>
  <si>
    <t xml:space="preserve">13-103-D</t>
  </si>
  <si>
    <t xml:space="preserve">13-120-B</t>
  </si>
  <si>
    <t xml:space="preserve">126</t>
  </si>
  <si>
    <t xml:space="preserve">13-123-B</t>
  </si>
  <si>
    <t xml:space="preserve">13-123-D</t>
  </si>
  <si>
    <t xml:space="preserve">14-031-D</t>
  </si>
  <si>
    <t xml:space="preserve">14-035-B</t>
  </si>
  <si>
    <t xml:space="preserve">14-036-D</t>
  </si>
  <si>
    <t xml:space="preserve">14-055-G</t>
  </si>
  <si>
    <t xml:space="preserve">14-057-G</t>
  </si>
  <si>
    <t xml:space="preserve">14-059-B</t>
  </si>
  <si>
    <t xml:space="preserve">14-061-F</t>
  </si>
  <si>
    <t xml:space="preserve">14-061-G</t>
  </si>
  <si>
    <t xml:space="preserve">14-063-G</t>
  </si>
  <si>
    <t xml:space="preserve">14-065-G</t>
  </si>
  <si>
    <t xml:space="preserve">14-067-E</t>
  </si>
  <si>
    <t xml:space="preserve">14-069-E</t>
  </si>
  <si>
    <t xml:space="preserve">71</t>
  </si>
  <si>
    <t xml:space="preserve">14-069-F</t>
  </si>
  <si>
    <t xml:space="preserve">14-069-G</t>
  </si>
  <si>
    <t xml:space="preserve">14-070-E</t>
  </si>
  <si>
    <t xml:space="preserve">14-071-G</t>
  </si>
  <si>
    <t xml:space="preserve">14-072-E</t>
  </si>
  <si>
    <t xml:space="preserve">14-073-F</t>
  </si>
  <si>
    <t xml:space="preserve">14-073-G</t>
  </si>
  <si>
    <t xml:space="preserve">14-074-E</t>
  </si>
  <si>
    <t xml:space="preserve">14-075-F</t>
  </si>
  <si>
    <t xml:space="preserve">14-077-G</t>
  </si>
  <si>
    <t xml:space="preserve">14-079-C</t>
  </si>
  <si>
    <t xml:space="preserve">14-079-E</t>
  </si>
  <si>
    <t xml:space="preserve">14-080-B</t>
  </si>
  <si>
    <t xml:space="preserve">14-083-E</t>
  </si>
  <si>
    <t xml:space="preserve">14-086-C</t>
  </si>
  <si>
    <t xml:space="preserve">14-087-B</t>
  </si>
  <si>
    <t xml:space="preserve">14-089-B</t>
  </si>
  <si>
    <t xml:space="preserve">14-089-C</t>
  </si>
  <si>
    <t xml:space="preserve">14-090-B</t>
  </si>
  <si>
    <t xml:space="preserve">6</t>
  </si>
  <si>
    <t xml:space="preserve">14-090-C</t>
  </si>
  <si>
    <t xml:space="preserve">14-090-D</t>
  </si>
  <si>
    <t xml:space="preserve">14-092-C</t>
  </si>
  <si>
    <t xml:space="preserve">14-094-B</t>
  </si>
  <si>
    <t xml:space="preserve">14-094-D</t>
  </si>
  <si>
    <t xml:space="preserve">14-096-B</t>
  </si>
  <si>
    <t xml:space="preserve">14-096-E</t>
  </si>
  <si>
    <t xml:space="preserve">14-097-B</t>
  </si>
  <si>
    <t xml:space="preserve">14-100-D</t>
  </si>
  <si>
    <t xml:space="preserve">14-101-B</t>
  </si>
  <si>
    <t xml:space="preserve">14-103-B</t>
  </si>
  <si>
    <t xml:space="preserve">14-104-B</t>
  </si>
  <si>
    <t xml:space="preserve">14-108-B</t>
  </si>
  <si>
    <t xml:space="preserve">14-109-B</t>
  </si>
  <si>
    <t xml:space="preserve">14-110-B</t>
  </si>
  <si>
    <t xml:space="preserve">14-110-C</t>
  </si>
  <si>
    <t xml:space="preserve">14-112-B</t>
  </si>
  <si>
    <t xml:space="preserve">14-114-B</t>
  </si>
  <si>
    <t xml:space="preserve">14-115-G</t>
  </si>
  <si>
    <t xml:space="preserve">14-118-B</t>
  </si>
  <si>
    <t xml:space="preserve">14-120-B</t>
  </si>
  <si>
    <t xml:space="preserve">14-122-B</t>
  </si>
  <si>
    <t xml:space="preserve">14-124-B</t>
  </si>
  <si>
    <t xml:space="preserve">15-003-G</t>
  </si>
  <si>
    <t xml:space="preserve">15-00X-C</t>
  </si>
  <si>
    <t xml:space="preserve">66</t>
  </si>
  <si>
    <t xml:space="preserve">15-011-G</t>
  </si>
  <si>
    <t xml:space="preserve">15-013-G</t>
  </si>
  <si>
    <t xml:space="preserve">15-025-G</t>
  </si>
  <si>
    <t xml:space="preserve">15-029-G</t>
  </si>
  <si>
    <t xml:space="preserve">15-033-F</t>
  </si>
  <si>
    <t xml:space="preserve">15-037-G</t>
  </si>
  <si>
    <t xml:space="preserve">15-040-E</t>
  </si>
  <si>
    <t xml:space="preserve">15-070-E</t>
  </si>
  <si>
    <t xml:space="preserve">15-079-C</t>
  </si>
  <si>
    <t xml:space="preserve">131</t>
  </si>
  <si>
    <t xml:space="preserve">15-100-E</t>
  </si>
  <si>
    <t xml:space="preserve">15-111-E</t>
  </si>
  <si>
    <t xml:space="preserve">15-113-G</t>
  </si>
  <si>
    <t xml:space="preserve">PK1</t>
  </si>
  <si>
    <t xml:space="preserve">04-10-A</t>
  </si>
  <si>
    <t xml:space="preserve">52</t>
  </si>
  <si>
    <t xml:space="preserve">04-54-A</t>
  </si>
  <si>
    <t xml:space="preserve">98</t>
  </si>
  <si>
    <t xml:space="preserve">05-009-A</t>
  </si>
  <si>
    <t xml:space="preserve">24</t>
  </si>
  <si>
    <t xml:space="preserve">05-010-A</t>
  </si>
  <si>
    <t xml:space="preserve">05-020-A</t>
  </si>
  <si>
    <t xml:space="preserve">05-040-A</t>
  </si>
  <si>
    <t xml:space="preserve">05-050-A</t>
  </si>
  <si>
    <t xml:space="preserve">05-096-A</t>
  </si>
  <si>
    <t xml:space="preserve">05-106-A</t>
  </si>
  <si>
    <t xml:space="preserve">41</t>
  </si>
  <si>
    <t xml:space="preserve">05-107-A</t>
  </si>
  <si>
    <t xml:space="preserve">05-114-A</t>
  </si>
  <si>
    <t xml:space="preserve">14</t>
  </si>
  <si>
    <t xml:space="preserve">05-118-A</t>
  </si>
  <si>
    <t xml:space="preserve">05-120-A</t>
  </si>
  <si>
    <t xml:space="preserve">06-044-A</t>
  </si>
  <si>
    <t xml:space="preserve">06-046-A</t>
  </si>
  <si>
    <t xml:space="preserve">21</t>
  </si>
  <si>
    <t xml:space="preserve">06-047-A</t>
  </si>
  <si>
    <t xml:space="preserve">06-054-A</t>
  </si>
  <si>
    <t xml:space="preserve">06-073-A</t>
  </si>
  <si>
    <t xml:space="preserve">4</t>
  </si>
  <si>
    <t xml:space="preserve">9991</t>
  </si>
  <si>
    <t xml:space="preserve">06-080-A</t>
  </si>
  <si>
    <t xml:space="preserve">39</t>
  </si>
  <si>
    <t xml:space="preserve">06-094-A</t>
  </si>
  <si>
    <t xml:space="preserve">06-117-A</t>
  </si>
  <si>
    <t xml:space="preserve">06-123-A</t>
  </si>
  <si>
    <t xml:space="preserve">06-124-A</t>
  </si>
  <si>
    <t xml:space="preserve">06-39-A</t>
  </si>
  <si>
    <t xml:space="preserve">06-84-A</t>
  </si>
  <si>
    <t xml:space="preserve">07-015-A</t>
  </si>
  <si>
    <t xml:space="preserve">07-025-A</t>
  </si>
  <si>
    <t xml:space="preserve">117</t>
  </si>
  <si>
    <t xml:space="preserve">07-033-A</t>
  </si>
  <si>
    <t xml:space="preserve">07-045-A</t>
  </si>
  <si>
    <t xml:space="preserve">07-047-A</t>
  </si>
  <si>
    <t xml:space="preserve">07-061-A</t>
  </si>
  <si>
    <t xml:space="preserve">07-092-A</t>
  </si>
  <si>
    <t xml:space="preserve">PK2</t>
  </si>
  <si>
    <t xml:space="preserve">04-103-A</t>
  </si>
  <si>
    <t xml:space="preserve">219</t>
  </si>
  <si>
    <t xml:space="preserve">442</t>
  </si>
  <si>
    <t xml:space="preserve">37</t>
  </si>
  <si>
    <t xml:space="preserve">35</t>
  </si>
  <si>
    <t xml:space="preserve">04-105-A</t>
  </si>
  <si>
    <t xml:space="preserve">399</t>
  </si>
  <si>
    <t xml:space="preserve">96</t>
  </si>
  <si>
    <t xml:space="preserve">04-107-A</t>
  </si>
  <si>
    <t xml:space="preserve">397</t>
  </si>
  <si>
    <t xml:space="preserve">04-111-A</t>
  </si>
  <si>
    <t xml:space="preserve">TRF</t>
  </si>
  <si>
    <t xml:space="preserve">TRANSFER</t>
  </si>
  <si>
    <t xml:space="preserve">38</t>
  </si>
  <si>
    <t xml:space="preserve">DOC.MATERIAL</t>
  </si>
  <si>
    <t xml:space="preserve">DATA DE LANÇAMENTO</t>
  </si>
  <si>
    <t xml:space="preserve">QUANTIDADE</t>
  </si>
  <si>
    <t xml:space="preserve">DATA DE ENTRADA</t>
  </si>
  <si>
    <t xml:space="preserve">HORA DO REGISTRO</t>
  </si>
  <si>
    <t xml:space="preserve">ENTROU NO ZBR</t>
  </si>
  <si>
    <t xml:space="preserve">TIPO DE MOVIMENTO</t>
  </si>
  <si>
    <t xml:space="preserve">MOTIVO DO MOVIMENTO</t>
  </si>
  <si>
    <t xml:space="preserve">NOME DO USUÁRIO</t>
  </si>
  <si>
    <t xml:space="preserve">REFERÊNCIA</t>
  </si>
  <si>
    <t xml:space="preserve">NOME 1</t>
  </si>
  <si>
    <t xml:space="preserve">601</t>
  </si>
  <si>
    <t xml:space="preserve">0017883533</t>
  </si>
  <si>
    <t xml:space="preserve">0017883681</t>
  </si>
  <si>
    <t xml:space="preserve">0017883735</t>
  </si>
  <si>
    <t xml:space="preserve">0017884035</t>
  </si>
  <si>
    <t xml:space="preserve">0017878206</t>
  </si>
  <si>
    <t xml:space="preserve">0017871992</t>
  </si>
  <si>
    <t xml:space="preserve">0017883375</t>
  </si>
  <si>
    <t xml:space="preserve">0017878161</t>
  </si>
  <si>
    <t xml:space="preserve">0017871957</t>
  </si>
  <si>
    <t xml:space="preserve">0017881061</t>
  </si>
  <si>
    <t xml:space="preserve">0017881065</t>
  </si>
  <si>
    <t xml:space="preserve">0017881171</t>
  </si>
  <si>
    <t xml:space="preserve">0017878743</t>
  </si>
  <si>
    <t xml:space="preserve">0017881276</t>
  </si>
  <si>
    <t xml:space="preserve">0017872248</t>
  </si>
  <si>
    <t xml:space="preserve">0017878830</t>
  </si>
  <si>
    <t xml:space="preserve">0017864028</t>
  </si>
  <si>
    <t xml:space="preserve">0017878878</t>
  </si>
  <si>
    <t xml:space="preserve">0017878733</t>
  </si>
  <si>
    <t xml:space="preserve">0017867768</t>
  </si>
  <si>
    <t xml:space="preserve">0017874626</t>
  </si>
  <si>
    <t xml:space="preserve">0017874813</t>
  </si>
  <si>
    <t xml:space="preserve">0017863879</t>
  </si>
  <si>
    <t xml:space="preserve">0017863888</t>
  </si>
  <si>
    <t xml:space="preserve">0017856410</t>
  </si>
  <si>
    <t xml:space="preserve">0017860824</t>
  </si>
  <si>
    <t xml:space="preserve">0017863795</t>
  </si>
  <si>
    <t xml:space="preserve">0017854239</t>
  </si>
  <si>
    <t xml:space="preserve">0017882990</t>
  </si>
  <si>
    <t xml:space="preserve">0017883827</t>
  </si>
  <si>
    <t xml:space="preserve">0017881011</t>
  </si>
  <si>
    <t xml:space="preserve">0017888290</t>
  </si>
  <si>
    <t xml:space="preserve">0017884103</t>
  </si>
  <si>
    <t xml:space="preserve">0017884105</t>
  </si>
  <si>
    <t xml:space="preserve">0017884096</t>
  </si>
  <si>
    <t xml:space="preserve">0017885841</t>
  </si>
  <si>
    <t xml:space="preserve">0017881275</t>
  </si>
  <si>
    <t xml:space="preserve">0017883625</t>
  </si>
  <si>
    <t xml:space="preserve">0017883692</t>
  </si>
  <si>
    <t xml:space="preserve">0017883432</t>
  </si>
  <si>
    <t xml:space="preserve">0017883378</t>
  </si>
  <si>
    <t xml:space="preserve">0017883368</t>
  </si>
  <si>
    <t xml:space="preserve">0017878762</t>
  </si>
  <si>
    <t xml:space="preserve">0017880707</t>
  </si>
  <si>
    <t xml:space="preserve">0017880824</t>
  </si>
  <si>
    <t xml:space="preserve">0017880624</t>
  </si>
  <si>
    <t xml:space="preserve">0017880613</t>
  </si>
  <si>
    <t xml:space="preserve">0017878761</t>
  </si>
  <si>
    <t xml:space="preserve">0017878735</t>
  </si>
  <si>
    <t xml:space="preserve">0017874276</t>
  </si>
  <si>
    <t xml:space="preserve">0017870195</t>
  </si>
  <si>
    <t xml:space="preserve">0017854629</t>
  </si>
  <si>
    <t xml:space="preserve">0017884043</t>
  </si>
  <si>
    <t xml:space="preserve">0017884072</t>
  </si>
  <si>
    <t xml:space="preserve">0017879032</t>
  </si>
  <si>
    <t xml:space="preserve">0017876646</t>
  </si>
  <si>
    <t xml:space="preserve">0017874529</t>
  </si>
  <si>
    <t xml:space="preserve">0017863733</t>
  </si>
  <si>
    <t xml:space="preserve">0017872214</t>
  </si>
  <si>
    <t xml:space="preserve">0017867733</t>
  </si>
  <si>
    <t xml:space="preserve">0017863716</t>
  </si>
  <si>
    <t xml:space="preserve">0017863724</t>
  </si>
  <si>
    <t xml:space="preserve">0017855107</t>
  </si>
  <si>
    <t xml:space="preserve">0017865878</t>
  </si>
  <si>
    <t xml:space="preserve">0017857196</t>
  </si>
  <si>
    <t xml:space="preserve">0017857219</t>
  </si>
  <si>
    <t xml:space="preserve">0017863840</t>
  </si>
  <si>
    <t xml:space="preserve">0017865793</t>
  </si>
  <si>
    <t xml:space="preserve">0017854739</t>
  </si>
  <si>
    <t xml:space="preserve">0017861121</t>
  </si>
  <si>
    <t xml:space="preserve">0017859359</t>
  </si>
  <si>
    <t xml:space="preserve">0017857388</t>
  </si>
  <si>
    <t xml:space="preserve">0017858731</t>
  </si>
  <si>
    <t xml:space="preserve">0017854329</t>
  </si>
  <si>
    <t xml:space="preserve">0017860861</t>
  </si>
  <si>
    <t xml:space="preserve">0017854397</t>
  </si>
  <si>
    <t xml:space="preserve">0017885692</t>
  </si>
  <si>
    <t xml:space="preserve">0017863759</t>
  </si>
  <si>
    <t xml:space="preserve">0017866799</t>
  </si>
  <si>
    <t xml:space="preserve">0017865293</t>
  </si>
  <si>
    <t xml:space="preserve">0017863765</t>
  </si>
  <si>
    <t xml:space="preserve">0017888406</t>
  </si>
  <si>
    <t xml:space="preserve">0017867864</t>
  </si>
  <si>
    <t xml:space="preserve">0017872208</t>
  </si>
  <si>
    <t xml:space="preserve">0017867732</t>
  </si>
  <si>
    <t xml:space="preserve">0017869931</t>
  </si>
  <si>
    <t xml:space="preserve">0017867700</t>
  </si>
  <si>
    <t xml:space="preserve">0017865809</t>
  </si>
  <si>
    <t xml:space="preserve">0017867450</t>
  </si>
  <si>
    <t xml:space="preserve">0017883331</t>
  </si>
  <si>
    <t xml:space="preserve">0017883327</t>
  </si>
  <si>
    <t xml:space="preserve">0017883207</t>
  </si>
  <si>
    <t xml:space="preserve">0017881244</t>
  </si>
  <si>
    <t xml:space="preserve">0017881247</t>
  </si>
  <si>
    <t xml:space="preserve">0017887727</t>
  </si>
  <si>
    <t xml:space="preserve">0017884009</t>
  </si>
  <si>
    <t xml:space="preserve">0017874834</t>
  </si>
  <si>
    <t xml:space="preserve">0017874851</t>
  </si>
  <si>
    <t xml:space="preserve">0017883613</t>
  </si>
  <si>
    <t xml:space="preserve">0017878888</t>
  </si>
  <si>
    <t xml:space="preserve">0017874876</t>
  </si>
  <si>
    <t xml:space="preserve">0017874873</t>
  </si>
  <si>
    <t xml:space="preserve">0017884101</t>
  </si>
  <si>
    <t xml:space="preserve">0017883695</t>
  </si>
  <si>
    <t xml:space="preserve">0017883416</t>
  </si>
  <si>
    <t xml:space="preserve">0017882922</t>
  </si>
  <si>
    <t xml:space="preserve">0017874707</t>
  </si>
  <si>
    <t xml:space="preserve">0017860325</t>
  </si>
  <si>
    <t xml:space="preserve">0017858925</t>
  </si>
  <si>
    <t xml:space="preserve">0017888457</t>
  </si>
  <si>
    <t xml:space="preserve">0017876706</t>
  </si>
  <si>
    <t xml:space="preserve">0017888380</t>
  </si>
  <si>
    <t xml:space="preserve">0017886489</t>
  </si>
  <si>
    <t xml:space="preserve">0017885702</t>
  </si>
  <si>
    <t xml:space="preserve">0017880530</t>
  </si>
  <si>
    <t xml:space="preserve">0017874710</t>
  </si>
  <si>
    <t xml:space="preserve">0017870146</t>
  </si>
  <si>
    <t xml:space="preserve">0017876020</t>
  </si>
  <si>
    <t xml:space="preserve">0017870139</t>
  </si>
  <si>
    <t xml:space="preserve">0017874160</t>
  </si>
  <si>
    <t xml:space="preserve">0017874669</t>
  </si>
  <si>
    <t xml:space="preserve">0017863082</t>
  </si>
  <si>
    <t xml:space="preserve">0017867355</t>
  </si>
  <si>
    <t xml:space="preserve">0017865964</t>
  </si>
  <si>
    <t xml:space="preserve">0017865877</t>
  </si>
  <si>
    <t xml:space="preserve">0017859367</t>
  </si>
  <si>
    <t xml:space="preserve">0017865450</t>
  </si>
  <si>
    <t xml:space="preserve">0017855132</t>
  </si>
  <si>
    <t xml:space="preserve">0017855055</t>
  </si>
  <si>
    <t xml:space="preserve">0017867532</t>
  </si>
  <si>
    <t xml:space="preserve">0017857322</t>
  </si>
  <si>
    <t xml:space="preserve">0017859381</t>
  </si>
  <si>
    <t xml:space="preserve">0017854726</t>
  </si>
  <si>
    <t xml:space="preserve">0017856810</t>
  </si>
  <si>
    <t xml:space="preserve">0017855003</t>
  </si>
  <si>
    <t xml:space="preserve">0017854446</t>
  </si>
  <si>
    <t xml:space="preserve">0017855000</t>
  </si>
  <si>
    <t xml:space="preserve">0017883452</t>
  </si>
  <si>
    <t xml:space="preserve">0017884051</t>
  </si>
  <si>
    <t xml:space="preserve">0017876670</t>
  </si>
  <si>
    <t xml:space="preserve">0017874848</t>
  </si>
  <si>
    <t xml:space="preserve">0017861090</t>
  </si>
  <si>
    <t xml:space="preserve">0017884081</t>
  </si>
  <si>
    <t xml:space="preserve">0017888408</t>
  </si>
  <si>
    <t xml:space="preserve">0017854547</t>
  </si>
  <si>
    <t xml:space="preserve">0017884012</t>
  </si>
  <si>
    <t xml:space="preserve">0017884013</t>
  </si>
  <si>
    <t xml:space="preserve">0017884038</t>
  </si>
  <si>
    <t xml:space="preserve">0017886205</t>
  </si>
  <si>
    <t xml:space="preserve">0017885575</t>
  </si>
  <si>
    <t xml:space="preserve">0017884099</t>
  </si>
  <si>
    <t xml:space="preserve">0017884104</t>
  </si>
  <si>
    <t xml:space="preserve">0017885567</t>
  </si>
  <si>
    <t xml:space="preserve">0017884102</t>
  </si>
  <si>
    <t xml:space="preserve">0017884135</t>
  </si>
  <si>
    <t xml:space="preserve">0017884025</t>
  </si>
  <si>
    <t xml:space="preserve">0017884142</t>
  </si>
  <si>
    <t xml:space="preserve">0017884093</t>
  </si>
  <si>
    <t xml:space="preserve">0017884066</t>
  </si>
  <si>
    <t xml:space="preserve">0017883372</t>
  </si>
  <si>
    <t xml:space="preserve">0017882952</t>
  </si>
  <si>
    <t xml:space="preserve">0017882953</t>
  </si>
  <si>
    <t xml:space="preserve">0017878041</t>
  </si>
  <si>
    <t xml:space="preserve">0017878189</t>
  </si>
  <si>
    <t xml:space="preserve">0017883580</t>
  </si>
  <si>
    <t xml:space="preserve">0017882951</t>
  </si>
  <si>
    <t xml:space="preserve">0017882950</t>
  </si>
  <si>
    <t xml:space="preserve">0017878188</t>
  </si>
  <si>
    <t xml:space="preserve">0017882957</t>
  </si>
  <si>
    <t xml:space="preserve">0017883367</t>
  </si>
  <si>
    <t xml:space="preserve">0017883433</t>
  </si>
  <si>
    <t xml:space="preserve">0017883582</t>
  </si>
  <si>
    <t xml:space="preserve">0017883373</t>
  </si>
  <si>
    <t xml:space="preserve">0017883555</t>
  </si>
  <si>
    <t xml:space="preserve">0017876606</t>
  </si>
  <si>
    <t xml:space="preserve">0017876597</t>
  </si>
  <si>
    <t xml:space="preserve">0017876598</t>
  </si>
  <si>
    <t xml:space="preserve">0017866797</t>
  </si>
  <si>
    <t xml:space="preserve">0017858564</t>
  </si>
  <si>
    <t xml:space="preserve">0017859505</t>
  </si>
  <si>
    <t xml:space="preserve">0017884061</t>
  </si>
  <si>
    <t xml:space="preserve">0017878193</t>
  </si>
  <si>
    <t xml:space="preserve">0017880703</t>
  </si>
  <si>
    <t xml:space="preserve">0017878194</t>
  </si>
  <si>
    <t xml:space="preserve">0017859228</t>
  </si>
  <si>
    <t xml:space="preserve">0017886424</t>
  </si>
  <si>
    <t xml:space="preserve">0017887861</t>
  </si>
  <si>
    <t xml:space="preserve">0017887862</t>
  </si>
  <si>
    <t xml:space="preserve">0017887863</t>
  </si>
  <si>
    <t xml:space="preserve">0017887865</t>
  </si>
  <si>
    <t xml:space="preserve">0017888383</t>
  </si>
  <si>
    <t xml:space="preserve">0017888132</t>
  </si>
  <si>
    <t xml:space="preserve">0017887867</t>
  </si>
  <si>
    <t xml:space="preserve">0017884068</t>
  </si>
  <si>
    <t xml:space="preserve">0017881427</t>
  </si>
  <si>
    <t xml:space="preserve">0017881423</t>
  </si>
  <si>
    <t xml:space="preserve">0017878207</t>
  </si>
  <si>
    <t xml:space="preserve">0017878221</t>
  </si>
  <si>
    <t xml:space="preserve">0017864944</t>
  </si>
  <si>
    <t xml:space="preserve">0017888374</t>
  </si>
  <si>
    <t xml:space="preserve">0017884095</t>
  </si>
  <si>
    <t xml:space="preserve">0017880810</t>
  </si>
  <si>
    <t xml:space="preserve">0017874273</t>
  </si>
  <si>
    <t xml:space="preserve">0017865461</t>
  </si>
  <si>
    <t xml:space="preserve">0017867898</t>
  </si>
  <si>
    <t xml:space="preserve">0017862924</t>
  </si>
  <si>
    <t xml:space="preserve">0017854647</t>
  </si>
  <si>
    <t xml:space="preserve">0017857318</t>
  </si>
  <si>
    <t xml:space="preserve">0017854576</t>
  </si>
  <si>
    <t xml:space="preserve">0017881185</t>
  </si>
  <si>
    <t xml:space="preserve">0017885617</t>
  </si>
  <si>
    <t xml:space="preserve">0017871812</t>
  </si>
  <si>
    <t xml:space="preserve">0017876683</t>
  </si>
  <si>
    <t xml:space="preserve">0017870098</t>
  </si>
  <si>
    <t xml:space="preserve">0017870066</t>
  </si>
  <si>
    <t xml:space="preserve">0017867737</t>
  </si>
  <si>
    <t xml:space="preserve">0017863384</t>
  </si>
  <si>
    <t xml:space="preserve">0017859353</t>
  </si>
  <si>
    <t xml:space="preserve">0017860948</t>
  </si>
  <si>
    <t xml:space="preserve">0017865794</t>
  </si>
  <si>
    <t xml:space="preserve">0017865791</t>
  </si>
  <si>
    <t xml:space="preserve">0017856411</t>
  </si>
  <si>
    <t xml:space="preserve">0017858767</t>
  </si>
  <si>
    <t xml:space="preserve">0017861195</t>
  </si>
  <si>
    <t xml:space="preserve">0017860823</t>
  </si>
  <si>
    <t xml:space="preserve">0017859322</t>
  </si>
  <si>
    <t xml:space="preserve">0017859284</t>
  </si>
  <si>
    <t xml:space="preserve">0017869172</t>
  </si>
  <si>
    <t xml:space="preserve">0017860828</t>
  </si>
  <si>
    <t xml:space="preserve">0017859227</t>
  </si>
  <si>
    <t xml:space="preserve">0017884021</t>
  </si>
  <si>
    <t xml:space="preserve">0017884023</t>
  </si>
  <si>
    <t xml:space="preserve">0017884014</t>
  </si>
  <si>
    <t xml:space="preserve">0017884030</t>
  </si>
  <si>
    <t xml:space="preserve">0017884037</t>
  </si>
  <si>
    <t xml:space="preserve">0017884032</t>
  </si>
  <si>
    <t xml:space="preserve">0017883332</t>
  </si>
  <si>
    <t xml:space="preserve">0017882928</t>
  </si>
  <si>
    <t xml:space="preserve">0017882905</t>
  </si>
  <si>
    <t xml:space="preserve">0017882904</t>
  </si>
  <si>
    <t xml:space="preserve">0017884034</t>
  </si>
  <si>
    <t xml:space="preserve">0017884065</t>
  </si>
  <si>
    <t xml:space="preserve">0017881229</t>
  </si>
  <si>
    <t xml:space="preserve">0017881064</t>
  </si>
  <si>
    <t xml:space="preserve">0017880946</t>
  </si>
  <si>
    <t xml:space="preserve">0017881228</t>
  </si>
  <si>
    <t xml:space="preserve">0017883440</t>
  </si>
  <si>
    <t xml:space="preserve">0017882944</t>
  </si>
  <si>
    <t xml:space="preserve">0017881402</t>
  </si>
  <si>
    <t xml:space="preserve">0017880942</t>
  </si>
  <si>
    <t xml:space="preserve">0017881274</t>
  </si>
  <si>
    <t xml:space="preserve">0017883323</t>
  </si>
  <si>
    <t xml:space="preserve">0017883338</t>
  </si>
  <si>
    <t xml:space="preserve">0017884097</t>
  </si>
  <si>
    <t xml:space="preserve">0017881067</t>
  </si>
  <si>
    <t xml:space="preserve">0017878454</t>
  </si>
  <si>
    <t xml:space="preserve">0017883468</t>
  </si>
  <si>
    <t xml:space="preserve">0017871552</t>
  </si>
  <si>
    <t xml:space="preserve">0017867095</t>
  </si>
  <si>
    <t xml:space="preserve">0017854715</t>
  </si>
  <si>
    <t xml:space="preserve">0017859352</t>
  </si>
  <si>
    <t xml:space="preserve">0017864955</t>
  </si>
  <si>
    <t xml:space="preserve">0017864883</t>
  </si>
  <si>
    <t xml:space="preserve">0017863874</t>
  </si>
  <si>
    <t xml:space="preserve">0017858928</t>
  </si>
  <si>
    <t xml:space="preserve">0017859512</t>
  </si>
  <si>
    <t xml:space="preserve">0017856483</t>
  </si>
  <si>
    <t xml:space="preserve">0017854247</t>
  </si>
  <si>
    <t xml:space="preserve">0017854275</t>
  </si>
  <si>
    <t xml:space="preserve">0017886224</t>
  </si>
  <si>
    <t xml:space="preserve">0017884092</t>
  </si>
  <si>
    <t xml:space="preserve">0017884004</t>
  </si>
  <si>
    <t xml:space="preserve">0017888534</t>
  </si>
  <si>
    <t xml:space="preserve">0017884005</t>
  </si>
  <si>
    <t xml:space="preserve">0017884062</t>
  </si>
  <si>
    <t xml:space="preserve">0017885740</t>
  </si>
  <si>
    <t xml:space="preserve">0017882946</t>
  </si>
  <si>
    <t xml:space="preserve">0017881231</t>
  </si>
  <si>
    <t xml:space="preserve">0017883990</t>
  </si>
  <si>
    <t xml:space="preserve">0017883989</t>
  </si>
  <si>
    <t xml:space="preserve">0017884026</t>
  </si>
  <si>
    <t xml:space="preserve">0017883336</t>
  </si>
  <si>
    <t xml:space="preserve">0017881218</t>
  </si>
  <si>
    <t xml:space="preserve">0017881220</t>
  </si>
  <si>
    <t xml:space="preserve">0017881221</t>
  </si>
  <si>
    <t xml:space="preserve">0017881225</t>
  </si>
  <si>
    <t xml:space="preserve">0017881226</t>
  </si>
  <si>
    <t xml:space="preserve">0017883334</t>
  </si>
  <si>
    <t xml:space="preserve">0017882912</t>
  </si>
  <si>
    <t xml:space="preserve">0017884094</t>
  </si>
  <si>
    <t xml:space="preserve">0017884045</t>
  </si>
  <si>
    <t xml:space="preserve">0017883546</t>
  </si>
  <si>
    <t xml:space="preserve">0017881235</t>
  </si>
  <si>
    <t xml:space="preserve">0017881236</t>
  </si>
  <si>
    <t xml:space="preserve">0017883371</t>
  </si>
  <si>
    <t xml:space="preserve">0017882918</t>
  </si>
  <si>
    <t xml:space="preserve">0017876595</t>
  </si>
  <si>
    <t xml:space="preserve">0017859117</t>
  </si>
  <si>
    <t xml:space="preserve">0017860907</t>
  </si>
  <si>
    <t xml:space="preserve">0017854639</t>
  </si>
  <si>
    <t xml:space="preserve">0017854532</t>
  </si>
  <si>
    <t xml:space="preserve">0017858381</t>
  </si>
  <si>
    <t xml:space="preserve">0017858546</t>
  </si>
  <si>
    <t xml:space="preserve">0017854619</t>
  </si>
  <si>
    <t xml:space="preserve">Análise ZBR Importado — Entradas × Saídas × Estoque atual</t>
  </si>
  <si>
    <t xml:space="preserve">Fonte: arquivo Analise_ZBR_importado.XLSX (abas Entrada, Saida e Estoque atual), período 09/09/2026 a 01/10/2026, centro BR01.</t>
  </si>
  <si>
    <t xml:space="preserve">Parâmetros (células amarelas, editáveis)</t>
  </si>
  <si>
    <t xml:space="preserve">Data limite dos recebimentos de importação no 2008</t>
  </si>
  <si>
    <t xml:space="preserve">Tolerância para considerar diferença OK</t>
  </si>
  <si>
    <t xml:space="preserve">Situação dos cruzamentos</t>
  </si>
  <si>
    <t xml:space="preserve">Visão</t>
  </si>
  <si>
    <t xml:space="preserve">OK</t>
  </si>
  <si>
    <t xml:space="preserve">Sobra no estoque</t>
  </si>
  <si>
    <t xml:space="preserve">Falta no estoque</t>
  </si>
  <si>
    <t xml:space="preserve">% OK</t>
  </si>
  <si>
    <t xml:space="preserve">Material + Lote</t>
  </si>
  <si>
    <t xml:space="preserve">Material</t>
  </si>
  <si>
    <t xml:space="preserve">Totais por unidade de medida</t>
  </si>
  <si>
    <t xml:space="preserve">Entradas ZBR</t>
  </si>
  <si>
    <t xml:space="preserve">Saídas (601)</t>
  </si>
  <si>
    <t xml:space="preserve">Saldo calculado</t>
  </si>
  <si>
    <t xml:space="preserve">Estoque atual</t>
  </si>
  <si>
    <t xml:space="preserve">Diferença</t>
  </si>
  <si>
    <t xml:space="preserve">Movimentação das abas de origem</t>
  </si>
  <si>
    <t xml:space="preserve">Indicador</t>
  </si>
  <si>
    <t xml:space="preserve">Linhas</t>
  </si>
  <si>
    <t xml:space="preserve">Quantidade</t>
  </si>
  <si>
    <t xml:space="preserve">Recebimentos de importação no 2008</t>
  </si>
  <si>
    <t xml:space="preserve">Transferências 2008 → ZBR</t>
  </si>
  <si>
    <t xml:space="preserve">Estornos de transferência</t>
  </si>
  <si>
    <t xml:space="preserve">Posições em estoque</t>
  </si>
  <si>
    <t xml:space="preserve">Quantidades somam KG, UN e CX juntos — use a tabela por UM para comparar.</t>
  </si>
  <si>
    <t xml:space="preserve">Como ler</t>
  </si>
  <si>
    <t xml:space="preserve">• Depósito 2008 = recebimento da importação. Valores NEGATIVOS no 2008 são transferências para o ZBR (depósitos 9999/0355) e entram aqui como Entradas.</t>
  </si>
  <si>
    <t xml:space="preserve">• Valores POSITIVOS no 2008 até a data-limite (C6) são chegadas da importação; depois dela, estornos que abatem as Entradas.</t>
  </si>
  <si>
    <t xml:space="preserve">• Saldo calculado = Entradas ZBR − Saídas (601). Diferença = Estoque atual − Saldo calculado.</t>
  </si>
  <si>
    <t xml:space="preserve">• Sobra no estoque: há mais estoque que o movimento explica (provável saldo anterior a 09/09 ou entrada não listada). Falta no estoque: há menos estoque que o esperado (saída, ajuste ou transferência não listada).</t>
  </si>
  <si>
    <t xml:space="preserve">• Saldo em 2008: quantidade recebida da importação que ainda não foi transferida para o ZBR no período.</t>
  </si>
  <si>
    <t xml:space="preserve">• As linhas de total do rodapé da aba Saida original foram removidas para não duplicar quantidades.</t>
  </si>
  <si>
    <t xml:space="preserve">Cruzamento Entrada × Saída × Estoque — por Material</t>
  </si>
  <si>
    <t xml:space="preserve">Entradas = transferências do depósito 2008 para o ZBR (sinal invertido, estornos já abatidos). Saídas = movimento 601. Diferença ≠ 0 indica estoque inicial anterior ao período ou movimento não contido nas abas.</t>
  </si>
  <si>
    <t xml:space="preserve">RECEBIDO IMPORTAÇÃO (2008)</t>
  </si>
  <si>
    <t xml:space="preserve">ENTRADAS ZBR (2008 → ZBR)</t>
  </si>
  <si>
    <t xml:space="preserve">SAÍDAS (601)</t>
  </si>
  <si>
    <t xml:space="preserve">SALDO CALCULADO (ENTRADAS − SAÍDAS)</t>
  </si>
  <si>
    <t xml:space="preserve">ESTOQUE ATUAL</t>
  </si>
  <si>
    <t xml:space="preserve">DIFERENÇA (ESTOQUE − CALCULADO)</t>
  </si>
  <si>
    <t xml:space="preserve">STATUS</t>
  </si>
  <si>
    <t xml:space="preserve">POSSÍVEL CAUSA</t>
  </si>
  <si>
    <t xml:space="preserve">RECEBIDO NO 2008 AINDA NÃO TRANSFERIDO (RECEBIDO − ENTRADAS ZBR)</t>
  </si>
  <si>
    <t xml:space="preserve">TOTAL (unidades mistas – ver Resumo por UM)</t>
  </si>
  <si>
    <t xml:space="preserve">Cruzamento Entrada × Saída × Estoque — por Material e Lote</t>
  </si>
</sst>
</file>

<file path=xl/styles.xml><?xml version="1.0" encoding="utf-8"?>
<styleSheet xmlns="http://schemas.openxmlformats.org/spreadsheetml/2006/main">
  <numFmts count="13">
    <numFmt numFmtId="164" formatCode="General"/>
    <numFmt numFmtId="165" formatCode="dd/mm/yyyy"/>
    <numFmt numFmtId="166" formatCode="@&quot;   ▼&quot;"/>
    <numFmt numFmtId="167" formatCode="dd/mm/yyyy&quot;   ▼&quot;"/>
    <numFmt numFmtId="168" formatCode="@&quot; ▼&quot;"/>
    <numFmt numFmtId="169" formatCode="0.00"/>
    <numFmt numFmtId="170" formatCode="#,##0.0;\-#,##0.0;0"/>
    <numFmt numFmtId="171" formatCode="\+#,##0.0;\-#,##0.0;0"/>
    <numFmt numFmtId="172" formatCode="General"/>
    <numFmt numFmtId="173" formatCode="yyyy\-mm\-dd\ h:mm:ss"/>
    <numFmt numFmtId="174" formatCode="#,##0"/>
    <numFmt numFmtId="175" formatCode="h:mm:ss"/>
    <numFmt numFmtId="176" formatCode="0.0%"/>
  </numFmts>
  <fonts count="28">
    <font>
      <sz val="11"/>
      <color theme="1"/>
      <name val="Calibri"/>
      <family val="2"/>
      <charset val="1"/>
    </font>
    <font>
      <sz val="10"/>
      <name val="Arial"/>
      <family val="0"/>
    </font>
    <font>
      <sz val="10"/>
      <name val="Arial"/>
      <family val="0"/>
    </font>
    <font>
      <sz val="10"/>
      <name val="Arial"/>
      <family val="0"/>
    </font>
    <font>
      <b val="true"/>
      <sz val="22"/>
      <color rgb="FF141A1F"/>
      <name val="Arial Narrow"/>
      <family val="0"/>
      <charset val="1"/>
    </font>
    <font>
      <sz val="10"/>
      <color rgb="FF7A828C"/>
      <name val="Arial"/>
      <family val="0"/>
      <charset val="1"/>
    </font>
    <font>
      <b val="true"/>
      <sz val="8"/>
      <color rgb="FF7A828C"/>
      <name val="Arial"/>
      <family val="0"/>
      <charset val="1"/>
    </font>
    <font>
      <b val="true"/>
      <sz val="11"/>
      <color rgb="FF141A1F"/>
      <name val="Arial"/>
      <family val="0"/>
      <charset val="1"/>
    </font>
    <font>
      <sz val="9"/>
      <color rgb="FF7A828C"/>
      <name val="Arial"/>
      <family val="0"/>
      <charset val="1"/>
    </font>
    <font>
      <b val="true"/>
      <sz val="9"/>
      <color rgb="FF4D5560"/>
      <name val="Arial"/>
      <family val="0"/>
      <charset val="1"/>
    </font>
    <font>
      <b val="true"/>
      <sz val="8"/>
      <color rgb="FF2A78D6"/>
      <name val="Arial"/>
      <family val="0"/>
      <charset val="1"/>
    </font>
    <font>
      <b val="true"/>
      <sz val="8"/>
      <color rgb="FFEB6834"/>
      <name val="Arial"/>
      <family val="0"/>
      <charset val="1"/>
    </font>
    <font>
      <b val="true"/>
      <sz val="10"/>
      <color rgb="FF0CA30C"/>
      <name val="Arial"/>
      <family val="0"/>
      <charset val="1"/>
    </font>
    <font>
      <b val="true"/>
      <sz val="24"/>
      <color rgb="FF141A1F"/>
      <name val="Arial Narrow"/>
      <family val="0"/>
      <charset val="1"/>
    </font>
    <font>
      <b val="true"/>
      <sz val="10"/>
      <color rgb="FFA86B00"/>
      <name val="Arial"/>
      <family val="0"/>
      <charset val="1"/>
    </font>
    <font>
      <b val="true"/>
      <sz val="10"/>
      <color rgb="FFD03B3B"/>
      <name val="Arial"/>
      <family val="0"/>
      <charset val="1"/>
    </font>
    <font>
      <b val="true"/>
      <sz val="15"/>
      <color rgb="FF141A1F"/>
      <name val="Arial Narrow"/>
      <family val="0"/>
      <charset val="1"/>
    </font>
    <font>
      <b val="true"/>
      <sz val="10"/>
      <color rgb="FF141A1F"/>
      <name val="Arial"/>
      <family val="0"/>
      <charset val="1"/>
    </font>
    <font>
      <sz val="10"/>
      <color rgb="FF141A1F"/>
      <name val="Arial"/>
      <family val="0"/>
      <charset val="1"/>
    </font>
    <font>
      <sz val="9"/>
      <color rgb="FF4D5560"/>
      <name val="Arial"/>
      <family val="0"/>
      <charset val="1"/>
    </font>
    <font>
      <sz val="10"/>
      <color rgb="FF000000"/>
      <name val="Calibri"/>
      <family val="2"/>
    </font>
    <font>
      <sz val="10"/>
      <color rgb="FF4D5560"/>
      <name val="Arial"/>
      <family val="0"/>
      <charset val="1"/>
    </font>
    <font>
      <b val="true"/>
      <sz val="8"/>
      <color rgb="FF4D5560"/>
      <name val="Arial"/>
      <family val="0"/>
      <charset val="1"/>
    </font>
    <font>
      <b val="true"/>
      <sz val="24"/>
      <color rgb="FF0CA30C"/>
      <name val="Arial Narrow"/>
      <family val="0"/>
      <charset val="1"/>
    </font>
    <font>
      <b val="true"/>
      <sz val="24"/>
      <color rgb="FFA86B00"/>
      <name val="Arial Narrow"/>
      <family val="0"/>
      <charset val="1"/>
    </font>
    <font>
      <b val="true"/>
      <sz val="24"/>
      <color rgb="FFD03B3B"/>
      <name val="Arial Narrow"/>
      <family val="0"/>
      <charset val="1"/>
    </font>
    <font>
      <b val="true"/>
      <sz val="10"/>
      <color rgb="FF1C5CAB"/>
      <name val="Arial"/>
      <family val="0"/>
      <charset val="1"/>
    </font>
    <font>
      <sz val="10"/>
      <name val="Arial"/>
      <family val="2"/>
    </font>
  </fonts>
  <fills count="9">
    <fill>
      <patternFill patternType="none"/>
    </fill>
    <fill>
      <patternFill patternType="gray125"/>
    </fill>
    <fill>
      <patternFill patternType="solid">
        <fgColor rgb="FFF3F4F2"/>
        <bgColor rgb="FFEAF2FC"/>
      </patternFill>
    </fill>
    <fill>
      <patternFill patternType="solid">
        <fgColor rgb="FFFCFCFB"/>
        <bgColor rgb="FFF3F4F2"/>
      </patternFill>
    </fill>
    <fill>
      <patternFill patternType="solid">
        <fgColor rgb="FFEAF2FC"/>
        <bgColor rgb="FFF3F4F2"/>
      </patternFill>
    </fill>
    <fill>
      <patternFill patternType="solid">
        <fgColor rgb="FFE3F4E1"/>
        <bgColor rgb="FFECEEEB"/>
      </patternFill>
    </fill>
    <fill>
      <patternFill patternType="solid">
        <fgColor rgb="FFFDF1D6"/>
        <bgColor rgb="FFF3F4F2"/>
      </patternFill>
    </fill>
    <fill>
      <patternFill patternType="solid">
        <fgColor rgb="FFFBE3E1"/>
        <bgColor rgb="FFFDF1D6"/>
      </patternFill>
    </fill>
    <fill>
      <patternFill patternType="solid">
        <fgColor rgb="FFECEEEB"/>
        <bgColor rgb="FFF3F4F2"/>
      </patternFill>
    </fill>
  </fills>
  <borders count="17">
    <border diagonalUp="false" diagonalDown="false">
      <left/>
      <right/>
      <top/>
      <bottom/>
      <diagonal/>
    </border>
    <border diagonalUp="false" diagonalDown="false">
      <left style="thin">
        <color rgb="FFD9DCD6"/>
      </left>
      <right/>
      <top style="thin">
        <color rgb="FFD9DCD6"/>
      </top>
      <bottom/>
      <diagonal/>
    </border>
    <border diagonalUp="false" diagonalDown="false">
      <left/>
      <right/>
      <top style="thin">
        <color rgb="FFD9DCD6"/>
      </top>
      <bottom/>
      <diagonal/>
    </border>
    <border diagonalUp="false" diagonalDown="false">
      <left/>
      <right style="thin">
        <color rgb="FFD9DCD6"/>
      </right>
      <top style="thin">
        <color rgb="FFD9DCD6"/>
      </top>
      <bottom/>
      <diagonal/>
    </border>
    <border diagonalUp="false" diagonalDown="false">
      <left style="thin">
        <color rgb="FF1C5CAB"/>
      </left>
      <right style="thin">
        <color rgb="FF1C5CAB"/>
      </right>
      <top style="thin">
        <color rgb="FF1C5CAB"/>
      </top>
      <bottom style="thin">
        <color rgb="FF1C5CAB"/>
      </bottom>
      <diagonal/>
    </border>
    <border diagonalUp="false" diagonalDown="false">
      <left style="thin">
        <color rgb="FFD9DCD6"/>
      </left>
      <right/>
      <top/>
      <bottom/>
      <diagonal/>
    </border>
    <border diagonalUp="false" diagonalDown="false">
      <left/>
      <right style="thin">
        <color rgb="FFD9DCD6"/>
      </right>
      <top/>
      <bottom/>
      <diagonal/>
    </border>
    <border diagonalUp="false" diagonalDown="false">
      <left style="thin">
        <color rgb="FFD9DCD6"/>
      </left>
      <right/>
      <top/>
      <bottom style="thin">
        <color rgb="FFD9DCD6"/>
      </bottom>
      <diagonal/>
    </border>
    <border diagonalUp="false" diagonalDown="false">
      <left/>
      <right/>
      <top/>
      <bottom style="thin">
        <color rgb="FFD9DCD6"/>
      </bottom>
      <diagonal/>
    </border>
    <border diagonalUp="false" diagonalDown="false">
      <left/>
      <right style="thin">
        <color rgb="FFD9DCD6"/>
      </right>
      <top/>
      <bottom style="thin">
        <color rgb="FFD9DCD6"/>
      </bottom>
      <diagonal/>
    </border>
    <border diagonalUp="false" diagonalDown="false">
      <left style="thin">
        <color rgb="FFD9DCD6"/>
      </left>
      <right style="thin">
        <color rgb="FFD9DCD6"/>
      </right>
      <top style="thin">
        <color rgb="FFD9DCD6"/>
      </top>
      <bottom/>
      <diagonal/>
    </border>
    <border diagonalUp="false" diagonalDown="false">
      <left style="medium">
        <color rgb="FF7A828C"/>
      </left>
      <right style="medium">
        <color rgb="FF7A828C"/>
      </right>
      <top style="medium">
        <color rgb="FF7A828C"/>
      </top>
      <bottom/>
      <diagonal/>
    </border>
    <border diagonalUp="false" diagonalDown="false">
      <left style="thin">
        <color rgb="FFD9DCD6"/>
      </left>
      <right style="thin">
        <color rgb="FFD9DCD6"/>
      </right>
      <top/>
      <bottom/>
      <diagonal/>
    </border>
    <border diagonalUp="false" diagonalDown="false">
      <left style="medium">
        <color rgb="FF7A828C"/>
      </left>
      <right style="medium">
        <color rgb="FF7A828C"/>
      </right>
      <top/>
      <bottom/>
      <diagonal/>
    </border>
    <border diagonalUp="false" diagonalDown="false">
      <left style="thin">
        <color rgb="FFD9DCD6"/>
      </left>
      <right style="thin">
        <color rgb="FFD9DCD6"/>
      </right>
      <top/>
      <bottom style="thin">
        <color rgb="FFD9DCD6"/>
      </bottom>
      <diagonal/>
    </border>
    <border diagonalUp="false" diagonalDown="false">
      <left style="medium">
        <color rgb="FF7A828C"/>
      </left>
      <right style="medium">
        <color rgb="FF7A828C"/>
      </right>
      <top/>
      <bottom style="medium">
        <color rgb="FF7A828C"/>
      </bottom>
      <diagonal/>
    </border>
    <border diagonalUp="false" diagonalDown="false">
      <left/>
      <right/>
      <top/>
      <bottom style="thin">
        <color rgb="FFE3E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6" fillId="3" borderId="2" xfId="0" applyFont="true" applyBorder="true" applyAlignment="false" applyProtection="false">
      <alignment horizontal="general" vertical="bottom" textRotation="0" wrapText="false" indent="0"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6" fontId="7" fillId="4" borderId="4" xfId="0" applyFont="true" applyBorder="true" applyAlignment="true" applyProtection="false">
      <alignment horizontal="left" vertical="center" textRotation="0" wrapText="false" indent="1" shrinkToFit="false"/>
      <protection locked="true" hidden="false"/>
    </xf>
    <xf numFmtId="167" fontId="7" fillId="4" borderId="4" xfId="0" applyFont="true" applyBorder="true" applyAlignment="true" applyProtection="false">
      <alignment horizontal="left" vertical="center" textRotation="0" wrapText="false" indent="1" shrinkToFit="false"/>
      <protection locked="true" hidden="false"/>
    </xf>
    <xf numFmtId="168" fontId="7" fillId="4" borderId="4" xfId="0" applyFont="true" applyBorder="true" applyAlignment="true" applyProtection="false">
      <alignment horizontal="left" vertical="center" textRotation="0" wrapText="false" indent="1"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8" fillId="3" borderId="5" xfId="0" applyFont="true" applyBorder="true" applyAlignment="false" applyProtection="false">
      <alignment horizontal="general" vertical="bottom"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0" fillId="3" borderId="6" xfId="0" applyFont="false" applyBorder="true" applyAlignment="false" applyProtection="false">
      <alignment horizontal="general" vertical="bottom" textRotation="0" wrapText="false" indent="0" shrinkToFit="false"/>
      <protection locked="true" hidden="false"/>
    </xf>
    <xf numFmtId="164" fontId="9" fillId="3" borderId="7" xfId="0" applyFont="true" applyBorder="true" applyAlignment="false" applyProtection="false">
      <alignment horizontal="general" vertical="bottom" textRotation="0" wrapText="false" indent="0" shrinkToFit="false"/>
      <protection locked="true" hidden="false"/>
    </xf>
    <xf numFmtId="164" fontId="0" fillId="3" borderId="8" xfId="0" applyFont="false" applyBorder="true" applyAlignment="false" applyProtection="false">
      <alignment horizontal="general" vertical="bottom" textRotation="0" wrapText="false" indent="0" shrinkToFit="false"/>
      <protection locked="true" hidden="false"/>
    </xf>
    <xf numFmtId="164" fontId="0" fillId="3" borderId="9" xfId="0" applyFont="false" applyBorder="true" applyAlignment="false" applyProtection="false">
      <alignment horizontal="general" vertical="bottom" textRotation="0" wrapText="false" indent="0" shrinkToFit="false"/>
      <protection locked="true" hidden="false"/>
    </xf>
    <xf numFmtId="164" fontId="10" fillId="3" borderId="10" xfId="0" applyFont="true" applyBorder="true" applyAlignment="true" applyProtection="false">
      <alignment horizontal="left" vertical="center" textRotation="0" wrapText="false" indent="1" shrinkToFit="false"/>
      <protection locked="true" hidden="false"/>
    </xf>
    <xf numFmtId="164" fontId="11" fillId="3" borderId="10" xfId="0" applyFont="true" applyBorder="true" applyAlignment="true" applyProtection="false">
      <alignment horizontal="left" vertical="center" textRotation="0" wrapText="false" indent="1" shrinkToFit="false"/>
      <protection locked="true" hidden="false"/>
    </xf>
    <xf numFmtId="164" fontId="6" fillId="3" borderId="10" xfId="0" applyFont="true" applyBorder="true" applyAlignment="true" applyProtection="false">
      <alignment horizontal="left" vertical="center" textRotation="0" wrapText="false" indent="1" shrinkToFit="false"/>
      <protection locked="true" hidden="false"/>
    </xf>
    <xf numFmtId="164" fontId="6" fillId="3" borderId="11" xfId="0" applyFont="true" applyBorder="true" applyAlignment="true" applyProtection="false">
      <alignment horizontal="left" vertical="center" textRotation="0" wrapText="false" indent="1" shrinkToFit="false"/>
      <protection locked="true" hidden="false"/>
    </xf>
    <xf numFmtId="164" fontId="12" fillId="5" borderId="10" xfId="0" applyFont="true" applyBorder="true" applyAlignment="true" applyProtection="false">
      <alignment horizontal="general" vertical="center" textRotation="0" wrapText="false" indent="1" shrinkToFit="false"/>
      <protection locked="true" hidden="false"/>
    </xf>
    <xf numFmtId="170" fontId="13" fillId="3" borderId="12" xfId="0" applyFont="true" applyBorder="true" applyAlignment="true" applyProtection="false">
      <alignment horizontal="left" vertical="center" textRotation="0" wrapText="false" indent="1" shrinkToFit="false"/>
      <protection locked="true" hidden="false"/>
    </xf>
    <xf numFmtId="171" fontId="13" fillId="3" borderId="13" xfId="0" applyFont="true" applyBorder="true" applyAlignment="true" applyProtection="false">
      <alignment horizontal="left" vertical="center" textRotation="0" wrapText="false" indent="1" shrinkToFit="false"/>
      <protection locked="true" hidden="false"/>
    </xf>
    <xf numFmtId="164" fontId="14" fillId="6" borderId="12" xfId="0" applyFont="true" applyBorder="true" applyAlignment="true" applyProtection="false">
      <alignment horizontal="general" vertical="center" textRotation="0" wrapText="false" indent="1" shrinkToFit="false"/>
      <protection locked="true" hidden="false"/>
    </xf>
    <xf numFmtId="164" fontId="8" fillId="3" borderId="14" xfId="0" applyFont="true" applyBorder="true" applyAlignment="true" applyProtection="false">
      <alignment horizontal="left" vertical="center" textRotation="0" wrapText="false" indent="1" shrinkToFit="false"/>
      <protection locked="true" hidden="false"/>
    </xf>
    <xf numFmtId="164" fontId="8" fillId="3" borderId="15" xfId="0" applyFont="true" applyBorder="true" applyAlignment="true" applyProtection="false">
      <alignment horizontal="left" vertical="center" textRotation="0" wrapText="false" indent="1" shrinkToFit="false"/>
      <protection locked="true" hidden="false"/>
    </xf>
    <xf numFmtId="164" fontId="15" fillId="7" borderId="14" xfId="0" applyFont="true" applyBorder="true" applyAlignment="true" applyProtection="false">
      <alignment horizontal="general" vertical="center" textRotation="0" wrapText="false" indent="1"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8" borderId="8" xfId="0" applyFont="true" applyBorder="true" applyAlignment="true" applyProtection="false">
      <alignment horizontal="left" vertical="center" textRotation="0" wrapText="true" indent="0" shrinkToFit="false"/>
      <protection locked="true" hidden="false"/>
    </xf>
    <xf numFmtId="164" fontId="9" fillId="8" borderId="8" xfId="0" applyFont="true" applyBorder="true" applyAlignment="true" applyProtection="false">
      <alignment horizontal="right" vertical="center" textRotation="0" wrapText="true" indent="0" shrinkToFit="false"/>
      <protection locked="true" hidden="false"/>
    </xf>
    <xf numFmtId="164" fontId="9" fillId="8" borderId="8" xfId="0" applyFont="true" applyBorder="true" applyAlignment="true" applyProtection="false">
      <alignment horizontal="center" vertical="center" textRotation="0" wrapText="true" indent="0" shrinkToFit="false"/>
      <protection locked="true" hidden="false"/>
    </xf>
    <xf numFmtId="164" fontId="17" fillId="3" borderId="16" xfId="0" applyFont="true" applyBorder="true" applyAlignment="false" applyProtection="false">
      <alignment horizontal="general" vertical="bottom" textRotation="0" wrapText="false" indent="0" shrinkToFit="false"/>
      <protection locked="true" hidden="false"/>
    </xf>
    <xf numFmtId="164" fontId="18" fillId="3" borderId="16" xfId="0" applyFont="true" applyBorder="true" applyAlignment="false" applyProtection="false">
      <alignment horizontal="general" vertical="bottom" textRotation="0" wrapText="false" indent="0" shrinkToFit="false"/>
      <protection locked="true" hidden="false"/>
    </xf>
    <xf numFmtId="170" fontId="18" fillId="3" borderId="16" xfId="0" applyFont="true" applyBorder="true" applyAlignment="false" applyProtection="false">
      <alignment horizontal="general" vertical="bottom" textRotation="0" wrapText="false" indent="0" shrinkToFit="false"/>
      <protection locked="true" hidden="false"/>
    </xf>
    <xf numFmtId="171" fontId="17" fillId="3" borderId="16" xfId="0" applyFont="true" applyBorder="true" applyAlignment="false" applyProtection="false">
      <alignment horizontal="general" vertical="bottom" textRotation="0" wrapText="false" indent="0" shrinkToFit="false"/>
      <protection locked="true" hidden="false"/>
    </xf>
    <xf numFmtId="164" fontId="18" fillId="3" borderId="16" xfId="0" applyFont="true" applyBorder="true" applyAlignment="true" applyProtection="false">
      <alignment horizontal="center" vertical="bottom" textRotation="0" wrapText="false" indent="0" shrinkToFit="false"/>
      <protection locked="true" hidden="false"/>
    </xf>
    <xf numFmtId="172" fontId="18" fillId="3" borderId="16" xfId="0" applyFont="true" applyBorder="true" applyAlignment="true" applyProtection="false">
      <alignment horizontal="center" vertical="bottom" textRotation="0" wrapText="false" indent="0" shrinkToFit="false"/>
      <protection locked="true" hidden="false"/>
    </xf>
    <xf numFmtId="164" fontId="19" fillId="3" borderId="16" xfId="0" applyFont="true" applyBorder="true" applyAlignment="true" applyProtection="false">
      <alignment horizontal="general" vertical="bottom" textRotation="0" wrapText="false" indent="1"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5" borderId="0" xfId="0" applyFont="true" applyBorder="true" applyAlignment="true" applyProtection="false">
      <alignment horizontal="left" vertical="center" textRotation="0" wrapText="false" indent="1" shrinkToFit="false"/>
      <protection locked="true" hidden="false"/>
    </xf>
    <xf numFmtId="164" fontId="22" fillId="6" borderId="0" xfId="0" applyFont="true" applyBorder="true" applyAlignment="true" applyProtection="false">
      <alignment horizontal="left" vertical="center" textRotation="0" wrapText="false" indent="1" shrinkToFit="false"/>
      <protection locked="true" hidden="false"/>
    </xf>
    <xf numFmtId="164" fontId="22" fillId="7" borderId="0" xfId="0" applyFont="true" applyBorder="true" applyAlignment="true" applyProtection="false">
      <alignment horizontal="left" vertical="center" textRotation="0" wrapText="false" indent="1" shrinkToFit="false"/>
      <protection locked="true" hidden="false"/>
    </xf>
    <xf numFmtId="172" fontId="23" fillId="5" borderId="0" xfId="0" applyFont="true" applyBorder="true" applyAlignment="true" applyProtection="false">
      <alignment horizontal="left" vertical="center" textRotation="0" wrapText="false" indent="1" shrinkToFit="false"/>
      <protection locked="true" hidden="false"/>
    </xf>
    <xf numFmtId="172" fontId="24" fillId="6" borderId="0" xfId="0" applyFont="true" applyBorder="true" applyAlignment="true" applyProtection="false">
      <alignment horizontal="left" vertical="center" textRotation="0" wrapText="false" indent="1" shrinkToFit="false"/>
      <protection locked="true" hidden="false"/>
    </xf>
    <xf numFmtId="172" fontId="25" fillId="7" borderId="0" xfId="0" applyFont="true" applyBorder="true" applyAlignment="true" applyProtection="false">
      <alignment horizontal="left" vertical="center" textRotation="0" wrapText="false" indent="1" shrinkToFit="false"/>
      <protection locked="true" hidden="false"/>
    </xf>
    <xf numFmtId="164" fontId="17" fillId="0" borderId="16" xfId="0" applyFont="true" applyBorder="true" applyAlignment="false" applyProtection="false">
      <alignment horizontal="general" vertical="bottom" textRotation="0" wrapText="false" indent="0" shrinkToFit="false"/>
      <protection locked="true" hidden="false"/>
    </xf>
    <xf numFmtId="164" fontId="19" fillId="0" borderId="16" xfId="0" applyFont="true" applyBorder="true" applyAlignment="false" applyProtection="false">
      <alignment horizontal="general" vertical="bottom" textRotation="0" wrapText="false" indent="0" shrinkToFit="false"/>
      <protection locked="true" hidden="false"/>
    </xf>
    <xf numFmtId="164" fontId="18" fillId="0" borderId="16" xfId="0" applyFont="true" applyBorder="true" applyAlignment="false" applyProtection="false">
      <alignment horizontal="general" vertical="bottom" textRotation="0" wrapText="false" indent="0" shrinkToFit="false"/>
      <protection locked="true" hidden="false"/>
    </xf>
    <xf numFmtId="170" fontId="18" fillId="0" borderId="16" xfId="0" applyFont="true" applyBorder="true" applyAlignment="false" applyProtection="false">
      <alignment horizontal="general" vertical="bottom" textRotation="0" wrapText="false" indent="0" shrinkToFit="false"/>
      <protection locked="true" hidden="false"/>
    </xf>
    <xf numFmtId="171" fontId="17" fillId="0" borderId="16" xfId="0" applyFont="true" applyBorder="true" applyAlignment="false" applyProtection="false">
      <alignment horizontal="general" vertical="bottom" textRotation="0" wrapText="false" indent="0" shrinkToFit="false"/>
      <protection locked="true" hidden="false"/>
    </xf>
    <xf numFmtId="164" fontId="18" fillId="0" borderId="16" xfId="0" applyFont="true" applyBorder="true" applyAlignment="true" applyProtection="false">
      <alignment horizontal="center"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0" fontId="18" fillId="0" borderId="0" xfId="0" applyFont="true" applyBorder="false" applyAlignment="false" applyProtection="false">
      <alignment horizontal="general" vertical="bottom" textRotation="0" wrapText="false" indent="0" shrinkToFit="false"/>
      <protection locked="true" hidden="false"/>
    </xf>
    <xf numFmtId="173" fontId="18" fillId="0" borderId="0" xfId="0" applyFont="true" applyBorder="false" applyAlignment="false" applyProtection="false">
      <alignment horizontal="general" vertical="bottom" textRotation="0" wrapText="false" indent="0" shrinkToFit="false"/>
      <protection locked="true" hidden="false"/>
    </xf>
    <xf numFmtId="175" fontId="18"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26" fillId="4" borderId="4" xfId="0" applyFont="true" applyBorder="true" applyAlignment="false" applyProtection="false">
      <alignment horizontal="general" vertical="bottom" textRotation="0" wrapText="false" indent="0" shrinkToFit="false"/>
      <protection locked="true" hidden="false"/>
    </xf>
    <xf numFmtId="169" fontId="26" fillId="4" borderId="4" xfId="0" applyFont="true" applyBorder="true" applyAlignment="false" applyProtection="false">
      <alignment horizontal="general" vertical="bottom" textRotation="0" wrapText="false" indent="0" shrinkToFit="false"/>
      <protection locked="true" hidden="false"/>
    </xf>
    <xf numFmtId="164" fontId="9" fillId="8" borderId="16" xfId="0" applyFont="true" applyBorder="true" applyAlignment="true" applyProtection="false">
      <alignment horizontal="center" vertical="bottom" textRotation="0" wrapText="false" indent="0" shrinkToFit="false"/>
      <protection locked="true" hidden="false"/>
    </xf>
    <xf numFmtId="176" fontId="18" fillId="0" borderId="16" xfId="0" applyFont="true" applyBorder="true" applyAlignment="false" applyProtection="false">
      <alignment horizontal="general" vertical="bottom" textRotation="0" wrapText="false" indent="0" shrinkToFit="false"/>
      <protection locked="true" hidden="false"/>
    </xf>
    <xf numFmtId="164" fontId="9" fillId="8" borderId="16"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70" fontId="17" fillId="0" borderId="16"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ont>
        <color rgb="FFD03B3B"/>
      </font>
    </dxf>
    <dxf>
      <font>
        <color rgb="FFA86B00"/>
      </font>
    </dxf>
    <dxf>
      <font>
        <color rgb="FF0CA30C"/>
      </font>
    </dxf>
    <dxf>
      <font>
        <b val="1"/>
        <color rgb="FF0CA30C"/>
      </font>
      <fill>
        <patternFill>
          <bgColor rgb="FFE3F4E1"/>
        </patternFill>
      </fill>
    </dxf>
    <dxf>
      <font>
        <b val="1"/>
        <color rgb="FFA86B00"/>
      </font>
      <fill>
        <patternFill>
          <bgColor rgb="FFFDF1D6"/>
        </patternFill>
      </fill>
    </dxf>
    <dxf>
      <font>
        <b val="1"/>
        <color rgb="FFD03B3B"/>
      </font>
      <fill>
        <patternFill>
          <bgColor rgb="FFFBE3E1"/>
        </patternFill>
      </fill>
    </dxf>
    <dxf>
      <font>
        <b val="1"/>
        <color rgb="FFD03B3B"/>
      </font>
    </dxf>
    <dxf>
      <fill>
        <patternFill>
          <bgColor rgb="FFF3F4F2"/>
        </patternFill>
      </fill>
    </dxf>
    <dxf>
      <fill>
        <patternFill patternType="solid">
          <fgColor rgb="FFECEEEB"/>
          <bgColor rgb="FF000000"/>
        </patternFill>
      </fill>
    </dxf>
    <dxf>
      <fill>
        <patternFill patternType="solid">
          <bgColor rgb="FF000000"/>
        </patternFill>
      </fill>
    </dxf>
    <dxf>
      <fill>
        <patternFill patternType="solid">
          <fgColor rgb="FF141A1F"/>
          <bgColor rgb="FF000000"/>
        </patternFill>
      </fill>
    </dxf>
    <dxf>
      <fill>
        <patternFill patternType="solid">
          <fgColor rgb="FF4D5560"/>
          <bgColor rgb="FF000000"/>
        </patternFill>
      </fill>
    </dxf>
    <dxf>
      <fill>
        <patternFill patternType="solid">
          <fgColor rgb="FFD03B3B"/>
          <bgColor rgb="FF000000"/>
        </patternFill>
      </fill>
    </dxf>
    <dxf>
      <fill>
        <patternFill patternType="solid">
          <fgColor rgb="FFE3F4E1"/>
          <bgColor rgb="FF000000"/>
        </patternFill>
      </fill>
    </dxf>
    <dxf>
      <fill>
        <patternFill patternType="solid">
          <fgColor rgb="FFFBE3E1"/>
          <bgColor rgb="FF000000"/>
        </patternFill>
      </fill>
    </dxf>
    <dxf>
      <fill>
        <patternFill patternType="solid">
          <fgColor rgb="FFFDF1D6"/>
          <bgColor rgb="FF000000"/>
        </patternFill>
      </fill>
    </dxf>
    <dxf>
      <fill>
        <patternFill patternType="solid">
          <fgColor rgb="FF0CA30C"/>
          <bgColor rgb="FF000000"/>
        </patternFill>
      </fill>
    </dxf>
    <dxf>
      <fill>
        <patternFill patternType="solid">
          <fgColor rgb="FFA86B00"/>
          <bgColor rgb="FF000000"/>
        </patternFill>
      </fill>
    </dxf>
    <dxf>
      <font>
        <color rgb="FFD03B3B"/>
      </font>
      <fill>
        <patternFill>
          <bgColor rgb="FFFBE3E1"/>
        </patternFill>
      </fill>
    </dxf>
    <dxf>
      <font>
        <color rgb="FFA86B00"/>
      </font>
      <fill>
        <patternFill>
          <bgColor rgb="FFFDF1D6"/>
        </patternFill>
      </fill>
    </dxf>
    <dxf>
      <font>
        <color rgb="FF0CA30C"/>
      </font>
      <fill>
        <patternFill>
          <bgColor rgb="FFE3F4E1"/>
        </patternFill>
      </fill>
    </dxf>
  </dxfs>
  <colors>
    <indexedColors>
      <rgbColor rgb="FF000000"/>
      <rgbColor rgb="FFFCFCFB"/>
      <rgbColor rgb="FFFF0000"/>
      <rgbColor rgb="FF00FF00"/>
      <rgbColor rgb="FF0000FF"/>
      <rgbColor rgb="FFFFFF00"/>
      <rgbColor rgb="FFFF00FF"/>
      <rgbColor rgb="FF00FFFF"/>
      <rgbColor rgb="FF800000"/>
      <rgbColor rgb="FF0CA30C"/>
      <rgbColor rgb="FF000080"/>
      <rgbColor rgb="FFA86B00"/>
      <rgbColor rgb="FF800080"/>
      <rgbColor rgb="FF008080"/>
      <rgbColor rgb="FFA6A6A6"/>
      <rgbColor rgb="FF7A828C"/>
      <rgbColor rgb="FF9999FF"/>
      <rgbColor rgb="FFD03B3B"/>
      <rgbColor rgb="FFFDF1D6"/>
      <rgbColor rgb="FFEAF2FC"/>
      <rgbColor rgb="FF660066"/>
      <rgbColor rgb="FFFF8080"/>
      <rgbColor rgb="FF1C5CAB"/>
      <rgbColor rgb="FFD9DCD6"/>
      <rgbColor rgb="FF000080"/>
      <rgbColor rgb="FFFF00FF"/>
      <rgbColor rgb="FFFFFF00"/>
      <rgbColor rgb="FF00FFFF"/>
      <rgbColor rgb="FF800080"/>
      <rgbColor rgb="FF800000"/>
      <rgbColor rgb="FF008080"/>
      <rgbColor rgb="FF0000FF"/>
      <rgbColor rgb="FF00CCFF"/>
      <rgbColor rgb="FFECEEEB"/>
      <rgbColor rgb="FFE3F4E1"/>
      <rgbColor rgb="FFF3F4F2"/>
      <rgbColor rgb="FFE3E5E1"/>
      <rgbColor rgb="FFFF99CC"/>
      <rgbColor rgb="FFCC99FF"/>
      <rgbColor rgb="FFFBE3E1"/>
      <rgbColor rgb="FF2A78D6"/>
      <rgbColor rgb="FF33CCCC"/>
      <rgbColor rgb="FF99CC00"/>
      <rgbColor rgb="FFFFCC00"/>
      <rgbColor rgb="FFFAB219"/>
      <rgbColor rgb="FFEB6834"/>
      <rgbColor rgb="FF4D5560"/>
      <rgbColor rgb="FF878787"/>
      <rgbColor rgb="FF003366"/>
      <rgbColor rgb="FF339966"/>
      <rgbColor rgb="FF141A1F"/>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Painel!AP39</c:f>
              <c:strCache>
                <c:ptCount val="1"/>
                <c:pt idx="0">
                  <c:v>Entrou no ZBR</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Painel!$AN$40:$AN$62</c:f>
              <c:strCache>
                <c:ptCount val="23"/>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strCache>
            </c:strRef>
          </c:cat>
          <c:val>
            <c:numRef>
              <c:f>Painel!$AP$40:$AP$62</c:f>
              <c:numCache>
                <c:formatCode>General</c:formatCode>
                <c:ptCount val="23"/>
                <c:pt idx="0">
                  <c:v>490.96</c:v>
                </c:pt>
                <c:pt idx="1">
                  <c:v>0</c:v>
                </c:pt>
                <c:pt idx="2">
                  <c:v>6720.9</c:v>
                </c:pt>
                <c:pt idx="3">
                  <c:v>0</c:v>
                </c:pt>
                <c:pt idx="4">
                  <c:v>0</c:v>
                </c:pt>
                <c:pt idx="5">
                  <c:v>0</c:v>
                </c:pt>
                <c:pt idx="6">
                  <c:v>0</c:v>
                </c:pt>
                <c:pt idx="7">
                  <c:v>0</c:v>
                </c:pt>
                <c:pt idx="8">
                  <c:v>0</c:v>
                </c:pt>
                <c:pt idx="9">
                  <c:v>0</c:v>
                </c:pt>
                <c:pt idx="10">
                  <c:v>0</c:v>
                </c:pt>
                <c:pt idx="11">
                  <c:v>0</c:v>
                </c:pt>
                <c:pt idx="12">
                  <c:v>918</c:v>
                </c:pt>
                <c:pt idx="13">
                  <c:v>0</c:v>
                </c:pt>
                <c:pt idx="14">
                  <c:v>6467.92</c:v>
                </c:pt>
                <c:pt idx="15">
                  <c:v>17483.8</c:v>
                </c:pt>
                <c:pt idx="16">
                  <c:v>0</c:v>
                </c:pt>
                <c:pt idx="17">
                  <c:v>9865.5</c:v>
                </c:pt>
                <c:pt idx="18">
                  <c:v>0</c:v>
                </c:pt>
                <c:pt idx="19">
                  <c:v>7172.8</c:v>
                </c:pt>
                <c:pt idx="20">
                  <c:v>15789.3</c:v>
                </c:pt>
                <c:pt idx="21">
                  <c:v>1021.1</c:v>
                </c:pt>
                <c:pt idx="22">
                  <c:v>0</c:v>
                </c:pt>
              </c:numCache>
            </c:numRef>
          </c:val>
        </c:ser>
        <c:ser>
          <c:idx val="1"/>
          <c:order val="1"/>
          <c:tx>
            <c:strRef>
              <c:f>Painel!AQ39</c:f>
              <c:strCache>
                <c:ptCount val="1"/>
                <c:pt idx="0">
                  <c:v>Saiu</c:v>
                </c:pt>
              </c:strCache>
            </c:strRef>
          </c:tx>
          <c:spPr>
            <a:solidFill>
              <a:srgbClr val="eb683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Painel!$AN$40:$AN$62</c:f>
              <c:strCache>
                <c:ptCount val="23"/>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strCache>
            </c:strRef>
          </c:cat>
          <c:val>
            <c:numRef>
              <c:f>Painel!$AQ$40:$AQ$62</c:f>
              <c:numCache>
                <c:formatCode>General</c:formatCode>
                <c:ptCount val="23"/>
                <c:pt idx="0">
                  <c:v>-11.2</c:v>
                </c:pt>
                <c:pt idx="1">
                  <c:v>-559.4</c:v>
                </c:pt>
                <c:pt idx="2">
                  <c:v>-2836.4</c:v>
                </c:pt>
                <c:pt idx="3">
                  <c:v>-173.1</c:v>
                </c:pt>
                <c:pt idx="4">
                  <c:v>-410.8</c:v>
                </c:pt>
                <c:pt idx="5">
                  <c:v>-163</c:v>
                </c:pt>
                <c:pt idx="6">
                  <c:v>-340</c:v>
                </c:pt>
                <c:pt idx="7">
                  <c:v>-94.6</c:v>
                </c:pt>
                <c:pt idx="8">
                  <c:v>-337.5</c:v>
                </c:pt>
                <c:pt idx="9">
                  <c:v>-10.8</c:v>
                </c:pt>
                <c:pt idx="10">
                  <c:v>-195</c:v>
                </c:pt>
                <c:pt idx="11">
                  <c:v>-302.7</c:v>
                </c:pt>
                <c:pt idx="12">
                  <c:v>-278.5</c:v>
                </c:pt>
                <c:pt idx="13">
                  <c:v>-120.1</c:v>
                </c:pt>
                <c:pt idx="14">
                  <c:v>-134.5</c:v>
                </c:pt>
                <c:pt idx="15">
                  <c:v>-310.1</c:v>
                </c:pt>
                <c:pt idx="16">
                  <c:v>-4832.1</c:v>
                </c:pt>
                <c:pt idx="17">
                  <c:v>-3904.2</c:v>
                </c:pt>
                <c:pt idx="18">
                  <c:v>-2188.2</c:v>
                </c:pt>
                <c:pt idx="19">
                  <c:v>-179.6</c:v>
                </c:pt>
                <c:pt idx="20">
                  <c:v>-2433.6</c:v>
                </c:pt>
                <c:pt idx="21">
                  <c:v>-5962.6</c:v>
                </c:pt>
                <c:pt idx="22">
                  <c:v>-490.8</c:v>
                </c:pt>
              </c:numCache>
            </c:numRef>
          </c:val>
        </c:ser>
        <c:gapWidth val="40"/>
        <c:overlap val="100"/>
        <c:axId val="33399058"/>
        <c:axId val="97046634"/>
      </c:barChart>
      <c:catAx>
        <c:axId val="33399058"/>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7046634"/>
        <c:crosses val="autoZero"/>
        <c:auto val="1"/>
        <c:lblAlgn val="ctr"/>
        <c:lblOffset val="100"/>
        <c:noMultiLvlLbl val="0"/>
      </c:catAx>
      <c:valAx>
        <c:axId val="97046634"/>
        <c:scaling>
          <c:orientation val="minMax"/>
        </c:scaling>
        <c:delete val="0"/>
        <c:axPos val="l"/>
        <c:majorGridlines>
          <c:spPr>
            <a:ln w="9360">
              <a:solidFill>
                <a:srgbClr val="e3e5e1"/>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399058"/>
        <c:crosses val="autoZero"/>
        <c:crossBetween val="between"/>
      </c:valAx>
      <c:spPr>
        <a:noFill/>
        <a:ln w="0">
          <a:noFill/>
        </a:ln>
      </c:spPr>
    </c:plotArea>
    <c:plotVisOnly val="0"/>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Painel!AK39</c:f>
              <c:strCache>
                <c:ptCount val="1"/>
                <c:pt idx="0">
                  <c:v>Sobrando</c:v>
                </c:pt>
              </c:strCache>
            </c:strRef>
          </c:tx>
          <c:spPr>
            <a:solidFill>
              <a:srgbClr val="fab21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Painel!$AJ$40:$AJ$51</c:f>
              <c:strCache>
                <c:ptCount val="12"/>
                <c:pt idx="0">
                  <c:v>811-BR-D94 · 251643289</c:v>
                </c:pt>
                <c:pt idx="1">
                  <c:v>CHM-SP-Z3L-BR-U73 · 251880301</c:v>
                </c:pt>
                <c:pt idx="2">
                  <c:v>CHD-SP-9Z4-BR-U73 · 250500301</c:v>
                </c:pt>
                <c:pt idx="3">
                  <c:v>823-BR-D94 · 252103049</c:v>
                </c:pt>
                <c:pt idx="4">
                  <c:v>805-BR-D94 · 251633359</c:v>
                </c:pt>
                <c:pt idx="5">
                  <c:v>W3-BR-25A · 253540301</c:v>
                </c:pt>
                <c:pt idx="6">
                  <c:v>CW2-BR-25A · 253470301</c:v>
                </c:pt>
                <c:pt idx="7">
                  <c:v>CHP-20SICHP-760 · 252843369</c:v>
                </c:pt>
                <c:pt idx="8">
                  <c:v>CHK-R30GOLD-BR-25A · 261130301</c:v>
                </c:pt>
                <c:pt idx="9">
                  <c:v>70-30-38-BR-25A · 260370301</c:v>
                </c:pt>
                <c:pt idx="10">
                  <c:v>811-BR-25A · 250880301</c:v>
                </c:pt>
                <c:pt idx="11">
                  <c:v>CHM-TS-P23-E0-999 · 2605567696</c:v>
                </c:pt>
              </c:strCache>
            </c:strRef>
          </c:cat>
          <c:val>
            <c:numRef>
              <c:f>Painel!$AK$40:$AK$51</c:f>
              <c:numCache>
                <c:formatCode>General</c:formatCode>
                <c:ptCount val="12"/>
                <c:pt idx="0">
                  <c:v>5737.2</c:v>
                </c:pt>
                <c:pt idx="1">
                  <c:v>3694.998</c:v>
                </c:pt>
                <c:pt idx="2">
                  <c:v>3198</c:v>
                </c:pt>
                <c:pt idx="3">
                  <c:v>2528.4</c:v>
                </c:pt>
                <c:pt idx="4">
                  <c:v>1268.4</c:v>
                </c:pt>
                <c:pt idx="5">
                  <c:v>1083.39</c:v>
                </c:pt>
                <c:pt idx="6">
                  <c:v>924.6</c:v>
                </c:pt>
                <c:pt idx="7">
                  <c:v>540</c:v>
                </c:pt>
                <c:pt idx="8">
                  <c:v>0</c:v>
                </c:pt>
                <c:pt idx="9">
                  <c:v>341.7</c:v>
                </c:pt>
                <c:pt idx="10">
                  <c:v>273.36</c:v>
                </c:pt>
                <c:pt idx="11">
                  <c:v>0</c:v>
                </c:pt>
              </c:numCache>
            </c:numRef>
          </c:val>
        </c:ser>
        <c:ser>
          <c:idx val="1"/>
          <c:order val="1"/>
          <c:tx>
            <c:strRef>
              <c:f>Painel!AL39</c:f>
              <c:strCache>
                <c:ptCount val="1"/>
                <c:pt idx="0">
                  <c:v>Faltando</c:v>
                </c:pt>
              </c:strCache>
            </c:strRef>
          </c:tx>
          <c:spPr>
            <a:solidFill>
              <a:srgbClr val="d03b3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Painel!$AJ$40:$AJ$51</c:f>
              <c:strCache>
                <c:ptCount val="12"/>
                <c:pt idx="0">
                  <c:v>811-BR-D94 · 251643289</c:v>
                </c:pt>
                <c:pt idx="1">
                  <c:v>CHM-SP-Z3L-BR-U73 · 251880301</c:v>
                </c:pt>
                <c:pt idx="2">
                  <c:v>CHD-SP-9Z4-BR-U73 · 250500301</c:v>
                </c:pt>
                <c:pt idx="3">
                  <c:v>823-BR-D94 · 252103049</c:v>
                </c:pt>
                <c:pt idx="4">
                  <c:v>805-BR-D94 · 251633359</c:v>
                </c:pt>
                <c:pt idx="5">
                  <c:v>W3-BR-25A · 253540301</c:v>
                </c:pt>
                <c:pt idx="6">
                  <c:v>CW2-BR-25A · 253470301</c:v>
                </c:pt>
                <c:pt idx="7">
                  <c:v>CHP-20SICHP-760 · 252843369</c:v>
                </c:pt>
                <c:pt idx="8">
                  <c:v>CHK-R30GOLD-BR-25A · 261130301</c:v>
                </c:pt>
                <c:pt idx="9">
                  <c:v>70-30-38-BR-25A · 260370301</c:v>
                </c:pt>
                <c:pt idx="10">
                  <c:v>811-BR-25A · 250880301</c:v>
                </c:pt>
                <c:pt idx="11">
                  <c:v>CHM-TS-P23-E0-999 · 2605567696</c:v>
                </c:pt>
              </c:strCache>
            </c:strRef>
          </c:cat>
          <c:val>
            <c:numRef>
              <c:f>Painel!$AL$40:$AL$51</c:f>
              <c:numCache>
                <c:formatCode>General</c:formatCode>
                <c:ptCount val="12"/>
                <c:pt idx="0">
                  <c:v>0</c:v>
                </c:pt>
                <c:pt idx="1">
                  <c:v>0</c:v>
                </c:pt>
                <c:pt idx="2">
                  <c:v>0</c:v>
                </c:pt>
                <c:pt idx="3">
                  <c:v>0</c:v>
                </c:pt>
                <c:pt idx="4">
                  <c:v>0</c:v>
                </c:pt>
                <c:pt idx="5">
                  <c:v>0</c:v>
                </c:pt>
                <c:pt idx="6">
                  <c:v>0</c:v>
                </c:pt>
                <c:pt idx="7">
                  <c:v>0</c:v>
                </c:pt>
                <c:pt idx="8">
                  <c:v>-442.2</c:v>
                </c:pt>
                <c:pt idx="9">
                  <c:v>0</c:v>
                </c:pt>
                <c:pt idx="10">
                  <c:v>0</c:v>
                </c:pt>
                <c:pt idx="11">
                  <c:v>-261.12</c:v>
                </c:pt>
              </c:numCache>
            </c:numRef>
          </c:val>
        </c:ser>
        <c:gapWidth val="50"/>
        <c:overlap val="100"/>
        <c:axId val="3833604"/>
        <c:axId val="49621379"/>
      </c:barChart>
      <c:catAx>
        <c:axId val="3833604"/>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49621379"/>
        <c:crosses val="autoZero"/>
        <c:auto val="1"/>
        <c:lblAlgn val="ctr"/>
        <c:lblOffset val="100"/>
        <c:noMultiLvlLbl val="0"/>
      </c:catAx>
      <c:valAx>
        <c:axId val="49621379"/>
        <c:scaling>
          <c:orientation val="minMax"/>
        </c:scaling>
        <c:delete val="0"/>
        <c:axPos val="l"/>
        <c:majorGridlines>
          <c:spPr>
            <a:ln w="9360">
              <a:solidFill>
                <a:srgbClr val="e3e5e1"/>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33604"/>
        <c:crosses val="autoZero"/>
        <c:crossBetween val="between"/>
      </c:valAx>
      <c:spPr>
        <a:noFill/>
        <a:ln w="0">
          <a:noFill/>
        </a:ln>
      </c:spPr>
    </c:plotArea>
    <c:plotVisOnly val="0"/>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145440</xdr:rowOff>
    </xdr:from>
    <xdr:to>
      <xdr:col>4</xdr:col>
      <xdr:colOff>272880</xdr:colOff>
      <xdr:row>29</xdr:row>
      <xdr:rowOff>49320</xdr:rowOff>
    </xdr:to>
    <xdr:graphicFrame>
      <xdr:nvGraphicFramePr>
        <xdr:cNvPr id="0" name="Chart 1"/>
        <xdr:cNvGraphicFramePr/>
      </xdr:nvGraphicFramePr>
      <xdr:xfrm>
        <a:off x="0" y="3381480"/>
        <a:ext cx="4895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13</xdr:row>
      <xdr:rowOff>145440</xdr:rowOff>
    </xdr:from>
    <xdr:to>
      <xdr:col>11</xdr:col>
      <xdr:colOff>1236960</xdr:colOff>
      <xdr:row>29</xdr:row>
      <xdr:rowOff>49320</xdr:rowOff>
    </xdr:to>
    <xdr:graphicFrame>
      <xdr:nvGraphicFramePr>
        <xdr:cNvPr id="1" name="Chart 2"/>
        <xdr:cNvGraphicFramePr/>
      </xdr:nvGraphicFramePr>
      <xdr:xfrm>
        <a:off x="6756480" y="3381480"/>
        <a:ext cx="6659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Movimentacoes" displayName="Movimentacoes" ref="A1:O607" headerRowCount="1" totalsRowCount="0" totalsRowShown="0">
  <autoFilter ref="A1:O607"/>
  <tableColumns count="15">
    <tableColumn id="1" name="DATA"/>
    <tableColumn id="2" name="MOVIMENTAÇÃO"/>
    <tableColumn id="3" name="SKU"/>
    <tableColumn id="4" name="LOTE"/>
    <tableColumn id="5" name="DESCRIÇÃO"/>
    <tableColumn id="6" name="DEPÓSITO"/>
    <tableColumn id="7" name="UM"/>
    <tableColumn id="8" name="QTD NO SAP"/>
    <tableColumn id="9" name="ENTROU"/>
    <tableColumn id="10" name="SAIU"/>
    <tableColumn id="11" name="SALDO (±)"/>
    <tableColumn id="12" name="DOCUMENTO"/>
    <tableColumn id="13" name="CÓD. CLIENTE"/>
    <tableColumn id="14" name="CLIENTE"/>
    <tableColumn id="15" name="USUÁRI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5CAB"/>
    <pageSetUpPr fitToPage="true"/>
  </sheetPr>
  <dimension ref="A1:BA1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7"/>
    <col collapsed="false" customWidth="true" hidden="false" outlineLevel="0" max="7" min="4" style="0" width="12"/>
    <col collapsed="false" customWidth="true" hidden="false" outlineLevel="0" max="8" min="8" style="0" width="13"/>
    <col collapsed="false" customWidth="true" hidden="false" outlineLevel="0" max="11" min="9" style="0" width="12"/>
    <col collapsed="false" customWidth="true" hidden="false" outlineLevel="0" max="12" min="12" style="0" width="34"/>
    <col collapsed="false" customWidth="true" hidden="true" outlineLevel="0" max="53" min="18" style="0" width="13"/>
  </cols>
  <sheetData>
    <row r="1" customFormat="false" ht="30" hidden="false" customHeight="true" outlineLevel="0" collapsed="false">
      <c r="A1" s="1" t="s">
        <v>0</v>
      </c>
      <c r="B1" s="2"/>
      <c r="C1" s="2"/>
      <c r="D1" s="2"/>
      <c r="E1" s="2"/>
      <c r="F1" s="2"/>
      <c r="G1" s="2"/>
      <c r="H1" s="2"/>
      <c r="I1" s="2"/>
      <c r="J1" s="2"/>
      <c r="K1" s="2"/>
      <c r="L1" s="2"/>
      <c r="R1" s="0" t="str">
        <f aca="false">IF(A5="Todos","*",A5)</f>
        <v>*</v>
      </c>
      <c r="AS1" s="3" t="s">
        <v>1</v>
      </c>
      <c r="AU1" s="4" t="n">
        <v>46274</v>
      </c>
      <c r="AV1" s="3" t="s">
        <v>1</v>
      </c>
      <c r="AW1" s="3" t="s">
        <v>2</v>
      </c>
      <c r="AX1" s="3" t="s">
        <v>3</v>
      </c>
      <c r="AY1" s="3" t="n">
        <f aca="false">IF(OR($A$5="Todos",AW1=$A$5),1,0)</f>
        <v>1</v>
      </c>
      <c r="AZ1" s="3" t="s">
        <v>4</v>
      </c>
      <c r="BA1" s="3" t="s">
        <v>5</v>
      </c>
    </row>
    <row r="2" customFormat="false" ht="15" hidden="false" customHeight="false" outlineLevel="0" collapsed="false">
      <c r="A2" s="5" t="s">
        <v>6</v>
      </c>
      <c r="B2" s="2"/>
      <c r="C2" s="2"/>
      <c r="D2" s="2"/>
      <c r="E2" s="2"/>
      <c r="F2" s="2"/>
      <c r="G2" s="2"/>
      <c r="H2" s="2"/>
      <c r="I2" s="2"/>
      <c r="J2" s="2"/>
      <c r="K2" s="2"/>
      <c r="L2" s="2"/>
      <c r="R2" s="0" t="str">
        <f aca="false">IF(OR(D5="Todos",D5=""),"*",D5)</f>
        <v>*</v>
      </c>
      <c r="AS2" s="3" t="s">
        <v>2</v>
      </c>
      <c r="AU2" s="4" t="n">
        <v>46275</v>
      </c>
      <c r="AV2" s="0" t="str">
        <f aca="false">IFERROR(INDEX($AX$1:$AX$94,MATCH(1,$AY$1:$AY$94,0)),"")</f>
        <v>252800202</v>
      </c>
      <c r="AW2" s="3" t="s">
        <v>7</v>
      </c>
      <c r="AX2" s="3" t="s">
        <v>8</v>
      </c>
      <c r="AY2" s="3" t="n">
        <f aca="false">IF(OR($A$5="Todos",AW2=$A$5),MAX(AY$1:AY1)+1,0)</f>
        <v>2</v>
      </c>
      <c r="AZ2" s="3" t="s">
        <v>9</v>
      </c>
      <c r="BA2" s="3" t="s">
        <v>10</v>
      </c>
    </row>
    <row r="3" customFormat="false" ht="15" hidden="false" customHeight="false" outlineLevel="0" collapsed="false">
      <c r="A3" s="2"/>
      <c r="B3" s="2"/>
      <c r="C3" s="2"/>
      <c r="D3" s="2"/>
      <c r="E3" s="2"/>
      <c r="F3" s="2"/>
      <c r="G3" s="2"/>
      <c r="H3" s="2"/>
      <c r="I3" s="2"/>
      <c r="J3" s="2"/>
      <c r="K3" s="2"/>
      <c r="L3" s="2"/>
      <c r="R3" s="0" t="str">
        <f aca="false">IF(A5="Todos",J5,IFERROR(INDEX($U$40:$U$133,MATCH(A5,$T$40:$T$133,0)),J5))</f>
        <v>KG</v>
      </c>
      <c r="AS3" s="3" t="s">
        <v>7</v>
      </c>
      <c r="AU3" s="4" t="n">
        <v>46276</v>
      </c>
      <c r="AV3" s="0" t="str">
        <f aca="false">IFERROR(INDEX($AX$1:$AX$94,MATCH(2,$AY$1:$AY$94,0)),"")</f>
        <v>260070301</v>
      </c>
      <c r="AW3" s="3" t="s">
        <v>7</v>
      </c>
      <c r="AX3" s="3" t="s">
        <v>11</v>
      </c>
      <c r="AY3" s="3" t="n">
        <f aca="false">IF(OR($A$5="Todos",AW3=$A$5),MAX(AY$1:AY2)+1,0)</f>
        <v>3</v>
      </c>
      <c r="AZ3" s="3" t="s">
        <v>12</v>
      </c>
      <c r="BA3" s="3" t="s">
        <v>13</v>
      </c>
    </row>
    <row r="4" customFormat="false" ht="15" hidden="false" customHeight="false" outlineLevel="0" collapsed="false">
      <c r="A4" s="6" t="s">
        <v>14</v>
      </c>
      <c r="B4" s="7"/>
      <c r="C4" s="7"/>
      <c r="D4" s="8" t="s">
        <v>15</v>
      </c>
      <c r="E4" s="7"/>
      <c r="F4" s="8" t="s">
        <v>16</v>
      </c>
      <c r="G4" s="7"/>
      <c r="H4" s="8" t="s">
        <v>17</v>
      </c>
      <c r="I4" s="7"/>
      <c r="J4" s="8" t="s">
        <v>18</v>
      </c>
      <c r="K4" s="8" t="s">
        <v>19</v>
      </c>
      <c r="L4" s="9"/>
      <c r="R4" s="0" t="str">
        <f aca="false">IF(K5="Entrada","Entrada",IF(K5="Saída","Saída",IF(K5="Recebido no 2008","Recebido no 2008",IF(K5="Estorno","Estorno","*"))))</f>
        <v>*</v>
      </c>
      <c r="AS4" s="3" t="s">
        <v>20</v>
      </c>
      <c r="AU4" s="4" t="n">
        <v>46277</v>
      </c>
      <c r="AV4" s="0" t="str">
        <f aca="false">IFERROR(INDEX($AX$1:$AX$94,MATCH(3,$AY$1:$AY$94,0)),"")</f>
        <v>260370301</v>
      </c>
      <c r="AW4" s="3" t="s">
        <v>20</v>
      </c>
      <c r="AX4" s="3" t="s">
        <v>21</v>
      </c>
      <c r="AY4" s="3" t="n">
        <f aca="false">IF(OR($A$5="Todos",AW4=$A$5),MAX(AY$1:AY3)+1,0)</f>
        <v>4</v>
      </c>
      <c r="BA4" s="3" t="s">
        <v>22</v>
      </c>
    </row>
    <row r="5" customFormat="false" ht="24" hidden="false" customHeight="true" outlineLevel="0" collapsed="false">
      <c r="A5" s="10" t="s">
        <v>1</v>
      </c>
      <c r="B5" s="10"/>
      <c r="C5" s="10"/>
      <c r="D5" s="10" t="s">
        <v>1</v>
      </c>
      <c r="E5" s="10"/>
      <c r="F5" s="11" t="n">
        <v>46274</v>
      </c>
      <c r="G5" s="11"/>
      <c r="H5" s="11" t="n">
        <v>46296</v>
      </c>
      <c r="I5" s="11"/>
      <c r="J5" s="12" t="s">
        <v>4</v>
      </c>
      <c r="K5" s="10" t="s">
        <v>5</v>
      </c>
      <c r="L5" s="10"/>
      <c r="R5" s="13" t="n">
        <f aca="false">Resumo!$C$7</f>
        <v>0.01</v>
      </c>
      <c r="AS5" s="3" t="s">
        <v>23</v>
      </c>
      <c r="AU5" s="4" t="n">
        <v>46278</v>
      </c>
      <c r="AV5" s="0" t="str">
        <f aca="false">IFERROR(INDEX($AX$1:$AX$94,MATCH(4,$AY$1:$AY$94,0)),"")</f>
        <v>253213449</v>
      </c>
      <c r="AW5" s="3" t="s">
        <v>23</v>
      </c>
      <c r="AX5" s="3" t="s">
        <v>24</v>
      </c>
      <c r="AY5" s="3" t="n">
        <f aca="false">IF(OR($A$5="Todos",AW5=$A$5),MAX(AY$1:AY4)+1,0)</f>
        <v>5</v>
      </c>
      <c r="BA5" s="3" t="s">
        <v>25</v>
      </c>
    </row>
    <row r="6" customFormat="false" ht="15" hidden="false" customHeight="false" outlineLevel="0" collapsed="false">
      <c r="A6" s="14" t="s">
        <v>26</v>
      </c>
      <c r="B6" s="15"/>
      <c r="C6" s="15"/>
      <c r="D6" s="15"/>
      <c r="E6" s="15"/>
      <c r="F6" s="15"/>
      <c r="G6" s="15"/>
      <c r="H6" s="15"/>
      <c r="I6" s="15"/>
      <c r="J6" s="15"/>
      <c r="K6" s="15"/>
      <c r="L6" s="16"/>
      <c r="AS6" s="3" t="s">
        <v>27</v>
      </c>
      <c r="AU6" s="4" t="n">
        <v>46279</v>
      </c>
      <c r="AV6" s="0" t="str">
        <f aca="false">IFERROR(INDEX($AX$1:$AX$94,MATCH(5,$AY$1:$AY$94,0)),"")</f>
        <v>251633359</v>
      </c>
      <c r="AW6" s="3" t="s">
        <v>23</v>
      </c>
      <c r="AX6" s="3" t="s">
        <v>28</v>
      </c>
      <c r="AY6" s="3" t="n">
        <f aca="false">IF(OR($A$5="Todos",AW6=$A$5),MAX(AY$1:AY5)+1,0)</f>
        <v>6</v>
      </c>
    </row>
    <row r="7" customFormat="false" ht="15" hidden="false" customHeight="false" outlineLevel="0" collapsed="false">
      <c r="A7" s="17" t="str">
        <f aca="false">"Mostrando: "&amp;IF(A5="Todos","todos os SKUs",A5)&amp;IF(D5="Todos",""," · lote "&amp;D5)&amp;" · "&amp;DAY(F5)&amp;"/"&amp;MONTH(F5)&amp;"/"&amp;YEAR(F5)&amp;" a "&amp;DAY(H5)&amp;"/"&amp;MONTH(H5)&amp;"/"&amp;YEAR(H5)&amp;" · unidade "&amp;$R$3&amp;IF(K5="Todas",""," · movimentação "&amp;K5)</f>
        <v>Mostrando: todos os SKUs · 9/9/2026 a 1/10/2026 · unidade KG</v>
      </c>
      <c r="B7" s="18"/>
      <c r="C7" s="18"/>
      <c r="D7" s="18"/>
      <c r="E7" s="18"/>
      <c r="F7" s="18"/>
      <c r="G7" s="18"/>
      <c r="H7" s="18"/>
      <c r="I7" s="18"/>
      <c r="J7" s="18"/>
      <c r="K7" s="18"/>
      <c r="L7" s="19"/>
      <c r="AS7" s="3" t="s">
        <v>29</v>
      </c>
      <c r="AU7" s="4" t="n">
        <v>46280</v>
      </c>
      <c r="AV7" s="0" t="str">
        <f aca="false">IFERROR(INDEX($AX$1:$AX$94,MATCH(6,$AY$1:$AY$94,0)),"")</f>
        <v>260130779</v>
      </c>
      <c r="AW7" s="3" t="s">
        <v>27</v>
      </c>
      <c r="AX7" s="3" t="s">
        <v>30</v>
      </c>
      <c r="AY7" s="3" t="n">
        <f aca="false">IF(OR($A$5="Todos",AW7=$A$5),MAX(AY$1:AY6)+1,0)</f>
        <v>7</v>
      </c>
    </row>
    <row r="8" customFormat="false" ht="15" hidden="false" customHeight="false" outlineLevel="0" collapsed="false">
      <c r="A8" s="2"/>
      <c r="B8" s="2"/>
      <c r="C8" s="2"/>
      <c r="D8" s="2"/>
      <c r="E8" s="2"/>
      <c r="F8" s="2"/>
      <c r="G8" s="2"/>
      <c r="H8" s="2"/>
      <c r="I8" s="2"/>
      <c r="J8" s="2"/>
      <c r="K8" s="2"/>
      <c r="L8" s="2"/>
      <c r="AS8" s="3" t="s">
        <v>31</v>
      </c>
      <c r="AU8" s="4" t="n">
        <v>46281</v>
      </c>
      <c r="AV8" s="0" t="str">
        <f aca="false">IFERROR(INDEX($AX$1:$AX$94,MATCH(7,$AY$1:$AY$94,0)),"")</f>
        <v>250880301</v>
      </c>
      <c r="AW8" s="3" t="s">
        <v>27</v>
      </c>
      <c r="AX8" s="3" t="s">
        <v>32</v>
      </c>
      <c r="AY8" s="3" t="n">
        <f aca="false">IF(OR($A$5="Todos",AW8=$A$5),MAX(AY$1:AY7)+1,0)</f>
        <v>8</v>
      </c>
    </row>
    <row r="9" customFormat="false" ht="21.75" hidden="false" customHeight="true" outlineLevel="0" collapsed="false">
      <c r="A9" s="20" t="str">
        <f aca="false">"ENTROU · "&amp;$R$3</f>
        <v>ENTROU · KG</v>
      </c>
      <c r="B9" s="20"/>
      <c r="C9" s="21" t="str">
        <f aca="false">"SAIU · "&amp;$R$3</f>
        <v>SAIU · KG</v>
      </c>
      <c r="D9" s="21"/>
      <c r="E9" s="21"/>
      <c r="F9" s="22" t="str">
        <f aca="false">"DEVERIA TER · "&amp;$R$3</f>
        <v>DEVERIA TER · KG</v>
      </c>
      <c r="G9" s="22"/>
      <c r="H9" s="22" t="str">
        <f aca="false">"ESTOQUE FÍSICO · "&amp;$R$3</f>
        <v>ESTOQUE FÍSICO · KG</v>
      </c>
      <c r="I9" s="22"/>
      <c r="J9" s="23" t="str">
        <f aca="false">"DIFERENÇA · "&amp;$R$3</f>
        <v>DIFERENÇA · KG</v>
      </c>
      <c r="K9" s="23"/>
      <c r="L9" s="24" t="str">
        <f aca="false">"Confere: "&amp;COUNTIFS($AA$40:$AA$133,1,$AC$40:$AC$133,"Confere")&amp;" SKU·lote"</f>
        <v>Confere: 58 SKU·lote</v>
      </c>
      <c r="AS9" s="3" t="s">
        <v>33</v>
      </c>
      <c r="AU9" s="4" t="n">
        <v>46282</v>
      </c>
      <c r="AV9" s="0" t="str">
        <f aca="false">IFERROR(INDEX($AX$1:$AX$94,MATCH(8,$AY$1:$AY$94,0)),"")</f>
        <v>252450301</v>
      </c>
      <c r="AW9" s="3" t="s">
        <v>29</v>
      </c>
      <c r="AX9" s="3" t="s">
        <v>34</v>
      </c>
      <c r="AY9" s="3" t="n">
        <f aca="false">IF(OR($A$5="Todos",AW9=$A$5),MAX(AY$1:AY8)+1,0)</f>
        <v>9</v>
      </c>
    </row>
    <row r="10" customFormat="false" ht="33.75" hidden="false" customHeight="true" outlineLevel="0" collapsed="false">
      <c r="A10" s="25" t="n">
        <f aca="false">SUMPRODUCT($AA$40:$AA$133,$W$40:$W$133)</f>
        <v>65930.28</v>
      </c>
      <c r="B10" s="25"/>
      <c r="C10" s="25" t="n">
        <f aca="false">SUMPRODUCT($AA$40:$AA$133,$X$40:$X$133)</f>
        <v>26268.8</v>
      </c>
      <c r="D10" s="25"/>
      <c r="E10" s="25"/>
      <c r="F10" s="25" t="n">
        <f aca="false">A10-C10</f>
        <v>39661.48</v>
      </c>
      <c r="G10" s="25"/>
      <c r="H10" s="25" t="n">
        <f aca="false">SUMPRODUCT($AA$40:$AA$133,$Y$40:$Y$133)</f>
        <v>59270.487</v>
      </c>
      <c r="I10" s="25"/>
      <c r="J10" s="26" t="n">
        <f aca="false">ROUND(H10-F10,3)</f>
        <v>19609.007</v>
      </c>
      <c r="K10" s="26"/>
      <c r="L10" s="27" t="str">
        <f aca="false">"Sobrando: "&amp;COUNTIFS($AA$40:$AA$133,1,$AC$40:$AC$133,"Sobrando")&amp;" SKU·lote"</f>
        <v>Sobrando: 20 SKU·lote</v>
      </c>
      <c r="AS10" s="3" t="s">
        <v>35</v>
      </c>
      <c r="AU10" s="4" t="n">
        <v>46283</v>
      </c>
      <c r="AV10" s="0" t="str">
        <f aca="false">IFERROR(INDEX($AX$1:$AX$94,MATCH(9,$AY$1:$AY$94,0)),"")</f>
        <v>251643289</v>
      </c>
      <c r="AW10" s="3" t="s">
        <v>31</v>
      </c>
      <c r="AX10" s="3" t="s">
        <v>36</v>
      </c>
      <c r="AY10" s="3" t="n">
        <f aca="false">IF(OR($A$5="Todos",AW10=$A$5),MAX(AY$1:AY9)+1,0)</f>
        <v>10</v>
      </c>
    </row>
    <row r="11" customFormat="false" ht="21.75" hidden="false" customHeight="true" outlineLevel="0" collapsed="false">
      <c r="A11" s="28" t="s">
        <v>37</v>
      </c>
      <c r="B11" s="28"/>
      <c r="C11" s="28" t="s">
        <v>38</v>
      </c>
      <c r="D11" s="28"/>
      <c r="E11" s="28"/>
      <c r="F11" s="28" t="s">
        <v>39</v>
      </c>
      <c r="G11" s="28"/>
      <c r="H11" s="28" t="s">
        <v>40</v>
      </c>
      <c r="I11" s="28"/>
      <c r="J11" s="29" t="str">
        <f aca="false">IF(OR(F5&lt;&gt;DATE(2026,9,9),H5&lt;&gt;DATE(2026,10,1)),"período parcial: compare com cuidado",IF(ABS(J10)&lt;=$R$5,"tudo confere",IF(J10&gt;0,"sobrando no estoque","faltando no estoque")))</f>
        <v>sobrando no estoque</v>
      </c>
      <c r="K11" s="29"/>
      <c r="L11" s="30" t="str">
        <f aca="false">"Faltando: "&amp;COUNTIFS($AA$40:$AA$133,1,$AC$40:$AC$133,"Faltando")&amp;" SKU·lote"</f>
        <v>Faltando: 3 SKU·lote</v>
      </c>
      <c r="AS11" s="3" t="s">
        <v>41</v>
      </c>
      <c r="AU11" s="4" t="n">
        <v>46284</v>
      </c>
      <c r="AV11" s="0" t="str">
        <f aca="false">IFERROR(INDEX($AX$1:$AX$94,MATCH(10,$AY$1:$AY$94,0)),"")</f>
        <v>252510301</v>
      </c>
      <c r="AW11" s="3" t="s">
        <v>31</v>
      </c>
      <c r="AX11" s="3" t="s">
        <v>42</v>
      </c>
      <c r="AY11" s="3" t="n">
        <f aca="false">IF(OR($A$5="Todos",AW11=$A$5),MAX(AY$1:AY10)+1,0)</f>
        <v>11</v>
      </c>
    </row>
    <row r="12" customFormat="false" ht="15" hidden="false" customHeight="false" outlineLevel="0" collapsed="false">
      <c r="A12" s="2"/>
      <c r="B12" s="2"/>
      <c r="C12" s="2"/>
      <c r="D12" s="2"/>
      <c r="E12" s="2"/>
      <c r="F12" s="2"/>
      <c r="G12" s="2"/>
      <c r="H12" s="2"/>
      <c r="I12" s="2"/>
      <c r="J12" s="2"/>
      <c r="K12" s="2"/>
      <c r="L12" s="2"/>
      <c r="AS12" s="3" t="s">
        <v>43</v>
      </c>
      <c r="AU12" s="4" t="n">
        <v>46285</v>
      </c>
      <c r="AV12" s="0" t="str">
        <f aca="false">IFERROR(INDEX($AX$1:$AX$94,MATCH(11,$AY$1:$AY$94,0)),"")</f>
        <v>253280301</v>
      </c>
      <c r="AW12" s="3" t="s">
        <v>33</v>
      </c>
      <c r="AX12" s="3" t="s">
        <v>44</v>
      </c>
      <c r="AY12" s="3" t="n">
        <f aca="false">IF(OR($A$5="Todos",AW12=$A$5),MAX(AY$1:AY11)+1,0)</f>
        <v>12</v>
      </c>
    </row>
    <row r="13" customFormat="false" ht="18.55" hidden="false" customHeight="false" outlineLevel="0" collapsed="false">
      <c r="A13" s="31" t="s">
        <v>45</v>
      </c>
      <c r="B13" s="2"/>
      <c r="C13" s="2"/>
      <c r="D13" s="2"/>
      <c r="E13" s="2"/>
      <c r="F13" s="2"/>
      <c r="G13" s="31" t="s">
        <v>46</v>
      </c>
      <c r="H13" s="2"/>
      <c r="I13" s="2"/>
      <c r="J13" s="2"/>
      <c r="K13" s="2"/>
      <c r="L13" s="2"/>
      <c r="AS13" s="3" t="s">
        <v>47</v>
      </c>
      <c r="AU13" s="4" t="n">
        <v>46286</v>
      </c>
      <c r="AV13" s="0" t="str">
        <f aca="false">IFERROR(INDEX($AX$1:$AX$94,MATCH(12,$AY$1:$AY$94,0)),"")</f>
        <v>260900702</v>
      </c>
      <c r="AW13" s="3" t="s">
        <v>33</v>
      </c>
      <c r="AX13" s="3" t="s">
        <v>48</v>
      </c>
      <c r="AY13" s="3" t="n">
        <f aca="false">IF(OR($A$5="Todos",AW13=$A$5),MAX(AY$1:AY12)+1,0)</f>
        <v>13</v>
      </c>
    </row>
    <row r="14" customFormat="false" ht="15" hidden="false" customHeight="false" outlineLevel="0" collapsed="false">
      <c r="A14" s="32" t="s">
        <v>49</v>
      </c>
      <c r="B14" s="2"/>
      <c r="C14" s="2"/>
      <c r="D14" s="2"/>
      <c r="E14" s="2"/>
      <c r="F14" s="2"/>
      <c r="G14" s="32" t="s">
        <v>50</v>
      </c>
      <c r="H14" s="2"/>
      <c r="I14" s="2"/>
      <c r="J14" s="2"/>
      <c r="K14" s="2"/>
      <c r="L14" s="2"/>
      <c r="AS14" s="3" t="s">
        <v>51</v>
      </c>
      <c r="AU14" s="4" t="n">
        <v>46287</v>
      </c>
      <c r="AV14" s="0" t="str">
        <f aca="false">IFERROR(INDEX($AX$1:$AX$94,MATCH(13,$AY$1:$AY$94,0)),"")</f>
        <v>260920702</v>
      </c>
      <c r="AW14" s="3" t="s">
        <v>33</v>
      </c>
      <c r="AX14" s="3" t="s">
        <v>52</v>
      </c>
      <c r="AY14" s="3" t="n">
        <f aca="false">IF(OR($A$5="Todos",AW14=$A$5),MAX(AY$1:AY13)+1,0)</f>
        <v>14</v>
      </c>
    </row>
    <row r="15" customFormat="false" ht="15" hidden="false" customHeight="false" outlineLevel="0" collapsed="false">
      <c r="A15" s="2"/>
      <c r="B15" s="2"/>
      <c r="C15" s="2"/>
      <c r="D15" s="2"/>
      <c r="E15" s="2"/>
      <c r="F15" s="2"/>
      <c r="G15" s="2"/>
      <c r="H15" s="2"/>
      <c r="I15" s="2"/>
      <c r="J15" s="2"/>
      <c r="K15" s="2"/>
      <c r="L15" s="2"/>
      <c r="AS15" s="3" t="s">
        <v>53</v>
      </c>
      <c r="AU15" s="4" t="n">
        <v>46288</v>
      </c>
      <c r="AV15" s="0" t="str">
        <f aca="false">IFERROR(INDEX($AX$1:$AX$94,MATCH(14,$AY$1:$AY$94,0)),"")</f>
        <v>261146101</v>
      </c>
      <c r="AW15" s="3" t="s">
        <v>33</v>
      </c>
      <c r="AX15" s="3" t="s">
        <v>54</v>
      </c>
      <c r="AY15" s="3" t="n">
        <f aca="false">IF(OR($A$5="Todos",AW15=$A$5),MAX(AY$1:AY14)+1,0)</f>
        <v>15</v>
      </c>
    </row>
    <row r="16" customFormat="false" ht="15" hidden="false" customHeight="false" outlineLevel="0" collapsed="false">
      <c r="A16" s="2"/>
      <c r="B16" s="2"/>
      <c r="C16" s="2"/>
      <c r="D16" s="2"/>
      <c r="E16" s="2"/>
      <c r="F16" s="2"/>
      <c r="G16" s="2"/>
      <c r="H16" s="2"/>
      <c r="I16" s="2"/>
      <c r="J16" s="2"/>
      <c r="K16" s="2"/>
      <c r="L16" s="2"/>
      <c r="AS16" s="3" t="s">
        <v>55</v>
      </c>
      <c r="AU16" s="4" t="n">
        <v>46289</v>
      </c>
      <c r="AV16" s="0" t="str">
        <f aca="false">IFERROR(INDEX($AX$1:$AX$94,MATCH(15,$AY$1:$AY$94,0)),"")</f>
        <v>261146102</v>
      </c>
      <c r="AW16" s="3" t="s">
        <v>35</v>
      </c>
      <c r="AX16" s="3" t="s">
        <v>56</v>
      </c>
      <c r="AY16" s="3" t="n">
        <f aca="false">IF(OR($A$5="Todos",AW16=$A$5),MAX(AY$1:AY15)+1,0)</f>
        <v>16</v>
      </c>
    </row>
    <row r="17" customFormat="false" ht="15" hidden="false" customHeight="false" outlineLevel="0" collapsed="false">
      <c r="A17" s="2"/>
      <c r="B17" s="2"/>
      <c r="C17" s="2"/>
      <c r="D17" s="2"/>
      <c r="E17" s="2"/>
      <c r="F17" s="2"/>
      <c r="G17" s="2"/>
      <c r="H17" s="2"/>
      <c r="I17" s="2"/>
      <c r="J17" s="2"/>
      <c r="K17" s="2"/>
      <c r="L17" s="2"/>
      <c r="AS17" s="3" t="s">
        <v>57</v>
      </c>
      <c r="AU17" s="4" t="n">
        <v>46290</v>
      </c>
      <c r="AV17" s="0" t="str">
        <f aca="false">IFERROR(INDEX($AX$1:$AX$94,MATCH(16,$AY$1:$AY$94,0)),"")</f>
        <v>252100301</v>
      </c>
      <c r="AW17" s="3" t="s">
        <v>35</v>
      </c>
      <c r="AX17" s="3" t="s">
        <v>58</v>
      </c>
      <c r="AY17" s="3" t="n">
        <f aca="false">IF(OR($A$5="Todos",AW17=$A$5),MAX(AY$1:AY16)+1,0)</f>
        <v>17</v>
      </c>
    </row>
    <row r="18" customFormat="false" ht="15" hidden="false" customHeight="false" outlineLevel="0" collapsed="false">
      <c r="A18" s="2"/>
      <c r="B18" s="2"/>
      <c r="C18" s="2"/>
      <c r="D18" s="2"/>
      <c r="E18" s="2"/>
      <c r="F18" s="2"/>
      <c r="G18" s="2"/>
      <c r="H18" s="2"/>
      <c r="I18" s="2"/>
      <c r="J18" s="2"/>
      <c r="K18" s="2"/>
      <c r="L18" s="2"/>
      <c r="AS18" s="3" t="s">
        <v>59</v>
      </c>
      <c r="AU18" s="4" t="n">
        <v>46291</v>
      </c>
      <c r="AV18" s="0" t="str">
        <f aca="false">IFERROR(INDEX($AX$1:$AX$94,MATCH(17,$AY$1:$AY$94,0)),"")</f>
        <v>252900303</v>
      </c>
      <c r="AW18" s="3" t="s">
        <v>35</v>
      </c>
      <c r="AX18" s="3" t="s">
        <v>60</v>
      </c>
      <c r="AY18" s="3" t="n">
        <f aca="false">IF(OR($A$5="Todos",AW18=$A$5),MAX(AY$1:AY17)+1,0)</f>
        <v>18</v>
      </c>
    </row>
    <row r="19" customFormat="false" ht="15" hidden="false" customHeight="false" outlineLevel="0" collapsed="false">
      <c r="A19" s="2"/>
      <c r="B19" s="2"/>
      <c r="C19" s="2"/>
      <c r="D19" s="2"/>
      <c r="E19" s="2"/>
      <c r="F19" s="2"/>
      <c r="G19" s="2"/>
      <c r="H19" s="2"/>
      <c r="I19" s="2"/>
      <c r="J19" s="2"/>
      <c r="K19" s="2"/>
      <c r="L19" s="2"/>
      <c r="AS19" s="3" t="s">
        <v>61</v>
      </c>
      <c r="AU19" s="4" t="n">
        <v>46292</v>
      </c>
      <c r="AV19" s="0" t="str">
        <f aca="false">IFERROR(INDEX($AX$1:$AX$94,MATCH(18,$AY$1:$AY$94,0)),"")</f>
        <v>252940301</v>
      </c>
      <c r="AW19" s="3" t="s">
        <v>41</v>
      </c>
      <c r="AX19" s="3" t="s">
        <v>62</v>
      </c>
      <c r="AY19" s="3" t="n">
        <f aca="false">IF(OR($A$5="Todos",AW19=$A$5),MAX(AY$1:AY18)+1,0)</f>
        <v>19</v>
      </c>
    </row>
    <row r="20" customFormat="false" ht="15" hidden="false" customHeight="false" outlineLevel="0" collapsed="false">
      <c r="A20" s="2"/>
      <c r="B20" s="2"/>
      <c r="C20" s="2"/>
      <c r="D20" s="2"/>
      <c r="E20" s="2"/>
      <c r="F20" s="2"/>
      <c r="G20" s="2"/>
      <c r="H20" s="2"/>
      <c r="I20" s="2"/>
      <c r="J20" s="2"/>
      <c r="K20" s="2"/>
      <c r="L20" s="2"/>
      <c r="AS20" s="3" t="s">
        <v>63</v>
      </c>
      <c r="AU20" s="4" t="n">
        <v>46293</v>
      </c>
      <c r="AV20" s="0" t="str">
        <f aca="false">IFERROR(INDEX($AX$1:$AX$94,MATCH(19,$AY$1:$AY$94,0)),"")</f>
        <v>252103049</v>
      </c>
      <c r="AW20" s="3" t="s">
        <v>43</v>
      </c>
      <c r="AX20" s="3" t="s">
        <v>64</v>
      </c>
      <c r="AY20" s="3" t="n">
        <f aca="false">IF(OR($A$5="Todos",AW20=$A$5),MAX(AY$1:AY19)+1,0)</f>
        <v>20</v>
      </c>
    </row>
    <row r="21" customFormat="false" ht="15" hidden="false" customHeight="false" outlineLevel="0" collapsed="false">
      <c r="A21" s="2"/>
      <c r="B21" s="2"/>
      <c r="C21" s="2"/>
      <c r="D21" s="2"/>
      <c r="E21" s="2"/>
      <c r="F21" s="2"/>
      <c r="G21" s="2"/>
      <c r="H21" s="2"/>
      <c r="I21" s="2"/>
      <c r="J21" s="2"/>
      <c r="K21" s="2"/>
      <c r="L21" s="2"/>
      <c r="AS21" s="3" t="s">
        <v>65</v>
      </c>
      <c r="AU21" s="4" t="n">
        <v>46294</v>
      </c>
      <c r="AV21" s="0" t="str">
        <f aca="false">IFERROR(INDEX($AX$1:$AX$94,MATCH(20,$AY$1:$AY$94,0)),"")</f>
        <v>260880201</v>
      </c>
      <c r="AW21" s="3" t="s">
        <v>47</v>
      </c>
      <c r="AX21" s="3" t="s">
        <v>66</v>
      </c>
      <c r="AY21" s="3" t="n">
        <f aca="false">IF(OR($A$5="Todos",AW21=$A$5),MAX(AY$1:AY20)+1,0)</f>
        <v>21</v>
      </c>
    </row>
    <row r="22" customFormat="false" ht="15" hidden="false" customHeight="false" outlineLevel="0" collapsed="false">
      <c r="A22" s="2"/>
      <c r="B22" s="2"/>
      <c r="C22" s="2"/>
      <c r="D22" s="2"/>
      <c r="E22" s="2"/>
      <c r="F22" s="2"/>
      <c r="G22" s="2"/>
      <c r="H22" s="2"/>
      <c r="I22" s="2"/>
      <c r="J22" s="2"/>
      <c r="K22" s="2"/>
      <c r="L22" s="2"/>
      <c r="AS22" s="3" t="s">
        <v>67</v>
      </c>
      <c r="AU22" s="4" t="n">
        <v>46295</v>
      </c>
      <c r="AV22" s="0" t="str">
        <f aca="false">IFERROR(INDEX($AX$1:$AX$94,MATCH(21,$AY$1:$AY$94,0)),"")</f>
        <v>260416102</v>
      </c>
      <c r="AW22" s="3" t="s">
        <v>47</v>
      </c>
      <c r="AX22" s="3" t="s">
        <v>68</v>
      </c>
      <c r="AY22" s="3" t="n">
        <f aca="false">IF(OR($A$5="Todos",AW22=$A$5),MAX(AY$1:AY21)+1,0)</f>
        <v>22</v>
      </c>
    </row>
    <row r="23" customFormat="false" ht="15" hidden="false" customHeight="false" outlineLevel="0" collapsed="false">
      <c r="A23" s="2"/>
      <c r="B23" s="2"/>
      <c r="C23" s="2"/>
      <c r="D23" s="2"/>
      <c r="E23" s="2"/>
      <c r="F23" s="2"/>
      <c r="G23" s="2"/>
      <c r="H23" s="2"/>
      <c r="I23" s="2"/>
      <c r="J23" s="2"/>
      <c r="K23" s="2"/>
      <c r="L23" s="2"/>
      <c r="AS23" s="3" t="s">
        <v>69</v>
      </c>
      <c r="AU23" s="4" t="n">
        <v>46296</v>
      </c>
      <c r="AV23" s="0" t="str">
        <f aca="false">IFERROR(INDEX($AX$1:$AX$94,MATCH(22,$AY$1:$AY$94,0)),"")</f>
        <v>261376101</v>
      </c>
      <c r="AW23" s="3" t="s">
        <v>51</v>
      </c>
      <c r="AX23" s="3" t="s">
        <v>70</v>
      </c>
      <c r="AY23" s="3" t="n">
        <f aca="false">IF(OR($A$5="Todos",AW23=$A$5),MAX(AY$1:AY22)+1,0)</f>
        <v>23</v>
      </c>
    </row>
    <row r="24" customFormat="false" ht="15" hidden="false" customHeight="false" outlineLevel="0" collapsed="false">
      <c r="A24" s="2"/>
      <c r="B24" s="2"/>
      <c r="C24" s="2"/>
      <c r="D24" s="2"/>
      <c r="E24" s="2"/>
      <c r="F24" s="2"/>
      <c r="G24" s="2"/>
      <c r="H24" s="2"/>
      <c r="I24" s="2"/>
      <c r="J24" s="2"/>
      <c r="K24" s="2"/>
      <c r="L24" s="2"/>
      <c r="AS24" s="3" t="s">
        <v>71</v>
      </c>
      <c r="AV24" s="0" t="str">
        <f aca="false">IFERROR(INDEX($AX$1:$AX$94,MATCH(23,$AY$1:$AY$94,0)),"")</f>
        <v>26044019</v>
      </c>
      <c r="AW24" s="3" t="s">
        <v>51</v>
      </c>
      <c r="AX24" s="3" t="s">
        <v>72</v>
      </c>
      <c r="AY24" s="3" t="n">
        <f aca="false">IF(OR($A$5="Todos",AW24=$A$5),MAX(AY$1:AY23)+1,0)</f>
        <v>24</v>
      </c>
    </row>
    <row r="25" customFormat="false" ht="15" hidden="false" customHeight="false" outlineLevel="0" collapsed="false">
      <c r="A25" s="2"/>
      <c r="B25" s="2"/>
      <c r="C25" s="2"/>
      <c r="D25" s="2"/>
      <c r="E25" s="2"/>
      <c r="F25" s="2"/>
      <c r="G25" s="2"/>
      <c r="H25" s="2"/>
      <c r="I25" s="2"/>
      <c r="J25" s="2"/>
      <c r="K25" s="2"/>
      <c r="L25" s="2"/>
      <c r="AS25" s="3" t="s">
        <v>73</v>
      </c>
      <c r="AV25" s="0" t="str">
        <f aca="false">IFERROR(INDEX($AX$1:$AX$94,MATCH(24,$AY$1:$AY$94,0)),"")</f>
        <v>26093039</v>
      </c>
      <c r="AW25" s="3" t="s">
        <v>51</v>
      </c>
      <c r="AX25" s="3" t="s">
        <v>74</v>
      </c>
      <c r="AY25" s="3" t="n">
        <f aca="false">IF(OR($A$5="Todos",AW25=$A$5),MAX(AY$1:AY24)+1,0)</f>
        <v>25</v>
      </c>
    </row>
    <row r="26" customFormat="false" ht="15" hidden="false" customHeight="false" outlineLevel="0" collapsed="false">
      <c r="A26" s="2"/>
      <c r="B26" s="2"/>
      <c r="C26" s="2"/>
      <c r="D26" s="2"/>
      <c r="E26" s="2"/>
      <c r="F26" s="2"/>
      <c r="G26" s="2"/>
      <c r="H26" s="2"/>
      <c r="I26" s="2"/>
      <c r="J26" s="2"/>
      <c r="K26" s="2"/>
      <c r="L26" s="2"/>
      <c r="AS26" s="3" t="s">
        <v>75</v>
      </c>
      <c r="AV26" s="0" t="str">
        <f aca="false">IFERROR(INDEX($AX$1:$AX$94,MATCH(25,$AY$1:$AY$94,0)),"")</f>
        <v>26126039</v>
      </c>
      <c r="AW26" s="3" t="s">
        <v>53</v>
      </c>
      <c r="AX26" s="3" t="s">
        <v>76</v>
      </c>
      <c r="AY26" s="3" t="n">
        <f aca="false">IF(OR($A$5="Todos",AW26=$A$5),MAX(AY$1:AY25)+1,0)</f>
        <v>26</v>
      </c>
    </row>
    <row r="27" customFormat="false" ht="15" hidden="false" customHeight="false" outlineLevel="0" collapsed="false">
      <c r="A27" s="2"/>
      <c r="B27" s="2"/>
      <c r="C27" s="2"/>
      <c r="D27" s="2"/>
      <c r="E27" s="2"/>
      <c r="F27" s="2"/>
      <c r="G27" s="2"/>
      <c r="H27" s="2"/>
      <c r="I27" s="2"/>
      <c r="J27" s="2"/>
      <c r="K27" s="2"/>
      <c r="L27" s="2"/>
      <c r="AS27" s="3" t="s">
        <v>77</v>
      </c>
      <c r="AV27" s="0" t="str">
        <f aca="false">IFERROR(INDEX($AX$1:$AX$94,MATCH(26,$AY$1:$AY$94,0)),"")</f>
        <v>250827800</v>
      </c>
      <c r="AW27" s="3" t="s">
        <v>53</v>
      </c>
      <c r="AX27" s="3" t="s">
        <v>78</v>
      </c>
      <c r="AY27" s="3" t="n">
        <f aca="false">IF(OR($A$5="Todos",AW27=$A$5),MAX(AY$1:AY26)+1,0)</f>
        <v>27</v>
      </c>
    </row>
    <row r="28" customFormat="false" ht="15" hidden="false" customHeight="false" outlineLevel="0" collapsed="false">
      <c r="A28" s="2"/>
      <c r="B28" s="2"/>
      <c r="C28" s="2"/>
      <c r="D28" s="2"/>
      <c r="E28" s="2"/>
      <c r="F28" s="2"/>
      <c r="G28" s="2"/>
      <c r="H28" s="2"/>
      <c r="I28" s="2"/>
      <c r="J28" s="2"/>
      <c r="K28" s="2"/>
      <c r="L28" s="2"/>
      <c r="AS28" s="3" t="s">
        <v>79</v>
      </c>
      <c r="AV28" s="0" t="str">
        <f aca="false">IFERROR(INDEX($AX$1:$AX$94,MATCH(27,$AY$1:$AY$94,0)),"")</f>
        <v>2529678000</v>
      </c>
      <c r="AW28" s="3" t="s">
        <v>53</v>
      </c>
      <c r="AX28" s="3" t="s">
        <v>80</v>
      </c>
      <c r="AY28" s="3" t="n">
        <f aca="false">IF(OR($A$5="Todos",AW28=$A$5),MAX(AY$1:AY27)+1,0)</f>
        <v>28</v>
      </c>
    </row>
    <row r="29" customFormat="false" ht="15" hidden="false" customHeight="false" outlineLevel="0" collapsed="false">
      <c r="A29" s="2"/>
      <c r="B29" s="2"/>
      <c r="C29" s="2"/>
      <c r="D29" s="2"/>
      <c r="E29" s="2"/>
      <c r="F29" s="2"/>
      <c r="G29" s="2"/>
      <c r="H29" s="2"/>
      <c r="I29" s="2"/>
      <c r="J29" s="2"/>
      <c r="K29" s="2"/>
      <c r="L29" s="2"/>
      <c r="AS29" s="3" t="s">
        <v>81</v>
      </c>
      <c r="AV29" s="0" t="str">
        <f aca="false">IFERROR(INDEX($AX$1:$AX$94,MATCH(28,$AY$1:$AY$94,0)),"")</f>
        <v>2529778000</v>
      </c>
      <c r="AW29" s="3" t="s">
        <v>53</v>
      </c>
      <c r="AX29" s="3" t="s">
        <v>82</v>
      </c>
      <c r="AY29" s="3" t="n">
        <f aca="false">IF(OR($A$5="Todos",AW29=$A$5),MAX(AY$1:AY28)+1,0)</f>
        <v>29</v>
      </c>
    </row>
    <row r="30" customFormat="false" ht="15" hidden="false" customHeight="false" outlineLevel="0" collapsed="false">
      <c r="A30" s="2"/>
      <c r="B30" s="2"/>
      <c r="C30" s="2"/>
      <c r="D30" s="2"/>
      <c r="E30" s="2"/>
      <c r="F30" s="2"/>
      <c r="G30" s="2"/>
      <c r="H30" s="2"/>
      <c r="I30" s="2"/>
      <c r="J30" s="2"/>
      <c r="K30" s="2"/>
      <c r="L30" s="2"/>
      <c r="AS30" s="3" t="s">
        <v>83</v>
      </c>
      <c r="AV30" s="0" t="str">
        <f aca="false">IFERROR(INDEX($AX$1:$AX$94,MATCH(29,$AY$1:$AY$94,0)),"")</f>
        <v>2609078000</v>
      </c>
      <c r="AW30" s="3" t="s">
        <v>53</v>
      </c>
      <c r="AX30" s="3" t="s">
        <v>84</v>
      </c>
      <c r="AY30" s="3" t="n">
        <f aca="false">IF(OR($A$5="Todos",AW30=$A$5),MAX(AY$1:AY29)+1,0)</f>
        <v>30</v>
      </c>
    </row>
    <row r="31" customFormat="false" ht="15" hidden="false" customHeight="false" outlineLevel="0" collapsed="false">
      <c r="A31" s="2"/>
      <c r="B31" s="2"/>
      <c r="C31" s="2"/>
      <c r="D31" s="2"/>
      <c r="E31" s="2"/>
      <c r="F31" s="2"/>
      <c r="G31" s="2"/>
      <c r="H31" s="2"/>
      <c r="I31" s="2"/>
      <c r="J31" s="2"/>
      <c r="K31" s="2"/>
      <c r="L31" s="2"/>
      <c r="AS31" s="3" t="s">
        <v>85</v>
      </c>
      <c r="AV31" s="0" t="str">
        <f aca="false">IFERROR(INDEX($AX$1:$AX$94,MATCH(30,$AY$1:$AY$94,0)),"")</f>
        <v>2609178000</v>
      </c>
      <c r="AW31" s="3" t="s">
        <v>53</v>
      </c>
      <c r="AX31" s="3" t="s">
        <v>86</v>
      </c>
      <c r="AY31" s="3" t="n">
        <f aca="false">IF(OR($A$5="Todos",AW31=$A$5),MAX(AY$1:AY30)+1,0)</f>
        <v>31</v>
      </c>
    </row>
    <row r="32" customFormat="false" ht="18.55" hidden="false" customHeight="false" outlineLevel="0" collapsed="false">
      <c r="A32" s="31" t="s">
        <v>87</v>
      </c>
      <c r="B32" s="2"/>
      <c r="C32" s="2"/>
      <c r="D32" s="2"/>
      <c r="E32" s="32" t="str">
        <f aca="false">COUNT($AB$40:$AB$133)&amp;" linhas no filtro atual"</f>
        <v>81 linhas no filtro atual</v>
      </c>
      <c r="F32" s="2"/>
      <c r="G32" s="2"/>
      <c r="H32" s="2"/>
      <c r="I32" s="2"/>
      <c r="J32" s="2"/>
      <c r="K32" s="2"/>
      <c r="L32" s="2"/>
      <c r="AS32" s="3" t="s">
        <v>88</v>
      </c>
      <c r="AV32" s="0" t="str">
        <f aca="false">IFERROR(INDEX($AX$1:$AX$94,MATCH(31,$AY$1:$AY$94,0)),"")</f>
        <v>2611378000</v>
      </c>
      <c r="AW32" s="3" t="s">
        <v>55</v>
      </c>
      <c r="AX32" s="3" t="s">
        <v>89</v>
      </c>
      <c r="AY32" s="3" t="n">
        <f aca="false">IF(OR($A$5="Todos",AW32=$A$5),MAX(AY$1:AY31)+1,0)</f>
        <v>32</v>
      </c>
    </row>
    <row r="33" customFormat="false" ht="24" hidden="false" customHeight="true" outlineLevel="0" collapsed="false">
      <c r="A33" s="33" t="s">
        <v>14</v>
      </c>
      <c r="B33" s="33" t="s">
        <v>15</v>
      </c>
      <c r="C33" s="33" t="s">
        <v>90</v>
      </c>
      <c r="D33" s="34" t="s">
        <v>91</v>
      </c>
      <c r="E33" s="34" t="s">
        <v>92</v>
      </c>
      <c r="F33" s="34" t="s">
        <v>93</v>
      </c>
      <c r="G33" s="34" t="s">
        <v>94</v>
      </c>
      <c r="H33" s="34" t="s">
        <v>95</v>
      </c>
      <c r="I33" s="34" t="s">
        <v>96</v>
      </c>
      <c r="J33" s="35" t="s">
        <v>97</v>
      </c>
      <c r="K33" s="35" t="s">
        <v>98</v>
      </c>
      <c r="L33" s="33" t="s">
        <v>99</v>
      </c>
      <c r="AS33" s="3" t="s">
        <v>100</v>
      </c>
      <c r="AV33" s="0" t="str">
        <f aca="false">IFERROR(INDEX($AX$1:$AX$94,MATCH(32,$AY$1:$AY$94,0)),"")</f>
        <v>252810301</v>
      </c>
      <c r="AW33" s="3" t="s">
        <v>57</v>
      </c>
      <c r="AX33" s="3" t="s">
        <v>101</v>
      </c>
      <c r="AY33" s="3" t="n">
        <f aca="false">IF(OR($A$5="Todos",AW33=$A$5),MAX(AY$1:AY32)+1,0)</f>
        <v>33</v>
      </c>
    </row>
    <row r="34" customFormat="false" ht="15" hidden="false" customHeight="false" outlineLevel="0" collapsed="false">
      <c r="A34" s="36" t="str">
        <f aca="false">IF(IFERROR(MATCH(1,$AB$40:$AB$133,0),0)=0,"",INDEX($T$40:$T$133,IFERROR(MATCH(1,$AB$40:$AB$133,0),0)))</f>
        <v>CHK-R30GOLD-BR-25A</v>
      </c>
      <c r="B34" s="36" t="str">
        <f aca="false">IF(IFERROR(MATCH(1,$AB$40:$AB$133,0),0)=0,"",INDEX($AG$40:$AG$133,IFERROR(MATCH(1,$AB$40:$AB$133,0),0)))</f>
        <v>261130301</v>
      </c>
      <c r="C34" s="37" t="str">
        <f aca="false">IF(IFERROR(MATCH(1,$AB$40:$AB$133,0),0)=0,"",INDEX($U$40:$U$133,IFERROR(MATCH(1,$AB$40:$AB$133,0),0)))</f>
        <v>KG</v>
      </c>
      <c r="D34" s="38" t="n">
        <f aca="false">IF(IFERROR(MATCH(1,$AB$40:$AB$133,0),0)=0,"",INDEX($V$40:$V$133,IFERROR(MATCH(1,$AB$40:$AB$133,0),0)))</f>
        <v>1025.1</v>
      </c>
      <c r="E34" s="38" t="n">
        <f aca="false">IF(IFERROR(MATCH(1,$AB$40:$AB$133,0),0)=0,"",INDEX($W$40:$W$133,IFERROR(MATCH(1,$AB$40:$AB$133,0),0)))</f>
        <v>2673.3</v>
      </c>
      <c r="F34" s="38" t="n">
        <f aca="false">IF(IFERROR(MATCH(1,$AB$40:$AB$133,0),0)=0,"",INDEX($X$40:$X$133,IFERROR(MATCH(1,$AB$40:$AB$133,0),0)))</f>
        <v>1005</v>
      </c>
      <c r="G34" s="38" t="n">
        <f aca="false">IF(A34="","",E34-F34)</f>
        <v>1668.3</v>
      </c>
      <c r="H34" s="38" t="n">
        <f aca="false">IF(IFERROR(MATCH(1,$AB$40:$AB$133,0),0)=0,"",INDEX($Y$40:$Y$133,IFERROR(MATCH(1,$AB$40:$AB$133,0),0)))</f>
        <v>1226.1</v>
      </c>
      <c r="I34" s="39" t="n">
        <f aca="false">IF(IFERROR(MATCH(1,$AB$40:$AB$133,0),0)=0,"",INDEX($Z$40:$Z$133,IFERROR(MATCH(1,$AB$40:$AB$133,0),0)))</f>
        <v>-442.2</v>
      </c>
      <c r="J34" s="40" t="str">
        <f aca="false">IF(IFERROR(MATCH(1,$AB$40:$AB$133,0),0)=0,"",INDEX($AC$40:$AC$133,IFERROR(MATCH(1,$AB$40:$AB$133,0),0)))</f>
        <v>Faltando</v>
      </c>
      <c r="K34" s="41" t="n">
        <f aca="false">IF(IFERROR(MATCH(1,$AB$40:$AB$133,0),0)=0,"",INDEX($AD$40:$AD$133,IFERROR(MATCH(1,$AB$40:$AB$133,0),0)))</f>
        <v>17</v>
      </c>
      <c r="L34" s="42" t="str">
        <f aca="false">IF(IFERROR(MATCH(1,$AB$40:$AB$133,0),0)=0,"",INDEX($AE$40:$AE$133,IFERROR(MATCH(1,$AB$40:$AB$133,0),0))&amp;"")</f>
        <v>CA MOEDAS 2,01KG/UC 10UC/CX 30CX/PAL</v>
      </c>
      <c r="AS34" s="3" t="s">
        <v>102</v>
      </c>
      <c r="AV34" s="0" t="str">
        <f aca="false">IFERROR(INDEX($AX$1:$AX$94,MATCH(33,$AY$1:$AY$94,0)),"")</f>
        <v>260880101</v>
      </c>
      <c r="AW34" s="3" t="s">
        <v>59</v>
      </c>
      <c r="AX34" s="3" t="s">
        <v>103</v>
      </c>
      <c r="AY34" s="3" t="n">
        <f aca="false">IF(OR($A$5="Todos",AW34=$A$5),MAX(AY$1:AY33)+1,0)</f>
        <v>34</v>
      </c>
    </row>
    <row r="35" customFormat="false" ht="15" hidden="false" customHeight="false" outlineLevel="0" collapsed="false">
      <c r="A35" s="36" t="str">
        <f aca="false">IF(IFERROR(MATCH(2,$AB$40:$AB$133,0),0)=0,"",INDEX($T$40:$T$133,IFERROR(MATCH(2,$AB$40:$AB$133,0),0)))</f>
        <v>CHM-TS-P23-E0-999</v>
      </c>
      <c r="B35" s="36" t="str">
        <f aca="false">IF(IFERROR(MATCH(2,$AB$40:$AB$133,0),0)=0,"",INDEX($AG$40:$AG$133,IFERROR(MATCH(2,$AB$40:$AB$133,0),0)))</f>
        <v>2605567696</v>
      </c>
      <c r="C35" s="37" t="str">
        <f aca="false">IF(IFERROR(MATCH(2,$AB$40:$AB$133,0),0)=0,"",INDEX($U$40:$U$133,IFERROR(MATCH(2,$AB$40:$AB$133,0),0)))</f>
        <v>KG</v>
      </c>
      <c r="D35" s="38" t="n">
        <f aca="false">IF(IFERROR(MATCH(2,$AB$40:$AB$133,0),0)=0,"",INDEX($V$40:$V$133,IFERROR(MATCH(2,$AB$40:$AB$133,0),0)))</f>
        <v>0</v>
      </c>
      <c r="E35" s="38" t="n">
        <f aca="false">IF(IFERROR(MATCH(2,$AB$40:$AB$133,0),0)=0,"",INDEX($W$40:$W$133,IFERROR(MATCH(2,$AB$40:$AB$133,0),0)))</f>
        <v>261.12</v>
      </c>
      <c r="F35" s="38" t="n">
        <f aca="false">IF(IFERROR(MATCH(2,$AB$40:$AB$133,0),0)=0,"",INDEX($X$40:$X$133,IFERROR(MATCH(2,$AB$40:$AB$133,0),0)))</f>
        <v>0</v>
      </c>
      <c r="G35" s="38" t="n">
        <f aca="false">IF(A35="","",E35-F35)</f>
        <v>261.12</v>
      </c>
      <c r="H35" s="38" t="n">
        <f aca="false">IF(IFERROR(MATCH(2,$AB$40:$AB$133,0),0)=0,"",INDEX($Y$40:$Y$133,IFERROR(MATCH(2,$AB$40:$AB$133,0),0)))</f>
        <v>0</v>
      </c>
      <c r="I35" s="39" t="n">
        <f aca="false">IF(IFERROR(MATCH(2,$AB$40:$AB$133,0),0)=0,"",INDEX($Z$40:$Z$133,IFERROR(MATCH(2,$AB$40:$AB$133,0),0)))</f>
        <v>-261.12</v>
      </c>
      <c r="J35" s="40" t="str">
        <f aca="false">IF(IFERROR(MATCH(2,$AB$40:$AB$133,0),0)=0,"",INDEX($AC$40:$AC$133,IFERROR(MATCH(2,$AB$40:$AB$133,0),0)))</f>
        <v>Faltando</v>
      </c>
      <c r="K35" s="41" t="n">
        <f aca="false">IF(IFERROR(MATCH(2,$AB$40:$AB$133,0),0)=0,"",INDEX($AD$40:$AD$133,IFERROR(MATCH(2,$AB$40:$AB$133,0),0)))</f>
        <v>1</v>
      </c>
      <c r="L35" s="42" t="str">
        <f aca="false">IF(IFERROR(MATCH(2,$AB$40:$AB$133,0),0)=0,"",INDEX($AE$40:$AE$133,IFERROR(MATCH(2,$AB$40:$AB$133,0),0))&amp;"")</f>
        <v/>
      </c>
      <c r="AS35" s="3" t="s">
        <v>104</v>
      </c>
      <c r="AV35" s="0" t="str">
        <f aca="false">IFERROR(INDEX($AX$1:$AX$94,MATCH(34,$AY$1:$AY$94,0)),"")</f>
        <v>260310301</v>
      </c>
      <c r="AW35" s="3" t="s">
        <v>59</v>
      </c>
      <c r="AX35" s="3" t="s">
        <v>105</v>
      </c>
      <c r="AY35" s="3" t="n">
        <f aca="false">IF(OR($A$5="Todos",AW35=$A$5),MAX(AY$1:AY34)+1,0)</f>
        <v>35</v>
      </c>
    </row>
    <row r="36" customFormat="false" ht="15" hidden="false" customHeight="false" outlineLevel="0" collapsed="false">
      <c r="A36" s="36" t="str">
        <f aca="false">IF(IFERROR(MATCH(3,$AB$40:$AB$133,0),0)=0,"",INDEX($T$40:$T$133,IFERROR(MATCH(3,$AB$40:$AB$133,0),0)))</f>
        <v>BIG-PF-1BO-401</v>
      </c>
      <c r="B36" s="36" t="str">
        <f aca="false">IF(IFERROR(MATCH(3,$AB$40:$AB$133,0),0)=0,"",INDEX($AG$40:$AG$133,IFERROR(MATCH(3,$AB$40:$AB$133,0),0)))</f>
        <v>26044019</v>
      </c>
      <c r="C36" s="37" t="str">
        <f aca="false">IF(IFERROR(MATCH(3,$AB$40:$AB$133,0),0)=0,"",INDEX($U$40:$U$133,IFERROR(MATCH(3,$AB$40:$AB$133,0),0)))</f>
        <v>KG</v>
      </c>
      <c r="D36" s="38" t="n">
        <f aca="false">IF(IFERROR(MATCH(3,$AB$40:$AB$133,0),0)=0,"",INDEX($V$40:$V$133,IFERROR(MATCH(3,$AB$40:$AB$133,0),0)))</f>
        <v>0</v>
      </c>
      <c r="E36" s="38" t="n">
        <f aca="false">IF(IFERROR(MATCH(3,$AB$40:$AB$133,0),0)=0,"",INDEX($W$40:$W$133,IFERROR(MATCH(3,$AB$40:$AB$133,0),0)))</f>
        <v>480</v>
      </c>
      <c r="F36" s="38" t="n">
        <f aca="false">IF(IFERROR(MATCH(3,$AB$40:$AB$133,0),0)=0,"",INDEX($X$40:$X$133,IFERROR(MATCH(3,$AB$40:$AB$133,0),0)))</f>
        <v>60</v>
      </c>
      <c r="G36" s="38" t="n">
        <f aca="false">IF(A36="","",E36-F36)</f>
        <v>420</v>
      </c>
      <c r="H36" s="38" t="n">
        <f aca="false">IF(IFERROR(MATCH(3,$AB$40:$AB$133,0),0)=0,"",INDEX($Y$40:$Y$133,IFERROR(MATCH(3,$AB$40:$AB$133,0),0)))</f>
        <v>210</v>
      </c>
      <c r="I36" s="39" t="n">
        <f aca="false">IF(IFERROR(MATCH(3,$AB$40:$AB$133,0),0)=0,"",INDEX($Z$40:$Z$133,IFERROR(MATCH(3,$AB$40:$AB$133,0),0)))</f>
        <v>-210</v>
      </c>
      <c r="J36" s="40" t="str">
        <f aca="false">IF(IFERROR(MATCH(3,$AB$40:$AB$133,0),0)=0,"",INDEX($AC$40:$AC$133,IFERROR(MATCH(3,$AB$40:$AB$133,0),0)))</f>
        <v>Faltando</v>
      </c>
      <c r="K36" s="41" t="n">
        <f aca="false">IF(IFERROR(MATCH(3,$AB$40:$AB$133,0),0)=0,"",INDEX($AD$40:$AD$133,IFERROR(MATCH(3,$AB$40:$AB$133,0),0)))</f>
        <v>5</v>
      </c>
      <c r="L36" s="42" t="str">
        <f aca="false">IF(IFERROR(MATCH(3,$AB$40:$AB$133,0),0)=0,"",INDEX($AE$40:$AE$133,IFERROR(MATCH(3,$AB$40:$AB$133,0),0))&amp;"")</f>
        <v>CB PAILLETÉ FEUILLETINE 2.5KG/UC 4UC/BOX</v>
      </c>
      <c r="AS36" s="3" t="s">
        <v>106</v>
      </c>
      <c r="AV36" s="0" t="str">
        <f aca="false">IFERROR(INDEX($AX$1:$AX$94,MATCH(35,$AY$1:$AY$94,0)),"")</f>
        <v>260880301</v>
      </c>
      <c r="AW36" s="3" t="s">
        <v>61</v>
      </c>
      <c r="AX36" s="3" t="s">
        <v>107</v>
      </c>
      <c r="AY36" s="3" t="n">
        <f aca="false">IF(OR($A$5="Todos",AW36=$A$5),MAX(AY$1:AY35)+1,0)</f>
        <v>36</v>
      </c>
    </row>
    <row r="37" customFormat="false" ht="15" hidden="false" customHeight="false" outlineLevel="0" collapsed="false">
      <c r="A37" s="36" t="str">
        <f aca="false">IF(IFERROR(MATCH(4,$AB$40:$AB$133,0),0)=0,"",INDEX($T$40:$T$133,IFERROR(MATCH(4,$AB$40:$AB$133,0),0)))</f>
        <v>811-BR-D94</v>
      </c>
      <c r="B37" s="36" t="str">
        <f aca="false">IF(IFERROR(MATCH(4,$AB$40:$AB$133,0),0)=0,"",INDEX($AG$40:$AG$133,IFERROR(MATCH(4,$AB$40:$AB$133,0),0)))</f>
        <v>251643289</v>
      </c>
      <c r="C37" s="37" t="str">
        <f aca="false">IF(IFERROR(MATCH(4,$AB$40:$AB$133,0),0)=0,"",INDEX($U$40:$U$133,IFERROR(MATCH(4,$AB$40:$AB$133,0),0)))</f>
        <v>KG</v>
      </c>
      <c r="D37" s="38" t="n">
        <f aca="false">IF(IFERROR(MATCH(4,$AB$40:$AB$133,0),0)=0,"",INDEX($V$40:$V$133,IFERROR(MATCH(4,$AB$40:$AB$133,0),0)))</f>
        <v>0</v>
      </c>
      <c r="E37" s="38" t="n">
        <f aca="false">IF(IFERROR(MATCH(4,$AB$40:$AB$133,0),0)=0,"",INDEX($W$40:$W$133,IFERROR(MATCH(4,$AB$40:$AB$133,0),0)))</f>
        <v>2.8</v>
      </c>
      <c r="F37" s="38" t="n">
        <f aca="false">IF(IFERROR(MATCH(4,$AB$40:$AB$133,0),0)=0,"",INDEX($X$40:$X$133,IFERROR(MATCH(4,$AB$40:$AB$133,0),0)))</f>
        <v>226.8</v>
      </c>
      <c r="G37" s="38" t="n">
        <f aca="false">IF(A37="","",E37-F37)</f>
        <v>-224</v>
      </c>
      <c r="H37" s="38" t="n">
        <f aca="false">IF(IFERROR(MATCH(4,$AB$40:$AB$133,0),0)=0,"",INDEX($Y$40:$Y$133,IFERROR(MATCH(4,$AB$40:$AB$133,0),0)))</f>
        <v>5513.2</v>
      </c>
      <c r="I37" s="39" t="n">
        <f aca="false">IF(IFERROR(MATCH(4,$AB$40:$AB$133,0),0)=0,"",INDEX($Z$40:$Z$133,IFERROR(MATCH(4,$AB$40:$AB$133,0),0)))</f>
        <v>5737.2</v>
      </c>
      <c r="J37" s="40" t="str">
        <f aca="false">IF(IFERROR(MATCH(4,$AB$40:$AB$133,0),0)=0,"",INDEX($AC$40:$AC$133,IFERROR(MATCH(4,$AB$40:$AB$133,0),0)))</f>
        <v>Sobrando</v>
      </c>
      <c r="K37" s="41" t="n">
        <f aca="false">IF(IFERROR(MATCH(4,$AB$40:$AB$133,0),0)=0,"",INDEX($AD$40:$AD$133,IFERROR(MATCH(4,$AB$40:$AB$133,0),0)))</f>
        <v>17</v>
      </c>
      <c r="L37" s="42" t="str">
        <f aca="false">IF(IFERROR(MATCH(4,$AB$40:$AB$133,0),0)=0,"",INDEX($AE$40:$AE$133,IFERROR(MATCH(4,$AB$40:$AB$133,0),0))&amp;"")</f>
        <v>CA MOEDAS 0,4KG/UC 7UC/CX 144CX/PAL</v>
      </c>
      <c r="AS37" s="3" t="s">
        <v>108</v>
      </c>
      <c r="AV37" s="0" t="str">
        <f aca="false">IFERROR(INDEX($AX$1:$AX$94,MATCH(36,$AY$1:$AY$94,0)),"")</f>
        <v>250500301</v>
      </c>
      <c r="AW37" s="3" t="s">
        <v>63</v>
      </c>
      <c r="AX37" s="3" t="s">
        <v>109</v>
      </c>
      <c r="AY37" s="3" t="n">
        <f aca="false">IF(OR($A$5="Todos",AW37=$A$5),MAX(AY$1:AY36)+1,0)</f>
        <v>37</v>
      </c>
    </row>
    <row r="38" customFormat="false" ht="15" hidden="false" customHeight="false" outlineLevel="0" collapsed="false">
      <c r="A38" s="36" t="str">
        <f aca="false">IF(IFERROR(MATCH(5,$AB$40:$AB$133,0),0)=0,"",INDEX($T$40:$T$133,IFERROR(MATCH(5,$AB$40:$AB$133,0),0)))</f>
        <v>CHM-SP-Z3L-BR-U73</v>
      </c>
      <c r="B38" s="36" t="str">
        <f aca="false">IF(IFERROR(MATCH(5,$AB$40:$AB$133,0),0)=0,"",INDEX($AG$40:$AG$133,IFERROR(MATCH(5,$AB$40:$AB$133,0),0)))</f>
        <v>251880301</v>
      </c>
      <c r="C38" s="37" t="str">
        <f aca="false">IF(IFERROR(MATCH(5,$AB$40:$AB$133,0),0)=0,"",INDEX($U$40:$U$133,IFERROR(MATCH(5,$AB$40:$AB$133,0),0)))</f>
        <v>KG</v>
      </c>
      <c r="D38" s="38" t="n">
        <f aca="false">IF(IFERROR(MATCH(5,$AB$40:$AB$133,0),0)=0,"",INDEX($V$40:$V$133,IFERROR(MATCH(5,$AB$40:$AB$133,0),0)))</f>
        <v>0</v>
      </c>
      <c r="E38" s="38" t="n">
        <f aca="false">IF(IFERROR(MATCH(5,$AB$40:$AB$133,0),0)=0,"",INDEX($W$40:$W$133,IFERROR(MATCH(5,$AB$40:$AB$133,0),0)))</f>
        <v>966</v>
      </c>
      <c r="F38" s="38" t="n">
        <f aca="false">IF(IFERROR(MATCH(5,$AB$40:$AB$133,0),0)=0,"",INDEX($X$40:$X$133,IFERROR(MATCH(5,$AB$40:$AB$133,0),0)))</f>
        <v>906</v>
      </c>
      <c r="G38" s="38" t="n">
        <f aca="false">IF(A38="","",E38-F38)</f>
        <v>60</v>
      </c>
      <c r="H38" s="38" t="n">
        <f aca="false">IF(IFERROR(MATCH(5,$AB$40:$AB$133,0),0)=0,"",INDEX($Y$40:$Y$133,IFERROR(MATCH(5,$AB$40:$AB$133,0),0)))</f>
        <v>3754.998</v>
      </c>
      <c r="I38" s="39" t="n">
        <f aca="false">IF(IFERROR(MATCH(5,$AB$40:$AB$133,0),0)=0,"",INDEX($Z$40:$Z$133,IFERROR(MATCH(5,$AB$40:$AB$133,0),0)))</f>
        <v>3694.998</v>
      </c>
      <c r="J38" s="40" t="str">
        <f aca="false">IF(IFERROR(MATCH(5,$AB$40:$AB$133,0),0)=0,"",INDEX($AC$40:$AC$133,IFERROR(MATCH(5,$AB$40:$AB$133,0),0)))</f>
        <v>Sobrando</v>
      </c>
      <c r="K38" s="41" t="n">
        <f aca="false">IF(IFERROR(MATCH(5,$AB$40:$AB$133,0),0)=0,"",INDEX($AD$40:$AD$133,IFERROR(MATCH(5,$AB$40:$AB$133,0),0)))</f>
        <v>30</v>
      </c>
      <c r="L38" s="42" t="str">
        <f aca="false">IF(IFERROR(MATCH(5,$AB$40:$AB$133,0),0)=0,"",INDEX($AE$40:$AE$133,IFERROR(MATCH(5,$AB$40:$AB$133,0),0))&amp;"")</f>
        <v>CA MILK LARGE FLAKES SPLITTERS 1KG/UC</v>
      </c>
      <c r="AS38" s="3" t="s">
        <v>110</v>
      </c>
      <c r="AV38" s="0" t="str">
        <f aca="false">IFERROR(INDEX($AX$1:$AX$94,MATCH(37,$AY$1:$AY$94,0)),"")</f>
        <v>2520443650</v>
      </c>
      <c r="AW38" s="3" t="s">
        <v>65</v>
      </c>
      <c r="AX38" s="3" t="s">
        <v>111</v>
      </c>
      <c r="AY38" s="3" t="n">
        <f aca="false">IF(OR($A$5="Todos",AW38=$A$5),MAX(AY$1:AY37)+1,0)</f>
        <v>38</v>
      </c>
    </row>
    <row r="39" customFormat="false" ht="15" hidden="false" customHeight="false" outlineLevel="0" collapsed="false">
      <c r="A39" s="36" t="str">
        <f aca="false">IF(IFERROR(MATCH(6,$AB$40:$AB$133,0),0)=0,"",INDEX($T$40:$T$133,IFERROR(MATCH(6,$AB$40:$AB$133,0),0)))</f>
        <v>CHD-SP-9Z4-BR-U73</v>
      </c>
      <c r="B39" s="36" t="str">
        <f aca="false">IF(IFERROR(MATCH(6,$AB$40:$AB$133,0),0)=0,"",INDEX($AG$40:$AG$133,IFERROR(MATCH(6,$AB$40:$AB$133,0),0)))</f>
        <v>250500301</v>
      </c>
      <c r="C39" s="37" t="str">
        <f aca="false">IF(IFERROR(MATCH(6,$AB$40:$AB$133,0),0)=0,"",INDEX($U$40:$U$133,IFERROR(MATCH(6,$AB$40:$AB$133,0),0)))</f>
        <v>KG</v>
      </c>
      <c r="D39" s="38" t="n">
        <f aca="false">IF(IFERROR(MATCH(6,$AB$40:$AB$133,0),0)=0,"",INDEX($V$40:$V$133,IFERROR(MATCH(6,$AB$40:$AB$133,0),0)))</f>
        <v>0</v>
      </c>
      <c r="E39" s="38" t="n">
        <f aca="false">IF(IFERROR(MATCH(6,$AB$40:$AB$133,0),0)=0,"",INDEX($W$40:$W$133,IFERROR(MATCH(6,$AB$40:$AB$133,0),0)))</f>
        <v>240</v>
      </c>
      <c r="F39" s="38" t="n">
        <f aca="false">IF(IFERROR(MATCH(6,$AB$40:$AB$133,0),0)=0,"",INDEX($X$40:$X$133,IFERROR(MATCH(6,$AB$40:$AB$133,0),0)))</f>
        <v>6</v>
      </c>
      <c r="G39" s="38" t="n">
        <f aca="false">IF(A39="","",E39-F39)</f>
        <v>234</v>
      </c>
      <c r="H39" s="38" t="n">
        <f aca="false">IF(IFERROR(MATCH(6,$AB$40:$AB$133,0),0)=0,"",INDEX($Y$40:$Y$133,IFERROR(MATCH(6,$AB$40:$AB$133,0),0)))</f>
        <v>3432</v>
      </c>
      <c r="I39" s="39" t="n">
        <f aca="false">IF(IFERROR(MATCH(6,$AB$40:$AB$133,0),0)=0,"",INDEX($Z$40:$Z$133,IFERROR(MATCH(6,$AB$40:$AB$133,0),0)))</f>
        <v>3198</v>
      </c>
      <c r="J39" s="40" t="str">
        <f aca="false">IF(IFERROR(MATCH(6,$AB$40:$AB$133,0),0)=0,"",INDEX($AC$40:$AC$133,IFERROR(MATCH(6,$AB$40:$AB$133,0),0)))</f>
        <v>Sobrando</v>
      </c>
      <c r="K39" s="41" t="n">
        <f aca="false">IF(IFERROR(MATCH(6,$AB$40:$AB$133,0),0)=0,"",INDEX($AD$40:$AD$133,IFERROR(MATCH(6,$AB$40:$AB$133,0),0)))</f>
        <v>2</v>
      </c>
      <c r="L39" s="42" t="str">
        <f aca="false">IF(IFERROR(MATCH(6,$AB$40:$AB$133,0),0)=0,"",INDEX($AE$40:$AE$133,IFERROR(MATCH(6,$AB$40:$AB$133,0),0))&amp;"")</f>
        <v>96_FU:CHD-SP-1L-BR-U73</v>
      </c>
      <c r="AJ39" s="3" t="s">
        <v>112</v>
      </c>
      <c r="AK39" s="3" t="s">
        <v>113</v>
      </c>
      <c r="AL39" s="3" t="s">
        <v>114</v>
      </c>
      <c r="AP39" s="3" t="s">
        <v>115</v>
      </c>
      <c r="AQ39" s="3" t="s">
        <v>116</v>
      </c>
      <c r="AS39" s="3" t="s">
        <v>117</v>
      </c>
      <c r="AV39" s="0" t="str">
        <f aca="false">IFERROR(INDEX($AX$1:$AX$94,MATCH(38,$AY$1:$AY$94,0)),"")</f>
        <v>261160301</v>
      </c>
      <c r="AW39" s="3" t="s">
        <v>67</v>
      </c>
      <c r="AX39" s="3" t="s">
        <v>118</v>
      </c>
      <c r="AY39" s="3" t="n">
        <f aca="false">IF(OR($A$5="Todos",AW39=$A$5),MAX(AY$1:AY38)+1,0)</f>
        <v>39</v>
      </c>
    </row>
    <row r="40" customFormat="false" ht="15" hidden="false" customHeight="false" outlineLevel="0" collapsed="false">
      <c r="A40" s="36" t="str">
        <f aca="false">IF(IFERROR(MATCH(7,$AB$40:$AB$133,0),0)=0,"",INDEX($T$40:$T$133,IFERROR(MATCH(7,$AB$40:$AB$133,0),0)))</f>
        <v>823-BR-D94</v>
      </c>
      <c r="B40" s="36" t="str">
        <f aca="false">IF(IFERROR(MATCH(7,$AB$40:$AB$133,0),0)=0,"",INDEX($AG$40:$AG$133,IFERROR(MATCH(7,$AB$40:$AB$133,0),0)))</f>
        <v>252103049</v>
      </c>
      <c r="C40" s="37" t="str">
        <f aca="false">IF(IFERROR(MATCH(7,$AB$40:$AB$133,0),0)=0,"",INDEX($U$40:$U$133,IFERROR(MATCH(7,$AB$40:$AB$133,0),0)))</f>
        <v>KG</v>
      </c>
      <c r="D40" s="38" t="n">
        <f aca="false">IF(IFERROR(MATCH(7,$AB$40:$AB$133,0),0)=0,"",INDEX($V$40:$V$133,IFERROR(MATCH(7,$AB$40:$AB$133,0),0)))</f>
        <v>0</v>
      </c>
      <c r="E40" s="38" t="n">
        <f aca="false">IF(IFERROR(MATCH(7,$AB$40:$AB$133,0),0)=0,"",INDEX($W$40:$W$133,IFERROR(MATCH(7,$AB$40:$AB$133,0),0)))</f>
        <v>2.8</v>
      </c>
      <c r="F40" s="38" t="n">
        <f aca="false">IF(IFERROR(MATCH(7,$AB$40:$AB$133,0),0)=0,"",INDEX($X$40:$X$133,IFERROR(MATCH(7,$AB$40:$AB$133,0),0)))</f>
        <v>677.6</v>
      </c>
      <c r="G40" s="38" t="n">
        <f aca="false">IF(A40="","",E40-F40)</f>
        <v>-674.8</v>
      </c>
      <c r="H40" s="38" t="n">
        <f aca="false">IF(IFERROR(MATCH(7,$AB$40:$AB$133,0),0)=0,"",INDEX($Y$40:$Y$133,IFERROR(MATCH(7,$AB$40:$AB$133,0),0)))</f>
        <v>1853.6</v>
      </c>
      <c r="I40" s="39" t="n">
        <f aca="false">IF(IFERROR(MATCH(7,$AB$40:$AB$133,0),0)=0,"",INDEX($Z$40:$Z$133,IFERROR(MATCH(7,$AB$40:$AB$133,0),0)))</f>
        <v>2528.4</v>
      </c>
      <c r="J40" s="40" t="str">
        <f aca="false">IF(IFERROR(MATCH(7,$AB$40:$AB$133,0),0)=0,"",INDEX($AC$40:$AC$133,IFERROR(MATCH(7,$AB$40:$AB$133,0),0)))</f>
        <v>Sobrando</v>
      </c>
      <c r="K40" s="41" t="n">
        <f aca="false">IF(IFERROR(MATCH(7,$AB$40:$AB$133,0),0)=0,"",INDEX($AD$40:$AD$133,IFERROR(MATCH(7,$AB$40:$AB$133,0),0)))</f>
        <v>53</v>
      </c>
      <c r="L40" s="42" t="str">
        <f aca="false">IF(IFERROR(MATCH(7,$AB$40:$AB$133,0),0)=0,"",INDEX($AE$40:$AE$133,IFERROR(MATCH(7,$AB$40:$AB$133,0),0))&amp;"")</f>
        <v>CA MOEDAS 0,4KG/UC 7UC/CX 144CX/PAL</v>
      </c>
      <c r="T40" s="3" t="s">
        <v>69</v>
      </c>
      <c r="U40" s="3" t="s">
        <v>4</v>
      </c>
      <c r="V40" s="3" t="n">
        <f aca="false">SUMIFS(Lançamentos!$H$2:$H$607,Lançamentos!$A$2:$A$607,"&gt;="&amp;$F$5,Lançamentos!$A$2:$A$607,"&lt;="&amp;$H$5,Lançamentos!$C$2:$C$607,$T40,Lançamentos!$D$2:$D$607,$AG40,Lançamentos!$B$2:$B$607,"Recebido no 2008")</f>
        <v>1025.1</v>
      </c>
      <c r="W40" s="3" t="n">
        <f aca="false">SUMIFS(Lançamentos!$I$2:$I$607,Lançamentos!$A$2:$A$607,"&gt;="&amp;$F$5,Lançamentos!$A$2:$A$607,"&lt;="&amp;$H$5,Lançamentos!$C$2:$C$607,$T40,Lançamentos!$D$2:$D$607,$AG40)</f>
        <v>2673.3</v>
      </c>
      <c r="X40" s="3" t="n">
        <f aca="false">SUMIFS(Lançamentos!$J$2:$J$607,Lançamentos!$A$2:$A$607,"&gt;="&amp;$F$5,Lançamentos!$A$2:$A$607,"&lt;="&amp;$H$5,Lançamentos!$C$2:$C$607,$T40,Lançamentos!$D$2:$D$607,$AG40)</f>
        <v>1005</v>
      </c>
      <c r="Y40" s="3" t="n">
        <f aca="false">SUMIFS('Estoque físico'!$J$2:$J$229,'Estoque físico'!$A$2:$A$229,$T40,'Estoque físico'!$B$2:$B$229,$AG40)</f>
        <v>1226.1</v>
      </c>
      <c r="Z40" s="3" t="n">
        <f aca="false">ROUND(Y40-(W40-X40),3)</f>
        <v>-442.2</v>
      </c>
      <c r="AA40" s="3" t="n">
        <f aca="false">IF(AND(U40=$R$3,OR($R$1="*",T40=$R$1),OR($R$2="*",AG40=$R$2),ABS(V40)+ABS(W40)+ABS(X40)+ABS(Y40)&gt;0),1,0)</f>
        <v>1</v>
      </c>
      <c r="AB40" s="3" t="n">
        <f aca="false">IF(AA40=1,SUM(AA$40:AA40),"")</f>
        <v>1</v>
      </c>
      <c r="AC40" s="0" t="str">
        <f aca="false">IF(ABS(Z40)&lt;=$R$5,"Confere",IF(Z40&gt;0,"Sobrando","Faltando"))</f>
        <v>Faltando</v>
      </c>
      <c r="AD40" s="3" t="n">
        <f aca="false">COUNTIFS(Lançamentos!$A$2:$A$607,"&gt;="&amp;$F$5,Lançamentos!$A$2:$A$607,"&lt;="&amp;$H$5,Lançamentos!$C$2:$C$607,$T40,Lançamentos!$D$2:$D$607,$AG40,Lançamentos!$B$2:$B$607,$R$4,Lançamentos!$G$2:$G$607,U40)</f>
        <v>17</v>
      </c>
      <c r="AE40" s="3" t="s">
        <v>119</v>
      </c>
      <c r="AF40" s="3" t="n">
        <f aca="false">IF(AND(AA40=1,AC40&lt;&gt;"Confere"),ABS(Z40)+ROW()/10000000,0)</f>
        <v>442.200004</v>
      </c>
      <c r="AG40" s="3" t="s">
        <v>120</v>
      </c>
      <c r="AH40" s="3" t="n">
        <f aca="false">LARGE($AF$40:$AF$133,1)</f>
        <v>5737.2000045</v>
      </c>
      <c r="AI40" s="3" t="n">
        <f aca="false">IF(AH40&gt;0,MATCH(AH40,$AF$40:$AF$133,0),"")</f>
        <v>6</v>
      </c>
      <c r="AJ40" s="0" t="str">
        <f aca="false">IF(AI40="","",INDEX($T$40:$T$133,AI40)&amp;" · "&amp;INDEX($AG$40:$AG$133,AI40))</f>
        <v>811-BR-D94 · 251643289</v>
      </c>
      <c r="AK40" s="3" t="n">
        <f aca="false">IF(AI40="",0,MAX(INDEX($Z$40:$Z$133,AI40),0))</f>
        <v>5737.2</v>
      </c>
      <c r="AL40" s="3" t="n">
        <f aca="false">IF(AI40="",0,MIN(INDEX($Z$40:$Z$133,AI40),0))</f>
        <v>0</v>
      </c>
      <c r="AN40" s="3" t="s">
        <v>121</v>
      </c>
      <c r="AO40" s="43" t="n">
        <v>46274</v>
      </c>
      <c r="AP40" s="3" t="n">
        <f aca="false">IF(AND(AO40&gt;=$F$5,AO40&lt;=$H$5),SUMIFS(Lançamentos!$I$2:$I$607,Lançamentos!$A$2:$A$607,$AO40,Lançamentos!$C$2:$C$607,$R$1,Lançamentos!$D$2:$D$607,$R$2,Lançamentos!$G$2:$G$607,$R$3,Lançamentos!$B$2:$B$607,$R$4),0)</f>
        <v>490.96</v>
      </c>
      <c r="AQ40" s="3" t="n">
        <f aca="false">IF(AND(AO40&gt;=$F$5,AO40&lt;=$H$5),-SUMIFS(Lançamentos!$J$2:$J$607,Lançamentos!$A$2:$A$607,$AO40,Lançamentos!$C$2:$C$607,$R$1,Lançamentos!$D$2:$D$607,$R$2,Lançamentos!$G$2:$G$607,$R$3,Lançamentos!$B$2:$B$607,$R$4),0)</f>
        <v>-11.2</v>
      </c>
      <c r="AS40" s="3" t="s">
        <v>122</v>
      </c>
      <c r="AV40" s="0" t="str">
        <f aca="false">IFERROR(INDEX($AX$1:$AX$94,MATCH(39,$AY$1:$AY$94,0)),"")</f>
        <v>261756201</v>
      </c>
      <c r="AW40" s="3" t="s">
        <v>69</v>
      </c>
      <c r="AX40" s="3" t="s">
        <v>123</v>
      </c>
      <c r="AY40" s="3" t="n">
        <f aca="false">IF(OR($A$5="Todos",AW40=$A$5),MAX(AY$1:AY39)+1,0)</f>
        <v>40</v>
      </c>
    </row>
    <row r="41" customFormat="false" ht="15" hidden="false" customHeight="false" outlineLevel="0" collapsed="false">
      <c r="A41" s="36" t="str">
        <f aca="false">IF(IFERROR(MATCH(8,$AB$40:$AB$133,0),0)=0,"",INDEX($T$40:$T$133,IFERROR(MATCH(8,$AB$40:$AB$133,0),0)))</f>
        <v>805-BR-D94</v>
      </c>
      <c r="B41" s="36" t="str">
        <f aca="false">IF(IFERROR(MATCH(8,$AB$40:$AB$133,0),0)=0,"",INDEX($AG$40:$AG$133,IFERROR(MATCH(8,$AB$40:$AB$133,0),0)))</f>
        <v>251633359</v>
      </c>
      <c r="C41" s="37" t="str">
        <f aca="false">IF(IFERROR(MATCH(8,$AB$40:$AB$133,0),0)=0,"",INDEX($U$40:$U$133,IFERROR(MATCH(8,$AB$40:$AB$133,0),0)))</f>
        <v>KG</v>
      </c>
      <c r="D41" s="38" t="n">
        <f aca="false">IF(IFERROR(MATCH(8,$AB$40:$AB$133,0),0)=0,"",INDEX($V$40:$V$133,IFERROR(MATCH(8,$AB$40:$AB$133,0),0)))</f>
        <v>0</v>
      </c>
      <c r="E41" s="38" t="n">
        <f aca="false">IF(IFERROR(MATCH(8,$AB$40:$AB$133,0),0)=0,"",INDEX($W$40:$W$133,IFERROR(MATCH(8,$AB$40:$AB$133,0),0)))</f>
        <v>313.6</v>
      </c>
      <c r="F41" s="38" t="n">
        <f aca="false">IF(IFERROR(MATCH(8,$AB$40:$AB$133,0),0)=0,"",INDEX($X$40:$X$133,IFERROR(MATCH(8,$AB$40:$AB$133,0),0)))</f>
        <v>221.2</v>
      </c>
      <c r="G41" s="38" t="n">
        <f aca="false">IF(A41="","",E41-F41)</f>
        <v>92.4</v>
      </c>
      <c r="H41" s="38" t="n">
        <f aca="false">IF(IFERROR(MATCH(8,$AB$40:$AB$133,0),0)=0,"",INDEX($Y$40:$Y$133,IFERROR(MATCH(8,$AB$40:$AB$133,0),0)))</f>
        <v>1360.8</v>
      </c>
      <c r="I41" s="39" t="n">
        <f aca="false">IF(IFERROR(MATCH(8,$AB$40:$AB$133,0),0)=0,"",INDEX($Z$40:$Z$133,IFERROR(MATCH(8,$AB$40:$AB$133,0),0)))</f>
        <v>1268.4</v>
      </c>
      <c r="J41" s="40" t="str">
        <f aca="false">IF(IFERROR(MATCH(8,$AB$40:$AB$133,0),0)=0,"",INDEX($AC$40:$AC$133,IFERROR(MATCH(8,$AB$40:$AB$133,0),0)))</f>
        <v>Sobrando</v>
      </c>
      <c r="K41" s="41" t="n">
        <f aca="false">IF(IFERROR(MATCH(8,$AB$40:$AB$133,0),0)=0,"",INDEX($AD$40:$AD$133,IFERROR(MATCH(8,$AB$40:$AB$133,0),0)))</f>
        <v>26</v>
      </c>
      <c r="L41" s="42" t="str">
        <f aca="false">IF(IFERROR(MATCH(8,$AB$40:$AB$133,0),0)=0,"",INDEX($AE$40:$AE$133,IFERROR(MATCH(8,$AB$40:$AB$133,0),0))&amp;"")</f>
        <v>CA MOEDAS 0,4KG/UC 7UC/CX 144CX/PAL</v>
      </c>
      <c r="T41" s="3" t="s">
        <v>88</v>
      </c>
      <c r="U41" s="3" t="s">
        <v>4</v>
      </c>
      <c r="V41" s="3" t="n">
        <f aca="false">SUMIFS(Lançamentos!$H$2:$H$607,Lançamentos!$A$2:$A$607,"&gt;="&amp;$F$5,Lançamentos!$A$2:$A$607,"&lt;="&amp;$H$5,Lançamentos!$C$2:$C$607,$T41,Lançamentos!$D$2:$D$607,$AG41,Lançamentos!$B$2:$B$607,"Recebido no 2008")</f>
        <v>0</v>
      </c>
      <c r="W41" s="3" t="n">
        <f aca="false">SUMIFS(Lançamentos!$I$2:$I$607,Lançamentos!$A$2:$A$607,"&gt;="&amp;$F$5,Lançamentos!$A$2:$A$607,"&lt;="&amp;$H$5,Lançamentos!$C$2:$C$607,$T41,Lançamentos!$D$2:$D$607,$AG41)</f>
        <v>261.12</v>
      </c>
      <c r="X41" s="3" t="n">
        <f aca="false">SUMIFS(Lançamentos!$J$2:$J$607,Lançamentos!$A$2:$A$607,"&gt;="&amp;$F$5,Lançamentos!$A$2:$A$607,"&lt;="&amp;$H$5,Lançamentos!$C$2:$C$607,$T41,Lançamentos!$D$2:$D$607,$AG41)</f>
        <v>0</v>
      </c>
      <c r="Y41" s="3" t="n">
        <f aca="false">SUMIFS('Estoque físico'!$J$2:$J$229,'Estoque físico'!$A$2:$A$229,$T41,'Estoque físico'!$B$2:$B$229,$AG41)</f>
        <v>0</v>
      </c>
      <c r="Z41" s="3" t="n">
        <f aca="false">ROUND(Y41-(W41-X41),3)</f>
        <v>-261.12</v>
      </c>
      <c r="AA41" s="3" t="n">
        <f aca="false">IF(AND(U41=$R$3,OR($R$1="*",T41=$R$1),OR($R$2="*",AG41=$R$2),ABS(V41)+ABS(W41)+ABS(X41)+ABS(Y41)&gt;0),1,0)</f>
        <v>1</v>
      </c>
      <c r="AB41" s="3" t="n">
        <f aca="false">IF(AA41=1,SUM(AA$40:AA41),"")</f>
        <v>2</v>
      </c>
      <c r="AC41" s="0" t="str">
        <f aca="false">IF(ABS(Z41)&lt;=$R$5,"Confere",IF(Z41&gt;0,"Sobrando","Faltando"))</f>
        <v>Faltando</v>
      </c>
      <c r="AD41" s="3" t="n">
        <f aca="false">COUNTIFS(Lançamentos!$A$2:$A$607,"&gt;="&amp;$F$5,Lançamentos!$A$2:$A$607,"&lt;="&amp;$H$5,Lançamentos!$C$2:$C$607,$T41,Lançamentos!$D$2:$D$607,$AG41,Lançamentos!$B$2:$B$607,$R$4,Lançamentos!$G$2:$G$607,U41)</f>
        <v>1</v>
      </c>
      <c r="AF41" s="3" t="n">
        <f aca="false">IF(AND(AA41=1,AC41&lt;&gt;"Confere"),ABS(Z41)+ROW()/10000000,0)</f>
        <v>261.1200041</v>
      </c>
      <c r="AG41" s="3" t="s">
        <v>124</v>
      </c>
      <c r="AH41" s="3" t="n">
        <f aca="false">LARGE($AF$40:$AF$133,2)</f>
        <v>3694.9980046</v>
      </c>
      <c r="AI41" s="3" t="n">
        <f aca="false">IF(AH41&gt;0,MATCH(AH41,$AF$40:$AF$133,0),"")</f>
        <v>7</v>
      </c>
      <c r="AJ41" s="0" t="str">
        <f aca="false">IF(AI41="","",INDEX($T$40:$T$133,AI41)&amp;" · "&amp;INDEX($AG$40:$AG$133,AI41))</f>
        <v>CHM-SP-Z3L-BR-U73 · 251880301</v>
      </c>
      <c r="AK41" s="3" t="n">
        <f aca="false">IF(AI41="",0,MAX(INDEX($Z$40:$Z$133,AI41),0))</f>
        <v>3694.998</v>
      </c>
      <c r="AL41" s="3" t="n">
        <f aca="false">IF(AI41="",0,MIN(INDEX($Z$40:$Z$133,AI41),0))</f>
        <v>0</v>
      </c>
      <c r="AN41" s="3" t="s">
        <v>125</v>
      </c>
      <c r="AO41" s="43" t="n">
        <v>46275</v>
      </c>
      <c r="AP41" s="3" t="n">
        <f aca="false">IF(AND(AO41&gt;=$F$5,AO41&lt;=$H$5),SUMIFS(Lançamentos!$I$2:$I$607,Lançamentos!$A$2:$A$607,$AO41,Lançamentos!$C$2:$C$607,$R$1,Lançamentos!$D$2:$D$607,$R$2,Lançamentos!$G$2:$G$607,$R$3,Lançamentos!$B$2:$B$607,$R$4),0)</f>
        <v>0</v>
      </c>
      <c r="AQ41" s="3" t="n">
        <f aca="false">IF(AND(AO41&gt;=$F$5,AO41&lt;=$H$5),-SUMIFS(Lançamentos!$J$2:$J$607,Lançamentos!$A$2:$A$607,$AO41,Lançamentos!$C$2:$C$607,$R$1,Lançamentos!$D$2:$D$607,$R$2,Lançamentos!$G$2:$G$607,$R$3,Lançamentos!$B$2:$B$607,$R$4),0)</f>
        <v>-559.4</v>
      </c>
      <c r="AS41" s="3" t="s">
        <v>126</v>
      </c>
      <c r="AV41" s="0" t="str">
        <f aca="false">IFERROR(INDEX($AX$1:$AX$94,MATCH(40,$AY$1:$AY$94,0)),"")</f>
        <v>252750301</v>
      </c>
      <c r="AW41" s="3" t="s">
        <v>69</v>
      </c>
      <c r="AX41" s="3" t="s">
        <v>127</v>
      </c>
      <c r="AY41" s="3" t="n">
        <f aca="false">IF(OR($A$5="Todos",AW41=$A$5),MAX(AY$1:AY40)+1,0)</f>
        <v>41</v>
      </c>
    </row>
    <row r="42" customFormat="false" ht="15" hidden="false" customHeight="false" outlineLevel="0" collapsed="false">
      <c r="A42" s="36" t="str">
        <f aca="false">IF(IFERROR(MATCH(9,$AB$40:$AB$133,0),0)=0,"",INDEX($T$40:$T$133,IFERROR(MATCH(9,$AB$40:$AB$133,0),0)))</f>
        <v>W3-BR-25A</v>
      </c>
      <c r="B42" s="36" t="str">
        <f aca="false">IF(IFERROR(MATCH(9,$AB$40:$AB$133,0),0)=0,"",INDEX($AG$40:$AG$133,IFERROR(MATCH(9,$AB$40:$AB$133,0),0)))</f>
        <v>253540301</v>
      </c>
      <c r="C42" s="37" t="str">
        <f aca="false">IF(IFERROR(MATCH(9,$AB$40:$AB$133,0),0)=0,"",INDEX($U$40:$U$133,IFERROR(MATCH(9,$AB$40:$AB$133,0),0)))</f>
        <v>KG</v>
      </c>
      <c r="D42" s="38" t="n">
        <f aca="false">IF(IFERROR(MATCH(9,$AB$40:$AB$133,0),0)=0,"",INDEX($V$40:$V$133,IFERROR(MATCH(9,$AB$40:$AB$133,0),0)))</f>
        <v>20</v>
      </c>
      <c r="E42" s="38" t="n">
        <f aca="false">IF(IFERROR(MATCH(9,$AB$40:$AB$133,0),0)=0,"",INDEX($W$40:$W$133,IFERROR(MATCH(9,$AB$40:$AB$133,0),0)))</f>
        <v>0</v>
      </c>
      <c r="F42" s="38" t="n">
        <f aca="false">IF(IFERROR(MATCH(9,$AB$40:$AB$133,0),0)=0,"",INDEX($X$40:$X$133,IFERROR(MATCH(9,$AB$40:$AB$133,0),0)))</f>
        <v>542.7</v>
      </c>
      <c r="G42" s="38" t="n">
        <f aca="false">IF(A42="","",E42-F42)</f>
        <v>-542.7</v>
      </c>
      <c r="H42" s="38" t="n">
        <f aca="false">IF(IFERROR(MATCH(9,$AB$40:$AB$133,0),0)=0,"",INDEX($Y$40:$Y$133,IFERROR(MATCH(9,$AB$40:$AB$133,0),0)))</f>
        <v>540.69</v>
      </c>
      <c r="I42" s="39" t="n">
        <f aca="false">IF(IFERROR(MATCH(9,$AB$40:$AB$133,0),0)=0,"",INDEX($Z$40:$Z$133,IFERROR(MATCH(9,$AB$40:$AB$133,0),0)))</f>
        <v>1083.39</v>
      </c>
      <c r="J42" s="40" t="str">
        <f aca="false">IF(IFERROR(MATCH(9,$AB$40:$AB$133,0),0)=0,"",INDEX($AC$40:$AC$133,IFERROR(MATCH(9,$AB$40:$AB$133,0),0)))</f>
        <v>Sobrando</v>
      </c>
      <c r="K42" s="41" t="n">
        <f aca="false">IF(IFERROR(MATCH(9,$AB$40:$AB$133,0),0)=0,"",INDEX($AD$40:$AD$133,IFERROR(MATCH(9,$AB$40:$AB$133,0),0)))</f>
        <v>15</v>
      </c>
      <c r="L42" s="42" t="str">
        <f aca="false">IF(IFERROR(MATCH(9,$AB$40:$AB$133,0),0)=0,"",INDEX($AE$40:$AE$133,IFERROR(MATCH(9,$AB$40:$AB$133,0),0))&amp;"")</f>
        <v>CA MOEDAS 2,01KG/UC 10UC/CX 30CX/PAL</v>
      </c>
      <c r="T42" s="3" t="s">
        <v>51</v>
      </c>
      <c r="U42" s="3" t="s">
        <v>4</v>
      </c>
      <c r="V42" s="3" t="n">
        <f aca="false">SUMIFS(Lançamentos!$H$2:$H$607,Lançamentos!$A$2:$A$607,"&gt;="&amp;$F$5,Lançamentos!$A$2:$A$607,"&lt;="&amp;$H$5,Lançamentos!$C$2:$C$607,$T42,Lançamentos!$D$2:$D$607,$AG42,Lançamentos!$B$2:$B$607,"Recebido no 2008")</f>
        <v>0</v>
      </c>
      <c r="W42" s="3" t="n">
        <f aca="false">SUMIFS(Lançamentos!$I$2:$I$607,Lançamentos!$A$2:$A$607,"&gt;="&amp;$F$5,Lançamentos!$A$2:$A$607,"&lt;="&amp;$H$5,Lançamentos!$C$2:$C$607,$T42,Lançamentos!$D$2:$D$607,$AG42)</f>
        <v>480</v>
      </c>
      <c r="X42" s="3" t="n">
        <f aca="false">SUMIFS(Lançamentos!$J$2:$J$607,Lançamentos!$A$2:$A$607,"&gt;="&amp;$F$5,Lançamentos!$A$2:$A$607,"&lt;="&amp;$H$5,Lançamentos!$C$2:$C$607,$T42,Lançamentos!$D$2:$D$607,$AG42)</f>
        <v>60</v>
      </c>
      <c r="Y42" s="3" t="n">
        <f aca="false">SUMIFS('Estoque físico'!$J$2:$J$229,'Estoque físico'!$A$2:$A$229,$T42,'Estoque físico'!$B$2:$B$229,$AG42)</f>
        <v>210</v>
      </c>
      <c r="Z42" s="3" t="n">
        <f aca="false">ROUND(Y42-(W42-X42),3)</f>
        <v>-210</v>
      </c>
      <c r="AA42" s="3" t="n">
        <f aca="false">IF(AND(U42=$R$3,OR($R$1="*",T42=$R$1),OR($R$2="*",AG42=$R$2),ABS(V42)+ABS(W42)+ABS(X42)+ABS(Y42)&gt;0),1,0)</f>
        <v>1</v>
      </c>
      <c r="AB42" s="3" t="n">
        <f aca="false">IF(AA42=1,SUM(AA$40:AA42),"")</f>
        <v>3</v>
      </c>
      <c r="AC42" s="0" t="str">
        <f aca="false">IF(ABS(Z42)&lt;=$R$5,"Confere",IF(Z42&gt;0,"Sobrando","Faltando"))</f>
        <v>Faltando</v>
      </c>
      <c r="AD42" s="3" t="n">
        <f aca="false">COUNTIFS(Lançamentos!$A$2:$A$607,"&gt;="&amp;$F$5,Lançamentos!$A$2:$A$607,"&lt;="&amp;$H$5,Lançamentos!$C$2:$C$607,$T42,Lançamentos!$D$2:$D$607,$AG42,Lançamentos!$B$2:$B$607,$R$4,Lançamentos!$G$2:$G$607,U42)</f>
        <v>5</v>
      </c>
      <c r="AE42" s="3" t="s">
        <v>128</v>
      </c>
      <c r="AF42" s="3" t="n">
        <f aca="false">IF(AND(AA42=1,AC42&lt;&gt;"Confere"),ABS(Z42)+ROW()/10000000,0)</f>
        <v>210.0000042</v>
      </c>
      <c r="AG42" s="3" t="s">
        <v>70</v>
      </c>
      <c r="AH42" s="3" t="n">
        <f aca="false">LARGE($AF$40:$AF$133,3)</f>
        <v>3198.0000047</v>
      </c>
      <c r="AI42" s="3" t="n">
        <f aca="false">IF(AH42&gt;0,MATCH(AH42,$AF$40:$AF$133,0),"")</f>
        <v>8</v>
      </c>
      <c r="AJ42" s="0" t="str">
        <f aca="false">IF(AI42="","",INDEX($T$40:$T$133,AI42)&amp;" · "&amp;INDEX($AG$40:$AG$133,AI42))</f>
        <v>CHD-SP-9Z4-BR-U73 · 250500301</v>
      </c>
      <c r="AK42" s="3" t="n">
        <f aca="false">IF(AI42="",0,MAX(INDEX($Z$40:$Z$133,AI42),0))</f>
        <v>3198</v>
      </c>
      <c r="AL42" s="3" t="n">
        <f aca="false">IF(AI42="",0,MIN(INDEX($Z$40:$Z$133,AI42),0))</f>
        <v>0</v>
      </c>
      <c r="AN42" s="3" t="s">
        <v>129</v>
      </c>
      <c r="AO42" s="43" t="n">
        <v>46276</v>
      </c>
      <c r="AP42" s="3" t="n">
        <f aca="false">IF(AND(AO42&gt;=$F$5,AO42&lt;=$H$5),SUMIFS(Lançamentos!$I$2:$I$607,Lançamentos!$A$2:$A$607,$AO42,Lançamentos!$C$2:$C$607,$R$1,Lançamentos!$D$2:$D$607,$R$2,Lançamentos!$G$2:$G$607,$R$3,Lançamentos!$B$2:$B$607,$R$4),0)</f>
        <v>6720.9</v>
      </c>
      <c r="AQ42" s="3" t="n">
        <f aca="false">IF(AND(AO42&gt;=$F$5,AO42&lt;=$H$5),-SUMIFS(Lançamentos!$J$2:$J$607,Lançamentos!$A$2:$A$607,$AO42,Lançamentos!$C$2:$C$607,$R$1,Lançamentos!$D$2:$D$607,$R$2,Lançamentos!$G$2:$G$607,$R$3,Lançamentos!$B$2:$B$607,$R$4),0)</f>
        <v>-2836.4</v>
      </c>
      <c r="AS42" s="3" t="s">
        <v>130</v>
      </c>
      <c r="AV42" s="0" t="str">
        <f aca="false">IFERROR(INDEX($AX$1:$AX$94,MATCH(41,$AY$1:$AY$94,0)),"")</f>
        <v>253620301</v>
      </c>
      <c r="AW42" s="3" t="s">
        <v>69</v>
      </c>
      <c r="AX42" s="3" t="s">
        <v>120</v>
      </c>
      <c r="AY42" s="3" t="n">
        <f aca="false">IF(OR($A$5="Todos",AW42=$A$5),MAX(AY$1:AY41)+1,0)</f>
        <v>42</v>
      </c>
    </row>
    <row r="43" customFormat="false" ht="15" hidden="false" customHeight="false" outlineLevel="0" collapsed="false">
      <c r="A43" s="36" t="str">
        <f aca="false">IF(IFERROR(MATCH(10,$AB$40:$AB$133,0),0)=0,"",INDEX($T$40:$T$133,IFERROR(MATCH(10,$AB$40:$AB$133,0),0)))</f>
        <v>CW2-BR-25A</v>
      </c>
      <c r="B43" s="36" t="str">
        <f aca="false">IF(IFERROR(MATCH(10,$AB$40:$AB$133,0),0)=0,"",INDEX($AG$40:$AG$133,IFERROR(MATCH(10,$AB$40:$AB$133,0),0)))</f>
        <v>253470301</v>
      </c>
      <c r="C43" s="37" t="str">
        <f aca="false">IF(IFERROR(MATCH(10,$AB$40:$AB$133,0),0)=0,"",INDEX($U$40:$U$133,IFERROR(MATCH(10,$AB$40:$AB$133,0),0)))</f>
        <v>KG</v>
      </c>
      <c r="D43" s="38" t="n">
        <f aca="false">IF(IFERROR(MATCH(10,$AB$40:$AB$133,0),0)=0,"",INDEX($V$40:$V$133,IFERROR(MATCH(10,$AB$40:$AB$133,0),0)))</f>
        <v>0</v>
      </c>
      <c r="E43" s="38" t="n">
        <f aca="false">IF(IFERROR(MATCH(10,$AB$40:$AB$133,0),0)=0,"",INDEX($W$40:$W$133,IFERROR(MATCH(10,$AB$40:$AB$133,0),0)))</f>
        <v>763.8</v>
      </c>
      <c r="F43" s="38" t="n">
        <f aca="false">IF(IFERROR(MATCH(10,$AB$40:$AB$133,0),0)=0,"",INDEX($X$40:$X$133,IFERROR(MATCH(10,$AB$40:$AB$133,0),0)))</f>
        <v>924.6</v>
      </c>
      <c r="G43" s="38" t="n">
        <f aca="false">IF(A43="","",E43-F43)</f>
        <v>-160.8</v>
      </c>
      <c r="H43" s="38" t="n">
        <f aca="false">IF(IFERROR(MATCH(10,$AB$40:$AB$133,0),0)=0,"",INDEX($Y$40:$Y$133,IFERROR(MATCH(10,$AB$40:$AB$133,0),0)))</f>
        <v>763.8</v>
      </c>
      <c r="I43" s="39" t="n">
        <f aca="false">IF(IFERROR(MATCH(10,$AB$40:$AB$133,0),0)=0,"",INDEX($Z$40:$Z$133,IFERROR(MATCH(10,$AB$40:$AB$133,0),0)))</f>
        <v>924.6</v>
      </c>
      <c r="J43" s="40" t="str">
        <f aca="false">IF(IFERROR(MATCH(10,$AB$40:$AB$133,0),0)=0,"",INDEX($AC$40:$AC$133,IFERROR(MATCH(10,$AB$40:$AB$133,0),0)))</f>
        <v>Sobrando</v>
      </c>
      <c r="K43" s="41" t="n">
        <f aca="false">IF(IFERROR(MATCH(10,$AB$40:$AB$133,0),0)=0,"",INDEX($AD$40:$AD$133,IFERROR(MATCH(10,$AB$40:$AB$133,0),0)))</f>
        <v>12</v>
      </c>
      <c r="L43" s="42" t="str">
        <f aca="false">IF(IFERROR(MATCH(10,$AB$40:$AB$133,0),0)=0,"",INDEX($AE$40:$AE$133,IFERROR(MATCH(10,$AB$40:$AB$133,0),0))&amp;"")</f>
        <v>CA MOEDAS 2,01KG/UC 10UC/CX 30CX/PAL</v>
      </c>
      <c r="T43" s="3" t="s">
        <v>131</v>
      </c>
      <c r="U43" s="3" t="s">
        <v>12</v>
      </c>
      <c r="V43" s="3" t="n">
        <f aca="false">SUMIFS(Lançamentos!$H$2:$H$607,Lançamentos!$A$2:$A$607,"&gt;="&amp;$F$5,Lançamentos!$A$2:$A$607,"&lt;="&amp;$H$5,Lançamentos!$C$2:$C$607,$T43,Lançamentos!$D$2:$D$607,$AG43,Lançamentos!$B$2:$B$607,"Recebido no 2008")</f>
        <v>0</v>
      </c>
      <c r="W43" s="3" t="n">
        <f aca="false">SUMIFS(Lançamentos!$I$2:$I$607,Lançamentos!$A$2:$A$607,"&gt;="&amp;$F$5,Lançamentos!$A$2:$A$607,"&lt;="&amp;$H$5,Lançamentos!$C$2:$C$607,$T43,Lançamentos!$D$2:$D$607,$AG43)</f>
        <v>487</v>
      </c>
      <c r="X43" s="3" t="n">
        <f aca="false">SUMIFS(Lançamentos!$J$2:$J$607,Lançamentos!$A$2:$A$607,"&gt;="&amp;$F$5,Lançamentos!$A$2:$A$607,"&lt;="&amp;$H$5,Lançamentos!$C$2:$C$607,$T43,Lançamentos!$D$2:$D$607,$AG43)</f>
        <v>0</v>
      </c>
      <c r="Y43" s="3" t="n">
        <f aca="false">SUMIFS('Estoque físico'!$J$2:$J$229,'Estoque físico'!$A$2:$A$229,$T43,'Estoque físico'!$B$2:$B$229,$AG43)</f>
        <v>367</v>
      </c>
      <c r="Z43" s="3" t="n">
        <f aca="false">ROUND(Y43-(W43-X43),3)</f>
        <v>-120</v>
      </c>
      <c r="AA43" s="3" t="n">
        <f aca="false">IF(AND(U43=$R$3,OR($R$1="*",T43=$R$1),OR($R$2="*",AG43=$R$2),ABS(V43)+ABS(W43)+ABS(X43)+ABS(Y43)&gt;0),1,0)</f>
        <v>0</v>
      </c>
      <c r="AB43" s="0" t="str">
        <f aca="false">IF(AA43=1,SUM(AA$40:AA43),"")</f>
        <v/>
      </c>
      <c r="AC43" s="0" t="str">
        <f aca="false">IF(ABS(Z43)&lt;=$R$5,"Confere",IF(Z43&gt;0,"Sobrando","Faltando"))</f>
        <v>Faltando</v>
      </c>
      <c r="AD43" s="3" t="n">
        <f aca="false">COUNTIFS(Lançamentos!$A$2:$A$607,"&gt;="&amp;$F$5,Lançamentos!$A$2:$A$607,"&lt;="&amp;$H$5,Lançamentos!$C$2:$C$607,$T43,Lançamentos!$D$2:$D$607,$AG43,Lançamentos!$B$2:$B$607,$R$4,Lançamentos!$G$2:$G$607,U43)</f>
        <v>4</v>
      </c>
      <c r="AE43" s="3" t="s">
        <v>132</v>
      </c>
      <c r="AF43" s="3" t="n">
        <f aca="false">IF(AND(AA43=1,AC43&lt;&gt;"Confere"),ABS(Z43)+ROW()/10000000,0)</f>
        <v>0</v>
      </c>
      <c r="AG43" s="3" t="s">
        <v>133</v>
      </c>
      <c r="AH43" s="3" t="n">
        <f aca="false">LARGE($AF$40:$AF$133,4)</f>
        <v>2528.4000048</v>
      </c>
      <c r="AI43" s="3" t="n">
        <f aca="false">IF(AH43&gt;0,MATCH(AH43,$AF$40:$AF$133,0),"")</f>
        <v>9</v>
      </c>
      <c r="AJ43" s="0" t="str">
        <f aca="false">IF(AI43="","",INDEX($T$40:$T$133,AI43)&amp;" · "&amp;INDEX($AG$40:$AG$133,AI43))</f>
        <v>823-BR-D94 · 252103049</v>
      </c>
      <c r="AK43" s="3" t="n">
        <f aca="false">IF(AI43="",0,MAX(INDEX($Z$40:$Z$133,AI43),0))</f>
        <v>2528.4</v>
      </c>
      <c r="AL43" s="3" t="n">
        <f aca="false">IF(AI43="",0,MIN(INDEX($Z$40:$Z$133,AI43),0))</f>
        <v>0</v>
      </c>
      <c r="AN43" s="3" t="s">
        <v>134</v>
      </c>
      <c r="AO43" s="43" t="n">
        <v>46277</v>
      </c>
      <c r="AP43" s="3" t="n">
        <f aca="false">IF(AND(AO43&gt;=$F$5,AO43&lt;=$H$5),SUMIFS(Lançamentos!$I$2:$I$607,Lançamentos!$A$2:$A$607,$AO43,Lançamentos!$C$2:$C$607,$R$1,Lançamentos!$D$2:$D$607,$R$2,Lançamentos!$G$2:$G$607,$R$3,Lançamentos!$B$2:$B$607,$R$4),0)</f>
        <v>0</v>
      </c>
      <c r="AQ43" s="3" t="n">
        <f aca="false">IF(AND(AO43&gt;=$F$5,AO43&lt;=$H$5),-SUMIFS(Lançamentos!$J$2:$J$607,Lançamentos!$A$2:$A$607,$AO43,Lançamentos!$C$2:$C$607,$R$1,Lançamentos!$D$2:$D$607,$R$2,Lançamentos!$G$2:$G$607,$R$3,Lançamentos!$B$2:$B$607,$R$4),0)</f>
        <v>-173.1</v>
      </c>
      <c r="AS43" s="3" t="s">
        <v>135</v>
      </c>
      <c r="AV43" s="0" t="str">
        <f aca="false">IFERROR(INDEX($AX$1:$AX$94,MATCH(42,$AY$1:$AY$94,0)),"")</f>
        <v>261130301</v>
      </c>
      <c r="AW43" s="3" t="s">
        <v>71</v>
      </c>
      <c r="AX43" s="3" t="s">
        <v>136</v>
      </c>
      <c r="AY43" s="3" t="n">
        <f aca="false">IF(OR($A$5="Todos",AW43=$A$5),MAX(AY$1:AY42)+1,0)</f>
        <v>43</v>
      </c>
    </row>
    <row r="44" customFormat="false" ht="15" hidden="false" customHeight="false" outlineLevel="0" collapsed="false">
      <c r="A44" s="36" t="str">
        <f aca="false">IF(IFERROR(MATCH(11,$AB$40:$AB$133,0),0)=0,"",INDEX($T$40:$T$133,IFERROR(MATCH(11,$AB$40:$AB$133,0),0)))</f>
        <v>CHP-20SICHP-760</v>
      </c>
      <c r="B44" s="36" t="str">
        <f aca="false">IF(IFERROR(MATCH(11,$AB$40:$AB$133,0),0)=0,"",INDEX($AG$40:$AG$133,IFERROR(MATCH(11,$AB$40:$AB$133,0),0)))</f>
        <v>252843369</v>
      </c>
      <c r="C44" s="37" t="str">
        <f aca="false">IF(IFERROR(MATCH(11,$AB$40:$AB$133,0),0)=0,"",INDEX($U$40:$U$133,IFERROR(MATCH(11,$AB$40:$AB$133,0),0)))</f>
        <v>KG</v>
      </c>
      <c r="D44" s="38" t="n">
        <f aca="false">IF(IFERROR(MATCH(11,$AB$40:$AB$133,0),0)=0,"",INDEX($V$40:$V$133,IFERROR(MATCH(11,$AB$40:$AB$133,0),0)))</f>
        <v>0</v>
      </c>
      <c r="E44" s="38" t="n">
        <f aca="false">IF(IFERROR(MATCH(11,$AB$40:$AB$133,0),0)=0,"",INDEX($W$40:$W$133,IFERROR(MATCH(11,$AB$40:$AB$133,0),0)))</f>
        <v>918</v>
      </c>
      <c r="F44" s="38" t="n">
        <f aca="false">IF(IFERROR(MATCH(11,$AB$40:$AB$133,0),0)=0,"",INDEX($X$40:$X$133,IFERROR(MATCH(11,$AB$40:$AB$133,0),0)))</f>
        <v>186</v>
      </c>
      <c r="G44" s="38" t="n">
        <f aca="false">IF(A44="","",E44-F44)</f>
        <v>732</v>
      </c>
      <c r="H44" s="38" t="n">
        <f aca="false">IF(IFERROR(MATCH(11,$AB$40:$AB$133,0),0)=0,"",INDEX($Y$40:$Y$133,IFERROR(MATCH(11,$AB$40:$AB$133,0),0)))</f>
        <v>1272</v>
      </c>
      <c r="I44" s="39" t="n">
        <f aca="false">IF(IFERROR(MATCH(11,$AB$40:$AB$133,0),0)=0,"",INDEX($Z$40:$Z$133,IFERROR(MATCH(11,$AB$40:$AB$133,0),0)))</f>
        <v>540</v>
      </c>
      <c r="J44" s="40" t="str">
        <f aca="false">IF(IFERROR(MATCH(11,$AB$40:$AB$133,0),0)=0,"",INDEX($AC$40:$AC$133,IFERROR(MATCH(11,$AB$40:$AB$133,0),0)))</f>
        <v>Sobrando</v>
      </c>
      <c r="K44" s="41" t="n">
        <f aca="false">IF(IFERROR(MATCH(11,$AB$40:$AB$133,0),0)=0,"",INDEX($AD$40:$AD$133,IFERROR(MATCH(11,$AB$40:$AB$133,0),0)))</f>
        <v>13</v>
      </c>
      <c r="L44" s="42" t="str">
        <f aca="false">IF(IFERROR(MATCH(11,$AB$40:$AB$133,0),0)=0,"",INDEX($AE$40:$AE$133,IFERROR(MATCH(11,$AB$40:$AB$133,0),0))&amp;"")</f>
        <v>CA SILKY CHOCO POWDER POWDER 1KG/UC</v>
      </c>
      <c r="T44" s="3" t="s">
        <v>53</v>
      </c>
      <c r="U44" s="3" t="s">
        <v>9</v>
      </c>
      <c r="V44" s="3" t="n">
        <f aca="false">SUMIFS(Lançamentos!$H$2:$H$607,Lançamentos!$A$2:$A$607,"&gt;="&amp;$F$5,Lançamentos!$A$2:$A$607,"&lt;="&amp;$H$5,Lançamentos!$C$2:$C$607,$T44,Lançamentos!$D$2:$D$607,$AG44,Lançamentos!$B$2:$B$607,"Recebido no 2008")</f>
        <v>0</v>
      </c>
      <c r="W44" s="3" t="n">
        <f aca="false">SUMIFS(Lançamentos!$I$2:$I$607,Lançamentos!$A$2:$A$607,"&gt;="&amp;$F$5,Lançamentos!$A$2:$A$607,"&lt;="&amp;$H$5,Lançamentos!$C$2:$C$607,$T44,Lançamentos!$D$2:$D$607,$AG44)</f>
        <v>30</v>
      </c>
      <c r="X44" s="3" t="n">
        <f aca="false">SUMIFS(Lançamentos!$J$2:$J$607,Lançamentos!$A$2:$A$607,"&gt;="&amp;$F$5,Lançamentos!$A$2:$A$607,"&lt;="&amp;$H$5,Lançamentos!$C$2:$C$607,$T44,Lançamentos!$D$2:$D$607,$AG44)</f>
        <v>0</v>
      </c>
      <c r="Y44" s="3" t="n">
        <f aca="false">SUMIFS('Estoque físico'!$J$2:$J$229,'Estoque físico'!$A$2:$A$229,$T44,'Estoque físico'!$B$2:$B$229,$AG44)</f>
        <v>4.219</v>
      </c>
      <c r="Z44" s="3" t="n">
        <f aca="false">ROUND(Y44-(W44-X44),3)</f>
        <v>-25.781</v>
      </c>
      <c r="AA44" s="3" t="n">
        <f aca="false">IF(AND(U44=$R$3,OR($R$1="*",T44=$R$1),OR($R$2="*",AG44=$R$2),ABS(V44)+ABS(W44)+ABS(X44)+ABS(Y44)&gt;0),1,0)</f>
        <v>0</v>
      </c>
      <c r="AB44" s="0" t="str">
        <f aca="false">IF(AA44=1,SUM(AA$40:AA44),"")</f>
        <v/>
      </c>
      <c r="AC44" s="0" t="str">
        <f aca="false">IF(ABS(Z44)&lt;=$R$5,"Confere",IF(Z44&gt;0,"Sobrando","Faltando"))</f>
        <v>Faltando</v>
      </c>
      <c r="AD44" s="3" t="n">
        <f aca="false">COUNTIFS(Lançamentos!$A$2:$A$607,"&gt;="&amp;$F$5,Lançamentos!$A$2:$A$607,"&lt;="&amp;$H$5,Lançamentos!$C$2:$C$607,$T44,Lançamentos!$D$2:$D$607,$AG44,Lançamentos!$B$2:$B$607,$R$4,Lançamentos!$G$2:$G$607,U44)</f>
        <v>1</v>
      </c>
      <c r="AE44" s="3" t="s">
        <v>137</v>
      </c>
      <c r="AF44" s="3" t="n">
        <f aca="false">IF(AND(AA44=1,AC44&lt;&gt;"Confere"),ABS(Z44)+ROW()/10000000,0)</f>
        <v>0</v>
      </c>
      <c r="AG44" s="3" t="s">
        <v>76</v>
      </c>
      <c r="AH44" s="3" t="n">
        <f aca="false">LARGE($AF$40:$AF$133,5)</f>
        <v>1268.4000049</v>
      </c>
      <c r="AI44" s="3" t="n">
        <f aca="false">IF(AH44&gt;0,MATCH(AH44,$AF$40:$AF$133,0),"")</f>
        <v>10</v>
      </c>
      <c r="AJ44" s="0" t="str">
        <f aca="false">IF(AI44="","",INDEX($T$40:$T$133,AI44)&amp;" · "&amp;INDEX($AG$40:$AG$133,AI44))</f>
        <v>805-BR-D94 · 251633359</v>
      </c>
      <c r="AK44" s="3" t="n">
        <f aca="false">IF(AI44="",0,MAX(INDEX($Z$40:$Z$133,AI44),0))</f>
        <v>1268.4</v>
      </c>
      <c r="AL44" s="3" t="n">
        <f aca="false">IF(AI44="",0,MIN(INDEX($Z$40:$Z$133,AI44),0))</f>
        <v>0</v>
      </c>
      <c r="AN44" s="3" t="s">
        <v>138</v>
      </c>
      <c r="AO44" s="43" t="n">
        <v>46278</v>
      </c>
      <c r="AP44" s="3" t="n">
        <f aca="false">IF(AND(AO44&gt;=$F$5,AO44&lt;=$H$5),SUMIFS(Lançamentos!$I$2:$I$607,Lançamentos!$A$2:$A$607,$AO44,Lançamentos!$C$2:$C$607,$R$1,Lançamentos!$D$2:$D$607,$R$2,Lançamentos!$G$2:$G$607,$R$3,Lançamentos!$B$2:$B$607,$R$4),0)</f>
        <v>0</v>
      </c>
      <c r="AQ44" s="3" t="n">
        <f aca="false">IF(AND(AO44&gt;=$F$5,AO44&lt;=$H$5),-SUMIFS(Lançamentos!$J$2:$J$607,Lançamentos!$A$2:$A$607,$AO44,Lançamentos!$C$2:$C$607,$R$1,Lançamentos!$D$2:$D$607,$R$2,Lançamentos!$G$2:$G$607,$R$3,Lançamentos!$B$2:$B$607,$R$4),0)</f>
        <v>-410.8</v>
      </c>
      <c r="AS44" s="3" t="s">
        <v>139</v>
      </c>
      <c r="AV44" s="0" t="str">
        <f aca="false">IFERROR(INDEX($AX$1:$AX$94,MATCH(43,$AY$1:$AY$94,0)),"")</f>
        <v>260720939</v>
      </c>
      <c r="AW44" s="3" t="s">
        <v>73</v>
      </c>
      <c r="AX44" s="3" t="s">
        <v>140</v>
      </c>
      <c r="AY44" s="3" t="n">
        <f aca="false">IF(OR($A$5="Todos",AW44=$A$5),MAX(AY$1:AY43)+1,0)</f>
        <v>44</v>
      </c>
    </row>
    <row r="45" customFormat="false" ht="15" hidden="false" customHeight="false" outlineLevel="0" collapsed="false">
      <c r="A45" s="36" t="str">
        <f aca="false">IF(IFERROR(MATCH(12,$AB$40:$AB$133,0),0)=0,"",INDEX($T$40:$T$133,IFERROR(MATCH(12,$AB$40:$AB$133,0),0)))</f>
        <v>70-30-38-BR-25A</v>
      </c>
      <c r="B45" s="36" t="str">
        <f aca="false">IF(IFERROR(MATCH(12,$AB$40:$AB$133,0),0)=0,"",INDEX($AG$40:$AG$133,IFERROR(MATCH(12,$AB$40:$AB$133,0),0)))</f>
        <v>260370301</v>
      </c>
      <c r="C45" s="37" t="str">
        <f aca="false">IF(IFERROR(MATCH(12,$AB$40:$AB$133,0),0)=0,"",INDEX($U$40:$U$133,IFERROR(MATCH(12,$AB$40:$AB$133,0),0)))</f>
        <v>KG</v>
      </c>
      <c r="D45" s="38" t="n">
        <f aca="false">IF(IFERROR(MATCH(12,$AB$40:$AB$133,0),0)=0,"",INDEX($V$40:$V$133,IFERROR(MATCH(12,$AB$40:$AB$133,0),0)))</f>
        <v>6633</v>
      </c>
      <c r="E45" s="38" t="n">
        <f aca="false">IF(IFERROR(MATCH(12,$AB$40:$AB$133,0),0)=0,"",INDEX($W$40:$W$133,IFERROR(MATCH(12,$AB$40:$AB$133,0),0)))</f>
        <v>603</v>
      </c>
      <c r="F45" s="38" t="n">
        <f aca="false">IF(IFERROR(MATCH(12,$AB$40:$AB$133,0),0)=0,"",INDEX($X$40:$X$133,IFERROR(MATCH(12,$AB$40:$AB$133,0),0)))</f>
        <v>321.6</v>
      </c>
      <c r="G45" s="38" t="n">
        <f aca="false">IF(A45="","",E45-F45)</f>
        <v>281.4</v>
      </c>
      <c r="H45" s="38" t="n">
        <f aca="false">IF(IFERROR(MATCH(12,$AB$40:$AB$133,0),0)=0,"",INDEX($Y$40:$Y$133,IFERROR(MATCH(12,$AB$40:$AB$133,0),0)))</f>
        <v>623.1</v>
      </c>
      <c r="I45" s="39" t="n">
        <f aca="false">IF(IFERROR(MATCH(12,$AB$40:$AB$133,0),0)=0,"",INDEX($Z$40:$Z$133,IFERROR(MATCH(12,$AB$40:$AB$133,0),0)))</f>
        <v>341.7</v>
      </c>
      <c r="J45" s="40" t="str">
        <f aca="false">IF(IFERROR(MATCH(12,$AB$40:$AB$133,0),0)=0,"",INDEX($AC$40:$AC$133,IFERROR(MATCH(12,$AB$40:$AB$133,0),0)))</f>
        <v>Sobrando</v>
      </c>
      <c r="K45" s="41" t="n">
        <f aca="false">IF(IFERROR(MATCH(12,$AB$40:$AB$133,0),0)=0,"",INDEX($AD$40:$AD$133,IFERROR(MATCH(12,$AB$40:$AB$133,0),0)))</f>
        <v>13</v>
      </c>
      <c r="L45" s="42" t="str">
        <f aca="false">IF(IFERROR(MATCH(12,$AB$40:$AB$133,0),0)=0,"",INDEX($AE$40:$AE$133,IFERROR(MATCH(12,$AB$40:$AB$133,0),0))&amp;"")</f>
        <v>CA MOEDAS 2,01KG/UC 10UC/CX 30CX/PAL</v>
      </c>
      <c r="T45" s="3" t="s">
        <v>29</v>
      </c>
      <c r="U45" s="3" t="s">
        <v>4</v>
      </c>
      <c r="V45" s="3" t="n">
        <f aca="false">SUMIFS(Lançamentos!$H$2:$H$607,Lançamentos!$A$2:$A$607,"&gt;="&amp;$F$5,Lançamentos!$A$2:$A$607,"&lt;="&amp;$H$5,Lançamentos!$C$2:$C$607,$T45,Lançamentos!$D$2:$D$607,$AG45,Lançamentos!$B$2:$B$607,"Recebido no 2008")</f>
        <v>0</v>
      </c>
      <c r="W45" s="3" t="n">
        <f aca="false">SUMIFS(Lançamentos!$I$2:$I$607,Lançamentos!$A$2:$A$607,"&gt;="&amp;$F$5,Lançamentos!$A$2:$A$607,"&lt;="&amp;$H$5,Lançamentos!$C$2:$C$607,$T45,Lançamentos!$D$2:$D$607,$AG45)</f>
        <v>2.8</v>
      </c>
      <c r="X45" s="3" t="n">
        <f aca="false">SUMIFS(Lançamentos!$J$2:$J$607,Lançamentos!$A$2:$A$607,"&gt;="&amp;$F$5,Lançamentos!$A$2:$A$607,"&lt;="&amp;$H$5,Lançamentos!$C$2:$C$607,$T45,Lançamentos!$D$2:$D$607,$AG45)</f>
        <v>226.8</v>
      </c>
      <c r="Y45" s="3" t="n">
        <f aca="false">SUMIFS('Estoque físico'!$J$2:$J$229,'Estoque físico'!$A$2:$A$229,$T45,'Estoque físico'!$B$2:$B$229,$AG45)</f>
        <v>5513.2</v>
      </c>
      <c r="Z45" s="3" t="n">
        <f aca="false">ROUND(Y45-(W45-X45),3)</f>
        <v>5737.2</v>
      </c>
      <c r="AA45" s="3" t="n">
        <f aca="false">IF(AND(U45=$R$3,OR($R$1="*",T45=$R$1),OR($R$2="*",AG45=$R$2),ABS(V45)+ABS(W45)+ABS(X45)+ABS(Y45)&gt;0),1,0)</f>
        <v>1</v>
      </c>
      <c r="AB45" s="3" t="n">
        <f aca="false">IF(AA45=1,SUM(AA$40:AA45),"")</f>
        <v>4</v>
      </c>
      <c r="AC45" s="0" t="str">
        <f aca="false">IF(ABS(Z45)&lt;=$R$5,"Confere",IF(Z45&gt;0,"Sobrando","Faltando"))</f>
        <v>Sobrando</v>
      </c>
      <c r="AD45" s="3" t="n">
        <f aca="false">COUNTIFS(Lançamentos!$A$2:$A$607,"&gt;="&amp;$F$5,Lançamentos!$A$2:$A$607,"&lt;="&amp;$H$5,Lançamentos!$C$2:$C$607,$T45,Lançamentos!$D$2:$D$607,$AG45,Lançamentos!$B$2:$B$607,$R$4,Lançamentos!$G$2:$G$607,U45)</f>
        <v>17</v>
      </c>
      <c r="AE45" s="3" t="s">
        <v>141</v>
      </c>
      <c r="AF45" s="3" t="n">
        <f aca="false">IF(AND(AA45=1,AC45&lt;&gt;"Confere"),ABS(Z45)+ROW()/10000000,0)</f>
        <v>5737.2000045</v>
      </c>
      <c r="AG45" s="3" t="s">
        <v>34</v>
      </c>
      <c r="AH45" s="3" t="n">
        <f aca="false">LARGE($AF$40:$AF$133,6)</f>
        <v>1083.390005</v>
      </c>
      <c r="AI45" s="3" t="n">
        <f aca="false">IF(AH45&gt;0,MATCH(AH45,$AF$40:$AF$133,0),"")</f>
        <v>11</v>
      </c>
      <c r="AJ45" s="0" t="str">
        <f aca="false">IF(AI45="","",INDEX($T$40:$T$133,AI45)&amp;" · "&amp;INDEX($AG$40:$AG$133,AI45))</f>
        <v>W3-BR-25A · 253540301</v>
      </c>
      <c r="AK45" s="3" t="n">
        <f aca="false">IF(AI45="",0,MAX(INDEX($Z$40:$Z$133,AI45),0))</f>
        <v>1083.39</v>
      </c>
      <c r="AL45" s="3" t="n">
        <f aca="false">IF(AI45="",0,MIN(INDEX($Z$40:$Z$133,AI45),0))</f>
        <v>0</v>
      </c>
      <c r="AN45" s="3" t="s">
        <v>142</v>
      </c>
      <c r="AO45" s="43" t="n">
        <v>46279</v>
      </c>
      <c r="AP45" s="3" t="n">
        <f aca="false">IF(AND(AO45&gt;=$F$5,AO45&lt;=$H$5),SUMIFS(Lançamentos!$I$2:$I$607,Lançamentos!$A$2:$A$607,$AO45,Lançamentos!$C$2:$C$607,$R$1,Lançamentos!$D$2:$D$607,$R$2,Lançamentos!$G$2:$G$607,$R$3,Lançamentos!$B$2:$B$607,$R$4),0)</f>
        <v>0</v>
      </c>
      <c r="AQ45" s="3" t="n">
        <f aca="false">IF(AND(AO45&gt;=$F$5,AO45&lt;=$H$5),-SUMIFS(Lançamentos!$J$2:$J$607,Lançamentos!$A$2:$A$607,$AO45,Lançamentos!$C$2:$C$607,$R$1,Lançamentos!$D$2:$D$607,$R$2,Lançamentos!$G$2:$G$607,$R$3,Lançamentos!$B$2:$B$607,$R$4),0)</f>
        <v>-163</v>
      </c>
      <c r="AS45" s="3" t="s">
        <v>131</v>
      </c>
      <c r="AV45" s="0" t="str">
        <f aca="false">IFERROR(INDEX($AX$1:$AX$94,MATCH(44,$AY$1:$AY$94,0)),"")</f>
        <v>260536201</v>
      </c>
      <c r="AW45" s="3" t="s">
        <v>75</v>
      </c>
      <c r="AX45" s="3" t="s">
        <v>143</v>
      </c>
      <c r="AY45" s="3" t="n">
        <f aca="false">IF(OR($A$5="Todos",AW45=$A$5),MAX(AY$1:AY44)+1,0)</f>
        <v>45</v>
      </c>
    </row>
    <row r="46" customFormat="false" ht="15" hidden="false" customHeight="false" outlineLevel="0" collapsed="false">
      <c r="A46" s="36" t="str">
        <f aca="false">IF(IFERROR(MATCH(13,$AB$40:$AB$133,0),0)=0,"",INDEX($T$40:$T$133,IFERROR(MATCH(13,$AB$40:$AB$133,0),0)))</f>
        <v>811-BR-25A</v>
      </c>
      <c r="B46" s="36" t="str">
        <f aca="false">IF(IFERROR(MATCH(13,$AB$40:$AB$133,0),0)=0,"",INDEX($AG$40:$AG$133,IFERROR(MATCH(13,$AB$40:$AB$133,0),0)))</f>
        <v>250880301</v>
      </c>
      <c r="C46" s="37" t="str">
        <f aca="false">IF(IFERROR(MATCH(13,$AB$40:$AB$133,0),0)=0,"",INDEX($U$40:$U$133,IFERROR(MATCH(13,$AB$40:$AB$133,0),0)))</f>
        <v>KG</v>
      </c>
      <c r="D46" s="38" t="n">
        <f aca="false">IF(IFERROR(MATCH(13,$AB$40:$AB$133,0),0)=0,"",INDEX($V$40:$V$133,IFERROR(MATCH(13,$AB$40:$AB$133,0),0)))</f>
        <v>0</v>
      </c>
      <c r="E46" s="38" t="n">
        <f aca="false">IF(IFERROR(MATCH(13,$AB$40:$AB$133,0),0)=0,"",INDEX($W$40:$W$133,IFERROR(MATCH(13,$AB$40:$AB$133,0),0)))</f>
        <v>180.9</v>
      </c>
      <c r="F46" s="38" t="n">
        <f aca="false">IF(IFERROR(MATCH(13,$AB$40:$AB$133,0),0)=0,"",INDEX($X$40:$X$133,IFERROR(MATCH(13,$AB$40:$AB$133,0),0)))</f>
        <v>180.9</v>
      </c>
      <c r="G46" s="38" t="n">
        <f aca="false">IF(A46="","",E46-F46)</f>
        <v>0</v>
      </c>
      <c r="H46" s="38" t="n">
        <f aca="false">IF(IFERROR(MATCH(13,$AB$40:$AB$133,0),0)=0,"",INDEX($Y$40:$Y$133,IFERROR(MATCH(13,$AB$40:$AB$133,0),0)))</f>
        <v>273.36</v>
      </c>
      <c r="I46" s="39" t="n">
        <f aca="false">IF(IFERROR(MATCH(13,$AB$40:$AB$133,0),0)=0,"",INDEX($Z$40:$Z$133,IFERROR(MATCH(13,$AB$40:$AB$133,0),0)))</f>
        <v>273.36</v>
      </c>
      <c r="J46" s="40" t="str">
        <f aca="false">IF(IFERROR(MATCH(13,$AB$40:$AB$133,0),0)=0,"",INDEX($AC$40:$AC$133,IFERROR(MATCH(13,$AB$40:$AB$133,0),0)))</f>
        <v>Sobrando</v>
      </c>
      <c r="K46" s="41" t="n">
        <f aca="false">IF(IFERROR(MATCH(13,$AB$40:$AB$133,0),0)=0,"",INDEX($AD$40:$AD$133,IFERROR(MATCH(13,$AB$40:$AB$133,0),0)))</f>
        <v>5</v>
      </c>
      <c r="L46" s="42" t="str">
        <f aca="false">IF(IFERROR(MATCH(13,$AB$40:$AB$133,0),0)=0,"",INDEX($AE$40:$AE$133,IFERROR(MATCH(13,$AB$40:$AB$133,0),0))&amp;"")</f>
        <v>CA MOEDAS 2,01KG/UC 10UC/CX 30CX/PAL</v>
      </c>
      <c r="T46" s="3" t="s">
        <v>81</v>
      </c>
      <c r="U46" s="3" t="s">
        <v>4</v>
      </c>
      <c r="V46" s="3" t="n">
        <f aca="false">SUMIFS(Lançamentos!$H$2:$H$607,Lançamentos!$A$2:$A$607,"&gt;="&amp;$F$5,Lançamentos!$A$2:$A$607,"&lt;="&amp;$H$5,Lançamentos!$C$2:$C$607,$T46,Lançamentos!$D$2:$D$607,$AG46,Lançamentos!$B$2:$B$607,"Recebido no 2008")</f>
        <v>0</v>
      </c>
      <c r="W46" s="3" t="n">
        <f aca="false">SUMIFS(Lançamentos!$I$2:$I$607,Lançamentos!$A$2:$A$607,"&gt;="&amp;$F$5,Lançamentos!$A$2:$A$607,"&lt;="&amp;$H$5,Lançamentos!$C$2:$C$607,$T46,Lançamentos!$D$2:$D$607,$AG46)</f>
        <v>966</v>
      </c>
      <c r="X46" s="3" t="n">
        <f aca="false">SUMIFS(Lançamentos!$J$2:$J$607,Lançamentos!$A$2:$A$607,"&gt;="&amp;$F$5,Lançamentos!$A$2:$A$607,"&lt;="&amp;$H$5,Lançamentos!$C$2:$C$607,$T46,Lançamentos!$D$2:$D$607,$AG46)</f>
        <v>906</v>
      </c>
      <c r="Y46" s="3" t="n">
        <f aca="false">SUMIFS('Estoque físico'!$J$2:$J$229,'Estoque físico'!$A$2:$A$229,$T46,'Estoque físico'!$B$2:$B$229,$AG46)</f>
        <v>3754.998</v>
      </c>
      <c r="Z46" s="3" t="n">
        <f aca="false">ROUND(Y46-(W46-X46),3)</f>
        <v>3694.998</v>
      </c>
      <c r="AA46" s="3" t="n">
        <f aca="false">IF(AND(U46=$R$3,OR($R$1="*",T46=$R$1),OR($R$2="*",AG46=$R$2),ABS(V46)+ABS(W46)+ABS(X46)+ABS(Y46)&gt;0),1,0)</f>
        <v>1</v>
      </c>
      <c r="AB46" s="3" t="n">
        <f aca="false">IF(AA46=1,SUM(AA$40:AA46),"")</f>
        <v>5</v>
      </c>
      <c r="AC46" s="0" t="str">
        <f aca="false">IF(ABS(Z46)&lt;=$R$5,"Confere",IF(Z46&gt;0,"Sobrando","Faltando"))</f>
        <v>Sobrando</v>
      </c>
      <c r="AD46" s="3" t="n">
        <f aca="false">COUNTIFS(Lançamentos!$A$2:$A$607,"&gt;="&amp;$F$5,Lançamentos!$A$2:$A$607,"&lt;="&amp;$H$5,Lançamentos!$C$2:$C$607,$T46,Lançamentos!$D$2:$D$607,$AG46,Lançamentos!$B$2:$B$607,$R$4,Lançamentos!$G$2:$G$607,U46)</f>
        <v>30</v>
      </c>
      <c r="AE46" s="3" t="s">
        <v>144</v>
      </c>
      <c r="AF46" s="3" t="n">
        <f aca="false">IF(AND(AA46=1,AC46&lt;&gt;"Confere"),ABS(Z46)+ROW()/10000000,0)</f>
        <v>3694.9980046</v>
      </c>
      <c r="AG46" s="3" t="s">
        <v>145</v>
      </c>
      <c r="AH46" s="3" t="n">
        <f aca="false">LARGE($AF$40:$AF$133,7)</f>
        <v>924.6000051</v>
      </c>
      <c r="AI46" s="3" t="n">
        <f aca="false">IF(AH46&gt;0,MATCH(AH46,$AF$40:$AF$133,0),"")</f>
        <v>12</v>
      </c>
      <c r="AJ46" s="0" t="str">
        <f aca="false">IF(AI46="","",INDEX($T$40:$T$133,AI46)&amp;" · "&amp;INDEX($AG$40:$AG$133,AI46))</f>
        <v>CW2-BR-25A · 253470301</v>
      </c>
      <c r="AK46" s="3" t="n">
        <f aca="false">IF(AI46="",0,MAX(INDEX($Z$40:$Z$133,AI46),0))</f>
        <v>924.6</v>
      </c>
      <c r="AL46" s="3" t="n">
        <f aca="false">IF(AI46="",0,MIN(INDEX($Z$40:$Z$133,AI46),0))</f>
        <v>0</v>
      </c>
      <c r="AN46" s="3" t="s">
        <v>146</v>
      </c>
      <c r="AO46" s="43" t="n">
        <v>46280</v>
      </c>
      <c r="AP46" s="3" t="n">
        <f aca="false">IF(AND(AO46&gt;=$F$5,AO46&lt;=$H$5),SUMIFS(Lançamentos!$I$2:$I$607,Lançamentos!$A$2:$A$607,$AO46,Lançamentos!$C$2:$C$607,$R$1,Lançamentos!$D$2:$D$607,$R$2,Lançamentos!$G$2:$G$607,$R$3,Lançamentos!$B$2:$B$607,$R$4),0)</f>
        <v>0</v>
      </c>
      <c r="AQ46" s="3" t="n">
        <f aca="false">IF(AND(AO46&gt;=$F$5,AO46&lt;=$H$5),-SUMIFS(Lançamentos!$J$2:$J$607,Lançamentos!$A$2:$A$607,$AO46,Lançamentos!$C$2:$C$607,$R$1,Lançamentos!$D$2:$D$607,$R$2,Lançamentos!$G$2:$G$607,$R$3,Lançamentos!$B$2:$B$607,$R$4),0)</f>
        <v>-340</v>
      </c>
      <c r="AS46" s="3" t="s">
        <v>147</v>
      </c>
      <c r="AV46" s="0" t="str">
        <f aca="false">IFERROR(INDEX($AX$1:$AX$94,MATCH(45,$AY$1:$AY$94,0)),"")</f>
        <v>260701069</v>
      </c>
      <c r="AW46" s="3" t="s">
        <v>77</v>
      </c>
      <c r="AX46" s="3" t="s">
        <v>148</v>
      </c>
      <c r="AY46" s="3" t="n">
        <f aca="false">IF(OR($A$5="Todos",AW46=$A$5),MAX(AY$1:AY45)+1,0)</f>
        <v>46</v>
      </c>
    </row>
    <row r="47" customFormat="false" ht="15" hidden="false" customHeight="false" outlineLevel="0" collapsed="false">
      <c r="A47" s="36" t="str">
        <f aca="false">IF(IFERROR(MATCH(14,$AB$40:$AB$133,0),0)=0,"",INDEX($T$40:$T$133,IFERROR(MATCH(14,$AB$40:$AB$133,0),0)))</f>
        <v>CHM-BS-9U15-E0-07B</v>
      </c>
      <c r="B47" s="36" t="str">
        <f aca="false">IF(IFERROR(MATCH(14,$AB$40:$AB$133,0),0)=0,"",INDEX($AG$40:$AG$133,IFERROR(MATCH(14,$AB$40:$AB$133,0),0)))</f>
        <v>260701069</v>
      </c>
      <c r="C47" s="37" t="str">
        <f aca="false">IF(IFERROR(MATCH(14,$AB$40:$AB$133,0),0)=0,"",INDEX($U$40:$U$133,IFERROR(MATCH(14,$AB$40:$AB$133,0),0)))</f>
        <v>KG</v>
      </c>
      <c r="D47" s="38" t="n">
        <f aca="false">IF(IFERROR(MATCH(14,$AB$40:$AB$133,0),0)=0,"",INDEX($V$40:$V$133,IFERROR(MATCH(14,$AB$40:$AB$133,0),0)))</f>
        <v>1920</v>
      </c>
      <c r="E47" s="38" t="n">
        <f aca="false">IF(IFERROR(MATCH(14,$AB$40:$AB$133,0),0)=0,"",INDEX($W$40:$W$133,IFERROR(MATCH(14,$AB$40:$AB$133,0),0)))</f>
        <v>960</v>
      </c>
      <c r="F47" s="38" t="n">
        <f aca="false">IF(IFERROR(MATCH(14,$AB$40:$AB$133,0),0)=0,"",INDEX($X$40:$X$133,IFERROR(MATCH(14,$AB$40:$AB$133,0),0)))</f>
        <v>176</v>
      </c>
      <c r="G47" s="38" t="n">
        <f aca="false">IF(A47="","",E47-F47)</f>
        <v>784</v>
      </c>
      <c r="H47" s="38" t="n">
        <f aca="false">IF(IFERROR(MATCH(14,$AB$40:$AB$133,0),0)=0,"",INDEX($Y$40:$Y$133,IFERROR(MATCH(14,$AB$40:$AB$133,0),0)))</f>
        <v>1032</v>
      </c>
      <c r="I47" s="39" t="n">
        <f aca="false">IF(IFERROR(MATCH(14,$AB$40:$AB$133,0),0)=0,"",INDEX($Z$40:$Z$133,IFERROR(MATCH(14,$AB$40:$AB$133,0),0)))</f>
        <v>248</v>
      </c>
      <c r="J47" s="40" t="str">
        <f aca="false">IF(IFERROR(MATCH(14,$AB$40:$AB$133,0),0)=0,"",INDEX($AC$40:$AC$133,IFERROR(MATCH(14,$AB$40:$AB$133,0),0)))</f>
        <v>Sobrando</v>
      </c>
      <c r="K47" s="41" t="n">
        <f aca="false">IF(IFERROR(MATCH(14,$AB$40:$AB$133,0),0)=0,"",INDEX($AD$40:$AD$133,IFERROR(MATCH(14,$AB$40:$AB$133,0),0)))</f>
        <v>20</v>
      </c>
      <c r="L47" s="42" t="str">
        <f aca="false">IF(IFERROR(MATCH(14,$AB$40:$AB$133,0),0)=0,"",INDEX($AE$40:$AE$133,IFERROR(MATCH(14,$AB$40:$AB$133,0),0))&amp;"")</f>
        <v>CA MILK BLOSSOMS BLOSSOMS 1KG/UC 4UC/BOX</v>
      </c>
      <c r="T47" s="3" t="s">
        <v>61</v>
      </c>
      <c r="U47" s="3" t="s">
        <v>4</v>
      </c>
      <c r="V47" s="3" t="n">
        <f aca="false">SUMIFS(Lançamentos!$H$2:$H$607,Lançamentos!$A$2:$A$607,"&gt;="&amp;$F$5,Lançamentos!$A$2:$A$607,"&lt;="&amp;$H$5,Lançamentos!$C$2:$C$607,$T47,Lançamentos!$D$2:$D$607,$AG47,Lançamentos!$B$2:$B$607,"Recebido no 2008")</f>
        <v>0</v>
      </c>
      <c r="W47" s="3" t="n">
        <f aca="false">SUMIFS(Lançamentos!$I$2:$I$607,Lançamentos!$A$2:$A$607,"&gt;="&amp;$F$5,Lançamentos!$A$2:$A$607,"&lt;="&amp;$H$5,Lançamentos!$C$2:$C$607,$T47,Lançamentos!$D$2:$D$607,$AG47)</f>
        <v>240</v>
      </c>
      <c r="X47" s="3" t="n">
        <f aca="false">SUMIFS(Lançamentos!$J$2:$J$607,Lançamentos!$A$2:$A$607,"&gt;="&amp;$F$5,Lançamentos!$A$2:$A$607,"&lt;="&amp;$H$5,Lançamentos!$C$2:$C$607,$T47,Lançamentos!$D$2:$D$607,$AG47)</f>
        <v>6</v>
      </c>
      <c r="Y47" s="3" t="n">
        <f aca="false">SUMIFS('Estoque físico'!$J$2:$J$229,'Estoque físico'!$A$2:$A$229,$T47,'Estoque físico'!$B$2:$B$229,$AG47)</f>
        <v>3432</v>
      </c>
      <c r="Z47" s="3" t="n">
        <f aca="false">ROUND(Y47-(W47-X47),3)</f>
        <v>3198</v>
      </c>
      <c r="AA47" s="3" t="n">
        <f aca="false">IF(AND(U47=$R$3,OR($R$1="*",T47=$R$1),OR($R$2="*",AG47=$R$2),ABS(V47)+ABS(W47)+ABS(X47)+ABS(Y47)&gt;0),1,0)</f>
        <v>1</v>
      </c>
      <c r="AB47" s="3" t="n">
        <f aca="false">IF(AA47=1,SUM(AA$40:AA47),"")</f>
        <v>6</v>
      </c>
      <c r="AC47" s="0" t="str">
        <f aca="false">IF(ABS(Z47)&lt;=$R$5,"Confere",IF(Z47&gt;0,"Sobrando","Faltando"))</f>
        <v>Sobrando</v>
      </c>
      <c r="AD47" s="3" t="n">
        <f aca="false">COUNTIFS(Lançamentos!$A$2:$A$607,"&gt;="&amp;$F$5,Lançamentos!$A$2:$A$607,"&lt;="&amp;$H$5,Lançamentos!$C$2:$C$607,$T47,Lançamentos!$D$2:$D$607,$AG47,Lançamentos!$B$2:$B$607,$R$4,Lançamentos!$G$2:$G$607,U47)</f>
        <v>2</v>
      </c>
      <c r="AE47" s="3" t="s">
        <v>149</v>
      </c>
      <c r="AF47" s="3" t="n">
        <f aca="false">IF(AND(AA47=1,AC47&lt;&gt;"Confere"),ABS(Z47)+ROW()/10000000,0)</f>
        <v>3198.0000047</v>
      </c>
      <c r="AG47" s="3" t="s">
        <v>107</v>
      </c>
      <c r="AH47" s="3" t="n">
        <f aca="false">LARGE($AF$40:$AF$133,8)</f>
        <v>540.0000052</v>
      </c>
      <c r="AI47" s="3" t="n">
        <f aca="false">IF(AH47&gt;0,MATCH(AH47,$AF$40:$AF$133,0),"")</f>
        <v>13</v>
      </c>
      <c r="AJ47" s="0" t="str">
        <f aca="false">IF(AI47="","",INDEX($T$40:$T$133,AI47)&amp;" · "&amp;INDEX($AG$40:$AG$133,AI47))</f>
        <v>CHP-20SICHP-760 · 252843369</v>
      </c>
      <c r="AK47" s="3" t="n">
        <f aca="false">IF(AI47="",0,MAX(INDEX($Z$40:$Z$133,AI47),0))</f>
        <v>540</v>
      </c>
      <c r="AL47" s="3" t="n">
        <f aca="false">IF(AI47="",0,MIN(INDEX($Z$40:$Z$133,AI47),0))</f>
        <v>0</v>
      </c>
      <c r="AN47" s="3" t="s">
        <v>150</v>
      </c>
      <c r="AO47" s="43" t="n">
        <v>46281</v>
      </c>
      <c r="AP47" s="3" t="n">
        <f aca="false">IF(AND(AO47&gt;=$F$5,AO47&lt;=$H$5),SUMIFS(Lançamentos!$I$2:$I$607,Lançamentos!$A$2:$A$607,$AO47,Lançamentos!$C$2:$C$607,$R$1,Lançamentos!$D$2:$D$607,$R$2,Lançamentos!$G$2:$G$607,$R$3,Lançamentos!$B$2:$B$607,$R$4),0)</f>
        <v>0</v>
      </c>
      <c r="AQ47" s="3" t="n">
        <f aca="false">IF(AND(AO47&gt;=$F$5,AO47&lt;=$H$5),-SUMIFS(Lançamentos!$J$2:$J$607,Lançamentos!$A$2:$A$607,$AO47,Lançamentos!$C$2:$C$607,$R$1,Lançamentos!$D$2:$D$607,$R$2,Lançamentos!$G$2:$G$607,$R$3,Lançamentos!$B$2:$B$607,$R$4),0)</f>
        <v>-94.6</v>
      </c>
      <c r="AS47" s="3" t="s">
        <v>151</v>
      </c>
      <c r="AV47" s="0" t="str">
        <f aca="false">IFERROR(INDEX($AX$1:$AX$94,MATCH(46,$AY$1:$AY$94,0)),"")</f>
        <v>2528749307</v>
      </c>
      <c r="AW47" s="3" t="s">
        <v>79</v>
      </c>
      <c r="AX47" s="3" t="s">
        <v>152</v>
      </c>
      <c r="AY47" s="3" t="n">
        <f aca="false">IF(OR($A$5="Todos",AW47=$A$5),MAX(AY$1:AY46)+1,0)</f>
        <v>47</v>
      </c>
    </row>
    <row r="48" customFormat="false" ht="15" hidden="false" customHeight="false" outlineLevel="0" collapsed="false">
      <c r="A48" s="36" t="str">
        <f aca="false">IF(IFERROR(MATCH(15,$AB$40:$AB$133,0),0)=0,"",INDEX($T$40:$T$133,IFERROR(MATCH(15,$AB$40:$AB$133,0),0)))</f>
        <v>70-30-38-BR-D94</v>
      </c>
      <c r="B48" s="36" t="str">
        <f aca="false">IF(IFERROR(MATCH(15,$AB$40:$AB$133,0),0)=0,"",INDEX($AG$40:$AG$133,IFERROR(MATCH(15,$AB$40:$AB$133,0),0)))</f>
        <v>253213449</v>
      </c>
      <c r="C48" s="37" t="str">
        <f aca="false">IF(IFERROR(MATCH(15,$AB$40:$AB$133,0),0)=0,"",INDEX($U$40:$U$133,IFERROR(MATCH(15,$AB$40:$AB$133,0),0)))</f>
        <v>KG</v>
      </c>
      <c r="D48" s="38" t="n">
        <f aca="false">IF(IFERROR(MATCH(15,$AB$40:$AB$133,0),0)=0,"",INDEX($V$40:$V$133,IFERROR(MATCH(15,$AB$40:$AB$133,0),0)))</f>
        <v>0</v>
      </c>
      <c r="E48" s="38" t="n">
        <f aca="false">IF(IFERROR(MATCH(15,$AB$40:$AB$133,0),0)=0,"",INDEX($W$40:$W$133,IFERROR(MATCH(15,$AB$40:$AB$133,0),0)))</f>
        <v>940.8</v>
      </c>
      <c r="F48" s="38" t="n">
        <f aca="false">IF(IFERROR(MATCH(15,$AB$40:$AB$133,0),0)=0,"",INDEX($X$40:$X$133,IFERROR(MATCH(15,$AB$40:$AB$133,0),0)))</f>
        <v>781.2</v>
      </c>
      <c r="G48" s="38" t="n">
        <f aca="false">IF(A48="","",E48-F48)</f>
        <v>159.6</v>
      </c>
      <c r="H48" s="38" t="n">
        <f aca="false">IF(IFERROR(MATCH(15,$AB$40:$AB$133,0),0)=0,"",INDEX($Y$40:$Y$133,IFERROR(MATCH(15,$AB$40:$AB$133,0),0)))</f>
        <v>333.2</v>
      </c>
      <c r="I48" s="39" t="n">
        <f aca="false">IF(IFERROR(MATCH(15,$AB$40:$AB$133,0),0)=0,"",INDEX($Z$40:$Z$133,IFERROR(MATCH(15,$AB$40:$AB$133,0),0)))</f>
        <v>173.6</v>
      </c>
      <c r="J48" s="40" t="str">
        <f aca="false">IF(IFERROR(MATCH(15,$AB$40:$AB$133,0),0)=0,"",INDEX($AC$40:$AC$133,IFERROR(MATCH(15,$AB$40:$AB$133,0),0)))</f>
        <v>Sobrando</v>
      </c>
      <c r="K48" s="41" t="n">
        <f aca="false">IF(IFERROR(MATCH(15,$AB$40:$AB$133,0),0)=0,"",INDEX($AD$40:$AD$133,IFERROR(MATCH(15,$AB$40:$AB$133,0),0)))</f>
        <v>26</v>
      </c>
      <c r="L48" s="42" t="str">
        <f aca="false">IF(IFERROR(MATCH(15,$AB$40:$AB$133,0),0)=0,"",INDEX($AE$40:$AE$133,IFERROR(MATCH(15,$AB$40:$AB$133,0),0))&amp;"")</f>
        <v>CA MOEDAS 0,4KG/UC 7UC/CX 144CX/PAL</v>
      </c>
      <c r="T48" s="3" t="s">
        <v>41</v>
      </c>
      <c r="U48" s="3" t="s">
        <v>4</v>
      </c>
      <c r="V48" s="3" t="n">
        <f aca="false">SUMIFS(Lançamentos!$H$2:$H$607,Lançamentos!$A$2:$A$607,"&gt;="&amp;$F$5,Lançamentos!$A$2:$A$607,"&lt;="&amp;$H$5,Lançamentos!$C$2:$C$607,$T48,Lançamentos!$D$2:$D$607,$AG48,Lançamentos!$B$2:$B$607,"Recebido no 2008")</f>
        <v>0</v>
      </c>
      <c r="W48" s="3" t="n">
        <f aca="false">SUMIFS(Lançamentos!$I$2:$I$607,Lançamentos!$A$2:$A$607,"&gt;="&amp;$F$5,Lançamentos!$A$2:$A$607,"&lt;="&amp;$H$5,Lançamentos!$C$2:$C$607,$T48,Lançamentos!$D$2:$D$607,$AG48)</f>
        <v>2.8</v>
      </c>
      <c r="X48" s="3" t="n">
        <f aca="false">SUMIFS(Lançamentos!$J$2:$J$607,Lançamentos!$A$2:$A$607,"&gt;="&amp;$F$5,Lançamentos!$A$2:$A$607,"&lt;="&amp;$H$5,Lançamentos!$C$2:$C$607,$T48,Lançamentos!$D$2:$D$607,$AG48)</f>
        <v>677.6</v>
      </c>
      <c r="Y48" s="3" t="n">
        <f aca="false">SUMIFS('Estoque físico'!$J$2:$J$229,'Estoque físico'!$A$2:$A$229,$T48,'Estoque físico'!$B$2:$B$229,$AG48)</f>
        <v>1853.6</v>
      </c>
      <c r="Z48" s="3" t="n">
        <f aca="false">ROUND(Y48-(W48-X48),3)</f>
        <v>2528.4</v>
      </c>
      <c r="AA48" s="3" t="n">
        <f aca="false">IF(AND(U48=$R$3,OR($R$1="*",T48=$R$1),OR($R$2="*",AG48=$R$2),ABS(V48)+ABS(W48)+ABS(X48)+ABS(Y48)&gt;0),1,0)</f>
        <v>1</v>
      </c>
      <c r="AB48" s="3" t="n">
        <f aca="false">IF(AA48=1,SUM(AA$40:AA48),"")</f>
        <v>7</v>
      </c>
      <c r="AC48" s="0" t="str">
        <f aca="false">IF(ABS(Z48)&lt;=$R$5,"Confere",IF(Z48&gt;0,"Sobrando","Faltando"))</f>
        <v>Sobrando</v>
      </c>
      <c r="AD48" s="3" t="n">
        <f aca="false">COUNTIFS(Lançamentos!$A$2:$A$607,"&gt;="&amp;$F$5,Lançamentos!$A$2:$A$607,"&lt;="&amp;$H$5,Lançamentos!$C$2:$C$607,$T48,Lançamentos!$D$2:$D$607,$AG48,Lançamentos!$B$2:$B$607,$R$4,Lançamentos!$G$2:$G$607,U48)</f>
        <v>53</v>
      </c>
      <c r="AE48" s="3" t="s">
        <v>141</v>
      </c>
      <c r="AF48" s="3" t="n">
        <f aca="false">IF(AND(AA48=1,AC48&lt;&gt;"Confere"),ABS(Z48)+ROW()/10000000,0)</f>
        <v>2528.4000048</v>
      </c>
      <c r="AG48" s="3" t="s">
        <v>62</v>
      </c>
      <c r="AH48" s="3" t="n">
        <f aca="false">LARGE($AF$40:$AF$133,9)</f>
        <v>442.200004</v>
      </c>
      <c r="AI48" s="3" t="n">
        <f aca="false">IF(AH48&gt;0,MATCH(AH48,$AF$40:$AF$133,0),"")</f>
        <v>1</v>
      </c>
      <c r="AJ48" s="0" t="str">
        <f aca="false">IF(AI48="","",INDEX($T$40:$T$133,AI48)&amp;" · "&amp;INDEX($AG$40:$AG$133,AI48))</f>
        <v>CHK-R30GOLD-BR-25A · 261130301</v>
      </c>
      <c r="AK48" s="3" t="n">
        <f aca="false">IF(AI48="",0,MAX(INDEX($Z$40:$Z$133,AI48),0))</f>
        <v>0</v>
      </c>
      <c r="AL48" s="3" t="n">
        <f aca="false">IF(AI48="",0,MIN(INDEX($Z$40:$Z$133,AI48),0))</f>
        <v>-442.2</v>
      </c>
      <c r="AN48" s="3" t="s">
        <v>153</v>
      </c>
      <c r="AO48" s="43" t="n">
        <v>46282</v>
      </c>
      <c r="AP48" s="3" t="n">
        <f aca="false">IF(AND(AO48&gt;=$F$5,AO48&lt;=$H$5),SUMIFS(Lançamentos!$I$2:$I$607,Lançamentos!$A$2:$A$607,$AO48,Lançamentos!$C$2:$C$607,$R$1,Lançamentos!$D$2:$D$607,$R$2,Lançamentos!$G$2:$G$607,$R$3,Lançamentos!$B$2:$B$607,$R$4),0)</f>
        <v>0</v>
      </c>
      <c r="AQ48" s="3" t="n">
        <f aca="false">IF(AND(AO48&gt;=$F$5,AO48&lt;=$H$5),-SUMIFS(Lançamentos!$J$2:$J$607,Lançamentos!$A$2:$A$607,$AO48,Lançamentos!$C$2:$C$607,$R$1,Lançamentos!$D$2:$D$607,$R$2,Lançamentos!$G$2:$G$607,$R$3,Lançamentos!$B$2:$B$607,$R$4),0)</f>
        <v>-337.5</v>
      </c>
      <c r="AS48" s="3" t="s">
        <v>154</v>
      </c>
      <c r="AV48" s="0" t="str">
        <f aca="false">IFERROR(INDEX($AX$1:$AX$94,MATCH(47,$AY$1:$AY$94,0)),"")</f>
        <v>260660303</v>
      </c>
      <c r="AW48" s="3" t="s">
        <v>81</v>
      </c>
      <c r="AX48" s="3" t="s">
        <v>30</v>
      </c>
      <c r="AY48" s="3" t="n">
        <f aca="false">IF(OR($A$5="Todos",AW48=$A$5),MAX(AY$1:AY47)+1,0)</f>
        <v>48</v>
      </c>
    </row>
    <row r="49" customFormat="false" ht="15" hidden="false" customHeight="false" outlineLevel="0" collapsed="false">
      <c r="A49" s="36" t="str">
        <f aca="false">IF(IFERROR(MATCH(16,$AB$40:$AB$133,0),0)=0,"",INDEX($T$40:$T$133,IFERROR(MATCH(16,$AB$40:$AB$133,0),0)))</f>
        <v>CW2-BR-25A</v>
      </c>
      <c r="B49" s="36" t="str">
        <f aca="false">IF(IFERROR(MATCH(16,$AB$40:$AB$133,0),0)=0,"",INDEX($AG$40:$AG$133,IFERROR(MATCH(16,$AB$40:$AB$133,0),0)))</f>
        <v>252650301</v>
      </c>
      <c r="C49" s="37" t="str">
        <f aca="false">IF(IFERROR(MATCH(16,$AB$40:$AB$133,0),0)=0,"",INDEX($U$40:$U$133,IFERROR(MATCH(16,$AB$40:$AB$133,0),0)))</f>
        <v>KG</v>
      </c>
      <c r="D49" s="38" t="n">
        <f aca="false">IF(IFERROR(MATCH(16,$AB$40:$AB$133,0),0)=0,"",INDEX($V$40:$V$133,IFERROR(MATCH(16,$AB$40:$AB$133,0),0)))</f>
        <v>40</v>
      </c>
      <c r="E49" s="38" t="n">
        <f aca="false">IF(IFERROR(MATCH(16,$AB$40:$AB$133,0),0)=0,"",INDEX($W$40:$W$133,IFERROR(MATCH(16,$AB$40:$AB$133,0),0)))</f>
        <v>2271.3</v>
      </c>
      <c r="F49" s="38" t="n">
        <f aca="false">IF(IFERROR(MATCH(16,$AB$40:$AB$133,0),0)=0,"",INDEX($X$40:$X$133,IFERROR(MATCH(16,$AB$40:$AB$133,0),0)))</f>
        <v>562.8</v>
      </c>
      <c r="G49" s="38" t="n">
        <f aca="false">IF(A49="","",E49-F49)</f>
        <v>1708.5</v>
      </c>
      <c r="H49" s="38" t="n">
        <f aca="false">IF(IFERROR(MATCH(16,$AB$40:$AB$133,0),0)=0,"",INDEX($Y$40:$Y$133,IFERROR(MATCH(16,$AB$40:$AB$133,0),0)))</f>
        <v>1829.1</v>
      </c>
      <c r="I49" s="39" t="n">
        <f aca="false">IF(IFERROR(MATCH(16,$AB$40:$AB$133,0),0)=0,"",INDEX($Z$40:$Z$133,IFERROR(MATCH(16,$AB$40:$AB$133,0),0)))</f>
        <v>120.6</v>
      </c>
      <c r="J49" s="40" t="str">
        <f aca="false">IF(IFERROR(MATCH(16,$AB$40:$AB$133,0),0)=0,"",INDEX($AC$40:$AC$133,IFERROR(MATCH(16,$AB$40:$AB$133,0),0)))</f>
        <v>Sobrando</v>
      </c>
      <c r="K49" s="41" t="n">
        <f aca="false">IF(IFERROR(MATCH(16,$AB$40:$AB$133,0),0)=0,"",INDEX($AD$40:$AD$133,IFERROR(MATCH(16,$AB$40:$AB$133,0),0)))</f>
        <v>15</v>
      </c>
      <c r="L49" s="42" t="str">
        <f aca="false">IF(IFERROR(MATCH(16,$AB$40:$AB$133,0),0)=0,"",INDEX($AE$40:$AE$133,IFERROR(MATCH(16,$AB$40:$AB$133,0),0))&amp;"")</f>
        <v>CA MOEDAS 2,01KG/UC 10UC/CX 30CX/PAL</v>
      </c>
      <c r="T49" s="3" t="s">
        <v>23</v>
      </c>
      <c r="U49" s="3" t="s">
        <v>4</v>
      </c>
      <c r="V49" s="3" t="n">
        <f aca="false">SUMIFS(Lançamentos!$H$2:$H$607,Lançamentos!$A$2:$A$607,"&gt;="&amp;$F$5,Lançamentos!$A$2:$A$607,"&lt;="&amp;$H$5,Lançamentos!$C$2:$C$607,$T49,Lançamentos!$D$2:$D$607,$AG49,Lançamentos!$B$2:$B$607,"Recebido no 2008")</f>
        <v>0</v>
      </c>
      <c r="W49" s="3" t="n">
        <f aca="false">SUMIFS(Lançamentos!$I$2:$I$607,Lançamentos!$A$2:$A$607,"&gt;="&amp;$F$5,Lançamentos!$A$2:$A$607,"&lt;="&amp;$H$5,Lançamentos!$C$2:$C$607,$T49,Lançamentos!$D$2:$D$607,$AG49)</f>
        <v>313.6</v>
      </c>
      <c r="X49" s="3" t="n">
        <f aca="false">SUMIFS(Lançamentos!$J$2:$J$607,Lançamentos!$A$2:$A$607,"&gt;="&amp;$F$5,Lançamentos!$A$2:$A$607,"&lt;="&amp;$H$5,Lançamentos!$C$2:$C$607,$T49,Lançamentos!$D$2:$D$607,$AG49)</f>
        <v>221.2</v>
      </c>
      <c r="Y49" s="3" t="n">
        <f aca="false">SUMIFS('Estoque físico'!$J$2:$J$229,'Estoque físico'!$A$2:$A$229,$T49,'Estoque físico'!$B$2:$B$229,$AG49)</f>
        <v>1360.8</v>
      </c>
      <c r="Z49" s="3" t="n">
        <f aca="false">ROUND(Y49-(W49-X49),3)</f>
        <v>1268.4</v>
      </c>
      <c r="AA49" s="3" t="n">
        <f aca="false">IF(AND(U49=$R$3,OR($R$1="*",T49=$R$1),OR($R$2="*",AG49=$R$2),ABS(V49)+ABS(W49)+ABS(X49)+ABS(Y49)&gt;0),1,0)</f>
        <v>1</v>
      </c>
      <c r="AB49" s="3" t="n">
        <f aca="false">IF(AA49=1,SUM(AA$40:AA49),"")</f>
        <v>8</v>
      </c>
      <c r="AC49" s="0" t="str">
        <f aca="false">IF(ABS(Z49)&lt;=$R$5,"Confere",IF(Z49&gt;0,"Sobrando","Faltando"))</f>
        <v>Sobrando</v>
      </c>
      <c r="AD49" s="3" t="n">
        <f aca="false">COUNTIFS(Lançamentos!$A$2:$A$607,"&gt;="&amp;$F$5,Lançamentos!$A$2:$A$607,"&lt;="&amp;$H$5,Lançamentos!$C$2:$C$607,$T49,Lançamentos!$D$2:$D$607,$AG49,Lançamentos!$B$2:$B$607,$R$4,Lançamentos!$G$2:$G$607,U49)</f>
        <v>26</v>
      </c>
      <c r="AE49" s="3" t="s">
        <v>141</v>
      </c>
      <c r="AF49" s="3" t="n">
        <f aca="false">IF(AND(AA49=1,AC49&lt;&gt;"Confere"),ABS(Z49)+ROW()/10000000,0)</f>
        <v>1268.4000049</v>
      </c>
      <c r="AG49" s="3" t="s">
        <v>24</v>
      </c>
      <c r="AH49" s="3" t="n">
        <f aca="false">LARGE($AF$40:$AF$133,10)</f>
        <v>341.7000053</v>
      </c>
      <c r="AI49" s="3" t="n">
        <f aca="false">IF(AH49&gt;0,MATCH(AH49,$AF$40:$AF$133,0),"")</f>
        <v>14</v>
      </c>
      <c r="AJ49" s="0" t="str">
        <f aca="false">IF(AI49="","",INDEX($T$40:$T$133,AI49)&amp;" · "&amp;INDEX($AG$40:$AG$133,AI49))</f>
        <v>70-30-38-BR-25A · 260370301</v>
      </c>
      <c r="AK49" s="3" t="n">
        <f aca="false">IF(AI49="",0,MAX(INDEX($Z$40:$Z$133,AI49),0))</f>
        <v>341.7</v>
      </c>
      <c r="AL49" s="3" t="n">
        <f aca="false">IF(AI49="",0,MIN(INDEX($Z$40:$Z$133,AI49),0))</f>
        <v>0</v>
      </c>
      <c r="AN49" s="3" t="s">
        <v>155</v>
      </c>
      <c r="AO49" s="43" t="n">
        <v>46283</v>
      </c>
      <c r="AP49" s="3" t="n">
        <f aca="false">IF(AND(AO49&gt;=$F$5,AO49&lt;=$H$5),SUMIFS(Lançamentos!$I$2:$I$607,Lançamentos!$A$2:$A$607,$AO49,Lançamentos!$C$2:$C$607,$R$1,Lançamentos!$D$2:$D$607,$R$2,Lançamentos!$G$2:$G$607,$R$3,Lançamentos!$B$2:$B$607,$R$4),0)</f>
        <v>0</v>
      </c>
      <c r="AQ49" s="3" t="n">
        <f aca="false">IF(AND(AO49&gt;=$F$5,AO49&lt;=$H$5),-SUMIFS(Lançamentos!$J$2:$J$607,Lançamentos!$A$2:$A$607,$AO49,Lançamentos!$C$2:$C$607,$R$1,Lançamentos!$D$2:$D$607,$R$2,Lançamentos!$G$2:$G$607,$R$3,Lançamentos!$B$2:$B$607,$R$4),0)</f>
        <v>-10.8</v>
      </c>
      <c r="AS49" s="3" t="s">
        <v>156</v>
      </c>
      <c r="AV49" s="0" t="str">
        <f aca="false">IFERROR(INDEX($AX$1:$AX$94,MATCH(48,$AY$1:$AY$94,0)),"")</f>
        <v>250880301</v>
      </c>
      <c r="AW49" s="3" t="s">
        <v>81</v>
      </c>
      <c r="AX49" s="3" t="s">
        <v>145</v>
      </c>
      <c r="AY49" s="3" t="n">
        <f aca="false">IF(OR($A$5="Todos",AW49=$A$5),MAX(AY$1:AY48)+1,0)</f>
        <v>49</v>
      </c>
    </row>
    <row r="50" customFormat="false" ht="15" hidden="false" customHeight="false" outlineLevel="0" collapsed="false">
      <c r="A50" s="36" t="str">
        <f aca="false">IF(IFERROR(MATCH(17,$AB$40:$AB$133,0),0)=0,"",INDEX($T$40:$T$133,IFERROR(MATCH(17,$AB$40:$AB$133,0),0)))</f>
        <v>CHK-R30GOLD-BR-25A</v>
      </c>
      <c r="B50" s="36" t="str">
        <f aca="false">IF(IFERROR(MATCH(17,$AB$40:$AB$133,0),0)=0,"",INDEX($AG$40:$AG$133,IFERROR(MATCH(17,$AB$40:$AB$133,0),0)))</f>
        <v>253620301</v>
      </c>
      <c r="C50" s="37" t="str">
        <f aca="false">IF(IFERROR(MATCH(17,$AB$40:$AB$133,0),0)=0,"",INDEX($U$40:$U$133,IFERROR(MATCH(17,$AB$40:$AB$133,0),0)))</f>
        <v>KG</v>
      </c>
      <c r="D50" s="38" t="n">
        <f aca="false">IF(IFERROR(MATCH(17,$AB$40:$AB$133,0),0)=0,"",INDEX($V$40:$V$133,IFERROR(MATCH(17,$AB$40:$AB$133,0),0)))</f>
        <v>0</v>
      </c>
      <c r="E50" s="38" t="n">
        <f aca="false">IF(IFERROR(MATCH(17,$AB$40:$AB$133,0),0)=0,"",INDEX($W$40:$W$133,IFERROR(MATCH(17,$AB$40:$AB$133,0),0)))</f>
        <v>40.2</v>
      </c>
      <c r="F50" s="38" t="n">
        <f aca="false">IF(IFERROR(MATCH(17,$AB$40:$AB$133,0),0)=0,"",INDEX($X$40:$X$133,IFERROR(MATCH(17,$AB$40:$AB$133,0),0)))</f>
        <v>40.2</v>
      </c>
      <c r="G50" s="38" t="n">
        <f aca="false">IF(A50="","",E50-F50)</f>
        <v>0</v>
      </c>
      <c r="H50" s="38" t="n">
        <f aca="false">IF(IFERROR(MATCH(17,$AB$40:$AB$133,0),0)=0,"",INDEX($Y$40:$Y$133,IFERROR(MATCH(17,$AB$40:$AB$133,0),0)))</f>
        <v>116.58</v>
      </c>
      <c r="I50" s="39" t="n">
        <f aca="false">IF(IFERROR(MATCH(17,$AB$40:$AB$133,0),0)=0,"",INDEX($Z$40:$Z$133,IFERROR(MATCH(17,$AB$40:$AB$133,0),0)))</f>
        <v>116.58</v>
      </c>
      <c r="J50" s="40" t="str">
        <f aca="false">IF(IFERROR(MATCH(17,$AB$40:$AB$133,0),0)=0,"",INDEX($AC$40:$AC$133,IFERROR(MATCH(17,$AB$40:$AB$133,0),0)))</f>
        <v>Sobrando</v>
      </c>
      <c r="K50" s="41" t="n">
        <f aca="false">IF(IFERROR(MATCH(17,$AB$40:$AB$133,0),0)=0,"",INDEX($AD$40:$AD$133,IFERROR(MATCH(17,$AB$40:$AB$133,0),0)))</f>
        <v>3</v>
      </c>
      <c r="L50" s="42" t="str">
        <f aca="false">IF(IFERROR(MATCH(17,$AB$40:$AB$133,0),0)=0,"",INDEX($AE$40:$AE$133,IFERROR(MATCH(17,$AB$40:$AB$133,0),0))&amp;"")</f>
        <v>CA MOEDAS 2,01KG/UC 10UC/CX 30CX/PAL</v>
      </c>
      <c r="T50" s="3" t="s">
        <v>157</v>
      </c>
      <c r="U50" s="3" t="s">
        <v>4</v>
      </c>
      <c r="V50" s="3" t="n">
        <f aca="false">SUMIFS(Lançamentos!$H$2:$H$607,Lançamentos!$A$2:$A$607,"&gt;="&amp;$F$5,Lançamentos!$A$2:$A$607,"&lt;="&amp;$H$5,Lançamentos!$C$2:$C$607,$T50,Lançamentos!$D$2:$D$607,$AG50,Lançamentos!$B$2:$B$607,"Recebido no 2008")</f>
        <v>20</v>
      </c>
      <c r="W50" s="3" t="n">
        <f aca="false">SUMIFS(Lançamentos!$I$2:$I$607,Lançamentos!$A$2:$A$607,"&gt;="&amp;$F$5,Lançamentos!$A$2:$A$607,"&lt;="&amp;$H$5,Lançamentos!$C$2:$C$607,$T50,Lançamentos!$D$2:$D$607,$AG50)</f>
        <v>0</v>
      </c>
      <c r="X50" s="3" t="n">
        <f aca="false">SUMIFS(Lançamentos!$J$2:$J$607,Lançamentos!$A$2:$A$607,"&gt;="&amp;$F$5,Lançamentos!$A$2:$A$607,"&lt;="&amp;$H$5,Lançamentos!$C$2:$C$607,$T50,Lançamentos!$D$2:$D$607,$AG50)</f>
        <v>542.7</v>
      </c>
      <c r="Y50" s="3" t="n">
        <f aca="false">SUMIFS('Estoque físico'!$J$2:$J$229,'Estoque físico'!$A$2:$A$229,$T50,'Estoque físico'!$B$2:$B$229,$AG50)</f>
        <v>540.69</v>
      </c>
      <c r="Z50" s="3" t="n">
        <f aca="false">ROUND(Y50-(W50-X50),3)</f>
        <v>1083.39</v>
      </c>
      <c r="AA50" s="3" t="n">
        <f aca="false">IF(AND(U50=$R$3,OR($R$1="*",T50=$R$1),OR($R$2="*",AG50=$R$2),ABS(V50)+ABS(W50)+ABS(X50)+ABS(Y50)&gt;0),1,0)</f>
        <v>1</v>
      </c>
      <c r="AB50" s="3" t="n">
        <f aca="false">IF(AA50=1,SUM(AA$40:AA50),"")</f>
        <v>9</v>
      </c>
      <c r="AC50" s="0" t="str">
        <f aca="false">IF(ABS(Z50)&lt;=$R$5,"Confere",IF(Z50&gt;0,"Sobrando","Faltando"))</f>
        <v>Sobrando</v>
      </c>
      <c r="AD50" s="3" t="n">
        <f aca="false">COUNTIFS(Lançamentos!$A$2:$A$607,"&gt;="&amp;$F$5,Lançamentos!$A$2:$A$607,"&lt;="&amp;$H$5,Lançamentos!$C$2:$C$607,$T50,Lançamentos!$D$2:$D$607,$AG50,Lançamentos!$B$2:$B$607,$R$4,Lançamentos!$G$2:$G$607,U50)</f>
        <v>15</v>
      </c>
      <c r="AE50" s="3" t="s">
        <v>119</v>
      </c>
      <c r="AF50" s="3" t="n">
        <f aca="false">IF(AND(AA50=1,AC50&lt;&gt;"Confere"),ABS(Z50)+ROW()/10000000,0)</f>
        <v>1083.390005</v>
      </c>
      <c r="AG50" s="3" t="s">
        <v>158</v>
      </c>
      <c r="AH50" s="3" t="n">
        <f aca="false">LARGE($AF$40:$AF$133,11)</f>
        <v>273.3600054</v>
      </c>
      <c r="AI50" s="3" t="n">
        <f aca="false">IF(AH50&gt;0,MATCH(AH50,$AF$40:$AF$133,0),"")</f>
        <v>15</v>
      </c>
      <c r="AJ50" s="0" t="str">
        <f aca="false">IF(AI50="","",INDEX($T$40:$T$133,AI50)&amp;" · "&amp;INDEX($AG$40:$AG$133,AI50))</f>
        <v>811-BR-25A · 250880301</v>
      </c>
      <c r="AK50" s="3" t="n">
        <f aca="false">IF(AI50="",0,MAX(INDEX($Z$40:$Z$133,AI50),0))</f>
        <v>273.36</v>
      </c>
      <c r="AL50" s="3" t="n">
        <f aca="false">IF(AI50="",0,MIN(INDEX($Z$40:$Z$133,AI50),0))</f>
        <v>0</v>
      </c>
      <c r="AN50" s="3" t="s">
        <v>159</v>
      </c>
      <c r="AO50" s="43" t="n">
        <v>46284</v>
      </c>
      <c r="AP50" s="3" t="n">
        <f aca="false">IF(AND(AO50&gt;=$F$5,AO50&lt;=$H$5),SUMIFS(Lançamentos!$I$2:$I$607,Lançamentos!$A$2:$A$607,$AO50,Lançamentos!$C$2:$C$607,$R$1,Lançamentos!$D$2:$D$607,$R$2,Lançamentos!$G$2:$G$607,$R$3,Lançamentos!$B$2:$B$607,$R$4),0)</f>
        <v>0</v>
      </c>
      <c r="AQ50" s="3" t="n">
        <f aca="false">IF(AND(AO50&gt;=$F$5,AO50&lt;=$H$5),-SUMIFS(Lançamentos!$J$2:$J$607,Lançamentos!$A$2:$A$607,$AO50,Lançamentos!$C$2:$C$607,$R$1,Lançamentos!$D$2:$D$607,$R$2,Lançamentos!$G$2:$G$607,$R$3,Lançamentos!$B$2:$B$607,$R$4),0)</f>
        <v>-195</v>
      </c>
      <c r="AS50" s="3" t="s">
        <v>160</v>
      </c>
      <c r="AV50" s="0" t="str">
        <f aca="false">IFERROR(INDEX($AX$1:$AX$94,MATCH(49,$AY$1:$AY$94,0)),"")</f>
        <v>251880301</v>
      </c>
      <c r="AW50" s="3" t="s">
        <v>83</v>
      </c>
      <c r="AX50" s="3" t="s">
        <v>161</v>
      </c>
      <c r="AY50" s="3" t="n">
        <f aca="false">IF(OR($A$5="Todos",AW50=$A$5),MAX(AY$1:AY49)+1,0)</f>
        <v>50</v>
      </c>
    </row>
    <row r="51" customFormat="false" ht="15" hidden="false" customHeight="false" outlineLevel="0" collapsed="false">
      <c r="A51" s="36" t="str">
        <f aca="false">IF(IFERROR(MATCH(18,$AB$40:$AB$133,0),0)=0,"",INDEX($T$40:$T$133,IFERROR(MATCH(18,$AB$40:$AB$133,0),0)))</f>
        <v>823-BR-25A</v>
      </c>
      <c r="B51" s="36" t="str">
        <f aca="false">IF(IFERROR(MATCH(18,$AB$40:$AB$133,0),0)=0,"",INDEX($AG$40:$AG$133,IFERROR(MATCH(18,$AB$40:$AB$133,0),0)))</f>
        <v>252900303</v>
      </c>
      <c r="C51" s="37" t="str">
        <f aca="false">IF(IFERROR(MATCH(18,$AB$40:$AB$133,0),0)=0,"",INDEX($U$40:$U$133,IFERROR(MATCH(18,$AB$40:$AB$133,0),0)))</f>
        <v>KG</v>
      </c>
      <c r="D51" s="38" t="n">
        <f aca="false">IF(IFERROR(MATCH(18,$AB$40:$AB$133,0),0)=0,"",INDEX($V$40:$V$133,IFERROR(MATCH(18,$AB$40:$AB$133,0),0)))</f>
        <v>0</v>
      </c>
      <c r="E51" s="38" t="n">
        <f aca="false">IF(IFERROR(MATCH(18,$AB$40:$AB$133,0),0)=0,"",INDEX($W$40:$W$133,IFERROR(MATCH(18,$AB$40:$AB$133,0),0)))</f>
        <v>3612</v>
      </c>
      <c r="F51" s="38" t="n">
        <f aca="false">IF(IFERROR(MATCH(18,$AB$40:$AB$133,0),0)=0,"",INDEX($X$40:$X$133,IFERROR(MATCH(18,$AB$40:$AB$133,0),0)))</f>
        <v>80.4</v>
      </c>
      <c r="G51" s="38" t="n">
        <f aca="false">IF(A51="","",E51-F51)</f>
        <v>3531.6</v>
      </c>
      <c r="H51" s="38" t="n">
        <f aca="false">IF(IFERROR(MATCH(18,$AB$40:$AB$133,0),0)=0,"",INDEX($Y$40:$Y$133,IFERROR(MATCH(18,$AB$40:$AB$133,0),0)))</f>
        <v>3612</v>
      </c>
      <c r="I51" s="39" t="n">
        <f aca="false">IF(IFERROR(MATCH(18,$AB$40:$AB$133,0),0)=0,"",INDEX($Z$40:$Z$133,IFERROR(MATCH(18,$AB$40:$AB$133,0),0)))</f>
        <v>80.4</v>
      </c>
      <c r="J51" s="40" t="str">
        <f aca="false">IF(IFERROR(MATCH(18,$AB$40:$AB$133,0),0)=0,"",INDEX($AC$40:$AC$133,IFERROR(MATCH(18,$AB$40:$AB$133,0),0)))</f>
        <v>Sobrando</v>
      </c>
      <c r="K51" s="41" t="n">
        <f aca="false">IF(IFERROR(MATCH(18,$AB$40:$AB$133,0),0)=0,"",INDEX($AD$40:$AD$133,IFERROR(MATCH(18,$AB$40:$AB$133,0),0)))</f>
        <v>8</v>
      </c>
      <c r="L51" s="42" t="str">
        <f aca="false">IF(IFERROR(MATCH(18,$AB$40:$AB$133,0),0)=0,"",INDEX($AE$40:$AE$133,IFERROR(MATCH(18,$AB$40:$AB$133,0),0))&amp;"")</f>
        <v>CA MOEDAS 2,01KG/UC 10UC/CX 30CX/PAL</v>
      </c>
      <c r="T51" s="3" t="s">
        <v>110</v>
      </c>
      <c r="U51" s="3" t="s">
        <v>4</v>
      </c>
      <c r="V51" s="3" t="n">
        <f aca="false">SUMIFS(Lançamentos!$H$2:$H$607,Lançamentos!$A$2:$A$607,"&gt;="&amp;$F$5,Lançamentos!$A$2:$A$607,"&lt;="&amp;$H$5,Lançamentos!$C$2:$C$607,$T51,Lançamentos!$D$2:$D$607,$AG51,Lançamentos!$B$2:$B$607,"Recebido no 2008")</f>
        <v>0</v>
      </c>
      <c r="W51" s="3" t="n">
        <f aca="false">SUMIFS(Lançamentos!$I$2:$I$607,Lançamentos!$A$2:$A$607,"&gt;="&amp;$F$5,Lançamentos!$A$2:$A$607,"&lt;="&amp;$H$5,Lançamentos!$C$2:$C$607,$T51,Lançamentos!$D$2:$D$607,$AG51)</f>
        <v>763.8</v>
      </c>
      <c r="X51" s="3" t="n">
        <f aca="false">SUMIFS(Lançamentos!$J$2:$J$607,Lançamentos!$A$2:$A$607,"&gt;="&amp;$F$5,Lançamentos!$A$2:$A$607,"&lt;="&amp;$H$5,Lançamentos!$C$2:$C$607,$T51,Lançamentos!$D$2:$D$607,$AG51)</f>
        <v>924.6</v>
      </c>
      <c r="Y51" s="3" t="n">
        <f aca="false">SUMIFS('Estoque físico'!$J$2:$J$229,'Estoque físico'!$A$2:$A$229,$T51,'Estoque físico'!$B$2:$B$229,$AG51)</f>
        <v>763.8</v>
      </c>
      <c r="Z51" s="3" t="n">
        <f aca="false">ROUND(Y51-(W51-X51),3)</f>
        <v>924.6</v>
      </c>
      <c r="AA51" s="3" t="n">
        <f aca="false">IF(AND(U51=$R$3,OR($R$1="*",T51=$R$1),OR($R$2="*",AG51=$R$2),ABS(V51)+ABS(W51)+ABS(X51)+ABS(Y51)&gt;0),1,0)</f>
        <v>1</v>
      </c>
      <c r="AB51" s="3" t="n">
        <f aca="false">IF(AA51=1,SUM(AA$40:AA51),"")</f>
        <v>10</v>
      </c>
      <c r="AC51" s="0" t="str">
        <f aca="false">IF(ABS(Z51)&lt;=$R$5,"Confere",IF(Z51&gt;0,"Sobrando","Faltando"))</f>
        <v>Sobrando</v>
      </c>
      <c r="AD51" s="3" t="n">
        <f aca="false">COUNTIFS(Lançamentos!$A$2:$A$607,"&gt;="&amp;$F$5,Lançamentos!$A$2:$A$607,"&lt;="&amp;$H$5,Lançamentos!$C$2:$C$607,$T51,Lançamentos!$D$2:$D$607,$AG51,Lançamentos!$B$2:$B$607,$R$4,Lançamentos!$G$2:$G$607,U51)</f>
        <v>12</v>
      </c>
      <c r="AE51" s="3" t="s">
        <v>119</v>
      </c>
      <c r="AF51" s="3" t="n">
        <f aca="false">IF(AND(AA51=1,AC51&lt;&gt;"Confere"),ABS(Z51)+ROW()/10000000,0)</f>
        <v>924.6000051</v>
      </c>
      <c r="AG51" s="3" t="s">
        <v>162</v>
      </c>
      <c r="AH51" s="3" t="n">
        <f aca="false">LARGE($AF$40:$AF$133,12)</f>
        <v>261.1200041</v>
      </c>
      <c r="AI51" s="3" t="n">
        <f aca="false">IF(AH51&gt;0,MATCH(AH51,$AF$40:$AF$133,0),"")</f>
        <v>2</v>
      </c>
      <c r="AJ51" s="0" t="str">
        <f aca="false">IF(AI51="","",INDEX($T$40:$T$133,AI51)&amp;" · "&amp;INDEX($AG$40:$AG$133,AI51))</f>
        <v>CHM-TS-P23-E0-999 · 2605567696</v>
      </c>
      <c r="AK51" s="3" t="n">
        <f aca="false">IF(AI51="",0,MAX(INDEX($Z$40:$Z$133,AI51),0))</f>
        <v>0</v>
      </c>
      <c r="AL51" s="3" t="n">
        <f aca="false">IF(AI51="",0,MIN(INDEX($Z$40:$Z$133,AI51),0))</f>
        <v>-261.12</v>
      </c>
      <c r="AN51" s="3" t="s">
        <v>163</v>
      </c>
      <c r="AO51" s="43" t="n">
        <v>46285</v>
      </c>
      <c r="AP51" s="3" t="n">
        <f aca="false">IF(AND(AO51&gt;=$F$5,AO51&lt;=$H$5),SUMIFS(Lançamentos!$I$2:$I$607,Lançamentos!$A$2:$A$607,$AO51,Lançamentos!$C$2:$C$607,$R$1,Lançamentos!$D$2:$D$607,$R$2,Lançamentos!$G$2:$G$607,$R$3,Lançamentos!$B$2:$B$607,$R$4),0)</f>
        <v>0</v>
      </c>
      <c r="AQ51" s="3" t="n">
        <f aca="false">IF(AND(AO51&gt;=$F$5,AO51&lt;=$H$5),-SUMIFS(Lançamentos!$J$2:$J$607,Lançamentos!$A$2:$A$607,$AO51,Lançamentos!$C$2:$C$607,$R$1,Lançamentos!$D$2:$D$607,$R$2,Lançamentos!$G$2:$G$607,$R$3,Lançamentos!$B$2:$B$607,$R$4),0)</f>
        <v>-302.7</v>
      </c>
      <c r="AS51" s="3" t="s">
        <v>157</v>
      </c>
      <c r="AV51" s="0" t="str">
        <f aca="false">IFERROR(INDEX($AX$1:$AX$94,MATCH(50,$AY$1:$AY$94,0)),"")</f>
        <v>253100102</v>
      </c>
      <c r="AW51" s="3" t="s">
        <v>83</v>
      </c>
      <c r="AX51" s="3" t="s">
        <v>164</v>
      </c>
      <c r="AY51" s="3" t="n">
        <f aca="false">IF(OR($A$5="Todos",AW51=$A$5),MAX(AY$1:AY50)+1,0)</f>
        <v>51</v>
      </c>
    </row>
    <row r="52" customFormat="false" ht="15" hidden="false" customHeight="false" outlineLevel="0" collapsed="false">
      <c r="A52" s="36" t="str">
        <f aca="false">IF(IFERROR(MATCH(19,$AB$40:$AB$133,0),0)=0,"",INDEX($T$40:$T$133,IFERROR(MATCH(19,$AB$40:$AB$133,0),0)))</f>
        <v>CHK-R30GOLD-E0-D94</v>
      </c>
      <c r="B52" s="36" t="str">
        <f aca="false">IF(IFERROR(MATCH(19,$AB$40:$AB$133,0),0)=0,"",INDEX($AG$40:$AG$133,IFERROR(MATCH(19,$AB$40:$AB$133,0),0)))</f>
        <v>260720939</v>
      </c>
      <c r="C52" s="37" t="str">
        <f aca="false">IF(IFERROR(MATCH(19,$AB$40:$AB$133,0),0)=0,"",INDEX($U$40:$U$133,IFERROR(MATCH(19,$AB$40:$AB$133,0),0)))</f>
        <v>KG</v>
      </c>
      <c r="D52" s="38" t="n">
        <f aca="false">IF(IFERROR(MATCH(19,$AB$40:$AB$133,0),0)=0,"",INDEX($V$40:$V$133,IFERROR(MATCH(19,$AB$40:$AB$133,0),0)))</f>
        <v>0</v>
      </c>
      <c r="E52" s="38" t="n">
        <f aca="false">IF(IFERROR(MATCH(19,$AB$40:$AB$133,0),0)=0,"",INDEX($W$40:$W$133,IFERROR(MATCH(19,$AB$40:$AB$133,0),0)))</f>
        <v>806.4</v>
      </c>
      <c r="F52" s="38" t="n">
        <f aca="false">IF(IFERROR(MATCH(19,$AB$40:$AB$133,0),0)=0,"",INDEX($X$40:$X$133,IFERROR(MATCH(19,$AB$40:$AB$133,0),0)))</f>
        <v>53.2</v>
      </c>
      <c r="G52" s="38" t="n">
        <f aca="false">IF(A52="","",E52-F52)</f>
        <v>753.2</v>
      </c>
      <c r="H52" s="38" t="n">
        <f aca="false">IF(IFERROR(MATCH(19,$AB$40:$AB$133,0),0)=0,"",INDEX($Y$40:$Y$133,IFERROR(MATCH(19,$AB$40:$AB$133,0),0)))</f>
        <v>825.999</v>
      </c>
      <c r="I52" s="39" t="n">
        <f aca="false">IF(IFERROR(MATCH(19,$AB$40:$AB$133,0),0)=0,"",INDEX($Z$40:$Z$133,IFERROR(MATCH(19,$AB$40:$AB$133,0),0)))</f>
        <v>72.799</v>
      </c>
      <c r="J52" s="40" t="str">
        <f aca="false">IF(IFERROR(MATCH(19,$AB$40:$AB$133,0),0)=0,"",INDEX($AC$40:$AC$133,IFERROR(MATCH(19,$AB$40:$AB$133,0),0)))</f>
        <v>Sobrando</v>
      </c>
      <c r="K52" s="41" t="n">
        <f aca="false">IF(IFERROR(MATCH(19,$AB$40:$AB$133,0),0)=0,"",INDEX($AD$40:$AD$133,IFERROR(MATCH(19,$AB$40:$AB$133,0),0)))</f>
        <v>7</v>
      </c>
      <c r="L52" s="42" t="str">
        <f aca="false">IF(IFERROR(MATCH(19,$AB$40:$AB$133,0),0)=0,"",INDEX($AE$40:$AE$133,IFERROR(MATCH(19,$AB$40:$AB$133,0),0))&amp;"")</f>
        <v>CA CALLETS 0.4KG/UC 7UC/BOX 144BOX/PAL</v>
      </c>
      <c r="T52" s="3" t="s">
        <v>104</v>
      </c>
      <c r="U52" s="3" t="s">
        <v>4</v>
      </c>
      <c r="V52" s="3" t="n">
        <f aca="false">SUMIFS(Lançamentos!$H$2:$H$607,Lançamentos!$A$2:$A$607,"&gt;="&amp;$F$5,Lançamentos!$A$2:$A$607,"&lt;="&amp;$H$5,Lançamentos!$C$2:$C$607,$T52,Lançamentos!$D$2:$D$607,$AG52,Lançamentos!$B$2:$B$607,"Recebido no 2008")</f>
        <v>0</v>
      </c>
      <c r="W52" s="3" t="n">
        <f aca="false">SUMIFS(Lançamentos!$I$2:$I$607,Lançamentos!$A$2:$A$607,"&gt;="&amp;$F$5,Lançamentos!$A$2:$A$607,"&lt;="&amp;$H$5,Lançamentos!$C$2:$C$607,$T52,Lançamentos!$D$2:$D$607,$AG52)</f>
        <v>918</v>
      </c>
      <c r="X52" s="3" t="n">
        <f aca="false">SUMIFS(Lançamentos!$J$2:$J$607,Lançamentos!$A$2:$A$607,"&gt;="&amp;$F$5,Lançamentos!$A$2:$A$607,"&lt;="&amp;$H$5,Lançamentos!$C$2:$C$607,$T52,Lançamentos!$D$2:$D$607,$AG52)</f>
        <v>186</v>
      </c>
      <c r="Y52" s="3" t="n">
        <f aca="false">SUMIFS('Estoque físico'!$J$2:$J$229,'Estoque físico'!$A$2:$A$229,$T52,'Estoque físico'!$B$2:$B$229,$AG52)</f>
        <v>1272</v>
      </c>
      <c r="Z52" s="3" t="n">
        <f aca="false">ROUND(Y52-(W52-X52),3)</f>
        <v>540</v>
      </c>
      <c r="AA52" s="3" t="n">
        <f aca="false">IF(AND(U52=$R$3,OR($R$1="*",T52=$R$1),OR($R$2="*",AG52=$R$2),ABS(V52)+ABS(W52)+ABS(X52)+ABS(Y52)&gt;0),1,0)</f>
        <v>1</v>
      </c>
      <c r="AB52" s="3" t="n">
        <f aca="false">IF(AA52=1,SUM(AA$40:AA52),"")</f>
        <v>11</v>
      </c>
      <c r="AC52" s="0" t="str">
        <f aca="false">IF(ABS(Z52)&lt;=$R$5,"Confere",IF(Z52&gt;0,"Sobrando","Faltando"))</f>
        <v>Sobrando</v>
      </c>
      <c r="AD52" s="3" t="n">
        <f aca="false">COUNTIFS(Lançamentos!$A$2:$A$607,"&gt;="&amp;$F$5,Lançamentos!$A$2:$A$607,"&lt;="&amp;$H$5,Lançamentos!$C$2:$C$607,$T52,Lançamentos!$D$2:$D$607,$AG52,Lançamentos!$B$2:$B$607,$R$4,Lançamentos!$G$2:$G$607,U52)</f>
        <v>13</v>
      </c>
      <c r="AE52" s="3" t="s">
        <v>165</v>
      </c>
      <c r="AF52" s="3" t="n">
        <f aca="false">IF(AND(AA52=1,AC52&lt;&gt;"Confere"),ABS(Z52)+ROW()/10000000,0)</f>
        <v>540.0000052</v>
      </c>
      <c r="AG52" s="3" t="s">
        <v>166</v>
      </c>
      <c r="AN52" s="3" t="s">
        <v>167</v>
      </c>
      <c r="AO52" s="43" t="n">
        <v>46286</v>
      </c>
      <c r="AP52" s="3" t="n">
        <f aca="false">IF(AND(AO52&gt;=$F$5,AO52&lt;=$H$5),SUMIFS(Lançamentos!$I$2:$I$607,Lançamentos!$A$2:$A$607,$AO52,Lançamentos!$C$2:$C$607,$R$1,Lançamentos!$D$2:$D$607,$R$2,Lançamentos!$G$2:$G$607,$R$3,Lançamentos!$B$2:$B$607,$R$4),0)</f>
        <v>918</v>
      </c>
      <c r="AQ52" s="3" t="n">
        <f aca="false">IF(AND(AO52&gt;=$F$5,AO52&lt;=$H$5),-SUMIFS(Lançamentos!$J$2:$J$607,Lançamentos!$A$2:$A$607,$AO52,Lançamentos!$C$2:$C$607,$R$1,Lançamentos!$D$2:$D$607,$R$2,Lançamentos!$G$2:$G$607,$R$3,Lançamentos!$B$2:$B$607,$R$4),0)</f>
        <v>-278.5</v>
      </c>
      <c r="AV52" s="0" t="str">
        <f aca="false">IFERROR(INDEX($AX$1:$AX$94,MATCH(51,$AY$1:$AY$94,0)),"")</f>
        <v>260580101</v>
      </c>
      <c r="AW52" s="3" t="s">
        <v>85</v>
      </c>
      <c r="AX52" s="3" t="s">
        <v>168</v>
      </c>
      <c r="AY52" s="3" t="n">
        <f aca="false">IF(OR($A$5="Todos",AW52=$A$5),MAX(AY$1:AY51)+1,0)</f>
        <v>52</v>
      </c>
    </row>
    <row r="53" customFormat="false" ht="15" hidden="false" customHeight="false" outlineLevel="0" collapsed="false">
      <c r="A53" s="36" t="str">
        <f aca="false">IF(IFERROR(MATCH(20,$AB$40:$AB$133,0),0)=0,"",INDEX($T$40:$T$133,IFERROR(MATCH(20,$AB$40:$AB$133,0),0)))</f>
        <v>CHM-CU-7X80-E5-U70</v>
      </c>
      <c r="B53" s="36" t="str">
        <f aca="false">IF(IFERROR(MATCH(20,$AB$40:$AB$133,0),0)=0,"",INDEX($AG$40:$AG$133,IFERROR(MATCH(20,$AB$40:$AB$133,0),0)))</f>
        <v>2528749307</v>
      </c>
      <c r="C53" s="37" t="str">
        <f aca="false">IF(IFERROR(MATCH(20,$AB$40:$AB$133,0),0)=0,"",INDEX($U$40:$U$133,IFERROR(MATCH(20,$AB$40:$AB$133,0),0)))</f>
        <v>KG</v>
      </c>
      <c r="D53" s="38" t="n">
        <f aca="false">IF(IFERROR(MATCH(20,$AB$40:$AB$133,0),0)=0,"",INDEX($V$40:$V$133,IFERROR(MATCH(20,$AB$40:$AB$133,0),0)))</f>
        <v>0</v>
      </c>
      <c r="E53" s="38" t="n">
        <f aca="false">IF(IFERROR(MATCH(20,$AB$40:$AB$133,0),0)=0,"",INDEX($W$40:$W$133,IFERROR(MATCH(20,$AB$40:$AB$133,0),0)))</f>
        <v>10</v>
      </c>
      <c r="F53" s="38" t="n">
        <f aca="false">IF(IFERROR(MATCH(20,$AB$40:$AB$133,0),0)=0,"",INDEX($X$40:$X$133,IFERROR(MATCH(20,$AB$40:$AB$133,0),0)))</f>
        <v>60</v>
      </c>
      <c r="G53" s="38" t="n">
        <f aca="false">IF(A53="","",E53-F53)</f>
        <v>-50</v>
      </c>
      <c r="H53" s="38" t="n">
        <f aca="false">IF(IFERROR(MATCH(20,$AB$40:$AB$133,0),0)=0,"",INDEX($Y$40:$Y$133,IFERROR(MATCH(20,$AB$40:$AB$133,0),0)))</f>
        <v>10</v>
      </c>
      <c r="I53" s="39" t="n">
        <f aca="false">IF(IFERROR(MATCH(20,$AB$40:$AB$133,0),0)=0,"",INDEX($Z$40:$Z$133,IFERROR(MATCH(20,$AB$40:$AB$133,0),0)))</f>
        <v>60</v>
      </c>
      <c r="J53" s="40" t="str">
        <f aca="false">IF(IFERROR(MATCH(20,$AB$40:$AB$133,0),0)=0,"",INDEX($AC$40:$AC$133,IFERROR(MATCH(20,$AB$40:$AB$133,0),0)))</f>
        <v>Sobrando</v>
      </c>
      <c r="K53" s="41" t="n">
        <f aca="false">IF(IFERROR(MATCH(20,$AB$40:$AB$133,0),0)=0,"",INDEX($AD$40:$AD$133,IFERROR(MATCH(20,$AB$40:$AB$133,0),0)))</f>
        <v>3</v>
      </c>
      <c r="L53" s="42" t="str">
        <f aca="false">IF(IFERROR(MATCH(20,$AB$40:$AB$133,0),0)=0,"",INDEX($AE$40:$AE$133,IFERROR(MATCH(20,$AB$40:$AB$133,0),0))&amp;"")</f>
        <v>CA CHOCOCUBES CHUNKS 700CT/KG 2.5KG/UC</v>
      </c>
      <c r="T53" s="3" t="s">
        <v>7</v>
      </c>
      <c r="U53" s="3" t="s">
        <v>4</v>
      </c>
      <c r="V53" s="3" t="n">
        <f aca="false">SUMIFS(Lançamentos!$H$2:$H$607,Lançamentos!$A$2:$A$607,"&gt;="&amp;$F$5,Lançamentos!$A$2:$A$607,"&lt;="&amp;$H$5,Lançamentos!$C$2:$C$607,$T53,Lançamentos!$D$2:$D$607,$AG53,Lançamentos!$B$2:$B$607,"Recebido no 2008")</f>
        <v>6633</v>
      </c>
      <c r="W53" s="3" t="n">
        <f aca="false">SUMIFS(Lançamentos!$I$2:$I$607,Lançamentos!$A$2:$A$607,"&gt;="&amp;$F$5,Lançamentos!$A$2:$A$607,"&lt;="&amp;$H$5,Lançamentos!$C$2:$C$607,$T53,Lançamentos!$D$2:$D$607,$AG53)</f>
        <v>603</v>
      </c>
      <c r="X53" s="3" t="n">
        <f aca="false">SUMIFS(Lançamentos!$J$2:$J$607,Lançamentos!$A$2:$A$607,"&gt;="&amp;$F$5,Lançamentos!$A$2:$A$607,"&lt;="&amp;$H$5,Lançamentos!$C$2:$C$607,$T53,Lançamentos!$D$2:$D$607,$AG53)</f>
        <v>321.6</v>
      </c>
      <c r="Y53" s="3" t="n">
        <f aca="false">SUMIFS('Estoque físico'!$J$2:$J$229,'Estoque físico'!$A$2:$A$229,$T53,'Estoque físico'!$B$2:$B$229,$AG53)</f>
        <v>623.1</v>
      </c>
      <c r="Z53" s="3" t="n">
        <f aca="false">ROUND(Y53-(W53-X53),3)</f>
        <v>341.7</v>
      </c>
      <c r="AA53" s="3" t="n">
        <f aca="false">IF(AND(U53=$R$3,OR($R$1="*",T53=$R$1),OR($R$2="*",AG53=$R$2),ABS(V53)+ABS(W53)+ABS(X53)+ABS(Y53)&gt;0),1,0)</f>
        <v>1</v>
      </c>
      <c r="AB53" s="3" t="n">
        <f aca="false">IF(AA53=1,SUM(AA$40:AA53),"")</f>
        <v>12</v>
      </c>
      <c r="AC53" s="0" t="str">
        <f aca="false">IF(ABS(Z53)&lt;=$R$5,"Confere",IF(Z53&gt;0,"Sobrando","Faltando"))</f>
        <v>Sobrando</v>
      </c>
      <c r="AD53" s="3" t="n">
        <f aca="false">COUNTIFS(Lançamentos!$A$2:$A$607,"&gt;="&amp;$F$5,Lançamentos!$A$2:$A$607,"&lt;="&amp;$H$5,Lançamentos!$C$2:$C$607,$T53,Lançamentos!$D$2:$D$607,$AG53,Lançamentos!$B$2:$B$607,$R$4,Lançamentos!$G$2:$G$607,U53)</f>
        <v>13</v>
      </c>
      <c r="AE53" s="3" t="s">
        <v>119</v>
      </c>
      <c r="AF53" s="3" t="n">
        <f aca="false">IF(AND(AA53=1,AC53&lt;&gt;"Confere"),ABS(Z53)+ROW()/10000000,0)</f>
        <v>341.7000053</v>
      </c>
      <c r="AG53" s="3" t="s">
        <v>11</v>
      </c>
      <c r="AN53" s="3" t="s">
        <v>169</v>
      </c>
      <c r="AO53" s="43" t="n">
        <v>46287</v>
      </c>
      <c r="AP53" s="3" t="n">
        <f aca="false">IF(AND(AO53&gt;=$F$5,AO53&lt;=$H$5),SUMIFS(Lançamentos!$I$2:$I$607,Lançamentos!$A$2:$A$607,$AO53,Lançamentos!$C$2:$C$607,$R$1,Lançamentos!$D$2:$D$607,$R$2,Lançamentos!$G$2:$G$607,$R$3,Lançamentos!$B$2:$B$607,$R$4),0)</f>
        <v>0</v>
      </c>
      <c r="AQ53" s="3" t="n">
        <f aca="false">IF(AND(AO53&gt;=$F$5,AO53&lt;=$H$5),-SUMIFS(Lançamentos!$J$2:$J$607,Lançamentos!$A$2:$A$607,$AO53,Lançamentos!$C$2:$C$607,$R$1,Lançamentos!$D$2:$D$607,$R$2,Lançamentos!$G$2:$G$607,$R$3,Lançamentos!$B$2:$B$607,$R$4),0)</f>
        <v>-120.1</v>
      </c>
      <c r="AV53" s="0" t="str">
        <f aca="false">IFERROR(INDEX($AX$1:$AX$94,MATCH(52,$AY$1:$AY$94,0)),"")</f>
        <v>2522444420</v>
      </c>
      <c r="AW53" s="3" t="s">
        <v>85</v>
      </c>
      <c r="AX53" s="3" t="s">
        <v>170</v>
      </c>
      <c r="AY53" s="3" t="n">
        <f aca="false">IF(OR($A$5="Todos",AW53=$A$5),MAX(AY$1:AY52)+1,0)</f>
        <v>53</v>
      </c>
    </row>
    <row r="54" customFormat="false" ht="15" hidden="false" customHeight="false" outlineLevel="0" collapsed="false">
      <c r="A54" s="36" t="str">
        <f aca="false">IF(IFERROR(MATCH(21,$AB$40:$AB$133,0),0)=0,"",INDEX($T$40:$T$133,IFERROR(MATCH(21,$AB$40:$AB$133,0),0)))</f>
        <v>CW2-BR-25A</v>
      </c>
      <c r="B54" s="36" t="str">
        <f aca="false">IF(IFERROR(MATCH(21,$AB$40:$AB$133,0),0)=0,"",INDEX($AG$40:$AG$133,IFERROR(MATCH(21,$AB$40:$AB$133,0),0)))</f>
        <v>252350301</v>
      </c>
      <c r="C54" s="37" t="str">
        <f aca="false">IF(IFERROR(MATCH(21,$AB$40:$AB$133,0),0)=0,"",INDEX($U$40:$U$133,IFERROR(MATCH(21,$AB$40:$AB$133,0),0)))</f>
        <v>KG</v>
      </c>
      <c r="D54" s="38" t="n">
        <f aca="false">IF(IFERROR(MATCH(21,$AB$40:$AB$133,0),0)=0,"",INDEX($V$40:$V$133,IFERROR(MATCH(21,$AB$40:$AB$133,0),0)))</f>
        <v>0</v>
      </c>
      <c r="E54" s="38" t="n">
        <f aca="false">IF(IFERROR(MATCH(21,$AB$40:$AB$133,0),0)=0,"",INDEX($W$40:$W$133,IFERROR(MATCH(21,$AB$40:$AB$133,0),0)))</f>
        <v>602.9</v>
      </c>
      <c r="F54" s="38" t="n">
        <f aca="false">IF(IFERROR(MATCH(21,$AB$40:$AB$133,0),0)=0,"",INDEX($X$40:$X$133,IFERROR(MATCH(21,$AB$40:$AB$133,0),0)))</f>
        <v>301.5</v>
      </c>
      <c r="G54" s="38" t="n">
        <f aca="false">IF(A54="","",E54-F54)</f>
        <v>301.4</v>
      </c>
      <c r="H54" s="38" t="n">
        <f aca="false">IF(IFERROR(MATCH(21,$AB$40:$AB$133,0),0)=0,"",INDEX($Y$40:$Y$133,IFERROR(MATCH(21,$AB$40:$AB$133,0),0)))</f>
        <v>321.5</v>
      </c>
      <c r="I54" s="39" t="n">
        <f aca="false">IF(IFERROR(MATCH(21,$AB$40:$AB$133,0),0)=0,"",INDEX($Z$40:$Z$133,IFERROR(MATCH(21,$AB$40:$AB$133,0),0)))</f>
        <v>20.1</v>
      </c>
      <c r="J54" s="40" t="str">
        <f aca="false">IF(IFERROR(MATCH(21,$AB$40:$AB$133,0),0)=0,"",INDEX($AC$40:$AC$133,IFERROR(MATCH(21,$AB$40:$AB$133,0),0)))</f>
        <v>Sobrando</v>
      </c>
      <c r="K54" s="41" t="n">
        <f aca="false">IF(IFERROR(MATCH(21,$AB$40:$AB$133,0),0)=0,"",INDEX($AD$40:$AD$133,IFERROR(MATCH(21,$AB$40:$AB$133,0),0)))</f>
        <v>5</v>
      </c>
      <c r="L54" s="42" t="str">
        <f aca="false">IF(IFERROR(MATCH(21,$AB$40:$AB$133,0),0)=0,"",INDEX($AE$40:$AE$133,IFERROR(MATCH(21,$AB$40:$AB$133,0),0))&amp;"")</f>
        <v>CA MOEDAS 2,01KG/UC 10UC/CX 30CX/PAL</v>
      </c>
      <c r="T54" s="3" t="s">
        <v>27</v>
      </c>
      <c r="U54" s="3" t="s">
        <v>4</v>
      </c>
      <c r="V54" s="3" t="n">
        <f aca="false">SUMIFS(Lançamentos!$H$2:$H$607,Lançamentos!$A$2:$A$607,"&gt;="&amp;$F$5,Lançamentos!$A$2:$A$607,"&lt;="&amp;$H$5,Lançamentos!$C$2:$C$607,$T54,Lançamentos!$D$2:$D$607,$AG54,Lançamentos!$B$2:$B$607,"Recebido no 2008")</f>
        <v>0</v>
      </c>
      <c r="W54" s="3" t="n">
        <f aca="false">SUMIFS(Lançamentos!$I$2:$I$607,Lançamentos!$A$2:$A$607,"&gt;="&amp;$F$5,Lançamentos!$A$2:$A$607,"&lt;="&amp;$H$5,Lançamentos!$C$2:$C$607,$T54,Lançamentos!$D$2:$D$607,$AG54)</f>
        <v>180.9</v>
      </c>
      <c r="X54" s="3" t="n">
        <f aca="false">SUMIFS(Lançamentos!$J$2:$J$607,Lançamentos!$A$2:$A$607,"&gt;="&amp;$F$5,Lançamentos!$A$2:$A$607,"&lt;="&amp;$H$5,Lançamentos!$C$2:$C$607,$T54,Lançamentos!$D$2:$D$607,$AG54)</f>
        <v>180.9</v>
      </c>
      <c r="Y54" s="3" t="n">
        <f aca="false">SUMIFS('Estoque físico'!$J$2:$J$229,'Estoque físico'!$A$2:$A$229,$T54,'Estoque físico'!$B$2:$B$229,$AG54)</f>
        <v>273.36</v>
      </c>
      <c r="Z54" s="3" t="n">
        <f aca="false">ROUND(Y54-(W54-X54),3)</f>
        <v>273.36</v>
      </c>
      <c r="AA54" s="3" t="n">
        <f aca="false">IF(AND(U54=$R$3,OR($R$1="*",T54=$R$1),OR($R$2="*",AG54=$R$2),ABS(V54)+ABS(W54)+ABS(X54)+ABS(Y54)&gt;0),1,0)</f>
        <v>1</v>
      </c>
      <c r="AB54" s="3" t="n">
        <f aca="false">IF(AA54=1,SUM(AA$40:AA54),"")</f>
        <v>13</v>
      </c>
      <c r="AC54" s="0" t="str">
        <f aca="false">IF(ABS(Z54)&lt;=$R$5,"Confere",IF(Z54&gt;0,"Sobrando","Faltando"))</f>
        <v>Sobrando</v>
      </c>
      <c r="AD54" s="3" t="n">
        <f aca="false">COUNTIFS(Lançamentos!$A$2:$A$607,"&gt;="&amp;$F$5,Lançamentos!$A$2:$A$607,"&lt;="&amp;$H$5,Lançamentos!$C$2:$C$607,$T54,Lançamentos!$D$2:$D$607,$AG54,Lançamentos!$B$2:$B$607,$R$4,Lançamentos!$G$2:$G$607,U54)</f>
        <v>5</v>
      </c>
      <c r="AE54" s="3" t="s">
        <v>119</v>
      </c>
      <c r="AF54" s="3" t="n">
        <f aca="false">IF(AND(AA54=1,AC54&lt;&gt;"Confere"),ABS(Z54)+ROW()/10000000,0)</f>
        <v>273.3600054</v>
      </c>
      <c r="AG54" s="3" t="s">
        <v>30</v>
      </c>
      <c r="AN54" s="3" t="s">
        <v>171</v>
      </c>
      <c r="AO54" s="43" t="n">
        <v>46288</v>
      </c>
      <c r="AP54" s="3" t="n">
        <f aca="false">IF(AND(AO54&gt;=$F$5,AO54&lt;=$H$5),SUMIFS(Lançamentos!$I$2:$I$607,Lançamentos!$A$2:$A$607,$AO54,Lançamentos!$C$2:$C$607,$R$1,Lançamentos!$D$2:$D$607,$R$2,Lançamentos!$G$2:$G$607,$R$3,Lançamentos!$B$2:$B$607,$R$4),0)</f>
        <v>6467.92</v>
      </c>
      <c r="AQ54" s="3" t="n">
        <f aca="false">IF(AND(AO54&gt;=$F$5,AO54&lt;=$H$5),-SUMIFS(Lançamentos!$J$2:$J$607,Lançamentos!$A$2:$A$607,$AO54,Lançamentos!$C$2:$C$607,$R$1,Lançamentos!$D$2:$D$607,$R$2,Lançamentos!$G$2:$G$607,$R$3,Lançamentos!$B$2:$B$607,$R$4),0)</f>
        <v>-134.5</v>
      </c>
      <c r="AV54" s="0" t="str">
        <f aca="false">IFERROR(INDEX($AX$1:$AX$94,MATCH(53,$AY$1:$AY$94,0)),"")</f>
        <v>2525950306</v>
      </c>
      <c r="AW54" s="3" t="s">
        <v>85</v>
      </c>
      <c r="AX54" s="3" t="s">
        <v>172</v>
      </c>
      <c r="AY54" s="3" t="n">
        <f aca="false">IF(OR($A$5="Todos",AW54=$A$5),MAX(AY$1:AY53)+1,0)</f>
        <v>54</v>
      </c>
    </row>
    <row r="55" customFormat="false" ht="15" hidden="false" customHeight="false" outlineLevel="0" collapsed="false">
      <c r="A55" s="36" t="str">
        <f aca="false">IF(IFERROR(MATCH(22,$AB$40:$AB$133,0),0)=0,"",INDEX($T$40:$T$133,IFERROR(MATCH(22,$AB$40:$AB$133,0),0)))</f>
        <v>811-BR-25A</v>
      </c>
      <c r="B55" s="36" t="str">
        <f aca="false">IF(IFERROR(MATCH(22,$AB$40:$AB$133,0),0)=0,"",INDEX($AG$40:$AG$133,IFERROR(MATCH(22,$AB$40:$AB$133,0),0)))</f>
        <v>252450301</v>
      </c>
      <c r="C55" s="37" t="str">
        <f aca="false">IF(IFERROR(MATCH(22,$AB$40:$AB$133,0),0)=0,"",INDEX($U$40:$U$133,IFERROR(MATCH(22,$AB$40:$AB$133,0),0)))</f>
        <v>KG</v>
      </c>
      <c r="D55" s="38" t="n">
        <f aca="false">IF(IFERROR(MATCH(22,$AB$40:$AB$133,0),0)=0,"",INDEX($V$40:$V$133,IFERROR(MATCH(22,$AB$40:$AB$133,0),0)))</f>
        <v>0</v>
      </c>
      <c r="E55" s="38" t="n">
        <f aca="false">IF(IFERROR(MATCH(22,$AB$40:$AB$133,0),0)=0,"",INDEX($W$40:$W$133,IFERROR(MATCH(22,$AB$40:$AB$133,0),0)))</f>
        <v>2733.6</v>
      </c>
      <c r="F55" s="38" t="n">
        <f aca="false">IF(IFERROR(MATCH(22,$AB$40:$AB$133,0),0)=0,"",INDEX($X$40:$X$133,IFERROR(MATCH(22,$AB$40:$AB$133,0),0)))</f>
        <v>1206</v>
      </c>
      <c r="G55" s="38" t="n">
        <f aca="false">IF(A55="","",E55-F55)</f>
        <v>1527.6</v>
      </c>
      <c r="H55" s="38" t="n">
        <f aca="false">IF(IFERROR(MATCH(22,$AB$40:$AB$133,0),0)=0,"",INDEX($Y$40:$Y$133,IFERROR(MATCH(22,$AB$40:$AB$133,0),0)))</f>
        <v>1547.7</v>
      </c>
      <c r="I55" s="39" t="n">
        <f aca="false">IF(IFERROR(MATCH(22,$AB$40:$AB$133,0),0)=0,"",INDEX($Z$40:$Z$133,IFERROR(MATCH(22,$AB$40:$AB$133,0),0)))</f>
        <v>20.1</v>
      </c>
      <c r="J55" s="40" t="str">
        <f aca="false">IF(IFERROR(MATCH(22,$AB$40:$AB$133,0),0)=0,"",INDEX($AC$40:$AC$133,IFERROR(MATCH(22,$AB$40:$AB$133,0),0)))</f>
        <v>Sobrando</v>
      </c>
      <c r="K55" s="41" t="n">
        <f aca="false">IF(IFERROR(MATCH(22,$AB$40:$AB$133,0),0)=0,"",INDEX($AD$40:$AD$133,IFERROR(MATCH(22,$AB$40:$AB$133,0),0)))</f>
        <v>7</v>
      </c>
      <c r="L55" s="42" t="str">
        <f aca="false">IF(IFERROR(MATCH(22,$AB$40:$AB$133,0),0)=0,"",INDEX($AE$40:$AE$133,IFERROR(MATCH(22,$AB$40:$AB$133,0),0))&amp;"")</f>
        <v>CA MOEDAS 2,01KG/UC 10UC/CX 30CX/PAL</v>
      </c>
      <c r="T55" s="3" t="s">
        <v>75</v>
      </c>
      <c r="U55" s="3" t="s">
        <v>4</v>
      </c>
      <c r="V55" s="3" t="n">
        <f aca="false">SUMIFS(Lançamentos!$H$2:$H$607,Lançamentos!$A$2:$A$607,"&gt;="&amp;$F$5,Lançamentos!$A$2:$A$607,"&lt;="&amp;$H$5,Lançamentos!$C$2:$C$607,$T55,Lançamentos!$D$2:$D$607,$AG55,Lançamentos!$B$2:$B$607,"Recebido no 2008")</f>
        <v>1920</v>
      </c>
      <c r="W55" s="3" t="n">
        <f aca="false">SUMIFS(Lançamentos!$I$2:$I$607,Lançamentos!$A$2:$A$607,"&gt;="&amp;$F$5,Lançamentos!$A$2:$A$607,"&lt;="&amp;$H$5,Lançamentos!$C$2:$C$607,$T55,Lançamentos!$D$2:$D$607,$AG55)</f>
        <v>960</v>
      </c>
      <c r="X55" s="3" t="n">
        <f aca="false">SUMIFS(Lançamentos!$J$2:$J$607,Lançamentos!$A$2:$A$607,"&gt;="&amp;$F$5,Lançamentos!$A$2:$A$607,"&lt;="&amp;$H$5,Lançamentos!$C$2:$C$607,$T55,Lançamentos!$D$2:$D$607,$AG55)</f>
        <v>176</v>
      </c>
      <c r="Y55" s="3" t="n">
        <f aca="false">SUMIFS('Estoque físico'!$J$2:$J$229,'Estoque físico'!$A$2:$A$229,$T55,'Estoque físico'!$B$2:$B$229,$AG55)</f>
        <v>1032</v>
      </c>
      <c r="Z55" s="3" t="n">
        <f aca="false">ROUND(Y55-(W55-X55),3)</f>
        <v>248</v>
      </c>
      <c r="AA55" s="3" t="n">
        <f aca="false">IF(AND(U55=$R$3,OR($R$1="*",T55=$R$1),OR($R$2="*",AG55=$R$2),ABS(V55)+ABS(W55)+ABS(X55)+ABS(Y55)&gt;0),1,0)</f>
        <v>1</v>
      </c>
      <c r="AB55" s="3" t="n">
        <f aca="false">IF(AA55=1,SUM(AA$40:AA55),"")</f>
        <v>14</v>
      </c>
      <c r="AC55" s="0" t="str">
        <f aca="false">IF(ABS(Z55)&lt;=$R$5,"Confere",IF(Z55&gt;0,"Sobrando","Faltando"))</f>
        <v>Sobrando</v>
      </c>
      <c r="AD55" s="3" t="n">
        <f aca="false">COUNTIFS(Lançamentos!$A$2:$A$607,"&gt;="&amp;$F$5,Lançamentos!$A$2:$A$607,"&lt;="&amp;$H$5,Lançamentos!$C$2:$C$607,$T55,Lançamentos!$D$2:$D$607,$AG55,Lançamentos!$B$2:$B$607,$R$4,Lançamentos!$G$2:$G$607,U55)</f>
        <v>20</v>
      </c>
      <c r="AE55" s="3" t="s">
        <v>173</v>
      </c>
      <c r="AF55" s="3" t="n">
        <f aca="false">IF(AND(AA55=1,AC55&lt;&gt;"Confere"),ABS(Z55)+ROW()/10000000,0)</f>
        <v>248.0000055</v>
      </c>
      <c r="AG55" s="3" t="s">
        <v>143</v>
      </c>
      <c r="AN55" s="3" t="s">
        <v>174</v>
      </c>
      <c r="AO55" s="43" t="n">
        <v>46289</v>
      </c>
      <c r="AP55" s="3" t="n">
        <f aca="false">IF(AND(AO55&gt;=$F$5,AO55&lt;=$H$5),SUMIFS(Lançamentos!$I$2:$I$607,Lançamentos!$A$2:$A$607,$AO55,Lançamentos!$C$2:$C$607,$R$1,Lançamentos!$D$2:$D$607,$R$2,Lançamentos!$G$2:$G$607,$R$3,Lançamentos!$B$2:$B$607,$R$4),0)</f>
        <v>17483.8</v>
      </c>
      <c r="AQ55" s="3" t="n">
        <f aca="false">IF(AND(AO55&gt;=$F$5,AO55&lt;=$H$5),-SUMIFS(Lançamentos!$J$2:$J$607,Lançamentos!$A$2:$A$607,$AO55,Lançamentos!$C$2:$C$607,$R$1,Lançamentos!$D$2:$D$607,$R$2,Lançamentos!$G$2:$G$607,$R$3,Lançamentos!$B$2:$B$607,$R$4),0)</f>
        <v>-310.1</v>
      </c>
      <c r="AV55" s="0" t="str">
        <f aca="false">IFERROR(INDEX($AX$1:$AX$94,MATCH(54,$AY$1:$AY$94,0)),"")</f>
        <v>2526050307</v>
      </c>
      <c r="AW55" s="3" t="s">
        <v>88</v>
      </c>
      <c r="AX55" s="3" t="s">
        <v>124</v>
      </c>
      <c r="AY55" s="3" t="n">
        <f aca="false">IF(OR($A$5="Todos",AW55=$A$5),MAX(AY$1:AY54)+1,0)</f>
        <v>55</v>
      </c>
    </row>
    <row r="56" customFormat="false" ht="15" hidden="false" customHeight="false" outlineLevel="0" collapsed="false">
      <c r="A56" s="36" t="str">
        <f aca="false">IF(IFERROR(MATCH(23,$AB$40:$AB$133,0),0)=0,"",INDEX($T$40:$T$133,IFERROR(MATCH(23,$AB$40:$AB$133,0),0)))</f>
        <v>W3-BR-25A</v>
      </c>
      <c r="B56" s="36" t="str">
        <f aca="false">IF(IFERROR(MATCH(23,$AB$40:$AB$133,0),0)=0,"",INDEX($AG$40:$AG$133,IFERROR(MATCH(23,$AB$40:$AB$133,0),0)))</f>
        <v>261080301</v>
      </c>
      <c r="C56" s="37" t="str">
        <f aca="false">IF(IFERROR(MATCH(23,$AB$40:$AB$133,0),0)=0,"",INDEX($U$40:$U$133,IFERROR(MATCH(23,$AB$40:$AB$133,0),0)))</f>
        <v>KG</v>
      </c>
      <c r="D56" s="38" t="n">
        <f aca="false">IF(IFERROR(MATCH(23,$AB$40:$AB$133,0),0)=0,"",INDEX($V$40:$V$133,IFERROR(MATCH(23,$AB$40:$AB$133,0),0)))</f>
        <v>2995</v>
      </c>
      <c r="E56" s="38" t="n">
        <f aca="false">IF(IFERROR(MATCH(23,$AB$40:$AB$133,0),0)=0,"",INDEX($W$40:$W$133,IFERROR(MATCH(23,$AB$40:$AB$133,0),0)))</f>
        <v>3025.7</v>
      </c>
      <c r="F56" s="38" t="n">
        <f aca="false">IF(IFERROR(MATCH(23,$AB$40:$AB$133,0),0)=0,"",INDEX($X$40:$X$133,IFERROR(MATCH(23,$AB$40:$AB$133,0),0)))</f>
        <v>1366.8</v>
      </c>
      <c r="G56" s="38" t="n">
        <f aca="false">IF(A56="","",E56-F56)</f>
        <v>1658.9</v>
      </c>
      <c r="H56" s="38" t="n">
        <f aca="false">IF(IFERROR(MATCH(23,$AB$40:$AB$133,0),0)=0,"",INDEX($Y$40:$Y$133,IFERROR(MATCH(23,$AB$40:$AB$133,0),0)))</f>
        <v>1679</v>
      </c>
      <c r="I56" s="39" t="n">
        <f aca="false">IF(IFERROR(MATCH(23,$AB$40:$AB$133,0),0)=0,"",INDEX($Z$40:$Z$133,IFERROR(MATCH(23,$AB$40:$AB$133,0),0)))</f>
        <v>20.1</v>
      </c>
      <c r="J56" s="40" t="str">
        <f aca="false">IF(IFERROR(MATCH(23,$AB$40:$AB$133,0),0)=0,"",INDEX($AC$40:$AC$133,IFERROR(MATCH(23,$AB$40:$AB$133,0),0)))</f>
        <v>Sobrando</v>
      </c>
      <c r="K56" s="41" t="n">
        <f aca="false">IF(IFERROR(MATCH(23,$AB$40:$AB$133,0),0)=0,"",INDEX($AD$40:$AD$133,IFERROR(MATCH(23,$AB$40:$AB$133,0),0)))</f>
        <v>18</v>
      </c>
      <c r="L56" s="42" t="str">
        <f aca="false">IF(IFERROR(MATCH(23,$AB$40:$AB$133,0),0)=0,"",INDEX($AE$40:$AE$133,IFERROR(MATCH(23,$AB$40:$AB$133,0),0))&amp;"")</f>
        <v>CA MOEDAS 2,01KG/UC 10UC/CX 30CX/PAL</v>
      </c>
      <c r="T56" s="3" t="s">
        <v>20</v>
      </c>
      <c r="U56" s="3" t="s">
        <v>4</v>
      </c>
      <c r="V56" s="3" t="n">
        <f aca="false">SUMIFS(Lançamentos!$H$2:$H$607,Lançamentos!$A$2:$A$607,"&gt;="&amp;$F$5,Lançamentos!$A$2:$A$607,"&lt;="&amp;$H$5,Lançamentos!$C$2:$C$607,$T56,Lançamentos!$D$2:$D$607,$AG56,Lançamentos!$B$2:$B$607,"Recebido no 2008")</f>
        <v>0</v>
      </c>
      <c r="W56" s="3" t="n">
        <f aca="false">SUMIFS(Lançamentos!$I$2:$I$607,Lançamentos!$A$2:$A$607,"&gt;="&amp;$F$5,Lançamentos!$A$2:$A$607,"&lt;="&amp;$H$5,Lançamentos!$C$2:$C$607,$T56,Lançamentos!$D$2:$D$607,$AG56)</f>
        <v>940.8</v>
      </c>
      <c r="X56" s="3" t="n">
        <f aca="false">SUMIFS(Lançamentos!$J$2:$J$607,Lançamentos!$A$2:$A$607,"&gt;="&amp;$F$5,Lançamentos!$A$2:$A$607,"&lt;="&amp;$H$5,Lançamentos!$C$2:$C$607,$T56,Lançamentos!$D$2:$D$607,$AG56)</f>
        <v>781.2</v>
      </c>
      <c r="Y56" s="3" t="n">
        <f aca="false">SUMIFS('Estoque físico'!$J$2:$J$229,'Estoque físico'!$A$2:$A$229,$T56,'Estoque físico'!$B$2:$B$229,$AG56)</f>
        <v>333.2</v>
      </c>
      <c r="Z56" s="3" t="n">
        <f aca="false">ROUND(Y56-(W56-X56),3)</f>
        <v>173.6</v>
      </c>
      <c r="AA56" s="3" t="n">
        <f aca="false">IF(AND(U56=$R$3,OR($R$1="*",T56=$R$1),OR($R$2="*",AG56=$R$2),ABS(V56)+ABS(W56)+ABS(X56)+ABS(Y56)&gt;0),1,0)</f>
        <v>1</v>
      </c>
      <c r="AB56" s="3" t="n">
        <f aca="false">IF(AA56=1,SUM(AA$40:AA56),"")</f>
        <v>15</v>
      </c>
      <c r="AC56" s="0" t="str">
        <f aca="false">IF(ABS(Z56)&lt;=$R$5,"Confere",IF(Z56&gt;0,"Sobrando","Faltando"))</f>
        <v>Sobrando</v>
      </c>
      <c r="AD56" s="3" t="n">
        <f aca="false">COUNTIFS(Lançamentos!$A$2:$A$607,"&gt;="&amp;$F$5,Lançamentos!$A$2:$A$607,"&lt;="&amp;$H$5,Lançamentos!$C$2:$C$607,$T56,Lançamentos!$D$2:$D$607,$AG56,Lançamentos!$B$2:$B$607,$R$4,Lançamentos!$G$2:$G$607,U56)</f>
        <v>26</v>
      </c>
      <c r="AE56" s="3" t="s">
        <v>141</v>
      </c>
      <c r="AF56" s="3" t="n">
        <f aca="false">IF(AND(AA56=1,AC56&lt;&gt;"Confere"),ABS(Z56)+ROW()/10000000,0)</f>
        <v>173.6000056</v>
      </c>
      <c r="AG56" s="3" t="s">
        <v>21</v>
      </c>
      <c r="AN56" s="3" t="s">
        <v>175</v>
      </c>
      <c r="AO56" s="43" t="n">
        <v>46290</v>
      </c>
      <c r="AP56" s="3" t="n">
        <f aca="false">IF(AND(AO56&gt;=$F$5,AO56&lt;=$H$5),SUMIFS(Lançamentos!$I$2:$I$607,Lançamentos!$A$2:$A$607,$AO56,Lançamentos!$C$2:$C$607,$R$1,Lançamentos!$D$2:$D$607,$R$2,Lançamentos!$G$2:$G$607,$R$3,Lançamentos!$B$2:$B$607,$R$4),0)</f>
        <v>0</v>
      </c>
      <c r="AQ56" s="3" t="n">
        <f aca="false">IF(AND(AO56&gt;=$F$5,AO56&lt;=$H$5),-SUMIFS(Lançamentos!$J$2:$J$607,Lançamentos!$A$2:$A$607,$AO56,Lançamentos!$C$2:$C$607,$R$1,Lançamentos!$D$2:$D$607,$R$2,Lançamentos!$G$2:$G$607,$R$3,Lançamentos!$B$2:$B$607,$R$4),0)</f>
        <v>-4832.1</v>
      </c>
      <c r="AV56" s="0" t="str">
        <f aca="false">IFERROR(INDEX($AX$1:$AX$94,MATCH(55,$AY$1:$AY$94,0)),"")</f>
        <v>2605567696</v>
      </c>
      <c r="AW56" s="3" t="s">
        <v>100</v>
      </c>
      <c r="AX56" s="3" t="s">
        <v>176</v>
      </c>
      <c r="AY56" s="3" t="n">
        <f aca="false">IF(OR($A$5="Todos",AW56=$A$5),MAX(AY$1:AY55)+1,0)</f>
        <v>56</v>
      </c>
    </row>
    <row r="57" customFormat="false" ht="15" hidden="false" customHeight="false" outlineLevel="0" collapsed="false">
      <c r="A57" s="36" t="str">
        <f aca="false">IF(IFERROR(MATCH(24,$AB$40:$AB$133,0),0)=0,"",INDEX($T$40:$T$133,IFERROR(MATCH(24,$AB$40:$AB$133,0),0)))</f>
        <v>2665-E4-U71</v>
      </c>
      <c r="B57" s="36" t="str">
        <f aca="false">IF(IFERROR(MATCH(24,$AB$40:$AB$133,0),0)=0,"",INDEX($AG$40:$AG$133,IFERROR(MATCH(24,$AB$40:$AB$133,0),0)))</f>
        <v>252800202</v>
      </c>
      <c r="C57" s="37" t="str">
        <f aca="false">IF(IFERROR(MATCH(24,$AB$40:$AB$133,0),0)=0,"",INDEX($U$40:$U$133,IFERROR(MATCH(24,$AB$40:$AB$133,0),0)))</f>
        <v>KG</v>
      </c>
      <c r="D57" s="38" t="n">
        <f aca="false">IF(IFERROR(MATCH(24,$AB$40:$AB$133,0),0)=0,"",INDEX($V$40:$V$133,IFERROR(MATCH(24,$AB$40:$AB$133,0),0)))</f>
        <v>0</v>
      </c>
      <c r="E57" s="38" t="n">
        <f aca="false">IF(IFERROR(MATCH(24,$AB$40:$AB$133,0),0)=0,"",INDEX($W$40:$W$133,IFERROR(MATCH(24,$AB$40:$AB$133,0),0)))</f>
        <v>1200</v>
      </c>
      <c r="F57" s="38" t="n">
        <f aca="false">IF(IFERROR(MATCH(24,$AB$40:$AB$133,0),0)=0,"",INDEX($X$40:$X$133,IFERROR(MATCH(24,$AB$40:$AB$133,0),0)))</f>
        <v>0</v>
      </c>
      <c r="G57" s="38" t="n">
        <f aca="false">IF(A57="","",E57-F57)</f>
        <v>1200</v>
      </c>
      <c r="H57" s="38" t="n">
        <f aca="false">IF(IFERROR(MATCH(24,$AB$40:$AB$133,0),0)=0,"",INDEX($Y$40:$Y$133,IFERROR(MATCH(24,$AB$40:$AB$133,0),0)))</f>
        <v>1200</v>
      </c>
      <c r="I57" s="39" t="n">
        <f aca="false">IF(IFERROR(MATCH(24,$AB$40:$AB$133,0),0)=0,"",INDEX($Z$40:$Z$133,IFERROR(MATCH(24,$AB$40:$AB$133,0),0)))</f>
        <v>0</v>
      </c>
      <c r="J57" s="40" t="str">
        <f aca="false">IF(IFERROR(MATCH(24,$AB$40:$AB$133,0),0)=0,"",INDEX($AC$40:$AC$133,IFERROR(MATCH(24,$AB$40:$AB$133,0),0)))</f>
        <v>Confere</v>
      </c>
      <c r="K57" s="41" t="n">
        <f aca="false">IF(IFERROR(MATCH(24,$AB$40:$AB$133,0),0)=0,"",INDEX($AD$40:$AD$133,IFERROR(MATCH(24,$AB$40:$AB$133,0),0)))</f>
        <v>2</v>
      </c>
      <c r="L57" s="42" t="str">
        <f aca="false">IF(IFERROR(MATCH(24,$AB$40:$AB$133,0),0)=0,"",INDEX($AE$40:$AE$133,IFERROR(MATCH(24,$AB$40:$AB$133,0),0))&amp;"")</f>
        <v/>
      </c>
      <c r="T57" s="3" t="s">
        <v>110</v>
      </c>
      <c r="U57" s="3" t="s">
        <v>4</v>
      </c>
      <c r="V57" s="3" t="n">
        <f aca="false">SUMIFS(Lançamentos!$H$2:$H$607,Lançamentos!$A$2:$A$607,"&gt;="&amp;$F$5,Lançamentos!$A$2:$A$607,"&lt;="&amp;$H$5,Lançamentos!$C$2:$C$607,$T57,Lançamentos!$D$2:$D$607,$AG57,Lançamentos!$B$2:$B$607,"Recebido no 2008")</f>
        <v>40</v>
      </c>
      <c r="W57" s="3" t="n">
        <f aca="false">SUMIFS(Lançamentos!$I$2:$I$607,Lançamentos!$A$2:$A$607,"&gt;="&amp;$F$5,Lançamentos!$A$2:$A$607,"&lt;="&amp;$H$5,Lançamentos!$C$2:$C$607,$T57,Lançamentos!$D$2:$D$607,$AG57)</f>
        <v>2271.3</v>
      </c>
      <c r="X57" s="3" t="n">
        <f aca="false">SUMIFS(Lançamentos!$J$2:$J$607,Lançamentos!$A$2:$A$607,"&gt;="&amp;$F$5,Lançamentos!$A$2:$A$607,"&lt;="&amp;$H$5,Lançamentos!$C$2:$C$607,$T57,Lançamentos!$D$2:$D$607,$AG57)</f>
        <v>562.8</v>
      </c>
      <c r="Y57" s="3" t="n">
        <f aca="false">SUMIFS('Estoque físico'!$J$2:$J$229,'Estoque físico'!$A$2:$A$229,$T57,'Estoque físico'!$B$2:$B$229,$AG57)</f>
        <v>1829.1</v>
      </c>
      <c r="Z57" s="3" t="n">
        <f aca="false">ROUND(Y57-(W57-X57),3)</f>
        <v>120.6</v>
      </c>
      <c r="AA57" s="3" t="n">
        <f aca="false">IF(AND(U57=$R$3,OR($R$1="*",T57=$R$1),OR($R$2="*",AG57=$R$2),ABS(V57)+ABS(W57)+ABS(X57)+ABS(Y57)&gt;0),1,0)</f>
        <v>1</v>
      </c>
      <c r="AB57" s="3" t="n">
        <f aca="false">IF(AA57=1,SUM(AA$40:AA57),"")</f>
        <v>16</v>
      </c>
      <c r="AC57" s="0" t="str">
        <f aca="false">IF(ABS(Z57)&lt;=$R$5,"Confere",IF(Z57&gt;0,"Sobrando","Faltando"))</f>
        <v>Sobrando</v>
      </c>
      <c r="AD57" s="3" t="n">
        <f aca="false">COUNTIFS(Lançamentos!$A$2:$A$607,"&gt;="&amp;$F$5,Lançamentos!$A$2:$A$607,"&lt;="&amp;$H$5,Lançamentos!$C$2:$C$607,$T57,Lançamentos!$D$2:$D$607,$AG57,Lançamentos!$B$2:$B$607,$R$4,Lançamentos!$G$2:$G$607,U57)</f>
        <v>15</v>
      </c>
      <c r="AE57" s="3" t="s">
        <v>119</v>
      </c>
      <c r="AF57" s="3" t="n">
        <f aca="false">IF(AND(AA57=1,AC57&lt;&gt;"Confere"),ABS(Z57)+ROW()/10000000,0)</f>
        <v>120.6000057</v>
      </c>
      <c r="AG57" s="3" t="s">
        <v>177</v>
      </c>
      <c r="AN57" s="3" t="s">
        <v>178</v>
      </c>
      <c r="AO57" s="43" t="n">
        <v>46291</v>
      </c>
      <c r="AP57" s="3" t="n">
        <f aca="false">IF(AND(AO57&gt;=$F$5,AO57&lt;=$H$5),SUMIFS(Lançamentos!$I$2:$I$607,Lançamentos!$A$2:$A$607,$AO57,Lançamentos!$C$2:$C$607,$R$1,Lançamentos!$D$2:$D$607,$R$2,Lançamentos!$G$2:$G$607,$R$3,Lançamentos!$B$2:$B$607,$R$4),0)</f>
        <v>9865.5</v>
      </c>
      <c r="AQ57" s="3" t="n">
        <f aca="false">IF(AND(AO57&gt;=$F$5,AO57&lt;=$H$5),-SUMIFS(Lançamentos!$J$2:$J$607,Lançamentos!$A$2:$A$607,$AO57,Lançamentos!$C$2:$C$607,$R$1,Lançamentos!$D$2:$D$607,$R$2,Lançamentos!$G$2:$G$607,$R$3,Lançamentos!$B$2:$B$607,$R$4),0)</f>
        <v>-3904.2</v>
      </c>
      <c r="AV57" s="0" t="str">
        <f aca="false">IFERROR(INDEX($AX$1:$AX$94,MATCH(56,$AY$1:$AY$94,0)),"")</f>
        <v>260400301</v>
      </c>
      <c r="AW57" s="3" t="s">
        <v>102</v>
      </c>
      <c r="AX57" s="3" t="s">
        <v>179</v>
      </c>
      <c r="AY57" s="3" t="n">
        <f aca="false">IF(OR($A$5="Todos",AW57=$A$5),MAX(AY$1:AY56)+1,0)</f>
        <v>57</v>
      </c>
    </row>
    <row r="58" customFormat="false" ht="15" hidden="false" customHeight="false" outlineLevel="0" collapsed="false">
      <c r="A58" s="36" t="str">
        <f aca="false">IF(IFERROR(MATCH(25,$AB$40:$AB$133,0),0)=0,"",INDEX($T$40:$T$133,IFERROR(MATCH(25,$AB$40:$AB$133,0),0)))</f>
        <v>70-30-38-BR-25A</v>
      </c>
      <c r="B58" s="36" t="str">
        <f aca="false">IF(IFERROR(MATCH(25,$AB$40:$AB$133,0),0)=0,"",INDEX($AG$40:$AG$133,IFERROR(MATCH(25,$AB$40:$AB$133,0),0)))</f>
        <v>260070301</v>
      </c>
      <c r="C58" s="37" t="str">
        <f aca="false">IF(IFERROR(MATCH(25,$AB$40:$AB$133,0),0)=0,"",INDEX($U$40:$U$133,IFERROR(MATCH(25,$AB$40:$AB$133,0),0)))</f>
        <v>KG</v>
      </c>
      <c r="D58" s="38" t="n">
        <f aca="false">IF(IFERROR(MATCH(25,$AB$40:$AB$133,0),0)=0,"",INDEX($V$40:$V$133,IFERROR(MATCH(25,$AB$40:$AB$133,0),0)))</f>
        <v>0</v>
      </c>
      <c r="E58" s="38" t="n">
        <f aca="false">IF(IFERROR(MATCH(25,$AB$40:$AB$133,0),0)=0,"",INDEX($W$40:$W$133,IFERROR(MATCH(25,$AB$40:$AB$133,0),0)))</f>
        <v>3015</v>
      </c>
      <c r="F58" s="38" t="n">
        <f aca="false">IF(IFERROR(MATCH(25,$AB$40:$AB$133,0),0)=0,"",INDEX($X$40:$X$133,IFERROR(MATCH(25,$AB$40:$AB$133,0),0)))</f>
        <v>2673.3</v>
      </c>
      <c r="G58" s="38" t="n">
        <f aca="false">IF(A58="","",E58-F58)</f>
        <v>341.7</v>
      </c>
      <c r="H58" s="38" t="n">
        <f aca="false">IF(IFERROR(MATCH(25,$AB$40:$AB$133,0),0)=0,"",INDEX($Y$40:$Y$133,IFERROR(MATCH(25,$AB$40:$AB$133,0),0)))</f>
        <v>341.7</v>
      </c>
      <c r="I58" s="39" t="n">
        <f aca="false">IF(IFERROR(MATCH(25,$AB$40:$AB$133,0),0)=0,"",INDEX($Z$40:$Z$133,IFERROR(MATCH(25,$AB$40:$AB$133,0),0)))</f>
        <v>0</v>
      </c>
      <c r="J58" s="40" t="str">
        <f aca="false">IF(IFERROR(MATCH(25,$AB$40:$AB$133,0),0)=0,"",INDEX($AC$40:$AC$133,IFERROR(MATCH(25,$AB$40:$AB$133,0),0)))</f>
        <v>Confere</v>
      </c>
      <c r="K58" s="41" t="n">
        <f aca="false">IF(IFERROR(MATCH(25,$AB$40:$AB$133,0),0)=0,"",INDEX($AD$40:$AD$133,IFERROR(MATCH(25,$AB$40:$AB$133,0),0)))</f>
        <v>20</v>
      </c>
      <c r="L58" s="42" t="str">
        <f aca="false">IF(IFERROR(MATCH(25,$AB$40:$AB$133,0),0)=0,"",INDEX($AE$40:$AE$133,IFERROR(MATCH(25,$AB$40:$AB$133,0),0))&amp;"")</f>
        <v>CA MOEDAS 2,01KG/UC 10UC/CX 30CX/PAL</v>
      </c>
      <c r="T58" s="3" t="s">
        <v>131</v>
      </c>
      <c r="U58" s="3" t="s">
        <v>12</v>
      </c>
      <c r="V58" s="3" t="n">
        <f aca="false">SUMIFS(Lançamentos!$H$2:$H$607,Lançamentos!$A$2:$A$607,"&gt;="&amp;$F$5,Lançamentos!$A$2:$A$607,"&lt;="&amp;$H$5,Lançamentos!$C$2:$C$607,$T58,Lançamentos!$D$2:$D$607,$AG58,Lançamentos!$B$2:$B$607,"Recebido no 2008")</f>
        <v>0</v>
      </c>
      <c r="W58" s="3" t="n">
        <f aca="false">SUMIFS(Lançamentos!$I$2:$I$607,Lançamentos!$A$2:$A$607,"&gt;="&amp;$F$5,Lançamentos!$A$2:$A$607,"&lt;="&amp;$H$5,Lançamentos!$C$2:$C$607,$T58,Lançamentos!$D$2:$D$607,$AG58)</f>
        <v>-120</v>
      </c>
      <c r="X58" s="3" t="n">
        <f aca="false">SUMIFS(Lançamentos!$J$2:$J$607,Lançamentos!$A$2:$A$607,"&gt;="&amp;$F$5,Lançamentos!$A$2:$A$607,"&lt;="&amp;$H$5,Lançamentos!$C$2:$C$607,$T58,Lançamentos!$D$2:$D$607,$AG58)</f>
        <v>0</v>
      </c>
      <c r="Y58" s="3" t="n">
        <f aca="false">SUMIFS('Estoque físico'!$J$2:$J$229,'Estoque físico'!$A$2:$A$229,$T58,'Estoque físico'!$B$2:$B$229,$AG58)</f>
        <v>0</v>
      </c>
      <c r="Z58" s="3" t="n">
        <f aca="false">ROUND(Y58-(W58-X58),3)</f>
        <v>120</v>
      </c>
      <c r="AA58" s="3" t="n">
        <f aca="false">IF(AND(U58=$R$3,OR($R$1="*",T58=$R$1),OR($R$2="*",AG58=$R$2),ABS(V58)+ABS(W58)+ABS(X58)+ABS(Y58)&gt;0),1,0)</f>
        <v>0</v>
      </c>
      <c r="AB58" s="0" t="str">
        <f aca="false">IF(AA58=1,SUM(AA$40:AA58),"")</f>
        <v/>
      </c>
      <c r="AC58" s="0" t="str">
        <f aca="false">IF(ABS(Z58)&lt;=$R$5,"Confere",IF(Z58&gt;0,"Sobrando","Faltando"))</f>
        <v>Sobrando</v>
      </c>
      <c r="AD58" s="3" t="n">
        <f aca="false">COUNTIFS(Lançamentos!$A$2:$A$607,"&gt;="&amp;$F$5,Lançamentos!$A$2:$A$607,"&lt;="&amp;$H$5,Lançamentos!$C$2:$C$607,$T58,Lançamentos!$D$2:$D$607,$AG58,Lançamentos!$B$2:$B$607,$R$4,Lançamentos!$G$2:$G$607,U58)</f>
        <v>1</v>
      </c>
      <c r="AE58" s="3" t="s">
        <v>132</v>
      </c>
      <c r="AF58" s="3" t="n">
        <f aca="false">IF(AND(AA58=1,AC58&lt;&gt;"Confere"),ABS(Z58)+ROW()/10000000,0)</f>
        <v>0</v>
      </c>
      <c r="AG58" s="3" t="s">
        <v>180</v>
      </c>
      <c r="AN58" s="3" t="s">
        <v>181</v>
      </c>
      <c r="AO58" s="43" t="n">
        <v>46292</v>
      </c>
      <c r="AP58" s="3" t="n">
        <f aca="false">IF(AND(AO58&gt;=$F$5,AO58&lt;=$H$5),SUMIFS(Lançamentos!$I$2:$I$607,Lançamentos!$A$2:$A$607,$AO58,Lançamentos!$C$2:$C$607,$R$1,Lançamentos!$D$2:$D$607,$R$2,Lançamentos!$G$2:$G$607,$R$3,Lançamentos!$B$2:$B$607,$R$4),0)</f>
        <v>0</v>
      </c>
      <c r="AQ58" s="3" t="n">
        <f aca="false">IF(AND(AO58&gt;=$F$5,AO58&lt;=$H$5),-SUMIFS(Lançamentos!$J$2:$J$607,Lançamentos!$A$2:$A$607,$AO58,Lançamentos!$C$2:$C$607,$R$1,Lançamentos!$D$2:$D$607,$R$2,Lançamentos!$G$2:$G$607,$R$3,Lançamentos!$B$2:$B$607,$R$4),0)</f>
        <v>-2188.2</v>
      </c>
      <c r="AV58" s="0" t="str">
        <f aca="false">IFERROR(INDEX($AX$1:$AX$94,MATCH(57,$AY$1:$AY$94,0)),"")</f>
        <v>260600103</v>
      </c>
      <c r="AW58" s="3" t="s">
        <v>104</v>
      </c>
      <c r="AX58" s="3" t="s">
        <v>166</v>
      </c>
      <c r="AY58" s="3" t="n">
        <f aca="false">IF(OR($A$5="Todos",AW58=$A$5),MAX(AY$1:AY57)+1,0)</f>
        <v>58</v>
      </c>
    </row>
    <row r="59" customFormat="false" ht="15" hidden="false" customHeight="false" outlineLevel="0" collapsed="false">
      <c r="A59" s="36" t="str">
        <f aca="false">IF(IFERROR(MATCH(26,$AB$40:$AB$133,0),0)=0,"",INDEX($T$40:$T$133,IFERROR(MATCH(26,$AB$40:$AB$133,0),0)))</f>
        <v>805-BR-D94</v>
      </c>
      <c r="B59" s="36" t="str">
        <f aca="false">IF(IFERROR(MATCH(26,$AB$40:$AB$133,0),0)=0,"",INDEX($AG$40:$AG$133,IFERROR(MATCH(26,$AB$40:$AB$133,0),0)))</f>
        <v>260130779</v>
      </c>
      <c r="C59" s="37" t="str">
        <f aca="false">IF(IFERROR(MATCH(26,$AB$40:$AB$133,0),0)=0,"",INDEX($U$40:$U$133,IFERROR(MATCH(26,$AB$40:$AB$133,0),0)))</f>
        <v>KG</v>
      </c>
      <c r="D59" s="38" t="n">
        <f aca="false">IF(IFERROR(MATCH(26,$AB$40:$AB$133,0),0)=0,"",INDEX($V$40:$V$133,IFERROR(MATCH(26,$AB$40:$AB$133,0),0)))</f>
        <v>0</v>
      </c>
      <c r="E59" s="38" t="n">
        <f aca="false">IF(IFERROR(MATCH(26,$AB$40:$AB$133,0),0)=0,"",INDEX($W$40:$W$133,IFERROR(MATCH(26,$AB$40:$AB$133,0),0)))</f>
        <v>142.8</v>
      </c>
      <c r="F59" s="38" t="n">
        <f aca="false">IF(IFERROR(MATCH(26,$AB$40:$AB$133,0),0)=0,"",INDEX($X$40:$X$133,IFERROR(MATCH(26,$AB$40:$AB$133,0),0)))</f>
        <v>0</v>
      </c>
      <c r="G59" s="38" t="n">
        <f aca="false">IF(A59="","",E59-F59)</f>
        <v>142.8</v>
      </c>
      <c r="H59" s="38" t="n">
        <f aca="false">IF(IFERROR(MATCH(26,$AB$40:$AB$133,0),0)=0,"",INDEX($Y$40:$Y$133,IFERROR(MATCH(26,$AB$40:$AB$133,0),0)))</f>
        <v>142.8</v>
      </c>
      <c r="I59" s="39" t="n">
        <f aca="false">IF(IFERROR(MATCH(26,$AB$40:$AB$133,0),0)=0,"",INDEX($Z$40:$Z$133,IFERROR(MATCH(26,$AB$40:$AB$133,0),0)))</f>
        <v>0</v>
      </c>
      <c r="J59" s="40" t="str">
        <f aca="false">IF(IFERROR(MATCH(26,$AB$40:$AB$133,0),0)=0,"",INDEX($AC$40:$AC$133,IFERROR(MATCH(26,$AB$40:$AB$133,0),0)))</f>
        <v>Confere</v>
      </c>
      <c r="K59" s="41" t="n">
        <f aca="false">IF(IFERROR(MATCH(26,$AB$40:$AB$133,0),0)=0,"",INDEX($AD$40:$AD$133,IFERROR(MATCH(26,$AB$40:$AB$133,0),0)))</f>
        <v>1</v>
      </c>
      <c r="L59" s="42" t="str">
        <f aca="false">IF(IFERROR(MATCH(26,$AB$40:$AB$133,0),0)=0,"",INDEX($AE$40:$AE$133,IFERROR(MATCH(26,$AB$40:$AB$133,0),0))&amp;"")</f>
        <v>CA MOEDAS 0,4KG/UC 7UC/CX 144CX/PAL</v>
      </c>
      <c r="T59" s="3" t="s">
        <v>69</v>
      </c>
      <c r="U59" s="3" t="s">
        <v>4</v>
      </c>
      <c r="V59" s="3" t="n">
        <f aca="false">SUMIFS(Lançamentos!$H$2:$H$607,Lançamentos!$A$2:$A$607,"&gt;="&amp;$F$5,Lançamentos!$A$2:$A$607,"&lt;="&amp;$H$5,Lançamentos!$C$2:$C$607,$T59,Lançamentos!$D$2:$D$607,$AG59,Lançamentos!$B$2:$B$607,"Recebido no 2008")</f>
        <v>0</v>
      </c>
      <c r="W59" s="3" t="n">
        <f aca="false">SUMIFS(Lançamentos!$I$2:$I$607,Lançamentos!$A$2:$A$607,"&gt;="&amp;$F$5,Lançamentos!$A$2:$A$607,"&lt;="&amp;$H$5,Lançamentos!$C$2:$C$607,$T59,Lançamentos!$D$2:$D$607,$AG59)</f>
        <v>40.2</v>
      </c>
      <c r="X59" s="3" t="n">
        <f aca="false">SUMIFS(Lançamentos!$J$2:$J$607,Lançamentos!$A$2:$A$607,"&gt;="&amp;$F$5,Lançamentos!$A$2:$A$607,"&lt;="&amp;$H$5,Lançamentos!$C$2:$C$607,$T59,Lançamentos!$D$2:$D$607,$AG59)</f>
        <v>40.2</v>
      </c>
      <c r="Y59" s="3" t="n">
        <f aca="false">SUMIFS('Estoque físico'!$J$2:$J$229,'Estoque físico'!$A$2:$A$229,$T59,'Estoque físico'!$B$2:$B$229,$AG59)</f>
        <v>116.58</v>
      </c>
      <c r="Z59" s="3" t="n">
        <f aca="false">ROUND(Y59-(W59-X59),3)</f>
        <v>116.58</v>
      </c>
      <c r="AA59" s="3" t="n">
        <f aca="false">IF(AND(U59=$R$3,OR($R$1="*",T59=$R$1),OR($R$2="*",AG59=$R$2),ABS(V59)+ABS(W59)+ABS(X59)+ABS(Y59)&gt;0),1,0)</f>
        <v>1</v>
      </c>
      <c r="AB59" s="3" t="n">
        <f aca="false">IF(AA59=1,SUM(AA$40:AA59),"")</f>
        <v>17</v>
      </c>
      <c r="AC59" s="0" t="str">
        <f aca="false">IF(ABS(Z59)&lt;=$R$5,"Confere",IF(Z59&gt;0,"Sobrando","Faltando"))</f>
        <v>Sobrando</v>
      </c>
      <c r="AD59" s="3" t="n">
        <f aca="false">COUNTIFS(Lançamentos!$A$2:$A$607,"&gt;="&amp;$F$5,Lançamentos!$A$2:$A$607,"&lt;="&amp;$H$5,Lançamentos!$C$2:$C$607,$T59,Lançamentos!$D$2:$D$607,$AG59,Lançamentos!$B$2:$B$607,$R$4,Lançamentos!$G$2:$G$607,U59)</f>
        <v>3</v>
      </c>
      <c r="AE59" s="3" t="s">
        <v>119</v>
      </c>
      <c r="AF59" s="3" t="n">
        <f aca="false">IF(AND(AA59=1,AC59&lt;&gt;"Confere"),ABS(Z59)+ROW()/10000000,0)</f>
        <v>116.5800059</v>
      </c>
      <c r="AG59" s="3" t="s">
        <v>127</v>
      </c>
      <c r="AN59" s="3" t="s">
        <v>182</v>
      </c>
      <c r="AO59" s="43" t="n">
        <v>46293</v>
      </c>
      <c r="AP59" s="3" t="n">
        <f aca="false">IF(AND(AO59&gt;=$F$5,AO59&lt;=$H$5),SUMIFS(Lançamentos!$I$2:$I$607,Lançamentos!$A$2:$A$607,$AO59,Lançamentos!$C$2:$C$607,$R$1,Lançamentos!$D$2:$D$607,$R$2,Lançamentos!$G$2:$G$607,$R$3,Lançamentos!$B$2:$B$607,$R$4),0)</f>
        <v>7172.8</v>
      </c>
      <c r="AQ59" s="3" t="n">
        <f aca="false">IF(AND(AO59&gt;=$F$5,AO59&lt;=$H$5),-SUMIFS(Lançamentos!$J$2:$J$607,Lançamentos!$A$2:$A$607,$AO59,Lançamentos!$C$2:$C$607,$R$1,Lançamentos!$D$2:$D$607,$R$2,Lançamentos!$G$2:$G$607,$R$3,Lançamentos!$B$2:$B$607,$R$4),0)</f>
        <v>-179.6</v>
      </c>
      <c r="AV59" s="0" t="str">
        <f aca="false">IFERROR(INDEX($AX$1:$AX$94,MATCH(58,$AY$1:$AY$94,0)),"")</f>
        <v>252843369</v>
      </c>
      <c r="AW59" s="3" t="s">
        <v>106</v>
      </c>
      <c r="AX59" s="3" t="s">
        <v>183</v>
      </c>
      <c r="AY59" s="3" t="n">
        <f aca="false">IF(OR($A$5="Todos",AW59=$A$5),MAX(AY$1:AY58)+1,0)</f>
        <v>59</v>
      </c>
    </row>
    <row r="60" customFormat="false" ht="15" hidden="false" customHeight="false" outlineLevel="0" collapsed="false">
      <c r="A60" s="36" t="str">
        <f aca="false">IF(IFERROR(MATCH(27,$AB$40:$AB$133,0),0)=0,"",INDEX($T$40:$T$133,IFERROR(MATCH(27,$AB$40:$AB$133,0),0)))</f>
        <v>811NV-132</v>
      </c>
      <c r="B60" s="36" t="str">
        <f aca="false">IF(IFERROR(MATCH(27,$AB$40:$AB$133,0),0)=0,"",INDEX($AG$40:$AG$133,IFERROR(MATCH(27,$AB$40:$AB$133,0),0)))</f>
        <v>252510301</v>
      </c>
      <c r="C60" s="37" t="str">
        <f aca="false">IF(IFERROR(MATCH(27,$AB$40:$AB$133,0),0)=0,"",INDEX($U$40:$U$133,IFERROR(MATCH(27,$AB$40:$AB$133,0),0)))</f>
        <v>KG</v>
      </c>
      <c r="D60" s="38" t="n">
        <f aca="false">IF(IFERROR(MATCH(27,$AB$40:$AB$133,0),0)=0,"",INDEX($V$40:$V$133,IFERROR(MATCH(27,$AB$40:$AB$133,0),0)))</f>
        <v>0</v>
      </c>
      <c r="E60" s="38" t="n">
        <f aca="false">IF(IFERROR(MATCH(27,$AB$40:$AB$133,0),0)=0,"",INDEX($W$40:$W$133,IFERROR(MATCH(27,$AB$40:$AB$133,0),0)))</f>
        <v>1500</v>
      </c>
      <c r="F60" s="38" t="n">
        <f aca="false">IF(IFERROR(MATCH(27,$AB$40:$AB$133,0),0)=0,"",INDEX($X$40:$X$133,IFERROR(MATCH(27,$AB$40:$AB$133,0),0)))</f>
        <v>0</v>
      </c>
      <c r="G60" s="38" t="n">
        <f aca="false">IF(A60="","",E60-F60)</f>
        <v>1500</v>
      </c>
      <c r="H60" s="38" t="n">
        <f aca="false">IF(IFERROR(MATCH(27,$AB$40:$AB$133,0),0)=0,"",INDEX($Y$40:$Y$133,IFERROR(MATCH(27,$AB$40:$AB$133,0),0)))</f>
        <v>1500</v>
      </c>
      <c r="I60" s="39" t="n">
        <f aca="false">IF(IFERROR(MATCH(27,$AB$40:$AB$133,0),0)=0,"",INDEX($Z$40:$Z$133,IFERROR(MATCH(27,$AB$40:$AB$133,0),0)))</f>
        <v>0</v>
      </c>
      <c r="J60" s="40" t="str">
        <f aca="false">IF(IFERROR(MATCH(27,$AB$40:$AB$133,0),0)=0,"",INDEX($AC$40:$AC$133,IFERROR(MATCH(27,$AB$40:$AB$133,0),0)))</f>
        <v>Confere</v>
      </c>
      <c r="K60" s="41" t="n">
        <f aca="false">IF(IFERROR(MATCH(27,$AB$40:$AB$133,0),0)=0,"",INDEX($AD$40:$AD$133,IFERROR(MATCH(27,$AB$40:$AB$133,0),0)))</f>
        <v>4</v>
      </c>
      <c r="L60" s="42" t="str">
        <f aca="false">IF(IFERROR(MATCH(27,$AB$40:$AB$133,0),0)=0,"",INDEX($AE$40:$AE$133,IFERROR(MATCH(27,$AB$40:$AB$133,0),0))&amp;"")</f>
        <v>96_FU:811NV-50C_CA BLOCKS 5KG/UC 5UC</v>
      </c>
      <c r="T60" s="3" t="s">
        <v>35</v>
      </c>
      <c r="U60" s="3" t="s">
        <v>4</v>
      </c>
      <c r="V60" s="3" t="n">
        <f aca="false">SUMIFS(Lançamentos!$H$2:$H$607,Lançamentos!$A$2:$A$607,"&gt;="&amp;$F$5,Lançamentos!$A$2:$A$607,"&lt;="&amp;$H$5,Lançamentos!$C$2:$C$607,$T60,Lançamentos!$D$2:$D$607,$AG60,Lançamentos!$B$2:$B$607,"Recebido no 2008")</f>
        <v>0</v>
      </c>
      <c r="W60" s="3" t="n">
        <f aca="false">SUMIFS(Lançamentos!$I$2:$I$607,Lançamentos!$A$2:$A$607,"&gt;="&amp;$F$5,Lançamentos!$A$2:$A$607,"&lt;="&amp;$H$5,Lançamentos!$C$2:$C$607,$T60,Lançamentos!$D$2:$D$607,$AG60)</f>
        <v>3612</v>
      </c>
      <c r="X60" s="3" t="n">
        <f aca="false">SUMIFS(Lançamentos!$J$2:$J$607,Lançamentos!$A$2:$A$607,"&gt;="&amp;$F$5,Lançamentos!$A$2:$A$607,"&lt;="&amp;$H$5,Lançamentos!$C$2:$C$607,$T60,Lançamentos!$D$2:$D$607,$AG60)</f>
        <v>80.4</v>
      </c>
      <c r="Y60" s="3" t="n">
        <f aca="false">SUMIFS('Estoque físico'!$J$2:$J$229,'Estoque físico'!$A$2:$A$229,$T60,'Estoque físico'!$B$2:$B$229,$AG60)</f>
        <v>3612</v>
      </c>
      <c r="Z60" s="3" t="n">
        <f aca="false">ROUND(Y60-(W60-X60),3)</f>
        <v>80.4</v>
      </c>
      <c r="AA60" s="3" t="n">
        <f aca="false">IF(AND(U60=$R$3,OR($R$1="*",T60=$R$1),OR($R$2="*",AG60=$R$2),ABS(V60)+ABS(W60)+ABS(X60)+ABS(Y60)&gt;0),1,0)</f>
        <v>1</v>
      </c>
      <c r="AB60" s="3" t="n">
        <f aca="false">IF(AA60=1,SUM(AA$40:AA60),"")</f>
        <v>18</v>
      </c>
      <c r="AC60" s="0" t="str">
        <f aca="false">IF(ABS(Z60)&lt;=$R$5,"Confere",IF(Z60&gt;0,"Sobrando","Faltando"))</f>
        <v>Sobrando</v>
      </c>
      <c r="AD60" s="3" t="n">
        <f aca="false">COUNTIFS(Lançamentos!$A$2:$A$607,"&gt;="&amp;$F$5,Lançamentos!$A$2:$A$607,"&lt;="&amp;$H$5,Lançamentos!$C$2:$C$607,$T60,Lançamentos!$D$2:$D$607,$AG60,Lançamentos!$B$2:$B$607,$R$4,Lançamentos!$G$2:$G$607,U60)</f>
        <v>8</v>
      </c>
      <c r="AE60" s="3" t="s">
        <v>119</v>
      </c>
      <c r="AF60" s="3" t="n">
        <f aca="false">IF(AND(AA60=1,AC60&lt;&gt;"Confere"),ABS(Z60)+ROW()/10000000,0)</f>
        <v>80.400006</v>
      </c>
      <c r="AG60" s="3" t="s">
        <v>58</v>
      </c>
      <c r="AN60" s="3" t="s">
        <v>184</v>
      </c>
      <c r="AO60" s="43" t="n">
        <v>46294</v>
      </c>
      <c r="AP60" s="3" t="n">
        <f aca="false">IF(AND(AO60&gt;=$F$5,AO60&lt;=$H$5),SUMIFS(Lançamentos!$I$2:$I$607,Lançamentos!$A$2:$A$607,$AO60,Lançamentos!$C$2:$C$607,$R$1,Lançamentos!$D$2:$D$607,$R$2,Lançamentos!$G$2:$G$607,$R$3,Lançamentos!$B$2:$B$607,$R$4),0)</f>
        <v>15789.3</v>
      </c>
      <c r="AQ60" s="3" t="n">
        <f aca="false">IF(AND(AO60&gt;=$F$5,AO60&lt;=$H$5),-SUMIFS(Lançamentos!$J$2:$J$607,Lançamentos!$A$2:$A$607,$AO60,Lançamentos!$C$2:$C$607,$R$1,Lançamentos!$D$2:$D$607,$R$2,Lançamentos!$G$2:$G$607,$R$3,Lançamentos!$B$2:$B$607,$R$4),0)</f>
        <v>-2433.6</v>
      </c>
      <c r="AV60" s="0" t="str">
        <f aca="false">IFERROR(INDEX($AX$1:$AX$94,MATCH(59,$AY$1:$AY$94,0)),"")</f>
        <v>261320202</v>
      </c>
      <c r="AW60" s="3" t="s">
        <v>106</v>
      </c>
      <c r="AX60" s="3" t="s">
        <v>185</v>
      </c>
      <c r="AY60" s="3" t="n">
        <f aca="false">IF(OR($A$5="Todos",AW60=$A$5),MAX(AY$1:AY59)+1,0)</f>
        <v>60</v>
      </c>
    </row>
    <row r="61" customFormat="false" ht="15" hidden="false" customHeight="false" outlineLevel="0" collapsed="false">
      <c r="A61" s="36" t="str">
        <f aca="false">IF(IFERROR(MATCH(28,$AB$40:$AB$133,0),0)=0,"",INDEX($T$40:$T$133,IFERROR(MATCH(28,$AB$40:$AB$133,0),0)))</f>
        <v>811NV-132</v>
      </c>
      <c r="B61" s="36" t="str">
        <f aca="false">IF(IFERROR(MATCH(28,$AB$40:$AB$133,0),0)=0,"",INDEX($AG$40:$AG$133,IFERROR(MATCH(28,$AB$40:$AB$133,0),0)))</f>
        <v>253280301</v>
      </c>
      <c r="C61" s="37" t="str">
        <f aca="false">IF(IFERROR(MATCH(28,$AB$40:$AB$133,0),0)=0,"",INDEX($U$40:$U$133,IFERROR(MATCH(28,$AB$40:$AB$133,0),0)))</f>
        <v>KG</v>
      </c>
      <c r="D61" s="38" t="n">
        <f aca="false">IF(IFERROR(MATCH(28,$AB$40:$AB$133,0),0)=0,"",INDEX($V$40:$V$133,IFERROR(MATCH(28,$AB$40:$AB$133,0),0)))</f>
        <v>0</v>
      </c>
      <c r="E61" s="38" t="n">
        <f aca="false">IF(IFERROR(MATCH(28,$AB$40:$AB$133,0),0)=0,"",INDEX($W$40:$W$133,IFERROR(MATCH(28,$AB$40:$AB$133,0),0)))</f>
        <v>1750</v>
      </c>
      <c r="F61" s="38" t="n">
        <f aca="false">IF(IFERROR(MATCH(28,$AB$40:$AB$133,0),0)=0,"",INDEX($X$40:$X$133,IFERROR(MATCH(28,$AB$40:$AB$133,0),0)))</f>
        <v>800</v>
      </c>
      <c r="G61" s="38" t="n">
        <f aca="false">IF(A61="","",E61-F61)</f>
        <v>950</v>
      </c>
      <c r="H61" s="38" t="n">
        <f aca="false">IF(IFERROR(MATCH(28,$AB$40:$AB$133,0),0)=0,"",INDEX($Y$40:$Y$133,IFERROR(MATCH(28,$AB$40:$AB$133,0),0)))</f>
        <v>950</v>
      </c>
      <c r="I61" s="39" t="n">
        <f aca="false">IF(IFERROR(MATCH(28,$AB$40:$AB$133,0),0)=0,"",INDEX($Z$40:$Z$133,IFERROR(MATCH(28,$AB$40:$AB$133,0),0)))</f>
        <v>0</v>
      </c>
      <c r="J61" s="40" t="str">
        <f aca="false">IF(IFERROR(MATCH(28,$AB$40:$AB$133,0),0)=0,"",INDEX($AC$40:$AC$133,IFERROR(MATCH(28,$AB$40:$AB$133,0),0)))</f>
        <v>Confere</v>
      </c>
      <c r="K61" s="41" t="n">
        <f aca="false">IF(IFERROR(MATCH(28,$AB$40:$AB$133,0),0)=0,"",INDEX($AD$40:$AD$133,IFERROR(MATCH(28,$AB$40:$AB$133,0),0)))</f>
        <v>9</v>
      </c>
      <c r="L61" s="42" t="str">
        <f aca="false">IF(IFERROR(MATCH(28,$AB$40:$AB$133,0),0)=0,"",INDEX($AE$40:$AE$133,IFERROR(MATCH(28,$AB$40:$AB$133,0),0))&amp;"")</f>
        <v>96_FU:811NV-50C_CA BLOCKS 5KG/UC 5UC</v>
      </c>
      <c r="T61" s="3" t="s">
        <v>71</v>
      </c>
      <c r="U61" s="3" t="s">
        <v>4</v>
      </c>
      <c r="V61" s="3" t="n">
        <f aca="false">SUMIFS(Lançamentos!$H$2:$H$607,Lançamentos!$A$2:$A$607,"&gt;="&amp;$F$5,Lançamentos!$A$2:$A$607,"&lt;="&amp;$H$5,Lançamentos!$C$2:$C$607,$T61,Lançamentos!$D$2:$D$607,$AG61,Lançamentos!$B$2:$B$607,"Recebido no 2008")</f>
        <v>0</v>
      </c>
      <c r="W61" s="3" t="n">
        <f aca="false">SUMIFS(Lançamentos!$I$2:$I$607,Lançamentos!$A$2:$A$607,"&gt;="&amp;$F$5,Lançamentos!$A$2:$A$607,"&lt;="&amp;$H$5,Lançamentos!$C$2:$C$607,$T61,Lançamentos!$D$2:$D$607,$AG61)</f>
        <v>806.4</v>
      </c>
      <c r="X61" s="3" t="n">
        <f aca="false">SUMIFS(Lançamentos!$J$2:$J$607,Lançamentos!$A$2:$A$607,"&gt;="&amp;$F$5,Lançamentos!$A$2:$A$607,"&lt;="&amp;$H$5,Lançamentos!$C$2:$C$607,$T61,Lançamentos!$D$2:$D$607,$AG61)</f>
        <v>53.2</v>
      </c>
      <c r="Y61" s="3" t="n">
        <f aca="false">SUMIFS('Estoque físico'!$J$2:$J$229,'Estoque físico'!$A$2:$A$229,$T61,'Estoque físico'!$B$2:$B$229,$AG61)</f>
        <v>825.999</v>
      </c>
      <c r="Z61" s="3" t="n">
        <f aca="false">ROUND(Y61-(W61-X61),3)</f>
        <v>72.799</v>
      </c>
      <c r="AA61" s="3" t="n">
        <f aca="false">IF(AND(U61=$R$3,OR($R$1="*",T61=$R$1),OR($R$2="*",AG61=$R$2),ABS(V61)+ABS(W61)+ABS(X61)+ABS(Y61)&gt;0),1,0)</f>
        <v>1</v>
      </c>
      <c r="AB61" s="3" t="n">
        <f aca="false">IF(AA61=1,SUM(AA$40:AA61),"")</f>
        <v>19</v>
      </c>
      <c r="AC61" s="0" t="str">
        <f aca="false">IF(ABS(Z61)&lt;=$R$5,"Confere",IF(Z61&gt;0,"Sobrando","Faltando"))</f>
        <v>Sobrando</v>
      </c>
      <c r="AD61" s="3" t="n">
        <f aca="false">COUNTIFS(Lançamentos!$A$2:$A$607,"&gt;="&amp;$F$5,Lançamentos!$A$2:$A$607,"&lt;="&amp;$H$5,Lançamentos!$C$2:$C$607,$T61,Lançamentos!$D$2:$D$607,$AG61,Lançamentos!$B$2:$B$607,$R$4,Lançamentos!$G$2:$G$607,U61)</f>
        <v>7</v>
      </c>
      <c r="AE61" s="3" t="s">
        <v>186</v>
      </c>
      <c r="AF61" s="3" t="n">
        <f aca="false">IF(AND(AA61=1,AC61&lt;&gt;"Confere"),ABS(Z61)+ROW()/10000000,0)</f>
        <v>72.7990061</v>
      </c>
      <c r="AG61" s="3" t="s">
        <v>136</v>
      </c>
      <c r="AN61" s="3" t="s">
        <v>187</v>
      </c>
      <c r="AO61" s="43" t="n">
        <v>46295</v>
      </c>
      <c r="AP61" s="3" t="n">
        <f aca="false">IF(AND(AO61&gt;=$F$5,AO61&lt;=$H$5),SUMIFS(Lançamentos!$I$2:$I$607,Lançamentos!$A$2:$A$607,$AO61,Lançamentos!$C$2:$C$607,$R$1,Lançamentos!$D$2:$D$607,$R$2,Lançamentos!$G$2:$G$607,$R$3,Lançamentos!$B$2:$B$607,$R$4),0)</f>
        <v>1021.1</v>
      </c>
      <c r="AQ61" s="3" t="n">
        <f aca="false">IF(AND(AO61&gt;=$F$5,AO61&lt;=$H$5),-SUMIFS(Lançamentos!$J$2:$J$607,Lançamentos!$A$2:$A$607,$AO61,Lançamentos!$C$2:$C$607,$R$1,Lançamentos!$D$2:$D$607,$R$2,Lançamentos!$G$2:$G$607,$R$3,Lançamentos!$B$2:$B$607,$R$4),0)</f>
        <v>-5962.6</v>
      </c>
      <c r="AV61" s="0" t="str">
        <f aca="false">IFERROR(INDEX($AX$1:$AX$94,MATCH(60,$AY$1:$AY$94,0)),"")</f>
        <v>261320203</v>
      </c>
      <c r="AW61" s="3" t="s">
        <v>108</v>
      </c>
      <c r="AX61" s="3" t="s">
        <v>188</v>
      </c>
      <c r="AY61" s="3" t="n">
        <f aca="false">IF(OR($A$5="Todos",AW61=$A$5),MAX(AY$1:AY60)+1,0)</f>
        <v>61</v>
      </c>
    </row>
    <row r="62" customFormat="false" ht="15" hidden="false" customHeight="false" outlineLevel="0" collapsed="false">
      <c r="A62" s="36" t="str">
        <f aca="false">IF(IFERROR(MATCH(29,$AB$40:$AB$133,0),0)=0,"",INDEX($T$40:$T$133,IFERROR(MATCH(29,$AB$40:$AB$133,0),0)))</f>
        <v>811NV-595</v>
      </c>
      <c r="B62" s="36" t="str">
        <f aca="false">IF(IFERROR(MATCH(29,$AB$40:$AB$133,0),0)=0,"",INDEX($AG$40:$AG$133,IFERROR(MATCH(29,$AB$40:$AB$133,0),0)))</f>
        <v>260900702</v>
      </c>
      <c r="C62" s="37" t="str">
        <f aca="false">IF(IFERROR(MATCH(29,$AB$40:$AB$133,0),0)=0,"",INDEX($U$40:$U$133,IFERROR(MATCH(29,$AB$40:$AB$133,0),0)))</f>
        <v>KG</v>
      </c>
      <c r="D62" s="38" t="n">
        <f aca="false">IF(IFERROR(MATCH(29,$AB$40:$AB$133,0),0)=0,"",INDEX($V$40:$V$133,IFERROR(MATCH(29,$AB$40:$AB$133,0),0)))</f>
        <v>0</v>
      </c>
      <c r="E62" s="38" t="n">
        <f aca="false">IF(IFERROR(MATCH(29,$AB$40:$AB$133,0),0)=0,"",INDEX($W$40:$W$133,IFERROR(MATCH(29,$AB$40:$AB$133,0),0)))</f>
        <v>1800</v>
      </c>
      <c r="F62" s="38" t="n">
        <f aca="false">IF(IFERROR(MATCH(29,$AB$40:$AB$133,0),0)=0,"",INDEX($X$40:$X$133,IFERROR(MATCH(29,$AB$40:$AB$133,0),0)))</f>
        <v>1780</v>
      </c>
      <c r="G62" s="38" t="n">
        <f aca="false">IF(A62="","",E62-F62)</f>
        <v>20</v>
      </c>
      <c r="H62" s="38" t="n">
        <f aca="false">IF(IFERROR(MATCH(29,$AB$40:$AB$133,0),0)=0,"",INDEX($Y$40:$Y$133,IFERROR(MATCH(29,$AB$40:$AB$133,0),0)))</f>
        <v>20</v>
      </c>
      <c r="I62" s="39" t="n">
        <f aca="false">IF(IFERROR(MATCH(29,$AB$40:$AB$133,0),0)=0,"",INDEX($Z$40:$Z$133,IFERROR(MATCH(29,$AB$40:$AB$133,0),0)))</f>
        <v>0</v>
      </c>
      <c r="J62" s="40" t="str">
        <f aca="false">IF(IFERROR(MATCH(29,$AB$40:$AB$133,0),0)=0,"",INDEX($AC$40:$AC$133,IFERROR(MATCH(29,$AB$40:$AB$133,0),0)))</f>
        <v>Confere</v>
      </c>
      <c r="K62" s="41" t="n">
        <f aca="false">IF(IFERROR(MATCH(29,$AB$40:$AB$133,0),0)=0,"",INDEX($AD$40:$AD$133,IFERROR(MATCH(29,$AB$40:$AB$133,0),0)))</f>
        <v>3</v>
      </c>
      <c r="L62" s="42" t="str">
        <f aca="false">IF(IFERROR(MATCH(29,$AB$40:$AB$133,0),0)=0,"",INDEX($AE$40:$AE$133,IFERROR(MATCH(29,$AB$40:$AB$133,0),0))&amp;"")</f>
        <v>CA CALLETS 10KG/UC 2UC/BOX 30BOX/PAL</v>
      </c>
      <c r="T62" s="3" t="s">
        <v>53</v>
      </c>
      <c r="U62" s="3" t="s">
        <v>9</v>
      </c>
      <c r="V62" s="3" t="n">
        <f aca="false">SUMIFS(Lançamentos!$H$2:$H$607,Lançamentos!$A$2:$A$607,"&gt;="&amp;$F$5,Lançamentos!$A$2:$A$607,"&lt;="&amp;$H$5,Lançamentos!$C$2:$C$607,$T62,Lançamentos!$D$2:$D$607,$AG62,Lançamentos!$B$2:$B$607,"Recebido no 2008")</f>
        <v>0</v>
      </c>
      <c r="W62" s="3" t="n">
        <f aca="false">SUMIFS(Lançamentos!$I$2:$I$607,Lançamentos!$A$2:$A$607,"&gt;="&amp;$F$5,Lançamentos!$A$2:$A$607,"&lt;="&amp;$H$5,Lançamentos!$C$2:$C$607,$T62,Lançamentos!$D$2:$D$607,$AG62)</f>
        <v>450</v>
      </c>
      <c r="X62" s="3" t="n">
        <f aca="false">SUMIFS(Lançamentos!$J$2:$J$607,Lançamentos!$A$2:$A$607,"&gt;="&amp;$F$5,Lançamentos!$A$2:$A$607,"&lt;="&amp;$H$5,Lançamentos!$C$2:$C$607,$T62,Lançamentos!$D$2:$D$607,$AG62)</f>
        <v>510</v>
      </c>
      <c r="Y62" s="3" t="n">
        <f aca="false">SUMIFS('Estoque físico'!$J$2:$J$229,'Estoque físico'!$A$2:$A$229,$T62,'Estoque físico'!$B$2:$B$229,$AG62)</f>
        <v>0</v>
      </c>
      <c r="Z62" s="3" t="n">
        <f aca="false">ROUND(Y62-(W62-X62),3)</f>
        <v>60</v>
      </c>
      <c r="AA62" s="3" t="n">
        <f aca="false">IF(AND(U62=$R$3,OR($R$1="*",T62=$R$1),OR($R$2="*",AG62=$R$2),ABS(V62)+ABS(W62)+ABS(X62)+ABS(Y62)&gt;0),1,0)</f>
        <v>0</v>
      </c>
      <c r="AB62" s="0" t="str">
        <f aca="false">IF(AA62=1,SUM(AA$40:AA62),"")</f>
        <v/>
      </c>
      <c r="AC62" s="0" t="str">
        <f aca="false">IF(ABS(Z62)&lt;=$R$5,"Confere",IF(Z62&gt;0,"Sobrando","Faltando"))</f>
        <v>Sobrando</v>
      </c>
      <c r="AD62" s="3" t="n">
        <f aca="false">COUNTIFS(Lançamentos!$A$2:$A$607,"&gt;="&amp;$F$5,Lançamentos!$A$2:$A$607,"&lt;="&amp;$H$5,Lançamentos!$C$2:$C$607,$T62,Lançamentos!$D$2:$D$607,$AG62,Lançamentos!$B$2:$B$607,$R$4,Lançamentos!$G$2:$G$607,U62)</f>
        <v>16</v>
      </c>
      <c r="AE62" s="3" t="s">
        <v>137</v>
      </c>
      <c r="AF62" s="3" t="n">
        <f aca="false">IF(AND(AA62=1,AC62&lt;&gt;"Confere"),ABS(Z62)+ROW()/10000000,0)</f>
        <v>0</v>
      </c>
      <c r="AG62" s="3" t="s">
        <v>78</v>
      </c>
      <c r="AN62" s="3" t="s">
        <v>189</v>
      </c>
      <c r="AO62" s="43" t="n">
        <v>46296</v>
      </c>
      <c r="AP62" s="3" t="n">
        <f aca="false">IF(AND(AO62&gt;=$F$5,AO62&lt;=$H$5),SUMIFS(Lançamentos!$I$2:$I$607,Lançamentos!$A$2:$A$607,$AO62,Lançamentos!$C$2:$C$607,$R$1,Lançamentos!$D$2:$D$607,$R$2,Lançamentos!$G$2:$G$607,$R$3,Lançamentos!$B$2:$B$607,$R$4),0)</f>
        <v>0</v>
      </c>
      <c r="AQ62" s="3" t="n">
        <f aca="false">IF(AND(AO62&gt;=$F$5,AO62&lt;=$H$5),-SUMIFS(Lançamentos!$J$2:$J$607,Lançamentos!$A$2:$A$607,$AO62,Lançamentos!$C$2:$C$607,$R$1,Lançamentos!$D$2:$D$607,$R$2,Lançamentos!$G$2:$G$607,$R$3,Lançamentos!$B$2:$B$607,$R$4),0)</f>
        <v>-490.8</v>
      </c>
      <c r="AV62" s="0" t="str">
        <f aca="false">IFERROR(INDEX($AX$1:$AX$94,MATCH(61,$AY$1:$AY$94,0)),"")</f>
        <v>261301539</v>
      </c>
      <c r="AW62" s="3" t="s">
        <v>110</v>
      </c>
      <c r="AX62" s="3" t="s">
        <v>190</v>
      </c>
      <c r="AY62" s="3" t="n">
        <f aca="false">IF(OR($A$5="Todos",AW62=$A$5),MAX(AY$1:AY61)+1,0)</f>
        <v>62</v>
      </c>
    </row>
    <row r="63" customFormat="false" ht="15" hidden="false" customHeight="false" outlineLevel="0" collapsed="false">
      <c r="A63" s="36" t="str">
        <f aca="false">IF(IFERROR(MATCH(30,$AB$40:$AB$133,0),0)=0,"",INDEX($T$40:$T$133,IFERROR(MATCH(30,$AB$40:$AB$133,0),0)))</f>
        <v>811NV-595</v>
      </c>
      <c r="B63" s="36" t="str">
        <f aca="false">IF(IFERROR(MATCH(30,$AB$40:$AB$133,0),0)=0,"",INDEX($AG$40:$AG$133,IFERROR(MATCH(30,$AB$40:$AB$133,0),0)))</f>
        <v>260920702</v>
      </c>
      <c r="C63" s="37" t="str">
        <f aca="false">IF(IFERROR(MATCH(30,$AB$40:$AB$133,0),0)=0,"",INDEX($U$40:$U$133,IFERROR(MATCH(30,$AB$40:$AB$133,0),0)))</f>
        <v>KG</v>
      </c>
      <c r="D63" s="38" t="n">
        <f aca="false">IF(IFERROR(MATCH(30,$AB$40:$AB$133,0),0)=0,"",INDEX($V$40:$V$133,IFERROR(MATCH(30,$AB$40:$AB$133,0),0)))</f>
        <v>0</v>
      </c>
      <c r="E63" s="38" t="n">
        <f aca="false">IF(IFERROR(MATCH(30,$AB$40:$AB$133,0),0)=0,"",INDEX($W$40:$W$133,IFERROR(MATCH(30,$AB$40:$AB$133,0),0)))</f>
        <v>600</v>
      </c>
      <c r="F63" s="38" t="n">
        <f aca="false">IF(IFERROR(MATCH(30,$AB$40:$AB$133,0),0)=0,"",INDEX($X$40:$X$133,IFERROR(MATCH(30,$AB$40:$AB$133,0),0)))</f>
        <v>0</v>
      </c>
      <c r="G63" s="38" t="n">
        <f aca="false">IF(A63="","",E63-F63)</f>
        <v>600</v>
      </c>
      <c r="H63" s="38" t="n">
        <f aca="false">IF(IFERROR(MATCH(30,$AB$40:$AB$133,0),0)=0,"",INDEX($Y$40:$Y$133,IFERROR(MATCH(30,$AB$40:$AB$133,0),0)))</f>
        <v>600</v>
      </c>
      <c r="I63" s="39" t="n">
        <f aca="false">IF(IFERROR(MATCH(30,$AB$40:$AB$133,0),0)=0,"",INDEX($Z$40:$Z$133,IFERROR(MATCH(30,$AB$40:$AB$133,0),0)))</f>
        <v>0</v>
      </c>
      <c r="J63" s="40" t="str">
        <f aca="false">IF(IFERROR(MATCH(30,$AB$40:$AB$133,0),0)=0,"",INDEX($AC$40:$AC$133,IFERROR(MATCH(30,$AB$40:$AB$133,0),0)))</f>
        <v>Confere</v>
      </c>
      <c r="K63" s="41" t="n">
        <f aca="false">IF(IFERROR(MATCH(30,$AB$40:$AB$133,0),0)=0,"",INDEX($AD$40:$AD$133,IFERROR(MATCH(30,$AB$40:$AB$133,0),0)))</f>
        <v>1</v>
      </c>
      <c r="L63" s="42" t="str">
        <f aca="false">IF(IFERROR(MATCH(30,$AB$40:$AB$133,0),0)=0,"",INDEX($AE$40:$AE$133,IFERROR(MATCH(30,$AB$40:$AB$133,0),0))&amp;"")</f>
        <v>CA CALLETS 10KG/UC 2UC/BOX 30BOX/PAL</v>
      </c>
      <c r="T63" s="3" t="s">
        <v>77</v>
      </c>
      <c r="U63" s="3" t="s">
        <v>4</v>
      </c>
      <c r="V63" s="3" t="n">
        <f aca="false">SUMIFS(Lançamentos!$H$2:$H$607,Lançamentos!$A$2:$A$607,"&gt;="&amp;$F$5,Lançamentos!$A$2:$A$607,"&lt;="&amp;$H$5,Lançamentos!$C$2:$C$607,$T63,Lançamentos!$D$2:$D$607,$AG63,Lançamentos!$B$2:$B$607,"Recebido no 2008")</f>
        <v>0</v>
      </c>
      <c r="W63" s="3" t="n">
        <f aca="false">SUMIFS(Lançamentos!$I$2:$I$607,Lançamentos!$A$2:$A$607,"&gt;="&amp;$F$5,Lançamentos!$A$2:$A$607,"&lt;="&amp;$H$5,Lançamentos!$C$2:$C$607,$T63,Lançamentos!$D$2:$D$607,$AG63)</f>
        <v>10</v>
      </c>
      <c r="X63" s="3" t="n">
        <f aca="false">SUMIFS(Lançamentos!$J$2:$J$607,Lançamentos!$A$2:$A$607,"&gt;="&amp;$F$5,Lançamentos!$A$2:$A$607,"&lt;="&amp;$H$5,Lançamentos!$C$2:$C$607,$T63,Lançamentos!$D$2:$D$607,$AG63)</f>
        <v>60</v>
      </c>
      <c r="Y63" s="3" t="n">
        <f aca="false">SUMIFS('Estoque físico'!$J$2:$J$229,'Estoque físico'!$A$2:$A$229,$T63,'Estoque físico'!$B$2:$B$229,$AG63)</f>
        <v>10</v>
      </c>
      <c r="Z63" s="3" t="n">
        <f aca="false">ROUND(Y63-(W63-X63),3)</f>
        <v>60</v>
      </c>
      <c r="AA63" s="3" t="n">
        <f aca="false">IF(AND(U63=$R$3,OR($R$1="*",T63=$R$1),OR($R$2="*",AG63=$R$2),ABS(V63)+ABS(W63)+ABS(X63)+ABS(Y63)&gt;0),1,0)</f>
        <v>1</v>
      </c>
      <c r="AB63" s="3" t="n">
        <f aca="false">IF(AA63=1,SUM(AA$40:AA63),"")</f>
        <v>20</v>
      </c>
      <c r="AC63" s="0" t="str">
        <f aca="false">IF(ABS(Z63)&lt;=$R$5,"Confere",IF(Z63&gt;0,"Sobrando","Faltando"))</f>
        <v>Sobrando</v>
      </c>
      <c r="AD63" s="3" t="n">
        <f aca="false">COUNTIFS(Lançamentos!$A$2:$A$607,"&gt;="&amp;$F$5,Lançamentos!$A$2:$A$607,"&lt;="&amp;$H$5,Lançamentos!$C$2:$C$607,$T63,Lançamentos!$D$2:$D$607,$AG63,Lançamentos!$B$2:$B$607,$R$4,Lançamentos!$G$2:$G$607,U63)</f>
        <v>3</v>
      </c>
      <c r="AE63" s="3" t="s">
        <v>191</v>
      </c>
      <c r="AF63" s="3" t="n">
        <f aca="false">IF(AND(AA63=1,AC63&lt;&gt;"Confere"),ABS(Z63)+ROW()/10000000,0)</f>
        <v>60.0000063</v>
      </c>
      <c r="AG63" s="3" t="s">
        <v>148</v>
      </c>
      <c r="AV63" s="0" t="str">
        <f aca="false">IFERROR(INDEX($AX$1:$AX$94,MATCH(62,$AY$1:$AY$94,0)),"")</f>
        <v>252350301</v>
      </c>
      <c r="AW63" s="3" t="s">
        <v>110</v>
      </c>
      <c r="AX63" s="3" t="s">
        <v>192</v>
      </c>
      <c r="AY63" s="3" t="n">
        <f aca="false">IF(OR($A$5="Todos",AW63=$A$5),MAX(AY$1:AY62)+1,0)</f>
        <v>63</v>
      </c>
    </row>
    <row r="64" customFormat="false" ht="15" hidden="false" customHeight="false" outlineLevel="0" collapsed="false">
      <c r="A64" s="36" t="str">
        <f aca="false">IF(IFERROR(MATCH(31,$AB$40:$AB$133,0),0)=0,"",INDEX($T$40:$T$133,IFERROR(MATCH(31,$AB$40:$AB$133,0),0)))</f>
        <v>811NV-595</v>
      </c>
      <c r="B64" s="36" t="str">
        <f aca="false">IF(IFERROR(MATCH(31,$AB$40:$AB$133,0),0)=0,"",INDEX($AG$40:$AG$133,IFERROR(MATCH(31,$AB$40:$AB$133,0),0)))</f>
        <v>261146101</v>
      </c>
      <c r="C64" s="37" t="str">
        <f aca="false">IF(IFERROR(MATCH(31,$AB$40:$AB$133,0),0)=0,"",INDEX($U$40:$U$133,IFERROR(MATCH(31,$AB$40:$AB$133,0),0)))</f>
        <v>KG</v>
      </c>
      <c r="D64" s="38" t="n">
        <f aca="false">IF(IFERROR(MATCH(31,$AB$40:$AB$133,0),0)=0,"",INDEX($V$40:$V$133,IFERROR(MATCH(31,$AB$40:$AB$133,0),0)))</f>
        <v>4360</v>
      </c>
      <c r="E64" s="38" t="n">
        <f aca="false">IF(IFERROR(MATCH(31,$AB$40:$AB$133,0),0)=0,"",INDEX($W$40:$W$133,IFERROR(MATCH(31,$AB$40:$AB$133,0),0)))</f>
        <v>1180</v>
      </c>
      <c r="F64" s="38" t="n">
        <f aca="false">IF(IFERROR(MATCH(31,$AB$40:$AB$133,0),0)=0,"",INDEX($X$40:$X$133,IFERROR(MATCH(31,$AB$40:$AB$133,0),0)))</f>
        <v>1160</v>
      </c>
      <c r="G64" s="38" t="n">
        <f aca="false">IF(A64="","",E64-F64)</f>
        <v>20</v>
      </c>
      <c r="H64" s="38" t="n">
        <f aca="false">IF(IFERROR(MATCH(31,$AB$40:$AB$133,0),0)=0,"",INDEX($Y$40:$Y$133,IFERROR(MATCH(31,$AB$40:$AB$133,0),0)))</f>
        <v>20</v>
      </c>
      <c r="I64" s="39" t="n">
        <f aca="false">IF(IFERROR(MATCH(31,$AB$40:$AB$133,0),0)=0,"",INDEX($Z$40:$Z$133,IFERROR(MATCH(31,$AB$40:$AB$133,0),0)))</f>
        <v>0</v>
      </c>
      <c r="J64" s="40" t="str">
        <f aca="false">IF(IFERROR(MATCH(31,$AB$40:$AB$133,0),0)=0,"",INDEX($AC$40:$AC$133,IFERROR(MATCH(31,$AB$40:$AB$133,0),0)))</f>
        <v>Confere</v>
      </c>
      <c r="K64" s="41" t="n">
        <f aca="false">IF(IFERROR(MATCH(31,$AB$40:$AB$133,0),0)=0,"",INDEX($AD$40:$AD$133,IFERROR(MATCH(31,$AB$40:$AB$133,0),0)))</f>
        <v>3</v>
      </c>
      <c r="L64" s="42" t="str">
        <f aca="false">IF(IFERROR(MATCH(31,$AB$40:$AB$133,0),0)=0,"",INDEX($AE$40:$AE$133,IFERROR(MATCH(31,$AB$40:$AB$133,0),0))&amp;"")</f>
        <v>CA CALLETS 10KG/UC 2UC/BOX 30BOX/PAL</v>
      </c>
      <c r="T64" s="3" t="s">
        <v>53</v>
      </c>
      <c r="U64" s="3" t="s">
        <v>9</v>
      </c>
      <c r="V64" s="3" t="n">
        <f aca="false">SUMIFS(Lançamentos!$H$2:$H$607,Lançamentos!$A$2:$A$607,"&gt;="&amp;$F$5,Lançamentos!$A$2:$A$607,"&lt;="&amp;$H$5,Lançamentos!$C$2:$C$607,$T64,Lançamentos!$D$2:$D$607,$AG64,Lançamentos!$B$2:$B$607,"Recebido no 2008")</f>
        <v>0</v>
      </c>
      <c r="W64" s="3" t="n">
        <f aca="false">SUMIFS(Lançamentos!$I$2:$I$607,Lançamentos!$A$2:$A$607,"&gt;="&amp;$F$5,Lançamentos!$A$2:$A$607,"&lt;="&amp;$H$5,Lançamentos!$C$2:$C$607,$T64,Lançamentos!$D$2:$D$607,$AG64)</f>
        <v>1320</v>
      </c>
      <c r="X64" s="3" t="n">
        <f aca="false">SUMIFS(Lançamentos!$J$2:$J$607,Lançamentos!$A$2:$A$607,"&gt;="&amp;$F$5,Lançamentos!$A$2:$A$607,"&lt;="&amp;$H$5,Lançamentos!$C$2:$C$607,$T64,Lançamentos!$D$2:$D$607,$AG64)</f>
        <v>330</v>
      </c>
      <c r="Y64" s="3" t="n">
        <f aca="false">SUMIFS('Estoque físico'!$J$2:$J$229,'Estoque físico'!$A$2:$A$229,$T64,'Estoque físico'!$B$2:$B$229,$AG64)</f>
        <v>1020</v>
      </c>
      <c r="Z64" s="3" t="n">
        <f aca="false">ROUND(Y64-(W64-X64),3)</f>
        <v>30</v>
      </c>
      <c r="AA64" s="3" t="n">
        <f aca="false">IF(AND(U64=$R$3,OR($R$1="*",T64=$R$1),OR($R$2="*",AG64=$R$2),ABS(V64)+ABS(W64)+ABS(X64)+ABS(Y64)&gt;0),1,0)</f>
        <v>0</v>
      </c>
      <c r="AB64" s="0" t="str">
        <f aca="false">IF(AA64=1,SUM(AA$40:AA64),"")</f>
        <v/>
      </c>
      <c r="AC64" s="0" t="str">
        <f aca="false">IF(ABS(Z64)&lt;=$R$5,"Confere",IF(Z64&gt;0,"Sobrando","Faltando"))</f>
        <v>Sobrando</v>
      </c>
      <c r="AD64" s="3" t="n">
        <f aca="false">COUNTIFS(Lançamentos!$A$2:$A$607,"&gt;="&amp;$F$5,Lançamentos!$A$2:$A$607,"&lt;="&amp;$H$5,Lançamentos!$C$2:$C$607,$T64,Lançamentos!$D$2:$D$607,$AG64,Lançamentos!$B$2:$B$607,$R$4,Lançamentos!$G$2:$G$607,U64)</f>
        <v>7</v>
      </c>
      <c r="AE64" s="3" t="s">
        <v>137</v>
      </c>
      <c r="AF64" s="3" t="n">
        <f aca="false">IF(AND(AA64=1,AC64&lt;&gt;"Confere"),ABS(Z64)+ROW()/10000000,0)</f>
        <v>0</v>
      </c>
      <c r="AG64" s="3" t="s">
        <v>86</v>
      </c>
      <c r="AV64" s="0" t="str">
        <f aca="false">IFERROR(INDEX($AX$1:$AX$94,MATCH(63,$AY$1:$AY$94,0)),"")</f>
        <v>252590301</v>
      </c>
      <c r="AW64" s="3" t="s">
        <v>110</v>
      </c>
      <c r="AX64" s="3" t="s">
        <v>177</v>
      </c>
      <c r="AY64" s="3" t="n">
        <f aca="false">IF(OR($A$5="Todos",AW64=$A$5),MAX(AY$1:AY63)+1,0)</f>
        <v>64</v>
      </c>
    </row>
    <row r="65" customFormat="false" ht="15" hidden="false" customHeight="false" outlineLevel="0" collapsed="false">
      <c r="A65" s="36" t="str">
        <f aca="false">IF(IFERROR(MATCH(32,$AB$40:$AB$133,0),0)=0,"",INDEX($T$40:$T$133,IFERROR(MATCH(32,$AB$40:$AB$133,0),0)))</f>
        <v>811NV-595</v>
      </c>
      <c r="B65" s="36" t="str">
        <f aca="false">IF(IFERROR(MATCH(32,$AB$40:$AB$133,0),0)=0,"",INDEX($AG$40:$AG$133,IFERROR(MATCH(32,$AB$40:$AB$133,0),0)))</f>
        <v>261146102</v>
      </c>
      <c r="C65" s="37" t="str">
        <f aca="false">IF(IFERROR(MATCH(32,$AB$40:$AB$133,0),0)=0,"",INDEX($U$40:$U$133,IFERROR(MATCH(32,$AB$40:$AB$133,0),0)))</f>
        <v>KG</v>
      </c>
      <c r="D65" s="38" t="n">
        <f aca="false">IF(IFERROR(MATCH(32,$AB$40:$AB$133,0),0)=0,"",INDEX($V$40:$V$133,IFERROR(MATCH(32,$AB$40:$AB$133,0),0)))</f>
        <v>5240</v>
      </c>
      <c r="E65" s="38" t="n">
        <f aca="false">IF(IFERROR(MATCH(32,$AB$40:$AB$133,0),0)=0,"",INDEX($W$40:$W$133,IFERROR(MATCH(32,$AB$40:$AB$133,0),0)))</f>
        <v>1660</v>
      </c>
      <c r="F65" s="38" t="n">
        <f aca="false">IF(IFERROR(MATCH(32,$AB$40:$AB$133,0),0)=0,"",INDEX($X$40:$X$133,IFERROR(MATCH(32,$AB$40:$AB$133,0),0)))</f>
        <v>580</v>
      </c>
      <c r="G65" s="38" t="n">
        <f aca="false">IF(A65="","",E65-F65)</f>
        <v>1080</v>
      </c>
      <c r="H65" s="38" t="n">
        <f aca="false">IF(IFERROR(MATCH(32,$AB$40:$AB$133,0),0)=0,"",INDEX($Y$40:$Y$133,IFERROR(MATCH(32,$AB$40:$AB$133,0),0)))</f>
        <v>1080</v>
      </c>
      <c r="I65" s="39" t="n">
        <f aca="false">IF(IFERROR(MATCH(32,$AB$40:$AB$133,0),0)=0,"",INDEX($Z$40:$Z$133,IFERROR(MATCH(32,$AB$40:$AB$133,0),0)))</f>
        <v>0</v>
      </c>
      <c r="J65" s="40" t="str">
        <f aca="false">IF(IFERROR(MATCH(32,$AB$40:$AB$133,0),0)=0,"",INDEX($AC$40:$AC$133,IFERROR(MATCH(32,$AB$40:$AB$133,0),0)))</f>
        <v>Confere</v>
      </c>
      <c r="K65" s="41" t="n">
        <f aca="false">IF(IFERROR(MATCH(32,$AB$40:$AB$133,0),0)=0,"",INDEX($AD$40:$AD$133,IFERROR(MATCH(32,$AB$40:$AB$133,0),0)))</f>
        <v>10</v>
      </c>
      <c r="L65" s="42" t="str">
        <f aca="false">IF(IFERROR(MATCH(32,$AB$40:$AB$133,0),0)=0,"",INDEX($AE$40:$AE$133,IFERROR(MATCH(32,$AB$40:$AB$133,0),0))&amp;"")</f>
        <v>CA CALLETS 10KG/UC 2UC/BOX 30BOX/PAL</v>
      </c>
      <c r="T65" s="3" t="s">
        <v>110</v>
      </c>
      <c r="U65" s="3" t="s">
        <v>4</v>
      </c>
      <c r="V65" s="3" t="n">
        <f aca="false">SUMIFS(Lançamentos!$H$2:$H$607,Lançamentos!$A$2:$A$607,"&gt;="&amp;$F$5,Lançamentos!$A$2:$A$607,"&lt;="&amp;$H$5,Lançamentos!$C$2:$C$607,$T65,Lançamentos!$D$2:$D$607,$AG65,Lançamentos!$B$2:$B$607,"Recebido no 2008")</f>
        <v>0</v>
      </c>
      <c r="W65" s="3" t="n">
        <f aca="false">SUMIFS(Lançamentos!$I$2:$I$607,Lançamentos!$A$2:$A$607,"&gt;="&amp;$F$5,Lançamentos!$A$2:$A$607,"&lt;="&amp;$H$5,Lançamentos!$C$2:$C$607,$T65,Lançamentos!$D$2:$D$607,$AG65)</f>
        <v>602.9</v>
      </c>
      <c r="X65" s="3" t="n">
        <f aca="false">SUMIFS(Lançamentos!$J$2:$J$607,Lançamentos!$A$2:$A$607,"&gt;="&amp;$F$5,Lançamentos!$A$2:$A$607,"&lt;="&amp;$H$5,Lançamentos!$C$2:$C$607,$T65,Lançamentos!$D$2:$D$607,$AG65)</f>
        <v>301.5</v>
      </c>
      <c r="Y65" s="3" t="n">
        <f aca="false">SUMIFS('Estoque físico'!$J$2:$J$229,'Estoque físico'!$A$2:$A$229,$T65,'Estoque físico'!$B$2:$B$229,$AG65)</f>
        <v>321.5</v>
      </c>
      <c r="Z65" s="3" t="n">
        <f aca="false">ROUND(Y65-(W65-X65),3)</f>
        <v>20.1</v>
      </c>
      <c r="AA65" s="3" t="n">
        <f aca="false">IF(AND(U65=$R$3,OR($R$1="*",T65=$R$1),OR($R$2="*",AG65=$R$2),ABS(V65)+ABS(W65)+ABS(X65)+ABS(Y65)&gt;0),1,0)</f>
        <v>1</v>
      </c>
      <c r="AB65" s="3" t="n">
        <f aca="false">IF(AA65=1,SUM(AA$40:AA65),"")</f>
        <v>21</v>
      </c>
      <c r="AC65" s="0" t="str">
        <f aca="false">IF(ABS(Z65)&lt;=$R$5,"Confere",IF(Z65&gt;0,"Sobrando","Faltando"))</f>
        <v>Sobrando</v>
      </c>
      <c r="AD65" s="3" t="n">
        <f aca="false">COUNTIFS(Lançamentos!$A$2:$A$607,"&gt;="&amp;$F$5,Lançamentos!$A$2:$A$607,"&lt;="&amp;$H$5,Lançamentos!$C$2:$C$607,$T65,Lançamentos!$D$2:$D$607,$AG65,Lançamentos!$B$2:$B$607,$R$4,Lançamentos!$G$2:$G$607,U65)</f>
        <v>5</v>
      </c>
      <c r="AE65" s="3" t="s">
        <v>119</v>
      </c>
      <c r="AF65" s="3" t="n">
        <f aca="false">IF(AND(AA65=1,AC65&lt;&gt;"Confere"),ABS(Z65)+ROW()/10000000,0)</f>
        <v>20.1000065</v>
      </c>
      <c r="AG65" s="3" t="s">
        <v>190</v>
      </c>
      <c r="AV65" s="0" t="str">
        <f aca="false">IFERROR(INDEX($AX$1:$AX$94,MATCH(64,$AY$1:$AY$94,0)),"")</f>
        <v>252650301</v>
      </c>
      <c r="AW65" s="3" t="s">
        <v>110</v>
      </c>
      <c r="AX65" s="3" t="s">
        <v>162</v>
      </c>
      <c r="AY65" s="3" t="n">
        <f aca="false">IF(OR($A$5="Todos",AW65=$A$5),MAX(AY$1:AY64)+1,0)</f>
        <v>65</v>
      </c>
    </row>
    <row r="66" customFormat="false" ht="15" hidden="false" customHeight="false" outlineLevel="0" collapsed="false">
      <c r="A66" s="36" t="str">
        <f aca="false">IF(IFERROR(MATCH(33,$AB$40:$AB$133,0),0)=0,"",INDEX($T$40:$T$133,IFERROR(MATCH(33,$AB$40:$AB$133,0),0)))</f>
        <v>823-BR-25A</v>
      </c>
      <c r="B66" s="36" t="str">
        <f aca="false">IF(IFERROR(MATCH(33,$AB$40:$AB$133,0),0)=0,"",INDEX($AG$40:$AG$133,IFERROR(MATCH(33,$AB$40:$AB$133,0),0)))</f>
        <v>252100301</v>
      </c>
      <c r="C66" s="37" t="str">
        <f aca="false">IF(IFERROR(MATCH(33,$AB$40:$AB$133,0),0)=0,"",INDEX($U$40:$U$133,IFERROR(MATCH(33,$AB$40:$AB$133,0),0)))</f>
        <v>KG</v>
      </c>
      <c r="D66" s="38" t="n">
        <f aca="false">IF(IFERROR(MATCH(33,$AB$40:$AB$133,0),0)=0,"",INDEX($V$40:$V$133,IFERROR(MATCH(33,$AB$40:$AB$133,0),0)))</f>
        <v>0</v>
      </c>
      <c r="E66" s="38" t="n">
        <f aca="false">IF(IFERROR(MATCH(33,$AB$40:$AB$133,0),0)=0,"",INDEX($W$40:$W$133,IFERROR(MATCH(33,$AB$40:$AB$133,0),0)))</f>
        <v>461.9</v>
      </c>
      <c r="F66" s="38" t="n">
        <f aca="false">IF(IFERROR(MATCH(33,$AB$40:$AB$133,0),0)=0,"",INDEX($X$40:$X$133,IFERROR(MATCH(33,$AB$40:$AB$133,0),0)))</f>
        <v>442.2</v>
      </c>
      <c r="G66" s="38" t="n">
        <f aca="false">IF(A66="","",E66-F66)</f>
        <v>19.7</v>
      </c>
      <c r="H66" s="38" t="n">
        <f aca="false">IF(IFERROR(MATCH(33,$AB$40:$AB$133,0),0)=0,"",INDEX($Y$40:$Y$133,IFERROR(MATCH(33,$AB$40:$AB$133,0),0)))</f>
        <v>19.7</v>
      </c>
      <c r="I66" s="39" t="n">
        <f aca="false">IF(IFERROR(MATCH(33,$AB$40:$AB$133,0),0)=0,"",INDEX($Z$40:$Z$133,IFERROR(MATCH(33,$AB$40:$AB$133,0),0)))</f>
        <v>0</v>
      </c>
      <c r="J66" s="40" t="str">
        <f aca="false">IF(IFERROR(MATCH(33,$AB$40:$AB$133,0),0)=0,"",INDEX($AC$40:$AC$133,IFERROR(MATCH(33,$AB$40:$AB$133,0),0)))</f>
        <v>Confere</v>
      </c>
      <c r="K66" s="41" t="n">
        <f aca="false">IF(IFERROR(MATCH(33,$AB$40:$AB$133,0),0)=0,"",INDEX($AD$40:$AD$133,IFERROR(MATCH(33,$AB$40:$AB$133,0),0)))</f>
        <v>2</v>
      </c>
      <c r="L66" s="42" t="str">
        <f aca="false">IF(IFERROR(MATCH(33,$AB$40:$AB$133,0),0)=0,"",INDEX($AE$40:$AE$133,IFERROR(MATCH(33,$AB$40:$AB$133,0),0))&amp;"")</f>
        <v>CA MOEDAS 2,01KG/UC 10UC/CX 30CX/PAL</v>
      </c>
      <c r="T66" s="3" t="s">
        <v>27</v>
      </c>
      <c r="U66" s="3" t="s">
        <v>4</v>
      </c>
      <c r="V66" s="3" t="n">
        <f aca="false">SUMIFS(Lançamentos!$H$2:$H$607,Lançamentos!$A$2:$A$607,"&gt;="&amp;$F$5,Lançamentos!$A$2:$A$607,"&lt;="&amp;$H$5,Lançamentos!$C$2:$C$607,$T66,Lançamentos!$D$2:$D$607,$AG66,Lançamentos!$B$2:$B$607,"Recebido no 2008")</f>
        <v>0</v>
      </c>
      <c r="W66" s="3" t="n">
        <f aca="false">SUMIFS(Lançamentos!$I$2:$I$607,Lançamentos!$A$2:$A$607,"&gt;="&amp;$F$5,Lançamentos!$A$2:$A$607,"&lt;="&amp;$H$5,Lançamentos!$C$2:$C$607,$T66,Lançamentos!$D$2:$D$607,$AG66)</f>
        <v>2733.6</v>
      </c>
      <c r="X66" s="3" t="n">
        <f aca="false">SUMIFS(Lançamentos!$J$2:$J$607,Lançamentos!$A$2:$A$607,"&gt;="&amp;$F$5,Lançamentos!$A$2:$A$607,"&lt;="&amp;$H$5,Lançamentos!$C$2:$C$607,$T66,Lançamentos!$D$2:$D$607,$AG66)</f>
        <v>1206</v>
      </c>
      <c r="Y66" s="3" t="n">
        <f aca="false">SUMIFS('Estoque físico'!$J$2:$J$229,'Estoque físico'!$A$2:$A$229,$T66,'Estoque físico'!$B$2:$B$229,$AG66)</f>
        <v>1547.7</v>
      </c>
      <c r="Z66" s="3" t="n">
        <f aca="false">ROUND(Y66-(W66-X66),3)</f>
        <v>20.1</v>
      </c>
      <c r="AA66" s="3" t="n">
        <f aca="false">IF(AND(U66=$R$3,OR($R$1="*",T66=$R$1),OR($R$2="*",AG66=$R$2),ABS(V66)+ABS(W66)+ABS(X66)+ABS(Y66)&gt;0),1,0)</f>
        <v>1</v>
      </c>
      <c r="AB66" s="3" t="n">
        <f aca="false">IF(AA66=1,SUM(AA$40:AA66),"")</f>
        <v>22</v>
      </c>
      <c r="AC66" s="0" t="str">
        <f aca="false">IF(ABS(Z66)&lt;=$R$5,"Confere",IF(Z66&gt;0,"Sobrando","Faltando"))</f>
        <v>Sobrando</v>
      </c>
      <c r="AD66" s="3" t="n">
        <f aca="false">COUNTIFS(Lançamentos!$A$2:$A$607,"&gt;="&amp;$F$5,Lançamentos!$A$2:$A$607,"&lt;="&amp;$H$5,Lançamentos!$C$2:$C$607,$T66,Lançamentos!$D$2:$D$607,$AG66,Lançamentos!$B$2:$B$607,$R$4,Lançamentos!$G$2:$G$607,U66)</f>
        <v>7</v>
      </c>
      <c r="AE66" s="3" t="s">
        <v>119</v>
      </c>
      <c r="AF66" s="3" t="n">
        <f aca="false">IF(AND(AA66=1,AC66&lt;&gt;"Confere"),ABS(Z66)+ROW()/10000000,0)</f>
        <v>20.1000066</v>
      </c>
      <c r="AG66" s="3" t="s">
        <v>32</v>
      </c>
      <c r="AV66" s="0" t="str">
        <f aca="false">IFERROR(INDEX($AX$1:$AX$94,MATCH(65,$AY$1:$AY$94,0)),"")</f>
        <v>253470301</v>
      </c>
      <c r="AW66" s="3" t="s">
        <v>110</v>
      </c>
      <c r="AX66" s="3" t="s">
        <v>193</v>
      </c>
      <c r="AY66" s="3" t="n">
        <f aca="false">IF(OR($A$5="Todos",AW66=$A$5),MAX(AY$1:AY65)+1,0)</f>
        <v>66</v>
      </c>
    </row>
    <row r="67" customFormat="false" ht="15" hidden="false" customHeight="false" outlineLevel="0" collapsed="false">
      <c r="A67" s="36" t="str">
        <f aca="false">IF(IFERROR(MATCH(34,$AB$40:$AB$133,0),0)=0,"",INDEX($T$40:$T$133,IFERROR(MATCH(34,$AB$40:$AB$133,0),0)))</f>
        <v>823-BR-25A</v>
      </c>
      <c r="B67" s="36" t="str">
        <f aca="false">IF(IFERROR(MATCH(34,$AB$40:$AB$133,0),0)=0,"",INDEX($AG$40:$AG$133,IFERROR(MATCH(34,$AB$40:$AB$133,0),0)))</f>
        <v>252940301</v>
      </c>
      <c r="C67" s="37" t="str">
        <f aca="false">IF(IFERROR(MATCH(34,$AB$40:$AB$133,0),0)=0,"",INDEX($U$40:$U$133,IFERROR(MATCH(34,$AB$40:$AB$133,0),0)))</f>
        <v>KG</v>
      </c>
      <c r="D67" s="38" t="n">
        <f aca="false">IF(IFERROR(MATCH(34,$AB$40:$AB$133,0),0)=0,"",INDEX($V$40:$V$133,IFERROR(MATCH(34,$AB$40:$AB$133,0),0)))</f>
        <v>0</v>
      </c>
      <c r="E67" s="38" t="n">
        <f aca="false">IF(IFERROR(MATCH(34,$AB$40:$AB$133,0),0)=0,"",INDEX($W$40:$W$133,IFERROR(MATCH(34,$AB$40:$AB$133,0),0)))</f>
        <v>1809</v>
      </c>
      <c r="F67" s="38" t="n">
        <f aca="false">IF(IFERROR(MATCH(34,$AB$40:$AB$133,0),0)=0,"",INDEX($X$40:$X$133,IFERROR(MATCH(34,$AB$40:$AB$133,0),0)))</f>
        <v>1025.1</v>
      </c>
      <c r="G67" s="38" t="n">
        <f aca="false">IF(A67="","",E67-F67)</f>
        <v>783.9</v>
      </c>
      <c r="H67" s="38" t="n">
        <f aca="false">IF(IFERROR(MATCH(34,$AB$40:$AB$133,0),0)=0,"",INDEX($Y$40:$Y$133,IFERROR(MATCH(34,$AB$40:$AB$133,0),0)))</f>
        <v>783.9</v>
      </c>
      <c r="I67" s="39" t="n">
        <f aca="false">IF(IFERROR(MATCH(34,$AB$40:$AB$133,0),0)=0,"",INDEX($Z$40:$Z$133,IFERROR(MATCH(34,$AB$40:$AB$133,0),0)))</f>
        <v>0</v>
      </c>
      <c r="J67" s="40" t="str">
        <f aca="false">IF(IFERROR(MATCH(34,$AB$40:$AB$133,0),0)=0,"",INDEX($AC$40:$AC$133,IFERROR(MATCH(34,$AB$40:$AB$133,0),0)))</f>
        <v>Confere</v>
      </c>
      <c r="K67" s="41" t="n">
        <f aca="false">IF(IFERROR(MATCH(34,$AB$40:$AB$133,0),0)=0,"",INDEX($AD$40:$AD$133,IFERROR(MATCH(34,$AB$40:$AB$133,0),0)))</f>
        <v>9</v>
      </c>
      <c r="L67" s="42" t="str">
        <f aca="false">IF(IFERROR(MATCH(34,$AB$40:$AB$133,0),0)=0,"",INDEX($AE$40:$AE$133,IFERROR(MATCH(34,$AB$40:$AB$133,0),0))&amp;"")</f>
        <v>CA MOEDAS 2,01KG/UC 10UC/CX 30CX/PAL</v>
      </c>
      <c r="T67" s="3" t="s">
        <v>157</v>
      </c>
      <c r="U67" s="3" t="s">
        <v>4</v>
      </c>
      <c r="V67" s="3" t="n">
        <f aca="false">SUMIFS(Lançamentos!$H$2:$H$607,Lançamentos!$A$2:$A$607,"&gt;="&amp;$F$5,Lançamentos!$A$2:$A$607,"&lt;="&amp;$H$5,Lançamentos!$C$2:$C$607,$T67,Lançamentos!$D$2:$D$607,$AG67,Lançamentos!$B$2:$B$607,"Recebido no 2008")</f>
        <v>2995</v>
      </c>
      <c r="W67" s="3" t="n">
        <f aca="false">SUMIFS(Lançamentos!$I$2:$I$607,Lançamentos!$A$2:$A$607,"&gt;="&amp;$F$5,Lançamentos!$A$2:$A$607,"&lt;="&amp;$H$5,Lançamentos!$C$2:$C$607,$T67,Lançamentos!$D$2:$D$607,$AG67)</f>
        <v>3025.7</v>
      </c>
      <c r="X67" s="3" t="n">
        <f aca="false">SUMIFS(Lançamentos!$J$2:$J$607,Lançamentos!$A$2:$A$607,"&gt;="&amp;$F$5,Lançamentos!$A$2:$A$607,"&lt;="&amp;$H$5,Lançamentos!$C$2:$C$607,$T67,Lançamentos!$D$2:$D$607,$AG67)</f>
        <v>1366.8</v>
      </c>
      <c r="Y67" s="3" t="n">
        <f aca="false">SUMIFS('Estoque físico'!$J$2:$J$229,'Estoque físico'!$A$2:$A$229,$T67,'Estoque físico'!$B$2:$B$229,$AG67)</f>
        <v>1679</v>
      </c>
      <c r="Z67" s="3" t="n">
        <f aca="false">ROUND(Y67-(W67-X67),3)</f>
        <v>20.1</v>
      </c>
      <c r="AA67" s="3" t="n">
        <f aca="false">IF(AND(U67=$R$3,OR($R$1="*",T67=$R$1),OR($R$2="*",AG67=$R$2),ABS(V67)+ABS(W67)+ABS(X67)+ABS(Y67)&gt;0),1,0)</f>
        <v>1</v>
      </c>
      <c r="AB67" s="3" t="n">
        <f aca="false">IF(AA67=1,SUM(AA$40:AA67),"")</f>
        <v>23</v>
      </c>
      <c r="AC67" s="0" t="str">
        <f aca="false">IF(ABS(Z67)&lt;=$R$5,"Confere",IF(Z67&gt;0,"Sobrando","Faltando"))</f>
        <v>Sobrando</v>
      </c>
      <c r="AD67" s="3" t="n">
        <f aca="false">COUNTIFS(Lançamentos!$A$2:$A$607,"&gt;="&amp;$F$5,Lançamentos!$A$2:$A$607,"&lt;="&amp;$H$5,Lançamentos!$C$2:$C$607,$T67,Lançamentos!$D$2:$D$607,$AG67,Lançamentos!$B$2:$B$607,$R$4,Lançamentos!$G$2:$G$607,U67)</f>
        <v>18</v>
      </c>
      <c r="AE67" s="3" t="s">
        <v>119</v>
      </c>
      <c r="AF67" s="3" t="n">
        <f aca="false">IF(AND(AA67=1,AC67&lt;&gt;"Confere"),ABS(Z67)+ROW()/10000000,0)</f>
        <v>20.1000067</v>
      </c>
      <c r="AG67" s="3" t="s">
        <v>194</v>
      </c>
      <c r="AV67" s="0" t="str">
        <f aca="false">IFERROR(INDEX($AX$1:$AX$94,MATCH(66,$AY$1:$AY$94,0)),"")</f>
        <v>261070301</v>
      </c>
      <c r="AW67" s="3" t="s">
        <v>117</v>
      </c>
      <c r="AX67" s="3" t="s">
        <v>195</v>
      </c>
      <c r="AY67" s="3" t="n">
        <f aca="false">IF(OR($A$5="Todos",AW67=$A$5),MAX(AY$1:AY66)+1,0)</f>
        <v>67</v>
      </c>
    </row>
    <row r="68" customFormat="false" ht="15" hidden="false" customHeight="false" outlineLevel="0" collapsed="false">
      <c r="A68" s="36" t="str">
        <f aca="false">IF(IFERROR(MATCH(35,$AB$40:$AB$133,0),0)=0,"",INDEX($T$40:$T$133,IFERROR(MATCH(35,$AB$40:$AB$133,0),0)))</f>
        <v>823NV-132</v>
      </c>
      <c r="B68" s="36" t="str">
        <f aca="false">IF(IFERROR(MATCH(35,$AB$40:$AB$133,0),0)=0,"",INDEX($AG$40:$AG$133,IFERROR(MATCH(35,$AB$40:$AB$133,0),0)))</f>
        <v>260880201</v>
      </c>
      <c r="C68" s="37" t="str">
        <f aca="false">IF(IFERROR(MATCH(35,$AB$40:$AB$133,0),0)=0,"",INDEX($U$40:$U$133,IFERROR(MATCH(35,$AB$40:$AB$133,0),0)))</f>
        <v>KG</v>
      </c>
      <c r="D68" s="38" t="n">
        <f aca="false">IF(IFERROR(MATCH(35,$AB$40:$AB$133,0),0)=0,"",INDEX($V$40:$V$133,IFERROR(MATCH(35,$AB$40:$AB$133,0),0)))</f>
        <v>0</v>
      </c>
      <c r="E68" s="38" t="n">
        <f aca="false">IF(IFERROR(MATCH(35,$AB$40:$AB$133,0),0)=0,"",INDEX($W$40:$W$133,IFERROR(MATCH(35,$AB$40:$AB$133,0),0)))</f>
        <v>1000</v>
      </c>
      <c r="F68" s="38" t="n">
        <f aca="false">IF(IFERROR(MATCH(35,$AB$40:$AB$133,0),0)=0,"",INDEX($X$40:$X$133,IFERROR(MATCH(35,$AB$40:$AB$133,0),0)))</f>
        <v>0</v>
      </c>
      <c r="G68" s="38" t="n">
        <f aca="false">IF(A68="","",E68-F68)</f>
        <v>1000</v>
      </c>
      <c r="H68" s="38" t="n">
        <f aca="false">IF(IFERROR(MATCH(35,$AB$40:$AB$133,0),0)=0,"",INDEX($Y$40:$Y$133,IFERROR(MATCH(35,$AB$40:$AB$133,0),0)))</f>
        <v>1000</v>
      </c>
      <c r="I68" s="39" t="n">
        <f aca="false">IF(IFERROR(MATCH(35,$AB$40:$AB$133,0),0)=0,"",INDEX($Z$40:$Z$133,IFERROR(MATCH(35,$AB$40:$AB$133,0),0)))</f>
        <v>0</v>
      </c>
      <c r="J68" s="40" t="str">
        <f aca="false">IF(IFERROR(MATCH(35,$AB$40:$AB$133,0),0)=0,"",INDEX($AC$40:$AC$133,IFERROR(MATCH(35,$AB$40:$AB$133,0),0)))</f>
        <v>Confere</v>
      </c>
      <c r="K68" s="41" t="n">
        <f aca="false">IF(IFERROR(MATCH(35,$AB$40:$AB$133,0),0)=0,"",INDEX($AD$40:$AD$133,IFERROR(MATCH(35,$AB$40:$AB$133,0),0)))</f>
        <v>1</v>
      </c>
      <c r="L68" s="42" t="str">
        <f aca="false">IF(IFERROR(MATCH(35,$AB$40:$AB$133,0),0)=0,"",INDEX($AE$40:$AE$133,IFERROR(MATCH(35,$AB$40:$AB$133,0),0))&amp;"")</f>
        <v/>
      </c>
      <c r="T68" s="3" t="s">
        <v>2</v>
      </c>
      <c r="U68" s="3" t="s">
        <v>4</v>
      </c>
      <c r="V68" s="3" t="n">
        <f aca="false">SUMIFS(Lançamentos!$H$2:$H$607,Lançamentos!$A$2:$A$607,"&gt;="&amp;$F$5,Lançamentos!$A$2:$A$607,"&lt;="&amp;$H$5,Lançamentos!$C$2:$C$607,$T68,Lançamentos!$D$2:$D$607,$AG68,Lançamentos!$B$2:$B$607,"Recebido no 2008")</f>
        <v>0</v>
      </c>
      <c r="W68" s="3" t="n">
        <f aca="false">SUMIFS(Lançamentos!$I$2:$I$607,Lançamentos!$A$2:$A$607,"&gt;="&amp;$F$5,Lançamentos!$A$2:$A$607,"&lt;="&amp;$H$5,Lançamentos!$C$2:$C$607,$T68,Lançamentos!$D$2:$D$607,$AG68)</f>
        <v>1200</v>
      </c>
      <c r="X68" s="3" t="n">
        <f aca="false">SUMIFS(Lançamentos!$J$2:$J$607,Lançamentos!$A$2:$A$607,"&gt;="&amp;$F$5,Lançamentos!$A$2:$A$607,"&lt;="&amp;$H$5,Lançamentos!$C$2:$C$607,$T68,Lançamentos!$D$2:$D$607,$AG68)</f>
        <v>0</v>
      </c>
      <c r="Y68" s="3" t="n">
        <f aca="false">SUMIFS('Estoque físico'!$J$2:$J$229,'Estoque físico'!$A$2:$A$229,$T68,'Estoque físico'!$B$2:$B$229,$AG68)</f>
        <v>1200</v>
      </c>
      <c r="Z68" s="3" t="n">
        <f aca="false">ROUND(Y68-(W68-X68),3)</f>
        <v>0</v>
      </c>
      <c r="AA68" s="3" t="n">
        <f aca="false">IF(AND(U68=$R$3,OR($R$1="*",T68=$R$1),OR($R$2="*",AG68=$R$2),ABS(V68)+ABS(W68)+ABS(X68)+ABS(Y68)&gt;0),1,0)</f>
        <v>1</v>
      </c>
      <c r="AB68" s="3" t="n">
        <f aca="false">IF(AA68=1,SUM(AA$40:AA68),"")</f>
        <v>24</v>
      </c>
      <c r="AC68" s="0" t="str">
        <f aca="false">IF(ABS(Z68)&lt;=$R$5,"Confere",IF(Z68&gt;0,"Sobrando","Faltando"))</f>
        <v>Confere</v>
      </c>
      <c r="AD68" s="3" t="n">
        <f aca="false">COUNTIFS(Lançamentos!$A$2:$A$607,"&gt;="&amp;$F$5,Lançamentos!$A$2:$A$607,"&lt;="&amp;$H$5,Lançamentos!$C$2:$C$607,$T68,Lançamentos!$D$2:$D$607,$AG68,Lançamentos!$B$2:$B$607,$R$4,Lançamentos!$G$2:$G$607,U68)</f>
        <v>2</v>
      </c>
      <c r="AF68" s="3" t="n">
        <f aca="false">IF(AND(AA68=1,AC68&lt;&gt;"Confere"),ABS(Z68)+ROW()/10000000,0)</f>
        <v>0</v>
      </c>
      <c r="AG68" s="3" t="s">
        <v>3</v>
      </c>
      <c r="AV68" s="0" t="str">
        <f aca="false">IFERROR(INDEX($AX$1:$AX$94,MATCH(67,$AY$1:$AY$94,0)),"")</f>
        <v>260850602</v>
      </c>
      <c r="AW68" s="3" t="s">
        <v>117</v>
      </c>
      <c r="AX68" s="3" t="s">
        <v>196</v>
      </c>
      <c r="AY68" s="3" t="n">
        <f aca="false">IF(OR($A$5="Todos",AW68=$A$5),MAX(AY$1:AY67)+1,0)</f>
        <v>68</v>
      </c>
    </row>
    <row r="69" customFormat="false" ht="15" hidden="false" customHeight="false" outlineLevel="0" collapsed="false">
      <c r="A69" s="36" t="str">
        <f aca="false">IF(IFERROR(MATCH(36,$AB$40:$AB$133,0),0)=0,"",INDEX($T$40:$T$133,IFERROR(MATCH(36,$AB$40:$AB$133,0),0)))</f>
        <v>823NV-595</v>
      </c>
      <c r="B69" s="36" t="str">
        <f aca="false">IF(IFERROR(MATCH(36,$AB$40:$AB$133,0),0)=0,"",INDEX($AG$40:$AG$133,IFERROR(MATCH(36,$AB$40:$AB$133,0),0)))</f>
        <v>260416102</v>
      </c>
      <c r="C69" s="37" t="str">
        <f aca="false">IF(IFERROR(MATCH(36,$AB$40:$AB$133,0),0)=0,"",INDEX($U$40:$U$133,IFERROR(MATCH(36,$AB$40:$AB$133,0),0)))</f>
        <v>KG</v>
      </c>
      <c r="D69" s="38" t="n">
        <f aca="false">IF(IFERROR(MATCH(36,$AB$40:$AB$133,0),0)=0,"",INDEX($V$40:$V$133,IFERROR(MATCH(36,$AB$40:$AB$133,0),0)))</f>
        <v>0</v>
      </c>
      <c r="E69" s="38" t="n">
        <f aca="false">IF(IFERROR(MATCH(36,$AB$40:$AB$133,0),0)=0,"",INDEX($W$40:$W$133,IFERROR(MATCH(36,$AB$40:$AB$133,0),0)))</f>
        <v>1800</v>
      </c>
      <c r="F69" s="38" t="n">
        <f aca="false">IF(IFERROR(MATCH(36,$AB$40:$AB$133,0),0)=0,"",INDEX($X$40:$X$133,IFERROR(MATCH(36,$AB$40:$AB$133,0),0)))</f>
        <v>0</v>
      </c>
      <c r="G69" s="38" t="n">
        <f aca="false">IF(A69="","",E69-F69)</f>
        <v>1800</v>
      </c>
      <c r="H69" s="38" t="n">
        <f aca="false">IF(IFERROR(MATCH(36,$AB$40:$AB$133,0),0)=0,"",INDEX($Y$40:$Y$133,IFERROR(MATCH(36,$AB$40:$AB$133,0),0)))</f>
        <v>1800</v>
      </c>
      <c r="I69" s="39" t="n">
        <f aca="false">IF(IFERROR(MATCH(36,$AB$40:$AB$133,0),0)=0,"",INDEX($Z$40:$Z$133,IFERROR(MATCH(36,$AB$40:$AB$133,0),0)))</f>
        <v>0</v>
      </c>
      <c r="J69" s="40" t="str">
        <f aca="false">IF(IFERROR(MATCH(36,$AB$40:$AB$133,0),0)=0,"",INDEX($AC$40:$AC$133,IFERROR(MATCH(36,$AB$40:$AB$133,0),0)))</f>
        <v>Confere</v>
      </c>
      <c r="K69" s="41" t="n">
        <f aca="false">IF(IFERROR(MATCH(36,$AB$40:$AB$133,0),0)=0,"",INDEX($AD$40:$AD$133,IFERROR(MATCH(36,$AB$40:$AB$133,0),0)))</f>
        <v>1</v>
      </c>
      <c r="L69" s="42" t="str">
        <f aca="false">IF(IFERROR(MATCH(36,$AB$40:$AB$133,0),0)=0,"",INDEX($AE$40:$AE$133,IFERROR(MATCH(36,$AB$40:$AB$133,0),0))&amp;"")</f>
        <v>CA CALLETS 10KG/UC 2UC/BOX 30BOX/PAL</v>
      </c>
      <c r="T69" s="3" t="s">
        <v>7</v>
      </c>
      <c r="U69" s="3" t="s">
        <v>4</v>
      </c>
      <c r="V69" s="3" t="n">
        <f aca="false">SUMIFS(Lançamentos!$H$2:$H$607,Lançamentos!$A$2:$A$607,"&gt;="&amp;$F$5,Lançamentos!$A$2:$A$607,"&lt;="&amp;$H$5,Lançamentos!$C$2:$C$607,$T69,Lançamentos!$D$2:$D$607,$AG69,Lançamentos!$B$2:$B$607,"Recebido no 2008")</f>
        <v>0</v>
      </c>
      <c r="W69" s="3" t="n">
        <f aca="false">SUMIFS(Lançamentos!$I$2:$I$607,Lançamentos!$A$2:$A$607,"&gt;="&amp;$F$5,Lançamentos!$A$2:$A$607,"&lt;="&amp;$H$5,Lançamentos!$C$2:$C$607,$T69,Lançamentos!$D$2:$D$607,$AG69)</f>
        <v>3015</v>
      </c>
      <c r="X69" s="3" t="n">
        <f aca="false">SUMIFS(Lançamentos!$J$2:$J$607,Lançamentos!$A$2:$A$607,"&gt;="&amp;$F$5,Lançamentos!$A$2:$A$607,"&lt;="&amp;$H$5,Lançamentos!$C$2:$C$607,$T69,Lançamentos!$D$2:$D$607,$AG69)</f>
        <v>2673.3</v>
      </c>
      <c r="Y69" s="3" t="n">
        <f aca="false">SUMIFS('Estoque físico'!$J$2:$J$229,'Estoque físico'!$A$2:$A$229,$T69,'Estoque físico'!$B$2:$B$229,$AG69)</f>
        <v>341.7</v>
      </c>
      <c r="Z69" s="3" t="n">
        <f aca="false">ROUND(Y69-(W69-X69),3)</f>
        <v>0</v>
      </c>
      <c r="AA69" s="3" t="n">
        <f aca="false">IF(AND(U69=$R$3,OR($R$1="*",T69=$R$1),OR($R$2="*",AG69=$R$2),ABS(V69)+ABS(W69)+ABS(X69)+ABS(Y69)&gt;0),1,0)</f>
        <v>1</v>
      </c>
      <c r="AB69" s="3" t="n">
        <f aca="false">IF(AA69=1,SUM(AA$40:AA69),"")</f>
        <v>25</v>
      </c>
      <c r="AC69" s="0" t="str">
        <f aca="false">IF(ABS(Z69)&lt;=$R$5,"Confere",IF(Z69&gt;0,"Sobrando","Faltando"))</f>
        <v>Confere</v>
      </c>
      <c r="AD69" s="3" t="n">
        <f aca="false">COUNTIFS(Lançamentos!$A$2:$A$607,"&gt;="&amp;$F$5,Lançamentos!$A$2:$A$607,"&lt;="&amp;$H$5,Lançamentos!$C$2:$C$607,$T69,Lançamentos!$D$2:$D$607,$AG69,Lançamentos!$B$2:$B$607,$R$4,Lançamentos!$G$2:$G$607,U69)</f>
        <v>20</v>
      </c>
      <c r="AE69" s="3" t="s">
        <v>119</v>
      </c>
      <c r="AF69" s="3" t="n">
        <f aca="false">IF(AND(AA69=1,AC69&lt;&gt;"Confere"),ABS(Z69)+ROW()/10000000,0)</f>
        <v>0</v>
      </c>
      <c r="AG69" s="3" t="s">
        <v>8</v>
      </c>
      <c r="AV69" s="0" t="str">
        <f aca="false">IFERROR(INDEX($AX$1:$AX$94,MATCH(68,$AY$1:$AY$94,0)),"")</f>
        <v>261070601</v>
      </c>
      <c r="AW69" s="3" t="s">
        <v>122</v>
      </c>
      <c r="AX69" s="3" t="s">
        <v>197</v>
      </c>
      <c r="AY69" s="3" t="n">
        <f aca="false">IF(OR($A$5="Todos",AW69=$A$5),MAX(AY$1:AY68)+1,0)</f>
        <v>69</v>
      </c>
    </row>
    <row r="70" customFormat="false" ht="15" hidden="false" customHeight="false" outlineLevel="0" collapsed="false">
      <c r="A70" s="36" t="str">
        <f aca="false">IF(IFERROR(MATCH(37,$AB$40:$AB$133,0),0)=0,"",INDEX($T$40:$T$133,IFERROR(MATCH(37,$AB$40:$AB$133,0),0)))</f>
        <v>823NV-595</v>
      </c>
      <c r="B70" s="36" t="str">
        <f aca="false">IF(IFERROR(MATCH(37,$AB$40:$AB$133,0),0)=0,"",INDEX($AG$40:$AG$133,IFERROR(MATCH(37,$AB$40:$AB$133,0),0)))</f>
        <v>261376101</v>
      </c>
      <c r="C70" s="37" t="str">
        <f aca="false">IF(IFERROR(MATCH(37,$AB$40:$AB$133,0),0)=0,"",INDEX($U$40:$U$133,IFERROR(MATCH(37,$AB$40:$AB$133,0),0)))</f>
        <v>KG</v>
      </c>
      <c r="D70" s="38" t="n">
        <f aca="false">IF(IFERROR(MATCH(37,$AB$40:$AB$133,0),0)=0,"",INDEX($V$40:$V$133,IFERROR(MATCH(37,$AB$40:$AB$133,0),0)))</f>
        <v>6000</v>
      </c>
      <c r="E70" s="38" t="n">
        <f aca="false">IF(IFERROR(MATCH(37,$AB$40:$AB$133,0),0)=0,"",INDEX($W$40:$W$133,IFERROR(MATCH(37,$AB$40:$AB$133,0),0)))</f>
        <v>5940</v>
      </c>
      <c r="F70" s="38" t="n">
        <f aca="false">IF(IFERROR(MATCH(37,$AB$40:$AB$133,0),0)=0,"",INDEX($X$40:$X$133,IFERROR(MATCH(37,$AB$40:$AB$133,0),0)))</f>
        <v>4940</v>
      </c>
      <c r="G70" s="38" t="n">
        <f aca="false">IF(A70="","",E70-F70)</f>
        <v>1000</v>
      </c>
      <c r="H70" s="38" t="n">
        <f aca="false">IF(IFERROR(MATCH(37,$AB$40:$AB$133,0),0)=0,"",INDEX($Y$40:$Y$133,IFERROR(MATCH(37,$AB$40:$AB$133,0),0)))</f>
        <v>1000</v>
      </c>
      <c r="I70" s="39" t="n">
        <f aca="false">IF(IFERROR(MATCH(37,$AB$40:$AB$133,0),0)=0,"",INDEX($Z$40:$Z$133,IFERROR(MATCH(37,$AB$40:$AB$133,0),0)))</f>
        <v>0</v>
      </c>
      <c r="J70" s="40" t="str">
        <f aca="false">IF(IFERROR(MATCH(37,$AB$40:$AB$133,0),0)=0,"",INDEX($AC$40:$AC$133,IFERROR(MATCH(37,$AB$40:$AB$133,0),0)))</f>
        <v>Confere</v>
      </c>
      <c r="K70" s="41" t="n">
        <f aca="false">IF(IFERROR(MATCH(37,$AB$40:$AB$133,0),0)=0,"",INDEX($AD$40:$AD$133,IFERROR(MATCH(37,$AB$40:$AB$133,0),0)))</f>
        <v>12</v>
      </c>
      <c r="L70" s="42" t="str">
        <f aca="false">IF(IFERROR(MATCH(37,$AB$40:$AB$133,0),0)=0,"",INDEX($AE$40:$AE$133,IFERROR(MATCH(37,$AB$40:$AB$133,0),0))&amp;"")</f>
        <v>CA CALLETS 10KG/UC 2UC/BOX 30BOX/PAL</v>
      </c>
      <c r="T70" s="3" t="s">
        <v>23</v>
      </c>
      <c r="U70" s="3" t="s">
        <v>4</v>
      </c>
      <c r="V70" s="3" t="n">
        <f aca="false">SUMIFS(Lançamentos!$H$2:$H$607,Lançamentos!$A$2:$A$607,"&gt;="&amp;$F$5,Lançamentos!$A$2:$A$607,"&lt;="&amp;$H$5,Lançamentos!$C$2:$C$607,$T70,Lançamentos!$D$2:$D$607,$AG70,Lançamentos!$B$2:$B$607,"Recebido no 2008")</f>
        <v>0</v>
      </c>
      <c r="W70" s="3" t="n">
        <f aca="false">SUMIFS(Lançamentos!$I$2:$I$607,Lançamentos!$A$2:$A$607,"&gt;="&amp;$F$5,Lançamentos!$A$2:$A$607,"&lt;="&amp;$H$5,Lançamentos!$C$2:$C$607,$T70,Lançamentos!$D$2:$D$607,$AG70)</f>
        <v>142.8</v>
      </c>
      <c r="X70" s="3" t="n">
        <f aca="false">SUMIFS(Lançamentos!$J$2:$J$607,Lançamentos!$A$2:$A$607,"&gt;="&amp;$F$5,Lançamentos!$A$2:$A$607,"&lt;="&amp;$H$5,Lançamentos!$C$2:$C$607,$T70,Lançamentos!$D$2:$D$607,$AG70)</f>
        <v>0</v>
      </c>
      <c r="Y70" s="3" t="n">
        <f aca="false">SUMIFS('Estoque físico'!$J$2:$J$229,'Estoque físico'!$A$2:$A$229,$T70,'Estoque físico'!$B$2:$B$229,$AG70)</f>
        <v>142.8</v>
      </c>
      <c r="Z70" s="3" t="n">
        <f aca="false">ROUND(Y70-(W70-X70),3)</f>
        <v>0</v>
      </c>
      <c r="AA70" s="3" t="n">
        <f aca="false">IF(AND(U70=$R$3,OR($R$1="*",T70=$R$1),OR($R$2="*",AG70=$R$2),ABS(V70)+ABS(W70)+ABS(X70)+ABS(Y70)&gt;0),1,0)</f>
        <v>1</v>
      </c>
      <c r="AB70" s="3" t="n">
        <f aca="false">IF(AA70=1,SUM(AA$40:AA70),"")</f>
        <v>26</v>
      </c>
      <c r="AC70" s="0" t="str">
        <f aca="false">IF(ABS(Z70)&lt;=$R$5,"Confere",IF(Z70&gt;0,"Sobrando","Faltando"))</f>
        <v>Confere</v>
      </c>
      <c r="AD70" s="3" t="n">
        <f aca="false">COUNTIFS(Lançamentos!$A$2:$A$607,"&gt;="&amp;$F$5,Lançamentos!$A$2:$A$607,"&lt;="&amp;$H$5,Lançamentos!$C$2:$C$607,$T70,Lançamentos!$D$2:$D$607,$AG70,Lançamentos!$B$2:$B$607,$R$4,Lançamentos!$G$2:$G$607,U70)</f>
        <v>1</v>
      </c>
      <c r="AE70" s="3" t="s">
        <v>141</v>
      </c>
      <c r="AF70" s="3" t="n">
        <f aca="false">IF(AND(AA70=1,AC70&lt;&gt;"Confere"),ABS(Z70)+ROW()/10000000,0)</f>
        <v>0</v>
      </c>
      <c r="AG70" s="3" t="s">
        <v>28</v>
      </c>
      <c r="AV70" s="0" t="str">
        <f aca="false">IFERROR(INDEX($AX$1:$AX$94,MATCH(69,$AY$1:$AY$94,0)),"")</f>
        <v>260778132</v>
      </c>
      <c r="AW70" s="3" t="s">
        <v>126</v>
      </c>
      <c r="AX70" s="3" t="s">
        <v>198</v>
      </c>
      <c r="AY70" s="3" t="n">
        <f aca="false">IF(OR($A$5="Todos",AW70=$A$5),MAX(AY$1:AY69)+1,0)</f>
        <v>70</v>
      </c>
    </row>
    <row r="71" customFormat="false" ht="15" hidden="false" customHeight="false" outlineLevel="0" collapsed="false">
      <c r="A71" s="36" t="str">
        <f aca="false">IF(IFERROR(MATCH(38,$AB$40:$AB$133,0),0)=0,"",INDEX($T$40:$T$133,IFERROR(MATCH(38,$AB$40:$AB$133,0),0)))</f>
        <v>BIG-PF-1BO-401</v>
      </c>
      <c r="B71" s="36" t="str">
        <f aca="false">IF(IFERROR(MATCH(38,$AB$40:$AB$133,0),0)=0,"",INDEX($AG$40:$AG$133,IFERROR(MATCH(38,$AB$40:$AB$133,0),0)))</f>
        <v>26093039</v>
      </c>
      <c r="C71" s="37" t="str">
        <f aca="false">IF(IFERROR(MATCH(38,$AB$40:$AB$133,0),0)=0,"",INDEX($U$40:$U$133,IFERROR(MATCH(38,$AB$40:$AB$133,0),0)))</f>
        <v>KG</v>
      </c>
      <c r="D71" s="38" t="n">
        <f aca="false">IF(IFERROR(MATCH(38,$AB$40:$AB$133,0),0)=0,"",INDEX($V$40:$V$133,IFERROR(MATCH(38,$AB$40:$AB$133,0),0)))</f>
        <v>0</v>
      </c>
      <c r="E71" s="38" t="n">
        <f aca="false">IF(IFERROR(MATCH(38,$AB$40:$AB$133,0),0)=0,"",INDEX($W$40:$W$133,IFERROR(MATCH(38,$AB$40:$AB$133,0),0)))</f>
        <v>720</v>
      </c>
      <c r="F71" s="38" t="n">
        <f aca="false">IF(IFERROR(MATCH(38,$AB$40:$AB$133,0),0)=0,"",INDEX($X$40:$X$133,IFERROR(MATCH(38,$AB$40:$AB$133,0),0)))</f>
        <v>240</v>
      </c>
      <c r="G71" s="38" t="n">
        <f aca="false">IF(A71="","",E71-F71)</f>
        <v>480</v>
      </c>
      <c r="H71" s="38" t="n">
        <f aca="false">IF(IFERROR(MATCH(38,$AB$40:$AB$133,0),0)=0,"",INDEX($Y$40:$Y$133,IFERROR(MATCH(38,$AB$40:$AB$133,0),0)))</f>
        <v>480</v>
      </c>
      <c r="I71" s="39" t="n">
        <f aca="false">IF(IFERROR(MATCH(38,$AB$40:$AB$133,0),0)=0,"",INDEX($Z$40:$Z$133,IFERROR(MATCH(38,$AB$40:$AB$133,0),0)))</f>
        <v>0</v>
      </c>
      <c r="J71" s="40" t="str">
        <f aca="false">IF(IFERROR(MATCH(38,$AB$40:$AB$133,0),0)=0,"",INDEX($AC$40:$AC$133,IFERROR(MATCH(38,$AB$40:$AB$133,0),0)))</f>
        <v>Confere</v>
      </c>
      <c r="K71" s="41" t="n">
        <f aca="false">IF(IFERROR(MATCH(38,$AB$40:$AB$133,0),0)=0,"",INDEX($AD$40:$AD$133,IFERROR(MATCH(38,$AB$40:$AB$133,0),0)))</f>
        <v>2</v>
      </c>
      <c r="L71" s="42" t="str">
        <f aca="false">IF(IFERROR(MATCH(38,$AB$40:$AB$133,0),0)=0,"",INDEX($AE$40:$AE$133,IFERROR(MATCH(38,$AB$40:$AB$133,0),0))&amp;"")</f>
        <v>CB PAILLETÉ FEUILLETINE 2.5KG/UC 4UC/BOX</v>
      </c>
      <c r="T71" s="3" t="s">
        <v>31</v>
      </c>
      <c r="U71" s="3" t="s">
        <v>4</v>
      </c>
      <c r="V71" s="3" t="n">
        <f aca="false">SUMIFS(Lançamentos!$H$2:$H$607,Lançamentos!$A$2:$A$607,"&gt;="&amp;$F$5,Lançamentos!$A$2:$A$607,"&lt;="&amp;$H$5,Lançamentos!$C$2:$C$607,$T71,Lançamentos!$D$2:$D$607,$AG71,Lançamentos!$B$2:$B$607,"Recebido no 2008")</f>
        <v>0</v>
      </c>
      <c r="W71" s="3" t="n">
        <f aca="false">SUMIFS(Lançamentos!$I$2:$I$607,Lançamentos!$A$2:$A$607,"&gt;="&amp;$F$5,Lançamentos!$A$2:$A$607,"&lt;="&amp;$H$5,Lançamentos!$C$2:$C$607,$T71,Lançamentos!$D$2:$D$607,$AG71)</f>
        <v>1500</v>
      </c>
      <c r="X71" s="3" t="n">
        <f aca="false">SUMIFS(Lançamentos!$J$2:$J$607,Lançamentos!$A$2:$A$607,"&gt;="&amp;$F$5,Lançamentos!$A$2:$A$607,"&lt;="&amp;$H$5,Lançamentos!$C$2:$C$607,$T71,Lançamentos!$D$2:$D$607,$AG71)</f>
        <v>0</v>
      </c>
      <c r="Y71" s="3" t="n">
        <f aca="false">SUMIFS('Estoque físico'!$J$2:$J$229,'Estoque físico'!$A$2:$A$229,$T71,'Estoque físico'!$B$2:$B$229,$AG71)</f>
        <v>1500</v>
      </c>
      <c r="Z71" s="3" t="n">
        <f aca="false">ROUND(Y71-(W71-X71),3)</f>
        <v>0</v>
      </c>
      <c r="AA71" s="3" t="n">
        <f aca="false">IF(AND(U71=$R$3,OR($R$1="*",T71=$R$1),OR($R$2="*",AG71=$R$2),ABS(V71)+ABS(W71)+ABS(X71)+ABS(Y71)&gt;0),1,0)</f>
        <v>1</v>
      </c>
      <c r="AB71" s="3" t="n">
        <f aca="false">IF(AA71=1,SUM(AA$40:AA71),"")</f>
        <v>27</v>
      </c>
      <c r="AC71" s="0" t="str">
        <f aca="false">IF(ABS(Z71)&lt;=$R$5,"Confere",IF(Z71&gt;0,"Sobrando","Faltando"))</f>
        <v>Confere</v>
      </c>
      <c r="AD71" s="3" t="n">
        <f aca="false">COUNTIFS(Lançamentos!$A$2:$A$607,"&gt;="&amp;$F$5,Lançamentos!$A$2:$A$607,"&lt;="&amp;$H$5,Lançamentos!$C$2:$C$607,$T71,Lançamentos!$D$2:$D$607,$AG71,Lançamentos!$B$2:$B$607,$R$4,Lançamentos!$G$2:$G$607,U71)</f>
        <v>4</v>
      </c>
      <c r="AE71" s="3" t="s">
        <v>199</v>
      </c>
      <c r="AF71" s="3" t="n">
        <f aca="false">IF(AND(AA71=1,AC71&lt;&gt;"Confere"),ABS(Z71)+ROW()/10000000,0)</f>
        <v>0</v>
      </c>
      <c r="AG71" s="3" t="s">
        <v>36</v>
      </c>
      <c r="AV71" s="0" t="str">
        <f aca="false">IFERROR(INDEX($AX$1:$AX$94,MATCH(70,$AY$1:$AY$94,0)),"")</f>
        <v>261388131</v>
      </c>
      <c r="AW71" s="3" t="s">
        <v>130</v>
      </c>
      <c r="AX71" s="3" t="s">
        <v>200</v>
      </c>
      <c r="AY71" s="3" t="n">
        <f aca="false">IF(OR($A$5="Todos",AW71=$A$5),MAX(AY$1:AY70)+1,0)</f>
        <v>71</v>
      </c>
    </row>
    <row r="72" customFormat="false" ht="15" hidden="false" customHeight="false" outlineLevel="0" collapsed="false">
      <c r="A72" s="36" t="str">
        <f aca="false">IF(IFERROR(MATCH(39,$AB$40:$AB$133,0),0)=0,"",INDEX($T$40:$T$133,IFERROR(MATCH(39,$AB$40:$AB$133,0),0)))</f>
        <v>BIG-PF-1BO-401</v>
      </c>
      <c r="B72" s="36" t="str">
        <f aca="false">IF(IFERROR(MATCH(39,$AB$40:$AB$133,0),0)=0,"",INDEX($AG$40:$AG$133,IFERROR(MATCH(39,$AB$40:$AB$133,0),0)))</f>
        <v>26126039</v>
      </c>
      <c r="C72" s="37" t="str">
        <f aca="false">IF(IFERROR(MATCH(39,$AB$40:$AB$133,0),0)=0,"",INDEX($U$40:$U$133,IFERROR(MATCH(39,$AB$40:$AB$133,0),0)))</f>
        <v>KG</v>
      </c>
      <c r="D72" s="38" t="n">
        <f aca="false">IF(IFERROR(MATCH(39,$AB$40:$AB$133,0),0)=0,"",INDEX($V$40:$V$133,IFERROR(MATCH(39,$AB$40:$AB$133,0),0)))</f>
        <v>2880</v>
      </c>
      <c r="E72" s="38" t="n">
        <f aca="false">IF(IFERROR(MATCH(39,$AB$40:$AB$133,0),0)=0,"",INDEX($W$40:$W$133,IFERROR(MATCH(39,$AB$40:$AB$133,0),0)))</f>
        <v>40</v>
      </c>
      <c r="F72" s="38" t="n">
        <f aca="false">IF(IFERROR(MATCH(39,$AB$40:$AB$133,0),0)=0,"",INDEX($X$40:$X$133,IFERROR(MATCH(39,$AB$40:$AB$133,0),0)))</f>
        <v>0</v>
      </c>
      <c r="G72" s="38" t="n">
        <f aca="false">IF(A72="","",E72-F72)</f>
        <v>40</v>
      </c>
      <c r="H72" s="38" t="n">
        <f aca="false">IF(IFERROR(MATCH(39,$AB$40:$AB$133,0),0)=0,"",INDEX($Y$40:$Y$133,IFERROR(MATCH(39,$AB$40:$AB$133,0),0)))</f>
        <v>40</v>
      </c>
      <c r="I72" s="39" t="n">
        <f aca="false">IF(IFERROR(MATCH(39,$AB$40:$AB$133,0),0)=0,"",INDEX($Z$40:$Z$133,IFERROR(MATCH(39,$AB$40:$AB$133,0),0)))</f>
        <v>0</v>
      </c>
      <c r="J72" s="40" t="str">
        <f aca="false">IF(IFERROR(MATCH(39,$AB$40:$AB$133,0),0)=0,"",INDEX($AC$40:$AC$133,IFERROR(MATCH(39,$AB$40:$AB$133,0),0)))</f>
        <v>Confere</v>
      </c>
      <c r="K72" s="41" t="n">
        <f aca="false">IF(IFERROR(MATCH(39,$AB$40:$AB$133,0),0)=0,"",INDEX($AD$40:$AD$133,IFERROR(MATCH(39,$AB$40:$AB$133,0),0)))</f>
        <v>3</v>
      </c>
      <c r="L72" s="42" t="str">
        <f aca="false">IF(IFERROR(MATCH(39,$AB$40:$AB$133,0),0)=0,"",INDEX($AE$40:$AE$133,IFERROR(MATCH(39,$AB$40:$AB$133,0),0))&amp;"")</f>
        <v>CB PAILLETÉ FEUILLETINE 2.5KG/UC 4UC/BOX</v>
      </c>
      <c r="T72" s="3" t="s">
        <v>31</v>
      </c>
      <c r="U72" s="3" t="s">
        <v>4</v>
      </c>
      <c r="V72" s="3" t="n">
        <f aca="false">SUMIFS(Lançamentos!$H$2:$H$607,Lançamentos!$A$2:$A$607,"&gt;="&amp;$F$5,Lançamentos!$A$2:$A$607,"&lt;="&amp;$H$5,Lançamentos!$C$2:$C$607,$T72,Lançamentos!$D$2:$D$607,$AG72,Lançamentos!$B$2:$B$607,"Recebido no 2008")</f>
        <v>0</v>
      </c>
      <c r="W72" s="3" t="n">
        <f aca="false">SUMIFS(Lançamentos!$I$2:$I$607,Lançamentos!$A$2:$A$607,"&gt;="&amp;$F$5,Lançamentos!$A$2:$A$607,"&lt;="&amp;$H$5,Lançamentos!$C$2:$C$607,$T72,Lançamentos!$D$2:$D$607,$AG72)</f>
        <v>1750</v>
      </c>
      <c r="X72" s="3" t="n">
        <f aca="false">SUMIFS(Lançamentos!$J$2:$J$607,Lançamentos!$A$2:$A$607,"&gt;="&amp;$F$5,Lançamentos!$A$2:$A$607,"&lt;="&amp;$H$5,Lançamentos!$C$2:$C$607,$T72,Lançamentos!$D$2:$D$607,$AG72)</f>
        <v>800</v>
      </c>
      <c r="Y72" s="3" t="n">
        <f aca="false">SUMIFS('Estoque físico'!$J$2:$J$229,'Estoque físico'!$A$2:$A$229,$T72,'Estoque físico'!$B$2:$B$229,$AG72)</f>
        <v>950</v>
      </c>
      <c r="Z72" s="3" t="n">
        <f aca="false">ROUND(Y72-(W72-X72),3)</f>
        <v>0</v>
      </c>
      <c r="AA72" s="3" t="n">
        <f aca="false">IF(AND(U72=$R$3,OR($R$1="*",T72=$R$1),OR($R$2="*",AG72=$R$2),ABS(V72)+ABS(W72)+ABS(X72)+ABS(Y72)&gt;0),1,0)</f>
        <v>1</v>
      </c>
      <c r="AB72" s="3" t="n">
        <f aca="false">IF(AA72=1,SUM(AA$40:AA72),"")</f>
        <v>28</v>
      </c>
      <c r="AC72" s="0" t="str">
        <f aca="false">IF(ABS(Z72)&lt;=$R$5,"Confere",IF(Z72&gt;0,"Sobrando","Faltando"))</f>
        <v>Confere</v>
      </c>
      <c r="AD72" s="3" t="n">
        <f aca="false">COUNTIFS(Lançamentos!$A$2:$A$607,"&gt;="&amp;$F$5,Lançamentos!$A$2:$A$607,"&lt;="&amp;$H$5,Lançamentos!$C$2:$C$607,$T72,Lançamentos!$D$2:$D$607,$AG72,Lançamentos!$B$2:$B$607,$R$4,Lançamentos!$G$2:$G$607,U72)</f>
        <v>9</v>
      </c>
      <c r="AE72" s="3" t="s">
        <v>199</v>
      </c>
      <c r="AF72" s="3" t="n">
        <f aca="false">IF(AND(AA72=1,AC72&lt;&gt;"Confere"),ABS(Z72)+ROW()/10000000,0)</f>
        <v>0</v>
      </c>
      <c r="AG72" s="3" t="s">
        <v>42</v>
      </c>
      <c r="AV72" s="0" t="str">
        <f aca="false">IFERROR(INDEX($AX$1:$AX$94,MATCH(71,$AY$1:$AY$94,0)),"")</f>
        <v>260348131</v>
      </c>
      <c r="AW72" s="3" t="s">
        <v>130</v>
      </c>
      <c r="AX72" s="3" t="s">
        <v>201</v>
      </c>
      <c r="AY72" s="3" t="n">
        <f aca="false">IF(OR($A$5="Todos",AW72=$A$5),MAX(AY$1:AY71)+1,0)</f>
        <v>72</v>
      </c>
    </row>
    <row r="73" customFormat="false" ht="15" hidden="false" customHeight="false" outlineLevel="0" collapsed="false">
      <c r="A73" s="36" t="str">
        <f aca="false">IF(IFERROR(MATCH(40,$AB$40:$AB$133,0),0)=0,"",INDEX($T$40:$T$133,IFERROR(MATCH(40,$AB$40:$AB$133,0),0)))</f>
        <v>CHD-DR-75Y5-E1-U68</v>
      </c>
      <c r="B73" s="36" t="str">
        <f aca="false">IF(IFERROR(MATCH(40,$AB$40:$AB$133,0),0)=0,"",INDEX($AG$40:$AG$133,IFERROR(MATCH(40,$AB$40:$AB$133,0),0)))</f>
        <v>252810301</v>
      </c>
      <c r="C73" s="37" t="str">
        <f aca="false">IF(IFERROR(MATCH(40,$AB$40:$AB$133,0),0)=0,"",INDEX($U$40:$U$133,IFERROR(MATCH(40,$AB$40:$AB$133,0),0)))</f>
        <v>KG</v>
      </c>
      <c r="D73" s="38" t="n">
        <f aca="false">IF(IFERROR(MATCH(40,$AB$40:$AB$133,0),0)=0,"",INDEX($V$40:$V$133,IFERROR(MATCH(40,$AB$40:$AB$133,0),0)))</f>
        <v>0</v>
      </c>
      <c r="E73" s="38" t="n">
        <f aca="false">IF(IFERROR(MATCH(40,$AB$40:$AB$133,0),0)=0,"",INDEX($W$40:$W$133,IFERROR(MATCH(40,$AB$40:$AB$133,0),0)))</f>
        <v>648</v>
      </c>
      <c r="F73" s="38" t="n">
        <f aca="false">IF(IFERROR(MATCH(40,$AB$40:$AB$133,0),0)=0,"",INDEX($X$40:$X$133,IFERROR(MATCH(40,$AB$40:$AB$133,0),0)))</f>
        <v>54</v>
      </c>
      <c r="G73" s="38" t="n">
        <f aca="false">IF(A73="","",E73-F73)</f>
        <v>594</v>
      </c>
      <c r="H73" s="38" t="n">
        <f aca="false">IF(IFERROR(MATCH(40,$AB$40:$AB$133,0),0)=0,"",INDEX($Y$40:$Y$133,IFERROR(MATCH(40,$AB$40:$AB$133,0),0)))</f>
        <v>594</v>
      </c>
      <c r="I73" s="39" t="n">
        <f aca="false">IF(IFERROR(MATCH(40,$AB$40:$AB$133,0),0)=0,"",INDEX($Z$40:$Z$133,IFERROR(MATCH(40,$AB$40:$AB$133,0),0)))</f>
        <v>0</v>
      </c>
      <c r="J73" s="40" t="str">
        <f aca="false">IF(IFERROR(MATCH(40,$AB$40:$AB$133,0),0)=0,"",INDEX($AC$40:$AC$133,IFERROR(MATCH(40,$AB$40:$AB$133,0),0)))</f>
        <v>Confere</v>
      </c>
      <c r="K73" s="41" t="n">
        <f aca="false">IF(IFERROR(MATCH(40,$AB$40:$AB$133,0),0)=0,"",INDEX($AD$40:$AD$133,IFERROR(MATCH(40,$AB$40:$AB$133,0),0)))</f>
        <v>5</v>
      </c>
      <c r="L73" s="42" t="str">
        <f aca="false">IF(IFERROR(MATCH(40,$AB$40:$AB$133,0),0)=0,"",INDEX($AE$40:$AE$133,IFERROR(MATCH(40,$AB$40:$AB$133,0),0))&amp;"")</f>
        <v>CB CHIPS 7500CT/KG 1KG/UC 6UC/CX</v>
      </c>
      <c r="T73" s="3" t="s">
        <v>33</v>
      </c>
      <c r="U73" s="3" t="s">
        <v>4</v>
      </c>
      <c r="V73" s="3" t="n">
        <f aca="false">SUMIFS(Lançamentos!$H$2:$H$607,Lançamentos!$A$2:$A$607,"&gt;="&amp;$F$5,Lançamentos!$A$2:$A$607,"&lt;="&amp;$H$5,Lançamentos!$C$2:$C$607,$T73,Lançamentos!$D$2:$D$607,$AG73,Lançamentos!$B$2:$B$607,"Recebido no 2008")</f>
        <v>0</v>
      </c>
      <c r="W73" s="3" t="n">
        <f aca="false">SUMIFS(Lançamentos!$I$2:$I$607,Lançamentos!$A$2:$A$607,"&gt;="&amp;$F$5,Lançamentos!$A$2:$A$607,"&lt;="&amp;$H$5,Lançamentos!$C$2:$C$607,$T73,Lançamentos!$D$2:$D$607,$AG73)</f>
        <v>1800</v>
      </c>
      <c r="X73" s="3" t="n">
        <f aca="false">SUMIFS(Lançamentos!$J$2:$J$607,Lançamentos!$A$2:$A$607,"&gt;="&amp;$F$5,Lançamentos!$A$2:$A$607,"&lt;="&amp;$H$5,Lançamentos!$C$2:$C$607,$T73,Lançamentos!$D$2:$D$607,$AG73)</f>
        <v>1780</v>
      </c>
      <c r="Y73" s="3" t="n">
        <f aca="false">SUMIFS('Estoque físico'!$J$2:$J$229,'Estoque físico'!$A$2:$A$229,$T73,'Estoque físico'!$B$2:$B$229,$AG73)</f>
        <v>20</v>
      </c>
      <c r="Z73" s="3" t="n">
        <f aca="false">ROUND(Y73-(W73-X73),3)</f>
        <v>0</v>
      </c>
      <c r="AA73" s="3" t="n">
        <f aca="false">IF(AND(U73=$R$3,OR($R$1="*",T73=$R$1),OR($R$2="*",AG73=$R$2),ABS(V73)+ABS(W73)+ABS(X73)+ABS(Y73)&gt;0),1,0)</f>
        <v>1</v>
      </c>
      <c r="AB73" s="3" t="n">
        <f aca="false">IF(AA73=1,SUM(AA$40:AA73),"")</f>
        <v>29</v>
      </c>
      <c r="AC73" s="0" t="str">
        <f aca="false">IF(ABS(Z73)&lt;=$R$5,"Confere",IF(Z73&gt;0,"Sobrando","Faltando"))</f>
        <v>Confere</v>
      </c>
      <c r="AD73" s="3" t="n">
        <f aca="false">COUNTIFS(Lançamentos!$A$2:$A$607,"&gt;="&amp;$F$5,Lançamentos!$A$2:$A$607,"&lt;="&amp;$H$5,Lançamentos!$C$2:$C$607,$T73,Lançamentos!$D$2:$D$607,$AG73,Lançamentos!$B$2:$B$607,$R$4,Lançamentos!$G$2:$G$607,U73)</f>
        <v>3</v>
      </c>
      <c r="AE73" s="3" t="s">
        <v>202</v>
      </c>
      <c r="AF73" s="3" t="n">
        <f aca="false">IF(AND(AA73=1,AC73&lt;&gt;"Confere"),ABS(Z73)+ROW()/10000000,0)</f>
        <v>0</v>
      </c>
      <c r="AG73" s="3" t="s">
        <v>44</v>
      </c>
      <c r="AV73" s="0" t="str">
        <f aca="false">IFERROR(INDEX($AX$1:$AX$94,MATCH(72,$AY$1:$AY$94,0)),"")</f>
        <v>260358131</v>
      </c>
      <c r="AW73" s="3" t="s">
        <v>135</v>
      </c>
      <c r="AX73" s="3" t="s">
        <v>203</v>
      </c>
      <c r="AY73" s="3" t="n">
        <f aca="false">IF(OR($A$5="Todos",AW73=$A$5),MAX(AY$1:AY72)+1,0)</f>
        <v>73</v>
      </c>
    </row>
    <row r="74" customFormat="false" ht="15" hidden="false" customHeight="false" outlineLevel="0" collapsed="false">
      <c r="A74" s="36" t="str">
        <f aca="false">IF(IFERROR(MATCH(41,$AB$40:$AB$133,0),0)=0,"",INDEX($T$40:$T$133,IFERROR(MATCH(41,$AB$40:$AB$133,0),0)))</f>
        <v>CHD-SP-1M-2B-U77</v>
      </c>
      <c r="B74" s="36" t="str">
        <f aca="false">IF(IFERROR(MATCH(41,$AB$40:$AB$133,0),0)=0,"",INDEX($AG$40:$AG$133,IFERROR(MATCH(41,$AB$40:$AB$133,0),0)))</f>
        <v>260880101</v>
      </c>
      <c r="C74" s="37" t="str">
        <f aca="false">IF(IFERROR(MATCH(41,$AB$40:$AB$133,0),0)=0,"",INDEX($U$40:$U$133,IFERROR(MATCH(41,$AB$40:$AB$133,0),0)))</f>
        <v>KG</v>
      </c>
      <c r="D74" s="38" t="n">
        <f aca="false">IF(IFERROR(MATCH(41,$AB$40:$AB$133,0),0)=0,"",INDEX($V$40:$V$133,IFERROR(MATCH(41,$AB$40:$AB$133,0),0)))</f>
        <v>2400</v>
      </c>
      <c r="E74" s="38" t="n">
        <f aca="false">IF(IFERROR(MATCH(41,$AB$40:$AB$133,0),0)=0,"",INDEX($W$40:$W$133,IFERROR(MATCH(41,$AB$40:$AB$133,0),0)))</f>
        <v>0</v>
      </c>
      <c r="F74" s="38" t="n">
        <f aca="false">IF(IFERROR(MATCH(41,$AB$40:$AB$133,0),0)=0,"",INDEX($X$40:$X$133,IFERROR(MATCH(41,$AB$40:$AB$133,0),0)))</f>
        <v>0</v>
      </c>
      <c r="G74" s="38" t="n">
        <f aca="false">IF(A74="","",E74-F74)</f>
        <v>0</v>
      </c>
      <c r="H74" s="38" t="n">
        <f aca="false">IF(IFERROR(MATCH(41,$AB$40:$AB$133,0),0)=0,"",INDEX($Y$40:$Y$133,IFERROR(MATCH(41,$AB$40:$AB$133,0),0)))</f>
        <v>0</v>
      </c>
      <c r="I74" s="39" t="n">
        <f aca="false">IF(IFERROR(MATCH(41,$AB$40:$AB$133,0),0)=0,"",INDEX($Z$40:$Z$133,IFERROR(MATCH(41,$AB$40:$AB$133,0),0)))</f>
        <v>0</v>
      </c>
      <c r="J74" s="40" t="str">
        <f aca="false">IF(IFERROR(MATCH(41,$AB$40:$AB$133,0),0)=0,"",INDEX($AC$40:$AC$133,IFERROR(MATCH(41,$AB$40:$AB$133,0),0)))</f>
        <v>Confere</v>
      </c>
      <c r="K74" s="41" t="n">
        <f aca="false">IF(IFERROR(MATCH(41,$AB$40:$AB$133,0),0)=0,"",INDEX($AD$40:$AD$133,IFERROR(MATCH(41,$AB$40:$AB$133,0),0)))</f>
        <v>2</v>
      </c>
      <c r="L74" s="42" t="str">
        <f aca="false">IF(IFERROR(MATCH(41,$AB$40:$AB$133,0),0)=0,"",INDEX($AE$40:$AE$133,IFERROR(MATCH(41,$AB$40:$AB$133,0),0))&amp;"")</f>
        <v/>
      </c>
      <c r="T74" s="3" t="s">
        <v>33</v>
      </c>
      <c r="U74" s="3" t="s">
        <v>4</v>
      </c>
      <c r="V74" s="3" t="n">
        <f aca="false">SUMIFS(Lançamentos!$H$2:$H$607,Lançamentos!$A$2:$A$607,"&gt;="&amp;$F$5,Lançamentos!$A$2:$A$607,"&lt;="&amp;$H$5,Lançamentos!$C$2:$C$607,$T74,Lançamentos!$D$2:$D$607,$AG74,Lançamentos!$B$2:$B$607,"Recebido no 2008")</f>
        <v>0</v>
      </c>
      <c r="W74" s="3" t="n">
        <f aca="false">SUMIFS(Lançamentos!$I$2:$I$607,Lançamentos!$A$2:$A$607,"&gt;="&amp;$F$5,Lançamentos!$A$2:$A$607,"&lt;="&amp;$H$5,Lançamentos!$C$2:$C$607,$T74,Lançamentos!$D$2:$D$607,$AG74)</f>
        <v>600</v>
      </c>
      <c r="X74" s="3" t="n">
        <f aca="false">SUMIFS(Lançamentos!$J$2:$J$607,Lançamentos!$A$2:$A$607,"&gt;="&amp;$F$5,Lançamentos!$A$2:$A$607,"&lt;="&amp;$H$5,Lançamentos!$C$2:$C$607,$T74,Lançamentos!$D$2:$D$607,$AG74)</f>
        <v>0</v>
      </c>
      <c r="Y74" s="3" t="n">
        <f aca="false">SUMIFS('Estoque físico'!$J$2:$J$229,'Estoque físico'!$A$2:$A$229,$T74,'Estoque físico'!$B$2:$B$229,$AG74)</f>
        <v>600</v>
      </c>
      <c r="Z74" s="3" t="n">
        <f aca="false">ROUND(Y74-(W74-X74),3)</f>
        <v>0</v>
      </c>
      <c r="AA74" s="3" t="n">
        <f aca="false">IF(AND(U74=$R$3,OR($R$1="*",T74=$R$1),OR($R$2="*",AG74=$R$2),ABS(V74)+ABS(W74)+ABS(X74)+ABS(Y74)&gt;0),1,0)</f>
        <v>1</v>
      </c>
      <c r="AB74" s="3" t="n">
        <f aca="false">IF(AA74=1,SUM(AA$40:AA74),"")</f>
        <v>30</v>
      </c>
      <c r="AC74" s="0" t="str">
        <f aca="false">IF(ABS(Z74)&lt;=$R$5,"Confere",IF(Z74&gt;0,"Sobrando","Faltando"))</f>
        <v>Confere</v>
      </c>
      <c r="AD74" s="3" t="n">
        <f aca="false">COUNTIFS(Lançamentos!$A$2:$A$607,"&gt;="&amp;$F$5,Lançamentos!$A$2:$A$607,"&lt;="&amp;$H$5,Lançamentos!$C$2:$C$607,$T74,Lançamentos!$D$2:$D$607,$AG74,Lançamentos!$B$2:$B$607,$R$4,Lançamentos!$G$2:$G$607,U74)</f>
        <v>1</v>
      </c>
      <c r="AE74" s="3" t="s">
        <v>202</v>
      </c>
      <c r="AF74" s="3" t="n">
        <f aca="false">IF(AND(AA74=1,AC74&lt;&gt;"Confere"),ABS(Z74)+ROW()/10000000,0)</f>
        <v>0</v>
      </c>
      <c r="AG74" s="3" t="s">
        <v>48</v>
      </c>
      <c r="AV74" s="0" t="str">
        <f aca="false">IFERROR(INDEX($AX$1:$AX$94,MATCH(73,$AY$1:$AY$94,0)),"")</f>
        <v>2518442009</v>
      </c>
      <c r="AW74" s="3" t="s">
        <v>139</v>
      </c>
      <c r="AX74" s="3" t="s">
        <v>204</v>
      </c>
      <c r="AY74" s="3" t="n">
        <f aca="false">IF(OR($A$5="Todos",AW74=$A$5),MAX(AY$1:AY73)+1,0)</f>
        <v>74</v>
      </c>
    </row>
    <row r="75" customFormat="false" ht="15" hidden="false" customHeight="false" outlineLevel="0" collapsed="false">
      <c r="A75" s="36" t="str">
        <f aca="false">IF(IFERROR(MATCH(42,$AB$40:$AB$133,0),0)=0,"",INDEX($T$40:$T$133,IFERROR(MATCH(42,$AB$40:$AB$133,0),0)))</f>
        <v>CHD-SP-1M-BR-U73</v>
      </c>
      <c r="B75" s="36" t="str">
        <f aca="false">IF(IFERROR(MATCH(42,$AB$40:$AB$133,0),0)=0,"",INDEX($AG$40:$AG$133,IFERROR(MATCH(42,$AB$40:$AB$133,0),0)))</f>
        <v>260310301</v>
      </c>
      <c r="C75" s="37" t="str">
        <f aca="false">IF(IFERROR(MATCH(42,$AB$40:$AB$133,0),0)=0,"",INDEX($U$40:$U$133,IFERROR(MATCH(42,$AB$40:$AB$133,0),0)))</f>
        <v>KG</v>
      </c>
      <c r="D75" s="38" t="n">
        <f aca="false">IF(IFERROR(MATCH(42,$AB$40:$AB$133,0),0)=0,"",INDEX($V$40:$V$133,IFERROR(MATCH(42,$AB$40:$AB$133,0),0)))</f>
        <v>798</v>
      </c>
      <c r="E75" s="38" t="n">
        <f aca="false">IF(IFERROR(MATCH(42,$AB$40:$AB$133,0),0)=0,"",INDEX($W$40:$W$133,IFERROR(MATCH(42,$AB$40:$AB$133,0),0)))</f>
        <v>0</v>
      </c>
      <c r="F75" s="38" t="n">
        <f aca="false">IF(IFERROR(MATCH(42,$AB$40:$AB$133,0),0)=0,"",INDEX($X$40:$X$133,IFERROR(MATCH(42,$AB$40:$AB$133,0),0)))</f>
        <v>0</v>
      </c>
      <c r="G75" s="38" t="n">
        <f aca="false">IF(A75="","",E75-F75)</f>
        <v>0</v>
      </c>
      <c r="H75" s="38" t="n">
        <f aca="false">IF(IFERROR(MATCH(42,$AB$40:$AB$133,0),0)=0,"",INDEX($Y$40:$Y$133,IFERROR(MATCH(42,$AB$40:$AB$133,0),0)))</f>
        <v>0</v>
      </c>
      <c r="I75" s="39" t="n">
        <f aca="false">IF(IFERROR(MATCH(42,$AB$40:$AB$133,0),0)=0,"",INDEX($Z$40:$Z$133,IFERROR(MATCH(42,$AB$40:$AB$133,0),0)))</f>
        <v>0</v>
      </c>
      <c r="J75" s="40" t="str">
        <f aca="false">IF(IFERROR(MATCH(42,$AB$40:$AB$133,0),0)=0,"",INDEX($AC$40:$AC$133,IFERROR(MATCH(42,$AB$40:$AB$133,0),0)))</f>
        <v>Confere</v>
      </c>
      <c r="K75" s="41" t="n">
        <f aca="false">IF(IFERROR(MATCH(42,$AB$40:$AB$133,0),0)=0,"",INDEX($AD$40:$AD$133,IFERROR(MATCH(42,$AB$40:$AB$133,0),0)))</f>
        <v>1</v>
      </c>
      <c r="L75" s="42" t="str">
        <f aca="false">IF(IFERROR(MATCH(42,$AB$40:$AB$133,0),0)=0,"",INDEX($AE$40:$AE$133,IFERROR(MATCH(42,$AB$40:$AB$133,0),0))&amp;"")</f>
        <v/>
      </c>
      <c r="T75" s="3" t="s">
        <v>33</v>
      </c>
      <c r="U75" s="3" t="s">
        <v>4</v>
      </c>
      <c r="V75" s="3" t="n">
        <f aca="false">SUMIFS(Lançamentos!$H$2:$H$607,Lançamentos!$A$2:$A$607,"&gt;="&amp;$F$5,Lançamentos!$A$2:$A$607,"&lt;="&amp;$H$5,Lançamentos!$C$2:$C$607,$T75,Lançamentos!$D$2:$D$607,$AG75,Lançamentos!$B$2:$B$607,"Recebido no 2008")</f>
        <v>4360</v>
      </c>
      <c r="W75" s="3" t="n">
        <f aca="false">SUMIFS(Lançamentos!$I$2:$I$607,Lançamentos!$A$2:$A$607,"&gt;="&amp;$F$5,Lançamentos!$A$2:$A$607,"&lt;="&amp;$H$5,Lançamentos!$C$2:$C$607,$T75,Lançamentos!$D$2:$D$607,$AG75)</f>
        <v>1180</v>
      </c>
      <c r="X75" s="3" t="n">
        <f aca="false">SUMIFS(Lançamentos!$J$2:$J$607,Lançamentos!$A$2:$A$607,"&gt;="&amp;$F$5,Lançamentos!$A$2:$A$607,"&lt;="&amp;$H$5,Lançamentos!$C$2:$C$607,$T75,Lançamentos!$D$2:$D$607,$AG75)</f>
        <v>1160</v>
      </c>
      <c r="Y75" s="3" t="n">
        <f aca="false">SUMIFS('Estoque físico'!$J$2:$J$229,'Estoque físico'!$A$2:$A$229,$T75,'Estoque físico'!$B$2:$B$229,$AG75)</f>
        <v>20</v>
      </c>
      <c r="Z75" s="3" t="n">
        <f aca="false">ROUND(Y75-(W75-X75),3)</f>
        <v>0</v>
      </c>
      <c r="AA75" s="3" t="n">
        <f aca="false">IF(AND(U75=$R$3,OR($R$1="*",T75=$R$1),OR($R$2="*",AG75=$R$2),ABS(V75)+ABS(W75)+ABS(X75)+ABS(Y75)&gt;0),1,0)</f>
        <v>1</v>
      </c>
      <c r="AB75" s="3" t="n">
        <f aca="false">IF(AA75=1,SUM(AA$40:AA75),"")</f>
        <v>31</v>
      </c>
      <c r="AC75" s="0" t="str">
        <f aca="false">IF(ABS(Z75)&lt;=$R$5,"Confere",IF(Z75&gt;0,"Sobrando","Faltando"))</f>
        <v>Confere</v>
      </c>
      <c r="AD75" s="3" t="n">
        <f aca="false">COUNTIFS(Lançamentos!$A$2:$A$607,"&gt;="&amp;$F$5,Lançamentos!$A$2:$A$607,"&lt;="&amp;$H$5,Lançamentos!$C$2:$C$607,$T75,Lançamentos!$D$2:$D$607,$AG75,Lançamentos!$B$2:$B$607,$R$4,Lançamentos!$G$2:$G$607,U75)</f>
        <v>3</v>
      </c>
      <c r="AE75" s="3" t="s">
        <v>202</v>
      </c>
      <c r="AF75" s="3" t="n">
        <f aca="false">IF(AND(AA75=1,AC75&lt;&gt;"Confere"),ABS(Z75)+ROW()/10000000,0)</f>
        <v>0</v>
      </c>
      <c r="AG75" s="3" t="s">
        <v>52</v>
      </c>
      <c r="AV75" s="0" t="str">
        <f aca="false">IFERROR(INDEX($AX$1:$AX$94,MATCH(74,$AY$1:$AY$94,0)),"")</f>
        <v>261060203</v>
      </c>
      <c r="AW75" s="3" t="s">
        <v>131</v>
      </c>
      <c r="AX75" s="3" t="s">
        <v>180</v>
      </c>
      <c r="AY75" s="3" t="n">
        <f aca="false">IF(OR($A$5="Todos",AW75=$A$5),MAX(AY$1:AY74)+1,0)</f>
        <v>75</v>
      </c>
    </row>
    <row r="76" customFormat="false" ht="15" hidden="false" customHeight="false" outlineLevel="0" collapsed="false">
      <c r="A76" s="36" t="str">
        <f aca="false">IF(IFERROR(MATCH(43,$AB$40:$AB$133,0),0)=0,"",INDEX($T$40:$T$133,IFERROR(MATCH(43,$AB$40:$AB$133,0),0)))</f>
        <v>CHD-SP-1M-BR-U73</v>
      </c>
      <c r="B76" s="36" t="str">
        <f aca="false">IF(IFERROR(MATCH(43,$AB$40:$AB$133,0),0)=0,"",INDEX($AG$40:$AG$133,IFERROR(MATCH(43,$AB$40:$AB$133,0),0)))</f>
        <v>260880301</v>
      </c>
      <c r="C76" s="37" t="str">
        <f aca="false">IF(IFERROR(MATCH(43,$AB$40:$AB$133,0),0)=0,"",INDEX($U$40:$U$133,IFERROR(MATCH(43,$AB$40:$AB$133,0),0)))</f>
        <v>KG</v>
      </c>
      <c r="D76" s="38" t="n">
        <f aca="false">IF(IFERROR(MATCH(43,$AB$40:$AB$133,0),0)=0,"",INDEX($V$40:$V$133,IFERROR(MATCH(43,$AB$40:$AB$133,0),0)))</f>
        <v>1122</v>
      </c>
      <c r="E76" s="38" t="n">
        <f aca="false">IF(IFERROR(MATCH(43,$AB$40:$AB$133,0),0)=0,"",INDEX($W$40:$W$133,IFERROR(MATCH(43,$AB$40:$AB$133,0),0)))</f>
        <v>0</v>
      </c>
      <c r="F76" s="38" t="n">
        <f aca="false">IF(IFERROR(MATCH(43,$AB$40:$AB$133,0),0)=0,"",INDEX($X$40:$X$133,IFERROR(MATCH(43,$AB$40:$AB$133,0),0)))</f>
        <v>0</v>
      </c>
      <c r="G76" s="38" t="n">
        <f aca="false">IF(A76="","",E76-F76)</f>
        <v>0</v>
      </c>
      <c r="H76" s="38" t="n">
        <f aca="false">IF(IFERROR(MATCH(43,$AB$40:$AB$133,0),0)=0,"",INDEX($Y$40:$Y$133,IFERROR(MATCH(43,$AB$40:$AB$133,0),0)))</f>
        <v>0</v>
      </c>
      <c r="I76" s="39" t="n">
        <f aca="false">IF(IFERROR(MATCH(43,$AB$40:$AB$133,0),0)=0,"",INDEX($Z$40:$Z$133,IFERROR(MATCH(43,$AB$40:$AB$133,0),0)))</f>
        <v>0</v>
      </c>
      <c r="J76" s="40" t="str">
        <f aca="false">IF(IFERROR(MATCH(43,$AB$40:$AB$133,0),0)=0,"",INDEX($AC$40:$AC$133,IFERROR(MATCH(43,$AB$40:$AB$133,0),0)))</f>
        <v>Confere</v>
      </c>
      <c r="K76" s="41" t="n">
        <f aca="false">IF(IFERROR(MATCH(43,$AB$40:$AB$133,0),0)=0,"",INDEX($AD$40:$AD$133,IFERROR(MATCH(43,$AB$40:$AB$133,0),0)))</f>
        <v>1</v>
      </c>
      <c r="L76" s="42" t="str">
        <f aca="false">IF(IFERROR(MATCH(43,$AB$40:$AB$133,0),0)=0,"",INDEX($AE$40:$AE$133,IFERROR(MATCH(43,$AB$40:$AB$133,0),0))&amp;"")</f>
        <v/>
      </c>
      <c r="T76" s="3" t="s">
        <v>33</v>
      </c>
      <c r="U76" s="3" t="s">
        <v>4</v>
      </c>
      <c r="V76" s="3" t="n">
        <f aca="false">SUMIFS(Lançamentos!$H$2:$H$607,Lançamentos!$A$2:$A$607,"&gt;="&amp;$F$5,Lançamentos!$A$2:$A$607,"&lt;="&amp;$H$5,Lançamentos!$C$2:$C$607,$T76,Lançamentos!$D$2:$D$607,$AG76,Lançamentos!$B$2:$B$607,"Recebido no 2008")</f>
        <v>5240</v>
      </c>
      <c r="W76" s="3" t="n">
        <f aca="false">SUMIFS(Lançamentos!$I$2:$I$607,Lançamentos!$A$2:$A$607,"&gt;="&amp;$F$5,Lançamentos!$A$2:$A$607,"&lt;="&amp;$H$5,Lançamentos!$C$2:$C$607,$T76,Lançamentos!$D$2:$D$607,$AG76)</f>
        <v>1660</v>
      </c>
      <c r="X76" s="3" t="n">
        <f aca="false">SUMIFS(Lançamentos!$J$2:$J$607,Lançamentos!$A$2:$A$607,"&gt;="&amp;$F$5,Lançamentos!$A$2:$A$607,"&lt;="&amp;$H$5,Lançamentos!$C$2:$C$607,$T76,Lançamentos!$D$2:$D$607,$AG76)</f>
        <v>580</v>
      </c>
      <c r="Y76" s="3" t="n">
        <f aca="false">SUMIFS('Estoque físico'!$J$2:$J$229,'Estoque físico'!$A$2:$A$229,$T76,'Estoque físico'!$B$2:$B$229,$AG76)</f>
        <v>1080</v>
      </c>
      <c r="Z76" s="3" t="n">
        <f aca="false">ROUND(Y76-(W76-X76),3)</f>
        <v>0</v>
      </c>
      <c r="AA76" s="3" t="n">
        <f aca="false">IF(AND(U76=$R$3,OR($R$1="*",T76=$R$1),OR($R$2="*",AG76=$R$2),ABS(V76)+ABS(W76)+ABS(X76)+ABS(Y76)&gt;0),1,0)</f>
        <v>1</v>
      </c>
      <c r="AB76" s="3" t="n">
        <f aca="false">IF(AA76=1,SUM(AA$40:AA76),"")</f>
        <v>32</v>
      </c>
      <c r="AC76" s="0" t="str">
        <f aca="false">IF(ABS(Z76)&lt;=$R$5,"Confere",IF(Z76&gt;0,"Sobrando","Faltando"))</f>
        <v>Confere</v>
      </c>
      <c r="AD76" s="3" t="n">
        <f aca="false">COUNTIFS(Lançamentos!$A$2:$A$607,"&gt;="&amp;$F$5,Lançamentos!$A$2:$A$607,"&lt;="&amp;$H$5,Lançamentos!$C$2:$C$607,$T76,Lançamentos!$D$2:$D$607,$AG76,Lançamentos!$B$2:$B$607,$R$4,Lançamentos!$G$2:$G$607,U76)</f>
        <v>10</v>
      </c>
      <c r="AE76" s="3" t="s">
        <v>202</v>
      </c>
      <c r="AF76" s="3" t="n">
        <f aca="false">IF(AND(AA76=1,AC76&lt;&gt;"Confere"),ABS(Z76)+ROW()/10000000,0)</f>
        <v>0</v>
      </c>
      <c r="AG76" s="3" t="s">
        <v>54</v>
      </c>
      <c r="AV76" s="0" t="str">
        <f aca="false">IFERROR(INDEX($AX$1:$AX$94,MATCH(75,$AY$1:$AY$94,0)),"")</f>
        <v>242643099</v>
      </c>
      <c r="AW76" s="3" t="s">
        <v>131</v>
      </c>
      <c r="AX76" s="3" t="s">
        <v>205</v>
      </c>
      <c r="AY76" s="3" t="n">
        <f aca="false">IF(OR($A$5="Todos",AW76=$A$5),MAX(AY$1:AY75)+1,0)</f>
        <v>76</v>
      </c>
    </row>
    <row r="77" customFormat="false" ht="15" hidden="false" customHeight="false" outlineLevel="0" collapsed="false">
      <c r="A77" s="36" t="str">
        <f aca="false">IF(IFERROR(MATCH(44,$AB$40:$AB$133,0),0)=0,"",INDEX($T$40:$T$133,IFERROR(MATCH(44,$AB$40:$AB$133,0),0)))</f>
        <v>CHD-TS-22350E0-999</v>
      </c>
      <c r="B77" s="36" t="str">
        <f aca="false">IF(IFERROR(MATCH(44,$AB$40:$AB$133,0),0)=0,"",INDEX($AG$40:$AG$133,IFERROR(MATCH(44,$AB$40:$AB$133,0),0)))</f>
        <v>2520443650</v>
      </c>
      <c r="C77" s="37" t="str">
        <f aca="false">IF(IFERROR(MATCH(44,$AB$40:$AB$133,0),0)=0,"",INDEX($U$40:$U$133,IFERROR(MATCH(44,$AB$40:$AB$133,0),0)))</f>
        <v>KG</v>
      </c>
      <c r="D77" s="38" t="n">
        <f aca="false">IF(IFERROR(MATCH(44,$AB$40:$AB$133,0),0)=0,"",INDEX($V$40:$V$133,IFERROR(MATCH(44,$AB$40:$AB$133,0),0)))</f>
        <v>0</v>
      </c>
      <c r="E77" s="38" t="n">
        <f aca="false">IF(IFERROR(MATCH(44,$AB$40:$AB$133,0),0)=0,"",INDEX($W$40:$W$133,IFERROR(MATCH(44,$AB$40:$AB$133,0),0)))</f>
        <v>81.6</v>
      </c>
      <c r="F77" s="38" t="n">
        <f aca="false">IF(IFERROR(MATCH(44,$AB$40:$AB$133,0),0)=0,"",INDEX($X$40:$X$133,IFERROR(MATCH(44,$AB$40:$AB$133,0),0)))</f>
        <v>0</v>
      </c>
      <c r="G77" s="38" t="n">
        <f aca="false">IF(A77="","",E77-F77)</f>
        <v>81.6</v>
      </c>
      <c r="H77" s="38" t="n">
        <f aca="false">IF(IFERROR(MATCH(44,$AB$40:$AB$133,0),0)=0,"",INDEX($Y$40:$Y$133,IFERROR(MATCH(44,$AB$40:$AB$133,0),0)))</f>
        <v>81.6</v>
      </c>
      <c r="I77" s="39" t="n">
        <f aca="false">IF(IFERROR(MATCH(44,$AB$40:$AB$133,0),0)=0,"",INDEX($Z$40:$Z$133,IFERROR(MATCH(44,$AB$40:$AB$133,0),0)))</f>
        <v>0</v>
      </c>
      <c r="J77" s="40" t="str">
        <f aca="false">IF(IFERROR(MATCH(44,$AB$40:$AB$133,0),0)=0,"",INDEX($AC$40:$AC$133,IFERROR(MATCH(44,$AB$40:$AB$133,0),0)))</f>
        <v>Confere</v>
      </c>
      <c r="K77" s="41" t="n">
        <f aca="false">IF(IFERROR(MATCH(44,$AB$40:$AB$133,0),0)=0,"",INDEX($AD$40:$AD$133,IFERROR(MATCH(44,$AB$40:$AB$133,0),0)))</f>
        <v>1</v>
      </c>
      <c r="L77" s="42" t="str">
        <f aca="false">IF(IFERROR(MATCH(44,$AB$40:$AB$133,0),0)=0,"",INDEX($AE$40:$AE$133,IFERROR(MATCH(44,$AB$40:$AB$133,0),0))&amp;"")</f>
        <v/>
      </c>
      <c r="T77" s="3" t="s">
        <v>35</v>
      </c>
      <c r="U77" s="3" t="s">
        <v>4</v>
      </c>
      <c r="V77" s="3" t="n">
        <f aca="false">SUMIFS(Lançamentos!$H$2:$H$607,Lançamentos!$A$2:$A$607,"&gt;="&amp;$F$5,Lançamentos!$A$2:$A$607,"&lt;="&amp;$H$5,Lançamentos!$C$2:$C$607,$T77,Lançamentos!$D$2:$D$607,$AG77,Lançamentos!$B$2:$B$607,"Recebido no 2008")</f>
        <v>0</v>
      </c>
      <c r="W77" s="3" t="n">
        <f aca="false">SUMIFS(Lançamentos!$I$2:$I$607,Lançamentos!$A$2:$A$607,"&gt;="&amp;$F$5,Lançamentos!$A$2:$A$607,"&lt;="&amp;$H$5,Lançamentos!$C$2:$C$607,$T77,Lançamentos!$D$2:$D$607,$AG77)</f>
        <v>461.9</v>
      </c>
      <c r="X77" s="3" t="n">
        <f aca="false">SUMIFS(Lançamentos!$J$2:$J$607,Lançamentos!$A$2:$A$607,"&gt;="&amp;$F$5,Lançamentos!$A$2:$A$607,"&lt;="&amp;$H$5,Lançamentos!$C$2:$C$607,$T77,Lançamentos!$D$2:$D$607,$AG77)</f>
        <v>442.2</v>
      </c>
      <c r="Y77" s="3" t="n">
        <f aca="false">SUMIFS('Estoque físico'!$J$2:$J$229,'Estoque físico'!$A$2:$A$229,$T77,'Estoque físico'!$B$2:$B$229,$AG77)</f>
        <v>19.7</v>
      </c>
      <c r="Z77" s="3" t="n">
        <f aca="false">ROUND(Y77-(W77-X77),3)</f>
        <v>0</v>
      </c>
      <c r="AA77" s="3" t="n">
        <f aca="false">IF(AND(U77=$R$3,OR($R$1="*",T77=$R$1),OR($R$2="*",AG77=$R$2),ABS(V77)+ABS(W77)+ABS(X77)+ABS(Y77)&gt;0),1,0)</f>
        <v>1</v>
      </c>
      <c r="AB77" s="3" t="n">
        <f aca="false">IF(AA77=1,SUM(AA$40:AA77),"")</f>
        <v>33</v>
      </c>
      <c r="AC77" s="0" t="str">
        <f aca="false">IF(ABS(Z77)&lt;=$R$5,"Confere",IF(Z77&gt;0,"Sobrando","Faltando"))</f>
        <v>Confere</v>
      </c>
      <c r="AD77" s="3" t="n">
        <f aca="false">COUNTIFS(Lançamentos!$A$2:$A$607,"&gt;="&amp;$F$5,Lançamentos!$A$2:$A$607,"&lt;="&amp;$H$5,Lançamentos!$C$2:$C$607,$T77,Lançamentos!$D$2:$D$607,$AG77,Lançamentos!$B$2:$B$607,$R$4,Lançamentos!$G$2:$G$607,U77)</f>
        <v>2</v>
      </c>
      <c r="AE77" s="3" t="s">
        <v>119</v>
      </c>
      <c r="AF77" s="3" t="n">
        <f aca="false">IF(AND(AA77=1,AC77&lt;&gt;"Confere"),ABS(Z77)+ROW()/10000000,0)</f>
        <v>0</v>
      </c>
      <c r="AG77" s="3" t="s">
        <v>56</v>
      </c>
      <c r="AV77" s="0" t="str">
        <f aca="false">IFERROR(INDEX($AX$1:$AX$94,MATCH(76,$AY$1:$AY$94,0)),"")</f>
        <v>252643099</v>
      </c>
      <c r="AW77" s="3" t="s">
        <v>131</v>
      </c>
      <c r="AX77" s="3" t="s">
        <v>206</v>
      </c>
      <c r="AY77" s="3" t="n">
        <f aca="false">IF(OR($A$5="Todos",AW77=$A$5),MAX(AY$1:AY76)+1,0)</f>
        <v>77</v>
      </c>
    </row>
    <row r="78" customFormat="false" ht="15" hidden="false" customHeight="false" outlineLevel="0" collapsed="false">
      <c r="A78" s="36" t="str">
        <f aca="false">IF(IFERROR(MATCH(45,$AB$40:$AB$133,0),0)=0,"",INDEX($T$40:$T$133,IFERROR(MATCH(45,$AB$40:$AB$133,0),0)))</f>
        <v>CHD-VR-Z2S-E0-U68</v>
      </c>
      <c r="B78" s="36" t="str">
        <f aca="false">IF(IFERROR(MATCH(45,$AB$40:$AB$133,0),0)=0,"",INDEX($AG$40:$AG$133,IFERROR(MATCH(45,$AB$40:$AB$133,0),0)))</f>
        <v>261160301</v>
      </c>
      <c r="C78" s="37" t="str">
        <f aca="false">IF(IFERROR(MATCH(45,$AB$40:$AB$133,0),0)=0,"",INDEX($U$40:$U$133,IFERROR(MATCH(45,$AB$40:$AB$133,0),0)))</f>
        <v>KG</v>
      </c>
      <c r="D78" s="38" t="n">
        <f aca="false">IF(IFERROR(MATCH(45,$AB$40:$AB$133,0),0)=0,"",INDEX($V$40:$V$133,IFERROR(MATCH(45,$AB$40:$AB$133,0),0)))</f>
        <v>1296</v>
      </c>
      <c r="E78" s="38" t="n">
        <f aca="false">IF(IFERROR(MATCH(45,$AB$40:$AB$133,0),0)=0,"",INDEX($W$40:$W$133,IFERROR(MATCH(45,$AB$40:$AB$133,0),0)))</f>
        <v>0</v>
      </c>
      <c r="F78" s="38" t="n">
        <f aca="false">IF(IFERROR(MATCH(45,$AB$40:$AB$133,0),0)=0,"",INDEX($X$40:$X$133,IFERROR(MATCH(45,$AB$40:$AB$133,0),0)))</f>
        <v>0</v>
      </c>
      <c r="G78" s="38" t="n">
        <f aca="false">IF(A78="","",E78-F78)</f>
        <v>0</v>
      </c>
      <c r="H78" s="38" t="n">
        <f aca="false">IF(IFERROR(MATCH(45,$AB$40:$AB$133,0),0)=0,"",INDEX($Y$40:$Y$133,IFERROR(MATCH(45,$AB$40:$AB$133,0),0)))</f>
        <v>0</v>
      </c>
      <c r="I78" s="39" t="n">
        <f aca="false">IF(IFERROR(MATCH(45,$AB$40:$AB$133,0),0)=0,"",INDEX($Z$40:$Z$133,IFERROR(MATCH(45,$AB$40:$AB$133,0),0)))</f>
        <v>0</v>
      </c>
      <c r="J78" s="40" t="str">
        <f aca="false">IF(IFERROR(MATCH(45,$AB$40:$AB$133,0),0)=0,"",INDEX($AC$40:$AC$133,IFERROR(MATCH(45,$AB$40:$AB$133,0),0)))</f>
        <v>Confere</v>
      </c>
      <c r="K78" s="41" t="n">
        <f aca="false">IF(IFERROR(MATCH(45,$AB$40:$AB$133,0),0)=0,"",INDEX($AD$40:$AD$133,IFERROR(MATCH(45,$AB$40:$AB$133,0),0)))</f>
        <v>1</v>
      </c>
      <c r="L78" s="42" t="str">
        <f aca="false">IF(IFERROR(MATCH(45,$AB$40:$AB$133,0),0)=0,"",INDEX($AE$40:$AE$133,IFERROR(MATCH(45,$AB$40:$AB$133,0),0))&amp;"")</f>
        <v/>
      </c>
      <c r="T78" s="3" t="s">
        <v>35</v>
      </c>
      <c r="U78" s="3" t="s">
        <v>4</v>
      </c>
      <c r="V78" s="3" t="n">
        <f aca="false">SUMIFS(Lançamentos!$H$2:$H$607,Lançamentos!$A$2:$A$607,"&gt;="&amp;$F$5,Lançamentos!$A$2:$A$607,"&lt;="&amp;$H$5,Lançamentos!$C$2:$C$607,$T78,Lançamentos!$D$2:$D$607,$AG78,Lançamentos!$B$2:$B$607,"Recebido no 2008")</f>
        <v>0</v>
      </c>
      <c r="W78" s="3" t="n">
        <f aca="false">SUMIFS(Lançamentos!$I$2:$I$607,Lançamentos!$A$2:$A$607,"&gt;="&amp;$F$5,Lançamentos!$A$2:$A$607,"&lt;="&amp;$H$5,Lançamentos!$C$2:$C$607,$T78,Lançamentos!$D$2:$D$607,$AG78)</f>
        <v>1809</v>
      </c>
      <c r="X78" s="3" t="n">
        <f aca="false">SUMIFS(Lançamentos!$J$2:$J$607,Lançamentos!$A$2:$A$607,"&gt;="&amp;$F$5,Lançamentos!$A$2:$A$607,"&lt;="&amp;$H$5,Lançamentos!$C$2:$C$607,$T78,Lançamentos!$D$2:$D$607,$AG78)</f>
        <v>1025.1</v>
      </c>
      <c r="Y78" s="3" t="n">
        <f aca="false">SUMIFS('Estoque físico'!$J$2:$J$229,'Estoque físico'!$A$2:$A$229,$T78,'Estoque físico'!$B$2:$B$229,$AG78)</f>
        <v>783.9</v>
      </c>
      <c r="Z78" s="3" t="n">
        <f aca="false">ROUND(Y78-(W78-X78),3)</f>
        <v>0</v>
      </c>
      <c r="AA78" s="3" t="n">
        <f aca="false">IF(AND(U78=$R$3,OR($R$1="*",T78=$R$1),OR($R$2="*",AG78=$R$2),ABS(V78)+ABS(W78)+ABS(X78)+ABS(Y78)&gt;0),1,0)</f>
        <v>1</v>
      </c>
      <c r="AB78" s="3" t="n">
        <f aca="false">IF(AA78=1,SUM(AA$40:AA78),"")</f>
        <v>34</v>
      </c>
      <c r="AC78" s="0" t="str">
        <f aca="false">IF(ABS(Z78)&lt;=$R$5,"Confere",IF(Z78&gt;0,"Sobrando","Faltando"))</f>
        <v>Confere</v>
      </c>
      <c r="AD78" s="3" t="n">
        <f aca="false">COUNTIFS(Lançamentos!$A$2:$A$607,"&gt;="&amp;$F$5,Lançamentos!$A$2:$A$607,"&lt;="&amp;$H$5,Lançamentos!$C$2:$C$607,$T78,Lançamentos!$D$2:$D$607,$AG78,Lançamentos!$B$2:$B$607,$R$4,Lançamentos!$G$2:$G$607,U78)</f>
        <v>9</v>
      </c>
      <c r="AE78" s="3" t="s">
        <v>119</v>
      </c>
      <c r="AF78" s="3" t="n">
        <f aca="false">IF(AND(AA78=1,AC78&lt;&gt;"Confere"),ABS(Z78)+ROW()/10000000,0)</f>
        <v>0</v>
      </c>
      <c r="AG78" s="3" t="s">
        <v>60</v>
      </c>
      <c r="AV78" s="0" t="str">
        <f aca="false">IFERROR(INDEX($AX$1:$AX$94,MATCH(77,$AY$1:$AY$94,0)),"")</f>
        <v>252683099</v>
      </c>
      <c r="AW78" s="3" t="s">
        <v>131</v>
      </c>
      <c r="AX78" s="3" t="s">
        <v>133</v>
      </c>
      <c r="AY78" s="3" t="n">
        <f aca="false">IF(OR($A$5="Todos",AW78=$A$5),MAX(AY$1:AY77)+1,0)</f>
        <v>78</v>
      </c>
    </row>
    <row r="79" customFormat="false" ht="15" hidden="false" customHeight="false" outlineLevel="0" collapsed="false">
      <c r="A79" s="36" t="str">
        <f aca="false">IF(IFERROR(MATCH(46,$AB$40:$AB$133,0),0)=0,"",INDEX($T$40:$T$133,IFERROR(MATCH(46,$AB$40:$AB$133,0),0)))</f>
        <v>CHK-D-413</v>
      </c>
      <c r="B79" s="36" t="str">
        <f aca="false">IF(IFERROR(MATCH(46,$AB$40:$AB$133,0),0)=0,"",INDEX($AG$40:$AG$133,IFERROR(MATCH(46,$AB$40:$AB$133,0),0)))</f>
        <v>261756201</v>
      </c>
      <c r="C79" s="37" t="str">
        <f aca="false">IF(IFERROR(MATCH(46,$AB$40:$AB$133,0),0)=0,"",INDEX($U$40:$U$133,IFERROR(MATCH(46,$AB$40:$AB$133,0),0)))</f>
        <v>KG</v>
      </c>
      <c r="D79" s="38" t="n">
        <f aca="false">IF(IFERROR(MATCH(46,$AB$40:$AB$133,0),0)=0,"",INDEX($V$40:$V$133,IFERROR(MATCH(46,$AB$40:$AB$133,0),0)))</f>
        <v>1280</v>
      </c>
      <c r="E79" s="38" t="n">
        <f aca="false">IF(IFERROR(MATCH(46,$AB$40:$AB$133,0),0)=0,"",INDEX($W$40:$W$133,IFERROR(MATCH(46,$AB$40:$AB$133,0),0)))</f>
        <v>0</v>
      </c>
      <c r="F79" s="38" t="n">
        <f aca="false">IF(IFERROR(MATCH(46,$AB$40:$AB$133,0),0)=0,"",INDEX($X$40:$X$133,IFERROR(MATCH(46,$AB$40:$AB$133,0),0)))</f>
        <v>0</v>
      </c>
      <c r="G79" s="38" t="n">
        <f aca="false">IF(A79="","",E79-F79)</f>
        <v>0</v>
      </c>
      <c r="H79" s="38" t="n">
        <f aca="false">IF(IFERROR(MATCH(46,$AB$40:$AB$133,0),0)=0,"",INDEX($Y$40:$Y$133,IFERROR(MATCH(46,$AB$40:$AB$133,0),0)))</f>
        <v>0</v>
      </c>
      <c r="I79" s="39" t="n">
        <f aca="false">IF(IFERROR(MATCH(46,$AB$40:$AB$133,0),0)=0,"",INDEX($Z$40:$Z$133,IFERROR(MATCH(46,$AB$40:$AB$133,0),0)))</f>
        <v>0</v>
      </c>
      <c r="J79" s="40" t="str">
        <f aca="false">IF(IFERROR(MATCH(46,$AB$40:$AB$133,0),0)=0,"",INDEX($AC$40:$AC$133,IFERROR(MATCH(46,$AB$40:$AB$133,0),0)))</f>
        <v>Confere</v>
      </c>
      <c r="K79" s="41" t="n">
        <f aca="false">IF(IFERROR(MATCH(46,$AB$40:$AB$133,0),0)=0,"",INDEX($AD$40:$AD$133,IFERROR(MATCH(46,$AB$40:$AB$133,0),0)))</f>
        <v>1</v>
      </c>
      <c r="L79" s="42" t="str">
        <f aca="false">IF(IFERROR(MATCH(46,$AB$40:$AB$133,0),0)=0,"",INDEX($AE$40:$AE$133,IFERROR(MATCH(46,$AB$40:$AB$133,0),0))&amp;"")</f>
        <v/>
      </c>
      <c r="T79" s="3" t="s">
        <v>43</v>
      </c>
      <c r="U79" s="3" t="s">
        <v>4</v>
      </c>
      <c r="V79" s="3" t="n">
        <f aca="false">SUMIFS(Lançamentos!$H$2:$H$607,Lançamentos!$A$2:$A$607,"&gt;="&amp;$F$5,Lançamentos!$A$2:$A$607,"&lt;="&amp;$H$5,Lançamentos!$C$2:$C$607,$T79,Lançamentos!$D$2:$D$607,$AG79,Lançamentos!$B$2:$B$607,"Recebido no 2008")</f>
        <v>0</v>
      </c>
      <c r="W79" s="3" t="n">
        <f aca="false">SUMIFS(Lançamentos!$I$2:$I$607,Lançamentos!$A$2:$A$607,"&gt;="&amp;$F$5,Lançamentos!$A$2:$A$607,"&lt;="&amp;$H$5,Lançamentos!$C$2:$C$607,$T79,Lançamentos!$D$2:$D$607,$AG79)</f>
        <v>1000</v>
      </c>
      <c r="X79" s="3" t="n">
        <f aca="false">SUMIFS(Lançamentos!$J$2:$J$607,Lançamentos!$A$2:$A$607,"&gt;="&amp;$F$5,Lançamentos!$A$2:$A$607,"&lt;="&amp;$H$5,Lançamentos!$C$2:$C$607,$T79,Lançamentos!$D$2:$D$607,$AG79)</f>
        <v>0</v>
      </c>
      <c r="Y79" s="3" t="n">
        <f aca="false">SUMIFS('Estoque físico'!$J$2:$J$229,'Estoque físico'!$A$2:$A$229,$T79,'Estoque físico'!$B$2:$B$229,$AG79)</f>
        <v>1000</v>
      </c>
      <c r="Z79" s="3" t="n">
        <f aca="false">ROUND(Y79-(W79-X79),3)</f>
        <v>0</v>
      </c>
      <c r="AA79" s="3" t="n">
        <f aca="false">IF(AND(U79=$R$3,OR($R$1="*",T79=$R$1),OR($R$2="*",AG79=$R$2),ABS(V79)+ABS(W79)+ABS(X79)+ABS(Y79)&gt;0),1,0)</f>
        <v>1</v>
      </c>
      <c r="AB79" s="3" t="n">
        <f aca="false">IF(AA79=1,SUM(AA$40:AA79),"")</f>
        <v>35</v>
      </c>
      <c r="AC79" s="0" t="str">
        <f aca="false">IF(ABS(Z79)&lt;=$R$5,"Confere",IF(Z79&gt;0,"Sobrando","Faltando"))</f>
        <v>Confere</v>
      </c>
      <c r="AD79" s="3" t="n">
        <f aca="false">COUNTIFS(Lançamentos!$A$2:$A$607,"&gt;="&amp;$F$5,Lançamentos!$A$2:$A$607,"&lt;="&amp;$H$5,Lançamentos!$C$2:$C$607,$T79,Lançamentos!$D$2:$D$607,$AG79,Lançamentos!$B$2:$B$607,$R$4,Lançamentos!$G$2:$G$607,U79)</f>
        <v>1</v>
      </c>
      <c r="AF79" s="3" t="n">
        <f aca="false">IF(AND(AA79=1,AC79&lt;&gt;"Confere"),ABS(Z79)+ROW()/10000000,0)</f>
        <v>0</v>
      </c>
      <c r="AG79" s="3" t="s">
        <v>64</v>
      </c>
      <c r="AV79" s="0" t="str">
        <f aca="false">IFERROR(INDEX($AX$1:$AX$94,MATCH(78,$AY$1:$AY$94,0)),"")</f>
        <v>253490619</v>
      </c>
      <c r="AW79" s="3" t="s">
        <v>131</v>
      </c>
      <c r="AX79" s="3" t="s">
        <v>207</v>
      </c>
      <c r="AY79" s="3" t="n">
        <f aca="false">IF(OR($A$5="Todos",AW79=$A$5),MAX(AY$1:AY78)+1,0)</f>
        <v>79</v>
      </c>
    </row>
    <row r="80" customFormat="false" ht="15" hidden="false" customHeight="false" outlineLevel="0" collapsed="false">
      <c r="A80" s="36" t="str">
        <f aca="false">IF(IFERROR(MATCH(47,$AB$40:$AB$133,0),0)=0,"",INDEX($T$40:$T$133,IFERROR(MATCH(47,$AB$40:$AB$133,0),0)))</f>
        <v>CHK-R30GOLD-BR-25A</v>
      </c>
      <c r="B80" s="36" t="str">
        <f aca="false">IF(IFERROR(MATCH(47,$AB$40:$AB$133,0),0)=0,"",INDEX($AG$40:$AG$133,IFERROR(MATCH(47,$AB$40:$AB$133,0),0)))</f>
        <v>252750301</v>
      </c>
      <c r="C80" s="37" t="str">
        <f aca="false">IF(IFERROR(MATCH(47,$AB$40:$AB$133,0),0)=0,"",INDEX($U$40:$U$133,IFERROR(MATCH(47,$AB$40:$AB$133,0),0)))</f>
        <v>KG</v>
      </c>
      <c r="D80" s="38" t="n">
        <f aca="false">IF(IFERROR(MATCH(47,$AB$40:$AB$133,0),0)=0,"",INDEX($V$40:$V$133,IFERROR(MATCH(47,$AB$40:$AB$133,0),0)))</f>
        <v>160.8</v>
      </c>
      <c r="E80" s="38" t="n">
        <f aca="false">IF(IFERROR(MATCH(47,$AB$40:$AB$133,0),0)=0,"",INDEX($W$40:$W$133,IFERROR(MATCH(47,$AB$40:$AB$133,0),0)))</f>
        <v>0</v>
      </c>
      <c r="F80" s="38" t="n">
        <f aca="false">IF(IFERROR(MATCH(47,$AB$40:$AB$133,0),0)=0,"",INDEX($X$40:$X$133,IFERROR(MATCH(47,$AB$40:$AB$133,0),0)))</f>
        <v>0</v>
      </c>
      <c r="G80" s="38" t="n">
        <f aca="false">IF(A80="","",E80-F80)</f>
        <v>0</v>
      </c>
      <c r="H80" s="38" t="n">
        <f aca="false">IF(IFERROR(MATCH(47,$AB$40:$AB$133,0),0)=0,"",INDEX($Y$40:$Y$133,IFERROR(MATCH(47,$AB$40:$AB$133,0),0)))</f>
        <v>0</v>
      </c>
      <c r="I80" s="39" t="n">
        <f aca="false">IF(IFERROR(MATCH(47,$AB$40:$AB$133,0),0)=0,"",INDEX($Z$40:$Z$133,IFERROR(MATCH(47,$AB$40:$AB$133,0),0)))</f>
        <v>0</v>
      </c>
      <c r="J80" s="40" t="str">
        <f aca="false">IF(IFERROR(MATCH(47,$AB$40:$AB$133,0),0)=0,"",INDEX($AC$40:$AC$133,IFERROR(MATCH(47,$AB$40:$AB$133,0),0)))</f>
        <v>Confere</v>
      </c>
      <c r="K80" s="41" t="n">
        <f aca="false">IF(IFERROR(MATCH(47,$AB$40:$AB$133,0),0)=0,"",INDEX($AD$40:$AD$133,IFERROR(MATCH(47,$AB$40:$AB$133,0),0)))</f>
        <v>1</v>
      </c>
      <c r="L80" s="42" t="str">
        <f aca="false">IF(IFERROR(MATCH(47,$AB$40:$AB$133,0),0)=0,"",INDEX($AE$40:$AE$133,IFERROR(MATCH(47,$AB$40:$AB$133,0),0))&amp;"")</f>
        <v>CA MOEDAS 2,01KG/UC 10UC/CX 30CX/PAL</v>
      </c>
      <c r="T80" s="3" t="s">
        <v>47</v>
      </c>
      <c r="U80" s="3" t="s">
        <v>4</v>
      </c>
      <c r="V80" s="3" t="n">
        <f aca="false">SUMIFS(Lançamentos!$H$2:$H$607,Lançamentos!$A$2:$A$607,"&gt;="&amp;$F$5,Lançamentos!$A$2:$A$607,"&lt;="&amp;$H$5,Lançamentos!$C$2:$C$607,$T80,Lançamentos!$D$2:$D$607,$AG80,Lançamentos!$B$2:$B$607,"Recebido no 2008")</f>
        <v>0</v>
      </c>
      <c r="W80" s="3" t="n">
        <f aca="false">SUMIFS(Lançamentos!$I$2:$I$607,Lançamentos!$A$2:$A$607,"&gt;="&amp;$F$5,Lançamentos!$A$2:$A$607,"&lt;="&amp;$H$5,Lançamentos!$C$2:$C$607,$T80,Lançamentos!$D$2:$D$607,$AG80)</f>
        <v>1800</v>
      </c>
      <c r="X80" s="3" t="n">
        <f aca="false">SUMIFS(Lançamentos!$J$2:$J$607,Lançamentos!$A$2:$A$607,"&gt;="&amp;$F$5,Lançamentos!$A$2:$A$607,"&lt;="&amp;$H$5,Lançamentos!$C$2:$C$607,$T80,Lançamentos!$D$2:$D$607,$AG80)</f>
        <v>0</v>
      </c>
      <c r="Y80" s="3" t="n">
        <f aca="false">SUMIFS('Estoque físico'!$J$2:$J$229,'Estoque físico'!$A$2:$A$229,$T80,'Estoque físico'!$B$2:$B$229,$AG80)</f>
        <v>1800</v>
      </c>
      <c r="Z80" s="3" t="n">
        <f aca="false">ROUND(Y80-(W80-X80),3)</f>
        <v>0</v>
      </c>
      <c r="AA80" s="3" t="n">
        <f aca="false">IF(AND(U80=$R$3,OR($R$1="*",T80=$R$1),OR($R$2="*",AG80=$R$2),ABS(V80)+ABS(W80)+ABS(X80)+ABS(Y80)&gt;0),1,0)</f>
        <v>1</v>
      </c>
      <c r="AB80" s="3" t="n">
        <f aca="false">IF(AA80=1,SUM(AA$40:AA80),"")</f>
        <v>36</v>
      </c>
      <c r="AC80" s="0" t="str">
        <f aca="false">IF(ABS(Z80)&lt;=$R$5,"Confere",IF(Z80&gt;0,"Sobrando","Faltando"))</f>
        <v>Confere</v>
      </c>
      <c r="AD80" s="3" t="n">
        <f aca="false">COUNTIFS(Lançamentos!$A$2:$A$607,"&gt;="&amp;$F$5,Lançamentos!$A$2:$A$607,"&lt;="&amp;$H$5,Lançamentos!$C$2:$C$607,$T80,Lançamentos!$D$2:$D$607,$AG80,Lançamentos!$B$2:$B$607,$R$4,Lançamentos!$G$2:$G$607,U80)</f>
        <v>1</v>
      </c>
      <c r="AE80" s="3" t="s">
        <v>202</v>
      </c>
      <c r="AF80" s="3" t="n">
        <f aca="false">IF(AND(AA80=1,AC80&lt;&gt;"Confere"),ABS(Z80)+ROW()/10000000,0)</f>
        <v>0</v>
      </c>
      <c r="AG80" s="3" t="s">
        <v>66</v>
      </c>
      <c r="AV80" s="0" t="str">
        <f aca="false">IFERROR(INDEX($AX$1:$AX$94,MATCH(79,$AY$1:$AY$94,0)),"")</f>
        <v>260341149</v>
      </c>
      <c r="AW80" s="3" t="s">
        <v>131</v>
      </c>
      <c r="AX80" s="3" t="s">
        <v>208</v>
      </c>
      <c r="AY80" s="3" t="n">
        <f aca="false">IF(OR($A$5="Todos",AW80=$A$5),MAX(AY$1:AY79)+1,0)</f>
        <v>80</v>
      </c>
    </row>
    <row r="81" customFormat="false" ht="15" hidden="false" customHeight="false" outlineLevel="0" collapsed="false">
      <c r="A81" s="36" t="str">
        <f aca="false">IF(IFERROR(MATCH(48,$AB$40:$AB$133,0),0)=0,"",INDEX($T$40:$T$133,IFERROR(MATCH(48,$AB$40:$AB$133,0),0)))</f>
        <v>CHK-W-413</v>
      </c>
      <c r="B81" s="36" t="str">
        <f aca="false">IF(IFERROR(MATCH(48,$AB$40:$AB$133,0),0)=0,"",INDEX($AG$40:$AG$133,IFERROR(MATCH(48,$AB$40:$AB$133,0),0)))</f>
        <v>260536201</v>
      </c>
      <c r="C81" s="37" t="str">
        <f aca="false">IF(IFERROR(MATCH(48,$AB$40:$AB$133,0),0)=0,"",INDEX($U$40:$U$133,IFERROR(MATCH(48,$AB$40:$AB$133,0),0)))</f>
        <v>KG</v>
      </c>
      <c r="D81" s="38" t="n">
        <f aca="false">IF(IFERROR(MATCH(48,$AB$40:$AB$133,0),0)=0,"",INDEX($V$40:$V$133,IFERROR(MATCH(48,$AB$40:$AB$133,0),0)))</f>
        <v>640</v>
      </c>
      <c r="E81" s="38" t="n">
        <f aca="false">IF(IFERROR(MATCH(48,$AB$40:$AB$133,0),0)=0,"",INDEX($W$40:$W$133,IFERROR(MATCH(48,$AB$40:$AB$133,0),0)))</f>
        <v>0</v>
      </c>
      <c r="F81" s="38" t="n">
        <f aca="false">IF(IFERROR(MATCH(48,$AB$40:$AB$133,0),0)=0,"",INDEX($X$40:$X$133,IFERROR(MATCH(48,$AB$40:$AB$133,0),0)))</f>
        <v>0</v>
      </c>
      <c r="G81" s="38" t="n">
        <f aca="false">IF(A81="","",E81-F81)</f>
        <v>0</v>
      </c>
      <c r="H81" s="38" t="n">
        <f aca="false">IF(IFERROR(MATCH(48,$AB$40:$AB$133,0),0)=0,"",INDEX($Y$40:$Y$133,IFERROR(MATCH(48,$AB$40:$AB$133,0),0)))</f>
        <v>0</v>
      </c>
      <c r="I81" s="39" t="n">
        <f aca="false">IF(IFERROR(MATCH(48,$AB$40:$AB$133,0),0)=0,"",INDEX($Z$40:$Z$133,IFERROR(MATCH(48,$AB$40:$AB$133,0),0)))</f>
        <v>0</v>
      </c>
      <c r="J81" s="40" t="str">
        <f aca="false">IF(IFERROR(MATCH(48,$AB$40:$AB$133,0),0)=0,"",INDEX($AC$40:$AC$133,IFERROR(MATCH(48,$AB$40:$AB$133,0),0)))</f>
        <v>Confere</v>
      </c>
      <c r="K81" s="41" t="n">
        <f aca="false">IF(IFERROR(MATCH(48,$AB$40:$AB$133,0),0)=0,"",INDEX($AD$40:$AD$133,IFERROR(MATCH(48,$AB$40:$AB$133,0),0)))</f>
        <v>1</v>
      </c>
      <c r="L81" s="42" t="str">
        <f aca="false">IF(IFERROR(MATCH(48,$AB$40:$AB$133,0),0)=0,"",INDEX($AE$40:$AE$133,IFERROR(MATCH(48,$AB$40:$AB$133,0),0))&amp;"")</f>
        <v/>
      </c>
      <c r="T81" s="3" t="s">
        <v>47</v>
      </c>
      <c r="U81" s="3" t="s">
        <v>4</v>
      </c>
      <c r="V81" s="3" t="n">
        <f aca="false">SUMIFS(Lançamentos!$H$2:$H$607,Lançamentos!$A$2:$A$607,"&gt;="&amp;$F$5,Lançamentos!$A$2:$A$607,"&lt;="&amp;$H$5,Lançamentos!$C$2:$C$607,$T81,Lançamentos!$D$2:$D$607,$AG81,Lançamentos!$B$2:$B$607,"Recebido no 2008")</f>
        <v>6000</v>
      </c>
      <c r="W81" s="3" t="n">
        <f aca="false">SUMIFS(Lançamentos!$I$2:$I$607,Lançamentos!$A$2:$A$607,"&gt;="&amp;$F$5,Lançamentos!$A$2:$A$607,"&lt;="&amp;$H$5,Lançamentos!$C$2:$C$607,$T81,Lançamentos!$D$2:$D$607,$AG81)</f>
        <v>5940</v>
      </c>
      <c r="X81" s="3" t="n">
        <f aca="false">SUMIFS(Lançamentos!$J$2:$J$607,Lançamentos!$A$2:$A$607,"&gt;="&amp;$F$5,Lançamentos!$A$2:$A$607,"&lt;="&amp;$H$5,Lançamentos!$C$2:$C$607,$T81,Lançamentos!$D$2:$D$607,$AG81)</f>
        <v>4940</v>
      </c>
      <c r="Y81" s="3" t="n">
        <f aca="false">SUMIFS('Estoque físico'!$J$2:$J$229,'Estoque físico'!$A$2:$A$229,$T81,'Estoque físico'!$B$2:$B$229,$AG81)</f>
        <v>1000</v>
      </c>
      <c r="Z81" s="3" t="n">
        <f aca="false">ROUND(Y81-(W81-X81),3)</f>
        <v>0</v>
      </c>
      <c r="AA81" s="3" t="n">
        <f aca="false">IF(AND(U81=$R$3,OR($R$1="*",T81=$R$1),OR($R$2="*",AG81=$R$2),ABS(V81)+ABS(W81)+ABS(X81)+ABS(Y81)&gt;0),1,0)</f>
        <v>1</v>
      </c>
      <c r="AB81" s="3" t="n">
        <f aca="false">IF(AA81=1,SUM(AA$40:AA81),"")</f>
        <v>37</v>
      </c>
      <c r="AC81" s="0" t="str">
        <f aca="false">IF(ABS(Z81)&lt;=$R$5,"Confere",IF(Z81&gt;0,"Sobrando","Faltando"))</f>
        <v>Confere</v>
      </c>
      <c r="AD81" s="3" t="n">
        <f aca="false">COUNTIFS(Lançamentos!$A$2:$A$607,"&gt;="&amp;$F$5,Lançamentos!$A$2:$A$607,"&lt;="&amp;$H$5,Lançamentos!$C$2:$C$607,$T81,Lançamentos!$D$2:$D$607,$AG81,Lançamentos!$B$2:$B$607,$R$4,Lançamentos!$G$2:$G$607,U81)</f>
        <v>12</v>
      </c>
      <c r="AE81" s="3" t="s">
        <v>202</v>
      </c>
      <c r="AF81" s="3" t="n">
        <f aca="false">IF(AND(AA81=1,AC81&lt;&gt;"Confere"),ABS(Z81)+ROW()/10000000,0)</f>
        <v>0</v>
      </c>
      <c r="AG81" s="3" t="s">
        <v>68</v>
      </c>
      <c r="AV81" s="0" t="str">
        <f aca="false">IFERROR(INDEX($AX$1:$AX$94,MATCH(80,$AY$1:$AY$94,0)),"")</f>
        <v>260611429</v>
      </c>
      <c r="AW81" s="3" t="s">
        <v>131</v>
      </c>
      <c r="AX81" s="3" t="s">
        <v>209</v>
      </c>
      <c r="AY81" s="3" t="n">
        <f aca="false">IF(OR($A$5="Todos",AW81=$A$5),MAX(AY$1:AY80)+1,0)</f>
        <v>81</v>
      </c>
    </row>
    <row r="82" customFormat="false" ht="15" hidden="false" customHeight="false" outlineLevel="0" collapsed="false">
      <c r="A82" s="36" t="str">
        <f aca="false">IF(IFERROR(MATCH(49,$AB$40:$AB$133,0),0)=0,"",INDEX($T$40:$T$133,IFERROR(MATCH(49,$AB$40:$AB$133,0),0)))</f>
        <v>CHM-Q41ALUN-2B-U73</v>
      </c>
      <c r="B82" s="36" t="str">
        <f aca="false">IF(IFERROR(MATCH(49,$AB$40:$AB$133,0),0)=0,"",INDEX($AG$40:$AG$133,IFERROR(MATCH(49,$AB$40:$AB$133,0),0)))</f>
        <v>260660303</v>
      </c>
      <c r="C82" s="37" t="str">
        <f aca="false">IF(IFERROR(MATCH(49,$AB$40:$AB$133,0),0)=0,"",INDEX($U$40:$U$133,IFERROR(MATCH(49,$AB$40:$AB$133,0),0)))</f>
        <v>KG</v>
      </c>
      <c r="D82" s="38" t="n">
        <f aca="false">IF(IFERROR(MATCH(49,$AB$40:$AB$133,0),0)=0,"",INDEX($V$40:$V$133,IFERROR(MATCH(49,$AB$40:$AB$133,0),0)))</f>
        <v>384</v>
      </c>
      <c r="E82" s="38" t="n">
        <f aca="false">IF(IFERROR(MATCH(49,$AB$40:$AB$133,0),0)=0,"",INDEX($W$40:$W$133,IFERROR(MATCH(49,$AB$40:$AB$133,0),0)))</f>
        <v>0</v>
      </c>
      <c r="F82" s="38" t="n">
        <f aca="false">IF(IFERROR(MATCH(49,$AB$40:$AB$133,0),0)=0,"",INDEX($X$40:$X$133,IFERROR(MATCH(49,$AB$40:$AB$133,0),0)))</f>
        <v>0</v>
      </c>
      <c r="G82" s="38" t="n">
        <f aca="false">IF(A82="","",E82-F82)</f>
        <v>0</v>
      </c>
      <c r="H82" s="38" t="n">
        <f aca="false">IF(IFERROR(MATCH(49,$AB$40:$AB$133,0),0)=0,"",INDEX($Y$40:$Y$133,IFERROR(MATCH(49,$AB$40:$AB$133,0),0)))</f>
        <v>0</v>
      </c>
      <c r="I82" s="39" t="n">
        <f aca="false">IF(IFERROR(MATCH(49,$AB$40:$AB$133,0),0)=0,"",INDEX($Z$40:$Z$133,IFERROR(MATCH(49,$AB$40:$AB$133,0),0)))</f>
        <v>0</v>
      </c>
      <c r="J82" s="40" t="str">
        <f aca="false">IF(IFERROR(MATCH(49,$AB$40:$AB$133,0),0)=0,"",INDEX($AC$40:$AC$133,IFERROR(MATCH(49,$AB$40:$AB$133,0),0)))</f>
        <v>Confere</v>
      </c>
      <c r="K82" s="41" t="n">
        <f aca="false">IF(IFERROR(MATCH(49,$AB$40:$AB$133,0),0)=0,"",INDEX($AD$40:$AD$133,IFERROR(MATCH(49,$AB$40:$AB$133,0),0)))</f>
        <v>1</v>
      </c>
      <c r="L82" s="42" t="str">
        <f aca="false">IF(IFERROR(MATCH(49,$AB$40:$AB$133,0),0)=0,"",INDEX($AE$40:$AE$133,IFERROR(MATCH(49,$AB$40:$AB$133,0),0))&amp;"")</f>
        <v/>
      </c>
      <c r="T82" s="3" t="s">
        <v>51</v>
      </c>
      <c r="U82" s="3" t="s">
        <v>4</v>
      </c>
      <c r="V82" s="3" t="n">
        <f aca="false">SUMIFS(Lançamentos!$H$2:$H$607,Lançamentos!$A$2:$A$607,"&gt;="&amp;$F$5,Lançamentos!$A$2:$A$607,"&lt;="&amp;$H$5,Lançamentos!$C$2:$C$607,$T82,Lançamentos!$D$2:$D$607,$AG82,Lançamentos!$B$2:$B$607,"Recebido no 2008")</f>
        <v>0</v>
      </c>
      <c r="W82" s="3" t="n">
        <f aca="false">SUMIFS(Lançamentos!$I$2:$I$607,Lançamentos!$A$2:$A$607,"&gt;="&amp;$F$5,Lançamentos!$A$2:$A$607,"&lt;="&amp;$H$5,Lançamentos!$C$2:$C$607,$T82,Lançamentos!$D$2:$D$607,$AG82)</f>
        <v>720</v>
      </c>
      <c r="X82" s="3" t="n">
        <f aca="false">SUMIFS(Lançamentos!$J$2:$J$607,Lançamentos!$A$2:$A$607,"&gt;="&amp;$F$5,Lançamentos!$A$2:$A$607,"&lt;="&amp;$H$5,Lançamentos!$C$2:$C$607,$T82,Lançamentos!$D$2:$D$607,$AG82)</f>
        <v>240</v>
      </c>
      <c r="Y82" s="3" t="n">
        <f aca="false">SUMIFS('Estoque físico'!$J$2:$J$229,'Estoque físico'!$A$2:$A$229,$T82,'Estoque físico'!$B$2:$B$229,$AG82)</f>
        <v>480</v>
      </c>
      <c r="Z82" s="3" t="n">
        <f aca="false">ROUND(Y82-(W82-X82),3)</f>
        <v>0</v>
      </c>
      <c r="AA82" s="3" t="n">
        <f aca="false">IF(AND(U82=$R$3,OR($R$1="*",T82=$R$1),OR($R$2="*",AG82=$R$2),ABS(V82)+ABS(W82)+ABS(X82)+ABS(Y82)&gt;0),1,0)</f>
        <v>1</v>
      </c>
      <c r="AB82" s="3" t="n">
        <f aca="false">IF(AA82=1,SUM(AA$40:AA82),"")</f>
        <v>38</v>
      </c>
      <c r="AC82" s="0" t="str">
        <f aca="false">IF(ABS(Z82)&lt;=$R$5,"Confere",IF(Z82&gt;0,"Sobrando","Faltando"))</f>
        <v>Confere</v>
      </c>
      <c r="AD82" s="3" t="n">
        <f aca="false">COUNTIFS(Lançamentos!$A$2:$A$607,"&gt;="&amp;$F$5,Lançamentos!$A$2:$A$607,"&lt;="&amp;$H$5,Lançamentos!$C$2:$C$607,$T82,Lançamentos!$D$2:$D$607,$AG82,Lançamentos!$B$2:$B$607,$R$4,Lançamentos!$G$2:$G$607,U82)</f>
        <v>2</v>
      </c>
      <c r="AE82" s="3" t="s">
        <v>128</v>
      </c>
      <c r="AF82" s="3" t="n">
        <f aca="false">IF(AND(AA82=1,AC82&lt;&gt;"Confere"),ABS(Z82)+ROW()/10000000,0)</f>
        <v>0</v>
      </c>
      <c r="AG82" s="3" t="s">
        <v>72</v>
      </c>
      <c r="AV82" s="0" t="str">
        <f aca="false">IFERROR(INDEX($AX$1:$AX$94,MATCH(81,$AY$1:$AY$94,0)),"")</f>
        <v>260691479</v>
      </c>
      <c r="AW82" s="3" t="s">
        <v>147</v>
      </c>
      <c r="AX82" s="3" t="s">
        <v>210</v>
      </c>
      <c r="AY82" s="3" t="n">
        <f aca="false">IF(OR($A$5="Todos",AW82=$A$5),MAX(AY$1:AY81)+1,0)</f>
        <v>82</v>
      </c>
    </row>
    <row r="83" customFormat="false" ht="15" hidden="false" customHeight="false" outlineLevel="0" collapsed="false">
      <c r="A83" s="36" t="str">
        <f aca="false">IF(IFERROR(MATCH(50,$AB$40:$AB$133,0),0)=0,"",INDEX($T$40:$T$133,IFERROR(MATCH(50,$AB$40:$AB$133,0),0)))</f>
        <v>CHM-SP-Z3L-BR-U73</v>
      </c>
      <c r="B83" s="36" t="str">
        <f aca="false">IF(IFERROR(MATCH(50,$AB$40:$AB$133,0),0)=0,"",INDEX($AG$40:$AG$133,IFERROR(MATCH(50,$AB$40:$AB$133,0),0)))</f>
        <v>250880301</v>
      </c>
      <c r="C83" s="37" t="str">
        <f aca="false">IF(IFERROR(MATCH(50,$AB$40:$AB$133,0),0)=0,"",INDEX($U$40:$U$133,IFERROR(MATCH(50,$AB$40:$AB$133,0),0)))</f>
        <v>KG</v>
      </c>
      <c r="D83" s="38" t="n">
        <f aca="false">IF(IFERROR(MATCH(50,$AB$40:$AB$133,0),0)=0,"",INDEX($V$40:$V$133,IFERROR(MATCH(50,$AB$40:$AB$133,0),0)))</f>
        <v>0</v>
      </c>
      <c r="E83" s="38" t="n">
        <f aca="false">IF(IFERROR(MATCH(50,$AB$40:$AB$133,0),0)=0,"",INDEX($W$40:$W$133,IFERROR(MATCH(50,$AB$40:$AB$133,0),0)))</f>
        <v>288</v>
      </c>
      <c r="F83" s="38" t="n">
        <f aca="false">IF(IFERROR(MATCH(50,$AB$40:$AB$133,0),0)=0,"",INDEX($X$40:$X$133,IFERROR(MATCH(50,$AB$40:$AB$133,0),0)))</f>
        <v>0</v>
      </c>
      <c r="G83" s="38" t="n">
        <f aca="false">IF(A83="","",E83-F83)</f>
        <v>288</v>
      </c>
      <c r="H83" s="38" t="n">
        <f aca="false">IF(IFERROR(MATCH(50,$AB$40:$AB$133,0),0)=0,"",INDEX($Y$40:$Y$133,IFERROR(MATCH(50,$AB$40:$AB$133,0),0)))</f>
        <v>288</v>
      </c>
      <c r="I83" s="39" t="n">
        <f aca="false">IF(IFERROR(MATCH(50,$AB$40:$AB$133,0),0)=0,"",INDEX($Z$40:$Z$133,IFERROR(MATCH(50,$AB$40:$AB$133,0),0)))</f>
        <v>0</v>
      </c>
      <c r="J83" s="40" t="str">
        <f aca="false">IF(IFERROR(MATCH(50,$AB$40:$AB$133,0),0)=0,"",INDEX($AC$40:$AC$133,IFERROR(MATCH(50,$AB$40:$AB$133,0),0)))</f>
        <v>Confere</v>
      </c>
      <c r="K83" s="41" t="n">
        <f aca="false">IF(IFERROR(MATCH(50,$AB$40:$AB$133,0),0)=0,"",INDEX($AD$40:$AD$133,IFERROR(MATCH(50,$AB$40:$AB$133,0),0)))</f>
        <v>1</v>
      </c>
      <c r="L83" s="42" t="str">
        <f aca="false">IF(IFERROR(MATCH(50,$AB$40:$AB$133,0),0)=0,"",INDEX($AE$40:$AE$133,IFERROR(MATCH(50,$AB$40:$AB$133,0),0))&amp;"")</f>
        <v>CA MILK LARGE FLAKES SPLITTERS 1KG/UC</v>
      </c>
      <c r="T83" s="3" t="s">
        <v>51</v>
      </c>
      <c r="U83" s="3" t="s">
        <v>4</v>
      </c>
      <c r="V83" s="3" t="n">
        <f aca="false">SUMIFS(Lançamentos!$H$2:$H$607,Lançamentos!$A$2:$A$607,"&gt;="&amp;$F$5,Lançamentos!$A$2:$A$607,"&lt;="&amp;$H$5,Lançamentos!$C$2:$C$607,$T83,Lançamentos!$D$2:$D$607,$AG83,Lançamentos!$B$2:$B$607,"Recebido no 2008")</f>
        <v>2880</v>
      </c>
      <c r="W83" s="3" t="n">
        <f aca="false">SUMIFS(Lançamentos!$I$2:$I$607,Lançamentos!$A$2:$A$607,"&gt;="&amp;$F$5,Lançamentos!$A$2:$A$607,"&lt;="&amp;$H$5,Lançamentos!$C$2:$C$607,$T83,Lançamentos!$D$2:$D$607,$AG83)</f>
        <v>40</v>
      </c>
      <c r="X83" s="3" t="n">
        <f aca="false">SUMIFS(Lançamentos!$J$2:$J$607,Lançamentos!$A$2:$A$607,"&gt;="&amp;$F$5,Lançamentos!$A$2:$A$607,"&lt;="&amp;$H$5,Lançamentos!$C$2:$C$607,$T83,Lançamentos!$D$2:$D$607,$AG83)</f>
        <v>0</v>
      </c>
      <c r="Y83" s="3" t="n">
        <f aca="false">SUMIFS('Estoque físico'!$J$2:$J$229,'Estoque físico'!$A$2:$A$229,$T83,'Estoque físico'!$B$2:$B$229,$AG83)</f>
        <v>40</v>
      </c>
      <c r="Z83" s="3" t="n">
        <f aca="false">ROUND(Y83-(W83-X83),3)</f>
        <v>0</v>
      </c>
      <c r="AA83" s="3" t="n">
        <f aca="false">IF(AND(U83=$R$3,OR($R$1="*",T83=$R$1),OR($R$2="*",AG83=$R$2),ABS(V83)+ABS(W83)+ABS(X83)+ABS(Y83)&gt;0),1,0)</f>
        <v>1</v>
      </c>
      <c r="AB83" s="3" t="n">
        <f aca="false">IF(AA83=1,SUM(AA$40:AA83),"")</f>
        <v>39</v>
      </c>
      <c r="AC83" s="0" t="str">
        <f aca="false">IF(ABS(Z83)&lt;=$R$5,"Confere",IF(Z83&gt;0,"Sobrando","Faltando"))</f>
        <v>Confere</v>
      </c>
      <c r="AD83" s="3" t="n">
        <f aca="false">COUNTIFS(Lançamentos!$A$2:$A$607,"&gt;="&amp;$F$5,Lançamentos!$A$2:$A$607,"&lt;="&amp;$H$5,Lançamentos!$C$2:$C$607,$T83,Lançamentos!$D$2:$D$607,$AG83,Lançamentos!$B$2:$B$607,$R$4,Lançamentos!$G$2:$G$607,U83)</f>
        <v>3</v>
      </c>
      <c r="AE83" s="3" t="s">
        <v>128</v>
      </c>
      <c r="AF83" s="3" t="n">
        <f aca="false">IF(AND(AA83=1,AC83&lt;&gt;"Confere"),ABS(Z83)+ROW()/10000000,0)</f>
        <v>0</v>
      </c>
      <c r="AG83" s="3" t="s">
        <v>74</v>
      </c>
      <c r="AV83" s="0" t="str">
        <f aca="false">IFERROR(INDEX($AX$1:$AX$94,MATCH(82,$AY$1:$AY$94,0)),"")</f>
        <v>2608294084</v>
      </c>
      <c r="AW83" s="3" t="s">
        <v>147</v>
      </c>
      <c r="AX83" s="3" t="s">
        <v>211</v>
      </c>
      <c r="AY83" s="3" t="n">
        <f aca="false">IF(OR($A$5="Todos",AW83=$A$5),MAX(AY$1:AY82)+1,0)</f>
        <v>83</v>
      </c>
    </row>
    <row r="84" customFormat="false" ht="15" hidden="false" customHeight="false" outlineLevel="0" collapsed="false">
      <c r="A84" s="36" t="str">
        <f aca="false">IF(IFERROR(MATCH(51,$AB$40:$AB$133,0),0)=0,"",INDEX($T$40:$T$133,IFERROR(MATCH(51,$AB$40:$AB$133,0),0)))</f>
        <v>CHM-SP-Z3L-E0-U72</v>
      </c>
      <c r="B84" s="36" t="str">
        <f aca="false">IF(IFERROR(MATCH(51,$AB$40:$AB$133,0),0)=0,"",INDEX($AG$40:$AG$133,IFERROR(MATCH(51,$AB$40:$AB$133,0),0)))</f>
        <v>253100102</v>
      </c>
      <c r="C84" s="37" t="str">
        <f aca="false">IF(IFERROR(MATCH(51,$AB$40:$AB$133,0),0)=0,"",INDEX($U$40:$U$133,IFERROR(MATCH(51,$AB$40:$AB$133,0),0)))</f>
        <v>KG</v>
      </c>
      <c r="D84" s="38" t="n">
        <f aca="false">IF(IFERROR(MATCH(51,$AB$40:$AB$133,0),0)=0,"",INDEX($V$40:$V$133,IFERROR(MATCH(51,$AB$40:$AB$133,0),0)))</f>
        <v>1300</v>
      </c>
      <c r="E84" s="38" t="n">
        <f aca="false">IF(IFERROR(MATCH(51,$AB$40:$AB$133,0),0)=0,"",INDEX($W$40:$W$133,IFERROR(MATCH(51,$AB$40:$AB$133,0),0)))</f>
        <v>0</v>
      </c>
      <c r="F84" s="38" t="n">
        <f aca="false">IF(IFERROR(MATCH(51,$AB$40:$AB$133,0),0)=0,"",INDEX($X$40:$X$133,IFERROR(MATCH(51,$AB$40:$AB$133,0),0)))</f>
        <v>0</v>
      </c>
      <c r="G84" s="38" t="n">
        <f aca="false">IF(A84="","",E84-F84)</f>
        <v>0</v>
      </c>
      <c r="H84" s="38" t="n">
        <f aca="false">IF(IFERROR(MATCH(51,$AB$40:$AB$133,0),0)=0,"",INDEX($Y$40:$Y$133,IFERROR(MATCH(51,$AB$40:$AB$133,0),0)))</f>
        <v>0</v>
      </c>
      <c r="I84" s="39" t="n">
        <f aca="false">IF(IFERROR(MATCH(51,$AB$40:$AB$133,0),0)=0,"",INDEX($Z$40:$Z$133,IFERROR(MATCH(51,$AB$40:$AB$133,0),0)))</f>
        <v>0</v>
      </c>
      <c r="J84" s="40" t="str">
        <f aca="false">IF(IFERROR(MATCH(51,$AB$40:$AB$133,0),0)=0,"",INDEX($AC$40:$AC$133,IFERROR(MATCH(51,$AB$40:$AB$133,0),0)))</f>
        <v>Confere</v>
      </c>
      <c r="K84" s="41" t="n">
        <f aca="false">IF(IFERROR(MATCH(51,$AB$40:$AB$133,0),0)=0,"",INDEX($AD$40:$AD$133,IFERROR(MATCH(51,$AB$40:$AB$133,0),0)))</f>
        <v>1</v>
      </c>
      <c r="L84" s="42" t="str">
        <f aca="false">IF(IFERROR(MATCH(51,$AB$40:$AB$133,0),0)=0,"",INDEX($AE$40:$AE$133,IFERROR(MATCH(51,$AB$40:$AB$133,0),0))&amp;"")</f>
        <v/>
      </c>
      <c r="T84" s="3" t="s">
        <v>53</v>
      </c>
      <c r="U84" s="3" t="s">
        <v>9</v>
      </c>
      <c r="V84" s="3" t="n">
        <f aca="false">SUMIFS(Lançamentos!$H$2:$H$607,Lançamentos!$A$2:$A$607,"&gt;="&amp;$F$5,Lançamentos!$A$2:$A$607,"&lt;="&amp;$H$5,Lançamentos!$C$2:$C$607,$T84,Lançamentos!$D$2:$D$607,$AG84,Lançamentos!$B$2:$B$607,"Recebido no 2008")</f>
        <v>0</v>
      </c>
      <c r="W84" s="3" t="n">
        <f aca="false">SUMIFS(Lançamentos!$I$2:$I$607,Lançamentos!$A$2:$A$607,"&gt;="&amp;$F$5,Lançamentos!$A$2:$A$607,"&lt;="&amp;$H$5,Lançamentos!$C$2:$C$607,$T84,Lançamentos!$D$2:$D$607,$AG84)</f>
        <v>2250</v>
      </c>
      <c r="X84" s="3" t="n">
        <f aca="false">SUMIFS(Lançamentos!$J$2:$J$607,Lançamentos!$A$2:$A$607,"&gt;="&amp;$F$5,Lançamentos!$A$2:$A$607,"&lt;="&amp;$H$5,Lançamentos!$C$2:$C$607,$T84,Lançamentos!$D$2:$D$607,$AG84)</f>
        <v>885</v>
      </c>
      <c r="Y84" s="3" t="n">
        <f aca="false">SUMIFS('Estoque físico'!$J$2:$J$229,'Estoque físico'!$A$2:$A$229,$T84,'Estoque físico'!$B$2:$B$229,$AG84)</f>
        <v>1365</v>
      </c>
      <c r="Z84" s="3" t="n">
        <f aca="false">ROUND(Y84-(W84-X84),3)</f>
        <v>0</v>
      </c>
      <c r="AA84" s="3" t="n">
        <f aca="false">IF(AND(U84=$R$3,OR($R$1="*",T84=$R$1),OR($R$2="*",AG84=$R$2),ABS(V84)+ABS(W84)+ABS(X84)+ABS(Y84)&gt;0),1,0)</f>
        <v>0</v>
      </c>
      <c r="AB84" s="0" t="str">
        <f aca="false">IF(AA84=1,SUM(AA$40:AA84),"")</f>
        <v/>
      </c>
      <c r="AC84" s="0" t="str">
        <f aca="false">IF(ABS(Z84)&lt;=$R$5,"Confere",IF(Z84&gt;0,"Sobrando","Faltando"))</f>
        <v>Confere</v>
      </c>
      <c r="AD84" s="3" t="n">
        <f aca="false">COUNTIFS(Lançamentos!$A$2:$A$607,"&gt;="&amp;$F$5,Lançamentos!$A$2:$A$607,"&lt;="&amp;$H$5,Lançamentos!$C$2:$C$607,$T84,Lançamentos!$D$2:$D$607,$AG84,Lançamentos!$B$2:$B$607,$R$4,Lançamentos!$G$2:$G$607,U84)</f>
        <v>22</v>
      </c>
      <c r="AE84" s="3" t="s">
        <v>137</v>
      </c>
      <c r="AF84" s="3" t="n">
        <f aca="false">IF(AND(AA84=1,AC84&lt;&gt;"Confere"),ABS(Z84)+ROW()/10000000,0)</f>
        <v>0</v>
      </c>
      <c r="AG84" s="3" t="s">
        <v>80</v>
      </c>
      <c r="AV84" s="0" t="str">
        <f aca="false">IFERROR(INDEX($AX$1:$AX$94,MATCH(83,$AY$1:$AY$94,0)),"")</f>
        <v>2613495951</v>
      </c>
      <c r="AW84" s="3" t="s">
        <v>151</v>
      </c>
      <c r="AX84" s="3" t="s">
        <v>212</v>
      </c>
      <c r="AY84" s="3" t="n">
        <f aca="false">IF(OR($A$5="Todos",AW84=$A$5),MAX(AY$1:AY83)+1,0)</f>
        <v>84</v>
      </c>
    </row>
    <row r="85" customFormat="false" ht="15" hidden="false" customHeight="false" outlineLevel="0" collapsed="false">
      <c r="A85" s="36" t="str">
        <f aca="false">IF(IFERROR(MATCH(52,$AB$40:$AB$133,0),0)=0,"",INDEX($T$40:$T$133,IFERROR(MATCH(52,$AB$40:$AB$133,0),0)))</f>
        <v>CHM-SP-Z3L-E0-U72</v>
      </c>
      <c r="B85" s="36" t="str">
        <f aca="false">IF(IFERROR(MATCH(52,$AB$40:$AB$133,0),0)=0,"",INDEX($AG$40:$AG$133,IFERROR(MATCH(52,$AB$40:$AB$133,0),0)))</f>
        <v>260580101</v>
      </c>
      <c r="C85" s="37" t="str">
        <f aca="false">IF(IFERROR(MATCH(52,$AB$40:$AB$133,0),0)=0,"",INDEX($U$40:$U$133,IFERROR(MATCH(52,$AB$40:$AB$133,0),0)))</f>
        <v>KG</v>
      </c>
      <c r="D85" s="38" t="n">
        <f aca="false">IF(IFERROR(MATCH(52,$AB$40:$AB$133,0),0)=0,"",INDEX($V$40:$V$133,IFERROR(MATCH(52,$AB$40:$AB$133,0),0)))</f>
        <v>2900</v>
      </c>
      <c r="E85" s="38" t="n">
        <f aca="false">IF(IFERROR(MATCH(52,$AB$40:$AB$133,0),0)=0,"",INDEX($W$40:$W$133,IFERROR(MATCH(52,$AB$40:$AB$133,0),0)))</f>
        <v>0</v>
      </c>
      <c r="F85" s="38" t="n">
        <f aca="false">IF(IFERROR(MATCH(52,$AB$40:$AB$133,0),0)=0,"",INDEX($X$40:$X$133,IFERROR(MATCH(52,$AB$40:$AB$133,0),0)))</f>
        <v>0</v>
      </c>
      <c r="G85" s="38" t="n">
        <f aca="false">IF(A85="","",E85-F85)</f>
        <v>0</v>
      </c>
      <c r="H85" s="38" t="n">
        <f aca="false">IF(IFERROR(MATCH(52,$AB$40:$AB$133,0),0)=0,"",INDEX($Y$40:$Y$133,IFERROR(MATCH(52,$AB$40:$AB$133,0),0)))</f>
        <v>0</v>
      </c>
      <c r="I85" s="39" t="n">
        <f aca="false">IF(IFERROR(MATCH(52,$AB$40:$AB$133,0),0)=0,"",INDEX($Z$40:$Z$133,IFERROR(MATCH(52,$AB$40:$AB$133,0),0)))</f>
        <v>0</v>
      </c>
      <c r="J85" s="40" t="str">
        <f aca="false">IF(IFERROR(MATCH(52,$AB$40:$AB$133,0),0)=0,"",INDEX($AC$40:$AC$133,IFERROR(MATCH(52,$AB$40:$AB$133,0),0)))</f>
        <v>Confere</v>
      </c>
      <c r="K85" s="41" t="n">
        <f aca="false">IF(IFERROR(MATCH(52,$AB$40:$AB$133,0),0)=0,"",INDEX($AD$40:$AD$133,IFERROR(MATCH(52,$AB$40:$AB$133,0),0)))</f>
        <v>1</v>
      </c>
      <c r="L85" s="42" t="str">
        <f aca="false">IF(IFERROR(MATCH(52,$AB$40:$AB$133,0),0)=0,"",INDEX($AE$40:$AE$133,IFERROR(MATCH(52,$AB$40:$AB$133,0),0))&amp;"")</f>
        <v/>
      </c>
      <c r="T85" s="3" t="s">
        <v>53</v>
      </c>
      <c r="U85" s="3" t="s">
        <v>9</v>
      </c>
      <c r="V85" s="3" t="n">
        <f aca="false">SUMIFS(Lançamentos!$H$2:$H$607,Lançamentos!$A$2:$A$607,"&gt;="&amp;$F$5,Lançamentos!$A$2:$A$607,"&lt;="&amp;$H$5,Lançamentos!$C$2:$C$607,$T85,Lançamentos!$D$2:$D$607,$AG85,Lançamentos!$B$2:$B$607,"Recebido no 2008")</f>
        <v>0</v>
      </c>
      <c r="W85" s="3" t="n">
        <f aca="false">SUMIFS(Lançamentos!$I$2:$I$607,Lançamentos!$A$2:$A$607,"&gt;="&amp;$F$5,Lançamentos!$A$2:$A$607,"&lt;="&amp;$H$5,Lançamentos!$C$2:$C$607,$T85,Lançamentos!$D$2:$D$607,$AG85)</f>
        <v>450</v>
      </c>
      <c r="X85" s="3" t="n">
        <f aca="false">SUMIFS(Lançamentos!$J$2:$J$607,Lançamentos!$A$2:$A$607,"&gt;="&amp;$F$5,Lançamentos!$A$2:$A$607,"&lt;="&amp;$H$5,Lançamentos!$C$2:$C$607,$T85,Lançamentos!$D$2:$D$607,$AG85)</f>
        <v>450</v>
      </c>
      <c r="Y85" s="3" t="n">
        <f aca="false">SUMIFS('Estoque físico'!$J$2:$J$229,'Estoque físico'!$A$2:$A$229,$T85,'Estoque físico'!$B$2:$B$229,$AG85)</f>
        <v>0</v>
      </c>
      <c r="Z85" s="3" t="n">
        <f aca="false">ROUND(Y85-(W85-X85),3)</f>
        <v>0</v>
      </c>
      <c r="AA85" s="3" t="n">
        <f aca="false">IF(AND(U85=$R$3,OR($R$1="*",T85=$R$1),OR($R$2="*",AG85=$R$2),ABS(V85)+ABS(W85)+ABS(X85)+ABS(Y85)&gt;0),1,0)</f>
        <v>0</v>
      </c>
      <c r="AB85" s="0" t="str">
        <f aca="false">IF(AA85=1,SUM(AA$40:AA85),"")</f>
        <v/>
      </c>
      <c r="AC85" s="0" t="str">
        <f aca="false">IF(ABS(Z85)&lt;=$R$5,"Confere",IF(Z85&gt;0,"Sobrando","Faltando"))</f>
        <v>Confere</v>
      </c>
      <c r="AD85" s="3" t="n">
        <f aca="false">COUNTIFS(Lançamentos!$A$2:$A$607,"&gt;="&amp;$F$5,Lançamentos!$A$2:$A$607,"&lt;="&amp;$H$5,Lançamentos!$C$2:$C$607,$T85,Lançamentos!$D$2:$D$607,$AG85,Lançamentos!$B$2:$B$607,$R$4,Lançamentos!$G$2:$G$607,U85)</f>
        <v>2</v>
      </c>
      <c r="AE85" s="3" t="s">
        <v>137</v>
      </c>
      <c r="AF85" s="3" t="n">
        <f aca="false">IF(AND(AA85=1,AC85&lt;&gt;"Confere"),ABS(Z85)+ROW()/10000000,0)</f>
        <v>0</v>
      </c>
      <c r="AG85" s="3" t="s">
        <v>82</v>
      </c>
      <c r="AV85" s="0" t="str">
        <f aca="false">IFERROR(INDEX($AX$1:$AX$94,MATCH(84,$AY$1:$AY$94,0)),"")</f>
        <v>2611295089</v>
      </c>
      <c r="AW85" s="3" t="s">
        <v>151</v>
      </c>
      <c r="AX85" s="3" t="s">
        <v>213</v>
      </c>
      <c r="AY85" s="3" t="n">
        <f aca="false">IF(OR($A$5="Todos",AW85=$A$5),MAX(AY$1:AY84)+1,0)</f>
        <v>85</v>
      </c>
    </row>
    <row r="86" customFormat="false" ht="15" hidden="false" customHeight="false" outlineLevel="0" collapsed="false">
      <c r="A86" s="36" t="str">
        <f aca="false">IF(IFERROR(MATCH(53,$AB$40:$AB$133,0),0)=0,"",INDEX($T$40:$T$133,IFERROR(MATCH(53,$AB$40:$AB$133,0),0)))</f>
        <v>CHM-TS-22351E0-999</v>
      </c>
      <c r="B86" s="36" t="str">
        <f aca="false">IF(IFERROR(MATCH(53,$AB$40:$AB$133,0),0)=0,"",INDEX($AG$40:$AG$133,IFERROR(MATCH(53,$AB$40:$AB$133,0),0)))</f>
        <v>2522444420</v>
      </c>
      <c r="C86" s="37" t="str">
        <f aca="false">IF(IFERROR(MATCH(53,$AB$40:$AB$133,0),0)=0,"",INDEX($U$40:$U$133,IFERROR(MATCH(53,$AB$40:$AB$133,0),0)))</f>
        <v>KG</v>
      </c>
      <c r="D86" s="38" t="n">
        <f aca="false">IF(IFERROR(MATCH(53,$AB$40:$AB$133,0),0)=0,"",INDEX($V$40:$V$133,IFERROR(MATCH(53,$AB$40:$AB$133,0),0)))</f>
        <v>0</v>
      </c>
      <c r="E86" s="38" t="n">
        <f aca="false">IF(IFERROR(MATCH(53,$AB$40:$AB$133,0),0)=0,"",INDEX($W$40:$W$133,IFERROR(MATCH(53,$AB$40:$AB$133,0),0)))</f>
        <v>108.8</v>
      </c>
      <c r="F86" s="38" t="n">
        <f aca="false">IF(IFERROR(MATCH(53,$AB$40:$AB$133,0),0)=0,"",INDEX($X$40:$X$133,IFERROR(MATCH(53,$AB$40:$AB$133,0),0)))</f>
        <v>0</v>
      </c>
      <c r="G86" s="38" t="n">
        <f aca="false">IF(A86="","",E86-F86)</f>
        <v>108.8</v>
      </c>
      <c r="H86" s="38" t="n">
        <f aca="false">IF(IFERROR(MATCH(53,$AB$40:$AB$133,0),0)=0,"",INDEX($Y$40:$Y$133,IFERROR(MATCH(53,$AB$40:$AB$133,0),0)))</f>
        <v>108.8</v>
      </c>
      <c r="I86" s="39" t="n">
        <f aca="false">IF(IFERROR(MATCH(53,$AB$40:$AB$133,0),0)=0,"",INDEX($Z$40:$Z$133,IFERROR(MATCH(53,$AB$40:$AB$133,0),0)))</f>
        <v>0</v>
      </c>
      <c r="J86" s="40" t="str">
        <f aca="false">IF(IFERROR(MATCH(53,$AB$40:$AB$133,0),0)=0,"",INDEX($AC$40:$AC$133,IFERROR(MATCH(53,$AB$40:$AB$133,0),0)))</f>
        <v>Confere</v>
      </c>
      <c r="K86" s="41" t="n">
        <f aca="false">IF(IFERROR(MATCH(53,$AB$40:$AB$133,0),0)=0,"",INDEX($AD$40:$AD$133,IFERROR(MATCH(53,$AB$40:$AB$133,0),0)))</f>
        <v>1</v>
      </c>
      <c r="L86" s="42" t="str">
        <f aca="false">IF(IFERROR(MATCH(53,$AB$40:$AB$133,0),0)=0,"",INDEX($AE$40:$AE$133,IFERROR(MATCH(53,$AB$40:$AB$133,0),0))&amp;"")</f>
        <v/>
      </c>
      <c r="T86" s="3" t="s">
        <v>53</v>
      </c>
      <c r="U86" s="3" t="s">
        <v>9</v>
      </c>
      <c r="V86" s="3" t="n">
        <f aca="false">SUMIFS(Lançamentos!$H$2:$H$607,Lançamentos!$A$2:$A$607,"&gt;="&amp;$F$5,Lançamentos!$A$2:$A$607,"&lt;="&amp;$H$5,Lançamentos!$C$2:$C$607,$T86,Lançamentos!$D$2:$D$607,$AG86,Lançamentos!$B$2:$B$607,"Recebido no 2008")</f>
        <v>0</v>
      </c>
      <c r="W86" s="3" t="n">
        <f aca="false">SUMIFS(Lançamentos!$I$2:$I$607,Lançamentos!$A$2:$A$607,"&gt;="&amp;$F$5,Lançamentos!$A$2:$A$607,"&lt;="&amp;$H$5,Lançamentos!$C$2:$C$607,$T86,Lançamentos!$D$2:$D$607,$AG86)</f>
        <v>900</v>
      </c>
      <c r="X86" s="3" t="n">
        <f aca="false">SUMIFS(Lançamentos!$J$2:$J$607,Lançamentos!$A$2:$A$607,"&gt;="&amp;$F$5,Lançamentos!$A$2:$A$607,"&lt;="&amp;$H$5,Lançamentos!$C$2:$C$607,$T86,Lançamentos!$D$2:$D$607,$AG86)</f>
        <v>840</v>
      </c>
      <c r="Y86" s="3" t="n">
        <f aca="false">SUMIFS('Estoque físico'!$J$2:$J$229,'Estoque físico'!$A$2:$A$229,$T86,'Estoque físico'!$B$2:$B$229,$AG86)</f>
        <v>60</v>
      </c>
      <c r="Z86" s="3" t="n">
        <f aca="false">ROUND(Y86-(W86-X86),3)</f>
        <v>0</v>
      </c>
      <c r="AA86" s="3" t="n">
        <f aca="false">IF(AND(U86=$R$3,OR($R$1="*",T86=$R$1),OR($R$2="*",AG86=$R$2),ABS(V86)+ABS(W86)+ABS(X86)+ABS(Y86)&gt;0),1,0)</f>
        <v>0</v>
      </c>
      <c r="AB86" s="0" t="str">
        <f aca="false">IF(AA86=1,SUM(AA$40:AA86),"")</f>
        <v/>
      </c>
      <c r="AC86" s="0" t="str">
        <f aca="false">IF(ABS(Z86)&lt;=$R$5,"Confere",IF(Z86&gt;0,"Sobrando","Faltando"))</f>
        <v>Confere</v>
      </c>
      <c r="AD86" s="3" t="n">
        <f aca="false">COUNTIFS(Lançamentos!$A$2:$A$607,"&gt;="&amp;$F$5,Lançamentos!$A$2:$A$607,"&lt;="&amp;$H$5,Lançamentos!$C$2:$C$607,$T86,Lançamentos!$D$2:$D$607,$AG86,Lançamentos!$B$2:$B$607,$R$4,Lançamentos!$G$2:$G$607,U86)</f>
        <v>6</v>
      </c>
      <c r="AE86" s="3" t="s">
        <v>137</v>
      </c>
      <c r="AF86" s="3" t="n">
        <f aca="false">IF(AND(AA86=1,AC86&lt;&gt;"Confere"),ABS(Z86)+ROW()/10000000,0)</f>
        <v>0</v>
      </c>
      <c r="AG86" s="3" t="s">
        <v>84</v>
      </c>
      <c r="AV86" s="0" t="str">
        <f aca="false">IFERROR(INDEX($AX$1:$AX$94,MATCH(85,$AY$1:$AY$94,0)),"")</f>
        <v>2611895339</v>
      </c>
      <c r="AW86" s="3" t="s">
        <v>154</v>
      </c>
      <c r="AX86" s="3" t="s">
        <v>214</v>
      </c>
      <c r="AY86" s="3" t="n">
        <f aca="false">IF(OR($A$5="Todos",AW86=$A$5),MAX(AY$1:AY85)+1,0)</f>
        <v>86</v>
      </c>
    </row>
    <row r="87" customFormat="false" ht="15" hidden="false" customHeight="false" outlineLevel="0" collapsed="false">
      <c r="A87" s="36" t="str">
        <f aca="false">IF(IFERROR(MATCH(54,$AB$40:$AB$133,0),0)=0,"",INDEX($T$40:$T$133,IFERROR(MATCH(54,$AB$40:$AB$133,0),0)))</f>
        <v>CHM-TS-22351E0-999</v>
      </c>
      <c r="B87" s="36" t="str">
        <f aca="false">IF(IFERROR(MATCH(54,$AB$40:$AB$133,0),0)=0,"",INDEX($AG$40:$AG$133,IFERROR(MATCH(54,$AB$40:$AB$133,0),0)))</f>
        <v>2525950306</v>
      </c>
      <c r="C87" s="37" t="str">
        <f aca="false">IF(IFERROR(MATCH(54,$AB$40:$AB$133,0),0)=0,"",INDEX($U$40:$U$133,IFERROR(MATCH(54,$AB$40:$AB$133,0),0)))</f>
        <v>KG</v>
      </c>
      <c r="D87" s="38" t="n">
        <f aca="false">IF(IFERROR(MATCH(54,$AB$40:$AB$133,0),0)=0,"",INDEX($V$40:$V$133,IFERROR(MATCH(54,$AB$40:$AB$133,0),0)))</f>
        <v>0</v>
      </c>
      <c r="E87" s="38" t="n">
        <f aca="false">IF(IFERROR(MATCH(54,$AB$40:$AB$133,0),0)=0,"",INDEX($W$40:$W$133,IFERROR(MATCH(54,$AB$40:$AB$133,0),0)))</f>
        <v>195.84</v>
      </c>
      <c r="F87" s="38" t="n">
        <f aca="false">IF(IFERROR(MATCH(54,$AB$40:$AB$133,0),0)=0,"",INDEX($X$40:$X$133,IFERROR(MATCH(54,$AB$40:$AB$133,0),0)))</f>
        <v>0</v>
      </c>
      <c r="G87" s="38" t="n">
        <f aca="false">IF(A87="","",E87-F87)</f>
        <v>195.84</v>
      </c>
      <c r="H87" s="38" t="n">
        <f aca="false">IF(IFERROR(MATCH(54,$AB$40:$AB$133,0),0)=0,"",INDEX($Y$40:$Y$133,IFERROR(MATCH(54,$AB$40:$AB$133,0),0)))</f>
        <v>195.84</v>
      </c>
      <c r="I87" s="39" t="n">
        <f aca="false">IF(IFERROR(MATCH(54,$AB$40:$AB$133,0),0)=0,"",INDEX($Z$40:$Z$133,IFERROR(MATCH(54,$AB$40:$AB$133,0),0)))</f>
        <v>0</v>
      </c>
      <c r="J87" s="40" t="str">
        <f aca="false">IF(IFERROR(MATCH(54,$AB$40:$AB$133,0),0)=0,"",INDEX($AC$40:$AC$133,IFERROR(MATCH(54,$AB$40:$AB$133,0),0)))</f>
        <v>Confere</v>
      </c>
      <c r="K87" s="41" t="n">
        <f aca="false">IF(IFERROR(MATCH(54,$AB$40:$AB$133,0),0)=0,"",INDEX($AD$40:$AD$133,IFERROR(MATCH(54,$AB$40:$AB$133,0),0)))</f>
        <v>1</v>
      </c>
      <c r="L87" s="42" t="str">
        <f aca="false">IF(IFERROR(MATCH(54,$AB$40:$AB$133,0),0)=0,"",INDEX($AE$40:$AE$133,IFERROR(MATCH(54,$AB$40:$AB$133,0),0))&amp;"")</f>
        <v/>
      </c>
      <c r="T87" s="3" t="s">
        <v>55</v>
      </c>
      <c r="U87" s="3" t="s">
        <v>4</v>
      </c>
      <c r="V87" s="3" t="n">
        <f aca="false">SUMIFS(Lançamentos!$H$2:$H$607,Lançamentos!$A$2:$A$607,"&gt;="&amp;$F$5,Lançamentos!$A$2:$A$607,"&lt;="&amp;$H$5,Lançamentos!$C$2:$C$607,$T87,Lançamentos!$D$2:$D$607,$AG87,Lançamentos!$B$2:$B$607,"Recebido no 2008")</f>
        <v>0</v>
      </c>
      <c r="W87" s="3" t="n">
        <f aca="false">SUMIFS(Lançamentos!$I$2:$I$607,Lançamentos!$A$2:$A$607,"&gt;="&amp;$F$5,Lançamentos!$A$2:$A$607,"&lt;="&amp;$H$5,Lançamentos!$C$2:$C$607,$T87,Lançamentos!$D$2:$D$607,$AG87)</f>
        <v>648</v>
      </c>
      <c r="X87" s="3" t="n">
        <f aca="false">SUMIFS(Lançamentos!$J$2:$J$607,Lançamentos!$A$2:$A$607,"&gt;="&amp;$F$5,Lançamentos!$A$2:$A$607,"&lt;="&amp;$H$5,Lançamentos!$C$2:$C$607,$T87,Lançamentos!$D$2:$D$607,$AG87)</f>
        <v>54</v>
      </c>
      <c r="Y87" s="3" t="n">
        <f aca="false">SUMIFS('Estoque físico'!$J$2:$J$229,'Estoque físico'!$A$2:$A$229,$T87,'Estoque físico'!$B$2:$B$229,$AG87)</f>
        <v>594</v>
      </c>
      <c r="Z87" s="3" t="n">
        <f aca="false">ROUND(Y87-(W87-X87),3)</f>
        <v>0</v>
      </c>
      <c r="AA87" s="3" t="n">
        <f aca="false">IF(AND(U87=$R$3,OR($R$1="*",T87=$R$1),OR($R$2="*",AG87=$R$2),ABS(V87)+ABS(W87)+ABS(X87)+ABS(Y87)&gt;0),1,0)</f>
        <v>1</v>
      </c>
      <c r="AB87" s="3" t="n">
        <f aca="false">IF(AA87=1,SUM(AA$40:AA87),"")</f>
        <v>40</v>
      </c>
      <c r="AC87" s="0" t="str">
        <f aca="false">IF(ABS(Z87)&lt;=$R$5,"Confere",IF(Z87&gt;0,"Sobrando","Faltando"))</f>
        <v>Confere</v>
      </c>
      <c r="AD87" s="3" t="n">
        <f aca="false">COUNTIFS(Lançamentos!$A$2:$A$607,"&gt;="&amp;$F$5,Lançamentos!$A$2:$A$607,"&lt;="&amp;$H$5,Lançamentos!$C$2:$C$607,$T87,Lançamentos!$D$2:$D$607,$AG87,Lançamentos!$B$2:$B$607,$R$4,Lançamentos!$G$2:$G$607,U87)</f>
        <v>5</v>
      </c>
      <c r="AE87" s="3" t="s">
        <v>215</v>
      </c>
      <c r="AF87" s="3" t="n">
        <f aca="false">IF(AND(AA87=1,AC87&lt;&gt;"Confere"),ABS(Z87)+ROW()/10000000,0)</f>
        <v>0</v>
      </c>
      <c r="AG87" s="3" t="s">
        <v>89</v>
      </c>
      <c r="AV87" s="0" t="str">
        <f aca="false">IFERROR(INDEX($AX$1:$AX$94,MATCH(86,$AY$1:$AY$94,0)),"")</f>
        <v>261826201</v>
      </c>
      <c r="AW87" s="3" t="s">
        <v>156</v>
      </c>
      <c r="AX87" s="3" t="s">
        <v>216</v>
      </c>
      <c r="AY87" s="3" t="n">
        <f aca="false">IF(OR($A$5="Todos",AW87=$A$5),MAX(AY$1:AY86)+1,0)</f>
        <v>87</v>
      </c>
    </row>
    <row r="88" customFormat="false" ht="15" hidden="false" customHeight="false" outlineLevel="0" collapsed="false">
      <c r="A88" s="36" t="str">
        <f aca="false">IF(IFERROR(MATCH(55,$AB$40:$AB$133,0),0)=0,"",INDEX($T$40:$T$133,IFERROR(MATCH(55,$AB$40:$AB$133,0),0)))</f>
        <v>CHM-TS-22351E0-999</v>
      </c>
      <c r="B88" s="36" t="str">
        <f aca="false">IF(IFERROR(MATCH(55,$AB$40:$AB$133,0),0)=0,"",INDEX($AG$40:$AG$133,IFERROR(MATCH(55,$AB$40:$AB$133,0),0)))</f>
        <v>2526050307</v>
      </c>
      <c r="C88" s="37" t="str">
        <f aca="false">IF(IFERROR(MATCH(55,$AB$40:$AB$133,0),0)=0,"",INDEX($U$40:$U$133,IFERROR(MATCH(55,$AB$40:$AB$133,0),0)))</f>
        <v>KG</v>
      </c>
      <c r="D88" s="38" t="n">
        <f aca="false">IF(IFERROR(MATCH(55,$AB$40:$AB$133,0),0)=0,"",INDEX($V$40:$V$133,IFERROR(MATCH(55,$AB$40:$AB$133,0),0)))</f>
        <v>0</v>
      </c>
      <c r="E88" s="38" t="n">
        <f aca="false">IF(IFERROR(MATCH(55,$AB$40:$AB$133,0),0)=0,"",INDEX($W$40:$W$133,IFERROR(MATCH(55,$AB$40:$AB$133,0),0)))</f>
        <v>295.12</v>
      </c>
      <c r="F88" s="38" t="n">
        <f aca="false">IF(IFERROR(MATCH(55,$AB$40:$AB$133,0),0)=0,"",INDEX($X$40:$X$133,IFERROR(MATCH(55,$AB$40:$AB$133,0),0)))</f>
        <v>0</v>
      </c>
      <c r="G88" s="38" t="n">
        <f aca="false">IF(A88="","",E88-F88)</f>
        <v>295.12</v>
      </c>
      <c r="H88" s="38" t="n">
        <f aca="false">IF(IFERROR(MATCH(55,$AB$40:$AB$133,0),0)=0,"",INDEX($Y$40:$Y$133,IFERROR(MATCH(55,$AB$40:$AB$133,0),0)))</f>
        <v>295.12</v>
      </c>
      <c r="I88" s="39" t="n">
        <f aca="false">IF(IFERROR(MATCH(55,$AB$40:$AB$133,0),0)=0,"",INDEX($Z$40:$Z$133,IFERROR(MATCH(55,$AB$40:$AB$133,0),0)))</f>
        <v>0</v>
      </c>
      <c r="J88" s="40" t="str">
        <f aca="false">IF(IFERROR(MATCH(55,$AB$40:$AB$133,0),0)=0,"",INDEX($AC$40:$AC$133,IFERROR(MATCH(55,$AB$40:$AB$133,0),0)))</f>
        <v>Confere</v>
      </c>
      <c r="K88" s="41" t="n">
        <f aca="false">IF(IFERROR(MATCH(55,$AB$40:$AB$133,0),0)=0,"",INDEX($AD$40:$AD$133,IFERROR(MATCH(55,$AB$40:$AB$133,0),0)))</f>
        <v>1</v>
      </c>
      <c r="L88" s="42" t="str">
        <f aca="false">IF(IFERROR(MATCH(55,$AB$40:$AB$133,0),0)=0,"",INDEX($AE$40:$AE$133,IFERROR(MATCH(55,$AB$40:$AB$133,0),0))&amp;"")</f>
        <v/>
      </c>
      <c r="T88" s="3" t="s">
        <v>57</v>
      </c>
      <c r="U88" s="3" t="s">
        <v>4</v>
      </c>
      <c r="V88" s="3" t="n">
        <f aca="false">SUMIFS(Lançamentos!$H$2:$H$607,Lançamentos!$A$2:$A$607,"&gt;="&amp;$F$5,Lançamentos!$A$2:$A$607,"&lt;="&amp;$H$5,Lançamentos!$C$2:$C$607,$T88,Lançamentos!$D$2:$D$607,$AG88,Lançamentos!$B$2:$B$607,"Recebido no 2008")</f>
        <v>2400</v>
      </c>
      <c r="W88" s="3" t="n">
        <f aca="false">SUMIFS(Lançamentos!$I$2:$I$607,Lançamentos!$A$2:$A$607,"&gt;="&amp;$F$5,Lançamentos!$A$2:$A$607,"&lt;="&amp;$H$5,Lançamentos!$C$2:$C$607,$T88,Lançamentos!$D$2:$D$607,$AG88)</f>
        <v>0</v>
      </c>
      <c r="X88" s="3" t="n">
        <f aca="false">SUMIFS(Lançamentos!$J$2:$J$607,Lançamentos!$A$2:$A$607,"&gt;="&amp;$F$5,Lançamentos!$A$2:$A$607,"&lt;="&amp;$H$5,Lançamentos!$C$2:$C$607,$T88,Lançamentos!$D$2:$D$607,$AG88)</f>
        <v>0</v>
      </c>
      <c r="Y88" s="3" t="n">
        <f aca="false">SUMIFS('Estoque físico'!$J$2:$J$229,'Estoque físico'!$A$2:$A$229,$T88,'Estoque físico'!$B$2:$B$229,$AG88)</f>
        <v>0</v>
      </c>
      <c r="Z88" s="3" t="n">
        <f aca="false">ROUND(Y88-(W88-X88),3)</f>
        <v>0</v>
      </c>
      <c r="AA88" s="3" t="n">
        <f aca="false">IF(AND(U88=$R$3,OR($R$1="*",T88=$R$1),OR($R$2="*",AG88=$R$2),ABS(V88)+ABS(W88)+ABS(X88)+ABS(Y88)&gt;0),1,0)</f>
        <v>1</v>
      </c>
      <c r="AB88" s="3" t="n">
        <f aca="false">IF(AA88=1,SUM(AA$40:AA88),"")</f>
        <v>41</v>
      </c>
      <c r="AC88" s="0" t="str">
        <f aca="false">IF(ABS(Z88)&lt;=$R$5,"Confere",IF(Z88&gt;0,"Sobrando","Faltando"))</f>
        <v>Confere</v>
      </c>
      <c r="AD88" s="3" t="n">
        <f aca="false">COUNTIFS(Lançamentos!$A$2:$A$607,"&gt;="&amp;$F$5,Lançamentos!$A$2:$A$607,"&lt;="&amp;$H$5,Lançamentos!$C$2:$C$607,$T88,Lançamentos!$D$2:$D$607,$AG88,Lançamentos!$B$2:$B$607,$R$4,Lançamentos!$G$2:$G$607,U88)</f>
        <v>2</v>
      </c>
      <c r="AF88" s="3" t="n">
        <f aca="false">IF(AND(AA88=1,AC88&lt;&gt;"Confere"),ABS(Z88)+ROW()/10000000,0)</f>
        <v>0</v>
      </c>
      <c r="AG88" s="3" t="s">
        <v>101</v>
      </c>
      <c r="AV88" s="0" t="str">
        <f aca="false">IFERROR(INDEX($AX$1:$AX$94,MATCH(87,$AY$1:$AY$94,0)),"")</f>
        <v>261596201</v>
      </c>
      <c r="AW88" s="3" t="s">
        <v>160</v>
      </c>
      <c r="AX88" s="3" t="s">
        <v>217</v>
      </c>
      <c r="AY88" s="3" t="n">
        <f aca="false">IF(OR($A$5="Todos",AW88=$A$5),MAX(AY$1:AY87)+1,0)</f>
        <v>88</v>
      </c>
    </row>
    <row r="89" customFormat="false" ht="15" hidden="false" customHeight="false" outlineLevel="0" collapsed="false">
      <c r="A89" s="36" t="str">
        <f aca="false">IF(IFERROR(MATCH(56,$AB$40:$AB$133,0),0)=0,"",INDEX($T$40:$T$133,IFERROR(MATCH(56,$AB$40:$AB$133,0),0)))</f>
        <v>CHM-VR-Z3S-E0-U68</v>
      </c>
      <c r="B89" s="36" t="str">
        <f aca="false">IF(IFERROR(MATCH(56,$AB$40:$AB$133,0),0)=0,"",INDEX($AG$40:$AG$133,IFERROR(MATCH(56,$AB$40:$AB$133,0),0)))</f>
        <v>260400301</v>
      </c>
      <c r="C89" s="37" t="str">
        <f aca="false">IF(IFERROR(MATCH(56,$AB$40:$AB$133,0),0)=0,"",INDEX($U$40:$U$133,IFERROR(MATCH(56,$AB$40:$AB$133,0),0)))</f>
        <v>KG</v>
      </c>
      <c r="D89" s="38" t="n">
        <f aca="false">IF(IFERROR(MATCH(56,$AB$40:$AB$133,0),0)=0,"",INDEX($V$40:$V$133,IFERROR(MATCH(56,$AB$40:$AB$133,0),0)))</f>
        <v>0</v>
      </c>
      <c r="E89" s="38" t="n">
        <f aca="false">IF(IFERROR(MATCH(56,$AB$40:$AB$133,0),0)=0,"",INDEX($W$40:$W$133,IFERROR(MATCH(56,$AB$40:$AB$133,0),0)))</f>
        <v>432</v>
      </c>
      <c r="F89" s="38" t="n">
        <f aca="false">IF(IFERROR(MATCH(56,$AB$40:$AB$133,0),0)=0,"",INDEX($X$40:$X$133,IFERROR(MATCH(56,$AB$40:$AB$133,0),0)))</f>
        <v>0</v>
      </c>
      <c r="G89" s="38" t="n">
        <f aca="false">IF(A89="","",E89-F89)</f>
        <v>432</v>
      </c>
      <c r="H89" s="38" t="n">
        <f aca="false">IF(IFERROR(MATCH(56,$AB$40:$AB$133,0),0)=0,"",INDEX($Y$40:$Y$133,IFERROR(MATCH(56,$AB$40:$AB$133,0),0)))</f>
        <v>432</v>
      </c>
      <c r="I89" s="39" t="n">
        <f aca="false">IF(IFERROR(MATCH(56,$AB$40:$AB$133,0),0)=0,"",INDEX($Z$40:$Z$133,IFERROR(MATCH(56,$AB$40:$AB$133,0),0)))</f>
        <v>0</v>
      </c>
      <c r="J89" s="40" t="str">
        <f aca="false">IF(IFERROR(MATCH(56,$AB$40:$AB$133,0),0)=0,"",INDEX($AC$40:$AC$133,IFERROR(MATCH(56,$AB$40:$AB$133,0),0)))</f>
        <v>Confere</v>
      </c>
      <c r="K89" s="41" t="n">
        <f aca="false">IF(IFERROR(MATCH(56,$AB$40:$AB$133,0),0)=0,"",INDEX($AD$40:$AD$133,IFERROR(MATCH(56,$AB$40:$AB$133,0),0)))</f>
        <v>1</v>
      </c>
      <c r="L89" s="42" t="str">
        <f aca="false">IF(IFERROR(MATCH(56,$AB$40:$AB$133,0),0)=0,"",INDEX($AE$40:$AE$133,IFERROR(MATCH(56,$AB$40:$AB$133,0),0))&amp;"")</f>
        <v/>
      </c>
      <c r="T89" s="3" t="s">
        <v>59</v>
      </c>
      <c r="U89" s="3" t="s">
        <v>4</v>
      </c>
      <c r="V89" s="3" t="n">
        <f aca="false">SUMIFS(Lançamentos!$H$2:$H$607,Lançamentos!$A$2:$A$607,"&gt;="&amp;$F$5,Lançamentos!$A$2:$A$607,"&lt;="&amp;$H$5,Lançamentos!$C$2:$C$607,$T89,Lançamentos!$D$2:$D$607,$AG89,Lançamentos!$B$2:$B$607,"Recebido no 2008")</f>
        <v>798</v>
      </c>
      <c r="W89" s="3" t="n">
        <f aca="false">SUMIFS(Lançamentos!$I$2:$I$607,Lançamentos!$A$2:$A$607,"&gt;="&amp;$F$5,Lançamentos!$A$2:$A$607,"&lt;="&amp;$H$5,Lançamentos!$C$2:$C$607,$T89,Lançamentos!$D$2:$D$607,$AG89)</f>
        <v>0</v>
      </c>
      <c r="X89" s="3" t="n">
        <f aca="false">SUMIFS(Lançamentos!$J$2:$J$607,Lançamentos!$A$2:$A$607,"&gt;="&amp;$F$5,Lançamentos!$A$2:$A$607,"&lt;="&amp;$H$5,Lançamentos!$C$2:$C$607,$T89,Lançamentos!$D$2:$D$607,$AG89)</f>
        <v>0</v>
      </c>
      <c r="Y89" s="3" t="n">
        <f aca="false">SUMIFS('Estoque físico'!$J$2:$J$229,'Estoque físico'!$A$2:$A$229,$T89,'Estoque físico'!$B$2:$B$229,$AG89)</f>
        <v>0</v>
      </c>
      <c r="Z89" s="3" t="n">
        <f aca="false">ROUND(Y89-(W89-X89),3)</f>
        <v>0</v>
      </c>
      <c r="AA89" s="3" t="n">
        <f aca="false">IF(AND(U89=$R$3,OR($R$1="*",T89=$R$1),OR($R$2="*",AG89=$R$2),ABS(V89)+ABS(W89)+ABS(X89)+ABS(Y89)&gt;0),1,0)</f>
        <v>1</v>
      </c>
      <c r="AB89" s="3" t="n">
        <f aca="false">IF(AA89=1,SUM(AA$40:AA89),"")</f>
        <v>42</v>
      </c>
      <c r="AC89" s="0" t="str">
        <f aca="false">IF(ABS(Z89)&lt;=$R$5,"Confere",IF(Z89&gt;0,"Sobrando","Faltando"))</f>
        <v>Confere</v>
      </c>
      <c r="AD89" s="3" t="n">
        <f aca="false">COUNTIFS(Lançamentos!$A$2:$A$607,"&gt;="&amp;$F$5,Lançamentos!$A$2:$A$607,"&lt;="&amp;$H$5,Lançamentos!$C$2:$C$607,$T89,Lançamentos!$D$2:$D$607,$AG89,Lançamentos!$B$2:$B$607,$R$4,Lançamentos!$G$2:$G$607,U89)</f>
        <v>1</v>
      </c>
      <c r="AF89" s="3" t="n">
        <f aca="false">IF(AND(AA89=1,AC89&lt;&gt;"Confere"),ABS(Z89)+ROW()/10000000,0)</f>
        <v>0</v>
      </c>
      <c r="AG89" s="3" t="s">
        <v>103</v>
      </c>
      <c r="AV89" s="0" t="str">
        <f aca="false">IFERROR(INDEX($AX$1:$AX$94,MATCH(88,$AY$1:$AY$94,0)),"")</f>
        <v>252232739</v>
      </c>
      <c r="AW89" s="3" t="s">
        <v>160</v>
      </c>
      <c r="AX89" s="3" t="s">
        <v>218</v>
      </c>
      <c r="AY89" s="3" t="n">
        <f aca="false">IF(OR($A$5="Todos",AW89=$A$5),MAX(AY$1:AY88)+1,0)</f>
        <v>89</v>
      </c>
    </row>
    <row r="90" customFormat="false" ht="15" hidden="false" customHeight="false" outlineLevel="0" collapsed="false">
      <c r="A90" s="36" t="str">
        <f aca="false">IF(IFERROR(MATCH(57,$AB$40:$AB$133,0),0)=0,"",INDEX($T$40:$T$133,IFERROR(MATCH(57,$AB$40:$AB$133,0),0)))</f>
        <v>CHM-VR-Z3S-E0-U72</v>
      </c>
      <c r="B90" s="36" t="str">
        <f aca="false">IF(IFERROR(MATCH(57,$AB$40:$AB$133,0),0)=0,"",INDEX($AG$40:$AG$133,IFERROR(MATCH(57,$AB$40:$AB$133,0),0)))</f>
        <v>260600103</v>
      </c>
      <c r="C90" s="37" t="str">
        <f aca="false">IF(IFERROR(MATCH(57,$AB$40:$AB$133,0),0)=0,"",INDEX($U$40:$U$133,IFERROR(MATCH(57,$AB$40:$AB$133,0),0)))</f>
        <v>KG</v>
      </c>
      <c r="D90" s="38" t="n">
        <f aca="false">IF(IFERROR(MATCH(57,$AB$40:$AB$133,0),0)=0,"",INDEX($V$40:$V$133,IFERROR(MATCH(57,$AB$40:$AB$133,0),0)))</f>
        <v>1200</v>
      </c>
      <c r="E90" s="38" t="n">
        <f aca="false">IF(IFERROR(MATCH(57,$AB$40:$AB$133,0),0)=0,"",INDEX($W$40:$W$133,IFERROR(MATCH(57,$AB$40:$AB$133,0),0)))</f>
        <v>0</v>
      </c>
      <c r="F90" s="38" t="n">
        <f aca="false">IF(IFERROR(MATCH(57,$AB$40:$AB$133,0),0)=0,"",INDEX($X$40:$X$133,IFERROR(MATCH(57,$AB$40:$AB$133,0),0)))</f>
        <v>0</v>
      </c>
      <c r="G90" s="38" t="n">
        <f aca="false">IF(A90="","",E90-F90)</f>
        <v>0</v>
      </c>
      <c r="H90" s="38" t="n">
        <f aca="false">IF(IFERROR(MATCH(57,$AB$40:$AB$133,0),0)=0,"",INDEX($Y$40:$Y$133,IFERROR(MATCH(57,$AB$40:$AB$133,0),0)))</f>
        <v>0</v>
      </c>
      <c r="I90" s="39" t="n">
        <f aca="false">IF(IFERROR(MATCH(57,$AB$40:$AB$133,0),0)=0,"",INDEX($Z$40:$Z$133,IFERROR(MATCH(57,$AB$40:$AB$133,0),0)))</f>
        <v>0</v>
      </c>
      <c r="J90" s="40" t="str">
        <f aca="false">IF(IFERROR(MATCH(57,$AB$40:$AB$133,0),0)=0,"",INDEX($AC$40:$AC$133,IFERROR(MATCH(57,$AB$40:$AB$133,0),0)))</f>
        <v>Confere</v>
      </c>
      <c r="K90" s="41" t="n">
        <f aca="false">IF(IFERROR(MATCH(57,$AB$40:$AB$133,0),0)=0,"",INDEX($AD$40:$AD$133,IFERROR(MATCH(57,$AB$40:$AB$133,0),0)))</f>
        <v>1</v>
      </c>
      <c r="L90" s="42" t="str">
        <f aca="false">IF(IFERROR(MATCH(57,$AB$40:$AB$133,0),0)=0,"",INDEX($AE$40:$AE$133,IFERROR(MATCH(57,$AB$40:$AB$133,0),0))&amp;"")</f>
        <v/>
      </c>
      <c r="T90" s="3" t="s">
        <v>59</v>
      </c>
      <c r="U90" s="3" t="s">
        <v>4</v>
      </c>
      <c r="V90" s="3" t="n">
        <f aca="false">SUMIFS(Lançamentos!$H$2:$H$607,Lançamentos!$A$2:$A$607,"&gt;="&amp;$F$5,Lançamentos!$A$2:$A$607,"&lt;="&amp;$H$5,Lançamentos!$C$2:$C$607,$T90,Lançamentos!$D$2:$D$607,$AG90,Lançamentos!$B$2:$B$607,"Recebido no 2008")</f>
        <v>1122</v>
      </c>
      <c r="W90" s="3" t="n">
        <f aca="false">SUMIFS(Lançamentos!$I$2:$I$607,Lançamentos!$A$2:$A$607,"&gt;="&amp;$F$5,Lançamentos!$A$2:$A$607,"&lt;="&amp;$H$5,Lançamentos!$C$2:$C$607,$T90,Lançamentos!$D$2:$D$607,$AG90)</f>
        <v>0</v>
      </c>
      <c r="X90" s="3" t="n">
        <f aca="false">SUMIFS(Lançamentos!$J$2:$J$607,Lançamentos!$A$2:$A$607,"&gt;="&amp;$F$5,Lançamentos!$A$2:$A$607,"&lt;="&amp;$H$5,Lançamentos!$C$2:$C$607,$T90,Lançamentos!$D$2:$D$607,$AG90)</f>
        <v>0</v>
      </c>
      <c r="Y90" s="3" t="n">
        <f aca="false">SUMIFS('Estoque físico'!$J$2:$J$229,'Estoque físico'!$A$2:$A$229,$T90,'Estoque físico'!$B$2:$B$229,$AG90)</f>
        <v>0</v>
      </c>
      <c r="Z90" s="3" t="n">
        <f aca="false">ROUND(Y90-(W90-X90),3)</f>
        <v>0</v>
      </c>
      <c r="AA90" s="3" t="n">
        <f aca="false">IF(AND(U90=$R$3,OR($R$1="*",T90=$R$1),OR($R$2="*",AG90=$R$2),ABS(V90)+ABS(W90)+ABS(X90)+ABS(Y90)&gt;0),1,0)</f>
        <v>1</v>
      </c>
      <c r="AB90" s="3" t="n">
        <f aca="false">IF(AA90=1,SUM(AA$40:AA90),"")</f>
        <v>43</v>
      </c>
      <c r="AC90" s="0" t="str">
        <f aca="false">IF(ABS(Z90)&lt;=$R$5,"Confere",IF(Z90&gt;0,"Sobrando","Faltando"))</f>
        <v>Confere</v>
      </c>
      <c r="AD90" s="3" t="n">
        <f aca="false">COUNTIFS(Lançamentos!$A$2:$A$607,"&gt;="&amp;$F$5,Lançamentos!$A$2:$A$607,"&lt;="&amp;$H$5,Lançamentos!$C$2:$C$607,$T90,Lançamentos!$D$2:$D$607,$AG90,Lançamentos!$B$2:$B$607,$R$4,Lançamentos!$G$2:$G$607,U90)</f>
        <v>1</v>
      </c>
      <c r="AF90" s="3" t="n">
        <f aca="false">IF(AND(AA90=1,AC90&lt;&gt;"Confere"),ABS(Z90)+ROW()/10000000,0)</f>
        <v>0</v>
      </c>
      <c r="AG90" s="3" t="s">
        <v>105</v>
      </c>
      <c r="AV90" s="0" t="str">
        <f aca="false">IFERROR(INDEX($AX$1:$AX$94,MATCH(89,$AY$1:$AY$94,0)),"")</f>
        <v>260700919</v>
      </c>
      <c r="AW90" s="3" t="s">
        <v>160</v>
      </c>
      <c r="AX90" s="3" t="s">
        <v>219</v>
      </c>
      <c r="AY90" s="3" t="n">
        <f aca="false">IF(OR($A$5="Todos",AW90=$A$5),MAX(AY$1:AY89)+1,0)</f>
        <v>90</v>
      </c>
    </row>
    <row r="91" customFormat="false" ht="15" hidden="false" customHeight="false" outlineLevel="0" collapsed="false">
      <c r="A91" s="36" t="str">
        <f aca="false">IF(IFERROR(MATCH(58,$AB$40:$AB$133,0),0)=0,"",INDEX($T$40:$T$133,IFERROR(MATCH(58,$AB$40:$AB$133,0),0)))</f>
        <v>CHR-Q37RB2-2B-U75</v>
      </c>
      <c r="B91" s="36" t="str">
        <f aca="false">IF(IFERROR(MATCH(58,$AB$40:$AB$133,0),0)=0,"",INDEX($AG$40:$AG$133,IFERROR(MATCH(58,$AB$40:$AB$133,0),0)))</f>
        <v>261320202</v>
      </c>
      <c r="C91" s="37" t="str">
        <f aca="false">IF(IFERROR(MATCH(58,$AB$40:$AB$133,0),0)=0,"",INDEX($U$40:$U$133,IFERROR(MATCH(58,$AB$40:$AB$133,0),0)))</f>
        <v>KG</v>
      </c>
      <c r="D91" s="38" t="n">
        <f aca="false">IF(IFERROR(MATCH(58,$AB$40:$AB$133,0),0)=0,"",INDEX($V$40:$V$133,IFERROR(MATCH(58,$AB$40:$AB$133,0),0)))</f>
        <v>0</v>
      </c>
      <c r="E91" s="38" t="n">
        <f aca="false">IF(IFERROR(MATCH(58,$AB$40:$AB$133,0),0)=0,"",INDEX($W$40:$W$133,IFERROR(MATCH(58,$AB$40:$AB$133,0),0)))</f>
        <v>1860</v>
      </c>
      <c r="F91" s="38" t="n">
        <f aca="false">IF(IFERROR(MATCH(58,$AB$40:$AB$133,0),0)=0,"",INDEX($X$40:$X$133,IFERROR(MATCH(58,$AB$40:$AB$133,0),0)))</f>
        <v>770</v>
      </c>
      <c r="G91" s="38" t="n">
        <f aca="false">IF(A91="","",E91-F91)</f>
        <v>1090</v>
      </c>
      <c r="H91" s="38" t="n">
        <f aca="false">IF(IFERROR(MATCH(58,$AB$40:$AB$133,0),0)=0,"",INDEX($Y$40:$Y$133,IFERROR(MATCH(58,$AB$40:$AB$133,0),0)))</f>
        <v>1090</v>
      </c>
      <c r="I91" s="39" t="n">
        <f aca="false">IF(IFERROR(MATCH(58,$AB$40:$AB$133,0),0)=0,"",INDEX($Z$40:$Z$133,IFERROR(MATCH(58,$AB$40:$AB$133,0),0)))</f>
        <v>0</v>
      </c>
      <c r="J91" s="40" t="str">
        <f aca="false">IF(IFERROR(MATCH(58,$AB$40:$AB$133,0),0)=0,"",INDEX($AC$40:$AC$133,IFERROR(MATCH(58,$AB$40:$AB$133,0),0)))</f>
        <v>Confere</v>
      </c>
      <c r="K91" s="41" t="n">
        <f aca="false">IF(IFERROR(MATCH(58,$AB$40:$AB$133,0),0)=0,"",INDEX($AD$40:$AD$133,IFERROR(MATCH(58,$AB$40:$AB$133,0),0)))</f>
        <v>33</v>
      </c>
      <c r="L91" s="42" t="str">
        <f aca="false">IF(IFERROR(MATCH(58,$AB$40:$AB$133,0),0)=0,"",INDEX($AE$40:$AE$133,IFERROR(MATCH(58,$AB$40:$AB$133,0),0))&amp;"")</f>
        <v>CA RUBY CALLETS 2.5KG/UC 4UC/BOX</v>
      </c>
      <c r="T91" s="3" t="s">
        <v>63</v>
      </c>
      <c r="U91" s="3" t="s">
        <v>4</v>
      </c>
      <c r="V91" s="3" t="n">
        <f aca="false">SUMIFS(Lançamentos!$H$2:$H$607,Lançamentos!$A$2:$A$607,"&gt;="&amp;$F$5,Lançamentos!$A$2:$A$607,"&lt;="&amp;$H$5,Lançamentos!$C$2:$C$607,$T91,Lançamentos!$D$2:$D$607,$AG91,Lançamentos!$B$2:$B$607,"Recebido no 2008")</f>
        <v>0</v>
      </c>
      <c r="W91" s="3" t="n">
        <f aca="false">SUMIFS(Lançamentos!$I$2:$I$607,Lançamentos!$A$2:$A$607,"&gt;="&amp;$F$5,Lançamentos!$A$2:$A$607,"&lt;="&amp;$H$5,Lançamentos!$C$2:$C$607,$T91,Lançamentos!$D$2:$D$607,$AG91)</f>
        <v>81.6</v>
      </c>
      <c r="X91" s="3" t="n">
        <f aca="false">SUMIFS(Lançamentos!$J$2:$J$607,Lançamentos!$A$2:$A$607,"&gt;="&amp;$F$5,Lançamentos!$A$2:$A$607,"&lt;="&amp;$H$5,Lançamentos!$C$2:$C$607,$T91,Lançamentos!$D$2:$D$607,$AG91)</f>
        <v>0</v>
      </c>
      <c r="Y91" s="3" t="n">
        <f aca="false">SUMIFS('Estoque físico'!$J$2:$J$229,'Estoque físico'!$A$2:$A$229,$T91,'Estoque físico'!$B$2:$B$229,$AG91)</f>
        <v>81.6</v>
      </c>
      <c r="Z91" s="3" t="n">
        <f aca="false">ROUND(Y91-(W91-X91),3)</f>
        <v>0</v>
      </c>
      <c r="AA91" s="3" t="n">
        <f aca="false">IF(AND(U91=$R$3,OR($R$1="*",T91=$R$1),OR($R$2="*",AG91=$R$2),ABS(V91)+ABS(W91)+ABS(X91)+ABS(Y91)&gt;0),1,0)</f>
        <v>1</v>
      </c>
      <c r="AB91" s="3" t="n">
        <f aca="false">IF(AA91=1,SUM(AA$40:AA91),"")</f>
        <v>44</v>
      </c>
      <c r="AC91" s="0" t="str">
        <f aca="false">IF(ABS(Z91)&lt;=$R$5,"Confere",IF(Z91&gt;0,"Sobrando","Faltando"))</f>
        <v>Confere</v>
      </c>
      <c r="AD91" s="3" t="n">
        <f aca="false">COUNTIFS(Lançamentos!$A$2:$A$607,"&gt;="&amp;$F$5,Lançamentos!$A$2:$A$607,"&lt;="&amp;$H$5,Lançamentos!$C$2:$C$607,$T91,Lançamentos!$D$2:$D$607,$AG91,Lançamentos!$B$2:$B$607,$R$4,Lançamentos!$G$2:$G$607,U91)</f>
        <v>1</v>
      </c>
      <c r="AF91" s="3" t="n">
        <f aca="false">IF(AND(AA91=1,AC91&lt;&gt;"Confere"),ABS(Z91)+ROW()/10000000,0)</f>
        <v>0</v>
      </c>
      <c r="AG91" s="3" t="s">
        <v>109</v>
      </c>
      <c r="AV91" s="0" t="str">
        <f aca="false">IFERROR(INDEX($AX$1:$AX$94,MATCH(90,$AY$1:$AY$94,0)),"")</f>
        <v>261131599</v>
      </c>
      <c r="AW91" s="3" t="s">
        <v>160</v>
      </c>
      <c r="AX91" s="3" t="s">
        <v>220</v>
      </c>
      <c r="AY91" s="3" t="n">
        <f aca="false">IF(OR($A$5="Todos",AW91=$A$5),MAX(AY$1:AY90)+1,0)</f>
        <v>91</v>
      </c>
    </row>
    <row r="92" customFormat="false" ht="15" hidden="false" customHeight="false" outlineLevel="0" collapsed="false">
      <c r="A92" s="36" t="str">
        <f aca="false">IF(IFERROR(MATCH(59,$AB$40:$AB$133,0),0)=0,"",INDEX($T$40:$T$133,IFERROR(MATCH(59,$AB$40:$AB$133,0),0)))</f>
        <v>CHR-Q37RB2-2B-U75</v>
      </c>
      <c r="B92" s="36" t="str">
        <f aca="false">IF(IFERROR(MATCH(59,$AB$40:$AB$133,0),0)=0,"",INDEX($AG$40:$AG$133,IFERROR(MATCH(59,$AB$40:$AB$133,0),0)))</f>
        <v>261320203</v>
      </c>
      <c r="C92" s="37" t="str">
        <f aca="false">IF(IFERROR(MATCH(59,$AB$40:$AB$133,0),0)=0,"",INDEX($U$40:$U$133,IFERROR(MATCH(59,$AB$40:$AB$133,0),0)))</f>
        <v>KG</v>
      </c>
      <c r="D92" s="38" t="n">
        <f aca="false">IF(IFERROR(MATCH(59,$AB$40:$AB$133,0),0)=0,"",INDEX($V$40:$V$133,IFERROR(MATCH(59,$AB$40:$AB$133,0),0)))</f>
        <v>840</v>
      </c>
      <c r="E92" s="38" t="n">
        <f aca="false">IF(IFERROR(MATCH(59,$AB$40:$AB$133,0),0)=0,"",INDEX($W$40:$W$133,IFERROR(MATCH(59,$AB$40:$AB$133,0),0)))</f>
        <v>1200</v>
      </c>
      <c r="F92" s="38" t="n">
        <f aca="false">IF(IFERROR(MATCH(59,$AB$40:$AB$133,0),0)=0,"",INDEX($X$40:$X$133,IFERROR(MATCH(59,$AB$40:$AB$133,0),0)))</f>
        <v>0</v>
      </c>
      <c r="G92" s="38" t="n">
        <f aca="false">IF(A92="","",E92-F92)</f>
        <v>1200</v>
      </c>
      <c r="H92" s="38" t="n">
        <f aca="false">IF(IFERROR(MATCH(59,$AB$40:$AB$133,0),0)=0,"",INDEX($Y$40:$Y$133,IFERROR(MATCH(59,$AB$40:$AB$133,0),0)))</f>
        <v>1200</v>
      </c>
      <c r="I92" s="39" t="n">
        <f aca="false">IF(IFERROR(MATCH(59,$AB$40:$AB$133,0),0)=0,"",INDEX($Z$40:$Z$133,IFERROR(MATCH(59,$AB$40:$AB$133,0),0)))</f>
        <v>0</v>
      </c>
      <c r="J92" s="40" t="str">
        <f aca="false">IF(IFERROR(MATCH(59,$AB$40:$AB$133,0),0)=0,"",INDEX($AC$40:$AC$133,IFERROR(MATCH(59,$AB$40:$AB$133,0),0)))</f>
        <v>Confere</v>
      </c>
      <c r="K92" s="41" t="n">
        <f aca="false">IF(IFERROR(MATCH(59,$AB$40:$AB$133,0),0)=0,"",INDEX($AD$40:$AD$133,IFERROR(MATCH(59,$AB$40:$AB$133,0),0)))</f>
        <v>2</v>
      </c>
      <c r="L92" s="42" t="str">
        <f aca="false">IF(IFERROR(MATCH(59,$AB$40:$AB$133,0),0)=0,"",INDEX($AE$40:$AE$133,IFERROR(MATCH(59,$AB$40:$AB$133,0),0))&amp;"")</f>
        <v>CA RUBY CALLETS 2.5KG/UC 4UC/BOX</v>
      </c>
      <c r="T92" s="3" t="s">
        <v>65</v>
      </c>
      <c r="U92" s="3" t="s">
        <v>4</v>
      </c>
      <c r="V92" s="3" t="n">
        <f aca="false">SUMIFS(Lançamentos!$H$2:$H$607,Lançamentos!$A$2:$A$607,"&gt;="&amp;$F$5,Lançamentos!$A$2:$A$607,"&lt;="&amp;$H$5,Lançamentos!$C$2:$C$607,$T92,Lançamentos!$D$2:$D$607,$AG92,Lançamentos!$B$2:$B$607,"Recebido no 2008")</f>
        <v>1296</v>
      </c>
      <c r="W92" s="3" t="n">
        <f aca="false">SUMIFS(Lançamentos!$I$2:$I$607,Lançamentos!$A$2:$A$607,"&gt;="&amp;$F$5,Lançamentos!$A$2:$A$607,"&lt;="&amp;$H$5,Lançamentos!$C$2:$C$607,$T92,Lançamentos!$D$2:$D$607,$AG92)</f>
        <v>0</v>
      </c>
      <c r="X92" s="3" t="n">
        <f aca="false">SUMIFS(Lançamentos!$J$2:$J$607,Lançamentos!$A$2:$A$607,"&gt;="&amp;$F$5,Lançamentos!$A$2:$A$607,"&lt;="&amp;$H$5,Lançamentos!$C$2:$C$607,$T92,Lançamentos!$D$2:$D$607,$AG92)</f>
        <v>0</v>
      </c>
      <c r="Y92" s="3" t="n">
        <f aca="false">SUMIFS('Estoque físico'!$J$2:$J$229,'Estoque físico'!$A$2:$A$229,$T92,'Estoque físico'!$B$2:$B$229,$AG92)</f>
        <v>0</v>
      </c>
      <c r="Z92" s="3" t="n">
        <f aca="false">ROUND(Y92-(W92-X92),3)</f>
        <v>0</v>
      </c>
      <c r="AA92" s="3" t="n">
        <f aca="false">IF(AND(U92=$R$3,OR($R$1="*",T92=$R$1),OR($R$2="*",AG92=$R$2),ABS(V92)+ABS(W92)+ABS(X92)+ABS(Y92)&gt;0),1,0)</f>
        <v>1</v>
      </c>
      <c r="AB92" s="3" t="n">
        <f aca="false">IF(AA92=1,SUM(AA$40:AA92),"")</f>
        <v>45</v>
      </c>
      <c r="AC92" s="0" t="str">
        <f aca="false">IF(ABS(Z92)&lt;=$R$5,"Confere",IF(Z92&gt;0,"Sobrando","Faltando"))</f>
        <v>Confere</v>
      </c>
      <c r="AD92" s="3" t="n">
        <f aca="false">COUNTIFS(Lançamentos!$A$2:$A$607,"&gt;="&amp;$F$5,Lançamentos!$A$2:$A$607,"&lt;="&amp;$H$5,Lançamentos!$C$2:$C$607,$T92,Lançamentos!$D$2:$D$607,$AG92,Lançamentos!$B$2:$B$607,$R$4,Lançamentos!$G$2:$G$607,U92)</f>
        <v>1</v>
      </c>
      <c r="AF92" s="3" t="n">
        <f aca="false">IF(AND(AA92=1,AC92&lt;&gt;"Confere"),ABS(Z92)+ROW()/10000000,0)</f>
        <v>0</v>
      </c>
      <c r="AG92" s="3" t="s">
        <v>111</v>
      </c>
      <c r="AV92" s="0" t="str">
        <f aca="false">IFERROR(INDEX($AX$1:$AX$94,MATCH(91,$AY$1:$AY$94,0)),"")</f>
        <v>261181599</v>
      </c>
      <c r="AW92" s="3" t="s">
        <v>160</v>
      </c>
      <c r="AX92" s="3" t="s">
        <v>221</v>
      </c>
      <c r="AY92" s="3" t="n">
        <f aca="false">IF(OR($A$5="Todos",AW92=$A$5),MAX(AY$1:AY91)+1,0)</f>
        <v>92</v>
      </c>
    </row>
    <row r="93" customFormat="false" ht="15" hidden="false" customHeight="false" outlineLevel="0" collapsed="false">
      <c r="A93" s="36" t="str">
        <f aca="false">IF(IFERROR(MATCH(60,$AB$40:$AB$133,0),0)=0,"",INDEX($T$40:$T$133,IFERROR(MATCH(60,$AB$40:$AB$133,0),0)))</f>
        <v>CHR-Q37RB2-E0-D94</v>
      </c>
      <c r="B93" s="36" t="str">
        <f aca="false">IF(IFERROR(MATCH(60,$AB$40:$AB$133,0),0)=0,"",INDEX($AG$40:$AG$133,IFERROR(MATCH(60,$AB$40:$AB$133,0),0)))</f>
        <v>261301539</v>
      </c>
      <c r="C93" s="37" t="str">
        <f aca="false">IF(IFERROR(MATCH(60,$AB$40:$AB$133,0),0)=0,"",INDEX($U$40:$U$133,IFERROR(MATCH(60,$AB$40:$AB$133,0),0)))</f>
        <v>KG</v>
      </c>
      <c r="D93" s="38" t="n">
        <f aca="false">IF(IFERROR(MATCH(60,$AB$40:$AB$133,0),0)=0,"",INDEX($V$40:$V$133,IFERROR(MATCH(60,$AB$40:$AB$133,0),0)))</f>
        <v>1873.2</v>
      </c>
      <c r="E93" s="38" t="n">
        <f aca="false">IF(IFERROR(MATCH(60,$AB$40:$AB$133,0),0)=0,"",INDEX($W$40:$W$133,IFERROR(MATCH(60,$AB$40:$AB$133,0),0)))</f>
        <v>313.6</v>
      </c>
      <c r="F93" s="38" t="n">
        <f aca="false">IF(IFERROR(MATCH(60,$AB$40:$AB$133,0),0)=0,"",INDEX($X$40:$X$133,IFERROR(MATCH(60,$AB$40:$AB$133,0),0)))</f>
        <v>0</v>
      </c>
      <c r="G93" s="38" t="n">
        <f aca="false">IF(A93="","",E93-F93)</f>
        <v>313.6</v>
      </c>
      <c r="H93" s="38" t="n">
        <f aca="false">IF(IFERROR(MATCH(60,$AB$40:$AB$133,0),0)=0,"",INDEX($Y$40:$Y$133,IFERROR(MATCH(60,$AB$40:$AB$133,0),0)))</f>
        <v>313.6</v>
      </c>
      <c r="I93" s="39" t="n">
        <f aca="false">IF(IFERROR(MATCH(60,$AB$40:$AB$133,0),0)=0,"",INDEX($Z$40:$Z$133,IFERROR(MATCH(60,$AB$40:$AB$133,0),0)))</f>
        <v>0</v>
      </c>
      <c r="J93" s="40" t="str">
        <f aca="false">IF(IFERROR(MATCH(60,$AB$40:$AB$133,0),0)=0,"",INDEX($AC$40:$AC$133,IFERROR(MATCH(60,$AB$40:$AB$133,0),0)))</f>
        <v>Confere</v>
      </c>
      <c r="K93" s="41" t="n">
        <f aca="false">IF(IFERROR(MATCH(60,$AB$40:$AB$133,0),0)=0,"",INDEX($AD$40:$AD$133,IFERROR(MATCH(60,$AB$40:$AB$133,0),0)))</f>
        <v>3</v>
      </c>
      <c r="L93" s="42" t="str">
        <f aca="false">IF(IFERROR(MATCH(60,$AB$40:$AB$133,0),0)=0,"",INDEX($AE$40:$AE$133,IFERROR(MATCH(60,$AB$40:$AB$133,0),0))&amp;"")</f>
        <v/>
      </c>
      <c r="T93" s="3" t="s">
        <v>67</v>
      </c>
      <c r="U93" s="3" t="s">
        <v>4</v>
      </c>
      <c r="V93" s="3" t="n">
        <f aca="false">SUMIFS(Lançamentos!$H$2:$H$607,Lançamentos!$A$2:$A$607,"&gt;="&amp;$F$5,Lançamentos!$A$2:$A$607,"&lt;="&amp;$H$5,Lançamentos!$C$2:$C$607,$T93,Lançamentos!$D$2:$D$607,$AG93,Lançamentos!$B$2:$B$607,"Recebido no 2008")</f>
        <v>1280</v>
      </c>
      <c r="W93" s="3" t="n">
        <f aca="false">SUMIFS(Lançamentos!$I$2:$I$607,Lançamentos!$A$2:$A$607,"&gt;="&amp;$F$5,Lançamentos!$A$2:$A$607,"&lt;="&amp;$H$5,Lançamentos!$C$2:$C$607,$T93,Lançamentos!$D$2:$D$607,$AG93)</f>
        <v>0</v>
      </c>
      <c r="X93" s="3" t="n">
        <f aca="false">SUMIFS(Lançamentos!$J$2:$J$607,Lançamentos!$A$2:$A$607,"&gt;="&amp;$F$5,Lançamentos!$A$2:$A$607,"&lt;="&amp;$H$5,Lançamentos!$C$2:$C$607,$T93,Lançamentos!$D$2:$D$607,$AG93)</f>
        <v>0</v>
      </c>
      <c r="Y93" s="3" t="n">
        <f aca="false">SUMIFS('Estoque físico'!$J$2:$J$229,'Estoque físico'!$A$2:$A$229,$T93,'Estoque físico'!$B$2:$B$229,$AG93)</f>
        <v>0</v>
      </c>
      <c r="Z93" s="3" t="n">
        <f aca="false">ROUND(Y93-(W93-X93),3)</f>
        <v>0</v>
      </c>
      <c r="AA93" s="3" t="n">
        <f aca="false">IF(AND(U93=$R$3,OR($R$1="*",T93=$R$1),OR($R$2="*",AG93=$R$2),ABS(V93)+ABS(W93)+ABS(X93)+ABS(Y93)&gt;0),1,0)</f>
        <v>1</v>
      </c>
      <c r="AB93" s="3" t="n">
        <f aca="false">IF(AA93=1,SUM(AA$40:AA93),"")</f>
        <v>46</v>
      </c>
      <c r="AC93" s="0" t="str">
        <f aca="false">IF(ABS(Z93)&lt;=$R$5,"Confere",IF(Z93&gt;0,"Sobrando","Faltando"))</f>
        <v>Confere</v>
      </c>
      <c r="AD93" s="3" t="n">
        <f aca="false">COUNTIFS(Lançamentos!$A$2:$A$607,"&gt;="&amp;$F$5,Lançamentos!$A$2:$A$607,"&lt;="&amp;$H$5,Lançamentos!$C$2:$C$607,$T93,Lançamentos!$D$2:$D$607,$AG93,Lançamentos!$B$2:$B$607,$R$4,Lançamentos!$G$2:$G$607,U93)</f>
        <v>1</v>
      </c>
      <c r="AF93" s="3" t="n">
        <f aca="false">IF(AND(AA93=1,AC93&lt;&gt;"Confere"),ABS(Z93)+ROW()/10000000,0)</f>
        <v>0</v>
      </c>
      <c r="AG93" s="3" t="s">
        <v>118</v>
      </c>
      <c r="AV93" s="0" t="str">
        <f aca="false">IFERROR(INDEX($AX$1:$AX$94,MATCH(92,$AY$1:$AY$94,0)),"")</f>
        <v>261391599</v>
      </c>
      <c r="AW93" s="3" t="s">
        <v>157</v>
      </c>
      <c r="AX93" s="3" t="s">
        <v>158</v>
      </c>
      <c r="AY93" s="3" t="n">
        <f aca="false">IF(OR($A$5="Todos",AW93=$A$5),MAX(AY$1:AY92)+1,0)</f>
        <v>93</v>
      </c>
    </row>
    <row r="94" customFormat="false" ht="15" hidden="false" customHeight="false" outlineLevel="0" collapsed="false">
      <c r="A94" s="36" t="str">
        <f aca="false">IF(IFERROR(MATCH(61,$AB$40:$AB$133,0),0)=0,"",INDEX($T$40:$T$133,IFERROR(MATCH(61,$AB$40:$AB$133,0),0)))</f>
        <v>CW2-BR-25A</v>
      </c>
      <c r="B94" s="36" t="str">
        <f aca="false">IF(IFERROR(MATCH(61,$AB$40:$AB$133,0),0)=0,"",INDEX($AG$40:$AG$133,IFERROR(MATCH(61,$AB$40:$AB$133,0),0)))</f>
        <v>252590301</v>
      </c>
      <c r="C94" s="37" t="str">
        <f aca="false">IF(IFERROR(MATCH(61,$AB$40:$AB$133,0),0)=0,"",INDEX($U$40:$U$133,IFERROR(MATCH(61,$AB$40:$AB$133,0),0)))</f>
        <v>KG</v>
      </c>
      <c r="D94" s="38" t="n">
        <f aca="false">IF(IFERROR(MATCH(61,$AB$40:$AB$133,0),0)=0,"",INDEX($V$40:$V$133,IFERROR(MATCH(61,$AB$40:$AB$133,0),0)))</f>
        <v>0</v>
      </c>
      <c r="E94" s="38" t="n">
        <f aca="false">IF(IFERROR(MATCH(61,$AB$40:$AB$133,0),0)=0,"",INDEX($W$40:$W$133,IFERROR(MATCH(61,$AB$40:$AB$133,0),0)))</f>
        <v>603</v>
      </c>
      <c r="F94" s="38" t="n">
        <f aca="false">IF(IFERROR(MATCH(61,$AB$40:$AB$133,0),0)=0,"",INDEX($X$40:$X$133,IFERROR(MATCH(61,$AB$40:$AB$133,0),0)))</f>
        <v>0</v>
      </c>
      <c r="G94" s="38" t="n">
        <f aca="false">IF(A94="","",E94-F94)</f>
        <v>603</v>
      </c>
      <c r="H94" s="38" t="n">
        <f aca="false">IF(IFERROR(MATCH(61,$AB$40:$AB$133,0),0)=0,"",INDEX($Y$40:$Y$133,IFERROR(MATCH(61,$AB$40:$AB$133,0),0)))</f>
        <v>603</v>
      </c>
      <c r="I94" s="39" t="n">
        <f aca="false">IF(IFERROR(MATCH(61,$AB$40:$AB$133,0),0)=0,"",INDEX($Z$40:$Z$133,IFERROR(MATCH(61,$AB$40:$AB$133,0),0)))</f>
        <v>0</v>
      </c>
      <c r="J94" s="40" t="str">
        <f aca="false">IF(IFERROR(MATCH(61,$AB$40:$AB$133,0),0)=0,"",INDEX($AC$40:$AC$133,IFERROR(MATCH(61,$AB$40:$AB$133,0),0)))</f>
        <v>Confere</v>
      </c>
      <c r="K94" s="41" t="n">
        <f aca="false">IF(IFERROR(MATCH(61,$AB$40:$AB$133,0),0)=0,"",INDEX($AD$40:$AD$133,IFERROR(MATCH(61,$AB$40:$AB$133,0),0)))</f>
        <v>1</v>
      </c>
      <c r="L94" s="42" t="str">
        <f aca="false">IF(IFERROR(MATCH(61,$AB$40:$AB$133,0),0)=0,"",INDEX($AE$40:$AE$133,IFERROR(MATCH(61,$AB$40:$AB$133,0),0))&amp;"")</f>
        <v>CA MOEDAS 2,01KG/UC 10UC/CX 30CX/PAL</v>
      </c>
      <c r="T94" s="3" t="s">
        <v>69</v>
      </c>
      <c r="U94" s="3" t="s">
        <v>4</v>
      </c>
      <c r="V94" s="3" t="n">
        <f aca="false">SUMIFS(Lançamentos!$H$2:$H$607,Lançamentos!$A$2:$A$607,"&gt;="&amp;$F$5,Lançamentos!$A$2:$A$607,"&lt;="&amp;$H$5,Lançamentos!$C$2:$C$607,$T94,Lançamentos!$D$2:$D$607,$AG94,Lançamentos!$B$2:$B$607,"Recebido no 2008")</f>
        <v>160.8</v>
      </c>
      <c r="W94" s="3" t="n">
        <f aca="false">SUMIFS(Lançamentos!$I$2:$I$607,Lançamentos!$A$2:$A$607,"&gt;="&amp;$F$5,Lançamentos!$A$2:$A$607,"&lt;="&amp;$H$5,Lançamentos!$C$2:$C$607,$T94,Lançamentos!$D$2:$D$607,$AG94)</f>
        <v>0</v>
      </c>
      <c r="X94" s="3" t="n">
        <f aca="false">SUMIFS(Lançamentos!$J$2:$J$607,Lançamentos!$A$2:$A$607,"&gt;="&amp;$F$5,Lançamentos!$A$2:$A$607,"&lt;="&amp;$H$5,Lançamentos!$C$2:$C$607,$T94,Lançamentos!$D$2:$D$607,$AG94)</f>
        <v>0</v>
      </c>
      <c r="Y94" s="3" t="n">
        <f aca="false">SUMIFS('Estoque físico'!$J$2:$J$229,'Estoque físico'!$A$2:$A$229,$T94,'Estoque físico'!$B$2:$B$229,$AG94)</f>
        <v>0</v>
      </c>
      <c r="Z94" s="3" t="n">
        <f aca="false">ROUND(Y94-(W94-X94),3)</f>
        <v>0</v>
      </c>
      <c r="AA94" s="3" t="n">
        <f aca="false">IF(AND(U94=$R$3,OR($R$1="*",T94=$R$1),OR($R$2="*",AG94=$R$2),ABS(V94)+ABS(W94)+ABS(X94)+ABS(Y94)&gt;0),1,0)</f>
        <v>1</v>
      </c>
      <c r="AB94" s="3" t="n">
        <f aca="false">IF(AA94=1,SUM(AA$40:AA94),"")</f>
        <v>47</v>
      </c>
      <c r="AC94" s="0" t="str">
        <f aca="false">IF(ABS(Z94)&lt;=$R$5,"Confere",IF(Z94&gt;0,"Sobrando","Faltando"))</f>
        <v>Confere</v>
      </c>
      <c r="AD94" s="3" t="n">
        <f aca="false">COUNTIFS(Lançamentos!$A$2:$A$607,"&gt;="&amp;$F$5,Lançamentos!$A$2:$A$607,"&lt;="&amp;$H$5,Lançamentos!$C$2:$C$607,$T94,Lançamentos!$D$2:$D$607,$AG94,Lançamentos!$B$2:$B$607,$R$4,Lançamentos!$G$2:$G$607,U94)</f>
        <v>1</v>
      </c>
      <c r="AE94" s="3" t="s">
        <v>119</v>
      </c>
      <c r="AF94" s="3" t="n">
        <f aca="false">IF(AND(AA94=1,AC94&lt;&gt;"Confere"),ABS(Z94)+ROW()/10000000,0)</f>
        <v>0</v>
      </c>
      <c r="AG94" s="3" t="s">
        <v>123</v>
      </c>
      <c r="AV94" s="0" t="str">
        <f aca="false">IFERROR(INDEX($AX$1:$AX$94,MATCH(93,$AY$1:$AY$94,0)),"")</f>
        <v>253540301</v>
      </c>
      <c r="AW94" s="3" t="s">
        <v>157</v>
      </c>
      <c r="AX94" s="3" t="s">
        <v>194</v>
      </c>
      <c r="AY94" s="3" t="n">
        <f aca="false">IF(OR($A$5="Todos",AW94=$A$5),MAX(AY$1:AY93)+1,0)</f>
        <v>94</v>
      </c>
    </row>
    <row r="95" customFormat="false" ht="15" hidden="false" customHeight="false" outlineLevel="0" collapsed="false">
      <c r="A95" s="36" t="str">
        <f aca="false">IF(IFERROR(MATCH(62,$AB$40:$AB$133,0),0)=0,"",INDEX($T$40:$T$133,IFERROR(MATCH(62,$AB$40:$AB$133,0),0)))</f>
        <v>CW2-BR-25A</v>
      </c>
      <c r="B95" s="36" t="str">
        <f aca="false">IF(IFERROR(MATCH(62,$AB$40:$AB$133,0),0)=0,"",INDEX($AG$40:$AG$133,IFERROR(MATCH(62,$AB$40:$AB$133,0),0)))</f>
        <v>261070301</v>
      </c>
      <c r="C95" s="37" t="str">
        <f aca="false">IF(IFERROR(MATCH(62,$AB$40:$AB$133,0),0)=0,"",INDEX($U$40:$U$133,IFERROR(MATCH(62,$AB$40:$AB$133,0),0)))</f>
        <v>KG</v>
      </c>
      <c r="D95" s="38" t="n">
        <f aca="false">IF(IFERROR(MATCH(62,$AB$40:$AB$133,0),0)=0,"",INDEX($V$40:$V$133,IFERROR(MATCH(62,$AB$40:$AB$133,0),0)))</f>
        <v>1166</v>
      </c>
      <c r="E95" s="38" t="n">
        <f aca="false">IF(IFERROR(MATCH(62,$AB$40:$AB$133,0),0)=0,"",INDEX($W$40:$W$133,IFERROR(MATCH(62,$AB$40:$AB$133,0),0)))</f>
        <v>603</v>
      </c>
      <c r="F95" s="38" t="n">
        <f aca="false">IF(IFERROR(MATCH(62,$AB$40:$AB$133,0),0)=0,"",INDEX($X$40:$X$133,IFERROR(MATCH(62,$AB$40:$AB$133,0),0)))</f>
        <v>422.1</v>
      </c>
      <c r="G95" s="38" t="n">
        <f aca="false">IF(A95="","",E95-F95)</f>
        <v>180.9</v>
      </c>
      <c r="H95" s="38" t="n">
        <f aca="false">IF(IFERROR(MATCH(62,$AB$40:$AB$133,0),0)=0,"",INDEX($Y$40:$Y$133,IFERROR(MATCH(62,$AB$40:$AB$133,0),0)))</f>
        <v>180.9</v>
      </c>
      <c r="I95" s="39" t="n">
        <f aca="false">IF(IFERROR(MATCH(62,$AB$40:$AB$133,0),0)=0,"",INDEX($Z$40:$Z$133,IFERROR(MATCH(62,$AB$40:$AB$133,0),0)))</f>
        <v>0</v>
      </c>
      <c r="J95" s="40" t="str">
        <f aca="false">IF(IFERROR(MATCH(62,$AB$40:$AB$133,0),0)=0,"",INDEX($AC$40:$AC$133,IFERROR(MATCH(62,$AB$40:$AB$133,0),0)))</f>
        <v>Confere</v>
      </c>
      <c r="K95" s="41" t="n">
        <f aca="false">IF(IFERROR(MATCH(62,$AB$40:$AB$133,0),0)=0,"",INDEX($AD$40:$AD$133,IFERROR(MATCH(62,$AB$40:$AB$133,0),0)))</f>
        <v>4</v>
      </c>
      <c r="L95" s="42" t="str">
        <f aca="false">IF(IFERROR(MATCH(62,$AB$40:$AB$133,0),0)=0,"",INDEX($AE$40:$AE$133,IFERROR(MATCH(62,$AB$40:$AB$133,0),0))&amp;"")</f>
        <v>CA MOEDAS 2,01KG/UC 10UC/CX 30CX/PAL</v>
      </c>
      <c r="T95" s="3" t="s">
        <v>73</v>
      </c>
      <c r="U95" s="3" t="s">
        <v>4</v>
      </c>
      <c r="V95" s="3" t="n">
        <f aca="false">SUMIFS(Lançamentos!$H$2:$H$607,Lançamentos!$A$2:$A$607,"&gt;="&amp;$F$5,Lançamentos!$A$2:$A$607,"&lt;="&amp;$H$5,Lançamentos!$C$2:$C$607,$T95,Lançamentos!$D$2:$D$607,$AG95,Lançamentos!$B$2:$B$607,"Recebido no 2008")</f>
        <v>640</v>
      </c>
      <c r="W95" s="3" t="n">
        <f aca="false">SUMIFS(Lançamentos!$I$2:$I$607,Lançamentos!$A$2:$A$607,"&gt;="&amp;$F$5,Lançamentos!$A$2:$A$607,"&lt;="&amp;$H$5,Lançamentos!$C$2:$C$607,$T95,Lançamentos!$D$2:$D$607,$AG95)</f>
        <v>0</v>
      </c>
      <c r="X95" s="3" t="n">
        <f aca="false">SUMIFS(Lançamentos!$J$2:$J$607,Lançamentos!$A$2:$A$607,"&gt;="&amp;$F$5,Lançamentos!$A$2:$A$607,"&lt;="&amp;$H$5,Lançamentos!$C$2:$C$607,$T95,Lançamentos!$D$2:$D$607,$AG95)</f>
        <v>0</v>
      </c>
      <c r="Y95" s="3" t="n">
        <f aca="false">SUMIFS('Estoque físico'!$J$2:$J$229,'Estoque físico'!$A$2:$A$229,$T95,'Estoque físico'!$B$2:$B$229,$AG95)</f>
        <v>0</v>
      </c>
      <c r="Z95" s="3" t="n">
        <f aca="false">ROUND(Y95-(W95-X95),3)</f>
        <v>0</v>
      </c>
      <c r="AA95" s="3" t="n">
        <f aca="false">IF(AND(U95=$R$3,OR($R$1="*",T95=$R$1),OR($R$2="*",AG95=$R$2),ABS(V95)+ABS(W95)+ABS(X95)+ABS(Y95)&gt;0),1,0)</f>
        <v>1</v>
      </c>
      <c r="AB95" s="3" t="n">
        <f aca="false">IF(AA95=1,SUM(AA$40:AA95),"")</f>
        <v>48</v>
      </c>
      <c r="AC95" s="0" t="str">
        <f aca="false">IF(ABS(Z95)&lt;=$R$5,"Confere",IF(Z95&gt;0,"Sobrando","Faltando"))</f>
        <v>Confere</v>
      </c>
      <c r="AD95" s="3" t="n">
        <f aca="false">COUNTIFS(Lançamentos!$A$2:$A$607,"&gt;="&amp;$F$5,Lançamentos!$A$2:$A$607,"&lt;="&amp;$H$5,Lançamentos!$C$2:$C$607,$T95,Lançamentos!$D$2:$D$607,$AG95,Lançamentos!$B$2:$B$607,$R$4,Lançamentos!$G$2:$G$607,U95)</f>
        <v>1</v>
      </c>
      <c r="AF95" s="3" t="n">
        <f aca="false">IF(AND(AA95=1,AC95&lt;&gt;"Confere"),ABS(Z95)+ROW()/10000000,0)</f>
        <v>0</v>
      </c>
      <c r="AG95" s="3" t="s">
        <v>140</v>
      </c>
      <c r="AV95" s="0" t="str">
        <f aca="false">IFERROR(INDEX($AX$1:$AX$94,MATCH(94,$AY$1:$AY$94,0)),"")</f>
        <v>261080301</v>
      </c>
    </row>
    <row r="96" customFormat="false" ht="15" hidden="false" customHeight="false" outlineLevel="0" collapsed="false">
      <c r="A96" s="36" t="str">
        <f aca="false">IF(IFERROR(MATCH(63,$AB$40:$AB$133,0),0)=0,"",INDEX($T$40:$T$133,IFERROR(MATCH(63,$AB$40:$AB$133,0),0)))</f>
        <v>CW2NV-595</v>
      </c>
      <c r="B96" s="36" t="str">
        <f aca="false">IF(IFERROR(MATCH(63,$AB$40:$AB$133,0),0)=0,"",INDEX($AG$40:$AG$133,IFERROR(MATCH(63,$AB$40:$AB$133,0),0)))</f>
        <v>260850602</v>
      </c>
      <c r="C96" s="37" t="str">
        <f aca="false">IF(IFERROR(MATCH(63,$AB$40:$AB$133,0),0)=0,"",INDEX($U$40:$U$133,IFERROR(MATCH(63,$AB$40:$AB$133,0),0)))</f>
        <v>KG</v>
      </c>
      <c r="D96" s="38" t="n">
        <f aca="false">IF(IFERROR(MATCH(63,$AB$40:$AB$133,0),0)=0,"",INDEX($V$40:$V$133,IFERROR(MATCH(63,$AB$40:$AB$133,0),0)))</f>
        <v>0</v>
      </c>
      <c r="E96" s="38" t="n">
        <f aca="false">IF(IFERROR(MATCH(63,$AB$40:$AB$133,0),0)=0,"",INDEX($W$40:$W$133,IFERROR(MATCH(63,$AB$40:$AB$133,0),0)))</f>
        <v>1200</v>
      </c>
      <c r="F96" s="38" t="n">
        <f aca="false">IF(IFERROR(MATCH(63,$AB$40:$AB$133,0),0)=0,"",INDEX($X$40:$X$133,IFERROR(MATCH(63,$AB$40:$AB$133,0),0)))</f>
        <v>0</v>
      </c>
      <c r="G96" s="38" t="n">
        <f aca="false">IF(A96="","",E96-F96)</f>
        <v>1200</v>
      </c>
      <c r="H96" s="38" t="n">
        <f aca="false">IF(IFERROR(MATCH(63,$AB$40:$AB$133,0),0)=0,"",INDEX($Y$40:$Y$133,IFERROR(MATCH(63,$AB$40:$AB$133,0),0)))</f>
        <v>1200</v>
      </c>
      <c r="I96" s="39" t="n">
        <f aca="false">IF(IFERROR(MATCH(63,$AB$40:$AB$133,0),0)=0,"",INDEX($Z$40:$Z$133,IFERROR(MATCH(63,$AB$40:$AB$133,0),0)))</f>
        <v>0</v>
      </c>
      <c r="J96" s="40" t="str">
        <f aca="false">IF(IFERROR(MATCH(63,$AB$40:$AB$133,0),0)=0,"",INDEX($AC$40:$AC$133,IFERROR(MATCH(63,$AB$40:$AB$133,0),0)))</f>
        <v>Confere</v>
      </c>
      <c r="K96" s="41" t="n">
        <f aca="false">IF(IFERROR(MATCH(63,$AB$40:$AB$133,0),0)=0,"",INDEX($AD$40:$AD$133,IFERROR(MATCH(63,$AB$40:$AB$133,0),0)))</f>
        <v>1</v>
      </c>
      <c r="L96" s="42" t="str">
        <f aca="false">IF(IFERROR(MATCH(63,$AB$40:$AB$133,0),0)=0,"",INDEX($AE$40:$AE$133,IFERROR(MATCH(63,$AB$40:$AB$133,0),0))&amp;"")</f>
        <v/>
      </c>
      <c r="T96" s="3" t="s">
        <v>79</v>
      </c>
      <c r="U96" s="3" t="s">
        <v>4</v>
      </c>
      <c r="V96" s="3" t="n">
        <f aca="false">SUMIFS(Lançamentos!$H$2:$H$607,Lançamentos!$A$2:$A$607,"&gt;="&amp;$F$5,Lançamentos!$A$2:$A$607,"&lt;="&amp;$H$5,Lançamentos!$C$2:$C$607,$T96,Lançamentos!$D$2:$D$607,$AG96,Lançamentos!$B$2:$B$607,"Recebido no 2008")</f>
        <v>384</v>
      </c>
      <c r="W96" s="3" t="n">
        <f aca="false">SUMIFS(Lançamentos!$I$2:$I$607,Lançamentos!$A$2:$A$607,"&gt;="&amp;$F$5,Lançamentos!$A$2:$A$607,"&lt;="&amp;$H$5,Lançamentos!$C$2:$C$607,$T96,Lançamentos!$D$2:$D$607,$AG96)</f>
        <v>0</v>
      </c>
      <c r="X96" s="3" t="n">
        <f aca="false">SUMIFS(Lançamentos!$J$2:$J$607,Lançamentos!$A$2:$A$607,"&gt;="&amp;$F$5,Lançamentos!$A$2:$A$607,"&lt;="&amp;$H$5,Lançamentos!$C$2:$C$607,$T96,Lançamentos!$D$2:$D$607,$AG96)</f>
        <v>0</v>
      </c>
      <c r="Y96" s="3" t="n">
        <f aca="false">SUMIFS('Estoque físico'!$J$2:$J$229,'Estoque físico'!$A$2:$A$229,$T96,'Estoque físico'!$B$2:$B$229,$AG96)</f>
        <v>0</v>
      </c>
      <c r="Z96" s="3" t="n">
        <f aca="false">ROUND(Y96-(W96-X96),3)</f>
        <v>0</v>
      </c>
      <c r="AA96" s="3" t="n">
        <f aca="false">IF(AND(U96=$R$3,OR($R$1="*",T96=$R$1),OR($R$2="*",AG96=$R$2),ABS(V96)+ABS(W96)+ABS(X96)+ABS(Y96)&gt;0),1,0)</f>
        <v>1</v>
      </c>
      <c r="AB96" s="3" t="n">
        <f aca="false">IF(AA96=1,SUM(AA$40:AA96),"")</f>
        <v>49</v>
      </c>
      <c r="AC96" s="0" t="str">
        <f aca="false">IF(ABS(Z96)&lt;=$R$5,"Confere",IF(Z96&gt;0,"Sobrando","Faltando"))</f>
        <v>Confere</v>
      </c>
      <c r="AD96" s="3" t="n">
        <f aca="false">COUNTIFS(Lançamentos!$A$2:$A$607,"&gt;="&amp;$F$5,Lançamentos!$A$2:$A$607,"&lt;="&amp;$H$5,Lançamentos!$C$2:$C$607,$T96,Lançamentos!$D$2:$D$607,$AG96,Lançamentos!$B$2:$B$607,$R$4,Lançamentos!$G$2:$G$607,U96)</f>
        <v>1</v>
      </c>
      <c r="AF96" s="3" t="n">
        <f aca="false">IF(AND(AA96=1,AC96&lt;&gt;"Confere"),ABS(Z96)+ROW()/10000000,0)</f>
        <v>0</v>
      </c>
      <c r="AG96" s="3" t="s">
        <v>152</v>
      </c>
    </row>
    <row r="97" customFormat="false" ht="15" hidden="false" customHeight="false" outlineLevel="0" collapsed="false">
      <c r="A97" s="36" t="str">
        <f aca="false">IF(IFERROR(MATCH(64,$AB$40:$AB$133,0),0)=0,"",INDEX($T$40:$T$133,IFERROR(MATCH(64,$AB$40:$AB$133,0),0)))</f>
        <v>CW2NV-595</v>
      </c>
      <c r="B97" s="36" t="str">
        <f aca="false">IF(IFERROR(MATCH(64,$AB$40:$AB$133,0),0)=0,"",INDEX($AG$40:$AG$133,IFERROR(MATCH(64,$AB$40:$AB$133,0),0)))</f>
        <v>261070601</v>
      </c>
      <c r="C97" s="37" t="str">
        <f aca="false">IF(IFERROR(MATCH(64,$AB$40:$AB$133,0),0)=0,"",INDEX($U$40:$U$133,IFERROR(MATCH(64,$AB$40:$AB$133,0),0)))</f>
        <v>KG</v>
      </c>
      <c r="D97" s="38" t="n">
        <f aca="false">IF(IFERROR(MATCH(64,$AB$40:$AB$133,0),0)=0,"",INDEX($V$40:$V$133,IFERROR(MATCH(64,$AB$40:$AB$133,0),0)))</f>
        <v>2400</v>
      </c>
      <c r="E97" s="38" t="n">
        <f aca="false">IF(IFERROR(MATCH(64,$AB$40:$AB$133,0),0)=0,"",INDEX($W$40:$W$133,IFERROR(MATCH(64,$AB$40:$AB$133,0),0)))</f>
        <v>0</v>
      </c>
      <c r="F97" s="38" t="n">
        <f aca="false">IF(IFERROR(MATCH(64,$AB$40:$AB$133,0),0)=0,"",INDEX($X$40:$X$133,IFERROR(MATCH(64,$AB$40:$AB$133,0),0)))</f>
        <v>0</v>
      </c>
      <c r="G97" s="38" t="n">
        <f aca="false">IF(A97="","",E97-F97)</f>
        <v>0</v>
      </c>
      <c r="H97" s="38" t="n">
        <f aca="false">IF(IFERROR(MATCH(64,$AB$40:$AB$133,0),0)=0,"",INDEX($Y$40:$Y$133,IFERROR(MATCH(64,$AB$40:$AB$133,0),0)))</f>
        <v>0</v>
      </c>
      <c r="I97" s="39" t="n">
        <f aca="false">IF(IFERROR(MATCH(64,$AB$40:$AB$133,0),0)=0,"",INDEX($Z$40:$Z$133,IFERROR(MATCH(64,$AB$40:$AB$133,0),0)))</f>
        <v>0</v>
      </c>
      <c r="J97" s="40" t="str">
        <f aca="false">IF(IFERROR(MATCH(64,$AB$40:$AB$133,0),0)=0,"",INDEX($AC$40:$AC$133,IFERROR(MATCH(64,$AB$40:$AB$133,0),0)))</f>
        <v>Confere</v>
      </c>
      <c r="K97" s="41" t="n">
        <f aca="false">IF(IFERROR(MATCH(64,$AB$40:$AB$133,0),0)=0,"",INDEX($AD$40:$AD$133,IFERROR(MATCH(64,$AB$40:$AB$133,0),0)))</f>
        <v>2</v>
      </c>
      <c r="L97" s="42" t="str">
        <f aca="false">IF(IFERROR(MATCH(64,$AB$40:$AB$133,0),0)=0,"",INDEX($AE$40:$AE$133,IFERROR(MATCH(64,$AB$40:$AB$133,0),0))&amp;"")</f>
        <v/>
      </c>
      <c r="T97" s="3" t="s">
        <v>81</v>
      </c>
      <c r="U97" s="3" t="s">
        <v>4</v>
      </c>
      <c r="V97" s="3" t="n">
        <f aca="false">SUMIFS(Lançamentos!$H$2:$H$607,Lançamentos!$A$2:$A$607,"&gt;="&amp;$F$5,Lançamentos!$A$2:$A$607,"&lt;="&amp;$H$5,Lançamentos!$C$2:$C$607,$T97,Lançamentos!$D$2:$D$607,$AG97,Lançamentos!$B$2:$B$607,"Recebido no 2008")</f>
        <v>0</v>
      </c>
      <c r="W97" s="3" t="n">
        <f aca="false">SUMIFS(Lançamentos!$I$2:$I$607,Lançamentos!$A$2:$A$607,"&gt;="&amp;$F$5,Lançamentos!$A$2:$A$607,"&lt;="&amp;$H$5,Lançamentos!$C$2:$C$607,$T97,Lançamentos!$D$2:$D$607,$AG97)</f>
        <v>288</v>
      </c>
      <c r="X97" s="3" t="n">
        <f aca="false">SUMIFS(Lançamentos!$J$2:$J$607,Lançamentos!$A$2:$A$607,"&gt;="&amp;$F$5,Lançamentos!$A$2:$A$607,"&lt;="&amp;$H$5,Lançamentos!$C$2:$C$607,$T97,Lançamentos!$D$2:$D$607,$AG97)</f>
        <v>0</v>
      </c>
      <c r="Y97" s="3" t="n">
        <f aca="false">SUMIFS('Estoque físico'!$J$2:$J$229,'Estoque físico'!$A$2:$A$229,$T97,'Estoque físico'!$B$2:$B$229,$AG97)</f>
        <v>288</v>
      </c>
      <c r="Z97" s="3" t="n">
        <f aca="false">ROUND(Y97-(W97-X97),3)</f>
        <v>0</v>
      </c>
      <c r="AA97" s="3" t="n">
        <f aca="false">IF(AND(U97=$R$3,OR($R$1="*",T97=$R$1),OR($R$2="*",AG97=$R$2),ABS(V97)+ABS(W97)+ABS(X97)+ABS(Y97)&gt;0),1,0)</f>
        <v>1</v>
      </c>
      <c r="AB97" s="3" t="n">
        <f aca="false">IF(AA97=1,SUM(AA$40:AA97),"")</f>
        <v>50</v>
      </c>
      <c r="AC97" s="0" t="str">
        <f aca="false">IF(ABS(Z97)&lt;=$R$5,"Confere",IF(Z97&gt;0,"Sobrando","Faltando"))</f>
        <v>Confere</v>
      </c>
      <c r="AD97" s="3" t="n">
        <f aca="false">COUNTIFS(Lançamentos!$A$2:$A$607,"&gt;="&amp;$F$5,Lançamentos!$A$2:$A$607,"&lt;="&amp;$H$5,Lançamentos!$C$2:$C$607,$T97,Lançamentos!$D$2:$D$607,$AG97,Lançamentos!$B$2:$B$607,$R$4,Lançamentos!$G$2:$G$607,U97)</f>
        <v>1</v>
      </c>
      <c r="AE97" s="3" t="s">
        <v>144</v>
      </c>
      <c r="AF97" s="3" t="n">
        <f aca="false">IF(AND(AA97=1,AC97&lt;&gt;"Confere"),ABS(Z97)+ROW()/10000000,0)</f>
        <v>0</v>
      </c>
      <c r="AG97" s="3" t="s">
        <v>30</v>
      </c>
    </row>
    <row r="98" customFormat="false" ht="15" hidden="false" customHeight="false" outlineLevel="0" collapsed="false">
      <c r="A98" s="36" t="str">
        <f aca="false">IF(IFERROR(MATCH(65,$AB$40:$AB$133,0),0)=0,"",INDEX($T$40:$T$133,IFERROR(MATCH(65,$AB$40:$AB$133,0),0)))</f>
        <v>DCP-10BONOI-89B</v>
      </c>
      <c r="B98" s="36" t="str">
        <f aca="false">IF(IFERROR(MATCH(65,$AB$40:$AB$133,0),0)=0,"",INDEX($AG$40:$AG$133,IFERROR(MATCH(65,$AB$40:$AB$133,0),0)))</f>
        <v>260778132</v>
      </c>
      <c r="C98" s="37" t="str">
        <f aca="false">IF(IFERROR(MATCH(65,$AB$40:$AB$133,0),0)=0,"",INDEX($U$40:$U$133,IFERROR(MATCH(65,$AB$40:$AB$133,0),0)))</f>
        <v>KG</v>
      </c>
      <c r="D98" s="38" t="n">
        <f aca="false">IF(IFERROR(MATCH(65,$AB$40:$AB$133,0),0)=0,"",INDEX($V$40:$V$133,IFERROR(MATCH(65,$AB$40:$AB$133,0),0)))</f>
        <v>864</v>
      </c>
      <c r="E98" s="38" t="n">
        <f aca="false">IF(IFERROR(MATCH(65,$AB$40:$AB$133,0),0)=0,"",INDEX($W$40:$W$133,IFERROR(MATCH(65,$AB$40:$AB$133,0),0)))</f>
        <v>864</v>
      </c>
      <c r="F98" s="38" t="n">
        <f aca="false">IF(IFERROR(MATCH(65,$AB$40:$AB$133,0),0)=0,"",INDEX($X$40:$X$133,IFERROR(MATCH(65,$AB$40:$AB$133,0),0)))</f>
        <v>306</v>
      </c>
      <c r="G98" s="38" t="n">
        <f aca="false">IF(A98="","",E98-F98)</f>
        <v>558</v>
      </c>
      <c r="H98" s="38" t="n">
        <f aca="false">IF(IFERROR(MATCH(65,$AB$40:$AB$133,0),0)=0,"",INDEX($Y$40:$Y$133,IFERROR(MATCH(65,$AB$40:$AB$133,0),0)))</f>
        <v>558</v>
      </c>
      <c r="I98" s="39" t="n">
        <f aca="false">IF(IFERROR(MATCH(65,$AB$40:$AB$133,0),0)=0,"",INDEX($Z$40:$Z$133,IFERROR(MATCH(65,$AB$40:$AB$133,0),0)))</f>
        <v>0</v>
      </c>
      <c r="J98" s="40" t="str">
        <f aca="false">IF(IFERROR(MATCH(65,$AB$40:$AB$133,0),0)=0,"",INDEX($AC$40:$AC$133,IFERROR(MATCH(65,$AB$40:$AB$133,0),0)))</f>
        <v>Confere</v>
      </c>
      <c r="K98" s="41" t="n">
        <f aca="false">IF(IFERROR(MATCH(65,$AB$40:$AB$133,0),0)=0,"",INDEX($AD$40:$AD$133,IFERROR(MATCH(65,$AB$40:$AB$133,0),0)))</f>
        <v>3</v>
      </c>
      <c r="L98" s="42" t="str">
        <f aca="false">IF(IFERROR(MATCH(65,$AB$40:$AB$133,0),0)=0,"",INDEX($AE$40:$AE$133,IFERROR(MATCH(65,$AB$40:$AB$133,0),0))&amp;"")</f>
        <v>CA BOTANICAL NOIR INTENSE 1KG/UC 6UC/BOX</v>
      </c>
      <c r="T98" s="3" t="s">
        <v>83</v>
      </c>
      <c r="U98" s="3" t="s">
        <v>4</v>
      </c>
      <c r="V98" s="3" t="n">
        <f aca="false">SUMIFS(Lançamentos!$H$2:$H$607,Lançamentos!$A$2:$A$607,"&gt;="&amp;$F$5,Lançamentos!$A$2:$A$607,"&lt;="&amp;$H$5,Lançamentos!$C$2:$C$607,$T98,Lançamentos!$D$2:$D$607,$AG98,Lançamentos!$B$2:$B$607,"Recebido no 2008")</f>
        <v>1300</v>
      </c>
      <c r="W98" s="3" t="n">
        <f aca="false">SUMIFS(Lançamentos!$I$2:$I$607,Lançamentos!$A$2:$A$607,"&gt;="&amp;$F$5,Lançamentos!$A$2:$A$607,"&lt;="&amp;$H$5,Lançamentos!$C$2:$C$607,$T98,Lançamentos!$D$2:$D$607,$AG98)</f>
        <v>0</v>
      </c>
      <c r="X98" s="3" t="n">
        <f aca="false">SUMIFS(Lançamentos!$J$2:$J$607,Lançamentos!$A$2:$A$607,"&gt;="&amp;$F$5,Lançamentos!$A$2:$A$607,"&lt;="&amp;$H$5,Lançamentos!$C$2:$C$607,$T98,Lançamentos!$D$2:$D$607,$AG98)</f>
        <v>0</v>
      </c>
      <c r="Y98" s="3" t="n">
        <f aca="false">SUMIFS('Estoque físico'!$J$2:$J$229,'Estoque físico'!$A$2:$A$229,$T98,'Estoque físico'!$B$2:$B$229,$AG98)</f>
        <v>0</v>
      </c>
      <c r="Z98" s="3" t="n">
        <f aca="false">ROUND(Y98-(W98-X98),3)</f>
        <v>0</v>
      </c>
      <c r="AA98" s="3" t="n">
        <f aca="false">IF(AND(U98=$R$3,OR($R$1="*",T98=$R$1),OR($R$2="*",AG98=$R$2),ABS(V98)+ABS(W98)+ABS(X98)+ABS(Y98)&gt;0),1,0)</f>
        <v>1</v>
      </c>
      <c r="AB98" s="3" t="n">
        <f aca="false">IF(AA98=1,SUM(AA$40:AA98),"")</f>
        <v>51</v>
      </c>
      <c r="AC98" s="0" t="str">
        <f aca="false">IF(ABS(Z98)&lt;=$R$5,"Confere",IF(Z98&gt;0,"Sobrando","Faltando"))</f>
        <v>Confere</v>
      </c>
      <c r="AD98" s="3" t="n">
        <f aca="false">COUNTIFS(Lançamentos!$A$2:$A$607,"&gt;="&amp;$F$5,Lançamentos!$A$2:$A$607,"&lt;="&amp;$H$5,Lançamentos!$C$2:$C$607,$T98,Lançamentos!$D$2:$D$607,$AG98,Lançamentos!$B$2:$B$607,$R$4,Lançamentos!$G$2:$G$607,U98)</f>
        <v>1</v>
      </c>
      <c r="AF98" s="3" t="n">
        <f aca="false">IF(AND(AA98=1,AC98&lt;&gt;"Confere"),ABS(Z98)+ROW()/10000000,0)</f>
        <v>0</v>
      </c>
      <c r="AG98" s="3" t="s">
        <v>161</v>
      </c>
    </row>
    <row r="99" customFormat="false" ht="15" hidden="false" customHeight="false" outlineLevel="0" collapsed="false">
      <c r="A99" s="36" t="str">
        <f aca="false">IF(IFERROR(MATCH(66,$AB$40:$AB$133,0),0)=0,"",INDEX($T$40:$T$133,IFERROR(MATCH(66,$AB$40:$AB$133,0),0)))</f>
        <v>DCP-20BODEC-89B</v>
      </c>
      <c r="B99" s="36" t="str">
        <f aca="false">IF(IFERROR(MATCH(66,$AB$40:$AB$133,0),0)=0,"",INDEX($AG$40:$AG$133,IFERROR(MATCH(66,$AB$40:$AB$133,0),0)))</f>
        <v>261388131</v>
      </c>
      <c r="C99" s="37" t="str">
        <f aca="false">IF(IFERROR(MATCH(66,$AB$40:$AB$133,0),0)=0,"",INDEX($U$40:$U$133,IFERROR(MATCH(66,$AB$40:$AB$133,0),0)))</f>
        <v>KG</v>
      </c>
      <c r="D99" s="38" t="n">
        <f aca="false">IF(IFERROR(MATCH(66,$AB$40:$AB$133,0),0)=0,"",INDEX($V$40:$V$133,IFERROR(MATCH(66,$AB$40:$AB$133,0),0)))</f>
        <v>432</v>
      </c>
      <c r="E99" s="38" t="n">
        <f aca="false">IF(IFERROR(MATCH(66,$AB$40:$AB$133,0),0)=0,"",INDEX($W$40:$W$133,IFERROR(MATCH(66,$AB$40:$AB$133,0),0)))</f>
        <v>0</v>
      </c>
      <c r="F99" s="38" t="n">
        <f aca="false">IF(IFERROR(MATCH(66,$AB$40:$AB$133,0),0)=0,"",INDEX($X$40:$X$133,IFERROR(MATCH(66,$AB$40:$AB$133,0),0)))</f>
        <v>0</v>
      </c>
      <c r="G99" s="38" t="n">
        <f aca="false">IF(A99="","",E99-F99)</f>
        <v>0</v>
      </c>
      <c r="H99" s="38" t="n">
        <f aca="false">IF(IFERROR(MATCH(66,$AB$40:$AB$133,0),0)=0,"",INDEX($Y$40:$Y$133,IFERROR(MATCH(66,$AB$40:$AB$133,0),0)))</f>
        <v>0</v>
      </c>
      <c r="I99" s="39" t="n">
        <f aca="false">IF(IFERROR(MATCH(66,$AB$40:$AB$133,0),0)=0,"",INDEX($Z$40:$Z$133,IFERROR(MATCH(66,$AB$40:$AB$133,0),0)))</f>
        <v>0</v>
      </c>
      <c r="J99" s="40" t="str">
        <f aca="false">IF(IFERROR(MATCH(66,$AB$40:$AB$133,0),0)=0,"",INDEX($AC$40:$AC$133,IFERROR(MATCH(66,$AB$40:$AB$133,0),0)))</f>
        <v>Confere</v>
      </c>
      <c r="K99" s="41" t="n">
        <f aca="false">IF(IFERROR(MATCH(66,$AB$40:$AB$133,0),0)=0,"",INDEX($AD$40:$AD$133,IFERROR(MATCH(66,$AB$40:$AB$133,0),0)))</f>
        <v>1</v>
      </c>
      <c r="L99" s="42" t="str">
        <f aca="false">IF(IFERROR(MATCH(66,$AB$40:$AB$133,0),0)=0,"",INDEX($AE$40:$AE$133,IFERROR(MATCH(66,$AB$40:$AB$133,0),0))&amp;"")</f>
        <v/>
      </c>
      <c r="T99" s="3" t="s">
        <v>83</v>
      </c>
      <c r="U99" s="3" t="s">
        <v>4</v>
      </c>
      <c r="V99" s="3" t="n">
        <f aca="false">SUMIFS(Lançamentos!$H$2:$H$607,Lançamentos!$A$2:$A$607,"&gt;="&amp;$F$5,Lançamentos!$A$2:$A$607,"&lt;="&amp;$H$5,Lançamentos!$C$2:$C$607,$T99,Lançamentos!$D$2:$D$607,$AG99,Lançamentos!$B$2:$B$607,"Recebido no 2008")</f>
        <v>2900</v>
      </c>
      <c r="W99" s="3" t="n">
        <f aca="false">SUMIFS(Lançamentos!$I$2:$I$607,Lançamentos!$A$2:$A$607,"&gt;="&amp;$F$5,Lançamentos!$A$2:$A$607,"&lt;="&amp;$H$5,Lançamentos!$C$2:$C$607,$T99,Lançamentos!$D$2:$D$607,$AG99)</f>
        <v>0</v>
      </c>
      <c r="X99" s="3" t="n">
        <f aca="false">SUMIFS(Lançamentos!$J$2:$J$607,Lançamentos!$A$2:$A$607,"&gt;="&amp;$F$5,Lançamentos!$A$2:$A$607,"&lt;="&amp;$H$5,Lançamentos!$C$2:$C$607,$T99,Lançamentos!$D$2:$D$607,$AG99)</f>
        <v>0</v>
      </c>
      <c r="Y99" s="3" t="n">
        <f aca="false">SUMIFS('Estoque físico'!$J$2:$J$229,'Estoque físico'!$A$2:$A$229,$T99,'Estoque físico'!$B$2:$B$229,$AG99)</f>
        <v>0</v>
      </c>
      <c r="Z99" s="3" t="n">
        <f aca="false">ROUND(Y99-(W99-X99),3)</f>
        <v>0</v>
      </c>
      <c r="AA99" s="3" t="n">
        <f aca="false">IF(AND(U99=$R$3,OR($R$1="*",T99=$R$1),OR($R$2="*",AG99=$R$2),ABS(V99)+ABS(W99)+ABS(X99)+ABS(Y99)&gt;0),1,0)</f>
        <v>1</v>
      </c>
      <c r="AB99" s="3" t="n">
        <f aca="false">IF(AA99=1,SUM(AA$40:AA99),"")</f>
        <v>52</v>
      </c>
      <c r="AC99" s="0" t="str">
        <f aca="false">IF(ABS(Z99)&lt;=$R$5,"Confere",IF(Z99&gt;0,"Sobrando","Faltando"))</f>
        <v>Confere</v>
      </c>
      <c r="AD99" s="3" t="n">
        <f aca="false">COUNTIFS(Lançamentos!$A$2:$A$607,"&gt;="&amp;$F$5,Lançamentos!$A$2:$A$607,"&lt;="&amp;$H$5,Lançamentos!$C$2:$C$607,$T99,Lançamentos!$D$2:$D$607,$AG99,Lançamentos!$B$2:$B$607,$R$4,Lançamentos!$G$2:$G$607,U99)</f>
        <v>1</v>
      </c>
      <c r="AF99" s="3" t="n">
        <f aca="false">IF(AND(AA99=1,AC99&lt;&gt;"Confere"),ABS(Z99)+ROW()/10000000,0)</f>
        <v>0</v>
      </c>
      <c r="AG99" s="3" t="s">
        <v>164</v>
      </c>
    </row>
    <row r="100" customFormat="false" ht="15" hidden="false" customHeight="false" outlineLevel="0" collapsed="false">
      <c r="A100" s="36" t="str">
        <f aca="false">IF(IFERROR(MATCH(67,$AB$40:$AB$133,0),0)=0,"",INDEX($T$40:$T$133,IFERROR(MATCH(67,$AB$40:$AB$133,0),0)))</f>
        <v>DCP-22ZEPLA-89B</v>
      </c>
      <c r="B100" s="36" t="str">
        <f aca="false">IF(IFERROR(MATCH(67,$AB$40:$AB$133,0),0)=0,"",INDEX($AG$40:$AG$133,IFERROR(MATCH(67,$AB$40:$AB$133,0),0)))</f>
        <v>260348131</v>
      </c>
      <c r="C100" s="37" t="str">
        <f aca="false">IF(IFERROR(MATCH(67,$AB$40:$AB$133,0),0)=0,"",INDEX($U$40:$U$133,IFERROR(MATCH(67,$AB$40:$AB$133,0),0)))</f>
        <v>KG</v>
      </c>
      <c r="D100" s="38" t="n">
        <f aca="false">IF(IFERROR(MATCH(67,$AB$40:$AB$133,0),0)=0,"",INDEX($V$40:$V$133,IFERROR(MATCH(67,$AB$40:$AB$133,0),0)))</f>
        <v>4296</v>
      </c>
      <c r="E100" s="38" t="n">
        <f aca="false">IF(IFERROR(MATCH(67,$AB$40:$AB$133,0),0)=0,"",INDEX($W$40:$W$133,IFERROR(MATCH(67,$AB$40:$AB$133,0),0)))</f>
        <v>0</v>
      </c>
      <c r="F100" s="38" t="n">
        <f aca="false">IF(IFERROR(MATCH(67,$AB$40:$AB$133,0),0)=0,"",INDEX($X$40:$X$133,IFERROR(MATCH(67,$AB$40:$AB$133,0),0)))</f>
        <v>0</v>
      </c>
      <c r="G100" s="38" t="n">
        <f aca="false">IF(A100="","",E100-F100)</f>
        <v>0</v>
      </c>
      <c r="H100" s="38" t="n">
        <f aca="false">IF(IFERROR(MATCH(67,$AB$40:$AB$133,0),0)=0,"",INDEX($Y$40:$Y$133,IFERROR(MATCH(67,$AB$40:$AB$133,0),0)))</f>
        <v>0</v>
      </c>
      <c r="I100" s="39" t="n">
        <f aca="false">IF(IFERROR(MATCH(67,$AB$40:$AB$133,0),0)=0,"",INDEX($Z$40:$Z$133,IFERROR(MATCH(67,$AB$40:$AB$133,0),0)))</f>
        <v>0</v>
      </c>
      <c r="J100" s="40" t="str">
        <f aca="false">IF(IFERROR(MATCH(67,$AB$40:$AB$133,0),0)=0,"",INDEX($AC$40:$AC$133,IFERROR(MATCH(67,$AB$40:$AB$133,0),0)))</f>
        <v>Confere</v>
      </c>
      <c r="K100" s="41" t="n">
        <f aca="false">IF(IFERROR(MATCH(67,$AB$40:$AB$133,0),0)=0,"",INDEX($AD$40:$AD$133,IFERROR(MATCH(67,$AB$40:$AB$133,0),0)))</f>
        <v>1</v>
      </c>
      <c r="L100" s="42" t="str">
        <f aca="false">IF(IFERROR(MATCH(67,$AB$40:$AB$133,0),0)=0,"",INDEX($AE$40:$AE$133,IFERROR(MATCH(67,$AB$40:$AB$133,0),0))&amp;"")</f>
        <v/>
      </c>
      <c r="T100" s="3" t="s">
        <v>85</v>
      </c>
      <c r="U100" s="3" t="s">
        <v>4</v>
      </c>
      <c r="V100" s="3" t="n">
        <f aca="false">SUMIFS(Lançamentos!$H$2:$H$607,Lançamentos!$A$2:$A$607,"&gt;="&amp;$F$5,Lançamentos!$A$2:$A$607,"&lt;="&amp;$H$5,Lançamentos!$C$2:$C$607,$T100,Lançamentos!$D$2:$D$607,$AG100,Lançamentos!$B$2:$B$607,"Recebido no 2008")</f>
        <v>0</v>
      </c>
      <c r="W100" s="3" t="n">
        <f aca="false">SUMIFS(Lançamentos!$I$2:$I$607,Lançamentos!$A$2:$A$607,"&gt;="&amp;$F$5,Lançamentos!$A$2:$A$607,"&lt;="&amp;$H$5,Lançamentos!$C$2:$C$607,$T100,Lançamentos!$D$2:$D$607,$AG100)</f>
        <v>108.8</v>
      </c>
      <c r="X100" s="3" t="n">
        <f aca="false">SUMIFS(Lançamentos!$J$2:$J$607,Lançamentos!$A$2:$A$607,"&gt;="&amp;$F$5,Lançamentos!$A$2:$A$607,"&lt;="&amp;$H$5,Lançamentos!$C$2:$C$607,$T100,Lançamentos!$D$2:$D$607,$AG100)</f>
        <v>0</v>
      </c>
      <c r="Y100" s="3" t="n">
        <f aca="false">SUMIFS('Estoque físico'!$J$2:$J$229,'Estoque físico'!$A$2:$A$229,$T100,'Estoque físico'!$B$2:$B$229,$AG100)</f>
        <v>108.8</v>
      </c>
      <c r="Z100" s="3" t="n">
        <f aca="false">ROUND(Y100-(W100-X100),3)</f>
        <v>0</v>
      </c>
      <c r="AA100" s="3" t="n">
        <f aca="false">IF(AND(U100=$R$3,OR($R$1="*",T100=$R$1),OR($R$2="*",AG100=$R$2),ABS(V100)+ABS(W100)+ABS(X100)+ABS(Y100)&gt;0),1,0)</f>
        <v>1</v>
      </c>
      <c r="AB100" s="3" t="n">
        <f aca="false">IF(AA100=1,SUM(AA$40:AA100),"")</f>
        <v>53</v>
      </c>
      <c r="AC100" s="0" t="str">
        <f aca="false">IF(ABS(Z100)&lt;=$R$5,"Confere",IF(Z100&gt;0,"Sobrando","Faltando"))</f>
        <v>Confere</v>
      </c>
      <c r="AD100" s="3" t="n">
        <f aca="false">COUNTIFS(Lançamentos!$A$2:$A$607,"&gt;="&amp;$F$5,Lançamentos!$A$2:$A$607,"&lt;="&amp;$H$5,Lançamentos!$C$2:$C$607,$T100,Lançamentos!$D$2:$D$607,$AG100,Lançamentos!$B$2:$B$607,$R$4,Lançamentos!$G$2:$G$607,U100)</f>
        <v>1</v>
      </c>
      <c r="AF100" s="3" t="n">
        <f aca="false">IF(AND(AA100=1,AC100&lt;&gt;"Confere"),ABS(Z100)+ROW()/10000000,0)</f>
        <v>0</v>
      </c>
      <c r="AG100" s="3" t="s">
        <v>168</v>
      </c>
    </row>
    <row r="101" customFormat="false" ht="15" hidden="false" customHeight="false" outlineLevel="0" collapsed="false">
      <c r="A101" s="36" t="str">
        <f aca="false">IF(IFERROR(MATCH(68,$AB$40:$AB$133,0),0)=0,"",INDEX($T$40:$T$133,IFERROR(MATCH(68,$AB$40:$AB$133,0),0)))</f>
        <v>DCP-22ZEPLA-89B</v>
      </c>
      <c r="B101" s="36" t="str">
        <f aca="false">IF(IFERROR(MATCH(68,$AB$40:$AB$133,0),0)=0,"",INDEX($AG$40:$AG$133,IFERROR(MATCH(68,$AB$40:$AB$133,0),0)))</f>
        <v>260358131</v>
      </c>
      <c r="C101" s="37" t="str">
        <f aca="false">IF(IFERROR(MATCH(68,$AB$40:$AB$133,0),0)=0,"",INDEX($U$40:$U$133,IFERROR(MATCH(68,$AB$40:$AB$133,0),0)))</f>
        <v>KG</v>
      </c>
      <c r="D101" s="38" t="n">
        <f aca="false">IF(IFERROR(MATCH(68,$AB$40:$AB$133,0),0)=0,"",INDEX($V$40:$V$133,IFERROR(MATCH(68,$AB$40:$AB$133,0),0)))</f>
        <v>6912</v>
      </c>
      <c r="E101" s="38" t="n">
        <f aca="false">IF(IFERROR(MATCH(68,$AB$40:$AB$133,0),0)=0,"",INDEX($W$40:$W$133,IFERROR(MATCH(68,$AB$40:$AB$133,0),0)))</f>
        <v>0</v>
      </c>
      <c r="F101" s="38" t="n">
        <f aca="false">IF(IFERROR(MATCH(68,$AB$40:$AB$133,0),0)=0,"",INDEX($X$40:$X$133,IFERROR(MATCH(68,$AB$40:$AB$133,0),0)))</f>
        <v>0</v>
      </c>
      <c r="G101" s="38" t="n">
        <f aca="false">IF(A101="","",E101-F101)</f>
        <v>0</v>
      </c>
      <c r="H101" s="38" t="n">
        <f aca="false">IF(IFERROR(MATCH(68,$AB$40:$AB$133,0),0)=0,"",INDEX($Y$40:$Y$133,IFERROR(MATCH(68,$AB$40:$AB$133,0),0)))</f>
        <v>0</v>
      </c>
      <c r="I101" s="39" t="n">
        <f aca="false">IF(IFERROR(MATCH(68,$AB$40:$AB$133,0),0)=0,"",INDEX($Z$40:$Z$133,IFERROR(MATCH(68,$AB$40:$AB$133,0),0)))</f>
        <v>0</v>
      </c>
      <c r="J101" s="40" t="str">
        <f aca="false">IF(IFERROR(MATCH(68,$AB$40:$AB$133,0),0)=0,"",INDEX($AC$40:$AC$133,IFERROR(MATCH(68,$AB$40:$AB$133,0),0)))</f>
        <v>Confere</v>
      </c>
      <c r="K101" s="41" t="n">
        <f aca="false">IF(IFERROR(MATCH(68,$AB$40:$AB$133,0),0)=0,"",INDEX($AD$40:$AD$133,IFERROR(MATCH(68,$AB$40:$AB$133,0),0)))</f>
        <v>2</v>
      </c>
      <c r="L101" s="42" t="str">
        <f aca="false">IF(IFERROR(MATCH(68,$AB$40:$AB$133,0),0)=0,"",INDEX($AE$40:$AE$133,IFERROR(MATCH(68,$AB$40:$AB$133,0),0))&amp;"")</f>
        <v/>
      </c>
      <c r="T101" s="3" t="s">
        <v>85</v>
      </c>
      <c r="U101" s="3" t="s">
        <v>4</v>
      </c>
      <c r="V101" s="3" t="n">
        <f aca="false">SUMIFS(Lançamentos!$H$2:$H$607,Lançamentos!$A$2:$A$607,"&gt;="&amp;$F$5,Lançamentos!$A$2:$A$607,"&lt;="&amp;$H$5,Lançamentos!$C$2:$C$607,$T101,Lançamentos!$D$2:$D$607,$AG101,Lançamentos!$B$2:$B$607,"Recebido no 2008")</f>
        <v>0</v>
      </c>
      <c r="W101" s="3" t="n">
        <f aca="false">SUMIFS(Lançamentos!$I$2:$I$607,Lançamentos!$A$2:$A$607,"&gt;="&amp;$F$5,Lançamentos!$A$2:$A$607,"&lt;="&amp;$H$5,Lançamentos!$C$2:$C$607,$T101,Lançamentos!$D$2:$D$607,$AG101)</f>
        <v>195.84</v>
      </c>
      <c r="X101" s="3" t="n">
        <f aca="false">SUMIFS(Lançamentos!$J$2:$J$607,Lançamentos!$A$2:$A$607,"&gt;="&amp;$F$5,Lançamentos!$A$2:$A$607,"&lt;="&amp;$H$5,Lançamentos!$C$2:$C$607,$T101,Lançamentos!$D$2:$D$607,$AG101)</f>
        <v>0</v>
      </c>
      <c r="Y101" s="3" t="n">
        <f aca="false">SUMIFS('Estoque físico'!$J$2:$J$229,'Estoque físico'!$A$2:$A$229,$T101,'Estoque físico'!$B$2:$B$229,$AG101)</f>
        <v>195.84</v>
      </c>
      <c r="Z101" s="3" t="n">
        <f aca="false">ROUND(Y101-(W101-X101),3)</f>
        <v>0</v>
      </c>
      <c r="AA101" s="3" t="n">
        <f aca="false">IF(AND(U101=$R$3,OR($R$1="*",T101=$R$1),OR($R$2="*",AG101=$R$2),ABS(V101)+ABS(W101)+ABS(X101)+ABS(Y101)&gt;0),1,0)</f>
        <v>1</v>
      </c>
      <c r="AB101" s="3" t="n">
        <f aca="false">IF(AA101=1,SUM(AA$40:AA101),"")</f>
        <v>54</v>
      </c>
      <c r="AC101" s="0" t="str">
        <f aca="false">IF(ABS(Z101)&lt;=$R$5,"Confere",IF(Z101&gt;0,"Sobrando","Faltando"))</f>
        <v>Confere</v>
      </c>
      <c r="AD101" s="3" t="n">
        <f aca="false">COUNTIFS(Lançamentos!$A$2:$A$607,"&gt;="&amp;$F$5,Lançamentos!$A$2:$A$607,"&lt;="&amp;$H$5,Lançamentos!$C$2:$C$607,$T101,Lançamentos!$D$2:$D$607,$AG101,Lançamentos!$B$2:$B$607,$R$4,Lançamentos!$G$2:$G$607,U101)</f>
        <v>1</v>
      </c>
      <c r="AF101" s="3" t="n">
        <f aca="false">IF(AND(AA101=1,AC101&lt;&gt;"Confere"),ABS(Z101)+ROW()/10000000,0)</f>
        <v>0</v>
      </c>
      <c r="AG101" s="3" t="s">
        <v>170</v>
      </c>
    </row>
    <row r="102" customFormat="false" ht="15" hidden="false" customHeight="false" outlineLevel="0" collapsed="false">
      <c r="A102" s="36" t="str">
        <f aca="false">IF(IFERROR(MATCH(69,$AB$40:$AB$133,0),0)=0,"",INDEX($T$40:$T$133,IFERROR(MATCH(69,$AB$40:$AB$133,0),0)))</f>
        <v>GIA-145</v>
      </c>
      <c r="B102" s="36" t="str">
        <f aca="false">IF(IFERROR(MATCH(69,$AB$40:$AB$133,0),0)=0,"",INDEX($AG$40:$AG$133,IFERROR(MATCH(69,$AB$40:$AB$133,0),0)))</f>
        <v>2518442009</v>
      </c>
      <c r="C102" s="37" t="str">
        <f aca="false">IF(IFERROR(MATCH(69,$AB$40:$AB$133,0),0)=0,"",INDEX($U$40:$U$133,IFERROR(MATCH(69,$AB$40:$AB$133,0),0)))</f>
        <v>KG</v>
      </c>
      <c r="D102" s="38" t="n">
        <f aca="false">IF(IFERROR(MATCH(69,$AB$40:$AB$133,0),0)=0,"",INDEX($V$40:$V$133,IFERROR(MATCH(69,$AB$40:$AB$133,0),0)))</f>
        <v>0</v>
      </c>
      <c r="E102" s="38" t="n">
        <f aca="false">IF(IFERROR(MATCH(69,$AB$40:$AB$133,0),0)=0,"",INDEX($W$40:$W$133,IFERROR(MATCH(69,$AB$40:$AB$133,0),0)))</f>
        <v>850</v>
      </c>
      <c r="F102" s="38" t="n">
        <f aca="false">IF(IFERROR(MATCH(69,$AB$40:$AB$133,0),0)=0,"",INDEX($X$40:$X$133,IFERROR(MATCH(69,$AB$40:$AB$133,0),0)))</f>
        <v>50</v>
      </c>
      <c r="G102" s="38" t="n">
        <f aca="false">IF(A102="","",E102-F102)</f>
        <v>800</v>
      </c>
      <c r="H102" s="38" t="n">
        <f aca="false">IF(IFERROR(MATCH(69,$AB$40:$AB$133,0),0)=0,"",INDEX($Y$40:$Y$133,IFERROR(MATCH(69,$AB$40:$AB$133,0),0)))</f>
        <v>800</v>
      </c>
      <c r="I102" s="39" t="n">
        <f aca="false">IF(IFERROR(MATCH(69,$AB$40:$AB$133,0),0)=0,"",INDEX($Z$40:$Z$133,IFERROR(MATCH(69,$AB$40:$AB$133,0),0)))</f>
        <v>0</v>
      </c>
      <c r="J102" s="40" t="str">
        <f aca="false">IF(IFERROR(MATCH(69,$AB$40:$AB$133,0),0)=0,"",INDEX($AC$40:$AC$133,IFERROR(MATCH(69,$AB$40:$AB$133,0),0)))</f>
        <v>Confere</v>
      </c>
      <c r="K102" s="41" t="n">
        <f aca="false">IF(IFERROR(MATCH(69,$AB$40:$AB$133,0),0)=0,"",INDEX($AD$40:$AD$133,IFERROR(MATCH(69,$AB$40:$AB$133,0),0)))</f>
        <v>3</v>
      </c>
      <c r="L102" s="42" t="str">
        <f aca="false">IF(IFERROR(MATCH(69,$AB$40:$AB$133,0),0)=0,"",INDEX($AE$40:$AE$133,IFERROR(MATCH(69,$AB$40:$AB$133,0),0))&amp;"")</f>
        <v>CA BLOCKS 5KG/UC 5UC/BOX 40BOX/PAL</v>
      </c>
      <c r="T102" s="3" t="s">
        <v>85</v>
      </c>
      <c r="U102" s="3" t="s">
        <v>4</v>
      </c>
      <c r="V102" s="3" t="n">
        <f aca="false">SUMIFS(Lançamentos!$H$2:$H$607,Lançamentos!$A$2:$A$607,"&gt;="&amp;$F$5,Lançamentos!$A$2:$A$607,"&lt;="&amp;$H$5,Lançamentos!$C$2:$C$607,$T102,Lançamentos!$D$2:$D$607,$AG102,Lançamentos!$B$2:$B$607,"Recebido no 2008")</f>
        <v>0</v>
      </c>
      <c r="W102" s="3" t="n">
        <f aca="false">SUMIFS(Lançamentos!$I$2:$I$607,Lançamentos!$A$2:$A$607,"&gt;="&amp;$F$5,Lançamentos!$A$2:$A$607,"&lt;="&amp;$H$5,Lançamentos!$C$2:$C$607,$T102,Lançamentos!$D$2:$D$607,$AG102)</f>
        <v>295.12</v>
      </c>
      <c r="X102" s="3" t="n">
        <f aca="false">SUMIFS(Lançamentos!$J$2:$J$607,Lançamentos!$A$2:$A$607,"&gt;="&amp;$F$5,Lançamentos!$A$2:$A$607,"&lt;="&amp;$H$5,Lançamentos!$C$2:$C$607,$T102,Lançamentos!$D$2:$D$607,$AG102)</f>
        <v>0</v>
      </c>
      <c r="Y102" s="3" t="n">
        <f aca="false">SUMIFS('Estoque físico'!$J$2:$J$229,'Estoque físico'!$A$2:$A$229,$T102,'Estoque físico'!$B$2:$B$229,$AG102)</f>
        <v>295.12</v>
      </c>
      <c r="Z102" s="3" t="n">
        <f aca="false">ROUND(Y102-(W102-X102),3)</f>
        <v>0</v>
      </c>
      <c r="AA102" s="3" t="n">
        <f aca="false">IF(AND(U102=$R$3,OR($R$1="*",T102=$R$1),OR($R$2="*",AG102=$R$2),ABS(V102)+ABS(W102)+ABS(X102)+ABS(Y102)&gt;0),1,0)</f>
        <v>1</v>
      </c>
      <c r="AB102" s="3" t="n">
        <f aca="false">IF(AA102=1,SUM(AA$40:AA102),"")</f>
        <v>55</v>
      </c>
      <c r="AC102" s="0" t="str">
        <f aca="false">IF(ABS(Z102)&lt;=$R$5,"Confere",IF(Z102&gt;0,"Sobrando","Faltando"))</f>
        <v>Confere</v>
      </c>
      <c r="AD102" s="3" t="n">
        <f aca="false">COUNTIFS(Lançamentos!$A$2:$A$607,"&gt;="&amp;$F$5,Lançamentos!$A$2:$A$607,"&lt;="&amp;$H$5,Lançamentos!$C$2:$C$607,$T102,Lançamentos!$D$2:$D$607,$AG102,Lançamentos!$B$2:$B$607,$R$4,Lançamentos!$G$2:$G$607,U102)</f>
        <v>1</v>
      </c>
      <c r="AF102" s="3" t="n">
        <f aca="false">IF(AND(AA102=1,AC102&lt;&gt;"Confere"),ABS(Z102)+ROW()/10000000,0)</f>
        <v>0</v>
      </c>
      <c r="AG102" s="3" t="s">
        <v>172</v>
      </c>
    </row>
    <row r="103" customFormat="false" ht="15" hidden="false" customHeight="false" outlineLevel="0" collapsed="false">
      <c r="A103" s="36" t="str">
        <f aca="false">IF(IFERROR(MATCH(70,$AB$40:$AB$133,0),0)=0,"",INDEX($T$40:$T$133,IFERROR(MATCH(70,$AB$40:$AB$133,0),0)))</f>
        <v>MALCHOC-D-123</v>
      </c>
      <c r="B103" s="36" t="str">
        <f aca="false">IF(IFERROR(MATCH(70,$AB$40:$AB$133,0),0)=0,"",INDEX($AG$40:$AG$133,IFERROR(MATCH(70,$AB$40:$AB$133,0),0)))</f>
        <v>261060203</v>
      </c>
      <c r="C103" s="37" t="str">
        <f aca="false">IF(IFERROR(MATCH(70,$AB$40:$AB$133,0),0)=0,"",INDEX($U$40:$U$133,IFERROR(MATCH(70,$AB$40:$AB$133,0),0)))</f>
        <v>KG</v>
      </c>
      <c r="D103" s="38" t="n">
        <f aca="false">IF(IFERROR(MATCH(70,$AB$40:$AB$133,0),0)=0,"",INDEX($V$40:$V$133,IFERROR(MATCH(70,$AB$40:$AB$133,0),0)))</f>
        <v>0</v>
      </c>
      <c r="E103" s="38" t="n">
        <f aca="false">IF(IFERROR(MATCH(70,$AB$40:$AB$133,0),0)=0,"",INDEX($W$40:$W$133,IFERROR(MATCH(70,$AB$40:$AB$133,0),0)))</f>
        <v>1000</v>
      </c>
      <c r="F103" s="38" t="n">
        <f aca="false">IF(IFERROR(MATCH(70,$AB$40:$AB$133,0),0)=0,"",INDEX($X$40:$X$133,IFERROR(MATCH(70,$AB$40:$AB$133,0),0)))</f>
        <v>0</v>
      </c>
      <c r="G103" s="38" t="n">
        <f aca="false">IF(A103="","",E103-F103)</f>
        <v>1000</v>
      </c>
      <c r="H103" s="38" t="n">
        <f aca="false">IF(IFERROR(MATCH(70,$AB$40:$AB$133,0),0)=0,"",INDEX($Y$40:$Y$133,IFERROR(MATCH(70,$AB$40:$AB$133,0),0)))</f>
        <v>1000</v>
      </c>
      <c r="I103" s="39" t="n">
        <f aca="false">IF(IFERROR(MATCH(70,$AB$40:$AB$133,0),0)=0,"",INDEX($Z$40:$Z$133,IFERROR(MATCH(70,$AB$40:$AB$133,0),0)))</f>
        <v>0</v>
      </c>
      <c r="J103" s="40" t="str">
        <f aca="false">IF(IFERROR(MATCH(70,$AB$40:$AB$133,0),0)=0,"",INDEX($AC$40:$AC$133,IFERROR(MATCH(70,$AB$40:$AB$133,0),0)))</f>
        <v>Confere</v>
      </c>
      <c r="K103" s="41" t="n">
        <f aca="false">IF(IFERROR(MATCH(70,$AB$40:$AB$133,0),0)=0,"",INDEX($AD$40:$AD$133,IFERROR(MATCH(70,$AB$40:$AB$133,0),0)))</f>
        <v>1</v>
      </c>
      <c r="L103" s="42" t="str">
        <f aca="false">IF(IFERROR(MATCH(70,$AB$40:$AB$133,0),0)=0,"",INDEX($AE$40:$AE$133,IFERROR(MATCH(70,$AB$40:$AB$133,0),0))&amp;"")</f>
        <v/>
      </c>
      <c r="T103" s="3" t="s">
        <v>100</v>
      </c>
      <c r="U103" s="3" t="s">
        <v>4</v>
      </c>
      <c r="V103" s="3" t="n">
        <f aca="false">SUMIFS(Lançamentos!$H$2:$H$607,Lançamentos!$A$2:$A$607,"&gt;="&amp;$F$5,Lançamentos!$A$2:$A$607,"&lt;="&amp;$H$5,Lançamentos!$C$2:$C$607,$T103,Lançamentos!$D$2:$D$607,$AG103,Lançamentos!$B$2:$B$607,"Recebido no 2008")</f>
        <v>0</v>
      </c>
      <c r="W103" s="3" t="n">
        <f aca="false">SUMIFS(Lançamentos!$I$2:$I$607,Lançamentos!$A$2:$A$607,"&gt;="&amp;$F$5,Lançamentos!$A$2:$A$607,"&lt;="&amp;$H$5,Lançamentos!$C$2:$C$607,$T103,Lançamentos!$D$2:$D$607,$AG103)</f>
        <v>432</v>
      </c>
      <c r="X103" s="3" t="n">
        <f aca="false">SUMIFS(Lançamentos!$J$2:$J$607,Lançamentos!$A$2:$A$607,"&gt;="&amp;$F$5,Lançamentos!$A$2:$A$607,"&lt;="&amp;$H$5,Lançamentos!$C$2:$C$607,$T103,Lançamentos!$D$2:$D$607,$AG103)</f>
        <v>0</v>
      </c>
      <c r="Y103" s="3" t="n">
        <f aca="false">SUMIFS('Estoque físico'!$J$2:$J$229,'Estoque físico'!$A$2:$A$229,$T103,'Estoque físico'!$B$2:$B$229,$AG103)</f>
        <v>432</v>
      </c>
      <c r="Z103" s="3" t="n">
        <f aca="false">ROUND(Y103-(W103-X103),3)</f>
        <v>0</v>
      </c>
      <c r="AA103" s="3" t="n">
        <f aca="false">IF(AND(U103=$R$3,OR($R$1="*",T103=$R$1),OR($R$2="*",AG103=$R$2),ABS(V103)+ABS(W103)+ABS(X103)+ABS(Y103)&gt;0),1,0)</f>
        <v>1</v>
      </c>
      <c r="AB103" s="3" t="n">
        <f aca="false">IF(AA103=1,SUM(AA$40:AA103),"")</f>
        <v>56</v>
      </c>
      <c r="AC103" s="0" t="str">
        <f aca="false">IF(ABS(Z103)&lt;=$R$5,"Confere",IF(Z103&gt;0,"Sobrando","Faltando"))</f>
        <v>Confere</v>
      </c>
      <c r="AD103" s="3" t="n">
        <f aca="false">COUNTIFS(Lançamentos!$A$2:$A$607,"&gt;="&amp;$F$5,Lançamentos!$A$2:$A$607,"&lt;="&amp;$H$5,Lançamentos!$C$2:$C$607,$T103,Lançamentos!$D$2:$D$607,$AG103,Lançamentos!$B$2:$B$607,$R$4,Lançamentos!$G$2:$G$607,U103)</f>
        <v>1</v>
      </c>
      <c r="AF103" s="3" t="n">
        <f aca="false">IF(AND(AA103=1,AC103&lt;&gt;"Confere"),ABS(Z103)+ROW()/10000000,0)</f>
        <v>0</v>
      </c>
      <c r="AG103" s="3" t="s">
        <v>176</v>
      </c>
    </row>
    <row r="104" customFormat="false" ht="15" hidden="false" customHeight="false" outlineLevel="0" collapsed="false">
      <c r="A104" s="36" t="str">
        <f aca="false">IF(IFERROR(MATCH(71,$AB$40:$AB$133,0),0)=0,"",INDEX($T$40:$T$133,IFERROR(MATCH(71,$AB$40:$AB$133,0),0)))</f>
        <v>PNP-T14</v>
      </c>
      <c r="B104" s="36" t="str">
        <f aca="false">IF(IFERROR(MATCH(71,$AB$40:$AB$133,0),0)=0,"",INDEX($AG$40:$AG$133,IFERROR(MATCH(71,$AB$40:$AB$133,0),0)))</f>
        <v>2608294084</v>
      </c>
      <c r="C104" s="37" t="str">
        <f aca="false">IF(IFERROR(MATCH(71,$AB$40:$AB$133,0),0)=0,"",INDEX($U$40:$U$133,IFERROR(MATCH(71,$AB$40:$AB$133,0),0)))</f>
        <v>KG</v>
      </c>
      <c r="D104" s="38" t="n">
        <f aca="false">IF(IFERROR(MATCH(71,$AB$40:$AB$133,0),0)=0,"",INDEX($V$40:$V$133,IFERROR(MATCH(71,$AB$40:$AB$133,0),0)))</f>
        <v>0</v>
      </c>
      <c r="E104" s="38" t="n">
        <f aca="false">IF(IFERROR(MATCH(71,$AB$40:$AB$133,0),0)=0,"",INDEX($W$40:$W$133,IFERROR(MATCH(71,$AB$40:$AB$133,0),0)))</f>
        <v>1000</v>
      </c>
      <c r="F104" s="38" t="n">
        <f aca="false">IF(IFERROR(MATCH(71,$AB$40:$AB$133,0),0)=0,"",INDEX($X$40:$X$133,IFERROR(MATCH(71,$AB$40:$AB$133,0),0)))</f>
        <v>1000</v>
      </c>
      <c r="G104" s="38" t="n">
        <f aca="false">IF(A104="","",E104-F104)</f>
        <v>0</v>
      </c>
      <c r="H104" s="38" t="n">
        <f aca="false">IF(IFERROR(MATCH(71,$AB$40:$AB$133,0),0)=0,"",INDEX($Y$40:$Y$133,IFERROR(MATCH(71,$AB$40:$AB$133,0),0)))</f>
        <v>0</v>
      </c>
      <c r="I104" s="39" t="n">
        <f aca="false">IF(IFERROR(MATCH(71,$AB$40:$AB$133,0),0)=0,"",INDEX($Z$40:$Z$133,IFERROR(MATCH(71,$AB$40:$AB$133,0),0)))</f>
        <v>0</v>
      </c>
      <c r="J104" s="40" t="str">
        <f aca="false">IF(IFERROR(MATCH(71,$AB$40:$AB$133,0),0)=0,"",INDEX($AC$40:$AC$133,IFERROR(MATCH(71,$AB$40:$AB$133,0),0)))</f>
        <v>Confere</v>
      </c>
      <c r="K104" s="41" t="n">
        <f aca="false">IF(IFERROR(MATCH(71,$AB$40:$AB$133,0),0)=0,"",INDEX($AD$40:$AD$133,IFERROR(MATCH(71,$AB$40:$AB$133,0),0)))</f>
        <v>3</v>
      </c>
      <c r="L104" s="42" t="str">
        <f aca="false">IF(IFERROR(MATCH(71,$AB$40:$AB$133,0),0)=0,"",INDEX($AE$40:$AE$133,IFERROR(MATCH(71,$AB$40:$AB$133,0),0))&amp;"")</f>
        <v>CA 5KG/UC 2UC/BOX 50BOX/PAL</v>
      </c>
      <c r="T104" s="3" t="s">
        <v>102</v>
      </c>
      <c r="U104" s="3" t="s">
        <v>4</v>
      </c>
      <c r="V104" s="3" t="n">
        <f aca="false">SUMIFS(Lançamentos!$H$2:$H$607,Lançamentos!$A$2:$A$607,"&gt;="&amp;$F$5,Lançamentos!$A$2:$A$607,"&lt;="&amp;$H$5,Lançamentos!$C$2:$C$607,$T104,Lançamentos!$D$2:$D$607,$AG104,Lançamentos!$B$2:$B$607,"Recebido no 2008")</f>
        <v>1200</v>
      </c>
      <c r="W104" s="3" t="n">
        <f aca="false">SUMIFS(Lançamentos!$I$2:$I$607,Lançamentos!$A$2:$A$607,"&gt;="&amp;$F$5,Lançamentos!$A$2:$A$607,"&lt;="&amp;$H$5,Lançamentos!$C$2:$C$607,$T104,Lançamentos!$D$2:$D$607,$AG104)</f>
        <v>0</v>
      </c>
      <c r="X104" s="3" t="n">
        <f aca="false">SUMIFS(Lançamentos!$J$2:$J$607,Lançamentos!$A$2:$A$607,"&gt;="&amp;$F$5,Lançamentos!$A$2:$A$607,"&lt;="&amp;$H$5,Lançamentos!$C$2:$C$607,$T104,Lançamentos!$D$2:$D$607,$AG104)</f>
        <v>0</v>
      </c>
      <c r="Y104" s="3" t="n">
        <f aca="false">SUMIFS('Estoque físico'!$J$2:$J$229,'Estoque físico'!$A$2:$A$229,$T104,'Estoque físico'!$B$2:$B$229,$AG104)</f>
        <v>0</v>
      </c>
      <c r="Z104" s="3" t="n">
        <f aca="false">ROUND(Y104-(W104-X104),3)</f>
        <v>0</v>
      </c>
      <c r="AA104" s="3" t="n">
        <f aca="false">IF(AND(U104=$R$3,OR($R$1="*",T104=$R$1),OR($R$2="*",AG104=$R$2),ABS(V104)+ABS(W104)+ABS(X104)+ABS(Y104)&gt;0),1,0)</f>
        <v>1</v>
      </c>
      <c r="AB104" s="3" t="n">
        <f aca="false">IF(AA104=1,SUM(AA$40:AA104),"")</f>
        <v>57</v>
      </c>
      <c r="AC104" s="0" t="str">
        <f aca="false">IF(ABS(Z104)&lt;=$R$5,"Confere",IF(Z104&gt;0,"Sobrando","Faltando"))</f>
        <v>Confere</v>
      </c>
      <c r="AD104" s="3" t="n">
        <f aca="false">COUNTIFS(Lançamentos!$A$2:$A$607,"&gt;="&amp;$F$5,Lançamentos!$A$2:$A$607,"&lt;="&amp;$H$5,Lançamentos!$C$2:$C$607,$T104,Lançamentos!$D$2:$D$607,$AG104,Lançamentos!$B$2:$B$607,$R$4,Lançamentos!$G$2:$G$607,U104)</f>
        <v>1</v>
      </c>
      <c r="AF104" s="3" t="n">
        <f aca="false">IF(AND(AA104=1,AC104&lt;&gt;"Confere"),ABS(Z104)+ROW()/10000000,0)</f>
        <v>0</v>
      </c>
      <c r="AG104" s="3" t="s">
        <v>179</v>
      </c>
    </row>
    <row r="105" customFormat="false" ht="15" hidden="false" customHeight="false" outlineLevel="0" collapsed="false">
      <c r="A105" s="36" t="str">
        <f aca="false">IF(IFERROR(MATCH(72,$AB$40:$AB$133,0),0)=0,"",INDEX($T$40:$T$133,IFERROR(MATCH(72,$AB$40:$AB$133,0),0)))</f>
        <v>PNP-T14</v>
      </c>
      <c r="B105" s="36" t="str">
        <f aca="false">IF(IFERROR(MATCH(72,$AB$40:$AB$133,0),0)=0,"",INDEX($AG$40:$AG$133,IFERROR(MATCH(72,$AB$40:$AB$133,0),0)))</f>
        <v>2613495951</v>
      </c>
      <c r="C105" s="37" t="str">
        <f aca="false">IF(IFERROR(MATCH(72,$AB$40:$AB$133,0),0)=0,"",INDEX($U$40:$U$133,IFERROR(MATCH(72,$AB$40:$AB$133,0),0)))</f>
        <v>KG</v>
      </c>
      <c r="D105" s="38" t="n">
        <f aca="false">IF(IFERROR(MATCH(72,$AB$40:$AB$133,0),0)=0,"",INDEX($V$40:$V$133,IFERROR(MATCH(72,$AB$40:$AB$133,0),0)))</f>
        <v>4800</v>
      </c>
      <c r="E105" s="38" t="n">
        <f aca="false">IF(IFERROR(MATCH(72,$AB$40:$AB$133,0),0)=0,"",INDEX($W$40:$W$133,IFERROR(MATCH(72,$AB$40:$AB$133,0),0)))</f>
        <v>5280</v>
      </c>
      <c r="F105" s="38" t="n">
        <f aca="false">IF(IFERROR(MATCH(72,$AB$40:$AB$133,0),0)=0,"",INDEX($X$40:$X$133,IFERROR(MATCH(72,$AB$40:$AB$133,0),0)))</f>
        <v>0</v>
      </c>
      <c r="G105" s="38" t="n">
        <f aca="false">IF(A105="","",E105-F105)</f>
        <v>5280</v>
      </c>
      <c r="H105" s="38" t="n">
        <f aca="false">IF(IFERROR(MATCH(72,$AB$40:$AB$133,0),0)=0,"",INDEX($Y$40:$Y$133,IFERROR(MATCH(72,$AB$40:$AB$133,0),0)))</f>
        <v>5280</v>
      </c>
      <c r="I105" s="39" t="n">
        <f aca="false">IF(IFERROR(MATCH(72,$AB$40:$AB$133,0),0)=0,"",INDEX($Z$40:$Z$133,IFERROR(MATCH(72,$AB$40:$AB$133,0),0)))</f>
        <v>0</v>
      </c>
      <c r="J105" s="40" t="str">
        <f aca="false">IF(IFERROR(MATCH(72,$AB$40:$AB$133,0),0)=0,"",INDEX($AC$40:$AC$133,IFERROR(MATCH(72,$AB$40:$AB$133,0),0)))</f>
        <v>Confere</v>
      </c>
      <c r="K105" s="41" t="n">
        <f aca="false">IF(IFERROR(MATCH(72,$AB$40:$AB$133,0),0)=0,"",INDEX($AD$40:$AD$133,IFERROR(MATCH(72,$AB$40:$AB$133,0),0)))</f>
        <v>14</v>
      </c>
      <c r="L105" s="42" t="str">
        <f aca="false">IF(IFERROR(MATCH(72,$AB$40:$AB$133,0),0)=0,"",INDEX($AE$40:$AE$133,IFERROR(MATCH(72,$AB$40:$AB$133,0),0))&amp;"")</f>
        <v>CA 5KG/UC 2UC/BOX 50BOX/PAL</v>
      </c>
      <c r="T105" s="3" t="s">
        <v>106</v>
      </c>
      <c r="U105" s="3" t="s">
        <v>4</v>
      </c>
      <c r="V105" s="3" t="n">
        <f aca="false">SUMIFS(Lançamentos!$H$2:$H$607,Lançamentos!$A$2:$A$607,"&gt;="&amp;$F$5,Lançamentos!$A$2:$A$607,"&lt;="&amp;$H$5,Lançamentos!$C$2:$C$607,$T105,Lançamentos!$D$2:$D$607,$AG105,Lançamentos!$B$2:$B$607,"Recebido no 2008")</f>
        <v>0</v>
      </c>
      <c r="W105" s="3" t="n">
        <f aca="false">SUMIFS(Lançamentos!$I$2:$I$607,Lançamentos!$A$2:$A$607,"&gt;="&amp;$F$5,Lançamentos!$A$2:$A$607,"&lt;="&amp;$H$5,Lançamentos!$C$2:$C$607,$T105,Lançamentos!$D$2:$D$607,$AG105)</f>
        <v>1860</v>
      </c>
      <c r="X105" s="3" t="n">
        <f aca="false">SUMIFS(Lançamentos!$J$2:$J$607,Lançamentos!$A$2:$A$607,"&gt;="&amp;$F$5,Lançamentos!$A$2:$A$607,"&lt;="&amp;$H$5,Lançamentos!$C$2:$C$607,$T105,Lançamentos!$D$2:$D$607,$AG105)</f>
        <v>770</v>
      </c>
      <c r="Y105" s="3" t="n">
        <f aca="false">SUMIFS('Estoque físico'!$J$2:$J$229,'Estoque físico'!$A$2:$A$229,$T105,'Estoque físico'!$B$2:$B$229,$AG105)</f>
        <v>1090</v>
      </c>
      <c r="Z105" s="3" t="n">
        <f aca="false">ROUND(Y105-(W105-X105),3)</f>
        <v>0</v>
      </c>
      <c r="AA105" s="3" t="n">
        <f aca="false">IF(AND(U105=$R$3,OR($R$1="*",T105=$R$1),OR($R$2="*",AG105=$R$2),ABS(V105)+ABS(W105)+ABS(X105)+ABS(Y105)&gt;0),1,0)</f>
        <v>1</v>
      </c>
      <c r="AB105" s="3" t="n">
        <f aca="false">IF(AA105=1,SUM(AA$40:AA105),"")</f>
        <v>58</v>
      </c>
      <c r="AC105" s="0" t="str">
        <f aca="false">IF(ABS(Z105)&lt;=$R$5,"Confere",IF(Z105&gt;0,"Sobrando","Faltando"))</f>
        <v>Confere</v>
      </c>
      <c r="AD105" s="3" t="n">
        <f aca="false">COUNTIFS(Lançamentos!$A$2:$A$607,"&gt;="&amp;$F$5,Lançamentos!$A$2:$A$607,"&lt;="&amp;$H$5,Lançamentos!$C$2:$C$607,$T105,Lançamentos!$D$2:$D$607,$AG105,Lançamentos!$B$2:$B$607,$R$4,Lançamentos!$G$2:$G$607,U105)</f>
        <v>33</v>
      </c>
      <c r="AE105" s="3" t="s">
        <v>222</v>
      </c>
      <c r="AF105" s="3" t="n">
        <f aca="false">IF(AND(AA105=1,AC105&lt;&gt;"Confere"),ABS(Z105)+ROW()/10000000,0)</f>
        <v>0</v>
      </c>
      <c r="AG105" s="3" t="s">
        <v>183</v>
      </c>
    </row>
    <row r="106" customFormat="false" ht="15" hidden="false" customHeight="false" outlineLevel="0" collapsed="false">
      <c r="A106" s="36" t="str">
        <f aca="false">IF(IFERROR(MATCH(73,$AB$40:$AB$133,0),0)=0,"",INDEX($T$40:$T$133,IFERROR(MATCH(73,$AB$40:$AB$133,0),0)))</f>
        <v>PRA-T14</v>
      </c>
      <c r="B106" s="36" t="str">
        <f aca="false">IF(IFERROR(MATCH(73,$AB$40:$AB$133,0),0)=0,"",INDEX($AG$40:$AG$133,IFERROR(MATCH(73,$AB$40:$AB$133,0),0)))</f>
        <v>2611295089</v>
      </c>
      <c r="C106" s="37" t="str">
        <f aca="false">IF(IFERROR(MATCH(73,$AB$40:$AB$133,0),0)=0,"",INDEX($U$40:$U$133,IFERROR(MATCH(73,$AB$40:$AB$133,0),0)))</f>
        <v>KG</v>
      </c>
      <c r="D106" s="38" t="n">
        <f aca="false">IF(IFERROR(MATCH(73,$AB$40:$AB$133,0),0)=0,"",INDEX($V$40:$V$133,IFERROR(MATCH(73,$AB$40:$AB$133,0),0)))</f>
        <v>400</v>
      </c>
      <c r="E106" s="38" t="n">
        <f aca="false">IF(IFERROR(MATCH(73,$AB$40:$AB$133,0),0)=0,"",INDEX($W$40:$W$133,IFERROR(MATCH(73,$AB$40:$AB$133,0),0)))</f>
        <v>0</v>
      </c>
      <c r="F106" s="38" t="n">
        <f aca="false">IF(IFERROR(MATCH(73,$AB$40:$AB$133,0),0)=0,"",INDEX($X$40:$X$133,IFERROR(MATCH(73,$AB$40:$AB$133,0),0)))</f>
        <v>0</v>
      </c>
      <c r="G106" s="38" t="n">
        <f aca="false">IF(A106="","",E106-F106)</f>
        <v>0</v>
      </c>
      <c r="H106" s="38" t="n">
        <f aca="false">IF(IFERROR(MATCH(73,$AB$40:$AB$133,0),0)=0,"",INDEX($Y$40:$Y$133,IFERROR(MATCH(73,$AB$40:$AB$133,0),0)))</f>
        <v>0</v>
      </c>
      <c r="I106" s="39" t="n">
        <f aca="false">IF(IFERROR(MATCH(73,$AB$40:$AB$133,0),0)=0,"",INDEX($Z$40:$Z$133,IFERROR(MATCH(73,$AB$40:$AB$133,0),0)))</f>
        <v>0</v>
      </c>
      <c r="J106" s="40" t="str">
        <f aca="false">IF(IFERROR(MATCH(73,$AB$40:$AB$133,0),0)=0,"",INDEX($AC$40:$AC$133,IFERROR(MATCH(73,$AB$40:$AB$133,0),0)))</f>
        <v>Confere</v>
      </c>
      <c r="K106" s="41" t="n">
        <f aca="false">IF(IFERROR(MATCH(73,$AB$40:$AB$133,0),0)=0,"",INDEX($AD$40:$AD$133,IFERROR(MATCH(73,$AB$40:$AB$133,0),0)))</f>
        <v>1</v>
      </c>
      <c r="L106" s="42" t="str">
        <f aca="false">IF(IFERROR(MATCH(73,$AB$40:$AB$133,0),0)=0,"",INDEX($AE$40:$AE$133,IFERROR(MATCH(73,$AB$40:$AB$133,0),0))&amp;"")</f>
        <v>CA 5KG/UC 2UC/BOX 50BOX/PAL</v>
      </c>
      <c r="T106" s="3" t="s">
        <v>106</v>
      </c>
      <c r="U106" s="3" t="s">
        <v>4</v>
      </c>
      <c r="V106" s="3" t="n">
        <f aca="false">SUMIFS(Lançamentos!$H$2:$H$607,Lançamentos!$A$2:$A$607,"&gt;="&amp;$F$5,Lançamentos!$A$2:$A$607,"&lt;="&amp;$H$5,Lançamentos!$C$2:$C$607,$T106,Lançamentos!$D$2:$D$607,$AG106,Lançamentos!$B$2:$B$607,"Recebido no 2008")</f>
        <v>840</v>
      </c>
      <c r="W106" s="3" t="n">
        <f aca="false">SUMIFS(Lançamentos!$I$2:$I$607,Lançamentos!$A$2:$A$607,"&gt;="&amp;$F$5,Lançamentos!$A$2:$A$607,"&lt;="&amp;$H$5,Lançamentos!$C$2:$C$607,$T106,Lançamentos!$D$2:$D$607,$AG106)</f>
        <v>1200</v>
      </c>
      <c r="X106" s="3" t="n">
        <f aca="false">SUMIFS(Lançamentos!$J$2:$J$607,Lançamentos!$A$2:$A$607,"&gt;="&amp;$F$5,Lançamentos!$A$2:$A$607,"&lt;="&amp;$H$5,Lançamentos!$C$2:$C$607,$T106,Lançamentos!$D$2:$D$607,$AG106)</f>
        <v>0</v>
      </c>
      <c r="Y106" s="3" t="n">
        <f aca="false">SUMIFS('Estoque físico'!$J$2:$J$229,'Estoque físico'!$A$2:$A$229,$T106,'Estoque físico'!$B$2:$B$229,$AG106)</f>
        <v>1200</v>
      </c>
      <c r="Z106" s="3" t="n">
        <f aca="false">ROUND(Y106-(W106-X106),3)</f>
        <v>0</v>
      </c>
      <c r="AA106" s="3" t="n">
        <f aca="false">IF(AND(U106=$R$3,OR($R$1="*",T106=$R$1),OR($R$2="*",AG106=$R$2),ABS(V106)+ABS(W106)+ABS(X106)+ABS(Y106)&gt;0),1,0)</f>
        <v>1</v>
      </c>
      <c r="AB106" s="3" t="n">
        <f aca="false">IF(AA106=1,SUM(AA$40:AA106),"")</f>
        <v>59</v>
      </c>
      <c r="AC106" s="0" t="str">
        <f aca="false">IF(ABS(Z106)&lt;=$R$5,"Confere",IF(Z106&gt;0,"Sobrando","Faltando"))</f>
        <v>Confere</v>
      </c>
      <c r="AD106" s="3" t="n">
        <f aca="false">COUNTIFS(Lançamentos!$A$2:$A$607,"&gt;="&amp;$F$5,Lançamentos!$A$2:$A$607,"&lt;="&amp;$H$5,Lançamentos!$C$2:$C$607,$T106,Lançamentos!$D$2:$D$607,$AG106,Lançamentos!$B$2:$B$607,$R$4,Lançamentos!$G$2:$G$607,U106)</f>
        <v>2</v>
      </c>
      <c r="AE106" s="3" t="s">
        <v>222</v>
      </c>
      <c r="AF106" s="3" t="n">
        <f aca="false">IF(AND(AA106=1,AC106&lt;&gt;"Confere"),ABS(Z106)+ROW()/10000000,0)</f>
        <v>0</v>
      </c>
      <c r="AG106" s="3" t="s">
        <v>185</v>
      </c>
    </row>
    <row r="107" customFormat="false" ht="15" hidden="false" customHeight="false" outlineLevel="0" collapsed="false">
      <c r="A107" s="36" t="str">
        <f aca="false">IF(IFERROR(MATCH(74,$AB$40:$AB$133,0),0)=0,"",INDEX($T$40:$T$133,IFERROR(MATCH(74,$AB$40:$AB$133,0),0)))</f>
        <v>PRA-T14</v>
      </c>
      <c r="B107" s="36" t="str">
        <f aca="false">IF(IFERROR(MATCH(74,$AB$40:$AB$133,0),0)=0,"",INDEX($AG$40:$AG$133,IFERROR(MATCH(74,$AB$40:$AB$133,0),0)))</f>
        <v>2611895339</v>
      </c>
      <c r="C107" s="37" t="str">
        <f aca="false">IF(IFERROR(MATCH(74,$AB$40:$AB$133,0),0)=0,"",INDEX($U$40:$U$133,IFERROR(MATCH(74,$AB$40:$AB$133,0),0)))</f>
        <v>KG</v>
      </c>
      <c r="D107" s="38" t="n">
        <f aca="false">IF(IFERROR(MATCH(74,$AB$40:$AB$133,0),0)=0,"",INDEX($V$40:$V$133,IFERROR(MATCH(74,$AB$40:$AB$133,0),0)))</f>
        <v>0</v>
      </c>
      <c r="E107" s="38" t="n">
        <f aca="false">IF(IFERROR(MATCH(74,$AB$40:$AB$133,0),0)=0,"",INDEX($W$40:$W$133,IFERROR(MATCH(74,$AB$40:$AB$133,0),0)))</f>
        <v>400</v>
      </c>
      <c r="F107" s="38" t="n">
        <f aca="false">IF(IFERROR(MATCH(74,$AB$40:$AB$133,0),0)=0,"",INDEX($X$40:$X$133,IFERROR(MATCH(74,$AB$40:$AB$133,0),0)))</f>
        <v>120</v>
      </c>
      <c r="G107" s="38" t="n">
        <f aca="false">IF(A107="","",E107-F107)</f>
        <v>280</v>
      </c>
      <c r="H107" s="38" t="n">
        <f aca="false">IF(IFERROR(MATCH(74,$AB$40:$AB$133,0),0)=0,"",INDEX($Y$40:$Y$133,IFERROR(MATCH(74,$AB$40:$AB$133,0),0)))</f>
        <v>280</v>
      </c>
      <c r="I107" s="39" t="n">
        <f aca="false">IF(IFERROR(MATCH(74,$AB$40:$AB$133,0),0)=0,"",INDEX($Z$40:$Z$133,IFERROR(MATCH(74,$AB$40:$AB$133,0),0)))</f>
        <v>0</v>
      </c>
      <c r="J107" s="40" t="str">
        <f aca="false">IF(IFERROR(MATCH(74,$AB$40:$AB$133,0),0)=0,"",INDEX($AC$40:$AC$133,IFERROR(MATCH(74,$AB$40:$AB$133,0),0)))</f>
        <v>Confere</v>
      </c>
      <c r="K107" s="41" t="n">
        <f aca="false">IF(IFERROR(MATCH(74,$AB$40:$AB$133,0),0)=0,"",INDEX($AD$40:$AD$133,IFERROR(MATCH(74,$AB$40:$AB$133,0),0)))</f>
        <v>13</v>
      </c>
      <c r="L107" s="42" t="str">
        <f aca="false">IF(IFERROR(MATCH(74,$AB$40:$AB$133,0),0)=0,"",INDEX($AE$40:$AE$133,IFERROR(MATCH(74,$AB$40:$AB$133,0),0))&amp;"")</f>
        <v>CA 5KG/UC 2UC/BOX 50BOX/PAL</v>
      </c>
      <c r="T107" s="3" t="s">
        <v>108</v>
      </c>
      <c r="U107" s="3" t="s">
        <v>4</v>
      </c>
      <c r="V107" s="3" t="n">
        <f aca="false">SUMIFS(Lançamentos!$H$2:$H$607,Lançamentos!$A$2:$A$607,"&gt;="&amp;$F$5,Lançamentos!$A$2:$A$607,"&lt;="&amp;$H$5,Lançamentos!$C$2:$C$607,$T107,Lançamentos!$D$2:$D$607,$AG107,Lançamentos!$B$2:$B$607,"Recebido no 2008")</f>
        <v>1873.2</v>
      </c>
      <c r="W107" s="3" t="n">
        <f aca="false">SUMIFS(Lançamentos!$I$2:$I$607,Lançamentos!$A$2:$A$607,"&gt;="&amp;$F$5,Lançamentos!$A$2:$A$607,"&lt;="&amp;$H$5,Lançamentos!$C$2:$C$607,$T107,Lançamentos!$D$2:$D$607,$AG107)</f>
        <v>313.6</v>
      </c>
      <c r="X107" s="3" t="n">
        <f aca="false">SUMIFS(Lançamentos!$J$2:$J$607,Lançamentos!$A$2:$A$607,"&gt;="&amp;$F$5,Lançamentos!$A$2:$A$607,"&lt;="&amp;$H$5,Lançamentos!$C$2:$C$607,$T107,Lançamentos!$D$2:$D$607,$AG107)</f>
        <v>0</v>
      </c>
      <c r="Y107" s="3" t="n">
        <f aca="false">SUMIFS('Estoque físico'!$J$2:$J$229,'Estoque físico'!$A$2:$A$229,$T107,'Estoque físico'!$B$2:$B$229,$AG107)</f>
        <v>313.6</v>
      </c>
      <c r="Z107" s="3" t="n">
        <f aca="false">ROUND(Y107-(W107-X107),3)</f>
        <v>0</v>
      </c>
      <c r="AA107" s="3" t="n">
        <f aca="false">IF(AND(U107=$R$3,OR($R$1="*",T107=$R$1),OR($R$2="*",AG107=$R$2),ABS(V107)+ABS(W107)+ABS(X107)+ABS(Y107)&gt;0),1,0)</f>
        <v>1</v>
      </c>
      <c r="AB107" s="3" t="n">
        <f aca="false">IF(AA107=1,SUM(AA$40:AA107),"")</f>
        <v>60</v>
      </c>
      <c r="AC107" s="0" t="str">
        <f aca="false">IF(ABS(Z107)&lt;=$R$5,"Confere",IF(Z107&gt;0,"Sobrando","Faltando"))</f>
        <v>Confere</v>
      </c>
      <c r="AD107" s="3" t="n">
        <f aca="false">COUNTIFS(Lançamentos!$A$2:$A$607,"&gt;="&amp;$F$5,Lançamentos!$A$2:$A$607,"&lt;="&amp;$H$5,Lançamentos!$C$2:$C$607,$T107,Lançamentos!$D$2:$D$607,$AG107,Lançamentos!$B$2:$B$607,$R$4,Lançamentos!$G$2:$G$607,U107)</f>
        <v>3</v>
      </c>
      <c r="AF107" s="3" t="n">
        <f aca="false">IF(AND(AA107=1,AC107&lt;&gt;"Confere"),ABS(Z107)+ROW()/10000000,0)</f>
        <v>0</v>
      </c>
      <c r="AG107" s="3" t="s">
        <v>188</v>
      </c>
    </row>
    <row r="108" customFormat="false" ht="15" hidden="false" customHeight="false" outlineLevel="0" collapsed="false">
      <c r="A108" s="36" t="str">
        <f aca="false">IF(IFERROR(MATCH(75,$AB$40:$AB$133,0),0)=0,"",INDEX($T$40:$T$133,IFERROR(MATCH(75,$AB$40:$AB$133,0),0)))</f>
        <v>SPLIT-4-D-413</v>
      </c>
      <c r="B108" s="36" t="str">
        <f aca="false">IF(IFERROR(MATCH(75,$AB$40:$AB$133,0),0)=0,"",INDEX($AG$40:$AG$133,IFERROR(MATCH(75,$AB$40:$AB$133,0),0)))</f>
        <v>261826201</v>
      </c>
      <c r="C108" s="37" t="str">
        <f aca="false">IF(IFERROR(MATCH(75,$AB$40:$AB$133,0),0)=0,"",INDEX($U$40:$U$133,IFERROR(MATCH(75,$AB$40:$AB$133,0),0)))</f>
        <v>KG</v>
      </c>
      <c r="D108" s="38" t="n">
        <f aca="false">IF(IFERROR(MATCH(75,$AB$40:$AB$133,0),0)=0,"",INDEX($V$40:$V$133,IFERROR(MATCH(75,$AB$40:$AB$133,0),0)))</f>
        <v>1920</v>
      </c>
      <c r="E108" s="38" t="n">
        <f aca="false">IF(IFERROR(MATCH(75,$AB$40:$AB$133,0),0)=0,"",INDEX($W$40:$W$133,IFERROR(MATCH(75,$AB$40:$AB$133,0),0)))</f>
        <v>0</v>
      </c>
      <c r="F108" s="38" t="n">
        <f aca="false">IF(IFERROR(MATCH(75,$AB$40:$AB$133,0),0)=0,"",INDEX($X$40:$X$133,IFERROR(MATCH(75,$AB$40:$AB$133,0),0)))</f>
        <v>0</v>
      </c>
      <c r="G108" s="38" t="n">
        <f aca="false">IF(A108="","",E108-F108)</f>
        <v>0</v>
      </c>
      <c r="H108" s="38" t="n">
        <f aca="false">IF(IFERROR(MATCH(75,$AB$40:$AB$133,0),0)=0,"",INDEX($Y$40:$Y$133,IFERROR(MATCH(75,$AB$40:$AB$133,0),0)))</f>
        <v>0</v>
      </c>
      <c r="I108" s="39" t="n">
        <f aca="false">IF(IFERROR(MATCH(75,$AB$40:$AB$133,0),0)=0,"",INDEX($Z$40:$Z$133,IFERROR(MATCH(75,$AB$40:$AB$133,0),0)))</f>
        <v>0</v>
      </c>
      <c r="J108" s="40" t="str">
        <f aca="false">IF(IFERROR(MATCH(75,$AB$40:$AB$133,0),0)=0,"",INDEX($AC$40:$AC$133,IFERROR(MATCH(75,$AB$40:$AB$133,0),0)))</f>
        <v>Confere</v>
      </c>
      <c r="K108" s="41" t="n">
        <f aca="false">IF(IFERROR(MATCH(75,$AB$40:$AB$133,0),0)=0,"",INDEX($AD$40:$AD$133,IFERROR(MATCH(75,$AB$40:$AB$133,0),0)))</f>
        <v>1</v>
      </c>
      <c r="L108" s="42" t="str">
        <f aca="false">IF(IFERROR(MATCH(75,$AB$40:$AB$133,0),0)=0,"",INDEX($AE$40:$AE$133,IFERROR(MATCH(75,$AB$40:$AB$133,0),0))&amp;"")</f>
        <v/>
      </c>
      <c r="T108" s="3" t="s">
        <v>110</v>
      </c>
      <c r="U108" s="3" t="s">
        <v>4</v>
      </c>
      <c r="V108" s="3" t="n">
        <f aca="false">SUMIFS(Lançamentos!$H$2:$H$607,Lançamentos!$A$2:$A$607,"&gt;="&amp;$F$5,Lançamentos!$A$2:$A$607,"&lt;="&amp;$H$5,Lançamentos!$C$2:$C$607,$T108,Lançamentos!$D$2:$D$607,$AG108,Lançamentos!$B$2:$B$607,"Recebido no 2008")</f>
        <v>0</v>
      </c>
      <c r="W108" s="3" t="n">
        <f aca="false">SUMIFS(Lançamentos!$I$2:$I$607,Lançamentos!$A$2:$A$607,"&gt;="&amp;$F$5,Lançamentos!$A$2:$A$607,"&lt;="&amp;$H$5,Lançamentos!$C$2:$C$607,$T108,Lançamentos!$D$2:$D$607,$AG108)</f>
        <v>603</v>
      </c>
      <c r="X108" s="3" t="n">
        <f aca="false">SUMIFS(Lançamentos!$J$2:$J$607,Lançamentos!$A$2:$A$607,"&gt;="&amp;$F$5,Lançamentos!$A$2:$A$607,"&lt;="&amp;$H$5,Lançamentos!$C$2:$C$607,$T108,Lançamentos!$D$2:$D$607,$AG108)</f>
        <v>0</v>
      </c>
      <c r="Y108" s="3" t="n">
        <f aca="false">SUMIFS('Estoque físico'!$J$2:$J$229,'Estoque físico'!$A$2:$A$229,$T108,'Estoque físico'!$B$2:$B$229,$AG108)</f>
        <v>603</v>
      </c>
      <c r="Z108" s="3" t="n">
        <f aca="false">ROUND(Y108-(W108-X108),3)</f>
        <v>0</v>
      </c>
      <c r="AA108" s="3" t="n">
        <f aca="false">IF(AND(U108=$R$3,OR($R$1="*",T108=$R$1),OR($R$2="*",AG108=$R$2),ABS(V108)+ABS(W108)+ABS(X108)+ABS(Y108)&gt;0),1,0)</f>
        <v>1</v>
      </c>
      <c r="AB108" s="3" t="n">
        <f aca="false">IF(AA108=1,SUM(AA$40:AA108),"")</f>
        <v>61</v>
      </c>
      <c r="AC108" s="0" t="str">
        <f aca="false">IF(ABS(Z108)&lt;=$R$5,"Confere",IF(Z108&gt;0,"Sobrando","Faltando"))</f>
        <v>Confere</v>
      </c>
      <c r="AD108" s="3" t="n">
        <f aca="false">COUNTIFS(Lançamentos!$A$2:$A$607,"&gt;="&amp;$F$5,Lançamentos!$A$2:$A$607,"&lt;="&amp;$H$5,Lançamentos!$C$2:$C$607,$T108,Lançamentos!$D$2:$D$607,$AG108,Lançamentos!$B$2:$B$607,$R$4,Lançamentos!$G$2:$G$607,U108)</f>
        <v>1</v>
      </c>
      <c r="AE108" s="3" t="s">
        <v>119</v>
      </c>
      <c r="AF108" s="3" t="n">
        <f aca="false">IF(AND(AA108=1,AC108&lt;&gt;"Confere"),ABS(Z108)+ROW()/10000000,0)</f>
        <v>0</v>
      </c>
      <c r="AG108" s="3" t="s">
        <v>192</v>
      </c>
    </row>
    <row r="109" customFormat="false" ht="15" hidden="false" customHeight="false" outlineLevel="0" collapsed="false">
      <c r="A109" s="36" t="str">
        <f aca="false">IF(IFERROR(MATCH(76,$AB$40:$AB$133,0),0)=0,"",INDEX($T$40:$T$133,IFERROR(MATCH(76,$AB$40:$AB$133,0),0)))</f>
        <v>SPLIT-4-M-413</v>
      </c>
      <c r="B109" s="36" t="str">
        <f aca="false">IF(IFERROR(MATCH(76,$AB$40:$AB$133,0),0)=0,"",INDEX($AG$40:$AG$133,IFERROR(MATCH(76,$AB$40:$AB$133,0),0)))</f>
        <v>261596201</v>
      </c>
      <c r="C109" s="37" t="str">
        <f aca="false">IF(IFERROR(MATCH(76,$AB$40:$AB$133,0),0)=0,"",INDEX($U$40:$U$133,IFERROR(MATCH(76,$AB$40:$AB$133,0),0)))</f>
        <v>KG</v>
      </c>
      <c r="D109" s="38" t="n">
        <f aca="false">IF(IFERROR(MATCH(76,$AB$40:$AB$133,0),0)=0,"",INDEX($V$40:$V$133,IFERROR(MATCH(76,$AB$40:$AB$133,0),0)))</f>
        <v>3840</v>
      </c>
      <c r="E109" s="38" t="n">
        <f aca="false">IF(IFERROR(MATCH(76,$AB$40:$AB$133,0),0)=0,"",INDEX($W$40:$W$133,IFERROR(MATCH(76,$AB$40:$AB$133,0),0)))</f>
        <v>1000</v>
      </c>
      <c r="F109" s="38" t="n">
        <f aca="false">IF(IFERROR(MATCH(76,$AB$40:$AB$133,0),0)=0,"",INDEX($X$40:$X$133,IFERROR(MATCH(76,$AB$40:$AB$133,0),0)))</f>
        <v>0</v>
      </c>
      <c r="G109" s="38" t="n">
        <f aca="false">IF(A109="","",E109-F109)</f>
        <v>1000</v>
      </c>
      <c r="H109" s="38" t="n">
        <f aca="false">IF(IFERROR(MATCH(76,$AB$40:$AB$133,0),0)=0,"",INDEX($Y$40:$Y$133,IFERROR(MATCH(76,$AB$40:$AB$133,0),0)))</f>
        <v>1000</v>
      </c>
      <c r="I109" s="39" t="n">
        <f aca="false">IF(IFERROR(MATCH(76,$AB$40:$AB$133,0),0)=0,"",INDEX($Z$40:$Z$133,IFERROR(MATCH(76,$AB$40:$AB$133,0),0)))</f>
        <v>0</v>
      </c>
      <c r="J109" s="40" t="str">
        <f aca="false">IF(IFERROR(MATCH(76,$AB$40:$AB$133,0),0)=0,"",INDEX($AC$40:$AC$133,IFERROR(MATCH(76,$AB$40:$AB$133,0),0)))</f>
        <v>Confere</v>
      </c>
      <c r="K109" s="41" t="n">
        <f aca="false">IF(IFERROR(MATCH(76,$AB$40:$AB$133,0),0)=0,"",INDEX($AD$40:$AD$133,IFERROR(MATCH(76,$AB$40:$AB$133,0),0)))</f>
        <v>2</v>
      </c>
      <c r="L109" s="42" t="str">
        <f aca="false">IF(IFERROR(MATCH(76,$AB$40:$AB$133,0),0)=0,"",INDEX($AE$40:$AE$133,IFERROR(MATCH(76,$AB$40:$AB$133,0),0))&amp;"")</f>
        <v/>
      </c>
      <c r="T109" s="3" t="s">
        <v>110</v>
      </c>
      <c r="U109" s="3" t="s">
        <v>4</v>
      </c>
      <c r="V109" s="3" t="n">
        <f aca="false">SUMIFS(Lançamentos!$H$2:$H$607,Lançamentos!$A$2:$A$607,"&gt;="&amp;$F$5,Lançamentos!$A$2:$A$607,"&lt;="&amp;$H$5,Lançamentos!$C$2:$C$607,$T109,Lançamentos!$D$2:$D$607,$AG109,Lançamentos!$B$2:$B$607,"Recebido no 2008")</f>
        <v>1166</v>
      </c>
      <c r="W109" s="3" t="n">
        <f aca="false">SUMIFS(Lançamentos!$I$2:$I$607,Lançamentos!$A$2:$A$607,"&gt;="&amp;$F$5,Lançamentos!$A$2:$A$607,"&lt;="&amp;$H$5,Lançamentos!$C$2:$C$607,$T109,Lançamentos!$D$2:$D$607,$AG109)</f>
        <v>603</v>
      </c>
      <c r="X109" s="3" t="n">
        <f aca="false">SUMIFS(Lançamentos!$J$2:$J$607,Lançamentos!$A$2:$A$607,"&gt;="&amp;$F$5,Lançamentos!$A$2:$A$607,"&lt;="&amp;$H$5,Lançamentos!$C$2:$C$607,$T109,Lançamentos!$D$2:$D$607,$AG109)</f>
        <v>422.1</v>
      </c>
      <c r="Y109" s="3" t="n">
        <f aca="false">SUMIFS('Estoque físico'!$J$2:$J$229,'Estoque físico'!$A$2:$A$229,$T109,'Estoque físico'!$B$2:$B$229,$AG109)</f>
        <v>180.9</v>
      </c>
      <c r="Z109" s="3" t="n">
        <f aca="false">ROUND(Y109-(W109-X109),3)</f>
        <v>0</v>
      </c>
      <c r="AA109" s="3" t="n">
        <f aca="false">IF(AND(U109=$R$3,OR($R$1="*",T109=$R$1),OR($R$2="*",AG109=$R$2),ABS(V109)+ABS(W109)+ABS(X109)+ABS(Y109)&gt;0),1,0)</f>
        <v>1</v>
      </c>
      <c r="AB109" s="3" t="n">
        <f aca="false">IF(AA109=1,SUM(AA$40:AA109),"")</f>
        <v>62</v>
      </c>
      <c r="AC109" s="0" t="str">
        <f aca="false">IF(ABS(Z109)&lt;=$R$5,"Confere",IF(Z109&gt;0,"Sobrando","Faltando"))</f>
        <v>Confere</v>
      </c>
      <c r="AD109" s="3" t="n">
        <f aca="false">COUNTIFS(Lançamentos!$A$2:$A$607,"&gt;="&amp;$F$5,Lançamentos!$A$2:$A$607,"&lt;="&amp;$H$5,Lançamentos!$C$2:$C$607,$T109,Lançamentos!$D$2:$D$607,$AG109,Lançamentos!$B$2:$B$607,$R$4,Lançamentos!$G$2:$G$607,U109)</f>
        <v>4</v>
      </c>
      <c r="AE109" s="3" t="s">
        <v>119</v>
      </c>
      <c r="AF109" s="3" t="n">
        <f aca="false">IF(AND(AA109=1,AC109&lt;&gt;"Confere"),ABS(Z109)+ROW()/10000000,0)</f>
        <v>0</v>
      </c>
      <c r="AG109" s="3" t="s">
        <v>193</v>
      </c>
    </row>
    <row r="110" customFormat="false" ht="15" hidden="false" customHeight="false" outlineLevel="0" collapsed="false">
      <c r="A110" s="36" t="str">
        <f aca="false">IF(IFERROR(MATCH(77,$AB$40:$AB$133,0),0)=0,"",INDEX($T$40:$T$133,IFERROR(MATCH(77,$AB$40:$AB$133,0),0)))</f>
        <v>W2-BR-D94</v>
      </c>
      <c r="B110" s="36" t="str">
        <f aca="false">IF(IFERROR(MATCH(77,$AB$40:$AB$133,0),0)=0,"",INDEX($AG$40:$AG$133,IFERROR(MATCH(77,$AB$40:$AB$133,0),0)))</f>
        <v>252232739</v>
      </c>
      <c r="C110" s="37" t="str">
        <f aca="false">IF(IFERROR(MATCH(77,$AB$40:$AB$133,0),0)=0,"",INDEX($U$40:$U$133,IFERROR(MATCH(77,$AB$40:$AB$133,0),0)))</f>
        <v>KG</v>
      </c>
      <c r="D110" s="38" t="n">
        <f aca="false">IF(IFERROR(MATCH(77,$AB$40:$AB$133,0),0)=0,"",INDEX($V$40:$V$133,IFERROR(MATCH(77,$AB$40:$AB$133,0),0)))</f>
        <v>0</v>
      </c>
      <c r="E110" s="38" t="n">
        <f aca="false">IF(IFERROR(MATCH(77,$AB$40:$AB$133,0),0)=0,"",INDEX($W$40:$W$133,IFERROR(MATCH(77,$AB$40:$AB$133,0),0)))</f>
        <v>53.2</v>
      </c>
      <c r="F110" s="38" t="n">
        <f aca="false">IF(IFERROR(MATCH(77,$AB$40:$AB$133,0),0)=0,"",INDEX($X$40:$X$133,IFERROR(MATCH(77,$AB$40:$AB$133,0),0)))</f>
        <v>19.6</v>
      </c>
      <c r="G110" s="38" t="n">
        <f aca="false">IF(A110="","",E110-F110)</f>
        <v>33.6</v>
      </c>
      <c r="H110" s="38" t="n">
        <f aca="false">IF(IFERROR(MATCH(77,$AB$40:$AB$133,0),0)=0,"",INDEX($Y$40:$Y$133,IFERROR(MATCH(77,$AB$40:$AB$133,0),0)))</f>
        <v>33.6</v>
      </c>
      <c r="I110" s="39" t="n">
        <f aca="false">IF(IFERROR(MATCH(77,$AB$40:$AB$133,0),0)=0,"",INDEX($Z$40:$Z$133,IFERROR(MATCH(77,$AB$40:$AB$133,0),0)))</f>
        <v>0</v>
      </c>
      <c r="J110" s="40" t="str">
        <f aca="false">IF(IFERROR(MATCH(77,$AB$40:$AB$133,0),0)=0,"",INDEX($AC$40:$AC$133,IFERROR(MATCH(77,$AB$40:$AB$133,0),0)))</f>
        <v>Confere</v>
      </c>
      <c r="K110" s="41" t="n">
        <f aca="false">IF(IFERROR(MATCH(77,$AB$40:$AB$133,0),0)=0,"",INDEX($AD$40:$AD$133,IFERROR(MATCH(77,$AB$40:$AB$133,0),0)))</f>
        <v>2</v>
      </c>
      <c r="L110" s="42" t="str">
        <f aca="false">IF(IFERROR(MATCH(77,$AB$40:$AB$133,0),0)=0,"",INDEX($AE$40:$AE$133,IFERROR(MATCH(77,$AB$40:$AB$133,0),0))&amp;"")</f>
        <v>CA CALLETS 0.4KG/UC 7UC/BOX 144BOX/PAL</v>
      </c>
      <c r="T110" s="3" t="s">
        <v>117</v>
      </c>
      <c r="U110" s="3" t="s">
        <v>4</v>
      </c>
      <c r="V110" s="3" t="n">
        <f aca="false">SUMIFS(Lançamentos!$H$2:$H$607,Lançamentos!$A$2:$A$607,"&gt;="&amp;$F$5,Lançamentos!$A$2:$A$607,"&lt;="&amp;$H$5,Lançamentos!$C$2:$C$607,$T110,Lançamentos!$D$2:$D$607,$AG110,Lançamentos!$B$2:$B$607,"Recebido no 2008")</f>
        <v>0</v>
      </c>
      <c r="W110" s="3" t="n">
        <f aca="false">SUMIFS(Lançamentos!$I$2:$I$607,Lançamentos!$A$2:$A$607,"&gt;="&amp;$F$5,Lançamentos!$A$2:$A$607,"&lt;="&amp;$H$5,Lançamentos!$C$2:$C$607,$T110,Lançamentos!$D$2:$D$607,$AG110)</f>
        <v>1200</v>
      </c>
      <c r="X110" s="3" t="n">
        <f aca="false">SUMIFS(Lançamentos!$J$2:$J$607,Lançamentos!$A$2:$A$607,"&gt;="&amp;$F$5,Lançamentos!$A$2:$A$607,"&lt;="&amp;$H$5,Lançamentos!$C$2:$C$607,$T110,Lançamentos!$D$2:$D$607,$AG110)</f>
        <v>0</v>
      </c>
      <c r="Y110" s="3" t="n">
        <f aca="false">SUMIFS('Estoque físico'!$J$2:$J$229,'Estoque físico'!$A$2:$A$229,$T110,'Estoque físico'!$B$2:$B$229,$AG110)</f>
        <v>1200</v>
      </c>
      <c r="Z110" s="3" t="n">
        <f aca="false">ROUND(Y110-(W110-X110),3)</f>
        <v>0</v>
      </c>
      <c r="AA110" s="3" t="n">
        <f aca="false">IF(AND(U110=$R$3,OR($R$1="*",T110=$R$1),OR($R$2="*",AG110=$R$2),ABS(V110)+ABS(W110)+ABS(X110)+ABS(Y110)&gt;0),1,0)</f>
        <v>1</v>
      </c>
      <c r="AB110" s="3" t="n">
        <f aca="false">IF(AA110=1,SUM(AA$40:AA110),"")</f>
        <v>63</v>
      </c>
      <c r="AC110" s="0" t="str">
        <f aca="false">IF(ABS(Z110)&lt;=$R$5,"Confere",IF(Z110&gt;0,"Sobrando","Faltando"))</f>
        <v>Confere</v>
      </c>
      <c r="AD110" s="3" t="n">
        <f aca="false">COUNTIFS(Lançamentos!$A$2:$A$607,"&gt;="&amp;$F$5,Lançamentos!$A$2:$A$607,"&lt;="&amp;$H$5,Lançamentos!$C$2:$C$607,$T110,Lançamentos!$D$2:$D$607,$AG110,Lançamentos!$B$2:$B$607,$R$4,Lançamentos!$G$2:$G$607,U110)</f>
        <v>1</v>
      </c>
      <c r="AF110" s="3" t="n">
        <f aca="false">IF(AND(AA110=1,AC110&lt;&gt;"Confere"),ABS(Z110)+ROW()/10000000,0)</f>
        <v>0</v>
      </c>
      <c r="AG110" s="3" t="s">
        <v>195</v>
      </c>
    </row>
    <row r="111" customFormat="false" ht="15" hidden="false" customHeight="false" outlineLevel="0" collapsed="false">
      <c r="A111" s="36" t="str">
        <f aca="false">IF(IFERROR(MATCH(78,$AB$40:$AB$133,0),0)=0,"",INDEX($T$40:$T$133,IFERROR(MATCH(78,$AB$40:$AB$133,0),0)))</f>
        <v>W2-BR-D94</v>
      </c>
      <c r="B111" s="36" t="str">
        <f aca="false">IF(IFERROR(MATCH(78,$AB$40:$AB$133,0),0)=0,"",INDEX($AG$40:$AG$133,IFERROR(MATCH(78,$AB$40:$AB$133,0),0)))</f>
        <v>260700919</v>
      </c>
      <c r="C111" s="37" t="str">
        <f aca="false">IF(IFERROR(MATCH(78,$AB$40:$AB$133,0),0)=0,"",INDEX($U$40:$U$133,IFERROR(MATCH(78,$AB$40:$AB$133,0),0)))</f>
        <v>KG</v>
      </c>
      <c r="D111" s="38" t="n">
        <f aca="false">IF(IFERROR(MATCH(78,$AB$40:$AB$133,0),0)=0,"",INDEX($V$40:$V$133,IFERROR(MATCH(78,$AB$40:$AB$133,0),0)))</f>
        <v>0</v>
      </c>
      <c r="E111" s="38" t="n">
        <f aca="false">IF(IFERROR(MATCH(78,$AB$40:$AB$133,0),0)=0,"",INDEX($W$40:$W$133,IFERROR(MATCH(78,$AB$40:$AB$133,0),0)))</f>
        <v>627.2</v>
      </c>
      <c r="F111" s="38" t="n">
        <f aca="false">IF(IFERROR(MATCH(78,$AB$40:$AB$133,0),0)=0,"",INDEX($X$40:$X$133,IFERROR(MATCH(78,$AB$40:$AB$133,0),0)))</f>
        <v>0</v>
      </c>
      <c r="G111" s="38" t="n">
        <f aca="false">IF(A111="","",E111-F111)</f>
        <v>627.2</v>
      </c>
      <c r="H111" s="38" t="n">
        <f aca="false">IF(IFERROR(MATCH(78,$AB$40:$AB$133,0),0)=0,"",INDEX($Y$40:$Y$133,IFERROR(MATCH(78,$AB$40:$AB$133,0),0)))</f>
        <v>627.2</v>
      </c>
      <c r="I111" s="39" t="n">
        <f aca="false">IF(IFERROR(MATCH(78,$AB$40:$AB$133,0),0)=0,"",INDEX($Z$40:$Z$133,IFERROR(MATCH(78,$AB$40:$AB$133,0),0)))</f>
        <v>0</v>
      </c>
      <c r="J111" s="40" t="str">
        <f aca="false">IF(IFERROR(MATCH(78,$AB$40:$AB$133,0),0)=0,"",INDEX($AC$40:$AC$133,IFERROR(MATCH(78,$AB$40:$AB$133,0),0)))</f>
        <v>Confere</v>
      </c>
      <c r="K111" s="41" t="n">
        <f aca="false">IF(IFERROR(MATCH(78,$AB$40:$AB$133,0),0)=0,"",INDEX($AD$40:$AD$133,IFERROR(MATCH(78,$AB$40:$AB$133,0),0)))</f>
        <v>1</v>
      </c>
      <c r="L111" s="42" t="str">
        <f aca="false">IF(IFERROR(MATCH(78,$AB$40:$AB$133,0),0)=0,"",INDEX($AE$40:$AE$133,IFERROR(MATCH(78,$AB$40:$AB$133,0),0))&amp;"")</f>
        <v>CA CALLETS 0.4KG/UC 7UC/BOX 144BOX/PAL</v>
      </c>
      <c r="T111" s="3" t="s">
        <v>117</v>
      </c>
      <c r="U111" s="3" t="s">
        <v>4</v>
      </c>
      <c r="V111" s="3" t="n">
        <f aca="false">SUMIFS(Lançamentos!$H$2:$H$607,Lançamentos!$A$2:$A$607,"&gt;="&amp;$F$5,Lançamentos!$A$2:$A$607,"&lt;="&amp;$H$5,Lançamentos!$C$2:$C$607,$T111,Lançamentos!$D$2:$D$607,$AG111,Lançamentos!$B$2:$B$607,"Recebido no 2008")</f>
        <v>2400</v>
      </c>
      <c r="W111" s="3" t="n">
        <f aca="false">SUMIFS(Lançamentos!$I$2:$I$607,Lançamentos!$A$2:$A$607,"&gt;="&amp;$F$5,Lançamentos!$A$2:$A$607,"&lt;="&amp;$H$5,Lançamentos!$C$2:$C$607,$T111,Lançamentos!$D$2:$D$607,$AG111)</f>
        <v>0</v>
      </c>
      <c r="X111" s="3" t="n">
        <f aca="false">SUMIFS(Lançamentos!$J$2:$J$607,Lançamentos!$A$2:$A$607,"&gt;="&amp;$F$5,Lançamentos!$A$2:$A$607,"&lt;="&amp;$H$5,Lançamentos!$C$2:$C$607,$T111,Lançamentos!$D$2:$D$607,$AG111)</f>
        <v>0</v>
      </c>
      <c r="Y111" s="3" t="n">
        <f aca="false">SUMIFS('Estoque físico'!$J$2:$J$229,'Estoque físico'!$A$2:$A$229,$T111,'Estoque físico'!$B$2:$B$229,$AG111)</f>
        <v>0</v>
      </c>
      <c r="Z111" s="3" t="n">
        <f aca="false">ROUND(Y111-(W111-X111),3)</f>
        <v>0</v>
      </c>
      <c r="AA111" s="3" t="n">
        <f aca="false">IF(AND(U111=$R$3,OR($R$1="*",T111=$R$1),OR($R$2="*",AG111=$R$2),ABS(V111)+ABS(W111)+ABS(X111)+ABS(Y111)&gt;0),1,0)</f>
        <v>1</v>
      </c>
      <c r="AB111" s="3" t="n">
        <f aca="false">IF(AA111=1,SUM(AA$40:AA111),"")</f>
        <v>64</v>
      </c>
      <c r="AC111" s="0" t="str">
        <f aca="false">IF(ABS(Z111)&lt;=$R$5,"Confere",IF(Z111&gt;0,"Sobrando","Faltando"))</f>
        <v>Confere</v>
      </c>
      <c r="AD111" s="3" t="n">
        <f aca="false">COUNTIFS(Lançamentos!$A$2:$A$607,"&gt;="&amp;$F$5,Lançamentos!$A$2:$A$607,"&lt;="&amp;$H$5,Lançamentos!$C$2:$C$607,$T111,Lançamentos!$D$2:$D$607,$AG111,Lançamentos!$B$2:$B$607,$R$4,Lançamentos!$G$2:$G$607,U111)</f>
        <v>2</v>
      </c>
      <c r="AF111" s="3" t="n">
        <f aca="false">IF(AND(AA111=1,AC111&lt;&gt;"Confere"),ABS(Z111)+ROW()/10000000,0)</f>
        <v>0</v>
      </c>
      <c r="AG111" s="3" t="s">
        <v>196</v>
      </c>
    </row>
    <row r="112" customFormat="false" ht="15" hidden="false" customHeight="false" outlineLevel="0" collapsed="false">
      <c r="A112" s="36" t="str">
        <f aca="false">IF(IFERROR(MATCH(79,$AB$40:$AB$133,0),0)=0,"",INDEX($T$40:$T$133,IFERROR(MATCH(79,$AB$40:$AB$133,0),0)))</f>
        <v>W2-BR-D94</v>
      </c>
      <c r="B112" s="36" t="str">
        <f aca="false">IF(IFERROR(MATCH(79,$AB$40:$AB$133,0),0)=0,"",INDEX($AG$40:$AG$133,IFERROR(MATCH(79,$AB$40:$AB$133,0),0)))</f>
        <v>261131599</v>
      </c>
      <c r="C112" s="37" t="str">
        <f aca="false">IF(IFERROR(MATCH(79,$AB$40:$AB$133,0),0)=0,"",INDEX($U$40:$U$133,IFERROR(MATCH(79,$AB$40:$AB$133,0),0)))</f>
        <v>KG</v>
      </c>
      <c r="D112" s="38" t="n">
        <f aca="false">IF(IFERROR(MATCH(79,$AB$40:$AB$133,0),0)=0,"",INDEX($V$40:$V$133,IFERROR(MATCH(79,$AB$40:$AB$133,0),0)))</f>
        <v>204.4</v>
      </c>
      <c r="E112" s="38" t="n">
        <f aca="false">IF(IFERROR(MATCH(79,$AB$40:$AB$133,0),0)=0,"",INDEX($W$40:$W$133,IFERROR(MATCH(79,$AB$40:$AB$133,0),0)))</f>
        <v>0</v>
      </c>
      <c r="F112" s="38" t="n">
        <f aca="false">IF(IFERROR(MATCH(79,$AB$40:$AB$133,0),0)=0,"",INDEX($X$40:$X$133,IFERROR(MATCH(79,$AB$40:$AB$133,0),0)))</f>
        <v>0</v>
      </c>
      <c r="G112" s="38" t="n">
        <f aca="false">IF(A112="","",E112-F112)</f>
        <v>0</v>
      </c>
      <c r="H112" s="38" t="n">
        <f aca="false">IF(IFERROR(MATCH(79,$AB$40:$AB$133,0),0)=0,"",INDEX($Y$40:$Y$133,IFERROR(MATCH(79,$AB$40:$AB$133,0),0)))</f>
        <v>0</v>
      </c>
      <c r="I112" s="39" t="n">
        <f aca="false">IF(IFERROR(MATCH(79,$AB$40:$AB$133,0),0)=0,"",INDEX($Z$40:$Z$133,IFERROR(MATCH(79,$AB$40:$AB$133,0),0)))</f>
        <v>0</v>
      </c>
      <c r="J112" s="40" t="str">
        <f aca="false">IF(IFERROR(MATCH(79,$AB$40:$AB$133,0),0)=0,"",INDEX($AC$40:$AC$133,IFERROR(MATCH(79,$AB$40:$AB$133,0),0)))</f>
        <v>Confere</v>
      </c>
      <c r="K112" s="41" t="n">
        <f aca="false">IF(IFERROR(MATCH(79,$AB$40:$AB$133,0),0)=0,"",INDEX($AD$40:$AD$133,IFERROR(MATCH(79,$AB$40:$AB$133,0),0)))</f>
        <v>1</v>
      </c>
      <c r="L112" s="42" t="str">
        <f aca="false">IF(IFERROR(MATCH(79,$AB$40:$AB$133,0),0)=0,"",INDEX($AE$40:$AE$133,IFERROR(MATCH(79,$AB$40:$AB$133,0),0))&amp;"")</f>
        <v>CA CALLETS 0.4KG/UC 7UC/BOX 144BOX/PAL</v>
      </c>
      <c r="T112" s="3" t="s">
        <v>122</v>
      </c>
      <c r="U112" s="3" t="s">
        <v>4</v>
      </c>
      <c r="V112" s="3" t="n">
        <f aca="false">SUMIFS(Lançamentos!$H$2:$H$607,Lançamentos!$A$2:$A$607,"&gt;="&amp;$F$5,Lançamentos!$A$2:$A$607,"&lt;="&amp;$H$5,Lançamentos!$C$2:$C$607,$T112,Lançamentos!$D$2:$D$607,$AG112,Lançamentos!$B$2:$B$607,"Recebido no 2008")</f>
        <v>864</v>
      </c>
      <c r="W112" s="3" t="n">
        <f aca="false">SUMIFS(Lançamentos!$I$2:$I$607,Lançamentos!$A$2:$A$607,"&gt;="&amp;$F$5,Lançamentos!$A$2:$A$607,"&lt;="&amp;$H$5,Lançamentos!$C$2:$C$607,$T112,Lançamentos!$D$2:$D$607,$AG112)</f>
        <v>864</v>
      </c>
      <c r="X112" s="3" t="n">
        <f aca="false">SUMIFS(Lançamentos!$J$2:$J$607,Lançamentos!$A$2:$A$607,"&gt;="&amp;$F$5,Lançamentos!$A$2:$A$607,"&lt;="&amp;$H$5,Lançamentos!$C$2:$C$607,$T112,Lançamentos!$D$2:$D$607,$AG112)</f>
        <v>306</v>
      </c>
      <c r="Y112" s="3" t="n">
        <f aca="false">SUMIFS('Estoque físico'!$J$2:$J$229,'Estoque físico'!$A$2:$A$229,$T112,'Estoque físico'!$B$2:$B$229,$AG112)</f>
        <v>558</v>
      </c>
      <c r="Z112" s="3" t="n">
        <f aca="false">ROUND(Y112-(W112-X112),3)</f>
        <v>0</v>
      </c>
      <c r="AA112" s="3" t="n">
        <f aca="false">IF(AND(U112=$R$3,OR($R$1="*",T112=$R$1),OR($R$2="*",AG112=$R$2),ABS(V112)+ABS(W112)+ABS(X112)+ABS(Y112)&gt;0),1,0)</f>
        <v>1</v>
      </c>
      <c r="AB112" s="3" t="n">
        <f aca="false">IF(AA112=1,SUM(AA$40:AA112),"")</f>
        <v>65</v>
      </c>
      <c r="AC112" s="0" t="str">
        <f aca="false">IF(ABS(Z112)&lt;=$R$5,"Confere",IF(Z112&gt;0,"Sobrando","Faltando"))</f>
        <v>Confere</v>
      </c>
      <c r="AD112" s="3" t="n">
        <f aca="false">COUNTIFS(Lançamentos!$A$2:$A$607,"&gt;="&amp;$F$5,Lançamentos!$A$2:$A$607,"&lt;="&amp;$H$5,Lançamentos!$C$2:$C$607,$T112,Lançamentos!$D$2:$D$607,$AG112,Lançamentos!$B$2:$B$607,$R$4,Lançamentos!$G$2:$G$607,U112)</f>
        <v>3</v>
      </c>
      <c r="AE112" s="3" t="s">
        <v>223</v>
      </c>
      <c r="AF112" s="3" t="n">
        <f aca="false">IF(AND(AA112=1,AC112&lt;&gt;"Confere"),ABS(Z112)+ROW()/10000000,0)</f>
        <v>0</v>
      </c>
      <c r="AG112" s="3" t="s">
        <v>197</v>
      </c>
    </row>
    <row r="113" customFormat="false" ht="15" hidden="false" customHeight="false" outlineLevel="0" collapsed="false">
      <c r="A113" s="36" t="str">
        <f aca="false">IF(IFERROR(MATCH(80,$AB$40:$AB$133,0),0)=0,"",INDEX($T$40:$T$133,IFERROR(MATCH(80,$AB$40:$AB$133,0),0)))</f>
        <v>W2-BR-D94</v>
      </c>
      <c r="B113" s="36" t="str">
        <f aca="false">IF(IFERROR(MATCH(80,$AB$40:$AB$133,0),0)=0,"",INDEX($AG$40:$AG$133,IFERROR(MATCH(80,$AB$40:$AB$133,0),0)))</f>
        <v>261181599</v>
      </c>
      <c r="C113" s="37" t="str">
        <f aca="false">IF(IFERROR(MATCH(80,$AB$40:$AB$133,0),0)=0,"",INDEX($U$40:$U$133,IFERROR(MATCH(80,$AB$40:$AB$133,0),0)))</f>
        <v>KG</v>
      </c>
      <c r="D113" s="38" t="n">
        <f aca="false">IF(IFERROR(MATCH(80,$AB$40:$AB$133,0),0)=0,"",INDEX($V$40:$V$133,IFERROR(MATCH(80,$AB$40:$AB$133,0),0)))</f>
        <v>638.4</v>
      </c>
      <c r="E113" s="38" t="n">
        <f aca="false">IF(IFERROR(MATCH(80,$AB$40:$AB$133,0),0)=0,"",INDEX($W$40:$W$133,IFERROR(MATCH(80,$AB$40:$AB$133,0),0)))</f>
        <v>0</v>
      </c>
      <c r="F113" s="38" t="n">
        <f aca="false">IF(IFERROR(MATCH(80,$AB$40:$AB$133,0),0)=0,"",INDEX($X$40:$X$133,IFERROR(MATCH(80,$AB$40:$AB$133,0),0)))</f>
        <v>0</v>
      </c>
      <c r="G113" s="38" t="n">
        <f aca="false">IF(A113="","",E113-F113)</f>
        <v>0</v>
      </c>
      <c r="H113" s="38" t="n">
        <f aca="false">IF(IFERROR(MATCH(80,$AB$40:$AB$133,0),0)=0,"",INDEX($Y$40:$Y$133,IFERROR(MATCH(80,$AB$40:$AB$133,0),0)))</f>
        <v>0</v>
      </c>
      <c r="I113" s="39" t="n">
        <f aca="false">IF(IFERROR(MATCH(80,$AB$40:$AB$133,0),0)=0,"",INDEX($Z$40:$Z$133,IFERROR(MATCH(80,$AB$40:$AB$133,0),0)))</f>
        <v>0</v>
      </c>
      <c r="J113" s="40" t="str">
        <f aca="false">IF(IFERROR(MATCH(80,$AB$40:$AB$133,0),0)=0,"",INDEX($AC$40:$AC$133,IFERROR(MATCH(80,$AB$40:$AB$133,0),0)))</f>
        <v>Confere</v>
      </c>
      <c r="K113" s="41" t="n">
        <f aca="false">IF(IFERROR(MATCH(80,$AB$40:$AB$133,0),0)=0,"",INDEX($AD$40:$AD$133,IFERROR(MATCH(80,$AB$40:$AB$133,0),0)))</f>
        <v>2</v>
      </c>
      <c r="L113" s="42" t="str">
        <f aca="false">IF(IFERROR(MATCH(80,$AB$40:$AB$133,0),0)=0,"",INDEX($AE$40:$AE$133,IFERROR(MATCH(80,$AB$40:$AB$133,0),0))&amp;"")</f>
        <v>CA CALLETS 0.4KG/UC 7UC/BOX 144BOX/PAL</v>
      </c>
      <c r="T113" s="3" t="s">
        <v>126</v>
      </c>
      <c r="U113" s="3" t="s">
        <v>4</v>
      </c>
      <c r="V113" s="3" t="n">
        <f aca="false">SUMIFS(Lançamentos!$H$2:$H$607,Lançamentos!$A$2:$A$607,"&gt;="&amp;$F$5,Lançamentos!$A$2:$A$607,"&lt;="&amp;$H$5,Lançamentos!$C$2:$C$607,$T113,Lançamentos!$D$2:$D$607,$AG113,Lançamentos!$B$2:$B$607,"Recebido no 2008")</f>
        <v>432</v>
      </c>
      <c r="W113" s="3" t="n">
        <f aca="false">SUMIFS(Lançamentos!$I$2:$I$607,Lançamentos!$A$2:$A$607,"&gt;="&amp;$F$5,Lançamentos!$A$2:$A$607,"&lt;="&amp;$H$5,Lançamentos!$C$2:$C$607,$T113,Lançamentos!$D$2:$D$607,$AG113)</f>
        <v>0</v>
      </c>
      <c r="X113" s="3" t="n">
        <f aca="false">SUMIFS(Lançamentos!$J$2:$J$607,Lançamentos!$A$2:$A$607,"&gt;="&amp;$F$5,Lançamentos!$A$2:$A$607,"&lt;="&amp;$H$5,Lançamentos!$C$2:$C$607,$T113,Lançamentos!$D$2:$D$607,$AG113)</f>
        <v>0</v>
      </c>
      <c r="Y113" s="3" t="n">
        <f aca="false">SUMIFS('Estoque físico'!$J$2:$J$229,'Estoque físico'!$A$2:$A$229,$T113,'Estoque físico'!$B$2:$B$229,$AG113)</f>
        <v>0</v>
      </c>
      <c r="Z113" s="3" t="n">
        <f aca="false">ROUND(Y113-(W113-X113),3)</f>
        <v>0</v>
      </c>
      <c r="AA113" s="3" t="n">
        <f aca="false">IF(AND(U113=$R$3,OR($R$1="*",T113=$R$1),OR($R$2="*",AG113=$R$2),ABS(V113)+ABS(W113)+ABS(X113)+ABS(Y113)&gt;0),1,0)</f>
        <v>1</v>
      </c>
      <c r="AB113" s="3" t="n">
        <f aca="false">IF(AA113=1,SUM(AA$40:AA113),"")</f>
        <v>66</v>
      </c>
      <c r="AC113" s="0" t="str">
        <f aca="false">IF(ABS(Z113)&lt;=$R$5,"Confere",IF(Z113&gt;0,"Sobrando","Faltando"))</f>
        <v>Confere</v>
      </c>
      <c r="AD113" s="3" t="n">
        <f aca="false">COUNTIFS(Lançamentos!$A$2:$A$607,"&gt;="&amp;$F$5,Lançamentos!$A$2:$A$607,"&lt;="&amp;$H$5,Lançamentos!$C$2:$C$607,$T113,Lançamentos!$D$2:$D$607,$AG113,Lançamentos!$B$2:$B$607,$R$4,Lançamentos!$G$2:$G$607,U113)</f>
        <v>1</v>
      </c>
      <c r="AF113" s="3" t="n">
        <f aca="false">IF(AND(AA113=1,AC113&lt;&gt;"Confere"),ABS(Z113)+ROW()/10000000,0)</f>
        <v>0</v>
      </c>
      <c r="AG113" s="3" t="s">
        <v>198</v>
      </c>
    </row>
    <row r="114" customFormat="false" ht="15" hidden="false" customHeight="false" outlineLevel="0" collapsed="false">
      <c r="A114" s="36" t="str">
        <f aca="false">IF(IFERROR(MATCH(81,$AB$40:$AB$133,0),0)=0,"",INDEX($T$40:$T$133,IFERROR(MATCH(81,$AB$40:$AB$133,0),0)))</f>
        <v>W2-BR-D94</v>
      </c>
      <c r="B114" s="36" t="str">
        <f aca="false">IF(IFERROR(MATCH(81,$AB$40:$AB$133,0),0)=0,"",INDEX($AG$40:$AG$133,IFERROR(MATCH(81,$AB$40:$AB$133,0),0)))</f>
        <v>261391599</v>
      </c>
      <c r="C114" s="37" t="str">
        <f aca="false">IF(IFERROR(MATCH(81,$AB$40:$AB$133,0),0)=0,"",INDEX($U$40:$U$133,IFERROR(MATCH(81,$AB$40:$AB$133,0),0)))</f>
        <v>KG</v>
      </c>
      <c r="D114" s="38" t="n">
        <f aca="false">IF(IFERROR(MATCH(81,$AB$40:$AB$133,0),0)=0,"",INDEX($V$40:$V$133,IFERROR(MATCH(81,$AB$40:$AB$133,0),0)))</f>
        <v>1979.6</v>
      </c>
      <c r="E114" s="38" t="n">
        <f aca="false">IF(IFERROR(MATCH(81,$AB$40:$AB$133,0),0)=0,"",INDEX($W$40:$W$133,IFERROR(MATCH(81,$AB$40:$AB$133,0),0)))</f>
        <v>0</v>
      </c>
      <c r="F114" s="38" t="n">
        <f aca="false">IF(IFERROR(MATCH(81,$AB$40:$AB$133,0),0)=0,"",INDEX($X$40:$X$133,IFERROR(MATCH(81,$AB$40:$AB$133,0),0)))</f>
        <v>0</v>
      </c>
      <c r="G114" s="38" t="n">
        <f aca="false">IF(A114="","",E114-F114)</f>
        <v>0</v>
      </c>
      <c r="H114" s="38" t="n">
        <f aca="false">IF(IFERROR(MATCH(81,$AB$40:$AB$133,0),0)=0,"",INDEX($Y$40:$Y$133,IFERROR(MATCH(81,$AB$40:$AB$133,0),0)))</f>
        <v>0</v>
      </c>
      <c r="I114" s="39" t="n">
        <f aca="false">IF(IFERROR(MATCH(81,$AB$40:$AB$133,0),0)=0,"",INDEX($Z$40:$Z$133,IFERROR(MATCH(81,$AB$40:$AB$133,0),0)))</f>
        <v>0</v>
      </c>
      <c r="J114" s="40" t="str">
        <f aca="false">IF(IFERROR(MATCH(81,$AB$40:$AB$133,0),0)=0,"",INDEX($AC$40:$AC$133,IFERROR(MATCH(81,$AB$40:$AB$133,0),0)))</f>
        <v>Confere</v>
      </c>
      <c r="K114" s="41" t="n">
        <f aca="false">IF(IFERROR(MATCH(81,$AB$40:$AB$133,0),0)=0,"",INDEX($AD$40:$AD$133,IFERROR(MATCH(81,$AB$40:$AB$133,0),0)))</f>
        <v>2</v>
      </c>
      <c r="L114" s="42" t="str">
        <f aca="false">IF(IFERROR(MATCH(81,$AB$40:$AB$133,0),0)=0,"",INDEX($AE$40:$AE$133,IFERROR(MATCH(81,$AB$40:$AB$133,0),0))&amp;"")</f>
        <v>CA CALLETS 0.4KG/UC 7UC/BOX 144BOX/PAL</v>
      </c>
      <c r="T114" s="3" t="s">
        <v>130</v>
      </c>
      <c r="U114" s="3" t="s">
        <v>4</v>
      </c>
      <c r="V114" s="3" t="n">
        <f aca="false">SUMIFS(Lançamentos!$H$2:$H$607,Lançamentos!$A$2:$A$607,"&gt;="&amp;$F$5,Lançamentos!$A$2:$A$607,"&lt;="&amp;$H$5,Lançamentos!$C$2:$C$607,$T114,Lançamentos!$D$2:$D$607,$AG114,Lançamentos!$B$2:$B$607,"Recebido no 2008")</f>
        <v>4296</v>
      </c>
      <c r="W114" s="3" t="n">
        <f aca="false">SUMIFS(Lançamentos!$I$2:$I$607,Lançamentos!$A$2:$A$607,"&gt;="&amp;$F$5,Lançamentos!$A$2:$A$607,"&lt;="&amp;$H$5,Lançamentos!$C$2:$C$607,$T114,Lançamentos!$D$2:$D$607,$AG114)</f>
        <v>0</v>
      </c>
      <c r="X114" s="3" t="n">
        <f aca="false">SUMIFS(Lançamentos!$J$2:$J$607,Lançamentos!$A$2:$A$607,"&gt;="&amp;$F$5,Lançamentos!$A$2:$A$607,"&lt;="&amp;$H$5,Lançamentos!$C$2:$C$607,$T114,Lançamentos!$D$2:$D$607,$AG114)</f>
        <v>0</v>
      </c>
      <c r="Y114" s="3" t="n">
        <f aca="false">SUMIFS('Estoque físico'!$J$2:$J$229,'Estoque físico'!$A$2:$A$229,$T114,'Estoque físico'!$B$2:$B$229,$AG114)</f>
        <v>0</v>
      </c>
      <c r="Z114" s="3" t="n">
        <f aca="false">ROUND(Y114-(W114-X114),3)</f>
        <v>0</v>
      </c>
      <c r="AA114" s="3" t="n">
        <f aca="false">IF(AND(U114=$R$3,OR($R$1="*",T114=$R$1),OR($R$2="*",AG114=$R$2),ABS(V114)+ABS(W114)+ABS(X114)+ABS(Y114)&gt;0),1,0)</f>
        <v>1</v>
      </c>
      <c r="AB114" s="3" t="n">
        <f aca="false">IF(AA114=1,SUM(AA$40:AA114),"")</f>
        <v>67</v>
      </c>
      <c r="AC114" s="0" t="str">
        <f aca="false">IF(ABS(Z114)&lt;=$R$5,"Confere",IF(Z114&gt;0,"Sobrando","Faltando"))</f>
        <v>Confere</v>
      </c>
      <c r="AD114" s="3" t="n">
        <f aca="false">COUNTIFS(Lançamentos!$A$2:$A$607,"&gt;="&amp;$F$5,Lançamentos!$A$2:$A$607,"&lt;="&amp;$H$5,Lançamentos!$C$2:$C$607,$T114,Lançamentos!$D$2:$D$607,$AG114,Lançamentos!$B$2:$B$607,$R$4,Lançamentos!$G$2:$G$607,U114)</f>
        <v>1</v>
      </c>
      <c r="AF114" s="3" t="n">
        <f aca="false">IF(AND(AA114=1,AC114&lt;&gt;"Confere"),ABS(Z114)+ROW()/10000000,0)</f>
        <v>0</v>
      </c>
      <c r="AG114" s="3" t="s">
        <v>200</v>
      </c>
    </row>
    <row r="115" customFormat="false" ht="15" hidden="false" customHeight="false" outlineLevel="0" collapsed="false">
      <c r="A115" s="36" t="str">
        <f aca="false">IF(IFERROR(MATCH(82,$AB$40:$AB$133,0),0)=0,"",INDEX($T$40:$T$133,IFERROR(MATCH(82,$AB$40:$AB$133,0),0)))</f>
        <v/>
      </c>
      <c r="B115" s="36" t="str">
        <f aca="false">IF(IFERROR(MATCH(82,$AB$40:$AB$133,0),0)=0,"",INDEX($AG$40:$AG$133,IFERROR(MATCH(82,$AB$40:$AB$133,0),0)))</f>
        <v/>
      </c>
      <c r="C115" s="37" t="str">
        <f aca="false">IF(IFERROR(MATCH(82,$AB$40:$AB$133,0),0)=0,"",INDEX($U$40:$U$133,IFERROR(MATCH(82,$AB$40:$AB$133,0),0)))</f>
        <v/>
      </c>
      <c r="D115" s="38" t="str">
        <f aca="false">IF(IFERROR(MATCH(82,$AB$40:$AB$133,0),0)=0,"",INDEX($V$40:$V$133,IFERROR(MATCH(82,$AB$40:$AB$133,0),0)))</f>
        <v/>
      </c>
      <c r="E115" s="38" t="str">
        <f aca="false">IF(IFERROR(MATCH(82,$AB$40:$AB$133,0),0)=0,"",INDEX($W$40:$W$133,IFERROR(MATCH(82,$AB$40:$AB$133,0),0)))</f>
        <v/>
      </c>
      <c r="F115" s="38" t="str">
        <f aca="false">IF(IFERROR(MATCH(82,$AB$40:$AB$133,0),0)=0,"",INDEX($X$40:$X$133,IFERROR(MATCH(82,$AB$40:$AB$133,0),0)))</f>
        <v/>
      </c>
      <c r="G115" s="38" t="str">
        <f aca="false">IF(A115="","",E115-F115)</f>
        <v/>
      </c>
      <c r="H115" s="38" t="str">
        <f aca="false">IF(IFERROR(MATCH(82,$AB$40:$AB$133,0),0)=0,"",INDEX($Y$40:$Y$133,IFERROR(MATCH(82,$AB$40:$AB$133,0),0)))</f>
        <v/>
      </c>
      <c r="I115" s="39" t="str">
        <f aca="false">IF(IFERROR(MATCH(82,$AB$40:$AB$133,0),0)=0,"",INDEX($Z$40:$Z$133,IFERROR(MATCH(82,$AB$40:$AB$133,0),0)))</f>
        <v/>
      </c>
      <c r="J115" s="40" t="str">
        <f aca="false">IF(IFERROR(MATCH(82,$AB$40:$AB$133,0),0)=0,"",INDEX($AC$40:$AC$133,IFERROR(MATCH(82,$AB$40:$AB$133,0),0)))</f>
        <v/>
      </c>
      <c r="K115" s="41" t="str">
        <f aca="false">IF(IFERROR(MATCH(82,$AB$40:$AB$133,0),0)=0,"",INDEX($AD$40:$AD$133,IFERROR(MATCH(82,$AB$40:$AB$133,0),0)))</f>
        <v/>
      </c>
      <c r="L115" s="42" t="str">
        <f aca="false">IF(IFERROR(MATCH(82,$AB$40:$AB$133,0),0)=0,"",INDEX($AE$40:$AE$133,IFERROR(MATCH(82,$AB$40:$AB$133,0),0))&amp;"")</f>
        <v/>
      </c>
      <c r="T115" s="3" t="s">
        <v>130</v>
      </c>
      <c r="U115" s="3" t="s">
        <v>4</v>
      </c>
      <c r="V115" s="3" t="n">
        <f aca="false">SUMIFS(Lançamentos!$H$2:$H$607,Lançamentos!$A$2:$A$607,"&gt;="&amp;$F$5,Lançamentos!$A$2:$A$607,"&lt;="&amp;$H$5,Lançamentos!$C$2:$C$607,$T115,Lançamentos!$D$2:$D$607,$AG115,Lançamentos!$B$2:$B$607,"Recebido no 2008")</f>
        <v>6912</v>
      </c>
      <c r="W115" s="3" t="n">
        <f aca="false">SUMIFS(Lançamentos!$I$2:$I$607,Lançamentos!$A$2:$A$607,"&gt;="&amp;$F$5,Lançamentos!$A$2:$A$607,"&lt;="&amp;$H$5,Lançamentos!$C$2:$C$607,$T115,Lançamentos!$D$2:$D$607,$AG115)</f>
        <v>0</v>
      </c>
      <c r="X115" s="3" t="n">
        <f aca="false">SUMIFS(Lançamentos!$J$2:$J$607,Lançamentos!$A$2:$A$607,"&gt;="&amp;$F$5,Lançamentos!$A$2:$A$607,"&lt;="&amp;$H$5,Lançamentos!$C$2:$C$607,$T115,Lançamentos!$D$2:$D$607,$AG115)</f>
        <v>0</v>
      </c>
      <c r="Y115" s="3" t="n">
        <f aca="false">SUMIFS('Estoque físico'!$J$2:$J$229,'Estoque físico'!$A$2:$A$229,$T115,'Estoque físico'!$B$2:$B$229,$AG115)</f>
        <v>0</v>
      </c>
      <c r="Z115" s="3" t="n">
        <f aca="false">ROUND(Y115-(W115-X115),3)</f>
        <v>0</v>
      </c>
      <c r="AA115" s="3" t="n">
        <f aca="false">IF(AND(U115=$R$3,OR($R$1="*",T115=$R$1),OR($R$2="*",AG115=$R$2),ABS(V115)+ABS(W115)+ABS(X115)+ABS(Y115)&gt;0),1,0)</f>
        <v>1</v>
      </c>
      <c r="AB115" s="3" t="n">
        <f aca="false">IF(AA115=1,SUM(AA$40:AA115),"")</f>
        <v>68</v>
      </c>
      <c r="AC115" s="0" t="str">
        <f aca="false">IF(ABS(Z115)&lt;=$R$5,"Confere",IF(Z115&gt;0,"Sobrando","Faltando"))</f>
        <v>Confere</v>
      </c>
      <c r="AD115" s="3" t="n">
        <f aca="false">COUNTIFS(Lançamentos!$A$2:$A$607,"&gt;="&amp;$F$5,Lançamentos!$A$2:$A$607,"&lt;="&amp;$H$5,Lançamentos!$C$2:$C$607,$T115,Lançamentos!$D$2:$D$607,$AG115,Lançamentos!$B$2:$B$607,$R$4,Lançamentos!$G$2:$G$607,U115)</f>
        <v>2</v>
      </c>
      <c r="AF115" s="3" t="n">
        <f aca="false">IF(AND(AA115=1,AC115&lt;&gt;"Confere"),ABS(Z115)+ROW()/10000000,0)</f>
        <v>0</v>
      </c>
      <c r="AG115" s="3" t="s">
        <v>201</v>
      </c>
    </row>
    <row r="116" customFormat="false" ht="15" hidden="false" customHeight="false" outlineLevel="0" collapsed="false">
      <c r="A116" s="36" t="str">
        <f aca="false">IF(IFERROR(MATCH(83,$AB$40:$AB$133,0),0)=0,"",INDEX($T$40:$T$133,IFERROR(MATCH(83,$AB$40:$AB$133,0),0)))</f>
        <v/>
      </c>
      <c r="B116" s="36" t="str">
        <f aca="false">IF(IFERROR(MATCH(83,$AB$40:$AB$133,0),0)=0,"",INDEX($AG$40:$AG$133,IFERROR(MATCH(83,$AB$40:$AB$133,0),0)))</f>
        <v/>
      </c>
      <c r="C116" s="37" t="str">
        <f aca="false">IF(IFERROR(MATCH(83,$AB$40:$AB$133,0),0)=0,"",INDEX($U$40:$U$133,IFERROR(MATCH(83,$AB$40:$AB$133,0),0)))</f>
        <v/>
      </c>
      <c r="D116" s="38" t="str">
        <f aca="false">IF(IFERROR(MATCH(83,$AB$40:$AB$133,0),0)=0,"",INDEX($V$40:$V$133,IFERROR(MATCH(83,$AB$40:$AB$133,0),0)))</f>
        <v/>
      </c>
      <c r="E116" s="38" t="str">
        <f aca="false">IF(IFERROR(MATCH(83,$AB$40:$AB$133,0),0)=0,"",INDEX($W$40:$W$133,IFERROR(MATCH(83,$AB$40:$AB$133,0),0)))</f>
        <v/>
      </c>
      <c r="F116" s="38" t="str">
        <f aca="false">IF(IFERROR(MATCH(83,$AB$40:$AB$133,0),0)=0,"",INDEX($X$40:$X$133,IFERROR(MATCH(83,$AB$40:$AB$133,0),0)))</f>
        <v/>
      </c>
      <c r="G116" s="38" t="str">
        <f aca="false">IF(A116="","",E116-F116)</f>
        <v/>
      </c>
      <c r="H116" s="38" t="str">
        <f aca="false">IF(IFERROR(MATCH(83,$AB$40:$AB$133,0),0)=0,"",INDEX($Y$40:$Y$133,IFERROR(MATCH(83,$AB$40:$AB$133,0),0)))</f>
        <v/>
      </c>
      <c r="I116" s="39" t="str">
        <f aca="false">IF(IFERROR(MATCH(83,$AB$40:$AB$133,0),0)=0,"",INDEX($Z$40:$Z$133,IFERROR(MATCH(83,$AB$40:$AB$133,0),0)))</f>
        <v/>
      </c>
      <c r="J116" s="40" t="str">
        <f aca="false">IF(IFERROR(MATCH(83,$AB$40:$AB$133,0),0)=0,"",INDEX($AC$40:$AC$133,IFERROR(MATCH(83,$AB$40:$AB$133,0),0)))</f>
        <v/>
      </c>
      <c r="K116" s="41" t="str">
        <f aca="false">IF(IFERROR(MATCH(83,$AB$40:$AB$133,0),0)=0,"",INDEX($AD$40:$AD$133,IFERROR(MATCH(83,$AB$40:$AB$133,0),0)))</f>
        <v/>
      </c>
      <c r="L116" s="42" t="str">
        <f aca="false">IF(IFERROR(MATCH(83,$AB$40:$AB$133,0),0)=0,"",INDEX($AE$40:$AE$133,IFERROR(MATCH(83,$AB$40:$AB$133,0),0))&amp;"")</f>
        <v/>
      </c>
      <c r="T116" s="3" t="s">
        <v>135</v>
      </c>
      <c r="U116" s="3" t="s">
        <v>4</v>
      </c>
      <c r="V116" s="3" t="n">
        <f aca="false">SUMIFS(Lançamentos!$H$2:$H$607,Lançamentos!$A$2:$A$607,"&gt;="&amp;$F$5,Lançamentos!$A$2:$A$607,"&lt;="&amp;$H$5,Lançamentos!$C$2:$C$607,$T116,Lançamentos!$D$2:$D$607,$AG116,Lançamentos!$B$2:$B$607,"Recebido no 2008")</f>
        <v>0</v>
      </c>
      <c r="W116" s="3" t="n">
        <f aca="false">SUMIFS(Lançamentos!$I$2:$I$607,Lançamentos!$A$2:$A$607,"&gt;="&amp;$F$5,Lançamentos!$A$2:$A$607,"&lt;="&amp;$H$5,Lançamentos!$C$2:$C$607,$T116,Lançamentos!$D$2:$D$607,$AG116)</f>
        <v>850</v>
      </c>
      <c r="X116" s="3" t="n">
        <f aca="false">SUMIFS(Lançamentos!$J$2:$J$607,Lançamentos!$A$2:$A$607,"&gt;="&amp;$F$5,Lançamentos!$A$2:$A$607,"&lt;="&amp;$H$5,Lançamentos!$C$2:$C$607,$T116,Lançamentos!$D$2:$D$607,$AG116)</f>
        <v>50</v>
      </c>
      <c r="Y116" s="3" t="n">
        <f aca="false">SUMIFS('Estoque físico'!$J$2:$J$229,'Estoque físico'!$A$2:$A$229,$T116,'Estoque físico'!$B$2:$B$229,$AG116)</f>
        <v>800</v>
      </c>
      <c r="Z116" s="3" t="n">
        <f aca="false">ROUND(Y116-(W116-X116),3)</f>
        <v>0</v>
      </c>
      <c r="AA116" s="3" t="n">
        <f aca="false">IF(AND(U116=$R$3,OR($R$1="*",T116=$R$1),OR($R$2="*",AG116=$R$2),ABS(V116)+ABS(W116)+ABS(X116)+ABS(Y116)&gt;0),1,0)</f>
        <v>1</v>
      </c>
      <c r="AB116" s="3" t="n">
        <f aca="false">IF(AA116=1,SUM(AA$40:AA116),"")</f>
        <v>69</v>
      </c>
      <c r="AC116" s="0" t="str">
        <f aca="false">IF(ABS(Z116)&lt;=$R$5,"Confere",IF(Z116&gt;0,"Sobrando","Faltando"))</f>
        <v>Confere</v>
      </c>
      <c r="AD116" s="3" t="n">
        <f aca="false">COUNTIFS(Lançamentos!$A$2:$A$607,"&gt;="&amp;$F$5,Lançamentos!$A$2:$A$607,"&lt;="&amp;$H$5,Lançamentos!$C$2:$C$607,$T116,Lançamentos!$D$2:$D$607,$AG116,Lançamentos!$B$2:$B$607,$R$4,Lançamentos!$G$2:$G$607,U116)</f>
        <v>3</v>
      </c>
      <c r="AE116" s="3" t="s">
        <v>224</v>
      </c>
      <c r="AF116" s="3" t="n">
        <f aca="false">IF(AND(AA116=1,AC116&lt;&gt;"Confere"),ABS(Z116)+ROW()/10000000,0)</f>
        <v>0</v>
      </c>
      <c r="AG116" s="3" t="s">
        <v>203</v>
      </c>
    </row>
    <row r="117" customFormat="false" ht="15" hidden="false" customHeight="false" outlineLevel="0" collapsed="false">
      <c r="A117" s="36" t="str">
        <f aca="false">IF(IFERROR(MATCH(84,$AB$40:$AB$133,0),0)=0,"",INDEX($T$40:$T$133,IFERROR(MATCH(84,$AB$40:$AB$133,0),0)))</f>
        <v/>
      </c>
      <c r="B117" s="36" t="str">
        <f aca="false">IF(IFERROR(MATCH(84,$AB$40:$AB$133,0),0)=0,"",INDEX($AG$40:$AG$133,IFERROR(MATCH(84,$AB$40:$AB$133,0),0)))</f>
        <v/>
      </c>
      <c r="C117" s="37" t="str">
        <f aca="false">IF(IFERROR(MATCH(84,$AB$40:$AB$133,0),0)=0,"",INDEX($U$40:$U$133,IFERROR(MATCH(84,$AB$40:$AB$133,0),0)))</f>
        <v/>
      </c>
      <c r="D117" s="38" t="str">
        <f aca="false">IF(IFERROR(MATCH(84,$AB$40:$AB$133,0),0)=0,"",INDEX($V$40:$V$133,IFERROR(MATCH(84,$AB$40:$AB$133,0),0)))</f>
        <v/>
      </c>
      <c r="E117" s="38" t="str">
        <f aca="false">IF(IFERROR(MATCH(84,$AB$40:$AB$133,0),0)=0,"",INDEX($W$40:$W$133,IFERROR(MATCH(84,$AB$40:$AB$133,0),0)))</f>
        <v/>
      </c>
      <c r="F117" s="38" t="str">
        <f aca="false">IF(IFERROR(MATCH(84,$AB$40:$AB$133,0),0)=0,"",INDEX($X$40:$X$133,IFERROR(MATCH(84,$AB$40:$AB$133,0),0)))</f>
        <v/>
      </c>
      <c r="G117" s="38" t="str">
        <f aca="false">IF(A117="","",E117-F117)</f>
        <v/>
      </c>
      <c r="H117" s="38" t="str">
        <f aca="false">IF(IFERROR(MATCH(84,$AB$40:$AB$133,0),0)=0,"",INDEX($Y$40:$Y$133,IFERROR(MATCH(84,$AB$40:$AB$133,0),0)))</f>
        <v/>
      </c>
      <c r="I117" s="39" t="str">
        <f aca="false">IF(IFERROR(MATCH(84,$AB$40:$AB$133,0),0)=0,"",INDEX($Z$40:$Z$133,IFERROR(MATCH(84,$AB$40:$AB$133,0),0)))</f>
        <v/>
      </c>
      <c r="J117" s="40" t="str">
        <f aca="false">IF(IFERROR(MATCH(84,$AB$40:$AB$133,0),0)=0,"",INDEX($AC$40:$AC$133,IFERROR(MATCH(84,$AB$40:$AB$133,0),0)))</f>
        <v/>
      </c>
      <c r="K117" s="41" t="str">
        <f aca="false">IF(IFERROR(MATCH(84,$AB$40:$AB$133,0),0)=0,"",INDEX($AD$40:$AD$133,IFERROR(MATCH(84,$AB$40:$AB$133,0),0)))</f>
        <v/>
      </c>
      <c r="L117" s="42" t="str">
        <f aca="false">IF(IFERROR(MATCH(84,$AB$40:$AB$133,0),0)=0,"",INDEX($AE$40:$AE$133,IFERROR(MATCH(84,$AB$40:$AB$133,0),0))&amp;"")</f>
        <v/>
      </c>
      <c r="T117" s="3" t="s">
        <v>139</v>
      </c>
      <c r="U117" s="3" t="s">
        <v>4</v>
      </c>
      <c r="V117" s="3" t="n">
        <f aca="false">SUMIFS(Lançamentos!$H$2:$H$607,Lançamentos!$A$2:$A$607,"&gt;="&amp;$F$5,Lançamentos!$A$2:$A$607,"&lt;="&amp;$H$5,Lançamentos!$C$2:$C$607,$T117,Lançamentos!$D$2:$D$607,$AG117,Lançamentos!$B$2:$B$607,"Recebido no 2008")</f>
        <v>0</v>
      </c>
      <c r="W117" s="3" t="n">
        <f aca="false">SUMIFS(Lançamentos!$I$2:$I$607,Lançamentos!$A$2:$A$607,"&gt;="&amp;$F$5,Lançamentos!$A$2:$A$607,"&lt;="&amp;$H$5,Lançamentos!$C$2:$C$607,$T117,Lançamentos!$D$2:$D$607,$AG117)</f>
        <v>1000</v>
      </c>
      <c r="X117" s="3" t="n">
        <f aca="false">SUMIFS(Lançamentos!$J$2:$J$607,Lançamentos!$A$2:$A$607,"&gt;="&amp;$F$5,Lançamentos!$A$2:$A$607,"&lt;="&amp;$H$5,Lançamentos!$C$2:$C$607,$T117,Lançamentos!$D$2:$D$607,$AG117)</f>
        <v>0</v>
      </c>
      <c r="Y117" s="3" t="n">
        <f aca="false">SUMIFS('Estoque físico'!$J$2:$J$229,'Estoque físico'!$A$2:$A$229,$T117,'Estoque físico'!$B$2:$B$229,$AG117)</f>
        <v>1000</v>
      </c>
      <c r="Z117" s="3" t="n">
        <f aca="false">ROUND(Y117-(W117-X117),3)</f>
        <v>0</v>
      </c>
      <c r="AA117" s="3" t="n">
        <f aca="false">IF(AND(U117=$R$3,OR($R$1="*",T117=$R$1),OR($R$2="*",AG117=$R$2),ABS(V117)+ABS(W117)+ABS(X117)+ABS(Y117)&gt;0),1,0)</f>
        <v>1</v>
      </c>
      <c r="AB117" s="3" t="n">
        <f aca="false">IF(AA117=1,SUM(AA$40:AA117),"")</f>
        <v>70</v>
      </c>
      <c r="AC117" s="0" t="str">
        <f aca="false">IF(ABS(Z117)&lt;=$R$5,"Confere",IF(Z117&gt;0,"Sobrando","Faltando"))</f>
        <v>Confere</v>
      </c>
      <c r="AD117" s="3" t="n">
        <f aca="false">COUNTIFS(Lançamentos!$A$2:$A$607,"&gt;="&amp;$F$5,Lançamentos!$A$2:$A$607,"&lt;="&amp;$H$5,Lançamentos!$C$2:$C$607,$T117,Lançamentos!$D$2:$D$607,$AG117,Lançamentos!$B$2:$B$607,$R$4,Lançamentos!$G$2:$G$607,U117)</f>
        <v>1</v>
      </c>
      <c r="AF117" s="3" t="n">
        <f aca="false">IF(AND(AA117=1,AC117&lt;&gt;"Confere"),ABS(Z117)+ROW()/10000000,0)</f>
        <v>0</v>
      </c>
      <c r="AG117" s="3" t="s">
        <v>204</v>
      </c>
    </row>
    <row r="118" customFormat="false" ht="15" hidden="false" customHeight="false" outlineLevel="0" collapsed="false">
      <c r="A118" s="36" t="str">
        <f aca="false">IF(IFERROR(MATCH(85,$AB$40:$AB$133,0),0)=0,"",INDEX($T$40:$T$133,IFERROR(MATCH(85,$AB$40:$AB$133,0),0)))</f>
        <v/>
      </c>
      <c r="B118" s="36" t="str">
        <f aca="false">IF(IFERROR(MATCH(85,$AB$40:$AB$133,0),0)=0,"",INDEX($AG$40:$AG$133,IFERROR(MATCH(85,$AB$40:$AB$133,0),0)))</f>
        <v/>
      </c>
      <c r="C118" s="37" t="str">
        <f aca="false">IF(IFERROR(MATCH(85,$AB$40:$AB$133,0),0)=0,"",INDEX($U$40:$U$133,IFERROR(MATCH(85,$AB$40:$AB$133,0),0)))</f>
        <v/>
      </c>
      <c r="D118" s="38" t="str">
        <f aca="false">IF(IFERROR(MATCH(85,$AB$40:$AB$133,0),0)=0,"",INDEX($V$40:$V$133,IFERROR(MATCH(85,$AB$40:$AB$133,0),0)))</f>
        <v/>
      </c>
      <c r="E118" s="38" t="str">
        <f aca="false">IF(IFERROR(MATCH(85,$AB$40:$AB$133,0),0)=0,"",INDEX($W$40:$W$133,IFERROR(MATCH(85,$AB$40:$AB$133,0),0)))</f>
        <v/>
      </c>
      <c r="F118" s="38" t="str">
        <f aca="false">IF(IFERROR(MATCH(85,$AB$40:$AB$133,0),0)=0,"",INDEX($X$40:$X$133,IFERROR(MATCH(85,$AB$40:$AB$133,0),0)))</f>
        <v/>
      </c>
      <c r="G118" s="38" t="str">
        <f aca="false">IF(A118="","",E118-F118)</f>
        <v/>
      </c>
      <c r="H118" s="38" t="str">
        <f aca="false">IF(IFERROR(MATCH(85,$AB$40:$AB$133,0),0)=0,"",INDEX($Y$40:$Y$133,IFERROR(MATCH(85,$AB$40:$AB$133,0),0)))</f>
        <v/>
      </c>
      <c r="I118" s="39" t="str">
        <f aca="false">IF(IFERROR(MATCH(85,$AB$40:$AB$133,0),0)=0,"",INDEX($Z$40:$Z$133,IFERROR(MATCH(85,$AB$40:$AB$133,0),0)))</f>
        <v/>
      </c>
      <c r="J118" s="40" t="str">
        <f aca="false">IF(IFERROR(MATCH(85,$AB$40:$AB$133,0),0)=0,"",INDEX($AC$40:$AC$133,IFERROR(MATCH(85,$AB$40:$AB$133,0),0)))</f>
        <v/>
      </c>
      <c r="K118" s="41" t="str">
        <f aca="false">IF(IFERROR(MATCH(85,$AB$40:$AB$133,0),0)=0,"",INDEX($AD$40:$AD$133,IFERROR(MATCH(85,$AB$40:$AB$133,0),0)))</f>
        <v/>
      </c>
      <c r="L118" s="42" t="str">
        <f aca="false">IF(IFERROR(MATCH(85,$AB$40:$AB$133,0),0)=0,"",INDEX($AE$40:$AE$133,IFERROR(MATCH(85,$AB$40:$AB$133,0),0))&amp;"")</f>
        <v/>
      </c>
      <c r="T118" s="3" t="s">
        <v>131</v>
      </c>
      <c r="U118" s="3" t="s">
        <v>12</v>
      </c>
      <c r="V118" s="3" t="n">
        <f aca="false">SUMIFS(Lançamentos!$H$2:$H$607,Lançamentos!$A$2:$A$607,"&gt;="&amp;$F$5,Lançamentos!$A$2:$A$607,"&lt;="&amp;$H$5,Lançamentos!$C$2:$C$607,$T118,Lançamentos!$D$2:$D$607,$AG118,Lançamentos!$B$2:$B$607,"Recebido no 2008")</f>
        <v>0</v>
      </c>
      <c r="W118" s="3" t="n">
        <f aca="false">SUMIFS(Lançamentos!$I$2:$I$607,Lançamentos!$A$2:$A$607,"&gt;="&amp;$F$5,Lançamentos!$A$2:$A$607,"&lt;="&amp;$H$5,Lançamentos!$C$2:$C$607,$T118,Lançamentos!$D$2:$D$607,$AG118)</f>
        <v>506</v>
      </c>
      <c r="X118" s="3" t="n">
        <f aca="false">SUMIFS(Lançamentos!$J$2:$J$607,Lançamentos!$A$2:$A$607,"&gt;="&amp;$F$5,Lançamentos!$A$2:$A$607,"&lt;="&amp;$H$5,Lançamentos!$C$2:$C$607,$T118,Lançamentos!$D$2:$D$607,$AG118)</f>
        <v>101</v>
      </c>
      <c r="Y118" s="3" t="n">
        <f aca="false">SUMIFS('Estoque físico'!$J$2:$J$229,'Estoque físico'!$A$2:$A$229,$T118,'Estoque físico'!$B$2:$B$229,$AG118)</f>
        <v>405</v>
      </c>
      <c r="Z118" s="3" t="n">
        <f aca="false">ROUND(Y118-(W118-X118),3)</f>
        <v>0</v>
      </c>
      <c r="AA118" s="3" t="n">
        <f aca="false">IF(AND(U118=$R$3,OR($R$1="*",T118=$R$1),OR($R$2="*",AG118=$R$2),ABS(V118)+ABS(W118)+ABS(X118)+ABS(Y118)&gt;0),1,0)</f>
        <v>0</v>
      </c>
      <c r="AB118" s="0" t="str">
        <f aca="false">IF(AA118=1,SUM(AA$40:AA118),"")</f>
        <v/>
      </c>
      <c r="AC118" s="0" t="str">
        <f aca="false">IF(ABS(Z118)&lt;=$R$5,"Confere",IF(Z118&gt;0,"Sobrando","Faltando"))</f>
        <v>Confere</v>
      </c>
      <c r="AD118" s="3" t="n">
        <f aca="false">COUNTIFS(Lançamentos!$A$2:$A$607,"&gt;="&amp;$F$5,Lançamentos!$A$2:$A$607,"&lt;="&amp;$H$5,Lançamentos!$C$2:$C$607,$T118,Lançamentos!$D$2:$D$607,$AG118,Lançamentos!$B$2:$B$607,$R$4,Lançamentos!$G$2:$G$607,U118)</f>
        <v>11</v>
      </c>
      <c r="AE118" s="3" t="s">
        <v>132</v>
      </c>
      <c r="AF118" s="3" t="n">
        <f aca="false">IF(AND(AA118=1,AC118&lt;&gt;"Confere"),ABS(Z118)+ROW()/10000000,0)</f>
        <v>0</v>
      </c>
      <c r="AG118" s="3" t="s">
        <v>205</v>
      </c>
    </row>
    <row r="119" customFormat="false" ht="15" hidden="false" customHeight="false" outlineLevel="0" collapsed="false">
      <c r="A119" s="36" t="str">
        <f aca="false">IF(IFERROR(MATCH(86,$AB$40:$AB$133,0),0)=0,"",INDEX($T$40:$T$133,IFERROR(MATCH(86,$AB$40:$AB$133,0),0)))</f>
        <v/>
      </c>
      <c r="B119" s="36" t="str">
        <f aca="false">IF(IFERROR(MATCH(86,$AB$40:$AB$133,0),0)=0,"",INDEX($AG$40:$AG$133,IFERROR(MATCH(86,$AB$40:$AB$133,0),0)))</f>
        <v/>
      </c>
      <c r="C119" s="37" t="str">
        <f aca="false">IF(IFERROR(MATCH(86,$AB$40:$AB$133,0),0)=0,"",INDEX($U$40:$U$133,IFERROR(MATCH(86,$AB$40:$AB$133,0),0)))</f>
        <v/>
      </c>
      <c r="D119" s="38" t="str">
        <f aca="false">IF(IFERROR(MATCH(86,$AB$40:$AB$133,0),0)=0,"",INDEX($V$40:$V$133,IFERROR(MATCH(86,$AB$40:$AB$133,0),0)))</f>
        <v/>
      </c>
      <c r="E119" s="38" t="str">
        <f aca="false">IF(IFERROR(MATCH(86,$AB$40:$AB$133,0),0)=0,"",INDEX($W$40:$W$133,IFERROR(MATCH(86,$AB$40:$AB$133,0),0)))</f>
        <v/>
      </c>
      <c r="F119" s="38" t="str">
        <f aca="false">IF(IFERROR(MATCH(86,$AB$40:$AB$133,0),0)=0,"",INDEX($X$40:$X$133,IFERROR(MATCH(86,$AB$40:$AB$133,0),0)))</f>
        <v/>
      </c>
      <c r="G119" s="38" t="str">
        <f aca="false">IF(A119="","",E119-F119)</f>
        <v/>
      </c>
      <c r="H119" s="38" t="str">
        <f aca="false">IF(IFERROR(MATCH(86,$AB$40:$AB$133,0),0)=0,"",INDEX($Y$40:$Y$133,IFERROR(MATCH(86,$AB$40:$AB$133,0),0)))</f>
        <v/>
      </c>
      <c r="I119" s="39" t="str">
        <f aca="false">IF(IFERROR(MATCH(86,$AB$40:$AB$133,0),0)=0,"",INDEX($Z$40:$Z$133,IFERROR(MATCH(86,$AB$40:$AB$133,0),0)))</f>
        <v/>
      </c>
      <c r="J119" s="40" t="str">
        <f aca="false">IF(IFERROR(MATCH(86,$AB$40:$AB$133,0),0)=0,"",INDEX($AC$40:$AC$133,IFERROR(MATCH(86,$AB$40:$AB$133,0),0)))</f>
        <v/>
      </c>
      <c r="K119" s="41" t="str">
        <f aca="false">IF(IFERROR(MATCH(86,$AB$40:$AB$133,0),0)=0,"",INDEX($AD$40:$AD$133,IFERROR(MATCH(86,$AB$40:$AB$133,0),0)))</f>
        <v/>
      </c>
      <c r="L119" s="42" t="str">
        <f aca="false">IF(IFERROR(MATCH(86,$AB$40:$AB$133,0),0)=0,"",INDEX($AE$40:$AE$133,IFERROR(MATCH(86,$AB$40:$AB$133,0),0))&amp;"")</f>
        <v/>
      </c>
      <c r="T119" s="3" t="s">
        <v>131</v>
      </c>
      <c r="U119" s="3" t="s">
        <v>12</v>
      </c>
      <c r="V119" s="3" t="n">
        <f aca="false">SUMIFS(Lançamentos!$H$2:$H$607,Lançamentos!$A$2:$A$607,"&gt;="&amp;$F$5,Lançamentos!$A$2:$A$607,"&lt;="&amp;$H$5,Lançamentos!$C$2:$C$607,$T119,Lançamentos!$D$2:$D$607,$AG119,Lançamentos!$B$2:$B$607,"Recebido no 2008")</f>
        <v>0</v>
      </c>
      <c r="W119" s="3" t="n">
        <f aca="false">SUMIFS(Lançamentos!$I$2:$I$607,Lançamentos!$A$2:$A$607,"&gt;="&amp;$F$5,Lançamentos!$A$2:$A$607,"&lt;="&amp;$H$5,Lançamentos!$C$2:$C$607,$T119,Lançamentos!$D$2:$D$607,$AG119)</f>
        <v>524.75</v>
      </c>
      <c r="X119" s="3" t="n">
        <f aca="false">SUMIFS(Lançamentos!$J$2:$J$607,Lançamentos!$A$2:$A$607,"&gt;="&amp;$F$5,Lançamentos!$A$2:$A$607,"&lt;="&amp;$H$5,Lançamentos!$C$2:$C$607,$T119,Lançamentos!$D$2:$D$607,$AG119)</f>
        <v>0</v>
      </c>
      <c r="Y119" s="3" t="n">
        <f aca="false">SUMIFS('Estoque físico'!$J$2:$J$229,'Estoque físico'!$A$2:$A$229,$T119,'Estoque físico'!$B$2:$B$229,$AG119)</f>
        <v>524.75</v>
      </c>
      <c r="Z119" s="3" t="n">
        <f aca="false">ROUND(Y119-(W119-X119),3)</f>
        <v>0</v>
      </c>
      <c r="AA119" s="3" t="n">
        <f aca="false">IF(AND(U119=$R$3,OR($R$1="*",T119=$R$1),OR($R$2="*",AG119=$R$2),ABS(V119)+ABS(W119)+ABS(X119)+ABS(Y119)&gt;0),1,0)</f>
        <v>0</v>
      </c>
      <c r="AB119" s="0" t="str">
        <f aca="false">IF(AA119=1,SUM(AA$40:AA119),"")</f>
        <v/>
      </c>
      <c r="AC119" s="0" t="str">
        <f aca="false">IF(ABS(Z119)&lt;=$R$5,"Confere",IF(Z119&gt;0,"Sobrando","Faltando"))</f>
        <v>Confere</v>
      </c>
      <c r="AD119" s="3" t="n">
        <f aca="false">COUNTIFS(Lançamentos!$A$2:$A$607,"&gt;="&amp;$F$5,Lançamentos!$A$2:$A$607,"&lt;="&amp;$H$5,Lançamentos!$C$2:$C$607,$T119,Lançamentos!$D$2:$D$607,$AG119,Lançamentos!$B$2:$B$607,$R$4,Lançamentos!$G$2:$G$607,U119)</f>
        <v>4</v>
      </c>
      <c r="AE119" s="3" t="s">
        <v>132</v>
      </c>
      <c r="AF119" s="3" t="n">
        <f aca="false">IF(AND(AA119=1,AC119&lt;&gt;"Confere"),ABS(Z119)+ROW()/10000000,0)</f>
        <v>0</v>
      </c>
      <c r="AG119" s="3" t="s">
        <v>206</v>
      </c>
    </row>
    <row r="120" customFormat="false" ht="15" hidden="false" customHeight="false" outlineLevel="0" collapsed="false">
      <c r="A120" s="36" t="str">
        <f aca="false">IF(IFERROR(MATCH(87,$AB$40:$AB$133,0),0)=0,"",INDEX($T$40:$T$133,IFERROR(MATCH(87,$AB$40:$AB$133,0),0)))</f>
        <v/>
      </c>
      <c r="B120" s="36" t="str">
        <f aca="false">IF(IFERROR(MATCH(87,$AB$40:$AB$133,0),0)=0,"",INDEX($AG$40:$AG$133,IFERROR(MATCH(87,$AB$40:$AB$133,0),0)))</f>
        <v/>
      </c>
      <c r="C120" s="37" t="str">
        <f aca="false">IF(IFERROR(MATCH(87,$AB$40:$AB$133,0),0)=0,"",INDEX($U$40:$U$133,IFERROR(MATCH(87,$AB$40:$AB$133,0),0)))</f>
        <v/>
      </c>
      <c r="D120" s="38" t="str">
        <f aca="false">IF(IFERROR(MATCH(87,$AB$40:$AB$133,0),0)=0,"",INDEX($V$40:$V$133,IFERROR(MATCH(87,$AB$40:$AB$133,0),0)))</f>
        <v/>
      </c>
      <c r="E120" s="38" t="str">
        <f aca="false">IF(IFERROR(MATCH(87,$AB$40:$AB$133,0),0)=0,"",INDEX($W$40:$W$133,IFERROR(MATCH(87,$AB$40:$AB$133,0),0)))</f>
        <v/>
      </c>
      <c r="F120" s="38" t="str">
        <f aca="false">IF(IFERROR(MATCH(87,$AB$40:$AB$133,0),0)=0,"",INDEX($X$40:$X$133,IFERROR(MATCH(87,$AB$40:$AB$133,0),0)))</f>
        <v/>
      </c>
      <c r="G120" s="38" t="str">
        <f aca="false">IF(A120="","",E120-F120)</f>
        <v/>
      </c>
      <c r="H120" s="38" t="str">
        <f aca="false">IF(IFERROR(MATCH(87,$AB$40:$AB$133,0),0)=0,"",INDEX($Y$40:$Y$133,IFERROR(MATCH(87,$AB$40:$AB$133,0),0)))</f>
        <v/>
      </c>
      <c r="I120" s="39" t="str">
        <f aca="false">IF(IFERROR(MATCH(87,$AB$40:$AB$133,0),0)=0,"",INDEX($Z$40:$Z$133,IFERROR(MATCH(87,$AB$40:$AB$133,0),0)))</f>
        <v/>
      </c>
      <c r="J120" s="40" t="str">
        <f aca="false">IF(IFERROR(MATCH(87,$AB$40:$AB$133,0),0)=0,"",INDEX($AC$40:$AC$133,IFERROR(MATCH(87,$AB$40:$AB$133,0),0)))</f>
        <v/>
      </c>
      <c r="K120" s="41" t="str">
        <f aca="false">IF(IFERROR(MATCH(87,$AB$40:$AB$133,0),0)=0,"",INDEX($AD$40:$AD$133,IFERROR(MATCH(87,$AB$40:$AB$133,0),0)))</f>
        <v/>
      </c>
      <c r="L120" s="42" t="str">
        <f aca="false">IF(IFERROR(MATCH(87,$AB$40:$AB$133,0),0)=0,"",INDEX($AE$40:$AE$133,IFERROR(MATCH(87,$AB$40:$AB$133,0),0))&amp;"")</f>
        <v/>
      </c>
      <c r="T120" s="3" t="s">
        <v>131</v>
      </c>
      <c r="U120" s="3" t="s">
        <v>12</v>
      </c>
      <c r="V120" s="3" t="n">
        <f aca="false">SUMIFS(Lançamentos!$H$2:$H$607,Lançamentos!$A$2:$A$607,"&gt;="&amp;$F$5,Lançamentos!$A$2:$A$607,"&lt;="&amp;$H$5,Lançamentos!$C$2:$C$607,$T120,Lançamentos!$D$2:$D$607,$AG120,Lançamentos!$B$2:$B$607,"Recebido no 2008")</f>
        <v>900</v>
      </c>
      <c r="W120" s="3" t="n">
        <f aca="false">SUMIFS(Lançamentos!$I$2:$I$607,Lançamentos!$A$2:$A$607,"&gt;="&amp;$F$5,Lançamentos!$A$2:$A$607,"&lt;="&amp;$H$5,Lançamentos!$C$2:$C$607,$T120,Lançamentos!$D$2:$D$607,$AG120)</f>
        <v>0</v>
      </c>
      <c r="X120" s="3" t="n">
        <f aca="false">SUMIFS(Lançamentos!$J$2:$J$607,Lançamentos!$A$2:$A$607,"&gt;="&amp;$F$5,Lançamentos!$A$2:$A$607,"&lt;="&amp;$H$5,Lançamentos!$C$2:$C$607,$T120,Lançamentos!$D$2:$D$607,$AG120)</f>
        <v>0</v>
      </c>
      <c r="Y120" s="3" t="n">
        <f aca="false">SUMIFS('Estoque físico'!$J$2:$J$229,'Estoque físico'!$A$2:$A$229,$T120,'Estoque físico'!$B$2:$B$229,$AG120)</f>
        <v>0</v>
      </c>
      <c r="Z120" s="3" t="n">
        <f aca="false">ROUND(Y120-(W120-X120),3)</f>
        <v>0</v>
      </c>
      <c r="AA120" s="3" t="n">
        <f aca="false">IF(AND(U120=$R$3,OR($R$1="*",T120=$R$1),OR($R$2="*",AG120=$R$2),ABS(V120)+ABS(W120)+ABS(X120)+ABS(Y120)&gt;0),1,0)</f>
        <v>0</v>
      </c>
      <c r="AB120" s="0" t="str">
        <f aca="false">IF(AA120=1,SUM(AA$40:AA120),"")</f>
        <v/>
      </c>
      <c r="AC120" s="0" t="str">
        <f aca="false">IF(ABS(Z120)&lt;=$R$5,"Confere",IF(Z120&gt;0,"Sobrando","Faltando"))</f>
        <v>Confere</v>
      </c>
      <c r="AD120" s="3" t="n">
        <f aca="false">COUNTIFS(Lançamentos!$A$2:$A$607,"&gt;="&amp;$F$5,Lançamentos!$A$2:$A$607,"&lt;="&amp;$H$5,Lançamentos!$C$2:$C$607,$T120,Lançamentos!$D$2:$D$607,$AG120,Lançamentos!$B$2:$B$607,$R$4,Lançamentos!$G$2:$G$607,U120)</f>
        <v>2</v>
      </c>
      <c r="AE120" s="3" t="s">
        <v>132</v>
      </c>
      <c r="AF120" s="3" t="n">
        <f aca="false">IF(AND(AA120=1,AC120&lt;&gt;"Confere"),ABS(Z120)+ROW()/10000000,0)</f>
        <v>0</v>
      </c>
      <c r="AG120" s="3" t="s">
        <v>207</v>
      </c>
    </row>
    <row r="121" customFormat="false" ht="15" hidden="false" customHeight="false" outlineLevel="0" collapsed="false">
      <c r="A121" s="36" t="str">
        <f aca="false">IF(IFERROR(MATCH(88,$AB$40:$AB$133,0),0)=0,"",INDEX($T$40:$T$133,IFERROR(MATCH(88,$AB$40:$AB$133,0),0)))</f>
        <v/>
      </c>
      <c r="B121" s="36" t="str">
        <f aca="false">IF(IFERROR(MATCH(88,$AB$40:$AB$133,0),0)=0,"",INDEX($AG$40:$AG$133,IFERROR(MATCH(88,$AB$40:$AB$133,0),0)))</f>
        <v/>
      </c>
      <c r="C121" s="37" t="str">
        <f aca="false">IF(IFERROR(MATCH(88,$AB$40:$AB$133,0),0)=0,"",INDEX($U$40:$U$133,IFERROR(MATCH(88,$AB$40:$AB$133,0),0)))</f>
        <v/>
      </c>
      <c r="D121" s="38" t="str">
        <f aca="false">IF(IFERROR(MATCH(88,$AB$40:$AB$133,0),0)=0,"",INDEX($V$40:$V$133,IFERROR(MATCH(88,$AB$40:$AB$133,0),0)))</f>
        <v/>
      </c>
      <c r="E121" s="38" t="str">
        <f aca="false">IF(IFERROR(MATCH(88,$AB$40:$AB$133,0),0)=0,"",INDEX($W$40:$W$133,IFERROR(MATCH(88,$AB$40:$AB$133,0),0)))</f>
        <v/>
      </c>
      <c r="F121" s="38" t="str">
        <f aca="false">IF(IFERROR(MATCH(88,$AB$40:$AB$133,0),0)=0,"",INDEX($X$40:$X$133,IFERROR(MATCH(88,$AB$40:$AB$133,0),0)))</f>
        <v/>
      </c>
      <c r="G121" s="38" t="str">
        <f aca="false">IF(A121="","",E121-F121)</f>
        <v/>
      </c>
      <c r="H121" s="38" t="str">
        <f aca="false">IF(IFERROR(MATCH(88,$AB$40:$AB$133,0),0)=0,"",INDEX($Y$40:$Y$133,IFERROR(MATCH(88,$AB$40:$AB$133,0),0)))</f>
        <v/>
      </c>
      <c r="I121" s="39" t="str">
        <f aca="false">IF(IFERROR(MATCH(88,$AB$40:$AB$133,0),0)=0,"",INDEX($Z$40:$Z$133,IFERROR(MATCH(88,$AB$40:$AB$133,0),0)))</f>
        <v/>
      </c>
      <c r="J121" s="40" t="str">
        <f aca="false">IF(IFERROR(MATCH(88,$AB$40:$AB$133,0),0)=0,"",INDEX($AC$40:$AC$133,IFERROR(MATCH(88,$AB$40:$AB$133,0),0)))</f>
        <v/>
      </c>
      <c r="K121" s="41" t="str">
        <f aca="false">IF(IFERROR(MATCH(88,$AB$40:$AB$133,0),0)=0,"",INDEX($AD$40:$AD$133,IFERROR(MATCH(88,$AB$40:$AB$133,0),0)))</f>
        <v/>
      </c>
      <c r="L121" s="42" t="str">
        <f aca="false">IF(IFERROR(MATCH(88,$AB$40:$AB$133,0),0)=0,"",INDEX($AE$40:$AE$133,IFERROR(MATCH(88,$AB$40:$AB$133,0),0))&amp;"")</f>
        <v/>
      </c>
      <c r="T121" s="3" t="s">
        <v>131</v>
      </c>
      <c r="U121" s="3" t="s">
        <v>12</v>
      </c>
      <c r="V121" s="3" t="n">
        <f aca="false">SUMIFS(Lançamentos!$H$2:$H$607,Lançamentos!$A$2:$A$607,"&gt;="&amp;$F$5,Lançamentos!$A$2:$A$607,"&lt;="&amp;$H$5,Lançamentos!$C$2:$C$607,$T121,Lançamentos!$D$2:$D$607,$AG121,Lançamentos!$B$2:$B$607,"Recebido no 2008")</f>
        <v>300</v>
      </c>
      <c r="W121" s="3" t="n">
        <f aca="false">SUMIFS(Lançamentos!$I$2:$I$607,Lançamentos!$A$2:$A$607,"&gt;="&amp;$F$5,Lançamentos!$A$2:$A$607,"&lt;="&amp;$H$5,Lançamentos!$C$2:$C$607,$T121,Lançamentos!$D$2:$D$607,$AG121)</f>
        <v>0</v>
      </c>
      <c r="X121" s="3" t="n">
        <f aca="false">SUMIFS(Lançamentos!$J$2:$J$607,Lançamentos!$A$2:$A$607,"&gt;="&amp;$F$5,Lançamentos!$A$2:$A$607,"&lt;="&amp;$H$5,Lançamentos!$C$2:$C$607,$T121,Lançamentos!$D$2:$D$607,$AG121)</f>
        <v>0</v>
      </c>
      <c r="Y121" s="3" t="n">
        <f aca="false">SUMIFS('Estoque físico'!$J$2:$J$229,'Estoque físico'!$A$2:$A$229,$T121,'Estoque físico'!$B$2:$B$229,$AG121)</f>
        <v>0</v>
      </c>
      <c r="Z121" s="3" t="n">
        <f aca="false">ROUND(Y121-(W121-X121),3)</f>
        <v>0</v>
      </c>
      <c r="AA121" s="3" t="n">
        <f aca="false">IF(AND(U121=$R$3,OR($R$1="*",T121=$R$1),OR($R$2="*",AG121=$R$2),ABS(V121)+ABS(W121)+ABS(X121)+ABS(Y121)&gt;0),1,0)</f>
        <v>0</v>
      </c>
      <c r="AB121" s="0" t="str">
        <f aca="false">IF(AA121=1,SUM(AA$40:AA121),"")</f>
        <v/>
      </c>
      <c r="AC121" s="0" t="str">
        <f aca="false">IF(ABS(Z121)&lt;=$R$5,"Confere",IF(Z121&gt;0,"Sobrando","Faltando"))</f>
        <v>Confere</v>
      </c>
      <c r="AD121" s="3" t="n">
        <f aca="false">COUNTIFS(Lançamentos!$A$2:$A$607,"&gt;="&amp;$F$5,Lançamentos!$A$2:$A$607,"&lt;="&amp;$H$5,Lançamentos!$C$2:$C$607,$T121,Lançamentos!$D$2:$D$607,$AG121,Lançamentos!$B$2:$B$607,$R$4,Lançamentos!$G$2:$G$607,U121)</f>
        <v>1</v>
      </c>
      <c r="AE121" s="3" t="s">
        <v>132</v>
      </c>
      <c r="AF121" s="3" t="n">
        <f aca="false">IF(AND(AA121=1,AC121&lt;&gt;"Confere"),ABS(Z121)+ROW()/10000000,0)</f>
        <v>0</v>
      </c>
      <c r="AG121" s="3" t="s">
        <v>208</v>
      </c>
    </row>
    <row r="122" customFormat="false" ht="15" hidden="false" customHeight="false" outlineLevel="0" collapsed="false">
      <c r="A122" s="36" t="str">
        <f aca="false">IF(IFERROR(MATCH(89,$AB$40:$AB$133,0),0)=0,"",INDEX($T$40:$T$133,IFERROR(MATCH(89,$AB$40:$AB$133,0),0)))</f>
        <v/>
      </c>
      <c r="B122" s="36" t="str">
        <f aca="false">IF(IFERROR(MATCH(89,$AB$40:$AB$133,0),0)=0,"",INDEX($AG$40:$AG$133,IFERROR(MATCH(89,$AB$40:$AB$133,0),0)))</f>
        <v/>
      </c>
      <c r="C122" s="37" t="str">
        <f aca="false">IF(IFERROR(MATCH(89,$AB$40:$AB$133,0),0)=0,"",INDEX($U$40:$U$133,IFERROR(MATCH(89,$AB$40:$AB$133,0),0)))</f>
        <v/>
      </c>
      <c r="D122" s="38" t="str">
        <f aca="false">IF(IFERROR(MATCH(89,$AB$40:$AB$133,0),0)=0,"",INDEX($V$40:$V$133,IFERROR(MATCH(89,$AB$40:$AB$133,0),0)))</f>
        <v/>
      </c>
      <c r="E122" s="38" t="str">
        <f aca="false">IF(IFERROR(MATCH(89,$AB$40:$AB$133,0),0)=0,"",INDEX($W$40:$W$133,IFERROR(MATCH(89,$AB$40:$AB$133,0),0)))</f>
        <v/>
      </c>
      <c r="F122" s="38" t="str">
        <f aca="false">IF(IFERROR(MATCH(89,$AB$40:$AB$133,0),0)=0,"",INDEX($X$40:$X$133,IFERROR(MATCH(89,$AB$40:$AB$133,0),0)))</f>
        <v/>
      </c>
      <c r="G122" s="38" t="str">
        <f aca="false">IF(A122="","",E122-F122)</f>
        <v/>
      </c>
      <c r="H122" s="38" t="str">
        <f aca="false">IF(IFERROR(MATCH(89,$AB$40:$AB$133,0),0)=0,"",INDEX($Y$40:$Y$133,IFERROR(MATCH(89,$AB$40:$AB$133,0),0)))</f>
        <v/>
      </c>
      <c r="I122" s="39" t="str">
        <f aca="false">IF(IFERROR(MATCH(89,$AB$40:$AB$133,0),0)=0,"",INDEX($Z$40:$Z$133,IFERROR(MATCH(89,$AB$40:$AB$133,0),0)))</f>
        <v/>
      </c>
      <c r="J122" s="40" t="str">
        <f aca="false">IF(IFERROR(MATCH(89,$AB$40:$AB$133,0),0)=0,"",INDEX($AC$40:$AC$133,IFERROR(MATCH(89,$AB$40:$AB$133,0),0)))</f>
        <v/>
      </c>
      <c r="K122" s="41" t="str">
        <f aca="false">IF(IFERROR(MATCH(89,$AB$40:$AB$133,0),0)=0,"",INDEX($AD$40:$AD$133,IFERROR(MATCH(89,$AB$40:$AB$133,0),0)))</f>
        <v/>
      </c>
      <c r="L122" s="42" t="str">
        <f aca="false">IF(IFERROR(MATCH(89,$AB$40:$AB$133,0),0)=0,"",INDEX($AE$40:$AE$133,IFERROR(MATCH(89,$AB$40:$AB$133,0),0))&amp;"")</f>
        <v/>
      </c>
      <c r="T122" s="3" t="s">
        <v>131</v>
      </c>
      <c r="U122" s="3" t="s">
        <v>12</v>
      </c>
      <c r="V122" s="3" t="n">
        <f aca="false">SUMIFS(Lançamentos!$H$2:$H$607,Lançamentos!$A$2:$A$607,"&gt;="&amp;$F$5,Lançamentos!$A$2:$A$607,"&lt;="&amp;$H$5,Lançamentos!$C$2:$C$607,$T122,Lançamentos!$D$2:$D$607,$AG122,Lançamentos!$B$2:$B$607,"Recebido no 2008")</f>
        <v>240</v>
      </c>
      <c r="W122" s="3" t="n">
        <f aca="false">SUMIFS(Lançamentos!$I$2:$I$607,Lançamentos!$A$2:$A$607,"&gt;="&amp;$F$5,Lançamentos!$A$2:$A$607,"&lt;="&amp;$H$5,Lançamentos!$C$2:$C$607,$T122,Lançamentos!$D$2:$D$607,$AG122)</f>
        <v>240</v>
      </c>
      <c r="X122" s="3" t="n">
        <f aca="false">SUMIFS(Lançamentos!$J$2:$J$607,Lançamentos!$A$2:$A$607,"&gt;="&amp;$F$5,Lançamentos!$A$2:$A$607,"&lt;="&amp;$H$5,Lançamentos!$C$2:$C$607,$T122,Lançamentos!$D$2:$D$607,$AG122)</f>
        <v>0</v>
      </c>
      <c r="Y122" s="3" t="n">
        <f aca="false">SUMIFS('Estoque físico'!$J$2:$J$229,'Estoque físico'!$A$2:$A$229,$T122,'Estoque físico'!$B$2:$B$229,$AG122)</f>
        <v>240</v>
      </c>
      <c r="Z122" s="3" t="n">
        <f aca="false">ROUND(Y122-(W122-X122),3)</f>
        <v>0</v>
      </c>
      <c r="AA122" s="3" t="n">
        <f aca="false">IF(AND(U122=$R$3,OR($R$1="*",T122=$R$1),OR($R$2="*",AG122=$R$2),ABS(V122)+ABS(W122)+ABS(X122)+ABS(Y122)&gt;0),1,0)</f>
        <v>0</v>
      </c>
      <c r="AB122" s="0" t="str">
        <f aca="false">IF(AA122=1,SUM(AA$40:AA122),"")</f>
        <v/>
      </c>
      <c r="AC122" s="0" t="str">
        <f aca="false">IF(ABS(Z122)&lt;=$R$5,"Confere",IF(Z122&gt;0,"Sobrando","Faltando"))</f>
        <v>Confere</v>
      </c>
      <c r="AD122" s="3" t="n">
        <f aca="false">COUNTIFS(Lançamentos!$A$2:$A$607,"&gt;="&amp;$F$5,Lançamentos!$A$2:$A$607,"&lt;="&amp;$H$5,Lançamentos!$C$2:$C$607,$T122,Lançamentos!$D$2:$D$607,$AG122,Lançamentos!$B$2:$B$607,$R$4,Lançamentos!$G$2:$G$607,U122)</f>
        <v>3</v>
      </c>
      <c r="AE122" s="3" t="s">
        <v>132</v>
      </c>
      <c r="AF122" s="3" t="n">
        <f aca="false">IF(AND(AA122=1,AC122&lt;&gt;"Confere"),ABS(Z122)+ROW()/10000000,0)</f>
        <v>0</v>
      </c>
      <c r="AG122" s="3" t="s">
        <v>209</v>
      </c>
    </row>
    <row r="123" customFormat="false" ht="15" hidden="false" customHeight="false" outlineLevel="0" collapsed="false">
      <c r="A123" s="36" t="str">
        <f aca="false">IF(IFERROR(MATCH(90,$AB$40:$AB$133,0),0)=0,"",INDEX($T$40:$T$133,IFERROR(MATCH(90,$AB$40:$AB$133,0),0)))</f>
        <v/>
      </c>
      <c r="B123" s="36" t="str">
        <f aca="false">IF(IFERROR(MATCH(90,$AB$40:$AB$133,0),0)=0,"",INDEX($AG$40:$AG$133,IFERROR(MATCH(90,$AB$40:$AB$133,0),0)))</f>
        <v/>
      </c>
      <c r="C123" s="37" t="str">
        <f aca="false">IF(IFERROR(MATCH(90,$AB$40:$AB$133,0),0)=0,"",INDEX($U$40:$U$133,IFERROR(MATCH(90,$AB$40:$AB$133,0),0)))</f>
        <v/>
      </c>
      <c r="D123" s="38" t="str">
        <f aca="false">IF(IFERROR(MATCH(90,$AB$40:$AB$133,0),0)=0,"",INDEX($V$40:$V$133,IFERROR(MATCH(90,$AB$40:$AB$133,0),0)))</f>
        <v/>
      </c>
      <c r="E123" s="38" t="str">
        <f aca="false">IF(IFERROR(MATCH(90,$AB$40:$AB$133,0),0)=0,"",INDEX($W$40:$W$133,IFERROR(MATCH(90,$AB$40:$AB$133,0),0)))</f>
        <v/>
      </c>
      <c r="F123" s="38" t="str">
        <f aca="false">IF(IFERROR(MATCH(90,$AB$40:$AB$133,0),0)=0,"",INDEX($X$40:$X$133,IFERROR(MATCH(90,$AB$40:$AB$133,0),0)))</f>
        <v/>
      </c>
      <c r="G123" s="38" t="str">
        <f aca="false">IF(A123="","",E123-F123)</f>
        <v/>
      </c>
      <c r="H123" s="38" t="str">
        <f aca="false">IF(IFERROR(MATCH(90,$AB$40:$AB$133,0),0)=0,"",INDEX($Y$40:$Y$133,IFERROR(MATCH(90,$AB$40:$AB$133,0),0)))</f>
        <v/>
      </c>
      <c r="I123" s="39" t="str">
        <f aca="false">IF(IFERROR(MATCH(90,$AB$40:$AB$133,0),0)=0,"",INDEX($Z$40:$Z$133,IFERROR(MATCH(90,$AB$40:$AB$133,0),0)))</f>
        <v/>
      </c>
      <c r="J123" s="40" t="str">
        <f aca="false">IF(IFERROR(MATCH(90,$AB$40:$AB$133,0),0)=0,"",INDEX($AC$40:$AC$133,IFERROR(MATCH(90,$AB$40:$AB$133,0),0)))</f>
        <v/>
      </c>
      <c r="K123" s="41" t="str">
        <f aca="false">IF(IFERROR(MATCH(90,$AB$40:$AB$133,0),0)=0,"",INDEX($AD$40:$AD$133,IFERROR(MATCH(90,$AB$40:$AB$133,0),0)))</f>
        <v/>
      </c>
      <c r="L123" s="42" t="str">
        <f aca="false">IF(IFERROR(MATCH(90,$AB$40:$AB$133,0),0)=0,"",INDEX($AE$40:$AE$133,IFERROR(MATCH(90,$AB$40:$AB$133,0),0))&amp;"")</f>
        <v/>
      </c>
      <c r="T123" s="3" t="s">
        <v>147</v>
      </c>
      <c r="U123" s="3" t="s">
        <v>4</v>
      </c>
      <c r="V123" s="3" t="n">
        <f aca="false">SUMIFS(Lançamentos!$H$2:$H$607,Lançamentos!$A$2:$A$607,"&gt;="&amp;$F$5,Lançamentos!$A$2:$A$607,"&lt;="&amp;$H$5,Lançamentos!$C$2:$C$607,$T123,Lançamentos!$D$2:$D$607,$AG123,Lançamentos!$B$2:$B$607,"Recebido no 2008")</f>
        <v>0</v>
      </c>
      <c r="W123" s="3" t="n">
        <f aca="false">SUMIFS(Lançamentos!$I$2:$I$607,Lançamentos!$A$2:$A$607,"&gt;="&amp;$F$5,Lançamentos!$A$2:$A$607,"&lt;="&amp;$H$5,Lançamentos!$C$2:$C$607,$T123,Lançamentos!$D$2:$D$607,$AG123)</f>
        <v>1000</v>
      </c>
      <c r="X123" s="3" t="n">
        <f aca="false">SUMIFS(Lançamentos!$J$2:$J$607,Lançamentos!$A$2:$A$607,"&gt;="&amp;$F$5,Lançamentos!$A$2:$A$607,"&lt;="&amp;$H$5,Lançamentos!$C$2:$C$607,$T123,Lançamentos!$D$2:$D$607,$AG123)</f>
        <v>1000</v>
      </c>
      <c r="Y123" s="3" t="n">
        <f aca="false">SUMIFS('Estoque físico'!$J$2:$J$229,'Estoque físico'!$A$2:$A$229,$T123,'Estoque físico'!$B$2:$B$229,$AG123)</f>
        <v>0</v>
      </c>
      <c r="Z123" s="3" t="n">
        <f aca="false">ROUND(Y123-(W123-X123),3)</f>
        <v>0</v>
      </c>
      <c r="AA123" s="3" t="n">
        <f aca="false">IF(AND(U123=$R$3,OR($R$1="*",T123=$R$1),OR($R$2="*",AG123=$R$2),ABS(V123)+ABS(W123)+ABS(X123)+ABS(Y123)&gt;0),1,0)</f>
        <v>1</v>
      </c>
      <c r="AB123" s="3" t="n">
        <f aca="false">IF(AA123=1,SUM(AA$40:AA123),"")</f>
        <v>71</v>
      </c>
      <c r="AC123" s="0" t="str">
        <f aca="false">IF(ABS(Z123)&lt;=$R$5,"Confere",IF(Z123&gt;0,"Sobrando","Faltando"))</f>
        <v>Confere</v>
      </c>
      <c r="AD123" s="3" t="n">
        <f aca="false">COUNTIFS(Lançamentos!$A$2:$A$607,"&gt;="&amp;$F$5,Lançamentos!$A$2:$A$607,"&lt;="&amp;$H$5,Lançamentos!$C$2:$C$607,$T123,Lançamentos!$D$2:$D$607,$AG123,Lançamentos!$B$2:$B$607,$R$4,Lançamentos!$G$2:$G$607,U123)</f>
        <v>3</v>
      </c>
      <c r="AE123" s="3" t="s">
        <v>225</v>
      </c>
      <c r="AF123" s="3" t="n">
        <f aca="false">IF(AND(AA123=1,AC123&lt;&gt;"Confere"),ABS(Z123)+ROW()/10000000,0)</f>
        <v>0</v>
      </c>
      <c r="AG123" s="3" t="s">
        <v>210</v>
      </c>
    </row>
    <row r="124" customFormat="false" ht="15" hidden="false" customHeight="false" outlineLevel="0" collapsed="false">
      <c r="A124" s="36" t="str">
        <f aca="false">IF(IFERROR(MATCH(91,$AB$40:$AB$133,0),0)=0,"",INDEX($T$40:$T$133,IFERROR(MATCH(91,$AB$40:$AB$133,0),0)))</f>
        <v/>
      </c>
      <c r="B124" s="36" t="str">
        <f aca="false">IF(IFERROR(MATCH(91,$AB$40:$AB$133,0),0)=0,"",INDEX($AG$40:$AG$133,IFERROR(MATCH(91,$AB$40:$AB$133,0),0)))</f>
        <v/>
      </c>
      <c r="C124" s="37" t="str">
        <f aca="false">IF(IFERROR(MATCH(91,$AB$40:$AB$133,0),0)=0,"",INDEX($U$40:$U$133,IFERROR(MATCH(91,$AB$40:$AB$133,0),0)))</f>
        <v/>
      </c>
      <c r="D124" s="38" t="str">
        <f aca="false">IF(IFERROR(MATCH(91,$AB$40:$AB$133,0),0)=0,"",INDEX($V$40:$V$133,IFERROR(MATCH(91,$AB$40:$AB$133,0),0)))</f>
        <v/>
      </c>
      <c r="E124" s="38" t="str">
        <f aca="false">IF(IFERROR(MATCH(91,$AB$40:$AB$133,0),0)=0,"",INDEX($W$40:$W$133,IFERROR(MATCH(91,$AB$40:$AB$133,0),0)))</f>
        <v/>
      </c>
      <c r="F124" s="38" t="str">
        <f aca="false">IF(IFERROR(MATCH(91,$AB$40:$AB$133,0),0)=0,"",INDEX($X$40:$X$133,IFERROR(MATCH(91,$AB$40:$AB$133,0),0)))</f>
        <v/>
      </c>
      <c r="G124" s="38" t="str">
        <f aca="false">IF(A124="","",E124-F124)</f>
        <v/>
      </c>
      <c r="H124" s="38" t="str">
        <f aca="false">IF(IFERROR(MATCH(91,$AB$40:$AB$133,0),0)=0,"",INDEX($Y$40:$Y$133,IFERROR(MATCH(91,$AB$40:$AB$133,0),0)))</f>
        <v/>
      </c>
      <c r="I124" s="39" t="str">
        <f aca="false">IF(IFERROR(MATCH(91,$AB$40:$AB$133,0),0)=0,"",INDEX($Z$40:$Z$133,IFERROR(MATCH(91,$AB$40:$AB$133,0),0)))</f>
        <v/>
      </c>
      <c r="J124" s="40" t="str">
        <f aca="false">IF(IFERROR(MATCH(91,$AB$40:$AB$133,0),0)=0,"",INDEX($AC$40:$AC$133,IFERROR(MATCH(91,$AB$40:$AB$133,0),0)))</f>
        <v/>
      </c>
      <c r="K124" s="41" t="str">
        <f aca="false">IF(IFERROR(MATCH(91,$AB$40:$AB$133,0),0)=0,"",INDEX($AD$40:$AD$133,IFERROR(MATCH(91,$AB$40:$AB$133,0),0)))</f>
        <v/>
      </c>
      <c r="L124" s="42" t="str">
        <f aca="false">IF(IFERROR(MATCH(91,$AB$40:$AB$133,0),0)=0,"",INDEX($AE$40:$AE$133,IFERROR(MATCH(91,$AB$40:$AB$133,0),0))&amp;"")</f>
        <v/>
      </c>
      <c r="T124" s="3" t="s">
        <v>147</v>
      </c>
      <c r="U124" s="3" t="s">
        <v>4</v>
      </c>
      <c r="V124" s="3" t="n">
        <f aca="false">SUMIFS(Lançamentos!$H$2:$H$607,Lançamentos!$A$2:$A$607,"&gt;="&amp;$F$5,Lançamentos!$A$2:$A$607,"&lt;="&amp;$H$5,Lançamentos!$C$2:$C$607,$T124,Lançamentos!$D$2:$D$607,$AG124,Lançamentos!$B$2:$B$607,"Recebido no 2008")</f>
        <v>4800</v>
      </c>
      <c r="W124" s="3" t="n">
        <f aca="false">SUMIFS(Lançamentos!$I$2:$I$607,Lançamentos!$A$2:$A$607,"&gt;="&amp;$F$5,Lançamentos!$A$2:$A$607,"&lt;="&amp;$H$5,Lançamentos!$C$2:$C$607,$T124,Lançamentos!$D$2:$D$607,$AG124)</f>
        <v>5280</v>
      </c>
      <c r="X124" s="3" t="n">
        <f aca="false">SUMIFS(Lançamentos!$J$2:$J$607,Lançamentos!$A$2:$A$607,"&gt;="&amp;$F$5,Lançamentos!$A$2:$A$607,"&lt;="&amp;$H$5,Lançamentos!$C$2:$C$607,$T124,Lançamentos!$D$2:$D$607,$AG124)</f>
        <v>0</v>
      </c>
      <c r="Y124" s="3" t="n">
        <f aca="false">SUMIFS('Estoque físico'!$J$2:$J$229,'Estoque físico'!$A$2:$A$229,$T124,'Estoque físico'!$B$2:$B$229,$AG124)</f>
        <v>5280</v>
      </c>
      <c r="Z124" s="3" t="n">
        <f aca="false">ROUND(Y124-(W124-X124),3)</f>
        <v>0</v>
      </c>
      <c r="AA124" s="3" t="n">
        <f aca="false">IF(AND(U124=$R$3,OR($R$1="*",T124=$R$1),OR($R$2="*",AG124=$R$2),ABS(V124)+ABS(W124)+ABS(X124)+ABS(Y124)&gt;0),1,0)</f>
        <v>1</v>
      </c>
      <c r="AB124" s="3" t="n">
        <f aca="false">IF(AA124=1,SUM(AA$40:AA124),"")</f>
        <v>72</v>
      </c>
      <c r="AC124" s="0" t="str">
        <f aca="false">IF(ABS(Z124)&lt;=$R$5,"Confere",IF(Z124&gt;0,"Sobrando","Faltando"))</f>
        <v>Confere</v>
      </c>
      <c r="AD124" s="3" t="n">
        <f aca="false">COUNTIFS(Lançamentos!$A$2:$A$607,"&gt;="&amp;$F$5,Lançamentos!$A$2:$A$607,"&lt;="&amp;$H$5,Lançamentos!$C$2:$C$607,$T124,Lançamentos!$D$2:$D$607,$AG124,Lançamentos!$B$2:$B$607,$R$4,Lançamentos!$G$2:$G$607,U124)</f>
        <v>14</v>
      </c>
      <c r="AE124" s="3" t="s">
        <v>225</v>
      </c>
      <c r="AF124" s="3" t="n">
        <f aca="false">IF(AND(AA124=1,AC124&lt;&gt;"Confere"),ABS(Z124)+ROW()/10000000,0)</f>
        <v>0</v>
      </c>
      <c r="AG124" s="3" t="s">
        <v>211</v>
      </c>
    </row>
    <row r="125" customFormat="false" ht="15" hidden="false" customHeight="false" outlineLevel="0" collapsed="false">
      <c r="A125" s="36" t="str">
        <f aca="false">IF(IFERROR(MATCH(92,$AB$40:$AB$133,0),0)=0,"",INDEX($T$40:$T$133,IFERROR(MATCH(92,$AB$40:$AB$133,0),0)))</f>
        <v/>
      </c>
      <c r="B125" s="36" t="str">
        <f aca="false">IF(IFERROR(MATCH(92,$AB$40:$AB$133,0),0)=0,"",INDEX($AG$40:$AG$133,IFERROR(MATCH(92,$AB$40:$AB$133,0),0)))</f>
        <v/>
      </c>
      <c r="C125" s="37" t="str">
        <f aca="false">IF(IFERROR(MATCH(92,$AB$40:$AB$133,0),0)=0,"",INDEX($U$40:$U$133,IFERROR(MATCH(92,$AB$40:$AB$133,0),0)))</f>
        <v/>
      </c>
      <c r="D125" s="38" t="str">
        <f aca="false">IF(IFERROR(MATCH(92,$AB$40:$AB$133,0),0)=0,"",INDEX($V$40:$V$133,IFERROR(MATCH(92,$AB$40:$AB$133,0),0)))</f>
        <v/>
      </c>
      <c r="E125" s="38" t="str">
        <f aca="false">IF(IFERROR(MATCH(92,$AB$40:$AB$133,0),0)=0,"",INDEX($W$40:$W$133,IFERROR(MATCH(92,$AB$40:$AB$133,0),0)))</f>
        <v/>
      </c>
      <c r="F125" s="38" t="str">
        <f aca="false">IF(IFERROR(MATCH(92,$AB$40:$AB$133,0),0)=0,"",INDEX($X$40:$X$133,IFERROR(MATCH(92,$AB$40:$AB$133,0),0)))</f>
        <v/>
      </c>
      <c r="G125" s="38" t="str">
        <f aca="false">IF(A125="","",E125-F125)</f>
        <v/>
      </c>
      <c r="H125" s="38" t="str">
        <f aca="false">IF(IFERROR(MATCH(92,$AB$40:$AB$133,0),0)=0,"",INDEX($Y$40:$Y$133,IFERROR(MATCH(92,$AB$40:$AB$133,0),0)))</f>
        <v/>
      </c>
      <c r="I125" s="39" t="str">
        <f aca="false">IF(IFERROR(MATCH(92,$AB$40:$AB$133,0),0)=0,"",INDEX($Z$40:$Z$133,IFERROR(MATCH(92,$AB$40:$AB$133,0),0)))</f>
        <v/>
      </c>
      <c r="J125" s="40" t="str">
        <f aca="false">IF(IFERROR(MATCH(92,$AB$40:$AB$133,0),0)=0,"",INDEX($AC$40:$AC$133,IFERROR(MATCH(92,$AB$40:$AB$133,0),0)))</f>
        <v/>
      </c>
      <c r="K125" s="41" t="str">
        <f aca="false">IF(IFERROR(MATCH(92,$AB$40:$AB$133,0),0)=0,"",INDEX($AD$40:$AD$133,IFERROR(MATCH(92,$AB$40:$AB$133,0),0)))</f>
        <v/>
      </c>
      <c r="L125" s="42" t="str">
        <f aca="false">IF(IFERROR(MATCH(92,$AB$40:$AB$133,0),0)=0,"",INDEX($AE$40:$AE$133,IFERROR(MATCH(92,$AB$40:$AB$133,0),0))&amp;"")</f>
        <v/>
      </c>
      <c r="T125" s="3" t="s">
        <v>151</v>
      </c>
      <c r="U125" s="3" t="s">
        <v>4</v>
      </c>
      <c r="V125" s="3" t="n">
        <f aca="false">SUMIFS(Lançamentos!$H$2:$H$607,Lançamentos!$A$2:$A$607,"&gt;="&amp;$F$5,Lançamentos!$A$2:$A$607,"&lt;="&amp;$H$5,Lançamentos!$C$2:$C$607,$T125,Lançamentos!$D$2:$D$607,$AG125,Lançamentos!$B$2:$B$607,"Recebido no 2008")</f>
        <v>400</v>
      </c>
      <c r="W125" s="3" t="n">
        <f aca="false">SUMIFS(Lançamentos!$I$2:$I$607,Lançamentos!$A$2:$A$607,"&gt;="&amp;$F$5,Lançamentos!$A$2:$A$607,"&lt;="&amp;$H$5,Lançamentos!$C$2:$C$607,$T125,Lançamentos!$D$2:$D$607,$AG125)</f>
        <v>0</v>
      </c>
      <c r="X125" s="3" t="n">
        <f aca="false">SUMIFS(Lançamentos!$J$2:$J$607,Lançamentos!$A$2:$A$607,"&gt;="&amp;$F$5,Lançamentos!$A$2:$A$607,"&lt;="&amp;$H$5,Lançamentos!$C$2:$C$607,$T125,Lançamentos!$D$2:$D$607,$AG125)</f>
        <v>0</v>
      </c>
      <c r="Y125" s="3" t="n">
        <f aca="false">SUMIFS('Estoque físico'!$J$2:$J$229,'Estoque físico'!$A$2:$A$229,$T125,'Estoque físico'!$B$2:$B$229,$AG125)</f>
        <v>0</v>
      </c>
      <c r="Z125" s="3" t="n">
        <f aca="false">ROUND(Y125-(W125-X125),3)</f>
        <v>0</v>
      </c>
      <c r="AA125" s="3" t="n">
        <f aca="false">IF(AND(U125=$R$3,OR($R$1="*",T125=$R$1),OR($R$2="*",AG125=$R$2),ABS(V125)+ABS(W125)+ABS(X125)+ABS(Y125)&gt;0),1,0)</f>
        <v>1</v>
      </c>
      <c r="AB125" s="3" t="n">
        <f aca="false">IF(AA125=1,SUM(AA$40:AA125),"")</f>
        <v>73</v>
      </c>
      <c r="AC125" s="0" t="str">
        <f aca="false">IF(ABS(Z125)&lt;=$R$5,"Confere",IF(Z125&gt;0,"Sobrando","Faltando"))</f>
        <v>Confere</v>
      </c>
      <c r="AD125" s="3" t="n">
        <f aca="false">COUNTIFS(Lançamentos!$A$2:$A$607,"&gt;="&amp;$F$5,Lançamentos!$A$2:$A$607,"&lt;="&amp;$H$5,Lançamentos!$C$2:$C$607,$T125,Lançamentos!$D$2:$D$607,$AG125,Lançamentos!$B$2:$B$607,$R$4,Lançamentos!$G$2:$G$607,U125)</f>
        <v>1</v>
      </c>
      <c r="AE125" s="3" t="s">
        <v>225</v>
      </c>
      <c r="AF125" s="3" t="n">
        <f aca="false">IF(AND(AA125=1,AC125&lt;&gt;"Confere"),ABS(Z125)+ROW()/10000000,0)</f>
        <v>0</v>
      </c>
      <c r="AG125" s="3" t="s">
        <v>212</v>
      </c>
    </row>
    <row r="126" customFormat="false" ht="15" hidden="false" customHeight="false" outlineLevel="0" collapsed="false">
      <c r="A126" s="36" t="str">
        <f aca="false">IF(IFERROR(MATCH(93,$AB$40:$AB$133,0),0)=0,"",INDEX($T$40:$T$133,IFERROR(MATCH(93,$AB$40:$AB$133,0),0)))</f>
        <v/>
      </c>
      <c r="B126" s="36" t="str">
        <f aca="false">IF(IFERROR(MATCH(93,$AB$40:$AB$133,0),0)=0,"",INDEX($AG$40:$AG$133,IFERROR(MATCH(93,$AB$40:$AB$133,0),0)))</f>
        <v/>
      </c>
      <c r="C126" s="37" t="str">
        <f aca="false">IF(IFERROR(MATCH(93,$AB$40:$AB$133,0),0)=0,"",INDEX($U$40:$U$133,IFERROR(MATCH(93,$AB$40:$AB$133,0),0)))</f>
        <v/>
      </c>
      <c r="D126" s="38" t="str">
        <f aca="false">IF(IFERROR(MATCH(93,$AB$40:$AB$133,0),0)=0,"",INDEX($V$40:$V$133,IFERROR(MATCH(93,$AB$40:$AB$133,0),0)))</f>
        <v/>
      </c>
      <c r="E126" s="38" t="str">
        <f aca="false">IF(IFERROR(MATCH(93,$AB$40:$AB$133,0),0)=0,"",INDEX($W$40:$W$133,IFERROR(MATCH(93,$AB$40:$AB$133,0),0)))</f>
        <v/>
      </c>
      <c r="F126" s="38" t="str">
        <f aca="false">IF(IFERROR(MATCH(93,$AB$40:$AB$133,0),0)=0,"",INDEX($X$40:$X$133,IFERROR(MATCH(93,$AB$40:$AB$133,0),0)))</f>
        <v/>
      </c>
      <c r="G126" s="38" t="str">
        <f aca="false">IF(A126="","",E126-F126)</f>
        <v/>
      </c>
      <c r="H126" s="38" t="str">
        <f aca="false">IF(IFERROR(MATCH(93,$AB$40:$AB$133,0),0)=0,"",INDEX($Y$40:$Y$133,IFERROR(MATCH(93,$AB$40:$AB$133,0),0)))</f>
        <v/>
      </c>
      <c r="I126" s="39" t="str">
        <f aca="false">IF(IFERROR(MATCH(93,$AB$40:$AB$133,0),0)=0,"",INDEX($Z$40:$Z$133,IFERROR(MATCH(93,$AB$40:$AB$133,0),0)))</f>
        <v/>
      </c>
      <c r="J126" s="40" t="str">
        <f aca="false">IF(IFERROR(MATCH(93,$AB$40:$AB$133,0),0)=0,"",INDEX($AC$40:$AC$133,IFERROR(MATCH(93,$AB$40:$AB$133,0),0)))</f>
        <v/>
      </c>
      <c r="K126" s="41" t="str">
        <f aca="false">IF(IFERROR(MATCH(93,$AB$40:$AB$133,0),0)=0,"",INDEX($AD$40:$AD$133,IFERROR(MATCH(93,$AB$40:$AB$133,0),0)))</f>
        <v/>
      </c>
      <c r="L126" s="42" t="str">
        <f aca="false">IF(IFERROR(MATCH(93,$AB$40:$AB$133,0),0)=0,"",INDEX($AE$40:$AE$133,IFERROR(MATCH(93,$AB$40:$AB$133,0),0))&amp;"")</f>
        <v/>
      </c>
      <c r="T126" s="3" t="s">
        <v>151</v>
      </c>
      <c r="U126" s="3" t="s">
        <v>4</v>
      </c>
      <c r="V126" s="3" t="n">
        <f aca="false">SUMIFS(Lançamentos!$H$2:$H$607,Lançamentos!$A$2:$A$607,"&gt;="&amp;$F$5,Lançamentos!$A$2:$A$607,"&lt;="&amp;$H$5,Lançamentos!$C$2:$C$607,$T126,Lançamentos!$D$2:$D$607,$AG126,Lançamentos!$B$2:$B$607,"Recebido no 2008")</f>
        <v>0</v>
      </c>
      <c r="W126" s="3" t="n">
        <f aca="false">SUMIFS(Lançamentos!$I$2:$I$607,Lançamentos!$A$2:$A$607,"&gt;="&amp;$F$5,Lançamentos!$A$2:$A$607,"&lt;="&amp;$H$5,Lançamentos!$C$2:$C$607,$T126,Lançamentos!$D$2:$D$607,$AG126)</f>
        <v>400</v>
      </c>
      <c r="X126" s="3" t="n">
        <f aca="false">SUMIFS(Lançamentos!$J$2:$J$607,Lançamentos!$A$2:$A$607,"&gt;="&amp;$F$5,Lançamentos!$A$2:$A$607,"&lt;="&amp;$H$5,Lançamentos!$C$2:$C$607,$T126,Lançamentos!$D$2:$D$607,$AG126)</f>
        <v>120</v>
      </c>
      <c r="Y126" s="3" t="n">
        <f aca="false">SUMIFS('Estoque físico'!$J$2:$J$229,'Estoque físico'!$A$2:$A$229,$T126,'Estoque físico'!$B$2:$B$229,$AG126)</f>
        <v>280</v>
      </c>
      <c r="Z126" s="3" t="n">
        <f aca="false">ROUND(Y126-(W126-X126),3)</f>
        <v>0</v>
      </c>
      <c r="AA126" s="3" t="n">
        <f aca="false">IF(AND(U126=$R$3,OR($R$1="*",T126=$R$1),OR($R$2="*",AG126=$R$2),ABS(V126)+ABS(W126)+ABS(X126)+ABS(Y126)&gt;0),1,0)</f>
        <v>1</v>
      </c>
      <c r="AB126" s="3" t="n">
        <f aca="false">IF(AA126=1,SUM(AA$40:AA126),"")</f>
        <v>74</v>
      </c>
      <c r="AC126" s="0" t="str">
        <f aca="false">IF(ABS(Z126)&lt;=$R$5,"Confere",IF(Z126&gt;0,"Sobrando","Faltando"))</f>
        <v>Confere</v>
      </c>
      <c r="AD126" s="3" t="n">
        <f aca="false">COUNTIFS(Lançamentos!$A$2:$A$607,"&gt;="&amp;$F$5,Lançamentos!$A$2:$A$607,"&lt;="&amp;$H$5,Lançamentos!$C$2:$C$607,$T126,Lançamentos!$D$2:$D$607,$AG126,Lançamentos!$B$2:$B$607,$R$4,Lançamentos!$G$2:$G$607,U126)</f>
        <v>13</v>
      </c>
      <c r="AE126" s="3" t="s">
        <v>225</v>
      </c>
      <c r="AF126" s="3" t="n">
        <f aca="false">IF(AND(AA126=1,AC126&lt;&gt;"Confere"),ABS(Z126)+ROW()/10000000,0)</f>
        <v>0</v>
      </c>
      <c r="AG126" s="3" t="s">
        <v>213</v>
      </c>
    </row>
    <row r="127" customFormat="false" ht="15" hidden="false" customHeight="false" outlineLevel="0" collapsed="false">
      <c r="A127" s="36" t="str">
        <f aca="false">IF(IFERROR(MATCH(94,$AB$40:$AB$133,0),0)=0,"",INDEX($T$40:$T$133,IFERROR(MATCH(94,$AB$40:$AB$133,0),0)))</f>
        <v/>
      </c>
      <c r="B127" s="36" t="str">
        <f aca="false">IF(IFERROR(MATCH(94,$AB$40:$AB$133,0),0)=0,"",INDEX($AG$40:$AG$133,IFERROR(MATCH(94,$AB$40:$AB$133,0),0)))</f>
        <v/>
      </c>
      <c r="C127" s="37" t="str">
        <f aca="false">IF(IFERROR(MATCH(94,$AB$40:$AB$133,0),0)=0,"",INDEX($U$40:$U$133,IFERROR(MATCH(94,$AB$40:$AB$133,0),0)))</f>
        <v/>
      </c>
      <c r="D127" s="38" t="str">
        <f aca="false">IF(IFERROR(MATCH(94,$AB$40:$AB$133,0),0)=0,"",INDEX($V$40:$V$133,IFERROR(MATCH(94,$AB$40:$AB$133,0),0)))</f>
        <v/>
      </c>
      <c r="E127" s="38" t="str">
        <f aca="false">IF(IFERROR(MATCH(94,$AB$40:$AB$133,0),0)=0,"",INDEX($W$40:$W$133,IFERROR(MATCH(94,$AB$40:$AB$133,0),0)))</f>
        <v/>
      </c>
      <c r="F127" s="38" t="str">
        <f aca="false">IF(IFERROR(MATCH(94,$AB$40:$AB$133,0),0)=0,"",INDEX($X$40:$X$133,IFERROR(MATCH(94,$AB$40:$AB$133,0),0)))</f>
        <v/>
      </c>
      <c r="G127" s="38" t="str">
        <f aca="false">IF(A127="","",E127-F127)</f>
        <v/>
      </c>
      <c r="H127" s="38" t="str">
        <f aca="false">IF(IFERROR(MATCH(94,$AB$40:$AB$133,0),0)=0,"",INDEX($Y$40:$Y$133,IFERROR(MATCH(94,$AB$40:$AB$133,0),0)))</f>
        <v/>
      </c>
      <c r="I127" s="39" t="str">
        <f aca="false">IF(IFERROR(MATCH(94,$AB$40:$AB$133,0),0)=0,"",INDEX($Z$40:$Z$133,IFERROR(MATCH(94,$AB$40:$AB$133,0),0)))</f>
        <v/>
      </c>
      <c r="J127" s="40" t="str">
        <f aca="false">IF(IFERROR(MATCH(94,$AB$40:$AB$133,0),0)=0,"",INDEX($AC$40:$AC$133,IFERROR(MATCH(94,$AB$40:$AB$133,0),0)))</f>
        <v/>
      </c>
      <c r="K127" s="41" t="str">
        <f aca="false">IF(IFERROR(MATCH(94,$AB$40:$AB$133,0),0)=0,"",INDEX($AD$40:$AD$133,IFERROR(MATCH(94,$AB$40:$AB$133,0),0)))</f>
        <v/>
      </c>
      <c r="L127" s="42" t="str">
        <f aca="false">IF(IFERROR(MATCH(94,$AB$40:$AB$133,0),0)=0,"",INDEX($AE$40:$AE$133,IFERROR(MATCH(94,$AB$40:$AB$133,0),0))&amp;"")</f>
        <v/>
      </c>
      <c r="T127" s="3" t="s">
        <v>154</v>
      </c>
      <c r="U127" s="3" t="s">
        <v>4</v>
      </c>
      <c r="V127" s="3" t="n">
        <f aca="false">SUMIFS(Lançamentos!$H$2:$H$607,Lançamentos!$A$2:$A$607,"&gt;="&amp;$F$5,Lançamentos!$A$2:$A$607,"&lt;="&amp;$H$5,Lançamentos!$C$2:$C$607,$T127,Lançamentos!$D$2:$D$607,$AG127,Lançamentos!$B$2:$B$607,"Recebido no 2008")</f>
        <v>1920</v>
      </c>
      <c r="W127" s="3" t="n">
        <f aca="false">SUMIFS(Lançamentos!$I$2:$I$607,Lançamentos!$A$2:$A$607,"&gt;="&amp;$F$5,Lançamentos!$A$2:$A$607,"&lt;="&amp;$H$5,Lançamentos!$C$2:$C$607,$T127,Lançamentos!$D$2:$D$607,$AG127)</f>
        <v>0</v>
      </c>
      <c r="X127" s="3" t="n">
        <f aca="false">SUMIFS(Lançamentos!$J$2:$J$607,Lançamentos!$A$2:$A$607,"&gt;="&amp;$F$5,Lançamentos!$A$2:$A$607,"&lt;="&amp;$H$5,Lançamentos!$C$2:$C$607,$T127,Lançamentos!$D$2:$D$607,$AG127)</f>
        <v>0</v>
      </c>
      <c r="Y127" s="3" t="n">
        <f aca="false">SUMIFS('Estoque físico'!$J$2:$J$229,'Estoque físico'!$A$2:$A$229,$T127,'Estoque físico'!$B$2:$B$229,$AG127)</f>
        <v>0</v>
      </c>
      <c r="Z127" s="3" t="n">
        <f aca="false">ROUND(Y127-(W127-X127),3)</f>
        <v>0</v>
      </c>
      <c r="AA127" s="3" t="n">
        <f aca="false">IF(AND(U127=$R$3,OR($R$1="*",T127=$R$1),OR($R$2="*",AG127=$R$2),ABS(V127)+ABS(W127)+ABS(X127)+ABS(Y127)&gt;0),1,0)</f>
        <v>1</v>
      </c>
      <c r="AB127" s="3" t="n">
        <f aca="false">IF(AA127=1,SUM(AA$40:AA127),"")</f>
        <v>75</v>
      </c>
      <c r="AC127" s="0" t="str">
        <f aca="false">IF(ABS(Z127)&lt;=$R$5,"Confere",IF(Z127&gt;0,"Sobrando","Faltando"))</f>
        <v>Confere</v>
      </c>
      <c r="AD127" s="3" t="n">
        <f aca="false">COUNTIFS(Lançamentos!$A$2:$A$607,"&gt;="&amp;$F$5,Lançamentos!$A$2:$A$607,"&lt;="&amp;$H$5,Lançamentos!$C$2:$C$607,$T127,Lançamentos!$D$2:$D$607,$AG127,Lançamentos!$B$2:$B$607,$R$4,Lançamentos!$G$2:$G$607,U127)</f>
        <v>1</v>
      </c>
      <c r="AF127" s="3" t="n">
        <f aca="false">IF(AND(AA127=1,AC127&lt;&gt;"Confere"),ABS(Z127)+ROW()/10000000,0)</f>
        <v>0</v>
      </c>
      <c r="AG127" s="3" t="s">
        <v>214</v>
      </c>
    </row>
    <row r="128" customFormat="false" ht="15" hidden="false" customHeight="false" outlineLevel="0" collapsed="false">
      <c r="A128" s="2"/>
      <c r="B128" s="2"/>
      <c r="C128" s="2"/>
      <c r="D128" s="2"/>
      <c r="E128" s="2"/>
      <c r="F128" s="2"/>
      <c r="G128" s="2"/>
      <c r="H128" s="2"/>
      <c r="I128" s="2"/>
      <c r="J128" s="2"/>
      <c r="K128" s="2"/>
      <c r="L128" s="2"/>
      <c r="T128" s="3" t="s">
        <v>156</v>
      </c>
      <c r="U128" s="3" t="s">
        <v>4</v>
      </c>
      <c r="V128" s="3" t="n">
        <f aca="false">SUMIFS(Lançamentos!$H$2:$H$607,Lançamentos!$A$2:$A$607,"&gt;="&amp;$F$5,Lançamentos!$A$2:$A$607,"&lt;="&amp;$H$5,Lançamentos!$C$2:$C$607,$T128,Lançamentos!$D$2:$D$607,$AG128,Lançamentos!$B$2:$B$607,"Recebido no 2008")</f>
        <v>3840</v>
      </c>
      <c r="W128" s="3" t="n">
        <f aca="false">SUMIFS(Lançamentos!$I$2:$I$607,Lançamentos!$A$2:$A$607,"&gt;="&amp;$F$5,Lançamentos!$A$2:$A$607,"&lt;="&amp;$H$5,Lançamentos!$C$2:$C$607,$T128,Lançamentos!$D$2:$D$607,$AG128)</f>
        <v>1000</v>
      </c>
      <c r="X128" s="3" t="n">
        <f aca="false">SUMIFS(Lançamentos!$J$2:$J$607,Lançamentos!$A$2:$A$607,"&gt;="&amp;$F$5,Lançamentos!$A$2:$A$607,"&lt;="&amp;$H$5,Lançamentos!$C$2:$C$607,$T128,Lançamentos!$D$2:$D$607,$AG128)</f>
        <v>0</v>
      </c>
      <c r="Y128" s="3" t="n">
        <f aca="false">SUMIFS('Estoque físico'!$J$2:$J$229,'Estoque físico'!$A$2:$A$229,$T128,'Estoque físico'!$B$2:$B$229,$AG128)</f>
        <v>1000</v>
      </c>
      <c r="Z128" s="3" t="n">
        <f aca="false">ROUND(Y128-(W128-X128),3)</f>
        <v>0</v>
      </c>
      <c r="AA128" s="3" t="n">
        <f aca="false">IF(AND(U128=$R$3,OR($R$1="*",T128=$R$1),OR($R$2="*",AG128=$R$2),ABS(V128)+ABS(W128)+ABS(X128)+ABS(Y128)&gt;0),1,0)</f>
        <v>1</v>
      </c>
      <c r="AB128" s="3" t="n">
        <f aca="false">IF(AA128=1,SUM(AA$40:AA128),"")</f>
        <v>76</v>
      </c>
      <c r="AC128" s="0" t="str">
        <f aca="false">IF(ABS(Z128)&lt;=$R$5,"Confere",IF(Z128&gt;0,"Sobrando","Faltando"))</f>
        <v>Confere</v>
      </c>
      <c r="AD128" s="3" t="n">
        <f aca="false">COUNTIFS(Lançamentos!$A$2:$A$607,"&gt;="&amp;$F$5,Lançamentos!$A$2:$A$607,"&lt;="&amp;$H$5,Lançamentos!$C$2:$C$607,$T128,Lançamentos!$D$2:$D$607,$AG128,Lançamentos!$B$2:$B$607,$R$4,Lançamentos!$G$2:$G$607,U128)</f>
        <v>2</v>
      </c>
      <c r="AF128" s="3" t="n">
        <f aca="false">IF(AND(AA128=1,AC128&lt;&gt;"Confere"),ABS(Z128)+ROW()/10000000,0)</f>
        <v>0</v>
      </c>
      <c r="AG128" s="3" t="s">
        <v>216</v>
      </c>
    </row>
    <row r="129" customFormat="false" ht="15" hidden="false" customHeight="false" outlineLevel="0" collapsed="false">
      <c r="A129" s="32" t="s">
        <v>226</v>
      </c>
      <c r="B129" s="2"/>
      <c r="C129" s="2"/>
      <c r="D129" s="2"/>
      <c r="E129" s="2"/>
      <c r="F129" s="2"/>
      <c r="G129" s="2"/>
      <c r="H129" s="2"/>
      <c r="I129" s="2"/>
      <c r="J129" s="2"/>
      <c r="K129" s="2"/>
      <c r="L129" s="2"/>
      <c r="T129" s="3" t="s">
        <v>160</v>
      </c>
      <c r="U129" s="3" t="s">
        <v>4</v>
      </c>
      <c r="V129" s="3" t="n">
        <f aca="false">SUMIFS(Lançamentos!$H$2:$H$607,Lançamentos!$A$2:$A$607,"&gt;="&amp;$F$5,Lançamentos!$A$2:$A$607,"&lt;="&amp;$H$5,Lançamentos!$C$2:$C$607,$T129,Lançamentos!$D$2:$D$607,$AG129,Lançamentos!$B$2:$B$607,"Recebido no 2008")</f>
        <v>0</v>
      </c>
      <c r="W129" s="3" t="n">
        <f aca="false">SUMIFS(Lançamentos!$I$2:$I$607,Lançamentos!$A$2:$A$607,"&gt;="&amp;$F$5,Lançamentos!$A$2:$A$607,"&lt;="&amp;$H$5,Lançamentos!$C$2:$C$607,$T129,Lançamentos!$D$2:$D$607,$AG129)</f>
        <v>53.2</v>
      </c>
      <c r="X129" s="3" t="n">
        <f aca="false">SUMIFS(Lançamentos!$J$2:$J$607,Lançamentos!$A$2:$A$607,"&gt;="&amp;$F$5,Lançamentos!$A$2:$A$607,"&lt;="&amp;$H$5,Lançamentos!$C$2:$C$607,$T129,Lançamentos!$D$2:$D$607,$AG129)</f>
        <v>19.6</v>
      </c>
      <c r="Y129" s="3" t="n">
        <f aca="false">SUMIFS('Estoque físico'!$J$2:$J$229,'Estoque físico'!$A$2:$A$229,$T129,'Estoque físico'!$B$2:$B$229,$AG129)</f>
        <v>33.6</v>
      </c>
      <c r="Z129" s="3" t="n">
        <f aca="false">ROUND(Y129-(W129-X129),3)</f>
        <v>0</v>
      </c>
      <c r="AA129" s="3" t="n">
        <f aca="false">IF(AND(U129=$R$3,OR($R$1="*",T129=$R$1),OR($R$2="*",AG129=$R$2),ABS(V129)+ABS(W129)+ABS(X129)+ABS(Y129)&gt;0),1,0)</f>
        <v>1</v>
      </c>
      <c r="AB129" s="3" t="n">
        <f aca="false">IF(AA129=1,SUM(AA$40:AA129),"")</f>
        <v>77</v>
      </c>
      <c r="AC129" s="0" t="str">
        <f aca="false">IF(ABS(Z129)&lt;=$R$5,"Confere",IF(Z129&gt;0,"Sobrando","Faltando"))</f>
        <v>Confere</v>
      </c>
      <c r="AD129" s="3" t="n">
        <f aca="false">COUNTIFS(Lançamentos!$A$2:$A$607,"&gt;="&amp;$F$5,Lançamentos!$A$2:$A$607,"&lt;="&amp;$H$5,Lançamentos!$C$2:$C$607,$T129,Lançamentos!$D$2:$D$607,$AG129,Lançamentos!$B$2:$B$607,$R$4,Lançamentos!$G$2:$G$607,U129)</f>
        <v>2</v>
      </c>
      <c r="AE129" s="3" t="s">
        <v>186</v>
      </c>
      <c r="AF129" s="3" t="n">
        <f aca="false">IF(AND(AA129=1,AC129&lt;&gt;"Confere"),ABS(Z129)+ROW()/10000000,0)</f>
        <v>0</v>
      </c>
      <c r="AG129" s="3" t="s">
        <v>217</v>
      </c>
    </row>
    <row r="130" customFormat="false" ht="15" hidden="false" customHeight="false" outlineLevel="0" collapsed="false">
      <c r="A130" s="32" t="s">
        <v>227</v>
      </c>
      <c r="B130" s="2"/>
      <c r="C130" s="2"/>
      <c r="D130" s="2"/>
      <c r="E130" s="2"/>
      <c r="F130" s="2"/>
      <c r="G130" s="2"/>
      <c r="H130" s="2"/>
      <c r="I130" s="2"/>
      <c r="J130" s="2"/>
      <c r="K130" s="2"/>
      <c r="L130" s="2"/>
      <c r="T130" s="3" t="s">
        <v>160</v>
      </c>
      <c r="U130" s="3" t="s">
        <v>4</v>
      </c>
      <c r="V130" s="3" t="n">
        <f aca="false">SUMIFS(Lançamentos!$H$2:$H$607,Lançamentos!$A$2:$A$607,"&gt;="&amp;$F$5,Lançamentos!$A$2:$A$607,"&lt;="&amp;$H$5,Lançamentos!$C$2:$C$607,$T130,Lançamentos!$D$2:$D$607,$AG130,Lançamentos!$B$2:$B$607,"Recebido no 2008")</f>
        <v>0</v>
      </c>
      <c r="W130" s="3" t="n">
        <f aca="false">SUMIFS(Lançamentos!$I$2:$I$607,Lançamentos!$A$2:$A$607,"&gt;="&amp;$F$5,Lançamentos!$A$2:$A$607,"&lt;="&amp;$H$5,Lançamentos!$C$2:$C$607,$T130,Lançamentos!$D$2:$D$607,$AG130)</f>
        <v>627.2</v>
      </c>
      <c r="X130" s="3" t="n">
        <f aca="false">SUMIFS(Lançamentos!$J$2:$J$607,Lançamentos!$A$2:$A$607,"&gt;="&amp;$F$5,Lançamentos!$A$2:$A$607,"&lt;="&amp;$H$5,Lançamentos!$C$2:$C$607,$T130,Lançamentos!$D$2:$D$607,$AG130)</f>
        <v>0</v>
      </c>
      <c r="Y130" s="3" t="n">
        <f aca="false">SUMIFS('Estoque físico'!$J$2:$J$229,'Estoque físico'!$A$2:$A$229,$T130,'Estoque físico'!$B$2:$B$229,$AG130)</f>
        <v>627.2</v>
      </c>
      <c r="Z130" s="3" t="n">
        <f aca="false">ROUND(Y130-(W130-X130),3)</f>
        <v>0</v>
      </c>
      <c r="AA130" s="3" t="n">
        <f aca="false">IF(AND(U130=$R$3,OR($R$1="*",T130=$R$1),OR($R$2="*",AG130=$R$2),ABS(V130)+ABS(W130)+ABS(X130)+ABS(Y130)&gt;0),1,0)</f>
        <v>1</v>
      </c>
      <c r="AB130" s="3" t="n">
        <f aca="false">IF(AA130=1,SUM(AA$40:AA130),"")</f>
        <v>78</v>
      </c>
      <c r="AC130" s="0" t="str">
        <f aca="false">IF(ABS(Z130)&lt;=$R$5,"Confere",IF(Z130&gt;0,"Sobrando","Faltando"))</f>
        <v>Confere</v>
      </c>
      <c r="AD130" s="3" t="n">
        <f aca="false">COUNTIFS(Lançamentos!$A$2:$A$607,"&gt;="&amp;$F$5,Lançamentos!$A$2:$A$607,"&lt;="&amp;$H$5,Lançamentos!$C$2:$C$607,$T130,Lançamentos!$D$2:$D$607,$AG130,Lançamentos!$B$2:$B$607,$R$4,Lançamentos!$G$2:$G$607,U130)</f>
        <v>1</v>
      </c>
      <c r="AE130" s="3" t="s">
        <v>186</v>
      </c>
      <c r="AF130" s="3" t="n">
        <f aca="false">IF(AND(AA130=1,AC130&lt;&gt;"Confere"),ABS(Z130)+ROW()/10000000,0)</f>
        <v>0</v>
      </c>
      <c r="AG130" s="3" t="s">
        <v>218</v>
      </c>
    </row>
    <row r="131" customFormat="false" ht="15" hidden="false" customHeight="false" outlineLevel="0" collapsed="false">
      <c r="A131" s="2"/>
      <c r="B131" s="2"/>
      <c r="C131" s="2"/>
      <c r="D131" s="2"/>
      <c r="E131" s="2"/>
      <c r="F131" s="2"/>
      <c r="G131" s="2"/>
      <c r="H131" s="2"/>
      <c r="I131" s="2"/>
      <c r="J131" s="2"/>
      <c r="K131" s="2"/>
      <c r="L131" s="2"/>
      <c r="T131" s="3" t="s">
        <v>160</v>
      </c>
      <c r="U131" s="3" t="s">
        <v>4</v>
      </c>
      <c r="V131" s="3" t="n">
        <f aca="false">SUMIFS(Lançamentos!$H$2:$H$607,Lançamentos!$A$2:$A$607,"&gt;="&amp;$F$5,Lançamentos!$A$2:$A$607,"&lt;="&amp;$H$5,Lançamentos!$C$2:$C$607,$T131,Lançamentos!$D$2:$D$607,$AG131,Lançamentos!$B$2:$B$607,"Recebido no 2008")</f>
        <v>204.4</v>
      </c>
      <c r="W131" s="3" t="n">
        <f aca="false">SUMIFS(Lançamentos!$I$2:$I$607,Lançamentos!$A$2:$A$607,"&gt;="&amp;$F$5,Lançamentos!$A$2:$A$607,"&lt;="&amp;$H$5,Lançamentos!$C$2:$C$607,$T131,Lançamentos!$D$2:$D$607,$AG131)</f>
        <v>0</v>
      </c>
      <c r="X131" s="3" t="n">
        <f aca="false">SUMIFS(Lançamentos!$J$2:$J$607,Lançamentos!$A$2:$A$607,"&gt;="&amp;$F$5,Lançamentos!$A$2:$A$607,"&lt;="&amp;$H$5,Lançamentos!$C$2:$C$607,$T131,Lançamentos!$D$2:$D$607,$AG131)</f>
        <v>0</v>
      </c>
      <c r="Y131" s="3" t="n">
        <f aca="false">SUMIFS('Estoque físico'!$J$2:$J$229,'Estoque físico'!$A$2:$A$229,$T131,'Estoque físico'!$B$2:$B$229,$AG131)</f>
        <v>0</v>
      </c>
      <c r="Z131" s="3" t="n">
        <f aca="false">ROUND(Y131-(W131-X131),3)</f>
        <v>0</v>
      </c>
      <c r="AA131" s="3" t="n">
        <f aca="false">IF(AND(U131=$R$3,OR($R$1="*",T131=$R$1),OR($R$2="*",AG131=$R$2),ABS(V131)+ABS(W131)+ABS(X131)+ABS(Y131)&gt;0),1,0)</f>
        <v>1</v>
      </c>
      <c r="AB131" s="3" t="n">
        <f aca="false">IF(AA131=1,SUM(AA$40:AA131),"")</f>
        <v>79</v>
      </c>
      <c r="AC131" s="0" t="str">
        <f aca="false">IF(ABS(Z131)&lt;=$R$5,"Confere",IF(Z131&gt;0,"Sobrando","Faltando"))</f>
        <v>Confere</v>
      </c>
      <c r="AD131" s="3" t="n">
        <f aca="false">COUNTIFS(Lançamentos!$A$2:$A$607,"&gt;="&amp;$F$5,Lançamentos!$A$2:$A$607,"&lt;="&amp;$H$5,Lançamentos!$C$2:$C$607,$T131,Lançamentos!$D$2:$D$607,$AG131,Lançamentos!$B$2:$B$607,$R$4,Lançamentos!$G$2:$G$607,U131)</f>
        <v>1</v>
      </c>
      <c r="AE131" s="3" t="s">
        <v>186</v>
      </c>
      <c r="AF131" s="3" t="n">
        <f aca="false">IF(AND(AA131=1,AC131&lt;&gt;"Confere"),ABS(Z131)+ROW()/10000000,0)</f>
        <v>0</v>
      </c>
      <c r="AG131" s="3" t="s">
        <v>219</v>
      </c>
    </row>
    <row r="132" customFormat="false" ht="15" hidden="false" customHeight="false" outlineLevel="0" collapsed="false">
      <c r="A132" s="2"/>
      <c r="B132" s="2"/>
      <c r="C132" s="2"/>
      <c r="D132" s="2"/>
      <c r="E132" s="2"/>
      <c r="F132" s="2"/>
      <c r="G132" s="2"/>
      <c r="H132" s="2"/>
      <c r="I132" s="2"/>
      <c r="J132" s="2"/>
      <c r="K132" s="2"/>
      <c r="L132" s="2"/>
      <c r="T132" s="3" t="s">
        <v>160</v>
      </c>
      <c r="U132" s="3" t="s">
        <v>4</v>
      </c>
      <c r="V132" s="3" t="n">
        <f aca="false">SUMIFS(Lançamentos!$H$2:$H$607,Lançamentos!$A$2:$A$607,"&gt;="&amp;$F$5,Lançamentos!$A$2:$A$607,"&lt;="&amp;$H$5,Lançamentos!$C$2:$C$607,$T132,Lançamentos!$D$2:$D$607,$AG132,Lançamentos!$B$2:$B$607,"Recebido no 2008")</f>
        <v>638.4</v>
      </c>
      <c r="W132" s="3" t="n">
        <f aca="false">SUMIFS(Lançamentos!$I$2:$I$607,Lançamentos!$A$2:$A$607,"&gt;="&amp;$F$5,Lançamentos!$A$2:$A$607,"&lt;="&amp;$H$5,Lançamentos!$C$2:$C$607,$T132,Lançamentos!$D$2:$D$607,$AG132)</f>
        <v>0</v>
      </c>
      <c r="X132" s="3" t="n">
        <f aca="false">SUMIFS(Lançamentos!$J$2:$J$607,Lançamentos!$A$2:$A$607,"&gt;="&amp;$F$5,Lançamentos!$A$2:$A$607,"&lt;="&amp;$H$5,Lançamentos!$C$2:$C$607,$T132,Lançamentos!$D$2:$D$607,$AG132)</f>
        <v>0</v>
      </c>
      <c r="Y132" s="3" t="n">
        <f aca="false">SUMIFS('Estoque físico'!$J$2:$J$229,'Estoque físico'!$A$2:$A$229,$T132,'Estoque físico'!$B$2:$B$229,$AG132)</f>
        <v>0</v>
      </c>
      <c r="Z132" s="3" t="n">
        <f aca="false">ROUND(Y132-(W132-X132),3)</f>
        <v>0</v>
      </c>
      <c r="AA132" s="3" t="n">
        <f aca="false">IF(AND(U132=$R$3,OR($R$1="*",T132=$R$1),OR($R$2="*",AG132=$R$2),ABS(V132)+ABS(W132)+ABS(X132)+ABS(Y132)&gt;0),1,0)</f>
        <v>1</v>
      </c>
      <c r="AB132" s="3" t="n">
        <f aca="false">IF(AA132=1,SUM(AA$40:AA132),"")</f>
        <v>80</v>
      </c>
      <c r="AC132" s="0" t="str">
        <f aca="false">IF(ABS(Z132)&lt;=$R$5,"Confere",IF(Z132&gt;0,"Sobrando","Faltando"))</f>
        <v>Confere</v>
      </c>
      <c r="AD132" s="3" t="n">
        <f aca="false">COUNTIFS(Lançamentos!$A$2:$A$607,"&gt;="&amp;$F$5,Lançamentos!$A$2:$A$607,"&lt;="&amp;$H$5,Lançamentos!$C$2:$C$607,$T132,Lançamentos!$D$2:$D$607,$AG132,Lançamentos!$B$2:$B$607,$R$4,Lançamentos!$G$2:$G$607,U132)</f>
        <v>2</v>
      </c>
      <c r="AE132" s="3" t="s">
        <v>186</v>
      </c>
      <c r="AF132" s="3" t="n">
        <f aca="false">IF(AND(AA132=1,AC132&lt;&gt;"Confere"),ABS(Z132)+ROW()/10000000,0)</f>
        <v>0</v>
      </c>
      <c r="AG132" s="3" t="s">
        <v>220</v>
      </c>
    </row>
    <row r="133" customFormat="false" ht="15" hidden="false" customHeight="false" outlineLevel="0" collapsed="false">
      <c r="A133" s="2"/>
      <c r="B133" s="2"/>
      <c r="C133" s="2"/>
      <c r="D133" s="2"/>
      <c r="E133" s="2"/>
      <c r="F133" s="2"/>
      <c r="G133" s="2"/>
      <c r="H133" s="2"/>
      <c r="I133" s="2"/>
      <c r="J133" s="2"/>
      <c r="K133" s="2"/>
      <c r="L133" s="2"/>
      <c r="T133" s="3" t="s">
        <v>160</v>
      </c>
      <c r="U133" s="3" t="s">
        <v>4</v>
      </c>
      <c r="V133" s="3" t="n">
        <f aca="false">SUMIFS(Lançamentos!$H$2:$H$607,Lançamentos!$A$2:$A$607,"&gt;="&amp;$F$5,Lançamentos!$A$2:$A$607,"&lt;="&amp;$H$5,Lançamentos!$C$2:$C$607,$T133,Lançamentos!$D$2:$D$607,$AG133,Lançamentos!$B$2:$B$607,"Recebido no 2008")</f>
        <v>1979.6</v>
      </c>
      <c r="W133" s="3" t="n">
        <f aca="false">SUMIFS(Lançamentos!$I$2:$I$607,Lançamentos!$A$2:$A$607,"&gt;="&amp;$F$5,Lançamentos!$A$2:$A$607,"&lt;="&amp;$H$5,Lançamentos!$C$2:$C$607,$T133,Lançamentos!$D$2:$D$607,$AG133)</f>
        <v>0</v>
      </c>
      <c r="X133" s="3" t="n">
        <f aca="false">SUMIFS(Lançamentos!$J$2:$J$607,Lançamentos!$A$2:$A$607,"&gt;="&amp;$F$5,Lançamentos!$A$2:$A$607,"&lt;="&amp;$H$5,Lançamentos!$C$2:$C$607,$T133,Lançamentos!$D$2:$D$607,$AG133)</f>
        <v>0</v>
      </c>
      <c r="Y133" s="3" t="n">
        <f aca="false">SUMIFS('Estoque físico'!$J$2:$J$229,'Estoque físico'!$A$2:$A$229,$T133,'Estoque físico'!$B$2:$B$229,$AG133)</f>
        <v>0</v>
      </c>
      <c r="Z133" s="3" t="n">
        <f aca="false">ROUND(Y133-(W133-X133),3)</f>
        <v>0</v>
      </c>
      <c r="AA133" s="3" t="n">
        <f aca="false">IF(AND(U133=$R$3,OR($R$1="*",T133=$R$1),OR($R$2="*",AG133=$R$2),ABS(V133)+ABS(W133)+ABS(X133)+ABS(Y133)&gt;0),1,0)</f>
        <v>1</v>
      </c>
      <c r="AB133" s="3" t="n">
        <f aca="false">IF(AA133=1,SUM(AA$40:AA133),"")</f>
        <v>81</v>
      </c>
      <c r="AC133" s="0" t="str">
        <f aca="false">IF(ABS(Z133)&lt;=$R$5,"Confere",IF(Z133&gt;0,"Sobrando","Faltando"))</f>
        <v>Confere</v>
      </c>
      <c r="AD133" s="3" t="n">
        <f aca="false">COUNTIFS(Lançamentos!$A$2:$A$607,"&gt;="&amp;$F$5,Lançamentos!$A$2:$A$607,"&lt;="&amp;$H$5,Lançamentos!$C$2:$C$607,$T133,Lançamentos!$D$2:$D$607,$AG133,Lançamentos!$B$2:$B$607,$R$4,Lançamentos!$G$2:$G$607,U133)</f>
        <v>2</v>
      </c>
      <c r="AE133" s="3" t="s">
        <v>186</v>
      </c>
      <c r="AF133" s="3" t="n">
        <f aca="false">IF(AND(AA133=1,AC133&lt;&gt;"Confere"),ABS(Z133)+ROW()/10000000,0)</f>
        <v>0</v>
      </c>
      <c r="AG133" s="3" t="s">
        <v>221</v>
      </c>
    </row>
    <row r="134" customFormat="false" ht="15" hidden="false" customHeight="false" outlineLevel="0" collapsed="false">
      <c r="A134" s="2"/>
      <c r="B134" s="2"/>
      <c r="C134" s="2"/>
      <c r="D134" s="2"/>
      <c r="E134" s="2"/>
      <c r="F134" s="2"/>
      <c r="G134" s="2"/>
      <c r="H134" s="2"/>
      <c r="I134" s="2"/>
      <c r="J134" s="2"/>
      <c r="K134" s="2"/>
      <c r="L134" s="2"/>
    </row>
    <row r="135" customFormat="false" ht="15" hidden="false" customHeight="false" outlineLevel="0" collapsed="false">
      <c r="A135" s="2"/>
      <c r="B135" s="2"/>
      <c r="C135" s="2"/>
      <c r="D135" s="2"/>
      <c r="E135" s="2"/>
      <c r="F135" s="2"/>
      <c r="G135" s="2"/>
      <c r="H135" s="2"/>
      <c r="I135" s="2"/>
      <c r="J135" s="2"/>
      <c r="K135" s="2"/>
      <c r="L135" s="2"/>
    </row>
    <row r="136" customFormat="false" ht="15" hidden="false" customHeight="false" outlineLevel="0" collapsed="false">
      <c r="A136" s="2"/>
      <c r="B136" s="2"/>
      <c r="C136" s="2"/>
      <c r="D136" s="2"/>
      <c r="E136" s="2"/>
      <c r="F136" s="2"/>
      <c r="G136" s="2"/>
      <c r="H136" s="2"/>
      <c r="I136" s="2"/>
      <c r="J136" s="2"/>
      <c r="K136" s="2"/>
      <c r="L136" s="2"/>
    </row>
    <row r="137" customFormat="false" ht="15" hidden="false" customHeight="false" outlineLevel="0" collapsed="false">
      <c r="A137" s="2"/>
      <c r="B137" s="2"/>
      <c r="C137" s="2"/>
      <c r="D137" s="2"/>
      <c r="E137" s="2"/>
      <c r="F137" s="2"/>
      <c r="G137" s="2"/>
      <c r="H137" s="2"/>
      <c r="I137" s="2"/>
      <c r="J137" s="2"/>
      <c r="K137" s="2"/>
      <c r="L137" s="2"/>
    </row>
    <row r="138" customFormat="false" ht="15" hidden="false" customHeight="false" outlineLevel="0" collapsed="false">
      <c r="A138" s="2"/>
      <c r="B138" s="2"/>
      <c r="C138" s="2"/>
      <c r="D138" s="2"/>
      <c r="E138" s="2"/>
      <c r="F138" s="2"/>
      <c r="G138" s="2"/>
      <c r="H138" s="2"/>
      <c r="I138" s="2"/>
      <c r="J138" s="2"/>
      <c r="K138" s="2"/>
      <c r="L138" s="2"/>
    </row>
    <row r="139" customFormat="false" ht="15" hidden="false" customHeight="false" outlineLevel="0" collapsed="false">
      <c r="A139" s="2"/>
      <c r="B139" s="2"/>
      <c r="C139" s="2"/>
      <c r="D139" s="2"/>
      <c r="E139" s="2"/>
      <c r="F139" s="2"/>
      <c r="G139" s="2"/>
      <c r="H139" s="2"/>
      <c r="I139" s="2"/>
      <c r="J139" s="2"/>
      <c r="K139" s="2"/>
      <c r="L139" s="2"/>
    </row>
  </sheetData>
  <mergeCells count="20">
    <mergeCell ref="A5:C5"/>
    <mergeCell ref="D5:E5"/>
    <mergeCell ref="F5:G5"/>
    <mergeCell ref="H5:I5"/>
    <mergeCell ref="K5:L5"/>
    <mergeCell ref="A9:B9"/>
    <mergeCell ref="C9:E9"/>
    <mergeCell ref="F9:G9"/>
    <mergeCell ref="H9:I9"/>
    <mergeCell ref="J9:K9"/>
    <mergeCell ref="A10:B10"/>
    <mergeCell ref="C10:E10"/>
    <mergeCell ref="F10:G10"/>
    <mergeCell ref="H10:I10"/>
    <mergeCell ref="J10:K10"/>
    <mergeCell ref="A11:B11"/>
    <mergeCell ref="C11:E11"/>
    <mergeCell ref="F11:G11"/>
    <mergeCell ref="H11:I11"/>
    <mergeCell ref="J11:K11"/>
  </mergeCells>
  <conditionalFormatting sqref="J10">
    <cfRule type="cellIs" priority="2" operator="lessThan" aboveAverage="0" equalAverage="0" bottom="0" percent="0" rank="0" text="" dxfId="0">
      <formula>-$R$5</formula>
    </cfRule>
    <cfRule type="cellIs" priority="3" operator="greaterThan" aboveAverage="0" equalAverage="0" bottom="0" percent="0" rank="0" text="" dxfId="1">
      <formula>$R$5</formula>
    </cfRule>
    <cfRule type="expression" priority="4" aboveAverage="0" equalAverage="0" bottom="0" percent="0" rank="0" text="" dxfId="2">
      <formula>ABS($J$10)&lt;=$R$5</formula>
    </cfRule>
  </conditionalFormatting>
  <conditionalFormatting sqref="J34:J127">
    <cfRule type="expression" priority="5" aboveAverage="0" equalAverage="0" bottom="0" percent="0" rank="0" text="" dxfId="3">
      <formula>J34="Confere"</formula>
    </cfRule>
    <cfRule type="expression" priority="6" aboveAverage="0" equalAverage="0" bottom="0" percent="0" rank="0" text="" dxfId="4">
      <formula>J34="Sobrando"</formula>
    </cfRule>
    <cfRule type="expression" priority="7" aboveAverage="0" equalAverage="0" bottom="0" percent="0" rank="0" text="" dxfId="5">
      <formula>J34="Faltando"</formula>
    </cfRule>
  </conditionalFormatting>
  <conditionalFormatting sqref="I34:I127">
    <cfRule type="expression" priority="8" aboveAverage="0" equalAverage="0" bottom="0" percent="0" rank="0" text="" dxfId="6">
      <formula>AND(ISNUMBER(I34),I34&lt;-$R$5)</formula>
    </cfRule>
  </conditionalFormatting>
  <conditionalFormatting sqref="A34:L127">
    <cfRule type="expression" priority="9" aboveAverage="0" equalAverage="0" bottom="0" percent="0" rank="0" text="" dxfId="7">
      <formula>$A34=""</formula>
    </cfRule>
  </conditionalFormatting>
  <dataValidations count="6">
    <dataValidation allowBlank="false" error="Escolha um item da lista." errorStyle="stop" errorTitle="Valor inválido" operator="between" prompt="Clique na seta ▼ e escolha o SKU (ou Todos)." promptTitle="Filtro" showDropDown="false" showErrorMessage="true" showInputMessage="true" sqref="A5:C5" type="list">
      <formula1>ListaProdutos</formula1>
      <formula2>0</formula2>
    </dataValidation>
    <dataValidation allowBlank="false" error="Escolha um item da lista." errorStyle="stop" errorTitle="Valor inválido" operator="between" prompt="Mostra só os lotes do SKU escolhido. Escolha Todos para ver todos." promptTitle="Filtro" showDropDown="false" showErrorMessage="true" showInputMessage="true" sqref="D5:E5" type="list">
      <formula1>ListaLotes</formula1>
      <formula2>0</formula2>
    </dataValidation>
    <dataValidation allowBlank="false" error="Escolha um item da lista." errorStyle="stop" errorTitle="Valor inválido" operator="between" prompt="Escolha a data inicial." promptTitle="Filtro" showDropDown="false" showErrorMessage="true" showInputMessage="true" sqref="F5:G5" type="list">
      <formula1>ListaDatas</formula1>
      <formula2>0</formula2>
    </dataValidation>
    <dataValidation allowBlank="false" error="Escolha um item da lista." errorStyle="stop" errorTitle="Valor inválido" operator="between" prompt="Escolha a data final." promptTitle="Filtro" showDropDown="false" showErrorMessage="true" showInputMessage="true" sqref="H5:I5" type="list">
      <formula1>ListaDatas</formula1>
      <formula2>0</formula2>
    </dataValidation>
    <dataValidation allowBlank="false" error="Escolha um item da lista." errorStyle="stop" errorTitle="Valor inválido" operator="between" prompt="KG, UN ou CX. Com um SKU escolhido, vale a unidade dele." promptTitle="Filtro" showDropDown="false" showErrorMessage="true" showInputMessage="true" sqref="J5" type="list">
      <formula1>ListaUnidades</formula1>
      <formula2>0</formula2>
    </dataValidation>
    <dataValidation allowBlank="false" error="Escolha um item da lista." errorStyle="stop" errorTitle="Valor inválido" operator="between" prompt="Filtra o gráfico por dia e a coluna Lançamentos." promptTitle="Filtro" showDropDown="false" showErrorMessage="true" showInputMessage="true" sqref="K5:L5" type="list">
      <formula1>ListaMovimentacao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1A1F"/>
    <pageSetUpPr fitToPage="false"/>
  </sheetPr>
  <dimension ref="A1:K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2" topLeftCell="C13" activePane="bottomRight" state="frozen"/>
      <selection pane="topLeft" activeCell="A1" activeCellId="0" sqref="A1"/>
      <selection pane="topRight" activeCell="C1" activeCellId="0" sqref="C1"/>
      <selection pane="bottomLeft" activeCell="A13" activeCellId="0" sqref="A13"/>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34"/>
    <col collapsed="false" customWidth="true" hidden="false" outlineLevel="0" max="4" min="4" style="0" width="6"/>
    <col collapsed="false" customWidth="true" hidden="false" outlineLevel="0" max="6" min="5" style="0" width="12"/>
    <col collapsed="false" customWidth="true" hidden="false" outlineLevel="0" max="7" min="7" style="0" width="13"/>
    <col collapsed="false" customWidth="true" hidden="false" outlineLevel="0" max="8" min="8" style="0" width="14"/>
    <col collapsed="false" customWidth="true" hidden="false" outlineLevel="0" max="10" min="9" style="0" width="12"/>
    <col collapsed="false" customWidth="true" hidden="false" outlineLevel="0" max="11" min="11" style="0" width="52"/>
  </cols>
  <sheetData>
    <row r="1" customFormat="false" ht="26.8" hidden="false" customHeight="false" outlineLevel="0" collapsed="false">
      <c r="A1" s="44" t="s">
        <v>87</v>
      </c>
    </row>
    <row r="2" customFormat="false" ht="15" hidden="false" customHeight="false" outlineLevel="0" collapsed="false">
      <c r="A2" s="45" t="s">
        <v>228</v>
      </c>
    </row>
    <row r="4" customFormat="false" ht="15" hidden="false" customHeight="false" outlineLevel="0" collapsed="false">
      <c r="A4" s="46" t="s">
        <v>229</v>
      </c>
    </row>
    <row r="5" customFormat="false" ht="15" hidden="false" customHeight="false" outlineLevel="0" collapsed="false">
      <c r="A5" s="47" t="s">
        <v>230</v>
      </c>
    </row>
    <row r="6" customFormat="false" ht="15" hidden="false" customHeight="false" outlineLevel="0" collapsed="false">
      <c r="A6" s="47" t="s">
        <v>231</v>
      </c>
    </row>
    <row r="8" customFormat="false" ht="15" hidden="false" customHeight="false" outlineLevel="0" collapsed="false">
      <c r="A8" s="48" t="s">
        <v>232</v>
      </c>
      <c r="B8" s="48"/>
      <c r="C8" s="49" t="s">
        <v>233</v>
      </c>
      <c r="D8" s="49"/>
      <c r="E8" s="50" t="s">
        <v>234</v>
      </c>
      <c r="F8" s="50"/>
    </row>
    <row r="9" customFormat="false" ht="33.75" hidden="false" customHeight="true" outlineLevel="0" collapsed="false">
      <c r="A9" s="51" t="n">
        <f aca="false">COUNTIF($J$13:$J$106,"Confere")</f>
        <v>66</v>
      </c>
      <c r="B9" s="51"/>
      <c r="C9" s="52" t="n">
        <f aca="false">COUNTIF($J$13:$J$106,"Sobrando")</f>
        <v>23</v>
      </c>
      <c r="D9" s="52"/>
      <c r="E9" s="53" t="n">
        <f aca="false">COUNTIF($J$13:$J$106,"Faltando")</f>
        <v>5</v>
      </c>
      <c r="F9" s="53"/>
    </row>
    <row r="12" customFormat="false" ht="24" hidden="false" customHeight="true" outlineLevel="0" collapsed="false">
      <c r="A12" s="33" t="s">
        <v>14</v>
      </c>
      <c r="B12" s="33" t="s">
        <v>15</v>
      </c>
      <c r="C12" s="33" t="s">
        <v>99</v>
      </c>
      <c r="D12" s="33" t="s">
        <v>90</v>
      </c>
      <c r="E12" s="33" t="s">
        <v>92</v>
      </c>
      <c r="F12" s="33" t="s">
        <v>93</v>
      </c>
      <c r="G12" s="33" t="s">
        <v>94</v>
      </c>
      <c r="H12" s="33" t="s">
        <v>95</v>
      </c>
      <c r="I12" s="33" t="s">
        <v>96</v>
      </c>
      <c r="J12" s="33" t="s">
        <v>97</v>
      </c>
      <c r="K12" s="33" t="s">
        <v>235</v>
      </c>
    </row>
    <row r="13" customFormat="false" ht="15" hidden="false" customHeight="false" outlineLevel="0" collapsed="false">
      <c r="A13" s="54" t="s">
        <v>69</v>
      </c>
      <c r="B13" s="54" t="s">
        <v>120</v>
      </c>
      <c r="C13" s="55" t="s">
        <v>119</v>
      </c>
      <c r="D13" s="56" t="s">
        <v>4</v>
      </c>
      <c r="E13" s="57" t="n">
        <f aca="false">SUMIFS('Cruzamento por Lote'!$E$5:$E$98,'Cruzamento por Lote'!$A$5:$A$98,$A13,'Cruzamento por Lote'!$B$5:$B$98,$B13)</f>
        <v>2673.3</v>
      </c>
      <c r="F13" s="57" t="n">
        <f aca="false">SUMIFS('Cruzamento por Lote'!$F$5:$F$98,'Cruzamento por Lote'!$A$5:$A$98,$A13,'Cruzamento por Lote'!$B$5:$B$98,$B13)</f>
        <v>1005</v>
      </c>
      <c r="G13" s="57" t="n">
        <f aca="false">E13-F13</f>
        <v>1668.3</v>
      </c>
      <c r="H13" s="57" t="n">
        <f aca="false">SUMIFS('Cruzamento por Lote'!$H$5:$H$98,'Cruzamento por Lote'!$A$5:$A$98,$A13,'Cruzamento por Lote'!$B$5:$B$98,$B13)</f>
        <v>1226.1</v>
      </c>
      <c r="I13" s="58" t="n">
        <f aca="false">ROUND(H13-G13,2)</f>
        <v>-442.2</v>
      </c>
      <c r="J13" s="59" t="str">
        <f aca="false">IF(ABS(I13)&lt;=Resumo!$C$7,"Confere",IF(I13&gt;0,"Sobrando","Faltando"))</f>
        <v>Faltando</v>
      </c>
      <c r="K13" s="55" t="str">
        <f aca="false">IF(J13="Confere","Nada a fazer",IF(J13="Faltando","Procurar saída, ajuste ou devolução que não está na lista",IF(F13&gt;E13,"Saiu mais do que entrou: confirmar o estoque que já existia antes de 09/09","Conferir estoque de antes de 09/09 ou entrada não lançada")))</f>
        <v>Procurar saída, ajuste ou devolução que não está na lista</v>
      </c>
    </row>
    <row r="14" customFormat="false" ht="15" hidden="false" customHeight="false" outlineLevel="0" collapsed="false">
      <c r="A14" s="54" t="s">
        <v>88</v>
      </c>
      <c r="B14" s="54" t="s">
        <v>124</v>
      </c>
      <c r="C14" s="55"/>
      <c r="D14" s="56" t="s">
        <v>4</v>
      </c>
      <c r="E14" s="57" t="n">
        <f aca="false">SUMIFS('Cruzamento por Lote'!$E$5:$E$98,'Cruzamento por Lote'!$A$5:$A$98,$A14,'Cruzamento por Lote'!$B$5:$B$98,$B14)</f>
        <v>261.12</v>
      </c>
      <c r="F14" s="57" t="n">
        <f aca="false">SUMIFS('Cruzamento por Lote'!$F$5:$F$98,'Cruzamento por Lote'!$A$5:$A$98,$A14,'Cruzamento por Lote'!$B$5:$B$98,$B14)</f>
        <v>0</v>
      </c>
      <c r="G14" s="57" t="n">
        <f aca="false">E14-F14</f>
        <v>261.12</v>
      </c>
      <c r="H14" s="57" t="n">
        <f aca="false">SUMIFS('Cruzamento por Lote'!$H$5:$H$98,'Cruzamento por Lote'!$A$5:$A$98,$A14,'Cruzamento por Lote'!$B$5:$B$98,$B14)</f>
        <v>0</v>
      </c>
      <c r="I14" s="58" t="n">
        <f aca="false">ROUND(H14-G14,2)</f>
        <v>-261.12</v>
      </c>
      <c r="J14" s="59" t="str">
        <f aca="false">IF(ABS(I14)&lt;=Resumo!$C$7,"Confere",IF(I14&gt;0,"Sobrando","Faltando"))</f>
        <v>Faltando</v>
      </c>
      <c r="K14" s="55" t="str">
        <f aca="false">IF(J14="Confere","Nada a fazer",IF(J14="Faltando","Procurar saída, ajuste ou devolução que não está na lista",IF(F14&gt;E14,"Saiu mais do que entrou: confirmar o estoque que já existia antes de 09/09","Conferir estoque de antes de 09/09 ou entrada não lançada")))</f>
        <v>Procurar saída, ajuste ou devolução que não está na lista</v>
      </c>
    </row>
    <row r="15" customFormat="false" ht="15" hidden="false" customHeight="false" outlineLevel="0" collapsed="false">
      <c r="A15" s="54" t="s">
        <v>51</v>
      </c>
      <c r="B15" s="54" t="s">
        <v>70</v>
      </c>
      <c r="C15" s="55" t="s">
        <v>128</v>
      </c>
      <c r="D15" s="56" t="s">
        <v>4</v>
      </c>
      <c r="E15" s="57" t="n">
        <f aca="false">SUMIFS('Cruzamento por Lote'!$E$5:$E$98,'Cruzamento por Lote'!$A$5:$A$98,$A15,'Cruzamento por Lote'!$B$5:$B$98,$B15)</f>
        <v>480</v>
      </c>
      <c r="F15" s="57" t="n">
        <f aca="false">SUMIFS('Cruzamento por Lote'!$F$5:$F$98,'Cruzamento por Lote'!$A$5:$A$98,$A15,'Cruzamento por Lote'!$B$5:$B$98,$B15)</f>
        <v>60</v>
      </c>
      <c r="G15" s="57" t="n">
        <f aca="false">E15-F15</f>
        <v>420</v>
      </c>
      <c r="H15" s="57" t="n">
        <f aca="false">SUMIFS('Cruzamento por Lote'!$H$5:$H$98,'Cruzamento por Lote'!$A$5:$A$98,$A15,'Cruzamento por Lote'!$B$5:$B$98,$B15)</f>
        <v>210</v>
      </c>
      <c r="I15" s="58" t="n">
        <f aca="false">ROUND(H15-G15,2)</f>
        <v>-210</v>
      </c>
      <c r="J15" s="59" t="str">
        <f aca="false">IF(ABS(I15)&lt;=Resumo!$C$7,"Confere",IF(I15&gt;0,"Sobrando","Faltando"))</f>
        <v>Faltando</v>
      </c>
      <c r="K15" s="55" t="str">
        <f aca="false">IF(J15="Confere","Nada a fazer",IF(J15="Faltando","Procurar saída, ajuste ou devolução que não está na lista",IF(F15&gt;E15,"Saiu mais do que entrou: confirmar o estoque que já existia antes de 09/09","Conferir estoque de antes de 09/09 ou entrada não lançada")))</f>
        <v>Procurar saída, ajuste ou devolução que não está na lista</v>
      </c>
    </row>
    <row r="16" customFormat="false" ht="15" hidden="false" customHeight="false" outlineLevel="0" collapsed="false">
      <c r="A16" s="54" t="s">
        <v>131</v>
      </c>
      <c r="B16" s="54" t="s">
        <v>133</v>
      </c>
      <c r="C16" s="55" t="s">
        <v>132</v>
      </c>
      <c r="D16" s="56" t="s">
        <v>12</v>
      </c>
      <c r="E16" s="57" t="n">
        <f aca="false">SUMIFS('Cruzamento por Lote'!$E$5:$E$98,'Cruzamento por Lote'!$A$5:$A$98,$A16,'Cruzamento por Lote'!$B$5:$B$98,$B16)</f>
        <v>487</v>
      </c>
      <c r="F16" s="57" t="n">
        <f aca="false">SUMIFS('Cruzamento por Lote'!$F$5:$F$98,'Cruzamento por Lote'!$A$5:$A$98,$A16,'Cruzamento por Lote'!$B$5:$B$98,$B16)</f>
        <v>0</v>
      </c>
      <c r="G16" s="57" t="n">
        <f aca="false">E16-F16</f>
        <v>487</v>
      </c>
      <c r="H16" s="57" t="n">
        <f aca="false">SUMIFS('Cruzamento por Lote'!$H$5:$H$98,'Cruzamento por Lote'!$A$5:$A$98,$A16,'Cruzamento por Lote'!$B$5:$B$98,$B16)</f>
        <v>367</v>
      </c>
      <c r="I16" s="58" t="n">
        <f aca="false">ROUND(H16-G16,2)</f>
        <v>-120</v>
      </c>
      <c r="J16" s="59" t="str">
        <f aca="false">IF(ABS(I16)&lt;=Resumo!$C$7,"Confere",IF(I16&gt;0,"Sobrando","Faltando"))</f>
        <v>Faltando</v>
      </c>
      <c r="K16" s="55" t="str">
        <f aca="false">IF(J16="Confere","Nada a fazer",IF(J16="Faltando","Procurar saída, ajuste ou devolução que não está na lista",IF(F16&gt;E16,"Saiu mais do que entrou: confirmar o estoque que já existia antes de 09/09","Conferir estoque de antes de 09/09 ou entrada não lançada")))</f>
        <v>Procurar saída, ajuste ou devolução que não está na lista</v>
      </c>
    </row>
    <row r="17" customFormat="false" ht="15" hidden="false" customHeight="false" outlineLevel="0" collapsed="false">
      <c r="A17" s="54" t="s">
        <v>53</v>
      </c>
      <c r="B17" s="54" t="s">
        <v>76</v>
      </c>
      <c r="C17" s="55" t="s">
        <v>137</v>
      </c>
      <c r="D17" s="56" t="s">
        <v>9</v>
      </c>
      <c r="E17" s="57" t="n">
        <f aca="false">SUMIFS('Cruzamento por Lote'!$E$5:$E$98,'Cruzamento por Lote'!$A$5:$A$98,$A17,'Cruzamento por Lote'!$B$5:$B$98,$B17)</f>
        <v>30</v>
      </c>
      <c r="F17" s="57" t="n">
        <f aca="false">SUMIFS('Cruzamento por Lote'!$F$5:$F$98,'Cruzamento por Lote'!$A$5:$A$98,$A17,'Cruzamento por Lote'!$B$5:$B$98,$B17)</f>
        <v>0</v>
      </c>
      <c r="G17" s="57" t="n">
        <f aca="false">E17-F17</f>
        <v>30</v>
      </c>
      <c r="H17" s="57" t="n">
        <f aca="false">SUMIFS('Cruzamento por Lote'!$H$5:$H$98,'Cruzamento por Lote'!$A$5:$A$98,$A17,'Cruzamento por Lote'!$B$5:$B$98,$B17)</f>
        <v>4.219</v>
      </c>
      <c r="I17" s="58" t="n">
        <f aca="false">ROUND(H17-G17,2)</f>
        <v>-25.78</v>
      </c>
      <c r="J17" s="59" t="str">
        <f aca="false">IF(ABS(I17)&lt;=Resumo!$C$7,"Confere",IF(I17&gt;0,"Sobrando","Faltando"))</f>
        <v>Faltando</v>
      </c>
      <c r="K17" s="55" t="str">
        <f aca="false">IF(J17="Confere","Nada a fazer",IF(J17="Faltando","Procurar saída, ajuste ou devolução que não está na lista",IF(F17&gt;E17,"Saiu mais do que entrou: confirmar o estoque que já existia antes de 09/09","Conferir estoque de antes de 09/09 ou entrada não lançada")))</f>
        <v>Procurar saída, ajuste ou devolução que não está na lista</v>
      </c>
    </row>
    <row r="18" customFormat="false" ht="15" hidden="false" customHeight="false" outlineLevel="0" collapsed="false">
      <c r="A18" s="54" t="s">
        <v>29</v>
      </c>
      <c r="B18" s="54" t="s">
        <v>34</v>
      </c>
      <c r="C18" s="55" t="s">
        <v>141</v>
      </c>
      <c r="D18" s="56" t="s">
        <v>4</v>
      </c>
      <c r="E18" s="57" t="n">
        <f aca="false">SUMIFS('Cruzamento por Lote'!$E$5:$E$98,'Cruzamento por Lote'!$A$5:$A$98,$A18,'Cruzamento por Lote'!$B$5:$B$98,$B18)</f>
        <v>2.8</v>
      </c>
      <c r="F18" s="57" t="n">
        <f aca="false">SUMIFS('Cruzamento por Lote'!$F$5:$F$98,'Cruzamento por Lote'!$A$5:$A$98,$A18,'Cruzamento por Lote'!$B$5:$B$98,$B18)</f>
        <v>226.8</v>
      </c>
      <c r="G18" s="57" t="n">
        <f aca="false">E18-F18</f>
        <v>-224</v>
      </c>
      <c r="H18" s="57" t="n">
        <f aca="false">SUMIFS('Cruzamento por Lote'!$H$5:$H$98,'Cruzamento por Lote'!$A$5:$A$98,$A18,'Cruzamento por Lote'!$B$5:$B$98,$B18)</f>
        <v>5513.2</v>
      </c>
      <c r="I18" s="58" t="n">
        <f aca="false">ROUND(H18-G18,2)</f>
        <v>5737.2</v>
      </c>
      <c r="J18" s="59" t="str">
        <f aca="false">IF(ABS(I18)&lt;=Resumo!$C$7,"Confere",IF(I18&gt;0,"Sobrando","Faltando"))</f>
        <v>Sobrando</v>
      </c>
      <c r="K18" s="55" t="str">
        <f aca="false">IF(J18="Confere","Nada a fazer",IF(J18="Faltando","Procurar saída, ajuste ou devolução que não está na lista",IF(F18&gt;E18,"Saiu mais do que entrou: confirmar o estoque que já existia antes de 09/09","Conferir estoque de antes de 09/09 ou entrada não lançada")))</f>
        <v>Saiu mais do que entrou: confirmar o estoque que já existia antes de 09/09</v>
      </c>
    </row>
    <row r="19" customFormat="false" ht="15" hidden="false" customHeight="false" outlineLevel="0" collapsed="false">
      <c r="A19" s="54" t="s">
        <v>81</v>
      </c>
      <c r="B19" s="54" t="s">
        <v>145</v>
      </c>
      <c r="C19" s="55" t="s">
        <v>144</v>
      </c>
      <c r="D19" s="56" t="s">
        <v>4</v>
      </c>
      <c r="E19" s="57" t="n">
        <f aca="false">SUMIFS('Cruzamento por Lote'!$E$5:$E$98,'Cruzamento por Lote'!$A$5:$A$98,$A19,'Cruzamento por Lote'!$B$5:$B$98,$B19)</f>
        <v>966</v>
      </c>
      <c r="F19" s="57" t="n">
        <f aca="false">SUMIFS('Cruzamento por Lote'!$F$5:$F$98,'Cruzamento por Lote'!$A$5:$A$98,$A19,'Cruzamento por Lote'!$B$5:$B$98,$B19)</f>
        <v>906</v>
      </c>
      <c r="G19" s="57" t="n">
        <f aca="false">E19-F19</f>
        <v>60</v>
      </c>
      <c r="H19" s="57" t="n">
        <f aca="false">SUMIFS('Cruzamento por Lote'!$H$5:$H$98,'Cruzamento por Lote'!$A$5:$A$98,$A19,'Cruzamento por Lote'!$B$5:$B$98,$B19)</f>
        <v>3754.998</v>
      </c>
      <c r="I19" s="58" t="n">
        <f aca="false">ROUND(H19-G19,2)</f>
        <v>3695</v>
      </c>
      <c r="J19" s="59" t="str">
        <f aca="false">IF(ABS(I19)&lt;=Resumo!$C$7,"Confere",IF(I19&gt;0,"Sobrando","Faltando"))</f>
        <v>Sobrando</v>
      </c>
      <c r="K19" s="55" t="str">
        <f aca="false">IF(J19="Confere","Nada a fazer",IF(J19="Faltando","Procurar saída, ajuste ou devolução que não está na lista",IF(F19&gt;E19,"Saiu mais do que entrou: confirmar o estoque que já existia antes de 09/09","Conferir estoque de antes de 09/09 ou entrada não lançada")))</f>
        <v>Conferir estoque de antes de 09/09 ou entrada não lançada</v>
      </c>
    </row>
    <row r="20" customFormat="false" ht="15" hidden="false" customHeight="false" outlineLevel="0" collapsed="false">
      <c r="A20" s="54" t="s">
        <v>61</v>
      </c>
      <c r="B20" s="54" t="s">
        <v>107</v>
      </c>
      <c r="C20" s="55" t="s">
        <v>149</v>
      </c>
      <c r="D20" s="56" t="s">
        <v>4</v>
      </c>
      <c r="E20" s="57" t="n">
        <f aca="false">SUMIFS('Cruzamento por Lote'!$E$5:$E$98,'Cruzamento por Lote'!$A$5:$A$98,$A20,'Cruzamento por Lote'!$B$5:$B$98,$B20)</f>
        <v>240</v>
      </c>
      <c r="F20" s="57" t="n">
        <f aca="false">SUMIFS('Cruzamento por Lote'!$F$5:$F$98,'Cruzamento por Lote'!$A$5:$A$98,$A20,'Cruzamento por Lote'!$B$5:$B$98,$B20)</f>
        <v>6</v>
      </c>
      <c r="G20" s="57" t="n">
        <f aca="false">E20-F20</f>
        <v>234</v>
      </c>
      <c r="H20" s="57" t="n">
        <f aca="false">SUMIFS('Cruzamento por Lote'!$H$5:$H$98,'Cruzamento por Lote'!$A$5:$A$98,$A20,'Cruzamento por Lote'!$B$5:$B$98,$B20)</f>
        <v>3432</v>
      </c>
      <c r="I20" s="58" t="n">
        <f aca="false">ROUND(H20-G20,2)</f>
        <v>3198</v>
      </c>
      <c r="J20" s="59" t="str">
        <f aca="false">IF(ABS(I20)&lt;=Resumo!$C$7,"Confere",IF(I20&gt;0,"Sobrando","Faltando"))</f>
        <v>Sobrando</v>
      </c>
      <c r="K20" s="55" t="str">
        <f aca="false">IF(J20="Confere","Nada a fazer",IF(J20="Faltando","Procurar saída, ajuste ou devolução que não está na lista",IF(F20&gt;E20,"Saiu mais do que entrou: confirmar o estoque que já existia antes de 09/09","Conferir estoque de antes de 09/09 ou entrada não lançada")))</f>
        <v>Conferir estoque de antes de 09/09 ou entrada não lançada</v>
      </c>
    </row>
    <row r="21" customFormat="false" ht="15" hidden="false" customHeight="false" outlineLevel="0" collapsed="false">
      <c r="A21" s="54" t="s">
        <v>41</v>
      </c>
      <c r="B21" s="54" t="s">
        <v>62</v>
      </c>
      <c r="C21" s="55" t="s">
        <v>141</v>
      </c>
      <c r="D21" s="56" t="s">
        <v>4</v>
      </c>
      <c r="E21" s="57" t="n">
        <f aca="false">SUMIFS('Cruzamento por Lote'!$E$5:$E$98,'Cruzamento por Lote'!$A$5:$A$98,$A21,'Cruzamento por Lote'!$B$5:$B$98,$B21)</f>
        <v>2.8</v>
      </c>
      <c r="F21" s="57" t="n">
        <f aca="false">SUMIFS('Cruzamento por Lote'!$F$5:$F$98,'Cruzamento por Lote'!$A$5:$A$98,$A21,'Cruzamento por Lote'!$B$5:$B$98,$B21)</f>
        <v>677.6</v>
      </c>
      <c r="G21" s="57" t="n">
        <f aca="false">E21-F21</f>
        <v>-674.8</v>
      </c>
      <c r="H21" s="57" t="n">
        <f aca="false">SUMIFS('Cruzamento por Lote'!$H$5:$H$98,'Cruzamento por Lote'!$A$5:$A$98,$A21,'Cruzamento por Lote'!$B$5:$B$98,$B21)</f>
        <v>1853.6</v>
      </c>
      <c r="I21" s="58" t="n">
        <f aca="false">ROUND(H21-G21,2)</f>
        <v>2528.4</v>
      </c>
      <c r="J21" s="59" t="str">
        <f aca="false">IF(ABS(I21)&lt;=Resumo!$C$7,"Confere",IF(I21&gt;0,"Sobrando","Faltando"))</f>
        <v>Sobrando</v>
      </c>
      <c r="K21" s="55" t="str">
        <f aca="false">IF(J21="Confere","Nada a fazer",IF(J21="Faltando","Procurar saída, ajuste ou devolução que não está na lista",IF(F21&gt;E21,"Saiu mais do que entrou: confirmar o estoque que já existia antes de 09/09","Conferir estoque de antes de 09/09 ou entrada não lançada")))</f>
        <v>Saiu mais do que entrou: confirmar o estoque que já existia antes de 09/09</v>
      </c>
    </row>
    <row r="22" customFormat="false" ht="15" hidden="false" customHeight="false" outlineLevel="0" collapsed="false">
      <c r="A22" s="54" t="s">
        <v>23</v>
      </c>
      <c r="B22" s="54" t="s">
        <v>24</v>
      </c>
      <c r="C22" s="55" t="s">
        <v>141</v>
      </c>
      <c r="D22" s="56" t="s">
        <v>4</v>
      </c>
      <c r="E22" s="57" t="n">
        <f aca="false">SUMIFS('Cruzamento por Lote'!$E$5:$E$98,'Cruzamento por Lote'!$A$5:$A$98,$A22,'Cruzamento por Lote'!$B$5:$B$98,$B22)</f>
        <v>313.6</v>
      </c>
      <c r="F22" s="57" t="n">
        <f aca="false">SUMIFS('Cruzamento por Lote'!$F$5:$F$98,'Cruzamento por Lote'!$A$5:$A$98,$A22,'Cruzamento por Lote'!$B$5:$B$98,$B22)</f>
        <v>221.2</v>
      </c>
      <c r="G22" s="57" t="n">
        <f aca="false">E22-F22</f>
        <v>92.4</v>
      </c>
      <c r="H22" s="57" t="n">
        <f aca="false">SUMIFS('Cruzamento por Lote'!$H$5:$H$98,'Cruzamento por Lote'!$A$5:$A$98,$A22,'Cruzamento por Lote'!$B$5:$B$98,$B22)</f>
        <v>1360.8</v>
      </c>
      <c r="I22" s="58" t="n">
        <f aca="false">ROUND(H22-G22,2)</f>
        <v>1268.4</v>
      </c>
      <c r="J22" s="59" t="str">
        <f aca="false">IF(ABS(I22)&lt;=Resumo!$C$7,"Confere",IF(I22&gt;0,"Sobrando","Faltando"))</f>
        <v>Sobrando</v>
      </c>
      <c r="K22" s="55" t="str">
        <f aca="false">IF(J22="Confere","Nada a fazer",IF(J22="Faltando","Procurar saída, ajuste ou devolução que não está na lista",IF(F22&gt;E22,"Saiu mais do que entrou: confirmar o estoque que já existia antes de 09/09","Conferir estoque de antes de 09/09 ou entrada não lançada")))</f>
        <v>Conferir estoque de antes de 09/09 ou entrada não lançada</v>
      </c>
    </row>
    <row r="23" customFormat="false" ht="15" hidden="false" customHeight="false" outlineLevel="0" collapsed="false">
      <c r="A23" s="54" t="s">
        <v>157</v>
      </c>
      <c r="B23" s="54" t="s">
        <v>158</v>
      </c>
      <c r="C23" s="55" t="s">
        <v>119</v>
      </c>
      <c r="D23" s="56" t="s">
        <v>4</v>
      </c>
      <c r="E23" s="57" t="n">
        <f aca="false">SUMIFS('Cruzamento por Lote'!$E$5:$E$98,'Cruzamento por Lote'!$A$5:$A$98,$A23,'Cruzamento por Lote'!$B$5:$B$98,$B23)</f>
        <v>0</v>
      </c>
      <c r="F23" s="57" t="n">
        <f aca="false">SUMIFS('Cruzamento por Lote'!$F$5:$F$98,'Cruzamento por Lote'!$A$5:$A$98,$A23,'Cruzamento por Lote'!$B$5:$B$98,$B23)</f>
        <v>542.7</v>
      </c>
      <c r="G23" s="57" t="n">
        <f aca="false">E23-F23</f>
        <v>-542.7</v>
      </c>
      <c r="H23" s="57" t="n">
        <f aca="false">SUMIFS('Cruzamento por Lote'!$H$5:$H$98,'Cruzamento por Lote'!$A$5:$A$98,$A23,'Cruzamento por Lote'!$B$5:$B$98,$B23)</f>
        <v>540.69</v>
      </c>
      <c r="I23" s="58" t="n">
        <f aca="false">ROUND(H23-G23,2)</f>
        <v>1083.39</v>
      </c>
      <c r="J23" s="59" t="str">
        <f aca="false">IF(ABS(I23)&lt;=Resumo!$C$7,"Confere",IF(I23&gt;0,"Sobrando","Faltando"))</f>
        <v>Sobrando</v>
      </c>
      <c r="K23" s="55" t="str">
        <f aca="false">IF(J23="Confere","Nada a fazer",IF(J23="Faltando","Procurar saída, ajuste ou devolução que não está na lista",IF(F23&gt;E23,"Saiu mais do que entrou: confirmar o estoque que já existia antes de 09/09","Conferir estoque de antes de 09/09 ou entrada não lançada")))</f>
        <v>Saiu mais do que entrou: confirmar o estoque que já existia antes de 09/09</v>
      </c>
    </row>
    <row r="24" customFormat="false" ht="15" hidden="false" customHeight="false" outlineLevel="0" collapsed="false">
      <c r="A24" s="54" t="s">
        <v>110</v>
      </c>
      <c r="B24" s="54" t="s">
        <v>162</v>
      </c>
      <c r="C24" s="55" t="s">
        <v>119</v>
      </c>
      <c r="D24" s="56" t="s">
        <v>4</v>
      </c>
      <c r="E24" s="57" t="n">
        <f aca="false">SUMIFS('Cruzamento por Lote'!$E$5:$E$98,'Cruzamento por Lote'!$A$5:$A$98,$A24,'Cruzamento por Lote'!$B$5:$B$98,$B24)</f>
        <v>763.8</v>
      </c>
      <c r="F24" s="57" t="n">
        <f aca="false">SUMIFS('Cruzamento por Lote'!$F$5:$F$98,'Cruzamento por Lote'!$A$5:$A$98,$A24,'Cruzamento por Lote'!$B$5:$B$98,$B24)</f>
        <v>924.6</v>
      </c>
      <c r="G24" s="57" t="n">
        <f aca="false">E24-F24</f>
        <v>-160.8</v>
      </c>
      <c r="H24" s="57" t="n">
        <f aca="false">SUMIFS('Cruzamento por Lote'!$H$5:$H$98,'Cruzamento por Lote'!$A$5:$A$98,$A24,'Cruzamento por Lote'!$B$5:$B$98,$B24)</f>
        <v>763.8</v>
      </c>
      <c r="I24" s="58" t="n">
        <f aca="false">ROUND(H24-G24,2)</f>
        <v>924.6</v>
      </c>
      <c r="J24" s="59" t="str">
        <f aca="false">IF(ABS(I24)&lt;=Resumo!$C$7,"Confere",IF(I24&gt;0,"Sobrando","Faltando"))</f>
        <v>Sobrando</v>
      </c>
      <c r="K24" s="55" t="str">
        <f aca="false">IF(J24="Confere","Nada a fazer",IF(J24="Faltando","Procurar saída, ajuste ou devolução que não está na lista",IF(F24&gt;E24,"Saiu mais do que entrou: confirmar o estoque que já existia antes de 09/09","Conferir estoque de antes de 09/09 ou entrada não lançada")))</f>
        <v>Saiu mais do que entrou: confirmar o estoque que já existia antes de 09/09</v>
      </c>
    </row>
    <row r="25" customFormat="false" ht="15" hidden="false" customHeight="false" outlineLevel="0" collapsed="false">
      <c r="A25" s="54" t="s">
        <v>104</v>
      </c>
      <c r="B25" s="54" t="s">
        <v>166</v>
      </c>
      <c r="C25" s="55" t="s">
        <v>165</v>
      </c>
      <c r="D25" s="56" t="s">
        <v>4</v>
      </c>
      <c r="E25" s="57" t="n">
        <f aca="false">SUMIFS('Cruzamento por Lote'!$E$5:$E$98,'Cruzamento por Lote'!$A$5:$A$98,$A25,'Cruzamento por Lote'!$B$5:$B$98,$B25)</f>
        <v>918</v>
      </c>
      <c r="F25" s="57" t="n">
        <f aca="false">SUMIFS('Cruzamento por Lote'!$F$5:$F$98,'Cruzamento por Lote'!$A$5:$A$98,$A25,'Cruzamento por Lote'!$B$5:$B$98,$B25)</f>
        <v>186</v>
      </c>
      <c r="G25" s="57" t="n">
        <f aca="false">E25-F25</f>
        <v>732</v>
      </c>
      <c r="H25" s="57" t="n">
        <f aca="false">SUMIFS('Cruzamento por Lote'!$H$5:$H$98,'Cruzamento por Lote'!$A$5:$A$98,$A25,'Cruzamento por Lote'!$B$5:$B$98,$B25)</f>
        <v>1272</v>
      </c>
      <c r="I25" s="58" t="n">
        <f aca="false">ROUND(H25-G25,2)</f>
        <v>540</v>
      </c>
      <c r="J25" s="59" t="str">
        <f aca="false">IF(ABS(I25)&lt;=Resumo!$C$7,"Confere",IF(I25&gt;0,"Sobrando","Faltando"))</f>
        <v>Sobrando</v>
      </c>
      <c r="K25" s="55" t="str">
        <f aca="false">IF(J25="Confere","Nada a fazer",IF(J25="Faltando","Procurar saída, ajuste ou devolução que não está na lista",IF(F25&gt;E25,"Saiu mais do que entrou: confirmar o estoque que já existia antes de 09/09","Conferir estoque de antes de 09/09 ou entrada não lançada")))</f>
        <v>Conferir estoque de antes de 09/09 ou entrada não lançada</v>
      </c>
    </row>
    <row r="26" customFormat="false" ht="15" hidden="false" customHeight="false" outlineLevel="0" collapsed="false">
      <c r="A26" s="54" t="s">
        <v>7</v>
      </c>
      <c r="B26" s="54" t="s">
        <v>11</v>
      </c>
      <c r="C26" s="55" t="s">
        <v>119</v>
      </c>
      <c r="D26" s="56" t="s">
        <v>4</v>
      </c>
      <c r="E26" s="57" t="n">
        <f aca="false">SUMIFS('Cruzamento por Lote'!$E$5:$E$98,'Cruzamento por Lote'!$A$5:$A$98,$A26,'Cruzamento por Lote'!$B$5:$B$98,$B26)</f>
        <v>603</v>
      </c>
      <c r="F26" s="57" t="n">
        <f aca="false">SUMIFS('Cruzamento por Lote'!$F$5:$F$98,'Cruzamento por Lote'!$A$5:$A$98,$A26,'Cruzamento por Lote'!$B$5:$B$98,$B26)</f>
        <v>321.6</v>
      </c>
      <c r="G26" s="57" t="n">
        <f aca="false">E26-F26</f>
        <v>281.4</v>
      </c>
      <c r="H26" s="57" t="n">
        <f aca="false">SUMIFS('Cruzamento por Lote'!$H$5:$H$98,'Cruzamento por Lote'!$A$5:$A$98,$A26,'Cruzamento por Lote'!$B$5:$B$98,$B26)</f>
        <v>623.1</v>
      </c>
      <c r="I26" s="58" t="n">
        <f aca="false">ROUND(H26-G26,2)</f>
        <v>341.7</v>
      </c>
      <c r="J26" s="59" t="str">
        <f aca="false">IF(ABS(I26)&lt;=Resumo!$C$7,"Confere",IF(I26&gt;0,"Sobrando","Faltando"))</f>
        <v>Sobrando</v>
      </c>
      <c r="K26" s="55" t="str">
        <f aca="false">IF(J26="Confere","Nada a fazer",IF(J26="Faltando","Procurar saída, ajuste ou devolução que não está na lista",IF(F26&gt;E26,"Saiu mais do que entrou: confirmar o estoque que já existia antes de 09/09","Conferir estoque de antes de 09/09 ou entrada não lançada")))</f>
        <v>Conferir estoque de antes de 09/09 ou entrada não lançada</v>
      </c>
    </row>
    <row r="27" customFormat="false" ht="15" hidden="false" customHeight="false" outlineLevel="0" collapsed="false">
      <c r="A27" s="54" t="s">
        <v>27</v>
      </c>
      <c r="B27" s="54" t="s">
        <v>30</v>
      </c>
      <c r="C27" s="55" t="s">
        <v>119</v>
      </c>
      <c r="D27" s="56" t="s">
        <v>4</v>
      </c>
      <c r="E27" s="57" t="n">
        <f aca="false">SUMIFS('Cruzamento por Lote'!$E$5:$E$98,'Cruzamento por Lote'!$A$5:$A$98,$A27,'Cruzamento por Lote'!$B$5:$B$98,$B27)</f>
        <v>180.9</v>
      </c>
      <c r="F27" s="57" t="n">
        <f aca="false">SUMIFS('Cruzamento por Lote'!$F$5:$F$98,'Cruzamento por Lote'!$A$5:$A$98,$A27,'Cruzamento por Lote'!$B$5:$B$98,$B27)</f>
        <v>180.9</v>
      </c>
      <c r="G27" s="57" t="n">
        <f aca="false">E27-F27</f>
        <v>0</v>
      </c>
      <c r="H27" s="57" t="n">
        <f aca="false">SUMIFS('Cruzamento por Lote'!$H$5:$H$98,'Cruzamento por Lote'!$A$5:$A$98,$A27,'Cruzamento por Lote'!$B$5:$B$98,$B27)</f>
        <v>273.36</v>
      </c>
      <c r="I27" s="58" t="n">
        <f aca="false">ROUND(H27-G27,2)</f>
        <v>273.36</v>
      </c>
      <c r="J27" s="59" t="str">
        <f aca="false">IF(ABS(I27)&lt;=Resumo!$C$7,"Confere",IF(I27&gt;0,"Sobrando","Faltando"))</f>
        <v>Sobrando</v>
      </c>
      <c r="K27" s="55" t="str">
        <f aca="false">IF(J27="Confere","Nada a fazer",IF(J27="Faltando","Procurar saída, ajuste ou devolução que não está na lista",IF(F27&gt;E27,"Saiu mais do que entrou: confirmar o estoque que já existia antes de 09/09","Conferir estoque de antes de 09/09 ou entrada não lançada")))</f>
        <v>Conferir estoque de antes de 09/09 ou entrada não lançada</v>
      </c>
    </row>
    <row r="28" customFormat="false" ht="15" hidden="false" customHeight="false" outlineLevel="0" collapsed="false">
      <c r="A28" s="54" t="s">
        <v>75</v>
      </c>
      <c r="B28" s="54" t="s">
        <v>143</v>
      </c>
      <c r="C28" s="55" t="s">
        <v>173</v>
      </c>
      <c r="D28" s="56" t="s">
        <v>4</v>
      </c>
      <c r="E28" s="57" t="n">
        <f aca="false">SUMIFS('Cruzamento por Lote'!$E$5:$E$98,'Cruzamento por Lote'!$A$5:$A$98,$A28,'Cruzamento por Lote'!$B$5:$B$98,$B28)</f>
        <v>960</v>
      </c>
      <c r="F28" s="57" t="n">
        <f aca="false">SUMIFS('Cruzamento por Lote'!$F$5:$F$98,'Cruzamento por Lote'!$A$5:$A$98,$A28,'Cruzamento por Lote'!$B$5:$B$98,$B28)</f>
        <v>176</v>
      </c>
      <c r="G28" s="57" t="n">
        <f aca="false">E28-F28</f>
        <v>784</v>
      </c>
      <c r="H28" s="57" t="n">
        <f aca="false">SUMIFS('Cruzamento por Lote'!$H$5:$H$98,'Cruzamento por Lote'!$A$5:$A$98,$A28,'Cruzamento por Lote'!$B$5:$B$98,$B28)</f>
        <v>1032</v>
      </c>
      <c r="I28" s="58" t="n">
        <f aca="false">ROUND(H28-G28,2)</f>
        <v>248</v>
      </c>
      <c r="J28" s="59" t="str">
        <f aca="false">IF(ABS(I28)&lt;=Resumo!$C$7,"Confere",IF(I28&gt;0,"Sobrando","Faltando"))</f>
        <v>Sobrando</v>
      </c>
      <c r="K28" s="55" t="str">
        <f aca="false">IF(J28="Confere","Nada a fazer",IF(J28="Faltando","Procurar saída, ajuste ou devolução que não está na lista",IF(F28&gt;E28,"Saiu mais do que entrou: confirmar o estoque que já existia antes de 09/09","Conferir estoque de antes de 09/09 ou entrada não lançada")))</f>
        <v>Conferir estoque de antes de 09/09 ou entrada não lançada</v>
      </c>
    </row>
    <row r="29" customFormat="false" ht="15" hidden="false" customHeight="false" outlineLevel="0" collapsed="false">
      <c r="A29" s="54" t="s">
        <v>20</v>
      </c>
      <c r="B29" s="54" t="s">
        <v>21</v>
      </c>
      <c r="C29" s="55" t="s">
        <v>141</v>
      </c>
      <c r="D29" s="56" t="s">
        <v>4</v>
      </c>
      <c r="E29" s="57" t="n">
        <f aca="false">SUMIFS('Cruzamento por Lote'!$E$5:$E$98,'Cruzamento por Lote'!$A$5:$A$98,$A29,'Cruzamento por Lote'!$B$5:$B$98,$B29)</f>
        <v>940.8</v>
      </c>
      <c r="F29" s="57" t="n">
        <f aca="false">SUMIFS('Cruzamento por Lote'!$F$5:$F$98,'Cruzamento por Lote'!$A$5:$A$98,$A29,'Cruzamento por Lote'!$B$5:$B$98,$B29)</f>
        <v>781.2</v>
      </c>
      <c r="G29" s="57" t="n">
        <f aca="false">E29-F29</f>
        <v>159.6</v>
      </c>
      <c r="H29" s="57" t="n">
        <f aca="false">SUMIFS('Cruzamento por Lote'!$H$5:$H$98,'Cruzamento por Lote'!$A$5:$A$98,$A29,'Cruzamento por Lote'!$B$5:$B$98,$B29)</f>
        <v>333.2</v>
      </c>
      <c r="I29" s="58" t="n">
        <f aca="false">ROUND(H29-G29,2)</f>
        <v>173.6</v>
      </c>
      <c r="J29" s="59" t="str">
        <f aca="false">IF(ABS(I29)&lt;=Resumo!$C$7,"Confere",IF(I29&gt;0,"Sobrando","Faltando"))</f>
        <v>Sobrando</v>
      </c>
      <c r="K29" s="55" t="str">
        <f aca="false">IF(J29="Confere","Nada a fazer",IF(J29="Faltando","Procurar saída, ajuste ou devolução que não está na lista",IF(F29&gt;E29,"Saiu mais do que entrou: confirmar o estoque que já existia antes de 09/09","Conferir estoque de antes de 09/09 ou entrada não lançada")))</f>
        <v>Conferir estoque de antes de 09/09 ou entrada não lançada</v>
      </c>
    </row>
    <row r="30" customFormat="false" ht="15" hidden="false" customHeight="false" outlineLevel="0" collapsed="false">
      <c r="A30" s="54" t="s">
        <v>110</v>
      </c>
      <c r="B30" s="54" t="s">
        <v>177</v>
      </c>
      <c r="C30" s="55" t="s">
        <v>119</v>
      </c>
      <c r="D30" s="56" t="s">
        <v>4</v>
      </c>
      <c r="E30" s="57" t="n">
        <f aca="false">SUMIFS('Cruzamento por Lote'!$E$5:$E$98,'Cruzamento por Lote'!$A$5:$A$98,$A30,'Cruzamento por Lote'!$B$5:$B$98,$B30)</f>
        <v>2271.3</v>
      </c>
      <c r="F30" s="57" t="n">
        <f aca="false">SUMIFS('Cruzamento por Lote'!$F$5:$F$98,'Cruzamento por Lote'!$A$5:$A$98,$A30,'Cruzamento por Lote'!$B$5:$B$98,$B30)</f>
        <v>562.8</v>
      </c>
      <c r="G30" s="57" t="n">
        <f aca="false">E30-F30</f>
        <v>1708.5</v>
      </c>
      <c r="H30" s="57" t="n">
        <f aca="false">SUMIFS('Cruzamento por Lote'!$H$5:$H$98,'Cruzamento por Lote'!$A$5:$A$98,$A30,'Cruzamento por Lote'!$B$5:$B$98,$B30)</f>
        <v>1829.1</v>
      </c>
      <c r="I30" s="58" t="n">
        <f aca="false">ROUND(H30-G30,2)</f>
        <v>120.6</v>
      </c>
      <c r="J30" s="59" t="str">
        <f aca="false">IF(ABS(I30)&lt;=Resumo!$C$7,"Confere",IF(I30&gt;0,"Sobrando","Faltando"))</f>
        <v>Sobrando</v>
      </c>
      <c r="K30" s="55" t="str">
        <f aca="false">IF(J30="Confere","Nada a fazer",IF(J30="Faltando","Procurar saída, ajuste ou devolução que não está na lista",IF(F30&gt;E30,"Saiu mais do que entrou: confirmar o estoque que já existia antes de 09/09","Conferir estoque de antes de 09/09 ou entrada não lançada")))</f>
        <v>Conferir estoque de antes de 09/09 ou entrada não lançada</v>
      </c>
    </row>
    <row r="31" customFormat="false" ht="15" hidden="false" customHeight="false" outlineLevel="0" collapsed="false">
      <c r="A31" s="54" t="s">
        <v>131</v>
      </c>
      <c r="B31" s="54" t="s">
        <v>180</v>
      </c>
      <c r="C31" s="55" t="s">
        <v>132</v>
      </c>
      <c r="D31" s="56" t="s">
        <v>12</v>
      </c>
      <c r="E31" s="57" t="n">
        <f aca="false">SUMIFS('Cruzamento por Lote'!$E$5:$E$98,'Cruzamento por Lote'!$A$5:$A$98,$A31,'Cruzamento por Lote'!$B$5:$B$98,$B31)</f>
        <v>-120</v>
      </c>
      <c r="F31" s="57" t="n">
        <f aca="false">SUMIFS('Cruzamento por Lote'!$F$5:$F$98,'Cruzamento por Lote'!$A$5:$A$98,$A31,'Cruzamento por Lote'!$B$5:$B$98,$B31)</f>
        <v>0</v>
      </c>
      <c r="G31" s="57" t="n">
        <f aca="false">E31-F31</f>
        <v>-120</v>
      </c>
      <c r="H31" s="57" t="n">
        <f aca="false">SUMIFS('Cruzamento por Lote'!$H$5:$H$98,'Cruzamento por Lote'!$A$5:$A$98,$A31,'Cruzamento por Lote'!$B$5:$B$98,$B31)</f>
        <v>0</v>
      </c>
      <c r="I31" s="58" t="n">
        <f aca="false">ROUND(H31-G31,2)</f>
        <v>120</v>
      </c>
      <c r="J31" s="59" t="str">
        <f aca="false">IF(ABS(I31)&lt;=Resumo!$C$7,"Confere",IF(I31&gt;0,"Sobrando","Faltando"))</f>
        <v>Sobrando</v>
      </c>
      <c r="K31" s="55" t="str">
        <f aca="false">IF(J31="Confere","Nada a fazer",IF(J31="Faltando","Procurar saída, ajuste ou devolução que não está na lista",IF(F31&gt;E31,"Saiu mais do que entrou: confirmar o estoque que já existia antes de 09/09","Conferir estoque de antes de 09/09 ou entrada não lançada")))</f>
        <v>Saiu mais do que entrou: confirmar o estoque que já existia antes de 09/09</v>
      </c>
    </row>
    <row r="32" customFormat="false" ht="15" hidden="false" customHeight="false" outlineLevel="0" collapsed="false">
      <c r="A32" s="54" t="s">
        <v>69</v>
      </c>
      <c r="B32" s="54" t="s">
        <v>127</v>
      </c>
      <c r="C32" s="55" t="s">
        <v>119</v>
      </c>
      <c r="D32" s="56" t="s">
        <v>4</v>
      </c>
      <c r="E32" s="57" t="n">
        <f aca="false">SUMIFS('Cruzamento por Lote'!$E$5:$E$98,'Cruzamento por Lote'!$A$5:$A$98,$A32,'Cruzamento por Lote'!$B$5:$B$98,$B32)</f>
        <v>40.2</v>
      </c>
      <c r="F32" s="57" t="n">
        <f aca="false">SUMIFS('Cruzamento por Lote'!$F$5:$F$98,'Cruzamento por Lote'!$A$5:$A$98,$A32,'Cruzamento por Lote'!$B$5:$B$98,$B32)</f>
        <v>40.2</v>
      </c>
      <c r="G32" s="57" t="n">
        <f aca="false">E32-F32</f>
        <v>0</v>
      </c>
      <c r="H32" s="57" t="n">
        <f aca="false">SUMIFS('Cruzamento por Lote'!$H$5:$H$98,'Cruzamento por Lote'!$A$5:$A$98,$A32,'Cruzamento por Lote'!$B$5:$B$98,$B32)</f>
        <v>116.58</v>
      </c>
      <c r="I32" s="58" t="n">
        <f aca="false">ROUND(H32-G32,2)</f>
        <v>116.58</v>
      </c>
      <c r="J32" s="59" t="str">
        <f aca="false">IF(ABS(I32)&lt;=Resumo!$C$7,"Confere",IF(I32&gt;0,"Sobrando","Faltando"))</f>
        <v>Sobrando</v>
      </c>
      <c r="K32" s="55" t="str">
        <f aca="false">IF(J32="Confere","Nada a fazer",IF(J32="Faltando","Procurar saída, ajuste ou devolução que não está na lista",IF(F32&gt;E32,"Saiu mais do que entrou: confirmar o estoque que já existia antes de 09/09","Conferir estoque de antes de 09/09 ou entrada não lançada")))</f>
        <v>Conferir estoque de antes de 09/09 ou entrada não lançada</v>
      </c>
    </row>
    <row r="33" customFormat="false" ht="15" hidden="false" customHeight="false" outlineLevel="0" collapsed="false">
      <c r="A33" s="54" t="s">
        <v>35</v>
      </c>
      <c r="B33" s="54" t="s">
        <v>58</v>
      </c>
      <c r="C33" s="55" t="s">
        <v>119</v>
      </c>
      <c r="D33" s="56" t="s">
        <v>4</v>
      </c>
      <c r="E33" s="57" t="n">
        <f aca="false">SUMIFS('Cruzamento por Lote'!$E$5:$E$98,'Cruzamento por Lote'!$A$5:$A$98,$A33,'Cruzamento por Lote'!$B$5:$B$98,$B33)</f>
        <v>3612</v>
      </c>
      <c r="F33" s="57" t="n">
        <f aca="false">SUMIFS('Cruzamento por Lote'!$F$5:$F$98,'Cruzamento por Lote'!$A$5:$A$98,$A33,'Cruzamento por Lote'!$B$5:$B$98,$B33)</f>
        <v>80.4</v>
      </c>
      <c r="G33" s="57" t="n">
        <f aca="false">E33-F33</f>
        <v>3531.6</v>
      </c>
      <c r="H33" s="57" t="n">
        <f aca="false">SUMIFS('Cruzamento por Lote'!$H$5:$H$98,'Cruzamento por Lote'!$A$5:$A$98,$A33,'Cruzamento por Lote'!$B$5:$B$98,$B33)</f>
        <v>3612</v>
      </c>
      <c r="I33" s="58" t="n">
        <f aca="false">ROUND(H33-G33,2)</f>
        <v>80.4</v>
      </c>
      <c r="J33" s="59" t="str">
        <f aca="false">IF(ABS(I33)&lt;=Resumo!$C$7,"Confere",IF(I33&gt;0,"Sobrando","Faltando"))</f>
        <v>Sobrando</v>
      </c>
      <c r="K33" s="55" t="str">
        <f aca="false">IF(J33="Confere","Nada a fazer",IF(J33="Faltando","Procurar saída, ajuste ou devolução que não está na lista",IF(F33&gt;E33,"Saiu mais do que entrou: confirmar o estoque que já existia antes de 09/09","Conferir estoque de antes de 09/09 ou entrada não lançada")))</f>
        <v>Conferir estoque de antes de 09/09 ou entrada não lançada</v>
      </c>
    </row>
    <row r="34" customFormat="false" ht="15" hidden="false" customHeight="false" outlineLevel="0" collapsed="false">
      <c r="A34" s="54" t="s">
        <v>71</v>
      </c>
      <c r="B34" s="54" t="s">
        <v>136</v>
      </c>
      <c r="C34" s="55" t="s">
        <v>186</v>
      </c>
      <c r="D34" s="56" t="s">
        <v>4</v>
      </c>
      <c r="E34" s="57" t="n">
        <f aca="false">SUMIFS('Cruzamento por Lote'!$E$5:$E$98,'Cruzamento por Lote'!$A$5:$A$98,$A34,'Cruzamento por Lote'!$B$5:$B$98,$B34)</f>
        <v>806.4</v>
      </c>
      <c r="F34" s="57" t="n">
        <f aca="false">SUMIFS('Cruzamento por Lote'!$F$5:$F$98,'Cruzamento por Lote'!$A$5:$A$98,$A34,'Cruzamento por Lote'!$B$5:$B$98,$B34)</f>
        <v>53.2</v>
      </c>
      <c r="G34" s="57" t="n">
        <f aca="false">E34-F34</f>
        <v>753.2</v>
      </c>
      <c r="H34" s="57" t="n">
        <f aca="false">SUMIFS('Cruzamento por Lote'!$H$5:$H$98,'Cruzamento por Lote'!$A$5:$A$98,$A34,'Cruzamento por Lote'!$B$5:$B$98,$B34)</f>
        <v>825.999</v>
      </c>
      <c r="I34" s="58" t="n">
        <f aca="false">ROUND(H34-G34,2)</f>
        <v>72.8</v>
      </c>
      <c r="J34" s="59" t="str">
        <f aca="false">IF(ABS(I34)&lt;=Resumo!$C$7,"Confere",IF(I34&gt;0,"Sobrando","Faltando"))</f>
        <v>Sobrando</v>
      </c>
      <c r="K34" s="55" t="str">
        <f aca="false">IF(J34="Confere","Nada a fazer",IF(J34="Faltando","Procurar saída, ajuste ou devolução que não está na lista",IF(F34&gt;E34,"Saiu mais do que entrou: confirmar o estoque que já existia antes de 09/09","Conferir estoque de antes de 09/09 ou entrada não lançada")))</f>
        <v>Conferir estoque de antes de 09/09 ou entrada não lançada</v>
      </c>
    </row>
    <row r="35" customFormat="false" ht="15" hidden="false" customHeight="false" outlineLevel="0" collapsed="false">
      <c r="A35" s="54" t="s">
        <v>53</v>
      </c>
      <c r="B35" s="54" t="s">
        <v>78</v>
      </c>
      <c r="C35" s="55" t="s">
        <v>137</v>
      </c>
      <c r="D35" s="56" t="s">
        <v>9</v>
      </c>
      <c r="E35" s="57" t="n">
        <f aca="false">SUMIFS('Cruzamento por Lote'!$E$5:$E$98,'Cruzamento por Lote'!$A$5:$A$98,$A35,'Cruzamento por Lote'!$B$5:$B$98,$B35)</f>
        <v>450</v>
      </c>
      <c r="F35" s="57" t="n">
        <f aca="false">SUMIFS('Cruzamento por Lote'!$F$5:$F$98,'Cruzamento por Lote'!$A$5:$A$98,$A35,'Cruzamento por Lote'!$B$5:$B$98,$B35)</f>
        <v>510</v>
      </c>
      <c r="G35" s="57" t="n">
        <f aca="false">E35-F35</f>
        <v>-60</v>
      </c>
      <c r="H35" s="57" t="n">
        <f aca="false">SUMIFS('Cruzamento por Lote'!$H$5:$H$98,'Cruzamento por Lote'!$A$5:$A$98,$A35,'Cruzamento por Lote'!$B$5:$B$98,$B35)</f>
        <v>0</v>
      </c>
      <c r="I35" s="58" t="n">
        <f aca="false">ROUND(H35-G35,2)</f>
        <v>60</v>
      </c>
      <c r="J35" s="59" t="str">
        <f aca="false">IF(ABS(I35)&lt;=Resumo!$C$7,"Confere",IF(I35&gt;0,"Sobrando","Faltando"))</f>
        <v>Sobrando</v>
      </c>
      <c r="K35" s="55" t="str">
        <f aca="false">IF(J35="Confere","Nada a fazer",IF(J35="Faltando","Procurar saída, ajuste ou devolução que não está na lista",IF(F35&gt;E35,"Saiu mais do que entrou: confirmar o estoque que já existia antes de 09/09","Conferir estoque de antes de 09/09 ou entrada não lançada")))</f>
        <v>Saiu mais do que entrou: confirmar o estoque que já existia antes de 09/09</v>
      </c>
    </row>
    <row r="36" customFormat="false" ht="15" hidden="false" customHeight="false" outlineLevel="0" collapsed="false">
      <c r="A36" s="54" t="s">
        <v>77</v>
      </c>
      <c r="B36" s="54" t="s">
        <v>148</v>
      </c>
      <c r="C36" s="55" t="s">
        <v>191</v>
      </c>
      <c r="D36" s="56" t="s">
        <v>4</v>
      </c>
      <c r="E36" s="57" t="n">
        <f aca="false">SUMIFS('Cruzamento por Lote'!$E$5:$E$98,'Cruzamento por Lote'!$A$5:$A$98,$A36,'Cruzamento por Lote'!$B$5:$B$98,$B36)</f>
        <v>10</v>
      </c>
      <c r="F36" s="57" t="n">
        <f aca="false">SUMIFS('Cruzamento por Lote'!$F$5:$F$98,'Cruzamento por Lote'!$A$5:$A$98,$A36,'Cruzamento por Lote'!$B$5:$B$98,$B36)</f>
        <v>60</v>
      </c>
      <c r="G36" s="57" t="n">
        <f aca="false">E36-F36</f>
        <v>-50</v>
      </c>
      <c r="H36" s="57" t="n">
        <f aca="false">SUMIFS('Cruzamento por Lote'!$H$5:$H$98,'Cruzamento por Lote'!$A$5:$A$98,$A36,'Cruzamento por Lote'!$B$5:$B$98,$B36)</f>
        <v>10</v>
      </c>
      <c r="I36" s="58" t="n">
        <f aca="false">ROUND(H36-G36,2)</f>
        <v>60</v>
      </c>
      <c r="J36" s="59" t="str">
        <f aca="false">IF(ABS(I36)&lt;=Resumo!$C$7,"Confere",IF(I36&gt;0,"Sobrando","Faltando"))</f>
        <v>Sobrando</v>
      </c>
      <c r="K36" s="55" t="str">
        <f aca="false">IF(J36="Confere","Nada a fazer",IF(J36="Faltando","Procurar saída, ajuste ou devolução que não está na lista",IF(F36&gt;E36,"Saiu mais do que entrou: confirmar o estoque que já existia antes de 09/09","Conferir estoque de antes de 09/09 ou entrada não lançada")))</f>
        <v>Saiu mais do que entrou: confirmar o estoque que já existia antes de 09/09</v>
      </c>
    </row>
    <row r="37" customFormat="false" ht="15" hidden="false" customHeight="false" outlineLevel="0" collapsed="false">
      <c r="A37" s="54" t="s">
        <v>53</v>
      </c>
      <c r="B37" s="54" t="s">
        <v>86</v>
      </c>
      <c r="C37" s="55" t="s">
        <v>137</v>
      </c>
      <c r="D37" s="56" t="s">
        <v>9</v>
      </c>
      <c r="E37" s="57" t="n">
        <f aca="false">SUMIFS('Cruzamento por Lote'!$E$5:$E$98,'Cruzamento por Lote'!$A$5:$A$98,$A37,'Cruzamento por Lote'!$B$5:$B$98,$B37)</f>
        <v>1320</v>
      </c>
      <c r="F37" s="57" t="n">
        <f aca="false">SUMIFS('Cruzamento por Lote'!$F$5:$F$98,'Cruzamento por Lote'!$A$5:$A$98,$A37,'Cruzamento por Lote'!$B$5:$B$98,$B37)</f>
        <v>330</v>
      </c>
      <c r="G37" s="57" t="n">
        <f aca="false">E37-F37</f>
        <v>990</v>
      </c>
      <c r="H37" s="57" t="n">
        <f aca="false">SUMIFS('Cruzamento por Lote'!$H$5:$H$98,'Cruzamento por Lote'!$A$5:$A$98,$A37,'Cruzamento por Lote'!$B$5:$B$98,$B37)</f>
        <v>1020</v>
      </c>
      <c r="I37" s="58" t="n">
        <f aca="false">ROUND(H37-G37,2)</f>
        <v>30</v>
      </c>
      <c r="J37" s="59" t="str">
        <f aca="false">IF(ABS(I37)&lt;=Resumo!$C$7,"Confere",IF(I37&gt;0,"Sobrando","Faltando"))</f>
        <v>Sobrando</v>
      </c>
      <c r="K37" s="55" t="str">
        <f aca="false">IF(J37="Confere","Nada a fazer",IF(J37="Faltando","Procurar saída, ajuste ou devolução que não está na lista",IF(F37&gt;E37,"Saiu mais do que entrou: confirmar o estoque que já existia antes de 09/09","Conferir estoque de antes de 09/09 ou entrada não lançada")))</f>
        <v>Conferir estoque de antes de 09/09 ou entrada não lançada</v>
      </c>
    </row>
    <row r="38" customFormat="false" ht="15" hidden="false" customHeight="false" outlineLevel="0" collapsed="false">
      <c r="A38" s="54" t="s">
        <v>110</v>
      </c>
      <c r="B38" s="54" t="s">
        <v>190</v>
      </c>
      <c r="C38" s="55" t="s">
        <v>119</v>
      </c>
      <c r="D38" s="56" t="s">
        <v>4</v>
      </c>
      <c r="E38" s="57" t="n">
        <f aca="false">SUMIFS('Cruzamento por Lote'!$E$5:$E$98,'Cruzamento por Lote'!$A$5:$A$98,$A38,'Cruzamento por Lote'!$B$5:$B$98,$B38)</f>
        <v>602.9</v>
      </c>
      <c r="F38" s="57" t="n">
        <f aca="false">SUMIFS('Cruzamento por Lote'!$F$5:$F$98,'Cruzamento por Lote'!$A$5:$A$98,$A38,'Cruzamento por Lote'!$B$5:$B$98,$B38)</f>
        <v>301.5</v>
      </c>
      <c r="G38" s="57" t="n">
        <f aca="false">E38-F38</f>
        <v>301.4</v>
      </c>
      <c r="H38" s="57" t="n">
        <f aca="false">SUMIFS('Cruzamento por Lote'!$H$5:$H$98,'Cruzamento por Lote'!$A$5:$A$98,$A38,'Cruzamento por Lote'!$B$5:$B$98,$B38)</f>
        <v>321.5</v>
      </c>
      <c r="I38" s="58" t="n">
        <f aca="false">ROUND(H38-G38,2)</f>
        <v>20.1</v>
      </c>
      <c r="J38" s="59" t="str">
        <f aca="false">IF(ABS(I38)&lt;=Resumo!$C$7,"Confere",IF(I38&gt;0,"Sobrando","Faltando"))</f>
        <v>Sobrando</v>
      </c>
      <c r="K38" s="55" t="str">
        <f aca="false">IF(J38="Confere","Nada a fazer",IF(J38="Faltando","Procurar saída, ajuste ou devolução que não está na lista",IF(F38&gt;E38,"Saiu mais do que entrou: confirmar o estoque que já existia antes de 09/09","Conferir estoque de antes de 09/09 ou entrada não lançada")))</f>
        <v>Conferir estoque de antes de 09/09 ou entrada não lançada</v>
      </c>
    </row>
    <row r="39" customFormat="false" ht="15" hidden="false" customHeight="false" outlineLevel="0" collapsed="false">
      <c r="A39" s="54" t="s">
        <v>27</v>
      </c>
      <c r="B39" s="54" t="s">
        <v>32</v>
      </c>
      <c r="C39" s="55" t="s">
        <v>119</v>
      </c>
      <c r="D39" s="56" t="s">
        <v>4</v>
      </c>
      <c r="E39" s="57" t="n">
        <f aca="false">SUMIFS('Cruzamento por Lote'!$E$5:$E$98,'Cruzamento por Lote'!$A$5:$A$98,$A39,'Cruzamento por Lote'!$B$5:$B$98,$B39)</f>
        <v>2733.6</v>
      </c>
      <c r="F39" s="57" t="n">
        <f aca="false">SUMIFS('Cruzamento por Lote'!$F$5:$F$98,'Cruzamento por Lote'!$A$5:$A$98,$A39,'Cruzamento por Lote'!$B$5:$B$98,$B39)</f>
        <v>1206</v>
      </c>
      <c r="G39" s="57" t="n">
        <f aca="false">E39-F39</f>
        <v>1527.6</v>
      </c>
      <c r="H39" s="57" t="n">
        <f aca="false">SUMIFS('Cruzamento por Lote'!$H$5:$H$98,'Cruzamento por Lote'!$A$5:$A$98,$A39,'Cruzamento por Lote'!$B$5:$B$98,$B39)</f>
        <v>1547.7</v>
      </c>
      <c r="I39" s="58" t="n">
        <f aca="false">ROUND(H39-G39,2)</f>
        <v>20.1</v>
      </c>
      <c r="J39" s="59" t="str">
        <f aca="false">IF(ABS(I39)&lt;=Resumo!$C$7,"Confere",IF(I39&gt;0,"Sobrando","Faltando"))</f>
        <v>Sobrando</v>
      </c>
      <c r="K39" s="55" t="str">
        <f aca="false">IF(J39="Confere","Nada a fazer",IF(J39="Faltando","Procurar saída, ajuste ou devolução que não está na lista",IF(F39&gt;E39,"Saiu mais do que entrou: confirmar o estoque que já existia antes de 09/09","Conferir estoque de antes de 09/09 ou entrada não lançada")))</f>
        <v>Conferir estoque de antes de 09/09 ou entrada não lançada</v>
      </c>
    </row>
    <row r="40" customFormat="false" ht="15" hidden="false" customHeight="false" outlineLevel="0" collapsed="false">
      <c r="A40" s="54" t="s">
        <v>157</v>
      </c>
      <c r="B40" s="54" t="s">
        <v>194</v>
      </c>
      <c r="C40" s="55" t="s">
        <v>119</v>
      </c>
      <c r="D40" s="56" t="s">
        <v>4</v>
      </c>
      <c r="E40" s="57" t="n">
        <f aca="false">SUMIFS('Cruzamento por Lote'!$E$5:$E$98,'Cruzamento por Lote'!$A$5:$A$98,$A40,'Cruzamento por Lote'!$B$5:$B$98,$B40)</f>
        <v>3025.7</v>
      </c>
      <c r="F40" s="57" t="n">
        <f aca="false">SUMIFS('Cruzamento por Lote'!$F$5:$F$98,'Cruzamento por Lote'!$A$5:$A$98,$A40,'Cruzamento por Lote'!$B$5:$B$98,$B40)</f>
        <v>1366.8</v>
      </c>
      <c r="G40" s="57" t="n">
        <f aca="false">E40-F40</f>
        <v>1658.9</v>
      </c>
      <c r="H40" s="57" t="n">
        <f aca="false">SUMIFS('Cruzamento por Lote'!$H$5:$H$98,'Cruzamento por Lote'!$A$5:$A$98,$A40,'Cruzamento por Lote'!$B$5:$B$98,$B40)</f>
        <v>1679</v>
      </c>
      <c r="I40" s="58" t="n">
        <f aca="false">ROUND(H40-G40,2)</f>
        <v>20.1</v>
      </c>
      <c r="J40" s="59" t="str">
        <f aca="false">IF(ABS(I40)&lt;=Resumo!$C$7,"Confere",IF(I40&gt;0,"Sobrando","Faltando"))</f>
        <v>Sobrando</v>
      </c>
      <c r="K40" s="55" t="str">
        <f aca="false">IF(J40="Confere","Nada a fazer",IF(J40="Faltando","Procurar saída, ajuste ou devolução que não está na lista",IF(F40&gt;E40,"Saiu mais do que entrou: confirmar o estoque que já existia antes de 09/09","Conferir estoque de antes de 09/09 ou entrada não lançada")))</f>
        <v>Conferir estoque de antes de 09/09 ou entrada não lançada</v>
      </c>
    </row>
    <row r="41" customFormat="false" ht="15" hidden="false" customHeight="false" outlineLevel="0" collapsed="false">
      <c r="A41" s="54" t="s">
        <v>2</v>
      </c>
      <c r="B41" s="54" t="s">
        <v>3</v>
      </c>
      <c r="C41" s="55"/>
      <c r="D41" s="56" t="s">
        <v>4</v>
      </c>
      <c r="E41" s="57" t="n">
        <f aca="false">SUMIFS('Cruzamento por Lote'!$E$5:$E$98,'Cruzamento por Lote'!$A$5:$A$98,$A41,'Cruzamento por Lote'!$B$5:$B$98,$B41)</f>
        <v>1200</v>
      </c>
      <c r="F41" s="57" t="n">
        <f aca="false">SUMIFS('Cruzamento por Lote'!$F$5:$F$98,'Cruzamento por Lote'!$A$5:$A$98,$A41,'Cruzamento por Lote'!$B$5:$B$98,$B41)</f>
        <v>0</v>
      </c>
      <c r="G41" s="57" t="n">
        <f aca="false">E41-F41</f>
        <v>1200</v>
      </c>
      <c r="H41" s="57" t="n">
        <f aca="false">SUMIFS('Cruzamento por Lote'!$H$5:$H$98,'Cruzamento por Lote'!$A$5:$A$98,$A41,'Cruzamento por Lote'!$B$5:$B$98,$B41)</f>
        <v>1200</v>
      </c>
      <c r="I41" s="58" t="n">
        <f aca="false">ROUND(H41-G41,2)</f>
        <v>0</v>
      </c>
      <c r="J41" s="59" t="str">
        <f aca="false">IF(ABS(I41)&lt;=Resumo!$C$7,"Confere",IF(I41&gt;0,"Sobrando","Faltando"))</f>
        <v>Confere</v>
      </c>
      <c r="K41" s="55" t="str">
        <f aca="false">IF(J41="Confere","Nada a fazer",IF(J41="Faltando","Procurar saída, ajuste ou devolução que não está na lista",IF(F41&gt;E41,"Saiu mais do que entrou: confirmar o estoque que já existia antes de 09/09","Conferir estoque de antes de 09/09 ou entrada não lançada")))</f>
        <v>Nada a fazer</v>
      </c>
    </row>
    <row r="42" customFormat="false" ht="15" hidden="false" customHeight="false" outlineLevel="0" collapsed="false">
      <c r="A42" s="54" t="s">
        <v>7</v>
      </c>
      <c r="B42" s="54" t="s">
        <v>8</v>
      </c>
      <c r="C42" s="55" t="s">
        <v>119</v>
      </c>
      <c r="D42" s="56" t="s">
        <v>4</v>
      </c>
      <c r="E42" s="57" t="n">
        <f aca="false">SUMIFS('Cruzamento por Lote'!$E$5:$E$98,'Cruzamento por Lote'!$A$5:$A$98,$A42,'Cruzamento por Lote'!$B$5:$B$98,$B42)</f>
        <v>3015</v>
      </c>
      <c r="F42" s="57" t="n">
        <f aca="false">SUMIFS('Cruzamento por Lote'!$F$5:$F$98,'Cruzamento por Lote'!$A$5:$A$98,$A42,'Cruzamento por Lote'!$B$5:$B$98,$B42)</f>
        <v>2673.3</v>
      </c>
      <c r="G42" s="57" t="n">
        <f aca="false">E42-F42</f>
        <v>341.7</v>
      </c>
      <c r="H42" s="57" t="n">
        <f aca="false">SUMIFS('Cruzamento por Lote'!$H$5:$H$98,'Cruzamento por Lote'!$A$5:$A$98,$A42,'Cruzamento por Lote'!$B$5:$B$98,$B42)</f>
        <v>341.7</v>
      </c>
      <c r="I42" s="58" t="n">
        <f aca="false">ROUND(H42-G42,2)</f>
        <v>0</v>
      </c>
      <c r="J42" s="59" t="str">
        <f aca="false">IF(ABS(I42)&lt;=Resumo!$C$7,"Confere",IF(I42&gt;0,"Sobrando","Faltando"))</f>
        <v>Confere</v>
      </c>
      <c r="K42" s="55" t="str">
        <f aca="false">IF(J42="Confere","Nada a fazer",IF(J42="Faltando","Procurar saída, ajuste ou devolução que não está na lista",IF(F42&gt;E42,"Saiu mais do que entrou: confirmar o estoque que já existia antes de 09/09","Conferir estoque de antes de 09/09 ou entrada não lançada")))</f>
        <v>Nada a fazer</v>
      </c>
    </row>
    <row r="43" customFormat="false" ht="15" hidden="false" customHeight="false" outlineLevel="0" collapsed="false">
      <c r="A43" s="54" t="s">
        <v>23</v>
      </c>
      <c r="B43" s="54" t="s">
        <v>28</v>
      </c>
      <c r="C43" s="55" t="s">
        <v>141</v>
      </c>
      <c r="D43" s="56" t="s">
        <v>4</v>
      </c>
      <c r="E43" s="57" t="n">
        <f aca="false">SUMIFS('Cruzamento por Lote'!$E$5:$E$98,'Cruzamento por Lote'!$A$5:$A$98,$A43,'Cruzamento por Lote'!$B$5:$B$98,$B43)</f>
        <v>142.8</v>
      </c>
      <c r="F43" s="57" t="n">
        <f aca="false">SUMIFS('Cruzamento por Lote'!$F$5:$F$98,'Cruzamento por Lote'!$A$5:$A$98,$A43,'Cruzamento por Lote'!$B$5:$B$98,$B43)</f>
        <v>0</v>
      </c>
      <c r="G43" s="57" t="n">
        <f aca="false">E43-F43</f>
        <v>142.8</v>
      </c>
      <c r="H43" s="57" t="n">
        <f aca="false">SUMIFS('Cruzamento por Lote'!$H$5:$H$98,'Cruzamento por Lote'!$A$5:$A$98,$A43,'Cruzamento por Lote'!$B$5:$B$98,$B43)</f>
        <v>142.8</v>
      </c>
      <c r="I43" s="58" t="n">
        <f aca="false">ROUND(H43-G43,2)</f>
        <v>0</v>
      </c>
      <c r="J43" s="59" t="str">
        <f aca="false">IF(ABS(I43)&lt;=Resumo!$C$7,"Confere",IF(I43&gt;0,"Sobrando","Faltando"))</f>
        <v>Confere</v>
      </c>
      <c r="K43" s="55" t="str">
        <f aca="false">IF(J43="Confere","Nada a fazer",IF(J43="Faltando","Procurar saída, ajuste ou devolução que não está na lista",IF(F43&gt;E43,"Saiu mais do que entrou: confirmar o estoque que já existia antes de 09/09","Conferir estoque de antes de 09/09 ou entrada não lançada")))</f>
        <v>Nada a fazer</v>
      </c>
    </row>
    <row r="44" customFormat="false" ht="15" hidden="false" customHeight="false" outlineLevel="0" collapsed="false">
      <c r="A44" s="54" t="s">
        <v>31</v>
      </c>
      <c r="B44" s="54" t="s">
        <v>36</v>
      </c>
      <c r="C44" s="55" t="s">
        <v>199</v>
      </c>
      <c r="D44" s="56" t="s">
        <v>4</v>
      </c>
      <c r="E44" s="57" t="n">
        <f aca="false">SUMIFS('Cruzamento por Lote'!$E$5:$E$98,'Cruzamento por Lote'!$A$5:$A$98,$A44,'Cruzamento por Lote'!$B$5:$B$98,$B44)</f>
        <v>1500</v>
      </c>
      <c r="F44" s="57" t="n">
        <f aca="false">SUMIFS('Cruzamento por Lote'!$F$5:$F$98,'Cruzamento por Lote'!$A$5:$A$98,$A44,'Cruzamento por Lote'!$B$5:$B$98,$B44)</f>
        <v>0</v>
      </c>
      <c r="G44" s="57" t="n">
        <f aca="false">E44-F44</f>
        <v>1500</v>
      </c>
      <c r="H44" s="57" t="n">
        <f aca="false">SUMIFS('Cruzamento por Lote'!$H$5:$H$98,'Cruzamento por Lote'!$A$5:$A$98,$A44,'Cruzamento por Lote'!$B$5:$B$98,$B44)</f>
        <v>1500</v>
      </c>
      <c r="I44" s="58" t="n">
        <f aca="false">ROUND(H44-G44,2)</f>
        <v>0</v>
      </c>
      <c r="J44" s="59" t="str">
        <f aca="false">IF(ABS(I44)&lt;=Resumo!$C$7,"Confere",IF(I44&gt;0,"Sobrando","Faltando"))</f>
        <v>Confere</v>
      </c>
      <c r="K44" s="55" t="str">
        <f aca="false">IF(J44="Confere","Nada a fazer",IF(J44="Faltando","Procurar saída, ajuste ou devolução que não está na lista",IF(F44&gt;E44,"Saiu mais do que entrou: confirmar o estoque que já existia antes de 09/09","Conferir estoque de antes de 09/09 ou entrada não lançada")))</f>
        <v>Nada a fazer</v>
      </c>
    </row>
    <row r="45" customFormat="false" ht="15" hidden="false" customHeight="false" outlineLevel="0" collapsed="false">
      <c r="A45" s="54" t="s">
        <v>31</v>
      </c>
      <c r="B45" s="54" t="s">
        <v>42</v>
      </c>
      <c r="C45" s="55" t="s">
        <v>199</v>
      </c>
      <c r="D45" s="56" t="s">
        <v>4</v>
      </c>
      <c r="E45" s="57" t="n">
        <f aca="false">SUMIFS('Cruzamento por Lote'!$E$5:$E$98,'Cruzamento por Lote'!$A$5:$A$98,$A45,'Cruzamento por Lote'!$B$5:$B$98,$B45)</f>
        <v>1750</v>
      </c>
      <c r="F45" s="57" t="n">
        <f aca="false">SUMIFS('Cruzamento por Lote'!$F$5:$F$98,'Cruzamento por Lote'!$A$5:$A$98,$A45,'Cruzamento por Lote'!$B$5:$B$98,$B45)</f>
        <v>800</v>
      </c>
      <c r="G45" s="57" t="n">
        <f aca="false">E45-F45</f>
        <v>950</v>
      </c>
      <c r="H45" s="57" t="n">
        <f aca="false">SUMIFS('Cruzamento por Lote'!$H$5:$H$98,'Cruzamento por Lote'!$A$5:$A$98,$A45,'Cruzamento por Lote'!$B$5:$B$98,$B45)</f>
        <v>950</v>
      </c>
      <c r="I45" s="58" t="n">
        <f aca="false">ROUND(H45-G45,2)</f>
        <v>0</v>
      </c>
      <c r="J45" s="59" t="str">
        <f aca="false">IF(ABS(I45)&lt;=Resumo!$C$7,"Confere",IF(I45&gt;0,"Sobrando","Faltando"))</f>
        <v>Confere</v>
      </c>
      <c r="K45" s="55" t="str">
        <f aca="false">IF(J45="Confere","Nada a fazer",IF(J45="Faltando","Procurar saída, ajuste ou devolução que não está na lista",IF(F45&gt;E45,"Saiu mais do que entrou: confirmar o estoque que já existia antes de 09/09","Conferir estoque de antes de 09/09 ou entrada não lançada")))</f>
        <v>Nada a fazer</v>
      </c>
    </row>
    <row r="46" customFormat="false" ht="15" hidden="false" customHeight="false" outlineLevel="0" collapsed="false">
      <c r="A46" s="54" t="s">
        <v>33</v>
      </c>
      <c r="B46" s="54" t="s">
        <v>44</v>
      </c>
      <c r="C46" s="55" t="s">
        <v>202</v>
      </c>
      <c r="D46" s="56" t="s">
        <v>4</v>
      </c>
      <c r="E46" s="57" t="n">
        <f aca="false">SUMIFS('Cruzamento por Lote'!$E$5:$E$98,'Cruzamento por Lote'!$A$5:$A$98,$A46,'Cruzamento por Lote'!$B$5:$B$98,$B46)</f>
        <v>1800</v>
      </c>
      <c r="F46" s="57" t="n">
        <f aca="false">SUMIFS('Cruzamento por Lote'!$F$5:$F$98,'Cruzamento por Lote'!$A$5:$A$98,$A46,'Cruzamento por Lote'!$B$5:$B$98,$B46)</f>
        <v>1780</v>
      </c>
      <c r="G46" s="57" t="n">
        <f aca="false">E46-F46</f>
        <v>20</v>
      </c>
      <c r="H46" s="57" t="n">
        <f aca="false">SUMIFS('Cruzamento por Lote'!$H$5:$H$98,'Cruzamento por Lote'!$A$5:$A$98,$A46,'Cruzamento por Lote'!$B$5:$B$98,$B46)</f>
        <v>20</v>
      </c>
      <c r="I46" s="58" t="n">
        <f aca="false">ROUND(H46-G46,2)</f>
        <v>0</v>
      </c>
      <c r="J46" s="59" t="str">
        <f aca="false">IF(ABS(I46)&lt;=Resumo!$C$7,"Confere",IF(I46&gt;0,"Sobrando","Faltando"))</f>
        <v>Confere</v>
      </c>
      <c r="K46" s="55" t="str">
        <f aca="false">IF(J46="Confere","Nada a fazer",IF(J46="Faltando","Procurar saída, ajuste ou devolução que não está na lista",IF(F46&gt;E46,"Saiu mais do que entrou: confirmar o estoque que já existia antes de 09/09","Conferir estoque de antes de 09/09 ou entrada não lançada")))</f>
        <v>Nada a fazer</v>
      </c>
    </row>
    <row r="47" customFormat="false" ht="15" hidden="false" customHeight="false" outlineLevel="0" collapsed="false">
      <c r="A47" s="54" t="s">
        <v>33</v>
      </c>
      <c r="B47" s="54" t="s">
        <v>48</v>
      </c>
      <c r="C47" s="55" t="s">
        <v>202</v>
      </c>
      <c r="D47" s="56" t="s">
        <v>4</v>
      </c>
      <c r="E47" s="57" t="n">
        <f aca="false">SUMIFS('Cruzamento por Lote'!$E$5:$E$98,'Cruzamento por Lote'!$A$5:$A$98,$A47,'Cruzamento por Lote'!$B$5:$B$98,$B47)</f>
        <v>600</v>
      </c>
      <c r="F47" s="57" t="n">
        <f aca="false">SUMIFS('Cruzamento por Lote'!$F$5:$F$98,'Cruzamento por Lote'!$A$5:$A$98,$A47,'Cruzamento por Lote'!$B$5:$B$98,$B47)</f>
        <v>0</v>
      </c>
      <c r="G47" s="57" t="n">
        <f aca="false">E47-F47</f>
        <v>600</v>
      </c>
      <c r="H47" s="57" t="n">
        <f aca="false">SUMIFS('Cruzamento por Lote'!$H$5:$H$98,'Cruzamento por Lote'!$A$5:$A$98,$A47,'Cruzamento por Lote'!$B$5:$B$98,$B47)</f>
        <v>600</v>
      </c>
      <c r="I47" s="58" t="n">
        <f aca="false">ROUND(H47-G47,2)</f>
        <v>0</v>
      </c>
      <c r="J47" s="59" t="str">
        <f aca="false">IF(ABS(I47)&lt;=Resumo!$C$7,"Confere",IF(I47&gt;0,"Sobrando","Faltando"))</f>
        <v>Confere</v>
      </c>
      <c r="K47" s="55" t="str">
        <f aca="false">IF(J47="Confere","Nada a fazer",IF(J47="Faltando","Procurar saída, ajuste ou devolução que não está na lista",IF(F47&gt;E47,"Saiu mais do que entrou: confirmar o estoque que já existia antes de 09/09","Conferir estoque de antes de 09/09 ou entrada não lançada")))</f>
        <v>Nada a fazer</v>
      </c>
    </row>
    <row r="48" customFormat="false" ht="15" hidden="false" customHeight="false" outlineLevel="0" collapsed="false">
      <c r="A48" s="54" t="s">
        <v>33</v>
      </c>
      <c r="B48" s="54" t="s">
        <v>52</v>
      </c>
      <c r="C48" s="55" t="s">
        <v>202</v>
      </c>
      <c r="D48" s="56" t="s">
        <v>4</v>
      </c>
      <c r="E48" s="57" t="n">
        <f aca="false">SUMIFS('Cruzamento por Lote'!$E$5:$E$98,'Cruzamento por Lote'!$A$5:$A$98,$A48,'Cruzamento por Lote'!$B$5:$B$98,$B48)</f>
        <v>1180</v>
      </c>
      <c r="F48" s="57" t="n">
        <f aca="false">SUMIFS('Cruzamento por Lote'!$F$5:$F$98,'Cruzamento por Lote'!$A$5:$A$98,$A48,'Cruzamento por Lote'!$B$5:$B$98,$B48)</f>
        <v>1160</v>
      </c>
      <c r="G48" s="57" t="n">
        <f aca="false">E48-F48</f>
        <v>20</v>
      </c>
      <c r="H48" s="57" t="n">
        <f aca="false">SUMIFS('Cruzamento por Lote'!$H$5:$H$98,'Cruzamento por Lote'!$A$5:$A$98,$A48,'Cruzamento por Lote'!$B$5:$B$98,$B48)</f>
        <v>20</v>
      </c>
      <c r="I48" s="58" t="n">
        <f aca="false">ROUND(H48-G48,2)</f>
        <v>0</v>
      </c>
      <c r="J48" s="59" t="str">
        <f aca="false">IF(ABS(I48)&lt;=Resumo!$C$7,"Confere",IF(I48&gt;0,"Sobrando","Faltando"))</f>
        <v>Confere</v>
      </c>
      <c r="K48" s="55" t="str">
        <f aca="false">IF(J48="Confere","Nada a fazer",IF(J48="Faltando","Procurar saída, ajuste ou devolução que não está na lista",IF(F48&gt;E48,"Saiu mais do que entrou: confirmar o estoque que já existia antes de 09/09","Conferir estoque de antes de 09/09 ou entrada não lançada")))</f>
        <v>Nada a fazer</v>
      </c>
    </row>
    <row r="49" customFormat="false" ht="15" hidden="false" customHeight="false" outlineLevel="0" collapsed="false">
      <c r="A49" s="54" t="s">
        <v>33</v>
      </c>
      <c r="B49" s="54" t="s">
        <v>54</v>
      </c>
      <c r="C49" s="55" t="s">
        <v>202</v>
      </c>
      <c r="D49" s="56" t="s">
        <v>4</v>
      </c>
      <c r="E49" s="57" t="n">
        <f aca="false">SUMIFS('Cruzamento por Lote'!$E$5:$E$98,'Cruzamento por Lote'!$A$5:$A$98,$A49,'Cruzamento por Lote'!$B$5:$B$98,$B49)</f>
        <v>1660</v>
      </c>
      <c r="F49" s="57" t="n">
        <f aca="false">SUMIFS('Cruzamento por Lote'!$F$5:$F$98,'Cruzamento por Lote'!$A$5:$A$98,$A49,'Cruzamento por Lote'!$B$5:$B$98,$B49)</f>
        <v>580</v>
      </c>
      <c r="G49" s="57" t="n">
        <f aca="false">E49-F49</f>
        <v>1080</v>
      </c>
      <c r="H49" s="57" t="n">
        <f aca="false">SUMIFS('Cruzamento por Lote'!$H$5:$H$98,'Cruzamento por Lote'!$A$5:$A$98,$A49,'Cruzamento por Lote'!$B$5:$B$98,$B49)</f>
        <v>1080</v>
      </c>
      <c r="I49" s="58" t="n">
        <f aca="false">ROUND(H49-G49,2)</f>
        <v>0</v>
      </c>
      <c r="J49" s="59" t="str">
        <f aca="false">IF(ABS(I49)&lt;=Resumo!$C$7,"Confere",IF(I49&gt;0,"Sobrando","Faltando"))</f>
        <v>Confere</v>
      </c>
      <c r="K49" s="55" t="str">
        <f aca="false">IF(J49="Confere","Nada a fazer",IF(J49="Faltando","Procurar saída, ajuste ou devolução que não está na lista",IF(F49&gt;E49,"Saiu mais do que entrou: confirmar o estoque que já existia antes de 09/09","Conferir estoque de antes de 09/09 ou entrada não lançada")))</f>
        <v>Nada a fazer</v>
      </c>
    </row>
    <row r="50" customFormat="false" ht="15" hidden="false" customHeight="false" outlineLevel="0" collapsed="false">
      <c r="A50" s="54" t="s">
        <v>35</v>
      </c>
      <c r="B50" s="54" t="s">
        <v>56</v>
      </c>
      <c r="C50" s="55" t="s">
        <v>119</v>
      </c>
      <c r="D50" s="56" t="s">
        <v>4</v>
      </c>
      <c r="E50" s="57" t="n">
        <f aca="false">SUMIFS('Cruzamento por Lote'!$E$5:$E$98,'Cruzamento por Lote'!$A$5:$A$98,$A50,'Cruzamento por Lote'!$B$5:$B$98,$B50)</f>
        <v>461.9</v>
      </c>
      <c r="F50" s="57" t="n">
        <f aca="false">SUMIFS('Cruzamento por Lote'!$F$5:$F$98,'Cruzamento por Lote'!$A$5:$A$98,$A50,'Cruzamento por Lote'!$B$5:$B$98,$B50)</f>
        <v>442.2</v>
      </c>
      <c r="G50" s="57" t="n">
        <f aca="false">E50-F50</f>
        <v>19.7</v>
      </c>
      <c r="H50" s="57" t="n">
        <f aca="false">SUMIFS('Cruzamento por Lote'!$H$5:$H$98,'Cruzamento por Lote'!$A$5:$A$98,$A50,'Cruzamento por Lote'!$B$5:$B$98,$B50)</f>
        <v>19.7</v>
      </c>
      <c r="I50" s="58" t="n">
        <f aca="false">ROUND(H50-G50,2)</f>
        <v>0</v>
      </c>
      <c r="J50" s="59" t="str">
        <f aca="false">IF(ABS(I50)&lt;=Resumo!$C$7,"Confere",IF(I50&gt;0,"Sobrando","Faltando"))</f>
        <v>Confere</v>
      </c>
      <c r="K50" s="55" t="str">
        <f aca="false">IF(J50="Confere","Nada a fazer",IF(J50="Faltando","Procurar saída, ajuste ou devolução que não está na lista",IF(F50&gt;E50,"Saiu mais do que entrou: confirmar o estoque que já existia antes de 09/09","Conferir estoque de antes de 09/09 ou entrada não lançada")))</f>
        <v>Nada a fazer</v>
      </c>
    </row>
    <row r="51" customFormat="false" ht="15" hidden="false" customHeight="false" outlineLevel="0" collapsed="false">
      <c r="A51" s="54" t="s">
        <v>35</v>
      </c>
      <c r="B51" s="54" t="s">
        <v>60</v>
      </c>
      <c r="C51" s="55" t="s">
        <v>119</v>
      </c>
      <c r="D51" s="56" t="s">
        <v>4</v>
      </c>
      <c r="E51" s="57" t="n">
        <f aca="false">SUMIFS('Cruzamento por Lote'!$E$5:$E$98,'Cruzamento por Lote'!$A$5:$A$98,$A51,'Cruzamento por Lote'!$B$5:$B$98,$B51)</f>
        <v>1809</v>
      </c>
      <c r="F51" s="57" t="n">
        <f aca="false">SUMIFS('Cruzamento por Lote'!$F$5:$F$98,'Cruzamento por Lote'!$A$5:$A$98,$A51,'Cruzamento por Lote'!$B$5:$B$98,$B51)</f>
        <v>1025.1</v>
      </c>
      <c r="G51" s="57" t="n">
        <f aca="false">E51-F51</f>
        <v>783.9</v>
      </c>
      <c r="H51" s="57" t="n">
        <f aca="false">SUMIFS('Cruzamento por Lote'!$H$5:$H$98,'Cruzamento por Lote'!$A$5:$A$98,$A51,'Cruzamento por Lote'!$B$5:$B$98,$B51)</f>
        <v>783.9</v>
      </c>
      <c r="I51" s="58" t="n">
        <f aca="false">ROUND(H51-G51,2)</f>
        <v>0</v>
      </c>
      <c r="J51" s="59" t="str">
        <f aca="false">IF(ABS(I51)&lt;=Resumo!$C$7,"Confere",IF(I51&gt;0,"Sobrando","Faltando"))</f>
        <v>Confere</v>
      </c>
      <c r="K51" s="55" t="str">
        <f aca="false">IF(J51="Confere","Nada a fazer",IF(J51="Faltando","Procurar saída, ajuste ou devolução que não está na lista",IF(F51&gt;E51,"Saiu mais do que entrou: confirmar o estoque que já existia antes de 09/09","Conferir estoque de antes de 09/09 ou entrada não lançada")))</f>
        <v>Nada a fazer</v>
      </c>
    </row>
    <row r="52" customFormat="false" ht="15" hidden="false" customHeight="false" outlineLevel="0" collapsed="false">
      <c r="A52" s="54" t="s">
        <v>43</v>
      </c>
      <c r="B52" s="54" t="s">
        <v>64</v>
      </c>
      <c r="C52" s="55"/>
      <c r="D52" s="56" t="s">
        <v>4</v>
      </c>
      <c r="E52" s="57" t="n">
        <f aca="false">SUMIFS('Cruzamento por Lote'!$E$5:$E$98,'Cruzamento por Lote'!$A$5:$A$98,$A52,'Cruzamento por Lote'!$B$5:$B$98,$B52)</f>
        <v>1000</v>
      </c>
      <c r="F52" s="57" t="n">
        <f aca="false">SUMIFS('Cruzamento por Lote'!$F$5:$F$98,'Cruzamento por Lote'!$A$5:$A$98,$A52,'Cruzamento por Lote'!$B$5:$B$98,$B52)</f>
        <v>0</v>
      </c>
      <c r="G52" s="57" t="n">
        <f aca="false">E52-F52</f>
        <v>1000</v>
      </c>
      <c r="H52" s="57" t="n">
        <f aca="false">SUMIFS('Cruzamento por Lote'!$H$5:$H$98,'Cruzamento por Lote'!$A$5:$A$98,$A52,'Cruzamento por Lote'!$B$5:$B$98,$B52)</f>
        <v>1000</v>
      </c>
      <c r="I52" s="58" t="n">
        <f aca="false">ROUND(H52-G52,2)</f>
        <v>0</v>
      </c>
      <c r="J52" s="59" t="str">
        <f aca="false">IF(ABS(I52)&lt;=Resumo!$C$7,"Confere",IF(I52&gt;0,"Sobrando","Faltando"))</f>
        <v>Confere</v>
      </c>
      <c r="K52" s="55" t="str">
        <f aca="false">IF(J52="Confere","Nada a fazer",IF(J52="Faltando","Procurar saída, ajuste ou devolução que não está na lista",IF(F52&gt;E52,"Saiu mais do que entrou: confirmar o estoque que já existia antes de 09/09","Conferir estoque de antes de 09/09 ou entrada não lançada")))</f>
        <v>Nada a fazer</v>
      </c>
    </row>
    <row r="53" customFormat="false" ht="15" hidden="false" customHeight="false" outlineLevel="0" collapsed="false">
      <c r="A53" s="54" t="s">
        <v>47</v>
      </c>
      <c r="B53" s="54" t="s">
        <v>66</v>
      </c>
      <c r="C53" s="55" t="s">
        <v>202</v>
      </c>
      <c r="D53" s="56" t="s">
        <v>4</v>
      </c>
      <c r="E53" s="57" t="n">
        <f aca="false">SUMIFS('Cruzamento por Lote'!$E$5:$E$98,'Cruzamento por Lote'!$A$5:$A$98,$A53,'Cruzamento por Lote'!$B$5:$B$98,$B53)</f>
        <v>1800</v>
      </c>
      <c r="F53" s="57" t="n">
        <f aca="false">SUMIFS('Cruzamento por Lote'!$F$5:$F$98,'Cruzamento por Lote'!$A$5:$A$98,$A53,'Cruzamento por Lote'!$B$5:$B$98,$B53)</f>
        <v>0</v>
      </c>
      <c r="G53" s="57" t="n">
        <f aca="false">E53-F53</f>
        <v>1800</v>
      </c>
      <c r="H53" s="57" t="n">
        <f aca="false">SUMIFS('Cruzamento por Lote'!$H$5:$H$98,'Cruzamento por Lote'!$A$5:$A$98,$A53,'Cruzamento por Lote'!$B$5:$B$98,$B53)</f>
        <v>1800</v>
      </c>
      <c r="I53" s="58" t="n">
        <f aca="false">ROUND(H53-G53,2)</f>
        <v>0</v>
      </c>
      <c r="J53" s="59" t="str">
        <f aca="false">IF(ABS(I53)&lt;=Resumo!$C$7,"Confere",IF(I53&gt;0,"Sobrando","Faltando"))</f>
        <v>Confere</v>
      </c>
      <c r="K53" s="55" t="str">
        <f aca="false">IF(J53="Confere","Nada a fazer",IF(J53="Faltando","Procurar saída, ajuste ou devolução que não está na lista",IF(F53&gt;E53,"Saiu mais do que entrou: confirmar o estoque que já existia antes de 09/09","Conferir estoque de antes de 09/09 ou entrada não lançada")))</f>
        <v>Nada a fazer</v>
      </c>
    </row>
    <row r="54" customFormat="false" ht="15" hidden="false" customHeight="false" outlineLevel="0" collapsed="false">
      <c r="A54" s="54" t="s">
        <v>47</v>
      </c>
      <c r="B54" s="54" t="s">
        <v>68</v>
      </c>
      <c r="C54" s="55" t="s">
        <v>202</v>
      </c>
      <c r="D54" s="56" t="s">
        <v>4</v>
      </c>
      <c r="E54" s="57" t="n">
        <f aca="false">SUMIFS('Cruzamento por Lote'!$E$5:$E$98,'Cruzamento por Lote'!$A$5:$A$98,$A54,'Cruzamento por Lote'!$B$5:$B$98,$B54)</f>
        <v>5940</v>
      </c>
      <c r="F54" s="57" t="n">
        <f aca="false">SUMIFS('Cruzamento por Lote'!$F$5:$F$98,'Cruzamento por Lote'!$A$5:$A$98,$A54,'Cruzamento por Lote'!$B$5:$B$98,$B54)</f>
        <v>4940</v>
      </c>
      <c r="G54" s="57" t="n">
        <f aca="false">E54-F54</f>
        <v>1000</v>
      </c>
      <c r="H54" s="57" t="n">
        <f aca="false">SUMIFS('Cruzamento por Lote'!$H$5:$H$98,'Cruzamento por Lote'!$A$5:$A$98,$A54,'Cruzamento por Lote'!$B$5:$B$98,$B54)</f>
        <v>1000</v>
      </c>
      <c r="I54" s="58" t="n">
        <f aca="false">ROUND(H54-G54,2)</f>
        <v>0</v>
      </c>
      <c r="J54" s="59" t="str">
        <f aca="false">IF(ABS(I54)&lt;=Resumo!$C$7,"Confere",IF(I54&gt;0,"Sobrando","Faltando"))</f>
        <v>Confere</v>
      </c>
      <c r="K54" s="55" t="str">
        <f aca="false">IF(J54="Confere","Nada a fazer",IF(J54="Faltando","Procurar saída, ajuste ou devolução que não está na lista",IF(F54&gt;E54,"Saiu mais do que entrou: confirmar o estoque que já existia antes de 09/09","Conferir estoque de antes de 09/09 ou entrada não lançada")))</f>
        <v>Nada a fazer</v>
      </c>
    </row>
    <row r="55" customFormat="false" ht="15" hidden="false" customHeight="false" outlineLevel="0" collapsed="false">
      <c r="A55" s="54" t="s">
        <v>51</v>
      </c>
      <c r="B55" s="54" t="s">
        <v>72</v>
      </c>
      <c r="C55" s="55" t="s">
        <v>128</v>
      </c>
      <c r="D55" s="56" t="s">
        <v>4</v>
      </c>
      <c r="E55" s="57" t="n">
        <f aca="false">SUMIFS('Cruzamento por Lote'!$E$5:$E$98,'Cruzamento por Lote'!$A$5:$A$98,$A55,'Cruzamento por Lote'!$B$5:$B$98,$B55)</f>
        <v>720</v>
      </c>
      <c r="F55" s="57" t="n">
        <f aca="false">SUMIFS('Cruzamento por Lote'!$F$5:$F$98,'Cruzamento por Lote'!$A$5:$A$98,$A55,'Cruzamento por Lote'!$B$5:$B$98,$B55)</f>
        <v>240</v>
      </c>
      <c r="G55" s="57" t="n">
        <f aca="false">E55-F55</f>
        <v>480</v>
      </c>
      <c r="H55" s="57" t="n">
        <f aca="false">SUMIFS('Cruzamento por Lote'!$H$5:$H$98,'Cruzamento por Lote'!$A$5:$A$98,$A55,'Cruzamento por Lote'!$B$5:$B$98,$B55)</f>
        <v>480</v>
      </c>
      <c r="I55" s="58" t="n">
        <f aca="false">ROUND(H55-G55,2)</f>
        <v>0</v>
      </c>
      <c r="J55" s="59" t="str">
        <f aca="false">IF(ABS(I55)&lt;=Resumo!$C$7,"Confere",IF(I55&gt;0,"Sobrando","Faltando"))</f>
        <v>Confere</v>
      </c>
      <c r="K55" s="55" t="str">
        <f aca="false">IF(J55="Confere","Nada a fazer",IF(J55="Faltando","Procurar saída, ajuste ou devolução que não está na lista",IF(F55&gt;E55,"Saiu mais do que entrou: confirmar o estoque que já existia antes de 09/09","Conferir estoque de antes de 09/09 ou entrada não lançada")))</f>
        <v>Nada a fazer</v>
      </c>
    </row>
    <row r="56" customFormat="false" ht="15" hidden="false" customHeight="false" outlineLevel="0" collapsed="false">
      <c r="A56" s="54" t="s">
        <v>51</v>
      </c>
      <c r="B56" s="54" t="s">
        <v>74</v>
      </c>
      <c r="C56" s="55" t="s">
        <v>128</v>
      </c>
      <c r="D56" s="56" t="s">
        <v>4</v>
      </c>
      <c r="E56" s="57" t="n">
        <f aca="false">SUMIFS('Cruzamento por Lote'!$E$5:$E$98,'Cruzamento por Lote'!$A$5:$A$98,$A56,'Cruzamento por Lote'!$B$5:$B$98,$B56)</f>
        <v>40</v>
      </c>
      <c r="F56" s="57" t="n">
        <f aca="false">SUMIFS('Cruzamento por Lote'!$F$5:$F$98,'Cruzamento por Lote'!$A$5:$A$98,$A56,'Cruzamento por Lote'!$B$5:$B$98,$B56)</f>
        <v>0</v>
      </c>
      <c r="G56" s="57" t="n">
        <f aca="false">E56-F56</f>
        <v>40</v>
      </c>
      <c r="H56" s="57" t="n">
        <f aca="false">SUMIFS('Cruzamento por Lote'!$H$5:$H$98,'Cruzamento por Lote'!$A$5:$A$98,$A56,'Cruzamento por Lote'!$B$5:$B$98,$B56)</f>
        <v>40</v>
      </c>
      <c r="I56" s="58" t="n">
        <f aca="false">ROUND(H56-G56,2)</f>
        <v>0</v>
      </c>
      <c r="J56" s="59" t="str">
        <f aca="false">IF(ABS(I56)&lt;=Resumo!$C$7,"Confere",IF(I56&gt;0,"Sobrando","Faltando"))</f>
        <v>Confere</v>
      </c>
      <c r="K56" s="55" t="str">
        <f aca="false">IF(J56="Confere","Nada a fazer",IF(J56="Faltando","Procurar saída, ajuste ou devolução que não está na lista",IF(F56&gt;E56,"Saiu mais do que entrou: confirmar o estoque que já existia antes de 09/09","Conferir estoque de antes de 09/09 ou entrada não lançada")))</f>
        <v>Nada a fazer</v>
      </c>
    </row>
    <row r="57" customFormat="false" ht="15" hidden="false" customHeight="false" outlineLevel="0" collapsed="false">
      <c r="A57" s="54" t="s">
        <v>53</v>
      </c>
      <c r="B57" s="54" t="s">
        <v>80</v>
      </c>
      <c r="C57" s="55" t="s">
        <v>137</v>
      </c>
      <c r="D57" s="56" t="s">
        <v>9</v>
      </c>
      <c r="E57" s="57" t="n">
        <f aca="false">SUMIFS('Cruzamento por Lote'!$E$5:$E$98,'Cruzamento por Lote'!$A$5:$A$98,$A57,'Cruzamento por Lote'!$B$5:$B$98,$B57)</f>
        <v>2250</v>
      </c>
      <c r="F57" s="57" t="n">
        <f aca="false">SUMIFS('Cruzamento por Lote'!$F$5:$F$98,'Cruzamento por Lote'!$A$5:$A$98,$A57,'Cruzamento por Lote'!$B$5:$B$98,$B57)</f>
        <v>885</v>
      </c>
      <c r="G57" s="57" t="n">
        <f aca="false">E57-F57</f>
        <v>1365</v>
      </c>
      <c r="H57" s="57" t="n">
        <f aca="false">SUMIFS('Cruzamento por Lote'!$H$5:$H$98,'Cruzamento por Lote'!$A$5:$A$98,$A57,'Cruzamento por Lote'!$B$5:$B$98,$B57)</f>
        <v>1365</v>
      </c>
      <c r="I57" s="58" t="n">
        <f aca="false">ROUND(H57-G57,2)</f>
        <v>0</v>
      </c>
      <c r="J57" s="59" t="str">
        <f aca="false">IF(ABS(I57)&lt;=Resumo!$C$7,"Confere",IF(I57&gt;0,"Sobrando","Faltando"))</f>
        <v>Confere</v>
      </c>
      <c r="K57" s="55" t="str">
        <f aca="false">IF(J57="Confere","Nada a fazer",IF(J57="Faltando","Procurar saída, ajuste ou devolução que não está na lista",IF(F57&gt;E57,"Saiu mais do que entrou: confirmar o estoque que já existia antes de 09/09","Conferir estoque de antes de 09/09 ou entrada não lançada")))</f>
        <v>Nada a fazer</v>
      </c>
    </row>
    <row r="58" customFormat="false" ht="15" hidden="false" customHeight="false" outlineLevel="0" collapsed="false">
      <c r="A58" s="54" t="s">
        <v>53</v>
      </c>
      <c r="B58" s="54" t="s">
        <v>82</v>
      </c>
      <c r="C58" s="55" t="s">
        <v>137</v>
      </c>
      <c r="D58" s="56" t="s">
        <v>9</v>
      </c>
      <c r="E58" s="57" t="n">
        <f aca="false">SUMIFS('Cruzamento por Lote'!$E$5:$E$98,'Cruzamento por Lote'!$A$5:$A$98,$A58,'Cruzamento por Lote'!$B$5:$B$98,$B58)</f>
        <v>450</v>
      </c>
      <c r="F58" s="57" t="n">
        <f aca="false">SUMIFS('Cruzamento por Lote'!$F$5:$F$98,'Cruzamento por Lote'!$A$5:$A$98,$A58,'Cruzamento por Lote'!$B$5:$B$98,$B58)</f>
        <v>450</v>
      </c>
      <c r="G58" s="57" t="n">
        <f aca="false">E58-F58</f>
        <v>0</v>
      </c>
      <c r="H58" s="57" t="n">
        <f aca="false">SUMIFS('Cruzamento por Lote'!$H$5:$H$98,'Cruzamento por Lote'!$A$5:$A$98,$A58,'Cruzamento por Lote'!$B$5:$B$98,$B58)</f>
        <v>0</v>
      </c>
      <c r="I58" s="58" t="n">
        <f aca="false">ROUND(H58-G58,2)</f>
        <v>0</v>
      </c>
      <c r="J58" s="59" t="str">
        <f aca="false">IF(ABS(I58)&lt;=Resumo!$C$7,"Confere",IF(I58&gt;0,"Sobrando","Faltando"))</f>
        <v>Confere</v>
      </c>
      <c r="K58" s="55" t="str">
        <f aca="false">IF(J58="Confere","Nada a fazer",IF(J58="Faltando","Procurar saída, ajuste ou devolução que não está na lista",IF(F58&gt;E58,"Saiu mais do que entrou: confirmar o estoque que já existia antes de 09/09","Conferir estoque de antes de 09/09 ou entrada não lançada")))</f>
        <v>Nada a fazer</v>
      </c>
    </row>
    <row r="59" customFormat="false" ht="15" hidden="false" customHeight="false" outlineLevel="0" collapsed="false">
      <c r="A59" s="54" t="s">
        <v>53</v>
      </c>
      <c r="B59" s="54" t="s">
        <v>84</v>
      </c>
      <c r="C59" s="55" t="s">
        <v>137</v>
      </c>
      <c r="D59" s="56" t="s">
        <v>9</v>
      </c>
      <c r="E59" s="57" t="n">
        <f aca="false">SUMIFS('Cruzamento por Lote'!$E$5:$E$98,'Cruzamento por Lote'!$A$5:$A$98,$A59,'Cruzamento por Lote'!$B$5:$B$98,$B59)</f>
        <v>900</v>
      </c>
      <c r="F59" s="57" t="n">
        <f aca="false">SUMIFS('Cruzamento por Lote'!$F$5:$F$98,'Cruzamento por Lote'!$A$5:$A$98,$A59,'Cruzamento por Lote'!$B$5:$B$98,$B59)</f>
        <v>840</v>
      </c>
      <c r="G59" s="57" t="n">
        <f aca="false">E59-F59</f>
        <v>60</v>
      </c>
      <c r="H59" s="57" t="n">
        <f aca="false">SUMIFS('Cruzamento por Lote'!$H$5:$H$98,'Cruzamento por Lote'!$A$5:$A$98,$A59,'Cruzamento por Lote'!$B$5:$B$98,$B59)</f>
        <v>60</v>
      </c>
      <c r="I59" s="58" t="n">
        <f aca="false">ROUND(H59-G59,2)</f>
        <v>0</v>
      </c>
      <c r="J59" s="59" t="str">
        <f aca="false">IF(ABS(I59)&lt;=Resumo!$C$7,"Confere",IF(I59&gt;0,"Sobrando","Faltando"))</f>
        <v>Confere</v>
      </c>
      <c r="K59" s="55" t="str">
        <f aca="false">IF(J59="Confere","Nada a fazer",IF(J59="Faltando","Procurar saída, ajuste ou devolução que não está na lista",IF(F59&gt;E59,"Saiu mais do que entrou: confirmar o estoque que já existia antes de 09/09","Conferir estoque de antes de 09/09 ou entrada não lançada")))</f>
        <v>Nada a fazer</v>
      </c>
    </row>
    <row r="60" customFormat="false" ht="15" hidden="false" customHeight="false" outlineLevel="0" collapsed="false">
      <c r="A60" s="54" t="s">
        <v>55</v>
      </c>
      <c r="B60" s="54" t="s">
        <v>89</v>
      </c>
      <c r="C60" s="55" t="s">
        <v>215</v>
      </c>
      <c r="D60" s="56" t="s">
        <v>4</v>
      </c>
      <c r="E60" s="57" t="n">
        <f aca="false">SUMIFS('Cruzamento por Lote'!$E$5:$E$98,'Cruzamento por Lote'!$A$5:$A$98,$A60,'Cruzamento por Lote'!$B$5:$B$98,$B60)</f>
        <v>648</v>
      </c>
      <c r="F60" s="57" t="n">
        <f aca="false">SUMIFS('Cruzamento por Lote'!$F$5:$F$98,'Cruzamento por Lote'!$A$5:$A$98,$A60,'Cruzamento por Lote'!$B$5:$B$98,$B60)</f>
        <v>54</v>
      </c>
      <c r="G60" s="57" t="n">
        <f aca="false">E60-F60</f>
        <v>594</v>
      </c>
      <c r="H60" s="57" t="n">
        <f aca="false">SUMIFS('Cruzamento por Lote'!$H$5:$H$98,'Cruzamento por Lote'!$A$5:$A$98,$A60,'Cruzamento por Lote'!$B$5:$B$98,$B60)</f>
        <v>594</v>
      </c>
      <c r="I60" s="58" t="n">
        <f aca="false">ROUND(H60-G60,2)</f>
        <v>0</v>
      </c>
      <c r="J60" s="59" t="str">
        <f aca="false">IF(ABS(I60)&lt;=Resumo!$C$7,"Confere",IF(I60&gt;0,"Sobrando","Faltando"))</f>
        <v>Confere</v>
      </c>
      <c r="K60" s="55" t="str">
        <f aca="false">IF(J60="Confere","Nada a fazer",IF(J60="Faltando","Procurar saída, ajuste ou devolução que não está na lista",IF(F60&gt;E60,"Saiu mais do que entrou: confirmar o estoque que já existia antes de 09/09","Conferir estoque de antes de 09/09 ou entrada não lançada")))</f>
        <v>Nada a fazer</v>
      </c>
    </row>
    <row r="61" customFormat="false" ht="15" hidden="false" customHeight="false" outlineLevel="0" collapsed="false">
      <c r="A61" s="54" t="s">
        <v>57</v>
      </c>
      <c r="B61" s="54" t="s">
        <v>101</v>
      </c>
      <c r="C61" s="55"/>
      <c r="D61" s="56" t="s">
        <v>4</v>
      </c>
      <c r="E61" s="57" t="n">
        <f aca="false">SUMIFS('Cruzamento por Lote'!$E$5:$E$98,'Cruzamento por Lote'!$A$5:$A$98,$A61,'Cruzamento por Lote'!$B$5:$B$98,$B61)</f>
        <v>0</v>
      </c>
      <c r="F61" s="57" t="n">
        <f aca="false">SUMIFS('Cruzamento por Lote'!$F$5:$F$98,'Cruzamento por Lote'!$A$5:$A$98,$A61,'Cruzamento por Lote'!$B$5:$B$98,$B61)</f>
        <v>0</v>
      </c>
      <c r="G61" s="57" t="n">
        <f aca="false">E61-F61</f>
        <v>0</v>
      </c>
      <c r="H61" s="57" t="n">
        <f aca="false">SUMIFS('Cruzamento por Lote'!$H$5:$H$98,'Cruzamento por Lote'!$A$5:$A$98,$A61,'Cruzamento por Lote'!$B$5:$B$98,$B61)</f>
        <v>0</v>
      </c>
      <c r="I61" s="58" t="n">
        <f aca="false">ROUND(H61-G61,2)</f>
        <v>0</v>
      </c>
      <c r="J61" s="59" t="str">
        <f aca="false">IF(ABS(I61)&lt;=Resumo!$C$7,"Confere",IF(I61&gt;0,"Sobrando","Faltando"))</f>
        <v>Confere</v>
      </c>
      <c r="K61" s="55" t="str">
        <f aca="false">IF(J61="Confere","Nada a fazer",IF(J61="Faltando","Procurar saída, ajuste ou devolução que não está na lista",IF(F61&gt;E61,"Saiu mais do que entrou: confirmar o estoque que já existia antes de 09/09","Conferir estoque de antes de 09/09 ou entrada não lançada")))</f>
        <v>Nada a fazer</v>
      </c>
    </row>
    <row r="62" customFormat="false" ht="15" hidden="false" customHeight="false" outlineLevel="0" collapsed="false">
      <c r="A62" s="54" t="s">
        <v>59</v>
      </c>
      <c r="B62" s="54" t="s">
        <v>103</v>
      </c>
      <c r="C62" s="55"/>
      <c r="D62" s="56" t="s">
        <v>4</v>
      </c>
      <c r="E62" s="57" t="n">
        <f aca="false">SUMIFS('Cruzamento por Lote'!$E$5:$E$98,'Cruzamento por Lote'!$A$5:$A$98,$A62,'Cruzamento por Lote'!$B$5:$B$98,$B62)</f>
        <v>0</v>
      </c>
      <c r="F62" s="57" t="n">
        <f aca="false">SUMIFS('Cruzamento por Lote'!$F$5:$F$98,'Cruzamento por Lote'!$A$5:$A$98,$A62,'Cruzamento por Lote'!$B$5:$B$98,$B62)</f>
        <v>0</v>
      </c>
      <c r="G62" s="57" t="n">
        <f aca="false">E62-F62</f>
        <v>0</v>
      </c>
      <c r="H62" s="57" t="n">
        <f aca="false">SUMIFS('Cruzamento por Lote'!$H$5:$H$98,'Cruzamento por Lote'!$A$5:$A$98,$A62,'Cruzamento por Lote'!$B$5:$B$98,$B62)</f>
        <v>0</v>
      </c>
      <c r="I62" s="58" t="n">
        <f aca="false">ROUND(H62-G62,2)</f>
        <v>0</v>
      </c>
      <c r="J62" s="59" t="str">
        <f aca="false">IF(ABS(I62)&lt;=Resumo!$C$7,"Confere",IF(I62&gt;0,"Sobrando","Faltando"))</f>
        <v>Confere</v>
      </c>
      <c r="K62" s="55" t="str">
        <f aca="false">IF(J62="Confere","Nada a fazer",IF(J62="Faltando","Procurar saída, ajuste ou devolução que não está na lista",IF(F62&gt;E62,"Saiu mais do que entrou: confirmar o estoque que já existia antes de 09/09","Conferir estoque de antes de 09/09 ou entrada não lançada")))</f>
        <v>Nada a fazer</v>
      </c>
    </row>
    <row r="63" customFormat="false" ht="15" hidden="false" customHeight="false" outlineLevel="0" collapsed="false">
      <c r="A63" s="54" t="s">
        <v>59</v>
      </c>
      <c r="B63" s="54" t="s">
        <v>105</v>
      </c>
      <c r="C63" s="55"/>
      <c r="D63" s="56" t="s">
        <v>4</v>
      </c>
      <c r="E63" s="57" t="n">
        <f aca="false">SUMIFS('Cruzamento por Lote'!$E$5:$E$98,'Cruzamento por Lote'!$A$5:$A$98,$A63,'Cruzamento por Lote'!$B$5:$B$98,$B63)</f>
        <v>0</v>
      </c>
      <c r="F63" s="57" t="n">
        <f aca="false">SUMIFS('Cruzamento por Lote'!$F$5:$F$98,'Cruzamento por Lote'!$A$5:$A$98,$A63,'Cruzamento por Lote'!$B$5:$B$98,$B63)</f>
        <v>0</v>
      </c>
      <c r="G63" s="57" t="n">
        <f aca="false">E63-F63</f>
        <v>0</v>
      </c>
      <c r="H63" s="57" t="n">
        <f aca="false">SUMIFS('Cruzamento por Lote'!$H$5:$H$98,'Cruzamento por Lote'!$A$5:$A$98,$A63,'Cruzamento por Lote'!$B$5:$B$98,$B63)</f>
        <v>0</v>
      </c>
      <c r="I63" s="58" t="n">
        <f aca="false">ROUND(H63-G63,2)</f>
        <v>0</v>
      </c>
      <c r="J63" s="59" t="str">
        <f aca="false">IF(ABS(I63)&lt;=Resumo!$C$7,"Confere",IF(I63&gt;0,"Sobrando","Faltando"))</f>
        <v>Confere</v>
      </c>
      <c r="K63" s="55" t="str">
        <f aca="false">IF(J63="Confere","Nada a fazer",IF(J63="Faltando","Procurar saída, ajuste ou devolução que não está na lista",IF(F63&gt;E63,"Saiu mais do que entrou: confirmar o estoque que já existia antes de 09/09","Conferir estoque de antes de 09/09 ou entrada não lançada")))</f>
        <v>Nada a fazer</v>
      </c>
    </row>
    <row r="64" customFormat="false" ht="15" hidden="false" customHeight="false" outlineLevel="0" collapsed="false">
      <c r="A64" s="54" t="s">
        <v>63</v>
      </c>
      <c r="B64" s="54" t="s">
        <v>109</v>
      </c>
      <c r="C64" s="55"/>
      <c r="D64" s="56" t="s">
        <v>4</v>
      </c>
      <c r="E64" s="57" t="n">
        <f aca="false">SUMIFS('Cruzamento por Lote'!$E$5:$E$98,'Cruzamento por Lote'!$A$5:$A$98,$A64,'Cruzamento por Lote'!$B$5:$B$98,$B64)</f>
        <v>81.6</v>
      </c>
      <c r="F64" s="57" t="n">
        <f aca="false">SUMIFS('Cruzamento por Lote'!$F$5:$F$98,'Cruzamento por Lote'!$A$5:$A$98,$A64,'Cruzamento por Lote'!$B$5:$B$98,$B64)</f>
        <v>0</v>
      </c>
      <c r="G64" s="57" t="n">
        <f aca="false">E64-F64</f>
        <v>81.6</v>
      </c>
      <c r="H64" s="57" t="n">
        <f aca="false">SUMIFS('Cruzamento por Lote'!$H$5:$H$98,'Cruzamento por Lote'!$A$5:$A$98,$A64,'Cruzamento por Lote'!$B$5:$B$98,$B64)</f>
        <v>81.6</v>
      </c>
      <c r="I64" s="58" t="n">
        <f aca="false">ROUND(H64-G64,2)</f>
        <v>0</v>
      </c>
      <c r="J64" s="59" t="str">
        <f aca="false">IF(ABS(I64)&lt;=Resumo!$C$7,"Confere",IF(I64&gt;0,"Sobrando","Faltando"))</f>
        <v>Confere</v>
      </c>
      <c r="K64" s="55" t="str">
        <f aca="false">IF(J64="Confere","Nada a fazer",IF(J64="Faltando","Procurar saída, ajuste ou devolução que não está na lista",IF(F64&gt;E64,"Saiu mais do que entrou: confirmar o estoque que já existia antes de 09/09","Conferir estoque de antes de 09/09 ou entrada não lançada")))</f>
        <v>Nada a fazer</v>
      </c>
    </row>
    <row r="65" customFormat="false" ht="15" hidden="false" customHeight="false" outlineLevel="0" collapsed="false">
      <c r="A65" s="54" t="s">
        <v>65</v>
      </c>
      <c r="B65" s="54" t="s">
        <v>111</v>
      </c>
      <c r="C65" s="55"/>
      <c r="D65" s="56" t="s">
        <v>4</v>
      </c>
      <c r="E65" s="57" t="n">
        <f aca="false">SUMIFS('Cruzamento por Lote'!$E$5:$E$98,'Cruzamento por Lote'!$A$5:$A$98,$A65,'Cruzamento por Lote'!$B$5:$B$98,$B65)</f>
        <v>0</v>
      </c>
      <c r="F65" s="57" t="n">
        <f aca="false">SUMIFS('Cruzamento por Lote'!$F$5:$F$98,'Cruzamento por Lote'!$A$5:$A$98,$A65,'Cruzamento por Lote'!$B$5:$B$98,$B65)</f>
        <v>0</v>
      </c>
      <c r="G65" s="57" t="n">
        <f aca="false">E65-F65</f>
        <v>0</v>
      </c>
      <c r="H65" s="57" t="n">
        <f aca="false">SUMIFS('Cruzamento por Lote'!$H$5:$H$98,'Cruzamento por Lote'!$A$5:$A$98,$A65,'Cruzamento por Lote'!$B$5:$B$98,$B65)</f>
        <v>0</v>
      </c>
      <c r="I65" s="58" t="n">
        <f aca="false">ROUND(H65-G65,2)</f>
        <v>0</v>
      </c>
      <c r="J65" s="59" t="str">
        <f aca="false">IF(ABS(I65)&lt;=Resumo!$C$7,"Confere",IF(I65&gt;0,"Sobrando","Faltando"))</f>
        <v>Confere</v>
      </c>
      <c r="K65" s="55" t="str">
        <f aca="false">IF(J65="Confere","Nada a fazer",IF(J65="Faltando","Procurar saída, ajuste ou devolução que não está na lista",IF(F65&gt;E65,"Saiu mais do que entrou: confirmar o estoque que já existia antes de 09/09","Conferir estoque de antes de 09/09 ou entrada não lançada")))</f>
        <v>Nada a fazer</v>
      </c>
    </row>
    <row r="66" customFormat="false" ht="15" hidden="false" customHeight="false" outlineLevel="0" collapsed="false">
      <c r="A66" s="54" t="s">
        <v>67</v>
      </c>
      <c r="B66" s="54" t="s">
        <v>118</v>
      </c>
      <c r="C66" s="55"/>
      <c r="D66" s="56" t="s">
        <v>4</v>
      </c>
      <c r="E66" s="57" t="n">
        <f aca="false">SUMIFS('Cruzamento por Lote'!$E$5:$E$98,'Cruzamento por Lote'!$A$5:$A$98,$A66,'Cruzamento por Lote'!$B$5:$B$98,$B66)</f>
        <v>0</v>
      </c>
      <c r="F66" s="57" t="n">
        <f aca="false">SUMIFS('Cruzamento por Lote'!$F$5:$F$98,'Cruzamento por Lote'!$A$5:$A$98,$A66,'Cruzamento por Lote'!$B$5:$B$98,$B66)</f>
        <v>0</v>
      </c>
      <c r="G66" s="57" t="n">
        <f aca="false">E66-F66</f>
        <v>0</v>
      </c>
      <c r="H66" s="57" t="n">
        <f aca="false">SUMIFS('Cruzamento por Lote'!$H$5:$H$98,'Cruzamento por Lote'!$A$5:$A$98,$A66,'Cruzamento por Lote'!$B$5:$B$98,$B66)</f>
        <v>0</v>
      </c>
      <c r="I66" s="58" t="n">
        <f aca="false">ROUND(H66-G66,2)</f>
        <v>0</v>
      </c>
      <c r="J66" s="59" t="str">
        <f aca="false">IF(ABS(I66)&lt;=Resumo!$C$7,"Confere",IF(I66&gt;0,"Sobrando","Faltando"))</f>
        <v>Confere</v>
      </c>
      <c r="K66" s="55" t="str">
        <f aca="false">IF(J66="Confere","Nada a fazer",IF(J66="Faltando","Procurar saída, ajuste ou devolução que não está na lista",IF(F66&gt;E66,"Saiu mais do que entrou: confirmar o estoque que já existia antes de 09/09","Conferir estoque de antes de 09/09 ou entrada não lançada")))</f>
        <v>Nada a fazer</v>
      </c>
    </row>
    <row r="67" customFormat="false" ht="15" hidden="false" customHeight="false" outlineLevel="0" collapsed="false">
      <c r="A67" s="54" t="s">
        <v>69</v>
      </c>
      <c r="B67" s="54" t="s">
        <v>123</v>
      </c>
      <c r="C67" s="55" t="s">
        <v>119</v>
      </c>
      <c r="D67" s="56" t="s">
        <v>4</v>
      </c>
      <c r="E67" s="57" t="n">
        <f aca="false">SUMIFS('Cruzamento por Lote'!$E$5:$E$98,'Cruzamento por Lote'!$A$5:$A$98,$A67,'Cruzamento por Lote'!$B$5:$B$98,$B67)</f>
        <v>0</v>
      </c>
      <c r="F67" s="57" t="n">
        <f aca="false">SUMIFS('Cruzamento por Lote'!$F$5:$F$98,'Cruzamento por Lote'!$A$5:$A$98,$A67,'Cruzamento por Lote'!$B$5:$B$98,$B67)</f>
        <v>0</v>
      </c>
      <c r="G67" s="57" t="n">
        <f aca="false">E67-F67</f>
        <v>0</v>
      </c>
      <c r="H67" s="57" t="n">
        <f aca="false">SUMIFS('Cruzamento por Lote'!$H$5:$H$98,'Cruzamento por Lote'!$A$5:$A$98,$A67,'Cruzamento por Lote'!$B$5:$B$98,$B67)</f>
        <v>0</v>
      </c>
      <c r="I67" s="58" t="n">
        <f aca="false">ROUND(H67-G67,2)</f>
        <v>0</v>
      </c>
      <c r="J67" s="59" t="str">
        <f aca="false">IF(ABS(I67)&lt;=Resumo!$C$7,"Confere",IF(I67&gt;0,"Sobrando","Faltando"))</f>
        <v>Confere</v>
      </c>
      <c r="K67" s="55" t="str">
        <f aca="false">IF(J67="Confere","Nada a fazer",IF(J67="Faltando","Procurar saída, ajuste ou devolução que não está na lista",IF(F67&gt;E67,"Saiu mais do que entrou: confirmar o estoque que já existia antes de 09/09","Conferir estoque de antes de 09/09 ou entrada não lançada")))</f>
        <v>Nada a fazer</v>
      </c>
    </row>
    <row r="68" customFormat="false" ht="15" hidden="false" customHeight="false" outlineLevel="0" collapsed="false">
      <c r="A68" s="54" t="s">
        <v>73</v>
      </c>
      <c r="B68" s="54" t="s">
        <v>140</v>
      </c>
      <c r="C68" s="55"/>
      <c r="D68" s="56" t="s">
        <v>4</v>
      </c>
      <c r="E68" s="57" t="n">
        <f aca="false">SUMIFS('Cruzamento por Lote'!$E$5:$E$98,'Cruzamento por Lote'!$A$5:$A$98,$A68,'Cruzamento por Lote'!$B$5:$B$98,$B68)</f>
        <v>0</v>
      </c>
      <c r="F68" s="57" t="n">
        <f aca="false">SUMIFS('Cruzamento por Lote'!$F$5:$F$98,'Cruzamento por Lote'!$A$5:$A$98,$A68,'Cruzamento por Lote'!$B$5:$B$98,$B68)</f>
        <v>0</v>
      </c>
      <c r="G68" s="57" t="n">
        <f aca="false">E68-F68</f>
        <v>0</v>
      </c>
      <c r="H68" s="57" t="n">
        <f aca="false">SUMIFS('Cruzamento por Lote'!$H$5:$H$98,'Cruzamento por Lote'!$A$5:$A$98,$A68,'Cruzamento por Lote'!$B$5:$B$98,$B68)</f>
        <v>0</v>
      </c>
      <c r="I68" s="58" t="n">
        <f aca="false">ROUND(H68-G68,2)</f>
        <v>0</v>
      </c>
      <c r="J68" s="59" t="str">
        <f aca="false">IF(ABS(I68)&lt;=Resumo!$C$7,"Confere",IF(I68&gt;0,"Sobrando","Faltando"))</f>
        <v>Confere</v>
      </c>
      <c r="K68" s="55" t="str">
        <f aca="false">IF(J68="Confere","Nada a fazer",IF(J68="Faltando","Procurar saída, ajuste ou devolução que não está na lista",IF(F68&gt;E68,"Saiu mais do que entrou: confirmar o estoque que já existia antes de 09/09","Conferir estoque de antes de 09/09 ou entrada não lançada")))</f>
        <v>Nada a fazer</v>
      </c>
    </row>
    <row r="69" customFormat="false" ht="15" hidden="false" customHeight="false" outlineLevel="0" collapsed="false">
      <c r="A69" s="54" t="s">
        <v>79</v>
      </c>
      <c r="B69" s="54" t="s">
        <v>152</v>
      </c>
      <c r="C69" s="55"/>
      <c r="D69" s="56" t="s">
        <v>4</v>
      </c>
      <c r="E69" s="57" t="n">
        <f aca="false">SUMIFS('Cruzamento por Lote'!$E$5:$E$98,'Cruzamento por Lote'!$A$5:$A$98,$A69,'Cruzamento por Lote'!$B$5:$B$98,$B69)</f>
        <v>0</v>
      </c>
      <c r="F69" s="57" t="n">
        <f aca="false">SUMIFS('Cruzamento por Lote'!$F$5:$F$98,'Cruzamento por Lote'!$A$5:$A$98,$A69,'Cruzamento por Lote'!$B$5:$B$98,$B69)</f>
        <v>0</v>
      </c>
      <c r="G69" s="57" t="n">
        <f aca="false">E69-F69</f>
        <v>0</v>
      </c>
      <c r="H69" s="57" t="n">
        <f aca="false">SUMIFS('Cruzamento por Lote'!$H$5:$H$98,'Cruzamento por Lote'!$A$5:$A$98,$A69,'Cruzamento por Lote'!$B$5:$B$98,$B69)</f>
        <v>0</v>
      </c>
      <c r="I69" s="58" t="n">
        <f aca="false">ROUND(H69-G69,2)</f>
        <v>0</v>
      </c>
      <c r="J69" s="59" t="str">
        <f aca="false">IF(ABS(I69)&lt;=Resumo!$C$7,"Confere",IF(I69&gt;0,"Sobrando","Faltando"))</f>
        <v>Confere</v>
      </c>
      <c r="K69" s="55" t="str">
        <f aca="false">IF(J69="Confere","Nada a fazer",IF(J69="Faltando","Procurar saída, ajuste ou devolução que não está na lista",IF(F69&gt;E69,"Saiu mais do que entrou: confirmar o estoque que já existia antes de 09/09","Conferir estoque de antes de 09/09 ou entrada não lançada")))</f>
        <v>Nada a fazer</v>
      </c>
    </row>
    <row r="70" customFormat="false" ht="15" hidden="false" customHeight="false" outlineLevel="0" collapsed="false">
      <c r="A70" s="54" t="s">
        <v>81</v>
      </c>
      <c r="B70" s="54" t="s">
        <v>30</v>
      </c>
      <c r="C70" s="55" t="s">
        <v>144</v>
      </c>
      <c r="D70" s="56" t="s">
        <v>4</v>
      </c>
      <c r="E70" s="57" t="n">
        <f aca="false">SUMIFS('Cruzamento por Lote'!$E$5:$E$98,'Cruzamento por Lote'!$A$5:$A$98,$A70,'Cruzamento por Lote'!$B$5:$B$98,$B70)</f>
        <v>288</v>
      </c>
      <c r="F70" s="57" t="n">
        <f aca="false">SUMIFS('Cruzamento por Lote'!$F$5:$F$98,'Cruzamento por Lote'!$A$5:$A$98,$A70,'Cruzamento por Lote'!$B$5:$B$98,$B70)</f>
        <v>0</v>
      </c>
      <c r="G70" s="57" t="n">
        <f aca="false">E70-F70</f>
        <v>288</v>
      </c>
      <c r="H70" s="57" t="n">
        <f aca="false">SUMIFS('Cruzamento por Lote'!$H$5:$H$98,'Cruzamento por Lote'!$A$5:$A$98,$A70,'Cruzamento por Lote'!$B$5:$B$98,$B70)</f>
        <v>288</v>
      </c>
      <c r="I70" s="58" t="n">
        <f aca="false">ROUND(H70-G70,2)</f>
        <v>0</v>
      </c>
      <c r="J70" s="59" t="str">
        <f aca="false">IF(ABS(I70)&lt;=Resumo!$C$7,"Confere",IF(I70&gt;0,"Sobrando","Faltando"))</f>
        <v>Confere</v>
      </c>
      <c r="K70" s="55" t="str">
        <f aca="false">IF(J70="Confere","Nada a fazer",IF(J70="Faltando","Procurar saída, ajuste ou devolução que não está na lista",IF(F70&gt;E70,"Saiu mais do que entrou: confirmar o estoque que já existia antes de 09/09","Conferir estoque de antes de 09/09 ou entrada não lançada")))</f>
        <v>Nada a fazer</v>
      </c>
    </row>
    <row r="71" customFormat="false" ht="15" hidden="false" customHeight="false" outlineLevel="0" collapsed="false">
      <c r="A71" s="54" t="s">
        <v>83</v>
      </c>
      <c r="B71" s="54" t="s">
        <v>161</v>
      </c>
      <c r="C71" s="55"/>
      <c r="D71" s="56" t="s">
        <v>4</v>
      </c>
      <c r="E71" s="57" t="n">
        <f aca="false">SUMIFS('Cruzamento por Lote'!$E$5:$E$98,'Cruzamento por Lote'!$A$5:$A$98,$A71,'Cruzamento por Lote'!$B$5:$B$98,$B71)</f>
        <v>0</v>
      </c>
      <c r="F71" s="57" t="n">
        <f aca="false">SUMIFS('Cruzamento por Lote'!$F$5:$F$98,'Cruzamento por Lote'!$A$5:$A$98,$A71,'Cruzamento por Lote'!$B$5:$B$98,$B71)</f>
        <v>0</v>
      </c>
      <c r="G71" s="57" t="n">
        <f aca="false">E71-F71</f>
        <v>0</v>
      </c>
      <c r="H71" s="57" t="n">
        <f aca="false">SUMIFS('Cruzamento por Lote'!$H$5:$H$98,'Cruzamento por Lote'!$A$5:$A$98,$A71,'Cruzamento por Lote'!$B$5:$B$98,$B71)</f>
        <v>0</v>
      </c>
      <c r="I71" s="58" t="n">
        <f aca="false">ROUND(H71-G71,2)</f>
        <v>0</v>
      </c>
      <c r="J71" s="59" t="str">
        <f aca="false">IF(ABS(I71)&lt;=Resumo!$C$7,"Confere",IF(I71&gt;0,"Sobrando","Faltando"))</f>
        <v>Confere</v>
      </c>
      <c r="K71" s="55" t="str">
        <f aca="false">IF(J71="Confere","Nada a fazer",IF(J71="Faltando","Procurar saída, ajuste ou devolução que não está na lista",IF(F71&gt;E71,"Saiu mais do que entrou: confirmar o estoque que já existia antes de 09/09","Conferir estoque de antes de 09/09 ou entrada não lançada")))</f>
        <v>Nada a fazer</v>
      </c>
    </row>
    <row r="72" customFormat="false" ht="15" hidden="false" customHeight="false" outlineLevel="0" collapsed="false">
      <c r="A72" s="54" t="s">
        <v>83</v>
      </c>
      <c r="B72" s="54" t="s">
        <v>164</v>
      </c>
      <c r="C72" s="55"/>
      <c r="D72" s="56" t="s">
        <v>4</v>
      </c>
      <c r="E72" s="57" t="n">
        <f aca="false">SUMIFS('Cruzamento por Lote'!$E$5:$E$98,'Cruzamento por Lote'!$A$5:$A$98,$A72,'Cruzamento por Lote'!$B$5:$B$98,$B72)</f>
        <v>0</v>
      </c>
      <c r="F72" s="57" t="n">
        <f aca="false">SUMIFS('Cruzamento por Lote'!$F$5:$F$98,'Cruzamento por Lote'!$A$5:$A$98,$A72,'Cruzamento por Lote'!$B$5:$B$98,$B72)</f>
        <v>0</v>
      </c>
      <c r="G72" s="57" t="n">
        <f aca="false">E72-F72</f>
        <v>0</v>
      </c>
      <c r="H72" s="57" t="n">
        <f aca="false">SUMIFS('Cruzamento por Lote'!$H$5:$H$98,'Cruzamento por Lote'!$A$5:$A$98,$A72,'Cruzamento por Lote'!$B$5:$B$98,$B72)</f>
        <v>0</v>
      </c>
      <c r="I72" s="58" t="n">
        <f aca="false">ROUND(H72-G72,2)</f>
        <v>0</v>
      </c>
      <c r="J72" s="59" t="str">
        <f aca="false">IF(ABS(I72)&lt;=Resumo!$C$7,"Confere",IF(I72&gt;0,"Sobrando","Faltando"))</f>
        <v>Confere</v>
      </c>
      <c r="K72" s="55" t="str">
        <f aca="false">IF(J72="Confere","Nada a fazer",IF(J72="Faltando","Procurar saída, ajuste ou devolução que não está na lista",IF(F72&gt;E72,"Saiu mais do que entrou: confirmar o estoque que já existia antes de 09/09","Conferir estoque de antes de 09/09 ou entrada não lançada")))</f>
        <v>Nada a fazer</v>
      </c>
    </row>
    <row r="73" customFormat="false" ht="15" hidden="false" customHeight="false" outlineLevel="0" collapsed="false">
      <c r="A73" s="54" t="s">
        <v>85</v>
      </c>
      <c r="B73" s="54" t="s">
        <v>168</v>
      </c>
      <c r="C73" s="55"/>
      <c r="D73" s="56" t="s">
        <v>4</v>
      </c>
      <c r="E73" s="57" t="n">
        <f aca="false">SUMIFS('Cruzamento por Lote'!$E$5:$E$98,'Cruzamento por Lote'!$A$5:$A$98,$A73,'Cruzamento por Lote'!$B$5:$B$98,$B73)</f>
        <v>108.8</v>
      </c>
      <c r="F73" s="57" t="n">
        <f aca="false">SUMIFS('Cruzamento por Lote'!$F$5:$F$98,'Cruzamento por Lote'!$A$5:$A$98,$A73,'Cruzamento por Lote'!$B$5:$B$98,$B73)</f>
        <v>0</v>
      </c>
      <c r="G73" s="57" t="n">
        <f aca="false">E73-F73</f>
        <v>108.8</v>
      </c>
      <c r="H73" s="57" t="n">
        <f aca="false">SUMIFS('Cruzamento por Lote'!$H$5:$H$98,'Cruzamento por Lote'!$A$5:$A$98,$A73,'Cruzamento por Lote'!$B$5:$B$98,$B73)</f>
        <v>108.8</v>
      </c>
      <c r="I73" s="58" t="n">
        <f aca="false">ROUND(H73-G73,2)</f>
        <v>0</v>
      </c>
      <c r="J73" s="59" t="str">
        <f aca="false">IF(ABS(I73)&lt;=Resumo!$C$7,"Confere",IF(I73&gt;0,"Sobrando","Faltando"))</f>
        <v>Confere</v>
      </c>
      <c r="K73" s="55" t="str">
        <f aca="false">IF(J73="Confere","Nada a fazer",IF(J73="Faltando","Procurar saída, ajuste ou devolução que não está na lista",IF(F73&gt;E73,"Saiu mais do que entrou: confirmar o estoque que já existia antes de 09/09","Conferir estoque de antes de 09/09 ou entrada não lançada")))</f>
        <v>Nada a fazer</v>
      </c>
    </row>
    <row r="74" customFormat="false" ht="15" hidden="false" customHeight="false" outlineLevel="0" collapsed="false">
      <c r="A74" s="54" t="s">
        <v>85</v>
      </c>
      <c r="B74" s="54" t="s">
        <v>170</v>
      </c>
      <c r="C74" s="55"/>
      <c r="D74" s="56" t="s">
        <v>4</v>
      </c>
      <c r="E74" s="57" t="n">
        <f aca="false">SUMIFS('Cruzamento por Lote'!$E$5:$E$98,'Cruzamento por Lote'!$A$5:$A$98,$A74,'Cruzamento por Lote'!$B$5:$B$98,$B74)</f>
        <v>195.84</v>
      </c>
      <c r="F74" s="57" t="n">
        <f aca="false">SUMIFS('Cruzamento por Lote'!$F$5:$F$98,'Cruzamento por Lote'!$A$5:$A$98,$A74,'Cruzamento por Lote'!$B$5:$B$98,$B74)</f>
        <v>0</v>
      </c>
      <c r="G74" s="57" t="n">
        <f aca="false">E74-F74</f>
        <v>195.84</v>
      </c>
      <c r="H74" s="57" t="n">
        <f aca="false">SUMIFS('Cruzamento por Lote'!$H$5:$H$98,'Cruzamento por Lote'!$A$5:$A$98,$A74,'Cruzamento por Lote'!$B$5:$B$98,$B74)</f>
        <v>195.84</v>
      </c>
      <c r="I74" s="58" t="n">
        <f aca="false">ROUND(H74-G74,2)</f>
        <v>0</v>
      </c>
      <c r="J74" s="59" t="str">
        <f aca="false">IF(ABS(I74)&lt;=Resumo!$C$7,"Confere",IF(I74&gt;0,"Sobrando","Faltando"))</f>
        <v>Confere</v>
      </c>
      <c r="K74" s="55" t="str">
        <f aca="false">IF(J74="Confere","Nada a fazer",IF(J74="Faltando","Procurar saída, ajuste ou devolução que não está na lista",IF(F74&gt;E74,"Saiu mais do que entrou: confirmar o estoque que já existia antes de 09/09","Conferir estoque de antes de 09/09 ou entrada não lançada")))</f>
        <v>Nada a fazer</v>
      </c>
    </row>
    <row r="75" customFormat="false" ht="15" hidden="false" customHeight="false" outlineLevel="0" collapsed="false">
      <c r="A75" s="54" t="s">
        <v>85</v>
      </c>
      <c r="B75" s="54" t="s">
        <v>172</v>
      </c>
      <c r="C75" s="55"/>
      <c r="D75" s="56" t="s">
        <v>4</v>
      </c>
      <c r="E75" s="57" t="n">
        <f aca="false">SUMIFS('Cruzamento por Lote'!$E$5:$E$98,'Cruzamento por Lote'!$A$5:$A$98,$A75,'Cruzamento por Lote'!$B$5:$B$98,$B75)</f>
        <v>295.12</v>
      </c>
      <c r="F75" s="57" t="n">
        <f aca="false">SUMIFS('Cruzamento por Lote'!$F$5:$F$98,'Cruzamento por Lote'!$A$5:$A$98,$A75,'Cruzamento por Lote'!$B$5:$B$98,$B75)</f>
        <v>0</v>
      </c>
      <c r="G75" s="57" t="n">
        <f aca="false">E75-F75</f>
        <v>295.12</v>
      </c>
      <c r="H75" s="57" t="n">
        <f aca="false">SUMIFS('Cruzamento por Lote'!$H$5:$H$98,'Cruzamento por Lote'!$A$5:$A$98,$A75,'Cruzamento por Lote'!$B$5:$B$98,$B75)</f>
        <v>295.12</v>
      </c>
      <c r="I75" s="58" t="n">
        <f aca="false">ROUND(H75-G75,2)</f>
        <v>0</v>
      </c>
      <c r="J75" s="59" t="str">
        <f aca="false">IF(ABS(I75)&lt;=Resumo!$C$7,"Confere",IF(I75&gt;0,"Sobrando","Faltando"))</f>
        <v>Confere</v>
      </c>
      <c r="K75" s="55" t="str">
        <f aca="false">IF(J75="Confere","Nada a fazer",IF(J75="Faltando","Procurar saída, ajuste ou devolução que não está na lista",IF(F75&gt;E75,"Saiu mais do que entrou: confirmar o estoque que já existia antes de 09/09","Conferir estoque de antes de 09/09 ou entrada não lançada")))</f>
        <v>Nada a fazer</v>
      </c>
    </row>
    <row r="76" customFormat="false" ht="15" hidden="false" customHeight="false" outlineLevel="0" collapsed="false">
      <c r="A76" s="54" t="s">
        <v>100</v>
      </c>
      <c r="B76" s="54" t="s">
        <v>176</v>
      </c>
      <c r="C76" s="55"/>
      <c r="D76" s="56" t="s">
        <v>4</v>
      </c>
      <c r="E76" s="57" t="n">
        <f aca="false">SUMIFS('Cruzamento por Lote'!$E$5:$E$98,'Cruzamento por Lote'!$A$5:$A$98,$A76,'Cruzamento por Lote'!$B$5:$B$98,$B76)</f>
        <v>432</v>
      </c>
      <c r="F76" s="57" t="n">
        <f aca="false">SUMIFS('Cruzamento por Lote'!$F$5:$F$98,'Cruzamento por Lote'!$A$5:$A$98,$A76,'Cruzamento por Lote'!$B$5:$B$98,$B76)</f>
        <v>0</v>
      </c>
      <c r="G76" s="57" t="n">
        <f aca="false">E76-F76</f>
        <v>432</v>
      </c>
      <c r="H76" s="57" t="n">
        <f aca="false">SUMIFS('Cruzamento por Lote'!$H$5:$H$98,'Cruzamento por Lote'!$A$5:$A$98,$A76,'Cruzamento por Lote'!$B$5:$B$98,$B76)</f>
        <v>432</v>
      </c>
      <c r="I76" s="58" t="n">
        <f aca="false">ROUND(H76-G76,2)</f>
        <v>0</v>
      </c>
      <c r="J76" s="59" t="str">
        <f aca="false">IF(ABS(I76)&lt;=Resumo!$C$7,"Confere",IF(I76&gt;0,"Sobrando","Faltando"))</f>
        <v>Confere</v>
      </c>
      <c r="K76" s="55" t="str">
        <f aca="false">IF(J76="Confere","Nada a fazer",IF(J76="Faltando","Procurar saída, ajuste ou devolução que não está na lista",IF(F76&gt;E76,"Saiu mais do que entrou: confirmar o estoque que já existia antes de 09/09","Conferir estoque de antes de 09/09 ou entrada não lançada")))</f>
        <v>Nada a fazer</v>
      </c>
    </row>
    <row r="77" customFormat="false" ht="15" hidden="false" customHeight="false" outlineLevel="0" collapsed="false">
      <c r="A77" s="54" t="s">
        <v>102</v>
      </c>
      <c r="B77" s="54" t="s">
        <v>179</v>
      </c>
      <c r="C77" s="55"/>
      <c r="D77" s="56" t="s">
        <v>4</v>
      </c>
      <c r="E77" s="57" t="n">
        <f aca="false">SUMIFS('Cruzamento por Lote'!$E$5:$E$98,'Cruzamento por Lote'!$A$5:$A$98,$A77,'Cruzamento por Lote'!$B$5:$B$98,$B77)</f>
        <v>0</v>
      </c>
      <c r="F77" s="57" t="n">
        <f aca="false">SUMIFS('Cruzamento por Lote'!$F$5:$F$98,'Cruzamento por Lote'!$A$5:$A$98,$A77,'Cruzamento por Lote'!$B$5:$B$98,$B77)</f>
        <v>0</v>
      </c>
      <c r="G77" s="57" t="n">
        <f aca="false">E77-F77</f>
        <v>0</v>
      </c>
      <c r="H77" s="57" t="n">
        <f aca="false">SUMIFS('Cruzamento por Lote'!$H$5:$H$98,'Cruzamento por Lote'!$A$5:$A$98,$A77,'Cruzamento por Lote'!$B$5:$B$98,$B77)</f>
        <v>0</v>
      </c>
      <c r="I77" s="58" t="n">
        <f aca="false">ROUND(H77-G77,2)</f>
        <v>0</v>
      </c>
      <c r="J77" s="59" t="str">
        <f aca="false">IF(ABS(I77)&lt;=Resumo!$C$7,"Confere",IF(I77&gt;0,"Sobrando","Faltando"))</f>
        <v>Confere</v>
      </c>
      <c r="K77" s="55" t="str">
        <f aca="false">IF(J77="Confere","Nada a fazer",IF(J77="Faltando","Procurar saída, ajuste ou devolução que não está na lista",IF(F77&gt;E77,"Saiu mais do que entrou: confirmar o estoque que já existia antes de 09/09","Conferir estoque de antes de 09/09 ou entrada não lançada")))</f>
        <v>Nada a fazer</v>
      </c>
    </row>
    <row r="78" customFormat="false" ht="15" hidden="false" customHeight="false" outlineLevel="0" collapsed="false">
      <c r="A78" s="54" t="s">
        <v>106</v>
      </c>
      <c r="B78" s="54" t="s">
        <v>183</v>
      </c>
      <c r="C78" s="55" t="s">
        <v>222</v>
      </c>
      <c r="D78" s="56" t="s">
        <v>4</v>
      </c>
      <c r="E78" s="57" t="n">
        <f aca="false">SUMIFS('Cruzamento por Lote'!$E$5:$E$98,'Cruzamento por Lote'!$A$5:$A$98,$A78,'Cruzamento por Lote'!$B$5:$B$98,$B78)</f>
        <v>1860</v>
      </c>
      <c r="F78" s="57" t="n">
        <f aca="false">SUMIFS('Cruzamento por Lote'!$F$5:$F$98,'Cruzamento por Lote'!$A$5:$A$98,$A78,'Cruzamento por Lote'!$B$5:$B$98,$B78)</f>
        <v>770</v>
      </c>
      <c r="G78" s="57" t="n">
        <f aca="false">E78-F78</f>
        <v>1090</v>
      </c>
      <c r="H78" s="57" t="n">
        <f aca="false">SUMIFS('Cruzamento por Lote'!$H$5:$H$98,'Cruzamento por Lote'!$A$5:$A$98,$A78,'Cruzamento por Lote'!$B$5:$B$98,$B78)</f>
        <v>1090</v>
      </c>
      <c r="I78" s="58" t="n">
        <f aca="false">ROUND(H78-G78,2)</f>
        <v>0</v>
      </c>
      <c r="J78" s="59" t="str">
        <f aca="false">IF(ABS(I78)&lt;=Resumo!$C$7,"Confere",IF(I78&gt;0,"Sobrando","Faltando"))</f>
        <v>Confere</v>
      </c>
      <c r="K78" s="55" t="str">
        <f aca="false">IF(J78="Confere","Nada a fazer",IF(J78="Faltando","Procurar saída, ajuste ou devolução que não está na lista",IF(F78&gt;E78,"Saiu mais do que entrou: confirmar o estoque que já existia antes de 09/09","Conferir estoque de antes de 09/09 ou entrada não lançada")))</f>
        <v>Nada a fazer</v>
      </c>
    </row>
    <row r="79" customFormat="false" ht="15" hidden="false" customHeight="false" outlineLevel="0" collapsed="false">
      <c r="A79" s="54" t="s">
        <v>106</v>
      </c>
      <c r="B79" s="54" t="s">
        <v>185</v>
      </c>
      <c r="C79" s="55" t="s">
        <v>222</v>
      </c>
      <c r="D79" s="56" t="s">
        <v>4</v>
      </c>
      <c r="E79" s="57" t="n">
        <f aca="false">SUMIFS('Cruzamento por Lote'!$E$5:$E$98,'Cruzamento por Lote'!$A$5:$A$98,$A79,'Cruzamento por Lote'!$B$5:$B$98,$B79)</f>
        <v>1200</v>
      </c>
      <c r="F79" s="57" t="n">
        <f aca="false">SUMIFS('Cruzamento por Lote'!$F$5:$F$98,'Cruzamento por Lote'!$A$5:$A$98,$A79,'Cruzamento por Lote'!$B$5:$B$98,$B79)</f>
        <v>0</v>
      </c>
      <c r="G79" s="57" t="n">
        <f aca="false">E79-F79</f>
        <v>1200</v>
      </c>
      <c r="H79" s="57" t="n">
        <f aca="false">SUMIFS('Cruzamento por Lote'!$H$5:$H$98,'Cruzamento por Lote'!$A$5:$A$98,$A79,'Cruzamento por Lote'!$B$5:$B$98,$B79)</f>
        <v>1200</v>
      </c>
      <c r="I79" s="58" t="n">
        <f aca="false">ROUND(H79-G79,2)</f>
        <v>0</v>
      </c>
      <c r="J79" s="59" t="str">
        <f aca="false">IF(ABS(I79)&lt;=Resumo!$C$7,"Confere",IF(I79&gt;0,"Sobrando","Faltando"))</f>
        <v>Confere</v>
      </c>
      <c r="K79" s="55" t="str">
        <f aca="false">IF(J79="Confere","Nada a fazer",IF(J79="Faltando","Procurar saída, ajuste ou devolução que não está na lista",IF(F79&gt;E79,"Saiu mais do que entrou: confirmar o estoque que já existia antes de 09/09","Conferir estoque de antes de 09/09 ou entrada não lançada")))</f>
        <v>Nada a fazer</v>
      </c>
    </row>
    <row r="80" customFormat="false" ht="15" hidden="false" customHeight="false" outlineLevel="0" collapsed="false">
      <c r="A80" s="54" t="s">
        <v>108</v>
      </c>
      <c r="B80" s="54" t="s">
        <v>188</v>
      </c>
      <c r="C80" s="55"/>
      <c r="D80" s="56" t="s">
        <v>4</v>
      </c>
      <c r="E80" s="57" t="n">
        <f aca="false">SUMIFS('Cruzamento por Lote'!$E$5:$E$98,'Cruzamento por Lote'!$A$5:$A$98,$A80,'Cruzamento por Lote'!$B$5:$B$98,$B80)</f>
        <v>313.6</v>
      </c>
      <c r="F80" s="57" t="n">
        <f aca="false">SUMIFS('Cruzamento por Lote'!$F$5:$F$98,'Cruzamento por Lote'!$A$5:$A$98,$A80,'Cruzamento por Lote'!$B$5:$B$98,$B80)</f>
        <v>0</v>
      </c>
      <c r="G80" s="57" t="n">
        <f aca="false">E80-F80</f>
        <v>313.6</v>
      </c>
      <c r="H80" s="57" t="n">
        <f aca="false">SUMIFS('Cruzamento por Lote'!$H$5:$H$98,'Cruzamento por Lote'!$A$5:$A$98,$A80,'Cruzamento por Lote'!$B$5:$B$98,$B80)</f>
        <v>313.6</v>
      </c>
      <c r="I80" s="58" t="n">
        <f aca="false">ROUND(H80-G80,2)</f>
        <v>0</v>
      </c>
      <c r="J80" s="59" t="str">
        <f aca="false">IF(ABS(I80)&lt;=Resumo!$C$7,"Confere",IF(I80&gt;0,"Sobrando","Faltando"))</f>
        <v>Confere</v>
      </c>
      <c r="K80" s="55" t="str">
        <f aca="false">IF(J80="Confere","Nada a fazer",IF(J80="Faltando","Procurar saída, ajuste ou devolução que não está na lista",IF(F80&gt;E80,"Saiu mais do que entrou: confirmar o estoque que já existia antes de 09/09","Conferir estoque de antes de 09/09 ou entrada não lançada")))</f>
        <v>Nada a fazer</v>
      </c>
    </row>
    <row r="81" customFormat="false" ht="15" hidden="false" customHeight="false" outlineLevel="0" collapsed="false">
      <c r="A81" s="54" t="s">
        <v>110</v>
      </c>
      <c r="B81" s="54" t="s">
        <v>192</v>
      </c>
      <c r="C81" s="55" t="s">
        <v>119</v>
      </c>
      <c r="D81" s="56" t="s">
        <v>4</v>
      </c>
      <c r="E81" s="57" t="n">
        <f aca="false">SUMIFS('Cruzamento por Lote'!$E$5:$E$98,'Cruzamento por Lote'!$A$5:$A$98,$A81,'Cruzamento por Lote'!$B$5:$B$98,$B81)</f>
        <v>603</v>
      </c>
      <c r="F81" s="57" t="n">
        <f aca="false">SUMIFS('Cruzamento por Lote'!$F$5:$F$98,'Cruzamento por Lote'!$A$5:$A$98,$A81,'Cruzamento por Lote'!$B$5:$B$98,$B81)</f>
        <v>0</v>
      </c>
      <c r="G81" s="57" t="n">
        <f aca="false">E81-F81</f>
        <v>603</v>
      </c>
      <c r="H81" s="57" t="n">
        <f aca="false">SUMIFS('Cruzamento por Lote'!$H$5:$H$98,'Cruzamento por Lote'!$A$5:$A$98,$A81,'Cruzamento por Lote'!$B$5:$B$98,$B81)</f>
        <v>603</v>
      </c>
      <c r="I81" s="58" t="n">
        <f aca="false">ROUND(H81-G81,2)</f>
        <v>0</v>
      </c>
      <c r="J81" s="59" t="str">
        <f aca="false">IF(ABS(I81)&lt;=Resumo!$C$7,"Confere",IF(I81&gt;0,"Sobrando","Faltando"))</f>
        <v>Confere</v>
      </c>
      <c r="K81" s="55" t="str">
        <f aca="false">IF(J81="Confere","Nada a fazer",IF(J81="Faltando","Procurar saída, ajuste ou devolução que não está na lista",IF(F81&gt;E81,"Saiu mais do que entrou: confirmar o estoque que já existia antes de 09/09","Conferir estoque de antes de 09/09 ou entrada não lançada")))</f>
        <v>Nada a fazer</v>
      </c>
    </row>
    <row r="82" customFormat="false" ht="15" hidden="false" customHeight="false" outlineLevel="0" collapsed="false">
      <c r="A82" s="54" t="s">
        <v>110</v>
      </c>
      <c r="B82" s="54" t="s">
        <v>193</v>
      </c>
      <c r="C82" s="55" t="s">
        <v>119</v>
      </c>
      <c r="D82" s="56" t="s">
        <v>4</v>
      </c>
      <c r="E82" s="57" t="n">
        <f aca="false">SUMIFS('Cruzamento por Lote'!$E$5:$E$98,'Cruzamento por Lote'!$A$5:$A$98,$A82,'Cruzamento por Lote'!$B$5:$B$98,$B82)</f>
        <v>603</v>
      </c>
      <c r="F82" s="57" t="n">
        <f aca="false">SUMIFS('Cruzamento por Lote'!$F$5:$F$98,'Cruzamento por Lote'!$A$5:$A$98,$A82,'Cruzamento por Lote'!$B$5:$B$98,$B82)</f>
        <v>422.1</v>
      </c>
      <c r="G82" s="57" t="n">
        <f aca="false">E82-F82</f>
        <v>180.9</v>
      </c>
      <c r="H82" s="57" t="n">
        <f aca="false">SUMIFS('Cruzamento por Lote'!$H$5:$H$98,'Cruzamento por Lote'!$A$5:$A$98,$A82,'Cruzamento por Lote'!$B$5:$B$98,$B82)</f>
        <v>180.9</v>
      </c>
      <c r="I82" s="58" t="n">
        <f aca="false">ROUND(H82-G82,2)</f>
        <v>0</v>
      </c>
      <c r="J82" s="59" t="str">
        <f aca="false">IF(ABS(I82)&lt;=Resumo!$C$7,"Confere",IF(I82&gt;0,"Sobrando","Faltando"))</f>
        <v>Confere</v>
      </c>
      <c r="K82" s="55" t="str">
        <f aca="false">IF(J82="Confere","Nada a fazer",IF(J82="Faltando","Procurar saída, ajuste ou devolução que não está na lista",IF(F82&gt;E82,"Saiu mais do que entrou: confirmar o estoque que já existia antes de 09/09","Conferir estoque de antes de 09/09 ou entrada não lançada")))</f>
        <v>Nada a fazer</v>
      </c>
    </row>
    <row r="83" customFormat="false" ht="15" hidden="false" customHeight="false" outlineLevel="0" collapsed="false">
      <c r="A83" s="54" t="s">
        <v>117</v>
      </c>
      <c r="B83" s="54" t="s">
        <v>195</v>
      </c>
      <c r="C83" s="55"/>
      <c r="D83" s="56" t="s">
        <v>4</v>
      </c>
      <c r="E83" s="57" t="n">
        <f aca="false">SUMIFS('Cruzamento por Lote'!$E$5:$E$98,'Cruzamento por Lote'!$A$5:$A$98,$A83,'Cruzamento por Lote'!$B$5:$B$98,$B83)</f>
        <v>1200</v>
      </c>
      <c r="F83" s="57" t="n">
        <f aca="false">SUMIFS('Cruzamento por Lote'!$F$5:$F$98,'Cruzamento por Lote'!$A$5:$A$98,$A83,'Cruzamento por Lote'!$B$5:$B$98,$B83)</f>
        <v>0</v>
      </c>
      <c r="G83" s="57" t="n">
        <f aca="false">E83-F83</f>
        <v>1200</v>
      </c>
      <c r="H83" s="57" t="n">
        <f aca="false">SUMIFS('Cruzamento por Lote'!$H$5:$H$98,'Cruzamento por Lote'!$A$5:$A$98,$A83,'Cruzamento por Lote'!$B$5:$B$98,$B83)</f>
        <v>1200</v>
      </c>
      <c r="I83" s="58" t="n">
        <f aca="false">ROUND(H83-G83,2)</f>
        <v>0</v>
      </c>
      <c r="J83" s="59" t="str">
        <f aca="false">IF(ABS(I83)&lt;=Resumo!$C$7,"Confere",IF(I83&gt;0,"Sobrando","Faltando"))</f>
        <v>Confere</v>
      </c>
      <c r="K83" s="55" t="str">
        <f aca="false">IF(J83="Confere","Nada a fazer",IF(J83="Faltando","Procurar saída, ajuste ou devolução que não está na lista",IF(F83&gt;E83,"Saiu mais do que entrou: confirmar o estoque que já existia antes de 09/09","Conferir estoque de antes de 09/09 ou entrada não lançada")))</f>
        <v>Nada a fazer</v>
      </c>
    </row>
    <row r="84" customFormat="false" ht="15" hidden="false" customHeight="false" outlineLevel="0" collapsed="false">
      <c r="A84" s="54" t="s">
        <v>117</v>
      </c>
      <c r="B84" s="54" t="s">
        <v>196</v>
      </c>
      <c r="C84" s="55"/>
      <c r="D84" s="56" t="s">
        <v>4</v>
      </c>
      <c r="E84" s="57" t="n">
        <f aca="false">SUMIFS('Cruzamento por Lote'!$E$5:$E$98,'Cruzamento por Lote'!$A$5:$A$98,$A84,'Cruzamento por Lote'!$B$5:$B$98,$B84)</f>
        <v>0</v>
      </c>
      <c r="F84" s="57" t="n">
        <f aca="false">SUMIFS('Cruzamento por Lote'!$F$5:$F$98,'Cruzamento por Lote'!$A$5:$A$98,$A84,'Cruzamento por Lote'!$B$5:$B$98,$B84)</f>
        <v>0</v>
      </c>
      <c r="G84" s="57" t="n">
        <f aca="false">E84-F84</f>
        <v>0</v>
      </c>
      <c r="H84" s="57" t="n">
        <f aca="false">SUMIFS('Cruzamento por Lote'!$H$5:$H$98,'Cruzamento por Lote'!$A$5:$A$98,$A84,'Cruzamento por Lote'!$B$5:$B$98,$B84)</f>
        <v>0</v>
      </c>
      <c r="I84" s="58" t="n">
        <f aca="false">ROUND(H84-G84,2)</f>
        <v>0</v>
      </c>
      <c r="J84" s="59" t="str">
        <f aca="false">IF(ABS(I84)&lt;=Resumo!$C$7,"Confere",IF(I84&gt;0,"Sobrando","Faltando"))</f>
        <v>Confere</v>
      </c>
      <c r="K84" s="55" t="str">
        <f aca="false">IF(J84="Confere","Nada a fazer",IF(J84="Faltando","Procurar saída, ajuste ou devolução que não está na lista",IF(F84&gt;E84,"Saiu mais do que entrou: confirmar o estoque que já existia antes de 09/09","Conferir estoque de antes de 09/09 ou entrada não lançada")))</f>
        <v>Nada a fazer</v>
      </c>
    </row>
    <row r="85" customFormat="false" ht="15" hidden="false" customHeight="false" outlineLevel="0" collapsed="false">
      <c r="A85" s="54" t="s">
        <v>122</v>
      </c>
      <c r="B85" s="54" t="s">
        <v>197</v>
      </c>
      <c r="C85" s="55" t="s">
        <v>223</v>
      </c>
      <c r="D85" s="56" t="s">
        <v>4</v>
      </c>
      <c r="E85" s="57" t="n">
        <f aca="false">SUMIFS('Cruzamento por Lote'!$E$5:$E$98,'Cruzamento por Lote'!$A$5:$A$98,$A85,'Cruzamento por Lote'!$B$5:$B$98,$B85)</f>
        <v>864</v>
      </c>
      <c r="F85" s="57" t="n">
        <f aca="false">SUMIFS('Cruzamento por Lote'!$F$5:$F$98,'Cruzamento por Lote'!$A$5:$A$98,$A85,'Cruzamento por Lote'!$B$5:$B$98,$B85)</f>
        <v>306</v>
      </c>
      <c r="G85" s="57" t="n">
        <f aca="false">E85-F85</f>
        <v>558</v>
      </c>
      <c r="H85" s="57" t="n">
        <f aca="false">SUMIFS('Cruzamento por Lote'!$H$5:$H$98,'Cruzamento por Lote'!$A$5:$A$98,$A85,'Cruzamento por Lote'!$B$5:$B$98,$B85)</f>
        <v>558</v>
      </c>
      <c r="I85" s="58" t="n">
        <f aca="false">ROUND(H85-G85,2)</f>
        <v>0</v>
      </c>
      <c r="J85" s="59" t="str">
        <f aca="false">IF(ABS(I85)&lt;=Resumo!$C$7,"Confere",IF(I85&gt;0,"Sobrando","Faltando"))</f>
        <v>Confere</v>
      </c>
      <c r="K85" s="55" t="str">
        <f aca="false">IF(J85="Confere","Nada a fazer",IF(J85="Faltando","Procurar saída, ajuste ou devolução que não está na lista",IF(F85&gt;E85,"Saiu mais do que entrou: confirmar o estoque que já existia antes de 09/09","Conferir estoque de antes de 09/09 ou entrada não lançada")))</f>
        <v>Nada a fazer</v>
      </c>
    </row>
    <row r="86" customFormat="false" ht="15" hidden="false" customHeight="false" outlineLevel="0" collapsed="false">
      <c r="A86" s="54" t="s">
        <v>126</v>
      </c>
      <c r="B86" s="54" t="s">
        <v>198</v>
      </c>
      <c r="C86" s="55"/>
      <c r="D86" s="56" t="s">
        <v>4</v>
      </c>
      <c r="E86" s="57" t="n">
        <f aca="false">SUMIFS('Cruzamento por Lote'!$E$5:$E$98,'Cruzamento por Lote'!$A$5:$A$98,$A86,'Cruzamento por Lote'!$B$5:$B$98,$B86)</f>
        <v>0</v>
      </c>
      <c r="F86" s="57" t="n">
        <f aca="false">SUMIFS('Cruzamento por Lote'!$F$5:$F$98,'Cruzamento por Lote'!$A$5:$A$98,$A86,'Cruzamento por Lote'!$B$5:$B$98,$B86)</f>
        <v>0</v>
      </c>
      <c r="G86" s="57" t="n">
        <f aca="false">E86-F86</f>
        <v>0</v>
      </c>
      <c r="H86" s="57" t="n">
        <f aca="false">SUMIFS('Cruzamento por Lote'!$H$5:$H$98,'Cruzamento por Lote'!$A$5:$A$98,$A86,'Cruzamento por Lote'!$B$5:$B$98,$B86)</f>
        <v>0</v>
      </c>
      <c r="I86" s="58" t="n">
        <f aca="false">ROUND(H86-G86,2)</f>
        <v>0</v>
      </c>
      <c r="J86" s="59" t="str">
        <f aca="false">IF(ABS(I86)&lt;=Resumo!$C$7,"Confere",IF(I86&gt;0,"Sobrando","Faltando"))</f>
        <v>Confere</v>
      </c>
      <c r="K86" s="55" t="str">
        <f aca="false">IF(J86="Confere","Nada a fazer",IF(J86="Faltando","Procurar saída, ajuste ou devolução que não está na lista",IF(F86&gt;E86,"Saiu mais do que entrou: confirmar o estoque que já existia antes de 09/09","Conferir estoque de antes de 09/09 ou entrada não lançada")))</f>
        <v>Nada a fazer</v>
      </c>
    </row>
    <row r="87" customFormat="false" ht="15" hidden="false" customHeight="false" outlineLevel="0" collapsed="false">
      <c r="A87" s="54" t="s">
        <v>130</v>
      </c>
      <c r="B87" s="54" t="s">
        <v>200</v>
      </c>
      <c r="C87" s="55"/>
      <c r="D87" s="56" t="s">
        <v>4</v>
      </c>
      <c r="E87" s="57" t="n">
        <f aca="false">SUMIFS('Cruzamento por Lote'!$E$5:$E$98,'Cruzamento por Lote'!$A$5:$A$98,$A87,'Cruzamento por Lote'!$B$5:$B$98,$B87)</f>
        <v>0</v>
      </c>
      <c r="F87" s="57" t="n">
        <f aca="false">SUMIFS('Cruzamento por Lote'!$F$5:$F$98,'Cruzamento por Lote'!$A$5:$A$98,$A87,'Cruzamento por Lote'!$B$5:$B$98,$B87)</f>
        <v>0</v>
      </c>
      <c r="G87" s="57" t="n">
        <f aca="false">E87-F87</f>
        <v>0</v>
      </c>
      <c r="H87" s="57" t="n">
        <f aca="false">SUMIFS('Cruzamento por Lote'!$H$5:$H$98,'Cruzamento por Lote'!$A$5:$A$98,$A87,'Cruzamento por Lote'!$B$5:$B$98,$B87)</f>
        <v>0</v>
      </c>
      <c r="I87" s="58" t="n">
        <f aca="false">ROUND(H87-G87,2)</f>
        <v>0</v>
      </c>
      <c r="J87" s="59" t="str">
        <f aca="false">IF(ABS(I87)&lt;=Resumo!$C$7,"Confere",IF(I87&gt;0,"Sobrando","Faltando"))</f>
        <v>Confere</v>
      </c>
      <c r="K87" s="55" t="str">
        <f aca="false">IF(J87="Confere","Nada a fazer",IF(J87="Faltando","Procurar saída, ajuste ou devolução que não está na lista",IF(F87&gt;E87,"Saiu mais do que entrou: confirmar o estoque que já existia antes de 09/09","Conferir estoque de antes de 09/09 ou entrada não lançada")))</f>
        <v>Nada a fazer</v>
      </c>
    </row>
    <row r="88" customFormat="false" ht="15" hidden="false" customHeight="false" outlineLevel="0" collapsed="false">
      <c r="A88" s="54" t="s">
        <v>130</v>
      </c>
      <c r="B88" s="54" t="s">
        <v>201</v>
      </c>
      <c r="C88" s="55"/>
      <c r="D88" s="56" t="s">
        <v>4</v>
      </c>
      <c r="E88" s="57" t="n">
        <f aca="false">SUMIFS('Cruzamento por Lote'!$E$5:$E$98,'Cruzamento por Lote'!$A$5:$A$98,$A88,'Cruzamento por Lote'!$B$5:$B$98,$B88)</f>
        <v>0</v>
      </c>
      <c r="F88" s="57" t="n">
        <f aca="false">SUMIFS('Cruzamento por Lote'!$F$5:$F$98,'Cruzamento por Lote'!$A$5:$A$98,$A88,'Cruzamento por Lote'!$B$5:$B$98,$B88)</f>
        <v>0</v>
      </c>
      <c r="G88" s="57" t="n">
        <f aca="false">E88-F88</f>
        <v>0</v>
      </c>
      <c r="H88" s="57" t="n">
        <f aca="false">SUMIFS('Cruzamento por Lote'!$H$5:$H$98,'Cruzamento por Lote'!$A$5:$A$98,$A88,'Cruzamento por Lote'!$B$5:$B$98,$B88)</f>
        <v>0</v>
      </c>
      <c r="I88" s="58" t="n">
        <f aca="false">ROUND(H88-G88,2)</f>
        <v>0</v>
      </c>
      <c r="J88" s="59" t="str">
        <f aca="false">IF(ABS(I88)&lt;=Resumo!$C$7,"Confere",IF(I88&gt;0,"Sobrando","Faltando"))</f>
        <v>Confere</v>
      </c>
      <c r="K88" s="55" t="str">
        <f aca="false">IF(J88="Confere","Nada a fazer",IF(J88="Faltando","Procurar saída, ajuste ou devolução que não está na lista",IF(F88&gt;E88,"Saiu mais do que entrou: confirmar o estoque que já existia antes de 09/09","Conferir estoque de antes de 09/09 ou entrada não lançada")))</f>
        <v>Nada a fazer</v>
      </c>
    </row>
    <row r="89" customFormat="false" ht="15" hidden="false" customHeight="false" outlineLevel="0" collapsed="false">
      <c r="A89" s="54" t="s">
        <v>135</v>
      </c>
      <c r="B89" s="54" t="s">
        <v>203</v>
      </c>
      <c r="C89" s="55" t="s">
        <v>224</v>
      </c>
      <c r="D89" s="56" t="s">
        <v>4</v>
      </c>
      <c r="E89" s="57" t="n">
        <f aca="false">SUMIFS('Cruzamento por Lote'!$E$5:$E$98,'Cruzamento por Lote'!$A$5:$A$98,$A89,'Cruzamento por Lote'!$B$5:$B$98,$B89)</f>
        <v>850</v>
      </c>
      <c r="F89" s="57" t="n">
        <f aca="false">SUMIFS('Cruzamento por Lote'!$F$5:$F$98,'Cruzamento por Lote'!$A$5:$A$98,$A89,'Cruzamento por Lote'!$B$5:$B$98,$B89)</f>
        <v>50</v>
      </c>
      <c r="G89" s="57" t="n">
        <f aca="false">E89-F89</f>
        <v>800</v>
      </c>
      <c r="H89" s="57" t="n">
        <f aca="false">SUMIFS('Cruzamento por Lote'!$H$5:$H$98,'Cruzamento por Lote'!$A$5:$A$98,$A89,'Cruzamento por Lote'!$B$5:$B$98,$B89)</f>
        <v>800</v>
      </c>
      <c r="I89" s="58" t="n">
        <f aca="false">ROUND(H89-G89,2)</f>
        <v>0</v>
      </c>
      <c r="J89" s="59" t="str">
        <f aca="false">IF(ABS(I89)&lt;=Resumo!$C$7,"Confere",IF(I89&gt;0,"Sobrando","Faltando"))</f>
        <v>Confere</v>
      </c>
      <c r="K89" s="55" t="str">
        <f aca="false">IF(J89="Confere","Nada a fazer",IF(J89="Faltando","Procurar saída, ajuste ou devolução que não está na lista",IF(F89&gt;E89,"Saiu mais do que entrou: confirmar o estoque que já existia antes de 09/09","Conferir estoque de antes de 09/09 ou entrada não lançada")))</f>
        <v>Nada a fazer</v>
      </c>
    </row>
    <row r="90" customFormat="false" ht="15" hidden="false" customHeight="false" outlineLevel="0" collapsed="false">
      <c r="A90" s="54" t="s">
        <v>139</v>
      </c>
      <c r="B90" s="54" t="s">
        <v>204</v>
      </c>
      <c r="C90" s="55"/>
      <c r="D90" s="56" t="s">
        <v>4</v>
      </c>
      <c r="E90" s="57" t="n">
        <f aca="false">SUMIFS('Cruzamento por Lote'!$E$5:$E$98,'Cruzamento por Lote'!$A$5:$A$98,$A90,'Cruzamento por Lote'!$B$5:$B$98,$B90)</f>
        <v>1000</v>
      </c>
      <c r="F90" s="57" t="n">
        <f aca="false">SUMIFS('Cruzamento por Lote'!$F$5:$F$98,'Cruzamento por Lote'!$A$5:$A$98,$A90,'Cruzamento por Lote'!$B$5:$B$98,$B90)</f>
        <v>0</v>
      </c>
      <c r="G90" s="57" t="n">
        <f aca="false">E90-F90</f>
        <v>1000</v>
      </c>
      <c r="H90" s="57" t="n">
        <f aca="false">SUMIFS('Cruzamento por Lote'!$H$5:$H$98,'Cruzamento por Lote'!$A$5:$A$98,$A90,'Cruzamento por Lote'!$B$5:$B$98,$B90)</f>
        <v>1000</v>
      </c>
      <c r="I90" s="58" t="n">
        <f aca="false">ROUND(H90-G90,2)</f>
        <v>0</v>
      </c>
      <c r="J90" s="59" t="str">
        <f aca="false">IF(ABS(I90)&lt;=Resumo!$C$7,"Confere",IF(I90&gt;0,"Sobrando","Faltando"))</f>
        <v>Confere</v>
      </c>
      <c r="K90" s="55" t="str">
        <f aca="false">IF(J90="Confere","Nada a fazer",IF(J90="Faltando","Procurar saída, ajuste ou devolução que não está na lista",IF(F90&gt;E90,"Saiu mais do que entrou: confirmar o estoque que já existia antes de 09/09","Conferir estoque de antes de 09/09 ou entrada não lançada")))</f>
        <v>Nada a fazer</v>
      </c>
    </row>
    <row r="91" customFormat="false" ht="15" hidden="false" customHeight="false" outlineLevel="0" collapsed="false">
      <c r="A91" s="54" t="s">
        <v>131</v>
      </c>
      <c r="B91" s="54" t="s">
        <v>205</v>
      </c>
      <c r="C91" s="55" t="s">
        <v>132</v>
      </c>
      <c r="D91" s="56" t="s">
        <v>12</v>
      </c>
      <c r="E91" s="57" t="n">
        <f aca="false">SUMIFS('Cruzamento por Lote'!$E$5:$E$98,'Cruzamento por Lote'!$A$5:$A$98,$A91,'Cruzamento por Lote'!$B$5:$B$98,$B91)</f>
        <v>506</v>
      </c>
      <c r="F91" s="57" t="n">
        <f aca="false">SUMIFS('Cruzamento por Lote'!$F$5:$F$98,'Cruzamento por Lote'!$A$5:$A$98,$A91,'Cruzamento por Lote'!$B$5:$B$98,$B91)</f>
        <v>101</v>
      </c>
      <c r="G91" s="57" t="n">
        <f aca="false">E91-F91</f>
        <v>405</v>
      </c>
      <c r="H91" s="57" t="n">
        <f aca="false">SUMIFS('Cruzamento por Lote'!$H$5:$H$98,'Cruzamento por Lote'!$A$5:$A$98,$A91,'Cruzamento por Lote'!$B$5:$B$98,$B91)</f>
        <v>405</v>
      </c>
      <c r="I91" s="58" t="n">
        <f aca="false">ROUND(H91-G91,2)</f>
        <v>0</v>
      </c>
      <c r="J91" s="59" t="str">
        <f aca="false">IF(ABS(I91)&lt;=Resumo!$C$7,"Confere",IF(I91&gt;0,"Sobrando","Faltando"))</f>
        <v>Confere</v>
      </c>
      <c r="K91" s="55" t="str">
        <f aca="false">IF(J91="Confere","Nada a fazer",IF(J91="Faltando","Procurar saída, ajuste ou devolução que não está na lista",IF(F91&gt;E91,"Saiu mais do que entrou: confirmar o estoque que já existia antes de 09/09","Conferir estoque de antes de 09/09 ou entrada não lançada")))</f>
        <v>Nada a fazer</v>
      </c>
    </row>
    <row r="92" customFormat="false" ht="15" hidden="false" customHeight="false" outlineLevel="0" collapsed="false">
      <c r="A92" s="54" t="s">
        <v>131</v>
      </c>
      <c r="B92" s="54" t="s">
        <v>206</v>
      </c>
      <c r="C92" s="55" t="s">
        <v>132</v>
      </c>
      <c r="D92" s="56" t="s">
        <v>12</v>
      </c>
      <c r="E92" s="57" t="n">
        <f aca="false">SUMIFS('Cruzamento por Lote'!$E$5:$E$98,'Cruzamento por Lote'!$A$5:$A$98,$A92,'Cruzamento por Lote'!$B$5:$B$98,$B92)</f>
        <v>524.75</v>
      </c>
      <c r="F92" s="57" t="n">
        <f aca="false">SUMIFS('Cruzamento por Lote'!$F$5:$F$98,'Cruzamento por Lote'!$A$5:$A$98,$A92,'Cruzamento por Lote'!$B$5:$B$98,$B92)</f>
        <v>0</v>
      </c>
      <c r="G92" s="57" t="n">
        <f aca="false">E92-F92</f>
        <v>524.75</v>
      </c>
      <c r="H92" s="57" t="n">
        <f aca="false">SUMIFS('Cruzamento por Lote'!$H$5:$H$98,'Cruzamento por Lote'!$A$5:$A$98,$A92,'Cruzamento por Lote'!$B$5:$B$98,$B92)</f>
        <v>524.75</v>
      </c>
      <c r="I92" s="58" t="n">
        <f aca="false">ROUND(H92-G92,2)</f>
        <v>0</v>
      </c>
      <c r="J92" s="59" t="str">
        <f aca="false">IF(ABS(I92)&lt;=Resumo!$C$7,"Confere",IF(I92&gt;0,"Sobrando","Faltando"))</f>
        <v>Confere</v>
      </c>
      <c r="K92" s="55" t="str">
        <f aca="false">IF(J92="Confere","Nada a fazer",IF(J92="Faltando","Procurar saída, ajuste ou devolução que não está na lista",IF(F92&gt;E92,"Saiu mais do que entrou: confirmar o estoque que já existia antes de 09/09","Conferir estoque de antes de 09/09 ou entrada não lançada")))</f>
        <v>Nada a fazer</v>
      </c>
    </row>
    <row r="93" customFormat="false" ht="15" hidden="false" customHeight="false" outlineLevel="0" collapsed="false">
      <c r="A93" s="54" t="s">
        <v>131</v>
      </c>
      <c r="B93" s="54" t="s">
        <v>207</v>
      </c>
      <c r="C93" s="55" t="s">
        <v>132</v>
      </c>
      <c r="D93" s="56" t="s">
        <v>12</v>
      </c>
      <c r="E93" s="57" t="n">
        <f aca="false">SUMIFS('Cruzamento por Lote'!$E$5:$E$98,'Cruzamento por Lote'!$A$5:$A$98,$A93,'Cruzamento por Lote'!$B$5:$B$98,$B93)</f>
        <v>0</v>
      </c>
      <c r="F93" s="57" t="n">
        <f aca="false">SUMIFS('Cruzamento por Lote'!$F$5:$F$98,'Cruzamento por Lote'!$A$5:$A$98,$A93,'Cruzamento por Lote'!$B$5:$B$98,$B93)</f>
        <v>0</v>
      </c>
      <c r="G93" s="57" t="n">
        <f aca="false">E93-F93</f>
        <v>0</v>
      </c>
      <c r="H93" s="57" t="n">
        <f aca="false">SUMIFS('Cruzamento por Lote'!$H$5:$H$98,'Cruzamento por Lote'!$A$5:$A$98,$A93,'Cruzamento por Lote'!$B$5:$B$98,$B93)</f>
        <v>0</v>
      </c>
      <c r="I93" s="58" t="n">
        <f aca="false">ROUND(H93-G93,2)</f>
        <v>0</v>
      </c>
      <c r="J93" s="59" t="str">
        <f aca="false">IF(ABS(I93)&lt;=Resumo!$C$7,"Confere",IF(I93&gt;0,"Sobrando","Faltando"))</f>
        <v>Confere</v>
      </c>
      <c r="K93" s="55" t="str">
        <f aca="false">IF(J93="Confere","Nada a fazer",IF(J93="Faltando","Procurar saída, ajuste ou devolução que não está na lista",IF(F93&gt;E93,"Saiu mais do que entrou: confirmar o estoque que já existia antes de 09/09","Conferir estoque de antes de 09/09 ou entrada não lançada")))</f>
        <v>Nada a fazer</v>
      </c>
    </row>
    <row r="94" customFormat="false" ht="15" hidden="false" customHeight="false" outlineLevel="0" collapsed="false">
      <c r="A94" s="54" t="s">
        <v>131</v>
      </c>
      <c r="B94" s="54" t="s">
        <v>208</v>
      </c>
      <c r="C94" s="55" t="s">
        <v>132</v>
      </c>
      <c r="D94" s="56" t="s">
        <v>12</v>
      </c>
      <c r="E94" s="57" t="n">
        <f aca="false">SUMIFS('Cruzamento por Lote'!$E$5:$E$98,'Cruzamento por Lote'!$A$5:$A$98,$A94,'Cruzamento por Lote'!$B$5:$B$98,$B94)</f>
        <v>0</v>
      </c>
      <c r="F94" s="57" t="n">
        <f aca="false">SUMIFS('Cruzamento por Lote'!$F$5:$F$98,'Cruzamento por Lote'!$A$5:$A$98,$A94,'Cruzamento por Lote'!$B$5:$B$98,$B94)</f>
        <v>0</v>
      </c>
      <c r="G94" s="57" t="n">
        <f aca="false">E94-F94</f>
        <v>0</v>
      </c>
      <c r="H94" s="57" t="n">
        <f aca="false">SUMIFS('Cruzamento por Lote'!$H$5:$H$98,'Cruzamento por Lote'!$A$5:$A$98,$A94,'Cruzamento por Lote'!$B$5:$B$98,$B94)</f>
        <v>0</v>
      </c>
      <c r="I94" s="58" t="n">
        <f aca="false">ROUND(H94-G94,2)</f>
        <v>0</v>
      </c>
      <c r="J94" s="59" t="str">
        <f aca="false">IF(ABS(I94)&lt;=Resumo!$C$7,"Confere",IF(I94&gt;0,"Sobrando","Faltando"))</f>
        <v>Confere</v>
      </c>
      <c r="K94" s="55" t="str">
        <f aca="false">IF(J94="Confere","Nada a fazer",IF(J94="Faltando","Procurar saída, ajuste ou devolução que não está na lista",IF(F94&gt;E94,"Saiu mais do que entrou: confirmar o estoque que já existia antes de 09/09","Conferir estoque de antes de 09/09 ou entrada não lançada")))</f>
        <v>Nada a fazer</v>
      </c>
    </row>
    <row r="95" customFormat="false" ht="15" hidden="false" customHeight="false" outlineLevel="0" collapsed="false">
      <c r="A95" s="54" t="s">
        <v>131</v>
      </c>
      <c r="B95" s="54" t="s">
        <v>209</v>
      </c>
      <c r="C95" s="55" t="s">
        <v>132</v>
      </c>
      <c r="D95" s="56" t="s">
        <v>12</v>
      </c>
      <c r="E95" s="57" t="n">
        <f aca="false">SUMIFS('Cruzamento por Lote'!$E$5:$E$98,'Cruzamento por Lote'!$A$5:$A$98,$A95,'Cruzamento por Lote'!$B$5:$B$98,$B95)</f>
        <v>240</v>
      </c>
      <c r="F95" s="57" t="n">
        <f aca="false">SUMIFS('Cruzamento por Lote'!$F$5:$F$98,'Cruzamento por Lote'!$A$5:$A$98,$A95,'Cruzamento por Lote'!$B$5:$B$98,$B95)</f>
        <v>0</v>
      </c>
      <c r="G95" s="57" t="n">
        <f aca="false">E95-F95</f>
        <v>240</v>
      </c>
      <c r="H95" s="57" t="n">
        <f aca="false">SUMIFS('Cruzamento por Lote'!$H$5:$H$98,'Cruzamento por Lote'!$A$5:$A$98,$A95,'Cruzamento por Lote'!$B$5:$B$98,$B95)</f>
        <v>240</v>
      </c>
      <c r="I95" s="58" t="n">
        <f aca="false">ROUND(H95-G95,2)</f>
        <v>0</v>
      </c>
      <c r="J95" s="59" t="str">
        <f aca="false">IF(ABS(I95)&lt;=Resumo!$C$7,"Confere",IF(I95&gt;0,"Sobrando","Faltando"))</f>
        <v>Confere</v>
      </c>
      <c r="K95" s="55" t="str">
        <f aca="false">IF(J95="Confere","Nada a fazer",IF(J95="Faltando","Procurar saída, ajuste ou devolução que não está na lista",IF(F95&gt;E95,"Saiu mais do que entrou: confirmar o estoque que já existia antes de 09/09","Conferir estoque de antes de 09/09 ou entrada não lançada")))</f>
        <v>Nada a fazer</v>
      </c>
    </row>
    <row r="96" customFormat="false" ht="15" hidden="false" customHeight="false" outlineLevel="0" collapsed="false">
      <c r="A96" s="54" t="s">
        <v>147</v>
      </c>
      <c r="B96" s="54" t="s">
        <v>210</v>
      </c>
      <c r="C96" s="55" t="s">
        <v>225</v>
      </c>
      <c r="D96" s="56" t="s">
        <v>4</v>
      </c>
      <c r="E96" s="57" t="n">
        <f aca="false">SUMIFS('Cruzamento por Lote'!$E$5:$E$98,'Cruzamento por Lote'!$A$5:$A$98,$A96,'Cruzamento por Lote'!$B$5:$B$98,$B96)</f>
        <v>1000</v>
      </c>
      <c r="F96" s="57" t="n">
        <f aca="false">SUMIFS('Cruzamento por Lote'!$F$5:$F$98,'Cruzamento por Lote'!$A$5:$A$98,$A96,'Cruzamento por Lote'!$B$5:$B$98,$B96)</f>
        <v>1000</v>
      </c>
      <c r="G96" s="57" t="n">
        <f aca="false">E96-F96</f>
        <v>0</v>
      </c>
      <c r="H96" s="57" t="n">
        <f aca="false">SUMIFS('Cruzamento por Lote'!$H$5:$H$98,'Cruzamento por Lote'!$A$5:$A$98,$A96,'Cruzamento por Lote'!$B$5:$B$98,$B96)</f>
        <v>0</v>
      </c>
      <c r="I96" s="58" t="n">
        <f aca="false">ROUND(H96-G96,2)</f>
        <v>0</v>
      </c>
      <c r="J96" s="59" t="str">
        <f aca="false">IF(ABS(I96)&lt;=Resumo!$C$7,"Confere",IF(I96&gt;0,"Sobrando","Faltando"))</f>
        <v>Confere</v>
      </c>
      <c r="K96" s="55" t="str">
        <f aca="false">IF(J96="Confere","Nada a fazer",IF(J96="Faltando","Procurar saída, ajuste ou devolução que não está na lista",IF(F96&gt;E96,"Saiu mais do que entrou: confirmar o estoque que já existia antes de 09/09","Conferir estoque de antes de 09/09 ou entrada não lançada")))</f>
        <v>Nada a fazer</v>
      </c>
    </row>
    <row r="97" customFormat="false" ht="15" hidden="false" customHeight="false" outlineLevel="0" collapsed="false">
      <c r="A97" s="54" t="s">
        <v>147</v>
      </c>
      <c r="B97" s="54" t="s">
        <v>211</v>
      </c>
      <c r="C97" s="55" t="s">
        <v>225</v>
      </c>
      <c r="D97" s="56" t="s">
        <v>4</v>
      </c>
      <c r="E97" s="57" t="n">
        <f aca="false">SUMIFS('Cruzamento por Lote'!$E$5:$E$98,'Cruzamento por Lote'!$A$5:$A$98,$A97,'Cruzamento por Lote'!$B$5:$B$98,$B97)</f>
        <v>5280</v>
      </c>
      <c r="F97" s="57" t="n">
        <f aca="false">SUMIFS('Cruzamento por Lote'!$F$5:$F$98,'Cruzamento por Lote'!$A$5:$A$98,$A97,'Cruzamento por Lote'!$B$5:$B$98,$B97)</f>
        <v>0</v>
      </c>
      <c r="G97" s="57" t="n">
        <f aca="false">E97-F97</f>
        <v>5280</v>
      </c>
      <c r="H97" s="57" t="n">
        <f aca="false">SUMIFS('Cruzamento por Lote'!$H$5:$H$98,'Cruzamento por Lote'!$A$5:$A$98,$A97,'Cruzamento por Lote'!$B$5:$B$98,$B97)</f>
        <v>5280</v>
      </c>
      <c r="I97" s="58" t="n">
        <f aca="false">ROUND(H97-G97,2)</f>
        <v>0</v>
      </c>
      <c r="J97" s="59" t="str">
        <f aca="false">IF(ABS(I97)&lt;=Resumo!$C$7,"Confere",IF(I97&gt;0,"Sobrando","Faltando"))</f>
        <v>Confere</v>
      </c>
      <c r="K97" s="55" t="str">
        <f aca="false">IF(J97="Confere","Nada a fazer",IF(J97="Faltando","Procurar saída, ajuste ou devolução que não está na lista",IF(F97&gt;E97,"Saiu mais do que entrou: confirmar o estoque que já existia antes de 09/09","Conferir estoque de antes de 09/09 ou entrada não lançada")))</f>
        <v>Nada a fazer</v>
      </c>
    </row>
    <row r="98" customFormat="false" ht="15" hidden="false" customHeight="false" outlineLevel="0" collapsed="false">
      <c r="A98" s="54" t="s">
        <v>151</v>
      </c>
      <c r="B98" s="54" t="s">
        <v>212</v>
      </c>
      <c r="C98" s="55" t="s">
        <v>225</v>
      </c>
      <c r="D98" s="56" t="s">
        <v>4</v>
      </c>
      <c r="E98" s="57" t="n">
        <f aca="false">SUMIFS('Cruzamento por Lote'!$E$5:$E$98,'Cruzamento por Lote'!$A$5:$A$98,$A98,'Cruzamento por Lote'!$B$5:$B$98,$B98)</f>
        <v>0</v>
      </c>
      <c r="F98" s="57" t="n">
        <f aca="false">SUMIFS('Cruzamento por Lote'!$F$5:$F$98,'Cruzamento por Lote'!$A$5:$A$98,$A98,'Cruzamento por Lote'!$B$5:$B$98,$B98)</f>
        <v>0</v>
      </c>
      <c r="G98" s="57" t="n">
        <f aca="false">E98-F98</f>
        <v>0</v>
      </c>
      <c r="H98" s="57" t="n">
        <f aca="false">SUMIFS('Cruzamento por Lote'!$H$5:$H$98,'Cruzamento por Lote'!$A$5:$A$98,$A98,'Cruzamento por Lote'!$B$5:$B$98,$B98)</f>
        <v>0</v>
      </c>
      <c r="I98" s="58" t="n">
        <f aca="false">ROUND(H98-G98,2)</f>
        <v>0</v>
      </c>
      <c r="J98" s="59" t="str">
        <f aca="false">IF(ABS(I98)&lt;=Resumo!$C$7,"Confere",IF(I98&gt;0,"Sobrando","Faltando"))</f>
        <v>Confere</v>
      </c>
      <c r="K98" s="55" t="str">
        <f aca="false">IF(J98="Confere","Nada a fazer",IF(J98="Faltando","Procurar saída, ajuste ou devolução que não está na lista",IF(F98&gt;E98,"Saiu mais do que entrou: confirmar o estoque que já existia antes de 09/09","Conferir estoque de antes de 09/09 ou entrada não lançada")))</f>
        <v>Nada a fazer</v>
      </c>
    </row>
    <row r="99" customFormat="false" ht="15" hidden="false" customHeight="false" outlineLevel="0" collapsed="false">
      <c r="A99" s="54" t="s">
        <v>151</v>
      </c>
      <c r="B99" s="54" t="s">
        <v>213</v>
      </c>
      <c r="C99" s="55" t="s">
        <v>225</v>
      </c>
      <c r="D99" s="56" t="s">
        <v>4</v>
      </c>
      <c r="E99" s="57" t="n">
        <f aca="false">SUMIFS('Cruzamento por Lote'!$E$5:$E$98,'Cruzamento por Lote'!$A$5:$A$98,$A99,'Cruzamento por Lote'!$B$5:$B$98,$B99)</f>
        <v>400</v>
      </c>
      <c r="F99" s="57" t="n">
        <f aca="false">SUMIFS('Cruzamento por Lote'!$F$5:$F$98,'Cruzamento por Lote'!$A$5:$A$98,$A99,'Cruzamento por Lote'!$B$5:$B$98,$B99)</f>
        <v>120</v>
      </c>
      <c r="G99" s="57" t="n">
        <f aca="false">E99-F99</f>
        <v>280</v>
      </c>
      <c r="H99" s="57" t="n">
        <f aca="false">SUMIFS('Cruzamento por Lote'!$H$5:$H$98,'Cruzamento por Lote'!$A$5:$A$98,$A99,'Cruzamento por Lote'!$B$5:$B$98,$B99)</f>
        <v>280</v>
      </c>
      <c r="I99" s="58" t="n">
        <f aca="false">ROUND(H99-G99,2)</f>
        <v>0</v>
      </c>
      <c r="J99" s="59" t="str">
        <f aca="false">IF(ABS(I99)&lt;=Resumo!$C$7,"Confere",IF(I99&gt;0,"Sobrando","Faltando"))</f>
        <v>Confere</v>
      </c>
      <c r="K99" s="55" t="str">
        <f aca="false">IF(J99="Confere","Nada a fazer",IF(J99="Faltando","Procurar saída, ajuste ou devolução que não está na lista",IF(F99&gt;E99,"Saiu mais do que entrou: confirmar o estoque que já existia antes de 09/09","Conferir estoque de antes de 09/09 ou entrada não lançada")))</f>
        <v>Nada a fazer</v>
      </c>
    </row>
    <row r="100" customFormat="false" ht="15" hidden="false" customHeight="false" outlineLevel="0" collapsed="false">
      <c r="A100" s="54" t="s">
        <v>154</v>
      </c>
      <c r="B100" s="54" t="s">
        <v>214</v>
      </c>
      <c r="C100" s="55"/>
      <c r="D100" s="56" t="s">
        <v>4</v>
      </c>
      <c r="E100" s="57" t="n">
        <f aca="false">SUMIFS('Cruzamento por Lote'!$E$5:$E$98,'Cruzamento por Lote'!$A$5:$A$98,$A100,'Cruzamento por Lote'!$B$5:$B$98,$B100)</f>
        <v>0</v>
      </c>
      <c r="F100" s="57" t="n">
        <f aca="false">SUMIFS('Cruzamento por Lote'!$F$5:$F$98,'Cruzamento por Lote'!$A$5:$A$98,$A100,'Cruzamento por Lote'!$B$5:$B$98,$B100)</f>
        <v>0</v>
      </c>
      <c r="G100" s="57" t="n">
        <f aca="false">E100-F100</f>
        <v>0</v>
      </c>
      <c r="H100" s="57" t="n">
        <f aca="false">SUMIFS('Cruzamento por Lote'!$H$5:$H$98,'Cruzamento por Lote'!$A$5:$A$98,$A100,'Cruzamento por Lote'!$B$5:$B$98,$B100)</f>
        <v>0</v>
      </c>
      <c r="I100" s="58" t="n">
        <f aca="false">ROUND(H100-G100,2)</f>
        <v>0</v>
      </c>
      <c r="J100" s="59" t="str">
        <f aca="false">IF(ABS(I100)&lt;=Resumo!$C$7,"Confere",IF(I100&gt;0,"Sobrando","Faltando"))</f>
        <v>Confere</v>
      </c>
      <c r="K100" s="55" t="str">
        <f aca="false">IF(J100="Confere","Nada a fazer",IF(J100="Faltando","Procurar saída, ajuste ou devolução que não está na lista",IF(F100&gt;E100,"Saiu mais do que entrou: confirmar o estoque que já existia antes de 09/09","Conferir estoque de antes de 09/09 ou entrada não lançada")))</f>
        <v>Nada a fazer</v>
      </c>
    </row>
    <row r="101" customFormat="false" ht="15" hidden="false" customHeight="false" outlineLevel="0" collapsed="false">
      <c r="A101" s="54" t="s">
        <v>156</v>
      </c>
      <c r="B101" s="54" t="s">
        <v>216</v>
      </c>
      <c r="C101" s="55"/>
      <c r="D101" s="56" t="s">
        <v>4</v>
      </c>
      <c r="E101" s="57" t="n">
        <f aca="false">SUMIFS('Cruzamento por Lote'!$E$5:$E$98,'Cruzamento por Lote'!$A$5:$A$98,$A101,'Cruzamento por Lote'!$B$5:$B$98,$B101)</f>
        <v>1000</v>
      </c>
      <c r="F101" s="57" t="n">
        <f aca="false">SUMIFS('Cruzamento por Lote'!$F$5:$F$98,'Cruzamento por Lote'!$A$5:$A$98,$A101,'Cruzamento por Lote'!$B$5:$B$98,$B101)</f>
        <v>0</v>
      </c>
      <c r="G101" s="57" t="n">
        <f aca="false">E101-F101</f>
        <v>1000</v>
      </c>
      <c r="H101" s="57" t="n">
        <f aca="false">SUMIFS('Cruzamento por Lote'!$H$5:$H$98,'Cruzamento por Lote'!$A$5:$A$98,$A101,'Cruzamento por Lote'!$B$5:$B$98,$B101)</f>
        <v>1000</v>
      </c>
      <c r="I101" s="58" t="n">
        <f aca="false">ROUND(H101-G101,2)</f>
        <v>0</v>
      </c>
      <c r="J101" s="59" t="str">
        <f aca="false">IF(ABS(I101)&lt;=Resumo!$C$7,"Confere",IF(I101&gt;0,"Sobrando","Faltando"))</f>
        <v>Confere</v>
      </c>
      <c r="K101" s="55" t="str">
        <f aca="false">IF(J101="Confere","Nada a fazer",IF(J101="Faltando","Procurar saída, ajuste ou devolução que não está na lista",IF(F101&gt;E101,"Saiu mais do que entrou: confirmar o estoque que já existia antes de 09/09","Conferir estoque de antes de 09/09 ou entrada não lançada")))</f>
        <v>Nada a fazer</v>
      </c>
    </row>
    <row r="102" customFormat="false" ht="15" hidden="false" customHeight="false" outlineLevel="0" collapsed="false">
      <c r="A102" s="54" t="s">
        <v>160</v>
      </c>
      <c r="B102" s="54" t="s">
        <v>217</v>
      </c>
      <c r="C102" s="55" t="s">
        <v>186</v>
      </c>
      <c r="D102" s="56" t="s">
        <v>4</v>
      </c>
      <c r="E102" s="57" t="n">
        <f aca="false">SUMIFS('Cruzamento por Lote'!$E$5:$E$98,'Cruzamento por Lote'!$A$5:$A$98,$A102,'Cruzamento por Lote'!$B$5:$B$98,$B102)</f>
        <v>53.2</v>
      </c>
      <c r="F102" s="57" t="n">
        <f aca="false">SUMIFS('Cruzamento por Lote'!$F$5:$F$98,'Cruzamento por Lote'!$A$5:$A$98,$A102,'Cruzamento por Lote'!$B$5:$B$98,$B102)</f>
        <v>19.6</v>
      </c>
      <c r="G102" s="57" t="n">
        <f aca="false">E102-F102</f>
        <v>33.6</v>
      </c>
      <c r="H102" s="57" t="n">
        <f aca="false">SUMIFS('Cruzamento por Lote'!$H$5:$H$98,'Cruzamento por Lote'!$A$5:$A$98,$A102,'Cruzamento por Lote'!$B$5:$B$98,$B102)</f>
        <v>33.6</v>
      </c>
      <c r="I102" s="58" t="n">
        <f aca="false">ROUND(H102-G102,2)</f>
        <v>0</v>
      </c>
      <c r="J102" s="59" t="str">
        <f aca="false">IF(ABS(I102)&lt;=Resumo!$C$7,"Confere",IF(I102&gt;0,"Sobrando","Faltando"))</f>
        <v>Confere</v>
      </c>
      <c r="K102" s="55" t="str">
        <f aca="false">IF(J102="Confere","Nada a fazer",IF(J102="Faltando","Procurar saída, ajuste ou devolução que não está na lista",IF(F102&gt;E102,"Saiu mais do que entrou: confirmar o estoque que já existia antes de 09/09","Conferir estoque de antes de 09/09 ou entrada não lançada")))</f>
        <v>Nada a fazer</v>
      </c>
    </row>
    <row r="103" customFormat="false" ht="15" hidden="false" customHeight="false" outlineLevel="0" collapsed="false">
      <c r="A103" s="54" t="s">
        <v>160</v>
      </c>
      <c r="B103" s="54" t="s">
        <v>218</v>
      </c>
      <c r="C103" s="55" t="s">
        <v>186</v>
      </c>
      <c r="D103" s="56" t="s">
        <v>4</v>
      </c>
      <c r="E103" s="57" t="n">
        <f aca="false">SUMIFS('Cruzamento por Lote'!$E$5:$E$98,'Cruzamento por Lote'!$A$5:$A$98,$A103,'Cruzamento por Lote'!$B$5:$B$98,$B103)</f>
        <v>627.2</v>
      </c>
      <c r="F103" s="57" t="n">
        <f aca="false">SUMIFS('Cruzamento por Lote'!$F$5:$F$98,'Cruzamento por Lote'!$A$5:$A$98,$A103,'Cruzamento por Lote'!$B$5:$B$98,$B103)</f>
        <v>0</v>
      </c>
      <c r="G103" s="57" t="n">
        <f aca="false">E103-F103</f>
        <v>627.2</v>
      </c>
      <c r="H103" s="57" t="n">
        <f aca="false">SUMIFS('Cruzamento por Lote'!$H$5:$H$98,'Cruzamento por Lote'!$A$5:$A$98,$A103,'Cruzamento por Lote'!$B$5:$B$98,$B103)</f>
        <v>627.2</v>
      </c>
      <c r="I103" s="58" t="n">
        <f aca="false">ROUND(H103-G103,2)</f>
        <v>0</v>
      </c>
      <c r="J103" s="59" t="str">
        <f aca="false">IF(ABS(I103)&lt;=Resumo!$C$7,"Confere",IF(I103&gt;0,"Sobrando","Faltando"))</f>
        <v>Confere</v>
      </c>
      <c r="K103" s="55" t="str">
        <f aca="false">IF(J103="Confere","Nada a fazer",IF(J103="Faltando","Procurar saída, ajuste ou devolução que não está na lista",IF(F103&gt;E103,"Saiu mais do que entrou: confirmar o estoque que já existia antes de 09/09","Conferir estoque de antes de 09/09 ou entrada não lançada")))</f>
        <v>Nada a fazer</v>
      </c>
    </row>
    <row r="104" customFormat="false" ht="15" hidden="false" customHeight="false" outlineLevel="0" collapsed="false">
      <c r="A104" s="54" t="s">
        <v>160</v>
      </c>
      <c r="B104" s="54" t="s">
        <v>219</v>
      </c>
      <c r="C104" s="55" t="s">
        <v>186</v>
      </c>
      <c r="D104" s="56" t="s">
        <v>4</v>
      </c>
      <c r="E104" s="57" t="n">
        <f aca="false">SUMIFS('Cruzamento por Lote'!$E$5:$E$98,'Cruzamento por Lote'!$A$5:$A$98,$A104,'Cruzamento por Lote'!$B$5:$B$98,$B104)</f>
        <v>0</v>
      </c>
      <c r="F104" s="57" t="n">
        <f aca="false">SUMIFS('Cruzamento por Lote'!$F$5:$F$98,'Cruzamento por Lote'!$A$5:$A$98,$A104,'Cruzamento por Lote'!$B$5:$B$98,$B104)</f>
        <v>0</v>
      </c>
      <c r="G104" s="57" t="n">
        <f aca="false">E104-F104</f>
        <v>0</v>
      </c>
      <c r="H104" s="57" t="n">
        <f aca="false">SUMIFS('Cruzamento por Lote'!$H$5:$H$98,'Cruzamento por Lote'!$A$5:$A$98,$A104,'Cruzamento por Lote'!$B$5:$B$98,$B104)</f>
        <v>0</v>
      </c>
      <c r="I104" s="58" t="n">
        <f aca="false">ROUND(H104-G104,2)</f>
        <v>0</v>
      </c>
      <c r="J104" s="59" t="str">
        <f aca="false">IF(ABS(I104)&lt;=Resumo!$C$7,"Confere",IF(I104&gt;0,"Sobrando","Faltando"))</f>
        <v>Confere</v>
      </c>
      <c r="K104" s="55" t="str">
        <f aca="false">IF(J104="Confere","Nada a fazer",IF(J104="Faltando","Procurar saída, ajuste ou devolução que não está na lista",IF(F104&gt;E104,"Saiu mais do que entrou: confirmar o estoque que já existia antes de 09/09","Conferir estoque de antes de 09/09 ou entrada não lançada")))</f>
        <v>Nada a fazer</v>
      </c>
    </row>
    <row r="105" customFormat="false" ht="15" hidden="false" customHeight="false" outlineLevel="0" collapsed="false">
      <c r="A105" s="54" t="s">
        <v>160</v>
      </c>
      <c r="B105" s="54" t="s">
        <v>220</v>
      </c>
      <c r="C105" s="55" t="s">
        <v>186</v>
      </c>
      <c r="D105" s="56" t="s">
        <v>4</v>
      </c>
      <c r="E105" s="57" t="n">
        <f aca="false">SUMIFS('Cruzamento por Lote'!$E$5:$E$98,'Cruzamento por Lote'!$A$5:$A$98,$A105,'Cruzamento por Lote'!$B$5:$B$98,$B105)</f>
        <v>0</v>
      </c>
      <c r="F105" s="57" t="n">
        <f aca="false">SUMIFS('Cruzamento por Lote'!$F$5:$F$98,'Cruzamento por Lote'!$A$5:$A$98,$A105,'Cruzamento por Lote'!$B$5:$B$98,$B105)</f>
        <v>0</v>
      </c>
      <c r="G105" s="57" t="n">
        <f aca="false">E105-F105</f>
        <v>0</v>
      </c>
      <c r="H105" s="57" t="n">
        <f aca="false">SUMIFS('Cruzamento por Lote'!$H$5:$H$98,'Cruzamento por Lote'!$A$5:$A$98,$A105,'Cruzamento por Lote'!$B$5:$B$98,$B105)</f>
        <v>0</v>
      </c>
      <c r="I105" s="58" t="n">
        <f aca="false">ROUND(H105-G105,2)</f>
        <v>0</v>
      </c>
      <c r="J105" s="59" t="str">
        <f aca="false">IF(ABS(I105)&lt;=Resumo!$C$7,"Confere",IF(I105&gt;0,"Sobrando","Faltando"))</f>
        <v>Confere</v>
      </c>
      <c r="K105" s="55" t="str">
        <f aca="false">IF(J105="Confere","Nada a fazer",IF(J105="Faltando","Procurar saída, ajuste ou devolução que não está na lista",IF(F105&gt;E105,"Saiu mais do que entrou: confirmar o estoque que já existia antes de 09/09","Conferir estoque de antes de 09/09 ou entrada não lançada")))</f>
        <v>Nada a fazer</v>
      </c>
    </row>
    <row r="106" customFormat="false" ht="15" hidden="false" customHeight="false" outlineLevel="0" collapsed="false">
      <c r="A106" s="54" t="s">
        <v>160</v>
      </c>
      <c r="B106" s="54" t="s">
        <v>221</v>
      </c>
      <c r="C106" s="55" t="s">
        <v>186</v>
      </c>
      <c r="D106" s="56" t="s">
        <v>4</v>
      </c>
      <c r="E106" s="57" t="n">
        <f aca="false">SUMIFS('Cruzamento por Lote'!$E$5:$E$98,'Cruzamento por Lote'!$A$5:$A$98,$A106,'Cruzamento por Lote'!$B$5:$B$98,$B106)</f>
        <v>0</v>
      </c>
      <c r="F106" s="57" t="n">
        <f aca="false">SUMIFS('Cruzamento por Lote'!$F$5:$F$98,'Cruzamento por Lote'!$A$5:$A$98,$A106,'Cruzamento por Lote'!$B$5:$B$98,$B106)</f>
        <v>0</v>
      </c>
      <c r="G106" s="57" t="n">
        <f aca="false">E106-F106</f>
        <v>0</v>
      </c>
      <c r="H106" s="57" t="n">
        <f aca="false">SUMIFS('Cruzamento por Lote'!$H$5:$H$98,'Cruzamento por Lote'!$A$5:$A$98,$A106,'Cruzamento por Lote'!$B$5:$B$98,$B106)</f>
        <v>0</v>
      </c>
      <c r="I106" s="58" t="n">
        <f aca="false">ROUND(H106-G106,2)</f>
        <v>0</v>
      </c>
      <c r="J106" s="59" t="str">
        <f aca="false">IF(ABS(I106)&lt;=Resumo!$C$7,"Confere",IF(I106&gt;0,"Sobrando","Faltando"))</f>
        <v>Confere</v>
      </c>
      <c r="K106" s="55" t="str">
        <f aca="false">IF(J106="Confere","Nada a fazer",IF(J106="Faltando","Procurar saída, ajuste ou devolução que não está na lista",IF(F106&gt;E106,"Saiu mais do que entrou: confirmar o estoque que já existia antes de 09/09","Conferir estoque de antes de 09/09 ou entrada não lançada")))</f>
        <v>Nada a fazer</v>
      </c>
    </row>
    <row r="108" customFormat="false" ht="15" hidden="false" customHeight="false" outlineLevel="0" collapsed="false">
      <c r="A108" s="45" t="s">
        <v>236</v>
      </c>
    </row>
    <row r="109" customFormat="false" ht="15" hidden="false" customHeight="false" outlineLevel="0" collapsed="false">
      <c r="A109" s="45" t="s">
        <v>237</v>
      </c>
    </row>
  </sheetData>
  <autoFilter ref="A12:K106"/>
  <mergeCells count="6">
    <mergeCell ref="A8:B8"/>
    <mergeCell ref="C8:D8"/>
    <mergeCell ref="E8:F8"/>
    <mergeCell ref="A9:B9"/>
    <mergeCell ref="C9:D9"/>
    <mergeCell ref="E9:F9"/>
  </mergeCells>
  <conditionalFormatting sqref="J13:J106">
    <cfRule type="expression" priority="2" aboveAverage="0" equalAverage="0" bottom="0" percent="0" rank="0" text="" dxfId="3">
      <formula>$J13="Confere"</formula>
    </cfRule>
    <cfRule type="expression" priority="3" aboveAverage="0" equalAverage="0" bottom="0" percent="0" rank="0" text="" dxfId="4">
      <formula>$J13="Sobrando"</formula>
    </cfRule>
    <cfRule type="expression" priority="4" aboveAverage="0" equalAverage="0" bottom="0" percent="0" rank="0" text="" dxfId="5">
      <formula>$J13="Faltando"</formula>
    </cfRule>
  </conditionalFormatting>
  <conditionalFormatting sqref="I13:I106">
    <cfRule type="expression" priority="5" aboveAverage="0" equalAverage="0" bottom="0" percent="0" rank="0" text="" dxfId="6">
      <formula>I13&lt;-Resumo!$C$7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1A1F"/>
    <pageSetUpPr fitToPage="false"/>
  </sheetPr>
  <dimension ref="A1:O6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20"/>
    <col collapsed="false" customWidth="true" hidden="false" outlineLevel="0" max="4" min="4" style="0" width="13"/>
    <col collapsed="false" customWidth="true" hidden="false" outlineLevel="0" max="5" min="5" style="0" width="36"/>
    <col collapsed="false" customWidth="true" hidden="false" outlineLevel="0" max="6" min="6" style="0" width="9"/>
    <col collapsed="false" customWidth="true" hidden="false" outlineLevel="0" max="7" min="7" style="0" width="6"/>
    <col collapsed="false" customWidth="true" hidden="false" outlineLevel="0" max="11" min="8" style="0" width="12"/>
    <col collapsed="false" customWidth="true" hidden="false" outlineLevel="0" max="12" min="12" style="0" width="13"/>
    <col collapsed="false" customWidth="true" hidden="false" outlineLevel="0" max="13" min="13" style="0" width="11"/>
    <col collapsed="false" customWidth="true" hidden="false" outlineLevel="0" max="14" min="14" style="0" width="36"/>
    <col collapsed="false" customWidth="true" hidden="false" outlineLevel="0" max="15" min="15" style="0" width="11"/>
  </cols>
  <sheetData>
    <row r="1" customFormat="false" ht="31.5" hidden="false" customHeight="true" outlineLevel="0" collapsed="false">
      <c r="A1" s="33" t="s">
        <v>238</v>
      </c>
      <c r="B1" s="33" t="s">
        <v>19</v>
      </c>
      <c r="C1" s="33" t="s">
        <v>14</v>
      </c>
      <c r="D1" s="33" t="s">
        <v>15</v>
      </c>
      <c r="E1" s="33" t="s">
        <v>99</v>
      </c>
      <c r="F1" s="33" t="s">
        <v>239</v>
      </c>
      <c r="G1" s="33" t="s">
        <v>90</v>
      </c>
      <c r="H1" s="33" t="s">
        <v>240</v>
      </c>
      <c r="I1" s="33" t="s">
        <v>92</v>
      </c>
      <c r="J1" s="33" t="s">
        <v>93</v>
      </c>
      <c r="K1" s="33" t="s">
        <v>241</v>
      </c>
      <c r="L1" s="33" t="s">
        <v>242</v>
      </c>
      <c r="M1" s="33" t="s">
        <v>243</v>
      </c>
      <c r="N1" s="33" t="s">
        <v>244</v>
      </c>
      <c r="O1" s="33" t="s">
        <v>245</v>
      </c>
    </row>
    <row r="2" customFormat="false" ht="15" hidden="false" customHeight="false" outlineLevel="0" collapsed="false">
      <c r="A2" s="60" t="n">
        <v>46274</v>
      </c>
      <c r="B2" s="61" t="s">
        <v>13</v>
      </c>
      <c r="C2" s="61" t="s">
        <v>23</v>
      </c>
      <c r="D2" s="61" t="s">
        <v>24</v>
      </c>
      <c r="E2" s="61" t="s">
        <v>141</v>
      </c>
      <c r="F2" s="61" t="s">
        <v>246</v>
      </c>
      <c r="G2" s="61" t="s">
        <v>4</v>
      </c>
      <c r="H2" s="62" t="n">
        <f aca="false">Saida!H80</f>
        <v>-5.6</v>
      </c>
      <c r="I2" s="62" t="n">
        <v>0</v>
      </c>
      <c r="J2" s="62" t="n">
        <f aca="false">Saida!R80</f>
        <v>5.6</v>
      </c>
      <c r="K2" s="62" t="n">
        <f aca="false">I2-J2</f>
        <v>-5.6</v>
      </c>
      <c r="L2" s="61" t="s">
        <v>247</v>
      </c>
      <c r="M2" s="61" t="s">
        <v>248</v>
      </c>
      <c r="N2" s="61" t="s">
        <v>249</v>
      </c>
      <c r="O2" s="61" t="s">
        <v>250</v>
      </c>
    </row>
    <row r="3" customFormat="false" ht="15" hidden="false" customHeight="false" outlineLevel="0" collapsed="false">
      <c r="A3" s="60" t="n">
        <v>46274</v>
      </c>
      <c r="B3" s="61" t="s">
        <v>13</v>
      </c>
      <c r="C3" s="61" t="s">
        <v>41</v>
      </c>
      <c r="D3" s="61" t="s">
        <v>62</v>
      </c>
      <c r="E3" s="61" t="s">
        <v>141</v>
      </c>
      <c r="F3" s="61" t="s">
        <v>246</v>
      </c>
      <c r="G3" s="61" t="s">
        <v>4</v>
      </c>
      <c r="H3" s="62" t="n">
        <f aca="false">Saida!H177</f>
        <v>-5.6</v>
      </c>
      <c r="I3" s="62" t="n">
        <v>0</v>
      </c>
      <c r="J3" s="62" t="n">
        <f aca="false">Saida!R177</f>
        <v>5.6</v>
      </c>
      <c r="K3" s="62" t="n">
        <f aca="false">I3-J3</f>
        <v>-5.6</v>
      </c>
      <c r="L3" s="61" t="s">
        <v>247</v>
      </c>
      <c r="M3" s="61" t="s">
        <v>248</v>
      </c>
      <c r="N3" s="61" t="s">
        <v>249</v>
      </c>
      <c r="O3" s="61" t="s">
        <v>250</v>
      </c>
    </row>
    <row r="4" customFormat="false" ht="15" hidden="false" customHeight="false" outlineLevel="0" collapsed="false">
      <c r="A4" s="60" t="n">
        <v>46274</v>
      </c>
      <c r="B4" s="61" t="str">
        <f aca="false">Entrada!K156</f>
        <v>Entrada</v>
      </c>
      <c r="C4" s="61" t="s">
        <v>85</v>
      </c>
      <c r="D4" s="61" t="s">
        <v>170</v>
      </c>
      <c r="E4" s="61"/>
      <c r="F4" s="61" t="s">
        <v>251</v>
      </c>
      <c r="G4" s="61" t="s">
        <v>4</v>
      </c>
      <c r="H4" s="62" t="n">
        <f aca="false">Entrada!G156</f>
        <v>-195.84</v>
      </c>
      <c r="I4" s="62" t="n">
        <f aca="false">Entrada!L156</f>
        <v>195.84</v>
      </c>
      <c r="J4" s="62" t="n">
        <v>0</v>
      </c>
      <c r="K4" s="62" t="n">
        <f aca="false">I4-J4</f>
        <v>195.84</v>
      </c>
      <c r="L4" s="61" t="s">
        <v>252</v>
      </c>
      <c r="M4" s="61"/>
      <c r="N4" s="61"/>
      <c r="O4" s="61"/>
    </row>
    <row r="5" customFormat="false" ht="15" hidden="false" customHeight="false" outlineLevel="0" collapsed="false">
      <c r="A5" s="60" t="n">
        <v>46274</v>
      </c>
      <c r="B5" s="61" t="str">
        <f aca="false">Entrada!K157</f>
        <v>Entrada</v>
      </c>
      <c r="C5" s="61" t="s">
        <v>85</v>
      </c>
      <c r="D5" s="61" t="s">
        <v>172</v>
      </c>
      <c r="E5" s="61"/>
      <c r="F5" s="61" t="s">
        <v>251</v>
      </c>
      <c r="G5" s="61" t="s">
        <v>4</v>
      </c>
      <c r="H5" s="62" t="n">
        <f aca="false">Entrada!G157</f>
        <v>-295.12</v>
      </c>
      <c r="I5" s="62" t="n">
        <f aca="false">Entrada!L157</f>
        <v>295.12</v>
      </c>
      <c r="J5" s="62" t="n">
        <v>0</v>
      </c>
      <c r="K5" s="62" t="n">
        <f aca="false">I5-J5</f>
        <v>295.12</v>
      </c>
      <c r="L5" s="61" t="s">
        <v>252</v>
      </c>
      <c r="M5" s="61"/>
      <c r="N5" s="61"/>
      <c r="O5" s="61"/>
    </row>
    <row r="6" customFormat="false" ht="15" hidden="false" customHeight="false" outlineLevel="0" collapsed="false">
      <c r="A6" s="60" t="n">
        <v>46275</v>
      </c>
      <c r="B6" s="61" t="str">
        <f aca="false">Entrada!K117</f>
        <v>Recebido no 2008</v>
      </c>
      <c r="C6" s="61" t="s">
        <v>7</v>
      </c>
      <c r="D6" s="61" t="s">
        <v>11</v>
      </c>
      <c r="E6" s="61" t="s">
        <v>119</v>
      </c>
      <c r="F6" s="61" t="s">
        <v>251</v>
      </c>
      <c r="G6" s="61" t="s">
        <v>4</v>
      </c>
      <c r="H6" s="62" t="n">
        <f aca="false">Entrada!G117</f>
        <v>6633</v>
      </c>
      <c r="I6" s="62" t="n">
        <f aca="false">Entrada!L117</f>
        <v>0</v>
      </c>
      <c r="J6" s="62" t="n">
        <v>0</v>
      </c>
      <c r="K6" s="62" t="n">
        <f aca="false">I6-J6</f>
        <v>0</v>
      </c>
      <c r="L6" s="61" t="s">
        <v>253</v>
      </c>
      <c r="M6" s="61"/>
      <c r="N6" s="61"/>
      <c r="O6" s="61"/>
    </row>
    <row r="7" customFormat="false" ht="15" hidden="false" customHeight="false" outlineLevel="0" collapsed="false">
      <c r="A7" s="60" t="n">
        <v>46275</v>
      </c>
      <c r="B7" s="61" t="s">
        <v>13</v>
      </c>
      <c r="C7" s="61" t="s">
        <v>7</v>
      </c>
      <c r="D7" s="61" t="s">
        <v>11</v>
      </c>
      <c r="E7" s="61" t="s">
        <v>119</v>
      </c>
      <c r="F7" s="61" t="s">
        <v>254</v>
      </c>
      <c r="G7" s="61" t="s">
        <v>4</v>
      </c>
      <c r="H7" s="62" t="n">
        <f aca="false">Saida!H29</f>
        <v>-20.1</v>
      </c>
      <c r="I7" s="62" t="n">
        <v>0</v>
      </c>
      <c r="J7" s="62" t="n">
        <f aca="false">Saida!R29</f>
        <v>20.1</v>
      </c>
      <c r="K7" s="62" t="n">
        <f aca="false">I7-J7</f>
        <v>-20.1</v>
      </c>
      <c r="L7" s="61" t="s">
        <v>255</v>
      </c>
      <c r="M7" s="61" t="s">
        <v>256</v>
      </c>
      <c r="N7" s="61" t="s">
        <v>257</v>
      </c>
      <c r="O7" s="61" t="s">
        <v>258</v>
      </c>
    </row>
    <row r="8" customFormat="false" ht="15" hidden="false" customHeight="false" outlineLevel="0" collapsed="false">
      <c r="A8" s="60" t="n">
        <v>46275</v>
      </c>
      <c r="B8" s="61" t="s">
        <v>13</v>
      </c>
      <c r="C8" s="61" t="s">
        <v>7</v>
      </c>
      <c r="D8" s="61" t="s">
        <v>11</v>
      </c>
      <c r="E8" s="61" t="s">
        <v>119</v>
      </c>
      <c r="F8" s="61" t="s">
        <v>254</v>
      </c>
      <c r="G8" s="61" t="s">
        <v>4</v>
      </c>
      <c r="H8" s="62" t="n">
        <f aca="false">Saida!H30</f>
        <v>-40.2</v>
      </c>
      <c r="I8" s="62" t="n">
        <v>0</v>
      </c>
      <c r="J8" s="62" t="n">
        <f aca="false">Saida!R30</f>
        <v>40.2</v>
      </c>
      <c r="K8" s="62" t="n">
        <f aca="false">I8-J8</f>
        <v>-40.2</v>
      </c>
      <c r="L8" s="61" t="s">
        <v>259</v>
      </c>
      <c r="M8" s="61" t="s">
        <v>260</v>
      </c>
      <c r="N8" s="61" t="s">
        <v>261</v>
      </c>
      <c r="O8" s="61" t="s">
        <v>258</v>
      </c>
    </row>
    <row r="9" customFormat="false" ht="15" hidden="false" customHeight="false" outlineLevel="0" collapsed="false">
      <c r="A9" s="60" t="n">
        <v>46275</v>
      </c>
      <c r="B9" s="61" t="s">
        <v>13</v>
      </c>
      <c r="C9" s="61" t="s">
        <v>20</v>
      </c>
      <c r="D9" s="61" t="s">
        <v>21</v>
      </c>
      <c r="E9" s="61" t="s">
        <v>141</v>
      </c>
      <c r="F9" s="61" t="s">
        <v>254</v>
      </c>
      <c r="G9" s="61" t="s">
        <v>4</v>
      </c>
      <c r="H9" s="62" t="n">
        <f aca="false">Saida!H55</f>
        <v>-11.2</v>
      </c>
      <c r="I9" s="62" t="n">
        <v>0</v>
      </c>
      <c r="J9" s="62" t="n">
        <f aca="false">Saida!R55</f>
        <v>11.2</v>
      </c>
      <c r="K9" s="62" t="n">
        <f aca="false">I9-J9</f>
        <v>-11.2</v>
      </c>
      <c r="L9" s="61" t="s">
        <v>262</v>
      </c>
      <c r="M9" s="61" t="s">
        <v>263</v>
      </c>
      <c r="N9" s="61" t="s">
        <v>264</v>
      </c>
      <c r="O9" s="61" t="s">
        <v>258</v>
      </c>
    </row>
    <row r="10" customFormat="false" ht="15" hidden="false" customHeight="false" outlineLevel="0" collapsed="false">
      <c r="A10" s="60" t="n">
        <v>46275</v>
      </c>
      <c r="B10" s="61" t="str">
        <f aca="false">Entrada!K124</f>
        <v>Recebido no 2008</v>
      </c>
      <c r="C10" s="61" t="s">
        <v>33</v>
      </c>
      <c r="D10" s="61" t="s">
        <v>52</v>
      </c>
      <c r="E10" s="61" t="s">
        <v>202</v>
      </c>
      <c r="F10" s="61" t="s">
        <v>251</v>
      </c>
      <c r="G10" s="61" t="s">
        <v>4</v>
      </c>
      <c r="H10" s="62" t="n">
        <f aca="false">Entrada!G124</f>
        <v>4360</v>
      </c>
      <c r="I10" s="62" t="n">
        <f aca="false">Entrada!L124</f>
        <v>0</v>
      </c>
      <c r="J10" s="62" t="n">
        <v>0</v>
      </c>
      <c r="K10" s="62" t="n">
        <f aca="false">I10-J10</f>
        <v>0</v>
      </c>
      <c r="L10" s="61" t="s">
        <v>265</v>
      </c>
      <c r="M10" s="61"/>
      <c r="N10" s="61"/>
      <c r="O10" s="61"/>
    </row>
    <row r="11" customFormat="false" ht="15" hidden="false" customHeight="false" outlineLevel="0" collapsed="false">
      <c r="A11" s="60" t="n">
        <v>46275</v>
      </c>
      <c r="B11" s="61" t="str">
        <f aca="false">Entrada!K123</f>
        <v>Recebido no 2008</v>
      </c>
      <c r="C11" s="61" t="s">
        <v>33</v>
      </c>
      <c r="D11" s="61" t="s">
        <v>54</v>
      </c>
      <c r="E11" s="61" t="s">
        <v>202</v>
      </c>
      <c r="F11" s="61" t="s">
        <v>251</v>
      </c>
      <c r="G11" s="61" t="s">
        <v>4</v>
      </c>
      <c r="H11" s="62" t="n">
        <f aca="false">Entrada!G123</f>
        <v>5240</v>
      </c>
      <c r="I11" s="62" t="n">
        <f aca="false">Entrada!L123</f>
        <v>0</v>
      </c>
      <c r="J11" s="62" t="n">
        <v>0</v>
      </c>
      <c r="K11" s="62" t="n">
        <f aca="false">I11-J11</f>
        <v>0</v>
      </c>
      <c r="L11" s="61" t="s">
        <v>265</v>
      </c>
      <c r="M11" s="61"/>
      <c r="N11" s="61"/>
      <c r="O11" s="61"/>
    </row>
    <row r="12" customFormat="false" ht="15" hidden="false" customHeight="false" outlineLevel="0" collapsed="false">
      <c r="A12" s="60" t="n">
        <v>46275</v>
      </c>
      <c r="B12" s="61" t="s">
        <v>13</v>
      </c>
      <c r="C12" s="61" t="s">
        <v>41</v>
      </c>
      <c r="D12" s="61" t="s">
        <v>62</v>
      </c>
      <c r="E12" s="61" t="s">
        <v>141</v>
      </c>
      <c r="F12" s="61" t="s">
        <v>246</v>
      </c>
      <c r="G12" s="61" t="s">
        <v>4</v>
      </c>
      <c r="H12" s="62" t="n">
        <f aca="false">Saida!H175</f>
        <v>-28</v>
      </c>
      <c r="I12" s="62" t="n">
        <v>0</v>
      </c>
      <c r="J12" s="62" t="n">
        <f aca="false">Saida!R175</f>
        <v>28</v>
      </c>
      <c r="K12" s="62" t="n">
        <f aca="false">I12-J12</f>
        <v>-28</v>
      </c>
      <c r="L12" s="61" t="s">
        <v>266</v>
      </c>
      <c r="M12" s="61" t="s">
        <v>267</v>
      </c>
      <c r="N12" s="61" t="s">
        <v>268</v>
      </c>
      <c r="O12" s="61" t="s">
        <v>269</v>
      </c>
    </row>
    <row r="13" customFormat="false" ht="15" hidden="false" customHeight="false" outlineLevel="0" collapsed="false">
      <c r="A13" s="60" t="n">
        <v>46275</v>
      </c>
      <c r="B13" s="61" t="s">
        <v>13</v>
      </c>
      <c r="C13" s="61" t="s">
        <v>41</v>
      </c>
      <c r="D13" s="61" t="s">
        <v>62</v>
      </c>
      <c r="E13" s="61" t="s">
        <v>141</v>
      </c>
      <c r="F13" s="61" t="s">
        <v>254</v>
      </c>
      <c r="G13" s="61" t="s">
        <v>4</v>
      </c>
      <c r="H13" s="62" t="n">
        <f aca="false">Saida!H176</f>
        <v>-14</v>
      </c>
      <c r="I13" s="62" t="n">
        <v>0</v>
      </c>
      <c r="J13" s="62" t="n">
        <f aca="false">Saida!R176</f>
        <v>14</v>
      </c>
      <c r="K13" s="62" t="n">
        <f aca="false">I13-J13</f>
        <v>-14</v>
      </c>
      <c r="L13" s="61" t="s">
        <v>262</v>
      </c>
      <c r="M13" s="61" t="s">
        <v>263</v>
      </c>
      <c r="N13" s="61" t="s">
        <v>264</v>
      </c>
      <c r="O13" s="61" t="s">
        <v>258</v>
      </c>
    </row>
    <row r="14" customFormat="false" ht="15" hidden="false" customHeight="false" outlineLevel="0" collapsed="false">
      <c r="A14" s="60" t="n">
        <v>46275</v>
      </c>
      <c r="B14" s="61" t="str">
        <f aca="false">Entrada!K128</f>
        <v>Recebido no 2008</v>
      </c>
      <c r="C14" s="61" t="s">
        <v>47</v>
      </c>
      <c r="D14" s="61" t="s">
        <v>68</v>
      </c>
      <c r="E14" s="61" t="s">
        <v>202</v>
      </c>
      <c r="F14" s="61" t="s">
        <v>251</v>
      </c>
      <c r="G14" s="61" t="s">
        <v>4</v>
      </c>
      <c r="H14" s="62" t="n">
        <f aca="false">Entrada!G128</f>
        <v>2400</v>
      </c>
      <c r="I14" s="62" t="n">
        <f aca="false">Entrada!L128</f>
        <v>0</v>
      </c>
      <c r="J14" s="62" t="n">
        <v>0</v>
      </c>
      <c r="K14" s="62" t="n">
        <f aca="false">I14-J14</f>
        <v>0</v>
      </c>
      <c r="L14" s="61" t="s">
        <v>270</v>
      </c>
      <c r="M14" s="61"/>
      <c r="N14" s="61"/>
      <c r="O14" s="61"/>
    </row>
    <row r="15" customFormat="false" ht="15" hidden="false" customHeight="false" outlineLevel="0" collapsed="false">
      <c r="A15" s="60" t="n">
        <v>46275</v>
      </c>
      <c r="B15" s="61" t="str">
        <f aca="false">Entrada!K129</f>
        <v>Recebido no 2008</v>
      </c>
      <c r="C15" s="61" t="s">
        <v>47</v>
      </c>
      <c r="D15" s="61" t="s">
        <v>68</v>
      </c>
      <c r="E15" s="61" t="s">
        <v>202</v>
      </c>
      <c r="F15" s="61" t="s">
        <v>251</v>
      </c>
      <c r="G15" s="61" t="s">
        <v>4</v>
      </c>
      <c r="H15" s="62" t="n">
        <f aca="false">Entrada!G129</f>
        <v>3600</v>
      </c>
      <c r="I15" s="62" t="n">
        <f aca="false">Entrada!L129</f>
        <v>0</v>
      </c>
      <c r="J15" s="62" t="n">
        <v>0</v>
      </c>
      <c r="K15" s="62" t="n">
        <f aca="false">I15-J15</f>
        <v>0</v>
      </c>
      <c r="L15" s="61" t="s">
        <v>271</v>
      </c>
      <c r="M15" s="61"/>
      <c r="N15" s="61"/>
      <c r="O15" s="61"/>
    </row>
    <row r="16" customFormat="false" ht="15" hidden="false" customHeight="false" outlineLevel="0" collapsed="false">
      <c r="A16" s="60" t="n">
        <v>46275</v>
      </c>
      <c r="B16" s="61" t="s">
        <v>13</v>
      </c>
      <c r="C16" s="61" t="s">
        <v>51</v>
      </c>
      <c r="D16" s="61" t="s">
        <v>70</v>
      </c>
      <c r="E16" s="61" t="s">
        <v>128</v>
      </c>
      <c r="F16" s="61" t="s">
        <v>246</v>
      </c>
      <c r="G16" s="61" t="s">
        <v>4</v>
      </c>
      <c r="H16" s="62" t="n">
        <f aca="false">Saida!H188</f>
        <v>-10</v>
      </c>
      <c r="I16" s="62" t="n">
        <v>0</v>
      </c>
      <c r="J16" s="62" t="n">
        <f aca="false">Saida!R188</f>
        <v>10</v>
      </c>
      <c r="K16" s="62" t="n">
        <f aca="false">I16-J16</f>
        <v>-10</v>
      </c>
      <c r="L16" s="61" t="s">
        <v>272</v>
      </c>
      <c r="M16" s="61" t="s">
        <v>273</v>
      </c>
      <c r="N16" s="61" t="s">
        <v>274</v>
      </c>
      <c r="O16" s="61" t="s">
        <v>275</v>
      </c>
    </row>
    <row r="17" customFormat="false" ht="15" hidden="false" customHeight="false" outlineLevel="0" collapsed="false">
      <c r="A17" s="60" t="n">
        <v>46275</v>
      </c>
      <c r="B17" s="61" t="str">
        <f aca="false">Entrada!K133</f>
        <v>Recebido no 2008</v>
      </c>
      <c r="C17" s="61" t="s">
        <v>51</v>
      </c>
      <c r="D17" s="61" t="s">
        <v>74</v>
      </c>
      <c r="E17" s="61" t="s">
        <v>128</v>
      </c>
      <c r="F17" s="61" t="s">
        <v>251</v>
      </c>
      <c r="G17" s="61" t="s">
        <v>4</v>
      </c>
      <c r="H17" s="62" t="n">
        <f aca="false">Entrada!G133</f>
        <v>960</v>
      </c>
      <c r="I17" s="62" t="n">
        <f aca="false">Entrada!L133</f>
        <v>0</v>
      </c>
      <c r="J17" s="62" t="n">
        <v>0</v>
      </c>
      <c r="K17" s="62" t="n">
        <f aca="false">I17-J17</f>
        <v>0</v>
      </c>
      <c r="L17" s="61" t="s">
        <v>276</v>
      </c>
      <c r="M17" s="61"/>
      <c r="N17" s="61"/>
      <c r="O17" s="61"/>
    </row>
    <row r="18" customFormat="false" ht="15" hidden="false" customHeight="false" outlineLevel="0" collapsed="false">
      <c r="A18" s="60" t="n">
        <v>46275</v>
      </c>
      <c r="B18" s="61" t="str">
        <f aca="false">Entrada!K134</f>
        <v>Recebido no 2008</v>
      </c>
      <c r="C18" s="61" t="s">
        <v>51</v>
      </c>
      <c r="D18" s="61" t="s">
        <v>74</v>
      </c>
      <c r="E18" s="61" t="s">
        <v>128</v>
      </c>
      <c r="F18" s="61" t="s">
        <v>251</v>
      </c>
      <c r="G18" s="61" t="s">
        <v>4</v>
      </c>
      <c r="H18" s="62" t="n">
        <f aca="false">Entrada!G134</f>
        <v>1920</v>
      </c>
      <c r="I18" s="62" t="n">
        <f aca="false">Entrada!L134</f>
        <v>0</v>
      </c>
      <c r="J18" s="62" t="n">
        <v>0</v>
      </c>
      <c r="K18" s="62" t="n">
        <f aca="false">I18-J18</f>
        <v>0</v>
      </c>
      <c r="L18" s="61" t="s">
        <v>277</v>
      </c>
      <c r="M18" s="61"/>
      <c r="N18" s="61"/>
      <c r="O18" s="61"/>
    </row>
    <row r="19" customFormat="false" ht="15" hidden="false" customHeight="false" outlineLevel="0" collapsed="false">
      <c r="A19" s="60" t="n">
        <v>46275</v>
      </c>
      <c r="B19" s="61" t="str">
        <f aca="false">Entrada!K137</f>
        <v>Recebido no 2008</v>
      </c>
      <c r="C19" s="61" t="s">
        <v>57</v>
      </c>
      <c r="D19" s="61" t="s">
        <v>101</v>
      </c>
      <c r="E19" s="61"/>
      <c r="F19" s="61" t="s">
        <v>251</v>
      </c>
      <c r="G19" s="61" t="s">
        <v>4</v>
      </c>
      <c r="H19" s="62" t="n">
        <f aca="false">Entrada!G137</f>
        <v>600</v>
      </c>
      <c r="I19" s="62" t="n">
        <f aca="false">Entrada!L137</f>
        <v>0</v>
      </c>
      <c r="J19" s="62" t="n">
        <v>0</v>
      </c>
      <c r="K19" s="62" t="n">
        <f aca="false">I19-J19</f>
        <v>0</v>
      </c>
      <c r="L19" s="61" t="s">
        <v>253</v>
      </c>
      <c r="M19" s="61"/>
      <c r="N19" s="61"/>
      <c r="O19" s="61"/>
    </row>
    <row r="20" customFormat="false" ht="15" hidden="false" customHeight="false" outlineLevel="0" collapsed="false">
      <c r="A20" s="60" t="n">
        <v>46275</v>
      </c>
      <c r="B20" s="61" t="str">
        <f aca="false">Entrada!K138</f>
        <v>Recebido no 2008</v>
      </c>
      <c r="C20" s="61" t="s">
        <v>57</v>
      </c>
      <c r="D20" s="61" t="s">
        <v>101</v>
      </c>
      <c r="E20" s="61"/>
      <c r="F20" s="61" t="s">
        <v>251</v>
      </c>
      <c r="G20" s="61" t="s">
        <v>4</v>
      </c>
      <c r="H20" s="62" t="n">
        <f aca="false">Entrada!G138</f>
        <v>1800</v>
      </c>
      <c r="I20" s="62" t="n">
        <f aca="false">Entrada!L138</f>
        <v>0</v>
      </c>
      <c r="J20" s="62" t="n">
        <v>0</v>
      </c>
      <c r="K20" s="62" t="n">
        <f aca="false">I20-J20</f>
        <v>0</v>
      </c>
      <c r="L20" s="61" t="s">
        <v>277</v>
      </c>
      <c r="M20" s="61"/>
      <c r="N20" s="61"/>
      <c r="O20" s="61"/>
    </row>
    <row r="21" customFormat="false" ht="15" hidden="false" customHeight="false" outlineLevel="0" collapsed="false">
      <c r="A21" s="60" t="n">
        <v>46275</v>
      </c>
      <c r="B21" s="61" t="str">
        <f aca="false">Entrada!K140</f>
        <v>Recebido no 2008</v>
      </c>
      <c r="C21" s="61" t="s">
        <v>59</v>
      </c>
      <c r="D21" s="61" t="s">
        <v>103</v>
      </c>
      <c r="E21" s="61"/>
      <c r="F21" s="61" t="s">
        <v>251</v>
      </c>
      <c r="G21" s="61" t="s">
        <v>4</v>
      </c>
      <c r="H21" s="62" t="n">
        <f aca="false">Entrada!G140</f>
        <v>798</v>
      </c>
      <c r="I21" s="62" t="n">
        <f aca="false">Entrada!L140</f>
        <v>0</v>
      </c>
      <c r="J21" s="62" t="n">
        <v>0</v>
      </c>
      <c r="K21" s="62" t="n">
        <f aca="false">I21-J21</f>
        <v>0</v>
      </c>
      <c r="L21" s="61" t="s">
        <v>253</v>
      </c>
      <c r="M21" s="61"/>
      <c r="N21" s="61"/>
      <c r="O21" s="61"/>
    </row>
    <row r="22" customFormat="false" ht="15" hidden="false" customHeight="false" outlineLevel="0" collapsed="false">
      <c r="A22" s="60" t="n">
        <v>46275</v>
      </c>
      <c r="B22" s="61" t="str">
        <f aca="false">Entrada!K139</f>
        <v>Recebido no 2008</v>
      </c>
      <c r="C22" s="61" t="s">
        <v>59</v>
      </c>
      <c r="D22" s="61" t="s">
        <v>105</v>
      </c>
      <c r="E22" s="61"/>
      <c r="F22" s="61" t="s">
        <v>251</v>
      </c>
      <c r="G22" s="61" t="s">
        <v>4</v>
      </c>
      <c r="H22" s="62" t="n">
        <f aca="false">Entrada!G139</f>
        <v>1122</v>
      </c>
      <c r="I22" s="62" t="n">
        <f aca="false">Entrada!L139</f>
        <v>0</v>
      </c>
      <c r="J22" s="62" t="n">
        <v>0</v>
      </c>
      <c r="K22" s="62" t="n">
        <f aca="false">I22-J22</f>
        <v>0</v>
      </c>
      <c r="L22" s="61" t="s">
        <v>253</v>
      </c>
      <c r="M22" s="61"/>
      <c r="N22" s="61"/>
      <c r="O22" s="61"/>
    </row>
    <row r="23" customFormat="false" ht="15" hidden="false" customHeight="false" outlineLevel="0" collapsed="false">
      <c r="A23" s="60" t="n">
        <v>46275</v>
      </c>
      <c r="B23" s="61" t="str">
        <f aca="false">Entrada!K142</f>
        <v>Recebido no 2008</v>
      </c>
      <c r="C23" s="61" t="s">
        <v>65</v>
      </c>
      <c r="D23" s="61" t="s">
        <v>111</v>
      </c>
      <c r="E23" s="61"/>
      <c r="F23" s="61" t="s">
        <v>251</v>
      </c>
      <c r="G23" s="61" t="s">
        <v>4</v>
      </c>
      <c r="H23" s="62" t="n">
        <f aca="false">Entrada!G142</f>
        <v>1296</v>
      </c>
      <c r="I23" s="62" t="n">
        <f aca="false">Entrada!L142</f>
        <v>0</v>
      </c>
      <c r="J23" s="62" t="n">
        <v>0</v>
      </c>
      <c r="K23" s="62" t="n">
        <f aca="false">I23-J23</f>
        <v>0</v>
      </c>
      <c r="L23" s="61" t="s">
        <v>277</v>
      </c>
      <c r="M23" s="61"/>
      <c r="N23" s="61"/>
      <c r="O23" s="61"/>
    </row>
    <row r="24" customFormat="false" ht="15" hidden="false" customHeight="false" outlineLevel="0" collapsed="false">
      <c r="A24" s="60" t="n">
        <v>46275</v>
      </c>
      <c r="B24" s="61" t="str">
        <f aca="false">Entrada!K146</f>
        <v>Recebido no 2008</v>
      </c>
      <c r="C24" s="61" t="s">
        <v>69</v>
      </c>
      <c r="D24" s="61" t="s">
        <v>123</v>
      </c>
      <c r="E24" s="61" t="s">
        <v>119</v>
      </c>
      <c r="F24" s="61" t="s">
        <v>251</v>
      </c>
      <c r="G24" s="61" t="s">
        <v>4</v>
      </c>
      <c r="H24" s="62" t="n">
        <f aca="false">Entrada!G146</f>
        <v>160.8</v>
      </c>
      <c r="I24" s="62" t="n">
        <f aca="false">Entrada!L146</f>
        <v>0</v>
      </c>
      <c r="J24" s="62" t="n">
        <v>0</v>
      </c>
      <c r="K24" s="62" t="n">
        <f aca="false">I24-J24</f>
        <v>0</v>
      </c>
      <c r="L24" s="61" t="s">
        <v>265</v>
      </c>
      <c r="M24" s="61"/>
      <c r="N24" s="61"/>
      <c r="O24" s="61"/>
    </row>
    <row r="25" customFormat="false" ht="15" hidden="false" customHeight="false" outlineLevel="0" collapsed="false">
      <c r="A25" s="60" t="n">
        <v>46275</v>
      </c>
      <c r="B25" s="61" t="str">
        <f aca="false">Entrada!K147</f>
        <v>Recebido no 2008</v>
      </c>
      <c r="C25" s="61" t="s">
        <v>69</v>
      </c>
      <c r="D25" s="61" t="s">
        <v>120</v>
      </c>
      <c r="E25" s="61" t="s">
        <v>119</v>
      </c>
      <c r="F25" s="61" t="s">
        <v>251</v>
      </c>
      <c r="G25" s="61" t="s">
        <v>4</v>
      </c>
      <c r="H25" s="62" t="n">
        <f aca="false">Entrada!G147</f>
        <v>1025.1</v>
      </c>
      <c r="I25" s="62" t="n">
        <f aca="false">Entrada!L147</f>
        <v>0</v>
      </c>
      <c r="J25" s="62" t="n">
        <v>0</v>
      </c>
      <c r="K25" s="62" t="n">
        <f aca="false">I25-J25</f>
        <v>0</v>
      </c>
      <c r="L25" s="61" t="s">
        <v>265</v>
      </c>
      <c r="M25" s="61"/>
      <c r="N25" s="61"/>
      <c r="O25" s="61"/>
    </row>
    <row r="26" customFormat="false" ht="15" hidden="false" customHeight="false" outlineLevel="0" collapsed="false">
      <c r="A26" s="60" t="n">
        <v>46275</v>
      </c>
      <c r="B26" s="61" t="str">
        <f aca="false">Entrada!K149</f>
        <v>Recebido no 2008</v>
      </c>
      <c r="C26" s="61" t="s">
        <v>75</v>
      </c>
      <c r="D26" s="61" t="s">
        <v>143</v>
      </c>
      <c r="E26" s="61" t="s">
        <v>173</v>
      </c>
      <c r="F26" s="61" t="s">
        <v>251</v>
      </c>
      <c r="G26" s="61" t="s">
        <v>4</v>
      </c>
      <c r="H26" s="62" t="n">
        <f aca="false">Entrada!G149</f>
        <v>1920</v>
      </c>
      <c r="I26" s="62" t="n">
        <f aca="false">Entrada!L149</f>
        <v>0</v>
      </c>
      <c r="J26" s="62" t="n">
        <v>0</v>
      </c>
      <c r="K26" s="62" t="n">
        <f aca="false">I26-J26</f>
        <v>0</v>
      </c>
      <c r="L26" s="61" t="s">
        <v>278</v>
      </c>
      <c r="M26" s="61"/>
      <c r="N26" s="61"/>
      <c r="O26" s="61"/>
    </row>
    <row r="27" customFormat="false" ht="15" hidden="false" customHeight="false" outlineLevel="0" collapsed="false">
      <c r="A27" s="60" t="n">
        <v>46275</v>
      </c>
      <c r="B27" s="61" t="str">
        <f aca="false">Entrada!K151</f>
        <v>Recebido no 2008</v>
      </c>
      <c r="C27" s="61" t="s">
        <v>79</v>
      </c>
      <c r="D27" s="61" t="s">
        <v>152</v>
      </c>
      <c r="E27" s="61"/>
      <c r="F27" s="61" t="s">
        <v>251</v>
      </c>
      <c r="G27" s="61" t="s">
        <v>4</v>
      </c>
      <c r="H27" s="62" t="n">
        <f aca="false">Entrada!G151</f>
        <v>384</v>
      </c>
      <c r="I27" s="62" t="n">
        <f aca="false">Entrada!L151</f>
        <v>0</v>
      </c>
      <c r="J27" s="62" t="n">
        <v>0</v>
      </c>
      <c r="K27" s="62" t="n">
        <f aca="false">I27-J27</f>
        <v>0</v>
      </c>
      <c r="L27" s="61" t="s">
        <v>253</v>
      </c>
      <c r="M27" s="61"/>
      <c r="N27" s="61"/>
      <c r="O27" s="61"/>
    </row>
    <row r="28" customFormat="false" ht="15" hidden="false" customHeight="false" outlineLevel="0" collapsed="false">
      <c r="A28" s="60" t="n">
        <v>46275</v>
      </c>
      <c r="B28" s="61" t="s">
        <v>13</v>
      </c>
      <c r="C28" s="61" t="s">
        <v>81</v>
      </c>
      <c r="D28" s="61" t="s">
        <v>145</v>
      </c>
      <c r="E28" s="61" t="s">
        <v>144</v>
      </c>
      <c r="F28" s="61" t="s">
        <v>246</v>
      </c>
      <c r="G28" s="61" t="s">
        <v>4</v>
      </c>
      <c r="H28" s="62" t="n">
        <f aca="false">Saida!H292</f>
        <v>-42</v>
      </c>
      <c r="I28" s="62" t="n">
        <v>0</v>
      </c>
      <c r="J28" s="62" t="n">
        <f aca="false">Saida!R292</f>
        <v>42</v>
      </c>
      <c r="K28" s="62" t="n">
        <f aca="false">I28-J28</f>
        <v>-42</v>
      </c>
      <c r="L28" s="61" t="s">
        <v>266</v>
      </c>
      <c r="M28" s="61" t="s">
        <v>267</v>
      </c>
      <c r="N28" s="61" t="s">
        <v>268</v>
      </c>
      <c r="O28" s="61" t="s">
        <v>269</v>
      </c>
    </row>
    <row r="29" customFormat="false" ht="15" hidden="false" customHeight="false" outlineLevel="0" collapsed="false">
      <c r="A29" s="60" t="n">
        <v>46275</v>
      </c>
      <c r="B29" s="61" t="s">
        <v>13</v>
      </c>
      <c r="C29" s="61" t="s">
        <v>104</v>
      </c>
      <c r="D29" s="61" t="s">
        <v>166</v>
      </c>
      <c r="E29" s="61" t="s">
        <v>165</v>
      </c>
      <c r="F29" s="61" t="s">
        <v>246</v>
      </c>
      <c r="G29" s="61" t="s">
        <v>4</v>
      </c>
      <c r="H29" s="62" t="n">
        <f aca="false">Saida!H302</f>
        <v>-12</v>
      </c>
      <c r="I29" s="62" t="n">
        <v>0</v>
      </c>
      <c r="J29" s="62" t="n">
        <f aca="false">Saida!R302</f>
        <v>12</v>
      </c>
      <c r="K29" s="62" t="n">
        <f aca="false">I29-J29</f>
        <v>-12</v>
      </c>
      <c r="L29" s="61" t="s">
        <v>266</v>
      </c>
      <c r="M29" s="61" t="s">
        <v>267</v>
      </c>
      <c r="N29" s="61" t="s">
        <v>268</v>
      </c>
      <c r="O29" s="61" t="s">
        <v>269</v>
      </c>
    </row>
    <row r="30" customFormat="false" ht="15" hidden="false" customHeight="false" outlineLevel="0" collapsed="false">
      <c r="A30" s="60" t="n">
        <v>46275</v>
      </c>
      <c r="B30" s="61" t="str">
        <f aca="false">Entrada!K161</f>
        <v>Recebido no 2008</v>
      </c>
      <c r="C30" s="61" t="s">
        <v>106</v>
      </c>
      <c r="D30" s="61" t="s">
        <v>185</v>
      </c>
      <c r="E30" s="61" t="s">
        <v>222</v>
      </c>
      <c r="F30" s="61" t="s">
        <v>251</v>
      </c>
      <c r="G30" s="61" t="s">
        <v>4</v>
      </c>
      <c r="H30" s="62" t="n">
        <f aca="false">Entrada!G161</f>
        <v>840</v>
      </c>
      <c r="I30" s="62" t="n">
        <f aca="false">Entrada!L161</f>
        <v>0</v>
      </c>
      <c r="J30" s="62" t="n">
        <v>0</v>
      </c>
      <c r="K30" s="62" t="n">
        <f aca="false">I30-J30</f>
        <v>0</v>
      </c>
      <c r="L30" s="61" t="s">
        <v>277</v>
      </c>
      <c r="M30" s="61"/>
      <c r="N30" s="61"/>
      <c r="O30" s="61"/>
    </row>
    <row r="31" customFormat="false" ht="15" hidden="false" customHeight="false" outlineLevel="0" collapsed="false">
      <c r="A31" s="60" t="n">
        <v>46275</v>
      </c>
      <c r="B31" s="61" t="str">
        <f aca="false">Entrada!K163</f>
        <v>Recebido no 2008</v>
      </c>
      <c r="C31" s="61" t="s">
        <v>108</v>
      </c>
      <c r="D31" s="61" t="s">
        <v>188</v>
      </c>
      <c r="E31" s="61"/>
      <c r="F31" s="61" t="s">
        <v>251</v>
      </c>
      <c r="G31" s="61" t="s">
        <v>4</v>
      </c>
      <c r="H31" s="62" t="n">
        <f aca="false">Entrada!G163</f>
        <v>940.8</v>
      </c>
      <c r="I31" s="62" t="n">
        <f aca="false">Entrada!L163</f>
        <v>0</v>
      </c>
      <c r="J31" s="62" t="n">
        <v>0</v>
      </c>
      <c r="K31" s="62" t="n">
        <f aca="false">I31-J31</f>
        <v>0</v>
      </c>
      <c r="L31" s="61" t="s">
        <v>277</v>
      </c>
      <c r="M31" s="61"/>
      <c r="N31" s="61"/>
      <c r="O31" s="61"/>
    </row>
    <row r="32" customFormat="false" ht="15" hidden="false" customHeight="false" outlineLevel="0" collapsed="false">
      <c r="A32" s="60" t="n">
        <v>46275</v>
      </c>
      <c r="B32" s="61" t="str">
        <f aca="false">Entrada!K164</f>
        <v>Recebido no 2008</v>
      </c>
      <c r="C32" s="61" t="s">
        <v>108</v>
      </c>
      <c r="D32" s="61" t="s">
        <v>188</v>
      </c>
      <c r="E32" s="61"/>
      <c r="F32" s="61" t="s">
        <v>251</v>
      </c>
      <c r="G32" s="61" t="s">
        <v>4</v>
      </c>
      <c r="H32" s="62" t="n">
        <f aca="false">Entrada!G164</f>
        <v>932.4</v>
      </c>
      <c r="I32" s="62" t="n">
        <f aca="false">Entrada!L164</f>
        <v>0</v>
      </c>
      <c r="J32" s="62" t="n">
        <v>0</v>
      </c>
      <c r="K32" s="62" t="n">
        <f aca="false">I32-J32</f>
        <v>0</v>
      </c>
      <c r="L32" s="61" t="s">
        <v>270</v>
      </c>
      <c r="M32" s="61"/>
      <c r="N32" s="61"/>
      <c r="O32" s="61"/>
    </row>
    <row r="33" customFormat="false" ht="15" hidden="false" customHeight="false" outlineLevel="0" collapsed="false">
      <c r="A33" s="60" t="n">
        <v>46275</v>
      </c>
      <c r="B33" s="61" t="str">
        <f aca="false">Entrada!K170</f>
        <v>Recebido no 2008</v>
      </c>
      <c r="C33" s="61" t="s">
        <v>110</v>
      </c>
      <c r="D33" s="61" t="s">
        <v>177</v>
      </c>
      <c r="E33" s="61" t="s">
        <v>119</v>
      </c>
      <c r="F33" s="61" t="s">
        <v>251</v>
      </c>
      <c r="G33" s="61" t="s">
        <v>4</v>
      </c>
      <c r="H33" s="62" t="n">
        <f aca="false">Entrada!G170</f>
        <v>40</v>
      </c>
      <c r="I33" s="62" t="n">
        <f aca="false">Entrada!L170</f>
        <v>0</v>
      </c>
      <c r="J33" s="62" t="n">
        <v>0</v>
      </c>
      <c r="K33" s="62" t="n">
        <f aca="false">I33-J33</f>
        <v>0</v>
      </c>
      <c r="L33" s="61" t="s">
        <v>253</v>
      </c>
      <c r="M33" s="61"/>
      <c r="N33" s="61"/>
      <c r="O33" s="61"/>
    </row>
    <row r="34" customFormat="false" ht="15" hidden="false" customHeight="false" outlineLevel="0" collapsed="false">
      <c r="A34" s="60" t="n">
        <v>46275</v>
      </c>
      <c r="B34" s="61" t="s">
        <v>13</v>
      </c>
      <c r="C34" s="61" t="s">
        <v>110</v>
      </c>
      <c r="D34" s="61" t="s">
        <v>177</v>
      </c>
      <c r="E34" s="61" t="s">
        <v>119</v>
      </c>
      <c r="F34" s="61" t="s">
        <v>246</v>
      </c>
      <c r="G34" s="61" t="s">
        <v>4</v>
      </c>
      <c r="H34" s="62" t="n">
        <f aca="false">Saida!H354</f>
        <v>-40.2</v>
      </c>
      <c r="I34" s="62" t="n">
        <v>0</v>
      </c>
      <c r="J34" s="62" t="n">
        <f aca="false">Saida!R354</f>
        <v>40.2</v>
      </c>
      <c r="K34" s="62" t="n">
        <f aca="false">I34-J34</f>
        <v>-40.2</v>
      </c>
      <c r="L34" s="61" t="s">
        <v>279</v>
      </c>
      <c r="M34" s="61" t="s">
        <v>280</v>
      </c>
      <c r="N34" s="61" t="s">
        <v>281</v>
      </c>
      <c r="O34" s="61" t="s">
        <v>269</v>
      </c>
    </row>
    <row r="35" customFormat="false" ht="15" hidden="false" customHeight="false" outlineLevel="0" collapsed="false">
      <c r="A35" s="60" t="n">
        <v>46275</v>
      </c>
      <c r="B35" s="61" t="s">
        <v>13</v>
      </c>
      <c r="C35" s="61" t="s">
        <v>110</v>
      </c>
      <c r="D35" s="61" t="s">
        <v>162</v>
      </c>
      <c r="E35" s="61" t="s">
        <v>119</v>
      </c>
      <c r="F35" s="61" t="s">
        <v>254</v>
      </c>
      <c r="G35" s="61" t="s">
        <v>4</v>
      </c>
      <c r="H35" s="62" t="n">
        <f aca="false">Saida!H355</f>
        <v>-60.3</v>
      </c>
      <c r="I35" s="62" t="n">
        <v>0</v>
      </c>
      <c r="J35" s="62" t="n">
        <f aca="false">Saida!R355</f>
        <v>60.3</v>
      </c>
      <c r="K35" s="62" t="n">
        <f aca="false">I35-J35</f>
        <v>-60.3</v>
      </c>
      <c r="L35" s="61" t="s">
        <v>282</v>
      </c>
      <c r="M35" s="61" t="s">
        <v>283</v>
      </c>
      <c r="N35" s="61" t="s">
        <v>284</v>
      </c>
      <c r="O35" s="61" t="s">
        <v>258</v>
      </c>
    </row>
    <row r="36" customFormat="false" ht="15" hidden="false" customHeight="false" outlineLevel="0" collapsed="false">
      <c r="A36" s="60" t="n">
        <v>46275</v>
      </c>
      <c r="B36" s="61" t="s">
        <v>13</v>
      </c>
      <c r="C36" s="61" t="s">
        <v>110</v>
      </c>
      <c r="D36" s="61" t="s">
        <v>162</v>
      </c>
      <c r="E36" s="61" t="s">
        <v>119</v>
      </c>
      <c r="F36" s="61" t="s">
        <v>254</v>
      </c>
      <c r="G36" s="61" t="s">
        <v>4</v>
      </c>
      <c r="H36" s="62" t="n">
        <f aca="false">Saida!H356</f>
        <v>-80.4</v>
      </c>
      <c r="I36" s="62" t="n">
        <v>0</v>
      </c>
      <c r="J36" s="62" t="n">
        <f aca="false">Saida!R356</f>
        <v>80.4</v>
      </c>
      <c r="K36" s="62" t="n">
        <f aca="false">I36-J36</f>
        <v>-80.4</v>
      </c>
      <c r="L36" s="61" t="s">
        <v>285</v>
      </c>
      <c r="M36" s="61" t="s">
        <v>286</v>
      </c>
      <c r="N36" s="61" t="s">
        <v>287</v>
      </c>
      <c r="O36" s="61" t="s">
        <v>258</v>
      </c>
    </row>
    <row r="37" customFormat="false" ht="15" hidden="false" customHeight="false" outlineLevel="0" collapsed="false">
      <c r="A37" s="60" t="n">
        <v>46275</v>
      </c>
      <c r="B37" s="61" t="str">
        <f aca="false">Entrada!K169</f>
        <v>Recebido no 2008</v>
      </c>
      <c r="C37" s="61" t="s">
        <v>110</v>
      </c>
      <c r="D37" s="61" t="s">
        <v>193</v>
      </c>
      <c r="E37" s="61" t="s">
        <v>119</v>
      </c>
      <c r="F37" s="61" t="s">
        <v>251</v>
      </c>
      <c r="G37" s="61" t="s">
        <v>4</v>
      </c>
      <c r="H37" s="62" t="n">
        <f aca="false">Entrada!G169</f>
        <v>1166</v>
      </c>
      <c r="I37" s="62" t="n">
        <f aca="false">Entrada!L169</f>
        <v>0</v>
      </c>
      <c r="J37" s="62" t="n">
        <v>0</v>
      </c>
      <c r="K37" s="62" t="n">
        <f aca="false">I37-J37</f>
        <v>0</v>
      </c>
      <c r="L37" s="61" t="s">
        <v>253</v>
      </c>
      <c r="M37" s="61"/>
      <c r="N37" s="61"/>
      <c r="O37" s="61"/>
    </row>
    <row r="38" customFormat="false" ht="15" hidden="false" customHeight="false" outlineLevel="0" collapsed="false">
      <c r="A38" s="60" t="n">
        <v>46275</v>
      </c>
      <c r="B38" s="61" t="str">
        <f aca="false">Entrada!K172</f>
        <v>Recebido no 2008</v>
      </c>
      <c r="C38" s="61" t="s">
        <v>117</v>
      </c>
      <c r="D38" s="61" t="s">
        <v>196</v>
      </c>
      <c r="E38" s="61"/>
      <c r="F38" s="61" t="s">
        <v>251</v>
      </c>
      <c r="G38" s="61" t="s">
        <v>4</v>
      </c>
      <c r="H38" s="62" t="n">
        <f aca="false">Entrada!G172</f>
        <v>600</v>
      </c>
      <c r="I38" s="62" t="n">
        <f aca="false">Entrada!L172</f>
        <v>0</v>
      </c>
      <c r="J38" s="62" t="n">
        <v>0</v>
      </c>
      <c r="K38" s="62" t="n">
        <f aca="false">I38-J38</f>
        <v>0</v>
      </c>
      <c r="L38" s="61" t="s">
        <v>253</v>
      </c>
      <c r="M38" s="61"/>
      <c r="N38" s="61"/>
      <c r="O38" s="61"/>
    </row>
    <row r="39" customFormat="false" ht="15" hidden="false" customHeight="false" outlineLevel="0" collapsed="false">
      <c r="A39" s="60" t="n">
        <v>46275</v>
      </c>
      <c r="B39" s="61" t="str">
        <f aca="false">Entrada!K173</f>
        <v>Recebido no 2008</v>
      </c>
      <c r="C39" s="61" t="s">
        <v>117</v>
      </c>
      <c r="D39" s="61" t="s">
        <v>196</v>
      </c>
      <c r="E39" s="61"/>
      <c r="F39" s="61" t="s">
        <v>251</v>
      </c>
      <c r="G39" s="61" t="s">
        <v>4</v>
      </c>
      <c r="H39" s="62" t="n">
        <f aca="false">Entrada!G173</f>
        <v>1800</v>
      </c>
      <c r="I39" s="62" t="n">
        <f aca="false">Entrada!L173</f>
        <v>0</v>
      </c>
      <c r="J39" s="62" t="n">
        <v>0</v>
      </c>
      <c r="K39" s="62" t="n">
        <f aca="false">I39-J39</f>
        <v>0</v>
      </c>
      <c r="L39" s="61" t="s">
        <v>278</v>
      </c>
      <c r="M39" s="61"/>
      <c r="N39" s="61"/>
      <c r="O39" s="61"/>
    </row>
    <row r="40" customFormat="false" ht="15" hidden="false" customHeight="false" outlineLevel="0" collapsed="false">
      <c r="A40" s="60" t="n">
        <v>46275</v>
      </c>
      <c r="B40" s="61" t="str">
        <f aca="false">Entrada!K174</f>
        <v>Recebido no 2008</v>
      </c>
      <c r="C40" s="61" t="s">
        <v>122</v>
      </c>
      <c r="D40" s="61" t="s">
        <v>197</v>
      </c>
      <c r="E40" s="61" t="s">
        <v>223</v>
      </c>
      <c r="F40" s="61" t="s">
        <v>251</v>
      </c>
      <c r="G40" s="61" t="s">
        <v>4</v>
      </c>
      <c r="H40" s="62" t="n">
        <f aca="false">Entrada!G174</f>
        <v>864</v>
      </c>
      <c r="I40" s="62" t="n">
        <f aca="false">Entrada!L174</f>
        <v>0</v>
      </c>
      <c r="J40" s="62" t="n">
        <v>0</v>
      </c>
      <c r="K40" s="62" t="n">
        <f aca="false">I40-J40</f>
        <v>0</v>
      </c>
      <c r="L40" s="61" t="s">
        <v>270</v>
      </c>
      <c r="M40" s="61"/>
      <c r="N40" s="61"/>
      <c r="O40" s="61"/>
    </row>
    <row r="41" customFormat="false" ht="15" hidden="false" customHeight="false" outlineLevel="0" collapsed="false">
      <c r="A41" s="60" t="n">
        <v>46275</v>
      </c>
      <c r="B41" s="61" t="str">
        <f aca="false">Entrada!K175</f>
        <v>Recebido no 2008</v>
      </c>
      <c r="C41" s="61" t="s">
        <v>126</v>
      </c>
      <c r="D41" s="61" t="s">
        <v>198</v>
      </c>
      <c r="E41" s="61"/>
      <c r="F41" s="61" t="s">
        <v>251</v>
      </c>
      <c r="G41" s="61" t="s">
        <v>4</v>
      </c>
      <c r="H41" s="62" t="n">
        <f aca="false">Entrada!G175</f>
        <v>432</v>
      </c>
      <c r="I41" s="62" t="n">
        <f aca="false">Entrada!L175</f>
        <v>0</v>
      </c>
      <c r="J41" s="62" t="n">
        <v>0</v>
      </c>
      <c r="K41" s="62" t="n">
        <f aca="false">I41-J41</f>
        <v>0</v>
      </c>
      <c r="L41" s="61" t="s">
        <v>277</v>
      </c>
      <c r="M41" s="61"/>
      <c r="N41" s="61"/>
      <c r="O41" s="61"/>
    </row>
    <row r="42" customFormat="false" ht="15" hidden="false" customHeight="false" outlineLevel="0" collapsed="false">
      <c r="A42" s="60" t="n">
        <v>46275</v>
      </c>
      <c r="B42" s="61" t="str">
        <f aca="false">Entrada!K176</f>
        <v>Recebido no 2008</v>
      </c>
      <c r="C42" s="61" t="s">
        <v>130</v>
      </c>
      <c r="D42" s="61" t="s">
        <v>200</v>
      </c>
      <c r="E42" s="61"/>
      <c r="F42" s="61" t="s">
        <v>251</v>
      </c>
      <c r="G42" s="61" t="s">
        <v>4</v>
      </c>
      <c r="H42" s="62" t="n">
        <f aca="false">Entrada!G176</f>
        <v>4296</v>
      </c>
      <c r="I42" s="62" t="n">
        <f aca="false">Entrada!L176</f>
        <v>0</v>
      </c>
      <c r="J42" s="62" t="n">
        <v>0</v>
      </c>
      <c r="K42" s="62" t="n">
        <f aca="false">I42-J42</f>
        <v>0</v>
      </c>
      <c r="L42" s="61" t="s">
        <v>278</v>
      </c>
      <c r="M42" s="61"/>
      <c r="N42" s="61"/>
      <c r="O42" s="61"/>
    </row>
    <row r="43" customFormat="false" ht="15" hidden="false" customHeight="false" outlineLevel="0" collapsed="false">
      <c r="A43" s="60" t="n">
        <v>46275</v>
      </c>
      <c r="B43" s="61" t="str">
        <f aca="false">Entrada!K177</f>
        <v>Recebido no 2008</v>
      </c>
      <c r="C43" s="61" t="s">
        <v>130</v>
      </c>
      <c r="D43" s="61" t="s">
        <v>201</v>
      </c>
      <c r="E43" s="61"/>
      <c r="F43" s="61" t="s">
        <v>251</v>
      </c>
      <c r="G43" s="61" t="s">
        <v>4</v>
      </c>
      <c r="H43" s="62" t="n">
        <f aca="false">Entrada!G177</f>
        <v>5592</v>
      </c>
      <c r="I43" s="62" t="n">
        <f aca="false">Entrada!L177</f>
        <v>0</v>
      </c>
      <c r="J43" s="62" t="n">
        <v>0</v>
      </c>
      <c r="K43" s="62" t="n">
        <f aca="false">I43-J43</f>
        <v>0</v>
      </c>
      <c r="L43" s="61" t="s">
        <v>276</v>
      </c>
      <c r="M43" s="61"/>
      <c r="N43" s="61"/>
      <c r="O43" s="61"/>
    </row>
    <row r="44" customFormat="false" ht="15" hidden="false" customHeight="false" outlineLevel="0" collapsed="false">
      <c r="A44" s="60" t="n">
        <v>46275</v>
      </c>
      <c r="B44" s="61" t="str">
        <f aca="false">Entrada!K178</f>
        <v>Recebido no 2008</v>
      </c>
      <c r="C44" s="61" t="s">
        <v>130</v>
      </c>
      <c r="D44" s="61" t="s">
        <v>201</v>
      </c>
      <c r="E44" s="61"/>
      <c r="F44" s="61" t="s">
        <v>251</v>
      </c>
      <c r="G44" s="61" t="s">
        <v>4</v>
      </c>
      <c r="H44" s="62" t="n">
        <f aca="false">Entrada!G178</f>
        <v>1320</v>
      </c>
      <c r="I44" s="62" t="n">
        <f aca="false">Entrada!L178</f>
        <v>0</v>
      </c>
      <c r="J44" s="62" t="n">
        <v>0</v>
      </c>
      <c r="K44" s="62" t="n">
        <f aca="false">I44-J44</f>
        <v>0</v>
      </c>
      <c r="L44" s="61" t="s">
        <v>278</v>
      </c>
      <c r="M44" s="61"/>
      <c r="N44" s="61"/>
      <c r="O44" s="61"/>
    </row>
    <row r="45" customFormat="false" ht="15" hidden="false" customHeight="false" outlineLevel="0" collapsed="false">
      <c r="A45" s="60" t="n">
        <v>46275</v>
      </c>
      <c r="B45" s="61" t="str">
        <f aca="false">Entrada!K184</f>
        <v>Recebido no 2008</v>
      </c>
      <c r="C45" s="61" t="s">
        <v>131</v>
      </c>
      <c r="D45" s="61" t="s">
        <v>207</v>
      </c>
      <c r="E45" s="61" t="s">
        <v>132</v>
      </c>
      <c r="F45" s="61" t="s">
        <v>251</v>
      </c>
      <c r="G45" s="61" t="s">
        <v>12</v>
      </c>
      <c r="H45" s="62" t="n">
        <f aca="false">Entrada!G184</f>
        <v>600</v>
      </c>
      <c r="I45" s="62" t="n">
        <f aca="false">Entrada!L184</f>
        <v>0</v>
      </c>
      <c r="J45" s="62" t="n">
        <v>0</v>
      </c>
      <c r="K45" s="62" t="n">
        <f aca="false">I45-J45</f>
        <v>0</v>
      </c>
      <c r="L45" s="61" t="s">
        <v>271</v>
      </c>
      <c r="M45" s="61"/>
      <c r="N45" s="61"/>
      <c r="O45" s="61"/>
    </row>
    <row r="46" customFormat="false" ht="15" hidden="false" customHeight="false" outlineLevel="0" collapsed="false">
      <c r="A46" s="60" t="n">
        <v>46275</v>
      </c>
      <c r="B46" s="61" t="str">
        <f aca="false">Entrada!K185</f>
        <v>Recebido no 2008</v>
      </c>
      <c r="C46" s="61" t="s">
        <v>131</v>
      </c>
      <c r="D46" s="61" t="s">
        <v>207</v>
      </c>
      <c r="E46" s="61" t="s">
        <v>132</v>
      </c>
      <c r="F46" s="61" t="s">
        <v>251</v>
      </c>
      <c r="G46" s="61" t="s">
        <v>12</v>
      </c>
      <c r="H46" s="62" t="n">
        <f aca="false">Entrada!G185</f>
        <v>300</v>
      </c>
      <c r="I46" s="62" t="n">
        <f aca="false">Entrada!L185</f>
        <v>0</v>
      </c>
      <c r="J46" s="62" t="n">
        <v>0</v>
      </c>
      <c r="K46" s="62" t="n">
        <f aca="false">I46-J46</f>
        <v>0</v>
      </c>
      <c r="L46" s="61" t="s">
        <v>270</v>
      </c>
      <c r="M46" s="61"/>
      <c r="N46" s="61"/>
      <c r="O46" s="61"/>
    </row>
    <row r="47" customFormat="false" ht="15" hidden="false" customHeight="false" outlineLevel="0" collapsed="false">
      <c r="A47" s="60" t="n">
        <v>46275</v>
      </c>
      <c r="B47" s="61" t="str">
        <f aca="false">Entrada!K186</f>
        <v>Recebido no 2008</v>
      </c>
      <c r="C47" s="61" t="s">
        <v>131</v>
      </c>
      <c r="D47" s="61" t="s">
        <v>208</v>
      </c>
      <c r="E47" s="61" t="s">
        <v>132</v>
      </c>
      <c r="F47" s="61" t="s">
        <v>251</v>
      </c>
      <c r="G47" s="61" t="s">
        <v>12</v>
      </c>
      <c r="H47" s="62" t="n">
        <f aca="false">Entrada!G186</f>
        <v>300</v>
      </c>
      <c r="I47" s="62" t="n">
        <f aca="false">Entrada!L186</f>
        <v>0</v>
      </c>
      <c r="J47" s="62" t="n">
        <v>0</v>
      </c>
      <c r="K47" s="62" t="n">
        <f aca="false">I47-J47</f>
        <v>0</v>
      </c>
      <c r="L47" s="61" t="s">
        <v>270</v>
      </c>
      <c r="M47" s="61"/>
      <c r="N47" s="61"/>
      <c r="O47" s="61"/>
    </row>
    <row r="48" customFormat="false" ht="15" hidden="false" customHeight="false" outlineLevel="0" collapsed="false">
      <c r="A48" s="60" t="n">
        <v>46275</v>
      </c>
      <c r="B48" s="61" t="str">
        <f aca="false">Entrada!K187</f>
        <v>Recebido no 2008</v>
      </c>
      <c r="C48" s="61" t="s">
        <v>131</v>
      </c>
      <c r="D48" s="61" t="s">
        <v>209</v>
      </c>
      <c r="E48" s="61" t="s">
        <v>132</v>
      </c>
      <c r="F48" s="61" t="s">
        <v>251</v>
      </c>
      <c r="G48" s="61" t="s">
        <v>12</v>
      </c>
      <c r="H48" s="62" t="n">
        <f aca="false">Entrada!G187</f>
        <v>240</v>
      </c>
      <c r="I48" s="62" t="n">
        <f aca="false">Entrada!L187</f>
        <v>0</v>
      </c>
      <c r="J48" s="62" t="n">
        <v>0</v>
      </c>
      <c r="K48" s="62" t="n">
        <f aca="false">I48-J48</f>
        <v>0</v>
      </c>
      <c r="L48" s="61" t="s">
        <v>276</v>
      </c>
      <c r="M48" s="61"/>
      <c r="N48" s="61"/>
      <c r="O48" s="61"/>
    </row>
    <row r="49" customFormat="false" ht="15" hidden="false" customHeight="false" outlineLevel="0" collapsed="false">
      <c r="A49" s="60" t="n">
        <v>46275</v>
      </c>
      <c r="B49" s="61" t="str">
        <f aca="false">Entrada!K189</f>
        <v>Recebido no 2008</v>
      </c>
      <c r="C49" s="61" t="s">
        <v>147</v>
      </c>
      <c r="D49" s="61" t="s">
        <v>211</v>
      </c>
      <c r="E49" s="61" t="s">
        <v>225</v>
      </c>
      <c r="F49" s="61" t="s">
        <v>251</v>
      </c>
      <c r="G49" s="61" t="s">
        <v>4</v>
      </c>
      <c r="H49" s="62" t="n">
        <f aca="false">Entrada!G189</f>
        <v>4000</v>
      </c>
      <c r="I49" s="62" t="n">
        <f aca="false">Entrada!L189</f>
        <v>0</v>
      </c>
      <c r="J49" s="62" t="n">
        <v>0</v>
      </c>
      <c r="K49" s="62" t="n">
        <f aca="false">I49-J49</f>
        <v>0</v>
      </c>
      <c r="L49" s="61" t="s">
        <v>271</v>
      </c>
      <c r="M49" s="61"/>
      <c r="N49" s="61"/>
      <c r="O49" s="61"/>
    </row>
    <row r="50" customFormat="false" ht="15" hidden="false" customHeight="false" outlineLevel="0" collapsed="false">
      <c r="A50" s="60" t="n">
        <v>46275</v>
      </c>
      <c r="B50" s="61" t="str">
        <f aca="false">Entrada!K190</f>
        <v>Recebido no 2008</v>
      </c>
      <c r="C50" s="61" t="s">
        <v>147</v>
      </c>
      <c r="D50" s="61" t="s">
        <v>211</v>
      </c>
      <c r="E50" s="61" t="s">
        <v>225</v>
      </c>
      <c r="F50" s="61" t="s">
        <v>251</v>
      </c>
      <c r="G50" s="61" t="s">
        <v>4</v>
      </c>
      <c r="H50" s="62" t="n">
        <f aca="false">Entrada!G190</f>
        <v>800</v>
      </c>
      <c r="I50" s="62" t="n">
        <f aca="false">Entrada!L190</f>
        <v>0</v>
      </c>
      <c r="J50" s="62" t="n">
        <v>0</v>
      </c>
      <c r="K50" s="62" t="n">
        <f aca="false">I50-J50</f>
        <v>0</v>
      </c>
      <c r="L50" s="61" t="s">
        <v>277</v>
      </c>
      <c r="M50" s="61"/>
      <c r="N50" s="61"/>
      <c r="O50" s="61"/>
    </row>
    <row r="51" customFormat="false" ht="15" hidden="false" customHeight="false" outlineLevel="0" collapsed="false">
      <c r="A51" s="60" t="n">
        <v>46275</v>
      </c>
      <c r="B51" s="61" t="str">
        <f aca="false">Entrada!K191</f>
        <v>Recebido no 2008</v>
      </c>
      <c r="C51" s="61" t="s">
        <v>151</v>
      </c>
      <c r="D51" s="61" t="s">
        <v>212</v>
      </c>
      <c r="E51" s="61" t="s">
        <v>225</v>
      </c>
      <c r="F51" s="61" t="s">
        <v>251</v>
      </c>
      <c r="G51" s="61" t="s">
        <v>4</v>
      </c>
      <c r="H51" s="62" t="n">
        <f aca="false">Entrada!G191</f>
        <v>400</v>
      </c>
      <c r="I51" s="62" t="n">
        <f aca="false">Entrada!L191</f>
        <v>0</v>
      </c>
      <c r="J51" s="62" t="n">
        <v>0</v>
      </c>
      <c r="K51" s="62" t="n">
        <f aca="false">I51-J51</f>
        <v>0</v>
      </c>
      <c r="L51" s="61" t="s">
        <v>277</v>
      </c>
      <c r="M51" s="61"/>
      <c r="N51" s="61"/>
      <c r="O51" s="61"/>
    </row>
    <row r="52" customFormat="false" ht="15" hidden="false" customHeight="false" outlineLevel="0" collapsed="false">
      <c r="A52" s="60" t="n">
        <v>46275</v>
      </c>
      <c r="B52" s="61" t="str">
        <f aca="false">Entrada!K199</f>
        <v>Recebido no 2008</v>
      </c>
      <c r="C52" s="61" t="s">
        <v>160</v>
      </c>
      <c r="D52" s="61" t="s">
        <v>219</v>
      </c>
      <c r="E52" s="61" t="s">
        <v>186</v>
      </c>
      <c r="F52" s="61" t="s">
        <v>251</v>
      </c>
      <c r="G52" s="61" t="s">
        <v>4</v>
      </c>
      <c r="H52" s="62" t="n">
        <f aca="false">Entrada!G199</f>
        <v>204.4</v>
      </c>
      <c r="I52" s="62" t="n">
        <f aca="false">Entrada!L199</f>
        <v>0</v>
      </c>
      <c r="J52" s="62" t="n">
        <v>0</v>
      </c>
      <c r="K52" s="62" t="n">
        <f aca="false">I52-J52</f>
        <v>0</v>
      </c>
      <c r="L52" s="61" t="s">
        <v>277</v>
      </c>
      <c r="M52" s="61"/>
      <c r="N52" s="61"/>
      <c r="O52" s="61"/>
    </row>
    <row r="53" customFormat="false" ht="15" hidden="false" customHeight="false" outlineLevel="0" collapsed="false">
      <c r="A53" s="60" t="n">
        <v>46275</v>
      </c>
      <c r="B53" s="61" t="str">
        <f aca="false">Entrada!K198</f>
        <v>Recebido no 2008</v>
      </c>
      <c r="C53" s="61" t="s">
        <v>160</v>
      </c>
      <c r="D53" s="61" t="s">
        <v>220</v>
      </c>
      <c r="E53" s="61" t="s">
        <v>186</v>
      </c>
      <c r="F53" s="61" t="s">
        <v>251</v>
      </c>
      <c r="G53" s="61" t="s">
        <v>4</v>
      </c>
      <c r="H53" s="62" t="n">
        <f aca="false">Entrada!G198</f>
        <v>109.2</v>
      </c>
      <c r="I53" s="62" t="n">
        <f aca="false">Entrada!L198</f>
        <v>0</v>
      </c>
      <c r="J53" s="62" t="n">
        <v>0</v>
      </c>
      <c r="K53" s="62" t="n">
        <f aca="false">I53-J53</f>
        <v>0</v>
      </c>
      <c r="L53" s="61" t="s">
        <v>277</v>
      </c>
      <c r="M53" s="61"/>
      <c r="N53" s="61"/>
      <c r="O53" s="61"/>
    </row>
    <row r="54" customFormat="false" ht="15" hidden="false" customHeight="false" outlineLevel="0" collapsed="false">
      <c r="A54" s="60" t="n">
        <v>46275</v>
      </c>
      <c r="B54" s="61" t="str">
        <f aca="false">Entrada!K200</f>
        <v>Recebido no 2008</v>
      </c>
      <c r="C54" s="61" t="s">
        <v>160</v>
      </c>
      <c r="D54" s="61" t="s">
        <v>220</v>
      </c>
      <c r="E54" s="61" t="s">
        <v>186</v>
      </c>
      <c r="F54" s="61" t="s">
        <v>251</v>
      </c>
      <c r="G54" s="61" t="s">
        <v>4</v>
      </c>
      <c r="H54" s="62" t="n">
        <f aca="false">Entrada!G200</f>
        <v>529.2</v>
      </c>
      <c r="I54" s="62" t="n">
        <f aca="false">Entrada!L200</f>
        <v>0</v>
      </c>
      <c r="J54" s="62" t="n">
        <v>0</v>
      </c>
      <c r="K54" s="62" t="n">
        <f aca="false">I54-J54</f>
        <v>0</v>
      </c>
      <c r="L54" s="61" t="s">
        <v>265</v>
      </c>
      <c r="M54" s="61"/>
      <c r="N54" s="61"/>
      <c r="O54" s="61"/>
    </row>
    <row r="55" customFormat="false" ht="15" hidden="false" customHeight="false" outlineLevel="0" collapsed="false">
      <c r="A55" s="60" t="n">
        <v>46275</v>
      </c>
      <c r="B55" s="61" t="str">
        <f aca="false">Entrada!K196</f>
        <v>Recebido no 2008</v>
      </c>
      <c r="C55" s="61" t="s">
        <v>160</v>
      </c>
      <c r="D55" s="61" t="s">
        <v>221</v>
      </c>
      <c r="E55" s="61" t="s">
        <v>186</v>
      </c>
      <c r="F55" s="61" t="s">
        <v>251</v>
      </c>
      <c r="G55" s="61" t="s">
        <v>4</v>
      </c>
      <c r="H55" s="62" t="n">
        <f aca="false">Entrada!G196</f>
        <v>725.2</v>
      </c>
      <c r="I55" s="62" t="n">
        <f aca="false">Entrada!L196</f>
        <v>0</v>
      </c>
      <c r="J55" s="62" t="n">
        <v>0</v>
      </c>
      <c r="K55" s="62" t="n">
        <f aca="false">I55-J55</f>
        <v>0</v>
      </c>
      <c r="L55" s="61" t="s">
        <v>265</v>
      </c>
      <c r="M55" s="61"/>
      <c r="N55" s="61"/>
      <c r="O55" s="61"/>
    </row>
    <row r="56" customFormat="false" ht="15" hidden="false" customHeight="false" outlineLevel="0" collapsed="false">
      <c r="A56" s="60" t="n">
        <v>46275</v>
      </c>
      <c r="B56" s="61" t="str">
        <f aca="false">Entrada!K197</f>
        <v>Recebido no 2008</v>
      </c>
      <c r="C56" s="61" t="s">
        <v>160</v>
      </c>
      <c r="D56" s="61" t="s">
        <v>221</v>
      </c>
      <c r="E56" s="61" t="s">
        <v>186</v>
      </c>
      <c r="F56" s="61" t="s">
        <v>251</v>
      </c>
      <c r="G56" s="61" t="s">
        <v>4</v>
      </c>
      <c r="H56" s="62" t="n">
        <f aca="false">Entrada!G197</f>
        <v>1254.4</v>
      </c>
      <c r="I56" s="62" t="n">
        <f aca="false">Entrada!L197</f>
        <v>0</v>
      </c>
      <c r="J56" s="62" t="n">
        <v>0</v>
      </c>
      <c r="K56" s="62" t="n">
        <f aca="false">I56-J56</f>
        <v>0</v>
      </c>
      <c r="L56" s="61" t="s">
        <v>276</v>
      </c>
      <c r="M56" s="61"/>
      <c r="N56" s="61"/>
      <c r="O56" s="61"/>
    </row>
    <row r="57" customFormat="false" ht="15" hidden="false" customHeight="false" outlineLevel="0" collapsed="false">
      <c r="A57" s="60" t="n">
        <v>46275</v>
      </c>
      <c r="B57" s="61" t="str">
        <f aca="false">Entrada!K201</f>
        <v>Recebido no 2008</v>
      </c>
      <c r="C57" s="61" t="s">
        <v>157</v>
      </c>
      <c r="D57" s="61" t="s">
        <v>158</v>
      </c>
      <c r="E57" s="61" t="s">
        <v>119</v>
      </c>
      <c r="F57" s="61" t="s">
        <v>251</v>
      </c>
      <c r="G57" s="61" t="s">
        <v>4</v>
      </c>
      <c r="H57" s="62" t="n">
        <f aca="false">Entrada!G201</f>
        <v>20</v>
      </c>
      <c r="I57" s="62" t="n">
        <f aca="false">Entrada!L201</f>
        <v>0</v>
      </c>
      <c r="J57" s="62" t="n">
        <v>0</v>
      </c>
      <c r="K57" s="62" t="n">
        <f aca="false">I57-J57</f>
        <v>0</v>
      </c>
      <c r="L57" s="61" t="s">
        <v>253</v>
      </c>
      <c r="M57" s="61"/>
      <c r="N57" s="61"/>
      <c r="O57" s="61"/>
    </row>
    <row r="58" customFormat="false" ht="15" hidden="false" customHeight="false" outlineLevel="0" collapsed="false">
      <c r="A58" s="60" t="n">
        <v>46275</v>
      </c>
      <c r="B58" s="61" t="s">
        <v>13</v>
      </c>
      <c r="C58" s="61" t="s">
        <v>157</v>
      </c>
      <c r="D58" s="61" t="s">
        <v>158</v>
      </c>
      <c r="E58" s="61" t="s">
        <v>119</v>
      </c>
      <c r="F58" s="61" t="s">
        <v>246</v>
      </c>
      <c r="G58" s="61" t="s">
        <v>4</v>
      </c>
      <c r="H58" s="62" t="n">
        <f aca="false">Saida!H402</f>
        <v>-20.1</v>
      </c>
      <c r="I58" s="62" t="n">
        <v>0</v>
      </c>
      <c r="J58" s="62" t="n">
        <f aca="false">Saida!R402</f>
        <v>20.1</v>
      </c>
      <c r="K58" s="62" t="n">
        <f aca="false">I58-J58</f>
        <v>-20.1</v>
      </c>
      <c r="L58" s="61" t="s">
        <v>288</v>
      </c>
      <c r="M58" s="61" t="s">
        <v>289</v>
      </c>
      <c r="N58" s="61" t="s">
        <v>290</v>
      </c>
      <c r="O58" s="61" t="s">
        <v>258</v>
      </c>
    </row>
    <row r="59" customFormat="false" ht="15" hidden="false" customHeight="false" outlineLevel="0" collapsed="false">
      <c r="A59" s="60" t="n">
        <v>46275</v>
      </c>
      <c r="B59" s="61" t="s">
        <v>13</v>
      </c>
      <c r="C59" s="61" t="s">
        <v>157</v>
      </c>
      <c r="D59" s="61" t="s">
        <v>158</v>
      </c>
      <c r="E59" s="61" t="s">
        <v>119</v>
      </c>
      <c r="F59" s="61" t="s">
        <v>246</v>
      </c>
      <c r="G59" s="61" t="s">
        <v>4</v>
      </c>
      <c r="H59" s="62" t="n">
        <f aca="false">Saida!H403</f>
        <v>-100.5</v>
      </c>
      <c r="I59" s="62" t="n">
        <v>0</v>
      </c>
      <c r="J59" s="62" t="n">
        <f aca="false">Saida!R403</f>
        <v>100.5</v>
      </c>
      <c r="K59" s="62" t="n">
        <f aca="false">I59-J59</f>
        <v>-100.5</v>
      </c>
      <c r="L59" s="61" t="s">
        <v>266</v>
      </c>
      <c r="M59" s="61" t="s">
        <v>267</v>
      </c>
      <c r="N59" s="61" t="s">
        <v>268</v>
      </c>
      <c r="O59" s="61" t="s">
        <v>269</v>
      </c>
    </row>
    <row r="60" customFormat="false" ht="15" hidden="false" customHeight="false" outlineLevel="0" collapsed="false">
      <c r="A60" s="60" t="n">
        <v>46275</v>
      </c>
      <c r="B60" s="61" t="s">
        <v>13</v>
      </c>
      <c r="C60" s="61" t="s">
        <v>157</v>
      </c>
      <c r="D60" s="61" t="s">
        <v>158</v>
      </c>
      <c r="E60" s="61" t="s">
        <v>119</v>
      </c>
      <c r="F60" s="61" t="s">
        <v>246</v>
      </c>
      <c r="G60" s="61" t="s">
        <v>4</v>
      </c>
      <c r="H60" s="62" t="n">
        <f aca="false">Saida!H404</f>
        <v>-40.2</v>
      </c>
      <c r="I60" s="62" t="n">
        <v>0</v>
      </c>
      <c r="J60" s="62" t="n">
        <f aca="false">Saida!R404</f>
        <v>40.2</v>
      </c>
      <c r="K60" s="62" t="n">
        <f aca="false">I60-J60</f>
        <v>-40.2</v>
      </c>
      <c r="L60" s="61" t="s">
        <v>291</v>
      </c>
      <c r="M60" s="61" t="s">
        <v>292</v>
      </c>
      <c r="N60" s="61" t="s">
        <v>293</v>
      </c>
      <c r="O60" s="61" t="s">
        <v>258</v>
      </c>
    </row>
    <row r="61" customFormat="false" ht="15" hidden="false" customHeight="false" outlineLevel="0" collapsed="false">
      <c r="A61" s="60" t="n">
        <v>46275</v>
      </c>
      <c r="B61" s="61" t="s">
        <v>13</v>
      </c>
      <c r="C61" s="61" t="s">
        <v>157</v>
      </c>
      <c r="D61" s="61" t="s">
        <v>158</v>
      </c>
      <c r="E61" s="61" t="s">
        <v>119</v>
      </c>
      <c r="F61" s="61" t="s">
        <v>246</v>
      </c>
      <c r="G61" s="61" t="s">
        <v>4</v>
      </c>
      <c r="H61" s="62" t="n">
        <f aca="false">Saida!H405</f>
        <v>-20.1</v>
      </c>
      <c r="I61" s="62" t="n">
        <v>0</v>
      </c>
      <c r="J61" s="62" t="n">
        <f aca="false">Saida!R405</f>
        <v>20.1</v>
      </c>
      <c r="K61" s="62" t="n">
        <f aca="false">I61-J61</f>
        <v>-20.1</v>
      </c>
      <c r="L61" s="61" t="s">
        <v>255</v>
      </c>
      <c r="M61" s="61" t="s">
        <v>256</v>
      </c>
      <c r="N61" s="61" t="s">
        <v>257</v>
      </c>
      <c r="O61" s="61" t="s">
        <v>258</v>
      </c>
    </row>
    <row r="62" customFormat="false" ht="15" hidden="false" customHeight="false" outlineLevel="0" collapsed="false">
      <c r="A62" s="60" t="n">
        <v>46275</v>
      </c>
      <c r="B62" s="61" t="s">
        <v>13</v>
      </c>
      <c r="C62" s="61" t="s">
        <v>157</v>
      </c>
      <c r="D62" s="61" t="s">
        <v>158</v>
      </c>
      <c r="E62" s="61" t="s">
        <v>119</v>
      </c>
      <c r="F62" s="61" t="s">
        <v>246</v>
      </c>
      <c r="G62" s="61" t="s">
        <v>4</v>
      </c>
      <c r="H62" s="62" t="n">
        <f aca="false">Saida!H406</f>
        <v>-20.1</v>
      </c>
      <c r="I62" s="62" t="n">
        <v>0</v>
      </c>
      <c r="J62" s="62" t="n">
        <f aca="false">Saida!R406</f>
        <v>20.1</v>
      </c>
      <c r="K62" s="62" t="n">
        <f aca="false">I62-J62</f>
        <v>-20.1</v>
      </c>
      <c r="L62" s="61" t="s">
        <v>294</v>
      </c>
      <c r="M62" s="61" t="s">
        <v>295</v>
      </c>
      <c r="N62" s="61" t="s">
        <v>296</v>
      </c>
      <c r="O62" s="61" t="s">
        <v>297</v>
      </c>
    </row>
    <row r="63" customFormat="false" ht="15" hidden="false" customHeight="false" outlineLevel="0" collapsed="false">
      <c r="A63" s="60" t="n">
        <v>46275</v>
      </c>
      <c r="B63" s="61" t="str">
        <f aca="false">Entrada!K202</f>
        <v>Recebido no 2008</v>
      </c>
      <c r="C63" s="61" t="s">
        <v>157</v>
      </c>
      <c r="D63" s="61" t="s">
        <v>194</v>
      </c>
      <c r="E63" s="61" t="s">
        <v>119</v>
      </c>
      <c r="F63" s="61" t="s">
        <v>251</v>
      </c>
      <c r="G63" s="61" t="s">
        <v>4</v>
      </c>
      <c r="H63" s="62" t="n">
        <f aca="false">Entrada!G202</f>
        <v>2995</v>
      </c>
      <c r="I63" s="62" t="n">
        <f aca="false">Entrada!L202</f>
        <v>0</v>
      </c>
      <c r="J63" s="62" t="n">
        <v>0</v>
      </c>
      <c r="K63" s="62" t="n">
        <f aca="false">I63-J63</f>
        <v>0</v>
      </c>
      <c r="L63" s="61" t="s">
        <v>253</v>
      </c>
      <c r="M63" s="61"/>
      <c r="N63" s="61"/>
      <c r="O63" s="61"/>
    </row>
    <row r="64" customFormat="false" ht="15" hidden="false" customHeight="false" outlineLevel="0" collapsed="false">
      <c r="A64" s="60" t="n">
        <v>46276</v>
      </c>
      <c r="B64" s="61" t="str">
        <f aca="false">Entrada!K16</f>
        <v>Entrada</v>
      </c>
      <c r="C64" s="61" t="s">
        <v>27</v>
      </c>
      <c r="D64" s="61" t="s">
        <v>30</v>
      </c>
      <c r="E64" s="61" t="s">
        <v>119</v>
      </c>
      <c r="F64" s="61" t="s">
        <v>251</v>
      </c>
      <c r="G64" s="61" t="s">
        <v>4</v>
      </c>
      <c r="H64" s="62" t="n">
        <f aca="false">Entrada!G16</f>
        <v>-180.9</v>
      </c>
      <c r="I64" s="62" t="n">
        <f aca="false">Entrada!L16</f>
        <v>180.9</v>
      </c>
      <c r="J64" s="62" t="n">
        <v>0</v>
      </c>
      <c r="K64" s="62" t="n">
        <f aca="false">I64-J64</f>
        <v>180.9</v>
      </c>
      <c r="L64" s="61" t="s">
        <v>298</v>
      </c>
      <c r="M64" s="61"/>
      <c r="N64" s="61"/>
      <c r="O64" s="61"/>
    </row>
    <row r="65" customFormat="false" ht="15" hidden="false" customHeight="false" outlineLevel="0" collapsed="false">
      <c r="A65" s="60" t="n">
        <v>46276</v>
      </c>
      <c r="B65" s="61" t="str">
        <f aca="false">Entrada!K119</f>
        <v>Entrada</v>
      </c>
      <c r="C65" s="61" t="s">
        <v>33</v>
      </c>
      <c r="D65" s="61" t="s">
        <v>44</v>
      </c>
      <c r="E65" s="61" t="s">
        <v>202</v>
      </c>
      <c r="F65" s="61" t="s">
        <v>251</v>
      </c>
      <c r="G65" s="61" t="s">
        <v>4</v>
      </c>
      <c r="H65" s="62" t="n">
        <f aca="false">Entrada!G119</f>
        <v>-1800</v>
      </c>
      <c r="I65" s="62" t="n">
        <f aca="false">Entrada!L119</f>
        <v>1800</v>
      </c>
      <c r="J65" s="62" t="n">
        <v>0</v>
      </c>
      <c r="K65" s="62" t="n">
        <f aca="false">I65-J65</f>
        <v>1800</v>
      </c>
      <c r="L65" s="61" t="s">
        <v>299</v>
      </c>
      <c r="M65" s="61"/>
      <c r="N65" s="61"/>
      <c r="O65" s="61"/>
    </row>
    <row r="66" customFormat="false" ht="15" hidden="false" customHeight="false" outlineLevel="0" collapsed="false">
      <c r="A66" s="60" t="n">
        <v>46276</v>
      </c>
      <c r="B66" s="61" t="str">
        <f aca="false">Entrada!K120</f>
        <v>Entrada</v>
      </c>
      <c r="C66" s="61" t="s">
        <v>33</v>
      </c>
      <c r="D66" s="61" t="s">
        <v>48</v>
      </c>
      <c r="E66" s="61" t="s">
        <v>202</v>
      </c>
      <c r="F66" s="61" t="s">
        <v>251</v>
      </c>
      <c r="G66" s="61" t="s">
        <v>4</v>
      </c>
      <c r="H66" s="62" t="n">
        <f aca="false">Entrada!G120</f>
        <v>-600</v>
      </c>
      <c r="I66" s="62" t="n">
        <f aca="false">Entrada!L120</f>
        <v>600</v>
      </c>
      <c r="J66" s="62" t="n">
        <v>0</v>
      </c>
      <c r="K66" s="62" t="n">
        <f aca="false">I66-J66</f>
        <v>600</v>
      </c>
      <c r="L66" s="61" t="s">
        <v>299</v>
      </c>
      <c r="M66" s="61"/>
      <c r="N66" s="61"/>
      <c r="O66" s="61"/>
    </row>
    <row r="67" customFormat="false" ht="15" hidden="false" customHeight="false" outlineLevel="0" collapsed="false">
      <c r="A67" s="60" t="n">
        <v>46276</v>
      </c>
      <c r="B67" s="61" t="str">
        <f aca="false">Entrada!K122</f>
        <v>Entrada</v>
      </c>
      <c r="C67" s="61" t="s">
        <v>33</v>
      </c>
      <c r="D67" s="61" t="s">
        <v>52</v>
      </c>
      <c r="E67" s="61" t="s">
        <v>202</v>
      </c>
      <c r="F67" s="61" t="s">
        <v>251</v>
      </c>
      <c r="G67" s="61" t="s">
        <v>4</v>
      </c>
      <c r="H67" s="62" t="n">
        <f aca="false">Entrada!G122</f>
        <v>-1180</v>
      </c>
      <c r="I67" s="62" t="n">
        <f aca="false">Entrada!L122</f>
        <v>1180</v>
      </c>
      <c r="J67" s="62" t="n">
        <v>0</v>
      </c>
      <c r="K67" s="62" t="n">
        <f aca="false">I67-J67</f>
        <v>1180</v>
      </c>
      <c r="L67" s="61" t="s">
        <v>299</v>
      </c>
      <c r="M67" s="61"/>
      <c r="N67" s="61"/>
      <c r="O67" s="61"/>
    </row>
    <row r="68" customFormat="false" ht="15" hidden="false" customHeight="false" outlineLevel="0" collapsed="false">
      <c r="A68" s="60" t="n">
        <v>46276</v>
      </c>
      <c r="B68" s="61" t="str">
        <f aca="false">Entrada!K121</f>
        <v>Entrada</v>
      </c>
      <c r="C68" s="61" t="s">
        <v>33</v>
      </c>
      <c r="D68" s="61" t="s">
        <v>54</v>
      </c>
      <c r="E68" s="61" t="s">
        <v>202</v>
      </c>
      <c r="F68" s="61" t="s">
        <v>251</v>
      </c>
      <c r="G68" s="61" t="s">
        <v>4</v>
      </c>
      <c r="H68" s="62" t="n">
        <f aca="false">Entrada!G121</f>
        <v>-520</v>
      </c>
      <c r="I68" s="62" t="n">
        <f aca="false">Entrada!L121</f>
        <v>520</v>
      </c>
      <c r="J68" s="62" t="n">
        <v>0</v>
      </c>
      <c r="K68" s="62" t="n">
        <f aca="false">I68-J68</f>
        <v>520</v>
      </c>
      <c r="L68" s="61" t="s">
        <v>299</v>
      </c>
      <c r="M68" s="61"/>
      <c r="N68" s="61"/>
      <c r="O68" s="61"/>
    </row>
    <row r="69" customFormat="false" ht="15" hidden="false" customHeight="false" outlineLevel="0" collapsed="false">
      <c r="A69" s="60" t="n">
        <v>46276</v>
      </c>
      <c r="B69" s="61" t="s">
        <v>13</v>
      </c>
      <c r="C69" s="61" t="s">
        <v>41</v>
      </c>
      <c r="D69" s="61" t="s">
        <v>62</v>
      </c>
      <c r="E69" s="61" t="s">
        <v>141</v>
      </c>
      <c r="F69" s="61" t="s">
        <v>246</v>
      </c>
      <c r="G69" s="61" t="s">
        <v>4</v>
      </c>
      <c r="H69" s="62" t="n">
        <f aca="false">Saida!H172</f>
        <v>-8.4</v>
      </c>
      <c r="I69" s="62" t="n">
        <v>0</v>
      </c>
      <c r="J69" s="62" t="n">
        <f aca="false">Saida!R172</f>
        <v>8.4</v>
      </c>
      <c r="K69" s="62" t="n">
        <f aca="false">I69-J69</f>
        <v>-8.4</v>
      </c>
      <c r="L69" s="61" t="s">
        <v>300</v>
      </c>
      <c r="M69" s="61" t="s">
        <v>301</v>
      </c>
      <c r="N69" s="61" t="s">
        <v>302</v>
      </c>
      <c r="O69" s="61" t="s">
        <v>269</v>
      </c>
    </row>
    <row r="70" customFormat="false" ht="15" hidden="false" customHeight="false" outlineLevel="0" collapsed="false">
      <c r="A70" s="60" t="n">
        <v>46276</v>
      </c>
      <c r="B70" s="61" t="s">
        <v>13</v>
      </c>
      <c r="C70" s="61" t="s">
        <v>41</v>
      </c>
      <c r="D70" s="61" t="s">
        <v>62</v>
      </c>
      <c r="E70" s="61" t="s">
        <v>141</v>
      </c>
      <c r="F70" s="61" t="s">
        <v>246</v>
      </c>
      <c r="G70" s="61" t="s">
        <v>4</v>
      </c>
      <c r="H70" s="62" t="n">
        <f aca="false">Saida!H173</f>
        <v>-2.8</v>
      </c>
      <c r="I70" s="62" t="n">
        <v>0</v>
      </c>
      <c r="J70" s="62" t="n">
        <f aca="false">Saida!R173</f>
        <v>2.8</v>
      </c>
      <c r="K70" s="62" t="n">
        <f aca="false">I70-J70</f>
        <v>-2.8</v>
      </c>
      <c r="L70" s="61" t="s">
        <v>303</v>
      </c>
      <c r="M70" s="61" t="s">
        <v>304</v>
      </c>
      <c r="N70" s="61" t="s">
        <v>305</v>
      </c>
      <c r="O70" s="61" t="s">
        <v>269</v>
      </c>
    </row>
    <row r="71" customFormat="false" ht="15" hidden="false" customHeight="false" outlineLevel="0" collapsed="false">
      <c r="A71" s="60" t="n">
        <v>46276</v>
      </c>
      <c r="B71" s="61" t="s">
        <v>13</v>
      </c>
      <c r="C71" s="61" t="s">
        <v>41</v>
      </c>
      <c r="D71" s="61" t="s">
        <v>62</v>
      </c>
      <c r="E71" s="61" t="s">
        <v>141</v>
      </c>
      <c r="F71" s="61" t="s">
        <v>246</v>
      </c>
      <c r="G71" s="61" t="s">
        <v>4</v>
      </c>
      <c r="H71" s="62" t="n">
        <f aca="false">Saida!H174</f>
        <v>-2.8</v>
      </c>
      <c r="I71" s="62" t="n">
        <v>0</v>
      </c>
      <c r="J71" s="62" t="n">
        <f aca="false">Saida!R174</f>
        <v>2.8</v>
      </c>
      <c r="K71" s="62" t="n">
        <f aca="false">I71-J71</f>
        <v>-2.8</v>
      </c>
      <c r="L71" s="61" t="s">
        <v>306</v>
      </c>
      <c r="M71" s="61" t="s">
        <v>307</v>
      </c>
      <c r="N71" s="61" t="s">
        <v>308</v>
      </c>
      <c r="O71" s="61" t="s">
        <v>269</v>
      </c>
    </row>
    <row r="72" customFormat="false" ht="15" hidden="false" customHeight="false" outlineLevel="0" collapsed="false">
      <c r="A72" s="60" t="n">
        <v>46276</v>
      </c>
      <c r="B72" s="61" t="str">
        <f aca="false">Entrada!K127</f>
        <v>Entrada</v>
      </c>
      <c r="C72" s="61" t="s">
        <v>47</v>
      </c>
      <c r="D72" s="61" t="s">
        <v>68</v>
      </c>
      <c r="E72" s="61" t="s">
        <v>202</v>
      </c>
      <c r="F72" s="61" t="s">
        <v>251</v>
      </c>
      <c r="G72" s="61" t="s">
        <v>4</v>
      </c>
      <c r="H72" s="62" t="n">
        <f aca="false">Entrada!G127</f>
        <v>-2400</v>
      </c>
      <c r="I72" s="62" t="n">
        <f aca="false">Entrada!L127</f>
        <v>2400</v>
      </c>
      <c r="J72" s="62" t="n">
        <v>0</v>
      </c>
      <c r="K72" s="62" t="n">
        <f aca="false">I72-J72</f>
        <v>2400</v>
      </c>
      <c r="L72" s="61" t="s">
        <v>299</v>
      </c>
      <c r="M72" s="61"/>
      <c r="N72" s="61"/>
      <c r="O72" s="61"/>
    </row>
    <row r="73" customFormat="false" ht="15" hidden="false" customHeight="false" outlineLevel="0" collapsed="false">
      <c r="A73" s="60" t="n">
        <v>46276</v>
      </c>
      <c r="B73" s="61" t="s">
        <v>13</v>
      </c>
      <c r="C73" s="61" t="s">
        <v>47</v>
      </c>
      <c r="D73" s="61" t="s">
        <v>68</v>
      </c>
      <c r="E73" s="61" t="s">
        <v>202</v>
      </c>
      <c r="F73" s="61" t="s">
        <v>246</v>
      </c>
      <c r="G73" s="61" t="s">
        <v>4</v>
      </c>
      <c r="H73" s="62" t="n">
        <f aca="false">Saida!H183</f>
        <v>-2300</v>
      </c>
      <c r="I73" s="62" t="n">
        <v>0</v>
      </c>
      <c r="J73" s="62" t="n">
        <f aca="false">Saida!R183</f>
        <v>2300</v>
      </c>
      <c r="K73" s="62" t="n">
        <f aca="false">I73-J73</f>
        <v>-2300</v>
      </c>
      <c r="L73" s="61" t="s">
        <v>309</v>
      </c>
      <c r="M73" s="61" t="s">
        <v>310</v>
      </c>
      <c r="N73" s="61" t="s">
        <v>311</v>
      </c>
      <c r="O73" s="61" t="s">
        <v>312</v>
      </c>
    </row>
    <row r="74" customFormat="false" ht="15" hidden="false" customHeight="false" outlineLevel="0" collapsed="false">
      <c r="A74" s="60" t="n">
        <v>46276</v>
      </c>
      <c r="B74" s="61" t="str">
        <f aca="false">Entrada!K132</f>
        <v>Entrada</v>
      </c>
      <c r="C74" s="61" t="s">
        <v>51</v>
      </c>
      <c r="D74" s="61" t="s">
        <v>74</v>
      </c>
      <c r="E74" s="61" t="s">
        <v>128</v>
      </c>
      <c r="F74" s="61" t="s">
        <v>251</v>
      </c>
      <c r="G74" s="61" t="s">
        <v>4</v>
      </c>
      <c r="H74" s="62" t="n">
        <f aca="false">Entrada!G132</f>
        <v>-40</v>
      </c>
      <c r="I74" s="62" t="n">
        <f aca="false">Entrada!L132</f>
        <v>40</v>
      </c>
      <c r="J74" s="62" t="n">
        <v>0</v>
      </c>
      <c r="K74" s="62" t="n">
        <f aca="false">I74-J74</f>
        <v>40</v>
      </c>
      <c r="L74" s="61" t="s">
        <v>299</v>
      </c>
      <c r="M74" s="61"/>
      <c r="N74" s="61"/>
      <c r="O74" s="61"/>
    </row>
    <row r="75" customFormat="false" ht="15" hidden="false" customHeight="false" outlineLevel="0" collapsed="false">
      <c r="A75" s="60" t="n">
        <v>46276</v>
      </c>
      <c r="B75" s="61" t="s">
        <v>13</v>
      </c>
      <c r="C75" s="61" t="s">
        <v>75</v>
      </c>
      <c r="D75" s="61" t="s">
        <v>143</v>
      </c>
      <c r="E75" s="61" t="s">
        <v>173</v>
      </c>
      <c r="F75" s="61" t="s">
        <v>246</v>
      </c>
      <c r="G75" s="61" t="s">
        <v>4</v>
      </c>
      <c r="H75" s="62" t="n">
        <f aca="false">Saida!H265</f>
        <v>-40</v>
      </c>
      <c r="I75" s="62" t="n">
        <v>0</v>
      </c>
      <c r="J75" s="62" t="n">
        <f aca="false">Saida!R265</f>
        <v>40</v>
      </c>
      <c r="K75" s="62" t="n">
        <f aca="false">I75-J75</f>
        <v>-40</v>
      </c>
      <c r="L75" s="61" t="s">
        <v>313</v>
      </c>
      <c r="M75" s="61" t="s">
        <v>314</v>
      </c>
      <c r="N75" s="61" t="s">
        <v>315</v>
      </c>
      <c r="O75" s="61" t="s">
        <v>269</v>
      </c>
    </row>
    <row r="76" customFormat="false" ht="15" hidden="false" customHeight="false" outlineLevel="0" collapsed="false">
      <c r="A76" s="60" t="n">
        <v>46276</v>
      </c>
      <c r="B76" s="61" t="s">
        <v>13</v>
      </c>
      <c r="C76" s="61" t="s">
        <v>110</v>
      </c>
      <c r="D76" s="61" t="s">
        <v>162</v>
      </c>
      <c r="E76" s="61" t="s">
        <v>119</v>
      </c>
      <c r="F76" s="61" t="s">
        <v>254</v>
      </c>
      <c r="G76" s="61" t="s">
        <v>4</v>
      </c>
      <c r="H76" s="62" t="n">
        <f aca="false">Saida!H352</f>
        <v>-241.2</v>
      </c>
      <c r="I76" s="62" t="n">
        <v>0</v>
      </c>
      <c r="J76" s="62" t="n">
        <f aca="false">Saida!R352</f>
        <v>241.2</v>
      </c>
      <c r="K76" s="62" t="n">
        <f aca="false">I76-J76</f>
        <v>-241.2</v>
      </c>
      <c r="L76" s="61" t="s">
        <v>316</v>
      </c>
      <c r="M76" s="61" t="s">
        <v>317</v>
      </c>
      <c r="N76" s="61" t="s">
        <v>318</v>
      </c>
      <c r="O76" s="61" t="s">
        <v>319</v>
      </c>
    </row>
    <row r="77" customFormat="false" ht="15" hidden="false" customHeight="false" outlineLevel="0" collapsed="false">
      <c r="A77" s="60" t="n">
        <v>46276</v>
      </c>
      <c r="B77" s="61" t="s">
        <v>13</v>
      </c>
      <c r="C77" s="61" t="s">
        <v>110</v>
      </c>
      <c r="D77" s="61" t="s">
        <v>162</v>
      </c>
      <c r="E77" s="61" t="s">
        <v>119</v>
      </c>
      <c r="F77" s="61" t="s">
        <v>254</v>
      </c>
      <c r="G77" s="61" t="s">
        <v>4</v>
      </c>
      <c r="H77" s="62" t="n">
        <f aca="false">Saida!H353</f>
        <v>-241.2</v>
      </c>
      <c r="I77" s="62" t="n">
        <v>0</v>
      </c>
      <c r="J77" s="62" t="n">
        <f aca="false">Saida!R353</f>
        <v>241.2</v>
      </c>
      <c r="K77" s="62" t="n">
        <f aca="false">I77-J77</f>
        <v>-241.2</v>
      </c>
      <c r="L77" s="61" t="s">
        <v>316</v>
      </c>
      <c r="M77" s="61" t="s">
        <v>317</v>
      </c>
      <c r="N77" s="61" t="s">
        <v>318</v>
      </c>
      <c r="O77" s="61" t="s">
        <v>319</v>
      </c>
    </row>
    <row r="78" customFormat="false" ht="15" hidden="false" customHeight="false" outlineLevel="0" collapsed="false">
      <c r="A78" s="60" t="n">
        <v>46277</v>
      </c>
      <c r="B78" s="61" t="s">
        <v>13</v>
      </c>
      <c r="C78" s="61" t="s">
        <v>35</v>
      </c>
      <c r="D78" s="61" t="s">
        <v>58</v>
      </c>
      <c r="E78" s="61" t="s">
        <v>119</v>
      </c>
      <c r="F78" s="61" t="s">
        <v>246</v>
      </c>
      <c r="G78" s="61" t="s">
        <v>4</v>
      </c>
      <c r="H78" s="62" t="n">
        <f aca="false">Saida!H124</f>
        <v>-40.2</v>
      </c>
      <c r="I78" s="62" t="n">
        <v>0</v>
      </c>
      <c r="J78" s="62" t="n">
        <f aca="false">Saida!R124</f>
        <v>40.2</v>
      </c>
      <c r="K78" s="62" t="n">
        <f aca="false">I78-J78</f>
        <v>-40.2</v>
      </c>
      <c r="L78" s="61" t="s">
        <v>320</v>
      </c>
      <c r="M78" s="61" t="s">
        <v>321</v>
      </c>
      <c r="N78" s="61" t="s">
        <v>322</v>
      </c>
      <c r="O78" s="61" t="s">
        <v>250</v>
      </c>
    </row>
    <row r="79" customFormat="false" ht="15" hidden="false" customHeight="false" outlineLevel="0" collapsed="false">
      <c r="A79" s="60" t="n">
        <v>46277</v>
      </c>
      <c r="B79" s="61" t="s">
        <v>13</v>
      </c>
      <c r="C79" s="61" t="s">
        <v>35</v>
      </c>
      <c r="D79" s="61" t="s">
        <v>58</v>
      </c>
      <c r="E79" s="61" t="s">
        <v>119</v>
      </c>
      <c r="F79" s="61" t="s">
        <v>246</v>
      </c>
      <c r="G79" s="61" t="s">
        <v>4</v>
      </c>
      <c r="H79" s="62" t="n">
        <f aca="false">Saida!H125</f>
        <v>-40.2</v>
      </c>
      <c r="I79" s="62" t="n">
        <v>0</v>
      </c>
      <c r="J79" s="62" t="n">
        <f aca="false">Saida!R125</f>
        <v>40.2</v>
      </c>
      <c r="K79" s="62" t="n">
        <f aca="false">I79-J79</f>
        <v>-40.2</v>
      </c>
      <c r="L79" s="61" t="s">
        <v>323</v>
      </c>
      <c r="M79" s="61" t="s">
        <v>324</v>
      </c>
      <c r="N79" s="61" t="s">
        <v>325</v>
      </c>
      <c r="O79" s="61" t="s">
        <v>250</v>
      </c>
    </row>
    <row r="80" customFormat="false" ht="15" hidden="false" customHeight="false" outlineLevel="0" collapsed="false">
      <c r="A80" s="60" t="n">
        <v>46277</v>
      </c>
      <c r="B80" s="61" t="s">
        <v>13</v>
      </c>
      <c r="C80" s="61" t="s">
        <v>41</v>
      </c>
      <c r="D80" s="61" t="s">
        <v>62</v>
      </c>
      <c r="E80" s="61" t="s">
        <v>141</v>
      </c>
      <c r="F80" s="61" t="s">
        <v>246</v>
      </c>
      <c r="G80" s="61" t="s">
        <v>4</v>
      </c>
      <c r="H80" s="62" t="n">
        <f aca="false">Saida!H171</f>
        <v>-8.4</v>
      </c>
      <c r="I80" s="62" t="n">
        <v>0</v>
      </c>
      <c r="J80" s="62" t="n">
        <f aca="false">Saida!R171</f>
        <v>8.4</v>
      </c>
      <c r="K80" s="62" t="n">
        <f aca="false">I80-J80</f>
        <v>-8.4</v>
      </c>
      <c r="L80" s="61" t="s">
        <v>326</v>
      </c>
      <c r="M80" s="61" t="s">
        <v>327</v>
      </c>
      <c r="N80" s="61" t="s">
        <v>328</v>
      </c>
      <c r="O80" s="61" t="s">
        <v>250</v>
      </c>
    </row>
    <row r="81" customFormat="false" ht="15" hidden="false" customHeight="false" outlineLevel="0" collapsed="false">
      <c r="A81" s="60" t="n">
        <v>46277</v>
      </c>
      <c r="B81" s="61" t="s">
        <v>13</v>
      </c>
      <c r="C81" s="61" t="s">
        <v>81</v>
      </c>
      <c r="D81" s="61" t="s">
        <v>145</v>
      </c>
      <c r="E81" s="61" t="s">
        <v>144</v>
      </c>
      <c r="F81" s="61" t="s">
        <v>246</v>
      </c>
      <c r="G81" s="61" t="s">
        <v>4</v>
      </c>
      <c r="H81" s="62" t="n">
        <f aca="false">Saida!H290</f>
        <v>-6</v>
      </c>
      <c r="I81" s="62" t="n">
        <v>0</v>
      </c>
      <c r="J81" s="62" t="n">
        <f aca="false">Saida!R290</f>
        <v>6</v>
      </c>
      <c r="K81" s="62" t="n">
        <f aca="false">I81-J81</f>
        <v>-6</v>
      </c>
      <c r="L81" s="61" t="s">
        <v>329</v>
      </c>
      <c r="M81" s="61" t="s">
        <v>330</v>
      </c>
      <c r="N81" s="61" t="s">
        <v>331</v>
      </c>
      <c r="O81" s="61" t="s">
        <v>250</v>
      </c>
    </row>
    <row r="82" customFormat="false" ht="15" hidden="false" customHeight="false" outlineLevel="0" collapsed="false">
      <c r="A82" s="60" t="n">
        <v>46277</v>
      </c>
      <c r="B82" s="61" t="s">
        <v>13</v>
      </c>
      <c r="C82" s="61" t="s">
        <v>81</v>
      </c>
      <c r="D82" s="61" t="s">
        <v>145</v>
      </c>
      <c r="E82" s="61" t="s">
        <v>144</v>
      </c>
      <c r="F82" s="61" t="s">
        <v>246</v>
      </c>
      <c r="G82" s="61" t="s">
        <v>4</v>
      </c>
      <c r="H82" s="62" t="n">
        <f aca="false">Saida!H291</f>
        <v>-18</v>
      </c>
      <c r="I82" s="62" t="n">
        <v>0</v>
      </c>
      <c r="J82" s="62" t="n">
        <f aca="false">Saida!R291</f>
        <v>18</v>
      </c>
      <c r="K82" s="62" t="n">
        <f aca="false">I82-J82</f>
        <v>-18</v>
      </c>
      <c r="L82" s="61" t="s">
        <v>326</v>
      </c>
      <c r="M82" s="61" t="s">
        <v>327</v>
      </c>
      <c r="N82" s="61" t="s">
        <v>328</v>
      </c>
      <c r="O82" s="61" t="s">
        <v>250</v>
      </c>
    </row>
    <row r="83" customFormat="false" ht="15" hidden="false" customHeight="false" outlineLevel="0" collapsed="false">
      <c r="A83" s="60" t="n">
        <v>46277</v>
      </c>
      <c r="B83" s="61" t="s">
        <v>13</v>
      </c>
      <c r="C83" s="61" t="s">
        <v>110</v>
      </c>
      <c r="D83" s="61" t="s">
        <v>177</v>
      </c>
      <c r="E83" s="61" t="s">
        <v>119</v>
      </c>
      <c r="F83" s="61" t="s">
        <v>246</v>
      </c>
      <c r="G83" s="61" t="s">
        <v>4</v>
      </c>
      <c r="H83" s="62" t="n">
        <f aca="false">Saida!H350</f>
        <v>-20.1</v>
      </c>
      <c r="I83" s="62" t="n">
        <v>0</v>
      </c>
      <c r="J83" s="62" t="n">
        <f aca="false">Saida!R350</f>
        <v>20.1</v>
      </c>
      <c r="K83" s="62" t="n">
        <f aca="false">I83-J83</f>
        <v>-20.1</v>
      </c>
      <c r="L83" s="61" t="s">
        <v>332</v>
      </c>
      <c r="M83" s="61" t="s">
        <v>333</v>
      </c>
      <c r="N83" s="61" t="s">
        <v>334</v>
      </c>
      <c r="O83" s="61" t="s">
        <v>250</v>
      </c>
    </row>
    <row r="84" customFormat="false" ht="15" hidden="false" customHeight="false" outlineLevel="0" collapsed="false">
      <c r="A84" s="60" t="n">
        <v>46277</v>
      </c>
      <c r="B84" s="61" t="s">
        <v>13</v>
      </c>
      <c r="C84" s="61" t="s">
        <v>110</v>
      </c>
      <c r="D84" s="61" t="s">
        <v>177</v>
      </c>
      <c r="E84" s="61" t="s">
        <v>119</v>
      </c>
      <c r="F84" s="61" t="s">
        <v>246</v>
      </c>
      <c r="G84" s="61" t="s">
        <v>4</v>
      </c>
      <c r="H84" s="62" t="n">
        <f aca="false">Saida!H351</f>
        <v>-20.1</v>
      </c>
      <c r="I84" s="62" t="n">
        <v>0</v>
      </c>
      <c r="J84" s="62" t="n">
        <f aca="false">Saida!R351</f>
        <v>20.1</v>
      </c>
      <c r="K84" s="62" t="n">
        <f aca="false">I84-J84</f>
        <v>-20.1</v>
      </c>
      <c r="L84" s="61" t="s">
        <v>320</v>
      </c>
      <c r="M84" s="61" t="s">
        <v>321</v>
      </c>
      <c r="N84" s="61" t="s">
        <v>322</v>
      </c>
      <c r="O84" s="61" t="s">
        <v>250</v>
      </c>
    </row>
    <row r="85" customFormat="false" ht="15" hidden="false" customHeight="false" outlineLevel="0" collapsed="false">
      <c r="A85" s="60" t="n">
        <v>46277</v>
      </c>
      <c r="B85" s="61" t="s">
        <v>13</v>
      </c>
      <c r="C85" s="61" t="s">
        <v>157</v>
      </c>
      <c r="D85" s="61" t="s">
        <v>158</v>
      </c>
      <c r="E85" s="61" t="s">
        <v>119</v>
      </c>
      <c r="F85" s="61" t="s">
        <v>246</v>
      </c>
      <c r="G85" s="61" t="s">
        <v>4</v>
      </c>
      <c r="H85" s="62" t="n">
        <f aca="false">Saida!H401</f>
        <v>-20.1</v>
      </c>
      <c r="I85" s="62" t="n">
        <v>0</v>
      </c>
      <c r="J85" s="62" t="n">
        <f aca="false">Saida!R401</f>
        <v>20.1</v>
      </c>
      <c r="K85" s="62" t="n">
        <f aca="false">I85-J85</f>
        <v>-20.1</v>
      </c>
      <c r="L85" s="61" t="s">
        <v>320</v>
      </c>
      <c r="M85" s="61" t="s">
        <v>321</v>
      </c>
      <c r="N85" s="61" t="s">
        <v>322</v>
      </c>
      <c r="O85" s="61" t="s">
        <v>250</v>
      </c>
    </row>
    <row r="86" customFormat="false" ht="15" hidden="false" customHeight="false" outlineLevel="0" collapsed="false">
      <c r="A86" s="60" t="n">
        <v>46278</v>
      </c>
      <c r="B86" s="61" t="s">
        <v>13</v>
      </c>
      <c r="C86" s="61" t="s">
        <v>23</v>
      </c>
      <c r="D86" s="61" t="s">
        <v>24</v>
      </c>
      <c r="E86" s="61" t="s">
        <v>141</v>
      </c>
      <c r="F86" s="61" t="s">
        <v>246</v>
      </c>
      <c r="G86" s="61" t="s">
        <v>4</v>
      </c>
      <c r="H86" s="62" t="n">
        <f aca="false">Saida!H76</f>
        <v>-8.4</v>
      </c>
      <c r="I86" s="62" t="n">
        <v>0</v>
      </c>
      <c r="J86" s="62" t="n">
        <f aca="false">Saida!R76</f>
        <v>8.4</v>
      </c>
      <c r="K86" s="62" t="n">
        <f aca="false">I86-J86</f>
        <v>-8.4</v>
      </c>
      <c r="L86" s="61" t="s">
        <v>335</v>
      </c>
      <c r="M86" s="61" t="s">
        <v>336</v>
      </c>
      <c r="N86" s="61" t="s">
        <v>337</v>
      </c>
      <c r="O86" s="61" t="s">
        <v>338</v>
      </c>
    </row>
    <row r="87" customFormat="false" ht="15" hidden="false" customHeight="false" outlineLevel="0" collapsed="false">
      <c r="A87" s="60" t="n">
        <v>46278</v>
      </c>
      <c r="B87" s="61" t="s">
        <v>13</v>
      </c>
      <c r="C87" s="61" t="s">
        <v>23</v>
      </c>
      <c r="D87" s="61" t="s">
        <v>24</v>
      </c>
      <c r="E87" s="61" t="s">
        <v>141</v>
      </c>
      <c r="F87" s="61" t="s">
        <v>246</v>
      </c>
      <c r="G87" s="61" t="s">
        <v>4</v>
      </c>
      <c r="H87" s="62" t="n">
        <f aca="false">Saida!H77</f>
        <v>-2.8</v>
      </c>
      <c r="I87" s="62" t="n">
        <v>0</v>
      </c>
      <c r="J87" s="62" t="n">
        <f aca="false">Saida!R77</f>
        <v>2.8</v>
      </c>
      <c r="K87" s="62" t="n">
        <f aca="false">I87-J87</f>
        <v>-2.8</v>
      </c>
      <c r="L87" s="61" t="s">
        <v>339</v>
      </c>
      <c r="M87" s="61" t="s">
        <v>340</v>
      </c>
      <c r="N87" s="61" t="s">
        <v>341</v>
      </c>
      <c r="O87" s="61" t="s">
        <v>338</v>
      </c>
    </row>
    <row r="88" customFormat="false" ht="15" hidden="false" customHeight="false" outlineLevel="0" collapsed="false">
      <c r="A88" s="60" t="n">
        <v>46278</v>
      </c>
      <c r="B88" s="61" t="s">
        <v>13</v>
      </c>
      <c r="C88" s="61" t="s">
        <v>23</v>
      </c>
      <c r="D88" s="61" t="s">
        <v>24</v>
      </c>
      <c r="E88" s="61" t="s">
        <v>141</v>
      </c>
      <c r="F88" s="61" t="s">
        <v>246</v>
      </c>
      <c r="G88" s="61" t="s">
        <v>4</v>
      </c>
      <c r="H88" s="62" t="n">
        <f aca="false">Saida!H78</f>
        <v>-11.2</v>
      </c>
      <c r="I88" s="62" t="n">
        <v>0</v>
      </c>
      <c r="J88" s="62" t="n">
        <f aca="false">Saida!R78</f>
        <v>11.2</v>
      </c>
      <c r="K88" s="62" t="n">
        <f aca="false">I88-J88</f>
        <v>-11.2</v>
      </c>
      <c r="L88" s="61" t="s">
        <v>342</v>
      </c>
      <c r="M88" s="61" t="s">
        <v>343</v>
      </c>
      <c r="N88" s="61" t="s">
        <v>344</v>
      </c>
      <c r="O88" s="61" t="s">
        <v>250</v>
      </c>
    </row>
    <row r="89" customFormat="false" ht="15" hidden="false" customHeight="false" outlineLevel="0" collapsed="false">
      <c r="A89" s="60" t="n">
        <v>46278</v>
      </c>
      <c r="B89" s="61" t="s">
        <v>13</v>
      </c>
      <c r="C89" s="61" t="s">
        <v>23</v>
      </c>
      <c r="D89" s="61" t="s">
        <v>24</v>
      </c>
      <c r="E89" s="61" t="s">
        <v>141</v>
      </c>
      <c r="F89" s="61" t="s">
        <v>246</v>
      </c>
      <c r="G89" s="61" t="s">
        <v>4</v>
      </c>
      <c r="H89" s="62" t="n">
        <f aca="false">Saida!H79</f>
        <v>-14</v>
      </c>
      <c r="I89" s="62" t="n">
        <v>0</v>
      </c>
      <c r="J89" s="62" t="n">
        <f aca="false">Saida!R79</f>
        <v>14</v>
      </c>
      <c r="K89" s="62" t="n">
        <f aca="false">I89-J89</f>
        <v>-14</v>
      </c>
      <c r="L89" s="61" t="s">
        <v>345</v>
      </c>
      <c r="M89" s="61" t="s">
        <v>343</v>
      </c>
      <c r="N89" s="61" t="s">
        <v>344</v>
      </c>
      <c r="O89" s="61" t="s">
        <v>250</v>
      </c>
    </row>
    <row r="90" customFormat="false" ht="15" hidden="false" customHeight="false" outlineLevel="0" collapsed="false">
      <c r="A90" s="60" t="n">
        <v>46278</v>
      </c>
      <c r="B90" s="61" t="s">
        <v>13</v>
      </c>
      <c r="C90" s="61" t="s">
        <v>41</v>
      </c>
      <c r="D90" s="61" t="s">
        <v>62</v>
      </c>
      <c r="E90" s="61" t="s">
        <v>141</v>
      </c>
      <c r="F90" s="61" t="s">
        <v>246</v>
      </c>
      <c r="G90" s="61" t="s">
        <v>4</v>
      </c>
      <c r="H90" s="62" t="n">
        <f aca="false">Saida!H167</f>
        <v>-19.6</v>
      </c>
      <c r="I90" s="62" t="n">
        <v>0</v>
      </c>
      <c r="J90" s="62" t="n">
        <f aca="false">Saida!R167</f>
        <v>19.6</v>
      </c>
      <c r="K90" s="62" t="n">
        <f aca="false">I90-J90</f>
        <v>-19.6</v>
      </c>
      <c r="L90" s="61" t="s">
        <v>345</v>
      </c>
      <c r="M90" s="61" t="s">
        <v>343</v>
      </c>
      <c r="N90" s="61" t="s">
        <v>344</v>
      </c>
      <c r="O90" s="61" t="s">
        <v>250</v>
      </c>
    </row>
    <row r="91" customFormat="false" ht="15" hidden="false" customHeight="false" outlineLevel="0" collapsed="false">
      <c r="A91" s="60" t="n">
        <v>46278</v>
      </c>
      <c r="B91" s="61" t="s">
        <v>13</v>
      </c>
      <c r="C91" s="61" t="s">
        <v>41</v>
      </c>
      <c r="D91" s="61" t="s">
        <v>62</v>
      </c>
      <c r="E91" s="61" t="s">
        <v>141</v>
      </c>
      <c r="F91" s="61" t="s">
        <v>246</v>
      </c>
      <c r="G91" s="61" t="s">
        <v>4</v>
      </c>
      <c r="H91" s="62" t="n">
        <f aca="false">Saida!H168</f>
        <v>-28</v>
      </c>
      <c r="I91" s="62" t="n">
        <v>0</v>
      </c>
      <c r="J91" s="62" t="n">
        <f aca="false">Saida!R168</f>
        <v>28</v>
      </c>
      <c r="K91" s="62" t="n">
        <f aca="false">I91-J91</f>
        <v>-28</v>
      </c>
      <c r="L91" s="61" t="s">
        <v>342</v>
      </c>
      <c r="M91" s="61" t="s">
        <v>343</v>
      </c>
      <c r="N91" s="61" t="s">
        <v>344</v>
      </c>
      <c r="O91" s="61" t="s">
        <v>250</v>
      </c>
    </row>
    <row r="92" customFormat="false" ht="15" hidden="false" customHeight="false" outlineLevel="0" collapsed="false">
      <c r="A92" s="60" t="n">
        <v>46278</v>
      </c>
      <c r="B92" s="61" t="s">
        <v>13</v>
      </c>
      <c r="C92" s="61" t="s">
        <v>41</v>
      </c>
      <c r="D92" s="61" t="s">
        <v>62</v>
      </c>
      <c r="E92" s="61" t="s">
        <v>141</v>
      </c>
      <c r="F92" s="61" t="s">
        <v>246</v>
      </c>
      <c r="G92" s="61" t="s">
        <v>4</v>
      </c>
      <c r="H92" s="62" t="n">
        <f aca="false">Saida!H169</f>
        <v>-14</v>
      </c>
      <c r="I92" s="62" t="n">
        <v>0</v>
      </c>
      <c r="J92" s="62" t="n">
        <f aca="false">Saida!R169</f>
        <v>14</v>
      </c>
      <c r="K92" s="62" t="n">
        <f aca="false">I92-J92</f>
        <v>-14</v>
      </c>
      <c r="L92" s="61" t="s">
        <v>335</v>
      </c>
      <c r="M92" s="61" t="s">
        <v>336</v>
      </c>
      <c r="N92" s="61" t="s">
        <v>337</v>
      </c>
      <c r="O92" s="61" t="s">
        <v>338</v>
      </c>
    </row>
    <row r="93" customFormat="false" ht="15" hidden="false" customHeight="false" outlineLevel="0" collapsed="false">
      <c r="A93" s="60" t="n">
        <v>46278</v>
      </c>
      <c r="B93" s="61" t="s">
        <v>13</v>
      </c>
      <c r="C93" s="61" t="s">
        <v>41</v>
      </c>
      <c r="D93" s="61" t="s">
        <v>62</v>
      </c>
      <c r="E93" s="61" t="s">
        <v>141</v>
      </c>
      <c r="F93" s="61" t="s">
        <v>246</v>
      </c>
      <c r="G93" s="61" t="s">
        <v>4</v>
      </c>
      <c r="H93" s="62" t="n">
        <f aca="false">Saida!H170</f>
        <v>-64.4</v>
      </c>
      <c r="I93" s="62" t="n">
        <v>0</v>
      </c>
      <c r="J93" s="62" t="n">
        <f aca="false">Saida!R170</f>
        <v>64.4</v>
      </c>
      <c r="K93" s="62" t="n">
        <f aca="false">I93-J93</f>
        <v>-64.4</v>
      </c>
      <c r="L93" s="61" t="s">
        <v>346</v>
      </c>
      <c r="M93" s="61" t="s">
        <v>347</v>
      </c>
      <c r="N93" s="61" t="s">
        <v>348</v>
      </c>
      <c r="O93" s="61" t="s">
        <v>250</v>
      </c>
    </row>
    <row r="94" customFormat="false" ht="15" hidden="false" customHeight="false" outlineLevel="0" collapsed="false">
      <c r="A94" s="60" t="n">
        <v>46278</v>
      </c>
      <c r="B94" s="61" t="s">
        <v>13</v>
      </c>
      <c r="C94" s="61" t="s">
        <v>81</v>
      </c>
      <c r="D94" s="61" t="s">
        <v>145</v>
      </c>
      <c r="E94" s="61" t="s">
        <v>144</v>
      </c>
      <c r="F94" s="61" t="s">
        <v>246</v>
      </c>
      <c r="G94" s="61" t="s">
        <v>4</v>
      </c>
      <c r="H94" s="62" t="n">
        <f aca="false">Saida!H288</f>
        <v>-150</v>
      </c>
      <c r="I94" s="62" t="n">
        <v>0</v>
      </c>
      <c r="J94" s="62" t="n">
        <f aca="false">Saida!R288</f>
        <v>150</v>
      </c>
      <c r="K94" s="62" t="n">
        <f aca="false">I94-J94</f>
        <v>-150</v>
      </c>
      <c r="L94" s="61" t="s">
        <v>349</v>
      </c>
      <c r="M94" s="61" t="s">
        <v>350</v>
      </c>
      <c r="N94" s="61" t="s">
        <v>351</v>
      </c>
      <c r="O94" s="61" t="s">
        <v>250</v>
      </c>
    </row>
    <row r="95" customFormat="false" ht="15" hidden="false" customHeight="false" outlineLevel="0" collapsed="false">
      <c r="A95" s="60" t="n">
        <v>46278</v>
      </c>
      <c r="B95" s="61" t="s">
        <v>13</v>
      </c>
      <c r="C95" s="61" t="s">
        <v>81</v>
      </c>
      <c r="D95" s="61" t="s">
        <v>145</v>
      </c>
      <c r="E95" s="61" t="s">
        <v>144</v>
      </c>
      <c r="F95" s="61" t="s">
        <v>246</v>
      </c>
      <c r="G95" s="61" t="s">
        <v>4</v>
      </c>
      <c r="H95" s="62" t="n">
        <f aca="false">Saida!H289</f>
        <v>-18</v>
      </c>
      <c r="I95" s="62" t="n">
        <v>0</v>
      </c>
      <c r="J95" s="62" t="n">
        <f aca="false">Saida!R289</f>
        <v>18</v>
      </c>
      <c r="K95" s="62" t="n">
        <f aca="false">I95-J95</f>
        <v>-18</v>
      </c>
      <c r="L95" s="61" t="s">
        <v>335</v>
      </c>
      <c r="M95" s="61" t="s">
        <v>336</v>
      </c>
      <c r="N95" s="61" t="s">
        <v>337</v>
      </c>
      <c r="O95" s="61" t="s">
        <v>338</v>
      </c>
    </row>
    <row r="96" customFormat="false" ht="15" hidden="false" customHeight="false" outlineLevel="0" collapsed="false">
      <c r="A96" s="60" t="n">
        <v>46278</v>
      </c>
      <c r="B96" s="61" t="s">
        <v>13</v>
      </c>
      <c r="C96" s="61" t="s">
        <v>157</v>
      </c>
      <c r="D96" s="61" t="s">
        <v>158</v>
      </c>
      <c r="E96" s="61" t="s">
        <v>119</v>
      </c>
      <c r="F96" s="61" t="s">
        <v>246</v>
      </c>
      <c r="G96" s="61" t="s">
        <v>4</v>
      </c>
      <c r="H96" s="62" t="n">
        <f aca="false">Saida!H398</f>
        <v>-40.2</v>
      </c>
      <c r="I96" s="62" t="n">
        <v>0</v>
      </c>
      <c r="J96" s="62" t="n">
        <f aca="false">Saida!R398</f>
        <v>40.2</v>
      </c>
      <c r="K96" s="62" t="n">
        <f aca="false">I96-J96</f>
        <v>-40.2</v>
      </c>
      <c r="L96" s="61" t="s">
        <v>352</v>
      </c>
      <c r="M96" s="61" t="s">
        <v>353</v>
      </c>
      <c r="N96" s="61" t="s">
        <v>354</v>
      </c>
      <c r="O96" s="61" t="s">
        <v>338</v>
      </c>
    </row>
    <row r="97" customFormat="false" ht="15" hidden="false" customHeight="false" outlineLevel="0" collapsed="false">
      <c r="A97" s="60" t="n">
        <v>46278</v>
      </c>
      <c r="B97" s="61" t="s">
        <v>13</v>
      </c>
      <c r="C97" s="61" t="s">
        <v>157</v>
      </c>
      <c r="D97" s="61" t="s">
        <v>158</v>
      </c>
      <c r="E97" s="61" t="s">
        <v>119</v>
      </c>
      <c r="F97" s="61" t="s">
        <v>246</v>
      </c>
      <c r="G97" s="61" t="s">
        <v>4</v>
      </c>
      <c r="H97" s="62" t="n">
        <f aca="false">Saida!H399</f>
        <v>-20.1</v>
      </c>
      <c r="I97" s="62" t="n">
        <v>0</v>
      </c>
      <c r="J97" s="62" t="n">
        <f aca="false">Saida!R399</f>
        <v>20.1</v>
      </c>
      <c r="K97" s="62" t="n">
        <f aca="false">I97-J97</f>
        <v>-20.1</v>
      </c>
      <c r="L97" s="61" t="s">
        <v>355</v>
      </c>
      <c r="M97" s="61" t="s">
        <v>356</v>
      </c>
      <c r="N97" s="61" t="s">
        <v>357</v>
      </c>
      <c r="O97" s="61" t="s">
        <v>338</v>
      </c>
    </row>
    <row r="98" customFormat="false" ht="15" hidden="false" customHeight="false" outlineLevel="0" collapsed="false">
      <c r="A98" s="60" t="n">
        <v>46278</v>
      </c>
      <c r="B98" s="61" t="s">
        <v>13</v>
      </c>
      <c r="C98" s="61" t="s">
        <v>157</v>
      </c>
      <c r="D98" s="61" t="s">
        <v>158</v>
      </c>
      <c r="E98" s="61" t="s">
        <v>119</v>
      </c>
      <c r="F98" s="61" t="s">
        <v>246</v>
      </c>
      <c r="G98" s="61" t="s">
        <v>4</v>
      </c>
      <c r="H98" s="62" t="n">
        <f aca="false">Saida!H400</f>
        <v>-20.1</v>
      </c>
      <c r="I98" s="62" t="n">
        <v>0</v>
      </c>
      <c r="J98" s="62" t="n">
        <f aca="false">Saida!R400</f>
        <v>20.1</v>
      </c>
      <c r="K98" s="62" t="n">
        <f aca="false">I98-J98</f>
        <v>-20.1</v>
      </c>
      <c r="L98" s="61" t="s">
        <v>358</v>
      </c>
      <c r="M98" s="61" t="s">
        <v>359</v>
      </c>
      <c r="N98" s="61" t="s">
        <v>360</v>
      </c>
      <c r="O98" s="61" t="s">
        <v>338</v>
      </c>
    </row>
    <row r="99" customFormat="false" ht="15" hidden="false" customHeight="false" outlineLevel="0" collapsed="false">
      <c r="A99" s="60" t="n">
        <v>46279</v>
      </c>
      <c r="B99" s="61" t="s">
        <v>13</v>
      </c>
      <c r="C99" s="61" t="s">
        <v>23</v>
      </c>
      <c r="D99" s="61" t="s">
        <v>24</v>
      </c>
      <c r="E99" s="61" t="s">
        <v>141</v>
      </c>
      <c r="F99" s="61" t="s">
        <v>246</v>
      </c>
      <c r="G99" s="61" t="s">
        <v>4</v>
      </c>
      <c r="H99" s="62" t="n">
        <f aca="false">Saida!H74</f>
        <v>-2.8</v>
      </c>
      <c r="I99" s="62" t="n">
        <v>0</v>
      </c>
      <c r="J99" s="62" t="n">
        <f aca="false">Saida!R74</f>
        <v>2.8</v>
      </c>
      <c r="K99" s="62" t="n">
        <f aca="false">I99-J99</f>
        <v>-2.8</v>
      </c>
      <c r="L99" s="61" t="s">
        <v>361</v>
      </c>
      <c r="M99" s="61" t="s">
        <v>362</v>
      </c>
      <c r="N99" s="61" t="s">
        <v>363</v>
      </c>
      <c r="O99" s="61" t="s">
        <v>275</v>
      </c>
    </row>
    <row r="100" customFormat="false" ht="15" hidden="false" customHeight="false" outlineLevel="0" collapsed="false">
      <c r="A100" s="60" t="n">
        <v>46279</v>
      </c>
      <c r="B100" s="61" t="s">
        <v>13</v>
      </c>
      <c r="C100" s="61" t="s">
        <v>23</v>
      </c>
      <c r="D100" s="61" t="s">
        <v>24</v>
      </c>
      <c r="E100" s="61" t="s">
        <v>141</v>
      </c>
      <c r="F100" s="61" t="s">
        <v>246</v>
      </c>
      <c r="G100" s="61" t="s">
        <v>4</v>
      </c>
      <c r="H100" s="62" t="n">
        <f aca="false">Saida!H75</f>
        <v>-2.8</v>
      </c>
      <c r="I100" s="62" t="n">
        <v>0</v>
      </c>
      <c r="J100" s="62" t="n">
        <f aca="false">Saida!R75</f>
        <v>2.8</v>
      </c>
      <c r="K100" s="62" t="n">
        <f aca="false">I100-J100</f>
        <v>-2.8</v>
      </c>
      <c r="L100" s="61" t="s">
        <v>364</v>
      </c>
      <c r="M100" s="61" t="s">
        <v>365</v>
      </c>
      <c r="N100" s="61" t="s">
        <v>366</v>
      </c>
      <c r="O100" s="61" t="s">
        <v>269</v>
      </c>
    </row>
    <row r="101" customFormat="false" ht="15" hidden="false" customHeight="false" outlineLevel="0" collapsed="false">
      <c r="A101" s="60" t="n">
        <v>46279</v>
      </c>
      <c r="B101" s="61" t="s">
        <v>13</v>
      </c>
      <c r="C101" s="61" t="s">
        <v>41</v>
      </c>
      <c r="D101" s="61" t="s">
        <v>62</v>
      </c>
      <c r="E101" s="61" t="s">
        <v>141</v>
      </c>
      <c r="F101" s="61" t="s">
        <v>246</v>
      </c>
      <c r="G101" s="61" t="s">
        <v>4</v>
      </c>
      <c r="H101" s="62" t="n">
        <f aca="false">Saida!H164</f>
        <v>-2.8</v>
      </c>
      <c r="I101" s="62" t="n">
        <v>0</v>
      </c>
      <c r="J101" s="62" t="n">
        <f aca="false">Saida!R164</f>
        <v>2.8</v>
      </c>
      <c r="K101" s="62" t="n">
        <f aca="false">I101-J101</f>
        <v>-2.8</v>
      </c>
      <c r="L101" s="61" t="s">
        <v>361</v>
      </c>
      <c r="M101" s="61" t="s">
        <v>362</v>
      </c>
      <c r="N101" s="61" t="s">
        <v>363</v>
      </c>
      <c r="O101" s="61" t="s">
        <v>275</v>
      </c>
    </row>
    <row r="102" customFormat="false" ht="15" hidden="false" customHeight="false" outlineLevel="0" collapsed="false">
      <c r="A102" s="60" t="n">
        <v>46279</v>
      </c>
      <c r="B102" s="61" t="s">
        <v>13</v>
      </c>
      <c r="C102" s="61" t="s">
        <v>41</v>
      </c>
      <c r="D102" s="61" t="s">
        <v>62</v>
      </c>
      <c r="E102" s="61" t="s">
        <v>141</v>
      </c>
      <c r="F102" s="61" t="s">
        <v>246</v>
      </c>
      <c r="G102" s="61" t="s">
        <v>4</v>
      </c>
      <c r="H102" s="62" t="n">
        <f aca="false">Saida!H165</f>
        <v>-2.8</v>
      </c>
      <c r="I102" s="62" t="n">
        <v>0</v>
      </c>
      <c r="J102" s="62" t="n">
        <f aca="false">Saida!R165</f>
        <v>2.8</v>
      </c>
      <c r="K102" s="62" t="n">
        <f aca="false">I102-J102</f>
        <v>-2.8</v>
      </c>
      <c r="L102" s="61" t="s">
        <v>367</v>
      </c>
      <c r="M102" s="61" t="s">
        <v>368</v>
      </c>
      <c r="N102" s="61" t="s">
        <v>369</v>
      </c>
      <c r="O102" s="61" t="s">
        <v>275</v>
      </c>
    </row>
    <row r="103" customFormat="false" ht="15" hidden="false" customHeight="false" outlineLevel="0" collapsed="false">
      <c r="A103" s="60" t="n">
        <v>46279</v>
      </c>
      <c r="B103" s="61" t="s">
        <v>13</v>
      </c>
      <c r="C103" s="61" t="s">
        <v>41</v>
      </c>
      <c r="D103" s="61" t="s">
        <v>62</v>
      </c>
      <c r="E103" s="61" t="s">
        <v>141</v>
      </c>
      <c r="F103" s="61" t="s">
        <v>246</v>
      </c>
      <c r="G103" s="61" t="s">
        <v>4</v>
      </c>
      <c r="H103" s="62" t="n">
        <f aca="false">Saida!H166</f>
        <v>-5.6</v>
      </c>
      <c r="I103" s="62" t="n">
        <v>0</v>
      </c>
      <c r="J103" s="62" t="n">
        <f aca="false">Saida!R166</f>
        <v>5.6</v>
      </c>
      <c r="K103" s="62" t="n">
        <f aca="false">I103-J103</f>
        <v>-5.6</v>
      </c>
      <c r="L103" s="61" t="s">
        <v>370</v>
      </c>
      <c r="M103" s="61" t="s">
        <v>371</v>
      </c>
      <c r="N103" s="61" t="s">
        <v>372</v>
      </c>
      <c r="O103" s="61" t="s">
        <v>275</v>
      </c>
    </row>
    <row r="104" customFormat="false" ht="15" hidden="false" customHeight="false" outlineLevel="0" collapsed="false">
      <c r="A104" s="60" t="n">
        <v>46279</v>
      </c>
      <c r="B104" s="61" t="s">
        <v>13</v>
      </c>
      <c r="C104" s="61" t="s">
        <v>61</v>
      </c>
      <c r="D104" s="61" t="s">
        <v>107</v>
      </c>
      <c r="E104" s="61" t="s">
        <v>149</v>
      </c>
      <c r="F104" s="61" t="s">
        <v>246</v>
      </c>
      <c r="G104" s="61" t="s">
        <v>4</v>
      </c>
      <c r="H104" s="62" t="n">
        <f aca="false">Saida!H235</f>
        <v>-6</v>
      </c>
      <c r="I104" s="62" t="n">
        <v>0</v>
      </c>
      <c r="J104" s="62" t="n">
        <f aca="false">Saida!R235</f>
        <v>6</v>
      </c>
      <c r="K104" s="62" t="n">
        <f aca="false">I104-J104</f>
        <v>-6</v>
      </c>
      <c r="L104" s="61" t="s">
        <v>373</v>
      </c>
      <c r="M104" s="61" t="s">
        <v>374</v>
      </c>
      <c r="N104" s="61" t="s">
        <v>375</v>
      </c>
      <c r="O104" s="61" t="s">
        <v>275</v>
      </c>
    </row>
    <row r="105" customFormat="false" ht="15" hidden="false" customHeight="false" outlineLevel="0" collapsed="false">
      <c r="A105" s="60" t="n">
        <v>46279</v>
      </c>
      <c r="B105" s="61" t="s">
        <v>13</v>
      </c>
      <c r="C105" s="61" t="s">
        <v>75</v>
      </c>
      <c r="D105" s="61" t="s">
        <v>143</v>
      </c>
      <c r="E105" s="61" t="s">
        <v>173</v>
      </c>
      <c r="F105" s="61" t="s">
        <v>246</v>
      </c>
      <c r="G105" s="61" t="s">
        <v>4</v>
      </c>
      <c r="H105" s="62" t="n">
        <f aca="false">Saida!H262</f>
        <v>-40</v>
      </c>
      <c r="I105" s="62" t="n">
        <v>0</v>
      </c>
      <c r="J105" s="62" t="n">
        <f aca="false">Saida!R262</f>
        <v>40</v>
      </c>
      <c r="K105" s="62" t="n">
        <f aca="false">I105-J105</f>
        <v>-40</v>
      </c>
      <c r="L105" s="61" t="s">
        <v>376</v>
      </c>
      <c r="M105" s="61" t="s">
        <v>377</v>
      </c>
      <c r="N105" s="61" t="s">
        <v>378</v>
      </c>
      <c r="O105" s="61" t="s">
        <v>297</v>
      </c>
    </row>
    <row r="106" customFormat="false" ht="15" hidden="false" customHeight="false" outlineLevel="0" collapsed="false">
      <c r="A106" s="60" t="n">
        <v>46279</v>
      </c>
      <c r="B106" s="61" t="s">
        <v>13</v>
      </c>
      <c r="C106" s="61" t="s">
        <v>75</v>
      </c>
      <c r="D106" s="61" t="s">
        <v>143</v>
      </c>
      <c r="E106" s="61" t="s">
        <v>173</v>
      </c>
      <c r="F106" s="61" t="s">
        <v>246</v>
      </c>
      <c r="G106" s="61" t="s">
        <v>4</v>
      </c>
      <c r="H106" s="62" t="n">
        <f aca="false">Saida!H263</f>
        <v>-4</v>
      </c>
      <c r="I106" s="62" t="n">
        <v>0</v>
      </c>
      <c r="J106" s="62" t="n">
        <f aca="false">Saida!R263</f>
        <v>4</v>
      </c>
      <c r="K106" s="62" t="n">
        <f aca="false">I106-J106</f>
        <v>-4</v>
      </c>
      <c r="L106" s="61" t="s">
        <v>361</v>
      </c>
      <c r="M106" s="61" t="s">
        <v>362</v>
      </c>
      <c r="N106" s="61" t="s">
        <v>363</v>
      </c>
      <c r="O106" s="61" t="s">
        <v>275</v>
      </c>
    </row>
    <row r="107" customFormat="false" ht="15" hidden="false" customHeight="false" outlineLevel="0" collapsed="false">
      <c r="A107" s="60" t="n">
        <v>46279</v>
      </c>
      <c r="B107" s="61" t="s">
        <v>13</v>
      </c>
      <c r="C107" s="61" t="s">
        <v>75</v>
      </c>
      <c r="D107" s="61" t="s">
        <v>143</v>
      </c>
      <c r="E107" s="61" t="s">
        <v>173</v>
      </c>
      <c r="F107" s="61" t="s">
        <v>246</v>
      </c>
      <c r="G107" s="61" t="s">
        <v>4</v>
      </c>
      <c r="H107" s="62" t="n">
        <f aca="false">Saida!H264</f>
        <v>-8</v>
      </c>
      <c r="I107" s="62" t="n">
        <v>0</v>
      </c>
      <c r="J107" s="62" t="n">
        <f aca="false">Saida!R264</f>
        <v>8</v>
      </c>
      <c r="K107" s="62" t="n">
        <f aca="false">I107-J107</f>
        <v>-8</v>
      </c>
      <c r="L107" s="61" t="s">
        <v>379</v>
      </c>
      <c r="M107" s="61" t="s">
        <v>380</v>
      </c>
      <c r="N107" s="61" t="s">
        <v>381</v>
      </c>
      <c r="O107" s="61" t="s">
        <v>250</v>
      </c>
    </row>
    <row r="108" customFormat="false" ht="15" hidden="false" customHeight="false" outlineLevel="0" collapsed="false">
      <c r="A108" s="60" t="n">
        <v>46279</v>
      </c>
      <c r="B108" s="61" t="s">
        <v>13</v>
      </c>
      <c r="C108" s="61" t="s">
        <v>81</v>
      </c>
      <c r="D108" s="61" t="s">
        <v>145</v>
      </c>
      <c r="E108" s="61" t="s">
        <v>144</v>
      </c>
      <c r="F108" s="61" t="s">
        <v>246</v>
      </c>
      <c r="G108" s="61" t="s">
        <v>4</v>
      </c>
      <c r="H108" s="62" t="n">
        <f aca="false">Saida!H286</f>
        <v>-12</v>
      </c>
      <c r="I108" s="62" t="n">
        <v>0</v>
      </c>
      <c r="J108" s="62" t="n">
        <f aca="false">Saida!R286</f>
        <v>12</v>
      </c>
      <c r="K108" s="62" t="n">
        <f aca="false">I108-J108</f>
        <v>-12</v>
      </c>
      <c r="L108" s="61" t="s">
        <v>361</v>
      </c>
      <c r="M108" s="61" t="s">
        <v>362</v>
      </c>
      <c r="N108" s="61" t="s">
        <v>363</v>
      </c>
      <c r="O108" s="61" t="s">
        <v>275</v>
      </c>
    </row>
    <row r="109" customFormat="false" ht="15" hidden="false" customHeight="false" outlineLevel="0" collapsed="false">
      <c r="A109" s="60" t="n">
        <v>46279</v>
      </c>
      <c r="B109" s="61" t="s">
        <v>13</v>
      </c>
      <c r="C109" s="61" t="s">
        <v>81</v>
      </c>
      <c r="D109" s="61" t="s">
        <v>145</v>
      </c>
      <c r="E109" s="61" t="s">
        <v>144</v>
      </c>
      <c r="F109" s="61" t="s">
        <v>246</v>
      </c>
      <c r="G109" s="61" t="s">
        <v>4</v>
      </c>
      <c r="H109" s="62" t="n">
        <f aca="false">Saida!H287</f>
        <v>-30</v>
      </c>
      <c r="I109" s="62" t="n">
        <v>0</v>
      </c>
      <c r="J109" s="62" t="n">
        <f aca="false">Saida!R287</f>
        <v>30</v>
      </c>
      <c r="K109" s="62" t="n">
        <f aca="false">I109-J109</f>
        <v>-30</v>
      </c>
      <c r="L109" s="61" t="s">
        <v>382</v>
      </c>
      <c r="M109" s="61" t="s">
        <v>377</v>
      </c>
      <c r="N109" s="61" t="s">
        <v>378</v>
      </c>
      <c r="O109" s="61" t="s">
        <v>297</v>
      </c>
    </row>
    <row r="110" customFormat="false" ht="15" hidden="false" customHeight="false" outlineLevel="0" collapsed="false">
      <c r="A110" s="60" t="n">
        <v>46279</v>
      </c>
      <c r="B110" s="61" t="s">
        <v>13</v>
      </c>
      <c r="C110" s="61" t="s">
        <v>104</v>
      </c>
      <c r="D110" s="61" t="s">
        <v>166</v>
      </c>
      <c r="E110" s="61" t="s">
        <v>165</v>
      </c>
      <c r="F110" s="61" t="s">
        <v>246</v>
      </c>
      <c r="G110" s="61" t="s">
        <v>4</v>
      </c>
      <c r="H110" s="62" t="n">
        <f aca="false">Saida!H301</f>
        <v>-6</v>
      </c>
      <c r="I110" s="62" t="n">
        <v>0</v>
      </c>
      <c r="J110" s="62" t="n">
        <f aca="false">Saida!R301</f>
        <v>6</v>
      </c>
      <c r="K110" s="62" t="n">
        <f aca="false">I110-J110</f>
        <v>-6</v>
      </c>
      <c r="L110" s="61" t="s">
        <v>383</v>
      </c>
      <c r="M110" s="61" t="s">
        <v>384</v>
      </c>
      <c r="N110" s="61" t="s">
        <v>385</v>
      </c>
      <c r="O110" s="61" t="s">
        <v>275</v>
      </c>
    </row>
    <row r="111" customFormat="false" ht="15" hidden="false" customHeight="false" outlineLevel="0" collapsed="false">
      <c r="A111" s="60" t="n">
        <v>46279</v>
      </c>
      <c r="B111" s="61" t="s">
        <v>13</v>
      </c>
      <c r="C111" s="61" t="s">
        <v>157</v>
      </c>
      <c r="D111" s="61" t="s">
        <v>158</v>
      </c>
      <c r="E111" s="61" t="s">
        <v>119</v>
      </c>
      <c r="F111" s="61" t="s">
        <v>246</v>
      </c>
      <c r="G111" s="61" t="s">
        <v>4</v>
      </c>
      <c r="H111" s="62" t="n">
        <f aca="false">Saida!H397</f>
        <v>-40.2</v>
      </c>
      <c r="I111" s="62" t="n">
        <v>0</v>
      </c>
      <c r="J111" s="62" t="n">
        <f aca="false">Saida!R397</f>
        <v>40.2</v>
      </c>
      <c r="K111" s="62" t="n">
        <f aca="false">I111-J111</f>
        <v>-40.2</v>
      </c>
      <c r="L111" s="61" t="s">
        <v>386</v>
      </c>
      <c r="M111" s="61" t="s">
        <v>387</v>
      </c>
      <c r="N111" s="61" t="s">
        <v>388</v>
      </c>
      <c r="O111" s="61" t="s">
        <v>297</v>
      </c>
    </row>
    <row r="112" customFormat="false" ht="15" hidden="false" customHeight="false" outlineLevel="0" collapsed="false">
      <c r="A112" s="60" t="n">
        <v>46280</v>
      </c>
      <c r="B112" s="61" t="s">
        <v>13</v>
      </c>
      <c r="C112" s="61" t="s">
        <v>7</v>
      </c>
      <c r="D112" s="61" t="s">
        <v>11</v>
      </c>
      <c r="E112" s="61" t="s">
        <v>119</v>
      </c>
      <c r="F112" s="61" t="s">
        <v>254</v>
      </c>
      <c r="G112" s="61" t="s">
        <v>4</v>
      </c>
      <c r="H112" s="62" t="n">
        <f aca="false">Saida!H26</f>
        <v>-20.1</v>
      </c>
      <c r="I112" s="62" t="n">
        <v>0</v>
      </c>
      <c r="J112" s="62" t="n">
        <f aca="false">Saida!R26</f>
        <v>20.1</v>
      </c>
      <c r="K112" s="62" t="n">
        <f aca="false">I112-J112</f>
        <v>-20.1</v>
      </c>
      <c r="L112" s="61" t="s">
        <v>389</v>
      </c>
      <c r="M112" s="61" t="s">
        <v>390</v>
      </c>
      <c r="N112" s="61" t="s">
        <v>391</v>
      </c>
      <c r="O112" s="61" t="s">
        <v>258</v>
      </c>
    </row>
    <row r="113" customFormat="false" ht="15" hidden="false" customHeight="false" outlineLevel="0" collapsed="false">
      <c r="A113" s="60" t="n">
        <v>46280</v>
      </c>
      <c r="B113" s="61" t="s">
        <v>13</v>
      </c>
      <c r="C113" s="61" t="s">
        <v>7</v>
      </c>
      <c r="D113" s="61" t="s">
        <v>11</v>
      </c>
      <c r="E113" s="61" t="s">
        <v>119</v>
      </c>
      <c r="F113" s="61" t="s">
        <v>254</v>
      </c>
      <c r="G113" s="61" t="s">
        <v>4</v>
      </c>
      <c r="H113" s="62" t="n">
        <f aca="false">Saida!H27</f>
        <v>-40.2</v>
      </c>
      <c r="I113" s="62" t="n">
        <v>0</v>
      </c>
      <c r="J113" s="62" t="n">
        <f aca="false">Saida!R27</f>
        <v>40.2</v>
      </c>
      <c r="K113" s="62" t="n">
        <f aca="false">I113-J113</f>
        <v>-40.2</v>
      </c>
      <c r="L113" s="61" t="s">
        <v>392</v>
      </c>
      <c r="M113" s="61" t="s">
        <v>393</v>
      </c>
      <c r="N113" s="61" t="s">
        <v>394</v>
      </c>
      <c r="O113" s="61" t="s">
        <v>258</v>
      </c>
    </row>
    <row r="114" customFormat="false" ht="15" hidden="false" customHeight="false" outlineLevel="0" collapsed="false">
      <c r="A114" s="60" t="n">
        <v>46280</v>
      </c>
      <c r="B114" s="61" t="s">
        <v>13</v>
      </c>
      <c r="C114" s="61" t="s">
        <v>7</v>
      </c>
      <c r="D114" s="61" t="s">
        <v>11</v>
      </c>
      <c r="E114" s="61" t="s">
        <v>119</v>
      </c>
      <c r="F114" s="61" t="s">
        <v>254</v>
      </c>
      <c r="G114" s="61" t="s">
        <v>4</v>
      </c>
      <c r="H114" s="62" t="n">
        <f aca="false">Saida!H28</f>
        <v>-20.1</v>
      </c>
      <c r="I114" s="62" t="n">
        <v>0</v>
      </c>
      <c r="J114" s="62" t="n">
        <f aca="false">Saida!R28</f>
        <v>20.1</v>
      </c>
      <c r="K114" s="62" t="n">
        <f aca="false">I114-J114</f>
        <v>-20.1</v>
      </c>
      <c r="L114" s="61" t="s">
        <v>395</v>
      </c>
      <c r="M114" s="61" t="s">
        <v>256</v>
      </c>
      <c r="N114" s="61" t="s">
        <v>257</v>
      </c>
      <c r="O114" s="61" t="s">
        <v>258</v>
      </c>
    </row>
    <row r="115" customFormat="false" ht="15" hidden="false" customHeight="false" outlineLevel="0" collapsed="false">
      <c r="A115" s="60" t="n">
        <v>46280</v>
      </c>
      <c r="B115" s="61" t="s">
        <v>13</v>
      </c>
      <c r="C115" s="61" t="s">
        <v>23</v>
      </c>
      <c r="D115" s="61" t="s">
        <v>24</v>
      </c>
      <c r="E115" s="61" t="s">
        <v>141</v>
      </c>
      <c r="F115" s="61" t="s">
        <v>246</v>
      </c>
      <c r="G115" s="61" t="s">
        <v>4</v>
      </c>
      <c r="H115" s="62" t="n">
        <f aca="false">Saida!H73</f>
        <v>-2.8</v>
      </c>
      <c r="I115" s="62" t="n">
        <v>0</v>
      </c>
      <c r="J115" s="62" t="n">
        <f aca="false">Saida!R73</f>
        <v>2.8</v>
      </c>
      <c r="K115" s="62" t="n">
        <f aca="false">I115-J115</f>
        <v>-2.8</v>
      </c>
      <c r="L115" s="61" t="s">
        <v>396</v>
      </c>
      <c r="M115" s="61" t="s">
        <v>397</v>
      </c>
      <c r="N115" s="61" t="s">
        <v>398</v>
      </c>
      <c r="O115" s="61" t="s">
        <v>275</v>
      </c>
    </row>
    <row r="116" customFormat="false" ht="15" hidden="false" customHeight="false" outlineLevel="0" collapsed="false">
      <c r="A116" s="60" t="n">
        <v>46280</v>
      </c>
      <c r="B116" s="61" t="s">
        <v>13</v>
      </c>
      <c r="C116" s="61" t="s">
        <v>53</v>
      </c>
      <c r="D116" s="61" t="s">
        <v>78</v>
      </c>
      <c r="E116" s="61" t="s">
        <v>137</v>
      </c>
      <c r="F116" s="61" t="s">
        <v>254</v>
      </c>
      <c r="G116" s="61" t="s">
        <v>9</v>
      </c>
      <c r="H116" s="62" t="n">
        <f aca="false">Saida!H229</f>
        <v>-15</v>
      </c>
      <c r="I116" s="62" t="n">
        <v>0</v>
      </c>
      <c r="J116" s="62" t="n">
        <f aca="false">Saida!R229</f>
        <v>15</v>
      </c>
      <c r="K116" s="62" t="n">
        <f aca="false">I116-J116</f>
        <v>-15</v>
      </c>
      <c r="L116" s="61" t="s">
        <v>395</v>
      </c>
      <c r="M116" s="61" t="s">
        <v>256</v>
      </c>
      <c r="N116" s="61" t="s">
        <v>257</v>
      </c>
      <c r="O116" s="61" t="s">
        <v>258</v>
      </c>
    </row>
    <row r="117" customFormat="false" ht="15" hidden="false" customHeight="false" outlineLevel="0" collapsed="false">
      <c r="A117" s="60" t="n">
        <v>46280</v>
      </c>
      <c r="B117" s="61" t="s">
        <v>13</v>
      </c>
      <c r="C117" s="61" t="s">
        <v>53</v>
      </c>
      <c r="D117" s="61" t="s">
        <v>78</v>
      </c>
      <c r="E117" s="61" t="s">
        <v>137</v>
      </c>
      <c r="F117" s="61" t="s">
        <v>254</v>
      </c>
      <c r="G117" s="61" t="s">
        <v>9</v>
      </c>
      <c r="H117" s="62" t="n">
        <f aca="false">Saida!H230</f>
        <v>-15</v>
      </c>
      <c r="I117" s="62" t="n">
        <v>0</v>
      </c>
      <c r="J117" s="62" t="n">
        <f aca="false">Saida!R230</f>
        <v>15</v>
      </c>
      <c r="K117" s="62" t="n">
        <f aca="false">I117-J117</f>
        <v>-15</v>
      </c>
      <c r="L117" s="61" t="s">
        <v>399</v>
      </c>
      <c r="M117" s="61" t="s">
        <v>400</v>
      </c>
      <c r="N117" s="61" t="s">
        <v>401</v>
      </c>
      <c r="O117" s="61" t="s">
        <v>258</v>
      </c>
    </row>
    <row r="118" customFormat="false" ht="15" hidden="false" customHeight="false" outlineLevel="0" collapsed="false">
      <c r="A118" s="60" t="n">
        <v>46280</v>
      </c>
      <c r="B118" s="61" t="str">
        <f aca="false">Entrada!K143</f>
        <v>Recebido no 2008</v>
      </c>
      <c r="C118" s="61" t="s">
        <v>67</v>
      </c>
      <c r="D118" s="61" t="s">
        <v>118</v>
      </c>
      <c r="E118" s="61"/>
      <c r="F118" s="61" t="s">
        <v>251</v>
      </c>
      <c r="G118" s="61" t="s">
        <v>4</v>
      </c>
      <c r="H118" s="62" t="n">
        <f aca="false">Entrada!G143</f>
        <v>1280</v>
      </c>
      <c r="I118" s="62" t="n">
        <f aca="false">Entrada!L143</f>
        <v>0</v>
      </c>
      <c r="J118" s="62" t="n">
        <v>0</v>
      </c>
      <c r="K118" s="62" t="n">
        <f aca="false">I118-J118</f>
        <v>0</v>
      </c>
      <c r="L118" s="61" t="s">
        <v>402</v>
      </c>
      <c r="M118" s="61"/>
      <c r="N118" s="61"/>
      <c r="O118" s="61"/>
    </row>
    <row r="119" customFormat="false" ht="15" hidden="false" customHeight="false" outlineLevel="0" collapsed="false">
      <c r="A119" s="60" t="n">
        <v>46280</v>
      </c>
      <c r="B119" s="61" t="str">
        <f aca="false">Entrada!K148</f>
        <v>Recebido no 2008</v>
      </c>
      <c r="C119" s="61" t="s">
        <v>73</v>
      </c>
      <c r="D119" s="61" t="s">
        <v>140</v>
      </c>
      <c r="E119" s="61"/>
      <c r="F119" s="61" t="s">
        <v>251</v>
      </c>
      <c r="G119" s="61" t="s">
        <v>4</v>
      </c>
      <c r="H119" s="62" t="n">
        <f aca="false">Entrada!G148</f>
        <v>640</v>
      </c>
      <c r="I119" s="62" t="n">
        <f aca="false">Entrada!L148</f>
        <v>0</v>
      </c>
      <c r="J119" s="62" t="n">
        <v>0</v>
      </c>
      <c r="K119" s="62" t="n">
        <f aca="false">I119-J119</f>
        <v>0</v>
      </c>
      <c r="L119" s="61" t="s">
        <v>402</v>
      </c>
      <c r="M119" s="61"/>
      <c r="N119" s="61"/>
      <c r="O119" s="61"/>
    </row>
    <row r="120" customFormat="false" ht="15" hidden="false" customHeight="false" outlineLevel="0" collapsed="false">
      <c r="A120" s="60" t="n">
        <v>46280</v>
      </c>
      <c r="B120" s="61" t="s">
        <v>13</v>
      </c>
      <c r="C120" s="61" t="s">
        <v>81</v>
      </c>
      <c r="D120" s="61" t="s">
        <v>145</v>
      </c>
      <c r="E120" s="61" t="s">
        <v>144</v>
      </c>
      <c r="F120" s="61" t="s">
        <v>254</v>
      </c>
      <c r="G120" s="61" t="s">
        <v>4</v>
      </c>
      <c r="H120" s="62" t="n">
        <f aca="false">Saida!H284</f>
        <v>-12</v>
      </c>
      <c r="I120" s="62" t="n">
        <v>0</v>
      </c>
      <c r="J120" s="62" t="n">
        <f aca="false">Saida!R284</f>
        <v>12</v>
      </c>
      <c r="K120" s="62" t="n">
        <f aca="false">I120-J120</f>
        <v>-12</v>
      </c>
      <c r="L120" s="61" t="s">
        <v>403</v>
      </c>
      <c r="M120" s="61" t="s">
        <v>404</v>
      </c>
      <c r="N120" s="61" t="s">
        <v>405</v>
      </c>
      <c r="O120" s="61" t="s">
        <v>258</v>
      </c>
    </row>
    <row r="121" customFormat="false" ht="15" hidden="false" customHeight="false" outlineLevel="0" collapsed="false">
      <c r="A121" s="60" t="n">
        <v>46280</v>
      </c>
      <c r="B121" s="61" t="s">
        <v>13</v>
      </c>
      <c r="C121" s="61" t="s">
        <v>81</v>
      </c>
      <c r="D121" s="61" t="s">
        <v>145</v>
      </c>
      <c r="E121" s="61" t="s">
        <v>144</v>
      </c>
      <c r="F121" s="61" t="s">
        <v>254</v>
      </c>
      <c r="G121" s="61" t="s">
        <v>4</v>
      </c>
      <c r="H121" s="62" t="n">
        <f aca="false">Saida!H285</f>
        <v>-36</v>
      </c>
      <c r="I121" s="62" t="n">
        <v>0</v>
      </c>
      <c r="J121" s="62" t="n">
        <f aca="false">Saida!R285</f>
        <v>36</v>
      </c>
      <c r="K121" s="62" t="n">
        <f aca="false">I121-J121</f>
        <v>-36</v>
      </c>
      <c r="L121" s="61" t="s">
        <v>399</v>
      </c>
      <c r="M121" s="61" t="s">
        <v>400</v>
      </c>
      <c r="N121" s="61" t="s">
        <v>401</v>
      </c>
      <c r="O121" s="61" t="s">
        <v>258</v>
      </c>
    </row>
    <row r="122" customFormat="false" ht="15" hidden="false" customHeight="false" outlineLevel="0" collapsed="false">
      <c r="A122" s="60" t="n">
        <v>46280</v>
      </c>
      <c r="B122" s="61" t="str">
        <f aca="false">Entrada!K155</f>
        <v>Recebido no 2008</v>
      </c>
      <c r="C122" s="61" t="s">
        <v>83</v>
      </c>
      <c r="D122" s="61" t="s">
        <v>161</v>
      </c>
      <c r="E122" s="61"/>
      <c r="F122" s="61" t="s">
        <v>251</v>
      </c>
      <c r="G122" s="61" t="s">
        <v>4</v>
      </c>
      <c r="H122" s="62" t="n">
        <f aca="false">Entrada!G155</f>
        <v>1300</v>
      </c>
      <c r="I122" s="62" t="n">
        <f aca="false">Entrada!L155</f>
        <v>0</v>
      </c>
      <c r="J122" s="62" t="n">
        <v>0</v>
      </c>
      <c r="K122" s="62" t="n">
        <f aca="false">I122-J122</f>
        <v>0</v>
      </c>
      <c r="L122" s="61" t="s">
        <v>402</v>
      </c>
      <c r="M122" s="61"/>
      <c r="N122" s="61"/>
      <c r="O122" s="61"/>
    </row>
    <row r="123" customFormat="false" ht="15" hidden="false" customHeight="false" outlineLevel="0" collapsed="false">
      <c r="A123" s="60" t="n">
        <v>46280</v>
      </c>
      <c r="B123" s="61" t="str">
        <f aca="false">Entrada!K154</f>
        <v>Recebido no 2008</v>
      </c>
      <c r="C123" s="61" t="s">
        <v>83</v>
      </c>
      <c r="D123" s="61" t="s">
        <v>164</v>
      </c>
      <c r="E123" s="61"/>
      <c r="F123" s="61" t="s">
        <v>251</v>
      </c>
      <c r="G123" s="61" t="s">
        <v>4</v>
      </c>
      <c r="H123" s="62" t="n">
        <f aca="false">Entrada!G154</f>
        <v>2900</v>
      </c>
      <c r="I123" s="62" t="n">
        <f aca="false">Entrada!L154</f>
        <v>0</v>
      </c>
      <c r="J123" s="62" t="n">
        <v>0</v>
      </c>
      <c r="K123" s="62" t="n">
        <f aca="false">I123-J123</f>
        <v>0</v>
      </c>
      <c r="L123" s="61" t="s">
        <v>402</v>
      </c>
      <c r="M123" s="61"/>
      <c r="N123" s="61"/>
      <c r="O123" s="61"/>
    </row>
    <row r="124" customFormat="false" ht="15" hidden="false" customHeight="false" outlineLevel="0" collapsed="false">
      <c r="A124" s="60" t="n">
        <v>46280</v>
      </c>
      <c r="B124" s="61" t="str">
        <f aca="false">Entrada!K158</f>
        <v>Recebido no 2008</v>
      </c>
      <c r="C124" s="61" t="s">
        <v>102</v>
      </c>
      <c r="D124" s="61" t="s">
        <v>179</v>
      </c>
      <c r="E124" s="61"/>
      <c r="F124" s="61" t="s">
        <v>251</v>
      </c>
      <c r="G124" s="61" t="s">
        <v>4</v>
      </c>
      <c r="H124" s="62" t="n">
        <f aca="false">Entrada!G158</f>
        <v>1200</v>
      </c>
      <c r="I124" s="62" t="n">
        <f aca="false">Entrada!L158</f>
        <v>0</v>
      </c>
      <c r="J124" s="62" t="n">
        <v>0</v>
      </c>
      <c r="K124" s="62" t="n">
        <f aca="false">I124-J124</f>
        <v>0</v>
      </c>
      <c r="L124" s="61" t="s">
        <v>402</v>
      </c>
      <c r="M124" s="61"/>
      <c r="N124" s="61"/>
      <c r="O124" s="61"/>
    </row>
    <row r="125" customFormat="false" ht="15" hidden="false" customHeight="false" outlineLevel="0" collapsed="false">
      <c r="A125" s="60" t="n">
        <v>46280</v>
      </c>
      <c r="B125" s="61" t="s">
        <v>13</v>
      </c>
      <c r="C125" s="61" t="s">
        <v>104</v>
      </c>
      <c r="D125" s="61" t="s">
        <v>166</v>
      </c>
      <c r="E125" s="61" t="s">
        <v>165</v>
      </c>
      <c r="F125" s="61" t="s">
        <v>254</v>
      </c>
      <c r="G125" s="61" t="s">
        <v>4</v>
      </c>
      <c r="H125" s="62" t="n">
        <f aca="false">Saida!H300</f>
        <v>-48</v>
      </c>
      <c r="I125" s="62" t="n">
        <v>0</v>
      </c>
      <c r="J125" s="62" t="n">
        <f aca="false">Saida!R300</f>
        <v>48</v>
      </c>
      <c r="K125" s="62" t="n">
        <f aca="false">I125-J125</f>
        <v>-48</v>
      </c>
      <c r="L125" s="61" t="s">
        <v>406</v>
      </c>
      <c r="M125" s="61" t="s">
        <v>407</v>
      </c>
      <c r="N125" s="61" t="s">
        <v>408</v>
      </c>
      <c r="O125" s="61" t="s">
        <v>258</v>
      </c>
    </row>
    <row r="126" customFormat="false" ht="15" hidden="false" customHeight="false" outlineLevel="0" collapsed="false">
      <c r="A126" s="60" t="n">
        <v>46280</v>
      </c>
      <c r="B126" s="61" t="s">
        <v>13</v>
      </c>
      <c r="C126" s="61" t="s">
        <v>110</v>
      </c>
      <c r="D126" s="61" t="s">
        <v>162</v>
      </c>
      <c r="E126" s="61" t="s">
        <v>119</v>
      </c>
      <c r="F126" s="61" t="s">
        <v>254</v>
      </c>
      <c r="G126" s="61" t="s">
        <v>4</v>
      </c>
      <c r="H126" s="62" t="n">
        <f aca="false">Saida!H349</f>
        <v>-20.1</v>
      </c>
      <c r="I126" s="62" t="n">
        <v>0</v>
      </c>
      <c r="J126" s="62" t="n">
        <f aca="false">Saida!R349</f>
        <v>20.1</v>
      </c>
      <c r="K126" s="62" t="n">
        <f aca="false">I126-J126</f>
        <v>-20.1</v>
      </c>
      <c r="L126" s="61" t="s">
        <v>403</v>
      </c>
      <c r="M126" s="61" t="s">
        <v>404</v>
      </c>
      <c r="N126" s="61" t="s">
        <v>405</v>
      </c>
      <c r="O126" s="61" t="s">
        <v>258</v>
      </c>
    </row>
    <row r="127" customFormat="false" ht="15" hidden="false" customHeight="false" outlineLevel="0" collapsed="false">
      <c r="A127" s="60" t="n">
        <v>46280</v>
      </c>
      <c r="B127" s="61" t="str">
        <f aca="false">Entrada!K192</f>
        <v>Recebido no 2008</v>
      </c>
      <c r="C127" s="61" t="s">
        <v>154</v>
      </c>
      <c r="D127" s="61" t="s">
        <v>214</v>
      </c>
      <c r="E127" s="61"/>
      <c r="F127" s="61" t="s">
        <v>251</v>
      </c>
      <c r="G127" s="61" t="s">
        <v>4</v>
      </c>
      <c r="H127" s="62" t="n">
        <f aca="false">Entrada!G192</f>
        <v>1920</v>
      </c>
      <c r="I127" s="62" t="n">
        <f aca="false">Entrada!L192</f>
        <v>0</v>
      </c>
      <c r="J127" s="62" t="n">
        <v>0</v>
      </c>
      <c r="K127" s="62" t="n">
        <f aca="false">I127-J127</f>
        <v>0</v>
      </c>
      <c r="L127" s="61" t="s">
        <v>402</v>
      </c>
      <c r="M127" s="61"/>
      <c r="N127" s="61"/>
      <c r="O127" s="61"/>
    </row>
    <row r="128" customFormat="false" ht="15" hidden="false" customHeight="false" outlineLevel="0" collapsed="false">
      <c r="A128" s="60" t="n">
        <v>46280</v>
      </c>
      <c r="B128" s="61" t="str">
        <f aca="false">Entrada!K193</f>
        <v>Recebido no 2008</v>
      </c>
      <c r="C128" s="61" t="s">
        <v>156</v>
      </c>
      <c r="D128" s="61" t="s">
        <v>216</v>
      </c>
      <c r="E128" s="61"/>
      <c r="F128" s="61" t="s">
        <v>251</v>
      </c>
      <c r="G128" s="61" t="s">
        <v>4</v>
      </c>
      <c r="H128" s="62" t="n">
        <f aca="false">Entrada!G193</f>
        <v>3840</v>
      </c>
      <c r="I128" s="62" t="n">
        <f aca="false">Entrada!L193</f>
        <v>0</v>
      </c>
      <c r="J128" s="62" t="n">
        <v>0</v>
      </c>
      <c r="K128" s="62" t="n">
        <f aca="false">I128-J128</f>
        <v>0</v>
      </c>
      <c r="L128" s="61" t="s">
        <v>402</v>
      </c>
      <c r="M128" s="61"/>
      <c r="N128" s="61"/>
      <c r="O128" s="61"/>
    </row>
    <row r="129" customFormat="false" ht="15" hidden="false" customHeight="false" outlineLevel="0" collapsed="false">
      <c r="A129" s="60" t="n">
        <v>46280</v>
      </c>
      <c r="B129" s="61" t="s">
        <v>13</v>
      </c>
      <c r="C129" s="61" t="s">
        <v>157</v>
      </c>
      <c r="D129" s="61" t="s">
        <v>158</v>
      </c>
      <c r="E129" s="61" t="s">
        <v>119</v>
      </c>
      <c r="F129" s="61" t="s">
        <v>254</v>
      </c>
      <c r="G129" s="61" t="s">
        <v>4</v>
      </c>
      <c r="H129" s="62" t="n">
        <f aca="false">Saida!H394</f>
        <v>-80.4</v>
      </c>
      <c r="I129" s="62" t="n">
        <v>0</v>
      </c>
      <c r="J129" s="62" t="n">
        <f aca="false">Saida!R394</f>
        <v>80.4</v>
      </c>
      <c r="K129" s="62" t="n">
        <f aca="false">I129-J129</f>
        <v>-80.4</v>
      </c>
      <c r="L129" s="61" t="s">
        <v>409</v>
      </c>
      <c r="M129" s="61" t="s">
        <v>410</v>
      </c>
      <c r="N129" s="61" t="s">
        <v>411</v>
      </c>
      <c r="O129" s="61" t="s">
        <v>258</v>
      </c>
    </row>
    <row r="130" customFormat="false" ht="15" hidden="false" customHeight="false" outlineLevel="0" collapsed="false">
      <c r="A130" s="60" t="n">
        <v>46280</v>
      </c>
      <c r="B130" s="61" t="s">
        <v>13</v>
      </c>
      <c r="C130" s="61" t="s">
        <v>157</v>
      </c>
      <c r="D130" s="61" t="s">
        <v>158</v>
      </c>
      <c r="E130" s="61" t="s">
        <v>119</v>
      </c>
      <c r="F130" s="61" t="s">
        <v>254</v>
      </c>
      <c r="G130" s="61" t="s">
        <v>4</v>
      </c>
      <c r="H130" s="62" t="n">
        <f aca="false">Saida!H396</f>
        <v>-40.2</v>
      </c>
      <c r="I130" s="62" t="n">
        <v>0</v>
      </c>
      <c r="J130" s="62" t="n">
        <f aca="false">Saida!R396</f>
        <v>40.2</v>
      </c>
      <c r="K130" s="62" t="n">
        <f aca="false">I130-J130</f>
        <v>-40.2</v>
      </c>
      <c r="L130" s="61" t="s">
        <v>395</v>
      </c>
      <c r="M130" s="61" t="s">
        <v>256</v>
      </c>
      <c r="N130" s="61" t="s">
        <v>257</v>
      </c>
      <c r="O130" s="61" t="s">
        <v>258</v>
      </c>
    </row>
    <row r="131" customFormat="false" ht="15" hidden="false" customHeight="false" outlineLevel="0" collapsed="false">
      <c r="A131" s="60" t="n">
        <v>46280</v>
      </c>
      <c r="B131" s="61" t="s">
        <v>13</v>
      </c>
      <c r="C131" s="61" t="s">
        <v>157</v>
      </c>
      <c r="D131" s="61" t="s">
        <v>194</v>
      </c>
      <c r="E131" s="61" t="s">
        <v>119</v>
      </c>
      <c r="F131" s="61" t="s">
        <v>254</v>
      </c>
      <c r="G131" s="61" t="s">
        <v>4</v>
      </c>
      <c r="H131" s="62" t="n">
        <f aca="false">Saida!H395</f>
        <v>-20.1</v>
      </c>
      <c r="I131" s="62" t="n">
        <v>0</v>
      </c>
      <c r="J131" s="62" t="n">
        <f aca="false">Saida!R395</f>
        <v>20.1</v>
      </c>
      <c r="K131" s="62" t="n">
        <f aca="false">I131-J131</f>
        <v>-20.1</v>
      </c>
      <c r="L131" s="61" t="s">
        <v>412</v>
      </c>
      <c r="M131" s="61" t="s">
        <v>413</v>
      </c>
      <c r="N131" s="61" t="s">
        <v>414</v>
      </c>
      <c r="O131" s="61" t="s">
        <v>258</v>
      </c>
    </row>
    <row r="132" customFormat="false" ht="15" hidden="false" customHeight="false" outlineLevel="0" collapsed="false">
      <c r="A132" s="60" t="n">
        <v>46281</v>
      </c>
      <c r="B132" s="61" t="s">
        <v>13</v>
      </c>
      <c r="C132" s="61" t="s">
        <v>23</v>
      </c>
      <c r="D132" s="61" t="s">
        <v>24</v>
      </c>
      <c r="E132" s="61" t="s">
        <v>141</v>
      </c>
      <c r="F132" s="61" t="s">
        <v>246</v>
      </c>
      <c r="G132" s="61" t="s">
        <v>4</v>
      </c>
      <c r="H132" s="62" t="n">
        <f aca="false">Saida!H71</f>
        <v>-2.8</v>
      </c>
      <c r="I132" s="62" t="n">
        <v>0</v>
      </c>
      <c r="J132" s="62" t="n">
        <f aca="false">Saida!R71</f>
        <v>2.8</v>
      </c>
      <c r="K132" s="62" t="n">
        <f aca="false">I132-J132</f>
        <v>-2.8</v>
      </c>
      <c r="L132" s="61" t="s">
        <v>415</v>
      </c>
      <c r="M132" s="61" t="s">
        <v>416</v>
      </c>
      <c r="N132" s="61" t="s">
        <v>417</v>
      </c>
      <c r="O132" s="61" t="s">
        <v>338</v>
      </c>
    </row>
    <row r="133" customFormat="false" ht="15" hidden="false" customHeight="false" outlineLevel="0" collapsed="false">
      <c r="A133" s="60" t="n">
        <v>46281</v>
      </c>
      <c r="B133" s="61" t="s">
        <v>13</v>
      </c>
      <c r="C133" s="61" t="s">
        <v>23</v>
      </c>
      <c r="D133" s="61" t="s">
        <v>24</v>
      </c>
      <c r="E133" s="61" t="s">
        <v>141</v>
      </c>
      <c r="F133" s="61" t="s">
        <v>246</v>
      </c>
      <c r="G133" s="61" t="s">
        <v>4</v>
      </c>
      <c r="H133" s="62" t="n">
        <f aca="false">Saida!H72</f>
        <v>-33.6</v>
      </c>
      <c r="I133" s="62" t="n">
        <v>0</v>
      </c>
      <c r="J133" s="62" t="n">
        <f aca="false">Saida!R72</f>
        <v>33.6</v>
      </c>
      <c r="K133" s="62" t="n">
        <f aca="false">I133-J133</f>
        <v>-33.6</v>
      </c>
      <c r="L133" s="61" t="s">
        <v>418</v>
      </c>
      <c r="M133" s="61" t="s">
        <v>419</v>
      </c>
      <c r="N133" s="61" t="s">
        <v>420</v>
      </c>
      <c r="O133" s="61" t="s">
        <v>250</v>
      </c>
    </row>
    <row r="134" customFormat="false" ht="15" hidden="false" customHeight="false" outlineLevel="0" collapsed="false">
      <c r="A134" s="60" t="n">
        <v>46281</v>
      </c>
      <c r="B134" s="61" t="s">
        <v>13</v>
      </c>
      <c r="C134" s="61" t="s">
        <v>27</v>
      </c>
      <c r="D134" s="61" t="s">
        <v>30</v>
      </c>
      <c r="E134" s="61" t="s">
        <v>119</v>
      </c>
      <c r="F134" s="61" t="s">
        <v>246</v>
      </c>
      <c r="G134" s="61" t="s">
        <v>4</v>
      </c>
      <c r="H134" s="62" t="n">
        <f aca="false">Saida!H85</f>
        <v>-40.2</v>
      </c>
      <c r="I134" s="62" t="n">
        <v>0</v>
      </c>
      <c r="J134" s="62" t="n">
        <f aca="false">Saida!R85</f>
        <v>40.2</v>
      </c>
      <c r="K134" s="62" t="n">
        <f aca="false">I134-J134</f>
        <v>-40.2</v>
      </c>
      <c r="L134" s="61" t="s">
        <v>421</v>
      </c>
      <c r="M134" s="61" t="s">
        <v>422</v>
      </c>
      <c r="N134" s="61" t="s">
        <v>423</v>
      </c>
      <c r="O134" s="61" t="s">
        <v>338</v>
      </c>
    </row>
    <row r="135" customFormat="false" ht="15" hidden="false" customHeight="false" outlineLevel="0" collapsed="false">
      <c r="A135" s="60" t="n">
        <v>46281</v>
      </c>
      <c r="B135" s="61" t="s">
        <v>13</v>
      </c>
      <c r="C135" s="61" t="s">
        <v>53</v>
      </c>
      <c r="D135" s="61" t="s">
        <v>78</v>
      </c>
      <c r="E135" s="61" t="s">
        <v>137</v>
      </c>
      <c r="F135" s="61" t="s">
        <v>254</v>
      </c>
      <c r="G135" s="61" t="s">
        <v>9</v>
      </c>
      <c r="H135" s="62" t="n">
        <f aca="false">Saida!H228</f>
        <v>-15</v>
      </c>
      <c r="I135" s="62" t="n">
        <v>0</v>
      </c>
      <c r="J135" s="62" t="n">
        <f aca="false">Saida!R228</f>
        <v>15</v>
      </c>
      <c r="K135" s="62" t="n">
        <f aca="false">I135-J135</f>
        <v>-15</v>
      </c>
      <c r="L135" s="61" t="s">
        <v>424</v>
      </c>
      <c r="M135" s="61" t="s">
        <v>425</v>
      </c>
      <c r="N135" s="61" t="s">
        <v>426</v>
      </c>
      <c r="O135" s="61" t="s">
        <v>258</v>
      </c>
    </row>
    <row r="136" customFormat="false" ht="15" hidden="false" customHeight="false" outlineLevel="0" collapsed="false">
      <c r="A136" s="60" t="n">
        <v>46281</v>
      </c>
      <c r="B136" s="61" t="s">
        <v>13</v>
      </c>
      <c r="C136" s="61" t="s">
        <v>81</v>
      </c>
      <c r="D136" s="61" t="s">
        <v>145</v>
      </c>
      <c r="E136" s="61" t="s">
        <v>144</v>
      </c>
      <c r="F136" s="61" t="s">
        <v>246</v>
      </c>
      <c r="G136" s="61" t="s">
        <v>4</v>
      </c>
      <c r="H136" s="62" t="n">
        <f aca="false">Saida!H283</f>
        <v>-6</v>
      </c>
      <c r="I136" s="62" t="n">
        <v>0</v>
      </c>
      <c r="J136" s="62" t="n">
        <f aca="false">Saida!R283</f>
        <v>6</v>
      </c>
      <c r="K136" s="62" t="n">
        <f aca="false">I136-J136</f>
        <v>-6</v>
      </c>
      <c r="L136" s="61" t="s">
        <v>427</v>
      </c>
      <c r="M136" s="61" t="s">
        <v>428</v>
      </c>
      <c r="N136" s="61" t="s">
        <v>429</v>
      </c>
      <c r="O136" s="61" t="s">
        <v>250</v>
      </c>
    </row>
    <row r="137" customFormat="false" ht="15" hidden="false" customHeight="false" outlineLevel="0" collapsed="false">
      <c r="A137" s="60" t="n">
        <v>46281</v>
      </c>
      <c r="B137" s="61" t="s">
        <v>13</v>
      </c>
      <c r="C137" s="61" t="s">
        <v>104</v>
      </c>
      <c r="D137" s="61" t="s">
        <v>166</v>
      </c>
      <c r="E137" s="61" t="s">
        <v>165</v>
      </c>
      <c r="F137" s="61" t="s">
        <v>246</v>
      </c>
      <c r="G137" s="61" t="s">
        <v>4</v>
      </c>
      <c r="H137" s="62" t="n">
        <f aca="false">Saida!H299</f>
        <v>-12</v>
      </c>
      <c r="I137" s="62" t="n">
        <v>0</v>
      </c>
      <c r="J137" s="62" t="n">
        <f aca="false">Saida!R299</f>
        <v>12</v>
      </c>
      <c r="K137" s="62" t="n">
        <f aca="false">I137-J137</f>
        <v>-12</v>
      </c>
      <c r="L137" s="61" t="s">
        <v>427</v>
      </c>
      <c r="M137" s="61" t="s">
        <v>428</v>
      </c>
      <c r="N137" s="61" t="s">
        <v>429</v>
      </c>
      <c r="O137" s="61" t="s">
        <v>250</v>
      </c>
    </row>
    <row r="138" customFormat="false" ht="15" hidden="false" customHeight="false" outlineLevel="0" collapsed="false">
      <c r="A138" s="60" t="n">
        <v>46282</v>
      </c>
      <c r="B138" s="61" t="s">
        <v>13</v>
      </c>
      <c r="C138" s="61" t="s">
        <v>7</v>
      </c>
      <c r="D138" s="61" t="s">
        <v>11</v>
      </c>
      <c r="E138" s="61" t="s">
        <v>119</v>
      </c>
      <c r="F138" s="61" t="s">
        <v>254</v>
      </c>
      <c r="G138" s="61" t="s">
        <v>4</v>
      </c>
      <c r="H138" s="62" t="n">
        <f aca="false">Saida!H24</f>
        <v>-40.2</v>
      </c>
      <c r="I138" s="62" t="n">
        <v>0</v>
      </c>
      <c r="J138" s="62" t="n">
        <f aca="false">Saida!R24</f>
        <v>40.2</v>
      </c>
      <c r="K138" s="62" t="n">
        <f aca="false">I138-J138</f>
        <v>-40.2</v>
      </c>
      <c r="L138" s="61" t="s">
        <v>430</v>
      </c>
      <c r="M138" s="61" t="s">
        <v>431</v>
      </c>
      <c r="N138" s="61" t="s">
        <v>432</v>
      </c>
      <c r="O138" s="61" t="s">
        <v>258</v>
      </c>
    </row>
    <row r="139" customFormat="false" ht="15" hidden="false" customHeight="false" outlineLevel="0" collapsed="false">
      <c r="A139" s="60" t="n">
        <v>46282</v>
      </c>
      <c r="B139" s="61" t="s">
        <v>13</v>
      </c>
      <c r="C139" s="61" t="s">
        <v>7</v>
      </c>
      <c r="D139" s="61" t="s">
        <v>11</v>
      </c>
      <c r="E139" s="61" t="s">
        <v>119</v>
      </c>
      <c r="F139" s="61" t="s">
        <v>254</v>
      </c>
      <c r="G139" s="61" t="s">
        <v>4</v>
      </c>
      <c r="H139" s="62" t="n">
        <f aca="false">Saida!H25</f>
        <v>-20.1</v>
      </c>
      <c r="I139" s="62" t="n">
        <v>0</v>
      </c>
      <c r="J139" s="62" t="n">
        <f aca="false">Saida!R25</f>
        <v>20.1</v>
      </c>
      <c r="K139" s="62" t="n">
        <f aca="false">I139-J139</f>
        <v>-20.1</v>
      </c>
      <c r="L139" s="61" t="s">
        <v>433</v>
      </c>
      <c r="M139" s="61" t="s">
        <v>434</v>
      </c>
      <c r="N139" s="61" t="s">
        <v>435</v>
      </c>
      <c r="O139" s="61" t="s">
        <v>258</v>
      </c>
    </row>
    <row r="140" customFormat="false" ht="15" hidden="false" customHeight="false" outlineLevel="0" collapsed="false">
      <c r="A140" s="60" t="n">
        <v>46282</v>
      </c>
      <c r="B140" s="61" t="s">
        <v>13</v>
      </c>
      <c r="C140" s="61" t="s">
        <v>41</v>
      </c>
      <c r="D140" s="61" t="s">
        <v>62</v>
      </c>
      <c r="E140" s="61" t="s">
        <v>141</v>
      </c>
      <c r="F140" s="61" t="s">
        <v>246</v>
      </c>
      <c r="G140" s="61" t="s">
        <v>4</v>
      </c>
      <c r="H140" s="62" t="n">
        <f aca="false">Saida!H160</f>
        <v>-5.6</v>
      </c>
      <c r="I140" s="62" t="n">
        <v>0</v>
      </c>
      <c r="J140" s="62" t="n">
        <f aca="false">Saida!R160</f>
        <v>5.6</v>
      </c>
      <c r="K140" s="62" t="n">
        <f aca="false">I140-J140</f>
        <v>-5.6</v>
      </c>
      <c r="L140" s="61" t="s">
        <v>436</v>
      </c>
      <c r="M140" s="61" t="s">
        <v>437</v>
      </c>
      <c r="N140" s="61" t="s">
        <v>438</v>
      </c>
      <c r="O140" s="61" t="s">
        <v>250</v>
      </c>
    </row>
    <row r="141" customFormat="false" ht="15" hidden="false" customHeight="false" outlineLevel="0" collapsed="false">
      <c r="A141" s="60" t="n">
        <v>46282</v>
      </c>
      <c r="B141" s="61" t="s">
        <v>13</v>
      </c>
      <c r="C141" s="61" t="s">
        <v>41</v>
      </c>
      <c r="D141" s="61" t="s">
        <v>62</v>
      </c>
      <c r="E141" s="61" t="s">
        <v>141</v>
      </c>
      <c r="F141" s="61" t="s">
        <v>246</v>
      </c>
      <c r="G141" s="61" t="s">
        <v>4</v>
      </c>
      <c r="H141" s="62" t="n">
        <f aca="false">Saida!H161</f>
        <v>-2.8</v>
      </c>
      <c r="I141" s="62" t="n">
        <v>0</v>
      </c>
      <c r="J141" s="62" t="n">
        <f aca="false">Saida!R161</f>
        <v>2.8</v>
      </c>
      <c r="K141" s="62" t="n">
        <f aca="false">I141-J141</f>
        <v>-2.8</v>
      </c>
      <c r="L141" s="61" t="s">
        <v>439</v>
      </c>
      <c r="M141" s="61" t="s">
        <v>440</v>
      </c>
      <c r="N141" s="61" t="s">
        <v>441</v>
      </c>
      <c r="O141" s="61" t="s">
        <v>338</v>
      </c>
    </row>
    <row r="142" customFormat="false" ht="15" hidden="false" customHeight="false" outlineLevel="0" collapsed="false">
      <c r="A142" s="60" t="n">
        <v>46282</v>
      </c>
      <c r="B142" s="61" t="s">
        <v>13</v>
      </c>
      <c r="C142" s="61" t="s">
        <v>41</v>
      </c>
      <c r="D142" s="61" t="s">
        <v>62</v>
      </c>
      <c r="E142" s="61" t="s">
        <v>141</v>
      </c>
      <c r="F142" s="61" t="s">
        <v>246</v>
      </c>
      <c r="G142" s="61" t="s">
        <v>4</v>
      </c>
      <c r="H142" s="62" t="n">
        <f aca="false">Saida!H162</f>
        <v>-5.6</v>
      </c>
      <c r="I142" s="62" t="n">
        <v>0</v>
      </c>
      <c r="J142" s="62" t="n">
        <f aca="false">Saida!R162</f>
        <v>5.6</v>
      </c>
      <c r="K142" s="62" t="n">
        <f aca="false">I142-J142</f>
        <v>-5.6</v>
      </c>
      <c r="L142" s="61" t="s">
        <v>442</v>
      </c>
      <c r="M142" s="61" t="s">
        <v>443</v>
      </c>
      <c r="N142" s="61" t="s">
        <v>444</v>
      </c>
      <c r="O142" s="61" t="s">
        <v>338</v>
      </c>
    </row>
    <row r="143" customFormat="false" ht="15" hidden="false" customHeight="false" outlineLevel="0" collapsed="false">
      <c r="A143" s="60" t="n">
        <v>46282</v>
      </c>
      <c r="B143" s="61" t="s">
        <v>13</v>
      </c>
      <c r="C143" s="61" t="s">
        <v>41</v>
      </c>
      <c r="D143" s="61" t="s">
        <v>62</v>
      </c>
      <c r="E143" s="61" t="s">
        <v>141</v>
      </c>
      <c r="F143" s="61" t="s">
        <v>246</v>
      </c>
      <c r="G143" s="61" t="s">
        <v>4</v>
      </c>
      <c r="H143" s="62" t="n">
        <f aca="false">Saida!H163</f>
        <v>-28</v>
      </c>
      <c r="I143" s="62" t="n">
        <v>0</v>
      </c>
      <c r="J143" s="62" t="n">
        <f aca="false">Saida!R163</f>
        <v>28</v>
      </c>
      <c r="K143" s="62" t="n">
        <f aca="false">I143-J143</f>
        <v>-28</v>
      </c>
      <c r="L143" s="61" t="s">
        <v>445</v>
      </c>
      <c r="M143" s="61" t="s">
        <v>446</v>
      </c>
      <c r="N143" s="61" t="s">
        <v>447</v>
      </c>
      <c r="O143" s="61" t="s">
        <v>338</v>
      </c>
    </row>
    <row r="144" customFormat="false" ht="15" hidden="false" customHeight="false" outlineLevel="0" collapsed="false">
      <c r="A144" s="60" t="n">
        <v>46282</v>
      </c>
      <c r="B144" s="61" t="s">
        <v>13</v>
      </c>
      <c r="C144" s="61" t="s">
        <v>71</v>
      </c>
      <c r="D144" s="61" t="s">
        <v>136</v>
      </c>
      <c r="E144" s="61" t="s">
        <v>186</v>
      </c>
      <c r="F144" s="61" t="s">
        <v>254</v>
      </c>
      <c r="G144" s="61" t="s">
        <v>4</v>
      </c>
      <c r="H144" s="62" t="n">
        <f aca="false">Saida!H252</f>
        <v>-8.4</v>
      </c>
      <c r="I144" s="62" t="n">
        <v>0</v>
      </c>
      <c r="J144" s="62" t="n">
        <f aca="false">Saida!R252</f>
        <v>8.4</v>
      </c>
      <c r="K144" s="62" t="n">
        <f aca="false">I144-J144</f>
        <v>-8.4</v>
      </c>
      <c r="L144" s="61" t="s">
        <v>448</v>
      </c>
      <c r="M144" s="61" t="s">
        <v>449</v>
      </c>
      <c r="N144" s="61" t="s">
        <v>450</v>
      </c>
      <c r="O144" s="61" t="s">
        <v>258</v>
      </c>
    </row>
    <row r="145" customFormat="false" ht="15" hidden="false" customHeight="false" outlineLevel="0" collapsed="false">
      <c r="A145" s="60" t="n">
        <v>46282</v>
      </c>
      <c r="B145" s="61" t="s">
        <v>13</v>
      </c>
      <c r="C145" s="61" t="s">
        <v>81</v>
      </c>
      <c r="D145" s="61" t="s">
        <v>145</v>
      </c>
      <c r="E145" s="61" t="s">
        <v>144</v>
      </c>
      <c r="F145" s="61" t="s">
        <v>246</v>
      </c>
      <c r="G145" s="61" t="s">
        <v>4</v>
      </c>
      <c r="H145" s="62" t="n">
        <f aca="false">Saida!H281</f>
        <v>-60</v>
      </c>
      <c r="I145" s="62" t="n">
        <v>0</v>
      </c>
      <c r="J145" s="62" t="n">
        <f aca="false">Saida!R281</f>
        <v>60</v>
      </c>
      <c r="K145" s="62" t="n">
        <f aca="false">I145-J145</f>
        <v>-60</v>
      </c>
      <c r="L145" s="61" t="s">
        <v>451</v>
      </c>
      <c r="M145" s="61" t="s">
        <v>446</v>
      </c>
      <c r="N145" s="61" t="s">
        <v>447</v>
      </c>
      <c r="O145" s="61" t="s">
        <v>338</v>
      </c>
    </row>
    <row r="146" customFormat="false" ht="15" hidden="false" customHeight="false" outlineLevel="0" collapsed="false">
      <c r="A146" s="60" t="n">
        <v>46282</v>
      </c>
      <c r="B146" s="61" t="s">
        <v>13</v>
      </c>
      <c r="C146" s="61" t="s">
        <v>81</v>
      </c>
      <c r="D146" s="61" t="s">
        <v>145</v>
      </c>
      <c r="E146" s="61" t="s">
        <v>144</v>
      </c>
      <c r="F146" s="61" t="s">
        <v>246</v>
      </c>
      <c r="G146" s="61" t="s">
        <v>4</v>
      </c>
      <c r="H146" s="62" t="n">
        <f aca="false">Saida!H282</f>
        <v>-6</v>
      </c>
      <c r="I146" s="62" t="n">
        <v>0</v>
      </c>
      <c r="J146" s="62" t="n">
        <f aca="false">Saida!R282</f>
        <v>6</v>
      </c>
      <c r="K146" s="62" t="n">
        <f aca="false">I146-J146</f>
        <v>-6</v>
      </c>
      <c r="L146" s="61" t="s">
        <v>452</v>
      </c>
      <c r="M146" s="61" t="s">
        <v>453</v>
      </c>
      <c r="N146" s="61" t="s">
        <v>454</v>
      </c>
      <c r="O146" s="61" t="s">
        <v>250</v>
      </c>
    </row>
    <row r="147" customFormat="false" ht="15" hidden="false" customHeight="false" outlineLevel="0" collapsed="false">
      <c r="A147" s="60" t="n">
        <v>46282</v>
      </c>
      <c r="B147" s="61" t="s">
        <v>13</v>
      </c>
      <c r="C147" s="61" t="s">
        <v>110</v>
      </c>
      <c r="D147" s="61" t="s">
        <v>162</v>
      </c>
      <c r="E147" s="61" t="s">
        <v>119</v>
      </c>
      <c r="F147" s="61" t="s">
        <v>254</v>
      </c>
      <c r="G147" s="61" t="s">
        <v>4</v>
      </c>
      <c r="H147" s="62" t="n">
        <f aca="false">Saida!H346</f>
        <v>-40.2</v>
      </c>
      <c r="I147" s="62" t="n">
        <v>0</v>
      </c>
      <c r="J147" s="62" t="n">
        <f aca="false">Saida!R346</f>
        <v>40.2</v>
      </c>
      <c r="K147" s="62" t="n">
        <f aca="false">I147-J147</f>
        <v>-40.2</v>
      </c>
      <c r="L147" s="61" t="s">
        <v>455</v>
      </c>
      <c r="M147" s="61" t="s">
        <v>456</v>
      </c>
      <c r="N147" s="61" t="s">
        <v>457</v>
      </c>
      <c r="O147" s="61" t="s">
        <v>258</v>
      </c>
    </row>
    <row r="148" customFormat="false" ht="15" hidden="false" customHeight="false" outlineLevel="0" collapsed="false">
      <c r="A148" s="60" t="n">
        <v>46282</v>
      </c>
      <c r="B148" s="61" t="s">
        <v>13</v>
      </c>
      <c r="C148" s="61" t="s">
        <v>110</v>
      </c>
      <c r="D148" s="61" t="s">
        <v>162</v>
      </c>
      <c r="E148" s="61" t="s">
        <v>119</v>
      </c>
      <c r="F148" s="61" t="s">
        <v>254</v>
      </c>
      <c r="G148" s="61" t="s">
        <v>4</v>
      </c>
      <c r="H148" s="62" t="n">
        <f aca="false">Saida!H347</f>
        <v>-40.2</v>
      </c>
      <c r="I148" s="62" t="n">
        <v>0</v>
      </c>
      <c r="J148" s="62" t="n">
        <f aca="false">Saida!R347</f>
        <v>40.2</v>
      </c>
      <c r="K148" s="62" t="n">
        <f aca="false">I148-J148</f>
        <v>-40.2</v>
      </c>
      <c r="L148" s="61" t="s">
        <v>458</v>
      </c>
      <c r="M148" s="61" t="s">
        <v>283</v>
      </c>
      <c r="N148" s="61" t="s">
        <v>284</v>
      </c>
      <c r="O148" s="61" t="s">
        <v>258</v>
      </c>
    </row>
    <row r="149" customFormat="false" ht="15" hidden="false" customHeight="false" outlineLevel="0" collapsed="false">
      <c r="A149" s="60" t="n">
        <v>46282</v>
      </c>
      <c r="B149" s="61" t="s">
        <v>13</v>
      </c>
      <c r="C149" s="61" t="s">
        <v>110</v>
      </c>
      <c r="D149" s="61" t="s">
        <v>162</v>
      </c>
      <c r="E149" s="61" t="s">
        <v>119</v>
      </c>
      <c r="F149" s="61" t="s">
        <v>254</v>
      </c>
      <c r="G149" s="61" t="s">
        <v>4</v>
      </c>
      <c r="H149" s="62" t="n">
        <f aca="false">Saida!H348</f>
        <v>-80.4</v>
      </c>
      <c r="I149" s="62" t="n">
        <v>0</v>
      </c>
      <c r="J149" s="62" t="n">
        <f aca="false">Saida!R348</f>
        <v>80.4</v>
      </c>
      <c r="K149" s="62" t="n">
        <f aca="false">I149-J149</f>
        <v>-80.4</v>
      </c>
      <c r="L149" s="61" t="s">
        <v>459</v>
      </c>
      <c r="M149" s="61" t="s">
        <v>460</v>
      </c>
      <c r="N149" s="61" t="s">
        <v>461</v>
      </c>
      <c r="O149" s="61" t="s">
        <v>258</v>
      </c>
    </row>
    <row r="150" customFormat="false" ht="15" hidden="false" customHeight="false" outlineLevel="0" collapsed="false">
      <c r="A150" s="60" t="n">
        <v>46283</v>
      </c>
      <c r="B150" s="61" t="s">
        <v>13</v>
      </c>
      <c r="C150" s="61" t="s">
        <v>41</v>
      </c>
      <c r="D150" s="61" t="s">
        <v>62</v>
      </c>
      <c r="E150" s="61" t="s">
        <v>141</v>
      </c>
      <c r="F150" s="61" t="s">
        <v>246</v>
      </c>
      <c r="G150" s="61" t="s">
        <v>4</v>
      </c>
      <c r="H150" s="62" t="n">
        <f aca="false">Saida!H159</f>
        <v>-2.8</v>
      </c>
      <c r="I150" s="62" t="n">
        <v>0</v>
      </c>
      <c r="J150" s="62" t="n">
        <f aca="false">Saida!R159</f>
        <v>2.8</v>
      </c>
      <c r="K150" s="62" t="n">
        <f aca="false">I150-J150</f>
        <v>-2.8</v>
      </c>
      <c r="L150" s="61" t="s">
        <v>462</v>
      </c>
      <c r="M150" s="61" t="s">
        <v>463</v>
      </c>
      <c r="N150" s="61" t="s">
        <v>464</v>
      </c>
      <c r="O150" s="61" t="s">
        <v>269</v>
      </c>
    </row>
    <row r="151" customFormat="false" ht="15" hidden="false" customHeight="false" outlineLevel="0" collapsed="false">
      <c r="A151" s="60" t="n">
        <v>46283</v>
      </c>
      <c r="B151" s="61" t="s">
        <v>13</v>
      </c>
      <c r="C151" s="61" t="s">
        <v>75</v>
      </c>
      <c r="D151" s="61" t="s">
        <v>143</v>
      </c>
      <c r="E151" s="61" t="s">
        <v>173</v>
      </c>
      <c r="F151" s="61" t="s">
        <v>246</v>
      </c>
      <c r="G151" s="61" t="s">
        <v>4</v>
      </c>
      <c r="H151" s="62" t="n">
        <f aca="false">Saida!H261</f>
        <v>-8</v>
      </c>
      <c r="I151" s="62" t="n">
        <v>0</v>
      </c>
      <c r="J151" s="62" t="n">
        <f aca="false">Saida!R261</f>
        <v>8</v>
      </c>
      <c r="K151" s="62" t="n">
        <f aca="false">I151-J151</f>
        <v>-8</v>
      </c>
      <c r="L151" s="61" t="s">
        <v>465</v>
      </c>
      <c r="M151" s="61" t="s">
        <v>466</v>
      </c>
      <c r="N151" s="61" t="s">
        <v>467</v>
      </c>
      <c r="O151" s="61" t="s">
        <v>269</v>
      </c>
    </row>
    <row r="152" customFormat="false" ht="15" hidden="false" customHeight="false" outlineLevel="0" collapsed="false">
      <c r="A152" s="60" t="n">
        <v>46284</v>
      </c>
      <c r="B152" s="61" t="s">
        <v>13</v>
      </c>
      <c r="C152" s="61" t="s">
        <v>23</v>
      </c>
      <c r="D152" s="61" t="s">
        <v>24</v>
      </c>
      <c r="E152" s="61" t="s">
        <v>141</v>
      </c>
      <c r="F152" s="61" t="s">
        <v>246</v>
      </c>
      <c r="G152" s="61" t="s">
        <v>4</v>
      </c>
      <c r="H152" s="62" t="n">
        <f aca="false">Saida!H68</f>
        <v>-28</v>
      </c>
      <c r="I152" s="62" t="n">
        <v>0</v>
      </c>
      <c r="J152" s="62" t="n">
        <f aca="false">Saida!R68</f>
        <v>28</v>
      </c>
      <c r="K152" s="62" t="n">
        <f aca="false">I152-J152</f>
        <v>-28</v>
      </c>
      <c r="L152" s="61" t="s">
        <v>468</v>
      </c>
      <c r="M152" s="61" t="s">
        <v>469</v>
      </c>
      <c r="N152" s="61" t="s">
        <v>470</v>
      </c>
      <c r="O152" s="61" t="s">
        <v>275</v>
      </c>
    </row>
    <row r="153" customFormat="false" ht="15" hidden="false" customHeight="false" outlineLevel="0" collapsed="false">
      <c r="A153" s="60" t="n">
        <v>46284</v>
      </c>
      <c r="B153" s="61" t="s">
        <v>13</v>
      </c>
      <c r="C153" s="61" t="s">
        <v>23</v>
      </c>
      <c r="D153" s="61" t="s">
        <v>24</v>
      </c>
      <c r="E153" s="61" t="s">
        <v>141</v>
      </c>
      <c r="F153" s="61" t="s">
        <v>246</v>
      </c>
      <c r="G153" s="61" t="s">
        <v>4</v>
      </c>
      <c r="H153" s="62" t="n">
        <f aca="false">Saida!H69</f>
        <v>-2.8</v>
      </c>
      <c r="I153" s="62" t="n">
        <v>0</v>
      </c>
      <c r="J153" s="62" t="n">
        <f aca="false">Saida!R69</f>
        <v>2.8</v>
      </c>
      <c r="K153" s="62" t="n">
        <f aca="false">I153-J153</f>
        <v>-2.8</v>
      </c>
      <c r="L153" s="61" t="s">
        <v>471</v>
      </c>
      <c r="M153" s="61" t="s">
        <v>472</v>
      </c>
      <c r="N153" s="61" t="s">
        <v>473</v>
      </c>
      <c r="O153" s="61" t="s">
        <v>474</v>
      </c>
    </row>
    <row r="154" customFormat="false" ht="15" hidden="false" customHeight="false" outlineLevel="0" collapsed="false">
      <c r="A154" s="60" t="n">
        <v>46284</v>
      </c>
      <c r="B154" s="61" t="s">
        <v>13</v>
      </c>
      <c r="C154" s="61" t="s">
        <v>23</v>
      </c>
      <c r="D154" s="61" t="s">
        <v>24</v>
      </c>
      <c r="E154" s="61" t="s">
        <v>141</v>
      </c>
      <c r="F154" s="61" t="s">
        <v>246</v>
      </c>
      <c r="G154" s="61" t="s">
        <v>4</v>
      </c>
      <c r="H154" s="62" t="n">
        <f aca="false">Saida!H70</f>
        <v>-2.8</v>
      </c>
      <c r="I154" s="62" t="n">
        <v>0</v>
      </c>
      <c r="J154" s="62" t="n">
        <f aca="false">Saida!R70</f>
        <v>2.8</v>
      </c>
      <c r="K154" s="62" t="n">
        <f aca="false">I154-J154</f>
        <v>-2.8</v>
      </c>
      <c r="L154" s="61" t="s">
        <v>475</v>
      </c>
      <c r="M154" s="61" t="s">
        <v>476</v>
      </c>
      <c r="N154" s="61" t="s">
        <v>477</v>
      </c>
      <c r="O154" s="61" t="s">
        <v>474</v>
      </c>
    </row>
    <row r="155" customFormat="false" ht="15" hidden="false" customHeight="false" outlineLevel="0" collapsed="false">
      <c r="A155" s="60" t="n">
        <v>46284</v>
      </c>
      <c r="B155" s="61" t="s">
        <v>13</v>
      </c>
      <c r="C155" s="61" t="s">
        <v>29</v>
      </c>
      <c r="D155" s="61" t="s">
        <v>34</v>
      </c>
      <c r="E155" s="61" t="s">
        <v>141</v>
      </c>
      <c r="F155" s="61" t="s">
        <v>246</v>
      </c>
      <c r="G155" s="61" t="s">
        <v>4</v>
      </c>
      <c r="H155" s="62" t="n">
        <f aca="false">Saida!H97</f>
        <v>-5.6</v>
      </c>
      <c r="I155" s="62" t="n">
        <v>0</v>
      </c>
      <c r="J155" s="62" t="n">
        <f aca="false">Saida!R97</f>
        <v>5.6</v>
      </c>
      <c r="K155" s="62" t="n">
        <f aca="false">I155-J155</f>
        <v>-5.6</v>
      </c>
      <c r="L155" s="61" t="s">
        <v>478</v>
      </c>
      <c r="M155" s="61" t="s">
        <v>479</v>
      </c>
      <c r="N155" s="61" t="s">
        <v>480</v>
      </c>
      <c r="O155" s="61" t="s">
        <v>269</v>
      </c>
    </row>
    <row r="156" customFormat="false" ht="15" hidden="false" customHeight="false" outlineLevel="0" collapsed="false">
      <c r="A156" s="60" t="n">
        <v>46284</v>
      </c>
      <c r="B156" s="61" t="s">
        <v>13</v>
      </c>
      <c r="C156" s="61" t="s">
        <v>29</v>
      </c>
      <c r="D156" s="61" t="s">
        <v>34</v>
      </c>
      <c r="E156" s="61" t="s">
        <v>141</v>
      </c>
      <c r="F156" s="61" t="s">
        <v>246</v>
      </c>
      <c r="G156" s="61" t="s">
        <v>4</v>
      </c>
      <c r="H156" s="62" t="n">
        <f aca="false">Saida!H98</f>
        <v>-2.8</v>
      </c>
      <c r="I156" s="62" t="n">
        <v>0</v>
      </c>
      <c r="J156" s="62" t="n">
        <f aca="false">Saida!R98</f>
        <v>2.8</v>
      </c>
      <c r="K156" s="62" t="n">
        <f aca="false">I156-J156</f>
        <v>-2.8</v>
      </c>
      <c r="L156" s="61" t="s">
        <v>481</v>
      </c>
      <c r="M156" s="61" t="s">
        <v>482</v>
      </c>
      <c r="N156" s="61" t="s">
        <v>483</v>
      </c>
      <c r="O156" s="61" t="s">
        <v>269</v>
      </c>
    </row>
    <row r="157" customFormat="false" ht="15" hidden="false" customHeight="false" outlineLevel="0" collapsed="false">
      <c r="A157" s="60" t="n">
        <v>46284</v>
      </c>
      <c r="B157" s="61" t="s">
        <v>13</v>
      </c>
      <c r="C157" s="61" t="s">
        <v>29</v>
      </c>
      <c r="D157" s="61" t="s">
        <v>34</v>
      </c>
      <c r="E157" s="61" t="s">
        <v>141</v>
      </c>
      <c r="F157" s="61" t="s">
        <v>246</v>
      </c>
      <c r="G157" s="61" t="s">
        <v>4</v>
      </c>
      <c r="H157" s="62" t="n">
        <f aca="false">Saida!H99</f>
        <v>-2.8</v>
      </c>
      <c r="I157" s="62" t="n">
        <v>0</v>
      </c>
      <c r="J157" s="62" t="n">
        <f aca="false">Saida!R99</f>
        <v>2.8</v>
      </c>
      <c r="K157" s="62" t="n">
        <f aca="false">I157-J157</f>
        <v>-2.8</v>
      </c>
      <c r="L157" s="61" t="s">
        <v>471</v>
      </c>
      <c r="M157" s="61" t="s">
        <v>472</v>
      </c>
      <c r="N157" s="61" t="s">
        <v>473</v>
      </c>
      <c r="O157" s="61" t="s">
        <v>474</v>
      </c>
    </row>
    <row r="158" customFormat="false" ht="15" hidden="false" customHeight="false" outlineLevel="0" collapsed="false">
      <c r="A158" s="60" t="n">
        <v>46284</v>
      </c>
      <c r="B158" s="61" t="s">
        <v>13</v>
      </c>
      <c r="C158" s="61" t="s">
        <v>29</v>
      </c>
      <c r="D158" s="61" t="s">
        <v>34</v>
      </c>
      <c r="E158" s="61" t="s">
        <v>141</v>
      </c>
      <c r="F158" s="61" t="s">
        <v>246</v>
      </c>
      <c r="G158" s="61" t="s">
        <v>4</v>
      </c>
      <c r="H158" s="62" t="n">
        <f aca="false">Saida!H100</f>
        <v>-5.6</v>
      </c>
      <c r="I158" s="62" t="n">
        <v>0</v>
      </c>
      <c r="J158" s="62" t="n">
        <f aca="false">Saida!R100</f>
        <v>5.6</v>
      </c>
      <c r="K158" s="62" t="n">
        <f aca="false">I158-J158</f>
        <v>-5.6</v>
      </c>
      <c r="L158" s="61" t="s">
        <v>484</v>
      </c>
      <c r="M158" s="61" t="s">
        <v>485</v>
      </c>
      <c r="N158" s="61" t="s">
        <v>486</v>
      </c>
      <c r="O158" s="61" t="s">
        <v>269</v>
      </c>
    </row>
    <row r="159" customFormat="false" ht="15" hidden="false" customHeight="false" outlineLevel="0" collapsed="false">
      <c r="A159" s="60" t="n">
        <v>46284</v>
      </c>
      <c r="B159" s="61" t="s">
        <v>13</v>
      </c>
      <c r="C159" s="61" t="s">
        <v>29</v>
      </c>
      <c r="D159" s="61" t="s">
        <v>34</v>
      </c>
      <c r="E159" s="61" t="s">
        <v>141</v>
      </c>
      <c r="F159" s="61" t="s">
        <v>246</v>
      </c>
      <c r="G159" s="61" t="s">
        <v>4</v>
      </c>
      <c r="H159" s="62" t="n">
        <f aca="false">Saida!H101</f>
        <v>-11.2</v>
      </c>
      <c r="I159" s="62" t="n">
        <v>0</v>
      </c>
      <c r="J159" s="62" t="n">
        <f aca="false">Saida!R101</f>
        <v>11.2</v>
      </c>
      <c r="K159" s="62" t="n">
        <f aca="false">I159-J159</f>
        <v>-11.2</v>
      </c>
      <c r="L159" s="61" t="s">
        <v>487</v>
      </c>
      <c r="M159" s="61" t="s">
        <v>488</v>
      </c>
      <c r="N159" s="61" t="s">
        <v>489</v>
      </c>
      <c r="O159" s="61" t="s">
        <v>275</v>
      </c>
    </row>
    <row r="160" customFormat="false" ht="15" hidden="false" customHeight="false" outlineLevel="0" collapsed="false">
      <c r="A160" s="60" t="n">
        <v>46284</v>
      </c>
      <c r="B160" s="61" t="s">
        <v>13</v>
      </c>
      <c r="C160" s="61" t="s">
        <v>41</v>
      </c>
      <c r="D160" s="61" t="s">
        <v>62</v>
      </c>
      <c r="E160" s="61" t="s">
        <v>141</v>
      </c>
      <c r="F160" s="61" t="s">
        <v>246</v>
      </c>
      <c r="G160" s="61" t="s">
        <v>4</v>
      </c>
      <c r="H160" s="62" t="n">
        <f aca="false">Saida!H150</f>
        <v>-5.6</v>
      </c>
      <c r="I160" s="62" t="n">
        <v>0</v>
      </c>
      <c r="J160" s="62" t="n">
        <f aca="false">Saida!R150</f>
        <v>5.6</v>
      </c>
      <c r="K160" s="62" t="n">
        <f aca="false">I160-J160</f>
        <v>-5.6</v>
      </c>
      <c r="L160" s="61" t="s">
        <v>471</v>
      </c>
      <c r="M160" s="61" t="s">
        <v>472</v>
      </c>
      <c r="N160" s="61" t="s">
        <v>473</v>
      </c>
      <c r="O160" s="61" t="s">
        <v>474</v>
      </c>
    </row>
    <row r="161" customFormat="false" ht="15" hidden="false" customHeight="false" outlineLevel="0" collapsed="false">
      <c r="A161" s="60" t="n">
        <v>46284</v>
      </c>
      <c r="B161" s="61" t="s">
        <v>13</v>
      </c>
      <c r="C161" s="61" t="s">
        <v>41</v>
      </c>
      <c r="D161" s="61" t="s">
        <v>62</v>
      </c>
      <c r="E161" s="61" t="s">
        <v>141</v>
      </c>
      <c r="F161" s="61" t="s">
        <v>246</v>
      </c>
      <c r="G161" s="61" t="s">
        <v>4</v>
      </c>
      <c r="H161" s="62" t="n">
        <f aca="false">Saida!H151</f>
        <v>-11.2</v>
      </c>
      <c r="I161" s="62" t="n">
        <v>0</v>
      </c>
      <c r="J161" s="62" t="n">
        <f aca="false">Saida!R151</f>
        <v>11.2</v>
      </c>
      <c r="K161" s="62" t="n">
        <f aca="false">I161-J161</f>
        <v>-11.2</v>
      </c>
      <c r="L161" s="61" t="s">
        <v>487</v>
      </c>
      <c r="M161" s="61" t="s">
        <v>488</v>
      </c>
      <c r="N161" s="61" t="s">
        <v>489</v>
      </c>
      <c r="O161" s="61" t="s">
        <v>275</v>
      </c>
    </row>
    <row r="162" customFormat="false" ht="15" hidden="false" customHeight="false" outlineLevel="0" collapsed="false">
      <c r="A162" s="60" t="n">
        <v>46284</v>
      </c>
      <c r="B162" s="61" t="s">
        <v>13</v>
      </c>
      <c r="C162" s="61" t="s">
        <v>41</v>
      </c>
      <c r="D162" s="61" t="s">
        <v>62</v>
      </c>
      <c r="E162" s="61" t="s">
        <v>141</v>
      </c>
      <c r="F162" s="61" t="s">
        <v>246</v>
      </c>
      <c r="G162" s="61" t="s">
        <v>4</v>
      </c>
      <c r="H162" s="62" t="n">
        <f aca="false">Saida!H152</f>
        <v>-5.6</v>
      </c>
      <c r="I162" s="62" t="n">
        <v>0</v>
      </c>
      <c r="J162" s="62" t="n">
        <f aca="false">Saida!R152</f>
        <v>5.6</v>
      </c>
      <c r="K162" s="62" t="n">
        <f aca="false">I162-J162</f>
        <v>-5.6</v>
      </c>
      <c r="L162" s="61" t="s">
        <v>490</v>
      </c>
      <c r="M162" s="61" t="s">
        <v>491</v>
      </c>
      <c r="N162" s="61" t="s">
        <v>492</v>
      </c>
      <c r="O162" s="61" t="s">
        <v>275</v>
      </c>
    </row>
    <row r="163" customFormat="false" ht="15" hidden="false" customHeight="false" outlineLevel="0" collapsed="false">
      <c r="A163" s="60" t="n">
        <v>46284</v>
      </c>
      <c r="B163" s="61" t="s">
        <v>13</v>
      </c>
      <c r="C163" s="61" t="s">
        <v>41</v>
      </c>
      <c r="D163" s="61" t="s">
        <v>62</v>
      </c>
      <c r="E163" s="61" t="s">
        <v>141</v>
      </c>
      <c r="F163" s="61" t="s">
        <v>246</v>
      </c>
      <c r="G163" s="61" t="s">
        <v>4</v>
      </c>
      <c r="H163" s="62" t="n">
        <f aca="false">Saida!H153</f>
        <v>-5.6</v>
      </c>
      <c r="I163" s="62" t="n">
        <v>0</v>
      </c>
      <c r="J163" s="62" t="n">
        <f aca="false">Saida!R153</f>
        <v>5.6</v>
      </c>
      <c r="K163" s="62" t="n">
        <f aca="false">I163-J163</f>
        <v>-5.6</v>
      </c>
      <c r="L163" s="61" t="s">
        <v>475</v>
      </c>
      <c r="M163" s="61" t="s">
        <v>476</v>
      </c>
      <c r="N163" s="61" t="s">
        <v>477</v>
      </c>
      <c r="O163" s="61" t="s">
        <v>474</v>
      </c>
    </row>
    <row r="164" customFormat="false" ht="15" hidden="false" customHeight="false" outlineLevel="0" collapsed="false">
      <c r="A164" s="60" t="n">
        <v>46284</v>
      </c>
      <c r="B164" s="61" t="s">
        <v>13</v>
      </c>
      <c r="C164" s="61" t="s">
        <v>41</v>
      </c>
      <c r="D164" s="61" t="s">
        <v>62</v>
      </c>
      <c r="E164" s="61" t="s">
        <v>141</v>
      </c>
      <c r="F164" s="61" t="s">
        <v>246</v>
      </c>
      <c r="G164" s="61" t="s">
        <v>4</v>
      </c>
      <c r="H164" s="62" t="n">
        <f aca="false">Saida!H154</f>
        <v>-2.8</v>
      </c>
      <c r="I164" s="62" t="n">
        <v>0</v>
      </c>
      <c r="J164" s="62" t="n">
        <f aca="false">Saida!R154</f>
        <v>2.8</v>
      </c>
      <c r="K164" s="62" t="n">
        <f aca="false">I164-J164</f>
        <v>-2.8</v>
      </c>
      <c r="L164" s="61" t="s">
        <v>481</v>
      </c>
      <c r="M164" s="61" t="s">
        <v>482</v>
      </c>
      <c r="N164" s="61" t="s">
        <v>483</v>
      </c>
      <c r="O164" s="61" t="s">
        <v>269</v>
      </c>
    </row>
    <row r="165" customFormat="false" ht="15" hidden="false" customHeight="false" outlineLevel="0" collapsed="false">
      <c r="A165" s="60" t="n">
        <v>46284</v>
      </c>
      <c r="B165" s="61" t="s">
        <v>13</v>
      </c>
      <c r="C165" s="61" t="s">
        <v>41</v>
      </c>
      <c r="D165" s="61" t="s">
        <v>62</v>
      </c>
      <c r="E165" s="61" t="s">
        <v>141</v>
      </c>
      <c r="F165" s="61" t="s">
        <v>246</v>
      </c>
      <c r="G165" s="61" t="s">
        <v>4</v>
      </c>
      <c r="H165" s="62" t="n">
        <f aca="false">Saida!H155</f>
        <v>-2.8</v>
      </c>
      <c r="I165" s="62" t="n">
        <v>0</v>
      </c>
      <c r="J165" s="62" t="n">
        <f aca="false">Saida!R155</f>
        <v>2.8</v>
      </c>
      <c r="K165" s="62" t="n">
        <f aca="false">I165-J165</f>
        <v>-2.8</v>
      </c>
      <c r="L165" s="61" t="s">
        <v>493</v>
      </c>
      <c r="M165" s="61" t="s">
        <v>494</v>
      </c>
      <c r="N165" s="61" t="s">
        <v>495</v>
      </c>
      <c r="O165" s="61" t="s">
        <v>269</v>
      </c>
    </row>
    <row r="166" customFormat="false" ht="15" hidden="false" customHeight="false" outlineLevel="0" collapsed="false">
      <c r="A166" s="60" t="n">
        <v>46284</v>
      </c>
      <c r="B166" s="61" t="s">
        <v>13</v>
      </c>
      <c r="C166" s="61" t="s">
        <v>41</v>
      </c>
      <c r="D166" s="61" t="s">
        <v>62</v>
      </c>
      <c r="E166" s="61" t="s">
        <v>141</v>
      </c>
      <c r="F166" s="61" t="s">
        <v>246</v>
      </c>
      <c r="G166" s="61" t="s">
        <v>4</v>
      </c>
      <c r="H166" s="62" t="n">
        <f aca="false">Saida!H156</f>
        <v>-11.2</v>
      </c>
      <c r="I166" s="62" t="n">
        <v>0</v>
      </c>
      <c r="J166" s="62" t="n">
        <f aca="false">Saida!R156</f>
        <v>11.2</v>
      </c>
      <c r="K166" s="62" t="n">
        <f aca="false">I166-J166</f>
        <v>-11.2</v>
      </c>
      <c r="L166" s="61" t="s">
        <v>496</v>
      </c>
      <c r="M166" s="61" t="s">
        <v>497</v>
      </c>
      <c r="N166" s="61" t="s">
        <v>498</v>
      </c>
      <c r="O166" s="61" t="s">
        <v>269</v>
      </c>
    </row>
    <row r="167" customFormat="false" ht="15" hidden="false" customHeight="false" outlineLevel="0" collapsed="false">
      <c r="A167" s="60" t="n">
        <v>46284</v>
      </c>
      <c r="B167" s="61" t="s">
        <v>13</v>
      </c>
      <c r="C167" s="61" t="s">
        <v>41</v>
      </c>
      <c r="D167" s="61" t="s">
        <v>62</v>
      </c>
      <c r="E167" s="61" t="s">
        <v>141</v>
      </c>
      <c r="F167" s="61" t="s">
        <v>246</v>
      </c>
      <c r="G167" s="61" t="s">
        <v>4</v>
      </c>
      <c r="H167" s="62" t="n">
        <f aca="false">Saida!H157</f>
        <v>-5.6</v>
      </c>
      <c r="I167" s="62" t="n">
        <v>0</v>
      </c>
      <c r="J167" s="62" t="n">
        <f aca="false">Saida!R157</f>
        <v>5.6</v>
      </c>
      <c r="K167" s="62" t="n">
        <f aca="false">I167-J167</f>
        <v>-5.6</v>
      </c>
      <c r="L167" s="61" t="s">
        <v>484</v>
      </c>
      <c r="M167" s="61" t="s">
        <v>485</v>
      </c>
      <c r="N167" s="61" t="s">
        <v>486</v>
      </c>
      <c r="O167" s="61" t="s">
        <v>269</v>
      </c>
    </row>
    <row r="168" customFormat="false" ht="15" hidden="false" customHeight="false" outlineLevel="0" collapsed="false">
      <c r="A168" s="60" t="n">
        <v>46284</v>
      </c>
      <c r="B168" s="61" t="s">
        <v>13</v>
      </c>
      <c r="C168" s="61" t="s">
        <v>41</v>
      </c>
      <c r="D168" s="61" t="s">
        <v>62</v>
      </c>
      <c r="E168" s="61" t="s">
        <v>141</v>
      </c>
      <c r="F168" s="61" t="s">
        <v>246</v>
      </c>
      <c r="G168" s="61" t="s">
        <v>4</v>
      </c>
      <c r="H168" s="62" t="n">
        <f aca="false">Saida!H158</f>
        <v>-16.8</v>
      </c>
      <c r="I168" s="62" t="n">
        <v>0</v>
      </c>
      <c r="J168" s="62" t="n">
        <f aca="false">Saida!R158</f>
        <v>16.8</v>
      </c>
      <c r="K168" s="62" t="n">
        <f aca="false">I168-J168</f>
        <v>-16.8</v>
      </c>
      <c r="L168" s="61" t="s">
        <v>468</v>
      </c>
      <c r="M168" s="61" t="s">
        <v>469</v>
      </c>
      <c r="N168" s="61" t="s">
        <v>470</v>
      </c>
      <c r="O168" s="61" t="s">
        <v>275</v>
      </c>
    </row>
    <row r="169" customFormat="false" ht="15" hidden="false" customHeight="false" outlineLevel="0" collapsed="false">
      <c r="A169" s="60" t="n">
        <v>46284</v>
      </c>
      <c r="B169" s="61" t="s">
        <v>13</v>
      </c>
      <c r="C169" s="61" t="s">
        <v>75</v>
      </c>
      <c r="D169" s="61" t="s">
        <v>143</v>
      </c>
      <c r="E169" s="61" t="s">
        <v>173</v>
      </c>
      <c r="F169" s="61" t="s">
        <v>246</v>
      </c>
      <c r="G169" s="61" t="s">
        <v>4</v>
      </c>
      <c r="H169" s="62" t="n">
        <f aca="false">Saida!H259</f>
        <v>-4</v>
      </c>
      <c r="I169" s="62" t="n">
        <v>0</v>
      </c>
      <c r="J169" s="62" t="n">
        <f aca="false">Saida!R259</f>
        <v>4</v>
      </c>
      <c r="K169" s="62" t="n">
        <f aca="false">I169-J169</f>
        <v>-4</v>
      </c>
      <c r="L169" s="61" t="s">
        <v>475</v>
      </c>
      <c r="M169" s="61" t="s">
        <v>476</v>
      </c>
      <c r="N169" s="61" t="s">
        <v>477</v>
      </c>
      <c r="O169" s="61" t="s">
        <v>474</v>
      </c>
    </row>
    <row r="170" customFormat="false" ht="15" hidden="false" customHeight="false" outlineLevel="0" collapsed="false">
      <c r="A170" s="60" t="n">
        <v>46284</v>
      </c>
      <c r="B170" s="61" t="s">
        <v>13</v>
      </c>
      <c r="C170" s="61" t="s">
        <v>75</v>
      </c>
      <c r="D170" s="61" t="s">
        <v>143</v>
      </c>
      <c r="E170" s="61" t="s">
        <v>173</v>
      </c>
      <c r="F170" s="61" t="s">
        <v>246</v>
      </c>
      <c r="G170" s="61" t="s">
        <v>4</v>
      </c>
      <c r="H170" s="62" t="n">
        <f aca="false">Saida!H260</f>
        <v>-4</v>
      </c>
      <c r="I170" s="62" t="n">
        <v>0</v>
      </c>
      <c r="J170" s="62" t="n">
        <f aca="false">Saida!R260</f>
        <v>4</v>
      </c>
      <c r="K170" s="62" t="n">
        <f aca="false">I170-J170</f>
        <v>-4</v>
      </c>
      <c r="L170" s="61" t="s">
        <v>499</v>
      </c>
      <c r="M170" s="61" t="s">
        <v>500</v>
      </c>
      <c r="N170" s="61" t="s">
        <v>501</v>
      </c>
      <c r="O170" s="61" t="s">
        <v>269</v>
      </c>
    </row>
    <row r="171" customFormat="false" ht="15" hidden="false" customHeight="false" outlineLevel="0" collapsed="false">
      <c r="A171" s="60" t="n">
        <v>46284</v>
      </c>
      <c r="B171" s="61" t="s">
        <v>13</v>
      </c>
      <c r="C171" s="61" t="s">
        <v>81</v>
      </c>
      <c r="D171" s="61" t="s">
        <v>145</v>
      </c>
      <c r="E171" s="61" t="s">
        <v>144</v>
      </c>
      <c r="F171" s="61" t="s">
        <v>246</v>
      </c>
      <c r="G171" s="61" t="s">
        <v>4</v>
      </c>
      <c r="H171" s="62" t="n">
        <f aca="false">Saida!H279</f>
        <v>-6</v>
      </c>
      <c r="I171" s="62" t="n">
        <v>0</v>
      </c>
      <c r="J171" s="62" t="n">
        <f aca="false">Saida!R279</f>
        <v>6</v>
      </c>
      <c r="K171" s="62" t="n">
        <f aca="false">I171-J171</f>
        <v>-6</v>
      </c>
      <c r="L171" s="61" t="s">
        <v>481</v>
      </c>
      <c r="M171" s="61" t="s">
        <v>482</v>
      </c>
      <c r="N171" s="61" t="s">
        <v>483</v>
      </c>
      <c r="O171" s="61" t="s">
        <v>269</v>
      </c>
    </row>
    <row r="172" customFormat="false" ht="15" hidden="false" customHeight="false" outlineLevel="0" collapsed="false">
      <c r="A172" s="60" t="n">
        <v>46284</v>
      </c>
      <c r="B172" s="61" t="s">
        <v>13</v>
      </c>
      <c r="C172" s="61" t="s">
        <v>81</v>
      </c>
      <c r="D172" s="61" t="s">
        <v>145</v>
      </c>
      <c r="E172" s="61" t="s">
        <v>144</v>
      </c>
      <c r="F172" s="61" t="s">
        <v>246</v>
      </c>
      <c r="G172" s="61" t="s">
        <v>4</v>
      </c>
      <c r="H172" s="62" t="n">
        <f aca="false">Saida!H280</f>
        <v>-12</v>
      </c>
      <c r="I172" s="62" t="n">
        <v>0</v>
      </c>
      <c r="J172" s="62" t="n">
        <f aca="false">Saida!R280</f>
        <v>12</v>
      </c>
      <c r="K172" s="62" t="n">
        <f aca="false">I172-J172</f>
        <v>-12</v>
      </c>
      <c r="L172" s="61" t="s">
        <v>487</v>
      </c>
      <c r="M172" s="61" t="s">
        <v>488</v>
      </c>
      <c r="N172" s="61" t="s">
        <v>489</v>
      </c>
      <c r="O172" s="61" t="s">
        <v>275</v>
      </c>
    </row>
    <row r="173" customFormat="false" ht="15" hidden="false" customHeight="false" outlineLevel="0" collapsed="false">
      <c r="A173" s="60" t="n">
        <v>46284</v>
      </c>
      <c r="B173" s="61" t="s">
        <v>13</v>
      </c>
      <c r="C173" s="61" t="s">
        <v>157</v>
      </c>
      <c r="D173" s="61" t="s">
        <v>158</v>
      </c>
      <c r="E173" s="61" t="s">
        <v>119</v>
      </c>
      <c r="F173" s="61" t="s">
        <v>246</v>
      </c>
      <c r="G173" s="61" t="s">
        <v>4</v>
      </c>
      <c r="H173" s="62" t="n">
        <f aca="false">Saida!H393</f>
        <v>-40.2</v>
      </c>
      <c r="I173" s="62" t="n">
        <v>0</v>
      </c>
      <c r="J173" s="62" t="n">
        <f aca="false">Saida!R393</f>
        <v>40.2</v>
      </c>
      <c r="K173" s="62" t="n">
        <f aca="false">I173-J173</f>
        <v>-40.2</v>
      </c>
      <c r="L173" s="61" t="s">
        <v>487</v>
      </c>
      <c r="M173" s="61" t="s">
        <v>488</v>
      </c>
      <c r="N173" s="61" t="s">
        <v>489</v>
      </c>
      <c r="O173" s="61" t="s">
        <v>275</v>
      </c>
    </row>
    <row r="174" customFormat="false" ht="15" hidden="false" customHeight="false" outlineLevel="0" collapsed="false">
      <c r="A174" s="60" t="n">
        <v>46285</v>
      </c>
      <c r="B174" s="61" t="s">
        <v>13</v>
      </c>
      <c r="C174" s="61" t="s">
        <v>23</v>
      </c>
      <c r="D174" s="61" t="s">
        <v>24</v>
      </c>
      <c r="E174" s="61" t="s">
        <v>141</v>
      </c>
      <c r="F174" s="61" t="s">
        <v>246</v>
      </c>
      <c r="G174" s="61" t="s">
        <v>4</v>
      </c>
      <c r="H174" s="62" t="n">
        <f aca="false">Saida!H65</f>
        <v>-8.4</v>
      </c>
      <c r="I174" s="62" t="n">
        <v>0</v>
      </c>
      <c r="J174" s="62" t="n">
        <f aca="false">Saida!R65</f>
        <v>8.4</v>
      </c>
      <c r="K174" s="62" t="n">
        <f aca="false">I174-J174</f>
        <v>-8.4</v>
      </c>
      <c r="L174" s="61" t="s">
        <v>502</v>
      </c>
      <c r="M174" s="61" t="s">
        <v>503</v>
      </c>
      <c r="N174" s="61" t="s">
        <v>504</v>
      </c>
      <c r="O174" s="61" t="s">
        <v>250</v>
      </c>
    </row>
    <row r="175" customFormat="false" ht="15" hidden="false" customHeight="false" outlineLevel="0" collapsed="false">
      <c r="A175" s="60" t="n">
        <v>46285</v>
      </c>
      <c r="B175" s="61" t="s">
        <v>13</v>
      </c>
      <c r="C175" s="61" t="s">
        <v>23</v>
      </c>
      <c r="D175" s="61" t="s">
        <v>24</v>
      </c>
      <c r="E175" s="61" t="s">
        <v>141</v>
      </c>
      <c r="F175" s="61" t="s">
        <v>246</v>
      </c>
      <c r="G175" s="61" t="s">
        <v>4</v>
      </c>
      <c r="H175" s="62" t="n">
        <f aca="false">Saida!H66</f>
        <v>-5.6</v>
      </c>
      <c r="I175" s="62" t="n">
        <v>0</v>
      </c>
      <c r="J175" s="62" t="n">
        <f aca="false">Saida!R66</f>
        <v>5.6</v>
      </c>
      <c r="K175" s="62" t="n">
        <f aca="false">I175-J175</f>
        <v>-5.6</v>
      </c>
      <c r="L175" s="61" t="s">
        <v>505</v>
      </c>
      <c r="M175" s="61" t="s">
        <v>506</v>
      </c>
      <c r="N175" s="61" t="s">
        <v>507</v>
      </c>
      <c r="O175" s="61" t="s">
        <v>250</v>
      </c>
    </row>
    <row r="176" customFormat="false" ht="15" hidden="false" customHeight="false" outlineLevel="0" collapsed="false">
      <c r="A176" s="60" t="n">
        <v>46285</v>
      </c>
      <c r="B176" s="61" t="s">
        <v>13</v>
      </c>
      <c r="C176" s="61" t="s">
        <v>23</v>
      </c>
      <c r="D176" s="61" t="s">
        <v>24</v>
      </c>
      <c r="E176" s="61" t="s">
        <v>141</v>
      </c>
      <c r="F176" s="61" t="s">
        <v>246</v>
      </c>
      <c r="G176" s="61" t="s">
        <v>4</v>
      </c>
      <c r="H176" s="62" t="n">
        <f aca="false">Saida!H67</f>
        <v>-14</v>
      </c>
      <c r="I176" s="62" t="n">
        <v>0</v>
      </c>
      <c r="J176" s="62" t="n">
        <f aca="false">Saida!R67</f>
        <v>14</v>
      </c>
      <c r="K176" s="62" t="n">
        <f aca="false">I176-J176</f>
        <v>-14</v>
      </c>
      <c r="L176" s="61" t="s">
        <v>508</v>
      </c>
      <c r="M176" s="61" t="s">
        <v>509</v>
      </c>
      <c r="N176" s="61" t="s">
        <v>510</v>
      </c>
      <c r="O176" s="61" t="s">
        <v>269</v>
      </c>
    </row>
    <row r="177" customFormat="false" ht="15" hidden="false" customHeight="false" outlineLevel="0" collapsed="false">
      <c r="A177" s="60" t="n">
        <v>46285</v>
      </c>
      <c r="B177" s="61" t="s">
        <v>13</v>
      </c>
      <c r="C177" s="61" t="s">
        <v>27</v>
      </c>
      <c r="D177" s="61" t="s">
        <v>30</v>
      </c>
      <c r="E177" s="61" t="s">
        <v>119</v>
      </c>
      <c r="F177" s="61" t="s">
        <v>246</v>
      </c>
      <c r="G177" s="61" t="s">
        <v>4</v>
      </c>
      <c r="H177" s="62" t="n">
        <f aca="false">Saida!H84</f>
        <v>-100.5</v>
      </c>
      <c r="I177" s="62" t="n">
        <v>0</v>
      </c>
      <c r="J177" s="62" t="n">
        <f aca="false">Saida!R84</f>
        <v>100.5</v>
      </c>
      <c r="K177" s="62" t="n">
        <f aca="false">I177-J177</f>
        <v>-100.5</v>
      </c>
      <c r="L177" s="61" t="s">
        <v>511</v>
      </c>
      <c r="M177" s="61" t="s">
        <v>512</v>
      </c>
      <c r="N177" s="61" t="s">
        <v>513</v>
      </c>
      <c r="O177" s="61" t="s">
        <v>250</v>
      </c>
    </row>
    <row r="178" customFormat="false" ht="15" hidden="false" customHeight="false" outlineLevel="0" collapsed="false">
      <c r="A178" s="60" t="n">
        <v>46285</v>
      </c>
      <c r="B178" s="61" t="s">
        <v>13</v>
      </c>
      <c r="C178" s="61" t="s">
        <v>29</v>
      </c>
      <c r="D178" s="61" t="s">
        <v>34</v>
      </c>
      <c r="E178" s="61" t="s">
        <v>141</v>
      </c>
      <c r="F178" s="61" t="s">
        <v>246</v>
      </c>
      <c r="G178" s="61" t="s">
        <v>4</v>
      </c>
      <c r="H178" s="62" t="n">
        <f aca="false">Saida!H96</f>
        <v>-19.6</v>
      </c>
      <c r="I178" s="62" t="n">
        <v>0</v>
      </c>
      <c r="J178" s="62" t="n">
        <f aca="false">Saida!R96</f>
        <v>19.6</v>
      </c>
      <c r="K178" s="62" t="n">
        <f aca="false">I178-J178</f>
        <v>-19.6</v>
      </c>
      <c r="L178" s="61" t="s">
        <v>508</v>
      </c>
      <c r="M178" s="61" t="s">
        <v>509</v>
      </c>
      <c r="N178" s="61" t="s">
        <v>510</v>
      </c>
      <c r="O178" s="61" t="s">
        <v>269</v>
      </c>
    </row>
    <row r="179" customFormat="false" ht="15" hidden="false" customHeight="false" outlineLevel="0" collapsed="false">
      <c r="A179" s="60" t="n">
        <v>46285</v>
      </c>
      <c r="B179" s="61" t="s">
        <v>13</v>
      </c>
      <c r="C179" s="61" t="s">
        <v>41</v>
      </c>
      <c r="D179" s="61" t="s">
        <v>62</v>
      </c>
      <c r="E179" s="61" t="s">
        <v>141</v>
      </c>
      <c r="F179" s="61" t="s">
        <v>246</v>
      </c>
      <c r="G179" s="61" t="s">
        <v>4</v>
      </c>
      <c r="H179" s="62" t="n">
        <f aca="false">Saida!H149</f>
        <v>-8.4</v>
      </c>
      <c r="I179" s="62" t="n">
        <v>0</v>
      </c>
      <c r="J179" s="62" t="n">
        <f aca="false">Saida!R149</f>
        <v>8.4</v>
      </c>
      <c r="K179" s="62" t="n">
        <f aca="false">I179-J179</f>
        <v>-8.4</v>
      </c>
      <c r="L179" s="61" t="s">
        <v>502</v>
      </c>
      <c r="M179" s="61" t="s">
        <v>503</v>
      </c>
      <c r="N179" s="61" t="s">
        <v>504</v>
      </c>
      <c r="O179" s="61" t="s">
        <v>250</v>
      </c>
    </row>
    <row r="180" customFormat="false" ht="15" hidden="false" customHeight="false" outlineLevel="0" collapsed="false">
      <c r="A180" s="60" t="n">
        <v>46285</v>
      </c>
      <c r="B180" s="61" t="s">
        <v>13</v>
      </c>
      <c r="C180" s="61" t="s">
        <v>75</v>
      </c>
      <c r="D180" s="61" t="s">
        <v>143</v>
      </c>
      <c r="E180" s="61" t="s">
        <v>173</v>
      </c>
      <c r="F180" s="61" t="s">
        <v>246</v>
      </c>
      <c r="G180" s="61" t="s">
        <v>4</v>
      </c>
      <c r="H180" s="62" t="n">
        <f aca="false">Saida!H258</f>
        <v>-4</v>
      </c>
      <c r="I180" s="62" t="n">
        <v>0</v>
      </c>
      <c r="J180" s="62" t="n">
        <f aca="false">Saida!R258</f>
        <v>4</v>
      </c>
      <c r="K180" s="62" t="n">
        <f aca="false">I180-J180</f>
        <v>-4</v>
      </c>
      <c r="L180" s="61" t="s">
        <v>508</v>
      </c>
      <c r="M180" s="61" t="s">
        <v>509</v>
      </c>
      <c r="N180" s="61" t="s">
        <v>510</v>
      </c>
      <c r="O180" s="61" t="s">
        <v>269</v>
      </c>
    </row>
    <row r="181" customFormat="false" ht="15" hidden="false" customHeight="false" outlineLevel="0" collapsed="false">
      <c r="A181" s="60" t="n">
        <v>46285</v>
      </c>
      <c r="B181" s="61" t="s">
        <v>13</v>
      </c>
      <c r="C181" s="61" t="s">
        <v>81</v>
      </c>
      <c r="D181" s="61" t="s">
        <v>145</v>
      </c>
      <c r="E181" s="61" t="s">
        <v>144</v>
      </c>
      <c r="F181" s="61" t="s">
        <v>246</v>
      </c>
      <c r="G181" s="61" t="s">
        <v>4</v>
      </c>
      <c r="H181" s="62" t="n">
        <f aca="false">Saida!H276</f>
        <v>-30</v>
      </c>
      <c r="I181" s="62" t="n">
        <v>0</v>
      </c>
      <c r="J181" s="62" t="n">
        <f aca="false">Saida!R276</f>
        <v>30</v>
      </c>
      <c r="K181" s="62" t="n">
        <f aca="false">I181-J181</f>
        <v>-30</v>
      </c>
      <c r="L181" s="61" t="s">
        <v>514</v>
      </c>
      <c r="M181" s="61" t="s">
        <v>515</v>
      </c>
      <c r="N181" s="61" t="s">
        <v>516</v>
      </c>
      <c r="O181" s="61" t="s">
        <v>250</v>
      </c>
    </row>
    <row r="182" customFormat="false" ht="15" hidden="false" customHeight="false" outlineLevel="0" collapsed="false">
      <c r="A182" s="60" t="n">
        <v>46285</v>
      </c>
      <c r="B182" s="61" t="s">
        <v>13</v>
      </c>
      <c r="C182" s="61" t="s">
        <v>81</v>
      </c>
      <c r="D182" s="61" t="s">
        <v>145</v>
      </c>
      <c r="E182" s="61" t="s">
        <v>144</v>
      </c>
      <c r="F182" s="61" t="s">
        <v>246</v>
      </c>
      <c r="G182" s="61" t="s">
        <v>4</v>
      </c>
      <c r="H182" s="62" t="n">
        <f aca="false">Saida!H277</f>
        <v>-6</v>
      </c>
      <c r="I182" s="62" t="n">
        <v>0</v>
      </c>
      <c r="J182" s="62" t="n">
        <f aca="false">Saida!R277</f>
        <v>6</v>
      </c>
      <c r="K182" s="62" t="n">
        <f aca="false">I182-J182</f>
        <v>-6</v>
      </c>
      <c r="L182" s="61" t="s">
        <v>517</v>
      </c>
      <c r="M182" s="61" t="s">
        <v>518</v>
      </c>
      <c r="N182" s="61" t="s">
        <v>519</v>
      </c>
      <c r="O182" s="61" t="s">
        <v>250</v>
      </c>
    </row>
    <row r="183" customFormat="false" ht="15" hidden="false" customHeight="false" outlineLevel="0" collapsed="false">
      <c r="A183" s="60" t="n">
        <v>46285</v>
      </c>
      <c r="B183" s="61" t="s">
        <v>13</v>
      </c>
      <c r="C183" s="61" t="s">
        <v>81</v>
      </c>
      <c r="D183" s="61" t="s">
        <v>145</v>
      </c>
      <c r="E183" s="61" t="s">
        <v>144</v>
      </c>
      <c r="F183" s="61" t="s">
        <v>246</v>
      </c>
      <c r="G183" s="61" t="s">
        <v>4</v>
      </c>
      <c r="H183" s="62" t="n">
        <f aca="false">Saida!H278</f>
        <v>-60</v>
      </c>
      <c r="I183" s="62" t="n">
        <v>0</v>
      </c>
      <c r="J183" s="62" t="n">
        <f aca="false">Saida!R278</f>
        <v>60</v>
      </c>
      <c r="K183" s="62" t="n">
        <f aca="false">I183-J183</f>
        <v>-60</v>
      </c>
      <c r="L183" s="61" t="s">
        <v>520</v>
      </c>
      <c r="M183" s="61" t="s">
        <v>521</v>
      </c>
      <c r="N183" s="61" t="s">
        <v>522</v>
      </c>
      <c r="O183" s="61" t="s">
        <v>523</v>
      </c>
    </row>
    <row r="184" customFormat="false" ht="15" hidden="false" customHeight="false" outlineLevel="0" collapsed="false">
      <c r="A184" s="60" t="n">
        <v>46285</v>
      </c>
      <c r="B184" s="61" t="s">
        <v>13</v>
      </c>
      <c r="C184" s="61" t="s">
        <v>104</v>
      </c>
      <c r="D184" s="61" t="s">
        <v>166</v>
      </c>
      <c r="E184" s="61" t="s">
        <v>165</v>
      </c>
      <c r="F184" s="61" t="s">
        <v>246</v>
      </c>
      <c r="G184" s="61" t="s">
        <v>4</v>
      </c>
      <c r="H184" s="62" t="n">
        <f aca="false">Saida!H298</f>
        <v>-6</v>
      </c>
      <c r="I184" s="62" t="n">
        <v>0</v>
      </c>
      <c r="J184" s="62" t="n">
        <f aca="false">Saida!R298</f>
        <v>6</v>
      </c>
      <c r="K184" s="62" t="n">
        <f aca="false">I184-J184</f>
        <v>-6</v>
      </c>
      <c r="L184" s="61" t="s">
        <v>508</v>
      </c>
      <c r="M184" s="61" t="s">
        <v>509</v>
      </c>
      <c r="N184" s="61" t="s">
        <v>510</v>
      </c>
      <c r="O184" s="61" t="s">
        <v>269</v>
      </c>
    </row>
    <row r="185" customFormat="false" ht="15" hidden="false" customHeight="false" outlineLevel="0" collapsed="false">
      <c r="A185" s="60" t="n">
        <v>46285</v>
      </c>
      <c r="B185" s="61" t="s">
        <v>13</v>
      </c>
      <c r="C185" s="61" t="s">
        <v>110</v>
      </c>
      <c r="D185" s="61" t="s">
        <v>177</v>
      </c>
      <c r="E185" s="61" t="s">
        <v>119</v>
      </c>
      <c r="F185" s="61" t="s">
        <v>246</v>
      </c>
      <c r="G185" s="61" t="s">
        <v>4</v>
      </c>
      <c r="H185" s="62" t="n">
        <f aca="false">Saida!H344</f>
        <v>-20.1</v>
      </c>
      <c r="I185" s="62" t="n">
        <v>0</v>
      </c>
      <c r="J185" s="62" t="n">
        <f aca="false">Saida!R344</f>
        <v>20.1</v>
      </c>
      <c r="K185" s="62" t="n">
        <f aca="false">I185-J185</f>
        <v>-20.1</v>
      </c>
      <c r="L185" s="61" t="s">
        <v>524</v>
      </c>
      <c r="M185" s="61" t="s">
        <v>509</v>
      </c>
      <c r="N185" s="61" t="s">
        <v>510</v>
      </c>
      <c r="O185" s="61" t="s">
        <v>269</v>
      </c>
    </row>
    <row r="186" customFormat="false" ht="15" hidden="false" customHeight="false" outlineLevel="0" collapsed="false">
      <c r="A186" s="60" t="n">
        <v>46285</v>
      </c>
      <c r="B186" s="61" t="s">
        <v>13</v>
      </c>
      <c r="C186" s="61" t="s">
        <v>110</v>
      </c>
      <c r="D186" s="61" t="s">
        <v>177</v>
      </c>
      <c r="E186" s="61" t="s">
        <v>119</v>
      </c>
      <c r="F186" s="61" t="s">
        <v>246</v>
      </c>
      <c r="G186" s="61" t="s">
        <v>4</v>
      </c>
      <c r="H186" s="62" t="n">
        <f aca="false">Saida!H345</f>
        <v>-20.1</v>
      </c>
      <c r="I186" s="62" t="n">
        <v>0</v>
      </c>
      <c r="J186" s="62" t="n">
        <f aca="false">Saida!R345</f>
        <v>20.1</v>
      </c>
      <c r="K186" s="62" t="n">
        <f aca="false">I186-J186</f>
        <v>-20.1</v>
      </c>
      <c r="L186" s="61" t="s">
        <v>525</v>
      </c>
      <c r="M186" s="61" t="s">
        <v>526</v>
      </c>
      <c r="N186" s="61" t="s">
        <v>527</v>
      </c>
      <c r="O186" s="61" t="s">
        <v>523</v>
      </c>
    </row>
    <row r="187" customFormat="false" ht="15" hidden="false" customHeight="false" outlineLevel="0" collapsed="false">
      <c r="A187" s="60" t="n">
        <v>46286</v>
      </c>
      <c r="B187" s="61" t="s">
        <v>13</v>
      </c>
      <c r="C187" s="61" t="s">
        <v>23</v>
      </c>
      <c r="D187" s="61" t="s">
        <v>24</v>
      </c>
      <c r="E187" s="61" t="s">
        <v>141</v>
      </c>
      <c r="F187" s="61" t="s">
        <v>246</v>
      </c>
      <c r="G187" s="61" t="s">
        <v>4</v>
      </c>
      <c r="H187" s="62" t="n">
        <f aca="false">Saida!H63</f>
        <v>-2.8</v>
      </c>
      <c r="I187" s="62" t="n">
        <v>0</v>
      </c>
      <c r="J187" s="62" t="n">
        <f aca="false">Saida!R63</f>
        <v>2.8</v>
      </c>
      <c r="K187" s="62" t="n">
        <f aca="false">I187-J187</f>
        <v>-2.8</v>
      </c>
      <c r="L187" s="61" t="s">
        <v>528</v>
      </c>
      <c r="M187" s="61" t="s">
        <v>529</v>
      </c>
      <c r="N187" s="61" t="s">
        <v>530</v>
      </c>
      <c r="O187" s="61" t="s">
        <v>338</v>
      </c>
    </row>
    <row r="188" customFormat="false" ht="15" hidden="false" customHeight="false" outlineLevel="0" collapsed="false">
      <c r="A188" s="60" t="n">
        <v>46286</v>
      </c>
      <c r="B188" s="61" t="s">
        <v>13</v>
      </c>
      <c r="C188" s="61" t="s">
        <v>23</v>
      </c>
      <c r="D188" s="61" t="s">
        <v>24</v>
      </c>
      <c r="E188" s="61" t="s">
        <v>141</v>
      </c>
      <c r="F188" s="61" t="s">
        <v>246</v>
      </c>
      <c r="G188" s="61" t="s">
        <v>4</v>
      </c>
      <c r="H188" s="62" t="n">
        <f aca="false">Saida!H64</f>
        <v>-5.6</v>
      </c>
      <c r="I188" s="62" t="n">
        <v>0</v>
      </c>
      <c r="J188" s="62" t="n">
        <f aca="false">Saida!R64</f>
        <v>5.6</v>
      </c>
      <c r="K188" s="62" t="n">
        <f aca="false">I188-J188</f>
        <v>-5.6</v>
      </c>
      <c r="L188" s="61" t="s">
        <v>531</v>
      </c>
      <c r="M188" s="61" t="s">
        <v>532</v>
      </c>
      <c r="N188" s="61" t="s">
        <v>533</v>
      </c>
      <c r="O188" s="61" t="s">
        <v>338</v>
      </c>
    </row>
    <row r="189" customFormat="false" ht="15" hidden="false" customHeight="false" outlineLevel="0" collapsed="false">
      <c r="A189" s="60" t="n">
        <v>46286</v>
      </c>
      <c r="B189" s="61" t="s">
        <v>13</v>
      </c>
      <c r="C189" s="61" t="s">
        <v>27</v>
      </c>
      <c r="D189" s="61" t="s">
        <v>30</v>
      </c>
      <c r="E189" s="61" t="s">
        <v>119</v>
      </c>
      <c r="F189" s="61" t="s">
        <v>246</v>
      </c>
      <c r="G189" s="61" t="s">
        <v>4</v>
      </c>
      <c r="H189" s="62" t="n">
        <f aca="false">Saida!H83</f>
        <v>-20.1</v>
      </c>
      <c r="I189" s="62" t="n">
        <v>0</v>
      </c>
      <c r="J189" s="62" t="n">
        <f aca="false">Saida!R83</f>
        <v>20.1</v>
      </c>
      <c r="K189" s="62" t="n">
        <f aca="false">I189-J189</f>
        <v>-20.1</v>
      </c>
      <c r="L189" s="61" t="s">
        <v>534</v>
      </c>
      <c r="M189" s="61" t="s">
        <v>353</v>
      </c>
      <c r="N189" s="61" t="s">
        <v>354</v>
      </c>
      <c r="O189" s="61" t="s">
        <v>338</v>
      </c>
    </row>
    <row r="190" customFormat="false" ht="15" hidden="false" customHeight="false" outlineLevel="0" collapsed="false">
      <c r="A190" s="60" t="n">
        <v>46286</v>
      </c>
      <c r="B190" s="61" t="s">
        <v>13</v>
      </c>
      <c r="C190" s="61" t="s">
        <v>29</v>
      </c>
      <c r="D190" s="61" t="s">
        <v>34</v>
      </c>
      <c r="E190" s="61" t="s">
        <v>141</v>
      </c>
      <c r="F190" s="61" t="s">
        <v>246</v>
      </c>
      <c r="G190" s="61" t="s">
        <v>4</v>
      </c>
      <c r="H190" s="62" t="n">
        <f aca="false">Saida!H92</f>
        <v>-5.6</v>
      </c>
      <c r="I190" s="62" t="n">
        <v>0</v>
      </c>
      <c r="J190" s="62" t="n">
        <f aca="false">Saida!R92</f>
        <v>5.6</v>
      </c>
      <c r="K190" s="62" t="n">
        <f aca="false">I190-J190</f>
        <v>-5.6</v>
      </c>
      <c r="L190" s="61" t="s">
        <v>535</v>
      </c>
      <c r="M190" s="61" t="s">
        <v>536</v>
      </c>
      <c r="N190" s="61" t="s">
        <v>537</v>
      </c>
      <c r="O190" s="61" t="s">
        <v>338</v>
      </c>
    </row>
    <row r="191" customFormat="false" ht="15" hidden="false" customHeight="false" outlineLevel="0" collapsed="false">
      <c r="A191" s="60" t="n">
        <v>46286</v>
      </c>
      <c r="B191" s="61" t="s">
        <v>13</v>
      </c>
      <c r="C191" s="61" t="s">
        <v>29</v>
      </c>
      <c r="D191" s="61" t="s">
        <v>34</v>
      </c>
      <c r="E191" s="61" t="s">
        <v>141</v>
      </c>
      <c r="F191" s="61" t="s">
        <v>246</v>
      </c>
      <c r="G191" s="61" t="s">
        <v>4</v>
      </c>
      <c r="H191" s="62" t="n">
        <f aca="false">Saida!H93</f>
        <v>-2.8</v>
      </c>
      <c r="I191" s="62" t="n">
        <v>0</v>
      </c>
      <c r="J191" s="62" t="n">
        <f aca="false">Saida!R93</f>
        <v>2.8</v>
      </c>
      <c r="K191" s="62" t="n">
        <f aca="false">I191-J191</f>
        <v>-2.8</v>
      </c>
      <c r="L191" s="61" t="s">
        <v>538</v>
      </c>
      <c r="M191" s="61" t="s">
        <v>539</v>
      </c>
      <c r="N191" s="61" t="s">
        <v>540</v>
      </c>
      <c r="O191" s="61" t="s">
        <v>250</v>
      </c>
    </row>
    <row r="192" customFormat="false" ht="15" hidden="false" customHeight="false" outlineLevel="0" collapsed="false">
      <c r="A192" s="60" t="n">
        <v>46286</v>
      </c>
      <c r="B192" s="61" t="s">
        <v>13</v>
      </c>
      <c r="C192" s="61" t="s">
        <v>29</v>
      </c>
      <c r="D192" s="61" t="s">
        <v>34</v>
      </c>
      <c r="E192" s="61" t="s">
        <v>141</v>
      </c>
      <c r="F192" s="61" t="s">
        <v>246</v>
      </c>
      <c r="G192" s="61" t="s">
        <v>4</v>
      </c>
      <c r="H192" s="62" t="n">
        <f aca="false">Saida!H94</f>
        <v>-2.8</v>
      </c>
      <c r="I192" s="62" t="n">
        <v>0</v>
      </c>
      <c r="J192" s="62" t="n">
        <f aca="false">Saida!R94</f>
        <v>2.8</v>
      </c>
      <c r="K192" s="62" t="n">
        <f aca="false">I192-J192</f>
        <v>-2.8</v>
      </c>
      <c r="L192" s="61" t="s">
        <v>528</v>
      </c>
      <c r="M192" s="61" t="s">
        <v>529</v>
      </c>
      <c r="N192" s="61" t="s">
        <v>530</v>
      </c>
      <c r="O192" s="61" t="s">
        <v>338</v>
      </c>
    </row>
    <row r="193" customFormat="false" ht="15" hidden="false" customHeight="false" outlineLevel="0" collapsed="false">
      <c r="A193" s="60" t="n">
        <v>46286</v>
      </c>
      <c r="B193" s="61" t="s">
        <v>13</v>
      </c>
      <c r="C193" s="61" t="s">
        <v>29</v>
      </c>
      <c r="D193" s="61" t="s">
        <v>34</v>
      </c>
      <c r="E193" s="61" t="s">
        <v>141</v>
      </c>
      <c r="F193" s="61" t="s">
        <v>246</v>
      </c>
      <c r="G193" s="61" t="s">
        <v>4</v>
      </c>
      <c r="H193" s="62" t="n">
        <f aca="false">Saida!H95</f>
        <v>-61.6</v>
      </c>
      <c r="I193" s="62" t="n">
        <v>0</v>
      </c>
      <c r="J193" s="62" t="n">
        <f aca="false">Saida!R95</f>
        <v>61.6</v>
      </c>
      <c r="K193" s="62" t="n">
        <f aca="false">I193-J193</f>
        <v>-61.6</v>
      </c>
      <c r="L193" s="61" t="s">
        <v>541</v>
      </c>
      <c r="M193" s="61" t="s">
        <v>347</v>
      </c>
      <c r="N193" s="61" t="s">
        <v>348</v>
      </c>
      <c r="O193" s="61" t="s">
        <v>338</v>
      </c>
    </row>
    <row r="194" customFormat="false" ht="15" hidden="false" customHeight="false" outlineLevel="0" collapsed="false">
      <c r="A194" s="60" t="n">
        <v>46286</v>
      </c>
      <c r="B194" s="61" t="s">
        <v>13</v>
      </c>
      <c r="C194" s="61" t="s">
        <v>41</v>
      </c>
      <c r="D194" s="61" t="s">
        <v>62</v>
      </c>
      <c r="E194" s="61" t="s">
        <v>141</v>
      </c>
      <c r="F194" s="61" t="s">
        <v>246</v>
      </c>
      <c r="G194" s="61" t="s">
        <v>4</v>
      </c>
      <c r="H194" s="62" t="n">
        <f aca="false">Saida!H144</f>
        <v>-2.8</v>
      </c>
      <c r="I194" s="62" t="n">
        <v>0</v>
      </c>
      <c r="J194" s="62" t="n">
        <f aca="false">Saida!R144</f>
        <v>2.8</v>
      </c>
      <c r="K194" s="62" t="n">
        <f aca="false">I194-J194</f>
        <v>-2.8</v>
      </c>
      <c r="L194" s="61" t="s">
        <v>528</v>
      </c>
      <c r="M194" s="61" t="s">
        <v>529</v>
      </c>
      <c r="N194" s="61" t="s">
        <v>530</v>
      </c>
      <c r="O194" s="61" t="s">
        <v>338</v>
      </c>
    </row>
    <row r="195" customFormat="false" ht="15" hidden="false" customHeight="false" outlineLevel="0" collapsed="false">
      <c r="A195" s="60" t="n">
        <v>46286</v>
      </c>
      <c r="B195" s="61" t="s">
        <v>13</v>
      </c>
      <c r="C195" s="61" t="s">
        <v>41</v>
      </c>
      <c r="D195" s="61" t="s">
        <v>62</v>
      </c>
      <c r="E195" s="61" t="s">
        <v>141</v>
      </c>
      <c r="F195" s="61" t="s">
        <v>246</v>
      </c>
      <c r="G195" s="61" t="s">
        <v>4</v>
      </c>
      <c r="H195" s="62" t="n">
        <f aca="false">Saida!H145</f>
        <v>-5.6</v>
      </c>
      <c r="I195" s="62" t="n">
        <v>0</v>
      </c>
      <c r="J195" s="62" t="n">
        <f aca="false">Saida!R145</f>
        <v>5.6</v>
      </c>
      <c r="K195" s="62" t="n">
        <f aca="false">I195-J195</f>
        <v>-5.6</v>
      </c>
      <c r="L195" s="61" t="s">
        <v>531</v>
      </c>
      <c r="M195" s="61" t="s">
        <v>532</v>
      </c>
      <c r="N195" s="61" t="s">
        <v>533</v>
      </c>
      <c r="O195" s="61" t="s">
        <v>338</v>
      </c>
    </row>
    <row r="196" customFormat="false" ht="15" hidden="false" customHeight="false" outlineLevel="0" collapsed="false">
      <c r="A196" s="60" t="n">
        <v>46286</v>
      </c>
      <c r="B196" s="61" t="s">
        <v>13</v>
      </c>
      <c r="C196" s="61" t="s">
        <v>41</v>
      </c>
      <c r="D196" s="61" t="s">
        <v>62</v>
      </c>
      <c r="E196" s="61" t="s">
        <v>141</v>
      </c>
      <c r="F196" s="61" t="s">
        <v>246</v>
      </c>
      <c r="G196" s="61" t="s">
        <v>4</v>
      </c>
      <c r="H196" s="62" t="n">
        <f aca="false">Saida!H146</f>
        <v>-56</v>
      </c>
      <c r="I196" s="62" t="n">
        <v>0</v>
      </c>
      <c r="J196" s="62" t="n">
        <f aca="false">Saida!R146</f>
        <v>56</v>
      </c>
      <c r="K196" s="62" t="n">
        <f aca="false">I196-J196</f>
        <v>-56</v>
      </c>
      <c r="L196" s="61" t="s">
        <v>541</v>
      </c>
      <c r="M196" s="61" t="s">
        <v>347</v>
      </c>
      <c r="N196" s="61" t="s">
        <v>348</v>
      </c>
      <c r="O196" s="61" t="s">
        <v>338</v>
      </c>
    </row>
    <row r="197" customFormat="false" ht="15" hidden="false" customHeight="false" outlineLevel="0" collapsed="false">
      <c r="A197" s="60" t="n">
        <v>46286</v>
      </c>
      <c r="B197" s="61" t="s">
        <v>13</v>
      </c>
      <c r="C197" s="61" t="s">
        <v>41</v>
      </c>
      <c r="D197" s="61" t="s">
        <v>62</v>
      </c>
      <c r="E197" s="61" t="s">
        <v>141</v>
      </c>
      <c r="F197" s="61" t="s">
        <v>246</v>
      </c>
      <c r="G197" s="61" t="s">
        <v>4</v>
      </c>
      <c r="H197" s="62" t="n">
        <f aca="false">Saida!H147</f>
        <v>-2.8</v>
      </c>
      <c r="I197" s="62" t="n">
        <v>0</v>
      </c>
      <c r="J197" s="62" t="n">
        <f aca="false">Saida!R147</f>
        <v>2.8</v>
      </c>
      <c r="K197" s="62" t="n">
        <f aca="false">I197-J197</f>
        <v>-2.8</v>
      </c>
      <c r="L197" s="61" t="s">
        <v>538</v>
      </c>
      <c r="M197" s="61" t="s">
        <v>539</v>
      </c>
      <c r="N197" s="61" t="s">
        <v>540</v>
      </c>
      <c r="O197" s="61" t="s">
        <v>250</v>
      </c>
    </row>
    <row r="198" customFormat="false" ht="15" hidden="false" customHeight="false" outlineLevel="0" collapsed="false">
      <c r="A198" s="60" t="n">
        <v>46286</v>
      </c>
      <c r="B198" s="61" t="s">
        <v>13</v>
      </c>
      <c r="C198" s="61" t="s">
        <v>41</v>
      </c>
      <c r="D198" s="61" t="s">
        <v>62</v>
      </c>
      <c r="E198" s="61" t="s">
        <v>141</v>
      </c>
      <c r="F198" s="61" t="s">
        <v>246</v>
      </c>
      <c r="G198" s="61" t="s">
        <v>4</v>
      </c>
      <c r="H198" s="62" t="n">
        <f aca="false">Saida!H148</f>
        <v>-5.6</v>
      </c>
      <c r="I198" s="62" t="n">
        <v>0</v>
      </c>
      <c r="J198" s="62" t="n">
        <f aca="false">Saida!R148</f>
        <v>5.6</v>
      </c>
      <c r="K198" s="62" t="n">
        <f aca="false">I198-J198</f>
        <v>-5.6</v>
      </c>
      <c r="L198" s="61" t="s">
        <v>535</v>
      </c>
      <c r="M198" s="61" t="s">
        <v>536</v>
      </c>
      <c r="N198" s="61" t="s">
        <v>537</v>
      </c>
      <c r="O198" s="61" t="s">
        <v>338</v>
      </c>
    </row>
    <row r="199" customFormat="false" ht="15" hidden="false" customHeight="false" outlineLevel="0" collapsed="false">
      <c r="A199" s="60" t="n">
        <v>46286</v>
      </c>
      <c r="B199" s="61" t="s">
        <v>13</v>
      </c>
      <c r="C199" s="61" t="s">
        <v>53</v>
      </c>
      <c r="D199" s="61" t="s">
        <v>78</v>
      </c>
      <c r="E199" s="61" t="s">
        <v>137</v>
      </c>
      <c r="F199" s="61" t="s">
        <v>254</v>
      </c>
      <c r="G199" s="61" t="s">
        <v>9</v>
      </c>
      <c r="H199" s="62" t="n">
        <f aca="false">Saida!H227</f>
        <v>-15</v>
      </c>
      <c r="I199" s="62" t="n">
        <v>0</v>
      </c>
      <c r="J199" s="62" t="n">
        <f aca="false">Saida!R227</f>
        <v>15</v>
      </c>
      <c r="K199" s="62" t="n">
        <f aca="false">I199-J199</f>
        <v>-15</v>
      </c>
      <c r="L199" s="61" t="s">
        <v>542</v>
      </c>
      <c r="M199" s="61" t="s">
        <v>543</v>
      </c>
      <c r="N199" s="61" t="s">
        <v>544</v>
      </c>
      <c r="O199" s="61" t="s">
        <v>258</v>
      </c>
    </row>
    <row r="200" customFormat="false" ht="15" hidden="false" customHeight="false" outlineLevel="0" collapsed="false">
      <c r="A200" s="60" t="n">
        <v>46286</v>
      </c>
      <c r="B200" s="61" t="s">
        <v>13</v>
      </c>
      <c r="C200" s="61" t="s">
        <v>81</v>
      </c>
      <c r="D200" s="61" t="s">
        <v>145</v>
      </c>
      <c r="E200" s="61" t="s">
        <v>144</v>
      </c>
      <c r="F200" s="61" t="s">
        <v>246</v>
      </c>
      <c r="G200" s="61" t="s">
        <v>4</v>
      </c>
      <c r="H200" s="62" t="n">
        <f aca="false">Saida!H274</f>
        <v>-6</v>
      </c>
      <c r="I200" s="62" t="n">
        <v>0</v>
      </c>
      <c r="J200" s="62" t="n">
        <f aca="false">Saida!R274</f>
        <v>6</v>
      </c>
      <c r="K200" s="62" t="n">
        <f aca="false">I200-J200</f>
        <v>-6</v>
      </c>
      <c r="L200" s="61" t="s">
        <v>545</v>
      </c>
      <c r="M200" s="61" t="s">
        <v>546</v>
      </c>
      <c r="N200" s="61" t="s">
        <v>547</v>
      </c>
      <c r="O200" s="61" t="s">
        <v>338</v>
      </c>
    </row>
    <row r="201" customFormat="false" ht="15" hidden="false" customHeight="false" outlineLevel="0" collapsed="false">
      <c r="A201" s="60" t="n">
        <v>46286</v>
      </c>
      <c r="B201" s="61" t="s">
        <v>13</v>
      </c>
      <c r="C201" s="61" t="s">
        <v>81</v>
      </c>
      <c r="D201" s="61" t="s">
        <v>145</v>
      </c>
      <c r="E201" s="61" t="s">
        <v>144</v>
      </c>
      <c r="F201" s="61" t="s">
        <v>246</v>
      </c>
      <c r="G201" s="61" t="s">
        <v>4</v>
      </c>
      <c r="H201" s="62" t="n">
        <f aca="false">Saida!H275</f>
        <v>-18</v>
      </c>
      <c r="I201" s="62" t="n">
        <v>0</v>
      </c>
      <c r="J201" s="62" t="n">
        <f aca="false">Saida!R275</f>
        <v>18</v>
      </c>
      <c r="K201" s="62" t="n">
        <f aca="false">I201-J201</f>
        <v>-18</v>
      </c>
      <c r="L201" s="61" t="s">
        <v>548</v>
      </c>
      <c r="M201" s="61" t="s">
        <v>549</v>
      </c>
      <c r="N201" s="61" t="s">
        <v>550</v>
      </c>
      <c r="O201" s="61" t="s">
        <v>250</v>
      </c>
    </row>
    <row r="202" customFormat="false" ht="15" hidden="false" customHeight="false" outlineLevel="0" collapsed="false">
      <c r="A202" s="60" t="n">
        <v>46286</v>
      </c>
      <c r="B202" s="61" t="str">
        <f aca="false">Entrada!K72</f>
        <v>Entrada</v>
      </c>
      <c r="C202" s="61" t="s">
        <v>104</v>
      </c>
      <c r="D202" s="61" t="s">
        <v>166</v>
      </c>
      <c r="E202" s="61" t="s">
        <v>165</v>
      </c>
      <c r="F202" s="61" t="s">
        <v>251</v>
      </c>
      <c r="G202" s="61" t="s">
        <v>4</v>
      </c>
      <c r="H202" s="62" t="n">
        <f aca="false">Entrada!G72</f>
        <v>-54</v>
      </c>
      <c r="I202" s="62" t="n">
        <f aca="false">Entrada!L72</f>
        <v>54</v>
      </c>
      <c r="J202" s="62" t="n">
        <v>0</v>
      </c>
      <c r="K202" s="62" t="n">
        <f aca="false">I202-J202</f>
        <v>54</v>
      </c>
      <c r="L202" s="61" t="s">
        <v>551</v>
      </c>
      <c r="M202" s="61"/>
      <c r="N202" s="61"/>
      <c r="O202" s="61"/>
    </row>
    <row r="203" customFormat="false" ht="15" hidden="false" customHeight="false" outlineLevel="0" collapsed="false">
      <c r="A203" s="60" t="n">
        <v>46286</v>
      </c>
      <c r="B203" s="61" t="str">
        <f aca="false">Entrada!K73</f>
        <v>Entrada</v>
      </c>
      <c r="C203" s="61" t="s">
        <v>104</v>
      </c>
      <c r="D203" s="61" t="s">
        <v>166</v>
      </c>
      <c r="E203" s="61" t="s">
        <v>165</v>
      </c>
      <c r="F203" s="61" t="s">
        <v>251</v>
      </c>
      <c r="G203" s="61" t="s">
        <v>4</v>
      </c>
      <c r="H203" s="62" t="n">
        <f aca="false">Entrada!G73</f>
        <v>-432</v>
      </c>
      <c r="I203" s="62" t="n">
        <f aca="false">Entrada!L73</f>
        <v>432</v>
      </c>
      <c r="J203" s="62" t="n">
        <v>0</v>
      </c>
      <c r="K203" s="62" t="n">
        <f aca="false">I203-J203</f>
        <v>432</v>
      </c>
      <c r="L203" s="61" t="s">
        <v>551</v>
      </c>
      <c r="M203" s="61"/>
      <c r="N203" s="61"/>
      <c r="O203" s="61"/>
    </row>
    <row r="204" customFormat="false" ht="15" hidden="false" customHeight="false" outlineLevel="0" collapsed="false">
      <c r="A204" s="60" t="n">
        <v>46286</v>
      </c>
      <c r="B204" s="61" t="str">
        <f aca="false">Entrada!K74</f>
        <v>Entrada</v>
      </c>
      <c r="C204" s="61" t="s">
        <v>104</v>
      </c>
      <c r="D204" s="61" t="s">
        <v>166</v>
      </c>
      <c r="E204" s="61" t="s">
        <v>165</v>
      </c>
      <c r="F204" s="61" t="s">
        <v>251</v>
      </c>
      <c r="G204" s="61" t="s">
        <v>4</v>
      </c>
      <c r="H204" s="62" t="n">
        <f aca="false">Entrada!G74</f>
        <v>-432</v>
      </c>
      <c r="I204" s="62" t="n">
        <f aca="false">Entrada!L74</f>
        <v>432</v>
      </c>
      <c r="J204" s="62" t="n">
        <v>0</v>
      </c>
      <c r="K204" s="62" t="n">
        <f aca="false">I204-J204</f>
        <v>432</v>
      </c>
      <c r="L204" s="61" t="s">
        <v>551</v>
      </c>
      <c r="M204" s="61"/>
      <c r="N204" s="61"/>
      <c r="O204" s="61"/>
    </row>
    <row r="205" customFormat="false" ht="15" hidden="false" customHeight="false" outlineLevel="0" collapsed="false">
      <c r="A205" s="60" t="n">
        <v>46286</v>
      </c>
      <c r="B205" s="61" t="s">
        <v>13</v>
      </c>
      <c r="C205" s="61" t="s">
        <v>110</v>
      </c>
      <c r="D205" s="61" t="s">
        <v>162</v>
      </c>
      <c r="E205" s="61" t="s">
        <v>119</v>
      </c>
      <c r="F205" s="61" t="s">
        <v>254</v>
      </c>
      <c r="G205" s="61" t="s">
        <v>4</v>
      </c>
      <c r="H205" s="62" t="n">
        <f aca="false">Saida!H343</f>
        <v>-40.2</v>
      </c>
      <c r="I205" s="62" t="n">
        <v>0</v>
      </c>
      <c r="J205" s="62" t="n">
        <f aca="false">Saida!R343</f>
        <v>40.2</v>
      </c>
      <c r="K205" s="62" t="n">
        <f aca="false">I205-J205</f>
        <v>-40.2</v>
      </c>
      <c r="L205" s="61" t="s">
        <v>552</v>
      </c>
      <c r="M205" s="61" t="s">
        <v>553</v>
      </c>
      <c r="N205" s="61" t="s">
        <v>554</v>
      </c>
      <c r="O205" s="61" t="s">
        <v>258</v>
      </c>
    </row>
    <row r="206" customFormat="false" ht="15" hidden="false" customHeight="false" outlineLevel="0" collapsed="false">
      <c r="A206" s="60" t="n">
        <v>46286</v>
      </c>
      <c r="B206" s="61" t="s">
        <v>13</v>
      </c>
      <c r="C206" s="61" t="s">
        <v>157</v>
      </c>
      <c r="D206" s="61" t="s">
        <v>158</v>
      </c>
      <c r="E206" s="61" t="s">
        <v>119</v>
      </c>
      <c r="F206" s="61" t="s">
        <v>246</v>
      </c>
      <c r="G206" s="61" t="s">
        <v>4</v>
      </c>
      <c r="H206" s="62" t="n">
        <f aca="false">Saida!H392</f>
        <v>-40.2</v>
      </c>
      <c r="I206" s="62" t="n">
        <v>0</v>
      </c>
      <c r="J206" s="62" t="n">
        <f aca="false">Saida!R392</f>
        <v>40.2</v>
      </c>
      <c r="K206" s="62" t="n">
        <f aca="false">I206-J206</f>
        <v>-40.2</v>
      </c>
      <c r="L206" s="61" t="s">
        <v>531</v>
      </c>
      <c r="M206" s="61" t="s">
        <v>532</v>
      </c>
      <c r="N206" s="61" t="s">
        <v>533</v>
      </c>
      <c r="O206" s="61" t="s">
        <v>338</v>
      </c>
    </row>
    <row r="207" customFormat="false" ht="15" hidden="false" customHeight="false" outlineLevel="0" collapsed="false">
      <c r="A207" s="60" t="n">
        <v>46287</v>
      </c>
      <c r="B207" s="61" t="s">
        <v>13</v>
      </c>
      <c r="C207" s="61" t="s">
        <v>20</v>
      </c>
      <c r="D207" s="61" t="s">
        <v>21</v>
      </c>
      <c r="E207" s="61" t="s">
        <v>141</v>
      </c>
      <c r="F207" s="61" t="s">
        <v>254</v>
      </c>
      <c r="G207" s="61" t="s">
        <v>4</v>
      </c>
      <c r="H207" s="62" t="n">
        <f aca="false">Saida!H54</f>
        <v>-11.2</v>
      </c>
      <c r="I207" s="62" t="n">
        <v>0</v>
      </c>
      <c r="J207" s="62" t="n">
        <f aca="false">Saida!R54</f>
        <v>11.2</v>
      </c>
      <c r="K207" s="62" t="n">
        <f aca="false">I207-J207</f>
        <v>-11.2</v>
      </c>
      <c r="L207" s="61" t="s">
        <v>555</v>
      </c>
      <c r="M207" s="61" t="s">
        <v>263</v>
      </c>
      <c r="N207" s="61" t="s">
        <v>264</v>
      </c>
      <c r="O207" s="61" t="s">
        <v>258</v>
      </c>
    </row>
    <row r="208" customFormat="false" ht="15" hidden="false" customHeight="false" outlineLevel="0" collapsed="false">
      <c r="A208" s="60" t="n">
        <v>46287</v>
      </c>
      <c r="B208" s="61" t="s">
        <v>13</v>
      </c>
      <c r="C208" s="61" t="s">
        <v>29</v>
      </c>
      <c r="D208" s="61" t="s">
        <v>34</v>
      </c>
      <c r="E208" s="61" t="s">
        <v>141</v>
      </c>
      <c r="F208" s="61" t="s">
        <v>254</v>
      </c>
      <c r="G208" s="61" t="s">
        <v>4</v>
      </c>
      <c r="H208" s="62" t="n">
        <f aca="false">Saida!H91</f>
        <v>-11.2</v>
      </c>
      <c r="I208" s="62" t="n">
        <v>0</v>
      </c>
      <c r="J208" s="62" t="n">
        <f aca="false">Saida!R91</f>
        <v>11.2</v>
      </c>
      <c r="K208" s="62" t="n">
        <f aca="false">I208-J208</f>
        <v>-11.2</v>
      </c>
      <c r="L208" s="61" t="s">
        <v>555</v>
      </c>
      <c r="M208" s="61" t="s">
        <v>263</v>
      </c>
      <c r="N208" s="61" t="s">
        <v>264</v>
      </c>
      <c r="O208" s="61" t="s">
        <v>258</v>
      </c>
    </row>
    <row r="209" customFormat="false" ht="15" hidden="false" customHeight="false" outlineLevel="0" collapsed="false">
      <c r="A209" s="60" t="n">
        <v>46287</v>
      </c>
      <c r="B209" s="61" t="s">
        <v>13</v>
      </c>
      <c r="C209" s="61" t="s">
        <v>41</v>
      </c>
      <c r="D209" s="61" t="s">
        <v>62</v>
      </c>
      <c r="E209" s="61" t="s">
        <v>141</v>
      </c>
      <c r="F209" s="61" t="s">
        <v>246</v>
      </c>
      <c r="G209" s="61" t="s">
        <v>4</v>
      </c>
      <c r="H209" s="62" t="n">
        <f aca="false">Saida!H143</f>
        <v>-42</v>
      </c>
      <c r="I209" s="62" t="n">
        <v>0</v>
      </c>
      <c r="J209" s="62" t="n">
        <f aca="false">Saida!R143</f>
        <v>42</v>
      </c>
      <c r="K209" s="62" t="n">
        <f aca="false">I209-J209</f>
        <v>-42</v>
      </c>
      <c r="L209" s="61" t="s">
        <v>556</v>
      </c>
      <c r="M209" s="61" t="s">
        <v>557</v>
      </c>
      <c r="N209" s="61" t="s">
        <v>558</v>
      </c>
      <c r="O209" s="61" t="s">
        <v>250</v>
      </c>
    </row>
    <row r="210" customFormat="false" ht="15" hidden="false" customHeight="false" outlineLevel="0" collapsed="false">
      <c r="A210" s="60" t="n">
        <v>46287</v>
      </c>
      <c r="B210" s="61" t="s">
        <v>13</v>
      </c>
      <c r="C210" s="61" t="s">
        <v>71</v>
      </c>
      <c r="D210" s="61" t="s">
        <v>136</v>
      </c>
      <c r="E210" s="61" t="s">
        <v>186</v>
      </c>
      <c r="F210" s="61" t="s">
        <v>254</v>
      </c>
      <c r="G210" s="61" t="s">
        <v>4</v>
      </c>
      <c r="H210" s="62" t="n">
        <f aca="false">Saida!H251</f>
        <v>-5.6</v>
      </c>
      <c r="I210" s="62" t="n">
        <v>0</v>
      </c>
      <c r="J210" s="62" t="n">
        <f aca="false">Saida!R251</f>
        <v>5.6</v>
      </c>
      <c r="K210" s="62" t="n">
        <f aca="false">I210-J210</f>
        <v>-5.6</v>
      </c>
      <c r="L210" s="61" t="s">
        <v>555</v>
      </c>
      <c r="M210" s="61" t="s">
        <v>263</v>
      </c>
      <c r="N210" s="61" t="s">
        <v>264</v>
      </c>
      <c r="O210" s="61" t="s">
        <v>258</v>
      </c>
    </row>
    <row r="211" customFormat="false" ht="15" hidden="false" customHeight="false" outlineLevel="0" collapsed="false">
      <c r="A211" s="60" t="n">
        <v>46287</v>
      </c>
      <c r="B211" s="61" t="s">
        <v>13</v>
      </c>
      <c r="C211" s="61" t="s">
        <v>104</v>
      </c>
      <c r="D211" s="61" t="s">
        <v>166</v>
      </c>
      <c r="E211" s="61" t="s">
        <v>165</v>
      </c>
      <c r="F211" s="61" t="s">
        <v>254</v>
      </c>
      <c r="G211" s="61" t="s">
        <v>4</v>
      </c>
      <c r="H211" s="62" t="n">
        <f aca="false">Saida!H296</f>
        <v>-24</v>
      </c>
      <c r="I211" s="62" t="n">
        <v>0</v>
      </c>
      <c r="J211" s="62" t="n">
        <f aca="false">Saida!R296</f>
        <v>24</v>
      </c>
      <c r="K211" s="62" t="n">
        <f aca="false">I211-J211</f>
        <v>-24</v>
      </c>
      <c r="L211" s="61" t="s">
        <v>559</v>
      </c>
      <c r="M211" s="61" t="s">
        <v>560</v>
      </c>
      <c r="N211" s="61" t="s">
        <v>561</v>
      </c>
      <c r="O211" s="61" t="s">
        <v>258</v>
      </c>
    </row>
    <row r="212" customFormat="false" ht="15" hidden="false" customHeight="false" outlineLevel="0" collapsed="false">
      <c r="A212" s="60" t="n">
        <v>46287</v>
      </c>
      <c r="B212" s="61" t="s">
        <v>13</v>
      </c>
      <c r="C212" s="61" t="s">
        <v>104</v>
      </c>
      <c r="D212" s="61" t="s">
        <v>166</v>
      </c>
      <c r="E212" s="61" t="s">
        <v>165</v>
      </c>
      <c r="F212" s="61" t="s">
        <v>254</v>
      </c>
      <c r="G212" s="61" t="s">
        <v>4</v>
      </c>
      <c r="H212" s="62" t="n">
        <f aca="false">Saida!H297</f>
        <v>-6</v>
      </c>
      <c r="I212" s="62" t="n">
        <v>0</v>
      </c>
      <c r="J212" s="62" t="n">
        <f aca="false">Saida!R297</f>
        <v>6</v>
      </c>
      <c r="K212" s="62" t="n">
        <f aca="false">I212-J212</f>
        <v>-6</v>
      </c>
      <c r="L212" s="61" t="s">
        <v>555</v>
      </c>
      <c r="M212" s="61" t="s">
        <v>263</v>
      </c>
      <c r="N212" s="61" t="s">
        <v>264</v>
      </c>
      <c r="O212" s="61" t="s">
        <v>258</v>
      </c>
    </row>
    <row r="213" customFormat="false" ht="15" hidden="false" customHeight="false" outlineLevel="0" collapsed="false">
      <c r="A213" s="60" t="n">
        <v>46287</v>
      </c>
      <c r="B213" s="61" t="s">
        <v>13</v>
      </c>
      <c r="C213" s="61" t="s">
        <v>110</v>
      </c>
      <c r="D213" s="61" t="s">
        <v>162</v>
      </c>
      <c r="E213" s="61" t="s">
        <v>119</v>
      </c>
      <c r="F213" s="61" t="s">
        <v>254</v>
      </c>
      <c r="G213" s="61" t="s">
        <v>4</v>
      </c>
      <c r="H213" s="62" t="n">
        <f aca="false">Saida!H342</f>
        <v>-20.1</v>
      </c>
      <c r="I213" s="62" t="n">
        <v>0</v>
      </c>
      <c r="J213" s="62" t="n">
        <f aca="false">Saida!R342</f>
        <v>20.1</v>
      </c>
      <c r="K213" s="62" t="n">
        <f aca="false">I213-J213</f>
        <v>-20.1</v>
      </c>
      <c r="L213" s="61" t="s">
        <v>555</v>
      </c>
      <c r="M213" s="61" t="s">
        <v>263</v>
      </c>
      <c r="N213" s="61" t="s">
        <v>264</v>
      </c>
      <c r="O213" s="61" t="s">
        <v>258</v>
      </c>
    </row>
    <row r="214" customFormat="false" ht="15" hidden="false" customHeight="false" outlineLevel="0" collapsed="false">
      <c r="A214" s="60" t="n">
        <v>46288</v>
      </c>
      <c r="B214" s="61" t="str">
        <f aca="false">Entrada!K5</f>
        <v>Entrada</v>
      </c>
      <c r="C214" s="61" t="s">
        <v>7</v>
      </c>
      <c r="D214" s="61" t="s">
        <v>8</v>
      </c>
      <c r="E214" s="61" t="s">
        <v>119</v>
      </c>
      <c r="F214" s="61" t="s">
        <v>251</v>
      </c>
      <c r="G214" s="61" t="s">
        <v>4</v>
      </c>
      <c r="H214" s="62" t="n">
        <f aca="false">Entrada!G5</f>
        <v>-2412</v>
      </c>
      <c r="I214" s="62" t="n">
        <f aca="false">Entrada!L5</f>
        <v>2412</v>
      </c>
      <c r="J214" s="62" t="n">
        <v>0</v>
      </c>
      <c r="K214" s="62" t="n">
        <f aca="false">I214-J214</f>
        <v>2412</v>
      </c>
      <c r="L214" s="61" t="s">
        <v>562</v>
      </c>
      <c r="M214" s="61"/>
      <c r="N214" s="61"/>
      <c r="O214" s="61"/>
    </row>
    <row r="215" customFormat="false" ht="15" hidden="false" customHeight="false" outlineLevel="0" collapsed="false">
      <c r="A215" s="60" t="n">
        <v>46288</v>
      </c>
      <c r="B215" s="61" t="str">
        <f aca="false">Entrada!K6</f>
        <v>Entrada</v>
      </c>
      <c r="C215" s="61" t="s">
        <v>7</v>
      </c>
      <c r="D215" s="61" t="s">
        <v>8</v>
      </c>
      <c r="E215" s="61" t="s">
        <v>119</v>
      </c>
      <c r="F215" s="61" t="s">
        <v>251</v>
      </c>
      <c r="G215" s="61" t="s">
        <v>4</v>
      </c>
      <c r="H215" s="62" t="n">
        <f aca="false">Entrada!G6</f>
        <v>-603</v>
      </c>
      <c r="I215" s="62" t="n">
        <f aca="false">Entrada!L6</f>
        <v>603</v>
      </c>
      <c r="J215" s="62" t="n">
        <v>0</v>
      </c>
      <c r="K215" s="62" t="n">
        <f aca="false">I215-J215</f>
        <v>603</v>
      </c>
      <c r="L215" s="61" t="s">
        <v>563</v>
      </c>
      <c r="M215" s="61"/>
      <c r="N215" s="61"/>
      <c r="O215" s="61"/>
    </row>
    <row r="216" customFormat="false" ht="15" hidden="false" customHeight="false" outlineLevel="0" collapsed="false">
      <c r="A216" s="60" t="n">
        <v>46288</v>
      </c>
      <c r="B216" s="61" t="str">
        <f aca="false">Entrada!K7</f>
        <v>Entrada</v>
      </c>
      <c r="C216" s="61" t="s">
        <v>20</v>
      </c>
      <c r="D216" s="61" t="s">
        <v>21</v>
      </c>
      <c r="E216" s="61" t="s">
        <v>141</v>
      </c>
      <c r="F216" s="61" t="s">
        <v>251</v>
      </c>
      <c r="G216" s="61" t="s">
        <v>4</v>
      </c>
      <c r="H216" s="62" t="n">
        <f aca="false">Entrada!G7</f>
        <v>-940.8</v>
      </c>
      <c r="I216" s="62" t="n">
        <f aca="false">Entrada!L7</f>
        <v>940.8</v>
      </c>
      <c r="J216" s="62" t="n">
        <v>0</v>
      </c>
      <c r="K216" s="62" t="n">
        <f aca="false">I216-J216</f>
        <v>940.8</v>
      </c>
      <c r="L216" s="61" t="s">
        <v>564</v>
      </c>
      <c r="M216" s="61"/>
      <c r="N216" s="61"/>
      <c r="O216" s="61"/>
    </row>
    <row r="217" customFormat="false" ht="15" hidden="false" customHeight="false" outlineLevel="0" collapsed="false">
      <c r="A217" s="60" t="n">
        <v>46288</v>
      </c>
      <c r="B217" s="61" t="s">
        <v>13</v>
      </c>
      <c r="C217" s="61" t="s">
        <v>23</v>
      </c>
      <c r="D217" s="61" t="s">
        <v>24</v>
      </c>
      <c r="E217" s="61" t="s">
        <v>141</v>
      </c>
      <c r="F217" s="61" t="s">
        <v>246</v>
      </c>
      <c r="G217" s="61" t="s">
        <v>4</v>
      </c>
      <c r="H217" s="62" t="n">
        <f aca="false">Saida!H62</f>
        <v>-2.8</v>
      </c>
      <c r="I217" s="62" t="n">
        <v>0</v>
      </c>
      <c r="J217" s="62" t="n">
        <f aca="false">Saida!R62</f>
        <v>2.8</v>
      </c>
      <c r="K217" s="62" t="n">
        <f aca="false">I217-J217</f>
        <v>-2.8</v>
      </c>
      <c r="L217" s="61" t="s">
        <v>565</v>
      </c>
      <c r="M217" s="61" t="s">
        <v>566</v>
      </c>
      <c r="N217" s="61" t="s">
        <v>567</v>
      </c>
      <c r="O217" s="61" t="s">
        <v>269</v>
      </c>
    </row>
    <row r="218" customFormat="false" ht="15" hidden="false" customHeight="false" outlineLevel="0" collapsed="false">
      <c r="A218" s="60" t="n">
        <v>46288</v>
      </c>
      <c r="B218" s="61" t="s">
        <v>13</v>
      </c>
      <c r="C218" s="61" t="s">
        <v>27</v>
      </c>
      <c r="D218" s="61" t="s">
        <v>30</v>
      </c>
      <c r="E218" s="61" t="s">
        <v>119</v>
      </c>
      <c r="F218" s="61" t="s">
        <v>246</v>
      </c>
      <c r="G218" s="61" t="s">
        <v>4</v>
      </c>
      <c r="H218" s="62" t="n">
        <f aca="false">Saida!H82</f>
        <v>-20.1</v>
      </c>
      <c r="I218" s="62" t="n">
        <v>0</v>
      </c>
      <c r="J218" s="62" t="n">
        <f aca="false">Saida!R82</f>
        <v>20.1</v>
      </c>
      <c r="K218" s="62" t="n">
        <f aca="false">I218-J218</f>
        <v>-20.1</v>
      </c>
      <c r="L218" s="61" t="s">
        <v>568</v>
      </c>
      <c r="M218" s="61" t="s">
        <v>569</v>
      </c>
      <c r="N218" s="61" t="s">
        <v>570</v>
      </c>
      <c r="O218" s="61" t="s">
        <v>269</v>
      </c>
    </row>
    <row r="219" customFormat="false" ht="15" hidden="false" customHeight="false" outlineLevel="0" collapsed="false">
      <c r="A219" s="60" t="n">
        <v>46288</v>
      </c>
      <c r="B219" s="61" t="s">
        <v>13</v>
      </c>
      <c r="C219" s="61" t="s">
        <v>41</v>
      </c>
      <c r="D219" s="61" t="s">
        <v>62</v>
      </c>
      <c r="E219" s="61" t="s">
        <v>141</v>
      </c>
      <c r="F219" s="61" t="s">
        <v>246</v>
      </c>
      <c r="G219" s="61" t="s">
        <v>4</v>
      </c>
      <c r="H219" s="62" t="n">
        <f aca="false">Saida!H141</f>
        <v>-5.6</v>
      </c>
      <c r="I219" s="62" t="n">
        <v>0</v>
      </c>
      <c r="J219" s="62" t="n">
        <f aca="false">Saida!R141</f>
        <v>5.6</v>
      </c>
      <c r="K219" s="62" t="n">
        <f aca="false">I219-J219</f>
        <v>-5.6</v>
      </c>
      <c r="L219" s="61" t="s">
        <v>568</v>
      </c>
      <c r="M219" s="61" t="s">
        <v>569</v>
      </c>
      <c r="N219" s="61" t="s">
        <v>570</v>
      </c>
      <c r="O219" s="61" t="s">
        <v>269</v>
      </c>
    </row>
    <row r="220" customFormat="false" ht="15" hidden="false" customHeight="false" outlineLevel="0" collapsed="false">
      <c r="A220" s="60" t="n">
        <v>46288</v>
      </c>
      <c r="B220" s="61" t="s">
        <v>13</v>
      </c>
      <c r="C220" s="61" t="s">
        <v>41</v>
      </c>
      <c r="D220" s="61" t="s">
        <v>62</v>
      </c>
      <c r="E220" s="61" t="s">
        <v>141</v>
      </c>
      <c r="F220" s="61" t="s">
        <v>246</v>
      </c>
      <c r="G220" s="61" t="s">
        <v>4</v>
      </c>
      <c r="H220" s="62" t="n">
        <f aca="false">Saida!H142</f>
        <v>-14</v>
      </c>
      <c r="I220" s="62" t="n">
        <v>0</v>
      </c>
      <c r="J220" s="62" t="n">
        <f aca="false">Saida!R142</f>
        <v>14</v>
      </c>
      <c r="K220" s="62" t="n">
        <f aca="false">I220-J220</f>
        <v>-14</v>
      </c>
      <c r="L220" s="61" t="s">
        <v>571</v>
      </c>
      <c r="M220" s="61" t="s">
        <v>572</v>
      </c>
      <c r="N220" s="61" t="s">
        <v>573</v>
      </c>
      <c r="O220" s="61" t="s">
        <v>269</v>
      </c>
    </row>
    <row r="221" customFormat="false" ht="15" hidden="false" customHeight="false" outlineLevel="0" collapsed="false">
      <c r="A221" s="60" t="n">
        <v>46288</v>
      </c>
      <c r="B221" s="61" t="s">
        <v>13</v>
      </c>
      <c r="C221" s="61" t="s">
        <v>51</v>
      </c>
      <c r="D221" s="61" t="s">
        <v>70</v>
      </c>
      <c r="E221" s="61" t="s">
        <v>128</v>
      </c>
      <c r="F221" s="61" t="s">
        <v>246</v>
      </c>
      <c r="G221" s="61" t="s">
        <v>4</v>
      </c>
      <c r="H221" s="62" t="n">
        <f aca="false">Saida!H187</f>
        <v>-10</v>
      </c>
      <c r="I221" s="62" t="n">
        <v>0</v>
      </c>
      <c r="J221" s="62" t="n">
        <f aca="false">Saida!R187</f>
        <v>10</v>
      </c>
      <c r="K221" s="62" t="n">
        <f aca="false">I221-J221</f>
        <v>-10</v>
      </c>
      <c r="L221" s="61" t="s">
        <v>568</v>
      </c>
      <c r="M221" s="61" t="s">
        <v>569</v>
      </c>
      <c r="N221" s="61" t="s">
        <v>570</v>
      </c>
      <c r="O221" s="61" t="s">
        <v>269</v>
      </c>
    </row>
    <row r="222" customFormat="false" ht="15" hidden="false" customHeight="false" outlineLevel="0" collapsed="false">
      <c r="A222" s="60" t="n">
        <v>46288</v>
      </c>
      <c r="B222" s="61" t="str">
        <f aca="false">Entrada!K50</f>
        <v>Entrada</v>
      </c>
      <c r="C222" s="61" t="s">
        <v>55</v>
      </c>
      <c r="D222" s="61" t="s">
        <v>89</v>
      </c>
      <c r="E222" s="61" t="s">
        <v>215</v>
      </c>
      <c r="F222" s="61" t="s">
        <v>251</v>
      </c>
      <c r="G222" s="61" t="s">
        <v>4</v>
      </c>
      <c r="H222" s="62" t="n">
        <f aca="false">Entrada!G50</f>
        <v>-648</v>
      </c>
      <c r="I222" s="62" t="n">
        <f aca="false">Entrada!L50</f>
        <v>648</v>
      </c>
      <c r="J222" s="62" t="n">
        <v>0</v>
      </c>
      <c r="K222" s="62" t="n">
        <f aca="false">I222-J222</f>
        <v>648</v>
      </c>
      <c r="L222" s="61" t="s">
        <v>574</v>
      </c>
      <c r="M222" s="61"/>
      <c r="N222" s="61"/>
      <c r="O222" s="61"/>
    </row>
    <row r="223" customFormat="false" ht="15" hidden="false" customHeight="false" outlineLevel="0" collapsed="false">
      <c r="A223" s="60" t="n">
        <v>46288</v>
      </c>
      <c r="B223" s="61" t="s">
        <v>13</v>
      </c>
      <c r="C223" s="61" t="s">
        <v>75</v>
      </c>
      <c r="D223" s="61" t="s">
        <v>143</v>
      </c>
      <c r="E223" s="61" t="s">
        <v>173</v>
      </c>
      <c r="F223" s="61" t="s">
        <v>246</v>
      </c>
      <c r="G223" s="61" t="s">
        <v>4</v>
      </c>
      <c r="H223" s="62" t="n">
        <f aca="false">Saida!H257</f>
        <v>-40</v>
      </c>
      <c r="I223" s="62" t="n">
        <v>0</v>
      </c>
      <c r="J223" s="62" t="n">
        <f aca="false">Saida!R257</f>
        <v>40</v>
      </c>
      <c r="K223" s="62" t="n">
        <f aca="false">I223-J223</f>
        <v>-40</v>
      </c>
      <c r="L223" s="61" t="s">
        <v>575</v>
      </c>
      <c r="M223" s="61" t="s">
        <v>576</v>
      </c>
      <c r="N223" s="61" t="s">
        <v>577</v>
      </c>
      <c r="O223" s="61" t="s">
        <v>275</v>
      </c>
    </row>
    <row r="224" customFormat="false" ht="15" hidden="false" customHeight="false" outlineLevel="0" collapsed="false">
      <c r="A224" s="60" t="n">
        <v>46288</v>
      </c>
      <c r="B224" s="61" t="str">
        <f aca="false">Entrada!K70</f>
        <v>Entrada</v>
      </c>
      <c r="C224" s="61" t="s">
        <v>88</v>
      </c>
      <c r="D224" s="61" t="s">
        <v>124</v>
      </c>
      <c r="E224" s="61"/>
      <c r="F224" s="61" t="s">
        <v>251</v>
      </c>
      <c r="G224" s="61" t="s">
        <v>4</v>
      </c>
      <c r="H224" s="62" t="n">
        <f aca="false">Entrada!G70</f>
        <v>-261.12</v>
      </c>
      <c r="I224" s="62" t="n">
        <f aca="false">Entrada!L70</f>
        <v>261.12</v>
      </c>
      <c r="J224" s="62" t="n">
        <v>0</v>
      </c>
      <c r="K224" s="62" t="n">
        <f aca="false">I224-J224</f>
        <v>261.12</v>
      </c>
      <c r="L224" s="61" t="s">
        <v>578</v>
      </c>
      <c r="M224" s="61"/>
      <c r="N224" s="61"/>
      <c r="O224" s="61"/>
    </row>
    <row r="225" customFormat="false" ht="15" hidden="false" customHeight="false" outlineLevel="0" collapsed="false">
      <c r="A225" s="60" t="n">
        <v>46288</v>
      </c>
      <c r="B225" s="61" t="s">
        <v>13</v>
      </c>
      <c r="C225" s="61" t="s">
        <v>104</v>
      </c>
      <c r="D225" s="61" t="s">
        <v>166</v>
      </c>
      <c r="E225" s="61" t="s">
        <v>165</v>
      </c>
      <c r="F225" s="61" t="s">
        <v>246</v>
      </c>
      <c r="G225" s="61" t="s">
        <v>4</v>
      </c>
      <c r="H225" s="62" t="n">
        <f aca="false">Saida!H295</f>
        <v>-42</v>
      </c>
      <c r="I225" s="62" t="n">
        <v>0</v>
      </c>
      <c r="J225" s="62" t="n">
        <f aca="false">Saida!R295</f>
        <v>42</v>
      </c>
      <c r="K225" s="62" t="n">
        <f aca="false">I225-J225</f>
        <v>-42</v>
      </c>
      <c r="L225" s="61" t="s">
        <v>579</v>
      </c>
      <c r="M225" s="61" t="s">
        <v>580</v>
      </c>
      <c r="N225" s="61" t="s">
        <v>581</v>
      </c>
      <c r="O225" s="61" t="s">
        <v>269</v>
      </c>
    </row>
    <row r="226" customFormat="false" ht="15" hidden="false" customHeight="false" outlineLevel="0" collapsed="false">
      <c r="A226" s="60" t="n">
        <v>46288</v>
      </c>
      <c r="B226" s="61" t="str">
        <f aca="false">Entrada!K83</f>
        <v>Entrada</v>
      </c>
      <c r="C226" s="61" t="s">
        <v>110</v>
      </c>
      <c r="D226" s="61" t="s">
        <v>193</v>
      </c>
      <c r="E226" s="61" t="s">
        <v>119</v>
      </c>
      <c r="F226" s="61" t="s">
        <v>251</v>
      </c>
      <c r="G226" s="61" t="s">
        <v>4</v>
      </c>
      <c r="H226" s="62" t="n">
        <f aca="false">Entrada!G83</f>
        <v>-603</v>
      </c>
      <c r="I226" s="62" t="n">
        <f aca="false">Entrada!L83</f>
        <v>603</v>
      </c>
      <c r="J226" s="62" t="n">
        <v>0</v>
      </c>
      <c r="K226" s="62" t="n">
        <f aca="false">I226-J226</f>
        <v>603</v>
      </c>
      <c r="L226" s="61" t="s">
        <v>582</v>
      </c>
      <c r="M226" s="61"/>
      <c r="N226" s="61"/>
      <c r="O226" s="61"/>
    </row>
    <row r="227" customFormat="false" ht="15" hidden="false" customHeight="false" outlineLevel="0" collapsed="false">
      <c r="A227" s="60" t="n">
        <v>46288</v>
      </c>
      <c r="B227" s="61" t="str">
        <f aca="false">Entrada!K85</f>
        <v>Entrada</v>
      </c>
      <c r="C227" s="61" t="s">
        <v>139</v>
      </c>
      <c r="D227" s="61" t="s">
        <v>204</v>
      </c>
      <c r="E227" s="61"/>
      <c r="F227" s="61" t="s">
        <v>251</v>
      </c>
      <c r="G227" s="61" t="s">
        <v>4</v>
      </c>
      <c r="H227" s="62" t="n">
        <f aca="false">Entrada!G85</f>
        <v>-1000</v>
      </c>
      <c r="I227" s="62" t="n">
        <f aca="false">Entrada!L85</f>
        <v>1000</v>
      </c>
      <c r="J227" s="62" t="n">
        <v>0</v>
      </c>
      <c r="K227" s="62" t="n">
        <f aca="false">I227-J227</f>
        <v>1000</v>
      </c>
      <c r="L227" s="61" t="s">
        <v>583</v>
      </c>
      <c r="M227" s="61"/>
      <c r="N227" s="61"/>
      <c r="O227" s="61"/>
    </row>
    <row r="228" customFormat="false" ht="15" hidden="false" customHeight="false" outlineLevel="0" collapsed="false">
      <c r="A228" s="60" t="n">
        <v>46289</v>
      </c>
      <c r="B228" s="61" t="str">
        <f aca="false">Entrada!K2</f>
        <v>Entrada</v>
      </c>
      <c r="C228" s="61" t="s">
        <v>2</v>
      </c>
      <c r="D228" s="61" t="s">
        <v>3</v>
      </c>
      <c r="E228" s="61"/>
      <c r="F228" s="61" t="s">
        <v>251</v>
      </c>
      <c r="G228" s="61" t="s">
        <v>4</v>
      </c>
      <c r="H228" s="62" t="n">
        <f aca="false">Entrada!G2</f>
        <v>-600</v>
      </c>
      <c r="I228" s="62" t="n">
        <f aca="false">Entrada!L2</f>
        <v>600</v>
      </c>
      <c r="J228" s="62" t="n">
        <v>0</v>
      </c>
      <c r="K228" s="62" t="n">
        <f aca="false">I228-J228</f>
        <v>600</v>
      </c>
      <c r="L228" s="61" t="s">
        <v>584</v>
      </c>
      <c r="M228" s="61"/>
      <c r="N228" s="61"/>
      <c r="O228" s="61"/>
    </row>
    <row r="229" customFormat="false" ht="15" hidden="false" customHeight="false" outlineLevel="0" collapsed="false">
      <c r="A229" s="60" t="n">
        <v>46289</v>
      </c>
      <c r="B229" s="61" t="str">
        <f aca="false">Entrada!K3</f>
        <v>Entrada</v>
      </c>
      <c r="C229" s="61" t="s">
        <v>2</v>
      </c>
      <c r="D229" s="61" t="s">
        <v>3</v>
      </c>
      <c r="E229" s="61"/>
      <c r="F229" s="61" t="s">
        <v>251</v>
      </c>
      <c r="G229" s="61" t="s">
        <v>4</v>
      </c>
      <c r="H229" s="62" t="n">
        <f aca="false">Entrada!G3</f>
        <v>-600</v>
      </c>
      <c r="I229" s="62" t="n">
        <f aca="false">Entrada!L3</f>
        <v>600</v>
      </c>
      <c r="J229" s="62" t="n">
        <v>0</v>
      </c>
      <c r="K229" s="62" t="n">
        <f aca="false">I229-J229</f>
        <v>600</v>
      </c>
      <c r="L229" s="61" t="s">
        <v>585</v>
      </c>
      <c r="M229" s="61"/>
      <c r="N229" s="61"/>
      <c r="O229" s="61"/>
    </row>
    <row r="230" customFormat="false" ht="15" hidden="false" customHeight="false" outlineLevel="0" collapsed="false">
      <c r="A230" s="60" t="n">
        <v>46289</v>
      </c>
      <c r="B230" s="61" t="s">
        <v>13</v>
      </c>
      <c r="C230" s="61" t="s">
        <v>7</v>
      </c>
      <c r="D230" s="61" t="s">
        <v>11</v>
      </c>
      <c r="E230" s="61" t="s">
        <v>119</v>
      </c>
      <c r="F230" s="61" t="s">
        <v>254</v>
      </c>
      <c r="G230" s="61" t="s">
        <v>4</v>
      </c>
      <c r="H230" s="62" t="n">
        <f aca="false">Saida!H22</f>
        <v>-60.3</v>
      </c>
      <c r="I230" s="62" t="n">
        <v>0</v>
      </c>
      <c r="J230" s="62" t="n">
        <f aca="false">Saida!R22</f>
        <v>60.3</v>
      </c>
      <c r="K230" s="62" t="n">
        <f aca="false">I230-J230</f>
        <v>-60.3</v>
      </c>
      <c r="L230" s="61" t="s">
        <v>586</v>
      </c>
      <c r="M230" s="61" t="s">
        <v>283</v>
      </c>
      <c r="N230" s="61" t="s">
        <v>284</v>
      </c>
      <c r="O230" s="61" t="s">
        <v>319</v>
      </c>
    </row>
    <row r="231" customFormat="false" ht="15" hidden="false" customHeight="false" outlineLevel="0" collapsed="false">
      <c r="A231" s="60" t="n">
        <v>46289</v>
      </c>
      <c r="B231" s="61" t="s">
        <v>13</v>
      </c>
      <c r="C231" s="61" t="s">
        <v>7</v>
      </c>
      <c r="D231" s="61" t="s">
        <v>11</v>
      </c>
      <c r="E231" s="61" t="s">
        <v>119</v>
      </c>
      <c r="F231" s="61" t="s">
        <v>254</v>
      </c>
      <c r="G231" s="61" t="s">
        <v>4</v>
      </c>
      <c r="H231" s="62" t="n">
        <f aca="false">Saida!H23</f>
        <v>-20.1</v>
      </c>
      <c r="I231" s="62" t="n">
        <v>0</v>
      </c>
      <c r="J231" s="62" t="n">
        <f aca="false">Saida!R23</f>
        <v>20.1</v>
      </c>
      <c r="K231" s="62" t="n">
        <f aca="false">I231-J231</f>
        <v>-20.1</v>
      </c>
      <c r="L231" s="61" t="s">
        <v>587</v>
      </c>
      <c r="M231" s="61" t="s">
        <v>588</v>
      </c>
      <c r="N231" s="61" t="s">
        <v>589</v>
      </c>
      <c r="O231" s="61" t="s">
        <v>319</v>
      </c>
    </row>
    <row r="232" customFormat="false" ht="15" hidden="false" customHeight="false" outlineLevel="0" collapsed="false">
      <c r="A232" s="60" t="n">
        <v>46289</v>
      </c>
      <c r="B232" s="61" t="s">
        <v>13</v>
      </c>
      <c r="C232" s="61" t="s">
        <v>20</v>
      </c>
      <c r="D232" s="61" t="s">
        <v>21</v>
      </c>
      <c r="E232" s="61" t="s">
        <v>141</v>
      </c>
      <c r="F232" s="61" t="s">
        <v>246</v>
      </c>
      <c r="G232" s="61" t="s">
        <v>4</v>
      </c>
      <c r="H232" s="62" t="n">
        <f aca="false">Saida!H52</f>
        <v>-14</v>
      </c>
      <c r="I232" s="62" t="n">
        <v>0</v>
      </c>
      <c r="J232" s="62" t="n">
        <f aca="false">Saida!R52</f>
        <v>14</v>
      </c>
      <c r="K232" s="62" t="n">
        <f aca="false">I232-J232</f>
        <v>-14</v>
      </c>
      <c r="L232" s="61" t="s">
        <v>590</v>
      </c>
      <c r="M232" s="61" t="s">
        <v>446</v>
      </c>
      <c r="N232" s="61" t="s">
        <v>447</v>
      </c>
      <c r="O232" s="61" t="s">
        <v>338</v>
      </c>
    </row>
    <row r="233" customFormat="false" ht="15" hidden="false" customHeight="false" outlineLevel="0" collapsed="false">
      <c r="A233" s="60" t="n">
        <v>46289</v>
      </c>
      <c r="B233" s="61" t="s">
        <v>13</v>
      </c>
      <c r="C233" s="61" t="s">
        <v>20</v>
      </c>
      <c r="D233" s="61" t="s">
        <v>21</v>
      </c>
      <c r="E233" s="61" t="s">
        <v>141</v>
      </c>
      <c r="F233" s="61" t="s">
        <v>246</v>
      </c>
      <c r="G233" s="61" t="s">
        <v>4</v>
      </c>
      <c r="H233" s="62" t="n">
        <f aca="false">Saida!H53</f>
        <v>-2.8</v>
      </c>
      <c r="I233" s="62" t="n">
        <v>0</v>
      </c>
      <c r="J233" s="62" t="n">
        <f aca="false">Saida!R53</f>
        <v>2.8</v>
      </c>
      <c r="K233" s="62" t="n">
        <f aca="false">I233-J233</f>
        <v>-2.8</v>
      </c>
      <c r="L233" s="61" t="s">
        <v>591</v>
      </c>
      <c r="M233" s="61" t="s">
        <v>592</v>
      </c>
      <c r="N233" s="61" t="s">
        <v>593</v>
      </c>
      <c r="O233" s="61" t="s">
        <v>338</v>
      </c>
    </row>
    <row r="234" customFormat="false" ht="15" hidden="false" customHeight="false" outlineLevel="0" collapsed="false">
      <c r="A234" s="60" t="n">
        <v>46289</v>
      </c>
      <c r="B234" s="61" t="s">
        <v>13</v>
      </c>
      <c r="C234" s="61" t="s">
        <v>23</v>
      </c>
      <c r="D234" s="61" t="s">
        <v>24</v>
      </c>
      <c r="E234" s="61" t="s">
        <v>141</v>
      </c>
      <c r="F234" s="61" t="s">
        <v>246</v>
      </c>
      <c r="G234" s="61" t="s">
        <v>4</v>
      </c>
      <c r="H234" s="62" t="n">
        <f aca="false">Saida!H60</f>
        <v>-2.8</v>
      </c>
      <c r="I234" s="62" t="n">
        <v>0</v>
      </c>
      <c r="J234" s="62" t="n">
        <f aca="false">Saida!R60</f>
        <v>2.8</v>
      </c>
      <c r="K234" s="62" t="n">
        <f aca="false">I234-J234</f>
        <v>-2.8</v>
      </c>
      <c r="L234" s="61" t="s">
        <v>591</v>
      </c>
      <c r="M234" s="61" t="s">
        <v>592</v>
      </c>
      <c r="N234" s="61" t="s">
        <v>593</v>
      </c>
      <c r="O234" s="61" t="s">
        <v>338</v>
      </c>
    </row>
    <row r="235" customFormat="false" ht="15" hidden="false" customHeight="false" outlineLevel="0" collapsed="false">
      <c r="A235" s="60" t="n">
        <v>46289</v>
      </c>
      <c r="B235" s="61" t="s">
        <v>13</v>
      </c>
      <c r="C235" s="61" t="s">
        <v>23</v>
      </c>
      <c r="D235" s="61" t="s">
        <v>24</v>
      </c>
      <c r="E235" s="61" t="s">
        <v>141</v>
      </c>
      <c r="F235" s="61" t="s">
        <v>246</v>
      </c>
      <c r="G235" s="61" t="s">
        <v>4</v>
      </c>
      <c r="H235" s="62" t="n">
        <f aca="false">Saida!H61</f>
        <v>-28</v>
      </c>
      <c r="I235" s="62" t="n">
        <v>0</v>
      </c>
      <c r="J235" s="62" t="n">
        <f aca="false">Saida!R61</f>
        <v>28</v>
      </c>
      <c r="K235" s="62" t="n">
        <f aca="false">I235-J235</f>
        <v>-28</v>
      </c>
      <c r="L235" s="61" t="s">
        <v>594</v>
      </c>
      <c r="M235" s="61" t="s">
        <v>580</v>
      </c>
      <c r="N235" s="61" t="s">
        <v>581</v>
      </c>
      <c r="O235" s="61" t="s">
        <v>338</v>
      </c>
    </row>
    <row r="236" customFormat="false" ht="15" hidden="false" customHeight="false" outlineLevel="0" collapsed="false">
      <c r="A236" s="60" t="n">
        <v>46289</v>
      </c>
      <c r="B236" s="61" t="s">
        <v>13</v>
      </c>
      <c r="C236" s="61" t="s">
        <v>29</v>
      </c>
      <c r="D236" s="61" t="s">
        <v>34</v>
      </c>
      <c r="E236" s="61" t="s">
        <v>141</v>
      </c>
      <c r="F236" s="61" t="s">
        <v>246</v>
      </c>
      <c r="G236" s="61" t="s">
        <v>4</v>
      </c>
      <c r="H236" s="62" t="n">
        <f aca="false">Saida!H90</f>
        <v>-2.8</v>
      </c>
      <c r="I236" s="62" t="n">
        <v>0</v>
      </c>
      <c r="J236" s="62" t="n">
        <f aca="false">Saida!R90</f>
        <v>2.8</v>
      </c>
      <c r="K236" s="62" t="n">
        <f aca="false">I236-J236</f>
        <v>-2.8</v>
      </c>
      <c r="L236" s="61" t="s">
        <v>591</v>
      </c>
      <c r="M236" s="61" t="s">
        <v>592</v>
      </c>
      <c r="N236" s="61" t="s">
        <v>593</v>
      </c>
      <c r="O236" s="61" t="s">
        <v>338</v>
      </c>
    </row>
    <row r="237" customFormat="false" ht="15" hidden="false" customHeight="false" outlineLevel="0" collapsed="false">
      <c r="A237" s="60" t="n">
        <v>46289</v>
      </c>
      <c r="B237" s="61" t="str">
        <f aca="false">Entrada!K18</f>
        <v>Entrada</v>
      </c>
      <c r="C237" s="61" t="s">
        <v>31</v>
      </c>
      <c r="D237" s="61" t="s">
        <v>36</v>
      </c>
      <c r="E237" s="61" t="s">
        <v>199</v>
      </c>
      <c r="F237" s="61" t="s">
        <v>251</v>
      </c>
      <c r="G237" s="61" t="s">
        <v>4</v>
      </c>
      <c r="H237" s="62" t="n">
        <f aca="false">Entrada!G18</f>
        <v>-750</v>
      </c>
      <c r="I237" s="62" t="n">
        <f aca="false">Entrada!L18</f>
        <v>750</v>
      </c>
      <c r="J237" s="62" t="n">
        <v>0</v>
      </c>
      <c r="K237" s="62" t="n">
        <f aca="false">I237-J237</f>
        <v>750</v>
      </c>
      <c r="L237" s="61" t="s">
        <v>595</v>
      </c>
      <c r="M237" s="61"/>
      <c r="N237" s="61"/>
      <c r="O237" s="61"/>
    </row>
    <row r="238" customFormat="false" ht="15" hidden="false" customHeight="false" outlineLevel="0" collapsed="false">
      <c r="A238" s="60" t="n">
        <v>46289</v>
      </c>
      <c r="B238" s="61" t="str">
        <f aca="false">Entrada!K19</f>
        <v>Entrada</v>
      </c>
      <c r="C238" s="61" t="s">
        <v>31</v>
      </c>
      <c r="D238" s="61" t="s">
        <v>36</v>
      </c>
      <c r="E238" s="61" t="s">
        <v>199</v>
      </c>
      <c r="F238" s="61" t="s">
        <v>251</v>
      </c>
      <c r="G238" s="61" t="s">
        <v>4</v>
      </c>
      <c r="H238" s="62" t="n">
        <f aca="false">Entrada!G19</f>
        <v>-750</v>
      </c>
      <c r="I238" s="62" t="n">
        <f aca="false">Entrada!L19</f>
        <v>750</v>
      </c>
      <c r="J238" s="62" t="n">
        <v>0</v>
      </c>
      <c r="K238" s="62" t="n">
        <f aca="false">I238-J238</f>
        <v>750</v>
      </c>
      <c r="L238" s="61" t="s">
        <v>596</v>
      </c>
      <c r="M238" s="61"/>
      <c r="N238" s="61"/>
      <c r="O238" s="61"/>
    </row>
    <row r="239" customFormat="false" ht="15" hidden="false" customHeight="false" outlineLevel="0" collapsed="false">
      <c r="A239" s="60" t="n">
        <v>46289</v>
      </c>
      <c r="B239" s="61" t="str">
        <f aca="false">Entrada!K21</f>
        <v>Entrada</v>
      </c>
      <c r="C239" s="61" t="s">
        <v>31</v>
      </c>
      <c r="D239" s="61" t="s">
        <v>36</v>
      </c>
      <c r="E239" s="61" t="s">
        <v>199</v>
      </c>
      <c r="F239" s="61" t="s">
        <v>251</v>
      </c>
      <c r="G239" s="61" t="s">
        <v>4</v>
      </c>
      <c r="H239" s="62" t="n">
        <f aca="false">Entrada!G21</f>
        <v>-30</v>
      </c>
      <c r="I239" s="62" t="n">
        <f aca="false">Entrada!L21</f>
        <v>30</v>
      </c>
      <c r="J239" s="62" t="n">
        <v>0</v>
      </c>
      <c r="K239" s="62" t="n">
        <f aca="false">I239-J239</f>
        <v>30</v>
      </c>
      <c r="L239" s="61" t="s">
        <v>597</v>
      </c>
      <c r="M239" s="61"/>
      <c r="N239" s="61"/>
      <c r="O239" s="61"/>
    </row>
    <row r="240" customFormat="false" ht="15" hidden="false" customHeight="false" outlineLevel="0" collapsed="false">
      <c r="A240" s="60" t="n">
        <v>46289</v>
      </c>
      <c r="B240" s="61" t="str">
        <f aca="false">Entrada!K22</f>
        <v>Estorno</v>
      </c>
      <c r="C240" s="61" t="s">
        <v>31</v>
      </c>
      <c r="D240" s="61" t="s">
        <v>36</v>
      </c>
      <c r="E240" s="61" t="s">
        <v>199</v>
      </c>
      <c r="F240" s="61" t="s">
        <v>251</v>
      </c>
      <c r="G240" s="61" t="s">
        <v>4</v>
      </c>
      <c r="H240" s="62" t="n">
        <f aca="false">Entrada!G22</f>
        <v>30</v>
      </c>
      <c r="I240" s="62" t="n">
        <f aca="false">Entrada!L22</f>
        <v>-30</v>
      </c>
      <c r="J240" s="62" t="n">
        <v>0</v>
      </c>
      <c r="K240" s="62" t="n">
        <f aca="false">I240-J240</f>
        <v>-30</v>
      </c>
      <c r="L240" s="61" t="s">
        <v>598</v>
      </c>
      <c r="M240" s="61"/>
      <c r="N240" s="61"/>
      <c r="O240" s="61"/>
    </row>
    <row r="241" customFormat="false" ht="15" hidden="false" customHeight="false" outlineLevel="0" collapsed="false">
      <c r="A241" s="60" t="n">
        <v>46289</v>
      </c>
      <c r="B241" s="61" t="str">
        <f aca="false">Entrada!K20</f>
        <v>Estorno</v>
      </c>
      <c r="C241" s="61" t="s">
        <v>31</v>
      </c>
      <c r="D241" s="61" t="s">
        <v>42</v>
      </c>
      <c r="E241" s="61" t="s">
        <v>199</v>
      </c>
      <c r="F241" s="61" t="s">
        <v>251</v>
      </c>
      <c r="G241" s="61" t="s">
        <v>4</v>
      </c>
      <c r="H241" s="62" t="n">
        <f aca="false">Entrada!G20</f>
        <v>30</v>
      </c>
      <c r="I241" s="62" t="n">
        <f aca="false">Entrada!L20</f>
        <v>-30</v>
      </c>
      <c r="J241" s="62" t="n">
        <v>0</v>
      </c>
      <c r="K241" s="62" t="n">
        <f aca="false">I241-J241</f>
        <v>-30</v>
      </c>
      <c r="L241" s="61" t="s">
        <v>598</v>
      </c>
      <c r="M241" s="61"/>
      <c r="N241" s="61"/>
      <c r="O241" s="61"/>
    </row>
    <row r="242" customFormat="false" ht="15" hidden="false" customHeight="false" outlineLevel="0" collapsed="false">
      <c r="A242" s="60" t="n">
        <v>46289</v>
      </c>
      <c r="B242" s="61" t="str">
        <f aca="false">Entrada!K23</f>
        <v>Entrada</v>
      </c>
      <c r="C242" s="61" t="s">
        <v>31</v>
      </c>
      <c r="D242" s="61" t="s">
        <v>42</v>
      </c>
      <c r="E242" s="61" t="s">
        <v>199</v>
      </c>
      <c r="F242" s="61" t="s">
        <v>251</v>
      </c>
      <c r="G242" s="61" t="s">
        <v>4</v>
      </c>
      <c r="H242" s="62" t="n">
        <f aca="false">Entrada!G23</f>
        <v>-750</v>
      </c>
      <c r="I242" s="62" t="n">
        <f aca="false">Entrada!L23</f>
        <v>750</v>
      </c>
      <c r="J242" s="62" t="n">
        <v>0</v>
      </c>
      <c r="K242" s="62" t="n">
        <f aca="false">I242-J242</f>
        <v>750</v>
      </c>
      <c r="L242" s="61" t="s">
        <v>596</v>
      </c>
      <c r="M242" s="61"/>
      <c r="N242" s="61"/>
      <c r="O242" s="61"/>
    </row>
    <row r="243" customFormat="false" ht="15" hidden="false" customHeight="false" outlineLevel="0" collapsed="false">
      <c r="A243" s="60" t="n">
        <v>46289</v>
      </c>
      <c r="B243" s="61" t="str">
        <f aca="false">Entrada!K24</f>
        <v>Entrada</v>
      </c>
      <c r="C243" s="61" t="s">
        <v>31</v>
      </c>
      <c r="D243" s="61" t="s">
        <v>42</v>
      </c>
      <c r="E243" s="61" t="s">
        <v>199</v>
      </c>
      <c r="F243" s="61" t="s">
        <v>251</v>
      </c>
      <c r="G243" s="61" t="s">
        <v>4</v>
      </c>
      <c r="H243" s="62" t="n">
        <f aca="false">Entrada!G24</f>
        <v>-30</v>
      </c>
      <c r="I243" s="62" t="n">
        <f aca="false">Entrada!L24</f>
        <v>30</v>
      </c>
      <c r="J243" s="62" t="n">
        <v>0</v>
      </c>
      <c r="K243" s="62" t="n">
        <f aca="false">I243-J243</f>
        <v>30</v>
      </c>
      <c r="L243" s="61" t="s">
        <v>597</v>
      </c>
      <c r="M243" s="61"/>
      <c r="N243" s="61"/>
      <c r="O243" s="61"/>
    </row>
    <row r="244" customFormat="false" ht="15" hidden="false" customHeight="false" outlineLevel="0" collapsed="false">
      <c r="A244" s="60" t="n">
        <v>46289</v>
      </c>
      <c r="B244" s="61" t="str">
        <f aca="false">Entrada!K33</f>
        <v>Entrada</v>
      </c>
      <c r="C244" s="61" t="s">
        <v>35</v>
      </c>
      <c r="D244" s="61" t="s">
        <v>56</v>
      </c>
      <c r="E244" s="61" t="s">
        <v>119</v>
      </c>
      <c r="F244" s="61" t="s">
        <v>251</v>
      </c>
      <c r="G244" s="61" t="s">
        <v>4</v>
      </c>
      <c r="H244" s="62" t="n">
        <f aca="false">Entrada!G33</f>
        <v>-461.9</v>
      </c>
      <c r="I244" s="62" t="n">
        <f aca="false">Entrada!L33</f>
        <v>461.9</v>
      </c>
      <c r="J244" s="62" t="n">
        <v>0</v>
      </c>
      <c r="K244" s="62" t="n">
        <f aca="false">I244-J244</f>
        <v>461.9</v>
      </c>
      <c r="L244" s="61" t="s">
        <v>599</v>
      </c>
      <c r="M244" s="61"/>
      <c r="N244" s="61"/>
      <c r="O244" s="61"/>
    </row>
    <row r="245" customFormat="false" ht="15" hidden="false" customHeight="false" outlineLevel="0" collapsed="false">
      <c r="A245" s="60" t="n">
        <v>46289</v>
      </c>
      <c r="B245" s="61" t="str">
        <f aca="false">Entrada!K34</f>
        <v>Entrada</v>
      </c>
      <c r="C245" s="61" t="s">
        <v>35</v>
      </c>
      <c r="D245" s="61" t="s">
        <v>60</v>
      </c>
      <c r="E245" s="61" t="s">
        <v>119</v>
      </c>
      <c r="F245" s="61" t="s">
        <v>251</v>
      </c>
      <c r="G245" s="61" t="s">
        <v>4</v>
      </c>
      <c r="H245" s="62" t="n">
        <f aca="false">Entrada!G34</f>
        <v>-1206</v>
      </c>
      <c r="I245" s="62" t="n">
        <f aca="false">Entrada!L34</f>
        <v>1206</v>
      </c>
      <c r="J245" s="62" t="n">
        <v>0</v>
      </c>
      <c r="K245" s="62" t="n">
        <f aca="false">I245-J245</f>
        <v>1206</v>
      </c>
      <c r="L245" s="61" t="s">
        <v>584</v>
      </c>
      <c r="M245" s="61"/>
      <c r="N245" s="61"/>
      <c r="O245" s="61"/>
    </row>
    <row r="246" customFormat="false" ht="15" hidden="false" customHeight="false" outlineLevel="0" collapsed="false">
      <c r="A246" s="60" t="n">
        <v>46289</v>
      </c>
      <c r="B246" s="61" t="s">
        <v>13</v>
      </c>
      <c r="C246" s="61" t="s">
        <v>41</v>
      </c>
      <c r="D246" s="61" t="s">
        <v>62</v>
      </c>
      <c r="E246" s="61" t="s">
        <v>141</v>
      </c>
      <c r="F246" s="61" t="s">
        <v>246</v>
      </c>
      <c r="G246" s="61" t="s">
        <v>4</v>
      </c>
      <c r="H246" s="62" t="n">
        <f aca="false">Saida!H137</f>
        <v>-2.8</v>
      </c>
      <c r="I246" s="62" t="n">
        <v>0</v>
      </c>
      <c r="J246" s="62" t="n">
        <f aca="false">Saida!R137</f>
        <v>2.8</v>
      </c>
      <c r="K246" s="62" t="n">
        <f aca="false">I246-J246</f>
        <v>-2.8</v>
      </c>
      <c r="L246" s="61" t="s">
        <v>600</v>
      </c>
      <c r="M246" s="61" t="s">
        <v>601</v>
      </c>
      <c r="N246" s="61" t="s">
        <v>602</v>
      </c>
      <c r="O246" s="61" t="s">
        <v>338</v>
      </c>
    </row>
    <row r="247" customFormat="false" ht="15" hidden="false" customHeight="false" outlineLevel="0" collapsed="false">
      <c r="A247" s="60" t="n">
        <v>46289</v>
      </c>
      <c r="B247" s="61" t="s">
        <v>13</v>
      </c>
      <c r="C247" s="61" t="s">
        <v>41</v>
      </c>
      <c r="D247" s="61" t="s">
        <v>62</v>
      </c>
      <c r="E247" s="61" t="s">
        <v>141</v>
      </c>
      <c r="F247" s="61" t="s">
        <v>246</v>
      </c>
      <c r="G247" s="61" t="s">
        <v>4</v>
      </c>
      <c r="H247" s="62" t="n">
        <f aca="false">Saida!H138</f>
        <v>-5.6</v>
      </c>
      <c r="I247" s="62" t="n">
        <v>0</v>
      </c>
      <c r="J247" s="62" t="n">
        <f aca="false">Saida!R138</f>
        <v>5.6</v>
      </c>
      <c r="K247" s="62" t="n">
        <f aca="false">I247-J247</f>
        <v>-5.6</v>
      </c>
      <c r="L247" s="61" t="s">
        <v>603</v>
      </c>
      <c r="M247" s="61" t="s">
        <v>604</v>
      </c>
      <c r="N247" s="61" t="s">
        <v>605</v>
      </c>
      <c r="O247" s="61" t="s">
        <v>338</v>
      </c>
    </row>
    <row r="248" customFormat="false" ht="15" hidden="false" customHeight="false" outlineLevel="0" collapsed="false">
      <c r="A248" s="60" t="n">
        <v>46289</v>
      </c>
      <c r="B248" s="61" t="s">
        <v>13</v>
      </c>
      <c r="C248" s="61" t="s">
        <v>41</v>
      </c>
      <c r="D248" s="61" t="s">
        <v>62</v>
      </c>
      <c r="E248" s="61" t="s">
        <v>141</v>
      </c>
      <c r="F248" s="61" t="s">
        <v>246</v>
      </c>
      <c r="G248" s="61" t="s">
        <v>4</v>
      </c>
      <c r="H248" s="62" t="n">
        <f aca="false">Saida!H139</f>
        <v>-2.8</v>
      </c>
      <c r="I248" s="62" t="n">
        <v>0</v>
      </c>
      <c r="J248" s="62" t="n">
        <f aca="false">Saida!R139</f>
        <v>2.8</v>
      </c>
      <c r="K248" s="62" t="n">
        <f aca="false">I248-J248</f>
        <v>-2.8</v>
      </c>
      <c r="L248" s="61" t="s">
        <v>591</v>
      </c>
      <c r="M248" s="61" t="s">
        <v>592</v>
      </c>
      <c r="N248" s="61" t="s">
        <v>593</v>
      </c>
      <c r="O248" s="61" t="s">
        <v>338</v>
      </c>
    </row>
    <row r="249" customFormat="false" ht="15" hidden="false" customHeight="false" outlineLevel="0" collapsed="false">
      <c r="A249" s="60" t="n">
        <v>46289</v>
      </c>
      <c r="B249" s="61" t="s">
        <v>13</v>
      </c>
      <c r="C249" s="61" t="s">
        <v>41</v>
      </c>
      <c r="D249" s="61" t="s">
        <v>62</v>
      </c>
      <c r="E249" s="61" t="s">
        <v>141</v>
      </c>
      <c r="F249" s="61" t="s">
        <v>246</v>
      </c>
      <c r="G249" s="61" t="s">
        <v>4</v>
      </c>
      <c r="H249" s="62" t="n">
        <f aca="false">Saida!H140</f>
        <v>-28</v>
      </c>
      <c r="I249" s="62" t="n">
        <v>0</v>
      </c>
      <c r="J249" s="62" t="n">
        <f aca="false">Saida!R140</f>
        <v>28</v>
      </c>
      <c r="K249" s="62" t="n">
        <f aca="false">I249-J249</f>
        <v>-28</v>
      </c>
      <c r="L249" s="61" t="s">
        <v>594</v>
      </c>
      <c r="M249" s="61" t="s">
        <v>580</v>
      </c>
      <c r="N249" s="61" t="s">
        <v>581</v>
      </c>
      <c r="O249" s="61" t="s">
        <v>338</v>
      </c>
    </row>
    <row r="250" customFormat="false" ht="15" hidden="false" customHeight="false" outlineLevel="0" collapsed="false">
      <c r="A250" s="60" t="n">
        <v>46289</v>
      </c>
      <c r="B250" s="61" t="str">
        <f aca="false">Entrada!K37</f>
        <v>Entrada</v>
      </c>
      <c r="C250" s="61" t="s">
        <v>47</v>
      </c>
      <c r="D250" s="61" t="s">
        <v>68</v>
      </c>
      <c r="E250" s="61" t="s">
        <v>202</v>
      </c>
      <c r="F250" s="61" t="s">
        <v>251</v>
      </c>
      <c r="G250" s="61" t="s">
        <v>4</v>
      </c>
      <c r="H250" s="62" t="n">
        <f aca="false">Entrada!G37</f>
        <v>-3540</v>
      </c>
      <c r="I250" s="62" t="n">
        <f aca="false">Entrada!L37</f>
        <v>3540</v>
      </c>
      <c r="J250" s="62" t="n">
        <v>0</v>
      </c>
      <c r="K250" s="62" t="n">
        <f aca="false">I250-J250</f>
        <v>3540</v>
      </c>
      <c r="L250" s="61" t="s">
        <v>606</v>
      </c>
      <c r="M250" s="61"/>
      <c r="N250" s="61"/>
      <c r="O250" s="61"/>
    </row>
    <row r="251" customFormat="false" ht="15" hidden="false" customHeight="false" outlineLevel="0" collapsed="false">
      <c r="A251" s="60" t="n">
        <v>46289</v>
      </c>
      <c r="B251" s="61" t="str">
        <f aca="false">Entrada!K38</f>
        <v>Entrada</v>
      </c>
      <c r="C251" s="61" t="s">
        <v>47</v>
      </c>
      <c r="D251" s="61" t="s">
        <v>68</v>
      </c>
      <c r="E251" s="61" t="s">
        <v>202</v>
      </c>
      <c r="F251" s="61" t="s">
        <v>251</v>
      </c>
      <c r="G251" s="61" t="s">
        <v>4</v>
      </c>
      <c r="H251" s="62" t="n">
        <f aca="false">Entrada!G38</f>
        <v>-205</v>
      </c>
      <c r="I251" s="62" t="n">
        <f aca="false">Entrada!L38</f>
        <v>205</v>
      </c>
      <c r="J251" s="62" t="n">
        <v>0</v>
      </c>
      <c r="K251" s="62" t="n">
        <f aca="false">I251-J251</f>
        <v>205</v>
      </c>
      <c r="L251" s="61" t="s">
        <v>597</v>
      </c>
      <c r="M251" s="61"/>
      <c r="N251" s="61"/>
      <c r="O251" s="61"/>
    </row>
    <row r="252" customFormat="false" ht="15" hidden="false" customHeight="false" outlineLevel="0" collapsed="false">
      <c r="A252" s="60" t="n">
        <v>46289</v>
      </c>
      <c r="B252" s="61" t="str">
        <f aca="false">Entrada!K39</f>
        <v>Estorno</v>
      </c>
      <c r="C252" s="61" t="s">
        <v>47</v>
      </c>
      <c r="D252" s="61" t="s">
        <v>68</v>
      </c>
      <c r="E252" s="61" t="s">
        <v>202</v>
      </c>
      <c r="F252" s="61" t="s">
        <v>251</v>
      </c>
      <c r="G252" s="61" t="s">
        <v>4</v>
      </c>
      <c r="H252" s="62" t="n">
        <f aca="false">Entrada!G39</f>
        <v>205</v>
      </c>
      <c r="I252" s="62" t="n">
        <f aca="false">Entrada!L39</f>
        <v>-205</v>
      </c>
      <c r="J252" s="62" t="n">
        <v>0</v>
      </c>
      <c r="K252" s="62" t="n">
        <f aca="false">I252-J252</f>
        <v>-205</v>
      </c>
      <c r="L252" s="61" t="s">
        <v>598</v>
      </c>
      <c r="M252" s="61"/>
      <c r="N252" s="61"/>
      <c r="O252" s="61"/>
    </row>
    <row r="253" customFormat="false" ht="15" hidden="false" customHeight="false" outlineLevel="0" collapsed="false">
      <c r="A253" s="60" t="n">
        <v>46289</v>
      </c>
      <c r="B253" s="61" t="str">
        <f aca="false">Entrada!K48</f>
        <v>Entrada</v>
      </c>
      <c r="C253" s="61" t="s">
        <v>53</v>
      </c>
      <c r="D253" s="61" t="s">
        <v>78</v>
      </c>
      <c r="E253" s="61" t="s">
        <v>137</v>
      </c>
      <c r="F253" s="61" t="s">
        <v>251</v>
      </c>
      <c r="G253" s="61" t="s">
        <v>9</v>
      </c>
      <c r="H253" s="62" t="n">
        <f aca="false">Entrada!G48</f>
        <v>-450</v>
      </c>
      <c r="I253" s="62" t="n">
        <f aca="false">Entrada!L48</f>
        <v>450</v>
      </c>
      <c r="J253" s="62" t="n">
        <v>0</v>
      </c>
      <c r="K253" s="62" t="n">
        <f aca="false">I253-J253</f>
        <v>450</v>
      </c>
      <c r="L253" s="61" t="s">
        <v>584</v>
      </c>
      <c r="M253" s="61"/>
      <c r="N253" s="61"/>
      <c r="O253" s="61"/>
    </row>
    <row r="254" customFormat="false" ht="15" hidden="false" customHeight="false" outlineLevel="0" collapsed="false">
      <c r="A254" s="60" t="n">
        <v>46289</v>
      </c>
      <c r="B254" s="61" t="str">
        <f aca="false">Entrada!K49</f>
        <v>Entrada</v>
      </c>
      <c r="C254" s="61" t="s">
        <v>53</v>
      </c>
      <c r="D254" s="61" t="s">
        <v>80</v>
      </c>
      <c r="E254" s="61" t="s">
        <v>137</v>
      </c>
      <c r="F254" s="61" t="s">
        <v>251</v>
      </c>
      <c r="G254" s="61" t="s">
        <v>9</v>
      </c>
      <c r="H254" s="62" t="n">
        <f aca="false">Entrada!G49</f>
        <v>-450</v>
      </c>
      <c r="I254" s="62" t="n">
        <f aca="false">Entrada!L49</f>
        <v>450</v>
      </c>
      <c r="J254" s="62" t="n">
        <v>0</v>
      </c>
      <c r="K254" s="62" t="n">
        <f aca="false">I254-J254</f>
        <v>450</v>
      </c>
      <c r="L254" s="61" t="s">
        <v>584</v>
      </c>
      <c r="M254" s="61"/>
      <c r="N254" s="61"/>
      <c r="O254" s="61"/>
    </row>
    <row r="255" customFormat="false" ht="15" hidden="false" customHeight="false" outlineLevel="0" collapsed="false">
      <c r="A255" s="60" t="n">
        <v>46289</v>
      </c>
      <c r="B255" s="61" t="str">
        <f aca="false">Entrada!K54</f>
        <v>Entrada</v>
      </c>
      <c r="C255" s="61" t="s">
        <v>69</v>
      </c>
      <c r="D255" s="61" t="s">
        <v>120</v>
      </c>
      <c r="E255" s="61" t="s">
        <v>119</v>
      </c>
      <c r="F255" s="61" t="s">
        <v>251</v>
      </c>
      <c r="G255" s="61" t="s">
        <v>4</v>
      </c>
      <c r="H255" s="62" t="n">
        <f aca="false">Entrada!G54</f>
        <v>-603</v>
      </c>
      <c r="I255" s="62" t="n">
        <f aca="false">Entrada!L54</f>
        <v>603</v>
      </c>
      <c r="J255" s="62" t="n">
        <v>0</v>
      </c>
      <c r="K255" s="62" t="n">
        <f aca="false">I255-J255</f>
        <v>603</v>
      </c>
      <c r="L255" s="61" t="s">
        <v>584</v>
      </c>
      <c r="M255" s="61"/>
      <c r="N255" s="61"/>
      <c r="O255" s="61"/>
    </row>
    <row r="256" customFormat="false" ht="15" hidden="false" customHeight="false" outlineLevel="0" collapsed="false">
      <c r="A256" s="60" t="n">
        <v>46289</v>
      </c>
      <c r="B256" s="61" t="str">
        <f aca="false">Entrada!K55</f>
        <v>Entrada</v>
      </c>
      <c r="C256" s="61" t="s">
        <v>69</v>
      </c>
      <c r="D256" s="61" t="s">
        <v>120</v>
      </c>
      <c r="E256" s="61" t="s">
        <v>119</v>
      </c>
      <c r="F256" s="61" t="s">
        <v>251</v>
      </c>
      <c r="G256" s="61" t="s">
        <v>4</v>
      </c>
      <c r="H256" s="62" t="n">
        <f aca="false">Entrada!G55</f>
        <v>-542.7</v>
      </c>
      <c r="I256" s="62" t="n">
        <f aca="false">Entrada!L55</f>
        <v>542.7</v>
      </c>
      <c r="J256" s="62" t="n">
        <v>0</v>
      </c>
      <c r="K256" s="62" t="n">
        <f aca="false">I256-J256</f>
        <v>542.7</v>
      </c>
      <c r="L256" s="61" t="s">
        <v>584</v>
      </c>
      <c r="M256" s="61"/>
      <c r="N256" s="61"/>
      <c r="O256" s="61"/>
    </row>
    <row r="257" customFormat="false" ht="15" hidden="false" customHeight="false" outlineLevel="0" collapsed="false">
      <c r="A257" s="60" t="n">
        <v>46289</v>
      </c>
      <c r="B257" s="61" t="str">
        <f aca="false">Entrada!K59</f>
        <v>Entrada</v>
      </c>
      <c r="C257" s="61" t="s">
        <v>75</v>
      </c>
      <c r="D257" s="61" t="s">
        <v>143</v>
      </c>
      <c r="E257" s="61" t="s">
        <v>173</v>
      </c>
      <c r="F257" s="61" t="s">
        <v>251</v>
      </c>
      <c r="G257" s="61" t="s">
        <v>4</v>
      </c>
      <c r="H257" s="62" t="n">
        <f aca="false">Entrada!G59</f>
        <v>-240</v>
      </c>
      <c r="I257" s="62" t="n">
        <f aca="false">Entrada!L59</f>
        <v>240</v>
      </c>
      <c r="J257" s="62" t="n">
        <v>0</v>
      </c>
      <c r="K257" s="62" t="n">
        <f aca="false">I257-J257</f>
        <v>240</v>
      </c>
      <c r="L257" s="61" t="s">
        <v>597</v>
      </c>
      <c r="M257" s="61"/>
      <c r="N257" s="61"/>
      <c r="O257" s="61"/>
    </row>
    <row r="258" customFormat="false" ht="15" hidden="false" customHeight="false" outlineLevel="0" collapsed="false">
      <c r="A258" s="60" t="n">
        <v>46289</v>
      </c>
      <c r="B258" s="61" t="str">
        <f aca="false">Entrada!K60</f>
        <v>Entrada</v>
      </c>
      <c r="C258" s="61" t="s">
        <v>75</v>
      </c>
      <c r="D258" s="61" t="s">
        <v>143</v>
      </c>
      <c r="E258" s="61" t="s">
        <v>173</v>
      </c>
      <c r="F258" s="61" t="s">
        <v>251</v>
      </c>
      <c r="G258" s="61" t="s">
        <v>4</v>
      </c>
      <c r="H258" s="62" t="n">
        <f aca="false">Entrada!G60</f>
        <v>-960</v>
      </c>
      <c r="I258" s="62" t="n">
        <f aca="false">Entrada!L60</f>
        <v>960</v>
      </c>
      <c r="J258" s="62" t="n">
        <v>0</v>
      </c>
      <c r="K258" s="62" t="n">
        <f aca="false">I258-J258</f>
        <v>960</v>
      </c>
      <c r="L258" s="61" t="s">
        <v>596</v>
      </c>
      <c r="M258" s="61"/>
      <c r="N258" s="61"/>
      <c r="O258" s="61"/>
    </row>
    <row r="259" customFormat="false" ht="15" hidden="false" customHeight="false" outlineLevel="0" collapsed="false">
      <c r="A259" s="60" t="n">
        <v>46289</v>
      </c>
      <c r="B259" s="61" t="str">
        <f aca="false">Entrada!K61</f>
        <v>Estorno</v>
      </c>
      <c r="C259" s="61" t="s">
        <v>75</v>
      </c>
      <c r="D259" s="61" t="s">
        <v>143</v>
      </c>
      <c r="E259" s="61" t="s">
        <v>173</v>
      </c>
      <c r="F259" s="61" t="s">
        <v>251</v>
      </c>
      <c r="G259" s="61" t="s">
        <v>4</v>
      </c>
      <c r="H259" s="62" t="n">
        <f aca="false">Entrada!G61</f>
        <v>480</v>
      </c>
      <c r="I259" s="62" t="n">
        <f aca="false">Entrada!L61</f>
        <v>-480</v>
      </c>
      <c r="J259" s="62" t="n">
        <v>0</v>
      </c>
      <c r="K259" s="62" t="n">
        <f aca="false">I259-J259</f>
        <v>-480</v>
      </c>
      <c r="L259" s="61" t="s">
        <v>607</v>
      </c>
      <c r="M259" s="61"/>
      <c r="N259" s="61"/>
      <c r="O259" s="61"/>
    </row>
    <row r="260" customFormat="false" ht="15" hidden="false" customHeight="false" outlineLevel="0" collapsed="false">
      <c r="A260" s="60" t="n">
        <v>46289</v>
      </c>
      <c r="B260" s="61" t="str">
        <f aca="false">Entrada!K62</f>
        <v>Estorno</v>
      </c>
      <c r="C260" s="61" t="s">
        <v>75</v>
      </c>
      <c r="D260" s="61" t="s">
        <v>143</v>
      </c>
      <c r="E260" s="61" t="s">
        <v>173</v>
      </c>
      <c r="F260" s="61" t="s">
        <v>251</v>
      </c>
      <c r="G260" s="61" t="s">
        <v>4</v>
      </c>
      <c r="H260" s="62" t="n">
        <f aca="false">Entrada!G62</f>
        <v>480</v>
      </c>
      <c r="I260" s="62" t="n">
        <f aca="false">Entrada!L62</f>
        <v>-480</v>
      </c>
      <c r="J260" s="62" t="n">
        <v>0</v>
      </c>
      <c r="K260" s="62" t="n">
        <f aca="false">I260-J260</f>
        <v>-480</v>
      </c>
      <c r="L260" s="61" t="s">
        <v>608</v>
      </c>
      <c r="M260" s="61"/>
      <c r="N260" s="61"/>
      <c r="O260" s="61"/>
    </row>
    <row r="261" customFormat="false" ht="15" hidden="false" customHeight="false" outlineLevel="0" collapsed="false">
      <c r="A261" s="60" t="n">
        <v>46289</v>
      </c>
      <c r="B261" s="61" t="str">
        <f aca="false">Entrada!K63</f>
        <v>Estorno</v>
      </c>
      <c r="C261" s="61" t="s">
        <v>75</v>
      </c>
      <c r="D261" s="61" t="s">
        <v>143</v>
      </c>
      <c r="E261" s="61" t="s">
        <v>173</v>
      </c>
      <c r="F261" s="61" t="s">
        <v>251</v>
      </c>
      <c r="G261" s="61" t="s">
        <v>4</v>
      </c>
      <c r="H261" s="62" t="n">
        <f aca="false">Entrada!G63</f>
        <v>240</v>
      </c>
      <c r="I261" s="62" t="n">
        <f aca="false">Entrada!L63</f>
        <v>-240</v>
      </c>
      <c r="J261" s="62" t="n">
        <v>0</v>
      </c>
      <c r="K261" s="62" t="n">
        <f aca="false">I261-J261</f>
        <v>-240</v>
      </c>
      <c r="L261" s="61" t="s">
        <v>598</v>
      </c>
      <c r="M261" s="61"/>
      <c r="N261" s="61"/>
      <c r="O261" s="61"/>
    </row>
    <row r="262" customFormat="false" ht="15" hidden="false" customHeight="false" outlineLevel="0" collapsed="false">
      <c r="A262" s="60" t="n">
        <v>46289</v>
      </c>
      <c r="B262" s="61" t="str">
        <f aca="false">Entrada!K64</f>
        <v>Entrada</v>
      </c>
      <c r="C262" s="61" t="s">
        <v>75</v>
      </c>
      <c r="D262" s="61" t="s">
        <v>143</v>
      </c>
      <c r="E262" s="61" t="s">
        <v>173</v>
      </c>
      <c r="F262" s="61" t="s">
        <v>251</v>
      </c>
      <c r="G262" s="61" t="s">
        <v>4</v>
      </c>
      <c r="H262" s="62" t="n">
        <f aca="false">Entrada!G64</f>
        <v>-960</v>
      </c>
      <c r="I262" s="62" t="n">
        <f aca="false">Entrada!L64</f>
        <v>960</v>
      </c>
      <c r="J262" s="62" t="n">
        <v>0</v>
      </c>
      <c r="K262" s="62" t="n">
        <f aca="false">I262-J262</f>
        <v>960</v>
      </c>
      <c r="L262" s="61" t="s">
        <v>609</v>
      </c>
      <c r="M262" s="61"/>
      <c r="N262" s="61"/>
      <c r="O262" s="61"/>
    </row>
    <row r="263" customFormat="false" ht="15" hidden="false" customHeight="false" outlineLevel="0" collapsed="false">
      <c r="A263" s="60" t="n">
        <v>46289</v>
      </c>
      <c r="B263" s="61" t="str">
        <f aca="false">Entrada!K65</f>
        <v>Estorno</v>
      </c>
      <c r="C263" s="61" t="s">
        <v>81</v>
      </c>
      <c r="D263" s="61" t="s">
        <v>145</v>
      </c>
      <c r="E263" s="61" t="s">
        <v>144</v>
      </c>
      <c r="F263" s="61" t="s">
        <v>251</v>
      </c>
      <c r="G263" s="61" t="s">
        <v>4</v>
      </c>
      <c r="H263" s="62" t="n">
        <f aca="false">Entrada!G65</f>
        <v>64</v>
      </c>
      <c r="I263" s="62" t="n">
        <f aca="false">Entrada!L65</f>
        <v>-64</v>
      </c>
      <c r="J263" s="62" t="n">
        <v>0</v>
      </c>
      <c r="K263" s="62" t="n">
        <f aca="false">I263-J263</f>
        <v>-64</v>
      </c>
      <c r="L263" s="61" t="s">
        <v>598</v>
      </c>
      <c r="M263" s="61"/>
      <c r="N263" s="61"/>
      <c r="O263" s="61"/>
    </row>
    <row r="264" customFormat="false" ht="15" hidden="false" customHeight="false" outlineLevel="0" collapsed="false">
      <c r="A264" s="60" t="n">
        <v>46289</v>
      </c>
      <c r="B264" s="61" t="str">
        <f aca="false">Entrada!K66</f>
        <v>Entrada</v>
      </c>
      <c r="C264" s="61" t="s">
        <v>81</v>
      </c>
      <c r="D264" s="61" t="s">
        <v>145</v>
      </c>
      <c r="E264" s="61" t="s">
        <v>144</v>
      </c>
      <c r="F264" s="61" t="s">
        <v>251</v>
      </c>
      <c r="G264" s="61" t="s">
        <v>4</v>
      </c>
      <c r="H264" s="62" t="n">
        <f aca="false">Entrada!G66</f>
        <v>-64</v>
      </c>
      <c r="I264" s="62" t="n">
        <f aca="false">Entrada!L66</f>
        <v>64</v>
      </c>
      <c r="J264" s="62" t="n">
        <v>0</v>
      </c>
      <c r="K264" s="62" t="n">
        <f aca="false">I264-J264</f>
        <v>64</v>
      </c>
      <c r="L264" s="61" t="s">
        <v>597</v>
      </c>
      <c r="M264" s="61"/>
      <c r="N264" s="61"/>
      <c r="O264" s="61"/>
    </row>
    <row r="265" customFormat="false" ht="15" hidden="false" customHeight="false" outlineLevel="0" collapsed="false">
      <c r="A265" s="60" t="n">
        <v>46289</v>
      </c>
      <c r="B265" s="61" t="str">
        <f aca="false">Entrada!K67</f>
        <v>Entrada</v>
      </c>
      <c r="C265" s="61" t="s">
        <v>81</v>
      </c>
      <c r="D265" s="61" t="s">
        <v>145</v>
      </c>
      <c r="E265" s="61" t="s">
        <v>144</v>
      </c>
      <c r="F265" s="61" t="s">
        <v>251</v>
      </c>
      <c r="G265" s="61" t="s">
        <v>4</v>
      </c>
      <c r="H265" s="62" t="n">
        <f aca="false">Entrada!G67</f>
        <v>-384</v>
      </c>
      <c r="I265" s="62" t="n">
        <f aca="false">Entrada!L67</f>
        <v>384</v>
      </c>
      <c r="J265" s="62" t="n">
        <v>0</v>
      </c>
      <c r="K265" s="62" t="n">
        <f aca="false">I265-J265</f>
        <v>384</v>
      </c>
      <c r="L265" s="61" t="s">
        <v>596</v>
      </c>
      <c r="M265" s="61"/>
      <c r="N265" s="61"/>
      <c r="O265" s="61"/>
    </row>
    <row r="266" customFormat="false" ht="15" hidden="false" customHeight="false" outlineLevel="0" collapsed="false">
      <c r="A266" s="60" t="n">
        <v>46289</v>
      </c>
      <c r="B266" s="61" t="str">
        <f aca="false">Entrada!K68</f>
        <v>Entrada</v>
      </c>
      <c r="C266" s="61" t="s">
        <v>81</v>
      </c>
      <c r="D266" s="61" t="s">
        <v>145</v>
      </c>
      <c r="E266" s="61" t="s">
        <v>144</v>
      </c>
      <c r="F266" s="61" t="s">
        <v>251</v>
      </c>
      <c r="G266" s="61" t="s">
        <v>4</v>
      </c>
      <c r="H266" s="62" t="n">
        <f aca="false">Entrada!G68</f>
        <v>-384</v>
      </c>
      <c r="I266" s="62" t="n">
        <f aca="false">Entrada!L68</f>
        <v>384</v>
      </c>
      <c r="J266" s="62" t="n">
        <v>0</v>
      </c>
      <c r="K266" s="62" t="n">
        <f aca="false">I266-J266</f>
        <v>384</v>
      </c>
      <c r="L266" s="61" t="s">
        <v>610</v>
      </c>
      <c r="M266" s="61"/>
      <c r="N266" s="61"/>
      <c r="O266" s="61"/>
    </row>
    <row r="267" customFormat="false" ht="15" hidden="false" customHeight="false" outlineLevel="0" collapsed="false">
      <c r="A267" s="60" t="n">
        <v>46289</v>
      </c>
      <c r="B267" s="61" t="s">
        <v>13</v>
      </c>
      <c r="C267" s="61" t="s">
        <v>81</v>
      </c>
      <c r="D267" s="61" t="s">
        <v>145</v>
      </c>
      <c r="E267" s="61" t="s">
        <v>144</v>
      </c>
      <c r="F267" s="61" t="s">
        <v>246</v>
      </c>
      <c r="G267" s="61" t="s">
        <v>4</v>
      </c>
      <c r="H267" s="62" t="n">
        <f aca="false">Saida!H270</f>
        <v>-6</v>
      </c>
      <c r="I267" s="62" t="n">
        <v>0</v>
      </c>
      <c r="J267" s="62" t="n">
        <f aca="false">Saida!R270</f>
        <v>6</v>
      </c>
      <c r="K267" s="62" t="n">
        <f aca="false">I267-J267</f>
        <v>-6</v>
      </c>
      <c r="L267" s="61" t="s">
        <v>611</v>
      </c>
      <c r="M267" s="61" t="s">
        <v>612</v>
      </c>
      <c r="N267" s="61" t="s">
        <v>613</v>
      </c>
      <c r="O267" s="61" t="s">
        <v>338</v>
      </c>
    </row>
    <row r="268" customFormat="false" ht="15" hidden="false" customHeight="false" outlineLevel="0" collapsed="false">
      <c r="A268" s="60" t="n">
        <v>46289</v>
      </c>
      <c r="B268" s="61" t="s">
        <v>13</v>
      </c>
      <c r="C268" s="61" t="s">
        <v>81</v>
      </c>
      <c r="D268" s="61" t="s">
        <v>145</v>
      </c>
      <c r="E268" s="61" t="s">
        <v>144</v>
      </c>
      <c r="F268" s="61" t="s">
        <v>246</v>
      </c>
      <c r="G268" s="61" t="s">
        <v>4</v>
      </c>
      <c r="H268" s="62" t="n">
        <f aca="false">Saida!H271</f>
        <v>-84</v>
      </c>
      <c r="I268" s="62" t="n">
        <v>0</v>
      </c>
      <c r="J268" s="62" t="n">
        <f aca="false">Saida!R271</f>
        <v>84</v>
      </c>
      <c r="K268" s="62" t="n">
        <f aca="false">I268-J268</f>
        <v>-84</v>
      </c>
      <c r="L268" s="61" t="s">
        <v>611</v>
      </c>
      <c r="M268" s="61" t="s">
        <v>612</v>
      </c>
      <c r="N268" s="61" t="s">
        <v>613</v>
      </c>
      <c r="O268" s="61" t="s">
        <v>338</v>
      </c>
    </row>
    <row r="269" customFormat="false" ht="15" hidden="false" customHeight="false" outlineLevel="0" collapsed="false">
      <c r="A269" s="60" t="n">
        <v>46289</v>
      </c>
      <c r="B269" s="61" t="s">
        <v>13</v>
      </c>
      <c r="C269" s="61" t="s">
        <v>81</v>
      </c>
      <c r="D269" s="61" t="s">
        <v>145</v>
      </c>
      <c r="E269" s="61" t="s">
        <v>144</v>
      </c>
      <c r="F269" s="61" t="s">
        <v>614</v>
      </c>
      <c r="G269" s="61" t="s">
        <v>4</v>
      </c>
      <c r="H269" s="62" t="n">
        <f aca="false">Saida!H272</f>
        <v>-12</v>
      </c>
      <c r="I269" s="62" t="n">
        <v>0</v>
      </c>
      <c r="J269" s="62" t="n">
        <f aca="false">Saida!R272</f>
        <v>12</v>
      </c>
      <c r="K269" s="62" t="n">
        <f aca="false">I269-J269</f>
        <v>-12</v>
      </c>
      <c r="L269" s="61" t="s">
        <v>615</v>
      </c>
      <c r="M269" s="61" t="s">
        <v>616</v>
      </c>
      <c r="N269" s="61" t="s">
        <v>617</v>
      </c>
      <c r="O269" s="61" t="s">
        <v>319</v>
      </c>
    </row>
    <row r="270" customFormat="false" ht="15" hidden="false" customHeight="false" outlineLevel="0" collapsed="false">
      <c r="A270" s="60" t="n">
        <v>46289</v>
      </c>
      <c r="B270" s="61" t="s">
        <v>13</v>
      </c>
      <c r="C270" s="61" t="s">
        <v>81</v>
      </c>
      <c r="D270" s="61" t="s">
        <v>145</v>
      </c>
      <c r="E270" s="61" t="s">
        <v>144</v>
      </c>
      <c r="F270" s="61" t="s">
        <v>246</v>
      </c>
      <c r="G270" s="61" t="s">
        <v>4</v>
      </c>
      <c r="H270" s="62" t="n">
        <f aca="false">Saida!H273</f>
        <v>-6</v>
      </c>
      <c r="I270" s="62" t="n">
        <v>0</v>
      </c>
      <c r="J270" s="62" t="n">
        <f aca="false">Saida!R273</f>
        <v>6</v>
      </c>
      <c r="K270" s="62" t="n">
        <f aca="false">I270-J270</f>
        <v>-6</v>
      </c>
      <c r="L270" s="61" t="s">
        <v>591</v>
      </c>
      <c r="M270" s="61" t="s">
        <v>592</v>
      </c>
      <c r="N270" s="61" t="s">
        <v>593</v>
      </c>
      <c r="O270" s="61" t="s">
        <v>338</v>
      </c>
    </row>
    <row r="271" customFormat="false" ht="15" hidden="false" customHeight="false" outlineLevel="0" collapsed="false">
      <c r="A271" s="60" t="n">
        <v>46289</v>
      </c>
      <c r="B271" s="61" t="s">
        <v>13</v>
      </c>
      <c r="C271" s="61" t="s">
        <v>104</v>
      </c>
      <c r="D271" s="61" t="s">
        <v>166</v>
      </c>
      <c r="E271" s="61" t="s">
        <v>165</v>
      </c>
      <c r="F271" s="61" t="s">
        <v>246</v>
      </c>
      <c r="G271" s="61" t="s">
        <v>4</v>
      </c>
      <c r="H271" s="62" t="n">
        <f aca="false">Saida!H294</f>
        <v>-12</v>
      </c>
      <c r="I271" s="62" t="n">
        <v>0</v>
      </c>
      <c r="J271" s="62" t="n">
        <f aca="false">Saida!R294</f>
        <v>12</v>
      </c>
      <c r="K271" s="62" t="n">
        <f aca="false">I271-J271</f>
        <v>-12</v>
      </c>
      <c r="L271" s="61" t="s">
        <v>594</v>
      </c>
      <c r="M271" s="61" t="s">
        <v>580</v>
      </c>
      <c r="N271" s="61" t="s">
        <v>581</v>
      </c>
      <c r="O271" s="61" t="s">
        <v>338</v>
      </c>
    </row>
    <row r="272" customFormat="false" ht="15" hidden="false" customHeight="false" outlineLevel="0" collapsed="false">
      <c r="A272" s="60" t="n">
        <v>46289</v>
      </c>
      <c r="B272" s="61" t="str">
        <f aca="false">Entrada!K77</f>
        <v>Entrada</v>
      </c>
      <c r="C272" s="61" t="s">
        <v>106</v>
      </c>
      <c r="D272" s="61" t="s">
        <v>183</v>
      </c>
      <c r="E272" s="61" t="s">
        <v>222</v>
      </c>
      <c r="F272" s="61" t="s">
        <v>251</v>
      </c>
      <c r="G272" s="61" t="s">
        <v>4</v>
      </c>
      <c r="H272" s="62" t="n">
        <f aca="false">Entrada!G77</f>
        <v>-600</v>
      </c>
      <c r="I272" s="62" t="n">
        <f aca="false">Entrada!L77</f>
        <v>600</v>
      </c>
      <c r="J272" s="62" t="n">
        <v>0</v>
      </c>
      <c r="K272" s="62" t="n">
        <f aca="false">I272-J272</f>
        <v>600</v>
      </c>
      <c r="L272" s="61" t="s">
        <v>618</v>
      </c>
      <c r="M272" s="61"/>
      <c r="N272" s="61"/>
      <c r="O272" s="61"/>
    </row>
    <row r="273" customFormat="false" ht="15" hidden="false" customHeight="false" outlineLevel="0" collapsed="false">
      <c r="A273" s="60" t="n">
        <v>46289</v>
      </c>
      <c r="B273" s="61" t="str">
        <f aca="false">Entrada!K78</f>
        <v>Entrada</v>
      </c>
      <c r="C273" s="61" t="s">
        <v>106</v>
      </c>
      <c r="D273" s="61" t="s">
        <v>183</v>
      </c>
      <c r="E273" s="61" t="s">
        <v>222</v>
      </c>
      <c r="F273" s="61" t="s">
        <v>251</v>
      </c>
      <c r="G273" s="61" t="s">
        <v>4</v>
      </c>
      <c r="H273" s="62" t="n">
        <f aca="false">Entrada!G78</f>
        <v>-60</v>
      </c>
      <c r="I273" s="62" t="n">
        <f aca="false">Entrada!L78</f>
        <v>60</v>
      </c>
      <c r="J273" s="62" t="n">
        <v>0</v>
      </c>
      <c r="K273" s="62" t="n">
        <f aca="false">I273-J273</f>
        <v>60</v>
      </c>
      <c r="L273" s="61" t="s">
        <v>597</v>
      </c>
      <c r="M273" s="61"/>
      <c r="N273" s="61"/>
      <c r="O273" s="61"/>
    </row>
    <row r="274" customFormat="false" ht="15" hidden="false" customHeight="false" outlineLevel="0" collapsed="false">
      <c r="A274" s="60" t="n">
        <v>46289</v>
      </c>
      <c r="B274" s="61" t="str">
        <f aca="false">Entrada!K79</f>
        <v>Entrada</v>
      </c>
      <c r="C274" s="61" t="s">
        <v>106</v>
      </c>
      <c r="D274" s="61" t="s">
        <v>183</v>
      </c>
      <c r="E274" s="61" t="s">
        <v>222</v>
      </c>
      <c r="F274" s="61" t="s">
        <v>251</v>
      </c>
      <c r="G274" s="61" t="s">
        <v>4</v>
      </c>
      <c r="H274" s="62" t="n">
        <f aca="false">Entrada!G79</f>
        <v>-600</v>
      </c>
      <c r="I274" s="62" t="n">
        <f aca="false">Entrada!L79</f>
        <v>600</v>
      </c>
      <c r="J274" s="62" t="n">
        <v>0</v>
      </c>
      <c r="K274" s="62" t="n">
        <f aca="false">I274-J274</f>
        <v>600</v>
      </c>
      <c r="L274" s="61" t="s">
        <v>596</v>
      </c>
      <c r="M274" s="61"/>
      <c r="N274" s="61"/>
      <c r="O274" s="61"/>
    </row>
    <row r="275" customFormat="false" ht="15" hidden="false" customHeight="false" outlineLevel="0" collapsed="false">
      <c r="A275" s="60" t="n">
        <v>46289</v>
      </c>
      <c r="B275" s="61" t="str">
        <f aca="false">Entrada!K80</f>
        <v>Estorno</v>
      </c>
      <c r="C275" s="61" t="s">
        <v>106</v>
      </c>
      <c r="D275" s="61" t="s">
        <v>183</v>
      </c>
      <c r="E275" s="61" t="s">
        <v>222</v>
      </c>
      <c r="F275" s="61" t="s">
        <v>251</v>
      </c>
      <c r="G275" s="61" t="s">
        <v>4</v>
      </c>
      <c r="H275" s="62" t="n">
        <f aca="false">Entrada!G80</f>
        <v>60</v>
      </c>
      <c r="I275" s="62" t="n">
        <f aca="false">Entrada!L80</f>
        <v>-60</v>
      </c>
      <c r="J275" s="62" t="n">
        <v>0</v>
      </c>
      <c r="K275" s="62" t="n">
        <f aca="false">I275-J275</f>
        <v>-60</v>
      </c>
      <c r="L275" s="61" t="s">
        <v>598</v>
      </c>
      <c r="M275" s="61"/>
      <c r="N275" s="61"/>
      <c r="O275" s="61"/>
    </row>
    <row r="276" customFormat="false" ht="15" hidden="false" customHeight="false" outlineLevel="0" collapsed="false">
      <c r="A276" s="60" t="n">
        <v>46289</v>
      </c>
      <c r="B276" s="61" t="str">
        <f aca="false">Entrada!K81</f>
        <v>Entrada</v>
      </c>
      <c r="C276" s="61" t="s">
        <v>110</v>
      </c>
      <c r="D276" s="61" t="s">
        <v>190</v>
      </c>
      <c r="E276" s="61" t="s">
        <v>119</v>
      </c>
      <c r="F276" s="61" t="s">
        <v>251</v>
      </c>
      <c r="G276" s="61" t="s">
        <v>4</v>
      </c>
      <c r="H276" s="62" t="n">
        <f aca="false">Entrada!G81</f>
        <v>-602.9</v>
      </c>
      <c r="I276" s="62" t="n">
        <f aca="false">Entrada!L81</f>
        <v>602.9</v>
      </c>
      <c r="J276" s="62" t="n">
        <v>0</v>
      </c>
      <c r="K276" s="62" t="n">
        <f aca="false">I276-J276</f>
        <v>602.9</v>
      </c>
      <c r="L276" s="61" t="s">
        <v>619</v>
      </c>
      <c r="M276" s="61"/>
      <c r="N276" s="61"/>
      <c r="O276" s="61"/>
    </row>
    <row r="277" customFormat="false" ht="15" hidden="false" customHeight="false" outlineLevel="0" collapsed="false">
      <c r="A277" s="60" t="n">
        <v>46289</v>
      </c>
      <c r="B277" s="61" t="str">
        <f aca="false">Entrada!K82</f>
        <v>Entrada</v>
      </c>
      <c r="C277" s="61" t="s">
        <v>110</v>
      </c>
      <c r="D277" s="61" t="s">
        <v>177</v>
      </c>
      <c r="E277" s="61" t="s">
        <v>119</v>
      </c>
      <c r="F277" s="61" t="s">
        <v>251</v>
      </c>
      <c r="G277" s="61" t="s">
        <v>4</v>
      </c>
      <c r="H277" s="62" t="n">
        <f aca="false">Entrada!G82</f>
        <v>-1206</v>
      </c>
      <c r="I277" s="62" t="n">
        <f aca="false">Entrada!L82</f>
        <v>1206</v>
      </c>
      <c r="J277" s="62" t="n">
        <v>0</v>
      </c>
      <c r="K277" s="62" t="n">
        <f aca="false">I277-J277</f>
        <v>1206</v>
      </c>
      <c r="L277" s="61" t="s">
        <v>584</v>
      </c>
      <c r="M277" s="61"/>
      <c r="N277" s="61"/>
      <c r="O277" s="61"/>
    </row>
    <row r="278" customFormat="false" ht="15" hidden="false" customHeight="false" outlineLevel="0" collapsed="false">
      <c r="A278" s="60" t="n">
        <v>46289</v>
      </c>
      <c r="B278" s="61" t="s">
        <v>13</v>
      </c>
      <c r="C278" s="61" t="s">
        <v>110</v>
      </c>
      <c r="D278" s="61" t="s">
        <v>193</v>
      </c>
      <c r="E278" s="61" t="s">
        <v>119</v>
      </c>
      <c r="F278" s="61" t="s">
        <v>246</v>
      </c>
      <c r="G278" s="61" t="s">
        <v>4</v>
      </c>
      <c r="H278" s="62" t="n">
        <f aca="false">Saida!H341</f>
        <v>-20.1</v>
      </c>
      <c r="I278" s="62" t="n">
        <v>0</v>
      </c>
      <c r="J278" s="62" t="n">
        <f aca="false">Saida!R341</f>
        <v>20.1</v>
      </c>
      <c r="K278" s="62" t="n">
        <f aca="false">I278-J278</f>
        <v>-20.1</v>
      </c>
      <c r="L278" s="61" t="s">
        <v>620</v>
      </c>
      <c r="M278" s="61" t="s">
        <v>621</v>
      </c>
      <c r="N278" s="61" t="s">
        <v>622</v>
      </c>
      <c r="O278" s="61" t="s">
        <v>338</v>
      </c>
    </row>
    <row r="279" customFormat="false" ht="15" hidden="false" customHeight="false" outlineLevel="0" collapsed="false">
      <c r="A279" s="60" t="n">
        <v>46289</v>
      </c>
      <c r="B279" s="61" t="str">
        <f aca="false">Entrada!K96</f>
        <v>Estorno</v>
      </c>
      <c r="C279" s="61" t="s">
        <v>131</v>
      </c>
      <c r="D279" s="61" t="s">
        <v>180</v>
      </c>
      <c r="E279" s="61" t="s">
        <v>132</v>
      </c>
      <c r="F279" s="61" t="s">
        <v>251</v>
      </c>
      <c r="G279" s="61" t="s">
        <v>12</v>
      </c>
      <c r="H279" s="62" t="n">
        <f aca="false">Entrada!G96</f>
        <v>120</v>
      </c>
      <c r="I279" s="62" t="n">
        <f aca="false">Entrada!L96</f>
        <v>-120</v>
      </c>
      <c r="J279" s="62" t="n">
        <v>0</v>
      </c>
      <c r="K279" s="62" t="n">
        <f aca="false">I279-J279</f>
        <v>-120</v>
      </c>
      <c r="L279" s="61" t="s">
        <v>623</v>
      </c>
      <c r="M279" s="61"/>
      <c r="N279" s="61"/>
      <c r="O279" s="61"/>
    </row>
    <row r="280" customFormat="false" ht="15" hidden="false" customHeight="false" outlineLevel="0" collapsed="false">
      <c r="A280" s="60" t="n">
        <v>46289</v>
      </c>
      <c r="B280" s="61" t="str">
        <f aca="false">Entrada!K92</f>
        <v>Entrada</v>
      </c>
      <c r="C280" s="61" t="s">
        <v>131</v>
      </c>
      <c r="D280" s="61" t="s">
        <v>205</v>
      </c>
      <c r="E280" s="61" t="s">
        <v>132</v>
      </c>
      <c r="F280" s="61" t="s">
        <v>251</v>
      </c>
      <c r="G280" s="61" t="s">
        <v>12</v>
      </c>
      <c r="H280" s="62" t="n">
        <f aca="false">Entrada!G92</f>
        <v>-120</v>
      </c>
      <c r="I280" s="62" t="n">
        <f aca="false">Entrada!L92</f>
        <v>120</v>
      </c>
      <c r="J280" s="62" t="n">
        <v>0</v>
      </c>
      <c r="K280" s="62" t="n">
        <f aca="false">I280-J280</f>
        <v>120</v>
      </c>
      <c r="L280" s="61" t="s">
        <v>624</v>
      </c>
      <c r="M280" s="61"/>
      <c r="N280" s="61"/>
      <c r="O280" s="61"/>
    </row>
    <row r="281" customFormat="false" ht="15" hidden="false" customHeight="false" outlineLevel="0" collapsed="false">
      <c r="A281" s="60" t="n">
        <v>46289</v>
      </c>
      <c r="B281" s="61" t="str">
        <f aca="false">Entrada!K95</f>
        <v>Entrada</v>
      </c>
      <c r="C281" s="61" t="s">
        <v>131</v>
      </c>
      <c r="D281" s="61" t="s">
        <v>206</v>
      </c>
      <c r="E281" s="61" t="s">
        <v>132</v>
      </c>
      <c r="F281" s="61" t="s">
        <v>251</v>
      </c>
      <c r="G281" s="61" t="s">
        <v>12</v>
      </c>
      <c r="H281" s="62" t="n">
        <f aca="false">Entrada!G95</f>
        <v>-119.75</v>
      </c>
      <c r="I281" s="62" t="n">
        <f aca="false">Entrada!L95</f>
        <v>119.75</v>
      </c>
      <c r="J281" s="62" t="n">
        <v>0</v>
      </c>
      <c r="K281" s="62" t="n">
        <f aca="false">I281-J281</f>
        <v>119.75</v>
      </c>
      <c r="L281" s="61" t="s">
        <v>596</v>
      </c>
      <c r="M281" s="61"/>
      <c r="N281" s="61"/>
      <c r="O281" s="61"/>
    </row>
    <row r="282" customFormat="false" ht="15" hidden="false" customHeight="false" outlineLevel="0" collapsed="false">
      <c r="A282" s="60" t="n">
        <v>46289</v>
      </c>
      <c r="B282" s="61" t="str">
        <f aca="false">Entrada!K91</f>
        <v>Entrada</v>
      </c>
      <c r="C282" s="61" t="s">
        <v>131</v>
      </c>
      <c r="D282" s="61" t="s">
        <v>133</v>
      </c>
      <c r="E282" s="61" t="s">
        <v>132</v>
      </c>
      <c r="F282" s="61" t="s">
        <v>251</v>
      </c>
      <c r="G282" s="61" t="s">
        <v>12</v>
      </c>
      <c r="H282" s="62" t="n">
        <f aca="false">Entrada!G91</f>
        <v>-7</v>
      </c>
      <c r="I282" s="62" t="n">
        <f aca="false">Entrada!L91</f>
        <v>7</v>
      </c>
      <c r="J282" s="62" t="n">
        <v>0</v>
      </c>
      <c r="K282" s="62" t="n">
        <f aca="false">I282-J282</f>
        <v>7</v>
      </c>
      <c r="L282" s="61" t="s">
        <v>625</v>
      </c>
      <c r="M282" s="61"/>
      <c r="N282" s="61"/>
      <c r="O282" s="61"/>
    </row>
    <row r="283" customFormat="false" ht="15" hidden="false" customHeight="false" outlineLevel="0" collapsed="false">
      <c r="A283" s="60" t="n">
        <v>46289</v>
      </c>
      <c r="B283" s="61" t="str">
        <f aca="false">Entrada!K93</f>
        <v>Entrada</v>
      </c>
      <c r="C283" s="61" t="s">
        <v>131</v>
      </c>
      <c r="D283" s="61" t="s">
        <v>133</v>
      </c>
      <c r="E283" s="61" t="s">
        <v>132</v>
      </c>
      <c r="F283" s="61" t="s">
        <v>251</v>
      </c>
      <c r="G283" s="61" t="s">
        <v>12</v>
      </c>
      <c r="H283" s="62" t="n">
        <f aca="false">Entrada!G93</f>
        <v>-120</v>
      </c>
      <c r="I283" s="62" t="n">
        <f aca="false">Entrada!L93</f>
        <v>120</v>
      </c>
      <c r="J283" s="62" t="n">
        <v>0</v>
      </c>
      <c r="K283" s="62" t="n">
        <f aca="false">I283-J283</f>
        <v>120</v>
      </c>
      <c r="L283" s="61" t="s">
        <v>626</v>
      </c>
      <c r="M283" s="61"/>
      <c r="N283" s="61"/>
      <c r="O283" s="61"/>
    </row>
    <row r="284" customFormat="false" ht="15" hidden="false" customHeight="false" outlineLevel="0" collapsed="false">
      <c r="A284" s="60" t="n">
        <v>46289</v>
      </c>
      <c r="B284" s="61" t="str">
        <f aca="false">Entrada!K94</f>
        <v>Entrada</v>
      </c>
      <c r="C284" s="61" t="s">
        <v>131</v>
      </c>
      <c r="D284" s="61" t="s">
        <v>133</v>
      </c>
      <c r="E284" s="61" t="s">
        <v>132</v>
      </c>
      <c r="F284" s="61" t="s">
        <v>251</v>
      </c>
      <c r="G284" s="61" t="s">
        <v>12</v>
      </c>
      <c r="H284" s="62" t="n">
        <f aca="false">Entrada!G94</f>
        <v>-120</v>
      </c>
      <c r="I284" s="62" t="n">
        <f aca="false">Entrada!L94</f>
        <v>120</v>
      </c>
      <c r="J284" s="62" t="n">
        <v>0</v>
      </c>
      <c r="K284" s="62" t="n">
        <f aca="false">I284-J284</f>
        <v>120</v>
      </c>
      <c r="L284" s="61" t="s">
        <v>627</v>
      </c>
      <c r="M284" s="61"/>
      <c r="N284" s="61"/>
      <c r="O284" s="61"/>
    </row>
    <row r="285" customFormat="false" ht="15" hidden="false" customHeight="false" outlineLevel="0" collapsed="false">
      <c r="A285" s="60" t="n">
        <v>46289</v>
      </c>
      <c r="B285" s="61" t="str">
        <f aca="false">Entrada!K109</f>
        <v>Entrada</v>
      </c>
      <c r="C285" s="61" t="s">
        <v>151</v>
      </c>
      <c r="D285" s="61" t="s">
        <v>213</v>
      </c>
      <c r="E285" s="61" t="s">
        <v>225</v>
      </c>
      <c r="F285" s="61" t="s">
        <v>251</v>
      </c>
      <c r="G285" s="61" t="s">
        <v>4</v>
      </c>
      <c r="H285" s="62" t="n">
        <f aca="false">Entrada!G109</f>
        <v>-400</v>
      </c>
      <c r="I285" s="62" t="n">
        <f aca="false">Entrada!L109</f>
        <v>400</v>
      </c>
      <c r="J285" s="62" t="n">
        <v>0</v>
      </c>
      <c r="K285" s="62" t="n">
        <f aca="false">I285-J285</f>
        <v>400</v>
      </c>
      <c r="L285" s="61" t="s">
        <v>596</v>
      </c>
      <c r="M285" s="61"/>
      <c r="N285" s="61"/>
      <c r="O285" s="61"/>
    </row>
    <row r="286" customFormat="false" ht="15" hidden="false" customHeight="false" outlineLevel="0" collapsed="false">
      <c r="A286" s="60" t="n">
        <v>46289</v>
      </c>
      <c r="B286" s="61" t="str">
        <f aca="false">Entrada!K110</f>
        <v>Estorno</v>
      </c>
      <c r="C286" s="61" t="s">
        <v>151</v>
      </c>
      <c r="D286" s="61" t="s">
        <v>213</v>
      </c>
      <c r="E286" s="61" t="s">
        <v>225</v>
      </c>
      <c r="F286" s="61" t="s">
        <v>251</v>
      </c>
      <c r="G286" s="61" t="s">
        <v>4</v>
      </c>
      <c r="H286" s="62" t="n">
        <f aca="false">Entrada!G110</f>
        <v>40</v>
      </c>
      <c r="I286" s="62" t="n">
        <f aca="false">Entrada!L110</f>
        <v>-40</v>
      </c>
      <c r="J286" s="62" t="n">
        <v>0</v>
      </c>
      <c r="K286" s="62" t="n">
        <f aca="false">I286-J286</f>
        <v>-40</v>
      </c>
      <c r="L286" s="61" t="s">
        <v>598</v>
      </c>
      <c r="M286" s="61"/>
      <c r="N286" s="61"/>
      <c r="O286" s="61"/>
    </row>
    <row r="287" customFormat="false" ht="15" hidden="false" customHeight="false" outlineLevel="0" collapsed="false">
      <c r="A287" s="60" t="n">
        <v>46289</v>
      </c>
      <c r="B287" s="61" t="str">
        <f aca="false">Entrada!K111</f>
        <v>Entrada</v>
      </c>
      <c r="C287" s="61" t="s">
        <v>151</v>
      </c>
      <c r="D287" s="61" t="s">
        <v>213</v>
      </c>
      <c r="E287" s="61" t="s">
        <v>225</v>
      </c>
      <c r="F287" s="61" t="s">
        <v>251</v>
      </c>
      <c r="G287" s="61" t="s">
        <v>4</v>
      </c>
      <c r="H287" s="62" t="n">
        <f aca="false">Entrada!G111</f>
        <v>-40</v>
      </c>
      <c r="I287" s="62" t="n">
        <f aca="false">Entrada!L111</f>
        <v>40</v>
      </c>
      <c r="J287" s="62" t="n">
        <v>0</v>
      </c>
      <c r="K287" s="62" t="n">
        <f aca="false">I287-J287</f>
        <v>40</v>
      </c>
      <c r="L287" s="61" t="s">
        <v>597</v>
      </c>
      <c r="M287" s="61"/>
      <c r="N287" s="61"/>
      <c r="O287" s="61"/>
    </row>
    <row r="288" customFormat="false" ht="15" hidden="false" customHeight="false" outlineLevel="0" collapsed="false">
      <c r="A288" s="60" t="n">
        <v>46289</v>
      </c>
      <c r="B288" s="61" t="str">
        <f aca="false">Entrada!K114</f>
        <v>Estorno</v>
      </c>
      <c r="C288" s="61" t="s">
        <v>157</v>
      </c>
      <c r="D288" s="61" t="s">
        <v>194</v>
      </c>
      <c r="E288" s="61" t="s">
        <v>119</v>
      </c>
      <c r="F288" s="61" t="s">
        <v>251</v>
      </c>
      <c r="G288" s="61" t="s">
        <v>4</v>
      </c>
      <c r="H288" s="62" t="n">
        <f aca="false">Entrada!G114</f>
        <v>186</v>
      </c>
      <c r="I288" s="62" t="n">
        <f aca="false">Entrada!L114</f>
        <v>-186</v>
      </c>
      <c r="J288" s="62" t="n">
        <v>0</v>
      </c>
      <c r="K288" s="62" t="n">
        <f aca="false">I288-J288</f>
        <v>-186</v>
      </c>
      <c r="L288" s="61" t="s">
        <v>598</v>
      </c>
      <c r="M288" s="61"/>
      <c r="N288" s="61"/>
      <c r="O288" s="61"/>
    </row>
    <row r="289" customFormat="false" ht="15" hidden="false" customHeight="false" outlineLevel="0" collapsed="false">
      <c r="A289" s="60" t="n">
        <v>46289</v>
      </c>
      <c r="B289" s="61" t="str">
        <f aca="false">Entrada!K115</f>
        <v>Entrada</v>
      </c>
      <c r="C289" s="61" t="s">
        <v>157</v>
      </c>
      <c r="D289" s="61" t="s">
        <v>194</v>
      </c>
      <c r="E289" s="61" t="s">
        <v>119</v>
      </c>
      <c r="F289" s="61" t="s">
        <v>251</v>
      </c>
      <c r="G289" s="61" t="s">
        <v>4</v>
      </c>
      <c r="H289" s="62" t="n">
        <f aca="false">Entrada!G115</f>
        <v>-186</v>
      </c>
      <c r="I289" s="62" t="n">
        <f aca="false">Entrada!L115</f>
        <v>186</v>
      </c>
      <c r="J289" s="62" t="n">
        <v>0</v>
      </c>
      <c r="K289" s="62" t="n">
        <f aca="false">I289-J289</f>
        <v>186</v>
      </c>
      <c r="L289" s="61" t="s">
        <v>597</v>
      </c>
      <c r="M289" s="61"/>
      <c r="N289" s="61"/>
      <c r="O289" s="61"/>
    </row>
    <row r="290" customFormat="false" ht="15" hidden="false" customHeight="false" outlineLevel="0" collapsed="false">
      <c r="A290" s="60" t="n">
        <v>46289</v>
      </c>
      <c r="B290" s="61" t="str">
        <f aca="false">Entrada!K116</f>
        <v>Entrada</v>
      </c>
      <c r="C290" s="61" t="s">
        <v>157</v>
      </c>
      <c r="D290" s="61" t="s">
        <v>194</v>
      </c>
      <c r="E290" s="61" t="s">
        <v>119</v>
      </c>
      <c r="F290" s="61" t="s">
        <v>251</v>
      </c>
      <c r="G290" s="61" t="s">
        <v>4</v>
      </c>
      <c r="H290" s="62" t="n">
        <f aca="false">Entrada!G116</f>
        <v>-2543.3</v>
      </c>
      <c r="I290" s="62" t="n">
        <f aca="false">Entrada!L116</f>
        <v>2543.3</v>
      </c>
      <c r="J290" s="62" t="n">
        <v>0</v>
      </c>
      <c r="K290" s="62" t="n">
        <f aca="false">I290-J290</f>
        <v>2543.3</v>
      </c>
      <c r="L290" s="61" t="s">
        <v>628</v>
      </c>
      <c r="M290" s="61"/>
      <c r="N290" s="61"/>
      <c r="O290" s="61"/>
    </row>
    <row r="291" customFormat="false" ht="15" hidden="false" customHeight="false" outlineLevel="0" collapsed="false">
      <c r="A291" s="60" t="n">
        <v>46290</v>
      </c>
      <c r="B291" s="61" t="s">
        <v>13</v>
      </c>
      <c r="C291" s="61" t="s">
        <v>7</v>
      </c>
      <c r="D291" s="61" t="s">
        <v>8</v>
      </c>
      <c r="E291" s="61" t="s">
        <v>119</v>
      </c>
      <c r="F291" s="61" t="s">
        <v>246</v>
      </c>
      <c r="G291" s="61" t="s">
        <v>4</v>
      </c>
      <c r="H291" s="62" t="n">
        <f aca="false">Saida!H20</f>
        <v>-20.1</v>
      </c>
      <c r="I291" s="62" t="n">
        <v>0</v>
      </c>
      <c r="J291" s="62" t="n">
        <f aca="false">Saida!R20</f>
        <v>20.1</v>
      </c>
      <c r="K291" s="62" t="n">
        <f aca="false">I291-J291</f>
        <v>-20.1</v>
      </c>
      <c r="L291" s="61" t="s">
        <v>629</v>
      </c>
      <c r="M291" s="61" t="s">
        <v>630</v>
      </c>
      <c r="N291" s="61" t="s">
        <v>631</v>
      </c>
      <c r="O291" s="61" t="s">
        <v>338</v>
      </c>
    </row>
    <row r="292" customFormat="false" ht="15" hidden="false" customHeight="false" outlineLevel="0" collapsed="false">
      <c r="A292" s="60" t="n">
        <v>46290</v>
      </c>
      <c r="B292" s="61" t="s">
        <v>13</v>
      </c>
      <c r="C292" s="61" t="s">
        <v>7</v>
      </c>
      <c r="D292" s="61" t="s">
        <v>8</v>
      </c>
      <c r="E292" s="61" t="s">
        <v>119</v>
      </c>
      <c r="F292" s="61" t="s">
        <v>246</v>
      </c>
      <c r="G292" s="61" t="s">
        <v>4</v>
      </c>
      <c r="H292" s="62" t="n">
        <f aca="false">Saida!H21</f>
        <v>-603</v>
      </c>
      <c r="I292" s="62" t="n">
        <v>0</v>
      </c>
      <c r="J292" s="62" t="n">
        <f aca="false">Saida!R21</f>
        <v>603</v>
      </c>
      <c r="K292" s="62" t="n">
        <f aca="false">I292-J292</f>
        <v>-603</v>
      </c>
      <c r="L292" s="61" t="s">
        <v>632</v>
      </c>
      <c r="M292" s="61" t="s">
        <v>377</v>
      </c>
      <c r="N292" s="61" t="s">
        <v>378</v>
      </c>
      <c r="O292" s="61" t="s">
        <v>250</v>
      </c>
    </row>
    <row r="293" customFormat="false" ht="15" hidden="false" customHeight="false" outlineLevel="0" collapsed="false">
      <c r="A293" s="60" t="n">
        <v>46290</v>
      </c>
      <c r="B293" s="61" t="s">
        <v>13</v>
      </c>
      <c r="C293" s="61" t="s">
        <v>20</v>
      </c>
      <c r="D293" s="61" t="s">
        <v>21</v>
      </c>
      <c r="E293" s="61" t="s">
        <v>141</v>
      </c>
      <c r="F293" s="61" t="s">
        <v>246</v>
      </c>
      <c r="G293" s="61" t="s">
        <v>4</v>
      </c>
      <c r="H293" s="62" t="n">
        <f aca="false">Saida!H50</f>
        <v>-14</v>
      </c>
      <c r="I293" s="62" t="n">
        <v>0</v>
      </c>
      <c r="J293" s="62" t="n">
        <f aca="false">Saida!R50</f>
        <v>14</v>
      </c>
      <c r="K293" s="62" t="n">
        <f aca="false">I293-J293</f>
        <v>-14</v>
      </c>
      <c r="L293" s="61" t="s">
        <v>629</v>
      </c>
      <c r="M293" s="61" t="s">
        <v>630</v>
      </c>
      <c r="N293" s="61" t="s">
        <v>631</v>
      </c>
      <c r="O293" s="61" t="s">
        <v>338</v>
      </c>
    </row>
    <row r="294" customFormat="false" ht="15" hidden="false" customHeight="false" outlineLevel="0" collapsed="false">
      <c r="A294" s="60" t="n">
        <v>46290</v>
      </c>
      <c r="B294" s="61" t="s">
        <v>13</v>
      </c>
      <c r="C294" s="61" t="s">
        <v>20</v>
      </c>
      <c r="D294" s="61" t="s">
        <v>21</v>
      </c>
      <c r="E294" s="61" t="s">
        <v>141</v>
      </c>
      <c r="F294" s="61" t="s">
        <v>246</v>
      </c>
      <c r="G294" s="61" t="s">
        <v>4</v>
      </c>
      <c r="H294" s="62" t="n">
        <f aca="false">Saida!H51</f>
        <v>-14</v>
      </c>
      <c r="I294" s="62" t="n">
        <v>0</v>
      </c>
      <c r="J294" s="62" t="n">
        <f aca="false">Saida!R51</f>
        <v>14</v>
      </c>
      <c r="K294" s="62" t="n">
        <f aca="false">I294-J294</f>
        <v>-14</v>
      </c>
      <c r="L294" s="61" t="s">
        <v>633</v>
      </c>
      <c r="M294" s="61" t="s">
        <v>634</v>
      </c>
      <c r="N294" s="61" t="s">
        <v>635</v>
      </c>
      <c r="O294" s="61" t="s">
        <v>338</v>
      </c>
    </row>
    <row r="295" customFormat="false" ht="15" hidden="false" customHeight="false" outlineLevel="0" collapsed="false">
      <c r="A295" s="60" t="n">
        <v>46290</v>
      </c>
      <c r="B295" s="61" t="s">
        <v>13</v>
      </c>
      <c r="C295" s="61" t="s">
        <v>23</v>
      </c>
      <c r="D295" s="61" t="s">
        <v>24</v>
      </c>
      <c r="E295" s="61" t="s">
        <v>141</v>
      </c>
      <c r="F295" s="61" t="s">
        <v>246</v>
      </c>
      <c r="G295" s="61" t="s">
        <v>4</v>
      </c>
      <c r="H295" s="62" t="n">
        <f aca="false">Saida!H58</f>
        <v>-5.6</v>
      </c>
      <c r="I295" s="62" t="n">
        <v>0</v>
      </c>
      <c r="J295" s="62" t="n">
        <f aca="false">Saida!R58</f>
        <v>5.6</v>
      </c>
      <c r="K295" s="62" t="n">
        <f aca="false">I295-J295</f>
        <v>-5.6</v>
      </c>
      <c r="L295" s="61" t="s">
        <v>636</v>
      </c>
      <c r="M295" s="61" t="s">
        <v>637</v>
      </c>
      <c r="N295" s="61" t="s">
        <v>638</v>
      </c>
      <c r="O295" s="61" t="s">
        <v>338</v>
      </c>
    </row>
    <row r="296" customFormat="false" ht="15" hidden="false" customHeight="false" outlineLevel="0" collapsed="false">
      <c r="A296" s="60" t="n">
        <v>46290</v>
      </c>
      <c r="B296" s="61" t="s">
        <v>13</v>
      </c>
      <c r="C296" s="61" t="s">
        <v>23</v>
      </c>
      <c r="D296" s="61" t="s">
        <v>24</v>
      </c>
      <c r="E296" s="61" t="s">
        <v>141</v>
      </c>
      <c r="F296" s="61" t="s">
        <v>246</v>
      </c>
      <c r="G296" s="61" t="s">
        <v>4</v>
      </c>
      <c r="H296" s="62" t="n">
        <f aca="false">Saida!H59</f>
        <v>-14</v>
      </c>
      <c r="I296" s="62" t="n">
        <v>0</v>
      </c>
      <c r="J296" s="62" t="n">
        <f aca="false">Saida!R59</f>
        <v>14</v>
      </c>
      <c r="K296" s="62" t="n">
        <f aca="false">I296-J296</f>
        <v>-14</v>
      </c>
      <c r="L296" s="61" t="s">
        <v>639</v>
      </c>
      <c r="M296" s="61" t="s">
        <v>630</v>
      </c>
      <c r="N296" s="61" t="s">
        <v>631</v>
      </c>
      <c r="O296" s="61" t="s">
        <v>338</v>
      </c>
    </row>
    <row r="297" customFormat="false" ht="15" hidden="false" customHeight="false" outlineLevel="0" collapsed="false">
      <c r="A297" s="60" t="n">
        <v>46290</v>
      </c>
      <c r="B297" s="61" t="s">
        <v>13</v>
      </c>
      <c r="C297" s="61" t="s">
        <v>29</v>
      </c>
      <c r="D297" s="61" t="s">
        <v>34</v>
      </c>
      <c r="E297" s="61" t="s">
        <v>141</v>
      </c>
      <c r="F297" s="61" t="s">
        <v>246</v>
      </c>
      <c r="G297" s="61" t="s">
        <v>4</v>
      </c>
      <c r="H297" s="62" t="n">
        <f aca="false">Saida!H89</f>
        <v>-2.8</v>
      </c>
      <c r="I297" s="62" t="n">
        <v>0</v>
      </c>
      <c r="J297" s="62" t="n">
        <f aca="false">Saida!R89</f>
        <v>2.8</v>
      </c>
      <c r="K297" s="62" t="n">
        <f aca="false">I297-J297</f>
        <v>-2.8</v>
      </c>
      <c r="L297" s="61" t="s">
        <v>636</v>
      </c>
      <c r="M297" s="61" t="s">
        <v>637</v>
      </c>
      <c r="N297" s="61" t="s">
        <v>638</v>
      </c>
      <c r="O297" s="61" t="s">
        <v>338</v>
      </c>
    </row>
    <row r="298" customFormat="false" ht="15" hidden="false" customHeight="false" outlineLevel="0" collapsed="false">
      <c r="A298" s="60" t="n">
        <v>46290</v>
      </c>
      <c r="B298" s="61" t="s">
        <v>13</v>
      </c>
      <c r="C298" s="61" t="s">
        <v>31</v>
      </c>
      <c r="D298" s="61" t="s">
        <v>42</v>
      </c>
      <c r="E298" s="61" t="s">
        <v>199</v>
      </c>
      <c r="F298" s="61" t="s">
        <v>246</v>
      </c>
      <c r="G298" s="61" t="s">
        <v>4</v>
      </c>
      <c r="H298" s="62" t="n">
        <f aca="false">Saida!H105</f>
        <v>-200</v>
      </c>
      <c r="I298" s="62" t="n">
        <v>0</v>
      </c>
      <c r="J298" s="62" t="n">
        <f aca="false">Saida!R105</f>
        <v>200</v>
      </c>
      <c r="K298" s="62" t="n">
        <f aca="false">I298-J298</f>
        <v>-200</v>
      </c>
      <c r="L298" s="61" t="s">
        <v>640</v>
      </c>
      <c r="M298" s="61" t="s">
        <v>310</v>
      </c>
      <c r="N298" s="61" t="s">
        <v>311</v>
      </c>
      <c r="O298" s="61" t="s">
        <v>523</v>
      </c>
    </row>
    <row r="299" customFormat="false" ht="15" hidden="false" customHeight="false" outlineLevel="0" collapsed="false">
      <c r="A299" s="60" t="n">
        <v>46290</v>
      </c>
      <c r="B299" s="61" t="s">
        <v>13</v>
      </c>
      <c r="C299" s="61" t="s">
        <v>31</v>
      </c>
      <c r="D299" s="61" t="s">
        <v>42</v>
      </c>
      <c r="E299" s="61" t="s">
        <v>199</v>
      </c>
      <c r="F299" s="61" t="s">
        <v>246</v>
      </c>
      <c r="G299" s="61" t="s">
        <v>4</v>
      </c>
      <c r="H299" s="62" t="n">
        <f aca="false">Saida!H106</f>
        <v>-200</v>
      </c>
      <c r="I299" s="62" t="n">
        <v>0</v>
      </c>
      <c r="J299" s="62" t="n">
        <f aca="false">Saida!R106</f>
        <v>200</v>
      </c>
      <c r="K299" s="62" t="n">
        <f aca="false">I299-J299</f>
        <v>-200</v>
      </c>
      <c r="L299" s="61" t="s">
        <v>641</v>
      </c>
      <c r="M299" s="61" t="s">
        <v>310</v>
      </c>
      <c r="N299" s="61" t="s">
        <v>311</v>
      </c>
      <c r="O299" s="61" t="s">
        <v>523</v>
      </c>
    </row>
    <row r="300" customFormat="false" ht="15" hidden="false" customHeight="false" outlineLevel="0" collapsed="false">
      <c r="A300" s="60" t="n">
        <v>46290</v>
      </c>
      <c r="B300" s="61" t="s">
        <v>13</v>
      </c>
      <c r="C300" s="61" t="s">
        <v>33</v>
      </c>
      <c r="D300" s="61" t="s">
        <v>44</v>
      </c>
      <c r="E300" s="61" t="s">
        <v>202</v>
      </c>
      <c r="F300" s="61" t="s">
        <v>246</v>
      </c>
      <c r="G300" s="61" t="s">
        <v>4</v>
      </c>
      <c r="H300" s="62" t="n">
        <f aca="false">Saida!H115</f>
        <v>-1740</v>
      </c>
      <c r="I300" s="62" t="n">
        <v>0</v>
      </c>
      <c r="J300" s="62" t="n">
        <f aca="false">Saida!R115</f>
        <v>1740</v>
      </c>
      <c r="K300" s="62" t="n">
        <f aca="false">I300-J300</f>
        <v>-1740</v>
      </c>
      <c r="L300" s="61" t="s">
        <v>642</v>
      </c>
      <c r="M300" s="61" t="s">
        <v>310</v>
      </c>
      <c r="N300" s="61" t="s">
        <v>311</v>
      </c>
      <c r="O300" s="61" t="s">
        <v>523</v>
      </c>
    </row>
    <row r="301" customFormat="false" ht="15" hidden="false" customHeight="false" outlineLevel="0" collapsed="false">
      <c r="A301" s="60" t="n">
        <v>46290</v>
      </c>
      <c r="B301" s="61" t="s">
        <v>13</v>
      </c>
      <c r="C301" s="61" t="s">
        <v>33</v>
      </c>
      <c r="D301" s="61" t="s">
        <v>52</v>
      </c>
      <c r="E301" s="61" t="s">
        <v>202</v>
      </c>
      <c r="F301" s="61" t="s">
        <v>246</v>
      </c>
      <c r="G301" s="61" t="s">
        <v>4</v>
      </c>
      <c r="H301" s="62" t="n">
        <f aca="false">Saida!H113</f>
        <v>-1160</v>
      </c>
      <c r="I301" s="62" t="n">
        <v>0</v>
      </c>
      <c r="J301" s="62" t="n">
        <f aca="false">Saida!R113</f>
        <v>1160</v>
      </c>
      <c r="K301" s="62" t="n">
        <f aca="false">I301-J301</f>
        <v>-1160</v>
      </c>
      <c r="L301" s="61" t="s">
        <v>643</v>
      </c>
      <c r="M301" s="61" t="s">
        <v>310</v>
      </c>
      <c r="N301" s="61" t="s">
        <v>311</v>
      </c>
      <c r="O301" s="61" t="s">
        <v>523</v>
      </c>
    </row>
    <row r="302" customFormat="false" ht="15" hidden="false" customHeight="false" outlineLevel="0" collapsed="false">
      <c r="A302" s="60" t="n">
        <v>46290</v>
      </c>
      <c r="B302" s="61" t="s">
        <v>13</v>
      </c>
      <c r="C302" s="61" t="s">
        <v>33</v>
      </c>
      <c r="D302" s="61" t="s">
        <v>54</v>
      </c>
      <c r="E302" s="61" t="s">
        <v>202</v>
      </c>
      <c r="F302" s="61" t="s">
        <v>246</v>
      </c>
      <c r="G302" s="61" t="s">
        <v>4</v>
      </c>
      <c r="H302" s="62" t="n">
        <f aca="false">Saida!H114</f>
        <v>-200</v>
      </c>
      <c r="I302" s="62" t="n">
        <v>0</v>
      </c>
      <c r="J302" s="62" t="n">
        <f aca="false">Saida!R114</f>
        <v>200</v>
      </c>
      <c r="K302" s="62" t="n">
        <f aca="false">I302-J302</f>
        <v>-200</v>
      </c>
      <c r="L302" s="61" t="s">
        <v>643</v>
      </c>
      <c r="M302" s="61" t="s">
        <v>310</v>
      </c>
      <c r="N302" s="61" t="s">
        <v>311</v>
      </c>
      <c r="O302" s="61" t="s">
        <v>523</v>
      </c>
    </row>
    <row r="303" customFormat="false" ht="15" hidden="false" customHeight="false" outlineLevel="0" collapsed="false">
      <c r="A303" s="60" t="n">
        <v>46290</v>
      </c>
      <c r="B303" s="61" t="s">
        <v>13</v>
      </c>
      <c r="C303" s="61" t="s">
        <v>35</v>
      </c>
      <c r="D303" s="61" t="s">
        <v>60</v>
      </c>
      <c r="E303" s="61" t="s">
        <v>119</v>
      </c>
      <c r="F303" s="61" t="s">
        <v>246</v>
      </c>
      <c r="G303" s="61" t="s">
        <v>4</v>
      </c>
      <c r="H303" s="62" t="n">
        <f aca="false">Saida!H123</f>
        <v>-603</v>
      </c>
      <c r="I303" s="62" t="n">
        <v>0</v>
      </c>
      <c r="J303" s="62" t="n">
        <f aca="false">Saida!R123</f>
        <v>603</v>
      </c>
      <c r="K303" s="62" t="n">
        <f aca="false">I303-J303</f>
        <v>-603</v>
      </c>
      <c r="L303" s="61" t="s">
        <v>644</v>
      </c>
      <c r="M303" s="61" t="s">
        <v>546</v>
      </c>
      <c r="N303" s="61" t="s">
        <v>547</v>
      </c>
      <c r="O303" s="61" t="s">
        <v>250</v>
      </c>
    </row>
    <row r="304" customFormat="false" ht="15" hidden="false" customHeight="false" outlineLevel="0" collapsed="false">
      <c r="A304" s="60" t="n">
        <v>46290</v>
      </c>
      <c r="B304" s="61" t="s">
        <v>13</v>
      </c>
      <c r="C304" s="61" t="s">
        <v>41</v>
      </c>
      <c r="D304" s="61" t="s">
        <v>62</v>
      </c>
      <c r="E304" s="61" t="s">
        <v>141</v>
      </c>
      <c r="F304" s="61" t="s">
        <v>246</v>
      </c>
      <c r="G304" s="61" t="s">
        <v>4</v>
      </c>
      <c r="H304" s="62" t="n">
        <f aca="false">Saida!H135</f>
        <v>-5.6</v>
      </c>
      <c r="I304" s="62" t="n">
        <v>0</v>
      </c>
      <c r="J304" s="62" t="n">
        <f aca="false">Saida!R135</f>
        <v>5.6</v>
      </c>
      <c r="K304" s="62" t="n">
        <f aca="false">I304-J304</f>
        <v>-5.6</v>
      </c>
      <c r="L304" s="61" t="s">
        <v>645</v>
      </c>
      <c r="M304" s="61" t="s">
        <v>646</v>
      </c>
      <c r="N304" s="61" t="s">
        <v>647</v>
      </c>
      <c r="O304" s="61" t="s">
        <v>275</v>
      </c>
    </row>
    <row r="305" customFormat="false" ht="15" hidden="false" customHeight="false" outlineLevel="0" collapsed="false">
      <c r="A305" s="60" t="n">
        <v>46290</v>
      </c>
      <c r="B305" s="61" t="s">
        <v>13</v>
      </c>
      <c r="C305" s="61" t="s">
        <v>41</v>
      </c>
      <c r="D305" s="61" t="s">
        <v>62</v>
      </c>
      <c r="E305" s="61" t="s">
        <v>141</v>
      </c>
      <c r="F305" s="61" t="s">
        <v>246</v>
      </c>
      <c r="G305" s="61" t="s">
        <v>4</v>
      </c>
      <c r="H305" s="62" t="n">
        <f aca="false">Saida!H136</f>
        <v>-42</v>
      </c>
      <c r="I305" s="62" t="n">
        <v>0</v>
      </c>
      <c r="J305" s="62" t="n">
        <f aca="false">Saida!R136</f>
        <v>42</v>
      </c>
      <c r="K305" s="62" t="n">
        <f aca="false">I305-J305</f>
        <v>-42</v>
      </c>
      <c r="L305" s="61" t="s">
        <v>648</v>
      </c>
      <c r="M305" s="61" t="s">
        <v>649</v>
      </c>
      <c r="N305" s="61" t="s">
        <v>650</v>
      </c>
      <c r="O305" s="61" t="s">
        <v>250</v>
      </c>
    </row>
    <row r="306" customFormat="false" ht="15" hidden="false" customHeight="false" outlineLevel="0" collapsed="false">
      <c r="A306" s="60" t="n">
        <v>46290</v>
      </c>
      <c r="B306" s="61" t="s">
        <v>13</v>
      </c>
      <c r="C306" s="61" t="s">
        <v>53</v>
      </c>
      <c r="D306" s="61" t="s">
        <v>80</v>
      </c>
      <c r="E306" s="61" t="s">
        <v>137</v>
      </c>
      <c r="F306" s="61" t="s">
        <v>246</v>
      </c>
      <c r="G306" s="61" t="s">
        <v>9</v>
      </c>
      <c r="H306" s="62" t="n">
        <f aca="false">Saida!H224</f>
        <v>-30</v>
      </c>
      <c r="I306" s="62" t="n">
        <v>0</v>
      </c>
      <c r="J306" s="62" t="n">
        <f aca="false">Saida!R224</f>
        <v>30</v>
      </c>
      <c r="K306" s="62" t="n">
        <f aca="false">I306-J306</f>
        <v>-30</v>
      </c>
      <c r="L306" s="61" t="s">
        <v>651</v>
      </c>
      <c r="M306" s="61" t="s">
        <v>634</v>
      </c>
      <c r="N306" s="61" t="s">
        <v>635</v>
      </c>
      <c r="O306" s="61" t="s">
        <v>338</v>
      </c>
    </row>
    <row r="307" customFormat="false" ht="15" hidden="false" customHeight="false" outlineLevel="0" collapsed="false">
      <c r="A307" s="60" t="n">
        <v>46290</v>
      </c>
      <c r="B307" s="61" t="s">
        <v>13</v>
      </c>
      <c r="C307" s="61" t="s">
        <v>53</v>
      </c>
      <c r="D307" s="61" t="s">
        <v>80</v>
      </c>
      <c r="E307" s="61" t="s">
        <v>137</v>
      </c>
      <c r="F307" s="61" t="s">
        <v>246</v>
      </c>
      <c r="G307" s="61" t="s">
        <v>9</v>
      </c>
      <c r="H307" s="62" t="n">
        <f aca="false">Saida!H225</f>
        <v>-15</v>
      </c>
      <c r="I307" s="62" t="n">
        <v>0</v>
      </c>
      <c r="J307" s="62" t="n">
        <f aca="false">Saida!R225</f>
        <v>15</v>
      </c>
      <c r="K307" s="62" t="n">
        <f aca="false">I307-J307</f>
        <v>-15</v>
      </c>
      <c r="L307" s="61" t="s">
        <v>652</v>
      </c>
      <c r="M307" s="61" t="s">
        <v>653</v>
      </c>
      <c r="N307" s="61" t="s">
        <v>654</v>
      </c>
      <c r="O307" s="61" t="s">
        <v>338</v>
      </c>
    </row>
    <row r="308" customFormat="false" ht="15" hidden="false" customHeight="false" outlineLevel="0" collapsed="false">
      <c r="A308" s="60" t="n">
        <v>46290</v>
      </c>
      <c r="B308" s="61" t="s">
        <v>13</v>
      </c>
      <c r="C308" s="61" t="s">
        <v>53</v>
      </c>
      <c r="D308" s="61" t="s">
        <v>80</v>
      </c>
      <c r="E308" s="61" t="s">
        <v>137</v>
      </c>
      <c r="F308" s="61" t="s">
        <v>246</v>
      </c>
      <c r="G308" s="61" t="s">
        <v>9</v>
      </c>
      <c r="H308" s="62" t="n">
        <f aca="false">Saida!H226</f>
        <v>-30</v>
      </c>
      <c r="I308" s="62" t="n">
        <v>0</v>
      </c>
      <c r="J308" s="62" t="n">
        <f aca="false">Saida!R226</f>
        <v>30</v>
      </c>
      <c r="K308" s="62" t="n">
        <f aca="false">I308-J308</f>
        <v>-30</v>
      </c>
      <c r="L308" s="61" t="s">
        <v>655</v>
      </c>
      <c r="M308" s="61" t="s">
        <v>634</v>
      </c>
      <c r="N308" s="61" t="s">
        <v>635</v>
      </c>
      <c r="O308" s="61" t="s">
        <v>338</v>
      </c>
    </row>
    <row r="309" customFormat="false" ht="15" hidden="false" customHeight="false" outlineLevel="0" collapsed="false">
      <c r="A309" s="60" t="n">
        <v>46290</v>
      </c>
      <c r="B309" s="61" t="s">
        <v>13</v>
      </c>
      <c r="C309" s="61" t="s">
        <v>75</v>
      </c>
      <c r="D309" s="61" t="s">
        <v>143</v>
      </c>
      <c r="E309" s="61" t="s">
        <v>173</v>
      </c>
      <c r="F309" s="61" t="s">
        <v>246</v>
      </c>
      <c r="G309" s="61" t="s">
        <v>4</v>
      </c>
      <c r="H309" s="62" t="n">
        <f aca="false">Saida!H256</f>
        <v>-8</v>
      </c>
      <c r="I309" s="62" t="n">
        <v>0</v>
      </c>
      <c r="J309" s="62" t="n">
        <f aca="false">Saida!R256</f>
        <v>8</v>
      </c>
      <c r="K309" s="62" t="n">
        <f aca="false">I309-J309</f>
        <v>-8</v>
      </c>
      <c r="L309" s="61" t="s">
        <v>656</v>
      </c>
      <c r="M309" s="61" t="s">
        <v>546</v>
      </c>
      <c r="N309" s="61" t="s">
        <v>547</v>
      </c>
      <c r="O309" s="61" t="s">
        <v>250</v>
      </c>
    </row>
    <row r="310" customFormat="false" ht="15" hidden="false" customHeight="false" outlineLevel="0" collapsed="false">
      <c r="A310" s="60" t="n">
        <v>46291</v>
      </c>
      <c r="B310" s="61" t="s">
        <v>13</v>
      </c>
      <c r="C310" s="61" t="s">
        <v>7</v>
      </c>
      <c r="D310" s="61" t="s">
        <v>8</v>
      </c>
      <c r="E310" s="61" t="s">
        <v>119</v>
      </c>
      <c r="F310" s="61" t="s">
        <v>246</v>
      </c>
      <c r="G310" s="61" t="s">
        <v>4</v>
      </c>
      <c r="H310" s="62" t="n">
        <f aca="false">Saida!H14</f>
        <v>-522.6</v>
      </c>
      <c r="I310" s="62" t="n">
        <v>0</v>
      </c>
      <c r="J310" s="62" t="n">
        <f aca="false">Saida!R14</f>
        <v>522.6</v>
      </c>
      <c r="K310" s="62" t="n">
        <f aca="false">I310-J310</f>
        <v>-522.6</v>
      </c>
      <c r="L310" s="61" t="s">
        <v>657</v>
      </c>
      <c r="M310" s="61" t="s">
        <v>387</v>
      </c>
      <c r="N310" s="61" t="s">
        <v>388</v>
      </c>
      <c r="O310" s="61" t="s">
        <v>275</v>
      </c>
    </row>
    <row r="311" customFormat="false" ht="15" hidden="false" customHeight="false" outlineLevel="0" collapsed="false">
      <c r="A311" s="60" t="n">
        <v>46291</v>
      </c>
      <c r="B311" s="61" t="s">
        <v>13</v>
      </c>
      <c r="C311" s="61" t="s">
        <v>7</v>
      </c>
      <c r="D311" s="61" t="s">
        <v>8</v>
      </c>
      <c r="E311" s="61" t="s">
        <v>119</v>
      </c>
      <c r="F311" s="61" t="s">
        <v>246</v>
      </c>
      <c r="G311" s="61" t="s">
        <v>4</v>
      </c>
      <c r="H311" s="62" t="n">
        <f aca="false">Saida!H15</f>
        <v>-80.4</v>
      </c>
      <c r="I311" s="62" t="n">
        <v>0</v>
      </c>
      <c r="J311" s="62" t="n">
        <f aca="false">Saida!R15</f>
        <v>80.4</v>
      </c>
      <c r="K311" s="62" t="n">
        <f aca="false">I311-J311</f>
        <v>-80.4</v>
      </c>
      <c r="L311" s="61" t="s">
        <v>658</v>
      </c>
      <c r="M311" s="61" t="s">
        <v>659</v>
      </c>
      <c r="N311" s="61" t="s">
        <v>660</v>
      </c>
      <c r="O311" s="61" t="s">
        <v>269</v>
      </c>
    </row>
    <row r="312" customFormat="false" ht="15" hidden="false" customHeight="false" outlineLevel="0" collapsed="false">
      <c r="A312" s="60" t="n">
        <v>46291</v>
      </c>
      <c r="B312" s="61" t="s">
        <v>13</v>
      </c>
      <c r="C312" s="61" t="s">
        <v>7</v>
      </c>
      <c r="D312" s="61" t="s">
        <v>8</v>
      </c>
      <c r="E312" s="61" t="s">
        <v>119</v>
      </c>
      <c r="F312" s="61" t="s">
        <v>246</v>
      </c>
      <c r="G312" s="61" t="s">
        <v>4</v>
      </c>
      <c r="H312" s="62" t="n">
        <f aca="false">Saida!H16</f>
        <v>-40.2</v>
      </c>
      <c r="I312" s="62" t="n">
        <v>0</v>
      </c>
      <c r="J312" s="62" t="n">
        <f aca="false">Saida!R16</f>
        <v>40.2</v>
      </c>
      <c r="K312" s="62" t="n">
        <f aca="false">I312-J312</f>
        <v>-40.2</v>
      </c>
      <c r="L312" s="61" t="s">
        <v>661</v>
      </c>
      <c r="M312" s="61" t="s">
        <v>662</v>
      </c>
      <c r="N312" s="61" t="s">
        <v>663</v>
      </c>
      <c r="O312" s="61" t="s">
        <v>250</v>
      </c>
    </row>
    <row r="313" customFormat="false" ht="15" hidden="false" customHeight="false" outlineLevel="0" collapsed="false">
      <c r="A313" s="60" t="n">
        <v>46291</v>
      </c>
      <c r="B313" s="61" t="s">
        <v>13</v>
      </c>
      <c r="C313" s="61" t="s">
        <v>7</v>
      </c>
      <c r="D313" s="61" t="s">
        <v>8</v>
      </c>
      <c r="E313" s="61" t="s">
        <v>119</v>
      </c>
      <c r="F313" s="61" t="s">
        <v>246</v>
      </c>
      <c r="G313" s="61" t="s">
        <v>4</v>
      </c>
      <c r="H313" s="62" t="n">
        <f aca="false">Saida!H17</f>
        <v>-402</v>
      </c>
      <c r="I313" s="62" t="n">
        <v>0</v>
      </c>
      <c r="J313" s="62" t="n">
        <f aca="false">Saida!R17</f>
        <v>402</v>
      </c>
      <c r="K313" s="62" t="n">
        <f aca="false">I313-J313</f>
        <v>-402</v>
      </c>
      <c r="L313" s="61" t="s">
        <v>664</v>
      </c>
      <c r="M313" s="61" t="s">
        <v>546</v>
      </c>
      <c r="N313" s="61" t="s">
        <v>547</v>
      </c>
      <c r="O313" s="61" t="s">
        <v>269</v>
      </c>
    </row>
    <row r="314" customFormat="false" ht="15" hidden="false" customHeight="false" outlineLevel="0" collapsed="false">
      <c r="A314" s="60" t="n">
        <v>46291</v>
      </c>
      <c r="B314" s="61" t="s">
        <v>13</v>
      </c>
      <c r="C314" s="61" t="s">
        <v>7</v>
      </c>
      <c r="D314" s="61" t="s">
        <v>8</v>
      </c>
      <c r="E314" s="61" t="s">
        <v>119</v>
      </c>
      <c r="F314" s="61" t="s">
        <v>246</v>
      </c>
      <c r="G314" s="61" t="s">
        <v>4</v>
      </c>
      <c r="H314" s="62" t="n">
        <f aca="false">Saida!H18</f>
        <v>-40.2</v>
      </c>
      <c r="I314" s="62" t="n">
        <v>0</v>
      </c>
      <c r="J314" s="62" t="n">
        <f aca="false">Saida!R18</f>
        <v>40.2</v>
      </c>
      <c r="K314" s="62" t="n">
        <f aca="false">I314-J314</f>
        <v>-40.2</v>
      </c>
      <c r="L314" s="61" t="s">
        <v>665</v>
      </c>
      <c r="M314" s="61" t="s">
        <v>662</v>
      </c>
      <c r="N314" s="61" t="s">
        <v>663</v>
      </c>
      <c r="O314" s="61" t="s">
        <v>250</v>
      </c>
    </row>
    <row r="315" customFormat="false" ht="15" hidden="false" customHeight="false" outlineLevel="0" collapsed="false">
      <c r="A315" s="60" t="n">
        <v>46291</v>
      </c>
      <c r="B315" s="61" t="s">
        <v>13</v>
      </c>
      <c r="C315" s="61" t="s">
        <v>7</v>
      </c>
      <c r="D315" s="61" t="s">
        <v>8</v>
      </c>
      <c r="E315" s="61" t="s">
        <v>119</v>
      </c>
      <c r="F315" s="61" t="s">
        <v>246</v>
      </c>
      <c r="G315" s="61" t="s">
        <v>4</v>
      </c>
      <c r="H315" s="62" t="n">
        <f aca="false">Saida!H19</f>
        <v>-160.8</v>
      </c>
      <c r="I315" s="62" t="n">
        <v>0</v>
      </c>
      <c r="J315" s="62" t="n">
        <f aca="false">Saida!R19</f>
        <v>160.8</v>
      </c>
      <c r="K315" s="62" t="n">
        <f aca="false">I315-J315</f>
        <v>-160.8</v>
      </c>
      <c r="L315" s="61" t="s">
        <v>666</v>
      </c>
      <c r="M315" s="61" t="s">
        <v>667</v>
      </c>
      <c r="N315" s="61" t="s">
        <v>668</v>
      </c>
      <c r="O315" s="61" t="s">
        <v>275</v>
      </c>
    </row>
    <row r="316" customFormat="false" ht="15" hidden="false" customHeight="false" outlineLevel="0" collapsed="false">
      <c r="A316" s="60" t="n">
        <v>46291</v>
      </c>
      <c r="B316" s="61" t="s">
        <v>13</v>
      </c>
      <c r="C316" s="61" t="s">
        <v>20</v>
      </c>
      <c r="D316" s="61" t="s">
        <v>21</v>
      </c>
      <c r="E316" s="61" t="s">
        <v>141</v>
      </c>
      <c r="F316" s="61" t="s">
        <v>246</v>
      </c>
      <c r="G316" s="61" t="s">
        <v>4</v>
      </c>
      <c r="H316" s="62" t="n">
        <f aca="false">Saida!H46</f>
        <v>-5.6</v>
      </c>
      <c r="I316" s="62" t="n">
        <v>0</v>
      </c>
      <c r="J316" s="62" t="n">
        <f aca="false">Saida!R46</f>
        <v>5.6</v>
      </c>
      <c r="K316" s="62" t="n">
        <f aca="false">I316-J316</f>
        <v>-5.6</v>
      </c>
      <c r="L316" s="61" t="s">
        <v>669</v>
      </c>
      <c r="M316" s="61" t="s">
        <v>532</v>
      </c>
      <c r="N316" s="61" t="s">
        <v>533</v>
      </c>
      <c r="O316" s="61" t="s">
        <v>269</v>
      </c>
    </row>
    <row r="317" customFormat="false" ht="15" hidden="false" customHeight="false" outlineLevel="0" collapsed="false">
      <c r="A317" s="60" t="n">
        <v>46291</v>
      </c>
      <c r="B317" s="61" t="s">
        <v>13</v>
      </c>
      <c r="C317" s="61" t="s">
        <v>20</v>
      </c>
      <c r="D317" s="61" t="s">
        <v>21</v>
      </c>
      <c r="E317" s="61" t="s">
        <v>141</v>
      </c>
      <c r="F317" s="61" t="s">
        <v>246</v>
      </c>
      <c r="G317" s="61" t="s">
        <v>4</v>
      </c>
      <c r="H317" s="62" t="n">
        <f aca="false">Saida!H47</f>
        <v>-2.8</v>
      </c>
      <c r="I317" s="62" t="n">
        <v>0</v>
      </c>
      <c r="J317" s="62" t="n">
        <f aca="false">Saida!R47</f>
        <v>2.8</v>
      </c>
      <c r="K317" s="62" t="n">
        <f aca="false">I317-J317</f>
        <v>-2.8</v>
      </c>
      <c r="L317" s="61" t="s">
        <v>670</v>
      </c>
      <c r="M317" s="61" t="s">
        <v>539</v>
      </c>
      <c r="N317" s="61" t="s">
        <v>540</v>
      </c>
      <c r="O317" s="61" t="s">
        <v>269</v>
      </c>
    </row>
    <row r="318" customFormat="false" ht="15" hidden="false" customHeight="false" outlineLevel="0" collapsed="false">
      <c r="A318" s="60" t="n">
        <v>46291</v>
      </c>
      <c r="B318" s="61" t="s">
        <v>13</v>
      </c>
      <c r="C318" s="61" t="s">
        <v>20</v>
      </c>
      <c r="D318" s="61" t="s">
        <v>21</v>
      </c>
      <c r="E318" s="61" t="s">
        <v>141</v>
      </c>
      <c r="F318" s="61" t="s">
        <v>246</v>
      </c>
      <c r="G318" s="61" t="s">
        <v>4</v>
      </c>
      <c r="H318" s="62" t="n">
        <f aca="false">Saida!H48</f>
        <v>-30.8</v>
      </c>
      <c r="I318" s="62" t="n">
        <v>0</v>
      </c>
      <c r="J318" s="62" t="n">
        <f aca="false">Saida!R48</f>
        <v>30.8</v>
      </c>
      <c r="K318" s="62" t="n">
        <f aca="false">I318-J318</f>
        <v>-30.8</v>
      </c>
      <c r="L318" s="61" t="s">
        <v>671</v>
      </c>
      <c r="M318" s="61" t="s">
        <v>347</v>
      </c>
      <c r="N318" s="61" t="s">
        <v>348</v>
      </c>
      <c r="O318" s="61" t="s">
        <v>269</v>
      </c>
    </row>
    <row r="319" customFormat="false" ht="15" hidden="false" customHeight="false" outlineLevel="0" collapsed="false">
      <c r="A319" s="60" t="n">
        <v>46291</v>
      </c>
      <c r="B319" s="61" t="s">
        <v>13</v>
      </c>
      <c r="C319" s="61" t="s">
        <v>20</v>
      </c>
      <c r="D319" s="61" t="s">
        <v>21</v>
      </c>
      <c r="E319" s="61" t="s">
        <v>141</v>
      </c>
      <c r="F319" s="61" t="s">
        <v>246</v>
      </c>
      <c r="G319" s="61" t="s">
        <v>4</v>
      </c>
      <c r="H319" s="62" t="n">
        <f aca="false">Saida!H49</f>
        <v>-89.6</v>
      </c>
      <c r="I319" s="62" t="n">
        <v>0</v>
      </c>
      <c r="J319" s="62" t="n">
        <f aca="false">Saida!R49</f>
        <v>89.6</v>
      </c>
      <c r="K319" s="62" t="n">
        <f aca="false">I319-J319</f>
        <v>-89.6</v>
      </c>
      <c r="L319" s="61" t="s">
        <v>672</v>
      </c>
      <c r="M319" s="61" t="s">
        <v>347</v>
      </c>
      <c r="N319" s="61" t="s">
        <v>348</v>
      </c>
      <c r="O319" s="61" t="s">
        <v>269</v>
      </c>
    </row>
    <row r="320" customFormat="false" ht="15" hidden="false" customHeight="false" outlineLevel="0" collapsed="false">
      <c r="A320" s="60" t="n">
        <v>46291</v>
      </c>
      <c r="B320" s="61" t="str">
        <f aca="false">Entrada!K118</f>
        <v>Entrada</v>
      </c>
      <c r="C320" s="61" t="s">
        <v>29</v>
      </c>
      <c r="D320" s="61" t="s">
        <v>34</v>
      </c>
      <c r="E320" s="61" t="s">
        <v>141</v>
      </c>
      <c r="F320" s="61" t="s">
        <v>251</v>
      </c>
      <c r="G320" s="61" t="s">
        <v>4</v>
      </c>
      <c r="H320" s="62" t="n">
        <f aca="false">Entrada!G118</f>
        <v>-2.8</v>
      </c>
      <c r="I320" s="62" t="n">
        <f aca="false">Entrada!L118</f>
        <v>2.8</v>
      </c>
      <c r="J320" s="62" t="n">
        <v>0</v>
      </c>
      <c r="K320" s="62" t="n">
        <f aca="false">I320-J320</f>
        <v>2.8</v>
      </c>
      <c r="L320" s="61" t="s">
        <v>673</v>
      </c>
      <c r="M320" s="61"/>
      <c r="N320" s="61"/>
      <c r="O320" s="61"/>
    </row>
    <row r="321" customFormat="false" ht="15" hidden="false" customHeight="false" outlineLevel="0" collapsed="false">
      <c r="A321" s="60" t="n">
        <v>46291</v>
      </c>
      <c r="B321" s="61" t="s">
        <v>13</v>
      </c>
      <c r="C321" s="61" t="s">
        <v>31</v>
      </c>
      <c r="D321" s="61" t="s">
        <v>42</v>
      </c>
      <c r="E321" s="61" t="s">
        <v>199</v>
      </c>
      <c r="F321" s="61" t="s">
        <v>246</v>
      </c>
      <c r="G321" s="61" t="s">
        <v>4</v>
      </c>
      <c r="H321" s="62" t="n">
        <f aca="false">Saida!H104</f>
        <v>-350</v>
      </c>
      <c r="I321" s="62" t="n">
        <v>0</v>
      </c>
      <c r="J321" s="62" t="n">
        <f aca="false">Saida!R104</f>
        <v>350</v>
      </c>
      <c r="K321" s="62" t="n">
        <f aca="false">I321-J321</f>
        <v>-350</v>
      </c>
      <c r="L321" s="61" t="s">
        <v>674</v>
      </c>
      <c r="M321" s="61" t="s">
        <v>546</v>
      </c>
      <c r="N321" s="61" t="s">
        <v>547</v>
      </c>
      <c r="O321" s="61" t="s">
        <v>269</v>
      </c>
    </row>
    <row r="322" customFormat="false" ht="15" hidden="false" customHeight="false" outlineLevel="0" collapsed="false">
      <c r="A322" s="60" t="n">
        <v>46291</v>
      </c>
      <c r="B322" s="61" t="s">
        <v>13</v>
      </c>
      <c r="C322" s="61" t="s">
        <v>35</v>
      </c>
      <c r="D322" s="61" t="s">
        <v>56</v>
      </c>
      <c r="E322" s="61" t="s">
        <v>119</v>
      </c>
      <c r="F322" s="61" t="s">
        <v>246</v>
      </c>
      <c r="G322" s="61" t="s">
        <v>4</v>
      </c>
      <c r="H322" s="62" t="n">
        <f aca="false">Saida!H121</f>
        <v>-442.2</v>
      </c>
      <c r="I322" s="62" t="n">
        <v>0</v>
      </c>
      <c r="J322" s="62" t="n">
        <f aca="false">Saida!R121</f>
        <v>442.2</v>
      </c>
      <c r="K322" s="62" t="n">
        <f aca="false">I322-J322</f>
        <v>-442.2</v>
      </c>
      <c r="L322" s="61" t="s">
        <v>675</v>
      </c>
      <c r="M322" s="61" t="s">
        <v>546</v>
      </c>
      <c r="N322" s="61" t="s">
        <v>547</v>
      </c>
      <c r="O322" s="61" t="s">
        <v>269</v>
      </c>
    </row>
    <row r="323" customFormat="false" ht="15" hidden="false" customHeight="false" outlineLevel="0" collapsed="false">
      <c r="A323" s="60" t="n">
        <v>46291</v>
      </c>
      <c r="B323" s="61" t="str">
        <f aca="false">Entrada!K125</f>
        <v>Entrada</v>
      </c>
      <c r="C323" s="61" t="s">
        <v>35</v>
      </c>
      <c r="D323" s="61" t="s">
        <v>60</v>
      </c>
      <c r="E323" s="61" t="s">
        <v>119</v>
      </c>
      <c r="F323" s="61" t="s">
        <v>251</v>
      </c>
      <c r="G323" s="61" t="s">
        <v>4</v>
      </c>
      <c r="H323" s="62" t="n">
        <f aca="false">Entrada!G125</f>
        <v>-603</v>
      </c>
      <c r="I323" s="62" t="n">
        <f aca="false">Entrada!L125</f>
        <v>603</v>
      </c>
      <c r="J323" s="62" t="n">
        <v>0</v>
      </c>
      <c r="K323" s="62" t="n">
        <f aca="false">I323-J323</f>
        <v>603</v>
      </c>
      <c r="L323" s="61" t="s">
        <v>673</v>
      </c>
      <c r="M323" s="61"/>
      <c r="N323" s="61"/>
      <c r="O323" s="61"/>
    </row>
    <row r="324" customFormat="false" ht="15" hidden="false" customHeight="false" outlineLevel="0" collapsed="false">
      <c r="A324" s="60" t="n">
        <v>46291</v>
      </c>
      <c r="B324" s="61" t="s">
        <v>13</v>
      </c>
      <c r="C324" s="61" t="s">
        <v>35</v>
      </c>
      <c r="D324" s="61" t="s">
        <v>60</v>
      </c>
      <c r="E324" s="61" t="s">
        <v>119</v>
      </c>
      <c r="F324" s="61" t="s">
        <v>246</v>
      </c>
      <c r="G324" s="61" t="s">
        <v>4</v>
      </c>
      <c r="H324" s="62" t="n">
        <f aca="false">Saida!H118</f>
        <v>-20.1</v>
      </c>
      <c r="I324" s="62" t="n">
        <v>0</v>
      </c>
      <c r="J324" s="62" t="n">
        <f aca="false">Saida!R118</f>
        <v>20.1</v>
      </c>
      <c r="K324" s="62" t="n">
        <f aca="false">I324-J324</f>
        <v>-20.1</v>
      </c>
      <c r="L324" s="61" t="s">
        <v>665</v>
      </c>
      <c r="M324" s="61" t="s">
        <v>662</v>
      </c>
      <c r="N324" s="61" t="s">
        <v>663</v>
      </c>
      <c r="O324" s="61" t="s">
        <v>250</v>
      </c>
    </row>
    <row r="325" customFormat="false" ht="15" hidden="false" customHeight="false" outlineLevel="0" collapsed="false">
      <c r="A325" s="60" t="n">
        <v>46291</v>
      </c>
      <c r="B325" s="61" t="s">
        <v>13</v>
      </c>
      <c r="C325" s="61" t="s">
        <v>35</v>
      </c>
      <c r="D325" s="61" t="s">
        <v>60</v>
      </c>
      <c r="E325" s="61" t="s">
        <v>119</v>
      </c>
      <c r="F325" s="61" t="s">
        <v>246</v>
      </c>
      <c r="G325" s="61" t="s">
        <v>4</v>
      </c>
      <c r="H325" s="62" t="n">
        <f aca="false">Saida!H119</f>
        <v>-20.1</v>
      </c>
      <c r="I325" s="62" t="n">
        <v>0</v>
      </c>
      <c r="J325" s="62" t="n">
        <f aca="false">Saida!R119</f>
        <v>20.1</v>
      </c>
      <c r="K325" s="62" t="n">
        <f aca="false">I325-J325</f>
        <v>-20.1</v>
      </c>
      <c r="L325" s="61" t="s">
        <v>661</v>
      </c>
      <c r="M325" s="61" t="s">
        <v>662</v>
      </c>
      <c r="N325" s="61" t="s">
        <v>663</v>
      </c>
      <c r="O325" s="61" t="s">
        <v>250</v>
      </c>
    </row>
    <row r="326" customFormat="false" ht="15" hidden="false" customHeight="false" outlineLevel="0" collapsed="false">
      <c r="A326" s="60" t="n">
        <v>46291</v>
      </c>
      <c r="B326" s="61" t="s">
        <v>13</v>
      </c>
      <c r="C326" s="61" t="s">
        <v>35</v>
      </c>
      <c r="D326" s="61" t="s">
        <v>60</v>
      </c>
      <c r="E326" s="61" t="s">
        <v>119</v>
      </c>
      <c r="F326" s="61" t="s">
        <v>246</v>
      </c>
      <c r="G326" s="61" t="s">
        <v>4</v>
      </c>
      <c r="H326" s="62" t="n">
        <f aca="false">Saida!H120</f>
        <v>-40.2</v>
      </c>
      <c r="I326" s="62" t="n">
        <v>0</v>
      </c>
      <c r="J326" s="62" t="n">
        <f aca="false">Saida!R120</f>
        <v>40.2</v>
      </c>
      <c r="K326" s="62" t="n">
        <f aca="false">I326-J326</f>
        <v>-40.2</v>
      </c>
      <c r="L326" s="61" t="s">
        <v>676</v>
      </c>
      <c r="M326" s="61" t="s">
        <v>321</v>
      </c>
      <c r="N326" s="61" t="s">
        <v>322</v>
      </c>
      <c r="O326" s="61" t="s">
        <v>275</v>
      </c>
    </row>
    <row r="327" customFormat="false" ht="15" hidden="false" customHeight="false" outlineLevel="0" collapsed="false">
      <c r="A327" s="60" t="n">
        <v>46291</v>
      </c>
      <c r="B327" s="61" t="s">
        <v>13</v>
      </c>
      <c r="C327" s="61" t="s">
        <v>35</v>
      </c>
      <c r="D327" s="61" t="s">
        <v>60</v>
      </c>
      <c r="E327" s="61" t="s">
        <v>119</v>
      </c>
      <c r="F327" s="61" t="s">
        <v>246</v>
      </c>
      <c r="G327" s="61" t="s">
        <v>4</v>
      </c>
      <c r="H327" s="62" t="n">
        <f aca="false">Saida!H122</f>
        <v>-160.8</v>
      </c>
      <c r="I327" s="62" t="n">
        <v>0</v>
      </c>
      <c r="J327" s="62" t="n">
        <f aca="false">Saida!R122</f>
        <v>160.8</v>
      </c>
      <c r="K327" s="62" t="n">
        <f aca="false">I327-J327</f>
        <v>-160.8</v>
      </c>
      <c r="L327" s="61" t="s">
        <v>675</v>
      </c>
      <c r="M327" s="61" t="s">
        <v>546</v>
      </c>
      <c r="N327" s="61" t="s">
        <v>547</v>
      </c>
      <c r="O327" s="61" t="s">
        <v>269</v>
      </c>
    </row>
    <row r="328" customFormat="false" ht="15" hidden="false" customHeight="false" outlineLevel="0" collapsed="false">
      <c r="A328" s="60" t="n">
        <v>46291</v>
      </c>
      <c r="B328" s="61" t="str">
        <f aca="false">Entrada!K126</f>
        <v>Entrada</v>
      </c>
      <c r="C328" s="61" t="s">
        <v>41</v>
      </c>
      <c r="D328" s="61" t="s">
        <v>62</v>
      </c>
      <c r="E328" s="61" t="s">
        <v>141</v>
      </c>
      <c r="F328" s="61" t="s">
        <v>251</v>
      </c>
      <c r="G328" s="61" t="s">
        <v>4</v>
      </c>
      <c r="H328" s="62" t="n">
        <f aca="false">Entrada!G126</f>
        <v>-2.8</v>
      </c>
      <c r="I328" s="62" t="n">
        <f aca="false">Entrada!L126</f>
        <v>2.8</v>
      </c>
      <c r="J328" s="62" t="n">
        <v>0</v>
      </c>
      <c r="K328" s="62" t="n">
        <f aca="false">I328-J328</f>
        <v>2.8</v>
      </c>
      <c r="L328" s="61" t="s">
        <v>677</v>
      </c>
      <c r="M328" s="61"/>
      <c r="N328" s="61"/>
      <c r="O328" s="61"/>
    </row>
    <row r="329" customFormat="false" ht="15" hidden="false" customHeight="false" outlineLevel="0" collapsed="false">
      <c r="A329" s="60" t="n">
        <v>46291</v>
      </c>
      <c r="B329" s="61" t="s">
        <v>13</v>
      </c>
      <c r="C329" s="61" t="s">
        <v>41</v>
      </c>
      <c r="D329" s="61" t="s">
        <v>62</v>
      </c>
      <c r="E329" s="61" t="s">
        <v>141</v>
      </c>
      <c r="F329" s="61" t="s">
        <v>246</v>
      </c>
      <c r="G329" s="61" t="s">
        <v>4</v>
      </c>
      <c r="H329" s="62" t="n">
        <f aca="false">Saida!H134</f>
        <v>-5.6</v>
      </c>
      <c r="I329" s="62" t="n">
        <v>0</v>
      </c>
      <c r="J329" s="62" t="n">
        <f aca="false">Saida!R134</f>
        <v>5.6</v>
      </c>
      <c r="K329" s="62" t="n">
        <f aca="false">I329-J329</f>
        <v>-5.6</v>
      </c>
      <c r="L329" s="61" t="s">
        <v>678</v>
      </c>
      <c r="M329" s="61" t="s">
        <v>679</v>
      </c>
      <c r="N329" s="61" t="s">
        <v>680</v>
      </c>
      <c r="O329" s="61" t="s">
        <v>269</v>
      </c>
    </row>
    <row r="330" customFormat="false" ht="15" hidden="false" customHeight="false" outlineLevel="0" collapsed="false">
      <c r="A330" s="60" t="n">
        <v>46291</v>
      </c>
      <c r="B330" s="61" t="str">
        <f aca="false">Entrada!K131</f>
        <v>Entrada</v>
      </c>
      <c r="C330" s="61" t="s">
        <v>51</v>
      </c>
      <c r="D330" s="61" t="s">
        <v>70</v>
      </c>
      <c r="E330" s="61" t="s">
        <v>128</v>
      </c>
      <c r="F330" s="61" t="s">
        <v>251</v>
      </c>
      <c r="G330" s="61" t="s">
        <v>4</v>
      </c>
      <c r="H330" s="62" t="n">
        <f aca="false">Entrada!G131</f>
        <v>-480</v>
      </c>
      <c r="I330" s="62" t="n">
        <f aca="false">Entrada!L131</f>
        <v>480</v>
      </c>
      <c r="J330" s="62" t="n">
        <v>0</v>
      </c>
      <c r="K330" s="62" t="n">
        <f aca="false">I330-J330</f>
        <v>480</v>
      </c>
      <c r="L330" s="61" t="s">
        <v>681</v>
      </c>
      <c r="M330" s="61"/>
      <c r="N330" s="61"/>
      <c r="O330" s="61"/>
    </row>
    <row r="331" customFormat="false" ht="15" hidden="false" customHeight="false" outlineLevel="0" collapsed="false">
      <c r="A331" s="60" t="n">
        <v>46291</v>
      </c>
      <c r="B331" s="61" t="str">
        <f aca="false">Entrada!K130</f>
        <v>Entrada</v>
      </c>
      <c r="C331" s="61" t="s">
        <v>51</v>
      </c>
      <c r="D331" s="61" t="s">
        <v>72</v>
      </c>
      <c r="E331" s="61" t="s">
        <v>128</v>
      </c>
      <c r="F331" s="61" t="s">
        <v>251</v>
      </c>
      <c r="G331" s="61" t="s">
        <v>4</v>
      </c>
      <c r="H331" s="62" t="n">
        <f aca="false">Entrada!G130</f>
        <v>-720</v>
      </c>
      <c r="I331" s="62" t="n">
        <f aca="false">Entrada!L130</f>
        <v>720</v>
      </c>
      <c r="J331" s="62" t="n">
        <v>0</v>
      </c>
      <c r="K331" s="62" t="n">
        <f aca="false">I331-J331</f>
        <v>720</v>
      </c>
      <c r="L331" s="61" t="s">
        <v>681</v>
      </c>
      <c r="M331" s="61"/>
      <c r="N331" s="61"/>
      <c r="O331" s="61"/>
    </row>
    <row r="332" customFormat="false" ht="15" hidden="false" customHeight="false" outlineLevel="0" collapsed="false">
      <c r="A332" s="60" t="n">
        <v>46291</v>
      </c>
      <c r="B332" s="61" t="str">
        <f aca="false">Entrada!K136</f>
        <v>Entrada</v>
      </c>
      <c r="C332" s="61" t="s">
        <v>53</v>
      </c>
      <c r="D332" s="61" t="s">
        <v>80</v>
      </c>
      <c r="E332" s="61" t="s">
        <v>137</v>
      </c>
      <c r="F332" s="61" t="s">
        <v>251</v>
      </c>
      <c r="G332" s="61" t="s">
        <v>9</v>
      </c>
      <c r="H332" s="62" t="n">
        <f aca="false">Entrada!G136</f>
        <v>-450</v>
      </c>
      <c r="I332" s="62" t="n">
        <f aca="false">Entrada!L136</f>
        <v>450</v>
      </c>
      <c r="J332" s="62" t="n">
        <v>0</v>
      </c>
      <c r="K332" s="62" t="n">
        <f aca="false">I332-J332</f>
        <v>450</v>
      </c>
      <c r="L332" s="61" t="s">
        <v>682</v>
      </c>
      <c r="M332" s="61"/>
      <c r="N332" s="61"/>
      <c r="O332" s="61"/>
    </row>
    <row r="333" customFormat="false" ht="15" hidden="false" customHeight="false" outlineLevel="0" collapsed="false">
      <c r="A333" s="60" t="n">
        <v>46291</v>
      </c>
      <c r="B333" s="61" t="str">
        <f aca="false">Entrada!K135</f>
        <v>Entrada</v>
      </c>
      <c r="C333" s="61" t="s">
        <v>53</v>
      </c>
      <c r="D333" s="61" t="s">
        <v>84</v>
      </c>
      <c r="E333" s="61" t="s">
        <v>137</v>
      </c>
      <c r="F333" s="61" t="s">
        <v>251</v>
      </c>
      <c r="G333" s="61" t="s">
        <v>9</v>
      </c>
      <c r="H333" s="62" t="n">
        <f aca="false">Entrada!G135</f>
        <v>-900</v>
      </c>
      <c r="I333" s="62" t="n">
        <f aca="false">Entrada!L135</f>
        <v>900</v>
      </c>
      <c r="J333" s="62" t="n">
        <v>0</v>
      </c>
      <c r="K333" s="62" t="n">
        <f aca="false">I333-J333</f>
        <v>900</v>
      </c>
      <c r="L333" s="61" t="s">
        <v>683</v>
      </c>
      <c r="M333" s="61"/>
      <c r="N333" s="61"/>
      <c r="O333" s="61"/>
    </row>
    <row r="334" customFormat="false" ht="15" hidden="false" customHeight="false" outlineLevel="0" collapsed="false">
      <c r="A334" s="60" t="n">
        <v>46291</v>
      </c>
      <c r="B334" s="61" t="str">
        <f aca="false">Entrada!K141</f>
        <v>Entrada</v>
      </c>
      <c r="C334" s="61" t="s">
        <v>63</v>
      </c>
      <c r="D334" s="61" t="s">
        <v>109</v>
      </c>
      <c r="E334" s="61"/>
      <c r="F334" s="61" t="s">
        <v>251</v>
      </c>
      <c r="G334" s="61" t="s">
        <v>4</v>
      </c>
      <c r="H334" s="62" t="n">
        <f aca="false">Entrada!G141</f>
        <v>-81.6</v>
      </c>
      <c r="I334" s="62" t="n">
        <f aca="false">Entrada!L141</f>
        <v>81.6</v>
      </c>
      <c r="J334" s="62" t="n">
        <v>0</v>
      </c>
      <c r="K334" s="62" t="n">
        <f aca="false">I334-J334</f>
        <v>81.6</v>
      </c>
      <c r="L334" s="61" t="s">
        <v>681</v>
      </c>
      <c r="M334" s="61"/>
      <c r="N334" s="61"/>
      <c r="O334" s="61"/>
    </row>
    <row r="335" customFormat="false" ht="15" hidden="false" customHeight="false" outlineLevel="0" collapsed="false">
      <c r="A335" s="60" t="n">
        <v>46291</v>
      </c>
      <c r="B335" s="61" t="str">
        <f aca="false">Entrada!K144</f>
        <v>Entrada</v>
      </c>
      <c r="C335" s="61" t="s">
        <v>69</v>
      </c>
      <c r="D335" s="61" t="s">
        <v>127</v>
      </c>
      <c r="E335" s="61" t="s">
        <v>119</v>
      </c>
      <c r="F335" s="61" t="s">
        <v>251</v>
      </c>
      <c r="G335" s="61" t="s">
        <v>4</v>
      </c>
      <c r="H335" s="62" t="n">
        <f aca="false">Entrada!G144</f>
        <v>-40.2</v>
      </c>
      <c r="I335" s="62" t="n">
        <f aca="false">Entrada!L144</f>
        <v>40.2</v>
      </c>
      <c r="J335" s="62" t="n">
        <v>0</v>
      </c>
      <c r="K335" s="62" t="n">
        <f aca="false">I335-J335</f>
        <v>40.2</v>
      </c>
      <c r="L335" s="61" t="s">
        <v>677</v>
      </c>
      <c r="M335" s="61"/>
      <c r="N335" s="61"/>
      <c r="O335" s="61"/>
    </row>
    <row r="336" customFormat="false" ht="15" hidden="false" customHeight="false" outlineLevel="0" collapsed="false">
      <c r="A336" s="60" t="n">
        <v>46291</v>
      </c>
      <c r="B336" s="61" t="str">
        <f aca="false">Entrada!K145</f>
        <v>Entrada</v>
      </c>
      <c r="C336" s="61" t="s">
        <v>69</v>
      </c>
      <c r="D336" s="61" t="s">
        <v>120</v>
      </c>
      <c r="E336" s="61" t="s">
        <v>119</v>
      </c>
      <c r="F336" s="61" t="s">
        <v>251</v>
      </c>
      <c r="G336" s="61" t="s">
        <v>4</v>
      </c>
      <c r="H336" s="62" t="n">
        <f aca="false">Entrada!G145</f>
        <v>-603</v>
      </c>
      <c r="I336" s="62" t="n">
        <f aca="false">Entrada!L145</f>
        <v>603</v>
      </c>
      <c r="J336" s="62" t="n">
        <v>0</v>
      </c>
      <c r="K336" s="62" t="n">
        <f aca="false">I336-J336</f>
        <v>603</v>
      </c>
      <c r="L336" s="61" t="s">
        <v>684</v>
      </c>
      <c r="M336" s="61"/>
      <c r="N336" s="61"/>
      <c r="O336" s="61"/>
    </row>
    <row r="337" customFormat="false" ht="15" hidden="false" customHeight="false" outlineLevel="0" collapsed="false">
      <c r="A337" s="60" t="n">
        <v>46291</v>
      </c>
      <c r="B337" s="61" t="s">
        <v>13</v>
      </c>
      <c r="C337" s="61" t="s">
        <v>75</v>
      </c>
      <c r="D337" s="61" t="s">
        <v>143</v>
      </c>
      <c r="E337" s="61" t="s">
        <v>173</v>
      </c>
      <c r="F337" s="61" t="s">
        <v>246</v>
      </c>
      <c r="G337" s="61" t="s">
        <v>4</v>
      </c>
      <c r="H337" s="62" t="n">
        <f aca="false">Saida!H255</f>
        <v>-4</v>
      </c>
      <c r="I337" s="62" t="n">
        <v>0</v>
      </c>
      <c r="J337" s="62" t="n">
        <f aca="false">Saida!R255</f>
        <v>4</v>
      </c>
      <c r="K337" s="62" t="n">
        <f aca="false">I337-J337</f>
        <v>-4</v>
      </c>
      <c r="L337" s="61" t="s">
        <v>685</v>
      </c>
      <c r="M337" s="61" t="s">
        <v>686</v>
      </c>
      <c r="N337" s="61" t="s">
        <v>687</v>
      </c>
      <c r="O337" s="61" t="s">
        <v>275</v>
      </c>
    </row>
    <row r="338" customFormat="false" ht="15" hidden="false" customHeight="false" outlineLevel="0" collapsed="false">
      <c r="A338" s="60" t="n">
        <v>46291</v>
      </c>
      <c r="B338" s="61" t="str">
        <f aca="false">Entrada!K150</f>
        <v>Entrada</v>
      </c>
      <c r="C338" s="61" t="s">
        <v>77</v>
      </c>
      <c r="D338" s="61" t="s">
        <v>148</v>
      </c>
      <c r="E338" s="61" t="s">
        <v>191</v>
      </c>
      <c r="F338" s="61" t="s">
        <v>251</v>
      </c>
      <c r="G338" s="61" t="s">
        <v>4</v>
      </c>
      <c r="H338" s="62" t="n">
        <f aca="false">Entrada!G150</f>
        <v>-10</v>
      </c>
      <c r="I338" s="62" t="n">
        <f aca="false">Entrada!L150</f>
        <v>10</v>
      </c>
      <c r="J338" s="62" t="n">
        <v>0</v>
      </c>
      <c r="K338" s="62" t="n">
        <f aca="false">I338-J338</f>
        <v>10</v>
      </c>
      <c r="L338" s="61" t="s">
        <v>673</v>
      </c>
      <c r="M338" s="61"/>
      <c r="N338" s="61"/>
      <c r="O338" s="61"/>
    </row>
    <row r="339" customFormat="false" ht="15" hidden="false" customHeight="false" outlineLevel="0" collapsed="false">
      <c r="A339" s="60" t="n">
        <v>46291</v>
      </c>
      <c r="B339" s="61" t="str">
        <f aca="false">Entrada!K152</f>
        <v>Entrada</v>
      </c>
      <c r="C339" s="61" t="s">
        <v>81</v>
      </c>
      <c r="D339" s="61" t="s">
        <v>30</v>
      </c>
      <c r="E339" s="61" t="s">
        <v>144</v>
      </c>
      <c r="F339" s="61" t="s">
        <v>251</v>
      </c>
      <c r="G339" s="61" t="s">
        <v>4</v>
      </c>
      <c r="H339" s="62" t="n">
        <f aca="false">Entrada!G152</f>
        <v>-288</v>
      </c>
      <c r="I339" s="62" t="n">
        <f aca="false">Entrada!L152</f>
        <v>288</v>
      </c>
      <c r="J339" s="62" t="n">
        <v>0</v>
      </c>
      <c r="K339" s="62" t="n">
        <f aca="false">I339-J339</f>
        <v>288</v>
      </c>
      <c r="L339" s="61" t="s">
        <v>677</v>
      </c>
      <c r="M339" s="61"/>
      <c r="N339" s="61"/>
      <c r="O339" s="61"/>
    </row>
    <row r="340" customFormat="false" ht="15" hidden="false" customHeight="false" outlineLevel="0" collapsed="false">
      <c r="A340" s="60" t="n">
        <v>46291</v>
      </c>
      <c r="B340" s="61" t="str">
        <f aca="false">Entrada!K153</f>
        <v>Entrada</v>
      </c>
      <c r="C340" s="61" t="s">
        <v>81</v>
      </c>
      <c r="D340" s="61" t="s">
        <v>145</v>
      </c>
      <c r="E340" s="61" t="s">
        <v>144</v>
      </c>
      <c r="F340" s="61" t="s">
        <v>251</v>
      </c>
      <c r="G340" s="61" t="s">
        <v>4</v>
      </c>
      <c r="H340" s="62" t="n">
        <f aca="false">Entrada!G153</f>
        <v>-198</v>
      </c>
      <c r="I340" s="62" t="n">
        <f aca="false">Entrada!L153</f>
        <v>198</v>
      </c>
      <c r="J340" s="62" t="n">
        <v>0</v>
      </c>
      <c r="K340" s="62" t="n">
        <f aca="false">I340-J340</f>
        <v>198</v>
      </c>
      <c r="L340" s="61" t="s">
        <v>683</v>
      </c>
      <c r="M340" s="61"/>
      <c r="N340" s="61"/>
      <c r="O340" s="61"/>
    </row>
    <row r="341" customFormat="false" ht="15" hidden="false" customHeight="false" outlineLevel="0" collapsed="false">
      <c r="A341" s="60" t="n">
        <v>46291</v>
      </c>
      <c r="B341" s="61" t="str">
        <f aca="false">Entrada!K159</f>
        <v>Entrada</v>
      </c>
      <c r="C341" s="61" t="s">
        <v>106</v>
      </c>
      <c r="D341" s="61" t="s">
        <v>183</v>
      </c>
      <c r="E341" s="61" t="s">
        <v>222</v>
      </c>
      <c r="F341" s="61" t="s">
        <v>251</v>
      </c>
      <c r="G341" s="61" t="s">
        <v>4</v>
      </c>
      <c r="H341" s="62" t="n">
        <f aca="false">Entrada!G159</f>
        <v>-480</v>
      </c>
      <c r="I341" s="62" t="n">
        <f aca="false">Entrada!L159</f>
        <v>480</v>
      </c>
      <c r="J341" s="62" t="n">
        <v>0</v>
      </c>
      <c r="K341" s="62" t="n">
        <f aca="false">I341-J341</f>
        <v>480</v>
      </c>
      <c r="L341" s="61" t="s">
        <v>688</v>
      </c>
      <c r="M341" s="61"/>
      <c r="N341" s="61"/>
      <c r="O341" s="61"/>
    </row>
    <row r="342" customFormat="false" ht="15" hidden="false" customHeight="false" outlineLevel="0" collapsed="false">
      <c r="A342" s="60" t="n">
        <v>46291</v>
      </c>
      <c r="B342" s="61" t="str">
        <f aca="false">Entrada!K160</f>
        <v>Estorno</v>
      </c>
      <c r="C342" s="61" t="s">
        <v>106</v>
      </c>
      <c r="D342" s="61" t="s">
        <v>183</v>
      </c>
      <c r="E342" s="61" t="s">
        <v>222</v>
      </c>
      <c r="F342" s="61" t="s">
        <v>251</v>
      </c>
      <c r="G342" s="61" t="s">
        <v>4</v>
      </c>
      <c r="H342" s="62" t="n">
        <f aca="false">Entrada!G160</f>
        <v>120</v>
      </c>
      <c r="I342" s="62" t="n">
        <f aca="false">Entrada!L160</f>
        <v>-120</v>
      </c>
      <c r="J342" s="62" t="n">
        <v>0</v>
      </c>
      <c r="K342" s="62" t="n">
        <f aca="false">I342-J342</f>
        <v>-120</v>
      </c>
      <c r="L342" s="61" t="s">
        <v>689</v>
      </c>
      <c r="M342" s="61"/>
      <c r="N342" s="61"/>
      <c r="O342" s="61"/>
    </row>
    <row r="343" customFormat="false" ht="15" hidden="false" customHeight="false" outlineLevel="0" collapsed="false">
      <c r="A343" s="60" t="n">
        <v>46291</v>
      </c>
      <c r="B343" s="61" t="s">
        <v>13</v>
      </c>
      <c r="C343" s="61" t="s">
        <v>106</v>
      </c>
      <c r="D343" s="61" t="s">
        <v>183</v>
      </c>
      <c r="E343" s="61" t="s">
        <v>222</v>
      </c>
      <c r="F343" s="61" t="s">
        <v>246</v>
      </c>
      <c r="G343" s="61" t="s">
        <v>4</v>
      </c>
      <c r="H343" s="62" t="n">
        <f aca="false">Saida!H326</f>
        <v>-30</v>
      </c>
      <c r="I343" s="62" t="n">
        <v>0</v>
      </c>
      <c r="J343" s="62" t="n">
        <f aca="false">Saida!R326</f>
        <v>30</v>
      </c>
      <c r="K343" s="62" t="n">
        <f aca="false">I343-J343</f>
        <v>-30</v>
      </c>
      <c r="L343" s="61" t="s">
        <v>690</v>
      </c>
      <c r="M343" s="61" t="s">
        <v>333</v>
      </c>
      <c r="N343" s="61" t="s">
        <v>334</v>
      </c>
      <c r="O343" s="61" t="s">
        <v>269</v>
      </c>
    </row>
    <row r="344" customFormat="false" ht="15" hidden="false" customHeight="false" outlineLevel="0" collapsed="false">
      <c r="A344" s="60" t="n">
        <v>46291</v>
      </c>
      <c r="B344" s="61" t="s">
        <v>13</v>
      </c>
      <c r="C344" s="61" t="s">
        <v>106</v>
      </c>
      <c r="D344" s="61" t="s">
        <v>183</v>
      </c>
      <c r="E344" s="61" t="s">
        <v>222</v>
      </c>
      <c r="F344" s="61" t="s">
        <v>246</v>
      </c>
      <c r="G344" s="61" t="s">
        <v>4</v>
      </c>
      <c r="H344" s="62" t="n">
        <f aca="false">Saida!H327</f>
        <v>-150</v>
      </c>
      <c r="I344" s="62" t="n">
        <v>0</v>
      </c>
      <c r="J344" s="62" t="n">
        <f aca="false">Saida!R327</f>
        <v>150</v>
      </c>
      <c r="K344" s="62" t="n">
        <f aca="false">I344-J344</f>
        <v>-150</v>
      </c>
      <c r="L344" s="61" t="s">
        <v>691</v>
      </c>
      <c r="M344" s="61" t="s">
        <v>546</v>
      </c>
      <c r="N344" s="61" t="s">
        <v>547</v>
      </c>
      <c r="O344" s="61" t="s">
        <v>269</v>
      </c>
    </row>
    <row r="345" customFormat="false" ht="15" hidden="false" customHeight="false" outlineLevel="0" collapsed="false">
      <c r="A345" s="60" t="n">
        <v>46291</v>
      </c>
      <c r="B345" s="61" t="s">
        <v>13</v>
      </c>
      <c r="C345" s="61" t="s">
        <v>106</v>
      </c>
      <c r="D345" s="61" t="s">
        <v>183</v>
      </c>
      <c r="E345" s="61" t="s">
        <v>222</v>
      </c>
      <c r="F345" s="61" t="s">
        <v>246</v>
      </c>
      <c r="G345" s="61" t="s">
        <v>4</v>
      </c>
      <c r="H345" s="62" t="n">
        <f aca="false">Saida!H328</f>
        <v>-10</v>
      </c>
      <c r="I345" s="62" t="n">
        <v>0</v>
      </c>
      <c r="J345" s="62" t="n">
        <f aca="false">Saida!R328</f>
        <v>10</v>
      </c>
      <c r="K345" s="62" t="n">
        <f aca="false">I345-J345</f>
        <v>-10</v>
      </c>
      <c r="L345" s="61" t="s">
        <v>692</v>
      </c>
      <c r="M345" s="61" t="s">
        <v>693</v>
      </c>
      <c r="N345" s="61" t="s">
        <v>694</v>
      </c>
      <c r="O345" s="61" t="s">
        <v>269</v>
      </c>
    </row>
    <row r="346" customFormat="false" ht="15" hidden="false" customHeight="false" outlineLevel="0" collapsed="false">
      <c r="A346" s="60" t="n">
        <v>46291</v>
      </c>
      <c r="B346" s="61" t="str">
        <f aca="false">Entrada!K162</f>
        <v>Entrada</v>
      </c>
      <c r="C346" s="61" t="s">
        <v>108</v>
      </c>
      <c r="D346" s="61" t="s">
        <v>188</v>
      </c>
      <c r="E346" s="61"/>
      <c r="F346" s="61" t="s">
        <v>251</v>
      </c>
      <c r="G346" s="61" t="s">
        <v>4</v>
      </c>
      <c r="H346" s="62" t="n">
        <f aca="false">Entrada!G162</f>
        <v>-313.6</v>
      </c>
      <c r="I346" s="62" t="n">
        <f aca="false">Entrada!L162</f>
        <v>313.6</v>
      </c>
      <c r="J346" s="62" t="n">
        <v>0</v>
      </c>
      <c r="K346" s="62" t="n">
        <f aca="false">I346-J346</f>
        <v>313.6</v>
      </c>
      <c r="L346" s="61" t="s">
        <v>681</v>
      </c>
      <c r="M346" s="61"/>
      <c r="N346" s="61"/>
      <c r="O346" s="61"/>
    </row>
    <row r="347" customFormat="false" ht="15" hidden="false" customHeight="false" outlineLevel="0" collapsed="false">
      <c r="A347" s="60" t="n">
        <v>46291</v>
      </c>
      <c r="B347" s="61" t="str">
        <f aca="false">Entrada!K168</f>
        <v>Entrada</v>
      </c>
      <c r="C347" s="61" t="s">
        <v>110</v>
      </c>
      <c r="D347" s="61" t="s">
        <v>192</v>
      </c>
      <c r="E347" s="61" t="s">
        <v>119</v>
      </c>
      <c r="F347" s="61" t="s">
        <v>251</v>
      </c>
      <c r="G347" s="61" t="s">
        <v>4</v>
      </c>
      <c r="H347" s="62" t="n">
        <f aca="false">Entrada!G168</f>
        <v>-603</v>
      </c>
      <c r="I347" s="62" t="n">
        <f aca="false">Entrada!L168</f>
        <v>603</v>
      </c>
      <c r="J347" s="62" t="n">
        <v>0</v>
      </c>
      <c r="K347" s="62" t="n">
        <f aca="false">I347-J347</f>
        <v>603</v>
      </c>
      <c r="L347" s="61" t="s">
        <v>682</v>
      </c>
      <c r="M347" s="61"/>
      <c r="N347" s="61"/>
      <c r="O347" s="61"/>
    </row>
    <row r="348" customFormat="false" ht="15" hidden="false" customHeight="false" outlineLevel="0" collapsed="false">
      <c r="A348" s="60" t="n">
        <v>46291</v>
      </c>
      <c r="B348" s="61" t="str">
        <f aca="false">Entrada!K165</f>
        <v>Entrada</v>
      </c>
      <c r="C348" s="61" t="s">
        <v>110</v>
      </c>
      <c r="D348" s="61" t="s">
        <v>177</v>
      </c>
      <c r="E348" s="61" t="s">
        <v>119</v>
      </c>
      <c r="F348" s="61" t="s">
        <v>251</v>
      </c>
      <c r="G348" s="61" t="s">
        <v>4</v>
      </c>
      <c r="H348" s="62" t="n">
        <f aca="false">Entrada!G165</f>
        <v>-20.3</v>
      </c>
      <c r="I348" s="62" t="n">
        <f aca="false">Entrada!L165</f>
        <v>20.3</v>
      </c>
      <c r="J348" s="62" t="n">
        <v>0</v>
      </c>
      <c r="K348" s="62" t="n">
        <f aca="false">I348-J348</f>
        <v>20.3</v>
      </c>
      <c r="L348" s="61" t="s">
        <v>682</v>
      </c>
      <c r="M348" s="61"/>
      <c r="N348" s="61"/>
      <c r="O348" s="61"/>
    </row>
    <row r="349" customFormat="false" ht="15" hidden="false" customHeight="false" outlineLevel="0" collapsed="false">
      <c r="A349" s="60" t="n">
        <v>46291</v>
      </c>
      <c r="B349" s="61" t="str">
        <f aca="false">Entrada!K166</f>
        <v>Entrada</v>
      </c>
      <c r="C349" s="61" t="s">
        <v>110</v>
      </c>
      <c r="D349" s="61" t="s">
        <v>177</v>
      </c>
      <c r="E349" s="61" t="s">
        <v>119</v>
      </c>
      <c r="F349" s="61" t="s">
        <v>251</v>
      </c>
      <c r="G349" s="61" t="s">
        <v>4</v>
      </c>
      <c r="H349" s="62" t="n">
        <f aca="false">Entrada!G166</f>
        <v>-1045</v>
      </c>
      <c r="I349" s="62" t="n">
        <f aca="false">Entrada!L166</f>
        <v>1045</v>
      </c>
      <c r="J349" s="62" t="n">
        <v>0</v>
      </c>
      <c r="K349" s="62" t="n">
        <f aca="false">I349-J349</f>
        <v>1045</v>
      </c>
      <c r="L349" s="61" t="s">
        <v>682</v>
      </c>
      <c r="M349" s="61"/>
      <c r="N349" s="61"/>
      <c r="O349" s="61"/>
    </row>
    <row r="350" customFormat="false" ht="15" hidden="false" customHeight="false" outlineLevel="0" collapsed="false">
      <c r="A350" s="60" t="n">
        <v>46291</v>
      </c>
      <c r="B350" s="61" t="str">
        <f aca="false">Entrada!K167</f>
        <v>Entrada</v>
      </c>
      <c r="C350" s="61" t="s">
        <v>110</v>
      </c>
      <c r="D350" s="61" t="s">
        <v>162</v>
      </c>
      <c r="E350" s="61" t="s">
        <v>119</v>
      </c>
      <c r="F350" s="61" t="s">
        <v>251</v>
      </c>
      <c r="G350" s="61" t="s">
        <v>4</v>
      </c>
      <c r="H350" s="62" t="n">
        <f aca="false">Entrada!G167</f>
        <v>-763.8</v>
      </c>
      <c r="I350" s="62" t="n">
        <f aca="false">Entrada!L167</f>
        <v>763.8</v>
      </c>
      <c r="J350" s="62" t="n">
        <v>0</v>
      </c>
      <c r="K350" s="62" t="n">
        <f aca="false">I350-J350</f>
        <v>763.8</v>
      </c>
      <c r="L350" s="61" t="s">
        <v>682</v>
      </c>
      <c r="M350" s="61"/>
      <c r="N350" s="61"/>
      <c r="O350" s="61"/>
    </row>
    <row r="351" customFormat="false" ht="15" hidden="false" customHeight="false" outlineLevel="0" collapsed="false">
      <c r="A351" s="60" t="n">
        <v>46291</v>
      </c>
      <c r="B351" s="61" t="s">
        <v>13</v>
      </c>
      <c r="C351" s="61" t="s">
        <v>110</v>
      </c>
      <c r="D351" s="61" t="s">
        <v>193</v>
      </c>
      <c r="E351" s="61" t="s">
        <v>119</v>
      </c>
      <c r="F351" s="61" t="s">
        <v>246</v>
      </c>
      <c r="G351" s="61" t="s">
        <v>4</v>
      </c>
      <c r="H351" s="62" t="n">
        <f aca="false">Saida!H340</f>
        <v>-402</v>
      </c>
      <c r="I351" s="62" t="n">
        <v>0</v>
      </c>
      <c r="J351" s="62" t="n">
        <f aca="false">Saida!R340</f>
        <v>402</v>
      </c>
      <c r="K351" s="62" t="n">
        <f aca="false">I351-J351</f>
        <v>-402</v>
      </c>
      <c r="L351" s="61" t="s">
        <v>657</v>
      </c>
      <c r="M351" s="61" t="s">
        <v>387</v>
      </c>
      <c r="N351" s="61" t="s">
        <v>388</v>
      </c>
      <c r="O351" s="61" t="s">
        <v>275</v>
      </c>
    </row>
    <row r="352" customFormat="false" ht="15" hidden="false" customHeight="false" outlineLevel="0" collapsed="false">
      <c r="A352" s="60" t="n">
        <v>46291</v>
      </c>
      <c r="B352" s="61" t="str">
        <f aca="false">Entrada!K171</f>
        <v>Entrada</v>
      </c>
      <c r="C352" s="61" t="s">
        <v>117</v>
      </c>
      <c r="D352" s="61" t="s">
        <v>195</v>
      </c>
      <c r="E352" s="61"/>
      <c r="F352" s="61" t="s">
        <v>251</v>
      </c>
      <c r="G352" s="61" t="s">
        <v>4</v>
      </c>
      <c r="H352" s="62" t="n">
        <f aca="false">Entrada!G171</f>
        <v>-1200</v>
      </c>
      <c r="I352" s="62" t="n">
        <f aca="false">Entrada!L171</f>
        <v>1200</v>
      </c>
      <c r="J352" s="62" t="n">
        <v>0</v>
      </c>
      <c r="K352" s="62" t="n">
        <f aca="false">I352-J352</f>
        <v>1200</v>
      </c>
      <c r="L352" s="61" t="s">
        <v>688</v>
      </c>
      <c r="M352" s="61"/>
      <c r="N352" s="61"/>
      <c r="O352" s="61"/>
    </row>
    <row r="353" customFormat="false" ht="15" hidden="false" customHeight="false" outlineLevel="0" collapsed="false">
      <c r="A353" s="60" t="n">
        <v>46291</v>
      </c>
      <c r="B353" s="61" t="str">
        <f aca="false">Entrada!K179</f>
        <v>Entrada</v>
      </c>
      <c r="C353" s="61" t="s">
        <v>135</v>
      </c>
      <c r="D353" s="61" t="s">
        <v>203</v>
      </c>
      <c r="E353" s="61" t="s">
        <v>224</v>
      </c>
      <c r="F353" s="61" t="s">
        <v>251</v>
      </c>
      <c r="G353" s="61" t="s">
        <v>4</v>
      </c>
      <c r="H353" s="62" t="n">
        <f aca="false">Entrada!G179</f>
        <v>-850</v>
      </c>
      <c r="I353" s="62" t="n">
        <f aca="false">Entrada!L179</f>
        <v>850</v>
      </c>
      <c r="J353" s="62" t="n">
        <v>0</v>
      </c>
      <c r="K353" s="62" t="n">
        <f aca="false">I353-J353</f>
        <v>850</v>
      </c>
      <c r="L353" s="61" t="s">
        <v>681</v>
      </c>
      <c r="M353" s="61"/>
      <c r="N353" s="61"/>
      <c r="O353" s="61"/>
    </row>
    <row r="354" customFormat="false" ht="15" hidden="false" customHeight="false" outlineLevel="0" collapsed="false">
      <c r="A354" s="60" t="n">
        <v>46291</v>
      </c>
      <c r="B354" s="61" t="str">
        <f aca="false">Entrada!K181</f>
        <v>Entrada</v>
      </c>
      <c r="C354" s="61" t="s">
        <v>131</v>
      </c>
      <c r="D354" s="61" t="s">
        <v>205</v>
      </c>
      <c r="E354" s="61" t="s">
        <v>132</v>
      </c>
      <c r="F354" s="61" t="s">
        <v>251</v>
      </c>
      <c r="G354" s="61" t="s">
        <v>12</v>
      </c>
      <c r="H354" s="62" t="n">
        <f aca="false">Entrada!G181</f>
        <v>-120</v>
      </c>
      <c r="I354" s="62" t="n">
        <f aca="false">Entrada!L181</f>
        <v>120</v>
      </c>
      <c r="J354" s="62" t="n">
        <v>0</v>
      </c>
      <c r="K354" s="62" t="n">
        <f aca="false">I354-J354</f>
        <v>120</v>
      </c>
      <c r="L354" s="61" t="s">
        <v>682</v>
      </c>
      <c r="M354" s="61"/>
      <c r="N354" s="61"/>
      <c r="O354" s="61"/>
    </row>
    <row r="355" customFormat="false" ht="15" hidden="false" customHeight="false" outlineLevel="0" collapsed="false">
      <c r="A355" s="60" t="n">
        <v>46291</v>
      </c>
      <c r="B355" s="61" t="str">
        <f aca="false">Entrada!K182</f>
        <v>Entrada</v>
      </c>
      <c r="C355" s="61" t="s">
        <v>131</v>
      </c>
      <c r="D355" s="61" t="s">
        <v>205</v>
      </c>
      <c r="E355" s="61" t="s">
        <v>132</v>
      </c>
      <c r="F355" s="61" t="s">
        <v>251</v>
      </c>
      <c r="G355" s="61" t="s">
        <v>12</v>
      </c>
      <c r="H355" s="62" t="n">
        <f aca="false">Entrada!G182</f>
        <v>-146</v>
      </c>
      <c r="I355" s="62" t="n">
        <f aca="false">Entrada!L182</f>
        <v>146</v>
      </c>
      <c r="J355" s="62" t="n">
        <v>0</v>
      </c>
      <c r="K355" s="62" t="n">
        <f aca="false">I355-J355</f>
        <v>146</v>
      </c>
      <c r="L355" s="61" t="s">
        <v>684</v>
      </c>
      <c r="M355" s="61"/>
      <c r="N355" s="61"/>
      <c r="O355" s="61"/>
    </row>
    <row r="356" customFormat="false" ht="15" hidden="false" customHeight="false" outlineLevel="0" collapsed="false">
      <c r="A356" s="60" t="n">
        <v>46291</v>
      </c>
      <c r="B356" s="61" t="str">
        <f aca="false">Entrada!K183</f>
        <v>Entrada</v>
      </c>
      <c r="C356" s="61" t="s">
        <v>131</v>
      </c>
      <c r="D356" s="61" t="s">
        <v>206</v>
      </c>
      <c r="E356" s="61" t="s">
        <v>132</v>
      </c>
      <c r="F356" s="61" t="s">
        <v>251</v>
      </c>
      <c r="G356" s="61" t="s">
        <v>12</v>
      </c>
      <c r="H356" s="62" t="n">
        <f aca="false">Entrada!G183</f>
        <v>-165</v>
      </c>
      <c r="I356" s="62" t="n">
        <f aca="false">Entrada!L183</f>
        <v>165</v>
      </c>
      <c r="J356" s="62" t="n">
        <v>0</v>
      </c>
      <c r="K356" s="62" t="n">
        <f aca="false">I356-J356</f>
        <v>165</v>
      </c>
      <c r="L356" s="61" t="s">
        <v>684</v>
      </c>
      <c r="M356" s="61"/>
      <c r="N356" s="61"/>
      <c r="O356" s="61"/>
    </row>
    <row r="357" customFormat="false" ht="15" hidden="false" customHeight="false" outlineLevel="0" collapsed="false">
      <c r="A357" s="60" t="n">
        <v>46291</v>
      </c>
      <c r="B357" s="61" t="str">
        <f aca="false">Entrada!K180</f>
        <v>Entrada</v>
      </c>
      <c r="C357" s="61" t="s">
        <v>131</v>
      </c>
      <c r="D357" s="61" t="s">
        <v>133</v>
      </c>
      <c r="E357" s="61" t="s">
        <v>132</v>
      </c>
      <c r="F357" s="61" t="s">
        <v>251</v>
      </c>
      <c r="G357" s="61" t="s">
        <v>12</v>
      </c>
      <c r="H357" s="62" t="n">
        <f aca="false">Entrada!G180</f>
        <v>-240</v>
      </c>
      <c r="I357" s="62" t="n">
        <f aca="false">Entrada!L180</f>
        <v>240</v>
      </c>
      <c r="J357" s="62" t="n">
        <v>0</v>
      </c>
      <c r="K357" s="62" t="n">
        <f aca="false">I357-J357</f>
        <v>240</v>
      </c>
      <c r="L357" s="61" t="s">
        <v>683</v>
      </c>
      <c r="M357" s="61"/>
      <c r="N357" s="61"/>
      <c r="O357" s="61"/>
    </row>
    <row r="358" customFormat="false" ht="15" hidden="false" customHeight="false" outlineLevel="0" collapsed="false">
      <c r="A358" s="60" t="n">
        <v>46291</v>
      </c>
      <c r="B358" s="61" t="str">
        <f aca="false">Entrada!K188</f>
        <v>Entrada</v>
      </c>
      <c r="C358" s="61" t="s">
        <v>147</v>
      </c>
      <c r="D358" s="61" t="s">
        <v>210</v>
      </c>
      <c r="E358" s="61" t="s">
        <v>225</v>
      </c>
      <c r="F358" s="61" t="s">
        <v>251</v>
      </c>
      <c r="G358" s="61" t="s">
        <v>4</v>
      </c>
      <c r="H358" s="62" t="n">
        <f aca="false">Entrada!G188</f>
        <v>-1000</v>
      </c>
      <c r="I358" s="62" t="n">
        <f aca="false">Entrada!L188</f>
        <v>1000</v>
      </c>
      <c r="J358" s="62" t="n">
        <v>0</v>
      </c>
      <c r="K358" s="62" t="n">
        <f aca="false">I358-J358</f>
        <v>1000</v>
      </c>
      <c r="L358" s="61" t="s">
        <v>695</v>
      </c>
      <c r="M358" s="61"/>
      <c r="N358" s="61"/>
      <c r="O358" s="61"/>
    </row>
    <row r="359" customFormat="false" ht="15" hidden="false" customHeight="false" outlineLevel="0" collapsed="false">
      <c r="A359" s="60" t="n">
        <v>46291</v>
      </c>
      <c r="B359" s="61" t="s">
        <v>13</v>
      </c>
      <c r="C359" s="61" t="s">
        <v>151</v>
      </c>
      <c r="D359" s="61" t="s">
        <v>213</v>
      </c>
      <c r="E359" s="61" t="s">
        <v>225</v>
      </c>
      <c r="F359" s="61" t="s">
        <v>246</v>
      </c>
      <c r="G359" s="61" t="s">
        <v>4</v>
      </c>
      <c r="H359" s="62" t="n">
        <f aca="false">Saida!H376</f>
        <v>-20</v>
      </c>
      <c r="I359" s="62" t="n">
        <v>0</v>
      </c>
      <c r="J359" s="62" t="n">
        <f aca="false">Saida!R376</f>
        <v>20</v>
      </c>
      <c r="K359" s="62" t="n">
        <f aca="false">I359-J359</f>
        <v>-20</v>
      </c>
      <c r="L359" s="61" t="s">
        <v>696</v>
      </c>
      <c r="M359" s="61" t="s">
        <v>546</v>
      </c>
      <c r="N359" s="61" t="s">
        <v>547</v>
      </c>
      <c r="O359" s="61" t="s">
        <v>269</v>
      </c>
    </row>
    <row r="360" customFormat="false" ht="15" hidden="false" customHeight="false" outlineLevel="0" collapsed="false">
      <c r="A360" s="60" t="n">
        <v>46291</v>
      </c>
      <c r="B360" s="61" t="s">
        <v>13</v>
      </c>
      <c r="C360" s="61" t="s">
        <v>151</v>
      </c>
      <c r="D360" s="61" t="s">
        <v>213</v>
      </c>
      <c r="E360" s="61" t="s">
        <v>225</v>
      </c>
      <c r="F360" s="61" t="s">
        <v>246</v>
      </c>
      <c r="G360" s="61" t="s">
        <v>4</v>
      </c>
      <c r="H360" s="62" t="n">
        <f aca="false">Saida!H377</f>
        <v>-20</v>
      </c>
      <c r="I360" s="62" t="n">
        <v>0</v>
      </c>
      <c r="J360" s="62" t="n">
        <f aca="false">Saida!R377</f>
        <v>20</v>
      </c>
      <c r="K360" s="62" t="n">
        <f aca="false">I360-J360</f>
        <v>-20</v>
      </c>
      <c r="L360" s="61" t="s">
        <v>676</v>
      </c>
      <c r="M360" s="61" t="s">
        <v>321</v>
      </c>
      <c r="N360" s="61" t="s">
        <v>322</v>
      </c>
      <c r="O360" s="61" t="s">
        <v>275</v>
      </c>
    </row>
    <row r="361" customFormat="false" ht="15" hidden="false" customHeight="false" outlineLevel="0" collapsed="false">
      <c r="A361" s="60" t="n">
        <v>46291</v>
      </c>
      <c r="B361" s="61" t="s">
        <v>13</v>
      </c>
      <c r="C361" s="61" t="s">
        <v>151</v>
      </c>
      <c r="D361" s="61" t="s">
        <v>213</v>
      </c>
      <c r="E361" s="61" t="s">
        <v>225</v>
      </c>
      <c r="F361" s="61" t="s">
        <v>246</v>
      </c>
      <c r="G361" s="61" t="s">
        <v>4</v>
      </c>
      <c r="H361" s="62" t="n">
        <f aca="false">Saida!H378</f>
        <v>-10</v>
      </c>
      <c r="I361" s="62" t="n">
        <v>0</v>
      </c>
      <c r="J361" s="62" t="n">
        <f aca="false">Saida!R378</f>
        <v>10</v>
      </c>
      <c r="K361" s="62" t="n">
        <f aca="false">I361-J361</f>
        <v>-10</v>
      </c>
      <c r="L361" s="61" t="s">
        <v>697</v>
      </c>
      <c r="M361" s="61" t="s">
        <v>546</v>
      </c>
      <c r="N361" s="61" t="s">
        <v>547</v>
      </c>
      <c r="O361" s="61" t="s">
        <v>269</v>
      </c>
    </row>
    <row r="362" customFormat="false" ht="15" hidden="false" customHeight="false" outlineLevel="0" collapsed="false">
      <c r="A362" s="60" t="n">
        <v>46291</v>
      </c>
      <c r="B362" s="61" t="str">
        <f aca="false">Entrada!K194</f>
        <v>Entrada</v>
      </c>
      <c r="C362" s="61" t="s">
        <v>160</v>
      </c>
      <c r="D362" s="61" t="s">
        <v>217</v>
      </c>
      <c r="E362" s="61" t="s">
        <v>186</v>
      </c>
      <c r="F362" s="61" t="s">
        <v>251</v>
      </c>
      <c r="G362" s="61" t="s">
        <v>4</v>
      </c>
      <c r="H362" s="62" t="n">
        <f aca="false">Entrada!G194</f>
        <v>-53.2</v>
      </c>
      <c r="I362" s="62" t="n">
        <f aca="false">Entrada!L194</f>
        <v>53.2</v>
      </c>
      <c r="J362" s="62" t="n">
        <v>0</v>
      </c>
      <c r="K362" s="62" t="n">
        <f aca="false">I362-J362</f>
        <v>53.2</v>
      </c>
      <c r="L362" s="61" t="s">
        <v>683</v>
      </c>
      <c r="M362" s="61"/>
      <c r="N362" s="61"/>
      <c r="O362" s="61"/>
    </row>
    <row r="363" customFormat="false" ht="15" hidden="false" customHeight="false" outlineLevel="0" collapsed="false">
      <c r="A363" s="60" t="n">
        <v>46291</v>
      </c>
      <c r="B363" s="61" t="str">
        <f aca="false">Entrada!K195</f>
        <v>Entrada</v>
      </c>
      <c r="C363" s="61" t="s">
        <v>160</v>
      </c>
      <c r="D363" s="61" t="s">
        <v>218</v>
      </c>
      <c r="E363" s="61" t="s">
        <v>186</v>
      </c>
      <c r="F363" s="61" t="s">
        <v>251</v>
      </c>
      <c r="G363" s="61" t="s">
        <v>4</v>
      </c>
      <c r="H363" s="62" t="n">
        <f aca="false">Entrada!G195</f>
        <v>-627.2</v>
      </c>
      <c r="I363" s="62" t="n">
        <f aca="false">Entrada!L195</f>
        <v>627.2</v>
      </c>
      <c r="J363" s="62" t="n">
        <v>0</v>
      </c>
      <c r="K363" s="62" t="n">
        <f aca="false">I363-J363</f>
        <v>627.2</v>
      </c>
      <c r="L363" s="61" t="s">
        <v>695</v>
      </c>
      <c r="M363" s="61"/>
      <c r="N363" s="61"/>
      <c r="O363" s="61"/>
    </row>
    <row r="364" customFormat="false" ht="15" hidden="false" customHeight="false" outlineLevel="0" collapsed="false">
      <c r="A364" s="60" t="n">
        <v>46291</v>
      </c>
      <c r="B364" s="61" t="s">
        <v>13</v>
      </c>
      <c r="C364" s="61" t="s">
        <v>157</v>
      </c>
      <c r="D364" s="61" t="s">
        <v>194</v>
      </c>
      <c r="E364" s="61" t="s">
        <v>119</v>
      </c>
      <c r="F364" s="61" t="s">
        <v>246</v>
      </c>
      <c r="G364" s="61" t="s">
        <v>4</v>
      </c>
      <c r="H364" s="62" t="n">
        <f aca="false">Saida!H389</f>
        <v>-603</v>
      </c>
      <c r="I364" s="62" t="n">
        <v>0</v>
      </c>
      <c r="J364" s="62" t="n">
        <f aca="false">Saida!R389</f>
        <v>603</v>
      </c>
      <c r="K364" s="62" t="n">
        <f aca="false">I364-J364</f>
        <v>-603</v>
      </c>
      <c r="L364" s="61" t="s">
        <v>698</v>
      </c>
      <c r="M364" s="61" t="s">
        <v>546</v>
      </c>
      <c r="N364" s="61" t="s">
        <v>547</v>
      </c>
      <c r="O364" s="61" t="s">
        <v>269</v>
      </c>
    </row>
    <row r="365" customFormat="false" ht="15" hidden="false" customHeight="false" outlineLevel="0" collapsed="false">
      <c r="A365" s="60" t="n">
        <v>46291</v>
      </c>
      <c r="B365" s="61" t="s">
        <v>13</v>
      </c>
      <c r="C365" s="61" t="s">
        <v>157</v>
      </c>
      <c r="D365" s="61" t="s">
        <v>194</v>
      </c>
      <c r="E365" s="61" t="s">
        <v>119</v>
      </c>
      <c r="F365" s="61" t="s">
        <v>246</v>
      </c>
      <c r="G365" s="61" t="s">
        <v>4</v>
      </c>
      <c r="H365" s="62" t="n">
        <f aca="false">Saida!H390</f>
        <v>-40.2</v>
      </c>
      <c r="I365" s="62" t="n">
        <v>0</v>
      </c>
      <c r="J365" s="62" t="n">
        <f aca="false">Saida!R390</f>
        <v>40.2</v>
      </c>
      <c r="K365" s="62" t="n">
        <f aca="false">I365-J365</f>
        <v>-40.2</v>
      </c>
      <c r="L365" s="61" t="s">
        <v>676</v>
      </c>
      <c r="M365" s="61" t="s">
        <v>321</v>
      </c>
      <c r="N365" s="61" t="s">
        <v>322</v>
      </c>
      <c r="O365" s="61" t="s">
        <v>275</v>
      </c>
    </row>
    <row r="366" customFormat="false" ht="15" hidden="false" customHeight="false" outlineLevel="0" collapsed="false">
      <c r="A366" s="60" t="n">
        <v>46291</v>
      </c>
      <c r="B366" s="61" t="s">
        <v>13</v>
      </c>
      <c r="C366" s="61" t="s">
        <v>157</v>
      </c>
      <c r="D366" s="61" t="s">
        <v>194</v>
      </c>
      <c r="E366" s="61" t="s">
        <v>119</v>
      </c>
      <c r="F366" s="61" t="s">
        <v>246</v>
      </c>
      <c r="G366" s="61" t="s">
        <v>4</v>
      </c>
      <c r="H366" s="62" t="n">
        <f aca="false">Saida!H391</f>
        <v>-201</v>
      </c>
      <c r="I366" s="62" t="n">
        <v>0</v>
      </c>
      <c r="J366" s="62" t="n">
        <f aca="false">Saida!R391</f>
        <v>201</v>
      </c>
      <c r="K366" s="62" t="n">
        <f aca="false">I366-J366</f>
        <v>-201</v>
      </c>
      <c r="L366" s="61" t="s">
        <v>699</v>
      </c>
      <c r="M366" s="61" t="s">
        <v>387</v>
      </c>
      <c r="N366" s="61" t="s">
        <v>388</v>
      </c>
      <c r="O366" s="61" t="s">
        <v>275</v>
      </c>
    </row>
    <row r="367" customFormat="false" ht="15" hidden="false" customHeight="false" outlineLevel="0" collapsed="false">
      <c r="A367" s="60" t="n">
        <v>46292</v>
      </c>
      <c r="B367" s="61" t="s">
        <v>13</v>
      </c>
      <c r="C367" s="61" t="s">
        <v>7</v>
      </c>
      <c r="D367" s="61" t="s">
        <v>8</v>
      </c>
      <c r="E367" s="61" t="s">
        <v>119</v>
      </c>
      <c r="F367" s="61" t="s">
        <v>246</v>
      </c>
      <c r="G367" s="61" t="s">
        <v>4</v>
      </c>
      <c r="H367" s="62" t="n">
        <f aca="false">Saida!H7</f>
        <v>-201</v>
      </c>
      <c r="I367" s="62" t="n">
        <v>0</v>
      </c>
      <c r="J367" s="62" t="n">
        <f aca="false">Saida!R7</f>
        <v>201</v>
      </c>
      <c r="K367" s="62" t="n">
        <f aca="false">I367-J367</f>
        <v>-201</v>
      </c>
      <c r="L367" s="61" t="s">
        <v>700</v>
      </c>
      <c r="M367" s="61" t="s">
        <v>701</v>
      </c>
      <c r="N367" s="61" t="s">
        <v>702</v>
      </c>
      <c r="O367" s="61" t="s">
        <v>275</v>
      </c>
    </row>
    <row r="368" customFormat="false" ht="15" hidden="false" customHeight="false" outlineLevel="0" collapsed="false">
      <c r="A368" s="60" t="n">
        <v>46292</v>
      </c>
      <c r="B368" s="61" t="s">
        <v>13</v>
      </c>
      <c r="C368" s="61" t="s">
        <v>7</v>
      </c>
      <c r="D368" s="61" t="s">
        <v>8</v>
      </c>
      <c r="E368" s="61" t="s">
        <v>119</v>
      </c>
      <c r="F368" s="61" t="s">
        <v>246</v>
      </c>
      <c r="G368" s="61" t="s">
        <v>4</v>
      </c>
      <c r="H368" s="62" t="n">
        <f aca="false">Saida!H8</f>
        <v>-20.1</v>
      </c>
      <c r="I368" s="62" t="n">
        <v>0</v>
      </c>
      <c r="J368" s="62" t="n">
        <f aca="false">Saida!R8</f>
        <v>20.1</v>
      </c>
      <c r="K368" s="62" t="n">
        <f aca="false">I368-J368</f>
        <v>-20.1</v>
      </c>
      <c r="L368" s="61" t="s">
        <v>703</v>
      </c>
      <c r="M368" s="61" t="s">
        <v>365</v>
      </c>
      <c r="N368" s="61" t="s">
        <v>366</v>
      </c>
      <c r="O368" s="61" t="s">
        <v>275</v>
      </c>
    </row>
    <row r="369" customFormat="false" ht="15" hidden="false" customHeight="false" outlineLevel="0" collapsed="false">
      <c r="A369" s="60" t="n">
        <v>46292</v>
      </c>
      <c r="B369" s="61" t="s">
        <v>13</v>
      </c>
      <c r="C369" s="61" t="s">
        <v>7</v>
      </c>
      <c r="D369" s="61" t="s">
        <v>8</v>
      </c>
      <c r="E369" s="61" t="s">
        <v>119</v>
      </c>
      <c r="F369" s="61" t="s">
        <v>246</v>
      </c>
      <c r="G369" s="61" t="s">
        <v>4</v>
      </c>
      <c r="H369" s="62" t="n">
        <f aca="false">Saida!H9</f>
        <v>-40.2</v>
      </c>
      <c r="I369" s="62" t="n">
        <v>0</v>
      </c>
      <c r="J369" s="62" t="n">
        <f aca="false">Saida!R9</f>
        <v>40.2</v>
      </c>
      <c r="K369" s="62" t="n">
        <f aca="false">I369-J369</f>
        <v>-40.2</v>
      </c>
      <c r="L369" s="61" t="s">
        <v>704</v>
      </c>
      <c r="M369" s="61" t="s">
        <v>705</v>
      </c>
      <c r="N369" s="61" t="s">
        <v>706</v>
      </c>
      <c r="O369" s="61" t="s">
        <v>275</v>
      </c>
    </row>
    <row r="370" customFormat="false" ht="15" hidden="false" customHeight="false" outlineLevel="0" collapsed="false">
      <c r="A370" s="60" t="n">
        <v>46292</v>
      </c>
      <c r="B370" s="61" t="s">
        <v>13</v>
      </c>
      <c r="C370" s="61" t="s">
        <v>7</v>
      </c>
      <c r="D370" s="61" t="s">
        <v>8</v>
      </c>
      <c r="E370" s="61" t="s">
        <v>119</v>
      </c>
      <c r="F370" s="61" t="s">
        <v>246</v>
      </c>
      <c r="G370" s="61" t="s">
        <v>4</v>
      </c>
      <c r="H370" s="62" t="n">
        <f aca="false">Saida!H10</f>
        <v>-261.3</v>
      </c>
      <c r="I370" s="62" t="n">
        <v>0</v>
      </c>
      <c r="J370" s="62" t="n">
        <f aca="false">Saida!R10</f>
        <v>261.3</v>
      </c>
      <c r="K370" s="62" t="n">
        <f aca="false">I370-J370</f>
        <v>-261.3</v>
      </c>
      <c r="L370" s="61" t="s">
        <v>707</v>
      </c>
      <c r="M370" s="61" t="s">
        <v>708</v>
      </c>
      <c r="N370" s="61" t="s">
        <v>709</v>
      </c>
      <c r="O370" s="61" t="s">
        <v>269</v>
      </c>
    </row>
    <row r="371" customFormat="false" ht="15" hidden="false" customHeight="false" outlineLevel="0" collapsed="false">
      <c r="A371" s="60" t="n">
        <v>46292</v>
      </c>
      <c r="B371" s="61" t="s">
        <v>13</v>
      </c>
      <c r="C371" s="61" t="s">
        <v>7</v>
      </c>
      <c r="D371" s="61" t="s">
        <v>8</v>
      </c>
      <c r="E371" s="61" t="s">
        <v>119</v>
      </c>
      <c r="F371" s="61" t="s">
        <v>246</v>
      </c>
      <c r="G371" s="61" t="s">
        <v>4</v>
      </c>
      <c r="H371" s="62" t="n">
        <f aca="false">Saida!H11</f>
        <v>-40.2</v>
      </c>
      <c r="I371" s="62" t="n">
        <v>0</v>
      </c>
      <c r="J371" s="62" t="n">
        <f aca="false">Saida!R11</f>
        <v>40.2</v>
      </c>
      <c r="K371" s="62" t="n">
        <f aca="false">I371-J371</f>
        <v>-40.2</v>
      </c>
      <c r="L371" s="61" t="s">
        <v>710</v>
      </c>
      <c r="M371" s="61" t="s">
        <v>711</v>
      </c>
      <c r="N371" s="61" t="s">
        <v>712</v>
      </c>
      <c r="O371" s="61" t="s">
        <v>275</v>
      </c>
    </row>
    <row r="372" customFormat="false" ht="15" hidden="false" customHeight="false" outlineLevel="0" collapsed="false">
      <c r="A372" s="60" t="n">
        <v>46292</v>
      </c>
      <c r="B372" s="61" t="s">
        <v>13</v>
      </c>
      <c r="C372" s="61" t="s">
        <v>7</v>
      </c>
      <c r="D372" s="61" t="s">
        <v>8</v>
      </c>
      <c r="E372" s="61" t="s">
        <v>119</v>
      </c>
      <c r="F372" s="61" t="s">
        <v>246</v>
      </c>
      <c r="G372" s="61" t="s">
        <v>4</v>
      </c>
      <c r="H372" s="62" t="n">
        <f aca="false">Saida!H12</f>
        <v>-20.1</v>
      </c>
      <c r="I372" s="62" t="n">
        <v>0</v>
      </c>
      <c r="J372" s="62" t="n">
        <f aca="false">Saida!R12</f>
        <v>20.1</v>
      </c>
      <c r="K372" s="62" t="n">
        <f aca="false">I372-J372</f>
        <v>-20.1</v>
      </c>
      <c r="L372" s="61" t="s">
        <v>713</v>
      </c>
      <c r="M372" s="61" t="s">
        <v>356</v>
      </c>
      <c r="N372" s="61" t="s">
        <v>357</v>
      </c>
      <c r="O372" s="61" t="s">
        <v>275</v>
      </c>
    </row>
    <row r="373" customFormat="false" ht="15" hidden="false" customHeight="false" outlineLevel="0" collapsed="false">
      <c r="A373" s="60" t="n">
        <v>46292</v>
      </c>
      <c r="B373" s="61" t="s">
        <v>13</v>
      </c>
      <c r="C373" s="61" t="s">
        <v>7</v>
      </c>
      <c r="D373" s="61" t="s">
        <v>8</v>
      </c>
      <c r="E373" s="61" t="s">
        <v>119</v>
      </c>
      <c r="F373" s="61" t="s">
        <v>246</v>
      </c>
      <c r="G373" s="61" t="s">
        <v>4</v>
      </c>
      <c r="H373" s="62" t="n">
        <f aca="false">Saida!H13</f>
        <v>-40.2</v>
      </c>
      <c r="I373" s="62" t="n">
        <v>0</v>
      </c>
      <c r="J373" s="62" t="n">
        <f aca="false">Saida!R13</f>
        <v>40.2</v>
      </c>
      <c r="K373" s="62" t="n">
        <f aca="false">I373-J373</f>
        <v>-40.2</v>
      </c>
      <c r="L373" s="61" t="s">
        <v>714</v>
      </c>
      <c r="M373" s="61" t="s">
        <v>715</v>
      </c>
      <c r="N373" s="61" t="s">
        <v>716</v>
      </c>
      <c r="O373" s="61" t="s">
        <v>275</v>
      </c>
    </row>
    <row r="374" customFormat="false" ht="15" hidden="false" customHeight="false" outlineLevel="0" collapsed="false">
      <c r="A374" s="60" t="n">
        <v>46292</v>
      </c>
      <c r="B374" s="61" t="s">
        <v>13</v>
      </c>
      <c r="C374" s="61" t="s">
        <v>20</v>
      </c>
      <c r="D374" s="61" t="s">
        <v>21</v>
      </c>
      <c r="E374" s="61" t="s">
        <v>141</v>
      </c>
      <c r="F374" s="61" t="s">
        <v>246</v>
      </c>
      <c r="G374" s="61" t="s">
        <v>4</v>
      </c>
      <c r="H374" s="62" t="n">
        <f aca="false">Saida!H40</f>
        <v>-5.6</v>
      </c>
      <c r="I374" s="62" t="n">
        <v>0</v>
      </c>
      <c r="J374" s="62" t="n">
        <f aca="false">Saida!R40</f>
        <v>5.6</v>
      </c>
      <c r="K374" s="62" t="n">
        <f aca="false">I374-J374</f>
        <v>-5.6</v>
      </c>
      <c r="L374" s="61" t="s">
        <v>717</v>
      </c>
      <c r="M374" s="61" t="s">
        <v>718</v>
      </c>
      <c r="N374" s="61" t="s">
        <v>719</v>
      </c>
      <c r="O374" s="61" t="s">
        <v>275</v>
      </c>
    </row>
    <row r="375" customFormat="false" ht="15" hidden="false" customHeight="false" outlineLevel="0" collapsed="false">
      <c r="A375" s="60" t="n">
        <v>46292</v>
      </c>
      <c r="B375" s="61" t="s">
        <v>13</v>
      </c>
      <c r="C375" s="61" t="s">
        <v>20</v>
      </c>
      <c r="D375" s="61" t="s">
        <v>21</v>
      </c>
      <c r="E375" s="61" t="s">
        <v>141</v>
      </c>
      <c r="F375" s="61" t="s">
        <v>246</v>
      </c>
      <c r="G375" s="61" t="s">
        <v>4</v>
      </c>
      <c r="H375" s="62" t="n">
        <f aca="false">Saida!H41</f>
        <v>-8.4</v>
      </c>
      <c r="I375" s="62" t="n">
        <v>0</v>
      </c>
      <c r="J375" s="62" t="n">
        <f aca="false">Saida!R41</f>
        <v>8.4</v>
      </c>
      <c r="K375" s="62" t="n">
        <f aca="false">I375-J375</f>
        <v>-8.4</v>
      </c>
      <c r="L375" s="61" t="s">
        <v>720</v>
      </c>
      <c r="M375" s="61" t="s">
        <v>479</v>
      </c>
      <c r="N375" s="61" t="s">
        <v>480</v>
      </c>
      <c r="O375" s="61" t="s">
        <v>275</v>
      </c>
    </row>
    <row r="376" customFormat="false" ht="15" hidden="false" customHeight="false" outlineLevel="0" collapsed="false">
      <c r="A376" s="60" t="n">
        <v>46292</v>
      </c>
      <c r="B376" s="61" t="s">
        <v>13</v>
      </c>
      <c r="C376" s="61" t="s">
        <v>20</v>
      </c>
      <c r="D376" s="61" t="s">
        <v>21</v>
      </c>
      <c r="E376" s="61" t="s">
        <v>141</v>
      </c>
      <c r="F376" s="61" t="s">
        <v>246</v>
      </c>
      <c r="G376" s="61" t="s">
        <v>4</v>
      </c>
      <c r="H376" s="62" t="n">
        <f aca="false">Saida!H42</f>
        <v>-8.4</v>
      </c>
      <c r="I376" s="62" t="n">
        <v>0</v>
      </c>
      <c r="J376" s="62" t="n">
        <f aca="false">Saida!R42</f>
        <v>8.4</v>
      </c>
      <c r="K376" s="62" t="n">
        <f aca="false">I376-J376</f>
        <v>-8.4</v>
      </c>
      <c r="L376" s="61" t="s">
        <v>721</v>
      </c>
      <c r="M376" s="61" t="s">
        <v>336</v>
      </c>
      <c r="N376" s="61" t="s">
        <v>337</v>
      </c>
      <c r="O376" s="61" t="s">
        <v>275</v>
      </c>
    </row>
    <row r="377" customFormat="false" ht="15" hidden="false" customHeight="false" outlineLevel="0" collapsed="false">
      <c r="A377" s="60" t="n">
        <v>46292</v>
      </c>
      <c r="B377" s="61" t="s">
        <v>13</v>
      </c>
      <c r="C377" s="61" t="s">
        <v>20</v>
      </c>
      <c r="D377" s="61" t="s">
        <v>21</v>
      </c>
      <c r="E377" s="61" t="s">
        <v>141</v>
      </c>
      <c r="F377" s="61" t="s">
        <v>246</v>
      </c>
      <c r="G377" s="61" t="s">
        <v>4</v>
      </c>
      <c r="H377" s="62" t="n">
        <f aca="false">Saida!H43</f>
        <v>-5.6</v>
      </c>
      <c r="I377" s="62" t="n">
        <v>0</v>
      </c>
      <c r="J377" s="62" t="n">
        <f aca="false">Saida!R43</f>
        <v>5.6</v>
      </c>
      <c r="K377" s="62" t="n">
        <f aca="false">I377-J377</f>
        <v>-5.6</v>
      </c>
      <c r="L377" s="61" t="s">
        <v>722</v>
      </c>
      <c r="M377" s="61" t="s">
        <v>488</v>
      </c>
      <c r="N377" s="61" t="s">
        <v>489</v>
      </c>
      <c r="O377" s="61" t="s">
        <v>275</v>
      </c>
    </row>
    <row r="378" customFormat="false" ht="15" hidden="false" customHeight="false" outlineLevel="0" collapsed="false">
      <c r="A378" s="60" t="n">
        <v>46292</v>
      </c>
      <c r="B378" s="61" t="s">
        <v>13</v>
      </c>
      <c r="C378" s="61" t="s">
        <v>20</v>
      </c>
      <c r="D378" s="61" t="s">
        <v>21</v>
      </c>
      <c r="E378" s="61" t="s">
        <v>141</v>
      </c>
      <c r="F378" s="61" t="s">
        <v>246</v>
      </c>
      <c r="G378" s="61" t="s">
        <v>4</v>
      </c>
      <c r="H378" s="62" t="n">
        <f aca="false">Saida!H44</f>
        <v>-5.6</v>
      </c>
      <c r="I378" s="62" t="n">
        <v>0</v>
      </c>
      <c r="J378" s="62" t="n">
        <f aca="false">Saida!R44</f>
        <v>5.6</v>
      </c>
      <c r="K378" s="62" t="n">
        <f aca="false">I378-J378</f>
        <v>-5.6</v>
      </c>
      <c r="L378" s="61" t="s">
        <v>723</v>
      </c>
      <c r="M378" s="61" t="s">
        <v>724</v>
      </c>
      <c r="N378" s="61" t="s">
        <v>725</v>
      </c>
      <c r="O378" s="61" t="s">
        <v>275</v>
      </c>
    </row>
    <row r="379" customFormat="false" ht="15" hidden="false" customHeight="false" outlineLevel="0" collapsed="false">
      <c r="A379" s="60" t="n">
        <v>46292</v>
      </c>
      <c r="B379" s="61" t="s">
        <v>13</v>
      </c>
      <c r="C379" s="61" t="s">
        <v>20</v>
      </c>
      <c r="D379" s="61" t="s">
        <v>21</v>
      </c>
      <c r="E379" s="61" t="s">
        <v>141</v>
      </c>
      <c r="F379" s="61" t="s">
        <v>246</v>
      </c>
      <c r="G379" s="61" t="s">
        <v>4</v>
      </c>
      <c r="H379" s="62" t="n">
        <f aca="false">Saida!H45</f>
        <v>-5.6</v>
      </c>
      <c r="I379" s="62" t="n">
        <v>0</v>
      </c>
      <c r="J379" s="62" t="n">
        <f aca="false">Saida!R45</f>
        <v>5.6</v>
      </c>
      <c r="K379" s="62" t="n">
        <f aca="false">I379-J379</f>
        <v>-5.6</v>
      </c>
      <c r="L379" s="61" t="s">
        <v>726</v>
      </c>
      <c r="M379" s="61" t="s">
        <v>482</v>
      </c>
      <c r="N379" s="61" t="s">
        <v>483</v>
      </c>
      <c r="O379" s="61" t="s">
        <v>275</v>
      </c>
    </row>
    <row r="380" customFormat="false" ht="15" hidden="false" customHeight="false" outlineLevel="0" collapsed="false">
      <c r="A380" s="60" t="n">
        <v>46292</v>
      </c>
      <c r="B380" s="61" t="s">
        <v>13</v>
      </c>
      <c r="C380" s="61" t="s">
        <v>33</v>
      </c>
      <c r="D380" s="61" t="s">
        <v>44</v>
      </c>
      <c r="E380" s="61" t="s">
        <v>202</v>
      </c>
      <c r="F380" s="61" t="s">
        <v>246</v>
      </c>
      <c r="G380" s="61" t="s">
        <v>4</v>
      </c>
      <c r="H380" s="62" t="n">
        <f aca="false">Saida!H109</f>
        <v>-40</v>
      </c>
      <c r="I380" s="62" t="n">
        <v>0</v>
      </c>
      <c r="J380" s="62" t="n">
        <f aca="false">Saida!R109</f>
        <v>40</v>
      </c>
      <c r="K380" s="62" t="n">
        <f aca="false">I380-J380</f>
        <v>-40</v>
      </c>
      <c r="L380" s="61" t="s">
        <v>727</v>
      </c>
      <c r="M380" s="61" t="s">
        <v>728</v>
      </c>
      <c r="N380" s="61" t="s">
        <v>729</v>
      </c>
      <c r="O380" s="61" t="s">
        <v>275</v>
      </c>
    </row>
    <row r="381" customFormat="false" ht="15" hidden="false" customHeight="false" outlineLevel="0" collapsed="false">
      <c r="A381" s="60" t="n">
        <v>46292</v>
      </c>
      <c r="B381" s="61" t="s">
        <v>13</v>
      </c>
      <c r="C381" s="61" t="s">
        <v>33</v>
      </c>
      <c r="D381" s="61" t="s">
        <v>54</v>
      </c>
      <c r="E381" s="61" t="s">
        <v>202</v>
      </c>
      <c r="F381" s="61" t="s">
        <v>246</v>
      </c>
      <c r="G381" s="61" t="s">
        <v>4</v>
      </c>
      <c r="H381" s="62" t="n">
        <f aca="false">Saida!H110</f>
        <v>-40</v>
      </c>
      <c r="I381" s="62" t="n">
        <v>0</v>
      </c>
      <c r="J381" s="62" t="n">
        <f aca="false">Saida!R110</f>
        <v>40</v>
      </c>
      <c r="K381" s="62" t="n">
        <f aca="false">I381-J381</f>
        <v>-40</v>
      </c>
      <c r="L381" s="61" t="s">
        <v>730</v>
      </c>
      <c r="M381" s="61" t="s">
        <v>731</v>
      </c>
      <c r="N381" s="61" t="s">
        <v>732</v>
      </c>
      <c r="O381" s="61" t="s">
        <v>275</v>
      </c>
    </row>
    <row r="382" customFormat="false" ht="15" hidden="false" customHeight="false" outlineLevel="0" collapsed="false">
      <c r="A382" s="60" t="n">
        <v>46292</v>
      </c>
      <c r="B382" s="61" t="s">
        <v>13</v>
      </c>
      <c r="C382" s="61" t="s">
        <v>33</v>
      </c>
      <c r="D382" s="61" t="s">
        <v>54</v>
      </c>
      <c r="E382" s="61" t="s">
        <v>202</v>
      </c>
      <c r="F382" s="61" t="s">
        <v>246</v>
      </c>
      <c r="G382" s="61" t="s">
        <v>4</v>
      </c>
      <c r="H382" s="62" t="n">
        <f aca="false">Saida!H111</f>
        <v>-40</v>
      </c>
      <c r="I382" s="62" t="n">
        <v>0</v>
      </c>
      <c r="J382" s="62" t="n">
        <f aca="false">Saida!R111</f>
        <v>40</v>
      </c>
      <c r="K382" s="62" t="n">
        <f aca="false">I382-J382</f>
        <v>-40</v>
      </c>
      <c r="L382" s="61" t="s">
        <v>733</v>
      </c>
      <c r="M382" s="61" t="s">
        <v>734</v>
      </c>
      <c r="N382" s="61" t="s">
        <v>735</v>
      </c>
      <c r="O382" s="61" t="s">
        <v>275</v>
      </c>
    </row>
    <row r="383" customFormat="false" ht="15" hidden="false" customHeight="false" outlineLevel="0" collapsed="false">
      <c r="A383" s="60" t="n">
        <v>46292</v>
      </c>
      <c r="B383" s="61" t="s">
        <v>13</v>
      </c>
      <c r="C383" s="61" t="s">
        <v>33</v>
      </c>
      <c r="D383" s="61" t="s">
        <v>54</v>
      </c>
      <c r="E383" s="61" t="s">
        <v>202</v>
      </c>
      <c r="F383" s="61" t="s">
        <v>246</v>
      </c>
      <c r="G383" s="61" t="s">
        <v>4</v>
      </c>
      <c r="H383" s="62" t="n">
        <f aca="false">Saida!H112</f>
        <v>-100</v>
      </c>
      <c r="I383" s="62" t="n">
        <v>0</v>
      </c>
      <c r="J383" s="62" t="n">
        <f aca="false">Saida!R112</f>
        <v>100</v>
      </c>
      <c r="K383" s="62" t="n">
        <f aca="false">I383-J383</f>
        <v>-100</v>
      </c>
      <c r="L383" s="61" t="s">
        <v>736</v>
      </c>
      <c r="M383" s="61" t="s">
        <v>737</v>
      </c>
      <c r="N383" s="61" t="s">
        <v>738</v>
      </c>
      <c r="O383" s="61" t="s">
        <v>275</v>
      </c>
    </row>
    <row r="384" customFormat="false" ht="15" hidden="false" customHeight="false" outlineLevel="0" collapsed="false">
      <c r="A384" s="60" t="n">
        <v>46292</v>
      </c>
      <c r="B384" s="61" t="s">
        <v>13</v>
      </c>
      <c r="C384" s="61" t="s">
        <v>35</v>
      </c>
      <c r="D384" s="61" t="s">
        <v>60</v>
      </c>
      <c r="E384" s="61" t="s">
        <v>119</v>
      </c>
      <c r="F384" s="61" t="s">
        <v>246</v>
      </c>
      <c r="G384" s="61" t="s">
        <v>4</v>
      </c>
      <c r="H384" s="62" t="n">
        <f aca="false">Saida!H117</f>
        <v>-100.5</v>
      </c>
      <c r="I384" s="62" t="n">
        <v>0</v>
      </c>
      <c r="J384" s="62" t="n">
        <f aca="false">Saida!R117</f>
        <v>100.5</v>
      </c>
      <c r="K384" s="62" t="n">
        <f aca="false">I384-J384</f>
        <v>-100.5</v>
      </c>
      <c r="L384" s="61" t="s">
        <v>739</v>
      </c>
      <c r="M384" s="61" t="s">
        <v>701</v>
      </c>
      <c r="N384" s="61" t="s">
        <v>702</v>
      </c>
      <c r="O384" s="61" t="s">
        <v>275</v>
      </c>
    </row>
    <row r="385" customFormat="false" ht="15" hidden="false" customHeight="false" outlineLevel="0" collapsed="false">
      <c r="A385" s="60" t="n">
        <v>46292</v>
      </c>
      <c r="B385" s="61" t="s">
        <v>13</v>
      </c>
      <c r="C385" s="61" t="s">
        <v>41</v>
      </c>
      <c r="D385" s="61" t="s">
        <v>62</v>
      </c>
      <c r="E385" s="61" t="s">
        <v>141</v>
      </c>
      <c r="F385" s="61" t="s">
        <v>246</v>
      </c>
      <c r="G385" s="61" t="s">
        <v>4</v>
      </c>
      <c r="H385" s="62" t="n">
        <f aca="false">Saida!H133</f>
        <v>-22.4</v>
      </c>
      <c r="I385" s="62" t="n">
        <v>0</v>
      </c>
      <c r="J385" s="62" t="n">
        <f aca="false">Saida!R133</f>
        <v>22.4</v>
      </c>
      <c r="K385" s="62" t="n">
        <f aca="false">I385-J385</f>
        <v>-22.4</v>
      </c>
      <c r="L385" s="61" t="s">
        <v>740</v>
      </c>
      <c r="M385" s="61" t="s">
        <v>741</v>
      </c>
      <c r="N385" s="61" t="s">
        <v>742</v>
      </c>
      <c r="O385" s="61" t="s">
        <v>275</v>
      </c>
    </row>
    <row r="386" customFormat="false" ht="15" hidden="false" customHeight="false" outlineLevel="0" collapsed="false">
      <c r="A386" s="60" t="n">
        <v>46292</v>
      </c>
      <c r="B386" s="61" t="s">
        <v>13</v>
      </c>
      <c r="C386" s="61" t="s">
        <v>47</v>
      </c>
      <c r="D386" s="61" t="s">
        <v>68</v>
      </c>
      <c r="E386" s="61" t="s">
        <v>202</v>
      </c>
      <c r="F386" s="61" t="s">
        <v>246</v>
      </c>
      <c r="G386" s="61" t="s">
        <v>4</v>
      </c>
      <c r="H386" s="62" t="n">
        <f aca="false">Saida!H180</f>
        <v>-40</v>
      </c>
      <c r="I386" s="62" t="n">
        <v>0</v>
      </c>
      <c r="J386" s="62" t="n">
        <f aca="false">Saida!R180</f>
        <v>40</v>
      </c>
      <c r="K386" s="62" t="n">
        <f aca="false">I386-J386</f>
        <v>-40</v>
      </c>
      <c r="L386" s="61" t="s">
        <v>743</v>
      </c>
      <c r="M386" s="61" t="s">
        <v>744</v>
      </c>
      <c r="N386" s="61" t="s">
        <v>745</v>
      </c>
      <c r="O386" s="61" t="s">
        <v>275</v>
      </c>
    </row>
    <row r="387" customFormat="false" ht="15" hidden="false" customHeight="false" outlineLevel="0" collapsed="false">
      <c r="A387" s="60" t="n">
        <v>46292</v>
      </c>
      <c r="B387" s="61" t="s">
        <v>13</v>
      </c>
      <c r="C387" s="61" t="s">
        <v>47</v>
      </c>
      <c r="D387" s="61" t="s">
        <v>68</v>
      </c>
      <c r="E387" s="61" t="s">
        <v>202</v>
      </c>
      <c r="F387" s="61" t="s">
        <v>246</v>
      </c>
      <c r="G387" s="61" t="s">
        <v>4</v>
      </c>
      <c r="H387" s="62" t="n">
        <f aca="false">Saida!H181</f>
        <v>-40</v>
      </c>
      <c r="I387" s="62" t="n">
        <v>0</v>
      </c>
      <c r="J387" s="62" t="n">
        <f aca="false">Saida!R181</f>
        <v>40</v>
      </c>
      <c r="K387" s="62" t="n">
        <f aca="false">I387-J387</f>
        <v>-40</v>
      </c>
      <c r="L387" s="61" t="s">
        <v>730</v>
      </c>
      <c r="M387" s="61" t="s">
        <v>731</v>
      </c>
      <c r="N387" s="61" t="s">
        <v>732</v>
      </c>
      <c r="O387" s="61" t="s">
        <v>275</v>
      </c>
    </row>
    <row r="388" customFormat="false" ht="15" hidden="false" customHeight="false" outlineLevel="0" collapsed="false">
      <c r="A388" s="60" t="n">
        <v>46292</v>
      </c>
      <c r="B388" s="61" t="s">
        <v>13</v>
      </c>
      <c r="C388" s="61" t="s">
        <v>47</v>
      </c>
      <c r="D388" s="61" t="s">
        <v>68</v>
      </c>
      <c r="E388" s="61" t="s">
        <v>202</v>
      </c>
      <c r="F388" s="61" t="s">
        <v>246</v>
      </c>
      <c r="G388" s="61" t="s">
        <v>4</v>
      </c>
      <c r="H388" s="62" t="n">
        <f aca="false">Saida!H182</f>
        <v>-40</v>
      </c>
      <c r="I388" s="62" t="n">
        <v>0</v>
      </c>
      <c r="J388" s="62" t="n">
        <f aca="false">Saida!R182</f>
        <v>40</v>
      </c>
      <c r="K388" s="62" t="n">
        <f aca="false">I388-J388</f>
        <v>-40</v>
      </c>
      <c r="L388" s="61" t="s">
        <v>746</v>
      </c>
      <c r="M388" s="61" t="s">
        <v>747</v>
      </c>
      <c r="N388" s="61" t="s">
        <v>748</v>
      </c>
      <c r="O388" s="61" t="s">
        <v>275</v>
      </c>
    </row>
    <row r="389" customFormat="false" ht="15" hidden="false" customHeight="false" outlineLevel="0" collapsed="false">
      <c r="A389" s="60" t="n">
        <v>46292</v>
      </c>
      <c r="B389" s="61" t="s">
        <v>13</v>
      </c>
      <c r="C389" s="61" t="s">
        <v>53</v>
      </c>
      <c r="D389" s="61" t="s">
        <v>78</v>
      </c>
      <c r="E389" s="61" t="s">
        <v>137</v>
      </c>
      <c r="F389" s="61" t="s">
        <v>246</v>
      </c>
      <c r="G389" s="61" t="s">
        <v>9</v>
      </c>
      <c r="H389" s="62" t="n">
        <f aca="false">Saida!H207</f>
        <v>-45</v>
      </c>
      <c r="I389" s="62" t="n">
        <v>0</v>
      </c>
      <c r="J389" s="62" t="n">
        <f aca="false">Saida!R207</f>
        <v>45</v>
      </c>
      <c r="K389" s="62" t="n">
        <f aca="false">I389-J389</f>
        <v>-45</v>
      </c>
      <c r="L389" s="61" t="s">
        <v>749</v>
      </c>
      <c r="M389" s="61" t="s">
        <v>428</v>
      </c>
      <c r="N389" s="61" t="s">
        <v>429</v>
      </c>
      <c r="O389" s="61" t="s">
        <v>275</v>
      </c>
    </row>
    <row r="390" customFormat="false" ht="15" hidden="false" customHeight="false" outlineLevel="0" collapsed="false">
      <c r="A390" s="60" t="n">
        <v>46292</v>
      </c>
      <c r="B390" s="61" t="s">
        <v>13</v>
      </c>
      <c r="C390" s="61" t="s">
        <v>53</v>
      </c>
      <c r="D390" s="61" t="s">
        <v>78</v>
      </c>
      <c r="E390" s="61" t="s">
        <v>137</v>
      </c>
      <c r="F390" s="61" t="s">
        <v>246</v>
      </c>
      <c r="G390" s="61" t="s">
        <v>9</v>
      </c>
      <c r="H390" s="62" t="n">
        <f aca="false">Saida!H208</f>
        <v>-15</v>
      </c>
      <c r="I390" s="62" t="n">
        <v>0</v>
      </c>
      <c r="J390" s="62" t="n">
        <f aca="false">Saida!R208</f>
        <v>15</v>
      </c>
      <c r="K390" s="62" t="n">
        <f aca="false">I390-J390</f>
        <v>-15</v>
      </c>
      <c r="L390" s="61" t="s">
        <v>750</v>
      </c>
      <c r="M390" s="61" t="s">
        <v>751</v>
      </c>
      <c r="N390" s="61" t="s">
        <v>752</v>
      </c>
      <c r="O390" s="61" t="s">
        <v>275</v>
      </c>
    </row>
    <row r="391" customFormat="false" ht="15" hidden="false" customHeight="false" outlineLevel="0" collapsed="false">
      <c r="A391" s="60" t="n">
        <v>46292</v>
      </c>
      <c r="B391" s="61" t="s">
        <v>13</v>
      </c>
      <c r="C391" s="61" t="s">
        <v>53</v>
      </c>
      <c r="D391" s="61" t="s">
        <v>78</v>
      </c>
      <c r="E391" s="61" t="s">
        <v>137</v>
      </c>
      <c r="F391" s="61" t="s">
        <v>246</v>
      </c>
      <c r="G391" s="61" t="s">
        <v>9</v>
      </c>
      <c r="H391" s="62" t="n">
        <f aca="false">Saida!H209</f>
        <v>-30</v>
      </c>
      <c r="I391" s="62" t="n">
        <v>0</v>
      </c>
      <c r="J391" s="62" t="n">
        <f aca="false">Saida!R209</f>
        <v>30</v>
      </c>
      <c r="K391" s="62" t="n">
        <f aca="false">I391-J391</f>
        <v>-30</v>
      </c>
      <c r="L391" s="61" t="s">
        <v>753</v>
      </c>
      <c r="M391" s="61" t="s">
        <v>353</v>
      </c>
      <c r="N391" s="61" t="s">
        <v>354</v>
      </c>
      <c r="O391" s="61" t="s">
        <v>275</v>
      </c>
    </row>
    <row r="392" customFormat="false" ht="15" hidden="false" customHeight="false" outlineLevel="0" collapsed="false">
      <c r="A392" s="60" t="n">
        <v>46292</v>
      </c>
      <c r="B392" s="61" t="s">
        <v>13</v>
      </c>
      <c r="C392" s="61" t="s">
        <v>53</v>
      </c>
      <c r="D392" s="61" t="s">
        <v>78</v>
      </c>
      <c r="E392" s="61" t="s">
        <v>137</v>
      </c>
      <c r="F392" s="61" t="s">
        <v>246</v>
      </c>
      <c r="G392" s="61" t="s">
        <v>9</v>
      </c>
      <c r="H392" s="62" t="n">
        <f aca="false">Saida!H213</f>
        <v>-30</v>
      </c>
      <c r="I392" s="62" t="n">
        <v>0</v>
      </c>
      <c r="J392" s="62" t="n">
        <f aca="false">Saida!R213</f>
        <v>30</v>
      </c>
      <c r="K392" s="62" t="n">
        <f aca="false">I392-J392</f>
        <v>-30</v>
      </c>
      <c r="L392" s="61" t="s">
        <v>754</v>
      </c>
      <c r="M392" s="61" t="s">
        <v>755</v>
      </c>
      <c r="N392" s="61" t="s">
        <v>756</v>
      </c>
      <c r="O392" s="61" t="s">
        <v>275</v>
      </c>
    </row>
    <row r="393" customFormat="false" ht="15" hidden="false" customHeight="false" outlineLevel="0" collapsed="false">
      <c r="A393" s="60" t="n">
        <v>46292</v>
      </c>
      <c r="B393" s="61" t="s">
        <v>13</v>
      </c>
      <c r="C393" s="61" t="s">
        <v>53</v>
      </c>
      <c r="D393" s="61" t="s">
        <v>78</v>
      </c>
      <c r="E393" s="61" t="s">
        <v>137</v>
      </c>
      <c r="F393" s="61" t="s">
        <v>246</v>
      </c>
      <c r="G393" s="61" t="s">
        <v>9</v>
      </c>
      <c r="H393" s="62" t="n">
        <f aca="false">Saida!H217</f>
        <v>-15</v>
      </c>
      <c r="I393" s="62" t="n">
        <v>0</v>
      </c>
      <c r="J393" s="62" t="n">
        <f aca="false">Saida!R217</f>
        <v>15</v>
      </c>
      <c r="K393" s="62" t="n">
        <f aca="false">I393-J393</f>
        <v>-15</v>
      </c>
      <c r="L393" s="61" t="s">
        <v>757</v>
      </c>
      <c r="M393" s="61" t="s">
        <v>724</v>
      </c>
      <c r="N393" s="61" t="s">
        <v>725</v>
      </c>
      <c r="O393" s="61" t="s">
        <v>275</v>
      </c>
    </row>
    <row r="394" customFormat="false" ht="15" hidden="false" customHeight="false" outlineLevel="0" collapsed="false">
      <c r="A394" s="60" t="n">
        <v>46292</v>
      </c>
      <c r="B394" s="61" t="s">
        <v>13</v>
      </c>
      <c r="C394" s="61" t="s">
        <v>53</v>
      </c>
      <c r="D394" s="61" t="s">
        <v>78</v>
      </c>
      <c r="E394" s="61" t="s">
        <v>137</v>
      </c>
      <c r="F394" s="61" t="s">
        <v>246</v>
      </c>
      <c r="G394" s="61" t="s">
        <v>9</v>
      </c>
      <c r="H394" s="62" t="n">
        <f aca="false">Saida!H218</f>
        <v>-30</v>
      </c>
      <c r="I394" s="62" t="n">
        <v>0</v>
      </c>
      <c r="J394" s="62" t="n">
        <f aca="false">Saida!R218</f>
        <v>30</v>
      </c>
      <c r="K394" s="62" t="n">
        <f aca="false">I394-J394</f>
        <v>-30</v>
      </c>
      <c r="L394" s="61" t="s">
        <v>758</v>
      </c>
      <c r="M394" s="61" t="s">
        <v>759</v>
      </c>
      <c r="N394" s="61" t="s">
        <v>760</v>
      </c>
      <c r="O394" s="61" t="s">
        <v>275</v>
      </c>
    </row>
    <row r="395" customFormat="false" ht="15" hidden="false" customHeight="false" outlineLevel="0" collapsed="false">
      <c r="A395" s="60" t="n">
        <v>46292</v>
      </c>
      <c r="B395" s="61" t="s">
        <v>13</v>
      </c>
      <c r="C395" s="61" t="s">
        <v>53</v>
      </c>
      <c r="D395" s="61" t="s">
        <v>78</v>
      </c>
      <c r="E395" s="61" t="s">
        <v>137</v>
      </c>
      <c r="F395" s="61" t="s">
        <v>246</v>
      </c>
      <c r="G395" s="61" t="s">
        <v>9</v>
      </c>
      <c r="H395" s="62" t="n">
        <f aca="false">Saida!H219</f>
        <v>-15</v>
      </c>
      <c r="I395" s="62" t="n">
        <v>0</v>
      </c>
      <c r="J395" s="62" t="n">
        <f aca="false">Saida!R219</f>
        <v>15</v>
      </c>
      <c r="K395" s="62" t="n">
        <f aca="false">I395-J395</f>
        <v>-15</v>
      </c>
      <c r="L395" s="61" t="s">
        <v>723</v>
      </c>
      <c r="M395" s="61" t="s">
        <v>724</v>
      </c>
      <c r="N395" s="61" t="s">
        <v>725</v>
      </c>
      <c r="O395" s="61" t="s">
        <v>275</v>
      </c>
    </row>
    <row r="396" customFormat="false" ht="15" hidden="false" customHeight="false" outlineLevel="0" collapsed="false">
      <c r="A396" s="60" t="n">
        <v>46292</v>
      </c>
      <c r="B396" s="61" t="s">
        <v>13</v>
      </c>
      <c r="C396" s="61" t="s">
        <v>53</v>
      </c>
      <c r="D396" s="61" t="s">
        <v>78</v>
      </c>
      <c r="E396" s="61" t="s">
        <v>137</v>
      </c>
      <c r="F396" s="61" t="s">
        <v>246</v>
      </c>
      <c r="G396" s="61" t="s">
        <v>9</v>
      </c>
      <c r="H396" s="62" t="n">
        <f aca="false">Saida!H221</f>
        <v>-45</v>
      </c>
      <c r="I396" s="62" t="n">
        <v>0</v>
      </c>
      <c r="J396" s="62" t="n">
        <f aca="false">Saida!R221</f>
        <v>45</v>
      </c>
      <c r="K396" s="62" t="n">
        <f aca="false">I396-J396</f>
        <v>-45</v>
      </c>
      <c r="L396" s="61" t="s">
        <v>761</v>
      </c>
      <c r="M396" s="61" t="s">
        <v>762</v>
      </c>
      <c r="N396" s="61" t="s">
        <v>763</v>
      </c>
      <c r="O396" s="61" t="s">
        <v>275</v>
      </c>
    </row>
    <row r="397" customFormat="false" ht="15" hidden="false" customHeight="false" outlineLevel="0" collapsed="false">
      <c r="A397" s="60" t="n">
        <v>46292</v>
      </c>
      <c r="B397" s="61" t="s">
        <v>13</v>
      </c>
      <c r="C397" s="61" t="s">
        <v>53</v>
      </c>
      <c r="D397" s="61" t="s">
        <v>78</v>
      </c>
      <c r="E397" s="61" t="s">
        <v>137</v>
      </c>
      <c r="F397" s="61" t="s">
        <v>246</v>
      </c>
      <c r="G397" s="61" t="s">
        <v>9</v>
      </c>
      <c r="H397" s="62" t="n">
        <f aca="false">Saida!H222</f>
        <v>-15</v>
      </c>
      <c r="I397" s="62" t="n">
        <v>0</v>
      </c>
      <c r="J397" s="62" t="n">
        <f aca="false">Saida!R222</f>
        <v>15</v>
      </c>
      <c r="K397" s="62" t="n">
        <f aca="false">I397-J397</f>
        <v>-15</v>
      </c>
      <c r="L397" s="61" t="s">
        <v>764</v>
      </c>
      <c r="M397" s="61" t="s">
        <v>765</v>
      </c>
      <c r="N397" s="61" t="s">
        <v>766</v>
      </c>
      <c r="O397" s="61" t="s">
        <v>275</v>
      </c>
    </row>
    <row r="398" customFormat="false" ht="15" hidden="false" customHeight="false" outlineLevel="0" collapsed="false">
      <c r="A398" s="60" t="n">
        <v>46292</v>
      </c>
      <c r="B398" s="61" t="s">
        <v>13</v>
      </c>
      <c r="C398" s="61" t="s">
        <v>53</v>
      </c>
      <c r="D398" s="61" t="s">
        <v>78</v>
      </c>
      <c r="E398" s="61" t="s">
        <v>137</v>
      </c>
      <c r="F398" s="61" t="s">
        <v>246</v>
      </c>
      <c r="G398" s="61" t="s">
        <v>9</v>
      </c>
      <c r="H398" s="62" t="n">
        <f aca="false">Saida!H223</f>
        <v>-15</v>
      </c>
      <c r="I398" s="62" t="n">
        <v>0</v>
      </c>
      <c r="J398" s="62" t="n">
        <f aca="false">Saida!R223</f>
        <v>15</v>
      </c>
      <c r="K398" s="62" t="n">
        <f aca="false">I398-J398</f>
        <v>-15</v>
      </c>
      <c r="L398" s="61" t="s">
        <v>758</v>
      </c>
      <c r="M398" s="61" t="s">
        <v>759</v>
      </c>
      <c r="N398" s="61" t="s">
        <v>760</v>
      </c>
      <c r="O398" s="61" t="s">
        <v>275</v>
      </c>
    </row>
    <row r="399" customFormat="false" ht="15" hidden="false" customHeight="false" outlineLevel="0" collapsed="false">
      <c r="A399" s="60" t="n">
        <v>46292</v>
      </c>
      <c r="B399" s="61" t="s">
        <v>13</v>
      </c>
      <c r="C399" s="61" t="s">
        <v>53</v>
      </c>
      <c r="D399" s="61" t="s">
        <v>80</v>
      </c>
      <c r="E399" s="61" t="s">
        <v>137</v>
      </c>
      <c r="F399" s="61" t="s">
        <v>246</v>
      </c>
      <c r="G399" s="61" t="s">
        <v>9</v>
      </c>
      <c r="H399" s="62" t="n">
        <f aca="false">Saida!H210</f>
        <v>-15</v>
      </c>
      <c r="I399" s="62" t="n">
        <v>0</v>
      </c>
      <c r="J399" s="62" t="n">
        <f aca="false">Saida!R210</f>
        <v>15</v>
      </c>
      <c r="K399" s="62" t="n">
        <f aca="false">I399-J399</f>
        <v>-15</v>
      </c>
      <c r="L399" s="61" t="s">
        <v>767</v>
      </c>
      <c r="M399" s="61" t="s">
        <v>768</v>
      </c>
      <c r="N399" s="61" t="s">
        <v>769</v>
      </c>
      <c r="O399" s="61" t="s">
        <v>275</v>
      </c>
    </row>
    <row r="400" customFormat="false" ht="15" hidden="false" customHeight="false" outlineLevel="0" collapsed="false">
      <c r="A400" s="60" t="n">
        <v>46292</v>
      </c>
      <c r="B400" s="61" t="s">
        <v>13</v>
      </c>
      <c r="C400" s="61" t="s">
        <v>53</v>
      </c>
      <c r="D400" s="61" t="s">
        <v>80</v>
      </c>
      <c r="E400" s="61" t="s">
        <v>137</v>
      </c>
      <c r="F400" s="61" t="s">
        <v>246</v>
      </c>
      <c r="G400" s="61" t="s">
        <v>9</v>
      </c>
      <c r="H400" s="62" t="n">
        <f aca="false">Saida!H211</f>
        <v>-15</v>
      </c>
      <c r="I400" s="62" t="n">
        <v>0</v>
      </c>
      <c r="J400" s="62" t="n">
        <f aca="false">Saida!R211</f>
        <v>15</v>
      </c>
      <c r="K400" s="62" t="n">
        <f aca="false">I400-J400</f>
        <v>-15</v>
      </c>
      <c r="L400" s="61" t="s">
        <v>770</v>
      </c>
      <c r="M400" s="61" t="s">
        <v>751</v>
      </c>
      <c r="N400" s="61" t="s">
        <v>752</v>
      </c>
      <c r="O400" s="61" t="s">
        <v>275</v>
      </c>
    </row>
    <row r="401" customFormat="false" ht="15" hidden="false" customHeight="false" outlineLevel="0" collapsed="false">
      <c r="A401" s="60" t="n">
        <v>46292</v>
      </c>
      <c r="B401" s="61" t="s">
        <v>13</v>
      </c>
      <c r="C401" s="61" t="s">
        <v>53</v>
      </c>
      <c r="D401" s="61" t="s">
        <v>80</v>
      </c>
      <c r="E401" s="61" t="s">
        <v>137</v>
      </c>
      <c r="F401" s="61" t="s">
        <v>246</v>
      </c>
      <c r="G401" s="61" t="s">
        <v>9</v>
      </c>
      <c r="H401" s="62" t="n">
        <f aca="false">Saida!H212</f>
        <v>-90</v>
      </c>
      <c r="I401" s="62" t="n">
        <v>0</v>
      </c>
      <c r="J401" s="62" t="n">
        <f aca="false">Saida!R212</f>
        <v>90</v>
      </c>
      <c r="K401" s="62" t="n">
        <f aca="false">I401-J401</f>
        <v>-90</v>
      </c>
      <c r="L401" s="61" t="s">
        <v>771</v>
      </c>
      <c r="M401" s="61" t="s">
        <v>759</v>
      </c>
      <c r="N401" s="61" t="s">
        <v>760</v>
      </c>
      <c r="O401" s="61" t="s">
        <v>275</v>
      </c>
    </row>
    <row r="402" customFormat="false" ht="15" hidden="false" customHeight="false" outlineLevel="0" collapsed="false">
      <c r="A402" s="60" t="n">
        <v>46292</v>
      </c>
      <c r="B402" s="61" t="s">
        <v>13</v>
      </c>
      <c r="C402" s="61" t="s">
        <v>53</v>
      </c>
      <c r="D402" s="61" t="s">
        <v>80</v>
      </c>
      <c r="E402" s="61" t="s">
        <v>137</v>
      </c>
      <c r="F402" s="61" t="s">
        <v>246</v>
      </c>
      <c r="G402" s="61" t="s">
        <v>9</v>
      </c>
      <c r="H402" s="62" t="n">
        <f aca="false">Saida!H214</f>
        <v>-30</v>
      </c>
      <c r="I402" s="62" t="n">
        <v>0</v>
      </c>
      <c r="J402" s="62" t="n">
        <f aca="false">Saida!R214</f>
        <v>30</v>
      </c>
      <c r="K402" s="62" t="n">
        <f aca="false">I402-J402</f>
        <v>-30</v>
      </c>
      <c r="L402" s="61" t="s">
        <v>772</v>
      </c>
      <c r="M402" s="61" t="s">
        <v>773</v>
      </c>
      <c r="N402" s="61" t="s">
        <v>774</v>
      </c>
      <c r="O402" s="61" t="s">
        <v>275</v>
      </c>
    </row>
    <row r="403" customFormat="false" ht="15" hidden="false" customHeight="false" outlineLevel="0" collapsed="false">
      <c r="A403" s="60" t="n">
        <v>46292</v>
      </c>
      <c r="B403" s="61" t="s">
        <v>13</v>
      </c>
      <c r="C403" s="61" t="s">
        <v>53</v>
      </c>
      <c r="D403" s="61" t="s">
        <v>80</v>
      </c>
      <c r="E403" s="61" t="s">
        <v>137</v>
      </c>
      <c r="F403" s="61" t="s">
        <v>246</v>
      </c>
      <c r="G403" s="61" t="s">
        <v>9</v>
      </c>
      <c r="H403" s="62" t="n">
        <f aca="false">Saida!H215</f>
        <v>-15</v>
      </c>
      <c r="I403" s="62" t="n">
        <v>0</v>
      </c>
      <c r="J403" s="62" t="n">
        <f aca="false">Saida!R215</f>
        <v>15</v>
      </c>
      <c r="K403" s="62" t="n">
        <f aca="false">I403-J403</f>
        <v>-15</v>
      </c>
      <c r="L403" s="61" t="s">
        <v>775</v>
      </c>
      <c r="M403" s="61" t="s">
        <v>776</v>
      </c>
      <c r="N403" s="61" t="s">
        <v>777</v>
      </c>
      <c r="O403" s="61" t="s">
        <v>275</v>
      </c>
    </row>
    <row r="404" customFormat="false" ht="15" hidden="false" customHeight="false" outlineLevel="0" collapsed="false">
      <c r="A404" s="60" t="n">
        <v>46292</v>
      </c>
      <c r="B404" s="61" t="s">
        <v>13</v>
      </c>
      <c r="C404" s="61" t="s">
        <v>53</v>
      </c>
      <c r="D404" s="61" t="s">
        <v>80</v>
      </c>
      <c r="E404" s="61" t="s">
        <v>137</v>
      </c>
      <c r="F404" s="61" t="s">
        <v>246</v>
      </c>
      <c r="G404" s="61" t="s">
        <v>9</v>
      </c>
      <c r="H404" s="62" t="n">
        <f aca="false">Saida!H216</f>
        <v>-30</v>
      </c>
      <c r="I404" s="62" t="n">
        <v>0</v>
      </c>
      <c r="J404" s="62" t="n">
        <f aca="false">Saida!R216</f>
        <v>30</v>
      </c>
      <c r="K404" s="62" t="n">
        <f aca="false">I404-J404</f>
        <v>-30</v>
      </c>
      <c r="L404" s="61" t="s">
        <v>778</v>
      </c>
      <c r="M404" s="61" t="s">
        <v>779</v>
      </c>
      <c r="N404" s="61" t="s">
        <v>780</v>
      </c>
      <c r="O404" s="61" t="s">
        <v>275</v>
      </c>
    </row>
    <row r="405" customFormat="false" ht="15" hidden="false" customHeight="false" outlineLevel="0" collapsed="false">
      <c r="A405" s="60" t="n">
        <v>46292</v>
      </c>
      <c r="B405" s="61" t="s">
        <v>13</v>
      </c>
      <c r="C405" s="61" t="s">
        <v>53</v>
      </c>
      <c r="D405" s="61" t="s">
        <v>80</v>
      </c>
      <c r="E405" s="61" t="s">
        <v>137</v>
      </c>
      <c r="F405" s="61" t="s">
        <v>246</v>
      </c>
      <c r="G405" s="61" t="s">
        <v>9</v>
      </c>
      <c r="H405" s="62" t="n">
        <f aca="false">Saida!H220</f>
        <v>-60</v>
      </c>
      <c r="I405" s="62" t="n">
        <v>0</v>
      </c>
      <c r="J405" s="62" t="n">
        <f aca="false">Saida!R220</f>
        <v>60</v>
      </c>
      <c r="K405" s="62" t="n">
        <f aca="false">I405-J405</f>
        <v>-60</v>
      </c>
      <c r="L405" s="61" t="s">
        <v>781</v>
      </c>
      <c r="M405" s="61" t="s">
        <v>759</v>
      </c>
      <c r="N405" s="61" t="s">
        <v>760</v>
      </c>
      <c r="O405" s="61" t="s">
        <v>275</v>
      </c>
    </row>
    <row r="406" customFormat="false" ht="15" hidden="false" customHeight="false" outlineLevel="0" collapsed="false">
      <c r="A406" s="60" t="n">
        <v>46292</v>
      </c>
      <c r="B406" s="61" t="s">
        <v>13</v>
      </c>
      <c r="C406" s="61" t="s">
        <v>55</v>
      </c>
      <c r="D406" s="61" t="s">
        <v>89</v>
      </c>
      <c r="E406" s="61" t="s">
        <v>215</v>
      </c>
      <c r="F406" s="61" t="s">
        <v>246</v>
      </c>
      <c r="G406" s="61" t="s">
        <v>4</v>
      </c>
      <c r="H406" s="62" t="n">
        <f aca="false">Saida!H232</f>
        <v>-18</v>
      </c>
      <c r="I406" s="62" t="n">
        <v>0</v>
      </c>
      <c r="J406" s="62" t="n">
        <f aca="false">Saida!R232</f>
        <v>18</v>
      </c>
      <c r="K406" s="62" t="n">
        <f aca="false">I406-J406</f>
        <v>-18</v>
      </c>
      <c r="L406" s="61" t="s">
        <v>782</v>
      </c>
      <c r="M406" s="61" t="s">
        <v>353</v>
      </c>
      <c r="N406" s="61" t="s">
        <v>354</v>
      </c>
      <c r="O406" s="61" t="s">
        <v>275</v>
      </c>
    </row>
    <row r="407" customFormat="false" ht="15" hidden="false" customHeight="false" outlineLevel="0" collapsed="false">
      <c r="A407" s="60" t="n">
        <v>46292</v>
      </c>
      <c r="B407" s="61" t="s">
        <v>13</v>
      </c>
      <c r="C407" s="61" t="s">
        <v>55</v>
      </c>
      <c r="D407" s="61" t="s">
        <v>89</v>
      </c>
      <c r="E407" s="61" t="s">
        <v>215</v>
      </c>
      <c r="F407" s="61" t="s">
        <v>246</v>
      </c>
      <c r="G407" s="61" t="s">
        <v>4</v>
      </c>
      <c r="H407" s="62" t="n">
        <f aca="false">Saida!H233</f>
        <v>-6</v>
      </c>
      <c r="I407" s="62" t="n">
        <v>0</v>
      </c>
      <c r="J407" s="62" t="n">
        <f aca="false">Saida!R233</f>
        <v>6</v>
      </c>
      <c r="K407" s="62" t="n">
        <f aca="false">I407-J407</f>
        <v>-6</v>
      </c>
      <c r="L407" s="61" t="s">
        <v>783</v>
      </c>
      <c r="M407" s="61" t="s">
        <v>580</v>
      </c>
      <c r="N407" s="61" t="s">
        <v>581</v>
      </c>
      <c r="O407" s="61" t="s">
        <v>275</v>
      </c>
    </row>
    <row r="408" customFormat="false" ht="15" hidden="false" customHeight="false" outlineLevel="0" collapsed="false">
      <c r="A408" s="60" t="n">
        <v>46292</v>
      </c>
      <c r="B408" s="61" t="s">
        <v>13</v>
      </c>
      <c r="C408" s="61" t="s">
        <v>55</v>
      </c>
      <c r="D408" s="61" t="s">
        <v>89</v>
      </c>
      <c r="E408" s="61" t="s">
        <v>215</v>
      </c>
      <c r="F408" s="61" t="s">
        <v>246</v>
      </c>
      <c r="G408" s="61" t="s">
        <v>4</v>
      </c>
      <c r="H408" s="62" t="n">
        <f aca="false">Saida!H234</f>
        <v>-12</v>
      </c>
      <c r="I408" s="62" t="n">
        <v>0</v>
      </c>
      <c r="J408" s="62" t="n">
        <f aca="false">Saida!R234</f>
        <v>12</v>
      </c>
      <c r="K408" s="62" t="n">
        <f aca="false">I408-J408</f>
        <v>-12</v>
      </c>
      <c r="L408" s="61" t="s">
        <v>784</v>
      </c>
      <c r="M408" s="61" t="s">
        <v>785</v>
      </c>
      <c r="N408" s="61" t="s">
        <v>786</v>
      </c>
      <c r="O408" s="61" t="s">
        <v>275</v>
      </c>
    </row>
    <row r="409" customFormat="false" ht="15" hidden="false" customHeight="false" outlineLevel="0" collapsed="false">
      <c r="A409" s="60" t="n">
        <v>46292</v>
      </c>
      <c r="B409" s="61" t="s">
        <v>13</v>
      </c>
      <c r="C409" s="61" t="s">
        <v>69</v>
      </c>
      <c r="D409" s="61" t="s">
        <v>127</v>
      </c>
      <c r="E409" s="61" t="s">
        <v>119</v>
      </c>
      <c r="F409" s="61" t="s">
        <v>246</v>
      </c>
      <c r="G409" s="61" t="s">
        <v>4</v>
      </c>
      <c r="H409" s="62" t="n">
        <f aca="false">Saida!H248</f>
        <v>-20.1</v>
      </c>
      <c r="I409" s="62" t="n">
        <v>0</v>
      </c>
      <c r="J409" s="62" t="n">
        <f aca="false">Saida!R248</f>
        <v>20.1</v>
      </c>
      <c r="K409" s="62" t="n">
        <f aca="false">I409-J409</f>
        <v>-20.1</v>
      </c>
      <c r="L409" s="61" t="s">
        <v>787</v>
      </c>
      <c r="M409" s="61" t="s">
        <v>788</v>
      </c>
      <c r="N409" s="61" t="s">
        <v>789</v>
      </c>
      <c r="O409" s="61" t="s">
        <v>275</v>
      </c>
    </row>
    <row r="410" customFormat="false" ht="15" hidden="false" customHeight="false" outlineLevel="0" collapsed="false">
      <c r="A410" s="60" t="n">
        <v>46292</v>
      </c>
      <c r="B410" s="61" t="s">
        <v>13</v>
      </c>
      <c r="C410" s="61" t="s">
        <v>77</v>
      </c>
      <c r="D410" s="61" t="s">
        <v>148</v>
      </c>
      <c r="E410" s="61" t="s">
        <v>191</v>
      </c>
      <c r="F410" s="61" t="s">
        <v>246</v>
      </c>
      <c r="G410" s="61" t="s">
        <v>4</v>
      </c>
      <c r="H410" s="62" t="n">
        <f aca="false">Saida!H267</f>
        <v>-10</v>
      </c>
      <c r="I410" s="62" t="n">
        <v>0</v>
      </c>
      <c r="J410" s="62" t="n">
        <f aca="false">Saida!R267</f>
        <v>10</v>
      </c>
      <c r="K410" s="62" t="n">
        <f aca="false">I410-J410</f>
        <v>-10</v>
      </c>
      <c r="L410" s="61" t="s">
        <v>783</v>
      </c>
      <c r="M410" s="61" t="s">
        <v>580</v>
      </c>
      <c r="N410" s="61" t="s">
        <v>581</v>
      </c>
      <c r="O410" s="61" t="s">
        <v>275</v>
      </c>
    </row>
    <row r="411" customFormat="false" ht="15" hidden="false" customHeight="false" outlineLevel="0" collapsed="false">
      <c r="A411" s="60" t="n">
        <v>46292</v>
      </c>
      <c r="B411" s="61" t="s">
        <v>13</v>
      </c>
      <c r="C411" s="61" t="s">
        <v>81</v>
      </c>
      <c r="D411" s="61" t="s">
        <v>145</v>
      </c>
      <c r="E411" s="61" t="s">
        <v>144</v>
      </c>
      <c r="F411" s="61" t="s">
        <v>246</v>
      </c>
      <c r="G411" s="61" t="s">
        <v>4</v>
      </c>
      <c r="H411" s="62" t="n">
        <f aca="false">Saida!H269</f>
        <v>-204</v>
      </c>
      <c r="I411" s="62" t="n">
        <v>0</v>
      </c>
      <c r="J411" s="62" t="n">
        <f aca="false">Saida!R269</f>
        <v>204</v>
      </c>
      <c r="K411" s="62" t="n">
        <f aca="false">I411-J411</f>
        <v>-204</v>
      </c>
      <c r="L411" s="61" t="s">
        <v>790</v>
      </c>
      <c r="M411" s="61" t="s">
        <v>791</v>
      </c>
      <c r="N411" s="61" t="s">
        <v>792</v>
      </c>
      <c r="O411" s="61" t="s">
        <v>275</v>
      </c>
    </row>
    <row r="412" customFormat="false" ht="15" hidden="false" customHeight="false" outlineLevel="0" collapsed="false">
      <c r="A412" s="60" t="n">
        <v>46292</v>
      </c>
      <c r="B412" s="61" t="s">
        <v>13</v>
      </c>
      <c r="C412" s="61" t="s">
        <v>106</v>
      </c>
      <c r="D412" s="61" t="s">
        <v>183</v>
      </c>
      <c r="E412" s="61" t="s">
        <v>222</v>
      </c>
      <c r="F412" s="61" t="s">
        <v>246</v>
      </c>
      <c r="G412" s="61" t="s">
        <v>4</v>
      </c>
      <c r="H412" s="62" t="n">
        <f aca="false">Saida!H317</f>
        <v>-10</v>
      </c>
      <c r="I412" s="62" t="n">
        <v>0</v>
      </c>
      <c r="J412" s="62" t="n">
        <f aca="false">Saida!R317</f>
        <v>10</v>
      </c>
      <c r="K412" s="62" t="n">
        <f aca="false">I412-J412</f>
        <v>-10</v>
      </c>
      <c r="L412" s="61" t="s">
        <v>793</v>
      </c>
      <c r="M412" s="61" t="s">
        <v>794</v>
      </c>
      <c r="N412" s="61" t="s">
        <v>795</v>
      </c>
      <c r="O412" s="61" t="s">
        <v>275</v>
      </c>
    </row>
    <row r="413" customFormat="false" ht="15" hidden="false" customHeight="false" outlineLevel="0" collapsed="false">
      <c r="A413" s="60" t="n">
        <v>46292</v>
      </c>
      <c r="B413" s="61" t="s">
        <v>13</v>
      </c>
      <c r="C413" s="61" t="s">
        <v>106</v>
      </c>
      <c r="D413" s="61" t="s">
        <v>183</v>
      </c>
      <c r="E413" s="61" t="s">
        <v>222</v>
      </c>
      <c r="F413" s="61" t="s">
        <v>246</v>
      </c>
      <c r="G413" s="61" t="s">
        <v>4</v>
      </c>
      <c r="H413" s="62" t="n">
        <f aca="false">Saida!H318</f>
        <v>-10</v>
      </c>
      <c r="I413" s="62" t="n">
        <v>0</v>
      </c>
      <c r="J413" s="62" t="n">
        <f aca="false">Saida!R318</f>
        <v>10</v>
      </c>
      <c r="K413" s="62" t="n">
        <f aca="false">I413-J413</f>
        <v>-10</v>
      </c>
      <c r="L413" s="61" t="s">
        <v>796</v>
      </c>
      <c r="M413" s="61" t="s">
        <v>797</v>
      </c>
      <c r="N413" s="61" t="s">
        <v>798</v>
      </c>
      <c r="O413" s="61" t="s">
        <v>275</v>
      </c>
    </row>
    <row r="414" customFormat="false" ht="15" hidden="false" customHeight="false" outlineLevel="0" collapsed="false">
      <c r="A414" s="60" t="n">
        <v>46292</v>
      </c>
      <c r="B414" s="61" t="s">
        <v>13</v>
      </c>
      <c r="C414" s="61" t="s">
        <v>106</v>
      </c>
      <c r="D414" s="61" t="s">
        <v>183</v>
      </c>
      <c r="E414" s="61" t="s">
        <v>222</v>
      </c>
      <c r="F414" s="61" t="s">
        <v>246</v>
      </c>
      <c r="G414" s="61" t="s">
        <v>4</v>
      </c>
      <c r="H414" s="62" t="n">
        <f aca="false">Saida!H319</f>
        <v>-20</v>
      </c>
      <c r="I414" s="62" t="n">
        <v>0</v>
      </c>
      <c r="J414" s="62" t="n">
        <f aca="false">Saida!R319</f>
        <v>20</v>
      </c>
      <c r="K414" s="62" t="n">
        <f aca="false">I414-J414</f>
        <v>-20</v>
      </c>
      <c r="L414" s="61" t="s">
        <v>799</v>
      </c>
      <c r="M414" s="61" t="s">
        <v>800</v>
      </c>
      <c r="N414" s="61" t="s">
        <v>801</v>
      </c>
      <c r="O414" s="61" t="s">
        <v>275</v>
      </c>
    </row>
    <row r="415" customFormat="false" ht="15" hidden="false" customHeight="false" outlineLevel="0" collapsed="false">
      <c r="A415" s="60" t="n">
        <v>46292</v>
      </c>
      <c r="B415" s="61" t="s">
        <v>13</v>
      </c>
      <c r="C415" s="61" t="s">
        <v>106</v>
      </c>
      <c r="D415" s="61" t="s">
        <v>183</v>
      </c>
      <c r="E415" s="61" t="s">
        <v>222</v>
      </c>
      <c r="F415" s="61" t="s">
        <v>246</v>
      </c>
      <c r="G415" s="61" t="s">
        <v>4</v>
      </c>
      <c r="H415" s="62" t="n">
        <f aca="false">Saida!H320</f>
        <v>-10</v>
      </c>
      <c r="I415" s="62" t="n">
        <v>0</v>
      </c>
      <c r="J415" s="62" t="n">
        <f aca="false">Saida!R320</f>
        <v>10</v>
      </c>
      <c r="K415" s="62" t="n">
        <f aca="false">I415-J415</f>
        <v>-10</v>
      </c>
      <c r="L415" s="61" t="s">
        <v>802</v>
      </c>
      <c r="M415" s="61" t="s">
        <v>803</v>
      </c>
      <c r="N415" s="61" t="s">
        <v>804</v>
      </c>
      <c r="O415" s="61" t="s">
        <v>275</v>
      </c>
    </row>
    <row r="416" customFormat="false" ht="15" hidden="false" customHeight="false" outlineLevel="0" collapsed="false">
      <c r="A416" s="60" t="n">
        <v>46292</v>
      </c>
      <c r="B416" s="61" t="s">
        <v>13</v>
      </c>
      <c r="C416" s="61" t="s">
        <v>106</v>
      </c>
      <c r="D416" s="61" t="s">
        <v>183</v>
      </c>
      <c r="E416" s="61" t="s">
        <v>222</v>
      </c>
      <c r="F416" s="61" t="s">
        <v>246</v>
      </c>
      <c r="G416" s="61" t="s">
        <v>4</v>
      </c>
      <c r="H416" s="62" t="n">
        <f aca="false">Saida!H321</f>
        <v>-10</v>
      </c>
      <c r="I416" s="62" t="n">
        <v>0</v>
      </c>
      <c r="J416" s="62" t="n">
        <f aca="false">Saida!R321</f>
        <v>10</v>
      </c>
      <c r="K416" s="62" t="n">
        <f aca="false">I416-J416</f>
        <v>-10</v>
      </c>
      <c r="L416" s="61" t="s">
        <v>805</v>
      </c>
      <c r="M416" s="61" t="s">
        <v>806</v>
      </c>
      <c r="N416" s="61" t="s">
        <v>807</v>
      </c>
      <c r="O416" s="61" t="s">
        <v>275</v>
      </c>
    </row>
    <row r="417" customFormat="false" ht="15" hidden="false" customHeight="false" outlineLevel="0" collapsed="false">
      <c r="A417" s="60" t="n">
        <v>46292</v>
      </c>
      <c r="B417" s="61" t="s">
        <v>13</v>
      </c>
      <c r="C417" s="61" t="s">
        <v>106</v>
      </c>
      <c r="D417" s="61" t="s">
        <v>183</v>
      </c>
      <c r="E417" s="61" t="s">
        <v>222</v>
      </c>
      <c r="F417" s="61" t="s">
        <v>246</v>
      </c>
      <c r="G417" s="61" t="s">
        <v>4</v>
      </c>
      <c r="H417" s="62" t="n">
        <f aca="false">Saida!H322</f>
        <v>-40</v>
      </c>
      <c r="I417" s="62" t="n">
        <v>0</v>
      </c>
      <c r="J417" s="62" t="n">
        <f aca="false">Saida!R322</f>
        <v>40</v>
      </c>
      <c r="K417" s="62" t="n">
        <f aca="false">I417-J417</f>
        <v>-40</v>
      </c>
      <c r="L417" s="61" t="s">
        <v>808</v>
      </c>
      <c r="M417" s="61" t="s">
        <v>809</v>
      </c>
      <c r="N417" s="61" t="s">
        <v>810</v>
      </c>
      <c r="O417" s="61" t="s">
        <v>275</v>
      </c>
    </row>
    <row r="418" customFormat="false" ht="15" hidden="false" customHeight="false" outlineLevel="0" collapsed="false">
      <c r="A418" s="60" t="n">
        <v>46292</v>
      </c>
      <c r="B418" s="61" t="s">
        <v>13</v>
      </c>
      <c r="C418" s="61" t="s">
        <v>106</v>
      </c>
      <c r="D418" s="61" t="s">
        <v>183</v>
      </c>
      <c r="E418" s="61" t="s">
        <v>222</v>
      </c>
      <c r="F418" s="61" t="s">
        <v>246</v>
      </c>
      <c r="G418" s="61" t="s">
        <v>4</v>
      </c>
      <c r="H418" s="62" t="n">
        <f aca="false">Saida!H323</f>
        <v>-30</v>
      </c>
      <c r="I418" s="62" t="n">
        <v>0</v>
      </c>
      <c r="J418" s="62" t="n">
        <f aca="false">Saida!R323</f>
        <v>30</v>
      </c>
      <c r="K418" s="62" t="n">
        <f aca="false">I418-J418</f>
        <v>-30</v>
      </c>
      <c r="L418" s="61" t="s">
        <v>787</v>
      </c>
      <c r="M418" s="61" t="s">
        <v>788</v>
      </c>
      <c r="N418" s="61" t="s">
        <v>789</v>
      </c>
      <c r="O418" s="61" t="s">
        <v>275</v>
      </c>
    </row>
    <row r="419" customFormat="false" ht="15" hidden="false" customHeight="false" outlineLevel="0" collapsed="false">
      <c r="A419" s="60" t="n">
        <v>46292</v>
      </c>
      <c r="B419" s="61" t="s">
        <v>13</v>
      </c>
      <c r="C419" s="61" t="s">
        <v>106</v>
      </c>
      <c r="D419" s="61" t="s">
        <v>183</v>
      </c>
      <c r="E419" s="61" t="s">
        <v>222</v>
      </c>
      <c r="F419" s="61" t="s">
        <v>246</v>
      </c>
      <c r="G419" s="61" t="s">
        <v>4</v>
      </c>
      <c r="H419" s="62" t="n">
        <f aca="false">Saida!H324</f>
        <v>-10</v>
      </c>
      <c r="I419" s="62" t="n">
        <v>0</v>
      </c>
      <c r="J419" s="62" t="n">
        <f aca="false">Saida!R324</f>
        <v>10</v>
      </c>
      <c r="K419" s="62" t="n">
        <f aca="false">I419-J419</f>
        <v>-10</v>
      </c>
      <c r="L419" s="61" t="s">
        <v>811</v>
      </c>
      <c r="M419" s="61" t="s">
        <v>812</v>
      </c>
      <c r="N419" s="61" t="s">
        <v>813</v>
      </c>
      <c r="O419" s="61" t="s">
        <v>275</v>
      </c>
    </row>
    <row r="420" customFormat="false" ht="15" hidden="false" customHeight="false" outlineLevel="0" collapsed="false">
      <c r="A420" s="60" t="n">
        <v>46292</v>
      </c>
      <c r="B420" s="61" t="s">
        <v>13</v>
      </c>
      <c r="C420" s="61" t="s">
        <v>106</v>
      </c>
      <c r="D420" s="61" t="s">
        <v>183</v>
      </c>
      <c r="E420" s="61" t="s">
        <v>222</v>
      </c>
      <c r="F420" s="61" t="s">
        <v>246</v>
      </c>
      <c r="G420" s="61" t="s">
        <v>4</v>
      </c>
      <c r="H420" s="62" t="n">
        <f aca="false">Saida!H325</f>
        <v>-20</v>
      </c>
      <c r="I420" s="62" t="n">
        <v>0</v>
      </c>
      <c r="J420" s="62" t="n">
        <f aca="false">Saida!R325</f>
        <v>20</v>
      </c>
      <c r="K420" s="62" t="n">
        <f aca="false">I420-J420</f>
        <v>-20</v>
      </c>
      <c r="L420" s="61" t="s">
        <v>814</v>
      </c>
      <c r="M420" s="61" t="s">
        <v>815</v>
      </c>
      <c r="N420" s="61" t="s">
        <v>816</v>
      </c>
      <c r="O420" s="61" t="s">
        <v>275</v>
      </c>
    </row>
    <row r="421" customFormat="false" ht="15" hidden="false" customHeight="false" outlineLevel="0" collapsed="false">
      <c r="A421" s="60" t="n">
        <v>46292</v>
      </c>
      <c r="B421" s="61" t="s">
        <v>13</v>
      </c>
      <c r="C421" s="61" t="s">
        <v>110</v>
      </c>
      <c r="D421" s="61" t="s">
        <v>190</v>
      </c>
      <c r="E421" s="61" t="s">
        <v>119</v>
      </c>
      <c r="F421" s="61" t="s">
        <v>246</v>
      </c>
      <c r="G421" s="61" t="s">
        <v>4</v>
      </c>
      <c r="H421" s="62" t="n">
        <f aca="false">Saida!H335</f>
        <v>-40.2</v>
      </c>
      <c r="I421" s="62" t="n">
        <v>0</v>
      </c>
      <c r="J421" s="62" t="n">
        <f aca="false">Saida!R335</f>
        <v>40.2</v>
      </c>
      <c r="K421" s="62" t="n">
        <f aca="false">I421-J421</f>
        <v>-40.2</v>
      </c>
      <c r="L421" s="61" t="s">
        <v>722</v>
      </c>
      <c r="M421" s="61" t="s">
        <v>488</v>
      </c>
      <c r="N421" s="61" t="s">
        <v>489</v>
      </c>
      <c r="O421" s="61" t="s">
        <v>275</v>
      </c>
    </row>
    <row r="422" customFormat="false" ht="15" hidden="false" customHeight="false" outlineLevel="0" collapsed="false">
      <c r="A422" s="60" t="n">
        <v>46292</v>
      </c>
      <c r="B422" s="61" t="s">
        <v>13</v>
      </c>
      <c r="C422" s="61" t="s">
        <v>110</v>
      </c>
      <c r="D422" s="61" t="s">
        <v>190</v>
      </c>
      <c r="E422" s="61" t="s">
        <v>119</v>
      </c>
      <c r="F422" s="61" t="s">
        <v>246</v>
      </c>
      <c r="G422" s="61" t="s">
        <v>4</v>
      </c>
      <c r="H422" s="62" t="n">
        <f aca="false">Saida!H338</f>
        <v>-40.2</v>
      </c>
      <c r="I422" s="62" t="n">
        <v>0</v>
      </c>
      <c r="J422" s="62" t="n">
        <f aca="false">Saida!R338</f>
        <v>40.2</v>
      </c>
      <c r="K422" s="62" t="n">
        <f aca="false">I422-J422</f>
        <v>-40.2</v>
      </c>
      <c r="L422" s="61" t="s">
        <v>805</v>
      </c>
      <c r="M422" s="61" t="s">
        <v>806</v>
      </c>
      <c r="N422" s="61" t="s">
        <v>807</v>
      </c>
      <c r="O422" s="61" t="s">
        <v>275</v>
      </c>
    </row>
    <row r="423" customFormat="false" ht="15" hidden="false" customHeight="false" outlineLevel="0" collapsed="false">
      <c r="A423" s="60" t="n">
        <v>46292</v>
      </c>
      <c r="B423" s="61" t="s">
        <v>13</v>
      </c>
      <c r="C423" s="61" t="s">
        <v>110</v>
      </c>
      <c r="D423" s="61" t="s">
        <v>190</v>
      </c>
      <c r="E423" s="61" t="s">
        <v>119</v>
      </c>
      <c r="F423" s="61" t="s">
        <v>246</v>
      </c>
      <c r="G423" s="61" t="s">
        <v>4</v>
      </c>
      <c r="H423" s="62" t="n">
        <f aca="false">Saida!H339</f>
        <v>-20.1</v>
      </c>
      <c r="I423" s="62" t="n">
        <v>0</v>
      </c>
      <c r="J423" s="62" t="n">
        <f aca="false">Saida!R339</f>
        <v>20.1</v>
      </c>
      <c r="K423" s="62" t="n">
        <f aca="false">I423-J423</f>
        <v>-20.1</v>
      </c>
      <c r="L423" s="61" t="s">
        <v>703</v>
      </c>
      <c r="M423" s="61" t="s">
        <v>365</v>
      </c>
      <c r="N423" s="61" t="s">
        <v>366</v>
      </c>
      <c r="O423" s="61" t="s">
        <v>275</v>
      </c>
    </row>
    <row r="424" customFormat="false" ht="15" hidden="false" customHeight="false" outlineLevel="0" collapsed="false">
      <c r="A424" s="60" t="n">
        <v>46292</v>
      </c>
      <c r="B424" s="61" t="s">
        <v>13</v>
      </c>
      <c r="C424" s="61" t="s">
        <v>110</v>
      </c>
      <c r="D424" s="61" t="s">
        <v>177</v>
      </c>
      <c r="E424" s="61" t="s">
        <v>119</v>
      </c>
      <c r="F424" s="61" t="s">
        <v>246</v>
      </c>
      <c r="G424" s="61" t="s">
        <v>4</v>
      </c>
      <c r="H424" s="62" t="n">
        <f aca="false">Saida!H336</f>
        <v>-201</v>
      </c>
      <c r="I424" s="62" t="n">
        <v>0</v>
      </c>
      <c r="J424" s="62" t="n">
        <f aca="false">Saida!R336</f>
        <v>201</v>
      </c>
      <c r="K424" s="62" t="n">
        <f aca="false">I424-J424</f>
        <v>-201</v>
      </c>
      <c r="L424" s="61" t="s">
        <v>817</v>
      </c>
      <c r="M424" s="61" t="s">
        <v>572</v>
      </c>
      <c r="N424" s="61" t="s">
        <v>573</v>
      </c>
      <c r="O424" s="61" t="s">
        <v>275</v>
      </c>
    </row>
    <row r="425" customFormat="false" ht="15" hidden="false" customHeight="false" outlineLevel="0" collapsed="false">
      <c r="A425" s="60" t="n">
        <v>46292</v>
      </c>
      <c r="B425" s="61" t="s">
        <v>13</v>
      </c>
      <c r="C425" s="61" t="s">
        <v>110</v>
      </c>
      <c r="D425" s="61" t="s">
        <v>177</v>
      </c>
      <c r="E425" s="61" t="s">
        <v>119</v>
      </c>
      <c r="F425" s="61" t="s">
        <v>246</v>
      </c>
      <c r="G425" s="61" t="s">
        <v>4</v>
      </c>
      <c r="H425" s="62" t="n">
        <f aca="false">Saida!H337</f>
        <v>-40.2</v>
      </c>
      <c r="I425" s="62" t="n">
        <v>0</v>
      </c>
      <c r="J425" s="62" t="n">
        <f aca="false">Saida!R337</f>
        <v>40.2</v>
      </c>
      <c r="K425" s="62" t="n">
        <f aca="false">I425-J425</f>
        <v>-40.2</v>
      </c>
      <c r="L425" s="61" t="s">
        <v>818</v>
      </c>
      <c r="M425" s="61" t="s">
        <v>384</v>
      </c>
      <c r="N425" s="61" t="s">
        <v>385</v>
      </c>
      <c r="O425" s="61" t="s">
        <v>275</v>
      </c>
    </row>
    <row r="426" customFormat="false" ht="15" hidden="false" customHeight="false" outlineLevel="0" collapsed="false">
      <c r="A426" s="60" t="n">
        <v>46292</v>
      </c>
      <c r="B426" s="61" t="s">
        <v>13</v>
      </c>
      <c r="C426" s="61" t="s">
        <v>131</v>
      </c>
      <c r="D426" s="61" t="s">
        <v>205</v>
      </c>
      <c r="E426" s="61" t="s">
        <v>132</v>
      </c>
      <c r="F426" s="61" t="s">
        <v>246</v>
      </c>
      <c r="G426" s="61" t="s">
        <v>12</v>
      </c>
      <c r="H426" s="62" t="n">
        <f aca="false">Saida!H365</f>
        <v>-30</v>
      </c>
      <c r="I426" s="62" t="n">
        <v>0</v>
      </c>
      <c r="J426" s="62" t="n">
        <f aca="false">Saida!R365</f>
        <v>30</v>
      </c>
      <c r="K426" s="62" t="n">
        <f aca="false">I426-J426</f>
        <v>-30</v>
      </c>
      <c r="L426" s="61" t="s">
        <v>819</v>
      </c>
      <c r="M426" s="61" t="s">
        <v>820</v>
      </c>
      <c r="N426" s="61" t="s">
        <v>821</v>
      </c>
      <c r="O426" s="61" t="s">
        <v>275</v>
      </c>
    </row>
    <row r="427" customFormat="false" ht="15" hidden="false" customHeight="false" outlineLevel="0" collapsed="false">
      <c r="A427" s="60" t="n">
        <v>46292</v>
      </c>
      <c r="B427" s="61" t="s">
        <v>13</v>
      </c>
      <c r="C427" s="61" t="s">
        <v>131</v>
      </c>
      <c r="D427" s="61" t="s">
        <v>205</v>
      </c>
      <c r="E427" s="61" t="s">
        <v>132</v>
      </c>
      <c r="F427" s="61" t="s">
        <v>246</v>
      </c>
      <c r="G427" s="61" t="s">
        <v>12</v>
      </c>
      <c r="H427" s="62" t="n">
        <f aca="false">Saida!H366</f>
        <v>-10</v>
      </c>
      <c r="I427" s="62" t="n">
        <v>0</v>
      </c>
      <c r="J427" s="62" t="n">
        <f aca="false">Saida!R366</f>
        <v>10</v>
      </c>
      <c r="K427" s="62" t="n">
        <f aca="false">I427-J427</f>
        <v>-10</v>
      </c>
      <c r="L427" s="61" t="s">
        <v>822</v>
      </c>
      <c r="M427" s="61" t="s">
        <v>779</v>
      </c>
      <c r="N427" s="61" t="s">
        <v>780</v>
      </c>
      <c r="O427" s="61" t="s">
        <v>275</v>
      </c>
    </row>
    <row r="428" customFormat="false" ht="15" hidden="false" customHeight="false" outlineLevel="0" collapsed="false">
      <c r="A428" s="60" t="n">
        <v>46292</v>
      </c>
      <c r="B428" s="61" t="s">
        <v>13</v>
      </c>
      <c r="C428" s="61" t="s">
        <v>151</v>
      </c>
      <c r="D428" s="61" t="s">
        <v>213</v>
      </c>
      <c r="E428" s="61" t="s">
        <v>225</v>
      </c>
      <c r="F428" s="61" t="s">
        <v>246</v>
      </c>
      <c r="G428" s="61" t="s">
        <v>4</v>
      </c>
      <c r="H428" s="62" t="n">
        <f aca="false">Saida!H371</f>
        <v>-10</v>
      </c>
      <c r="I428" s="62" t="n">
        <v>0</v>
      </c>
      <c r="J428" s="62" t="n">
        <f aca="false">Saida!R371</f>
        <v>10</v>
      </c>
      <c r="K428" s="62" t="n">
        <f aca="false">I428-J428</f>
        <v>-10</v>
      </c>
      <c r="L428" s="61" t="s">
        <v>823</v>
      </c>
      <c r="M428" s="61" t="s">
        <v>824</v>
      </c>
      <c r="N428" s="61" t="s">
        <v>825</v>
      </c>
      <c r="O428" s="61" t="s">
        <v>275</v>
      </c>
    </row>
    <row r="429" customFormat="false" ht="15" hidden="false" customHeight="false" outlineLevel="0" collapsed="false">
      <c r="A429" s="60" t="n">
        <v>46292</v>
      </c>
      <c r="B429" s="61" t="s">
        <v>13</v>
      </c>
      <c r="C429" s="61" t="s">
        <v>151</v>
      </c>
      <c r="D429" s="61" t="s">
        <v>213</v>
      </c>
      <c r="E429" s="61" t="s">
        <v>225</v>
      </c>
      <c r="F429" s="61" t="s">
        <v>246</v>
      </c>
      <c r="G429" s="61" t="s">
        <v>4</v>
      </c>
      <c r="H429" s="62" t="n">
        <f aca="false">Saida!H372</f>
        <v>-10</v>
      </c>
      <c r="I429" s="62" t="n">
        <v>0</v>
      </c>
      <c r="J429" s="62" t="n">
        <f aca="false">Saida!R372</f>
        <v>10</v>
      </c>
      <c r="K429" s="62" t="n">
        <f aca="false">I429-J429</f>
        <v>-10</v>
      </c>
      <c r="L429" s="61" t="s">
        <v>826</v>
      </c>
      <c r="M429" s="61" t="s">
        <v>827</v>
      </c>
      <c r="N429" s="61" t="s">
        <v>828</v>
      </c>
      <c r="O429" s="61" t="s">
        <v>275</v>
      </c>
    </row>
    <row r="430" customFormat="false" ht="15" hidden="false" customHeight="false" outlineLevel="0" collapsed="false">
      <c r="A430" s="60" t="n">
        <v>46292</v>
      </c>
      <c r="B430" s="61" t="s">
        <v>13</v>
      </c>
      <c r="C430" s="61" t="s">
        <v>151</v>
      </c>
      <c r="D430" s="61" t="s">
        <v>213</v>
      </c>
      <c r="E430" s="61" t="s">
        <v>225</v>
      </c>
      <c r="F430" s="61" t="s">
        <v>246</v>
      </c>
      <c r="G430" s="61" t="s">
        <v>4</v>
      </c>
      <c r="H430" s="62" t="n">
        <f aca="false">Saida!H373</f>
        <v>-10</v>
      </c>
      <c r="I430" s="62" t="n">
        <v>0</v>
      </c>
      <c r="J430" s="62" t="n">
        <f aca="false">Saida!R373</f>
        <v>10</v>
      </c>
      <c r="K430" s="62" t="n">
        <f aca="false">I430-J430</f>
        <v>-10</v>
      </c>
      <c r="L430" s="61" t="s">
        <v>829</v>
      </c>
      <c r="M430" s="61" t="s">
        <v>830</v>
      </c>
      <c r="N430" s="61" t="s">
        <v>831</v>
      </c>
      <c r="O430" s="61" t="s">
        <v>275</v>
      </c>
    </row>
    <row r="431" customFormat="false" ht="15" hidden="false" customHeight="false" outlineLevel="0" collapsed="false">
      <c r="A431" s="60" t="n">
        <v>46292</v>
      </c>
      <c r="B431" s="61" t="s">
        <v>13</v>
      </c>
      <c r="C431" s="61" t="s">
        <v>151</v>
      </c>
      <c r="D431" s="61" t="s">
        <v>213</v>
      </c>
      <c r="E431" s="61" t="s">
        <v>225</v>
      </c>
      <c r="F431" s="61" t="s">
        <v>246</v>
      </c>
      <c r="G431" s="61" t="s">
        <v>4</v>
      </c>
      <c r="H431" s="62" t="n">
        <f aca="false">Saida!H374</f>
        <v>-10</v>
      </c>
      <c r="I431" s="62" t="n">
        <v>0</v>
      </c>
      <c r="J431" s="62" t="n">
        <f aca="false">Saida!R374</f>
        <v>10</v>
      </c>
      <c r="K431" s="62" t="n">
        <f aca="false">I431-J431</f>
        <v>-10</v>
      </c>
      <c r="L431" s="61" t="s">
        <v>832</v>
      </c>
      <c r="M431" s="61" t="s">
        <v>833</v>
      </c>
      <c r="N431" s="61" t="s">
        <v>834</v>
      </c>
      <c r="O431" s="61" t="s">
        <v>275</v>
      </c>
    </row>
    <row r="432" customFormat="false" ht="15" hidden="false" customHeight="false" outlineLevel="0" collapsed="false">
      <c r="A432" s="60" t="n">
        <v>46292</v>
      </c>
      <c r="B432" s="61" t="s">
        <v>13</v>
      </c>
      <c r="C432" s="61" t="s">
        <v>151</v>
      </c>
      <c r="D432" s="61" t="s">
        <v>213</v>
      </c>
      <c r="E432" s="61" t="s">
        <v>225</v>
      </c>
      <c r="F432" s="61" t="s">
        <v>246</v>
      </c>
      <c r="G432" s="61" t="s">
        <v>4</v>
      </c>
      <c r="H432" s="62" t="n">
        <f aca="false">Saida!H375</f>
        <v>-10</v>
      </c>
      <c r="I432" s="62" t="n">
        <v>0</v>
      </c>
      <c r="J432" s="62" t="n">
        <f aca="false">Saida!R375</f>
        <v>10</v>
      </c>
      <c r="K432" s="62" t="n">
        <f aca="false">I432-J432</f>
        <v>-10</v>
      </c>
      <c r="L432" s="61" t="s">
        <v>835</v>
      </c>
      <c r="M432" s="61" t="s">
        <v>827</v>
      </c>
      <c r="N432" s="61" t="s">
        <v>828</v>
      </c>
      <c r="O432" s="61" t="s">
        <v>275</v>
      </c>
    </row>
    <row r="433" customFormat="false" ht="15" hidden="false" customHeight="false" outlineLevel="0" collapsed="false">
      <c r="A433" s="60" t="n">
        <v>46292</v>
      </c>
      <c r="B433" s="61" t="s">
        <v>13</v>
      </c>
      <c r="C433" s="61" t="s">
        <v>157</v>
      </c>
      <c r="D433" s="61" t="s">
        <v>194</v>
      </c>
      <c r="E433" s="61" t="s">
        <v>119</v>
      </c>
      <c r="F433" s="61" t="s">
        <v>246</v>
      </c>
      <c r="G433" s="61" t="s">
        <v>4</v>
      </c>
      <c r="H433" s="62" t="n">
        <f aca="false">Saida!H383</f>
        <v>-40.2</v>
      </c>
      <c r="I433" s="62" t="n">
        <v>0</v>
      </c>
      <c r="J433" s="62" t="n">
        <f aca="false">Saida!R383</f>
        <v>40.2</v>
      </c>
      <c r="K433" s="62" t="n">
        <f aca="false">I433-J433</f>
        <v>-40.2</v>
      </c>
      <c r="L433" s="61" t="s">
        <v>836</v>
      </c>
      <c r="M433" s="61" t="s">
        <v>741</v>
      </c>
      <c r="N433" s="61" t="s">
        <v>742</v>
      </c>
      <c r="O433" s="61" t="s">
        <v>275</v>
      </c>
    </row>
    <row r="434" customFormat="false" ht="15" hidden="false" customHeight="false" outlineLevel="0" collapsed="false">
      <c r="A434" s="60" t="n">
        <v>46292</v>
      </c>
      <c r="B434" s="61" t="s">
        <v>13</v>
      </c>
      <c r="C434" s="61" t="s">
        <v>157</v>
      </c>
      <c r="D434" s="61" t="s">
        <v>194</v>
      </c>
      <c r="E434" s="61" t="s">
        <v>119</v>
      </c>
      <c r="F434" s="61" t="s">
        <v>246</v>
      </c>
      <c r="G434" s="61" t="s">
        <v>4</v>
      </c>
      <c r="H434" s="62" t="n">
        <f aca="false">Saida!H384</f>
        <v>-20.1</v>
      </c>
      <c r="I434" s="62" t="n">
        <v>0</v>
      </c>
      <c r="J434" s="62" t="n">
        <f aca="false">Saida!R384</f>
        <v>20.1</v>
      </c>
      <c r="K434" s="62" t="n">
        <f aca="false">I434-J434</f>
        <v>-20.1</v>
      </c>
      <c r="L434" s="61" t="s">
        <v>837</v>
      </c>
      <c r="M434" s="61" t="s">
        <v>356</v>
      </c>
      <c r="N434" s="61" t="s">
        <v>357</v>
      </c>
      <c r="O434" s="61" t="s">
        <v>275</v>
      </c>
    </row>
    <row r="435" customFormat="false" ht="15" hidden="false" customHeight="false" outlineLevel="0" collapsed="false">
      <c r="A435" s="60" t="n">
        <v>46292</v>
      </c>
      <c r="B435" s="61" t="s">
        <v>13</v>
      </c>
      <c r="C435" s="61" t="s">
        <v>157</v>
      </c>
      <c r="D435" s="61" t="s">
        <v>194</v>
      </c>
      <c r="E435" s="61" t="s">
        <v>119</v>
      </c>
      <c r="F435" s="61" t="s">
        <v>246</v>
      </c>
      <c r="G435" s="61" t="s">
        <v>4</v>
      </c>
      <c r="H435" s="62" t="n">
        <f aca="false">Saida!H385</f>
        <v>-40.2</v>
      </c>
      <c r="I435" s="62" t="n">
        <v>0</v>
      </c>
      <c r="J435" s="62" t="n">
        <f aca="false">Saida!R385</f>
        <v>40.2</v>
      </c>
      <c r="K435" s="62" t="n">
        <f aca="false">I435-J435</f>
        <v>-40.2</v>
      </c>
      <c r="L435" s="61" t="s">
        <v>838</v>
      </c>
      <c r="M435" s="61" t="s">
        <v>353</v>
      </c>
      <c r="N435" s="61" t="s">
        <v>354</v>
      </c>
      <c r="O435" s="61" t="s">
        <v>275</v>
      </c>
    </row>
    <row r="436" customFormat="false" ht="15" hidden="false" customHeight="false" outlineLevel="0" collapsed="false">
      <c r="A436" s="60" t="n">
        <v>46292</v>
      </c>
      <c r="B436" s="61" t="s">
        <v>13</v>
      </c>
      <c r="C436" s="61" t="s">
        <v>157</v>
      </c>
      <c r="D436" s="61" t="s">
        <v>194</v>
      </c>
      <c r="E436" s="61" t="s">
        <v>119</v>
      </c>
      <c r="F436" s="61" t="s">
        <v>246</v>
      </c>
      <c r="G436" s="61" t="s">
        <v>4</v>
      </c>
      <c r="H436" s="62" t="n">
        <f aca="false">Saida!H386</f>
        <v>-20.1</v>
      </c>
      <c r="I436" s="62" t="n">
        <v>0</v>
      </c>
      <c r="J436" s="62" t="n">
        <f aca="false">Saida!R386</f>
        <v>20.1</v>
      </c>
      <c r="K436" s="62" t="n">
        <f aca="false">I436-J436</f>
        <v>-20.1</v>
      </c>
      <c r="L436" s="61" t="s">
        <v>723</v>
      </c>
      <c r="M436" s="61" t="s">
        <v>724</v>
      </c>
      <c r="N436" s="61" t="s">
        <v>725</v>
      </c>
      <c r="O436" s="61" t="s">
        <v>275</v>
      </c>
    </row>
    <row r="437" customFormat="false" ht="15" hidden="false" customHeight="false" outlineLevel="0" collapsed="false">
      <c r="A437" s="60" t="n">
        <v>46292</v>
      </c>
      <c r="B437" s="61" t="s">
        <v>13</v>
      </c>
      <c r="C437" s="61" t="s">
        <v>157</v>
      </c>
      <c r="D437" s="61" t="s">
        <v>194</v>
      </c>
      <c r="E437" s="61" t="s">
        <v>119</v>
      </c>
      <c r="F437" s="61" t="s">
        <v>246</v>
      </c>
      <c r="G437" s="61" t="s">
        <v>4</v>
      </c>
      <c r="H437" s="62" t="n">
        <f aca="false">Saida!H387</f>
        <v>-40.2</v>
      </c>
      <c r="I437" s="62" t="n">
        <v>0</v>
      </c>
      <c r="J437" s="62" t="n">
        <f aca="false">Saida!R387</f>
        <v>40.2</v>
      </c>
      <c r="K437" s="62" t="n">
        <f aca="false">I437-J437</f>
        <v>-40.2</v>
      </c>
      <c r="L437" s="61" t="s">
        <v>839</v>
      </c>
      <c r="M437" s="61" t="s">
        <v>705</v>
      </c>
      <c r="N437" s="61" t="s">
        <v>706</v>
      </c>
      <c r="O437" s="61" t="s">
        <v>275</v>
      </c>
    </row>
    <row r="438" customFormat="false" ht="15" hidden="false" customHeight="false" outlineLevel="0" collapsed="false">
      <c r="A438" s="60" t="n">
        <v>46292</v>
      </c>
      <c r="B438" s="61" t="s">
        <v>13</v>
      </c>
      <c r="C438" s="61" t="s">
        <v>157</v>
      </c>
      <c r="D438" s="61" t="s">
        <v>194</v>
      </c>
      <c r="E438" s="61" t="s">
        <v>119</v>
      </c>
      <c r="F438" s="61" t="s">
        <v>246</v>
      </c>
      <c r="G438" s="61" t="s">
        <v>4</v>
      </c>
      <c r="H438" s="62" t="n">
        <f aca="false">Saida!H388</f>
        <v>-80.4</v>
      </c>
      <c r="I438" s="62" t="n">
        <v>0</v>
      </c>
      <c r="J438" s="62" t="n">
        <f aca="false">Saida!R388</f>
        <v>80.4</v>
      </c>
      <c r="K438" s="62" t="n">
        <f aca="false">I438-J438</f>
        <v>-80.4</v>
      </c>
      <c r="L438" s="61" t="s">
        <v>739</v>
      </c>
      <c r="M438" s="61" t="s">
        <v>701</v>
      </c>
      <c r="N438" s="61" t="s">
        <v>702</v>
      </c>
      <c r="O438" s="61" t="s">
        <v>275</v>
      </c>
    </row>
    <row r="439" customFormat="false" ht="15" hidden="false" customHeight="false" outlineLevel="0" collapsed="false">
      <c r="A439" s="60" t="n">
        <v>46293</v>
      </c>
      <c r="B439" s="61" t="s">
        <v>13</v>
      </c>
      <c r="C439" s="61" t="s">
        <v>7</v>
      </c>
      <c r="D439" s="61" t="s">
        <v>11</v>
      </c>
      <c r="E439" s="61" t="s">
        <v>119</v>
      </c>
      <c r="F439" s="61" t="s">
        <v>254</v>
      </c>
      <c r="G439" s="61" t="s">
        <v>4</v>
      </c>
      <c r="H439" s="62" t="n">
        <f aca="false">Saida!H6</f>
        <v>-20.1</v>
      </c>
      <c r="I439" s="62" t="n">
        <v>0</v>
      </c>
      <c r="J439" s="62" t="n">
        <f aca="false">Saida!R6</f>
        <v>20.1</v>
      </c>
      <c r="K439" s="62" t="n">
        <f aca="false">I439-J439</f>
        <v>-20.1</v>
      </c>
      <c r="L439" s="61" t="s">
        <v>840</v>
      </c>
      <c r="M439" s="61" t="s">
        <v>256</v>
      </c>
      <c r="N439" s="61" t="s">
        <v>257</v>
      </c>
      <c r="O439" s="61" t="s">
        <v>258</v>
      </c>
    </row>
    <row r="440" customFormat="false" ht="15" hidden="false" customHeight="false" outlineLevel="0" collapsed="false">
      <c r="A440" s="60" t="n">
        <v>46293</v>
      </c>
      <c r="B440" s="61" t="str">
        <f aca="false">Entrada!K17</f>
        <v>Entrada</v>
      </c>
      <c r="C440" s="61" t="s">
        <v>31</v>
      </c>
      <c r="D440" s="61" t="s">
        <v>42</v>
      </c>
      <c r="E440" s="61" t="s">
        <v>199</v>
      </c>
      <c r="F440" s="61" t="s">
        <v>251</v>
      </c>
      <c r="G440" s="61" t="s">
        <v>4</v>
      </c>
      <c r="H440" s="62" t="n">
        <f aca="false">Entrada!G17</f>
        <v>-1000</v>
      </c>
      <c r="I440" s="62" t="n">
        <f aca="false">Entrada!L17</f>
        <v>1000</v>
      </c>
      <c r="J440" s="62" t="n">
        <v>0</v>
      </c>
      <c r="K440" s="62" t="n">
        <f aca="false">I440-J440</f>
        <v>1000</v>
      </c>
      <c r="L440" s="61" t="s">
        <v>841</v>
      </c>
      <c r="M440" s="61"/>
      <c r="N440" s="61"/>
      <c r="O440" s="61"/>
    </row>
    <row r="441" customFormat="false" ht="15" hidden="false" customHeight="false" outlineLevel="0" collapsed="false">
      <c r="A441" s="60" t="n">
        <v>46293</v>
      </c>
      <c r="B441" s="61" t="str">
        <f aca="false">Entrada!K32</f>
        <v>Entrada</v>
      </c>
      <c r="C441" s="61" t="s">
        <v>35</v>
      </c>
      <c r="D441" s="61" t="s">
        <v>58</v>
      </c>
      <c r="E441" s="61" t="s">
        <v>119</v>
      </c>
      <c r="F441" s="61" t="s">
        <v>251</v>
      </c>
      <c r="G441" s="61" t="s">
        <v>4</v>
      </c>
      <c r="H441" s="62" t="n">
        <f aca="false">Entrada!G32</f>
        <v>-1200</v>
      </c>
      <c r="I441" s="62" t="n">
        <f aca="false">Entrada!L32</f>
        <v>1200</v>
      </c>
      <c r="J441" s="62" t="n">
        <v>0</v>
      </c>
      <c r="K441" s="62" t="n">
        <f aca="false">I441-J441</f>
        <v>1200</v>
      </c>
      <c r="L441" s="61" t="s">
        <v>841</v>
      </c>
      <c r="M441" s="61"/>
      <c r="N441" s="61"/>
      <c r="O441" s="61"/>
    </row>
    <row r="442" customFormat="false" ht="15" hidden="false" customHeight="false" outlineLevel="0" collapsed="false">
      <c r="A442" s="60" t="n">
        <v>46293</v>
      </c>
      <c r="B442" s="61" t="str">
        <f aca="false">Entrada!K36</f>
        <v>Entrada</v>
      </c>
      <c r="C442" s="61" t="s">
        <v>47</v>
      </c>
      <c r="D442" s="61" t="s">
        <v>66</v>
      </c>
      <c r="E442" s="61" t="s">
        <v>202</v>
      </c>
      <c r="F442" s="61" t="s">
        <v>251</v>
      </c>
      <c r="G442" s="61" t="s">
        <v>4</v>
      </c>
      <c r="H442" s="62" t="n">
        <f aca="false">Entrada!G36</f>
        <v>-1800</v>
      </c>
      <c r="I442" s="62" t="n">
        <f aca="false">Entrada!L36</f>
        <v>1800</v>
      </c>
      <c r="J442" s="62" t="n">
        <v>0</v>
      </c>
      <c r="K442" s="62" t="n">
        <f aca="false">I442-J442</f>
        <v>1800</v>
      </c>
      <c r="L442" s="61" t="s">
        <v>841</v>
      </c>
      <c r="M442" s="61"/>
      <c r="N442" s="61"/>
      <c r="O442" s="61"/>
    </row>
    <row r="443" customFormat="false" ht="15" hidden="false" customHeight="false" outlineLevel="0" collapsed="false">
      <c r="A443" s="60" t="n">
        <v>46293</v>
      </c>
      <c r="B443" s="61" t="str">
        <f aca="false">Entrada!K47</f>
        <v>Entrada</v>
      </c>
      <c r="C443" s="61" t="s">
        <v>53</v>
      </c>
      <c r="D443" s="61" t="s">
        <v>80</v>
      </c>
      <c r="E443" s="61" t="s">
        <v>137</v>
      </c>
      <c r="F443" s="61" t="s">
        <v>251</v>
      </c>
      <c r="G443" s="61" t="s">
        <v>9</v>
      </c>
      <c r="H443" s="62" t="n">
        <f aca="false">Entrada!G47</f>
        <v>-900</v>
      </c>
      <c r="I443" s="62" t="n">
        <f aca="false">Entrada!L47</f>
        <v>900</v>
      </c>
      <c r="J443" s="62" t="n">
        <v>0</v>
      </c>
      <c r="K443" s="62" t="n">
        <f aca="false">I443-J443</f>
        <v>900</v>
      </c>
      <c r="L443" s="61" t="s">
        <v>841</v>
      </c>
      <c r="M443" s="61"/>
      <c r="N443" s="61"/>
      <c r="O443" s="61"/>
    </row>
    <row r="444" customFormat="false" ht="15" hidden="false" customHeight="false" outlineLevel="0" collapsed="false">
      <c r="A444" s="60" t="n">
        <v>46293</v>
      </c>
      <c r="B444" s="61" t="str">
        <f aca="false">Entrada!K46</f>
        <v>Entrada</v>
      </c>
      <c r="C444" s="61" t="s">
        <v>53</v>
      </c>
      <c r="D444" s="61" t="s">
        <v>86</v>
      </c>
      <c r="E444" s="61" t="s">
        <v>137</v>
      </c>
      <c r="F444" s="61" t="s">
        <v>251</v>
      </c>
      <c r="G444" s="61" t="s">
        <v>9</v>
      </c>
      <c r="H444" s="62" t="n">
        <f aca="false">Entrada!G46</f>
        <v>-825</v>
      </c>
      <c r="I444" s="62" t="n">
        <f aca="false">Entrada!L46</f>
        <v>825</v>
      </c>
      <c r="J444" s="62" t="n">
        <v>0</v>
      </c>
      <c r="K444" s="62" t="n">
        <f aca="false">I444-J444</f>
        <v>825</v>
      </c>
      <c r="L444" s="61" t="s">
        <v>841</v>
      </c>
      <c r="M444" s="61"/>
      <c r="N444" s="61"/>
      <c r="O444" s="61"/>
    </row>
    <row r="445" customFormat="false" ht="15" hidden="false" customHeight="false" outlineLevel="0" collapsed="false">
      <c r="A445" s="60" t="n">
        <v>46293</v>
      </c>
      <c r="B445" s="61" t="s">
        <v>13</v>
      </c>
      <c r="C445" s="61" t="s">
        <v>71</v>
      </c>
      <c r="D445" s="61" t="s">
        <v>136</v>
      </c>
      <c r="E445" s="61" t="s">
        <v>186</v>
      </c>
      <c r="F445" s="61" t="s">
        <v>254</v>
      </c>
      <c r="G445" s="61" t="s">
        <v>4</v>
      </c>
      <c r="H445" s="62" t="n">
        <f aca="false">Saida!H249</f>
        <v>-19.6</v>
      </c>
      <c r="I445" s="62" t="n">
        <v>0</v>
      </c>
      <c r="J445" s="62" t="n">
        <f aca="false">Saida!R249</f>
        <v>19.6</v>
      </c>
      <c r="K445" s="62" t="n">
        <f aca="false">I445-J445</f>
        <v>-19.6</v>
      </c>
      <c r="L445" s="61" t="s">
        <v>842</v>
      </c>
      <c r="M445" s="61" t="s">
        <v>400</v>
      </c>
      <c r="N445" s="61" t="s">
        <v>401</v>
      </c>
      <c r="O445" s="61" t="s">
        <v>258</v>
      </c>
    </row>
    <row r="446" customFormat="false" ht="15" hidden="false" customHeight="false" outlineLevel="0" collapsed="false">
      <c r="A446" s="60" t="n">
        <v>46293</v>
      </c>
      <c r="B446" s="61" t="s">
        <v>13</v>
      </c>
      <c r="C446" s="61" t="s">
        <v>71</v>
      </c>
      <c r="D446" s="61" t="s">
        <v>136</v>
      </c>
      <c r="E446" s="61" t="s">
        <v>186</v>
      </c>
      <c r="F446" s="61" t="s">
        <v>254</v>
      </c>
      <c r="G446" s="61" t="s">
        <v>4</v>
      </c>
      <c r="H446" s="62" t="n">
        <f aca="false">Saida!H250</f>
        <v>-19.6</v>
      </c>
      <c r="I446" s="62" t="n">
        <v>0</v>
      </c>
      <c r="J446" s="62" t="n">
        <f aca="false">Saida!R250</f>
        <v>19.6</v>
      </c>
      <c r="K446" s="62" t="n">
        <f aca="false">I446-J446</f>
        <v>-19.6</v>
      </c>
      <c r="L446" s="61" t="s">
        <v>843</v>
      </c>
      <c r="M446" s="61" t="s">
        <v>844</v>
      </c>
      <c r="N446" s="61" t="s">
        <v>845</v>
      </c>
      <c r="O446" s="61" t="s">
        <v>258</v>
      </c>
    </row>
    <row r="447" customFormat="false" ht="15" hidden="false" customHeight="false" outlineLevel="0" collapsed="false">
      <c r="A447" s="60" t="n">
        <v>46293</v>
      </c>
      <c r="B447" s="61" t="s">
        <v>13</v>
      </c>
      <c r="C447" s="61" t="s">
        <v>81</v>
      </c>
      <c r="D447" s="61" t="s">
        <v>145</v>
      </c>
      <c r="E447" s="61" t="s">
        <v>144</v>
      </c>
      <c r="F447" s="61" t="s">
        <v>246</v>
      </c>
      <c r="G447" s="61" t="s">
        <v>4</v>
      </c>
      <c r="H447" s="62" t="n">
        <f aca="false">Saida!H268</f>
        <v>-60</v>
      </c>
      <c r="I447" s="62" t="n">
        <v>0</v>
      </c>
      <c r="J447" s="62" t="n">
        <f aca="false">Saida!R268</f>
        <v>60</v>
      </c>
      <c r="K447" s="62" t="n">
        <f aca="false">I447-J447</f>
        <v>-60</v>
      </c>
      <c r="L447" s="61" t="s">
        <v>846</v>
      </c>
      <c r="M447" s="61" t="s">
        <v>263</v>
      </c>
      <c r="N447" s="61" t="s">
        <v>264</v>
      </c>
      <c r="O447" s="61" t="s">
        <v>258</v>
      </c>
    </row>
    <row r="448" customFormat="false" ht="15" hidden="false" customHeight="false" outlineLevel="0" collapsed="false">
      <c r="A448" s="60" t="n">
        <v>46293</v>
      </c>
      <c r="B448" s="61" t="str">
        <f aca="false">Entrada!K69</f>
        <v>Entrada</v>
      </c>
      <c r="C448" s="61" t="s">
        <v>85</v>
      </c>
      <c r="D448" s="61" t="s">
        <v>168</v>
      </c>
      <c r="E448" s="61"/>
      <c r="F448" s="61" t="s">
        <v>251</v>
      </c>
      <c r="G448" s="61" t="s">
        <v>4</v>
      </c>
      <c r="H448" s="62" t="n">
        <f aca="false">Entrada!G69</f>
        <v>-108.8</v>
      </c>
      <c r="I448" s="62" t="n">
        <f aca="false">Entrada!L69</f>
        <v>108.8</v>
      </c>
      <c r="J448" s="62" t="n">
        <v>0</v>
      </c>
      <c r="K448" s="62" t="n">
        <f aca="false">I448-J448</f>
        <v>108.8</v>
      </c>
      <c r="L448" s="61" t="s">
        <v>841</v>
      </c>
      <c r="M448" s="61"/>
      <c r="N448" s="61"/>
      <c r="O448" s="61"/>
    </row>
    <row r="449" customFormat="false" ht="15" hidden="false" customHeight="false" outlineLevel="0" collapsed="false">
      <c r="A449" s="60" t="n">
        <v>46293</v>
      </c>
      <c r="B449" s="61" t="str">
        <f aca="false">Entrada!K76</f>
        <v>Entrada</v>
      </c>
      <c r="C449" s="61" t="s">
        <v>106</v>
      </c>
      <c r="D449" s="61" t="s">
        <v>185</v>
      </c>
      <c r="E449" s="61" t="s">
        <v>222</v>
      </c>
      <c r="F449" s="61" t="s">
        <v>251</v>
      </c>
      <c r="G449" s="61" t="s">
        <v>4</v>
      </c>
      <c r="H449" s="62" t="n">
        <f aca="false">Entrada!G76</f>
        <v>-1200</v>
      </c>
      <c r="I449" s="62" t="n">
        <f aca="false">Entrada!L76</f>
        <v>1200</v>
      </c>
      <c r="J449" s="62" t="n">
        <v>0</v>
      </c>
      <c r="K449" s="62" t="n">
        <f aca="false">I449-J449</f>
        <v>1200</v>
      </c>
      <c r="L449" s="61" t="s">
        <v>841</v>
      </c>
      <c r="M449" s="61"/>
      <c r="N449" s="61"/>
      <c r="O449" s="61"/>
    </row>
    <row r="450" customFormat="false" ht="15" hidden="false" customHeight="false" outlineLevel="0" collapsed="false">
      <c r="A450" s="60" t="n">
        <v>46293</v>
      </c>
      <c r="B450" s="61" t="s">
        <v>13</v>
      </c>
      <c r="C450" s="61" t="s">
        <v>110</v>
      </c>
      <c r="D450" s="61" t="s">
        <v>162</v>
      </c>
      <c r="E450" s="61" t="s">
        <v>119</v>
      </c>
      <c r="F450" s="61" t="s">
        <v>254</v>
      </c>
      <c r="G450" s="61" t="s">
        <v>4</v>
      </c>
      <c r="H450" s="62" t="n">
        <f aca="false">Saida!H334</f>
        <v>-60.3</v>
      </c>
      <c r="I450" s="62" t="n">
        <v>0</v>
      </c>
      <c r="J450" s="62" t="n">
        <f aca="false">Saida!R334</f>
        <v>60.3</v>
      </c>
      <c r="K450" s="62" t="n">
        <f aca="false">I450-J450</f>
        <v>-60.3</v>
      </c>
      <c r="L450" s="61" t="s">
        <v>847</v>
      </c>
      <c r="M450" s="61" t="s">
        <v>283</v>
      </c>
      <c r="N450" s="61" t="s">
        <v>284</v>
      </c>
      <c r="O450" s="61" t="s">
        <v>258</v>
      </c>
    </row>
    <row r="451" customFormat="false" ht="15" hidden="false" customHeight="false" outlineLevel="0" collapsed="false">
      <c r="A451" s="60" t="n">
        <v>46293</v>
      </c>
      <c r="B451" s="61" t="str">
        <f aca="false">Entrada!K84</f>
        <v>Entrada</v>
      </c>
      <c r="C451" s="61" t="s">
        <v>122</v>
      </c>
      <c r="D451" s="61" t="s">
        <v>197</v>
      </c>
      <c r="E451" s="61" t="s">
        <v>223</v>
      </c>
      <c r="F451" s="61" t="s">
        <v>251</v>
      </c>
      <c r="G451" s="61" t="s">
        <v>4</v>
      </c>
      <c r="H451" s="62" t="n">
        <f aca="false">Entrada!G84</f>
        <v>-864</v>
      </c>
      <c r="I451" s="62" t="n">
        <f aca="false">Entrada!L84</f>
        <v>864</v>
      </c>
      <c r="J451" s="62" t="n">
        <v>0</v>
      </c>
      <c r="K451" s="62" t="n">
        <f aca="false">I451-J451</f>
        <v>864</v>
      </c>
      <c r="L451" s="61" t="s">
        <v>841</v>
      </c>
      <c r="M451" s="61"/>
      <c r="N451" s="61"/>
      <c r="O451" s="61"/>
    </row>
    <row r="452" customFormat="false" ht="15" hidden="false" customHeight="false" outlineLevel="0" collapsed="false">
      <c r="A452" s="60" t="n">
        <v>46293</v>
      </c>
      <c r="B452" s="61" t="str">
        <f aca="false">Entrada!K112</f>
        <v>Entrada</v>
      </c>
      <c r="C452" s="61" t="s">
        <v>156</v>
      </c>
      <c r="D452" s="61" t="s">
        <v>216</v>
      </c>
      <c r="E452" s="61"/>
      <c r="F452" s="61" t="s">
        <v>251</v>
      </c>
      <c r="G452" s="61" t="s">
        <v>4</v>
      </c>
      <c r="H452" s="62" t="n">
        <f aca="false">Entrada!G112</f>
        <v>-1000</v>
      </c>
      <c r="I452" s="62" t="n">
        <f aca="false">Entrada!L112</f>
        <v>1000</v>
      </c>
      <c r="J452" s="62" t="n">
        <v>0</v>
      </c>
      <c r="K452" s="62" t="n">
        <f aca="false">I452-J452</f>
        <v>1000</v>
      </c>
      <c r="L452" s="61" t="s">
        <v>841</v>
      </c>
      <c r="M452" s="61"/>
      <c r="N452" s="61"/>
      <c r="O452" s="61"/>
    </row>
    <row r="453" customFormat="false" ht="15" hidden="false" customHeight="false" outlineLevel="0" collapsed="false">
      <c r="A453" s="60" t="n">
        <v>46294</v>
      </c>
      <c r="B453" s="61" t="s">
        <v>13</v>
      </c>
      <c r="C453" s="61" t="s">
        <v>7</v>
      </c>
      <c r="D453" s="61" t="s">
        <v>8</v>
      </c>
      <c r="E453" s="61" t="s">
        <v>119</v>
      </c>
      <c r="F453" s="61" t="s">
        <v>246</v>
      </c>
      <c r="G453" s="61" t="s">
        <v>4</v>
      </c>
      <c r="H453" s="62" t="n">
        <f aca="false">Saida!H5</f>
        <v>-80.4</v>
      </c>
      <c r="I453" s="62" t="n">
        <v>0</v>
      </c>
      <c r="J453" s="62" t="n">
        <f aca="false">Saida!R5</f>
        <v>80.4</v>
      </c>
      <c r="K453" s="62" t="n">
        <f aca="false">I453-J453</f>
        <v>-80.4</v>
      </c>
      <c r="L453" s="61" t="s">
        <v>848</v>
      </c>
      <c r="M453" s="61" t="s">
        <v>387</v>
      </c>
      <c r="N453" s="61" t="s">
        <v>388</v>
      </c>
      <c r="O453" s="61" t="s">
        <v>250</v>
      </c>
    </row>
    <row r="454" customFormat="false" ht="15" hidden="false" customHeight="false" outlineLevel="0" collapsed="false">
      <c r="A454" s="60" t="n">
        <v>46294</v>
      </c>
      <c r="B454" s="61" t="str">
        <f aca="false">Entrada!K4</f>
        <v>Entrada</v>
      </c>
      <c r="C454" s="61" t="s">
        <v>7</v>
      </c>
      <c r="D454" s="61" t="s">
        <v>11</v>
      </c>
      <c r="E454" s="61" t="s">
        <v>119</v>
      </c>
      <c r="F454" s="61" t="s">
        <v>251</v>
      </c>
      <c r="G454" s="61" t="s">
        <v>4</v>
      </c>
      <c r="H454" s="62" t="n">
        <f aca="false">Entrada!G4</f>
        <v>-603</v>
      </c>
      <c r="I454" s="62" t="n">
        <f aca="false">Entrada!L4</f>
        <v>603</v>
      </c>
      <c r="J454" s="62" t="n">
        <v>0</v>
      </c>
      <c r="K454" s="62" t="n">
        <f aca="false">I454-J454</f>
        <v>603</v>
      </c>
      <c r="L454" s="61" t="s">
        <v>849</v>
      </c>
      <c r="M454" s="61"/>
      <c r="N454" s="61"/>
      <c r="O454" s="61"/>
    </row>
    <row r="455" customFormat="false" ht="15" hidden="false" customHeight="false" outlineLevel="0" collapsed="false">
      <c r="A455" s="60" t="n">
        <v>46294</v>
      </c>
      <c r="B455" s="61" t="s">
        <v>13</v>
      </c>
      <c r="C455" s="61" t="s">
        <v>20</v>
      </c>
      <c r="D455" s="61" t="s">
        <v>21</v>
      </c>
      <c r="E455" s="61" t="s">
        <v>141</v>
      </c>
      <c r="F455" s="61" t="s">
        <v>246</v>
      </c>
      <c r="G455" s="61" t="s">
        <v>4</v>
      </c>
      <c r="H455" s="62" t="n">
        <f aca="false">Saida!H37</f>
        <v>-56</v>
      </c>
      <c r="I455" s="62" t="n">
        <v>0</v>
      </c>
      <c r="J455" s="62" t="n">
        <f aca="false">Saida!R37</f>
        <v>56</v>
      </c>
      <c r="K455" s="62" t="n">
        <f aca="false">I455-J455</f>
        <v>-56</v>
      </c>
      <c r="L455" s="61" t="s">
        <v>850</v>
      </c>
      <c r="M455" s="61" t="s">
        <v>267</v>
      </c>
      <c r="N455" s="61" t="s">
        <v>268</v>
      </c>
      <c r="O455" s="61" t="s">
        <v>250</v>
      </c>
    </row>
    <row r="456" customFormat="false" ht="15" hidden="false" customHeight="false" outlineLevel="0" collapsed="false">
      <c r="A456" s="60" t="n">
        <v>46294</v>
      </c>
      <c r="B456" s="61" t="s">
        <v>13</v>
      </c>
      <c r="C456" s="61" t="s">
        <v>20</v>
      </c>
      <c r="D456" s="61" t="s">
        <v>21</v>
      </c>
      <c r="E456" s="61" t="s">
        <v>141</v>
      </c>
      <c r="F456" s="61" t="s">
        <v>246</v>
      </c>
      <c r="G456" s="61" t="s">
        <v>4</v>
      </c>
      <c r="H456" s="62" t="n">
        <f aca="false">Saida!H38</f>
        <v>-2.8</v>
      </c>
      <c r="I456" s="62" t="n">
        <v>0</v>
      </c>
      <c r="J456" s="62" t="n">
        <f aca="false">Saida!R38</f>
        <v>2.8</v>
      </c>
      <c r="K456" s="62" t="n">
        <f aca="false">I456-J456</f>
        <v>-2.8</v>
      </c>
      <c r="L456" s="61" t="s">
        <v>851</v>
      </c>
      <c r="M456" s="61" t="s">
        <v>472</v>
      </c>
      <c r="N456" s="61" t="s">
        <v>473</v>
      </c>
      <c r="O456" s="61" t="s">
        <v>250</v>
      </c>
    </row>
    <row r="457" customFormat="false" ht="15" hidden="false" customHeight="false" outlineLevel="0" collapsed="false">
      <c r="A457" s="60" t="n">
        <v>46294</v>
      </c>
      <c r="B457" s="61" t="s">
        <v>13</v>
      </c>
      <c r="C457" s="61" t="s">
        <v>20</v>
      </c>
      <c r="D457" s="61" t="s">
        <v>21</v>
      </c>
      <c r="E457" s="61" t="s">
        <v>141</v>
      </c>
      <c r="F457" s="61" t="s">
        <v>246</v>
      </c>
      <c r="G457" s="61" t="s">
        <v>4</v>
      </c>
      <c r="H457" s="62" t="n">
        <f aca="false">Saida!H39</f>
        <v>-28</v>
      </c>
      <c r="I457" s="62" t="n">
        <v>0</v>
      </c>
      <c r="J457" s="62" t="n">
        <f aca="false">Saida!R39</f>
        <v>28</v>
      </c>
      <c r="K457" s="62" t="n">
        <f aca="false">I457-J457</f>
        <v>-28</v>
      </c>
      <c r="L457" s="61" t="s">
        <v>852</v>
      </c>
      <c r="M457" s="61" t="s">
        <v>343</v>
      </c>
      <c r="N457" s="61" t="s">
        <v>344</v>
      </c>
      <c r="O457" s="61" t="s">
        <v>250</v>
      </c>
    </row>
    <row r="458" customFormat="false" ht="15" hidden="false" customHeight="false" outlineLevel="0" collapsed="false">
      <c r="A458" s="60" t="n">
        <v>46294</v>
      </c>
      <c r="B458" s="61" t="str">
        <f aca="false">Entrada!K8</f>
        <v>Entrada</v>
      </c>
      <c r="C458" s="61" t="s">
        <v>23</v>
      </c>
      <c r="D458" s="61" t="s">
        <v>24</v>
      </c>
      <c r="E458" s="61" t="s">
        <v>141</v>
      </c>
      <c r="F458" s="61" t="s">
        <v>251</v>
      </c>
      <c r="G458" s="61" t="s">
        <v>4</v>
      </c>
      <c r="H458" s="62" t="n">
        <f aca="false">Entrada!G8</f>
        <v>-313.6</v>
      </c>
      <c r="I458" s="62" t="n">
        <f aca="false">Entrada!L8</f>
        <v>313.6</v>
      </c>
      <c r="J458" s="62" t="n">
        <v>0</v>
      </c>
      <c r="K458" s="62" t="n">
        <f aca="false">I458-J458</f>
        <v>313.6</v>
      </c>
      <c r="L458" s="61" t="s">
        <v>853</v>
      </c>
      <c r="M458" s="61"/>
      <c r="N458" s="61"/>
      <c r="O458" s="61"/>
    </row>
    <row r="459" customFormat="false" ht="15" hidden="false" customHeight="false" outlineLevel="0" collapsed="false">
      <c r="A459" s="60" t="n">
        <v>46294</v>
      </c>
      <c r="B459" s="61" t="s">
        <v>13</v>
      </c>
      <c r="C459" s="61" t="s">
        <v>23</v>
      </c>
      <c r="D459" s="61" t="s">
        <v>24</v>
      </c>
      <c r="E459" s="61" t="s">
        <v>141</v>
      </c>
      <c r="F459" s="61" t="s">
        <v>246</v>
      </c>
      <c r="G459" s="61" t="s">
        <v>4</v>
      </c>
      <c r="H459" s="62" t="n">
        <f aca="false">Saida!H56</f>
        <v>-2.8</v>
      </c>
      <c r="I459" s="62" t="n">
        <v>0</v>
      </c>
      <c r="J459" s="62" t="n">
        <f aca="false">Saida!R56</f>
        <v>2.8</v>
      </c>
      <c r="K459" s="62" t="n">
        <f aca="false">I459-J459</f>
        <v>-2.8</v>
      </c>
      <c r="L459" s="61" t="s">
        <v>854</v>
      </c>
      <c r="M459" s="61" t="s">
        <v>679</v>
      </c>
      <c r="N459" s="61" t="s">
        <v>680</v>
      </c>
      <c r="O459" s="61" t="s">
        <v>338</v>
      </c>
    </row>
    <row r="460" customFormat="false" ht="15" hidden="false" customHeight="false" outlineLevel="0" collapsed="false">
      <c r="A460" s="60" t="n">
        <v>46294</v>
      </c>
      <c r="B460" s="61" t="s">
        <v>13</v>
      </c>
      <c r="C460" s="61" t="s">
        <v>23</v>
      </c>
      <c r="D460" s="61" t="s">
        <v>24</v>
      </c>
      <c r="E460" s="61" t="s">
        <v>141</v>
      </c>
      <c r="F460" s="61" t="s">
        <v>246</v>
      </c>
      <c r="G460" s="61" t="s">
        <v>4</v>
      </c>
      <c r="H460" s="62" t="n">
        <f aca="false">Saida!H57</f>
        <v>-8.4</v>
      </c>
      <c r="I460" s="62" t="n">
        <v>0</v>
      </c>
      <c r="J460" s="62" t="n">
        <f aca="false">Saida!R57</f>
        <v>8.4</v>
      </c>
      <c r="K460" s="62" t="n">
        <f aca="false">I460-J460</f>
        <v>-8.4</v>
      </c>
      <c r="L460" s="61" t="s">
        <v>855</v>
      </c>
      <c r="M460" s="61" t="s">
        <v>856</v>
      </c>
      <c r="N460" s="61" t="s">
        <v>857</v>
      </c>
      <c r="O460" s="61" t="s">
        <v>338</v>
      </c>
    </row>
    <row r="461" customFormat="false" ht="15" hidden="false" customHeight="false" outlineLevel="0" collapsed="false">
      <c r="A461" s="60" t="n">
        <v>46294</v>
      </c>
      <c r="B461" s="61" t="str">
        <f aca="false">Entrada!K9</f>
        <v>Entrada</v>
      </c>
      <c r="C461" s="61" t="s">
        <v>23</v>
      </c>
      <c r="D461" s="61" t="s">
        <v>28</v>
      </c>
      <c r="E461" s="61" t="s">
        <v>141</v>
      </c>
      <c r="F461" s="61" t="s">
        <v>251</v>
      </c>
      <c r="G461" s="61" t="s">
        <v>4</v>
      </c>
      <c r="H461" s="62" t="n">
        <f aca="false">Entrada!G9</f>
        <v>-142.8</v>
      </c>
      <c r="I461" s="62" t="n">
        <f aca="false">Entrada!L9</f>
        <v>142.8</v>
      </c>
      <c r="J461" s="62" t="n">
        <v>0</v>
      </c>
      <c r="K461" s="62" t="n">
        <f aca="false">I461-J461</f>
        <v>142.8</v>
      </c>
      <c r="L461" s="61" t="s">
        <v>853</v>
      </c>
      <c r="M461" s="61"/>
      <c r="N461" s="61"/>
      <c r="O461" s="61"/>
    </row>
    <row r="462" customFormat="false" ht="15" hidden="false" customHeight="false" outlineLevel="0" collapsed="false">
      <c r="A462" s="60" t="n">
        <v>46294</v>
      </c>
      <c r="B462" s="61" t="str">
        <f aca="false">Entrada!K11</f>
        <v>Entrada</v>
      </c>
      <c r="C462" s="61" t="s">
        <v>27</v>
      </c>
      <c r="D462" s="61" t="s">
        <v>32</v>
      </c>
      <c r="E462" s="61" t="s">
        <v>119</v>
      </c>
      <c r="F462" s="61" t="s">
        <v>251</v>
      </c>
      <c r="G462" s="61" t="s">
        <v>4</v>
      </c>
      <c r="H462" s="62" t="n">
        <f aca="false">Entrada!G11</f>
        <v>-482.4</v>
      </c>
      <c r="I462" s="62" t="n">
        <f aca="false">Entrada!L11</f>
        <v>482.4</v>
      </c>
      <c r="J462" s="62" t="n">
        <v>0</v>
      </c>
      <c r="K462" s="62" t="n">
        <f aca="false">I462-J462</f>
        <v>482.4</v>
      </c>
      <c r="L462" s="61" t="s">
        <v>858</v>
      </c>
      <c r="M462" s="61"/>
      <c r="N462" s="61"/>
      <c r="O462" s="61"/>
    </row>
    <row r="463" customFormat="false" ht="15" hidden="false" customHeight="false" outlineLevel="0" collapsed="false">
      <c r="A463" s="60" t="n">
        <v>46294</v>
      </c>
      <c r="B463" s="61" t="str">
        <f aca="false">Entrada!K12</f>
        <v>Entrada</v>
      </c>
      <c r="C463" s="61" t="s">
        <v>27</v>
      </c>
      <c r="D463" s="61" t="s">
        <v>32</v>
      </c>
      <c r="E463" s="61" t="s">
        <v>119</v>
      </c>
      <c r="F463" s="61" t="s">
        <v>251</v>
      </c>
      <c r="G463" s="61" t="s">
        <v>4</v>
      </c>
      <c r="H463" s="62" t="n">
        <f aca="false">Entrada!G12</f>
        <v>-221.1</v>
      </c>
      <c r="I463" s="62" t="n">
        <f aca="false">Entrada!L12</f>
        <v>221.1</v>
      </c>
      <c r="J463" s="62" t="n">
        <v>0</v>
      </c>
      <c r="K463" s="62" t="n">
        <f aca="false">I463-J463</f>
        <v>221.1</v>
      </c>
      <c r="L463" s="61" t="s">
        <v>858</v>
      </c>
      <c r="M463" s="61"/>
      <c r="N463" s="61"/>
      <c r="O463" s="61"/>
    </row>
    <row r="464" customFormat="false" ht="15" hidden="false" customHeight="false" outlineLevel="0" collapsed="false">
      <c r="A464" s="60" t="n">
        <v>46294</v>
      </c>
      <c r="B464" s="61" t="str">
        <f aca="false">Entrada!K13</f>
        <v>Entrada</v>
      </c>
      <c r="C464" s="61" t="s">
        <v>27</v>
      </c>
      <c r="D464" s="61" t="s">
        <v>32</v>
      </c>
      <c r="E464" s="61" t="s">
        <v>119</v>
      </c>
      <c r="F464" s="61" t="s">
        <v>251</v>
      </c>
      <c r="G464" s="61" t="s">
        <v>4</v>
      </c>
      <c r="H464" s="62" t="n">
        <f aca="false">Entrada!G13</f>
        <v>-603</v>
      </c>
      <c r="I464" s="62" t="n">
        <f aca="false">Entrada!L13</f>
        <v>603</v>
      </c>
      <c r="J464" s="62" t="n">
        <v>0</v>
      </c>
      <c r="K464" s="62" t="n">
        <f aca="false">I464-J464</f>
        <v>603</v>
      </c>
      <c r="L464" s="61" t="s">
        <v>858</v>
      </c>
      <c r="M464" s="61"/>
      <c r="N464" s="61"/>
      <c r="O464" s="61"/>
    </row>
    <row r="465" customFormat="false" ht="15" hidden="false" customHeight="false" outlineLevel="0" collapsed="false">
      <c r="A465" s="60" t="n">
        <v>46294</v>
      </c>
      <c r="B465" s="61" t="str">
        <f aca="false">Entrada!K14</f>
        <v>Entrada</v>
      </c>
      <c r="C465" s="61" t="s">
        <v>27</v>
      </c>
      <c r="D465" s="61" t="s">
        <v>32</v>
      </c>
      <c r="E465" s="61" t="s">
        <v>119</v>
      </c>
      <c r="F465" s="61" t="s">
        <v>251</v>
      </c>
      <c r="G465" s="61" t="s">
        <v>4</v>
      </c>
      <c r="H465" s="62" t="n">
        <f aca="false">Entrada!G14</f>
        <v>-603</v>
      </c>
      <c r="I465" s="62" t="n">
        <f aca="false">Entrada!L14</f>
        <v>603</v>
      </c>
      <c r="J465" s="62" t="n">
        <v>0</v>
      </c>
      <c r="K465" s="62" t="n">
        <f aca="false">I465-J465</f>
        <v>603</v>
      </c>
      <c r="L465" s="61" t="s">
        <v>858</v>
      </c>
      <c r="M465" s="61"/>
      <c r="N465" s="61"/>
      <c r="O465" s="61"/>
    </row>
    <row r="466" customFormat="false" ht="15" hidden="false" customHeight="false" outlineLevel="0" collapsed="false">
      <c r="A466" s="60" t="n">
        <v>46294</v>
      </c>
      <c r="B466" s="61" t="str">
        <f aca="false">Entrada!K15</f>
        <v>Entrada</v>
      </c>
      <c r="C466" s="61" t="s">
        <v>27</v>
      </c>
      <c r="D466" s="61" t="s">
        <v>32</v>
      </c>
      <c r="E466" s="61" t="s">
        <v>119</v>
      </c>
      <c r="F466" s="61" t="s">
        <v>251</v>
      </c>
      <c r="G466" s="61" t="s">
        <v>4</v>
      </c>
      <c r="H466" s="62" t="n">
        <f aca="false">Entrada!G15</f>
        <v>-603</v>
      </c>
      <c r="I466" s="62" t="n">
        <f aca="false">Entrada!L15</f>
        <v>603</v>
      </c>
      <c r="J466" s="62" t="n">
        <v>0</v>
      </c>
      <c r="K466" s="62" t="n">
        <f aca="false">I466-J466</f>
        <v>603</v>
      </c>
      <c r="L466" s="61" t="s">
        <v>858</v>
      </c>
      <c r="M466" s="61"/>
      <c r="N466" s="61"/>
      <c r="O466" s="61"/>
    </row>
    <row r="467" customFormat="false" ht="15" hidden="false" customHeight="false" outlineLevel="0" collapsed="false">
      <c r="A467" s="60" t="n">
        <v>46294</v>
      </c>
      <c r="B467" s="61" t="s">
        <v>13</v>
      </c>
      <c r="C467" s="61" t="s">
        <v>29</v>
      </c>
      <c r="D467" s="61" t="s">
        <v>34</v>
      </c>
      <c r="E467" s="61" t="s">
        <v>141</v>
      </c>
      <c r="F467" s="61" t="s">
        <v>246</v>
      </c>
      <c r="G467" s="61" t="s">
        <v>4</v>
      </c>
      <c r="H467" s="62" t="n">
        <f aca="false">Saida!H88</f>
        <v>-2.8</v>
      </c>
      <c r="I467" s="62" t="n">
        <v>0</v>
      </c>
      <c r="J467" s="62" t="n">
        <f aca="false">Saida!R88</f>
        <v>2.8</v>
      </c>
      <c r="K467" s="62" t="n">
        <f aca="false">I467-J467</f>
        <v>-2.8</v>
      </c>
      <c r="L467" s="61" t="s">
        <v>855</v>
      </c>
      <c r="M467" s="61" t="s">
        <v>856</v>
      </c>
      <c r="N467" s="61" t="s">
        <v>857</v>
      </c>
      <c r="O467" s="61" t="s">
        <v>338</v>
      </c>
    </row>
    <row r="468" customFormat="false" ht="15" hidden="false" customHeight="false" outlineLevel="0" collapsed="false">
      <c r="A468" s="60" t="n">
        <v>46294</v>
      </c>
      <c r="B468" s="61" t="s">
        <v>13</v>
      </c>
      <c r="C468" s="61" t="s">
        <v>31</v>
      </c>
      <c r="D468" s="61" t="s">
        <v>42</v>
      </c>
      <c r="E468" s="61" t="s">
        <v>199</v>
      </c>
      <c r="F468" s="61" t="s">
        <v>246</v>
      </c>
      <c r="G468" s="61" t="s">
        <v>4</v>
      </c>
      <c r="H468" s="62" t="n">
        <f aca="false">Saida!H102</f>
        <v>-25</v>
      </c>
      <c r="I468" s="62" t="n">
        <v>0</v>
      </c>
      <c r="J468" s="62" t="n">
        <f aca="false">Saida!R102</f>
        <v>25</v>
      </c>
      <c r="K468" s="62" t="n">
        <f aca="false">I468-J468</f>
        <v>-25</v>
      </c>
      <c r="L468" s="61" t="s">
        <v>859</v>
      </c>
      <c r="M468" s="61" t="s">
        <v>580</v>
      </c>
      <c r="N468" s="61" t="s">
        <v>581</v>
      </c>
      <c r="O468" s="61" t="s">
        <v>250</v>
      </c>
    </row>
    <row r="469" customFormat="false" ht="15" hidden="false" customHeight="false" outlineLevel="0" collapsed="false">
      <c r="A469" s="60" t="n">
        <v>46294</v>
      </c>
      <c r="B469" s="61" t="s">
        <v>13</v>
      </c>
      <c r="C469" s="61" t="s">
        <v>31</v>
      </c>
      <c r="D469" s="61" t="s">
        <v>42</v>
      </c>
      <c r="E469" s="61" t="s">
        <v>199</v>
      </c>
      <c r="F469" s="61" t="s">
        <v>246</v>
      </c>
      <c r="G469" s="61" t="s">
        <v>4</v>
      </c>
      <c r="H469" s="62" t="n">
        <f aca="false">Saida!H103</f>
        <v>-25</v>
      </c>
      <c r="I469" s="62" t="n">
        <v>0</v>
      </c>
      <c r="J469" s="62" t="n">
        <f aca="false">Saida!R103</f>
        <v>25</v>
      </c>
      <c r="K469" s="62" t="n">
        <f aca="false">I469-J469</f>
        <v>-25</v>
      </c>
      <c r="L469" s="61" t="s">
        <v>860</v>
      </c>
      <c r="M469" s="61" t="s">
        <v>572</v>
      </c>
      <c r="N469" s="61" t="s">
        <v>573</v>
      </c>
      <c r="O469" s="61" t="s">
        <v>250</v>
      </c>
    </row>
    <row r="470" customFormat="false" ht="15" hidden="false" customHeight="false" outlineLevel="0" collapsed="false">
      <c r="A470" s="60" t="n">
        <v>46294</v>
      </c>
      <c r="B470" s="61" t="str">
        <f aca="false">Entrada!K25</f>
        <v>Entrada</v>
      </c>
      <c r="C470" s="61" t="s">
        <v>33</v>
      </c>
      <c r="D470" s="61" t="s">
        <v>54</v>
      </c>
      <c r="E470" s="61" t="s">
        <v>202</v>
      </c>
      <c r="F470" s="61" t="s">
        <v>251</v>
      </c>
      <c r="G470" s="61" t="s">
        <v>4</v>
      </c>
      <c r="H470" s="62" t="n">
        <f aca="false">Entrada!G25</f>
        <v>-540</v>
      </c>
      <c r="I470" s="62" t="n">
        <f aca="false">Entrada!L25</f>
        <v>540</v>
      </c>
      <c r="J470" s="62" t="n">
        <v>0</v>
      </c>
      <c r="K470" s="62" t="n">
        <f aca="false">I470-J470</f>
        <v>540</v>
      </c>
      <c r="L470" s="61" t="s">
        <v>858</v>
      </c>
      <c r="M470" s="61"/>
      <c r="N470" s="61"/>
      <c r="O470" s="61"/>
    </row>
    <row r="471" customFormat="false" ht="15" hidden="false" customHeight="false" outlineLevel="0" collapsed="false">
      <c r="A471" s="60" t="n">
        <v>46294</v>
      </c>
      <c r="B471" s="61" t="str">
        <f aca="false">Entrada!K26</f>
        <v>Entrada</v>
      </c>
      <c r="C471" s="61" t="s">
        <v>33</v>
      </c>
      <c r="D471" s="61" t="s">
        <v>54</v>
      </c>
      <c r="E471" s="61" t="s">
        <v>202</v>
      </c>
      <c r="F471" s="61" t="s">
        <v>251</v>
      </c>
      <c r="G471" s="61" t="s">
        <v>4</v>
      </c>
      <c r="H471" s="62" t="n">
        <f aca="false">Entrada!G26</f>
        <v>-600</v>
      </c>
      <c r="I471" s="62" t="n">
        <f aca="false">Entrada!L26</f>
        <v>600</v>
      </c>
      <c r="J471" s="62" t="n">
        <v>0</v>
      </c>
      <c r="K471" s="62" t="n">
        <f aca="false">I471-J471</f>
        <v>600</v>
      </c>
      <c r="L471" s="61" t="s">
        <v>858</v>
      </c>
      <c r="M471" s="61"/>
      <c r="N471" s="61"/>
      <c r="O471" s="61"/>
    </row>
    <row r="472" customFormat="false" ht="15" hidden="false" customHeight="false" outlineLevel="0" collapsed="false">
      <c r="A472" s="60" t="n">
        <v>46294</v>
      </c>
      <c r="B472" s="61" t="s">
        <v>13</v>
      </c>
      <c r="C472" s="61" t="s">
        <v>33</v>
      </c>
      <c r="D472" s="61" t="s">
        <v>54</v>
      </c>
      <c r="E472" s="61" t="s">
        <v>202</v>
      </c>
      <c r="F472" s="61" t="s">
        <v>246</v>
      </c>
      <c r="G472" s="61" t="s">
        <v>4</v>
      </c>
      <c r="H472" s="62" t="n">
        <f aca="false">Saida!H108</f>
        <v>-100</v>
      </c>
      <c r="I472" s="62" t="n">
        <v>0</v>
      </c>
      <c r="J472" s="62" t="n">
        <f aca="false">Saida!R108</f>
        <v>100</v>
      </c>
      <c r="K472" s="62" t="n">
        <f aca="false">I472-J472</f>
        <v>-100</v>
      </c>
      <c r="L472" s="61" t="s">
        <v>861</v>
      </c>
      <c r="M472" s="61" t="s">
        <v>862</v>
      </c>
      <c r="N472" s="61" t="s">
        <v>863</v>
      </c>
      <c r="O472" s="61" t="s">
        <v>338</v>
      </c>
    </row>
    <row r="473" customFormat="false" ht="15" hidden="false" customHeight="false" outlineLevel="0" collapsed="false">
      <c r="A473" s="60" t="n">
        <v>46294</v>
      </c>
      <c r="B473" s="61" t="str">
        <f aca="false">Entrada!K27</f>
        <v>Entrada</v>
      </c>
      <c r="C473" s="61" t="s">
        <v>35</v>
      </c>
      <c r="D473" s="61" t="s">
        <v>58</v>
      </c>
      <c r="E473" s="61" t="s">
        <v>119</v>
      </c>
      <c r="F473" s="61" t="s">
        <v>251</v>
      </c>
      <c r="G473" s="61" t="s">
        <v>4</v>
      </c>
      <c r="H473" s="62" t="n">
        <f aca="false">Entrada!G27</f>
        <v>-603</v>
      </c>
      <c r="I473" s="62" t="n">
        <f aca="false">Entrada!L27</f>
        <v>603</v>
      </c>
      <c r="J473" s="62" t="n">
        <v>0</v>
      </c>
      <c r="K473" s="62" t="n">
        <f aca="false">I473-J473</f>
        <v>603</v>
      </c>
      <c r="L473" s="61" t="s">
        <v>849</v>
      </c>
      <c r="M473" s="61"/>
      <c r="N473" s="61"/>
      <c r="O473" s="61"/>
    </row>
    <row r="474" customFormat="false" ht="15" hidden="false" customHeight="false" outlineLevel="0" collapsed="false">
      <c r="A474" s="60" t="n">
        <v>46294</v>
      </c>
      <c r="B474" s="61" t="str">
        <f aca="false">Entrada!K28</f>
        <v>Entrada</v>
      </c>
      <c r="C474" s="61" t="s">
        <v>35</v>
      </c>
      <c r="D474" s="61" t="s">
        <v>58</v>
      </c>
      <c r="E474" s="61" t="s">
        <v>119</v>
      </c>
      <c r="F474" s="61" t="s">
        <v>251</v>
      </c>
      <c r="G474" s="61" t="s">
        <v>4</v>
      </c>
      <c r="H474" s="62" t="n">
        <f aca="false">Entrada!G28</f>
        <v>-603</v>
      </c>
      <c r="I474" s="62" t="n">
        <f aca="false">Entrada!L28</f>
        <v>603</v>
      </c>
      <c r="J474" s="62" t="n">
        <v>0</v>
      </c>
      <c r="K474" s="62" t="n">
        <f aca="false">I474-J474</f>
        <v>603</v>
      </c>
      <c r="L474" s="61" t="s">
        <v>849</v>
      </c>
      <c r="M474" s="61"/>
      <c r="N474" s="61"/>
      <c r="O474" s="61"/>
    </row>
    <row r="475" customFormat="false" ht="15" hidden="false" customHeight="false" outlineLevel="0" collapsed="false">
      <c r="A475" s="60" t="n">
        <v>46294</v>
      </c>
      <c r="B475" s="61" t="str">
        <f aca="false">Entrada!K29</f>
        <v>Entrada</v>
      </c>
      <c r="C475" s="61" t="s">
        <v>35</v>
      </c>
      <c r="D475" s="61" t="s">
        <v>58</v>
      </c>
      <c r="E475" s="61" t="s">
        <v>119</v>
      </c>
      <c r="F475" s="61" t="s">
        <v>251</v>
      </c>
      <c r="G475" s="61" t="s">
        <v>4</v>
      </c>
      <c r="H475" s="62" t="n">
        <f aca="false">Entrada!G29</f>
        <v>-603</v>
      </c>
      <c r="I475" s="62" t="n">
        <f aca="false">Entrada!L29</f>
        <v>603</v>
      </c>
      <c r="J475" s="62" t="n">
        <v>0</v>
      </c>
      <c r="K475" s="62" t="n">
        <f aca="false">I475-J475</f>
        <v>603</v>
      </c>
      <c r="L475" s="61" t="s">
        <v>849</v>
      </c>
      <c r="M475" s="61"/>
      <c r="N475" s="61"/>
      <c r="O475" s="61"/>
    </row>
    <row r="476" customFormat="false" ht="15" hidden="false" customHeight="false" outlineLevel="0" collapsed="false">
      <c r="A476" s="60" t="n">
        <v>46294</v>
      </c>
      <c r="B476" s="61" t="str">
        <f aca="false">Entrada!K30</f>
        <v>Entrada</v>
      </c>
      <c r="C476" s="61" t="s">
        <v>35</v>
      </c>
      <c r="D476" s="61" t="s">
        <v>58</v>
      </c>
      <c r="E476" s="61" t="s">
        <v>119</v>
      </c>
      <c r="F476" s="61" t="s">
        <v>251</v>
      </c>
      <c r="G476" s="61" t="s">
        <v>4</v>
      </c>
      <c r="H476" s="62" t="n">
        <f aca="false">Entrada!G30</f>
        <v>-120.6</v>
      </c>
      <c r="I476" s="62" t="n">
        <f aca="false">Entrada!L30</f>
        <v>120.6</v>
      </c>
      <c r="J476" s="62" t="n">
        <v>0</v>
      </c>
      <c r="K476" s="62" t="n">
        <f aca="false">I476-J476</f>
        <v>120.6</v>
      </c>
      <c r="L476" s="61" t="s">
        <v>849</v>
      </c>
      <c r="M476" s="61"/>
      <c r="N476" s="61"/>
      <c r="O476" s="61"/>
    </row>
    <row r="477" customFormat="false" ht="15" hidden="false" customHeight="false" outlineLevel="0" collapsed="false">
      <c r="A477" s="60" t="n">
        <v>46294</v>
      </c>
      <c r="B477" s="61" t="str">
        <f aca="false">Entrada!K31</f>
        <v>Entrada</v>
      </c>
      <c r="C477" s="61" t="s">
        <v>35</v>
      </c>
      <c r="D477" s="61" t="s">
        <v>58</v>
      </c>
      <c r="E477" s="61" t="s">
        <v>119</v>
      </c>
      <c r="F477" s="61" t="s">
        <v>251</v>
      </c>
      <c r="G477" s="61" t="s">
        <v>4</v>
      </c>
      <c r="H477" s="62" t="n">
        <f aca="false">Entrada!G31</f>
        <v>-482.4</v>
      </c>
      <c r="I477" s="62" t="n">
        <f aca="false">Entrada!L31</f>
        <v>482.4</v>
      </c>
      <c r="J477" s="62" t="n">
        <v>0</v>
      </c>
      <c r="K477" s="62" t="n">
        <f aca="false">I477-J477</f>
        <v>482.4</v>
      </c>
      <c r="L477" s="61" t="s">
        <v>849</v>
      </c>
      <c r="M477" s="61"/>
      <c r="N477" s="61"/>
      <c r="O477" s="61"/>
    </row>
    <row r="478" customFormat="false" ht="15" hidden="false" customHeight="false" outlineLevel="0" collapsed="false">
      <c r="A478" s="60" t="n">
        <v>46294</v>
      </c>
      <c r="B478" s="61" t="s">
        <v>13</v>
      </c>
      <c r="C478" s="61" t="s">
        <v>41</v>
      </c>
      <c r="D478" s="61" t="s">
        <v>62</v>
      </c>
      <c r="E478" s="61" t="s">
        <v>141</v>
      </c>
      <c r="F478" s="61" t="s">
        <v>246</v>
      </c>
      <c r="G478" s="61" t="s">
        <v>4</v>
      </c>
      <c r="H478" s="62" t="n">
        <f aca="false">Saida!H131</f>
        <v>-28</v>
      </c>
      <c r="I478" s="62" t="n">
        <v>0</v>
      </c>
      <c r="J478" s="62" t="n">
        <f aca="false">Saida!R131</f>
        <v>28</v>
      </c>
      <c r="K478" s="62" t="n">
        <f aca="false">I478-J478</f>
        <v>-28</v>
      </c>
      <c r="L478" s="61" t="s">
        <v>864</v>
      </c>
      <c r="M478" s="61" t="s">
        <v>865</v>
      </c>
      <c r="N478" s="61" t="s">
        <v>866</v>
      </c>
      <c r="O478" s="61" t="s">
        <v>250</v>
      </c>
    </row>
    <row r="479" customFormat="false" ht="15" hidden="false" customHeight="false" outlineLevel="0" collapsed="false">
      <c r="A479" s="60" t="n">
        <v>46294</v>
      </c>
      <c r="B479" s="61" t="s">
        <v>13</v>
      </c>
      <c r="C479" s="61" t="s">
        <v>41</v>
      </c>
      <c r="D479" s="61" t="s">
        <v>62</v>
      </c>
      <c r="E479" s="61" t="s">
        <v>141</v>
      </c>
      <c r="F479" s="61" t="s">
        <v>246</v>
      </c>
      <c r="G479" s="61" t="s">
        <v>4</v>
      </c>
      <c r="H479" s="62" t="n">
        <f aca="false">Saida!H132</f>
        <v>-2.8</v>
      </c>
      <c r="I479" s="62" t="n">
        <v>0</v>
      </c>
      <c r="J479" s="62" t="n">
        <f aca="false">Saida!R132</f>
        <v>2.8</v>
      </c>
      <c r="K479" s="62" t="n">
        <f aca="false">I479-J479</f>
        <v>-2.8</v>
      </c>
      <c r="L479" s="61" t="s">
        <v>855</v>
      </c>
      <c r="M479" s="61" t="s">
        <v>856</v>
      </c>
      <c r="N479" s="61" t="s">
        <v>857</v>
      </c>
      <c r="O479" s="61" t="s">
        <v>338</v>
      </c>
    </row>
    <row r="480" customFormat="false" ht="15" hidden="false" customHeight="false" outlineLevel="0" collapsed="false">
      <c r="A480" s="60" t="n">
        <v>46294</v>
      </c>
      <c r="B480" s="61" t="str">
        <f aca="false">Entrada!K35</f>
        <v>Entrada</v>
      </c>
      <c r="C480" s="61" t="s">
        <v>43</v>
      </c>
      <c r="D480" s="61" t="s">
        <v>64</v>
      </c>
      <c r="E480" s="61"/>
      <c r="F480" s="61" t="s">
        <v>251</v>
      </c>
      <c r="G480" s="61" t="s">
        <v>4</v>
      </c>
      <c r="H480" s="62" t="n">
        <f aca="false">Entrada!G35</f>
        <v>-1000</v>
      </c>
      <c r="I480" s="62" t="n">
        <f aca="false">Entrada!L35</f>
        <v>1000</v>
      </c>
      <c r="J480" s="62" t="n">
        <v>0</v>
      </c>
      <c r="K480" s="62" t="n">
        <f aca="false">I480-J480</f>
        <v>1000</v>
      </c>
      <c r="L480" s="61" t="s">
        <v>853</v>
      </c>
      <c r="M480" s="61"/>
      <c r="N480" s="61"/>
      <c r="O480" s="61"/>
    </row>
    <row r="481" customFormat="false" ht="15" hidden="false" customHeight="false" outlineLevel="0" collapsed="false">
      <c r="A481" s="60" t="n">
        <v>46294</v>
      </c>
      <c r="B481" s="61" t="s">
        <v>13</v>
      </c>
      <c r="C481" s="61" t="s">
        <v>47</v>
      </c>
      <c r="D481" s="61" t="s">
        <v>68</v>
      </c>
      <c r="E481" s="61" t="s">
        <v>202</v>
      </c>
      <c r="F481" s="61" t="s">
        <v>246</v>
      </c>
      <c r="G481" s="61" t="s">
        <v>4</v>
      </c>
      <c r="H481" s="62" t="n">
        <f aca="false">Saida!H179</f>
        <v>-60</v>
      </c>
      <c r="I481" s="62" t="n">
        <v>0</v>
      </c>
      <c r="J481" s="62" t="n">
        <f aca="false">Saida!R179</f>
        <v>60</v>
      </c>
      <c r="K481" s="62" t="n">
        <f aca="false">I481-J481</f>
        <v>-60</v>
      </c>
      <c r="L481" s="61" t="s">
        <v>867</v>
      </c>
      <c r="M481" s="61" t="s">
        <v>868</v>
      </c>
      <c r="N481" s="61" t="s">
        <v>869</v>
      </c>
      <c r="O481" s="61" t="s">
        <v>338</v>
      </c>
    </row>
    <row r="482" customFormat="false" ht="15" hidden="false" customHeight="false" outlineLevel="0" collapsed="false">
      <c r="A482" s="60" t="n">
        <v>46294</v>
      </c>
      <c r="B482" s="61" t="str">
        <f aca="false">Entrada!K44</f>
        <v>Entrada</v>
      </c>
      <c r="C482" s="61" t="s">
        <v>53</v>
      </c>
      <c r="D482" s="61" t="s">
        <v>76</v>
      </c>
      <c r="E482" s="61" t="s">
        <v>137</v>
      </c>
      <c r="F482" s="61" t="s">
        <v>251</v>
      </c>
      <c r="G482" s="61" t="s">
        <v>9</v>
      </c>
      <c r="H482" s="62" t="n">
        <f aca="false">Entrada!G44</f>
        <v>-30</v>
      </c>
      <c r="I482" s="62" t="n">
        <f aca="false">Entrada!L44</f>
        <v>30</v>
      </c>
      <c r="J482" s="62" t="n">
        <v>0</v>
      </c>
      <c r="K482" s="62" t="n">
        <f aca="false">I482-J482</f>
        <v>30</v>
      </c>
      <c r="L482" s="61" t="s">
        <v>870</v>
      </c>
      <c r="M482" s="61"/>
      <c r="N482" s="61"/>
      <c r="O482" s="61"/>
    </row>
    <row r="483" customFormat="false" ht="15" hidden="false" customHeight="false" outlineLevel="0" collapsed="false">
      <c r="A483" s="60" t="n">
        <v>46294</v>
      </c>
      <c r="B483" s="61" t="str">
        <f aca="false">Entrada!K40</f>
        <v>Entrada</v>
      </c>
      <c r="C483" s="61" t="s">
        <v>53</v>
      </c>
      <c r="D483" s="61" t="s">
        <v>80</v>
      </c>
      <c r="E483" s="61" t="s">
        <v>137</v>
      </c>
      <c r="F483" s="61" t="s">
        <v>251</v>
      </c>
      <c r="G483" s="61" t="s">
        <v>9</v>
      </c>
      <c r="H483" s="62" t="n">
        <f aca="false">Entrada!G40</f>
        <v>-450</v>
      </c>
      <c r="I483" s="62" t="n">
        <f aca="false">Entrada!L40</f>
        <v>450</v>
      </c>
      <c r="J483" s="62" t="n">
        <v>0</v>
      </c>
      <c r="K483" s="62" t="n">
        <f aca="false">I483-J483</f>
        <v>450</v>
      </c>
      <c r="L483" s="61" t="s">
        <v>871</v>
      </c>
      <c r="M483" s="61"/>
      <c r="N483" s="61"/>
      <c r="O483" s="61"/>
    </row>
    <row r="484" customFormat="false" ht="15" hidden="false" customHeight="false" outlineLevel="0" collapsed="false">
      <c r="A484" s="60" t="n">
        <v>46294</v>
      </c>
      <c r="B484" s="61" t="s">
        <v>13</v>
      </c>
      <c r="C484" s="61" t="s">
        <v>53</v>
      </c>
      <c r="D484" s="61" t="s">
        <v>80</v>
      </c>
      <c r="E484" s="61" t="s">
        <v>137</v>
      </c>
      <c r="F484" s="61" t="s">
        <v>246</v>
      </c>
      <c r="G484" s="61" t="s">
        <v>9</v>
      </c>
      <c r="H484" s="62" t="n">
        <f aca="false">Saida!H202</f>
        <v>-75</v>
      </c>
      <c r="I484" s="62" t="n">
        <v>0</v>
      </c>
      <c r="J484" s="62" t="n">
        <f aca="false">Saida!R202</f>
        <v>75</v>
      </c>
      <c r="K484" s="62" t="n">
        <f aca="false">I484-J484</f>
        <v>-75</v>
      </c>
      <c r="L484" s="61" t="s">
        <v>872</v>
      </c>
      <c r="M484" s="61" t="s">
        <v>580</v>
      </c>
      <c r="N484" s="61" t="s">
        <v>581</v>
      </c>
      <c r="O484" s="61" t="s">
        <v>250</v>
      </c>
    </row>
    <row r="485" customFormat="false" ht="15" hidden="false" customHeight="false" outlineLevel="0" collapsed="false">
      <c r="A485" s="60" t="n">
        <v>46294</v>
      </c>
      <c r="B485" s="61" t="s">
        <v>13</v>
      </c>
      <c r="C485" s="61" t="s">
        <v>53</v>
      </c>
      <c r="D485" s="61" t="s">
        <v>80</v>
      </c>
      <c r="E485" s="61" t="s">
        <v>137</v>
      </c>
      <c r="F485" s="61" t="s">
        <v>246</v>
      </c>
      <c r="G485" s="61" t="s">
        <v>9</v>
      </c>
      <c r="H485" s="62" t="n">
        <f aca="false">Saida!H203</f>
        <v>-15</v>
      </c>
      <c r="I485" s="62" t="n">
        <v>0</v>
      </c>
      <c r="J485" s="62" t="n">
        <f aca="false">Saida!R203</f>
        <v>15</v>
      </c>
      <c r="K485" s="62" t="n">
        <f aca="false">I485-J485</f>
        <v>-15</v>
      </c>
      <c r="L485" s="61" t="s">
        <v>873</v>
      </c>
      <c r="M485" s="61" t="s">
        <v>521</v>
      </c>
      <c r="N485" s="61" t="s">
        <v>522</v>
      </c>
      <c r="O485" s="61" t="s">
        <v>250</v>
      </c>
    </row>
    <row r="486" customFormat="false" ht="15" hidden="false" customHeight="false" outlineLevel="0" collapsed="false">
      <c r="A486" s="60" t="n">
        <v>46294</v>
      </c>
      <c r="B486" s="61" t="s">
        <v>13</v>
      </c>
      <c r="C486" s="61" t="s">
        <v>53</v>
      </c>
      <c r="D486" s="61" t="s">
        <v>80</v>
      </c>
      <c r="E486" s="61" t="s">
        <v>137</v>
      </c>
      <c r="F486" s="61" t="s">
        <v>246</v>
      </c>
      <c r="G486" s="61" t="s">
        <v>9</v>
      </c>
      <c r="H486" s="62" t="n">
        <f aca="false">Saida!H205</f>
        <v>-15</v>
      </c>
      <c r="I486" s="62" t="n">
        <v>0</v>
      </c>
      <c r="J486" s="62" t="n">
        <f aca="false">Saida!R205</f>
        <v>15</v>
      </c>
      <c r="K486" s="62" t="n">
        <f aca="false">I486-J486</f>
        <v>-15</v>
      </c>
      <c r="L486" s="61" t="s">
        <v>874</v>
      </c>
      <c r="M486" s="61" t="s">
        <v>875</v>
      </c>
      <c r="N486" s="61" t="s">
        <v>876</v>
      </c>
      <c r="O486" s="61" t="s">
        <v>250</v>
      </c>
    </row>
    <row r="487" customFormat="false" ht="15" hidden="false" customHeight="false" outlineLevel="0" collapsed="false">
      <c r="A487" s="60" t="n">
        <v>46294</v>
      </c>
      <c r="B487" s="61" t="s">
        <v>13</v>
      </c>
      <c r="C487" s="61" t="s">
        <v>53</v>
      </c>
      <c r="D487" s="61" t="s">
        <v>80</v>
      </c>
      <c r="E487" s="61" t="s">
        <v>137</v>
      </c>
      <c r="F487" s="61" t="s">
        <v>246</v>
      </c>
      <c r="G487" s="61" t="s">
        <v>9</v>
      </c>
      <c r="H487" s="62" t="n">
        <f aca="false">Saida!H206</f>
        <v>-150</v>
      </c>
      <c r="I487" s="62" t="n">
        <v>0</v>
      </c>
      <c r="J487" s="62" t="n">
        <f aca="false">Saida!R206</f>
        <v>150</v>
      </c>
      <c r="K487" s="62" t="n">
        <f aca="false">I487-J487</f>
        <v>-150</v>
      </c>
      <c r="L487" s="61" t="s">
        <v>877</v>
      </c>
      <c r="M487" s="61" t="s">
        <v>546</v>
      </c>
      <c r="N487" s="61" t="s">
        <v>547</v>
      </c>
      <c r="O487" s="61" t="s">
        <v>338</v>
      </c>
    </row>
    <row r="488" customFormat="false" ht="15" hidden="false" customHeight="false" outlineLevel="0" collapsed="false">
      <c r="A488" s="60" t="n">
        <v>46294</v>
      </c>
      <c r="B488" s="61" t="str">
        <f aca="false">Entrada!K41</f>
        <v>Entrada</v>
      </c>
      <c r="C488" s="61" t="s">
        <v>53</v>
      </c>
      <c r="D488" s="61" t="s">
        <v>82</v>
      </c>
      <c r="E488" s="61" t="s">
        <v>137</v>
      </c>
      <c r="F488" s="61" t="s">
        <v>251</v>
      </c>
      <c r="G488" s="61" t="s">
        <v>9</v>
      </c>
      <c r="H488" s="62" t="n">
        <f aca="false">Entrada!G41</f>
        <v>-450</v>
      </c>
      <c r="I488" s="62" t="n">
        <f aca="false">Entrada!L41</f>
        <v>450</v>
      </c>
      <c r="J488" s="62" t="n">
        <v>0</v>
      </c>
      <c r="K488" s="62" t="n">
        <f aca="false">I488-J488</f>
        <v>450</v>
      </c>
      <c r="L488" s="61" t="s">
        <v>878</v>
      </c>
      <c r="M488" s="61"/>
      <c r="N488" s="61"/>
      <c r="O488" s="61"/>
    </row>
    <row r="489" customFormat="false" ht="15" hidden="false" customHeight="false" outlineLevel="0" collapsed="false">
      <c r="A489" s="60" t="n">
        <v>46294</v>
      </c>
      <c r="B489" s="61" t="s">
        <v>13</v>
      </c>
      <c r="C489" s="61" t="s">
        <v>53</v>
      </c>
      <c r="D489" s="61" t="s">
        <v>84</v>
      </c>
      <c r="E489" s="61" t="s">
        <v>137</v>
      </c>
      <c r="F489" s="61" t="s">
        <v>246</v>
      </c>
      <c r="G489" s="61" t="s">
        <v>9</v>
      </c>
      <c r="H489" s="62" t="n">
        <f aca="false">Saida!H204</f>
        <v>-15</v>
      </c>
      <c r="I489" s="62" t="n">
        <v>0</v>
      </c>
      <c r="J489" s="62" t="n">
        <f aca="false">Saida!R204</f>
        <v>15</v>
      </c>
      <c r="K489" s="62" t="n">
        <f aca="false">I489-J489</f>
        <v>-15</v>
      </c>
      <c r="L489" s="61" t="s">
        <v>879</v>
      </c>
      <c r="M489" s="61" t="s">
        <v>880</v>
      </c>
      <c r="N489" s="61" t="s">
        <v>881</v>
      </c>
      <c r="O489" s="61" t="s">
        <v>250</v>
      </c>
    </row>
    <row r="490" customFormat="false" ht="15" hidden="false" customHeight="false" outlineLevel="0" collapsed="false">
      <c r="A490" s="60" t="n">
        <v>46294</v>
      </c>
      <c r="B490" s="61" t="str">
        <f aca="false">Entrada!K42</f>
        <v>Entrada</v>
      </c>
      <c r="C490" s="61" t="s">
        <v>53</v>
      </c>
      <c r="D490" s="61" t="s">
        <v>86</v>
      </c>
      <c r="E490" s="61" t="s">
        <v>137</v>
      </c>
      <c r="F490" s="61" t="s">
        <v>251</v>
      </c>
      <c r="G490" s="61" t="s">
        <v>9</v>
      </c>
      <c r="H490" s="62" t="n">
        <f aca="false">Entrada!G42</f>
        <v>-30</v>
      </c>
      <c r="I490" s="62" t="n">
        <f aca="false">Entrada!L42</f>
        <v>30</v>
      </c>
      <c r="J490" s="62" t="n">
        <v>0</v>
      </c>
      <c r="K490" s="62" t="n">
        <f aca="false">I490-J490</f>
        <v>30</v>
      </c>
      <c r="L490" s="61" t="s">
        <v>882</v>
      </c>
      <c r="M490" s="61"/>
      <c r="N490" s="61"/>
      <c r="O490" s="61"/>
    </row>
    <row r="491" customFormat="false" ht="15" hidden="false" customHeight="false" outlineLevel="0" collapsed="false">
      <c r="A491" s="60" t="n">
        <v>46294</v>
      </c>
      <c r="B491" s="61" t="str">
        <f aca="false">Entrada!K43</f>
        <v>Estorno</v>
      </c>
      <c r="C491" s="61" t="s">
        <v>53</v>
      </c>
      <c r="D491" s="61" t="s">
        <v>86</v>
      </c>
      <c r="E491" s="61" t="s">
        <v>137</v>
      </c>
      <c r="F491" s="61" t="s">
        <v>251</v>
      </c>
      <c r="G491" s="61" t="s">
        <v>9</v>
      </c>
      <c r="H491" s="62" t="n">
        <f aca="false">Entrada!G43</f>
        <v>30</v>
      </c>
      <c r="I491" s="62" t="n">
        <f aca="false">Entrada!L43</f>
        <v>-30</v>
      </c>
      <c r="J491" s="62" t="n">
        <v>0</v>
      </c>
      <c r="K491" s="62" t="n">
        <f aca="false">I491-J491</f>
        <v>-30</v>
      </c>
      <c r="L491" s="61" t="s">
        <v>870</v>
      </c>
      <c r="M491" s="61"/>
      <c r="N491" s="61"/>
      <c r="O491" s="61"/>
    </row>
    <row r="492" customFormat="false" ht="15" hidden="false" customHeight="false" outlineLevel="0" collapsed="false">
      <c r="A492" s="60" t="n">
        <v>46294</v>
      </c>
      <c r="B492" s="61" t="str">
        <f aca="false">Entrada!K45</f>
        <v>Entrada</v>
      </c>
      <c r="C492" s="61" t="s">
        <v>53</v>
      </c>
      <c r="D492" s="61" t="s">
        <v>86</v>
      </c>
      <c r="E492" s="61" t="s">
        <v>137</v>
      </c>
      <c r="F492" s="61" t="s">
        <v>251</v>
      </c>
      <c r="G492" s="61" t="s">
        <v>9</v>
      </c>
      <c r="H492" s="62" t="n">
        <f aca="false">Entrada!G45</f>
        <v>-495</v>
      </c>
      <c r="I492" s="62" t="n">
        <f aca="false">Entrada!L45</f>
        <v>495</v>
      </c>
      <c r="J492" s="62" t="n">
        <v>0</v>
      </c>
      <c r="K492" s="62" t="n">
        <f aca="false">I492-J492</f>
        <v>495</v>
      </c>
      <c r="L492" s="61" t="s">
        <v>883</v>
      </c>
      <c r="M492" s="61"/>
      <c r="N492" s="61"/>
      <c r="O492" s="61"/>
    </row>
    <row r="493" customFormat="false" ht="15" hidden="false" customHeight="false" outlineLevel="0" collapsed="false">
      <c r="A493" s="60" t="n">
        <v>46294</v>
      </c>
      <c r="B493" s="61" t="s">
        <v>13</v>
      </c>
      <c r="C493" s="61" t="s">
        <v>55</v>
      </c>
      <c r="D493" s="61" t="s">
        <v>89</v>
      </c>
      <c r="E493" s="61" t="s">
        <v>215</v>
      </c>
      <c r="F493" s="61" t="s">
        <v>246</v>
      </c>
      <c r="G493" s="61" t="s">
        <v>4</v>
      </c>
      <c r="H493" s="62" t="n">
        <f aca="false">Saida!H231</f>
        <v>-18</v>
      </c>
      <c r="I493" s="62" t="n">
        <v>0</v>
      </c>
      <c r="J493" s="62" t="n">
        <f aca="false">Saida!R231</f>
        <v>18</v>
      </c>
      <c r="K493" s="62" t="n">
        <f aca="false">I493-J493</f>
        <v>-18</v>
      </c>
      <c r="L493" s="61" t="s">
        <v>884</v>
      </c>
      <c r="M493" s="61" t="s">
        <v>580</v>
      </c>
      <c r="N493" s="61" t="s">
        <v>581</v>
      </c>
      <c r="O493" s="61" t="s">
        <v>250</v>
      </c>
    </row>
    <row r="494" customFormat="false" ht="15" hidden="false" customHeight="false" outlineLevel="0" collapsed="false">
      <c r="A494" s="60" t="n">
        <v>46294</v>
      </c>
      <c r="B494" s="61" t="str">
        <f aca="false">Entrada!K51</f>
        <v>Entrada</v>
      </c>
      <c r="C494" s="61" t="s">
        <v>61</v>
      </c>
      <c r="D494" s="61" t="s">
        <v>107</v>
      </c>
      <c r="E494" s="61" t="s">
        <v>149</v>
      </c>
      <c r="F494" s="61" t="s">
        <v>251</v>
      </c>
      <c r="G494" s="61" t="s">
        <v>4</v>
      </c>
      <c r="H494" s="62" t="n">
        <f aca="false">Entrada!G51</f>
        <v>-240</v>
      </c>
      <c r="I494" s="62" t="n">
        <f aca="false">Entrada!L51</f>
        <v>240</v>
      </c>
      <c r="J494" s="62" t="n">
        <v>0</v>
      </c>
      <c r="K494" s="62" t="n">
        <f aca="false">I494-J494</f>
        <v>240</v>
      </c>
      <c r="L494" s="61" t="s">
        <v>878</v>
      </c>
      <c r="M494" s="61"/>
      <c r="N494" s="61"/>
      <c r="O494" s="61"/>
    </row>
    <row r="495" customFormat="false" ht="15" hidden="false" customHeight="false" outlineLevel="0" collapsed="false">
      <c r="A495" s="60" t="n">
        <v>46294</v>
      </c>
      <c r="B495" s="61" t="s">
        <v>13</v>
      </c>
      <c r="C495" s="61" t="s">
        <v>69</v>
      </c>
      <c r="D495" s="61" t="s">
        <v>127</v>
      </c>
      <c r="E495" s="61" t="s">
        <v>119</v>
      </c>
      <c r="F495" s="61" t="s">
        <v>246</v>
      </c>
      <c r="G495" s="61" t="s">
        <v>4</v>
      </c>
      <c r="H495" s="62" t="n">
        <f aca="false">Saida!H246</f>
        <v>-20.1</v>
      </c>
      <c r="I495" s="62" t="n">
        <v>0</v>
      </c>
      <c r="J495" s="62" t="n">
        <f aca="false">Saida!R246</f>
        <v>20.1</v>
      </c>
      <c r="K495" s="62" t="n">
        <f aca="false">I495-J495</f>
        <v>-20.1</v>
      </c>
      <c r="L495" s="61" t="s">
        <v>885</v>
      </c>
      <c r="M495" s="61" t="s">
        <v>880</v>
      </c>
      <c r="N495" s="61" t="s">
        <v>881</v>
      </c>
      <c r="O495" s="61" t="s">
        <v>250</v>
      </c>
    </row>
    <row r="496" customFormat="false" ht="15" hidden="false" customHeight="false" outlineLevel="0" collapsed="false">
      <c r="A496" s="60" t="n">
        <v>46294</v>
      </c>
      <c r="B496" s="61" t="str">
        <f aca="false">Entrada!K52</f>
        <v>Entrada</v>
      </c>
      <c r="C496" s="61" t="s">
        <v>69</v>
      </c>
      <c r="D496" s="61" t="s">
        <v>120</v>
      </c>
      <c r="E496" s="61" t="s">
        <v>119</v>
      </c>
      <c r="F496" s="61" t="s">
        <v>251</v>
      </c>
      <c r="G496" s="61" t="s">
        <v>4</v>
      </c>
      <c r="H496" s="62" t="n">
        <f aca="false">Entrada!G52</f>
        <v>-603</v>
      </c>
      <c r="I496" s="62" t="n">
        <f aca="false">Entrada!L52</f>
        <v>603</v>
      </c>
      <c r="J496" s="62" t="n">
        <v>0</v>
      </c>
      <c r="K496" s="62" t="n">
        <f aca="false">I496-J496</f>
        <v>603</v>
      </c>
      <c r="L496" s="61" t="s">
        <v>871</v>
      </c>
      <c r="M496" s="61"/>
      <c r="N496" s="61"/>
      <c r="O496" s="61"/>
    </row>
    <row r="497" customFormat="false" ht="15" hidden="false" customHeight="false" outlineLevel="0" collapsed="false">
      <c r="A497" s="60" t="n">
        <v>46294</v>
      </c>
      <c r="B497" s="61" t="str">
        <f aca="false">Entrada!K53</f>
        <v>Entrada</v>
      </c>
      <c r="C497" s="61" t="s">
        <v>69</v>
      </c>
      <c r="D497" s="61" t="s">
        <v>120</v>
      </c>
      <c r="E497" s="61" t="s">
        <v>119</v>
      </c>
      <c r="F497" s="61" t="s">
        <v>251</v>
      </c>
      <c r="G497" s="61" t="s">
        <v>4</v>
      </c>
      <c r="H497" s="62" t="n">
        <f aca="false">Entrada!G53</f>
        <v>-321.6</v>
      </c>
      <c r="I497" s="62" t="n">
        <f aca="false">Entrada!L53</f>
        <v>321.6</v>
      </c>
      <c r="J497" s="62" t="n">
        <v>0</v>
      </c>
      <c r="K497" s="62" t="n">
        <f aca="false">I497-J497</f>
        <v>321.6</v>
      </c>
      <c r="L497" s="61" t="s">
        <v>871</v>
      </c>
      <c r="M497" s="61"/>
      <c r="N497" s="61"/>
      <c r="O497" s="61"/>
    </row>
    <row r="498" customFormat="false" ht="15" hidden="false" customHeight="false" outlineLevel="0" collapsed="false">
      <c r="A498" s="60" t="n">
        <v>46294</v>
      </c>
      <c r="B498" s="61" t="s">
        <v>13</v>
      </c>
      <c r="C498" s="61" t="s">
        <v>69</v>
      </c>
      <c r="D498" s="61" t="s">
        <v>120</v>
      </c>
      <c r="E498" s="61" t="s">
        <v>119</v>
      </c>
      <c r="F498" s="61" t="s">
        <v>246</v>
      </c>
      <c r="G498" s="61" t="s">
        <v>4</v>
      </c>
      <c r="H498" s="62" t="n">
        <f aca="false">Saida!H247</f>
        <v>-20.1</v>
      </c>
      <c r="I498" s="62" t="n">
        <v>0</v>
      </c>
      <c r="J498" s="62" t="n">
        <f aca="false">Saida!R247</f>
        <v>20.1</v>
      </c>
      <c r="K498" s="62" t="n">
        <f aca="false">I498-J498</f>
        <v>-20.1</v>
      </c>
      <c r="L498" s="61" t="s">
        <v>886</v>
      </c>
      <c r="M498" s="61" t="s">
        <v>295</v>
      </c>
      <c r="N498" s="61" t="s">
        <v>296</v>
      </c>
      <c r="O498" s="61" t="s">
        <v>250</v>
      </c>
    </row>
    <row r="499" customFormat="false" ht="15" hidden="false" customHeight="false" outlineLevel="0" collapsed="false">
      <c r="A499" s="60" t="n">
        <v>46294</v>
      </c>
      <c r="B499" s="61" t="str">
        <f aca="false">Entrada!K56</f>
        <v>Entrada</v>
      </c>
      <c r="C499" s="61" t="s">
        <v>71</v>
      </c>
      <c r="D499" s="61" t="s">
        <v>136</v>
      </c>
      <c r="E499" s="61" t="s">
        <v>186</v>
      </c>
      <c r="F499" s="61" t="s">
        <v>251</v>
      </c>
      <c r="G499" s="61" t="s">
        <v>4</v>
      </c>
      <c r="H499" s="62" t="n">
        <f aca="false">Entrada!G56</f>
        <v>-179.2</v>
      </c>
      <c r="I499" s="62" t="n">
        <f aca="false">Entrada!L56</f>
        <v>179.2</v>
      </c>
      <c r="J499" s="62" t="n">
        <v>0</v>
      </c>
      <c r="K499" s="62" t="n">
        <f aca="false">I499-J499</f>
        <v>179.2</v>
      </c>
      <c r="L499" s="61" t="s">
        <v>887</v>
      </c>
      <c r="M499" s="61"/>
      <c r="N499" s="61"/>
      <c r="O499" s="61"/>
    </row>
    <row r="500" customFormat="false" ht="15" hidden="false" customHeight="false" outlineLevel="0" collapsed="false">
      <c r="A500" s="60" t="n">
        <v>46294</v>
      </c>
      <c r="B500" s="61" t="str">
        <f aca="false">Entrada!K57</f>
        <v>Entrada</v>
      </c>
      <c r="C500" s="61" t="s">
        <v>71</v>
      </c>
      <c r="D500" s="61" t="s">
        <v>136</v>
      </c>
      <c r="E500" s="61" t="s">
        <v>186</v>
      </c>
      <c r="F500" s="61" t="s">
        <v>251</v>
      </c>
      <c r="G500" s="61" t="s">
        <v>4</v>
      </c>
      <c r="H500" s="62" t="n">
        <f aca="false">Entrada!G57</f>
        <v>-313.6</v>
      </c>
      <c r="I500" s="62" t="n">
        <f aca="false">Entrada!L57</f>
        <v>313.6</v>
      </c>
      <c r="J500" s="62" t="n">
        <v>0</v>
      </c>
      <c r="K500" s="62" t="n">
        <f aca="false">I500-J500</f>
        <v>313.6</v>
      </c>
      <c r="L500" s="61" t="s">
        <v>887</v>
      </c>
      <c r="M500" s="61"/>
      <c r="N500" s="61"/>
      <c r="O500" s="61"/>
    </row>
    <row r="501" customFormat="false" ht="15" hidden="false" customHeight="false" outlineLevel="0" collapsed="false">
      <c r="A501" s="60" t="n">
        <v>46294</v>
      </c>
      <c r="B501" s="61" t="str">
        <f aca="false">Entrada!K58</f>
        <v>Entrada</v>
      </c>
      <c r="C501" s="61" t="s">
        <v>71</v>
      </c>
      <c r="D501" s="61" t="s">
        <v>136</v>
      </c>
      <c r="E501" s="61" t="s">
        <v>186</v>
      </c>
      <c r="F501" s="61" t="s">
        <v>251</v>
      </c>
      <c r="G501" s="61" t="s">
        <v>4</v>
      </c>
      <c r="H501" s="62" t="n">
        <f aca="false">Entrada!G58</f>
        <v>-313.6</v>
      </c>
      <c r="I501" s="62" t="n">
        <f aca="false">Entrada!L58</f>
        <v>313.6</v>
      </c>
      <c r="J501" s="62" t="n">
        <v>0</v>
      </c>
      <c r="K501" s="62" t="n">
        <f aca="false">I501-J501</f>
        <v>313.6</v>
      </c>
      <c r="L501" s="61" t="s">
        <v>887</v>
      </c>
      <c r="M501" s="61"/>
      <c r="N501" s="61"/>
      <c r="O501" s="61"/>
    </row>
    <row r="502" customFormat="false" ht="15" hidden="false" customHeight="false" outlineLevel="0" collapsed="false">
      <c r="A502" s="60" t="n">
        <v>46294</v>
      </c>
      <c r="B502" s="61" t="s">
        <v>13</v>
      </c>
      <c r="C502" s="61" t="s">
        <v>75</v>
      </c>
      <c r="D502" s="61" t="s">
        <v>143</v>
      </c>
      <c r="E502" s="61" t="s">
        <v>173</v>
      </c>
      <c r="F502" s="61" t="s">
        <v>246</v>
      </c>
      <c r="G502" s="61" t="s">
        <v>4</v>
      </c>
      <c r="H502" s="62" t="n">
        <f aca="false">Saida!H254</f>
        <v>-8</v>
      </c>
      <c r="I502" s="62" t="n">
        <v>0</v>
      </c>
      <c r="J502" s="62" t="n">
        <f aca="false">Saida!R254</f>
        <v>8</v>
      </c>
      <c r="K502" s="62" t="n">
        <f aca="false">I502-J502</f>
        <v>-8</v>
      </c>
      <c r="L502" s="61" t="s">
        <v>888</v>
      </c>
      <c r="M502" s="61" t="s">
        <v>267</v>
      </c>
      <c r="N502" s="61" t="s">
        <v>268</v>
      </c>
      <c r="O502" s="61" t="s">
        <v>250</v>
      </c>
    </row>
    <row r="503" customFormat="false" ht="15" hidden="false" customHeight="false" outlineLevel="0" collapsed="false">
      <c r="A503" s="60" t="n">
        <v>46294</v>
      </c>
      <c r="B503" s="61" t="str">
        <f aca="false">Entrada!K71</f>
        <v>Entrada</v>
      </c>
      <c r="C503" s="61" t="s">
        <v>100</v>
      </c>
      <c r="D503" s="61" t="s">
        <v>176</v>
      </c>
      <c r="E503" s="61"/>
      <c r="F503" s="61" t="s">
        <v>251</v>
      </c>
      <c r="G503" s="61" t="s">
        <v>4</v>
      </c>
      <c r="H503" s="62" t="n">
        <f aca="false">Entrada!G71</f>
        <v>-432</v>
      </c>
      <c r="I503" s="62" t="n">
        <f aca="false">Entrada!L71</f>
        <v>432</v>
      </c>
      <c r="J503" s="62" t="n">
        <v>0</v>
      </c>
      <c r="K503" s="62" t="n">
        <f aca="false">I503-J503</f>
        <v>432</v>
      </c>
      <c r="L503" s="61" t="s">
        <v>889</v>
      </c>
      <c r="M503" s="61"/>
      <c r="N503" s="61"/>
      <c r="O503" s="61"/>
    </row>
    <row r="504" customFormat="false" ht="15" hidden="false" customHeight="false" outlineLevel="0" collapsed="false">
      <c r="A504" s="60" t="n">
        <v>46294</v>
      </c>
      <c r="B504" s="61" t="s">
        <v>13</v>
      </c>
      <c r="C504" s="61" t="s">
        <v>104</v>
      </c>
      <c r="D504" s="61" t="s">
        <v>166</v>
      </c>
      <c r="E504" s="61" t="s">
        <v>165</v>
      </c>
      <c r="F504" s="61" t="s">
        <v>246</v>
      </c>
      <c r="G504" s="61" t="s">
        <v>4</v>
      </c>
      <c r="H504" s="62" t="n">
        <f aca="false">Saida!H293</f>
        <v>-18</v>
      </c>
      <c r="I504" s="62" t="n">
        <v>0</v>
      </c>
      <c r="J504" s="62" t="n">
        <f aca="false">Saida!R293</f>
        <v>18</v>
      </c>
      <c r="K504" s="62" t="n">
        <f aca="false">I504-J504</f>
        <v>-18</v>
      </c>
      <c r="L504" s="61" t="s">
        <v>890</v>
      </c>
      <c r="M504" s="61" t="s">
        <v>891</v>
      </c>
      <c r="N504" s="61" t="s">
        <v>892</v>
      </c>
      <c r="O504" s="61" t="s">
        <v>250</v>
      </c>
    </row>
    <row r="505" customFormat="false" ht="15" hidden="false" customHeight="false" outlineLevel="0" collapsed="false">
      <c r="A505" s="60" t="n">
        <v>46294</v>
      </c>
      <c r="B505" s="61" t="s">
        <v>13</v>
      </c>
      <c r="C505" s="61" t="s">
        <v>106</v>
      </c>
      <c r="D505" s="61" t="s">
        <v>183</v>
      </c>
      <c r="E505" s="61" t="s">
        <v>222</v>
      </c>
      <c r="F505" s="61" t="s">
        <v>246</v>
      </c>
      <c r="G505" s="61" t="s">
        <v>4</v>
      </c>
      <c r="H505" s="62" t="n">
        <f aca="false">Saida!H309</f>
        <v>-100</v>
      </c>
      <c r="I505" s="62" t="n">
        <v>0</v>
      </c>
      <c r="J505" s="62" t="n">
        <f aca="false">Saida!R309</f>
        <v>100</v>
      </c>
      <c r="K505" s="62" t="n">
        <f aca="false">I505-J505</f>
        <v>-100</v>
      </c>
      <c r="L505" s="61" t="s">
        <v>893</v>
      </c>
      <c r="M505" s="61" t="s">
        <v>387</v>
      </c>
      <c r="N505" s="61" t="s">
        <v>388</v>
      </c>
      <c r="O505" s="61" t="s">
        <v>250</v>
      </c>
    </row>
    <row r="506" customFormat="false" ht="15" hidden="false" customHeight="false" outlineLevel="0" collapsed="false">
      <c r="A506" s="60" t="n">
        <v>46294</v>
      </c>
      <c r="B506" s="61" t="s">
        <v>13</v>
      </c>
      <c r="C506" s="61" t="s">
        <v>106</v>
      </c>
      <c r="D506" s="61" t="s">
        <v>183</v>
      </c>
      <c r="E506" s="61" t="s">
        <v>222</v>
      </c>
      <c r="F506" s="61" t="s">
        <v>246</v>
      </c>
      <c r="G506" s="61" t="s">
        <v>4</v>
      </c>
      <c r="H506" s="62" t="n">
        <f aca="false">Saida!H310</f>
        <v>-10</v>
      </c>
      <c r="I506" s="62" t="n">
        <v>0</v>
      </c>
      <c r="J506" s="62" t="n">
        <f aca="false">Saida!R310</f>
        <v>10</v>
      </c>
      <c r="K506" s="62" t="n">
        <f aca="false">I506-J506</f>
        <v>-10</v>
      </c>
      <c r="L506" s="61" t="s">
        <v>886</v>
      </c>
      <c r="M506" s="61" t="s">
        <v>295</v>
      </c>
      <c r="N506" s="61" t="s">
        <v>296</v>
      </c>
      <c r="O506" s="61" t="s">
        <v>250</v>
      </c>
    </row>
    <row r="507" customFormat="false" ht="15" hidden="false" customHeight="false" outlineLevel="0" collapsed="false">
      <c r="A507" s="60" t="n">
        <v>46294</v>
      </c>
      <c r="B507" s="61" t="s">
        <v>13</v>
      </c>
      <c r="C507" s="61" t="s">
        <v>106</v>
      </c>
      <c r="D507" s="61" t="s">
        <v>183</v>
      </c>
      <c r="E507" s="61" t="s">
        <v>222</v>
      </c>
      <c r="F507" s="61" t="s">
        <v>246</v>
      </c>
      <c r="G507" s="61" t="s">
        <v>4</v>
      </c>
      <c r="H507" s="62" t="n">
        <f aca="false">Saida!H311</f>
        <v>-10</v>
      </c>
      <c r="I507" s="62" t="n">
        <v>0</v>
      </c>
      <c r="J507" s="62" t="n">
        <f aca="false">Saida!R311</f>
        <v>10</v>
      </c>
      <c r="K507" s="62" t="n">
        <f aca="false">I507-J507</f>
        <v>-10</v>
      </c>
      <c r="L507" s="61" t="s">
        <v>894</v>
      </c>
      <c r="M507" s="61" t="s">
        <v>472</v>
      </c>
      <c r="N507" s="61" t="s">
        <v>473</v>
      </c>
      <c r="O507" s="61" t="s">
        <v>250</v>
      </c>
    </row>
    <row r="508" customFormat="false" ht="15" hidden="false" customHeight="false" outlineLevel="0" collapsed="false">
      <c r="A508" s="60" t="n">
        <v>46294</v>
      </c>
      <c r="B508" s="61" t="s">
        <v>13</v>
      </c>
      <c r="C508" s="61" t="s">
        <v>106</v>
      </c>
      <c r="D508" s="61" t="s">
        <v>183</v>
      </c>
      <c r="E508" s="61" t="s">
        <v>222</v>
      </c>
      <c r="F508" s="61" t="s">
        <v>246</v>
      </c>
      <c r="G508" s="61" t="s">
        <v>4</v>
      </c>
      <c r="H508" s="62" t="n">
        <f aca="false">Saida!H312</f>
        <v>-10</v>
      </c>
      <c r="I508" s="62" t="n">
        <v>0</v>
      </c>
      <c r="J508" s="62" t="n">
        <f aca="false">Saida!R312</f>
        <v>10</v>
      </c>
      <c r="K508" s="62" t="n">
        <f aca="false">I508-J508</f>
        <v>-10</v>
      </c>
      <c r="L508" s="61" t="s">
        <v>895</v>
      </c>
      <c r="M508" s="61" t="s">
        <v>880</v>
      </c>
      <c r="N508" s="61" t="s">
        <v>881</v>
      </c>
      <c r="O508" s="61" t="s">
        <v>250</v>
      </c>
    </row>
    <row r="509" customFormat="false" ht="15" hidden="false" customHeight="false" outlineLevel="0" collapsed="false">
      <c r="A509" s="60" t="n">
        <v>46294</v>
      </c>
      <c r="B509" s="61" t="s">
        <v>13</v>
      </c>
      <c r="C509" s="61" t="s">
        <v>106</v>
      </c>
      <c r="D509" s="61" t="s">
        <v>183</v>
      </c>
      <c r="E509" s="61" t="s">
        <v>222</v>
      </c>
      <c r="F509" s="61" t="s">
        <v>246</v>
      </c>
      <c r="G509" s="61" t="s">
        <v>4</v>
      </c>
      <c r="H509" s="62" t="n">
        <f aca="false">Saida!H313</f>
        <v>-10</v>
      </c>
      <c r="I509" s="62" t="n">
        <v>0</v>
      </c>
      <c r="J509" s="62" t="n">
        <f aca="false">Saida!R313</f>
        <v>10</v>
      </c>
      <c r="K509" s="62" t="n">
        <f aca="false">I509-J509</f>
        <v>-10</v>
      </c>
      <c r="L509" s="61" t="s">
        <v>896</v>
      </c>
      <c r="M509" s="61" t="s">
        <v>897</v>
      </c>
      <c r="N509" s="61" t="s">
        <v>898</v>
      </c>
      <c r="O509" s="61" t="s">
        <v>250</v>
      </c>
    </row>
    <row r="510" customFormat="false" ht="15" hidden="false" customHeight="false" outlineLevel="0" collapsed="false">
      <c r="A510" s="60" t="n">
        <v>46294</v>
      </c>
      <c r="B510" s="61" t="s">
        <v>13</v>
      </c>
      <c r="C510" s="61" t="s">
        <v>106</v>
      </c>
      <c r="D510" s="61" t="s">
        <v>183</v>
      </c>
      <c r="E510" s="61" t="s">
        <v>222</v>
      </c>
      <c r="F510" s="61" t="s">
        <v>246</v>
      </c>
      <c r="G510" s="61" t="s">
        <v>4</v>
      </c>
      <c r="H510" s="62" t="n">
        <f aca="false">Saida!H314</f>
        <v>-10</v>
      </c>
      <c r="I510" s="62" t="n">
        <v>0</v>
      </c>
      <c r="J510" s="62" t="n">
        <f aca="false">Saida!R314</f>
        <v>10</v>
      </c>
      <c r="K510" s="62" t="n">
        <f aca="false">I510-J510</f>
        <v>-10</v>
      </c>
      <c r="L510" s="61" t="s">
        <v>899</v>
      </c>
      <c r="M510" s="61" t="s">
        <v>686</v>
      </c>
      <c r="N510" s="61" t="s">
        <v>687</v>
      </c>
      <c r="O510" s="61" t="s">
        <v>250</v>
      </c>
    </row>
    <row r="511" customFormat="false" ht="15" hidden="false" customHeight="false" outlineLevel="0" collapsed="false">
      <c r="A511" s="60" t="n">
        <v>46294</v>
      </c>
      <c r="B511" s="61" t="s">
        <v>13</v>
      </c>
      <c r="C511" s="61" t="s">
        <v>106</v>
      </c>
      <c r="D511" s="61" t="s">
        <v>183</v>
      </c>
      <c r="E511" s="61" t="s">
        <v>222</v>
      </c>
      <c r="F511" s="61" t="s">
        <v>246</v>
      </c>
      <c r="G511" s="61" t="s">
        <v>4</v>
      </c>
      <c r="H511" s="62" t="n">
        <f aca="false">Saida!H315</f>
        <v>-10</v>
      </c>
      <c r="I511" s="62" t="n">
        <v>0</v>
      </c>
      <c r="J511" s="62" t="n">
        <f aca="false">Saida!R315</f>
        <v>10</v>
      </c>
      <c r="K511" s="62" t="n">
        <f aca="false">I511-J511</f>
        <v>-10</v>
      </c>
      <c r="L511" s="61" t="s">
        <v>900</v>
      </c>
      <c r="M511" s="61" t="s">
        <v>901</v>
      </c>
      <c r="N511" s="61" t="s">
        <v>902</v>
      </c>
      <c r="O511" s="61" t="s">
        <v>250</v>
      </c>
    </row>
    <row r="512" customFormat="false" ht="15" hidden="false" customHeight="false" outlineLevel="0" collapsed="false">
      <c r="A512" s="60" t="n">
        <v>46294</v>
      </c>
      <c r="B512" s="61" t="s">
        <v>13</v>
      </c>
      <c r="C512" s="61" t="s">
        <v>106</v>
      </c>
      <c r="D512" s="61" t="s">
        <v>183</v>
      </c>
      <c r="E512" s="61" t="s">
        <v>222</v>
      </c>
      <c r="F512" s="61" t="s">
        <v>246</v>
      </c>
      <c r="G512" s="61" t="s">
        <v>4</v>
      </c>
      <c r="H512" s="62" t="n">
        <f aca="false">Saida!H316</f>
        <v>-150</v>
      </c>
      <c r="I512" s="62" t="n">
        <v>0</v>
      </c>
      <c r="J512" s="62" t="n">
        <f aca="false">Saida!R316</f>
        <v>150</v>
      </c>
      <c r="K512" s="62" t="n">
        <f aca="false">I512-J512</f>
        <v>-150</v>
      </c>
      <c r="L512" s="61" t="s">
        <v>903</v>
      </c>
      <c r="M512" s="61" t="s">
        <v>546</v>
      </c>
      <c r="N512" s="61" t="s">
        <v>547</v>
      </c>
      <c r="O512" s="61" t="s">
        <v>338</v>
      </c>
    </row>
    <row r="513" customFormat="false" ht="15" hidden="false" customHeight="false" outlineLevel="0" collapsed="false">
      <c r="A513" s="60" t="n">
        <v>46294</v>
      </c>
      <c r="B513" s="61" t="s">
        <v>13</v>
      </c>
      <c r="C513" s="61" t="s">
        <v>110</v>
      </c>
      <c r="D513" s="61" t="s">
        <v>190</v>
      </c>
      <c r="E513" s="61" t="s">
        <v>119</v>
      </c>
      <c r="F513" s="61" t="s">
        <v>246</v>
      </c>
      <c r="G513" s="61" t="s">
        <v>4</v>
      </c>
      <c r="H513" s="62" t="n">
        <f aca="false">Saida!H331</f>
        <v>-201</v>
      </c>
      <c r="I513" s="62" t="n">
        <v>0</v>
      </c>
      <c r="J513" s="62" t="n">
        <f aca="false">Saida!R331</f>
        <v>201</v>
      </c>
      <c r="K513" s="62" t="n">
        <f aca="false">I513-J513</f>
        <v>-201</v>
      </c>
      <c r="L513" s="61" t="s">
        <v>893</v>
      </c>
      <c r="M513" s="61" t="s">
        <v>387</v>
      </c>
      <c r="N513" s="61" t="s">
        <v>388</v>
      </c>
      <c r="O513" s="61" t="s">
        <v>250</v>
      </c>
    </row>
    <row r="514" customFormat="false" ht="15" hidden="false" customHeight="false" outlineLevel="0" collapsed="false">
      <c r="A514" s="60" t="n">
        <v>46294</v>
      </c>
      <c r="B514" s="61" t="s">
        <v>13</v>
      </c>
      <c r="C514" s="61" t="s">
        <v>110</v>
      </c>
      <c r="D514" s="61" t="s">
        <v>177</v>
      </c>
      <c r="E514" s="61" t="s">
        <v>119</v>
      </c>
      <c r="F514" s="61" t="s">
        <v>246</v>
      </c>
      <c r="G514" s="61" t="s">
        <v>4</v>
      </c>
      <c r="H514" s="62" t="n">
        <f aca="false">Saida!H332</f>
        <v>-120.6</v>
      </c>
      <c r="I514" s="62" t="n">
        <v>0</v>
      </c>
      <c r="J514" s="62" t="n">
        <f aca="false">Saida!R332</f>
        <v>120.6</v>
      </c>
      <c r="K514" s="62" t="n">
        <f aca="false">I514-J514</f>
        <v>-120.6</v>
      </c>
      <c r="L514" s="61" t="s">
        <v>850</v>
      </c>
      <c r="M514" s="61" t="s">
        <v>267</v>
      </c>
      <c r="N514" s="61" t="s">
        <v>268</v>
      </c>
      <c r="O514" s="61" t="s">
        <v>250</v>
      </c>
    </row>
    <row r="515" customFormat="false" ht="15" hidden="false" customHeight="false" outlineLevel="0" collapsed="false">
      <c r="A515" s="60" t="n">
        <v>46294</v>
      </c>
      <c r="B515" s="61" t="s">
        <v>13</v>
      </c>
      <c r="C515" s="61" t="s">
        <v>110</v>
      </c>
      <c r="D515" s="61" t="s">
        <v>177</v>
      </c>
      <c r="E515" s="61" t="s">
        <v>119</v>
      </c>
      <c r="F515" s="61" t="s">
        <v>246</v>
      </c>
      <c r="G515" s="61" t="s">
        <v>4</v>
      </c>
      <c r="H515" s="62" t="n">
        <f aca="false">Saida!H333</f>
        <v>-20.1</v>
      </c>
      <c r="I515" s="62" t="n">
        <v>0</v>
      </c>
      <c r="J515" s="62" t="n">
        <f aca="false">Saida!R333</f>
        <v>20.1</v>
      </c>
      <c r="K515" s="62" t="n">
        <f aca="false">I515-J515</f>
        <v>-20.1</v>
      </c>
      <c r="L515" s="61" t="s">
        <v>904</v>
      </c>
      <c r="M515" s="61" t="s">
        <v>592</v>
      </c>
      <c r="N515" s="61" t="s">
        <v>593</v>
      </c>
      <c r="O515" s="61" t="s">
        <v>250</v>
      </c>
    </row>
    <row r="516" customFormat="false" ht="15" hidden="false" customHeight="false" outlineLevel="0" collapsed="false">
      <c r="A516" s="60" t="n">
        <v>46294</v>
      </c>
      <c r="B516" s="61" t="s">
        <v>13</v>
      </c>
      <c r="C516" s="61" t="s">
        <v>135</v>
      </c>
      <c r="D516" s="61" t="s">
        <v>203</v>
      </c>
      <c r="E516" s="61" t="s">
        <v>224</v>
      </c>
      <c r="F516" s="61" t="s">
        <v>246</v>
      </c>
      <c r="G516" s="61" t="s">
        <v>4</v>
      </c>
      <c r="H516" s="62" t="n">
        <f aca="false">Saida!H359</f>
        <v>-25</v>
      </c>
      <c r="I516" s="62" t="n">
        <v>0</v>
      </c>
      <c r="J516" s="62" t="n">
        <f aca="false">Saida!R359</f>
        <v>25</v>
      </c>
      <c r="K516" s="62" t="n">
        <f aca="false">I516-J516</f>
        <v>-25</v>
      </c>
      <c r="L516" s="61" t="s">
        <v>903</v>
      </c>
      <c r="M516" s="61" t="s">
        <v>546</v>
      </c>
      <c r="N516" s="61" t="s">
        <v>547</v>
      </c>
      <c r="O516" s="61" t="s">
        <v>338</v>
      </c>
    </row>
    <row r="517" customFormat="false" ht="15" hidden="false" customHeight="false" outlineLevel="0" collapsed="false">
      <c r="A517" s="60" t="n">
        <v>46294</v>
      </c>
      <c r="B517" s="61" t="str">
        <f aca="false">Entrada!K88</f>
        <v>Entrada</v>
      </c>
      <c r="C517" s="61" t="s">
        <v>131</v>
      </c>
      <c r="D517" s="61" t="s">
        <v>205</v>
      </c>
      <c r="E517" s="61" t="s">
        <v>132</v>
      </c>
      <c r="F517" s="61" t="s">
        <v>251</v>
      </c>
      <c r="G517" s="61" t="s">
        <v>12</v>
      </c>
      <c r="H517" s="62" t="n">
        <f aca="false">Entrada!G88</f>
        <v>-120</v>
      </c>
      <c r="I517" s="62" t="n">
        <f aca="false">Entrada!L88</f>
        <v>120</v>
      </c>
      <c r="J517" s="62" t="n">
        <v>0</v>
      </c>
      <c r="K517" s="62" t="n">
        <f aca="false">I517-J517</f>
        <v>120</v>
      </c>
      <c r="L517" s="61" t="s">
        <v>905</v>
      </c>
      <c r="M517" s="61"/>
      <c r="N517" s="61"/>
      <c r="O517" s="61"/>
    </row>
    <row r="518" customFormat="false" ht="15" hidden="false" customHeight="false" outlineLevel="0" collapsed="false">
      <c r="A518" s="60" t="n">
        <v>46294</v>
      </c>
      <c r="B518" s="61" t="s">
        <v>13</v>
      </c>
      <c r="C518" s="61" t="s">
        <v>131</v>
      </c>
      <c r="D518" s="61" t="s">
        <v>205</v>
      </c>
      <c r="E518" s="61" t="s">
        <v>132</v>
      </c>
      <c r="F518" s="61" t="s">
        <v>246</v>
      </c>
      <c r="G518" s="61" t="s">
        <v>12</v>
      </c>
      <c r="H518" s="62" t="n">
        <f aca="false">Saida!H363</f>
        <v>-3</v>
      </c>
      <c r="I518" s="62" t="n">
        <v>0</v>
      </c>
      <c r="J518" s="62" t="n">
        <f aca="false">Saida!R363</f>
        <v>3</v>
      </c>
      <c r="K518" s="62" t="n">
        <f aca="false">I518-J518</f>
        <v>-3</v>
      </c>
      <c r="L518" s="61" t="s">
        <v>906</v>
      </c>
      <c r="M518" s="61" t="s">
        <v>546</v>
      </c>
      <c r="N518" s="61" t="s">
        <v>547</v>
      </c>
      <c r="O518" s="61" t="s">
        <v>338</v>
      </c>
    </row>
    <row r="519" customFormat="false" ht="15" hidden="false" customHeight="false" outlineLevel="0" collapsed="false">
      <c r="A519" s="60" t="n">
        <v>46294</v>
      </c>
      <c r="B519" s="61" t="s">
        <v>13</v>
      </c>
      <c r="C519" s="61" t="s">
        <v>131</v>
      </c>
      <c r="D519" s="61" t="s">
        <v>205</v>
      </c>
      <c r="E519" s="61" t="s">
        <v>132</v>
      </c>
      <c r="F519" s="61" t="s">
        <v>246</v>
      </c>
      <c r="G519" s="61" t="s">
        <v>12</v>
      </c>
      <c r="H519" s="62" t="n">
        <f aca="false">Saida!H364</f>
        <v>-12</v>
      </c>
      <c r="I519" s="62" t="n">
        <v>0</v>
      </c>
      <c r="J519" s="62" t="n">
        <f aca="false">Saida!R364</f>
        <v>12</v>
      </c>
      <c r="K519" s="62" t="n">
        <f aca="false">I519-J519</f>
        <v>-12</v>
      </c>
      <c r="L519" s="61" t="s">
        <v>907</v>
      </c>
      <c r="M519" s="61" t="s">
        <v>908</v>
      </c>
      <c r="N519" s="61" t="s">
        <v>909</v>
      </c>
      <c r="O519" s="61" t="s">
        <v>338</v>
      </c>
    </row>
    <row r="520" customFormat="false" ht="15" hidden="false" customHeight="false" outlineLevel="0" collapsed="false">
      <c r="A520" s="60" t="n">
        <v>46294</v>
      </c>
      <c r="B520" s="61" t="str">
        <f aca="false">Entrada!K89</f>
        <v>Entrada</v>
      </c>
      <c r="C520" s="61" t="s">
        <v>131</v>
      </c>
      <c r="D520" s="61" t="s">
        <v>206</v>
      </c>
      <c r="E520" s="61" t="s">
        <v>132</v>
      </c>
      <c r="F520" s="61" t="s">
        <v>251</v>
      </c>
      <c r="G520" s="61" t="s">
        <v>12</v>
      </c>
      <c r="H520" s="62" t="n">
        <f aca="false">Entrada!G89</f>
        <v>-120</v>
      </c>
      <c r="I520" s="62" t="n">
        <f aca="false">Entrada!L89</f>
        <v>120</v>
      </c>
      <c r="J520" s="62" t="n">
        <v>0</v>
      </c>
      <c r="K520" s="62" t="n">
        <f aca="false">I520-J520</f>
        <v>120</v>
      </c>
      <c r="L520" s="61" t="s">
        <v>905</v>
      </c>
      <c r="M520" s="61"/>
      <c r="N520" s="61"/>
      <c r="O520" s="61"/>
    </row>
    <row r="521" customFormat="false" ht="15" hidden="false" customHeight="false" outlineLevel="0" collapsed="false">
      <c r="A521" s="60" t="n">
        <v>46294</v>
      </c>
      <c r="B521" s="61" t="str">
        <f aca="false">Entrada!K90</f>
        <v>Entrada</v>
      </c>
      <c r="C521" s="61" t="s">
        <v>131</v>
      </c>
      <c r="D521" s="61" t="s">
        <v>206</v>
      </c>
      <c r="E521" s="61" t="s">
        <v>132</v>
      </c>
      <c r="F521" s="61" t="s">
        <v>251</v>
      </c>
      <c r="G521" s="61" t="s">
        <v>12</v>
      </c>
      <c r="H521" s="62" t="n">
        <f aca="false">Entrada!G90</f>
        <v>-120</v>
      </c>
      <c r="I521" s="62" t="n">
        <f aca="false">Entrada!L90</f>
        <v>120</v>
      </c>
      <c r="J521" s="62" t="n">
        <v>0</v>
      </c>
      <c r="K521" s="62" t="n">
        <f aca="false">I521-J521</f>
        <v>120</v>
      </c>
      <c r="L521" s="61" t="s">
        <v>910</v>
      </c>
      <c r="M521" s="61"/>
      <c r="N521" s="61"/>
      <c r="O521" s="61"/>
    </row>
    <row r="522" customFormat="false" ht="15" hidden="false" customHeight="false" outlineLevel="0" collapsed="false">
      <c r="A522" s="60" t="n">
        <v>46294</v>
      </c>
      <c r="B522" s="61" t="str">
        <f aca="false">Entrada!K86</f>
        <v>Entrada</v>
      </c>
      <c r="C522" s="61" t="s">
        <v>131</v>
      </c>
      <c r="D522" s="61" t="s">
        <v>209</v>
      </c>
      <c r="E522" s="61" t="s">
        <v>132</v>
      </c>
      <c r="F522" s="61" t="s">
        <v>251</v>
      </c>
      <c r="G522" s="61" t="s">
        <v>12</v>
      </c>
      <c r="H522" s="62" t="n">
        <f aca="false">Entrada!G86</f>
        <v>-120</v>
      </c>
      <c r="I522" s="62" t="n">
        <f aca="false">Entrada!L86</f>
        <v>120</v>
      </c>
      <c r="J522" s="62" t="n">
        <v>0</v>
      </c>
      <c r="K522" s="62" t="n">
        <f aca="false">I522-J522</f>
        <v>120</v>
      </c>
      <c r="L522" s="61" t="s">
        <v>887</v>
      </c>
      <c r="M522" s="61"/>
      <c r="N522" s="61"/>
      <c r="O522" s="61"/>
    </row>
    <row r="523" customFormat="false" ht="15" hidden="false" customHeight="false" outlineLevel="0" collapsed="false">
      <c r="A523" s="60" t="n">
        <v>46294</v>
      </c>
      <c r="B523" s="61" t="str">
        <f aca="false">Entrada!K87</f>
        <v>Entrada</v>
      </c>
      <c r="C523" s="61" t="s">
        <v>131</v>
      </c>
      <c r="D523" s="61" t="s">
        <v>209</v>
      </c>
      <c r="E523" s="61" t="s">
        <v>132</v>
      </c>
      <c r="F523" s="61" t="s">
        <v>251</v>
      </c>
      <c r="G523" s="61" t="s">
        <v>12</v>
      </c>
      <c r="H523" s="62" t="n">
        <f aca="false">Entrada!G87</f>
        <v>-120</v>
      </c>
      <c r="I523" s="62" t="n">
        <f aca="false">Entrada!L87</f>
        <v>120</v>
      </c>
      <c r="J523" s="62" t="n">
        <v>0</v>
      </c>
      <c r="K523" s="62" t="n">
        <f aca="false">I523-J523</f>
        <v>120</v>
      </c>
      <c r="L523" s="61" t="s">
        <v>911</v>
      </c>
      <c r="M523" s="61"/>
      <c r="N523" s="61"/>
      <c r="O523" s="61"/>
    </row>
    <row r="524" customFormat="false" ht="15" hidden="false" customHeight="false" outlineLevel="0" collapsed="false">
      <c r="A524" s="60" t="n">
        <v>46294</v>
      </c>
      <c r="B524" s="61" t="s">
        <v>13</v>
      </c>
      <c r="C524" s="61" t="s">
        <v>147</v>
      </c>
      <c r="D524" s="61" t="s">
        <v>210</v>
      </c>
      <c r="E524" s="61" t="s">
        <v>225</v>
      </c>
      <c r="F524" s="61" t="s">
        <v>246</v>
      </c>
      <c r="G524" s="61" t="s">
        <v>4</v>
      </c>
      <c r="H524" s="62" t="n">
        <f aca="false">Saida!H367</f>
        <v>-350</v>
      </c>
      <c r="I524" s="62" t="n">
        <v>0</v>
      </c>
      <c r="J524" s="62" t="n">
        <f aca="false">Saida!R367</f>
        <v>350</v>
      </c>
      <c r="K524" s="62" t="n">
        <f aca="false">I524-J524</f>
        <v>-350</v>
      </c>
      <c r="L524" s="61" t="s">
        <v>912</v>
      </c>
      <c r="M524" s="61" t="s">
        <v>913</v>
      </c>
      <c r="N524" s="61" t="s">
        <v>914</v>
      </c>
      <c r="O524" s="61" t="s">
        <v>250</v>
      </c>
    </row>
    <row r="525" customFormat="false" ht="15" hidden="false" customHeight="false" outlineLevel="0" collapsed="false">
      <c r="A525" s="60" t="n">
        <v>46294</v>
      </c>
      <c r="B525" s="61" t="s">
        <v>13</v>
      </c>
      <c r="C525" s="61" t="s">
        <v>147</v>
      </c>
      <c r="D525" s="61" t="s">
        <v>210</v>
      </c>
      <c r="E525" s="61" t="s">
        <v>225</v>
      </c>
      <c r="F525" s="61" t="s">
        <v>246</v>
      </c>
      <c r="G525" s="61" t="s">
        <v>4</v>
      </c>
      <c r="H525" s="62" t="n">
        <f aca="false">Saida!H368</f>
        <v>-650</v>
      </c>
      <c r="I525" s="62" t="n">
        <v>0</v>
      </c>
      <c r="J525" s="62" t="n">
        <f aca="false">Saida!R368</f>
        <v>650</v>
      </c>
      <c r="K525" s="62" t="n">
        <f aca="false">I525-J525</f>
        <v>-650</v>
      </c>
      <c r="L525" s="61" t="s">
        <v>915</v>
      </c>
      <c r="M525" s="61" t="s">
        <v>913</v>
      </c>
      <c r="N525" s="61" t="s">
        <v>914</v>
      </c>
      <c r="O525" s="61" t="s">
        <v>250</v>
      </c>
    </row>
    <row r="526" customFormat="false" ht="15" hidden="false" customHeight="false" outlineLevel="0" collapsed="false">
      <c r="A526" s="60" t="n">
        <v>46294</v>
      </c>
      <c r="B526" s="61" t="str">
        <f aca="false">Entrada!K98</f>
        <v>Entrada</v>
      </c>
      <c r="C526" s="61" t="s">
        <v>147</v>
      </c>
      <c r="D526" s="61" t="s">
        <v>211</v>
      </c>
      <c r="E526" s="61" t="s">
        <v>225</v>
      </c>
      <c r="F526" s="61" t="s">
        <v>251</v>
      </c>
      <c r="G526" s="61" t="s">
        <v>4</v>
      </c>
      <c r="H526" s="62" t="n">
        <f aca="false">Entrada!G98</f>
        <v>-100</v>
      </c>
      <c r="I526" s="62" t="n">
        <f aca="false">Entrada!L98</f>
        <v>100</v>
      </c>
      <c r="J526" s="62" t="n">
        <v>0</v>
      </c>
      <c r="K526" s="62" t="n">
        <f aca="false">I526-J526</f>
        <v>100</v>
      </c>
      <c r="L526" s="61" t="s">
        <v>916</v>
      </c>
      <c r="M526" s="61"/>
      <c r="N526" s="61"/>
      <c r="O526" s="61"/>
    </row>
    <row r="527" customFormat="false" ht="15" hidden="false" customHeight="false" outlineLevel="0" collapsed="false">
      <c r="A527" s="60" t="n">
        <v>46294</v>
      </c>
      <c r="B527" s="61" t="str">
        <f aca="false">Entrada!K99</f>
        <v>Entrada</v>
      </c>
      <c r="C527" s="61" t="s">
        <v>147</v>
      </c>
      <c r="D527" s="61" t="s">
        <v>211</v>
      </c>
      <c r="E527" s="61" t="s">
        <v>225</v>
      </c>
      <c r="F527" s="61" t="s">
        <v>251</v>
      </c>
      <c r="G527" s="61" t="s">
        <v>4</v>
      </c>
      <c r="H527" s="62" t="n">
        <f aca="false">Entrada!G99</f>
        <v>-500</v>
      </c>
      <c r="I527" s="62" t="n">
        <f aca="false">Entrada!L99</f>
        <v>500</v>
      </c>
      <c r="J527" s="62" t="n">
        <v>0</v>
      </c>
      <c r="K527" s="62" t="n">
        <f aca="false">I527-J527</f>
        <v>500</v>
      </c>
      <c r="L527" s="61" t="s">
        <v>916</v>
      </c>
      <c r="M527" s="61"/>
      <c r="N527" s="61"/>
      <c r="O527" s="61"/>
    </row>
    <row r="528" customFormat="false" ht="15" hidden="false" customHeight="false" outlineLevel="0" collapsed="false">
      <c r="A528" s="60" t="n">
        <v>46294</v>
      </c>
      <c r="B528" s="61" t="str">
        <f aca="false">Entrada!K100</f>
        <v>Entrada</v>
      </c>
      <c r="C528" s="61" t="s">
        <v>147</v>
      </c>
      <c r="D528" s="61" t="s">
        <v>211</v>
      </c>
      <c r="E528" s="61" t="s">
        <v>225</v>
      </c>
      <c r="F528" s="61" t="s">
        <v>251</v>
      </c>
      <c r="G528" s="61" t="s">
        <v>4</v>
      </c>
      <c r="H528" s="62" t="n">
        <f aca="false">Entrada!G100</f>
        <v>-500</v>
      </c>
      <c r="I528" s="62" t="n">
        <f aca="false">Entrada!L100</f>
        <v>500</v>
      </c>
      <c r="J528" s="62" t="n">
        <v>0</v>
      </c>
      <c r="K528" s="62" t="n">
        <f aca="false">I528-J528</f>
        <v>500</v>
      </c>
      <c r="L528" s="61" t="s">
        <v>917</v>
      </c>
      <c r="M528" s="61"/>
      <c r="N528" s="61"/>
      <c r="O528" s="61"/>
    </row>
    <row r="529" customFormat="false" ht="15" hidden="false" customHeight="false" outlineLevel="0" collapsed="false">
      <c r="A529" s="60" t="n">
        <v>46294</v>
      </c>
      <c r="B529" s="61" t="str">
        <f aca="false">Entrada!K101</f>
        <v>Entrada</v>
      </c>
      <c r="C529" s="61" t="s">
        <v>147</v>
      </c>
      <c r="D529" s="61" t="s">
        <v>211</v>
      </c>
      <c r="E529" s="61" t="s">
        <v>225</v>
      </c>
      <c r="F529" s="61" t="s">
        <v>251</v>
      </c>
      <c r="G529" s="61" t="s">
        <v>4</v>
      </c>
      <c r="H529" s="62" t="n">
        <f aca="false">Entrada!G101</f>
        <v>-500</v>
      </c>
      <c r="I529" s="62" t="n">
        <f aca="false">Entrada!L101</f>
        <v>500</v>
      </c>
      <c r="J529" s="62" t="n">
        <v>0</v>
      </c>
      <c r="K529" s="62" t="n">
        <f aca="false">I529-J529</f>
        <v>500</v>
      </c>
      <c r="L529" s="61" t="s">
        <v>917</v>
      </c>
      <c r="M529" s="61"/>
      <c r="N529" s="61"/>
      <c r="O529" s="61"/>
    </row>
    <row r="530" customFormat="false" ht="15" hidden="false" customHeight="false" outlineLevel="0" collapsed="false">
      <c r="A530" s="60" t="n">
        <v>46294</v>
      </c>
      <c r="B530" s="61" t="str">
        <f aca="false">Entrada!K102</f>
        <v>Entrada</v>
      </c>
      <c r="C530" s="61" t="s">
        <v>147</v>
      </c>
      <c r="D530" s="61" t="s">
        <v>211</v>
      </c>
      <c r="E530" s="61" t="s">
        <v>225</v>
      </c>
      <c r="F530" s="61" t="s">
        <v>251</v>
      </c>
      <c r="G530" s="61" t="s">
        <v>4</v>
      </c>
      <c r="H530" s="62" t="n">
        <f aca="false">Entrada!G102</f>
        <v>-500</v>
      </c>
      <c r="I530" s="62" t="n">
        <f aca="false">Entrada!L102</f>
        <v>500</v>
      </c>
      <c r="J530" s="62" t="n">
        <v>0</v>
      </c>
      <c r="K530" s="62" t="n">
        <f aca="false">I530-J530</f>
        <v>500</v>
      </c>
      <c r="L530" s="61" t="s">
        <v>917</v>
      </c>
      <c r="M530" s="61"/>
      <c r="N530" s="61"/>
      <c r="O530" s="61"/>
    </row>
    <row r="531" customFormat="false" ht="15" hidden="false" customHeight="false" outlineLevel="0" collapsed="false">
      <c r="A531" s="60" t="n">
        <v>46294</v>
      </c>
      <c r="B531" s="61" t="str">
        <f aca="false">Entrada!K103</f>
        <v>Entrada</v>
      </c>
      <c r="C531" s="61" t="s">
        <v>147</v>
      </c>
      <c r="D531" s="61" t="s">
        <v>211</v>
      </c>
      <c r="E531" s="61" t="s">
        <v>225</v>
      </c>
      <c r="F531" s="61" t="s">
        <v>251</v>
      </c>
      <c r="G531" s="61" t="s">
        <v>4</v>
      </c>
      <c r="H531" s="62" t="n">
        <f aca="false">Entrada!G103</f>
        <v>-500</v>
      </c>
      <c r="I531" s="62" t="n">
        <f aca="false">Entrada!L103</f>
        <v>500</v>
      </c>
      <c r="J531" s="62" t="n">
        <v>0</v>
      </c>
      <c r="K531" s="62" t="n">
        <f aca="false">I531-J531</f>
        <v>500</v>
      </c>
      <c r="L531" s="61" t="s">
        <v>917</v>
      </c>
      <c r="M531" s="61"/>
      <c r="N531" s="61"/>
      <c r="O531" s="61"/>
    </row>
    <row r="532" customFormat="false" ht="15" hidden="false" customHeight="false" outlineLevel="0" collapsed="false">
      <c r="A532" s="60" t="n">
        <v>46294</v>
      </c>
      <c r="B532" s="61" t="str">
        <f aca="false">Entrada!K104</f>
        <v>Entrada</v>
      </c>
      <c r="C532" s="61" t="s">
        <v>147</v>
      </c>
      <c r="D532" s="61" t="s">
        <v>211</v>
      </c>
      <c r="E532" s="61" t="s">
        <v>225</v>
      </c>
      <c r="F532" s="61" t="s">
        <v>251</v>
      </c>
      <c r="G532" s="61" t="s">
        <v>4</v>
      </c>
      <c r="H532" s="62" t="n">
        <f aca="false">Entrada!G104</f>
        <v>-500</v>
      </c>
      <c r="I532" s="62" t="n">
        <f aca="false">Entrada!L104</f>
        <v>500</v>
      </c>
      <c r="J532" s="62" t="n">
        <v>0</v>
      </c>
      <c r="K532" s="62" t="n">
        <f aca="false">I532-J532</f>
        <v>500</v>
      </c>
      <c r="L532" s="61" t="s">
        <v>917</v>
      </c>
      <c r="M532" s="61"/>
      <c r="N532" s="61"/>
      <c r="O532" s="61"/>
    </row>
    <row r="533" customFormat="false" ht="15" hidden="false" customHeight="false" outlineLevel="0" collapsed="false">
      <c r="A533" s="60" t="n">
        <v>46294</v>
      </c>
      <c r="B533" s="61" t="str">
        <f aca="false">Entrada!K105</f>
        <v>Entrada</v>
      </c>
      <c r="C533" s="61" t="s">
        <v>147</v>
      </c>
      <c r="D533" s="61" t="s">
        <v>211</v>
      </c>
      <c r="E533" s="61" t="s">
        <v>225</v>
      </c>
      <c r="F533" s="61" t="s">
        <v>251</v>
      </c>
      <c r="G533" s="61" t="s">
        <v>4</v>
      </c>
      <c r="H533" s="62" t="n">
        <f aca="false">Entrada!G105</f>
        <v>-480</v>
      </c>
      <c r="I533" s="62" t="n">
        <f aca="false">Entrada!L105</f>
        <v>480</v>
      </c>
      <c r="J533" s="62" t="n">
        <v>0</v>
      </c>
      <c r="K533" s="62" t="n">
        <f aca="false">I533-J533</f>
        <v>480</v>
      </c>
      <c r="L533" s="61" t="s">
        <v>917</v>
      </c>
      <c r="M533" s="61"/>
      <c r="N533" s="61"/>
      <c r="O533" s="61"/>
    </row>
    <row r="534" customFormat="false" ht="15" hidden="false" customHeight="false" outlineLevel="0" collapsed="false">
      <c r="A534" s="60" t="n">
        <v>46294</v>
      </c>
      <c r="B534" s="61" t="str">
        <f aca="false">Entrada!K106</f>
        <v>Entrada</v>
      </c>
      <c r="C534" s="61" t="s">
        <v>147</v>
      </c>
      <c r="D534" s="61" t="s">
        <v>211</v>
      </c>
      <c r="E534" s="61" t="s">
        <v>225</v>
      </c>
      <c r="F534" s="61" t="s">
        <v>251</v>
      </c>
      <c r="G534" s="61" t="s">
        <v>4</v>
      </c>
      <c r="H534" s="62" t="n">
        <f aca="false">Entrada!G106</f>
        <v>-200</v>
      </c>
      <c r="I534" s="62" t="n">
        <f aca="false">Entrada!L106</f>
        <v>200</v>
      </c>
      <c r="J534" s="62" t="n">
        <v>0</v>
      </c>
      <c r="K534" s="62" t="n">
        <f aca="false">I534-J534</f>
        <v>200</v>
      </c>
      <c r="L534" s="61" t="s">
        <v>917</v>
      </c>
      <c r="M534" s="61"/>
      <c r="N534" s="61"/>
      <c r="O534" s="61"/>
    </row>
    <row r="535" customFormat="false" ht="15" hidden="false" customHeight="false" outlineLevel="0" collapsed="false">
      <c r="A535" s="60" t="n">
        <v>46294</v>
      </c>
      <c r="B535" s="61" t="str">
        <f aca="false">Entrada!K107</f>
        <v>Entrada</v>
      </c>
      <c r="C535" s="61" t="s">
        <v>147</v>
      </c>
      <c r="D535" s="61" t="s">
        <v>211</v>
      </c>
      <c r="E535" s="61" t="s">
        <v>225</v>
      </c>
      <c r="F535" s="61" t="s">
        <v>251</v>
      </c>
      <c r="G535" s="61" t="s">
        <v>4</v>
      </c>
      <c r="H535" s="62" t="n">
        <f aca="false">Entrada!G107</f>
        <v>-500</v>
      </c>
      <c r="I535" s="62" t="n">
        <f aca="false">Entrada!L107</f>
        <v>500</v>
      </c>
      <c r="J535" s="62" t="n">
        <v>0</v>
      </c>
      <c r="K535" s="62" t="n">
        <f aca="false">I535-J535</f>
        <v>500</v>
      </c>
      <c r="L535" s="61" t="s">
        <v>917</v>
      </c>
      <c r="M535" s="61"/>
      <c r="N535" s="61"/>
      <c r="O535" s="61"/>
    </row>
    <row r="536" customFormat="false" ht="15" hidden="false" customHeight="false" outlineLevel="0" collapsed="false">
      <c r="A536" s="60" t="n">
        <v>46294</v>
      </c>
      <c r="B536" s="61" t="str">
        <f aca="false">Entrada!K108</f>
        <v>Entrada</v>
      </c>
      <c r="C536" s="61" t="s">
        <v>147</v>
      </c>
      <c r="D536" s="61" t="s">
        <v>211</v>
      </c>
      <c r="E536" s="61" t="s">
        <v>225</v>
      </c>
      <c r="F536" s="61" t="s">
        <v>251</v>
      </c>
      <c r="G536" s="61" t="s">
        <v>4</v>
      </c>
      <c r="H536" s="62" t="n">
        <f aca="false">Entrada!G108</f>
        <v>-500</v>
      </c>
      <c r="I536" s="62" t="n">
        <f aca="false">Entrada!L108</f>
        <v>500</v>
      </c>
      <c r="J536" s="62" t="n">
        <v>0</v>
      </c>
      <c r="K536" s="62" t="n">
        <f aca="false">I536-J536</f>
        <v>500</v>
      </c>
      <c r="L536" s="61" t="s">
        <v>917</v>
      </c>
      <c r="M536" s="61"/>
      <c r="N536" s="61"/>
      <c r="O536" s="61"/>
    </row>
    <row r="537" customFormat="false" ht="15" hidden="false" customHeight="false" outlineLevel="0" collapsed="false">
      <c r="A537" s="60" t="n">
        <v>46294</v>
      </c>
      <c r="B537" s="61" t="s">
        <v>13</v>
      </c>
      <c r="C537" s="61" t="s">
        <v>151</v>
      </c>
      <c r="D537" s="61" t="s">
        <v>213</v>
      </c>
      <c r="E537" s="61" t="s">
        <v>225</v>
      </c>
      <c r="F537" s="61" t="s">
        <v>246</v>
      </c>
      <c r="G537" s="61" t="s">
        <v>4</v>
      </c>
      <c r="H537" s="62" t="n">
        <f aca="false">Saida!H370</f>
        <v>-10</v>
      </c>
      <c r="I537" s="62" t="n">
        <v>0</v>
      </c>
      <c r="J537" s="62" t="n">
        <f aca="false">Saida!R370</f>
        <v>10</v>
      </c>
      <c r="K537" s="62" t="n">
        <f aca="false">I537-J537</f>
        <v>-10</v>
      </c>
      <c r="L537" s="61" t="s">
        <v>918</v>
      </c>
      <c r="M537" s="61" t="s">
        <v>580</v>
      </c>
      <c r="N537" s="61" t="s">
        <v>581</v>
      </c>
      <c r="O537" s="61" t="s">
        <v>250</v>
      </c>
    </row>
    <row r="538" customFormat="false" ht="15" hidden="false" customHeight="false" outlineLevel="0" collapsed="false">
      <c r="A538" s="60" t="n">
        <v>46294</v>
      </c>
      <c r="B538" s="61" t="s">
        <v>13</v>
      </c>
      <c r="C538" s="61" t="s">
        <v>160</v>
      </c>
      <c r="D538" s="61" t="s">
        <v>217</v>
      </c>
      <c r="E538" s="61" t="s">
        <v>186</v>
      </c>
      <c r="F538" s="61" t="s">
        <v>246</v>
      </c>
      <c r="G538" s="61" t="s">
        <v>4</v>
      </c>
      <c r="H538" s="62" t="n">
        <f aca="false">Saida!H379</f>
        <v>-19.6</v>
      </c>
      <c r="I538" s="62" t="n">
        <v>0</v>
      </c>
      <c r="J538" s="62" t="n">
        <f aca="false">Saida!R379</f>
        <v>19.6</v>
      </c>
      <c r="K538" s="62" t="n">
        <f aca="false">I538-J538</f>
        <v>-19.6</v>
      </c>
      <c r="L538" s="61" t="s">
        <v>864</v>
      </c>
      <c r="M538" s="61" t="s">
        <v>865</v>
      </c>
      <c r="N538" s="61" t="s">
        <v>866</v>
      </c>
      <c r="O538" s="61" t="s">
        <v>250</v>
      </c>
    </row>
    <row r="539" customFormat="false" ht="15" hidden="false" customHeight="false" outlineLevel="0" collapsed="false">
      <c r="A539" s="60" t="n">
        <v>46294</v>
      </c>
      <c r="B539" s="61" t="str">
        <f aca="false">Entrada!K113</f>
        <v>Entrada</v>
      </c>
      <c r="C539" s="61" t="s">
        <v>157</v>
      </c>
      <c r="D539" s="61" t="s">
        <v>194</v>
      </c>
      <c r="E539" s="61" t="s">
        <v>119</v>
      </c>
      <c r="F539" s="61" t="s">
        <v>251</v>
      </c>
      <c r="G539" s="61" t="s">
        <v>4</v>
      </c>
      <c r="H539" s="62" t="n">
        <f aca="false">Entrada!G113</f>
        <v>-482.4</v>
      </c>
      <c r="I539" s="62" t="n">
        <f aca="false">Entrada!L113</f>
        <v>482.4</v>
      </c>
      <c r="J539" s="62" t="n">
        <v>0</v>
      </c>
      <c r="K539" s="62" t="n">
        <f aca="false">I539-J539</f>
        <v>482.4</v>
      </c>
      <c r="L539" s="61" t="s">
        <v>887</v>
      </c>
      <c r="M539" s="61"/>
      <c r="N539" s="61"/>
      <c r="O539" s="61"/>
    </row>
    <row r="540" customFormat="false" ht="15" hidden="false" customHeight="false" outlineLevel="0" collapsed="false">
      <c r="A540" s="60" t="n">
        <v>46294</v>
      </c>
      <c r="B540" s="61" t="s">
        <v>13</v>
      </c>
      <c r="C540" s="61" t="s">
        <v>157</v>
      </c>
      <c r="D540" s="61" t="s">
        <v>194</v>
      </c>
      <c r="E540" s="61" t="s">
        <v>119</v>
      </c>
      <c r="F540" s="61" t="s">
        <v>246</v>
      </c>
      <c r="G540" s="61" t="s">
        <v>4</v>
      </c>
      <c r="H540" s="62" t="n">
        <f aca="false">Saida!H381</f>
        <v>-100.5</v>
      </c>
      <c r="I540" s="62" t="n">
        <v>0</v>
      </c>
      <c r="J540" s="62" t="n">
        <f aca="false">Saida!R381</f>
        <v>100.5</v>
      </c>
      <c r="K540" s="62" t="n">
        <f aca="false">I540-J540</f>
        <v>-100.5</v>
      </c>
      <c r="L540" s="61" t="s">
        <v>919</v>
      </c>
      <c r="M540" s="61" t="s">
        <v>267</v>
      </c>
      <c r="N540" s="61" t="s">
        <v>268</v>
      </c>
      <c r="O540" s="61" t="s">
        <v>250</v>
      </c>
    </row>
    <row r="541" customFormat="false" ht="15" hidden="false" customHeight="false" outlineLevel="0" collapsed="false">
      <c r="A541" s="60" t="n">
        <v>46294</v>
      </c>
      <c r="B541" s="61" t="s">
        <v>13</v>
      </c>
      <c r="C541" s="61" t="s">
        <v>157</v>
      </c>
      <c r="D541" s="61" t="s">
        <v>194</v>
      </c>
      <c r="E541" s="61" t="s">
        <v>119</v>
      </c>
      <c r="F541" s="61" t="s">
        <v>246</v>
      </c>
      <c r="G541" s="61" t="s">
        <v>4</v>
      </c>
      <c r="H541" s="62" t="n">
        <f aca="false">Saida!H382</f>
        <v>-120.6</v>
      </c>
      <c r="I541" s="62" t="n">
        <v>0</v>
      </c>
      <c r="J541" s="62" t="n">
        <f aca="false">Saida!R382</f>
        <v>120.6</v>
      </c>
      <c r="K541" s="62" t="n">
        <f aca="false">I541-J541</f>
        <v>-120.6</v>
      </c>
      <c r="L541" s="61" t="s">
        <v>920</v>
      </c>
      <c r="M541" s="61" t="s">
        <v>546</v>
      </c>
      <c r="N541" s="61" t="s">
        <v>547</v>
      </c>
      <c r="O541" s="61" t="s">
        <v>338</v>
      </c>
    </row>
    <row r="542" customFormat="false" ht="15" hidden="false" customHeight="false" outlineLevel="0" collapsed="false">
      <c r="A542" s="60" t="n">
        <v>46295</v>
      </c>
      <c r="B542" s="61" t="s">
        <v>13</v>
      </c>
      <c r="C542" s="61" t="s">
        <v>7</v>
      </c>
      <c r="D542" s="61" t="s">
        <v>8</v>
      </c>
      <c r="E542" s="61" t="s">
        <v>119</v>
      </c>
      <c r="F542" s="61" t="s">
        <v>246</v>
      </c>
      <c r="G542" s="61" t="s">
        <v>4</v>
      </c>
      <c r="H542" s="62" t="n">
        <f aca="false">Saida!H2</f>
        <v>-40.2</v>
      </c>
      <c r="I542" s="62" t="n">
        <v>0</v>
      </c>
      <c r="J542" s="62" t="n">
        <f aca="false">Saida!R2</f>
        <v>40.2</v>
      </c>
      <c r="K542" s="62" t="n">
        <f aca="false">I542-J542</f>
        <v>-40.2</v>
      </c>
      <c r="L542" s="61" t="s">
        <v>921</v>
      </c>
      <c r="M542" s="61" t="s">
        <v>922</v>
      </c>
      <c r="N542" s="61" t="s">
        <v>923</v>
      </c>
      <c r="O542" s="61" t="s">
        <v>250</v>
      </c>
    </row>
    <row r="543" customFormat="false" ht="15" hidden="false" customHeight="false" outlineLevel="0" collapsed="false">
      <c r="A543" s="60" t="n">
        <v>46295</v>
      </c>
      <c r="B543" s="61" t="s">
        <v>13</v>
      </c>
      <c r="C543" s="61" t="s">
        <v>7</v>
      </c>
      <c r="D543" s="61" t="s">
        <v>8</v>
      </c>
      <c r="E543" s="61" t="s">
        <v>119</v>
      </c>
      <c r="F543" s="61" t="s">
        <v>246</v>
      </c>
      <c r="G543" s="61" t="s">
        <v>4</v>
      </c>
      <c r="H543" s="62" t="n">
        <f aca="false">Saida!H3</f>
        <v>-60.3</v>
      </c>
      <c r="I543" s="62" t="n">
        <v>0</v>
      </c>
      <c r="J543" s="62" t="n">
        <f aca="false">Saida!R3</f>
        <v>60.3</v>
      </c>
      <c r="K543" s="62" t="n">
        <f aca="false">I543-J543</f>
        <v>-60.3</v>
      </c>
      <c r="L543" s="61" t="s">
        <v>924</v>
      </c>
      <c r="M543" s="61" t="s">
        <v>925</v>
      </c>
      <c r="N543" s="61" t="s">
        <v>926</v>
      </c>
      <c r="O543" s="61" t="s">
        <v>250</v>
      </c>
    </row>
    <row r="544" customFormat="false" ht="15" hidden="false" customHeight="false" outlineLevel="0" collapsed="false">
      <c r="A544" s="60" t="n">
        <v>46295</v>
      </c>
      <c r="B544" s="61" t="s">
        <v>13</v>
      </c>
      <c r="C544" s="61" t="s">
        <v>7</v>
      </c>
      <c r="D544" s="61" t="s">
        <v>11</v>
      </c>
      <c r="E544" s="61" t="s">
        <v>119</v>
      </c>
      <c r="F544" s="61" t="s">
        <v>254</v>
      </c>
      <c r="G544" s="61" t="s">
        <v>4</v>
      </c>
      <c r="H544" s="62" t="n">
        <f aca="false">Saida!H4</f>
        <v>-20.1</v>
      </c>
      <c r="I544" s="62" t="n">
        <v>0</v>
      </c>
      <c r="J544" s="62" t="n">
        <f aca="false">Saida!R4</f>
        <v>20.1</v>
      </c>
      <c r="K544" s="62" t="n">
        <f aca="false">I544-J544</f>
        <v>-20.1</v>
      </c>
      <c r="L544" s="61" t="s">
        <v>927</v>
      </c>
      <c r="M544" s="61" t="s">
        <v>928</v>
      </c>
      <c r="N544" s="61" t="s">
        <v>929</v>
      </c>
      <c r="O544" s="61" t="s">
        <v>319</v>
      </c>
    </row>
    <row r="545" customFormat="false" ht="15" hidden="false" customHeight="false" outlineLevel="0" collapsed="false">
      <c r="A545" s="60" t="n">
        <v>46295</v>
      </c>
      <c r="B545" s="61" t="s">
        <v>13</v>
      </c>
      <c r="C545" s="61" t="s">
        <v>20</v>
      </c>
      <c r="D545" s="61" t="s">
        <v>21</v>
      </c>
      <c r="E545" s="61" t="s">
        <v>141</v>
      </c>
      <c r="F545" s="61" t="s">
        <v>246</v>
      </c>
      <c r="G545" s="61" t="s">
        <v>4</v>
      </c>
      <c r="H545" s="62" t="n">
        <f aca="false">Saida!H32</f>
        <v>-14</v>
      </c>
      <c r="I545" s="62" t="n">
        <v>0</v>
      </c>
      <c r="J545" s="62" t="n">
        <f aca="false">Saida!R32</f>
        <v>14</v>
      </c>
      <c r="K545" s="62" t="n">
        <f aca="false">I545-J545</f>
        <v>-14</v>
      </c>
      <c r="L545" s="61" t="s">
        <v>930</v>
      </c>
      <c r="M545" s="61" t="s">
        <v>931</v>
      </c>
      <c r="N545" s="61" t="s">
        <v>932</v>
      </c>
      <c r="O545" s="61" t="s">
        <v>269</v>
      </c>
    </row>
    <row r="546" customFormat="false" ht="15" hidden="false" customHeight="false" outlineLevel="0" collapsed="false">
      <c r="A546" s="60" t="n">
        <v>46295</v>
      </c>
      <c r="B546" s="61" t="s">
        <v>13</v>
      </c>
      <c r="C546" s="61" t="s">
        <v>20</v>
      </c>
      <c r="D546" s="61" t="s">
        <v>21</v>
      </c>
      <c r="E546" s="61" t="s">
        <v>141</v>
      </c>
      <c r="F546" s="61" t="s">
        <v>246</v>
      </c>
      <c r="G546" s="61" t="s">
        <v>4</v>
      </c>
      <c r="H546" s="62" t="n">
        <f aca="false">Saida!H33</f>
        <v>-2.8</v>
      </c>
      <c r="I546" s="62" t="n">
        <v>0</v>
      </c>
      <c r="J546" s="62" t="n">
        <f aca="false">Saida!R33</f>
        <v>2.8</v>
      </c>
      <c r="K546" s="62" t="n">
        <f aca="false">I546-J546</f>
        <v>-2.8</v>
      </c>
      <c r="L546" s="61" t="s">
        <v>933</v>
      </c>
      <c r="M546" s="61" t="s">
        <v>934</v>
      </c>
      <c r="N546" s="61" t="s">
        <v>935</v>
      </c>
      <c r="O546" s="61" t="s">
        <v>250</v>
      </c>
    </row>
    <row r="547" customFormat="false" ht="15" hidden="false" customHeight="false" outlineLevel="0" collapsed="false">
      <c r="A547" s="60" t="n">
        <v>46295</v>
      </c>
      <c r="B547" s="61" t="s">
        <v>13</v>
      </c>
      <c r="C547" s="61" t="s">
        <v>20</v>
      </c>
      <c r="D547" s="61" t="s">
        <v>21</v>
      </c>
      <c r="E547" s="61" t="s">
        <v>141</v>
      </c>
      <c r="F547" s="61" t="s">
        <v>254</v>
      </c>
      <c r="G547" s="61" t="s">
        <v>4</v>
      </c>
      <c r="H547" s="62" t="n">
        <f aca="false">Saida!H34</f>
        <v>-140</v>
      </c>
      <c r="I547" s="62" t="n">
        <v>0</v>
      </c>
      <c r="J547" s="62" t="n">
        <f aca="false">Saida!R34</f>
        <v>140</v>
      </c>
      <c r="K547" s="62" t="n">
        <f aca="false">I547-J547</f>
        <v>-140</v>
      </c>
      <c r="L547" s="61" t="s">
        <v>936</v>
      </c>
      <c r="M547" s="61" t="s">
        <v>937</v>
      </c>
      <c r="N547" s="61" t="s">
        <v>938</v>
      </c>
      <c r="O547" s="61" t="s">
        <v>258</v>
      </c>
    </row>
    <row r="548" customFormat="false" ht="15" hidden="false" customHeight="false" outlineLevel="0" collapsed="false">
      <c r="A548" s="60" t="n">
        <v>46295</v>
      </c>
      <c r="B548" s="61" t="s">
        <v>13</v>
      </c>
      <c r="C548" s="61" t="s">
        <v>20</v>
      </c>
      <c r="D548" s="61" t="s">
        <v>21</v>
      </c>
      <c r="E548" s="61" t="s">
        <v>141</v>
      </c>
      <c r="F548" s="61" t="s">
        <v>246</v>
      </c>
      <c r="G548" s="61" t="s">
        <v>4</v>
      </c>
      <c r="H548" s="62" t="n">
        <f aca="false">Saida!H35</f>
        <v>-154</v>
      </c>
      <c r="I548" s="62" t="n">
        <v>0</v>
      </c>
      <c r="J548" s="62" t="n">
        <f aca="false">Saida!R35</f>
        <v>154</v>
      </c>
      <c r="K548" s="62" t="n">
        <f aca="false">I548-J548</f>
        <v>-154</v>
      </c>
      <c r="L548" s="61" t="s">
        <v>939</v>
      </c>
      <c r="M548" s="61" t="s">
        <v>940</v>
      </c>
      <c r="N548" s="61" t="s">
        <v>941</v>
      </c>
      <c r="O548" s="61" t="s">
        <v>250</v>
      </c>
    </row>
    <row r="549" customFormat="false" ht="15" hidden="false" customHeight="false" outlineLevel="0" collapsed="false">
      <c r="A549" s="60" t="n">
        <v>46295</v>
      </c>
      <c r="B549" s="61" t="s">
        <v>13</v>
      </c>
      <c r="C549" s="61" t="s">
        <v>20</v>
      </c>
      <c r="D549" s="61" t="s">
        <v>21</v>
      </c>
      <c r="E549" s="61" t="s">
        <v>141</v>
      </c>
      <c r="F549" s="61" t="s">
        <v>246</v>
      </c>
      <c r="G549" s="61" t="s">
        <v>4</v>
      </c>
      <c r="H549" s="62" t="n">
        <f aca="false">Saida!H36</f>
        <v>-2.8</v>
      </c>
      <c r="I549" s="62" t="n">
        <v>0</v>
      </c>
      <c r="J549" s="62" t="n">
        <f aca="false">Saida!R36</f>
        <v>2.8</v>
      </c>
      <c r="K549" s="62" t="n">
        <f aca="false">I549-J549</f>
        <v>-2.8</v>
      </c>
      <c r="L549" s="61" t="s">
        <v>942</v>
      </c>
      <c r="M549" s="61" t="s">
        <v>943</v>
      </c>
      <c r="N549" s="61" t="s">
        <v>944</v>
      </c>
      <c r="O549" s="61" t="s">
        <v>250</v>
      </c>
    </row>
    <row r="550" customFormat="false" ht="15" hidden="false" customHeight="false" outlineLevel="0" collapsed="false">
      <c r="A550" s="60" t="n">
        <v>46295</v>
      </c>
      <c r="B550" s="61" t="str">
        <f aca="false">Entrada!K10</f>
        <v>Entrada</v>
      </c>
      <c r="C550" s="61" t="s">
        <v>27</v>
      </c>
      <c r="D550" s="61" t="s">
        <v>32</v>
      </c>
      <c r="E550" s="61" t="s">
        <v>119</v>
      </c>
      <c r="F550" s="61" t="s">
        <v>251</v>
      </c>
      <c r="G550" s="61" t="s">
        <v>4</v>
      </c>
      <c r="H550" s="62" t="n">
        <f aca="false">Entrada!G10</f>
        <v>-221.1</v>
      </c>
      <c r="I550" s="62" t="n">
        <f aca="false">Entrada!L10</f>
        <v>221.1</v>
      </c>
      <c r="J550" s="62" t="n">
        <v>0</v>
      </c>
      <c r="K550" s="62" t="n">
        <f aca="false">I550-J550</f>
        <v>221.1</v>
      </c>
      <c r="L550" s="61" t="s">
        <v>945</v>
      </c>
      <c r="M550" s="61"/>
      <c r="N550" s="61"/>
      <c r="O550" s="61"/>
    </row>
    <row r="551" customFormat="false" ht="15" hidden="false" customHeight="false" outlineLevel="0" collapsed="false">
      <c r="A551" s="60" t="n">
        <v>46295</v>
      </c>
      <c r="B551" s="61" t="s">
        <v>13</v>
      </c>
      <c r="C551" s="61" t="s">
        <v>27</v>
      </c>
      <c r="D551" s="61" t="s">
        <v>32</v>
      </c>
      <c r="E551" s="61" t="s">
        <v>119</v>
      </c>
      <c r="F551" s="61" t="s">
        <v>246</v>
      </c>
      <c r="G551" s="61" t="s">
        <v>4</v>
      </c>
      <c r="H551" s="62" t="n">
        <f aca="false">Saida!H81</f>
        <v>-1206</v>
      </c>
      <c r="I551" s="62" t="n">
        <v>0</v>
      </c>
      <c r="J551" s="62" t="n">
        <f aca="false">Saida!R81</f>
        <v>1206</v>
      </c>
      <c r="K551" s="62" t="n">
        <f aca="false">I551-J551</f>
        <v>-1206</v>
      </c>
      <c r="L551" s="61" t="s">
        <v>946</v>
      </c>
      <c r="M551" s="61" t="s">
        <v>947</v>
      </c>
      <c r="N551" s="61" t="s">
        <v>948</v>
      </c>
      <c r="O551" s="61" t="s">
        <v>250</v>
      </c>
    </row>
    <row r="552" customFormat="false" ht="15" hidden="false" customHeight="false" outlineLevel="0" collapsed="false">
      <c r="A552" s="60" t="n">
        <v>46295</v>
      </c>
      <c r="B552" s="61" t="s">
        <v>13</v>
      </c>
      <c r="C552" s="61" t="s">
        <v>29</v>
      </c>
      <c r="D552" s="61" t="s">
        <v>34</v>
      </c>
      <c r="E552" s="61" t="s">
        <v>141</v>
      </c>
      <c r="F552" s="61" t="s">
        <v>246</v>
      </c>
      <c r="G552" s="61" t="s">
        <v>4</v>
      </c>
      <c r="H552" s="62" t="n">
        <f aca="false">Saida!H86</f>
        <v>-2.8</v>
      </c>
      <c r="I552" s="62" t="n">
        <v>0</v>
      </c>
      <c r="J552" s="62" t="n">
        <f aca="false">Saida!R86</f>
        <v>2.8</v>
      </c>
      <c r="K552" s="62" t="n">
        <f aca="false">I552-J552</f>
        <v>-2.8</v>
      </c>
      <c r="L552" s="61" t="s">
        <v>949</v>
      </c>
      <c r="M552" s="61" t="s">
        <v>950</v>
      </c>
      <c r="N552" s="61" t="s">
        <v>951</v>
      </c>
      <c r="O552" s="61" t="s">
        <v>269</v>
      </c>
    </row>
    <row r="553" customFormat="false" ht="15" hidden="false" customHeight="false" outlineLevel="0" collapsed="false">
      <c r="A553" s="60" t="n">
        <v>46295</v>
      </c>
      <c r="B553" s="61" t="s">
        <v>13</v>
      </c>
      <c r="C553" s="61" t="s">
        <v>29</v>
      </c>
      <c r="D553" s="61" t="s">
        <v>34</v>
      </c>
      <c r="E553" s="61" t="s">
        <v>141</v>
      </c>
      <c r="F553" s="61" t="s">
        <v>254</v>
      </c>
      <c r="G553" s="61" t="s">
        <v>4</v>
      </c>
      <c r="H553" s="62" t="n">
        <f aca="false">Saida!H87</f>
        <v>-84</v>
      </c>
      <c r="I553" s="62" t="n">
        <v>0</v>
      </c>
      <c r="J553" s="62" t="n">
        <f aca="false">Saida!R87</f>
        <v>84</v>
      </c>
      <c r="K553" s="62" t="n">
        <f aca="false">I553-J553</f>
        <v>-84</v>
      </c>
      <c r="L553" s="61" t="s">
        <v>936</v>
      </c>
      <c r="M553" s="61" t="s">
        <v>937</v>
      </c>
      <c r="N553" s="61" t="s">
        <v>938</v>
      </c>
      <c r="O553" s="61" t="s">
        <v>258</v>
      </c>
    </row>
    <row r="554" customFormat="false" ht="15" hidden="false" customHeight="false" outlineLevel="0" collapsed="false">
      <c r="A554" s="60" t="n">
        <v>46295</v>
      </c>
      <c r="B554" s="61" t="s">
        <v>13</v>
      </c>
      <c r="C554" s="61" t="s">
        <v>33</v>
      </c>
      <c r="D554" s="61" t="s">
        <v>54</v>
      </c>
      <c r="E554" s="61" t="s">
        <v>202</v>
      </c>
      <c r="F554" s="61" t="s">
        <v>246</v>
      </c>
      <c r="G554" s="61" t="s">
        <v>4</v>
      </c>
      <c r="H554" s="62" t="n">
        <f aca="false">Saida!H107</f>
        <v>-100</v>
      </c>
      <c r="I554" s="62" t="n">
        <v>0</v>
      </c>
      <c r="J554" s="62" t="n">
        <f aca="false">Saida!R107</f>
        <v>100</v>
      </c>
      <c r="K554" s="62" t="n">
        <f aca="false">I554-J554</f>
        <v>-100</v>
      </c>
      <c r="L554" s="61" t="s">
        <v>952</v>
      </c>
      <c r="M554" s="61" t="s">
        <v>953</v>
      </c>
      <c r="N554" s="61" t="s">
        <v>954</v>
      </c>
      <c r="O554" s="61" t="s">
        <v>269</v>
      </c>
    </row>
    <row r="555" customFormat="false" ht="15" hidden="false" customHeight="false" outlineLevel="0" collapsed="false">
      <c r="A555" s="60" t="n">
        <v>46295</v>
      </c>
      <c r="B555" s="61" t="s">
        <v>13</v>
      </c>
      <c r="C555" s="61" t="s">
        <v>35</v>
      </c>
      <c r="D555" s="61" t="s">
        <v>60</v>
      </c>
      <c r="E555" s="61" t="s">
        <v>119</v>
      </c>
      <c r="F555" s="61" t="s">
        <v>246</v>
      </c>
      <c r="G555" s="61" t="s">
        <v>4</v>
      </c>
      <c r="H555" s="62" t="n">
        <f aca="false">Saida!H116</f>
        <v>-80.4</v>
      </c>
      <c r="I555" s="62" t="n">
        <v>0</v>
      </c>
      <c r="J555" s="62" t="n">
        <f aca="false">Saida!R116</f>
        <v>80.4</v>
      </c>
      <c r="K555" s="62" t="n">
        <f aca="false">I555-J555</f>
        <v>-80.4</v>
      </c>
      <c r="L555" s="61" t="s">
        <v>955</v>
      </c>
      <c r="M555" s="61" t="s">
        <v>956</v>
      </c>
      <c r="N555" s="61" t="s">
        <v>957</v>
      </c>
      <c r="O555" s="61" t="s">
        <v>250</v>
      </c>
    </row>
    <row r="556" customFormat="false" ht="15" hidden="false" customHeight="false" outlineLevel="0" collapsed="false">
      <c r="A556" s="60" t="n">
        <v>46295</v>
      </c>
      <c r="B556" s="61" t="s">
        <v>13</v>
      </c>
      <c r="C556" s="61" t="s">
        <v>41</v>
      </c>
      <c r="D556" s="61" t="s">
        <v>62</v>
      </c>
      <c r="E556" s="61" t="s">
        <v>141</v>
      </c>
      <c r="F556" s="61" t="s">
        <v>246</v>
      </c>
      <c r="G556" s="61" t="s">
        <v>4</v>
      </c>
      <c r="H556" s="62" t="n">
        <f aca="false">Saida!H128</f>
        <v>-2.8</v>
      </c>
      <c r="I556" s="62" t="n">
        <v>0</v>
      </c>
      <c r="J556" s="62" t="n">
        <f aca="false">Saida!R128</f>
        <v>2.8</v>
      </c>
      <c r="K556" s="62" t="n">
        <f aca="false">I556-J556</f>
        <v>-2.8</v>
      </c>
      <c r="L556" s="61" t="s">
        <v>958</v>
      </c>
      <c r="M556" s="61" t="s">
        <v>959</v>
      </c>
      <c r="N556" s="61" t="s">
        <v>960</v>
      </c>
      <c r="O556" s="61" t="s">
        <v>269</v>
      </c>
    </row>
    <row r="557" customFormat="false" ht="15" hidden="false" customHeight="false" outlineLevel="0" collapsed="false">
      <c r="A557" s="60" t="n">
        <v>46295</v>
      </c>
      <c r="B557" s="61" t="s">
        <v>13</v>
      </c>
      <c r="C557" s="61" t="s">
        <v>41</v>
      </c>
      <c r="D557" s="61" t="s">
        <v>62</v>
      </c>
      <c r="E557" s="61" t="s">
        <v>141</v>
      </c>
      <c r="F557" s="61" t="s">
        <v>246</v>
      </c>
      <c r="G557" s="61" t="s">
        <v>4</v>
      </c>
      <c r="H557" s="62" t="n">
        <f aca="false">Saida!H129</f>
        <v>-2.8</v>
      </c>
      <c r="I557" s="62" t="n">
        <v>0</v>
      </c>
      <c r="J557" s="62" t="n">
        <f aca="false">Saida!R129</f>
        <v>2.8</v>
      </c>
      <c r="K557" s="62" t="n">
        <f aca="false">I557-J557</f>
        <v>-2.8</v>
      </c>
      <c r="L557" s="61" t="s">
        <v>961</v>
      </c>
      <c r="M557" s="61" t="s">
        <v>314</v>
      </c>
      <c r="N557" s="61" t="s">
        <v>315</v>
      </c>
      <c r="O557" s="61" t="s">
        <v>250</v>
      </c>
    </row>
    <row r="558" customFormat="false" ht="15" hidden="false" customHeight="false" outlineLevel="0" collapsed="false">
      <c r="A558" s="60" t="n">
        <v>46295</v>
      </c>
      <c r="B558" s="61" t="s">
        <v>13</v>
      </c>
      <c r="C558" s="61" t="s">
        <v>41</v>
      </c>
      <c r="D558" s="61" t="s">
        <v>62</v>
      </c>
      <c r="E558" s="61" t="s">
        <v>141</v>
      </c>
      <c r="F558" s="61" t="s">
        <v>246</v>
      </c>
      <c r="G558" s="61" t="s">
        <v>4</v>
      </c>
      <c r="H558" s="62" t="n">
        <f aca="false">Saida!H130</f>
        <v>-25.2</v>
      </c>
      <c r="I558" s="62" t="n">
        <v>0</v>
      </c>
      <c r="J558" s="62" t="n">
        <f aca="false">Saida!R130</f>
        <v>25.2</v>
      </c>
      <c r="K558" s="62" t="n">
        <f aca="false">I558-J558</f>
        <v>-25.2</v>
      </c>
      <c r="L558" s="61" t="s">
        <v>961</v>
      </c>
      <c r="M558" s="61" t="s">
        <v>314</v>
      </c>
      <c r="N558" s="61" t="s">
        <v>315</v>
      </c>
      <c r="O558" s="61" t="s">
        <v>250</v>
      </c>
    </row>
    <row r="559" customFormat="false" ht="15" hidden="false" customHeight="false" outlineLevel="0" collapsed="false">
      <c r="A559" s="60" t="n">
        <v>46295</v>
      </c>
      <c r="B559" s="61" t="s">
        <v>13</v>
      </c>
      <c r="C559" s="61" t="s">
        <v>47</v>
      </c>
      <c r="D559" s="61" t="s">
        <v>68</v>
      </c>
      <c r="E559" s="61" t="s">
        <v>202</v>
      </c>
      <c r="F559" s="61" t="s">
        <v>246</v>
      </c>
      <c r="G559" s="61" t="s">
        <v>4</v>
      </c>
      <c r="H559" s="62" t="n">
        <f aca="false">Saida!H178</f>
        <v>-2460</v>
      </c>
      <c r="I559" s="62" t="n">
        <v>0</v>
      </c>
      <c r="J559" s="62" t="n">
        <f aca="false">Saida!R178</f>
        <v>2460</v>
      </c>
      <c r="K559" s="62" t="n">
        <f aca="false">I559-J559</f>
        <v>-2460</v>
      </c>
      <c r="L559" s="61" t="s">
        <v>962</v>
      </c>
      <c r="M559" s="61" t="s">
        <v>953</v>
      </c>
      <c r="N559" s="61" t="s">
        <v>954</v>
      </c>
      <c r="O559" s="61" t="s">
        <v>269</v>
      </c>
    </row>
    <row r="560" customFormat="false" ht="15" hidden="false" customHeight="false" outlineLevel="0" collapsed="false">
      <c r="A560" s="60" t="n">
        <v>46295</v>
      </c>
      <c r="B560" s="61" t="s">
        <v>13</v>
      </c>
      <c r="C560" s="61" t="s">
        <v>51</v>
      </c>
      <c r="D560" s="61" t="s">
        <v>70</v>
      </c>
      <c r="E560" s="61" t="s">
        <v>128</v>
      </c>
      <c r="F560" s="61" t="s">
        <v>246</v>
      </c>
      <c r="G560" s="61" t="s">
        <v>4</v>
      </c>
      <c r="H560" s="62" t="n">
        <f aca="false">Saida!H184</f>
        <v>-30</v>
      </c>
      <c r="I560" s="62" t="n">
        <v>0</v>
      </c>
      <c r="J560" s="62" t="n">
        <f aca="false">Saida!R184</f>
        <v>30</v>
      </c>
      <c r="K560" s="62" t="n">
        <f aca="false">I560-J560</f>
        <v>-30</v>
      </c>
      <c r="L560" s="61" t="s">
        <v>963</v>
      </c>
      <c r="M560" s="61" t="s">
        <v>428</v>
      </c>
      <c r="N560" s="61" t="s">
        <v>429</v>
      </c>
      <c r="O560" s="61" t="s">
        <v>269</v>
      </c>
    </row>
    <row r="561" customFormat="false" ht="15" hidden="false" customHeight="false" outlineLevel="0" collapsed="false">
      <c r="A561" s="60" t="n">
        <v>46295</v>
      </c>
      <c r="B561" s="61" t="s">
        <v>13</v>
      </c>
      <c r="C561" s="61" t="s">
        <v>51</v>
      </c>
      <c r="D561" s="61" t="s">
        <v>70</v>
      </c>
      <c r="E561" s="61" t="s">
        <v>128</v>
      </c>
      <c r="F561" s="61" t="s">
        <v>246</v>
      </c>
      <c r="G561" s="61" t="s">
        <v>4</v>
      </c>
      <c r="H561" s="62" t="n">
        <f aca="false">Saida!H185</f>
        <v>-10</v>
      </c>
      <c r="I561" s="62" t="n">
        <v>0</v>
      </c>
      <c r="J561" s="62" t="n">
        <f aca="false">Saida!R185</f>
        <v>10</v>
      </c>
      <c r="K561" s="62" t="n">
        <f aca="false">I561-J561</f>
        <v>-10</v>
      </c>
      <c r="L561" s="61" t="s">
        <v>964</v>
      </c>
      <c r="M561" s="61" t="s">
        <v>965</v>
      </c>
      <c r="N561" s="61" t="s">
        <v>966</v>
      </c>
      <c r="O561" s="61" t="s">
        <v>269</v>
      </c>
    </row>
    <row r="562" customFormat="false" ht="15" hidden="false" customHeight="false" outlineLevel="0" collapsed="false">
      <c r="A562" s="60" t="n">
        <v>46295</v>
      </c>
      <c r="B562" s="61" t="s">
        <v>13</v>
      </c>
      <c r="C562" s="61" t="s">
        <v>51</v>
      </c>
      <c r="D562" s="61" t="s">
        <v>72</v>
      </c>
      <c r="E562" s="61" t="s">
        <v>128</v>
      </c>
      <c r="F562" s="61" t="s">
        <v>246</v>
      </c>
      <c r="G562" s="61" t="s">
        <v>4</v>
      </c>
      <c r="H562" s="62" t="n">
        <f aca="false">Saida!H186</f>
        <v>-240</v>
      </c>
      <c r="I562" s="62" t="n">
        <v>0</v>
      </c>
      <c r="J562" s="62" t="n">
        <f aca="false">Saida!R186</f>
        <v>240</v>
      </c>
      <c r="K562" s="62" t="n">
        <f aca="false">I562-J562</f>
        <v>-240</v>
      </c>
      <c r="L562" s="61" t="s">
        <v>964</v>
      </c>
      <c r="M562" s="61" t="s">
        <v>965</v>
      </c>
      <c r="N562" s="61" t="s">
        <v>966</v>
      </c>
      <c r="O562" s="61" t="s">
        <v>269</v>
      </c>
    </row>
    <row r="563" customFormat="false" ht="15" hidden="false" customHeight="false" outlineLevel="0" collapsed="false">
      <c r="A563" s="60" t="n">
        <v>46295</v>
      </c>
      <c r="B563" s="61" t="s">
        <v>13</v>
      </c>
      <c r="C563" s="61" t="s">
        <v>53</v>
      </c>
      <c r="D563" s="61" t="s">
        <v>78</v>
      </c>
      <c r="E563" s="61" t="s">
        <v>137</v>
      </c>
      <c r="F563" s="61" t="s">
        <v>246</v>
      </c>
      <c r="G563" s="61" t="s">
        <v>9</v>
      </c>
      <c r="H563" s="62" t="n">
        <f aca="false">Saida!H192</f>
        <v>-195</v>
      </c>
      <c r="I563" s="62" t="n">
        <v>0</v>
      </c>
      <c r="J563" s="62" t="n">
        <f aca="false">Saida!R192</f>
        <v>195</v>
      </c>
      <c r="K563" s="62" t="n">
        <f aca="false">I563-J563</f>
        <v>-195</v>
      </c>
      <c r="L563" s="61" t="s">
        <v>967</v>
      </c>
      <c r="M563" s="61" t="s">
        <v>314</v>
      </c>
      <c r="N563" s="61" t="s">
        <v>315</v>
      </c>
      <c r="O563" s="61" t="s">
        <v>250</v>
      </c>
    </row>
    <row r="564" customFormat="false" ht="15" hidden="false" customHeight="false" outlineLevel="0" collapsed="false">
      <c r="A564" s="60" t="n">
        <v>46295</v>
      </c>
      <c r="B564" s="61" t="s">
        <v>13</v>
      </c>
      <c r="C564" s="61" t="s">
        <v>53</v>
      </c>
      <c r="D564" s="61" t="s">
        <v>80</v>
      </c>
      <c r="E564" s="61" t="s">
        <v>137</v>
      </c>
      <c r="F564" s="61" t="s">
        <v>246</v>
      </c>
      <c r="G564" s="61" t="s">
        <v>9</v>
      </c>
      <c r="H564" s="62" t="n">
        <f aca="false">Saida!H193</f>
        <v>-15</v>
      </c>
      <c r="I564" s="62" t="n">
        <v>0</v>
      </c>
      <c r="J564" s="62" t="n">
        <f aca="false">Saida!R193</f>
        <v>15</v>
      </c>
      <c r="K564" s="62" t="n">
        <f aca="false">I564-J564</f>
        <v>-15</v>
      </c>
      <c r="L564" s="61" t="s">
        <v>968</v>
      </c>
      <c r="M564" s="61" t="s">
        <v>969</v>
      </c>
      <c r="N564" s="61" t="s">
        <v>970</v>
      </c>
      <c r="O564" s="61" t="s">
        <v>250</v>
      </c>
    </row>
    <row r="565" customFormat="false" ht="15" hidden="false" customHeight="false" outlineLevel="0" collapsed="false">
      <c r="A565" s="60" t="n">
        <v>46295</v>
      </c>
      <c r="B565" s="61" t="s">
        <v>13</v>
      </c>
      <c r="C565" s="61" t="s">
        <v>53</v>
      </c>
      <c r="D565" s="61" t="s">
        <v>80</v>
      </c>
      <c r="E565" s="61" t="s">
        <v>137</v>
      </c>
      <c r="F565" s="61" t="s">
        <v>246</v>
      </c>
      <c r="G565" s="61" t="s">
        <v>9</v>
      </c>
      <c r="H565" s="62" t="n">
        <f aca="false">Saida!H196</f>
        <v>-45</v>
      </c>
      <c r="I565" s="62" t="n">
        <v>0</v>
      </c>
      <c r="J565" s="62" t="n">
        <f aca="false">Saida!R196</f>
        <v>45</v>
      </c>
      <c r="K565" s="62" t="n">
        <f aca="false">I565-J565</f>
        <v>-45</v>
      </c>
      <c r="L565" s="61" t="s">
        <v>971</v>
      </c>
      <c r="M565" s="61" t="s">
        <v>604</v>
      </c>
      <c r="N565" s="61" t="s">
        <v>605</v>
      </c>
      <c r="O565" s="61" t="s">
        <v>250</v>
      </c>
    </row>
    <row r="566" customFormat="false" ht="15" hidden="false" customHeight="false" outlineLevel="0" collapsed="false">
      <c r="A566" s="60" t="n">
        <v>46295</v>
      </c>
      <c r="B566" s="61" t="s">
        <v>13</v>
      </c>
      <c r="C566" s="61" t="s">
        <v>53</v>
      </c>
      <c r="D566" s="61" t="s">
        <v>80</v>
      </c>
      <c r="E566" s="61" t="s">
        <v>137</v>
      </c>
      <c r="F566" s="61" t="s">
        <v>246</v>
      </c>
      <c r="G566" s="61" t="s">
        <v>9</v>
      </c>
      <c r="H566" s="62" t="n">
        <f aca="false">Saida!H199</f>
        <v>-165</v>
      </c>
      <c r="I566" s="62" t="n">
        <v>0</v>
      </c>
      <c r="J566" s="62" t="n">
        <f aca="false">Saida!R199</f>
        <v>165</v>
      </c>
      <c r="K566" s="62" t="n">
        <f aca="false">I566-J566</f>
        <v>-165</v>
      </c>
      <c r="L566" s="61" t="s">
        <v>972</v>
      </c>
      <c r="M566" s="61" t="s">
        <v>973</v>
      </c>
      <c r="N566" s="61" t="s">
        <v>974</v>
      </c>
      <c r="O566" s="61" t="s">
        <v>250</v>
      </c>
    </row>
    <row r="567" customFormat="false" ht="15" hidden="false" customHeight="false" outlineLevel="0" collapsed="false">
      <c r="A567" s="60" t="n">
        <v>46295</v>
      </c>
      <c r="B567" s="61" t="s">
        <v>13</v>
      </c>
      <c r="C567" s="61" t="s">
        <v>53</v>
      </c>
      <c r="D567" s="61" t="s">
        <v>80</v>
      </c>
      <c r="E567" s="61" t="s">
        <v>137</v>
      </c>
      <c r="F567" s="61" t="s">
        <v>246</v>
      </c>
      <c r="G567" s="61" t="s">
        <v>9</v>
      </c>
      <c r="H567" s="62" t="n">
        <f aca="false">Saida!H200</f>
        <v>-75</v>
      </c>
      <c r="I567" s="62" t="n">
        <v>0</v>
      </c>
      <c r="J567" s="62" t="n">
        <f aca="false">Saida!R200</f>
        <v>75</v>
      </c>
      <c r="K567" s="62" t="n">
        <f aca="false">I567-J567</f>
        <v>-75</v>
      </c>
      <c r="L567" s="61" t="s">
        <v>975</v>
      </c>
      <c r="M567" s="61" t="s">
        <v>976</v>
      </c>
      <c r="N567" s="61" t="s">
        <v>977</v>
      </c>
      <c r="O567" s="61" t="s">
        <v>250</v>
      </c>
    </row>
    <row r="568" customFormat="false" ht="15" hidden="false" customHeight="false" outlineLevel="0" collapsed="false">
      <c r="A568" s="60" t="n">
        <v>46295</v>
      </c>
      <c r="B568" s="61" t="s">
        <v>13</v>
      </c>
      <c r="C568" s="61" t="s">
        <v>53</v>
      </c>
      <c r="D568" s="61" t="s">
        <v>82</v>
      </c>
      <c r="E568" s="61" t="s">
        <v>137</v>
      </c>
      <c r="F568" s="61" t="s">
        <v>246</v>
      </c>
      <c r="G568" s="61" t="s">
        <v>9</v>
      </c>
      <c r="H568" s="62" t="n">
        <f aca="false">Saida!H194</f>
        <v>-450</v>
      </c>
      <c r="I568" s="62" t="n">
        <v>0</v>
      </c>
      <c r="J568" s="62" t="n">
        <f aca="false">Saida!R194</f>
        <v>450</v>
      </c>
      <c r="K568" s="62" t="n">
        <f aca="false">I568-J568</f>
        <v>-450</v>
      </c>
      <c r="L568" s="61" t="s">
        <v>978</v>
      </c>
      <c r="M568" s="61" t="s">
        <v>973</v>
      </c>
      <c r="N568" s="61" t="s">
        <v>974</v>
      </c>
      <c r="O568" s="61" t="s">
        <v>250</v>
      </c>
    </row>
    <row r="569" customFormat="false" ht="15" hidden="false" customHeight="false" outlineLevel="0" collapsed="false">
      <c r="A569" s="60" t="n">
        <v>46295</v>
      </c>
      <c r="B569" s="61" t="s">
        <v>13</v>
      </c>
      <c r="C569" s="61" t="s">
        <v>53</v>
      </c>
      <c r="D569" s="61" t="s">
        <v>84</v>
      </c>
      <c r="E569" s="61" t="s">
        <v>137</v>
      </c>
      <c r="F569" s="61" t="s">
        <v>246</v>
      </c>
      <c r="G569" s="61" t="s">
        <v>9</v>
      </c>
      <c r="H569" s="62" t="n">
        <f aca="false">Saida!H191</f>
        <v>-30</v>
      </c>
      <c r="I569" s="62" t="n">
        <v>0</v>
      </c>
      <c r="J569" s="62" t="n">
        <f aca="false">Saida!R191</f>
        <v>30</v>
      </c>
      <c r="K569" s="62" t="n">
        <f aca="false">I569-J569</f>
        <v>-30</v>
      </c>
      <c r="L569" s="61" t="s">
        <v>967</v>
      </c>
      <c r="M569" s="61" t="s">
        <v>314</v>
      </c>
      <c r="N569" s="61" t="s">
        <v>315</v>
      </c>
      <c r="O569" s="61" t="s">
        <v>250</v>
      </c>
    </row>
    <row r="570" customFormat="false" ht="15" hidden="false" customHeight="false" outlineLevel="0" collapsed="false">
      <c r="A570" s="60" t="n">
        <v>46295</v>
      </c>
      <c r="B570" s="61" t="s">
        <v>13</v>
      </c>
      <c r="C570" s="61" t="s">
        <v>53</v>
      </c>
      <c r="D570" s="61" t="s">
        <v>84</v>
      </c>
      <c r="E570" s="61" t="s">
        <v>137</v>
      </c>
      <c r="F570" s="61" t="s">
        <v>246</v>
      </c>
      <c r="G570" s="61" t="s">
        <v>9</v>
      </c>
      <c r="H570" s="62" t="n">
        <f aca="false">Saida!H195</f>
        <v>-300</v>
      </c>
      <c r="I570" s="62" t="n">
        <v>0</v>
      </c>
      <c r="J570" s="62" t="n">
        <f aca="false">Saida!R195</f>
        <v>300</v>
      </c>
      <c r="K570" s="62" t="n">
        <f aca="false">I570-J570</f>
        <v>-300</v>
      </c>
      <c r="L570" s="61" t="s">
        <v>978</v>
      </c>
      <c r="M570" s="61" t="s">
        <v>973</v>
      </c>
      <c r="N570" s="61" t="s">
        <v>974</v>
      </c>
      <c r="O570" s="61" t="s">
        <v>250</v>
      </c>
    </row>
    <row r="571" customFormat="false" ht="15" hidden="false" customHeight="false" outlineLevel="0" collapsed="false">
      <c r="A571" s="60" t="n">
        <v>46295</v>
      </c>
      <c r="B571" s="61" t="s">
        <v>13</v>
      </c>
      <c r="C571" s="61" t="s">
        <v>53</v>
      </c>
      <c r="D571" s="61" t="s">
        <v>84</v>
      </c>
      <c r="E571" s="61" t="s">
        <v>137</v>
      </c>
      <c r="F571" s="61" t="s">
        <v>246</v>
      </c>
      <c r="G571" s="61" t="s">
        <v>9</v>
      </c>
      <c r="H571" s="62" t="n">
        <f aca="false">Saida!H198</f>
        <v>-45</v>
      </c>
      <c r="I571" s="62" t="n">
        <v>0</v>
      </c>
      <c r="J571" s="62" t="n">
        <f aca="false">Saida!R198</f>
        <v>45</v>
      </c>
      <c r="K571" s="62" t="n">
        <f aca="false">I571-J571</f>
        <v>-45</v>
      </c>
      <c r="L571" s="61" t="s">
        <v>972</v>
      </c>
      <c r="M571" s="61" t="s">
        <v>973</v>
      </c>
      <c r="N571" s="61" t="s">
        <v>974</v>
      </c>
      <c r="O571" s="61" t="s">
        <v>250</v>
      </c>
    </row>
    <row r="572" customFormat="false" ht="15" hidden="false" customHeight="false" outlineLevel="0" collapsed="false">
      <c r="A572" s="60" t="n">
        <v>46295</v>
      </c>
      <c r="B572" s="61" t="s">
        <v>13</v>
      </c>
      <c r="C572" s="61" t="s">
        <v>53</v>
      </c>
      <c r="D572" s="61" t="s">
        <v>84</v>
      </c>
      <c r="E572" s="61" t="s">
        <v>137</v>
      </c>
      <c r="F572" s="61" t="s">
        <v>246</v>
      </c>
      <c r="G572" s="61" t="s">
        <v>9</v>
      </c>
      <c r="H572" s="62" t="n">
        <f aca="false">Saida!H201</f>
        <v>-450</v>
      </c>
      <c r="I572" s="62" t="n">
        <v>0</v>
      </c>
      <c r="J572" s="62" t="n">
        <f aca="false">Saida!R201</f>
        <v>450</v>
      </c>
      <c r="K572" s="62" t="n">
        <f aca="false">I572-J572</f>
        <v>-450</v>
      </c>
      <c r="L572" s="61" t="s">
        <v>978</v>
      </c>
      <c r="M572" s="61" t="s">
        <v>973</v>
      </c>
      <c r="N572" s="61" t="s">
        <v>974</v>
      </c>
      <c r="O572" s="61" t="s">
        <v>250</v>
      </c>
    </row>
    <row r="573" customFormat="false" ht="15" hidden="false" customHeight="false" outlineLevel="0" collapsed="false">
      <c r="A573" s="60" t="n">
        <v>46295</v>
      </c>
      <c r="B573" s="61" t="s">
        <v>13</v>
      </c>
      <c r="C573" s="61" t="s">
        <v>53</v>
      </c>
      <c r="D573" s="61" t="s">
        <v>86</v>
      </c>
      <c r="E573" s="61" t="s">
        <v>137</v>
      </c>
      <c r="F573" s="61" t="s">
        <v>246</v>
      </c>
      <c r="G573" s="61" t="s">
        <v>9</v>
      </c>
      <c r="H573" s="62" t="n">
        <f aca="false">Saida!H189</f>
        <v>-150</v>
      </c>
      <c r="I573" s="62" t="n">
        <v>0</v>
      </c>
      <c r="J573" s="62" t="n">
        <f aca="false">Saida!R189</f>
        <v>150</v>
      </c>
      <c r="K573" s="62" t="n">
        <f aca="false">I573-J573</f>
        <v>-150</v>
      </c>
      <c r="L573" s="61" t="s">
        <v>979</v>
      </c>
      <c r="M573" s="61" t="s">
        <v>980</v>
      </c>
      <c r="N573" s="61" t="s">
        <v>981</v>
      </c>
      <c r="O573" s="61" t="s">
        <v>269</v>
      </c>
    </row>
    <row r="574" customFormat="false" ht="15" hidden="false" customHeight="false" outlineLevel="0" collapsed="false">
      <c r="A574" s="60" t="n">
        <v>46295</v>
      </c>
      <c r="B574" s="61" t="s">
        <v>13</v>
      </c>
      <c r="C574" s="61" t="s">
        <v>53</v>
      </c>
      <c r="D574" s="61" t="s">
        <v>86</v>
      </c>
      <c r="E574" s="61" t="s">
        <v>137</v>
      </c>
      <c r="F574" s="61" t="s">
        <v>246</v>
      </c>
      <c r="G574" s="61" t="s">
        <v>9</v>
      </c>
      <c r="H574" s="62" t="n">
        <f aca="false">Saida!H190</f>
        <v>-60</v>
      </c>
      <c r="I574" s="62" t="n">
        <v>0</v>
      </c>
      <c r="J574" s="62" t="n">
        <f aca="false">Saida!R190</f>
        <v>60</v>
      </c>
      <c r="K574" s="62" t="n">
        <f aca="false">I574-J574</f>
        <v>-60</v>
      </c>
      <c r="L574" s="61" t="s">
        <v>982</v>
      </c>
      <c r="M574" s="61" t="s">
        <v>980</v>
      </c>
      <c r="N574" s="61" t="s">
        <v>981</v>
      </c>
      <c r="O574" s="61" t="s">
        <v>269</v>
      </c>
    </row>
    <row r="575" customFormat="false" ht="15" hidden="false" customHeight="false" outlineLevel="0" collapsed="false">
      <c r="A575" s="60" t="n">
        <v>46295</v>
      </c>
      <c r="B575" s="61" t="s">
        <v>13</v>
      </c>
      <c r="C575" s="61" t="s">
        <v>53</v>
      </c>
      <c r="D575" s="61" t="s">
        <v>86</v>
      </c>
      <c r="E575" s="61" t="s">
        <v>137</v>
      </c>
      <c r="F575" s="61" t="s">
        <v>246</v>
      </c>
      <c r="G575" s="61" t="s">
        <v>9</v>
      </c>
      <c r="H575" s="62" t="n">
        <f aca="false">Saida!H197</f>
        <v>-120</v>
      </c>
      <c r="I575" s="62" t="n">
        <v>0</v>
      </c>
      <c r="J575" s="62" t="n">
        <f aca="false">Saida!R197</f>
        <v>120</v>
      </c>
      <c r="K575" s="62" t="n">
        <f aca="false">I575-J575</f>
        <v>-120</v>
      </c>
      <c r="L575" s="61" t="s">
        <v>983</v>
      </c>
      <c r="M575" s="61" t="s">
        <v>984</v>
      </c>
      <c r="N575" s="61" t="s">
        <v>985</v>
      </c>
      <c r="O575" s="61" t="s">
        <v>250</v>
      </c>
    </row>
    <row r="576" customFormat="false" ht="15" hidden="false" customHeight="false" outlineLevel="0" collapsed="false">
      <c r="A576" s="60" t="n">
        <v>46295</v>
      </c>
      <c r="B576" s="61" t="s">
        <v>13</v>
      </c>
      <c r="C576" s="61" t="s">
        <v>69</v>
      </c>
      <c r="D576" s="61" t="s">
        <v>120</v>
      </c>
      <c r="E576" s="61" t="s">
        <v>119</v>
      </c>
      <c r="F576" s="61" t="s">
        <v>246</v>
      </c>
      <c r="G576" s="61" t="s">
        <v>4</v>
      </c>
      <c r="H576" s="62" t="n">
        <f aca="false">Saida!H236</f>
        <v>-603</v>
      </c>
      <c r="I576" s="62" t="n">
        <v>0</v>
      </c>
      <c r="J576" s="62" t="n">
        <f aca="false">Saida!R236</f>
        <v>603</v>
      </c>
      <c r="K576" s="62" t="n">
        <f aca="false">I576-J576</f>
        <v>-603</v>
      </c>
      <c r="L576" s="61" t="s">
        <v>986</v>
      </c>
      <c r="M576" s="61" t="s">
        <v>987</v>
      </c>
      <c r="N576" s="61" t="s">
        <v>988</v>
      </c>
      <c r="O576" s="61" t="s">
        <v>269</v>
      </c>
    </row>
    <row r="577" customFormat="false" ht="15" hidden="false" customHeight="false" outlineLevel="0" collapsed="false">
      <c r="A577" s="60" t="n">
        <v>46295</v>
      </c>
      <c r="B577" s="61" t="s">
        <v>13</v>
      </c>
      <c r="C577" s="61" t="s">
        <v>69</v>
      </c>
      <c r="D577" s="61" t="s">
        <v>120</v>
      </c>
      <c r="E577" s="61" t="s">
        <v>119</v>
      </c>
      <c r="F577" s="61" t="s">
        <v>246</v>
      </c>
      <c r="G577" s="61" t="s">
        <v>4</v>
      </c>
      <c r="H577" s="62" t="n">
        <f aca="false">Saida!H237</f>
        <v>-201</v>
      </c>
      <c r="I577" s="62" t="n">
        <v>0</v>
      </c>
      <c r="J577" s="62" t="n">
        <f aca="false">Saida!R237</f>
        <v>201</v>
      </c>
      <c r="K577" s="62" t="n">
        <f aca="false">I577-J577</f>
        <v>-201</v>
      </c>
      <c r="L577" s="61" t="s">
        <v>986</v>
      </c>
      <c r="M577" s="61" t="s">
        <v>987</v>
      </c>
      <c r="N577" s="61" t="s">
        <v>988</v>
      </c>
      <c r="O577" s="61" t="s">
        <v>269</v>
      </c>
    </row>
    <row r="578" customFormat="false" ht="15" hidden="false" customHeight="false" outlineLevel="0" collapsed="false">
      <c r="A578" s="60" t="n">
        <v>46295</v>
      </c>
      <c r="B578" s="61" t="s">
        <v>13</v>
      </c>
      <c r="C578" s="61" t="s">
        <v>69</v>
      </c>
      <c r="D578" s="61" t="s">
        <v>120</v>
      </c>
      <c r="E578" s="61" t="s">
        <v>119</v>
      </c>
      <c r="F578" s="61" t="s">
        <v>254</v>
      </c>
      <c r="G578" s="61" t="s">
        <v>4</v>
      </c>
      <c r="H578" s="62" t="n">
        <f aca="false">Saida!H238</f>
        <v>-20.1</v>
      </c>
      <c r="I578" s="62" t="n">
        <v>0</v>
      </c>
      <c r="J578" s="62" t="n">
        <f aca="false">Saida!R238</f>
        <v>20.1</v>
      </c>
      <c r="K578" s="62" t="n">
        <f aca="false">I578-J578</f>
        <v>-20.1</v>
      </c>
      <c r="L578" s="61" t="s">
        <v>989</v>
      </c>
      <c r="M578" s="61" t="s">
        <v>990</v>
      </c>
      <c r="N578" s="61" t="s">
        <v>991</v>
      </c>
      <c r="O578" s="61" t="s">
        <v>258</v>
      </c>
    </row>
    <row r="579" customFormat="false" ht="15" hidden="false" customHeight="false" outlineLevel="0" collapsed="false">
      <c r="A579" s="60" t="n">
        <v>46295</v>
      </c>
      <c r="B579" s="61" t="s">
        <v>13</v>
      </c>
      <c r="C579" s="61" t="s">
        <v>69</v>
      </c>
      <c r="D579" s="61" t="s">
        <v>120</v>
      </c>
      <c r="E579" s="61" t="s">
        <v>119</v>
      </c>
      <c r="F579" s="61" t="s">
        <v>254</v>
      </c>
      <c r="G579" s="61" t="s">
        <v>4</v>
      </c>
      <c r="H579" s="62" t="n">
        <f aca="false">Saida!H239</f>
        <v>-20.1</v>
      </c>
      <c r="I579" s="62" t="n">
        <v>0</v>
      </c>
      <c r="J579" s="62" t="n">
        <f aca="false">Saida!R239</f>
        <v>20.1</v>
      </c>
      <c r="K579" s="62" t="n">
        <f aca="false">I579-J579</f>
        <v>-20.1</v>
      </c>
      <c r="L579" s="61" t="s">
        <v>992</v>
      </c>
      <c r="M579" s="61" t="s">
        <v>283</v>
      </c>
      <c r="N579" s="61" t="s">
        <v>284</v>
      </c>
      <c r="O579" s="61" t="s">
        <v>258</v>
      </c>
    </row>
    <row r="580" customFormat="false" ht="15" hidden="false" customHeight="false" outlineLevel="0" collapsed="false">
      <c r="A580" s="60" t="n">
        <v>46295</v>
      </c>
      <c r="B580" s="61" t="s">
        <v>13</v>
      </c>
      <c r="C580" s="61" t="s">
        <v>69</v>
      </c>
      <c r="D580" s="61" t="s">
        <v>120</v>
      </c>
      <c r="E580" s="61" t="s">
        <v>119</v>
      </c>
      <c r="F580" s="61" t="s">
        <v>254</v>
      </c>
      <c r="G580" s="61" t="s">
        <v>4</v>
      </c>
      <c r="H580" s="62" t="n">
        <f aca="false">Saida!H240</f>
        <v>-20.1</v>
      </c>
      <c r="I580" s="62" t="n">
        <v>0</v>
      </c>
      <c r="J580" s="62" t="n">
        <f aca="false">Saida!R240</f>
        <v>20.1</v>
      </c>
      <c r="K580" s="62" t="n">
        <f aca="false">I580-J580</f>
        <v>-20.1</v>
      </c>
      <c r="L580" s="61" t="s">
        <v>993</v>
      </c>
      <c r="M580" s="61" t="s">
        <v>449</v>
      </c>
      <c r="N580" s="61" t="s">
        <v>450</v>
      </c>
      <c r="O580" s="61" t="s">
        <v>258</v>
      </c>
    </row>
    <row r="581" customFormat="false" ht="15" hidden="false" customHeight="false" outlineLevel="0" collapsed="false">
      <c r="A581" s="60" t="n">
        <v>46295</v>
      </c>
      <c r="B581" s="61" t="s">
        <v>13</v>
      </c>
      <c r="C581" s="61" t="s">
        <v>69</v>
      </c>
      <c r="D581" s="61" t="s">
        <v>120</v>
      </c>
      <c r="E581" s="61" t="s">
        <v>119</v>
      </c>
      <c r="F581" s="61" t="s">
        <v>254</v>
      </c>
      <c r="G581" s="61" t="s">
        <v>4</v>
      </c>
      <c r="H581" s="62" t="n">
        <f aca="false">Saida!H241</f>
        <v>-20.1</v>
      </c>
      <c r="I581" s="62" t="n">
        <v>0</v>
      </c>
      <c r="J581" s="62" t="n">
        <f aca="false">Saida!R241</f>
        <v>20.1</v>
      </c>
      <c r="K581" s="62" t="n">
        <f aca="false">I581-J581</f>
        <v>-20.1</v>
      </c>
      <c r="L581" s="61" t="s">
        <v>994</v>
      </c>
      <c r="M581" s="61" t="s">
        <v>995</v>
      </c>
      <c r="N581" s="61" t="s">
        <v>996</v>
      </c>
      <c r="O581" s="61" t="s">
        <v>258</v>
      </c>
    </row>
    <row r="582" customFormat="false" ht="15" hidden="false" customHeight="false" outlineLevel="0" collapsed="false">
      <c r="A582" s="60" t="n">
        <v>46295</v>
      </c>
      <c r="B582" s="61" t="s">
        <v>13</v>
      </c>
      <c r="C582" s="61" t="s">
        <v>69</v>
      </c>
      <c r="D582" s="61" t="s">
        <v>120</v>
      </c>
      <c r="E582" s="61" t="s">
        <v>119</v>
      </c>
      <c r="F582" s="61" t="s">
        <v>246</v>
      </c>
      <c r="G582" s="61" t="s">
        <v>4</v>
      </c>
      <c r="H582" s="62" t="n">
        <f aca="false">Saida!H242</f>
        <v>-20.1</v>
      </c>
      <c r="I582" s="62" t="n">
        <v>0</v>
      </c>
      <c r="J582" s="62" t="n">
        <f aca="false">Saida!R242</f>
        <v>20.1</v>
      </c>
      <c r="K582" s="62" t="n">
        <f aca="false">I582-J582</f>
        <v>-20.1</v>
      </c>
      <c r="L582" s="61" t="s">
        <v>997</v>
      </c>
      <c r="M582" s="61" t="s">
        <v>362</v>
      </c>
      <c r="N582" s="61" t="s">
        <v>363</v>
      </c>
      <c r="O582" s="61" t="s">
        <v>269</v>
      </c>
    </row>
    <row r="583" customFormat="false" ht="15" hidden="false" customHeight="false" outlineLevel="0" collapsed="false">
      <c r="A583" s="60" t="n">
        <v>46295</v>
      </c>
      <c r="B583" s="61" t="s">
        <v>13</v>
      </c>
      <c r="C583" s="61" t="s">
        <v>69</v>
      </c>
      <c r="D583" s="61" t="s">
        <v>120</v>
      </c>
      <c r="E583" s="61" t="s">
        <v>119</v>
      </c>
      <c r="F583" s="61" t="s">
        <v>246</v>
      </c>
      <c r="G583" s="61" t="s">
        <v>4</v>
      </c>
      <c r="H583" s="62" t="n">
        <f aca="false">Saida!H243</f>
        <v>-20.1</v>
      </c>
      <c r="I583" s="62" t="n">
        <v>0</v>
      </c>
      <c r="J583" s="62" t="n">
        <f aca="false">Saida!R243</f>
        <v>20.1</v>
      </c>
      <c r="K583" s="62" t="n">
        <f aca="false">I583-J583</f>
        <v>-20.1</v>
      </c>
      <c r="L583" s="61" t="s">
        <v>998</v>
      </c>
      <c r="M583" s="61" t="s">
        <v>953</v>
      </c>
      <c r="N583" s="61" t="s">
        <v>954</v>
      </c>
      <c r="O583" s="61" t="s">
        <v>269</v>
      </c>
    </row>
    <row r="584" customFormat="false" ht="15" hidden="false" customHeight="false" outlineLevel="0" collapsed="false">
      <c r="A584" s="60" t="n">
        <v>46295</v>
      </c>
      <c r="B584" s="61" t="s">
        <v>13</v>
      </c>
      <c r="C584" s="61" t="s">
        <v>69</v>
      </c>
      <c r="D584" s="61" t="s">
        <v>120</v>
      </c>
      <c r="E584" s="61" t="s">
        <v>119</v>
      </c>
      <c r="F584" s="61" t="s">
        <v>254</v>
      </c>
      <c r="G584" s="61" t="s">
        <v>4</v>
      </c>
      <c r="H584" s="62" t="n">
        <f aca="false">Saida!H244</f>
        <v>-20.1</v>
      </c>
      <c r="I584" s="62" t="n">
        <v>0</v>
      </c>
      <c r="J584" s="62" t="n">
        <f aca="false">Saida!R244</f>
        <v>20.1</v>
      </c>
      <c r="K584" s="62" t="n">
        <f aca="false">I584-J584</f>
        <v>-20.1</v>
      </c>
      <c r="L584" s="61" t="s">
        <v>999</v>
      </c>
      <c r="M584" s="61" t="s">
        <v>553</v>
      </c>
      <c r="N584" s="61" t="s">
        <v>554</v>
      </c>
      <c r="O584" s="61" t="s">
        <v>258</v>
      </c>
    </row>
    <row r="585" customFormat="false" ht="15" hidden="false" customHeight="false" outlineLevel="0" collapsed="false">
      <c r="A585" s="60" t="n">
        <v>46295</v>
      </c>
      <c r="B585" s="61" t="s">
        <v>13</v>
      </c>
      <c r="C585" s="61" t="s">
        <v>69</v>
      </c>
      <c r="D585" s="61" t="s">
        <v>120</v>
      </c>
      <c r="E585" s="61" t="s">
        <v>119</v>
      </c>
      <c r="F585" s="61" t="s">
        <v>246</v>
      </c>
      <c r="G585" s="61" t="s">
        <v>4</v>
      </c>
      <c r="H585" s="62" t="n">
        <f aca="false">Saida!H245</f>
        <v>-40.2</v>
      </c>
      <c r="I585" s="62" t="n">
        <v>0</v>
      </c>
      <c r="J585" s="62" t="n">
        <f aca="false">Saida!R245</f>
        <v>40.2</v>
      </c>
      <c r="K585" s="62" t="n">
        <f aca="false">I585-J585</f>
        <v>-40.2</v>
      </c>
      <c r="L585" s="61" t="s">
        <v>998</v>
      </c>
      <c r="M585" s="61" t="s">
        <v>953</v>
      </c>
      <c r="N585" s="61" t="s">
        <v>954</v>
      </c>
      <c r="O585" s="61" t="s">
        <v>269</v>
      </c>
    </row>
    <row r="586" customFormat="false" ht="15" hidden="false" customHeight="false" outlineLevel="0" collapsed="false">
      <c r="A586" s="60" t="n">
        <v>46295</v>
      </c>
      <c r="B586" s="61" t="s">
        <v>13</v>
      </c>
      <c r="C586" s="61" t="s">
        <v>75</v>
      </c>
      <c r="D586" s="61" t="s">
        <v>143</v>
      </c>
      <c r="E586" s="61" t="s">
        <v>173</v>
      </c>
      <c r="F586" s="61" t="s">
        <v>246</v>
      </c>
      <c r="G586" s="61" t="s">
        <v>4</v>
      </c>
      <c r="H586" s="62" t="n">
        <f aca="false">Saida!H253</f>
        <v>-4</v>
      </c>
      <c r="I586" s="62" t="n">
        <v>0</v>
      </c>
      <c r="J586" s="62" t="n">
        <f aca="false">Saida!R253</f>
        <v>4</v>
      </c>
      <c r="K586" s="62" t="n">
        <f aca="false">I586-J586</f>
        <v>-4</v>
      </c>
      <c r="L586" s="61" t="s">
        <v>1000</v>
      </c>
      <c r="M586" s="61" t="s">
        <v>1001</v>
      </c>
      <c r="N586" s="61" t="s">
        <v>1002</v>
      </c>
      <c r="O586" s="61" t="s">
        <v>269</v>
      </c>
    </row>
    <row r="587" customFormat="false" ht="15" hidden="false" customHeight="false" outlineLevel="0" collapsed="false">
      <c r="A587" s="60" t="n">
        <v>46295</v>
      </c>
      <c r="B587" s="61" t="s">
        <v>13</v>
      </c>
      <c r="C587" s="61" t="s">
        <v>77</v>
      </c>
      <c r="D587" s="61" t="s">
        <v>148</v>
      </c>
      <c r="E587" s="61" t="s">
        <v>191</v>
      </c>
      <c r="F587" s="61" t="s">
        <v>254</v>
      </c>
      <c r="G587" s="61" t="s">
        <v>4</v>
      </c>
      <c r="H587" s="62" t="n">
        <f aca="false">Saida!H266</f>
        <v>-50</v>
      </c>
      <c r="I587" s="62" t="n">
        <v>0</v>
      </c>
      <c r="J587" s="62" t="n">
        <f aca="false">Saida!R266</f>
        <v>50</v>
      </c>
      <c r="K587" s="62" t="n">
        <f aca="false">I587-J587</f>
        <v>-50</v>
      </c>
      <c r="L587" s="61" t="s">
        <v>1003</v>
      </c>
      <c r="M587" s="61" t="s">
        <v>1004</v>
      </c>
      <c r="N587" s="61" t="s">
        <v>1005</v>
      </c>
      <c r="O587" s="61" t="s">
        <v>319</v>
      </c>
    </row>
    <row r="588" customFormat="false" ht="15" hidden="false" customHeight="false" outlineLevel="0" collapsed="false">
      <c r="A588" s="60" t="n">
        <v>46295</v>
      </c>
      <c r="B588" s="61" t="str">
        <f aca="false">Entrada!K75</f>
        <v>Entrada</v>
      </c>
      <c r="C588" s="61" t="s">
        <v>106</v>
      </c>
      <c r="D588" s="61" t="s">
        <v>183</v>
      </c>
      <c r="E588" s="61" t="s">
        <v>222</v>
      </c>
      <c r="F588" s="61" t="s">
        <v>251</v>
      </c>
      <c r="G588" s="61" t="s">
        <v>4</v>
      </c>
      <c r="H588" s="62" t="n">
        <f aca="false">Entrada!G75</f>
        <v>-300</v>
      </c>
      <c r="I588" s="62" t="n">
        <f aca="false">Entrada!L75</f>
        <v>300</v>
      </c>
      <c r="J588" s="62" t="n">
        <v>0</v>
      </c>
      <c r="K588" s="62" t="n">
        <f aca="false">I588-J588</f>
        <v>300</v>
      </c>
      <c r="L588" s="61" t="s">
        <v>945</v>
      </c>
      <c r="M588" s="61"/>
      <c r="N588" s="61"/>
      <c r="O588" s="61"/>
    </row>
    <row r="589" customFormat="false" ht="15" hidden="false" customHeight="false" outlineLevel="0" collapsed="false">
      <c r="A589" s="60" t="n">
        <v>46295</v>
      </c>
      <c r="B589" s="61" t="s">
        <v>13</v>
      </c>
      <c r="C589" s="61" t="s">
        <v>106</v>
      </c>
      <c r="D589" s="61" t="s">
        <v>183</v>
      </c>
      <c r="E589" s="61" t="s">
        <v>222</v>
      </c>
      <c r="F589" s="61" t="s">
        <v>246</v>
      </c>
      <c r="G589" s="61" t="s">
        <v>4</v>
      </c>
      <c r="H589" s="62" t="n">
        <f aca="false">Saida!H303</f>
        <v>-50</v>
      </c>
      <c r="I589" s="62" t="n">
        <v>0</v>
      </c>
      <c r="J589" s="62" t="n">
        <f aca="false">Saida!R303</f>
        <v>50</v>
      </c>
      <c r="K589" s="62" t="n">
        <f aca="false">I589-J589</f>
        <v>-50</v>
      </c>
      <c r="L589" s="61" t="s">
        <v>1006</v>
      </c>
      <c r="M589" s="61" t="s">
        <v>973</v>
      </c>
      <c r="N589" s="61" t="s">
        <v>974</v>
      </c>
      <c r="O589" s="61" t="s">
        <v>250</v>
      </c>
    </row>
    <row r="590" customFormat="false" ht="15" hidden="false" customHeight="false" outlineLevel="0" collapsed="false">
      <c r="A590" s="60" t="n">
        <v>46295</v>
      </c>
      <c r="B590" s="61" t="s">
        <v>13</v>
      </c>
      <c r="C590" s="61" t="s">
        <v>106</v>
      </c>
      <c r="D590" s="61" t="s">
        <v>183</v>
      </c>
      <c r="E590" s="61" t="s">
        <v>222</v>
      </c>
      <c r="F590" s="61" t="s">
        <v>246</v>
      </c>
      <c r="G590" s="61" t="s">
        <v>4</v>
      </c>
      <c r="H590" s="62" t="n">
        <f aca="false">Saida!H304</f>
        <v>-10</v>
      </c>
      <c r="I590" s="62" t="n">
        <v>0</v>
      </c>
      <c r="J590" s="62" t="n">
        <f aca="false">Saida!R304</f>
        <v>10</v>
      </c>
      <c r="K590" s="62" t="n">
        <f aca="false">I590-J590</f>
        <v>-10</v>
      </c>
      <c r="L590" s="61" t="s">
        <v>1007</v>
      </c>
      <c r="M590" s="61" t="s">
        <v>374</v>
      </c>
      <c r="N590" s="61" t="s">
        <v>375</v>
      </c>
      <c r="O590" s="61" t="s">
        <v>269</v>
      </c>
    </row>
    <row r="591" customFormat="false" ht="15" hidden="false" customHeight="false" outlineLevel="0" collapsed="false">
      <c r="A591" s="60" t="n">
        <v>46295</v>
      </c>
      <c r="B591" s="61" t="s">
        <v>13</v>
      </c>
      <c r="C591" s="61" t="s">
        <v>106</v>
      </c>
      <c r="D591" s="61" t="s">
        <v>183</v>
      </c>
      <c r="E591" s="61" t="s">
        <v>222</v>
      </c>
      <c r="F591" s="61" t="s">
        <v>246</v>
      </c>
      <c r="G591" s="61" t="s">
        <v>4</v>
      </c>
      <c r="H591" s="62" t="n">
        <f aca="false">Saida!H305</f>
        <v>-10</v>
      </c>
      <c r="I591" s="62" t="n">
        <v>0</v>
      </c>
      <c r="J591" s="62" t="n">
        <f aca="false">Saida!R305</f>
        <v>10</v>
      </c>
      <c r="K591" s="62" t="n">
        <f aca="false">I591-J591</f>
        <v>-10</v>
      </c>
      <c r="L591" s="61" t="s">
        <v>1008</v>
      </c>
      <c r="M591" s="61" t="s">
        <v>1009</v>
      </c>
      <c r="N591" s="61" t="s">
        <v>1010</v>
      </c>
      <c r="O591" s="61" t="s">
        <v>269</v>
      </c>
    </row>
    <row r="592" customFormat="false" ht="15" hidden="false" customHeight="false" outlineLevel="0" collapsed="false">
      <c r="A592" s="60" t="n">
        <v>46295</v>
      </c>
      <c r="B592" s="61" t="s">
        <v>13</v>
      </c>
      <c r="C592" s="61" t="s">
        <v>106</v>
      </c>
      <c r="D592" s="61" t="s">
        <v>183</v>
      </c>
      <c r="E592" s="61" t="s">
        <v>222</v>
      </c>
      <c r="F592" s="61" t="s">
        <v>246</v>
      </c>
      <c r="G592" s="61" t="s">
        <v>4</v>
      </c>
      <c r="H592" s="62" t="n">
        <f aca="false">Saida!H306</f>
        <v>-10</v>
      </c>
      <c r="I592" s="62" t="n">
        <v>0</v>
      </c>
      <c r="J592" s="62" t="n">
        <f aca="false">Saida!R306</f>
        <v>10</v>
      </c>
      <c r="K592" s="62" t="n">
        <f aca="false">I592-J592</f>
        <v>-10</v>
      </c>
      <c r="L592" s="61" t="s">
        <v>1011</v>
      </c>
      <c r="M592" s="61" t="s">
        <v>931</v>
      </c>
      <c r="N592" s="61" t="s">
        <v>932</v>
      </c>
      <c r="O592" s="61" t="s">
        <v>269</v>
      </c>
    </row>
    <row r="593" customFormat="false" ht="15" hidden="false" customHeight="false" outlineLevel="0" collapsed="false">
      <c r="A593" s="60" t="n">
        <v>46295</v>
      </c>
      <c r="B593" s="61" t="s">
        <v>13</v>
      </c>
      <c r="C593" s="61" t="s">
        <v>106</v>
      </c>
      <c r="D593" s="61" t="s">
        <v>183</v>
      </c>
      <c r="E593" s="61" t="s">
        <v>222</v>
      </c>
      <c r="F593" s="61" t="s">
        <v>246</v>
      </c>
      <c r="G593" s="61" t="s">
        <v>4</v>
      </c>
      <c r="H593" s="62" t="n">
        <f aca="false">Saida!H307</f>
        <v>-10</v>
      </c>
      <c r="I593" s="62" t="n">
        <v>0</v>
      </c>
      <c r="J593" s="62" t="n">
        <f aca="false">Saida!R307</f>
        <v>10</v>
      </c>
      <c r="K593" s="62" t="n">
        <f aca="false">I593-J593</f>
        <v>-10</v>
      </c>
      <c r="L593" s="61" t="s">
        <v>997</v>
      </c>
      <c r="M593" s="61" t="s">
        <v>362</v>
      </c>
      <c r="N593" s="61" t="s">
        <v>363</v>
      </c>
      <c r="O593" s="61" t="s">
        <v>269</v>
      </c>
    </row>
    <row r="594" customFormat="false" ht="15" hidden="false" customHeight="false" outlineLevel="0" collapsed="false">
      <c r="A594" s="60" t="n">
        <v>46295</v>
      </c>
      <c r="B594" s="61" t="s">
        <v>13</v>
      </c>
      <c r="C594" s="61" t="s">
        <v>106</v>
      </c>
      <c r="D594" s="61" t="s">
        <v>183</v>
      </c>
      <c r="E594" s="61" t="s">
        <v>222</v>
      </c>
      <c r="F594" s="61" t="s">
        <v>246</v>
      </c>
      <c r="G594" s="61" t="s">
        <v>4</v>
      </c>
      <c r="H594" s="62" t="n">
        <f aca="false">Saida!H308</f>
        <v>-20</v>
      </c>
      <c r="I594" s="62" t="n">
        <v>0</v>
      </c>
      <c r="J594" s="62" t="n">
        <f aca="false">Saida!R308</f>
        <v>20</v>
      </c>
      <c r="K594" s="62" t="n">
        <f aca="false">I594-J594</f>
        <v>-20</v>
      </c>
      <c r="L594" s="61" t="s">
        <v>1012</v>
      </c>
      <c r="M594" s="61" t="s">
        <v>634</v>
      </c>
      <c r="N594" s="61" t="s">
        <v>635</v>
      </c>
      <c r="O594" s="61" t="s">
        <v>250</v>
      </c>
    </row>
    <row r="595" customFormat="false" ht="15" hidden="false" customHeight="false" outlineLevel="0" collapsed="false">
      <c r="A595" s="60" t="n">
        <v>46295</v>
      </c>
      <c r="B595" s="61" t="s">
        <v>13</v>
      </c>
      <c r="C595" s="61" t="s">
        <v>110</v>
      </c>
      <c r="D595" s="61" t="s">
        <v>177</v>
      </c>
      <c r="E595" s="61" t="s">
        <v>119</v>
      </c>
      <c r="F595" s="61" t="s">
        <v>246</v>
      </c>
      <c r="G595" s="61" t="s">
        <v>4</v>
      </c>
      <c r="H595" s="62" t="n">
        <f aca="false">Saida!H329</f>
        <v>-40.2</v>
      </c>
      <c r="I595" s="62" t="n">
        <v>0</v>
      </c>
      <c r="J595" s="62" t="n">
        <f aca="false">Saida!R329</f>
        <v>40.2</v>
      </c>
      <c r="K595" s="62" t="n">
        <f aca="false">I595-J595</f>
        <v>-40.2</v>
      </c>
      <c r="L595" s="61" t="s">
        <v>1007</v>
      </c>
      <c r="M595" s="61" t="s">
        <v>374</v>
      </c>
      <c r="N595" s="61" t="s">
        <v>375</v>
      </c>
      <c r="O595" s="61" t="s">
        <v>269</v>
      </c>
    </row>
    <row r="596" customFormat="false" ht="15" hidden="false" customHeight="false" outlineLevel="0" collapsed="false">
      <c r="A596" s="60" t="n">
        <v>46295</v>
      </c>
      <c r="B596" s="61" t="s">
        <v>13</v>
      </c>
      <c r="C596" s="61" t="s">
        <v>110</v>
      </c>
      <c r="D596" s="61" t="s">
        <v>177</v>
      </c>
      <c r="E596" s="61" t="s">
        <v>119</v>
      </c>
      <c r="F596" s="61" t="s">
        <v>246</v>
      </c>
      <c r="G596" s="61" t="s">
        <v>4</v>
      </c>
      <c r="H596" s="62" t="n">
        <f aca="false">Saida!H330</f>
        <v>-20.1</v>
      </c>
      <c r="I596" s="62" t="n">
        <v>0</v>
      </c>
      <c r="J596" s="62" t="n">
        <f aca="false">Saida!R330</f>
        <v>20.1</v>
      </c>
      <c r="K596" s="62" t="n">
        <f aca="false">I596-J596</f>
        <v>-20.1</v>
      </c>
      <c r="L596" s="61" t="s">
        <v>997</v>
      </c>
      <c r="M596" s="61" t="s">
        <v>362</v>
      </c>
      <c r="N596" s="61" t="s">
        <v>363</v>
      </c>
      <c r="O596" s="61" t="s">
        <v>269</v>
      </c>
    </row>
    <row r="597" customFormat="false" ht="15" hidden="false" customHeight="false" outlineLevel="0" collapsed="false">
      <c r="A597" s="60" t="n">
        <v>46295</v>
      </c>
      <c r="B597" s="61" t="s">
        <v>13</v>
      </c>
      <c r="C597" s="61" t="s">
        <v>135</v>
      </c>
      <c r="D597" s="61" t="s">
        <v>203</v>
      </c>
      <c r="E597" s="61" t="s">
        <v>224</v>
      </c>
      <c r="F597" s="61" t="s">
        <v>246</v>
      </c>
      <c r="G597" s="61" t="s">
        <v>4</v>
      </c>
      <c r="H597" s="62" t="n">
        <f aca="false">Saida!H358</f>
        <v>-25</v>
      </c>
      <c r="I597" s="62" t="n">
        <v>0</v>
      </c>
      <c r="J597" s="62" t="n">
        <f aca="false">Saida!R358</f>
        <v>25</v>
      </c>
      <c r="K597" s="62" t="n">
        <f aca="false">I597-J597</f>
        <v>-25</v>
      </c>
      <c r="L597" s="61" t="s">
        <v>1013</v>
      </c>
      <c r="M597" s="61" t="s">
        <v>1014</v>
      </c>
      <c r="N597" s="61" t="s">
        <v>1015</v>
      </c>
      <c r="O597" s="61" t="s">
        <v>269</v>
      </c>
    </row>
    <row r="598" customFormat="false" ht="15" hidden="false" customHeight="false" outlineLevel="0" collapsed="false">
      <c r="A598" s="60" t="n">
        <v>46295</v>
      </c>
      <c r="B598" s="61" t="s">
        <v>13</v>
      </c>
      <c r="C598" s="61" t="s">
        <v>131</v>
      </c>
      <c r="D598" s="61" t="s">
        <v>205</v>
      </c>
      <c r="E598" s="61" t="s">
        <v>132</v>
      </c>
      <c r="F598" s="61" t="s">
        <v>246</v>
      </c>
      <c r="G598" s="61" t="s">
        <v>12</v>
      </c>
      <c r="H598" s="62" t="n">
        <f aca="false">Saida!H360</f>
        <v>-4</v>
      </c>
      <c r="I598" s="62" t="n">
        <v>0</v>
      </c>
      <c r="J598" s="62" t="n">
        <f aca="false">Saida!R360</f>
        <v>4</v>
      </c>
      <c r="K598" s="62" t="n">
        <f aca="false">I598-J598</f>
        <v>-4</v>
      </c>
      <c r="L598" s="61" t="s">
        <v>1016</v>
      </c>
      <c r="M598" s="61" t="s">
        <v>820</v>
      </c>
      <c r="N598" s="61" t="s">
        <v>821</v>
      </c>
      <c r="O598" s="61" t="s">
        <v>269</v>
      </c>
    </row>
    <row r="599" customFormat="false" ht="15" hidden="false" customHeight="false" outlineLevel="0" collapsed="false">
      <c r="A599" s="60" t="n">
        <v>46295</v>
      </c>
      <c r="B599" s="61" t="s">
        <v>13</v>
      </c>
      <c r="C599" s="61" t="s">
        <v>131</v>
      </c>
      <c r="D599" s="61" t="s">
        <v>205</v>
      </c>
      <c r="E599" s="61" t="s">
        <v>132</v>
      </c>
      <c r="F599" s="61" t="s">
        <v>246</v>
      </c>
      <c r="G599" s="61" t="s">
        <v>12</v>
      </c>
      <c r="H599" s="62" t="n">
        <f aca="false">Saida!H361</f>
        <v>-31</v>
      </c>
      <c r="I599" s="62" t="n">
        <v>0</v>
      </c>
      <c r="J599" s="62" t="n">
        <f aca="false">Saida!R361</f>
        <v>31</v>
      </c>
      <c r="K599" s="62" t="n">
        <f aca="false">I599-J599</f>
        <v>-31</v>
      </c>
      <c r="L599" s="61" t="s">
        <v>1017</v>
      </c>
      <c r="M599" s="61" t="s">
        <v>1018</v>
      </c>
      <c r="N599" s="61" t="s">
        <v>1019</v>
      </c>
      <c r="O599" s="61" t="s">
        <v>269</v>
      </c>
    </row>
    <row r="600" customFormat="false" ht="15" hidden="false" customHeight="false" outlineLevel="0" collapsed="false">
      <c r="A600" s="60" t="n">
        <v>46295</v>
      </c>
      <c r="B600" s="61" t="s">
        <v>13</v>
      </c>
      <c r="C600" s="61" t="s">
        <v>131</v>
      </c>
      <c r="D600" s="61" t="s">
        <v>205</v>
      </c>
      <c r="E600" s="61" t="s">
        <v>132</v>
      </c>
      <c r="F600" s="61" t="s">
        <v>246</v>
      </c>
      <c r="G600" s="61" t="s">
        <v>12</v>
      </c>
      <c r="H600" s="62" t="n">
        <f aca="false">Saida!H362</f>
        <v>-11</v>
      </c>
      <c r="I600" s="62" t="n">
        <v>0</v>
      </c>
      <c r="J600" s="62" t="n">
        <f aca="false">Saida!R362</f>
        <v>11</v>
      </c>
      <c r="K600" s="62" t="n">
        <f aca="false">I600-J600</f>
        <v>-11</v>
      </c>
      <c r="L600" s="61" t="s">
        <v>1020</v>
      </c>
      <c r="M600" s="61" t="s">
        <v>1021</v>
      </c>
      <c r="N600" s="61" t="s">
        <v>1022</v>
      </c>
      <c r="O600" s="61" t="s">
        <v>269</v>
      </c>
    </row>
    <row r="601" customFormat="false" ht="15" hidden="false" customHeight="false" outlineLevel="0" collapsed="false">
      <c r="A601" s="60" t="n">
        <v>46295</v>
      </c>
      <c r="B601" s="61" t="str">
        <f aca="false">Entrada!K97</f>
        <v>Entrada</v>
      </c>
      <c r="C601" s="61" t="s">
        <v>147</v>
      </c>
      <c r="D601" s="61" t="s">
        <v>211</v>
      </c>
      <c r="E601" s="61" t="s">
        <v>225</v>
      </c>
      <c r="F601" s="61" t="s">
        <v>251</v>
      </c>
      <c r="G601" s="61" t="s">
        <v>4</v>
      </c>
      <c r="H601" s="62" t="n">
        <f aca="false">Entrada!G97</f>
        <v>-500</v>
      </c>
      <c r="I601" s="62" t="n">
        <f aca="false">Entrada!L97</f>
        <v>500</v>
      </c>
      <c r="J601" s="62" t="n">
        <v>0</v>
      </c>
      <c r="K601" s="62" t="n">
        <f aca="false">I601-J601</f>
        <v>500</v>
      </c>
      <c r="L601" s="61" t="s">
        <v>1023</v>
      </c>
      <c r="M601" s="61"/>
      <c r="N601" s="61"/>
      <c r="O601" s="61"/>
    </row>
    <row r="602" customFormat="false" ht="15" hidden="false" customHeight="false" outlineLevel="0" collapsed="false">
      <c r="A602" s="60" t="n">
        <v>46295</v>
      </c>
      <c r="B602" s="61" t="s">
        <v>13</v>
      </c>
      <c r="C602" s="61" t="s">
        <v>151</v>
      </c>
      <c r="D602" s="61" t="s">
        <v>213</v>
      </c>
      <c r="E602" s="61" t="s">
        <v>225</v>
      </c>
      <c r="F602" s="61" t="s">
        <v>246</v>
      </c>
      <c r="G602" s="61" t="s">
        <v>4</v>
      </c>
      <c r="H602" s="62" t="n">
        <f aca="false">Saida!H369</f>
        <v>-10</v>
      </c>
      <c r="I602" s="62" t="n">
        <v>0</v>
      </c>
      <c r="J602" s="62" t="n">
        <f aca="false">Saida!R369</f>
        <v>10</v>
      </c>
      <c r="K602" s="62" t="n">
        <f aca="false">I602-J602</f>
        <v>-10</v>
      </c>
      <c r="L602" s="61" t="s">
        <v>1024</v>
      </c>
      <c r="M602" s="61" t="s">
        <v>653</v>
      </c>
      <c r="N602" s="61" t="s">
        <v>654</v>
      </c>
      <c r="O602" s="61" t="s">
        <v>250</v>
      </c>
    </row>
    <row r="603" customFormat="false" ht="15" hidden="false" customHeight="false" outlineLevel="0" collapsed="false">
      <c r="A603" s="60" t="n">
        <v>46295</v>
      </c>
      <c r="B603" s="61" t="s">
        <v>13</v>
      </c>
      <c r="C603" s="61" t="s">
        <v>157</v>
      </c>
      <c r="D603" s="61" t="s">
        <v>194</v>
      </c>
      <c r="E603" s="61" t="s">
        <v>119</v>
      </c>
      <c r="F603" s="61" t="s">
        <v>246</v>
      </c>
      <c r="G603" s="61" t="s">
        <v>4</v>
      </c>
      <c r="H603" s="62" t="n">
        <f aca="false">Saida!H380</f>
        <v>-40.2</v>
      </c>
      <c r="I603" s="62" t="n">
        <v>0</v>
      </c>
      <c r="J603" s="62" t="n">
        <f aca="false">Saida!R380</f>
        <v>40.2</v>
      </c>
      <c r="K603" s="62" t="n">
        <f aca="false">I603-J603</f>
        <v>-40.2</v>
      </c>
      <c r="L603" s="61" t="s">
        <v>1007</v>
      </c>
      <c r="M603" s="61" t="s">
        <v>374</v>
      </c>
      <c r="N603" s="61" t="s">
        <v>375</v>
      </c>
      <c r="O603" s="61" t="s">
        <v>269</v>
      </c>
    </row>
    <row r="604" customFormat="false" ht="15" hidden="false" customHeight="false" outlineLevel="0" collapsed="false">
      <c r="A604" s="60" t="n">
        <v>46296</v>
      </c>
      <c r="B604" s="61" t="s">
        <v>13</v>
      </c>
      <c r="C604" s="61" t="s">
        <v>20</v>
      </c>
      <c r="D604" s="61" t="s">
        <v>21</v>
      </c>
      <c r="E604" s="61" t="s">
        <v>141</v>
      </c>
      <c r="F604" s="61" t="s">
        <v>246</v>
      </c>
      <c r="G604" s="61" t="s">
        <v>4</v>
      </c>
      <c r="H604" s="62" t="n">
        <f aca="false">Saida!H31</f>
        <v>-145.6</v>
      </c>
      <c r="I604" s="62" t="n">
        <v>0</v>
      </c>
      <c r="J604" s="62" t="n">
        <f aca="false">Saida!R31</f>
        <v>145.6</v>
      </c>
      <c r="K604" s="62" t="n">
        <f aca="false">I604-J604</f>
        <v>-145.6</v>
      </c>
      <c r="L604" s="61" t="s">
        <v>1025</v>
      </c>
      <c r="M604" s="61" t="s">
        <v>1026</v>
      </c>
      <c r="N604" s="61" t="s">
        <v>1027</v>
      </c>
      <c r="O604" s="61" t="s">
        <v>474</v>
      </c>
    </row>
    <row r="605" customFormat="false" ht="15" hidden="false" customHeight="false" outlineLevel="0" collapsed="false">
      <c r="A605" s="60" t="n">
        <v>46296</v>
      </c>
      <c r="B605" s="61" t="s">
        <v>13</v>
      </c>
      <c r="C605" s="61" t="s">
        <v>41</v>
      </c>
      <c r="D605" s="61" t="s">
        <v>62</v>
      </c>
      <c r="E605" s="61" t="s">
        <v>141</v>
      </c>
      <c r="F605" s="61" t="s">
        <v>246</v>
      </c>
      <c r="G605" s="61" t="s">
        <v>4</v>
      </c>
      <c r="H605" s="62" t="n">
        <f aca="false">Saida!H126</f>
        <v>-8.4</v>
      </c>
      <c r="I605" s="62" t="n">
        <v>0</v>
      </c>
      <c r="J605" s="62" t="n">
        <f aca="false">Saida!R126</f>
        <v>8.4</v>
      </c>
      <c r="K605" s="62" t="n">
        <f aca="false">I605-J605</f>
        <v>-8.4</v>
      </c>
      <c r="L605" s="61" t="s">
        <v>1028</v>
      </c>
      <c r="M605" s="61" t="s">
        <v>1029</v>
      </c>
      <c r="N605" s="61" t="s">
        <v>1030</v>
      </c>
      <c r="O605" s="61" t="s">
        <v>474</v>
      </c>
    </row>
    <row r="606" customFormat="false" ht="15" hidden="false" customHeight="false" outlineLevel="0" collapsed="false">
      <c r="A606" s="60" t="n">
        <v>46296</v>
      </c>
      <c r="B606" s="61" t="s">
        <v>13</v>
      </c>
      <c r="C606" s="61" t="s">
        <v>41</v>
      </c>
      <c r="D606" s="61" t="s">
        <v>62</v>
      </c>
      <c r="E606" s="61" t="s">
        <v>141</v>
      </c>
      <c r="F606" s="61" t="s">
        <v>246</v>
      </c>
      <c r="G606" s="61" t="s">
        <v>4</v>
      </c>
      <c r="H606" s="62" t="n">
        <f aca="false">Saida!H127</f>
        <v>-30.8</v>
      </c>
      <c r="I606" s="62" t="n">
        <v>0</v>
      </c>
      <c r="J606" s="62" t="n">
        <f aca="false">Saida!R127</f>
        <v>30.8</v>
      </c>
      <c r="K606" s="62" t="n">
        <f aca="false">I606-J606</f>
        <v>-30.8</v>
      </c>
      <c r="L606" s="61" t="s">
        <v>1031</v>
      </c>
      <c r="M606" s="61" t="s">
        <v>1026</v>
      </c>
      <c r="N606" s="61" t="s">
        <v>1027</v>
      </c>
      <c r="O606" s="61" t="s">
        <v>474</v>
      </c>
    </row>
    <row r="607" customFormat="false" ht="15" hidden="false" customHeight="false" outlineLevel="0" collapsed="false">
      <c r="A607" s="60" t="n">
        <v>46296</v>
      </c>
      <c r="B607" s="61" t="s">
        <v>13</v>
      </c>
      <c r="C607" s="61" t="s">
        <v>122</v>
      </c>
      <c r="D607" s="61" t="s">
        <v>197</v>
      </c>
      <c r="E607" s="61" t="s">
        <v>223</v>
      </c>
      <c r="F607" s="61" t="s">
        <v>246</v>
      </c>
      <c r="G607" s="61" t="s">
        <v>4</v>
      </c>
      <c r="H607" s="62" t="n">
        <f aca="false">Saida!H357</f>
        <v>-306</v>
      </c>
      <c r="I607" s="62" t="n">
        <v>0</v>
      </c>
      <c r="J607" s="62" t="n">
        <f aca="false">Saida!R357</f>
        <v>306</v>
      </c>
      <c r="K607" s="62" t="n">
        <f aca="false">I607-J607</f>
        <v>-306</v>
      </c>
      <c r="L607" s="61" t="s">
        <v>1032</v>
      </c>
      <c r="M607" s="61" t="s">
        <v>1033</v>
      </c>
      <c r="N607" s="61" t="s">
        <v>1034</v>
      </c>
      <c r="O607" s="61" t="s">
        <v>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1A1F"/>
    <pageSetUpPr fitToPage="false"/>
  </sheetPr>
  <dimension ref="A1:P2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20"/>
    <col collapsed="false" customWidth="true" hidden="false" outlineLevel="0" max="4" min="4" style="0" width="23"/>
    <col collapsed="false" customWidth="true" hidden="false" outlineLevel="0" max="5" min="5" style="0" width="17"/>
    <col collapsed="false" customWidth="true" hidden="false" outlineLevel="0" max="6" min="6" style="0" width="19"/>
    <col collapsed="false" customWidth="true" hidden="false" outlineLevel="0" max="7" min="7" style="0" width="23"/>
    <col collapsed="false" customWidth="true" hidden="false" outlineLevel="0" max="8" min="8" style="0" width="22"/>
    <col collapsed="false" customWidth="true" hidden="false" outlineLevel="0" max="9" min="9" style="0" width="20"/>
    <col collapsed="false" customWidth="true" hidden="false" outlineLevel="0" max="10" min="10" style="0" width="18"/>
    <col collapsed="false" customWidth="true" hidden="false" outlineLevel="0" max="12" min="11" style="0" width="12"/>
    <col collapsed="false" customWidth="true" hidden="false" outlineLevel="0" max="13" min="13" style="0" width="20"/>
    <col collapsed="false" customWidth="true" hidden="false" outlineLevel="0" max="14" min="14" style="0" width="12"/>
    <col collapsed="false" customWidth="true" hidden="false" outlineLevel="0" max="15" min="15" style="0" width="22"/>
    <col collapsed="false" customWidth="true" hidden="false" outlineLevel="0" max="16" min="16" style="0" width="12"/>
  </cols>
  <sheetData>
    <row r="1" customFormat="false" ht="15" hidden="false" customHeight="false" outlineLevel="0" collapsed="false">
      <c r="A1" s="33" t="s">
        <v>14</v>
      </c>
      <c r="B1" s="33" t="s">
        <v>15</v>
      </c>
      <c r="C1" s="33" t="s">
        <v>1035</v>
      </c>
      <c r="D1" s="33" t="s">
        <v>1036</v>
      </c>
      <c r="E1" s="33" t="s">
        <v>1037</v>
      </c>
      <c r="F1" s="33" t="s">
        <v>1038</v>
      </c>
      <c r="G1" s="33" t="s">
        <v>1039</v>
      </c>
      <c r="H1" s="33" t="s">
        <v>1040</v>
      </c>
      <c r="I1" s="33" t="s">
        <v>1041</v>
      </c>
      <c r="J1" s="33" t="s">
        <v>95</v>
      </c>
      <c r="K1" s="33" t="s">
        <v>90</v>
      </c>
      <c r="L1" s="33" t="s">
        <v>1042</v>
      </c>
      <c r="M1" s="33" t="s">
        <v>1043</v>
      </c>
      <c r="N1" s="33" t="s">
        <v>239</v>
      </c>
      <c r="O1" s="33" t="s">
        <v>1044</v>
      </c>
      <c r="P1" s="33" t="s">
        <v>1045</v>
      </c>
    </row>
    <row r="2" customFormat="false" ht="15" hidden="false" customHeight="false" outlineLevel="0" collapsed="false">
      <c r="A2" s="61" t="s">
        <v>69</v>
      </c>
      <c r="B2" s="61" t="s">
        <v>120</v>
      </c>
      <c r="C2" s="61" t="s">
        <v>1046</v>
      </c>
      <c r="D2" s="61" t="s">
        <v>1047</v>
      </c>
      <c r="E2" s="62" t="n">
        <v>55</v>
      </c>
      <c r="F2" s="61"/>
      <c r="G2" s="61"/>
      <c r="H2" s="62" t="n">
        <v>603</v>
      </c>
      <c r="I2" s="63" t="n">
        <v>46293</v>
      </c>
      <c r="J2" s="62" t="n">
        <v>603</v>
      </c>
      <c r="K2" s="61" t="s">
        <v>4</v>
      </c>
      <c r="L2" s="61" t="s">
        <v>1048</v>
      </c>
      <c r="M2" s="61"/>
      <c r="N2" s="61" t="s">
        <v>254</v>
      </c>
      <c r="O2" s="61"/>
      <c r="P2" s="61" t="s">
        <v>1049</v>
      </c>
    </row>
    <row r="3" customFormat="false" ht="15" hidden="false" customHeight="false" outlineLevel="0" collapsed="false">
      <c r="A3" s="61" t="s">
        <v>69</v>
      </c>
      <c r="B3" s="61" t="s">
        <v>120</v>
      </c>
      <c r="C3" s="61" t="s">
        <v>1046</v>
      </c>
      <c r="D3" s="61" t="s">
        <v>1047</v>
      </c>
      <c r="E3" s="62" t="n">
        <v>55</v>
      </c>
      <c r="F3" s="61"/>
      <c r="G3" s="61"/>
      <c r="H3" s="62" t="n">
        <v>-603</v>
      </c>
      <c r="I3" s="63" t="n">
        <v>46293</v>
      </c>
      <c r="J3" s="62" t="n">
        <v>-603</v>
      </c>
      <c r="K3" s="61" t="s">
        <v>4</v>
      </c>
      <c r="L3" s="61" t="s">
        <v>1050</v>
      </c>
      <c r="M3" s="61"/>
      <c r="N3" s="61" t="s">
        <v>246</v>
      </c>
      <c r="O3" s="61"/>
      <c r="P3" s="61" t="s">
        <v>1049</v>
      </c>
    </row>
    <row r="4" customFormat="false" ht="15" hidden="false" customHeight="false" outlineLevel="0" collapsed="false">
      <c r="A4" s="61" t="s">
        <v>157</v>
      </c>
      <c r="B4" s="61" t="s">
        <v>158</v>
      </c>
      <c r="C4" s="61" t="s">
        <v>1046</v>
      </c>
      <c r="D4" s="61" t="s">
        <v>1051</v>
      </c>
      <c r="E4" s="62" t="n">
        <v>54</v>
      </c>
      <c r="F4" s="61"/>
      <c r="G4" s="61"/>
      <c r="H4" s="62" t="n">
        <v>281.4</v>
      </c>
      <c r="I4" s="63" t="n">
        <v>46280</v>
      </c>
      <c r="J4" s="62" t="n">
        <v>281.4</v>
      </c>
      <c r="K4" s="61" t="s">
        <v>4</v>
      </c>
      <c r="L4" s="61" t="s">
        <v>1052</v>
      </c>
      <c r="M4" s="61"/>
      <c r="N4" s="61" t="s">
        <v>254</v>
      </c>
      <c r="O4" s="61"/>
      <c r="P4" s="61" t="s">
        <v>1049</v>
      </c>
    </row>
    <row r="5" customFormat="false" ht="15" hidden="false" customHeight="false" outlineLevel="0" collapsed="false">
      <c r="A5" s="61" t="s">
        <v>157</v>
      </c>
      <c r="B5" s="61" t="s">
        <v>158</v>
      </c>
      <c r="C5" s="61" t="s">
        <v>1053</v>
      </c>
      <c r="D5" s="61" t="s">
        <v>1054</v>
      </c>
      <c r="E5" s="62" t="n">
        <v>1</v>
      </c>
      <c r="F5" s="61"/>
      <c r="G5" s="61"/>
      <c r="H5" s="62" t="n">
        <v>-20.1</v>
      </c>
      <c r="I5" s="63" t="n">
        <v>46275</v>
      </c>
      <c r="J5" s="62" t="n">
        <v>-20.1</v>
      </c>
      <c r="K5" s="61" t="s">
        <v>4</v>
      </c>
      <c r="L5" s="61" t="s">
        <v>1050</v>
      </c>
      <c r="M5" s="61"/>
      <c r="N5" s="61" t="s">
        <v>246</v>
      </c>
      <c r="O5" s="61"/>
      <c r="P5" s="61" t="s">
        <v>1049</v>
      </c>
    </row>
    <row r="6" customFormat="false" ht="15" hidden="false" customHeight="false" outlineLevel="0" collapsed="false">
      <c r="A6" s="61" t="s">
        <v>7</v>
      </c>
      <c r="B6" s="61" t="s">
        <v>11</v>
      </c>
      <c r="C6" s="61" t="s">
        <v>1053</v>
      </c>
      <c r="D6" s="61" t="s">
        <v>1055</v>
      </c>
      <c r="E6" s="62" t="n">
        <v>3</v>
      </c>
      <c r="F6" s="61"/>
      <c r="G6" s="61"/>
      <c r="H6" s="62" t="n">
        <v>20.1</v>
      </c>
      <c r="I6" s="63" t="n">
        <v>46279</v>
      </c>
      <c r="J6" s="62" t="n">
        <v>20.1</v>
      </c>
      <c r="K6" s="61" t="s">
        <v>4</v>
      </c>
      <c r="L6" s="61" t="s">
        <v>1056</v>
      </c>
      <c r="M6" s="61"/>
      <c r="N6" s="61" t="s">
        <v>254</v>
      </c>
      <c r="O6" s="60" t="n">
        <v>46789</v>
      </c>
      <c r="P6" s="61" t="s">
        <v>1049</v>
      </c>
    </row>
    <row r="7" customFormat="false" ht="15" hidden="false" customHeight="false" outlineLevel="0" collapsed="false">
      <c r="A7" s="61" t="s">
        <v>157</v>
      </c>
      <c r="B7" s="61" t="s">
        <v>158</v>
      </c>
      <c r="C7" s="61" t="s">
        <v>1053</v>
      </c>
      <c r="D7" s="61" t="s">
        <v>1057</v>
      </c>
      <c r="E7" s="62" t="n">
        <v>1</v>
      </c>
      <c r="F7" s="61"/>
      <c r="G7" s="61"/>
      <c r="H7" s="62" t="n">
        <v>-20.1</v>
      </c>
      <c r="I7" s="63" t="n">
        <v>46275</v>
      </c>
      <c r="J7" s="62" t="n">
        <v>-20.1</v>
      </c>
      <c r="K7" s="61" t="s">
        <v>4</v>
      </c>
      <c r="L7" s="61" t="s">
        <v>1050</v>
      </c>
      <c r="M7" s="61"/>
      <c r="N7" s="61" t="s">
        <v>246</v>
      </c>
      <c r="O7" s="61"/>
      <c r="P7" s="61" t="s">
        <v>1049</v>
      </c>
    </row>
    <row r="8" customFormat="false" ht="15" hidden="false" customHeight="false" outlineLevel="0" collapsed="false">
      <c r="A8" s="61" t="s">
        <v>157</v>
      </c>
      <c r="B8" s="61" t="s">
        <v>158</v>
      </c>
      <c r="C8" s="61" t="s">
        <v>1053</v>
      </c>
      <c r="D8" s="61" t="s">
        <v>1058</v>
      </c>
      <c r="E8" s="62" t="n">
        <v>2</v>
      </c>
      <c r="F8" s="61"/>
      <c r="G8" s="61"/>
      <c r="H8" s="62" t="n">
        <v>-20.1</v>
      </c>
      <c r="I8" s="63" t="n">
        <v>46275</v>
      </c>
      <c r="J8" s="62" t="n">
        <v>-20.1</v>
      </c>
      <c r="K8" s="61" t="s">
        <v>4</v>
      </c>
      <c r="L8" s="61" t="s">
        <v>1050</v>
      </c>
      <c r="M8" s="61"/>
      <c r="N8" s="61" t="s">
        <v>246</v>
      </c>
      <c r="O8" s="60" t="n">
        <v>46558</v>
      </c>
      <c r="P8" s="61" t="s">
        <v>1049</v>
      </c>
    </row>
    <row r="9" customFormat="false" ht="15" hidden="false" customHeight="false" outlineLevel="0" collapsed="false">
      <c r="A9" s="61" t="s">
        <v>71</v>
      </c>
      <c r="B9" s="61" t="s">
        <v>136</v>
      </c>
      <c r="C9" s="61" t="s">
        <v>1053</v>
      </c>
      <c r="D9" s="61" t="s">
        <v>1059</v>
      </c>
      <c r="E9" s="62" t="n">
        <v>1</v>
      </c>
      <c r="F9" s="61"/>
      <c r="G9" s="61"/>
      <c r="H9" s="62" t="n">
        <v>19.599</v>
      </c>
      <c r="I9" s="63" t="n">
        <v>46287</v>
      </c>
      <c r="J9" s="62" t="n">
        <v>19.599</v>
      </c>
      <c r="K9" s="61" t="s">
        <v>4</v>
      </c>
      <c r="L9" s="61" t="s">
        <v>1060</v>
      </c>
      <c r="M9" s="61"/>
      <c r="N9" s="61" t="s">
        <v>254</v>
      </c>
      <c r="O9" s="60" t="n">
        <v>46459</v>
      </c>
      <c r="P9" s="61" t="s">
        <v>1049</v>
      </c>
    </row>
    <row r="10" customFormat="false" ht="15" hidden="false" customHeight="false" outlineLevel="0" collapsed="false">
      <c r="A10" s="61" t="s">
        <v>81</v>
      </c>
      <c r="B10" s="61" t="s">
        <v>145</v>
      </c>
      <c r="C10" s="61" t="s">
        <v>1053</v>
      </c>
      <c r="D10" s="61" t="s">
        <v>1061</v>
      </c>
      <c r="E10" s="62" t="n">
        <v>1</v>
      </c>
      <c r="F10" s="61"/>
      <c r="G10" s="61"/>
      <c r="H10" s="62" t="n">
        <v>144</v>
      </c>
      <c r="I10" s="63" t="n">
        <v>46293</v>
      </c>
      <c r="J10" s="62" t="n">
        <v>144</v>
      </c>
      <c r="K10" s="61" t="s">
        <v>4</v>
      </c>
      <c r="L10" s="61" t="s">
        <v>1060</v>
      </c>
      <c r="M10" s="61"/>
      <c r="N10" s="61" t="s">
        <v>246</v>
      </c>
      <c r="O10" s="60" t="n">
        <v>46394</v>
      </c>
      <c r="P10" s="61" t="s">
        <v>1049</v>
      </c>
    </row>
    <row r="11" customFormat="false" ht="15" hidden="false" customHeight="false" outlineLevel="0" collapsed="false">
      <c r="A11" s="61" t="s">
        <v>69</v>
      </c>
      <c r="B11" s="61" t="s">
        <v>120</v>
      </c>
      <c r="C11" s="61" t="s">
        <v>1053</v>
      </c>
      <c r="D11" s="61" t="s">
        <v>1062</v>
      </c>
      <c r="E11" s="62" t="n">
        <v>1</v>
      </c>
      <c r="F11" s="61"/>
      <c r="G11" s="61"/>
      <c r="H11" s="62" t="n">
        <v>804</v>
      </c>
      <c r="I11" s="63" t="n">
        <v>46291</v>
      </c>
      <c r="J11" s="62" t="n">
        <v>804</v>
      </c>
      <c r="K11" s="61" t="s">
        <v>4</v>
      </c>
      <c r="L11" s="61" t="s">
        <v>1063</v>
      </c>
      <c r="M11" s="61"/>
      <c r="N11" s="61" t="s">
        <v>246</v>
      </c>
      <c r="O11" s="60" t="n">
        <v>46683</v>
      </c>
      <c r="P11" s="61" t="s">
        <v>1049</v>
      </c>
    </row>
    <row r="12" customFormat="false" ht="15" hidden="false" customHeight="false" outlineLevel="0" collapsed="false">
      <c r="A12" s="61" t="s">
        <v>69</v>
      </c>
      <c r="B12" s="61" t="s">
        <v>120</v>
      </c>
      <c r="C12" s="61" t="s">
        <v>1053</v>
      </c>
      <c r="D12" s="61" t="s">
        <v>1064</v>
      </c>
      <c r="E12" s="62" t="n">
        <v>2</v>
      </c>
      <c r="F12" s="61"/>
      <c r="G12" s="61"/>
      <c r="H12" s="62" t="n">
        <v>60.3</v>
      </c>
      <c r="I12" s="63" t="n">
        <v>46291</v>
      </c>
      <c r="J12" s="62" t="n">
        <v>60.3</v>
      </c>
      <c r="K12" s="61" t="s">
        <v>4</v>
      </c>
      <c r="L12" s="61" t="s">
        <v>1063</v>
      </c>
      <c r="M12" s="61"/>
      <c r="N12" s="61" t="s">
        <v>246</v>
      </c>
      <c r="O12" s="60" t="n">
        <v>46683</v>
      </c>
      <c r="P12" s="61" t="s">
        <v>1049</v>
      </c>
    </row>
    <row r="13" customFormat="false" ht="15" hidden="false" customHeight="false" outlineLevel="0" collapsed="false">
      <c r="A13" s="61" t="s">
        <v>106</v>
      </c>
      <c r="B13" s="61" t="s">
        <v>183</v>
      </c>
      <c r="C13" s="61" t="s">
        <v>1053</v>
      </c>
      <c r="D13" s="61" t="s">
        <v>1064</v>
      </c>
      <c r="E13" s="62" t="n">
        <v>2</v>
      </c>
      <c r="F13" s="61"/>
      <c r="G13" s="61"/>
      <c r="H13" s="62" t="n">
        <v>40</v>
      </c>
      <c r="I13" s="63" t="n">
        <v>46291</v>
      </c>
      <c r="J13" s="62" t="n">
        <v>40</v>
      </c>
      <c r="K13" s="61" t="s">
        <v>4</v>
      </c>
      <c r="L13" s="61" t="s">
        <v>1063</v>
      </c>
      <c r="M13" s="61"/>
      <c r="N13" s="61" t="s">
        <v>246</v>
      </c>
      <c r="O13" s="60" t="n">
        <v>46703</v>
      </c>
      <c r="P13" s="61" t="s">
        <v>1049</v>
      </c>
    </row>
    <row r="14" customFormat="false" ht="15" hidden="false" customHeight="false" outlineLevel="0" collapsed="false">
      <c r="A14" s="61" t="s">
        <v>23</v>
      </c>
      <c r="B14" s="61" t="s">
        <v>24</v>
      </c>
      <c r="C14" s="61" t="s">
        <v>1065</v>
      </c>
      <c r="D14" s="61" t="s">
        <v>1066</v>
      </c>
      <c r="E14" s="62" t="n">
        <v>40</v>
      </c>
      <c r="F14" s="61"/>
      <c r="G14" s="61"/>
      <c r="H14" s="62" t="n">
        <v>2.8</v>
      </c>
      <c r="I14" s="63" t="n">
        <v>46291</v>
      </c>
      <c r="J14" s="62" t="n">
        <v>2.8</v>
      </c>
      <c r="K14" s="61" t="s">
        <v>4</v>
      </c>
      <c r="L14" s="61" t="s">
        <v>1063</v>
      </c>
      <c r="M14" s="61"/>
      <c r="N14" s="61" t="s">
        <v>246</v>
      </c>
      <c r="O14" s="60" t="n">
        <v>46550</v>
      </c>
      <c r="P14" s="61" t="s">
        <v>1049</v>
      </c>
    </row>
    <row r="15" customFormat="false" ht="15" hidden="false" customHeight="false" outlineLevel="0" collapsed="false">
      <c r="A15" s="61" t="s">
        <v>47</v>
      </c>
      <c r="B15" s="61" t="s">
        <v>68</v>
      </c>
      <c r="C15" s="61" t="s">
        <v>1065</v>
      </c>
      <c r="D15" s="61" t="s">
        <v>1066</v>
      </c>
      <c r="E15" s="62" t="n">
        <v>40</v>
      </c>
      <c r="F15" s="61"/>
      <c r="G15" s="61"/>
      <c r="H15" s="62" t="n">
        <v>20</v>
      </c>
      <c r="I15" s="63" t="n">
        <v>46294</v>
      </c>
      <c r="J15" s="62" t="n">
        <v>20</v>
      </c>
      <c r="K15" s="61" t="s">
        <v>4</v>
      </c>
      <c r="L15" s="61" t="s">
        <v>1067</v>
      </c>
      <c r="M15" s="61"/>
      <c r="N15" s="61" t="s">
        <v>246</v>
      </c>
      <c r="O15" s="61"/>
      <c r="P15" s="61" t="s">
        <v>1049</v>
      </c>
    </row>
    <row r="16" customFormat="false" ht="15" hidden="false" customHeight="false" outlineLevel="0" collapsed="false">
      <c r="A16" s="61" t="s">
        <v>110</v>
      </c>
      <c r="B16" s="61" t="s">
        <v>177</v>
      </c>
      <c r="C16" s="61" t="s">
        <v>1065</v>
      </c>
      <c r="D16" s="61" t="s">
        <v>1066</v>
      </c>
      <c r="E16" s="62" t="n">
        <v>40</v>
      </c>
      <c r="F16" s="61"/>
      <c r="G16" s="61"/>
      <c r="H16" s="62" t="n">
        <v>20.1</v>
      </c>
      <c r="I16" s="63" t="n">
        <v>46293</v>
      </c>
      <c r="J16" s="62" t="n">
        <v>20.1</v>
      </c>
      <c r="K16" s="61" t="s">
        <v>4</v>
      </c>
      <c r="L16" s="61" t="s">
        <v>1048</v>
      </c>
      <c r="M16" s="61"/>
      <c r="N16" s="61" t="s">
        <v>246</v>
      </c>
      <c r="O16" s="60" t="n">
        <v>46468</v>
      </c>
      <c r="P16" s="61" t="s">
        <v>1049</v>
      </c>
    </row>
    <row r="17" customFormat="false" ht="15" hidden="false" customHeight="false" outlineLevel="0" collapsed="false">
      <c r="A17" s="61" t="s">
        <v>110</v>
      </c>
      <c r="B17" s="61" t="s">
        <v>162</v>
      </c>
      <c r="C17" s="61" t="s">
        <v>1068</v>
      </c>
      <c r="D17" s="61" t="s">
        <v>1069</v>
      </c>
      <c r="E17" s="62" t="n">
        <v>1</v>
      </c>
      <c r="F17" s="61"/>
      <c r="G17" s="62" t="n">
        <v>1021977000</v>
      </c>
      <c r="H17" s="62" t="n">
        <v>603</v>
      </c>
      <c r="I17" s="63" t="n">
        <v>46291</v>
      </c>
      <c r="J17" s="62" t="n">
        <v>603</v>
      </c>
      <c r="K17" s="61" t="s">
        <v>4</v>
      </c>
      <c r="L17" s="61" t="s">
        <v>1063</v>
      </c>
      <c r="M17" s="61"/>
      <c r="N17" s="61" t="s">
        <v>246</v>
      </c>
      <c r="O17" s="60" t="n">
        <v>46551</v>
      </c>
      <c r="P17" s="61" t="s">
        <v>1049</v>
      </c>
    </row>
    <row r="18" customFormat="false" ht="15" hidden="false" customHeight="false" outlineLevel="0" collapsed="false">
      <c r="A18" s="61" t="s">
        <v>110</v>
      </c>
      <c r="B18" s="61" t="s">
        <v>192</v>
      </c>
      <c r="C18" s="61" t="s">
        <v>1068</v>
      </c>
      <c r="D18" s="61" t="s">
        <v>1070</v>
      </c>
      <c r="E18" s="62" t="n">
        <v>1</v>
      </c>
      <c r="F18" s="61"/>
      <c r="G18" s="62" t="n">
        <v>1021976000</v>
      </c>
      <c r="H18" s="62" t="n">
        <v>603</v>
      </c>
      <c r="I18" s="63" t="n">
        <v>46291</v>
      </c>
      <c r="J18" s="62" t="n">
        <v>603</v>
      </c>
      <c r="K18" s="61" t="s">
        <v>4</v>
      </c>
      <c r="L18" s="61" t="s">
        <v>1063</v>
      </c>
      <c r="M18" s="61"/>
      <c r="N18" s="61" t="s">
        <v>246</v>
      </c>
      <c r="O18" s="60" t="n">
        <v>46462</v>
      </c>
      <c r="P18" s="61" t="s">
        <v>1049</v>
      </c>
    </row>
    <row r="19" customFormat="false" ht="15" hidden="false" customHeight="false" outlineLevel="0" collapsed="false">
      <c r="A19" s="61" t="s">
        <v>131</v>
      </c>
      <c r="B19" s="61" t="s">
        <v>205</v>
      </c>
      <c r="C19" s="61" t="s">
        <v>1068</v>
      </c>
      <c r="D19" s="61" t="s">
        <v>1071</v>
      </c>
      <c r="E19" s="62" t="n">
        <v>1</v>
      </c>
      <c r="F19" s="61"/>
      <c r="G19" s="62" t="n">
        <v>1021970000</v>
      </c>
      <c r="H19" s="62" t="n">
        <v>120</v>
      </c>
      <c r="I19" s="63" t="n">
        <v>46291</v>
      </c>
      <c r="J19" s="62" t="n">
        <v>120</v>
      </c>
      <c r="K19" s="61" t="s">
        <v>12</v>
      </c>
      <c r="L19" s="61" t="s">
        <v>1063</v>
      </c>
      <c r="M19" s="61"/>
      <c r="N19" s="61" t="s">
        <v>246</v>
      </c>
      <c r="O19" s="60" t="n">
        <v>46651</v>
      </c>
      <c r="P19" s="61" t="s">
        <v>1049</v>
      </c>
    </row>
    <row r="20" customFormat="false" ht="15" hidden="false" customHeight="false" outlineLevel="0" collapsed="false">
      <c r="A20" s="61" t="s">
        <v>110</v>
      </c>
      <c r="B20" s="61" t="s">
        <v>193</v>
      </c>
      <c r="C20" s="61" t="s">
        <v>1068</v>
      </c>
      <c r="D20" s="61" t="s">
        <v>1072</v>
      </c>
      <c r="E20" s="62" t="n">
        <v>1</v>
      </c>
      <c r="F20" s="61"/>
      <c r="G20" s="62" t="n">
        <v>1021963000</v>
      </c>
      <c r="H20" s="62" t="n">
        <v>180.9</v>
      </c>
      <c r="I20" s="63" t="n">
        <v>46291</v>
      </c>
      <c r="J20" s="62" t="n">
        <v>180.9</v>
      </c>
      <c r="K20" s="61" t="s">
        <v>4</v>
      </c>
      <c r="L20" s="61" t="s">
        <v>1073</v>
      </c>
      <c r="M20" s="61"/>
      <c r="N20" s="61" t="s">
        <v>246</v>
      </c>
      <c r="O20" s="60" t="n">
        <v>46677</v>
      </c>
      <c r="P20" s="61" t="s">
        <v>1049</v>
      </c>
    </row>
    <row r="21" customFormat="false" ht="15" hidden="false" customHeight="false" outlineLevel="0" collapsed="false">
      <c r="A21" s="61" t="s">
        <v>35</v>
      </c>
      <c r="B21" s="61" t="s">
        <v>56</v>
      </c>
      <c r="C21" s="61" t="s">
        <v>1068</v>
      </c>
      <c r="D21" s="61" t="s">
        <v>1074</v>
      </c>
      <c r="E21" s="62" t="n">
        <v>1</v>
      </c>
      <c r="F21" s="61"/>
      <c r="G21" s="62" t="n">
        <v>1021970000</v>
      </c>
      <c r="H21" s="62" t="n">
        <v>19.7</v>
      </c>
      <c r="I21" s="63" t="n">
        <v>46291</v>
      </c>
      <c r="J21" s="62" t="n">
        <v>19.7</v>
      </c>
      <c r="K21" s="61" t="s">
        <v>4</v>
      </c>
      <c r="L21" s="61" t="s">
        <v>1063</v>
      </c>
      <c r="M21" s="61"/>
      <c r="N21" s="61" t="s">
        <v>246</v>
      </c>
      <c r="O21" s="60" t="n">
        <v>46416</v>
      </c>
      <c r="P21" s="61" t="s">
        <v>1049</v>
      </c>
    </row>
    <row r="22" customFormat="false" ht="15" hidden="false" customHeight="false" outlineLevel="0" collapsed="false">
      <c r="A22" s="61" t="s">
        <v>131</v>
      </c>
      <c r="B22" s="61" t="s">
        <v>133</v>
      </c>
      <c r="C22" s="61" t="s">
        <v>1068</v>
      </c>
      <c r="D22" s="61" t="s">
        <v>1075</v>
      </c>
      <c r="E22" s="62" t="n">
        <v>1</v>
      </c>
      <c r="F22" s="61"/>
      <c r="G22" s="62" t="n">
        <v>1021970000</v>
      </c>
      <c r="H22" s="62" t="n">
        <v>120</v>
      </c>
      <c r="I22" s="63" t="n">
        <v>46291</v>
      </c>
      <c r="J22" s="62" t="n">
        <v>120</v>
      </c>
      <c r="K22" s="61" t="s">
        <v>12</v>
      </c>
      <c r="L22" s="61" t="s">
        <v>1063</v>
      </c>
      <c r="M22" s="61"/>
      <c r="N22" s="61" t="s">
        <v>246</v>
      </c>
      <c r="O22" s="60" t="n">
        <v>46736</v>
      </c>
      <c r="P22" s="61" t="s">
        <v>1049</v>
      </c>
    </row>
    <row r="23" customFormat="false" ht="15" hidden="false" customHeight="false" outlineLevel="0" collapsed="false">
      <c r="A23" s="61" t="s">
        <v>151</v>
      </c>
      <c r="B23" s="61" t="s">
        <v>213</v>
      </c>
      <c r="C23" s="61" t="s">
        <v>1076</v>
      </c>
      <c r="D23" s="61" t="s">
        <v>1077</v>
      </c>
      <c r="E23" s="62" t="n">
        <v>1</v>
      </c>
      <c r="F23" s="61"/>
      <c r="G23" s="62" t="n">
        <v>1021969000</v>
      </c>
      <c r="H23" s="62" t="n">
        <v>40</v>
      </c>
      <c r="I23" s="63" t="n">
        <v>46289</v>
      </c>
      <c r="J23" s="62" t="n">
        <v>40</v>
      </c>
      <c r="K23" s="61" t="s">
        <v>4</v>
      </c>
      <c r="L23" s="61" t="s">
        <v>1078</v>
      </c>
      <c r="M23" s="61"/>
      <c r="N23" s="61" t="s">
        <v>246</v>
      </c>
      <c r="O23" s="60" t="n">
        <v>46505</v>
      </c>
      <c r="P23" s="61" t="s">
        <v>1049</v>
      </c>
    </row>
    <row r="24" customFormat="false" ht="15" hidden="false" customHeight="false" outlineLevel="0" collapsed="false">
      <c r="A24" s="61" t="s">
        <v>131</v>
      </c>
      <c r="B24" s="61" t="s">
        <v>180</v>
      </c>
      <c r="C24" s="61" t="s">
        <v>1076</v>
      </c>
      <c r="D24" s="61" t="s">
        <v>1079</v>
      </c>
      <c r="E24" s="62" t="n">
        <v>1</v>
      </c>
      <c r="F24" s="61"/>
      <c r="G24" s="62" t="n">
        <v>1021970000</v>
      </c>
      <c r="H24" s="62" t="n">
        <v>120</v>
      </c>
      <c r="I24" s="63" t="n">
        <v>46289</v>
      </c>
      <c r="J24" s="62" t="n">
        <v>120</v>
      </c>
      <c r="K24" s="61" t="s">
        <v>12</v>
      </c>
      <c r="L24" s="61" t="s">
        <v>1078</v>
      </c>
      <c r="M24" s="61"/>
      <c r="N24" s="61" t="s">
        <v>246</v>
      </c>
      <c r="O24" s="60" t="n">
        <v>46736</v>
      </c>
      <c r="P24" s="61" t="s">
        <v>1049</v>
      </c>
    </row>
    <row r="25" customFormat="false" ht="15" hidden="false" customHeight="false" outlineLevel="0" collapsed="false">
      <c r="A25" s="61" t="s">
        <v>147</v>
      </c>
      <c r="B25" s="61" t="s">
        <v>211</v>
      </c>
      <c r="C25" s="61" t="s">
        <v>1076</v>
      </c>
      <c r="D25" s="61" t="s">
        <v>1080</v>
      </c>
      <c r="E25" s="62" t="n">
        <v>1</v>
      </c>
      <c r="F25" s="61"/>
      <c r="G25" s="62" t="n">
        <v>1021986000</v>
      </c>
      <c r="H25" s="62" t="n">
        <v>300</v>
      </c>
      <c r="I25" s="63" t="n">
        <v>46294</v>
      </c>
      <c r="J25" s="62" t="n">
        <v>300</v>
      </c>
      <c r="K25" s="61" t="s">
        <v>4</v>
      </c>
      <c r="L25" s="61" t="s">
        <v>1067</v>
      </c>
      <c r="M25" s="61"/>
      <c r="N25" s="61" t="s">
        <v>246</v>
      </c>
      <c r="O25" s="60" t="n">
        <v>46521</v>
      </c>
      <c r="P25" s="61" t="s">
        <v>1049</v>
      </c>
    </row>
    <row r="26" customFormat="false" ht="15" hidden="false" customHeight="false" outlineLevel="0" collapsed="false">
      <c r="A26" s="61" t="s">
        <v>147</v>
      </c>
      <c r="B26" s="61" t="s">
        <v>211</v>
      </c>
      <c r="C26" s="61" t="s">
        <v>1076</v>
      </c>
      <c r="D26" s="61" t="s">
        <v>1081</v>
      </c>
      <c r="E26" s="62" t="n">
        <v>1</v>
      </c>
      <c r="F26" s="61"/>
      <c r="G26" s="62" t="n">
        <v>1021986000</v>
      </c>
      <c r="H26" s="62" t="n">
        <v>500</v>
      </c>
      <c r="I26" s="63" t="n">
        <v>46294</v>
      </c>
      <c r="J26" s="62" t="n">
        <v>500</v>
      </c>
      <c r="K26" s="61" t="s">
        <v>4</v>
      </c>
      <c r="L26" s="61" t="s">
        <v>1067</v>
      </c>
      <c r="M26" s="61"/>
      <c r="N26" s="61" t="s">
        <v>246</v>
      </c>
      <c r="O26" s="60" t="n">
        <v>46521</v>
      </c>
      <c r="P26" s="61" t="s">
        <v>1049</v>
      </c>
    </row>
    <row r="27" customFormat="false" ht="15" hidden="false" customHeight="false" outlineLevel="0" collapsed="false">
      <c r="A27" s="61" t="s">
        <v>122</v>
      </c>
      <c r="B27" s="61" t="s">
        <v>197</v>
      </c>
      <c r="C27" s="61" t="s">
        <v>1076</v>
      </c>
      <c r="D27" s="61" t="s">
        <v>1082</v>
      </c>
      <c r="E27" s="62" t="n">
        <v>1</v>
      </c>
      <c r="F27" s="61"/>
      <c r="G27" s="62" t="n">
        <v>1021986000</v>
      </c>
      <c r="H27" s="62" t="n">
        <v>126</v>
      </c>
      <c r="I27" s="63" t="n">
        <v>46295</v>
      </c>
      <c r="J27" s="62" t="n">
        <v>126</v>
      </c>
      <c r="K27" s="61" t="s">
        <v>4</v>
      </c>
      <c r="L27" s="61" t="s">
        <v>1067</v>
      </c>
      <c r="M27" s="61"/>
      <c r="N27" s="61" t="s">
        <v>246</v>
      </c>
      <c r="O27" s="60" t="n">
        <v>46830</v>
      </c>
      <c r="P27" s="61" t="s">
        <v>1049</v>
      </c>
    </row>
    <row r="28" customFormat="false" ht="15" hidden="false" customHeight="false" outlineLevel="0" collapsed="false">
      <c r="A28" s="61" t="s">
        <v>27</v>
      </c>
      <c r="B28" s="61" t="s">
        <v>32</v>
      </c>
      <c r="C28" s="61" t="s">
        <v>1076</v>
      </c>
      <c r="D28" s="61" t="s">
        <v>1083</v>
      </c>
      <c r="E28" s="62" t="n">
        <v>1</v>
      </c>
      <c r="F28" s="61"/>
      <c r="G28" s="62" t="n">
        <v>1021986000</v>
      </c>
      <c r="H28" s="62" t="n">
        <v>221.1</v>
      </c>
      <c r="I28" s="63" t="n">
        <v>46294</v>
      </c>
      <c r="J28" s="62" t="n">
        <v>221.1</v>
      </c>
      <c r="K28" s="61" t="s">
        <v>4</v>
      </c>
      <c r="L28" s="61" t="s">
        <v>1067</v>
      </c>
      <c r="M28" s="61"/>
      <c r="N28" s="61" t="s">
        <v>246</v>
      </c>
      <c r="O28" s="60" t="n">
        <v>46632</v>
      </c>
      <c r="P28" s="61" t="s">
        <v>1049</v>
      </c>
    </row>
    <row r="29" customFormat="false" ht="15" hidden="false" customHeight="false" outlineLevel="0" collapsed="false">
      <c r="A29" s="61" t="s">
        <v>27</v>
      </c>
      <c r="B29" s="61" t="s">
        <v>32</v>
      </c>
      <c r="C29" s="61" t="s">
        <v>1076</v>
      </c>
      <c r="D29" s="61" t="s">
        <v>1084</v>
      </c>
      <c r="E29" s="62" t="n">
        <v>1</v>
      </c>
      <c r="F29" s="61"/>
      <c r="G29" s="62" t="n">
        <v>1021986000</v>
      </c>
      <c r="H29" s="62" t="n">
        <v>603</v>
      </c>
      <c r="I29" s="63" t="n">
        <v>46294</v>
      </c>
      <c r="J29" s="62" t="n">
        <v>603</v>
      </c>
      <c r="K29" s="61" t="s">
        <v>4</v>
      </c>
      <c r="L29" s="61" t="s">
        <v>1067</v>
      </c>
      <c r="M29" s="61"/>
      <c r="N29" s="61" t="s">
        <v>246</v>
      </c>
      <c r="O29" s="60" t="n">
        <v>46632</v>
      </c>
      <c r="P29" s="61" t="s">
        <v>1049</v>
      </c>
    </row>
    <row r="30" customFormat="false" ht="15" hidden="false" customHeight="false" outlineLevel="0" collapsed="false">
      <c r="A30" s="61" t="s">
        <v>147</v>
      </c>
      <c r="B30" s="61" t="s">
        <v>211</v>
      </c>
      <c r="C30" s="61" t="s">
        <v>1076</v>
      </c>
      <c r="D30" s="61" t="s">
        <v>1085</v>
      </c>
      <c r="E30" s="62" t="n">
        <v>1</v>
      </c>
      <c r="F30" s="61"/>
      <c r="G30" s="62" t="n">
        <v>1021991000</v>
      </c>
      <c r="H30" s="62" t="n">
        <v>500</v>
      </c>
      <c r="I30" s="63" t="n">
        <v>46295</v>
      </c>
      <c r="J30" s="62" t="n">
        <v>500</v>
      </c>
      <c r="K30" s="61" t="s">
        <v>4</v>
      </c>
      <c r="L30" s="61" t="s">
        <v>1086</v>
      </c>
      <c r="M30" s="61"/>
      <c r="N30" s="61" t="s">
        <v>246</v>
      </c>
      <c r="O30" s="60" t="n">
        <v>46521</v>
      </c>
      <c r="P30" s="61" t="s">
        <v>1049</v>
      </c>
    </row>
    <row r="31" customFormat="false" ht="15" hidden="false" customHeight="false" outlineLevel="0" collapsed="false">
      <c r="A31" s="61" t="s">
        <v>106</v>
      </c>
      <c r="B31" s="61" t="s">
        <v>183</v>
      </c>
      <c r="C31" s="61" t="s">
        <v>1076</v>
      </c>
      <c r="D31" s="61" t="s">
        <v>1087</v>
      </c>
      <c r="E31" s="62" t="n">
        <v>1</v>
      </c>
      <c r="F31" s="61"/>
      <c r="G31" s="62" t="n">
        <v>1021991000</v>
      </c>
      <c r="H31" s="62" t="n">
        <v>300</v>
      </c>
      <c r="I31" s="63" t="n">
        <v>46295</v>
      </c>
      <c r="J31" s="62" t="n">
        <v>300</v>
      </c>
      <c r="K31" s="61" t="s">
        <v>4</v>
      </c>
      <c r="L31" s="61" t="s">
        <v>1086</v>
      </c>
      <c r="M31" s="61"/>
      <c r="N31" s="61" t="s">
        <v>246</v>
      </c>
      <c r="O31" s="60" t="n">
        <v>46703</v>
      </c>
      <c r="P31" s="61" t="s">
        <v>1049</v>
      </c>
    </row>
    <row r="32" customFormat="false" ht="15" hidden="false" customHeight="false" outlineLevel="0" collapsed="false">
      <c r="A32" s="61" t="s">
        <v>27</v>
      </c>
      <c r="B32" s="61" t="s">
        <v>32</v>
      </c>
      <c r="C32" s="61" t="s">
        <v>1076</v>
      </c>
      <c r="D32" s="61" t="s">
        <v>1088</v>
      </c>
      <c r="E32" s="62" t="n">
        <v>1</v>
      </c>
      <c r="F32" s="61"/>
      <c r="G32" s="62" t="n">
        <v>1021991000</v>
      </c>
      <c r="H32" s="62" t="n">
        <v>221.1</v>
      </c>
      <c r="I32" s="63" t="n">
        <v>46295</v>
      </c>
      <c r="J32" s="62" t="n">
        <v>221.1</v>
      </c>
      <c r="K32" s="61" t="s">
        <v>4</v>
      </c>
      <c r="L32" s="61" t="s">
        <v>1086</v>
      </c>
      <c r="M32" s="61"/>
      <c r="N32" s="61" t="s">
        <v>246</v>
      </c>
      <c r="O32" s="60" t="n">
        <v>46632</v>
      </c>
      <c r="P32" s="61" t="s">
        <v>1049</v>
      </c>
    </row>
    <row r="33" customFormat="false" ht="15" hidden="false" customHeight="false" outlineLevel="0" collapsed="false">
      <c r="A33" s="61" t="s">
        <v>69</v>
      </c>
      <c r="B33" s="61" t="s">
        <v>120</v>
      </c>
      <c r="C33" s="61" t="s">
        <v>1076</v>
      </c>
      <c r="D33" s="61" t="s">
        <v>1089</v>
      </c>
      <c r="E33" s="62" t="n">
        <v>1</v>
      </c>
      <c r="F33" s="61"/>
      <c r="G33" s="62" t="n">
        <v>1021992000</v>
      </c>
      <c r="H33" s="62" t="n">
        <v>60.3</v>
      </c>
      <c r="I33" s="63" t="n">
        <v>46295</v>
      </c>
      <c r="J33" s="62" t="n">
        <v>60.3</v>
      </c>
      <c r="K33" s="61" t="s">
        <v>4</v>
      </c>
      <c r="L33" s="61" t="s">
        <v>1086</v>
      </c>
      <c r="M33" s="61"/>
      <c r="N33" s="61" t="s">
        <v>254</v>
      </c>
      <c r="O33" s="60" t="n">
        <v>46683</v>
      </c>
      <c r="P33" s="61" t="s">
        <v>1049</v>
      </c>
    </row>
    <row r="34" customFormat="false" ht="15" hidden="false" customHeight="false" outlineLevel="0" collapsed="false">
      <c r="A34" s="61" t="s">
        <v>31</v>
      </c>
      <c r="B34" s="61" t="s">
        <v>36</v>
      </c>
      <c r="C34" s="61" t="s">
        <v>1076</v>
      </c>
      <c r="D34" s="61" t="s">
        <v>1090</v>
      </c>
      <c r="E34" s="62" t="n">
        <v>44</v>
      </c>
      <c r="F34" s="61"/>
      <c r="G34" s="62" t="n">
        <v>1021983000</v>
      </c>
      <c r="H34" s="62" t="n">
        <v>500</v>
      </c>
      <c r="I34" s="63" t="n">
        <v>46293</v>
      </c>
      <c r="J34" s="62" t="n">
        <v>500</v>
      </c>
      <c r="K34" s="61" t="s">
        <v>4</v>
      </c>
      <c r="L34" s="61" t="s">
        <v>1048</v>
      </c>
      <c r="M34" s="61"/>
      <c r="N34" s="61" t="s">
        <v>246</v>
      </c>
      <c r="O34" s="60" t="n">
        <v>46638</v>
      </c>
      <c r="P34" s="61" t="s">
        <v>1049</v>
      </c>
    </row>
    <row r="35" customFormat="false" ht="15" hidden="false" customHeight="false" outlineLevel="0" collapsed="false">
      <c r="A35" s="61" t="s">
        <v>33</v>
      </c>
      <c r="B35" s="61" t="s">
        <v>48</v>
      </c>
      <c r="C35" s="61" t="s">
        <v>1076</v>
      </c>
      <c r="D35" s="61" t="s">
        <v>1090</v>
      </c>
      <c r="E35" s="62" t="n">
        <v>44</v>
      </c>
      <c r="F35" s="61" t="s">
        <v>1091</v>
      </c>
      <c r="G35" s="62" t="n">
        <v>1021917000</v>
      </c>
      <c r="H35" s="62" t="n">
        <v>600</v>
      </c>
      <c r="I35" s="63" t="n">
        <v>46276</v>
      </c>
      <c r="J35" s="62" t="n">
        <v>600</v>
      </c>
      <c r="K35" s="61" t="s">
        <v>4</v>
      </c>
      <c r="L35" s="61" t="s">
        <v>1092</v>
      </c>
      <c r="M35" s="61"/>
      <c r="N35" s="61" t="s">
        <v>246</v>
      </c>
      <c r="O35" s="60" t="n">
        <v>46845</v>
      </c>
      <c r="P35" s="61" t="s">
        <v>1049</v>
      </c>
    </row>
    <row r="36" customFormat="false" ht="15" hidden="false" customHeight="false" outlineLevel="0" collapsed="false">
      <c r="A36" s="61" t="s">
        <v>51</v>
      </c>
      <c r="B36" s="61" t="s">
        <v>74</v>
      </c>
      <c r="C36" s="61" t="s">
        <v>1076</v>
      </c>
      <c r="D36" s="61" t="s">
        <v>1090</v>
      </c>
      <c r="E36" s="62" t="n">
        <v>44</v>
      </c>
      <c r="F36" s="61" t="s">
        <v>1091</v>
      </c>
      <c r="G36" s="62" t="n">
        <v>1021917000</v>
      </c>
      <c r="H36" s="62" t="n">
        <v>40</v>
      </c>
      <c r="I36" s="63" t="n">
        <v>46276</v>
      </c>
      <c r="J36" s="62" t="n">
        <v>40</v>
      </c>
      <c r="K36" s="61" t="s">
        <v>4</v>
      </c>
      <c r="L36" s="61" t="s">
        <v>1092</v>
      </c>
      <c r="M36" s="61"/>
      <c r="N36" s="61" t="s">
        <v>246</v>
      </c>
      <c r="O36" s="60" t="n">
        <v>46568</v>
      </c>
      <c r="P36" s="61" t="s">
        <v>1049</v>
      </c>
    </row>
    <row r="37" customFormat="false" ht="15" hidden="false" customHeight="false" outlineLevel="0" collapsed="false">
      <c r="A37" s="61" t="s">
        <v>85</v>
      </c>
      <c r="B37" s="61" t="s">
        <v>172</v>
      </c>
      <c r="C37" s="61" t="s">
        <v>1076</v>
      </c>
      <c r="D37" s="61" t="s">
        <v>1090</v>
      </c>
      <c r="E37" s="62" t="n">
        <v>44</v>
      </c>
      <c r="F37" s="61" t="s">
        <v>1093</v>
      </c>
      <c r="G37" s="62" t="n">
        <v>1021907000</v>
      </c>
      <c r="H37" s="62" t="n">
        <v>1.36</v>
      </c>
      <c r="I37" s="63" t="n">
        <v>46274</v>
      </c>
      <c r="J37" s="62" t="n">
        <v>1.36</v>
      </c>
      <c r="K37" s="61" t="s">
        <v>4</v>
      </c>
      <c r="L37" s="61" t="s">
        <v>1094</v>
      </c>
      <c r="M37" s="61"/>
      <c r="N37" s="61" t="s">
        <v>246</v>
      </c>
      <c r="O37" s="60" t="n">
        <v>46463</v>
      </c>
      <c r="P37" s="61" t="s">
        <v>1049</v>
      </c>
    </row>
    <row r="38" customFormat="false" ht="15" hidden="false" customHeight="false" outlineLevel="0" collapsed="false">
      <c r="A38" s="61" t="s">
        <v>20</v>
      </c>
      <c r="B38" s="61" t="s">
        <v>21</v>
      </c>
      <c r="C38" s="61" t="s">
        <v>1076</v>
      </c>
      <c r="D38" s="61" t="s">
        <v>1095</v>
      </c>
      <c r="E38" s="62" t="n">
        <v>530</v>
      </c>
      <c r="F38" s="61" t="s">
        <v>1096</v>
      </c>
      <c r="G38" s="62" t="n">
        <v>1021981000</v>
      </c>
      <c r="H38" s="62" t="n">
        <v>11.2</v>
      </c>
      <c r="I38" s="63" t="n">
        <v>46293</v>
      </c>
      <c r="J38" s="62" t="n">
        <v>11.2</v>
      </c>
      <c r="K38" s="61" t="s">
        <v>4</v>
      </c>
      <c r="L38" s="61" t="s">
        <v>1048</v>
      </c>
      <c r="M38" s="61"/>
      <c r="N38" s="61" t="s">
        <v>254</v>
      </c>
      <c r="O38" s="60" t="n">
        <v>46708</v>
      </c>
      <c r="P38" s="61" t="s">
        <v>1049</v>
      </c>
    </row>
    <row r="39" customFormat="false" ht="15" hidden="false" customHeight="false" outlineLevel="0" collapsed="false">
      <c r="A39" s="61" t="s">
        <v>41</v>
      </c>
      <c r="B39" s="61" t="s">
        <v>62</v>
      </c>
      <c r="C39" s="61" t="s">
        <v>1076</v>
      </c>
      <c r="D39" s="61" t="s">
        <v>1095</v>
      </c>
      <c r="E39" s="62" t="n">
        <v>530</v>
      </c>
      <c r="F39" s="61" t="s">
        <v>1096</v>
      </c>
      <c r="G39" s="62" t="n">
        <v>1021981000</v>
      </c>
      <c r="H39" s="62" t="n">
        <v>14</v>
      </c>
      <c r="I39" s="63" t="n">
        <v>46293</v>
      </c>
      <c r="J39" s="62" t="n">
        <v>14</v>
      </c>
      <c r="K39" s="61" t="s">
        <v>4</v>
      </c>
      <c r="L39" s="61" t="s">
        <v>1048</v>
      </c>
      <c r="M39" s="61"/>
      <c r="N39" s="61" t="s">
        <v>254</v>
      </c>
      <c r="O39" s="60" t="n">
        <v>46416</v>
      </c>
      <c r="P39" s="61" t="s">
        <v>1049</v>
      </c>
    </row>
    <row r="40" customFormat="false" ht="15" hidden="false" customHeight="false" outlineLevel="0" collapsed="false">
      <c r="A40" s="61" t="s">
        <v>69</v>
      </c>
      <c r="B40" s="61" t="s">
        <v>127</v>
      </c>
      <c r="C40" s="61" t="s">
        <v>1076</v>
      </c>
      <c r="D40" s="61" t="s">
        <v>1095</v>
      </c>
      <c r="E40" s="62" t="n">
        <v>530</v>
      </c>
      <c r="F40" s="61" t="s">
        <v>1096</v>
      </c>
      <c r="G40" s="62" t="n">
        <v>1021956000</v>
      </c>
      <c r="H40" s="62" t="n">
        <v>80.4</v>
      </c>
      <c r="I40" s="63" t="n">
        <v>46286</v>
      </c>
      <c r="J40" s="62" t="n">
        <v>80.4</v>
      </c>
      <c r="K40" s="61" t="s">
        <v>4</v>
      </c>
      <c r="L40" s="61" t="s">
        <v>1097</v>
      </c>
      <c r="M40" s="61"/>
      <c r="N40" s="61" t="s">
        <v>246</v>
      </c>
      <c r="O40" s="60" t="n">
        <v>46566</v>
      </c>
      <c r="P40" s="61" t="s">
        <v>1049</v>
      </c>
    </row>
    <row r="41" customFormat="false" ht="15" hidden="false" customHeight="false" outlineLevel="0" collapsed="false">
      <c r="A41" s="61" t="s">
        <v>110</v>
      </c>
      <c r="B41" s="61" t="s">
        <v>190</v>
      </c>
      <c r="C41" s="61" t="s">
        <v>1076</v>
      </c>
      <c r="D41" s="61" t="s">
        <v>1095</v>
      </c>
      <c r="E41" s="62" t="n">
        <v>530</v>
      </c>
      <c r="F41" s="61" t="s">
        <v>1096</v>
      </c>
      <c r="G41" s="62" t="n">
        <v>1021956000</v>
      </c>
      <c r="H41" s="62" t="n">
        <v>20.1</v>
      </c>
      <c r="I41" s="63" t="n">
        <v>46286</v>
      </c>
      <c r="J41" s="62" t="n">
        <v>20.1</v>
      </c>
      <c r="K41" s="61" t="s">
        <v>4</v>
      </c>
      <c r="L41" s="61" t="s">
        <v>1097</v>
      </c>
      <c r="M41" s="61"/>
      <c r="N41" s="61" t="s">
        <v>246</v>
      </c>
      <c r="O41" s="60" t="n">
        <v>46441</v>
      </c>
      <c r="P41" s="61" t="s">
        <v>1049</v>
      </c>
    </row>
    <row r="42" customFormat="false" ht="15" hidden="false" customHeight="false" outlineLevel="0" collapsed="false">
      <c r="A42" s="61" t="s">
        <v>27</v>
      </c>
      <c r="B42" s="61" t="s">
        <v>30</v>
      </c>
      <c r="C42" s="61" t="s">
        <v>1076</v>
      </c>
      <c r="D42" s="61" t="s">
        <v>1098</v>
      </c>
      <c r="E42" s="62" t="n">
        <v>519</v>
      </c>
      <c r="F42" s="61" t="s">
        <v>1096</v>
      </c>
      <c r="G42" s="62" t="n">
        <v>1021773000</v>
      </c>
      <c r="H42" s="62" t="n">
        <v>20.1</v>
      </c>
      <c r="I42" s="63" t="n">
        <v>46240</v>
      </c>
      <c r="J42" s="62" t="n">
        <v>20.1</v>
      </c>
      <c r="K42" s="61" t="s">
        <v>4</v>
      </c>
      <c r="L42" s="61" t="s">
        <v>1099</v>
      </c>
      <c r="M42" s="61"/>
      <c r="N42" s="61" t="s">
        <v>246</v>
      </c>
      <c r="O42" s="60" t="n">
        <v>46475</v>
      </c>
      <c r="P42" s="61" t="s">
        <v>1049</v>
      </c>
    </row>
    <row r="43" customFormat="false" ht="15" hidden="false" customHeight="false" outlineLevel="0" collapsed="false">
      <c r="A43" s="61" t="s">
        <v>81</v>
      </c>
      <c r="B43" s="61" t="s">
        <v>145</v>
      </c>
      <c r="C43" s="61" t="s">
        <v>1076</v>
      </c>
      <c r="D43" s="61" t="s">
        <v>1098</v>
      </c>
      <c r="E43" s="62" t="n">
        <v>519</v>
      </c>
      <c r="F43" s="61" t="s">
        <v>1096</v>
      </c>
      <c r="G43" s="62" t="n">
        <v>1021929000</v>
      </c>
      <c r="H43" s="62" t="n">
        <v>60</v>
      </c>
      <c r="I43" s="63" t="n">
        <v>46279</v>
      </c>
      <c r="J43" s="62" t="n">
        <v>60</v>
      </c>
      <c r="K43" s="61" t="s">
        <v>4</v>
      </c>
      <c r="L43" s="61" t="s">
        <v>1056</v>
      </c>
      <c r="M43" s="61"/>
      <c r="N43" s="61" t="s">
        <v>246</v>
      </c>
      <c r="O43" s="60" t="n">
        <v>46394</v>
      </c>
      <c r="P43" s="61" t="s">
        <v>1049</v>
      </c>
    </row>
    <row r="44" customFormat="false" ht="15" hidden="false" customHeight="false" outlineLevel="0" collapsed="false">
      <c r="A44" s="61" t="s">
        <v>61</v>
      </c>
      <c r="B44" s="61" t="s">
        <v>107</v>
      </c>
      <c r="C44" s="61" t="s">
        <v>1076</v>
      </c>
      <c r="D44" s="61" t="s">
        <v>1100</v>
      </c>
      <c r="E44" s="62" t="n">
        <v>397</v>
      </c>
      <c r="F44" s="61" t="s">
        <v>1091</v>
      </c>
      <c r="G44" s="62" t="n">
        <v>1021640000</v>
      </c>
      <c r="H44" s="62" t="n">
        <v>30</v>
      </c>
      <c r="I44" s="63" t="n">
        <v>46241</v>
      </c>
      <c r="J44" s="62" t="n">
        <v>30</v>
      </c>
      <c r="K44" s="61" t="s">
        <v>4</v>
      </c>
      <c r="L44" s="61" t="s">
        <v>1101</v>
      </c>
      <c r="M44" s="61"/>
      <c r="N44" s="61" t="s">
        <v>246</v>
      </c>
      <c r="O44" s="60" t="n">
        <v>46437</v>
      </c>
      <c r="P44" s="61" t="s">
        <v>1049</v>
      </c>
    </row>
    <row r="45" customFormat="false" ht="15" hidden="false" customHeight="false" outlineLevel="0" collapsed="false">
      <c r="A45" s="61" t="s">
        <v>81</v>
      </c>
      <c r="B45" s="61" t="s">
        <v>145</v>
      </c>
      <c r="C45" s="61" t="s">
        <v>1102</v>
      </c>
      <c r="D45" s="61" t="s">
        <v>1103</v>
      </c>
      <c r="E45" s="62" t="n">
        <v>1</v>
      </c>
      <c r="F45" s="61"/>
      <c r="G45" s="62" t="n">
        <v>1021182000</v>
      </c>
      <c r="H45" s="62" t="n">
        <v>384</v>
      </c>
      <c r="I45" s="63" t="n">
        <v>46289</v>
      </c>
      <c r="J45" s="62" t="n">
        <v>384</v>
      </c>
      <c r="K45" s="61" t="s">
        <v>4</v>
      </c>
      <c r="L45" s="61" t="s">
        <v>1078</v>
      </c>
      <c r="M45" s="61"/>
      <c r="N45" s="61" t="s">
        <v>246</v>
      </c>
      <c r="O45" s="60" t="n">
        <v>46394</v>
      </c>
      <c r="P45" s="61" t="s">
        <v>1049</v>
      </c>
    </row>
    <row r="46" customFormat="false" ht="15" hidden="false" customHeight="false" outlineLevel="0" collapsed="false">
      <c r="A46" s="61" t="s">
        <v>23</v>
      </c>
      <c r="B46" s="61" t="s">
        <v>24</v>
      </c>
      <c r="C46" s="61" t="s">
        <v>1102</v>
      </c>
      <c r="D46" s="61" t="s">
        <v>1104</v>
      </c>
      <c r="E46" s="62" t="n">
        <v>1</v>
      </c>
      <c r="F46" s="61"/>
      <c r="G46" s="62" t="n">
        <v>1021888000</v>
      </c>
      <c r="H46" s="62" t="n">
        <v>103.6</v>
      </c>
      <c r="I46" s="63" t="n">
        <v>46270</v>
      </c>
      <c r="J46" s="62" t="n">
        <v>103.6</v>
      </c>
      <c r="K46" s="61" t="s">
        <v>4</v>
      </c>
      <c r="L46" s="61" t="s">
        <v>1105</v>
      </c>
      <c r="M46" s="61"/>
      <c r="N46" s="61" t="s">
        <v>246</v>
      </c>
      <c r="O46" s="60" t="n">
        <v>46550</v>
      </c>
      <c r="P46" s="61" t="s">
        <v>1049</v>
      </c>
    </row>
    <row r="47" customFormat="false" ht="15" hidden="false" customHeight="false" outlineLevel="0" collapsed="false">
      <c r="A47" s="61" t="s">
        <v>7</v>
      </c>
      <c r="B47" s="61" t="s">
        <v>11</v>
      </c>
      <c r="C47" s="61" t="s">
        <v>1102</v>
      </c>
      <c r="D47" s="61" t="s">
        <v>1106</v>
      </c>
      <c r="E47" s="62" t="n">
        <v>1</v>
      </c>
      <c r="F47" s="61"/>
      <c r="G47" s="62" t="n">
        <v>1021986000</v>
      </c>
      <c r="H47" s="62" t="n">
        <v>603</v>
      </c>
      <c r="I47" s="63" t="n">
        <v>46294</v>
      </c>
      <c r="J47" s="62" t="n">
        <v>603</v>
      </c>
      <c r="K47" s="61" t="s">
        <v>4</v>
      </c>
      <c r="L47" s="61" t="s">
        <v>1067</v>
      </c>
      <c r="M47" s="61"/>
      <c r="N47" s="61" t="s">
        <v>246</v>
      </c>
      <c r="O47" s="60" t="n">
        <v>46789</v>
      </c>
      <c r="P47" s="61" t="s">
        <v>1049</v>
      </c>
    </row>
    <row r="48" customFormat="false" ht="15" hidden="false" customHeight="false" outlineLevel="0" collapsed="false">
      <c r="A48" s="61" t="s">
        <v>35</v>
      </c>
      <c r="B48" s="61" t="s">
        <v>58</v>
      </c>
      <c r="C48" s="61" t="s">
        <v>1102</v>
      </c>
      <c r="D48" s="61" t="s">
        <v>1107</v>
      </c>
      <c r="E48" s="62" t="n">
        <v>1</v>
      </c>
      <c r="F48" s="61"/>
      <c r="G48" s="62" t="n">
        <v>1021986000</v>
      </c>
      <c r="H48" s="62" t="n">
        <v>603</v>
      </c>
      <c r="I48" s="63" t="n">
        <v>46294</v>
      </c>
      <c r="J48" s="62" t="n">
        <v>603</v>
      </c>
      <c r="K48" s="61" t="s">
        <v>4</v>
      </c>
      <c r="L48" s="61" t="s">
        <v>1067</v>
      </c>
      <c r="M48" s="61"/>
      <c r="N48" s="61" t="s">
        <v>246</v>
      </c>
      <c r="O48" s="60" t="n">
        <v>46494</v>
      </c>
      <c r="P48" s="61" t="s">
        <v>1049</v>
      </c>
    </row>
    <row r="49" customFormat="false" ht="15" hidden="false" customHeight="false" outlineLevel="0" collapsed="false">
      <c r="A49" s="61" t="s">
        <v>35</v>
      </c>
      <c r="B49" s="61" t="s">
        <v>58</v>
      </c>
      <c r="C49" s="61" t="s">
        <v>1102</v>
      </c>
      <c r="D49" s="61" t="s">
        <v>1108</v>
      </c>
      <c r="E49" s="62" t="n">
        <v>1</v>
      </c>
      <c r="F49" s="61"/>
      <c r="G49" s="62" t="n">
        <v>1021986000</v>
      </c>
      <c r="H49" s="62" t="n">
        <v>603</v>
      </c>
      <c r="I49" s="63" t="n">
        <v>46294</v>
      </c>
      <c r="J49" s="62" t="n">
        <v>603</v>
      </c>
      <c r="K49" s="61" t="s">
        <v>4</v>
      </c>
      <c r="L49" s="61" t="s">
        <v>1067</v>
      </c>
      <c r="M49" s="61"/>
      <c r="N49" s="61" t="s">
        <v>246</v>
      </c>
      <c r="O49" s="60" t="n">
        <v>46494</v>
      </c>
      <c r="P49" s="61" t="s">
        <v>1049</v>
      </c>
    </row>
    <row r="50" customFormat="false" ht="15" hidden="false" customHeight="false" outlineLevel="0" collapsed="false">
      <c r="A50" s="61" t="s">
        <v>157</v>
      </c>
      <c r="B50" s="61" t="s">
        <v>158</v>
      </c>
      <c r="C50" s="61" t="s">
        <v>1102</v>
      </c>
      <c r="D50" s="61" t="s">
        <v>1109</v>
      </c>
      <c r="E50" s="62" t="n">
        <v>1</v>
      </c>
      <c r="F50" s="61"/>
      <c r="G50" s="62" t="n">
        <v>1021889000</v>
      </c>
      <c r="H50" s="62" t="n">
        <v>20.1</v>
      </c>
      <c r="I50" s="63" t="n">
        <v>46286</v>
      </c>
      <c r="J50" s="62" t="n">
        <v>20.1</v>
      </c>
      <c r="K50" s="61" t="s">
        <v>4</v>
      </c>
      <c r="L50" s="61" t="s">
        <v>1105</v>
      </c>
      <c r="M50" s="61"/>
      <c r="N50" s="61" t="s">
        <v>246</v>
      </c>
      <c r="O50" s="60" t="n">
        <v>46558</v>
      </c>
      <c r="P50" s="61" t="s">
        <v>1049</v>
      </c>
    </row>
    <row r="51" customFormat="false" ht="15" hidden="false" customHeight="false" outlineLevel="0" collapsed="false">
      <c r="A51" s="61" t="s">
        <v>35</v>
      </c>
      <c r="B51" s="61" t="s">
        <v>58</v>
      </c>
      <c r="C51" s="61" t="s">
        <v>1102</v>
      </c>
      <c r="D51" s="61" t="s">
        <v>1110</v>
      </c>
      <c r="E51" s="62" t="n">
        <v>1</v>
      </c>
      <c r="F51" s="61"/>
      <c r="G51" s="62" t="n">
        <v>1021986000</v>
      </c>
      <c r="H51" s="62" t="n">
        <v>482.4</v>
      </c>
      <c r="I51" s="63" t="n">
        <v>46294</v>
      </c>
      <c r="J51" s="62" t="n">
        <v>482.4</v>
      </c>
      <c r="K51" s="61" t="s">
        <v>4</v>
      </c>
      <c r="L51" s="61" t="s">
        <v>1067</v>
      </c>
      <c r="M51" s="61"/>
      <c r="N51" s="61" t="s">
        <v>246</v>
      </c>
      <c r="O51" s="60" t="n">
        <v>46494</v>
      </c>
      <c r="P51" s="61" t="s">
        <v>1049</v>
      </c>
    </row>
    <row r="52" customFormat="false" ht="15" hidden="false" customHeight="false" outlineLevel="0" collapsed="false">
      <c r="A52" s="61" t="s">
        <v>81</v>
      </c>
      <c r="B52" s="61" t="s">
        <v>145</v>
      </c>
      <c r="C52" s="61" t="s">
        <v>1102</v>
      </c>
      <c r="D52" s="61" t="s">
        <v>1111</v>
      </c>
      <c r="E52" s="62" t="n">
        <v>1</v>
      </c>
      <c r="F52" s="61"/>
      <c r="G52" s="62" t="n">
        <v>1021346000</v>
      </c>
      <c r="H52" s="62" t="n">
        <v>30</v>
      </c>
      <c r="I52" s="63" t="n">
        <v>46291</v>
      </c>
      <c r="J52" s="62" t="n">
        <v>30</v>
      </c>
      <c r="K52" s="61" t="s">
        <v>4</v>
      </c>
      <c r="L52" s="61" t="s">
        <v>1112</v>
      </c>
      <c r="M52" s="61"/>
      <c r="N52" s="61" t="s">
        <v>246</v>
      </c>
      <c r="O52" s="60" t="n">
        <v>46394</v>
      </c>
      <c r="P52" s="61" t="s">
        <v>1049</v>
      </c>
    </row>
    <row r="53" customFormat="false" ht="15" hidden="false" customHeight="false" outlineLevel="0" collapsed="false">
      <c r="A53" s="61" t="s">
        <v>104</v>
      </c>
      <c r="B53" s="61" t="s">
        <v>166</v>
      </c>
      <c r="C53" s="61" t="s">
        <v>1102</v>
      </c>
      <c r="D53" s="61" t="s">
        <v>1113</v>
      </c>
      <c r="E53" s="62" t="n">
        <v>1</v>
      </c>
      <c r="F53" s="61"/>
      <c r="G53" s="62" t="n">
        <v>1021763000</v>
      </c>
      <c r="H53" s="62" t="n">
        <v>24</v>
      </c>
      <c r="I53" s="63" t="n">
        <v>46261</v>
      </c>
      <c r="J53" s="62" t="n">
        <v>24</v>
      </c>
      <c r="K53" s="61" t="s">
        <v>4</v>
      </c>
      <c r="L53" s="61" t="s">
        <v>1112</v>
      </c>
      <c r="M53" s="61"/>
      <c r="N53" s="61" t="s">
        <v>246</v>
      </c>
      <c r="O53" s="60" t="n">
        <v>46671</v>
      </c>
      <c r="P53" s="61" t="s">
        <v>1049</v>
      </c>
    </row>
    <row r="54" customFormat="false" ht="15" hidden="false" customHeight="false" outlineLevel="0" collapsed="false">
      <c r="A54" s="61" t="s">
        <v>33</v>
      </c>
      <c r="B54" s="61" t="s">
        <v>54</v>
      </c>
      <c r="C54" s="61" t="s">
        <v>1102</v>
      </c>
      <c r="D54" s="61" t="s">
        <v>1114</v>
      </c>
      <c r="E54" s="62" t="n">
        <v>1</v>
      </c>
      <c r="F54" s="61"/>
      <c r="G54" s="62" t="n">
        <v>1021986000</v>
      </c>
      <c r="H54" s="62" t="n">
        <v>600</v>
      </c>
      <c r="I54" s="63" t="n">
        <v>46294</v>
      </c>
      <c r="J54" s="62" t="n">
        <v>600</v>
      </c>
      <c r="K54" s="61" t="s">
        <v>4</v>
      </c>
      <c r="L54" s="61" t="s">
        <v>1067</v>
      </c>
      <c r="M54" s="61"/>
      <c r="N54" s="61" t="s">
        <v>246</v>
      </c>
      <c r="O54" s="60" t="n">
        <v>46867</v>
      </c>
      <c r="P54" s="61" t="s">
        <v>1049</v>
      </c>
    </row>
    <row r="55" customFormat="false" ht="15" hidden="false" customHeight="false" outlineLevel="0" collapsed="false">
      <c r="A55" s="61" t="s">
        <v>35</v>
      </c>
      <c r="B55" s="61" t="s">
        <v>58</v>
      </c>
      <c r="C55" s="61" t="s">
        <v>1102</v>
      </c>
      <c r="D55" s="61" t="s">
        <v>1115</v>
      </c>
      <c r="E55" s="62" t="n">
        <v>1</v>
      </c>
      <c r="F55" s="61"/>
      <c r="G55" s="62" t="n">
        <v>1021986000</v>
      </c>
      <c r="H55" s="62" t="n">
        <v>120.6</v>
      </c>
      <c r="I55" s="63" t="n">
        <v>46294</v>
      </c>
      <c r="J55" s="62" t="n">
        <v>120.6</v>
      </c>
      <c r="K55" s="61" t="s">
        <v>4</v>
      </c>
      <c r="L55" s="61" t="s">
        <v>1067</v>
      </c>
      <c r="M55" s="61"/>
      <c r="N55" s="61" t="s">
        <v>246</v>
      </c>
      <c r="O55" s="60" t="n">
        <v>46494</v>
      </c>
      <c r="P55" s="61" t="s">
        <v>1049</v>
      </c>
    </row>
    <row r="56" customFormat="false" ht="15" hidden="false" customHeight="false" outlineLevel="0" collapsed="false">
      <c r="A56" s="61" t="s">
        <v>69</v>
      </c>
      <c r="B56" s="61" t="s">
        <v>120</v>
      </c>
      <c r="C56" s="61" t="s">
        <v>1102</v>
      </c>
      <c r="D56" s="61" t="s">
        <v>1116</v>
      </c>
      <c r="E56" s="62" t="n">
        <v>1</v>
      </c>
      <c r="F56" s="61"/>
      <c r="G56" s="62" t="n">
        <v>1021986000</v>
      </c>
      <c r="H56" s="62" t="n">
        <v>301.5</v>
      </c>
      <c r="I56" s="63" t="n">
        <v>46295</v>
      </c>
      <c r="J56" s="62" t="n">
        <v>301.5</v>
      </c>
      <c r="K56" s="61" t="s">
        <v>4</v>
      </c>
      <c r="L56" s="61" t="s">
        <v>1067</v>
      </c>
      <c r="M56" s="61"/>
      <c r="N56" s="61" t="s">
        <v>246</v>
      </c>
      <c r="O56" s="60" t="n">
        <v>46683</v>
      </c>
      <c r="P56" s="61" t="s">
        <v>1049</v>
      </c>
    </row>
    <row r="57" customFormat="false" ht="15" hidden="false" customHeight="false" outlineLevel="0" collapsed="false">
      <c r="A57" s="61" t="s">
        <v>33</v>
      </c>
      <c r="B57" s="61" t="s">
        <v>54</v>
      </c>
      <c r="C57" s="61" t="s">
        <v>1102</v>
      </c>
      <c r="D57" s="61" t="s">
        <v>1117</v>
      </c>
      <c r="E57" s="62" t="n">
        <v>1</v>
      </c>
      <c r="F57" s="61"/>
      <c r="G57" s="62" t="n">
        <v>1021986000</v>
      </c>
      <c r="H57" s="62" t="n">
        <v>440</v>
      </c>
      <c r="I57" s="63" t="n">
        <v>46295</v>
      </c>
      <c r="J57" s="62" t="n">
        <v>440</v>
      </c>
      <c r="K57" s="61" t="s">
        <v>4</v>
      </c>
      <c r="L57" s="61" t="s">
        <v>1067</v>
      </c>
      <c r="M57" s="61"/>
      <c r="N57" s="61" t="s">
        <v>246</v>
      </c>
      <c r="O57" s="60" t="n">
        <v>46867</v>
      </c>
      <c r="P57" s="61" t="s">
        <v>1049</v>
      </c>
    </row>
    <row r="58" customFormat="false" ht="15" hidden="false" customHeight="false" outlineLevel="0" collapsed="false">
      <c r="A58" s="61" t="s">
        <v>27</v>
      </c>
      <c r="B58" s="61" t="s">
        <v>32</v>
      </c>
      <c r="C58" s="61" t="s">
        <v>1102</v>
      </c>
      <c r="D58" s="61" t="s">
        <v>1118</v>
      </c>
      <c r="E58" s="62" t="n">
        <v>1</v>
      </c>
      <c r="F58" s="61"/>
      <c r="G58" s="62" t="n">
        <v>1021986000</v>
      </c>
      <c r="H58" s="62" t="n">
        <v>482.4</v>
      </c>
      <c r="I58" s="63" t="n">
        <v>46294</v>
      </c>
      <c r="J58" s="62" t="n">
        <v>482.4</v>
      </c>
      <c r="K58" s="61" t="s">
        <v>4</v>
      </c>
      <c r="L58" s="61" t="s">
        <v>1067</v>
      </c>
      <c r="M58" s="61"/>
      <c r="N58" s="61" t="s">
        <v>246</v>
      </c>
      <c r="O58" s="60" t="n">
        <v>46632</v>
      </c>
      <c r="P58" s="61" t="s">
        <v>1049</v>
      </c>
    </row>
    <row r="59" customFormat="false" ht="15" hidden="false" customHeight="false" outlineLevel="0" collapsed="false">
      <c r="A59" s="61" t="s">
        <v>122</v>
      </c>
      <c r="B59" s="61" t="s">
        <v>197</v>
      </c>
      <c r="C59" s="61" t="s">
        <v>1102</v>
      </c>
      <c r="D59" s="61" t="s">
        <v>1119</v>
      </c>
      <c r="E59" s="62" t="n">
        <v>1</v>
      </c>
      <c r="F59" s="61"/>
      <c r="G59" s="62" t="n">
        <v>1021986000</v>
      </c>
      <c r="H59" s="62" t="n">
        <v>432</v>
      </c>
      <c r="I59" s="63" t="n">
        <v>46294</v>
      </c>
      <c r="J59" s="62" t="n">
        <v>432</v>
      </c>
      <c r="K59" s="61" t="s">
        <v>4</v>
      </c>
      <c r="L59" s="61" t="s">
        <v>1067</v>
      </c>
      <c r="M59" s="61"/>
      <c r="N59" s="61" t="s">
        <v>246</v>
      </c>
      <c r="O59" s="60" t="n">
        <v>46830</v>
      </c>
      <c r="P59" s="61" t="s">
        <v>1049</v>
      </c>
    </row>
    <row r="60" customFormat="false" ht="15" hidden="false" customHeight="false" outlineLevel="0" collapsed="false">
      <c r="A60" s="61" t="s">
        <v>53</v>
      </c>
      <c r="B60" s="61" t="s">
        <v>86</v>
      </c>
      <c r="C60" s="61" t="s">
        <v>1102</v>
      </c>
      <c r="D60" s="61" t="s">
        <v>1120</v>
      </c>
      <c r="E60" s="62" t="n">
        <v>1</v>
      </c>
      <c r="F60" s="61"/>
      <c r="G60" s="62" t="n">
        <v>1021985000</v>
      </c>
      <c r="H60" s="62" t="n">
        <v>450</v>
      </c>
      <c r="I60" s="63" t="n">
        <v>46294</v>
      </c>
      <c r="J60" s="62" t="n">
        <v>450</v>
      </c>
      <c r="K60" s="61" t="s">
        <v>9</v>
      </c>
      <c r="L60" s="61" t="s">
        <v>1067</v>
      </c>
      <c r="M60" s="61"/>
      <c r="N60" s="61" t="s">
        <v>246</v>
      </c>
      <c r="O60" s="60" t="n">
        <v>46866</v>
      </c>
      <c r="P60" s="61" t="s">
        <v>1049</v>
      </c>
    </row>
    <row r="61" customFormat="false" ht="15" hidden="false" customHeight="false" outlineLevel="0" collapsed="false">
      <c r="A61" s="61" t="s">
        <v>147</v>
      </c>
      <c r="B61" s="61" t="s">
        <v>211</v>
      </c>
      <c r="C61" s="61" t="s">
        <v>1102</v>
      </c>
      <c r="D61" s="61" t="s">
        <v>1121</v>
      </c>
      <c r="E61" s="62" t="n">
        <v>1</v>
      </c>
      <c r="F61" s="61"/>
      <c r="G61" s="62" t="n">
        <v>1021986000</v>
      </c>
      <c r="H61" s="62" t="n">
        <v>480</v>
      </c>
      <c r="I61" s="63" t="n">
        <v>46294</v>
      </c>
      <c r="J61" s="62" t="n">
        <v>480</v>
      </c>
      <c r="K61" s="61" t="s">
        <v>4</v>
      </c>
      <c r="L61" s="61" t="s">
        <v>1067</v>
      </c>
      <c r="M61" s="61"/>
      <c r="N61" s="61" t="s">
        <v>246</v>
      </c>
      <c r="O61" s="60" t="n">
        <v>46521</v>
      </c>
      <c r="P61" s="61" t="s">
        <v>1049</v>
      </c>
    </row>
    <row r="62" customFormat="false" ht="15" hidden="false" customHeight="false" outlineLevel="0" collapsed="false">
      <c r="A62" s="61" t="s">
        <v>147</v>
      </c>
      <c r="B62" s="61" t="s">
        <v>211</v>
      </c>
      <c r="C62" s="61" t="s">
        <v>1102</v>
      </c>
      <c r="D62" s="61" t="s">
        <v>1122</v>
      </c>
      <c r="E62" s="62" t="n">
        <v>1</v>
      </c>
      <c r="F62" s="61"/>
      <c r="G62" s="62" t="n">
        <v>1021986000</v>
      </c>
      <c r="H62" s="62" t="n">
        <v>500</v>
      </c>
      <c r="I62" s="63" t="n">
        <v>46294</v>
      </c>
      <c r="J62" s="62" t="n">
        <v>500</v>
      </c>
      <c r="K62" s="61" t="s">
        <v>4</v>
      </c>
      <c r="L62" s="61" t="s">
        <v>1067</v>
      </c>
      <c r="M62" s="61"/>
      <c r="N62" s="61" t="s">
        <v>246</v>
      </c>
      <c r="O62" s="60" t="n">
        <v>46521</v>
      </c>
      <c r="P62" s="61" t="s">
        <v>1049</v>
      </c>
    </row>
    <row r="63" customFormat="false" ht="15" hidden="false" customHeight="false" outlineLevel="0" collapsed="false">
      <c r="A63" s="61" t="s">
        <v>35</v>
      </c>
      <c r="B63" s="61" t="s">
        <v>58</v>
      </c>
      <c r="C63" s="61" t="s">
        <v>1102</v>
      </c>
      <c r="D63" s="61" t="s">
        <v>1123</v>
      </c>
      <c r="E63" s="62" t="n">
        <v>1</v>
      </c>
      <c r="F63" s="61"/>
      <c r="G63" s="62" t="n">
        <v>1021986000</v>
      </c>
      <c r="H63" s="62" t="n">
        <v>603</v>
      </c>
      <c r="I63" s="63" t="n">
        <v>46294</v>
      </c>
      <c r="J63" s="62" t="n">
        <v>603</v>
      </c>
      <c r="K63" s="61" t="s">
        <v>4</v>
      </c>
      <c r="L63" s="61" t="s">
        <v>1067</v>
      </c>
      <c r="M63" s="61"/>
      <c r="N63" s="61" t="s">
        <v>246</v>
      </c>
      <c r="O63" s="60" t="n">
        <v>46494</v>
      </c>
      <c r="P63" s="61" t="s">
        <v>1049</v>
      </c>
    </row>
    <row r="64" customFormat="false" ht="15" hidden="false" customHeight="false" outlineLevel="0" collapsed="false">
      <c r="A64" s="61" t="s">
        <v>147</v>
      </c>
      <c r="B64" s="61" t="s">
        <v>211</v>
      </c>
      <c r="C64" s="61" t="s">
        <v>1102</v>
      </c>
      <c r="D64" s="61" t="s">
        <v>1124</v>
      </c>
      <c r="E64" s="62" t="n">
        <v>1</v>
      </c>
      <c r="F64" s="61"/>
      <c r="G64" s="62" t="n">
        <v>1021986000</v>
      </c>
      <c r="H64" s="62" t="n">
        <v>500</v>
      </c>
      <c r="I64" s="63" t="n">
        <v>46294</v>
      </c>
      <c r="J64" s="62" t="n">
        <v>500</v>
      </c>
      <c r="K64" s="61" t="s">
        <v>4</v>
      </c>
      <c r="L64" s="61" t="s">
        <v>1067</v>
      </c>
      <c r="M64" s="61"/>
      <c r="N64" s="61" t="s">
        <v>246</v>
      </c>
      <c r="O64" s="60" t="n">
        <v>46521</v>
      </c>
      <c r="P64" s="61" t="s">
        <v>1049</v>
      </c>
    </row>
    <row r="65" customFormat="false" ht="15" hidden="false" customHeight="false" outlineLevel="0" collapsed="false">
      <c r="A65" s="61" t="s">
        <v>53</v>
      </c>
      <c r="B65" s="61" t="s">
        <v>80</v>
      </c>
      <c r="C65" s="61" t="s">
        <v>1102</v>
      </c>
      <c r="D65" s="61" t="s">
        <v>1125</v>
      </c>
      <c r="E65" s="62" t="n">
        <v>1</v>
      </c>
      <c r="F65" s="61"/>
      <c r="G65" s="62" t="n">
        <v>1021986000</v>
      </c>
      <c r="H65" s="62" t="n">
        <v>450</v>
      </c>
      <c r="I65" s="63" t="n">
        <v>46294</v>
      </c>
      <c r="J65" s="62" t="n">
        <v>450</v>
      </c>
      <c r="K65" s="61" t="s">
        <v>9</v>
      </c>
      <c r="L65" s="61" t="s">
        <v>1067</v>
      </c>
      <c r="M65" s="61"/>
      <c r="N65" s="61" t="s">
        <v>246</v>
      </c>
      <c r="O65" s="60" t="n">
        <v>46684</v>
      </c>
      <c r="P65" s="61" t="s">
        <v>1049</v>
      </c>
    </row>
    <row r="66" customFormat="false" ht="15" hidden="false" customHeight="false" outlineLevel="0" collapsed="false">
      <c r="A66" s="61" t="s">
        <v>147</v>
      </c>
      <c r="B66" s="61" t="s">
        <v>211</v>
      </c>
      <c r="C66" s="61" t="s">
        <v>1102</v>
      </c>
      <c r="D66" s="61" t="s">
        <v>1126</v>
      </c>
      <c r="E66" s="62" t="n">
        <v>1</v>
      </c>
      <c r="F66" s="61"/>
      <c r="G66" s="62" t="n">
        <v>1021986000</v>
      </c>
      <c r="H66" s="62" t="n">
        <v>500</v>
      </c>
      <c r="I66" s="63" t="n">
        <v>46294</v>
      </c>
      <c r="J66" s="62" t="n">
        <v>500</v>
      </c>
      <c r="K66" s="61" t="s">
        <v>4</v>
      </c>
      <c r="L66" s="61" t="s">
        <v>1067</v>
      </c>
      <c r="M66" s="61"/>
      <c r="N66" s="61" t="s">
        <v>246</v>
      </c>
      <c r="O66" s="60" t="n">
        <v>46521</v>
      </c>
      <c r="P66" s="61" t="s">
        <v>1049</v>
      </c>
    </row>
    <row r="67" customFormat="false" ht="15" hidden="false" customHeight="false" outlineLevel="0" collapsed="false">
      <c r="A67" s="61" t="s">
        <v>53</v>
      </c>
      <c r="B67" s="61" t="s">
        <v>86</v>
      </c>
      <c r="C67" s="61" t="s">
        <v>1102</v>
      </c>
      <c r="D67" s="61" t="s">
        <v>1127</v>
      </c>
      <c r="E67" s="62" t="n">
        <v>1</v>
      </c>
      <c r="F67" s="61"/>
      <c r="G67" s="62" t="n">
        <v>1021985000</v>
      </c>
      <c r="H67" s="62" t="n">
        <v>450</v>
      </c>
      <c r="I67" s="63" t="n">
        <v>46294</v>
      </c>
      <c r="J67" s="62" t="n">
        <v>450</v>
      </c>
      <c r="K67" s="61" t="s">
        <v>9</v>
      </c>
      <c r="L67" s="61" t="s">
        <v>1067</v>
      </c>
      <c r="M67" s="61"/>
      <c r="N67" s="61" t="s">
        <v>246</v>
      </c>
      <c r="O67" s="60" t="n">
        <v>46866</v>
      </c>
      <c r="P67" s="61" t="s">
        <v>1049</v>
      </c>
    </row>
    <row r="68" customFormat="false" ht="15" hidden="false" customHeight="false" outlineLevel="0" collapsed="false">
      <c r="A68" s="61" t="s">
        <v>147</v>
      </c>
      <c r="B68" s="61" t="s">
        <v>211</v>
      </c>
      <c r="C68" s="61" t="s">
        <v>1102</v>
      </c>
      <c r="D68" s="61" t="s">
        <v>1128</v>
      </c>
      <c r="E68" s="62" t="n">
        <v>1</v>
      </c>
      <c r="F68" s="61"/>
      <c r="G68" s="62" t="n">
        <v>1021986000</v>
      </c>
      <c r="H68" s="62" t="n">
        <v>500</v>
      </c>
      <c r="I68" s="63" t="n">
        <v>46294</v>
      </c>
      <c r="J68" s="62" t="n">
        <v>500</v>
      </c>
      <c r="K68" s="61" t="s">
        <v>4</v>
      </c>
      <c r="L68" s="61" t="s">
        <v>1067</v>
      </c>
      <c r="M68" s="61"/>
      <c r="N68" s="61" t="s">
        <v>246</v>
      </c>
      <c r="O68" s="60" t="n">
        <v>46521</v>
      </c>
      <c r="P68" s="61" t="s">
        <v>1049</v>
      </c>
    </row>
    <row r="69" customFormat="false" ht="15" hidden="false" customHeight="false" outlineLevel="0" collapsed="false">
      <c r="A69" s="61" t="s">
        <v>147</v>
      </c>
      <c r="B69" s="61" t="s">
        <v>211</v>
      </c>
      <c r="C69" s="61" t="s">
        <v>1102</v>
      </c>
      <c r="D69" s="61" t="s">
        <v>1129</v>
      </c>
      <c r="E69" s="62" t="n">
        <v>1</v>
      </c>
      <c r="F69" s="61"/>
      <c r="G69" s="62" t="n">
        <v>1021986000</v>
      </c>
      <c r="H69" s="62" t="n">
        <v>500</v>
      </c>
      <c r="I69" s="63" t="n">
        <v>46294</v>
      </c>
      <c r="J69" s="62" t="n">
        <v>500</v>
      </c>
      <c r="K69" s="61" t="s">
        <v>4</v>
      </c>
      <c r="L69" s="61" t="s">
        <v>1067</v>
      </c>
      <c r="M69" s="61"/>
      <c r="N69" s="61" t="s">
        <v>246</v>
      </c>
      <c r="O69" s="60" t="n">
        <v>46521</v>
      </c>
      <c r="P69" s="61" t="s">
        <v>1049</v>
      </c>
    </row>
    <row r="70" customFormat="false" ht="15" hidden="false" customHeight="false" outlineLevel="0" collapsed="false">
      <c r="A70" s="61" t="s">
        <v>61</v>
      </c>
      <c r="B70" s="61" t="s">
        <v>107</v>
      </c>
      <c r="C70" s="61" t="s">
        <v>1102</v>
      </c>
      <c r="D70" s="61" t="s">
        <v>1130</v>
      </c>
      <c r="E70" s="62" t="n">
        <v>1</v>
      </c>
      <c r="F70" s="61"/>
      <c r="G70" s="62" t="n">
        <v>1020163000</v>
      </c>
      <c r="H70" s="62" t="n">
        <v>384</v>
      </c>
      <c r="I70" s="63" t="n">
        <v>45881</v>
      </c>
      <c r="J70" s="62" t="n">
        <v>384</v>
      </c>
      <c r="K70" s="61" t="s">
        <v>4</v>
      </c>
      <c r="L70" s="61" t="s">
        <v>1131</v>
      </c>
      <c r="M70" s="61"/>
      <c r="N70" s="61" t="s">
        <v>246</v>
      </c>
      <c r="O70" s="60" t="n">
        <v>46437</v>
      </c>
      <c r="P70" s="61" t="s">
        <v>1049</v>
      </c>
    </row>
    <row r="71" customFormat="false" ht="15" hidden="false" customHeight="false" outlineLevel="0" collapsed="false">
      <c r="A71" s="61" t="s">
        <v>147</v>
      </c>
      <c r="B71" s="61" t="s">
        <v>211</v>
      </c>
      <c r="C71" s="61" t="s">
        <v>1102</v>
      </c>
      <c r="D71" s="61" t="s">
        <v>1132</v>
      </c>
      <c r="E71" s="62" t="n">
        <v>1</v>
      </c>
      <c r="F71" s="61"/>
      <c r="G71" s="62" t="n">
        <v>1021986000</v>
      </c>
      <c r="H71" s="62" t="n">
        <v>500</v>
      </c>
      <c r="I71" s="63" t="n">
        <v>46294</v>
      </c>
      <c r="J71" s="62" t="n">
        <v>500</v>
      </c>
      <c r="K71" s="61" t="s">
        <v>4</v>
      </c>
      <c r="L71" s="61" t="s">
        <v>1067</v>
      </c>
      <c r="M71" s="61"/>
      <c r="N71" s="61" t="s">
        <v>246</v>
      </c>
      <c r="O71" s="60" t="n">
        <v>46521</v>
      </c>
      <c r="P71" s="61" t="s">
        <v>1049</v>
      </c>
    </row>
    <row r="72" customFormat="false" ht="15" hidden="false" customHeight="false" outlineLevel="0" collapsed="false">
      <c r="A72" s="61" t="s">
        <v>147</v>
      </c>
      <c r="B72" s="61" t="s">
        <v>211</v>
      </c>
      <c r="C72" s="61" t="s">
        <v>1102</v>
      </c>
      <c r="D72" s="61" t="s">
        <v>1133</v>
      </c>
      <c r="E72" s="62" t="n">
        <v>1</v>
      </c>
      <c r="F72" s="61"/>
      <c r="G72" s="62" t="n">
        <v>1021986000</v>
      </c>
      <c r="H72" s="62" t="n">
        <v>500</v>
      </c>
      <c r="I72" s="63" t="n">
        <v>46294</v>
      </c>
      <c r="J72" s="62" t="n">
        <v>500</v>
      </c>
      <c r="K72" s="61" t="s">
        <v>4</v>
      </c>
      <c r="L72" s="61" t="s">
        <v>1067</v>
      </c>
      <c r="M72" s="61"/>
      <c r="N72" s="61" t="s">
        <v>246</v>
      </c>
      <c r="O72" s="60" t="n">
        <v>46521</v>
      </c>
      <c r="P72" s="61" t="s">
        <v>1049</v>
      </c>
    </row>
    <row r="73" customFormat="false" ht="15" hidden="false" customHeight="false" outlineLevel="0" collapsed="false">
      <c r="A73" s="61" t="s">
        <v>81</v>
      </c>
      <c r="B73" s="61" t="s">
        <v>145</v>
      </c>
      <c r="C73" s="61" t="s">
        <v>1102</v>
      </c>
      <c r="D73" s="61" t="s">
        <v>1134</v>
      </c>
      <c r="E73" s="62" t="n">
        <v>1</v>
      </c>
      <c r="F73" s="61"/>
      <c r="G73" s="62" t="n">
        <v>1021996000</v>
      </c>
      <c r="H73" s="62" t="n">
        <v>360</v>
      </c>
      <c r="I73" s="63" t="n">
        <v>46296</v>
      </c>
      <c r="J73" s="62" t="n">
        <v>360</v>
      </c>
      <c r="K73" s="61" t="s">
        <v>4</v>
      </c>
      <c r="L73" s="61" t="s">
        <v>1050</v>
      </c>
      <c r="M73" s="61"/>
      <c r="N73" s="61" t="s">
        <v>246</v>
      </c>
      <c r="O73" s="60" t="n">
        <v>46394</v>
      </c>
      <c r="P73" s="61" t="s">
        <v>1049</v>
      </c>
    </row>
    <row r="74" customFormat="false" ht="15" hidden="false" customHeight="false" outlineLevel="0" collapsed="false">
      <c r="A74" s="61" t="s">
        <v>41</v>
      </c>
      <c r="B74" s="61" t="s">
        <v>62</v>
      </c>
      <c r="C74" s="61" t="s">
        <v>1102</v>
      </c>
      <c r="D74" s="61" t="s">
        <v>1135</v>
      </c>
      <c r="E74" s="62" t="n">
        <v>1</v>
      </c>
      <c r="F74" s="61" t="s">
        <v>1091</v>
      </c>
      <c r="G74" s="62" t="n">
        <v>1021996000</v>
      </c>
      <c r="H74" s="62" t="n">
        <v>313.6</v>
      </c>
      <c r="I74" s="63" t="n">
        <v>46296</v>
      </c>
      <c r="J74" s="62" t="n">
        <v>313.6</v>
      </c>
      <c r="K74" s="61" t="s">
        <v>4</v>
      </c>
      <c r="L74" s="61" t="s">
        <v>1050</v>
      </c>
      <c r="M74" s="61"/>
      <c r="N74" s="61" t="s">
        <v>246</v>
      </c>
      <c r="O74" s="60" t="n">
        <v>46416</v>
      </c>
      <c r="P74" s="61" t="s">
        <v>1049</v>
      </c>
    </row>
    <row r="75" customFormat="false" ht="15" hidden="false" customHeight="false" outlineLevel="0" collapsed="false">
      <c r="A75" s="61" t="s">
        <v>61</v>
      </c>
      <c r="B75" s="61" t="s">
        <v>107</v>
      </c>
      <c r="C75" s="61" t="s">
        <v>1102</v>
      </c>
      <c r="D75" s="61" t="s">
        <v>1136</v>
      </c>
      <c r="E75" s="62" t="n">
        <v>1</v>
      </c>
      <c r="F75" s="61"/>
      <c r="G75" s="62" t="n">
        <v>1020120000</v>
      </c>
      <c r="H75" s="62" t="n">
        <v>144</v>
      </c>
      <c r="I75" s="63" t="n">
        <v>46235</v>
      </c>
      <c r="J75" s="62" t="n">
        <v>144</v>
      </c>
      <c r="K75" s="61" t="s">
        <v>4</v>
      </c>
      <c r="L75" s="61" t="s">
        <v>1137</v>
      </c>
      <c r="M75" s="61"/>
      <c r="N75" s="61" t="s">
        <v>246</v>
      </c>
      <c r="O75" s="60" t="n">
        <v>46437</v>
      </c>
      <c r="P75" s="61" t="s">
        <v>1049</v>
      </c>
    </row>
    <row r="76" customFormat="false" ht="15" hidden="false" customHeight="false" outlineLevel="0" collapsed="false">
      <c r="A76" s="61" t="s">
        <v>29</v>
      </c>
      <c r="B76" s="61" t="s">
        <v>34</v>
      </c>
      <c r="C76" s="61" t="s">
        <v>1102</v>
      </c>
      <c r="D76" s="61" t="s">
        <v>1138</v>
      </c>
      <c r="E76" s="62" t="n">
        <v>1</v>
      </c>
      <c r="F76" s="61"/>
      <c r="G76" s="62" t="n">
        <v>1021414000</v>
      </c>
      <c r="H76" s="62" t="n">
        <v>313.6</v>
      </c>
      <c r="I76" s="63" t="n">
        <v>46183</v>
      </c>
      <c r="J76" s="62" t="n">
        <v>313.6</v>
      </c>
      <c r="K76" s="61" t="s">
        <v>4</v>
      </c>
      <c r="L76" s="61" t="s">
        <v>1139</v>
      </c>
      <c r="M76" s="61"/>
      <c r="N76" s="61" t="s">
        <v>246</v>
      </c>
      <c r="O76" s="60" t="n">
        <v>46551</v>
      </c>
      <c r="P76" s="61" t="s">
        <v>1049</v>
      </c>
    </row>
    <row r="77" customFormat="false" ht="15" hidden="false" customHeight="false" outlineLevel="0" collapsed="false">
      <c r="A77" s="61" t="s">
        <v>33</v>
      </c>
      <c r="B77" s="61" t="s">
        <v>44</v>
      </c>
      <c r="C77" s="61" t="s">
        <v>1102</v>
      </c>
      <c r="D77" s="61" t="s">
        <v>1140</v>
      </c>
      <c r="E77" s="62" t="n">
        <v>1</v>
      </c>
      <c r="F77" s="61"/>
      <c r="G77" s="62" t="n">
        <v>1021918000</v>
      </c>
      <c r="H77" s="62" t="n">
        <v>20</v>
      </c>
      <c r="I77" s="63" t="n">
        <v>46292</v>
      </c>
      <c r="J77" s="62" t="n">
        <v>20</v>
      </c>
      <c r="K77" s="61" t="s">
        <v>4</v>
      </c>
      <c r="L77" s="61" t="s">
        <v>1060</v>
      </c>
      <c r="M77" s="61"/>
      <c r="N77" s="61" t="s">
        <v>246</v>
      </c>
      <c r="O77" s="61"/>
      <c r="P77" s="61" t="s">
        <v>1049</v>
      </c>
    </row>
    <row r="78" customFormat="false" ht="15" hidden="false" customHeight="false" outlineLevel="0" collapsed="false">
      <c r="A78" s="61" t="s">
        <v>85</v>
      </c>
      <c r="B78" s="61" t="s">
        <v>170</v>
      </c>
      <c r="C78" s="61" t="s">
        <v>1102</v>
      </c>
      <c r="D78" s="61" t="s">
        <v>1141</v>
      </c>
      <c r="E78" s="62" t="n">
        <v>1</v>
      </c>
      <c r="F78" s="61" t="s">
        <v>1093</v>
      </c>
      <c r="G78" s="62" t="n">
        <v>1021907000</v>
      </c>
      <c r="H78" s="62" t="n">
        <v>50.32</v>
      </c>
      <c r="I78" s="63" t="n">
        <v>46274</v>
      </c>
      <c r="J78" s="62" t="n">
        <v>50.32</v>
      </c>
      <c r="K78" s="61" t="s">
        <v>4</v>
      </c>
      <c r="L78" s="61" t="s">
        <v>1094</v>
      </c>
      <c r="M78" s="61"/>
      <c r="N78" s="61" t="s">
        <v>246</v>
      </c>
      <c r="O78" s="60" t="n">
        <v>46462</v>
      </c>
      <c r="P78" s="61" t="s">
        <v>1049</v>
      </c>
    </row>
    <row r="79" customFormat="false" ht="15" hidden="false" customHeight="false" outlineLevel="0" collapsed="false">
      <c r="A79" s="61" t="s">
        <v>85</v>
      </c>
      <c r="B79" s="61" t="s">
        <v>170</v>
      </c>
      <c r="C79" s="61" t="s">
        <v>1102</v>
      </c>
      <c r="D79" s="61" t="s">
        <v>1142</v>
      </c>
      <c r="E79" s="62" t="n">
        <v>1</v>
      </c>
      <c r="F79" s="61" t="s">
        <v>1093</v>
      </c>
      <c r="G79" s="62" t="n">
        <v>1021907000</v>
      </c>
      <c r="H79" s="62" t="n">
        <v>145.52</v>
      </c>
      <c r="I79" s="63" t="n">
        <v>46274</v>
      </c>
      <c r="J79" s="62" t="n">
        <v>145.52</v>
      </c>
      <c r="K79" s="61" t="s">
        <v>4</v>
      </c>
      <c r="L79" s="61" t="s">
        <v>1094</v>
      </c>
      <c r="M79" s="61"/>
      <c r="N79" s="61" t="s">
        <v>246</v>
      </c>
      <c r="O79" s="60" t="n">
        <v>46462</v>
      </c>
      <c r="P79" s="61" t="s">
        <v>1049</v>
      </c>
    </row>
    <row r="80" customFormat="false" ht="15" hidden="false" customHeight="false" outlineLevel="0" collapsed="false">
      <c r="A80" s="61" t="s">
        <v>85</v>
      </c>
      <c r="B80" s="61" t="s">
        <v>172</v>
      </c>
      <c r="C80" s="61" t="s">
        <v>1102</v>
      </c>
      <c r="D80" s="61" t="s">
        <v>1143</v>
      </c>
      <c r="E80" s="62" t="n">
        <v>1</v>
      </c>
      <c r="F80" s="61" t="s">
        <v>1093</v>
      </c>
      <c r="G80" s="62" t="n">
        <v>1021907000</v>
      </c>
      <c r="H80" s="62" t="n">
        <v>146.88</v>
      </c>
      <c r="I80" s="63" t="n">
        <v>46274</v>
      </c>
      <c r="J80" s="62" t="n">
        <v>146.88</v>
      </c>
      <c r="K80" s="61" t="s">
        <v>4</v>
      </c>
      <c r="L80" s="61" t="s">
        <v>1094</v>
      </c>
      <c r="M80" s="61"/>
      <c r="N80" s="61" t="s">
        <v>246</v>
      </c>
      <c r="O80" s="60" t="n">
        <v>46463</v>
      </c>
      <c r="P80" s="61" t="s">
        <v>1049</v>
      </c>
    </row>
    <row r="81" customFormat="false" ht="15" hidden="false" customHeight="false" outlineLevel="0" collapsed="false">
      <c r="A81" s="61" t="s">
        <v>85</v>
      </c>
      <c r="B81" s="61" t="s">
        <v>172</v>
      </c>
      <c r="C81" s="61" t="s">
        <v>1102</v>
      </c>
      <c r="D81" s="61" t="s">
        <v>1144</v>
      </c>
      <c r="E81" s="62" t="n">
        <v>1</v>
      </c>
      <c r="F81" s="61" t="s">
        <v>1093</v>
      </c>
      <c r="G81" s="62" t="n">
        <v>1021907000</v>
      </c>
      <c r="H81" s="62" t="n">
        <v>146.88</v>
      </c>
      <c r="I81" s="63" t="n">
        <v>46274</v>
      </c>
      <c r="J81" s="62" t="n">
        <v>146.88</v>
      </c>
      <c r="K81" s="61" t="s">
        <v>4</v>
      </c>
      <c r="L81" s="61" t="s">
        <v>1094</v>
      </c>
      <c r="M81" s="61"/>
      <c r="N81" s="61" t="s">
        <v>246</v>
      </c>
      <c r="O81" s="60" t="n">
        <v>46463</v>
      </c>
      <c r="P81" s="61" t="s">
        <v>1049</v>
      </c>
    </row>
    <row r="82" customFormat="false" ht="15" hidden="false" customHeight="false" outlineLevel="0" collapsed="false">
      <c r="A82" s="61" t="s">
        <v>29</v>
      </c>
      <c r="B82" s="61" t="s">
        <v>34</v>
      </c>
      <c r="C82" s="61" t="s">
        <v>1102</v>
      </c>
      <c r="D82" s="61" t="s">
        <v>1145</v>
      </c>
      <c r="E82" s="62" t="n">
        <v>1</v>
      </c>
      <c r="F82" s="61"/>
      <c r="G82" s="62" t="n">
        <v>1021414000</v>
      </c>
      <c r="H82" s="62" t="n">
        <v>313.6</v>
      </c>
      <c r="I82" s="63" t="n">
        <v>46183</v>
      </c>
      <c r="J82" s="62" t="n">
        <v>313.6</v>
      </c>
      <c r="K82" s="61" t="s">
        <v>4</v>
      </c>
      <c r="L82" s="61" t="s">
        <v>1139</v>
      </c>
      <c r="M82" s="61"/>
      <c r="N82" s="61" t="s">
        <v>246</v>
      </c>
      <c r="O82" s="60" t="n">
        <v>46551</v>
      </c>
      <c r="P82" s="61" t="s">
        <v>1049</v>
      </c>
    </row>
    <row r="83" customFormat="false" ht="15" hidden="false" customHeight="false" outlineLevel="0" collapsed="false">
      <c r="A83" s="61" t="s">
        <v>108</v>
      </c>
      <c r="B83" s="61" t="s">
        <v>188</v>
      </c>
      <c r="C83" s="61" t="s">
        <v>1102</v>
      </c>
      <c r="D83" s="61" t="s">
        <v>1146</v>
      </c>
      <c r="E83" s="62" t="n">
        <v>1</v>
      </c>
      <c r="F83" s="61"/>
      <c r="G83" s="62" t="n">
        <v>1021977000</v>
      </c>
      <c r="H83" s="62" t="n">
        <v>313.6</v>
      </c>
      <c r="I83" s="63" t="n">
        <v>46291</v>
      </c>
      <c r="J83" s="62" t="n">
        <v>313.6</v>
      </c>
      <c r="K83" s="61" t="s">
        <v>4</v>
      </c>
      <c r="L83" s="61" t="s">
        <v>1063</v>
      </c>
      <c r="M83" s="61"/>
      <c r="N83" s="61" t="s">
        <v>246</v>
      </c>
      <c r="O83" s="60" t="n">
        <v>46517</v>
      </c>
      <c r="P83" s="61" t="s">
        <v>1049</v>
      </c>
    </row>
    <row r="84" customFormat="false" ht="15" hidden="false" customHeight="false" outlineLevel="0" collapsed="false">
      <c r="A84" s="61" t="s">
        <v>81</v>
      </c>
      <c r="B84" s="61" t="s">
        <v>145</v>
      </c>
      <c r="C84" s="61" t="s">
        <v>1102</v>
      </c>
      <c r="D84" s="61" t="s">
        <v>1147</v>
      </c>
      <c r="E84" s="62" t="n">
        <v>1</v>
      </c>
      <c r="F84" s="61"/>
      <c r="G84" s="62" t="n">
        <v>1021153000</v>
      </c>
      <c r="H84" s="62" t="n">
        <v>384</v>
      </c>
      <c r="I84" s="63" t="n">
        <v>46289</v>
      </c>
      <c r="J84" s="62" t="n">
        <v>384</v>
      </c>
      <c r="K84" s="61" t="s">
        <v>4</v>
      </c>
      <c r="L84" s="61" t="s">
        <v>1078</v>
      </c>
      <c r="M84" s="61"/>
      <c r="N84" s="61" t="s">
        <v>246</v>
      </c>
      <c r="O84" s="60" t="n">
        <v>46394</v>
      </c>
      <c r="P84" s="61" t="s">
        <v>1049</v>
      </c>
    </row>
    <row r="85" customFormat="false" ht="15" hidden="false" customHeight="false" outlineLevel="0" collapsed="false">
      <c r="A85" s="61" t="s">
        <v>81</v>
      </c>
      <c r="B85" s="61" t="s">
        <v>145</v>
      </c>
      <c r="C85" s="61" t="s">
        <v>1102</v>
      </c>
      <c r="D85" s="61" t="s">
        <v>1148</v>
      </c>
      <c r="E85" s="62" t="n">
        <v>1</v>
      </c>
      <c r="F85" s="61"/>
      <c r="G85" s="62" t="n">
        <v>1021478000</v>
      </c>
      <c r="H85" s="62" t="n">
        <v>384</v>
      </c>
      <c r="I85" s="63" t="n">
        <v>46169</v>
      </c>
      <c r="J85" s="62" t="n">
        <v>384</v>
      </c>
      <c r="K85" s="61" t="s">
        <v>4</v>
      </c>
      <c r="L85" s="61" t="s">
        <v>1149</v>
      </c>
      <c r="M85" s="61"/>
      <c r="N85" s="61" t="s">
        <v>246</v>
      </c>
      <c r="O85" s="60" t="n">
        <v>46394</v>
      </c>
      <c r="P85" s="61" t="s">
        <v>1049</v>
      </c>
    </row>
    <row r="86" customFormat="false" ht="15" hidden="false" customHeight="false" outlineLevel="0" collapsed="false">
      <c r="A86" s="61" t="s">
        <v>51</v>
      </c>
      <c r="B86" s="61" t="s">
        <v>72</v>
      </c>
      <c r="C86" s="61" t="s">
        <v>1102</v>
      </c>
      <c r="D86" s="61" t="s">
        <v>1150</v>
      </c>
      <c r="E86" s="62" t="n">
        <v>1</v>
      </c>
      <c r="F86" s="61"/>
      <c r="G86" s="62" t="n">
        <v>1021977000</v>
      </c>
      <c r="H86" s="62" t="n">
        <v>240</v>
      </c>
      <c r="I86" s="63" t="n">
        <v>46291</v>
      </c>
      <c r="J86" s="62" t="n">
        <v>240</v>
      </c>
      <c r="K86" s="61" t="s">
        <v>4</v>
      </c>
      <c r="L86" s="61" t="s">
        <v>1063</v>
      </c>
      <c r="M86" s="61"/>
      <c r="N86" s="61" t="s">
        <v>246</v>
      </c>
      <c r="O86" s="60" t="n">
        <v>46535</v>
      </c>
      <c r="P86" s="61" t="s">
        <v>1049</v>
      </c>
    </row>
    <row r="87" customFormat="false" ht="15" hidden="false" customHeight="false" outlineLevel="0" collapsed="false">
      <c r="A87" s="61" t="s">
        <v>139</v>
      </c>
      <c r="B87" s="61" t="s">
        <v>204</v>
      </c>
      <c r="C87" s="61" t="s">
        <v>1102</v>
      </c>
      <c r="D87" s="61" t="s">
        <v>1151</v>
      </c>
      <c r="E87" s="62" t="n">
        <v>1</v>
      </c>
      <c r="F87" s="61"/>
      <c r="G87" s="62" t="n">
        <v>1021963000</v>
      </c>
      <c r="H87" s="62" t="n">
        <v>1000</v>
      </c>
      <c r="I87" s="63" t="n">
        <v>46288</v>
      </c>
      <c r="J87" s="62" t="n">
        <v>1000</v>
      </c>
      <c r="K87" s="61" t="s">
        <v>4</v>
      </c>
      <c r="L87" s="61" t="s">
        <v>1073</v>
      </c>
      <c r="M87" s="61"/>
      <c r="N87" s="61" t="s">
        <v>246</v>
      </c>
      <c r="O87" s="60" t="n">
        <v>46859</v>
      </c>
      <c r="P87" s="61" t="s">
        <v>1049</v>
      </c>
    </row>
    <row r="88" customFormat="false" ht="15" hidden="false" customHeight="false" outlineLevel="0" collapsed="false">
      <c r="A88" s="61" t="s">
        <v>61</v>
      </c>
      <c r="B88" s="61" t="s">
        <v>107</v>
      </c>
      <c r="C88" s="61" t="s">
        <v>1102</v>
      </c>
      <c r="D88" s="61" t="s">
        <v>1152</v>
      </c>
      <c r="E88" s="62" t="n">
        <v>1</v>
      </c>
      <c r="F88" s="61"/>
      <c r="G88" s="62" t="n">
        <v>1020164000</v>
      </c>
      <c r="H88" s="62" t="n">
        <v>384</v>
      </c>
      <c r="I88" s="63" t="n">
        <v>45881</v>
      </c>
      <c r="J88" s="62" t="n">
        <v>384</v>
      </c>
      <c r="K88" s="61" t="s">
        <v>4</v>
      </c>
      <c r="L88" s="61" t="s">
        <v>1131</v>
      </c>
      <c r="M88" s="61"/>
      <c r="N88" s="61" t="s">
        <v>246</v>
      </c>
      <c r="O88" s="60" t="n">
        <v>46437</v>
      </c>
      <c r="P88" s="61" t="s">
        <v>1049</v>
      </c>
    </row>
    <row r="89" customFormat="false" ht="15" hidden="false" customHeight="false" outlineLevel="0" collapsed="false">
      <c r="A89" s="61" t="s">
        <v>63</v>
      </c>
      <c r="B89" s="61" t="s">
        <v>109</v>
      </c>
      <c r="C89" s="61" t="s">
        <v>1102</v>
      </c>
      <c r="D89" s="61" t="s">
        <v>1153</v>
      </c>
      <c r="E89" s="62" t="n">
        <v>1</v>
      </c>
      <c r="F89" s="61"/>
      <c r="G89" s="62" t="n">
        <v>1021977000</v>
      </c>
      <c r="H89" s="62" t="n">
        <v>81.6</v>
      </c>
      <c r="I89" s="63" t="n">
        <v>46291</v>
      </c>
      <c r="J89" s="62" t="n">
        <v>81.6</v>
      </c>
      <c r="K89" s="61" t="s">
        <v>4</v>
      </c>
      <c r="L89" s="61" t="s">
        <v>1063</v>
      </c>
      <c r="M89" s="61"/>
      <c r="N89" s="61" t="s">
        <v>246</v>
      </c>
      <c r="O89" s="60" t="n">
        <v>46591</v>
      </c>
      <c r="P89" s="61" t="s">
        <v>1049</v>
      </c>
    </row>
    <row r="90" customFormat="false" ht="15" hidden="false" customHeight="false" outlineLevel="0" collapsed="false">
      <c r="A90" s="61" t="s">
        <v>29</v>
      </c>
      <c r="B90" s="61" t="s">
        <v>34</v>
      </c>
      <c r="C90" s="61" t="s">
        <v>1102</v>
      </c>
      <c r="D90" s="61" t="s">
        <v>1154</v>
      </c>
      <c r="E90" s="62" t="n">
        <v>1</v>
      </c>
      <c r="F90" s="61"/>
      <c r="G90" s="62" t="n">
        <v>1021414000</v>
      </c>
      <c r="H90" s="62" t="n">
        <v>310.8</v>
      </c>
      <c r="I90" s="63" t="n">
        <v>46183</v>
      </c>
      <c r="J90" s="62" t="n">
        <v>310.8</v>
      </c>
      <c r="K90" s="61" t="s">
        <v>4</v>
      </c>
      <c r="L90" s="61" t="s">
        <v>1139</v>
      </c>
      <c r="M90" s="61"/>
      <c r="N90" s="61" t="s">
        <v>246</v>
      </c>
      <c r="O90" s="60" t="n">
        <v>46551</v>
      </c>
      <c r="P90" s="61" t="s">
        <v>1049</v>
      </c>
    </row>
    <row r="91" customFormat="false" ht="15" hidden="false" customHeight="false" outlineLevel="0" collapsed="false">
      <c r="A91" s="61" t="s">
        <v>51</v>
      </c>
      <c r="B91" s="61" t="s">
        <v>72</v>
      </c>
      <c r="C91" s="61" t="s">
        <v>1102</v>
      </c>
      <c r="D91" s="61" t="s">
        <v>1155</v>
      </c>
      <c r="E91" s="62" t="n">
        <v>1</v>
      </c>
      <c r="F91" s="61"/>
      <c r="G91" s="62" t="n">
        <v>1021977000</v>
      </c>
      <c r="H91" s="62" t="n">
        <v>240</v>
      </c>
      <c r="I91" s="63" t="n">
        <v>46291</v>
      </c>
      <c r="J91" s="62" t="n">
        <v>240</v>
      </c>
      <c r="K91" s="61" t="s">
        <v>4</v>
      </c>
      <c r="L91" s="61" t="s">
        <v>1063</v>
      </c>
      <c r="M91" s="61"/>
      <c r="N91" s="61" t="s">
        <v>246</v>
      </c>
      <c r="O91" s="60" t="n">
        <v>46535</v>
      </c>
      <c r="P91" s="61" t="s">
        <v>1049</v>
      </c>
    </row>
    <row r="92" customFormat="false" ht="15" hidden="false" customHeight="false" outlineLevel="0" collapsed="false">
      <c r="A92" s="61" t="s">
        <v>29</v>
      </c>
      <c r="B92" s="61" t="s">
        <v>34</v>
      </c>
      <c r="C92" s="61" t="s">
        <v>1102</v>
      </c>
      <c r="D92" s="61" t="s">
        <v>1156</v>
      </c>
      <c r="E92" s="62" t="n">
        <v>1</v>
      </c>
      <c r="F92" s="61"/>
      <c r="G92" s="62" t="n">
        <v>1021414000</v>
      </c>
      <c r="H92" s="62" t="n">
        <v>313.6</v>
      </c>
      <c r="I92" s="63" t="n">
        <v>46183</v>
      </c>
      <c r="J92" s="62" t="n">
        <v>313.6</v>
      </c>
      <c r="K92" s="61" t="s">
        <v>4</v>
      </c>
      <c r="L92" s="61" t="s">
        <v>1139</v>
      </c>
      <c r="M92" s="61"/>
      <c r="N92" s="61" t="s">
        <v>246</v>
      </c>
      <c r="O92" s="60" t="n">
        <v>46551</v>
      </c>
      <c r="P92" s="61" t="s">
        <v>1049</v>
      </c>
    </row>
    <row r="93" customFormat="false" ht="15" hidden="false" customHeight="false" outlineLevel="0" collapsed="false">
      <c r="A93" s="61" t="s">
        <v>61</v>
      </c>
      <c r="B93" s="61" t="s">
        <v>107</v>
      </c>
      <c r="C93" s="61" t="s">
        <v>1102</v>
      </c>
      <c r="D93" s="61" t="s">
        <v>1157</v>
      </c>
      <c r="E93" s="62" t="n">
        <v>1</v>
      </c>
      <c r="F93" s="61"/>
      <c r="G93" s="62" t="n">
        <v>1020163000</v>
      </c>
      <c r="H93" s="62" t="n">
        <v>384</v>
      </c>
      <c r="I93" s="63" t="n">
        <v>46235</v>
      </c>
      <c r="J93" s="62" t="n">
        <v>384</v>
      </c>
      <c r="K93" s="61" t="s">
        <v>4</v>
      </c>
      <c r="L93" s="61" t="s">
        <v>1137</v>
      </c>
      <c r="M93" s="61"/>
      <c r="N93" s="61" t="s">
        <v>246</v>
      </c>
      <c r="O93" s="60" t="n">
        <v>46437</v>
      </c>
      <c r="P93" s="61" t="s">
        <v>1049</v>
      </c>
    </row>
    <row r="94" customFormat="false" ht="15" hidden="false" customHeight="false" outlineLevel="0" collapsed="false">
      <c r="A94" s="61" t="s">
        <v>81</v>
      </c>
      <c r="B94" s="61" t="s">
        <v>145</v>
      </c>
      <c r="C94" s="61" t="s">
        <v>1102</v>
      </c>
      <c r="D94" s="61" t="s">
        <v>1158</v>
      </c>
      <c r="E94" s="62" t="n">
        <v>1</v>
      </c>
      <c r="F94" s="61"/>
      <c r="G94" s="62" t="n">
        <v>1021750000</v>
      </c>
      <c r="H94" s="62" t="n">
        <v>384</v>
      </c>
      <c r="I94" s="63" t="n">
        <v>46236</v>
      </c>
      <c r="J94" s="62" t="n">
        <v>384</v>
      </c>
      <c r="K94" s="61" t="s">
        <v>4</v>
      </c>
      <c r="L94" s="61" t="s">
        <v>1159</v>
      </c>
      <c r="M94" s="61"/>
      <c r="N94" s="61" t="s">
        <v>246</v>
      </c>
      <c r="O94" s="60" t="n">
        <v>46394</v>
      </c>
      <c r="P94" s="61" t="s">
        <v>1049</v>
      </c>
    </row>
    <row r="95" customFormat="false" ht="15" hidden="false" customHeight="false" outlineLevel="0" collapsed="false">
      <c r="A95" s="61" t="s">
        <v>29</v>
      </c>
      <c r="B95" s="61" t="s">
        <v>34</v>
      </c>
      <c r="C95" s="61" t="s">
        <v>1102</v>
      </c>
      <c r="D95" s="61" t="s">
        <v>1160</v>
      </c>
      <c r="E95" s="62" t="n">
        <v>1</v>
      </c>
      <c r="F95" s="61"/>
      <c r="G95" s="62" t="n">
        <v>1021414000</v>
      </c>
      <c r="H95" s="62" t="n">
        <v>313.6</v>
      </c>
      <c r="I95" s="63" t="n">
        <v>46183</v>
      </c>
      <c r="J95" s="62" t="n">
        <v>313.6</v>
      </c>
      <c r="K95" s="61" t="s">
        <v>4</v>
      </c>
      <c r="L95" s="61" t="s">
        <v>1139</v>
      </c>
      <c r="M95" s="61"/>
      <c r="N95" s="61" t="s">
        <v>246</v>
      </c>
      <c r="O95" s="60" t="n">
        <v>46551</v>
      </c>
      <c r="P95" s="61" t="s">
        <v>1049</v>
      </c>
    </row>
    <row r="96" customFormat="false" ht="15" hidden="false" customHeight="false" outlineLevel="0" collapsed="false">
      <c r="A96" s="61" t="s">
        <v>23</v>
      </c>
      <c r="B96" s="61" t="s">
        <v>24</v>
      </c>
      <c r="C96" s="61" t="s">
        <v>1102</v>
      </c>
      <c r="D96" s="61" t="s">
        <v>1161</v>
      </c>
      <c r="E96" s="62" t="n">
        <v>1</v>
      </c>
      <c r="F96" s="61"/>
      <c r="G96" s="62" t="n">
        <v>1021613000</v>
      </c>
      <c r="H96" s="62" t="n">
        <v>313.6</v>
      </c>
      <c r="I96" s="63" t="n">
        <v>46201</v>
      </c>
      <c r="J96" s="62" t="n">
        <v>313.6</v>
      </c>
      <c r="K96" s="61" t="s">
        <v>4</v>
      </c>
      <c r="L96" s="61" t="s">
        <v>1162</v>
      </c>
      <c r="M96" s="61"/>
      <c r="N96" s="61" t="s">
        <v>246</v>
      </c>
      <c r="O96" s="60" t="n">
        <v>46550</v>
      </c>
      <c r="P96" s="61" t="s">
        <v>1049</v>
      </c>
    </row>
    <row r="97" customFormat="false" ht="15" hidden="false" customHeight="false" outlineLevel="0" collapsed="false">
      <c r="A97" s="61" t="s">
        <v>23</v>
      </c>
      <c r="B97" s="61" t="s">
        <v>24</v>
      </c>
      <c r="C97" s="61" t="s">
        <v>1102</v>
      </c>
      <c r="D97" s="61" t="s">
        <v>1163</v>
      </c>
      <c r="E97" s="62" t="n">
        <v>1</v>
      </c>
      <c r="F97" s="61"/>
      <c r="G97" s="62" t="n">
        <v>1021613000</v>
      </c>
      <c r="H97" s="62" t="n">
        <v>313.6</v>
      </c>
      <c r="I97" s="63" t="n">
        <v>46201</v>
      </c>
      <c r="J97" s="62" t="n">
        <v>313.6</v>
      </c>
      <c r="K97" s="61" t="s">
        <v>4</v>
      </c>
      <c r="L97" s="61" t="s">
        <v>1162</v>
      </c>
      <c r="M97" s="61"/>
      <c r="N97" s="61" t="s">
        <v>246</v>
      </c>
      <c r="O97" s="60" t="n">
        <v>46550</v>
      </c>
      <c r="P97" s="61" t="s">
        <v>1049</v>
      </c>
    </row>
    <row r="98" customFormat="false" ht="15" hidden="false" customHeight="false" outlineLevel="0" collapsed="false">
      <c r="A98" s="61" t="s">
        <v>29</v>
      </c>
      <c r="B98" s="61" t="s">
        <v>34</v>
      </c>
      <c r="C98" s="61" t="s">
        <v>1102</v>
      </c>
      <c r="D98" s="61" t="s">
        <v>1164</v>
      </c>
      <c r="E98" s="62" t="n">
        <v>1</v>
      </c>
      <c r="F98" s="61"/>
      <c r="G98" s="62" t="n">
        <v>1021414000</v>
      </c>
      <c r="H98" s="62" t="n">
        <v>313.6</v>
      </c>
      <c r="I98" s="63" t="n">
        <v>46183</v>
      </c>
      <c r="J98" s="62" t="n">
        <v>313.6</v>
      </c>
      <c r="K98" s="61" t="s">
        <v>4</v>
      </c>
      <c r="L98" s="61" t="s">
        <v>1139</v>
      </c>
      <c r="M98" s="61"/>
      <c r="N98" s="61" t="s">
        <v>246</v>
      </c>
      <c r="O98" s="60" t="n">
        <v>46551</v>
      </c>
      <c r="P98" s="61" t="s">
        <v>1049</v>
      </c>
    </row>
    <row r="99" customFormat="false" ht="15" hidden="false" customHeight="false" outlineLevel="0" collapsed="false">
      <c r="A99" s="61" t="s">
        <v>81</v>
      </c>
      <c r="B99" s="61" t="s">
        <v>145</v>
      </c>
      <c r="C99" s="61" t="s">
        <v>1102</v>
      </c>
      <c r="D99" s="61" t="s">
        <v>1165</v>
      </c>
      <c r="E99" s="62" t="n">
        <v>1</v>
      </c>
      <c r="F99" s="61" t="s">
        <v>1093</v>
      </c>
      <c r="G99" s="62" t="n">
        <v>1021182000</v>
      </c>
      <c r="H99" s="62" t="n">
        <v>186</v>
      </c>
      <c r="I99" s="63" t="n">
        <v>46095</v>
      </c>
      <c r="J99" s="62" t="n">
        <v>186</v>
      </c>
      <c r="K99" s="61" t="s">
        <v>4</v>
      </c>
      <c r="L99" s="61" t="s">
        <v>1166</v>
      </c>
      <c r="M99" s="61"/>
      <c r="N99" s="61" t="s">
        <v>246</v>
      </c>
      <c r="O99" s="60" t="n">
        <v>46394</v>
      </c>
      <c r="P99" s="61" t="s">
        <v>1049</v>
      </c>
    </row>
    <row r="100" customFormat="false" ht="15" hidden="false" customHeight="false" outlineLevel="0" collapsed="false">
      <c r="A100" s="61" t="s">
        <v>23</v>
      </c>
      <c r="B100" s="61" t="s">
        <v>24</v>
      </c>
      <c r="C100" s="61" t="s">
        <v>1102</v>
      </c>
      <c r="D100" s="61" t="s">
        <v>1167</v>
      </c>
      <c r="E100" s="62" t="n">
        <v>1</v>
      </c>
      <c r="F100" s="61"/>
      <c r="G100" s="62" t="n">
        <v>1021613000</v>
      </c>
      <c r="H100" s="62" t="n">
        <v>313.6</v>
      </c>
      <c r="I100" s="63" t="n">
        <v>46201</v>
      </c>
      <c r="J100" s="62" t="n">
        <v>313.6</v>
      </c>
      <c r="K100" s="61" t="s">
        <v>4</v>
      </c>
      <c r="L100" s="61" t="s">
        <v>1162</v>
      </c>
      <c r="M100" s="61"/>
      <c r="N100" s="61" t="s">
        <v>246</v>
      </c>
      <c r="O100" s="60" t="n">
        <v>46550</v>
      </c>
      <c r="P100" s="61" t="s">
        <v>1049</v>
      </c>
    </row>
    <row r="101" customFormat="false" ht="15" hidden="false" customHeight="false" outlineLevel="0" collapsed="false">
      <c r="A101" s="61" t="s">
        <v>29</v>
      </c>
      <c r="B101" s="61" t="s">
        <v>34</v>
      </c>
      <c r="C101" s="61" t="s">
        <v>1102</v>
      </c>
      <c r="D101" s="61" t="s">
        <v>1168</v>
      </c>
      <c r="E101" s="62" t="n">
        <v>1</v>
      </c>
      <c r="F101" s="61"/>
      <c r="G101" s="62" t="n">
        <v>1021414000</v>
      </c>
      <c r="H101" s="62" t="n">
        <v>313.6</v>
      </c>
      <c r="I101" s="63" t="n">
        <v>46183</v>
      </c>
      <c r="J101" s="62" t="n">
        <v>313.6</v>
      </c>
      <c r="K101" s="61" t="s">
        <v>4</v>
      </c>
      <c r="L101" s="61" t="s">
        <v>1139</v>
      </c>
      <c r="M101" s="61"/>
      <c r="N101" s="61" t="s">
        <v>246</v>
      </c>
      <c r="O101" s="60" t="n">
        <v>46551</v>
      </c>
      <c r="P101" s="61" t="s">
        <v>1049</v>
      </c>
    </row>
    <row r="102" customFormat="false" ht="15" hidden="false" customHeight="false" outlineLevel="0" collapsed="false">
      <c r="A102" s="61" t="s">
        <v>41</v>
      </c>
      <c r="B102" s="61" t="s">
        <v>62</v>
      </c>
      <c r="C102" s="61" t="s">
        <v>1102</v>
      </c>
      <c r="D102" s="61" t="s">
        <v>1169</v>
      </c>
      <c r="E102" s="62" t="n">
        <v>1</v>
      </c>
      <c r="F102" s="61"/>
      <c r="G102" s="62" t="n">
        <v>1021493000</v>
      </c>
      <c r="H102" s="62" t="n">
        <v>313.6</v>
      </c>
      <c r="I102" s="63" t="n">
        <v>46173</v>
      </c>
      <c r="J102" s="62" t="n">
        <v>313.6</v>
      </c>
      <c r="K102" s="61" t="s">
        <v>4</v>
      </c>
      <c r="L102" s="61" t="s">
        <v>1170</v>
      </c>
      <c r="M102" s="61"/>
      <c r="N102" s="61" t="s">
        <v>246</v>
      </c>
      <c r="O102" s="60" t="n">
        <v>46416</v>
      </c>
      <c r="P102" s="61" t="s">
        <v>1049</v>
      </c>
    </row>
    <row r="103" customFormat="false" ht="15" hidden="false" customHeight="false" outlineLevel="0" collapsed="false">
      <c r="A103" s="61" t="s">
        <v>29</v>
      </c>
      <c r="B103" s="61" t="s">
        <v>34</v>
      </c>
      <c r="C103" s="61" t="s">
        <v>1102</v>
      </c>
      <c r="D103" s="61" t="s">
        <v>1171</v>
      </c>
      <c r="E103" s="62" t="n">
        <v>1</v>
      </c>
      <c r="F103" s="61"/>
      <c r="G103" s="62" t="n">
        <v>1021414000</v>
      </c>
      <c r="H103" s="62" t="n">
        <v>313.6</v>
      </c>
      <c r="I103" s="63" t="n">
        <v>46183</v>
      </c>
      <c r="J103" s="62" t="n">
        <v>313.6</v>
      </c>
      <c r="K103" s="61" t="s">
        <v>4</v>
      </c>
      <c r="L103" s="61" t="s">
        <v>1139</v>
      </c>
      <c r="M103" s="61"/>
      <c r="N103" s="61" t="s">
        <v>246</v>
      </c>
      <c r="O103" s="60" t="n">
        <v>46551</v>
      </c>
      <c r="P103" s="61" t="s">
        <v>1049</v>
      </c>
    </row>
    <row r="104" customFormat="false" ht="15" hidden="false" customHeight="false" outlineLevel="0" collapsed="false">
      <c r="A104" s="61" t="s">
        <v>29</v>
      </c>
      <c r="B104" s="61" t="s">
        <v>34</v>
      </c>
      <c r="C104" s="61" t="s">
        <v>1102</v>
      </c>
      <c r="D104" s="61" t="s">
        <v>1172</v>
      </c>
      <c r="E104" s="62" t="n">
        <v>1</v>
      </c>
      <c r="F104" s="61"/>
      <c r="G104" s="62" t="n">
        <v>1021414000</v>
      </c>
      <c r="H104" s="62" t="n">
        <v>313.6</v>
      </c>
      <c r="I104" s="63" t="n">
        <v>46183</v>
      </c>
      <c r="J104" s="62" t="n">
        <v>313.6</v>
      </c>
      <c r="K104" s="61" t="s">
        <v>4</v>
      </c>
      <c r="L104" s="61" t="s">
        <v>1139</v>
      </c>
      <c r="M104" s="61"/>
      <c r="N104" s="61" t="s">
        <v>246</v>
      </c>
      <c r="O104" s="60" t="n">
        <v>46551</v>
      </c>
      <c r="P104" s="61" t="s">
        <v>1049</v>
      </c>
    </row>
    <row r="105" customFormat="false" ht="15" hidden="false" customHeight="false" outlineLevel="0" collapsed="false">
      <c r="A105" s="61" t="s">
        <v>29</v>
      </c>
      <c r="B105" s="61" t="s">
        <v>34</v>
      </c>
      <c r="C105" s="61" t="s">
        <v>1102</v>
      </c>
      <c r="D105" s="61" t="s">
        <v>1173</v>
      </c>
      <c r="E105" s="62" t="n">
        <v>1</v>
      </c>
      <c r="F105" s="61"/>
      <c r="G105" s="62" t="n">
        <v>1021414000</v>
      </c>
      <c r="H105" s="62" t="n">
        <v>313.6</v>
      </c>
      <c r="I105" s="63" t="n">
        <v>46183</v>
      </c>
      <c r="J105" s="62" t="n">
        <v>313.6</v>
      </c>
      <c r="K105" s="61" t="s">
        <v>4</v>
      </c>
      <c r="L105" s="61" t="s">
        <v>1139</v>
      </c>
      <c r="M105" s="61"/>
      <c r="N105" s="61" t="s">
        <v>246</v>
      </c>
      <c r="O105" s="60" t="n">
        <v>46551</v>
      </c>
      <c r="P105" s="61" t="s">
        <v>1049</v>
      </c>
    </row>
    <row r="106" customFormat="false" ht="15" hidden="false" customHeight="false" outlineLevel="0" collapsed="false">
      <c r="A106" s="61" t="s">
        <v>29</v>
      </c>
      <c r="B106" s="61" t="s">
        <v>34</v>
      </c>
      <c r="C106" s="61" t="s">
        <v>1102</v>
      </c>
      <c r="D106" s="61" t="s">
        <v>1174</v>
      </c>
      <c r="E106" s="62" t="n">
        <v>1</v>
      </c>
      <c r="F106" s="61"/>
      <c r="G106" s="62" t="n">
        <v>1021414000</v>
      </c>
      <c r="H106" s="62" t="n">
        <v>313.6</v>
      </c>
      <c r="I106" s="63" t="n">
        <v>46183</v>
      </c>
      <c r="J106" s="62" t="n">
        <v>313.6</v>
      </c>
      <c r="K106" s="61" t="s">
        <v>4</v>
      </c>
      <c r="L106" s="61" t="s">
        <v>1139</v>
      </c>
      <c r="M106" s="61"/>
      <c r="N106" s="61" t="s">
        <v>246</v>
      </c>
      <c r="O106" s="60" t="n">
        <v>46551</v>
      </c>
      <c r="P106" s="61" t="s">
        <v>1049</v>
      </c>
    </row>
    <row r="107" customFormat="false" ht="15" hidden="false" customHeight="false" outlineLevel="0" collapsed="false">
      <c r="A107" s="61" t="s">
        <v>41</v>
      </c>
      <c r="B107" s="61" t="s">
        <v>62</v>
      </c>
      <c r="C107" s="61" t="s">
        <v>1102</v>
      </c>
      <c r="D107" s="61" t="s">
        <v>1175</v>
      </c>
      <c r="E107" s="62" t="n">
        <v>1</v>
      </c>
      <c r="F107" s="61"/>
      <c r="G107" s="62" t="n">
        <v>1021450000</v>
      </c>
      <c r="H107" s="62" t="n">
        <v>313.6</v>
      </c>
      <c r="I107" s="63" t="n">
        <v>46170</v>
      </c>
      <c r="J107" s="62" t="n">
        <v>313.6</v>
      </c>
      <c r="K107" s="61" t="s">
        <v>4</v>
      </c>
      <c r="L107" s="61" t="s">
        <v>1176</v>
      </c>
      <c r="M107" s="61"/>
      <c r="N107" s="61" t="s">
        <v>246</v>
      </c>
      <c r="O107" s="60" t="n">
        <v>46416</v>
      </c>
      <c r="P107" s="61" t="s">
        <v>1049</v>
      </c>
    </row>
    <row r="108" customFormat="false" ht="15" hidden="false" customHeight="false" outlineLevel="0" collapsed="false">
      <c r="A108" s="61" t="s">
        <v>61</v>
      </c>
      <c r="B108" s="61" t="s">
        <v>107</v>
      </c>
      <c r="C108" s="61" t="s">
        <v>1102</v>
      </c>
      <c r="D108" s="61" t="s">
        <v>1177</v>
      </c>
      <c r="E108" s="62" t="n">
        <v>1</v>
      </c>
      <c r="F108" s="61"/>
      <c r="G108" s="62" t="n">
        <v>1020164000</v>
      </c>
      <c r="H108" s="62" t="n">
        <v>384</v>
      </c>
      <c r="I108" s="63" t="n">
        <v>45881</v>
      </c>
      <c r="J108" s="62" t="n">
        <v>384</v>
      </c>
      <c r="K108" s="61" t="s">
        <v>4</v>
      </c>
      <c r="L108" s="61" t="s">
        <v>1131</v>
      </c>
      <c r="M108" s="61"/>
      <c r="N108" s="61" t="s">
        <v>246</v>
      </c>
      <c r="O108" s="60" t="n">
        <v>46437</v>
      </c>
      <c r="P108" s="61" t="s">
        <v>1049</v>
      </c>
    </row>
    <row r="109" customFormat="false" ht="15" hidden="false" customHeight="false" outlineLevel="0" collapsed="false">
      <c r="A109" s="61" t="s">
        <v>29</v>
      </c>
      <c r="B109" s="61" t="s">
        <v>34</v>
      </c>
      <c r="C109" s="61" t="s">
        <v>1102</v>
      </c>
      <c r="D109" s="61" t="s">
        <v>1178</v>
      </c>
      <c r="E109" s="62" t="n">
        <v>1</v>
      </c>
      <c r="F109" s="61"/>
      <c r="G109" s="62" t="n">
        <v>1021414000</v>
      </c>
      <c r="H109" s="62" t="n">
        <v>313.6</v>
      </c>
      <c r="I109" s="63" t="n">
        <v>46183</v>
      </c>
      <c r="J109" s="62" t="n">
        <v>313.6</v>
      </c>
      <c r="K109" s="61" t="s">
        <v>4</v>
      </c>
      <c r="L109" s="61" t="s">
        <v>1139</v>
      </c>
      <c r="M109" s="61"/>
      <c r="N109" s="61" t="s">
        <v>246</v>
      </c>
      <c r="O109" s="60" t="n">
        <v>46551</v>
      </c>
      <c r="P109" s="61" t="s">
        <v>1049</v>
      </c>
    </row>
    <row r="110" customFormat="false" ht="15" hidden="false" customHeight="false" outlineLevel="0" collapsed="false">
      <c r="A110" s="61" t="s">
        <v>61</v>
      </c>
      <c r="B110" s="61" t="s">
        <v>107</v>
      </c>
      <c r="C110" s="61" t="s">
        <v>1102</v>
      </c>
      <c r="D110" s="61" t="s">
        <v>1179</v>
      </c>
      <c r="E110" s="62" t="n">
        <v>1</v>
      </c>
      <c r="F110" s="61"/>
      <c r="G110" s="62" t="n">
        <v>1020164000</v>
      </c>
      <c r="H110" s="62" t="n">
        <v>378</v>
      </c>
      <c r="I110" s="63" t="n">
        <v>46235</v>
      </c>
      <c r="J110" s="62" t="n">
        <v>378</v>
      </c>
      <c r="K110" s="61" t="s">
        <v>4</v>
      </c>
      <c r="L110" s="61" t="s">
        <v>1137</v>
      </c>
      <c r="M110" s="61"/>
      <c r="N110" s="61" t="s">
        <v>246</v>
      </c>
      <c r="O110" s="60" t="n">
        <v>46437</v>
      </c>
      <c r="P110" s="61" t="s">
        <v>1049</v>
      </c>
    </row>
    <row r="111" customFormat="false" ht="15" hidden="false" customHeight="false" outlineLevel="0" collapsed="false">
      <c r="A111" s="61" t="s">
        <v>29</v>
      </c>
      <c r="B111" s="61" t="s">
        <v>34</v>
      </c>
      <c r="C111" s="61" t="s">
        <v>1102</v>
      </c>
      <c r="D111" s="61" t="s">
        <v>1180</v>
      </c>
      <c r="E111" s="62" t="n">
        <v>1</v>
      </c>
      <c r="F111" s="61"/>
      <c r="G111" s="62" t="n">
        <v>1021425000</v>
      </c>
      <c r="H111" s="62" t="n">
        <v>313.6</v>
      </c>
      <c r="I111" s="63" t="n">
        <v>46183</v>
      </c>
      <c r="J111" s="62" t="n">
        <v>313.6</v>
      </c>
      <c r="K111" s="61" t="s">
        <v>4</v>
      </c>
      <c r="L111" s="61" t="s">
        <v>1139</v>
      </c>
      <c r="M111" s="61"/>
      <c r="N111" s="61" t="s">
        <v>246</v>
      </c>
      <c r="O111" s="60" t="n">
        <v>46551</v>
      </c>
      <c r="P111" s="61" t="s">
        <v>1049</v>
      </c>
    </row>
    <row r="112" customFormat="false" ht="15" hidden="false" customHeight="false" outlineLevel="0" collapsed="false">
      <c r="A112" s="61" t="s">
        <v>29</v>
      </c>
      <c r="B112" s="61" t="s">
        <v>34</v>
      </c>
      <c r="C112" s="61" t="s">
        <v>1102</v>
      </c>
      <c r="D112" s="61" t="s">
        <v>1181</v>
      </c>
      <c r="E112" s="62" t="n">
        <v>1</v>
      </c>
      <c r="F112" s="61"/>
      <c r="G112" s="62" t="n">
        <v>1021425000</v>
      </c>
      <c r="H112" s="62" t="n">
        <v>313.6</v>
      </c>
      <c r="I112" s="63" t="n">
        <v>46183</v>
      </c>
      <c r="J112" s="62" t="n">
        <v>313.6</v>
      </c>
      <c r="K112" s="61" t="s">
        <v>4</v>
      </c>
      <c r="L112" s="61" t="s">
        <v>1139</v>
      </c>
      <c r="M112" s="61"/>
      <c r="N112" s="61" t="s">
        <v>246</v>
      </c>
      <c r="O112" s="60" t="n">
        <v>46551</v>
      </c>
      <c r="P112" s="61" t="s">
        <v>1049</v>
      </c>
    </row>
    <row r="113" customFormat="false" ht="15" hidden="false" customHeight="false" outlineLevel="0" collapsed="false">
      <c r="A113" s="61" t="s">
        <v>61</v>
      </c>
      <c r="B113" s="61" t="s">
        <v>107</v>
      </c>
      <c r="C113" s="61" t="s">
        <v>1102</v>
      </c>
      <c r="D113" s="61" t="s">
        <v>1182</v>
      </c>
      <c r="E113" s="62" t="n">
        <v>1</v>
      </c>
      <c r="F113" s="61"/>
      <c r="G113" s="62" t="n">
        <v>1020164000</v>
      </c>
      <c r="H113" s="62" t="n">
        <v>384</v>
      </c>
      <c r="I113" s="63" t="n">
        <v>45881</v>
      </c>
      <c r="J113" s="62" t="n">
        <v>384</v>
      </c>
      <c r="K113" s="61" t="s">
        <v>4</v>
      </c>
      <c r="L113" s="61" t="s">
        <v>1131</v>
      </c>
      <c r="M113" s="61"/>
      <c r="N113" s="61" t="s">
        <v>246</v>
      </c>
      <c r="O113" s="60" t="n">
        <v>46437</v>
      </c>
      <c r="P113" s="61" t="s">
        <v>1049</v>
      </c>
    </row>
    <row r="114" customFormat="false" ht="15" hidden="false" customHeight="false" outlineLevel="0" collapsed="false">
      <c r="A114" s="61" t="s">
        <v>131</v>
      </c>
      <c r="B114" s="61" t="s">
        <v>205</v>
      </c>
      <c r="C114" s="61" t="s">
        <v>1102</v>
      </c>
      <c r="D114" s="61" t="s">
        <v>1183</v>
      </c>
      <c r="E114" s="62" t="n">
        <v>1</v>
      </c>
      <c r="F114" s="61"/>
      <c r="G114" s="62" t="n">
        <v>1021976000</v>
      </c>
      <c r="H114" s="62" t="n">
        <v>120</v>
      </c>
      <c r="I114" s="63" t="n">
        <v>46291</v>
      </c>
      <c r="J114" s="62" t="n">
        <v>120</v>
      </c>
      <c r="K114" s="61" t="s">
        <v>12</v>
      </c>
      <c r="L114" s="61" t="s">
        <v>1063</v>
      </c>
      <c r="M114" s="61"/>
      <c r="N114" s="61" t="s">
        <v>246</v>
      </c>
      <c r="O114" s="60" t="n">
        <v>46651</v>
      </c>
      <c r="P114" s="61" t="s">
        <v>1049</v>
      </c>
    </row>
    <row r="115" customFormat="false" ht="15" hidden="false" customHeight="false" outlineLevel="0" collapsed="false">
      <c r="A115" s="61" t="s">
        <v>31</v>
      </c>
      <c r="B115" s="61" t="s">
        <v>36</v>
      </c>
      <c r="C115" s="61" t="s">
        <v>1102</v>
      </c>
      <c r="D115" s="61" t="s">
        <v>1184</v>
      </c>
      <c r="E115" s="62" t="n">
        <v>1</v>
      </c>
      <c r="F115" s="61"/>
      <c r="G115" s="62" t="n">
        <v>1021969000</v>
      </c>
      <c r="H115" s="62" t="n">
        <v>1000</v>
      </c>
      <c r="I115" s="63" t="n">
        <v>46293</v>
      </c>
      <c r="J115" s="62" t="n">
        <v>1000</v>
      </c>
      <c r="K115" s="61" t="s">
        <v>4</v>
      </c>
      <c r="L115" s="61" t="s">
        <v>1048</v>
      </c>
      <c r="M115" s="61"/>
      <c r="N115" s="61" t="s">
        <v>246</v>
      </c>
      <c r="O115" s="60" t="n">
        <v>46638</v>
      </c>
      <c r="P115" s="61" t="s">
        <v>1049</v>
      </c>
    </row>
    <row r="116" customFormat="false" ht="15" hidden="false" customHeight="false" outlineLevel="0" collapsed="false">
      <c r="A116" s="61" t="s">
        <v>160</v>
      </c>
      <c r="B116" s="61" t="s">
        <v>218</v>
      </c>
      <c r="C116" s="61" t="s">
        <v>1102</v>
      </c>
      <c r="D116" s="61" t="s">
        <v>1185</v>
      </c>
      <c r="E116" s="62" t="n">
        <v>1</v>
      </c>
      <c r="F116" s="61"/>
      <c r="G116" s="62" t="n">
        <v>1021976000</v>
      </c>
      <c r="H116" s="62" t="n">
        <v>313.6</v>
      </c>
      <c r="I116" s="63" t="n">
        <v>46291</v>
      </c>
      <c r="J116" s="62" t="n">
        <v>313.6</v>
      </c>
      <c r="K116" s="61" t="s">
        <v>4</v>
      </c>
      <c r="L116" s="61" t="s">
        <v>1063</v>
      </c>
      <c r="M116" s="61"/>
      <c r="N116" s="61" t="s">
        <v>246</v>
      </c>
      <c r="O116" s="60" t="n">
        <v>46457</v>
      </c>
      <c r="P116" s="61" t="s">
        <v>1049</v>
      </c>
    </row>
    <row r="117" customFormat="false" ht="15" hidden="false" customHeight="false" outlineLevel="0" collapsed="false">
      <c r="A117" s="61" t="s">
        <v>81</v>
      </c>
      <c r="B117" s="61" t="s">
        <v>145</v>
      </c>
      <c r="C117" s="61" t="s">
        <v>1102</v>
      </c>
      <c r="D117" s="61" t="s">
        <v>1186</v>
      </c>
      <c r="E117" s="62" t="n">
        <v>1</v>
      </c>
      <c r="F117" s="61"/>
      <c r="G117" s="62" t="n">
        <v>1021969000</v>
      </c>
      <c r="H117" s="62" t="n">
        <v>384</v>
      </c>
      <c r="I117" s="63" t="n">
        <v>46291</v>
      </c>
      <c r="J117" s="62" t="n">
        <v>384</v>
      </c>
      <c r="K117" s="61" t="s">
        <v>4</v>
      </c>
      <c r="L117" s="61" t="s">
        <v>1063</v>
      </c>
      <c r="M117" s="61"/>
      <c r="N117" s="61" t="s">
        <v>246</v>
      </c>
      <c r="O117" s="60" t="n">
        <v>46394</v>
      </c>
      <c r="P117" s="61" t="s">
        <v>1049</v>
      </c>
    </row>
    <row r="118" customFormat="false" ht="15" hidden="false" customHeight="false" outlineLevel="0" collapsed="false">
      <c r="A118" s="61" t="s">
        <v>117</v>
      </c>
      <c r="B118" s="61" t="s">
        <v>195</v>
      </c>
      <c r="C118" s="61" t="s">
        <v>1102</v>
      </c>
      <c r="D118" s="61" t="s">
        <v>1187</v>
      </c>
      <c r="E118" s="62" t="n">
        <v>1</v>
      </c>
      <c r="F118" s="61"/>
      <c r="G118" s="62" t="n">
        <v>1021976000</v>
      </c>
      <c r="H118" s="62" t="n">
        <v>600</v>
      </c>
      <c r="I118" s="63" t="n">
        <v>46291</v>
      </c>
      <c r="J118" s="62" t="n">
        <v>600</v>
      </c>
      <c r="K118" s="61" t="s">
        <v>4</v>
      </c>
      <c r="L118" s="61" t="s">
        <v>1063</v>
      </c>
      <c r="M118" s="61"/>
      <c r="N118" s="61" t="s">
        <v>246</v>
      </c>
      <c r="O118" s="60" t="n">
        <v>46472</v>
      </c>
      <c r="P118" s="61" t="s">
        <v>1049</v>
      </c>
    </row>
    <row r="119" customFormat="false" ht="15" hidden="false" customHeight="false" outlineLevel="0" collapsed="false">
      <c r="A119" s="61" t="s">
        <v>157</v>
      </c>
      <c r="B119" s="61" t="s">
        <v>194</v>
      </c>
      <c r="C119" s="61" t="s">
        <v>1102</v>
      </c>
      <c r="D119" s="61" t="s">
        <v>1188</v>
      </c>
      <c r="E119" s="62" t="n">
        <v>1</v>
      </c>
      <c r="F119" s="61"/>
      <c r="G119" s="62" t="n">
        <v>1021985000</v>
      </c>
      <c r="H119" s="62" t="n">
        <v>482.4</v>
      </c>
      <c r="I119" s="63" t="n">
        <v>46294</v>
      </c>
      <c r="J119" s="62" t="n">
        <v>482.4</v>
      </c>
      <c r="K119" s="61" t="s">
        <v>4</v>
      </c>
      <c r="L119" s="61" t="s">
        <v>1067</v>
      </c>
      <c r="M119" s="61"/>
      <c r="N119" s="61" t="s">
        <v>246</v>
      </c>
      <c r="O119" s="60" t="n">
        <v>46678</v>
      </c>
      <c r="P119" s="61" t="s">
        <v>1049</v>
      </c>
    </row>
    <row r="120" customFormat="false" ht="15" hidden="false" customHeight="false" outlineLevel="0" collapsed="false">
      <c r="A120" s="61" t="s">
        <v>131</v>
      </c>
      <c r="B120" s="61" t="s">
        <v>206</v>
      </c>
      <c r="C120" s="61" t="s">
        <v>1102</v>
      </c>
      <c r="D120" s="61" t="s">
        <v>1189</v>
      </c>
      <c r="E120" s="62" t="n">
        <v>1</v>
      </c>
      <c r="F120" s="61"/>
      <c r="G120" s="62" t="n">
        <v>1021976000</v>
      </c>
      <c r="H120" s="62" t="n">
        <v>45</v>
      </c>
      <c r="I120" s="63" t="n">
        <v>46291</v>
      </c>
      <c r="J120" s="62" t="n">
        <v>45</v>
      </c>
      <c r="K120" s="61" t="s">
        <v>12</v>
      </c>
      <c r="L120" s="61" t="s">
        <v>1063</v>
      </c>
      <c r="M120" s="61"/>
      <c r="N120" s="61" t="s">
        <v>246</v>
      </c>
      <c r="O120" s="60" t="n">
        <v>46655</v>
      </c>
      <c r="P120" s="61" t="s">
        <v>1049</v>
      </c>
    </row>
    <row r="121" customFormat="false" ht="15" hidden="false" customHeight="false" outlineLevel="0" collapsed="false">
      <c r="A121" s="61" t="s">
        <v>81</v>
      </c>
      <c r="B121" s="61" t="s">
        <v>145</v>
      </c>
      <c r="C121" s="61" t="s">
        <v>1102</v>
      </c>
      <c r="D121" s="61" t="s">
        <v>1190</v>
      </c>
      <c r="E121" s="62" t="n">
        <v>1</v>
      </c>
      <c r="F121" s="61"/>
      <c r="G121" s="62" t="n">
        <v>1021707000</v>
      </c>
      <c r="H121" s="62" t="n">
        <v>288</v>
      </c>
      <c r="I121" s="63" t="n">
        <v>46291</v>
      </c>
      <c r="J121" s="62" t="n">
        <v>288</v>
      </c>
      <c r="K121" s="61" t="s">
        <v>4</v>
      </c>
      <c r="L121" s="61" t="s">
        <v>1191</v>
      </c>
      <c r="M121" s="61"/>
      <c r="N121" s="61" t="s">
        <v>246</v>
      </c>
      <c r="O121" s="60" t="n">
        <v>46394</v>
      </c>
      <c r="P121" s="61" t="s">
        <v>1049</v>
      </c>
    </row>
    <row r="122" customFormat="false" ht="15" hidden="false" customHeight="false" outlineLevel="0" collapsed="false">
      <c r="A122" s="61" t="s">
        <v>131</v>
      </c>
      <c r="B122" s="61" t="s">
        <v>205</v>
      </c>
      <c r="C122" s="61" t="s">
        <v>1102</v>
      </c>
      <c r="D122" s="61" t="s">
        <v>1192</v>
      </c>
      <c r="E122" s="62" t="n">
        <v>1</v>
      </c>
      <c r="F122" s="61"/>
      <c r="G122" s="62" t="n">
        <v>1021976000</v>
      </c>
      <c r="H122" s="62" t="n">
        <v>26</v>
      </c>
      <c r="I122" s="63" t="n">
        <v>46291</v>
      </c>
      <c r="J122" s="62" t="n">
        <v>26</v>
      </c>
      <c r="K122" s="61" t="s">
        <v>12</v>
      </c>
      <c r="L122" s="61" t="s">
        <v>1063</v>
      </c>
      <c r="M122" s="61"/>
      <c r="N122" s="61" t="s">
        <v>246</v>
      </c>
      <c r="O122" s="60" t="n">
        <v>46651</v>
      </c>
      <c r="P122" s="61" t="s">
        <v>1049</v>
      </c>
    </row>
    <row r="123" customFormat="false" ht="15" hidden="false" customHeight="false" outlineLevel="0" collapsed="false">
      <c r="A123" s="61" t="s">
        <v>117</v>
      </c>
      <c r="B123" s="61" t="s">
        <v>195</v>
      </c>
      <c r="C123" s="61" t="s">
        <v>1102</v>
      </c>
      <c r="D123" s="61" t="s">
        <v>1193</v>
      </c>
      <c r="E123" s="62" t="n">
        <v>1</v>
      </c>
      <c r="F123" s="61"/>
      <c r="G123" s="62" t="n">
        <v>1021976000</v>
      </c>
      <c r="H123" s="62" t="n">
        <v>600</v>
      </c>
      <c r="I123" s="63" t="n">
        <v>46291</v>
      </c>
      <c r="J123" s="62" t="n">
        <v>600</v>
      </c>
      <c r="K123" s="61" t="s">
        <v>4</v>
      </c>
      <c r="L123" s="61" t="s">
        <v>1063</v>
      </c>
      <c r="M123" s="61"/>
      <c r="N123" s="61" t="s">
        <v>246</v>
      </c>
      <c r="O123" s="60" t="n">
        <v>46472</v>
      </c>
      <c r="P123" s="61" t="s">
        <v>1049</v>
      </c>
    </row>
    <row r="124" customFormat="false" ht="15" hidden="false" customHeight="false" outlineLevel="0" collapsed="false">
      <c r="A124" s="61" t="s">
        <v>157</v>
      </c>
      <c r="B124" s="61" t="s">
        <v>194</v>
      </c>
      <c r="C124" s="61" t="s">
        <v>1102</v>
      </c>
      <c r="D124" s="61" t="s">
        <v>1194</v>
      </c>
      <c r="E124" s="62" t="n">
        <v>1</v>
      </c>
      <c r="F124" s="61"/>
      <c r="G124" s="62" t="n">
        <v>1021969000</v>
      </c>
      <c r="H124" s="62" t="n">
        <v>131.3</v>
      </c>
      <c r="I124" s="63" t="n">
        <v>46291</v>
      </c>
      <c r="J124" s="62" t="n">
        <v>131.3</v>
      </c>
      <c r="K124" s="61" t="s">
        <v>4</v>
      </c>
      <c r="L124" s="61" t="s">
        <v>1063</v>
      </c>
      <c r="M124" s="61"/>
      <c r="N124" s="61" t="s">
        <v>246</v>
      </c>
      <c r="O124" s="60" t="n">
        <v>46678</v>
      </c>
      <c r="P124" s="61" t="s">
        <v>1049</v>
      </c>
    </row>
    <row r="125" customFormat="false" ht="15" hidden="false" customHeight="false" outlineLevel="0" collapsed="false">
      <c r="A125" s="61" t="s">
        <v>157</v>
      </c>
      <c r="B125" s="61" t="s">
        <v>194</v>
      </c>
      <c r="C125" s="61" t="s">
        <v>1102</v>
      </c>
      <c r="D125" s="61" t="s">
        <v>1195</v>
      </c>
      <c r="E125" s="62" t="n">
        <v>1</v>
      </c>
      <c r="F125" s="61"/>
      <c r="G125" s="62" t="n">
        <v>1021969000</v>
      </c>
      <c r="H125" s="62" t="n">
        <v>482.4</v>
      </c>
      <c r="I125" s="63" t="n">
        <v>46291</v>
      </c>
      <c r="J125" s="62" t="n">
        <v>482.4</v>
      </c>
      <c r="K125" s="61" t="s">
        <v>4</v>
      </c>
      <c r="L125" s="61" t="s">
        <v>1063</v>
      </c>
      <c r="M125" s="61"/>
      <c r="N125" s="61" t="s">
        <v>246</v>
      </c>
      <c r="O125" s="60" t="n">
        <v>46678</v>
      </c>
      <c r="P125" s="61" t="s">
        <v>1049</v>
      </c>
    </row>
    <row r="126" customFormat="false" ht="15" hidden="false" customHeight="false" outlineLevel="0" collapsed="false">
      <c r="A126" s="61" t="s">
        <v>131</v>
      </c>
      <c r="B126" s="61" t="s">
        <v>209</v>
      </c>
      <c r="C126" s="61" t="s">
        <v>1102</v>
      </c>
      <c r="D126" s="61" t="s">
        <v>1196</v>
      </c>
      <c r="E126" s="62" t="n">
        <v>1</v>
      </c>
      <c r="F126" s="61"/>
      <c r="G126" s="62" t="n">
        <v>1021985000</v>
      </c>
      <c r="H126" s="62" t="n">
        <v>120</v>
      </c>
      <c r="I126" s="63" t="n">
        <v>46294</v>
      </c>
      <c r="J126" s="62" t="n">
        <v>120</v>
      </c>
      <c r="K126" s="61" t="s">
        <v>12</v>
      </c>
      <c r="L126" s="61" t="s">
        <v>1067</v>
      </c>
      <c r="M126" s="61"/>
      <c r="N126" s="61" t="s">
        <v>246</v>
      </c>
      <c r="O126" s="60" t="n">
        <v>46822</v>
      </c>
      <c r="P126" s="61" t="s">
        <v>1049</v>
      </c>
    </row>
    <row r="127" customFormat="false" ht="15" hidden="false" customHeight="false" outlineLevel="0" collapsed="false">
      <c r="A127" s="61" t="s">
        <v>71</v>
      </c>
      <c r="B127" s="61" t="s">
        <v>136</v>
      </c>
      <c r="C127" s="61" t="s">
        <v>1102</v>
      </c>
      <c r="D127" s="61" t="s">
        <v>1197</v>
      </c>
      <c r="E127" s="62" t="n">
        <v>1</v>
      </c>
      <c r="F127" s="61"/>
      <c r="G127" s="62" t="n">
        <v>1021985000</v>
      </c>
      <c r="H127" s="62" t="n">
        <v>313.6</v>
      </c>
      <c r="I127" s="63" t="n">
        <v>46294</v>
      </c>
      <c r="J127" s="62" t="n">
        <v>313.6</v>
      </c>
      <c r="K127" s="61" t="s">
        <v>4</v>
      </c>
      <c r="L127" s="61" t="s">
        <v>1067</v>
      </c>
      <c r="M127" s="61"/>
      <c r="N127" s="61" t="s">
        <v>246</v>
      </c>
      <c r="O127" s="60" t="n">
        <v>46459</v>
      </c>
      <c r="P127" s="61" t="s">
        <v>1049</v>
      </c>
    </row>
    <row r="128" customFormat="false" ht="15" hidden="false" customHeight="false" outlineLevel="0" collapsed="false">
      <c r="A128" s="61" t="s">
        <v>131</v>
      </c>
      <c r="B128" s="61" t="s">
        <v>133</v>
      </c>
      <c r="C128" s="61" t="s">
        <v>1102</v>
      </c>
      <c r="D128" s="61" t="s">
        <v>1198</v>
      </c>
      <c r="E128" s="62" t="n">
        <v>1</v>
      </c>
      <c r="F128" s="61"/>
      <c r="G128" s="62" t="n">
        <v>1021977000</v>
      </c>
      <c r="H128" s="62" t="n">
        <v>120</v>
      </c>
      <c r="I128" s="63" t="n">
        <v>46293</v>
      </c>
      <c r="J128" s="62" t="n">
        <v>120</v>
      </c>
      <c r="K128" s="61" t="s">
        <v>12</v>
      </c>
      <c r="L128" s="61" t="s">
        <v>1048</v>
      </c>
      <c r="M128" s="61"/>
      <c r="N128" s="61" t="s">
        <v>246</v>
      </c>
      <c r="O128" s="60" t="n">
        <v>46736</v>
      </c>
      <c r="P128" s="61" t="s">
        <v>1049</v>
      </c>
    </row>
    <row r="129" customFormat="false" ht="15" hidden="false" customHeight="false" outlineLevel="0" collapsed="false">
      <c r="A129" s="61" t="s">
        <v>71</v>
      </c>
      <c r="B129" s="61" t="s">
        <v>136</v>
      </c>
      <c r="C129" s="61" t="s">
        <v>1102</v>
      </c>
      <c r="D129" s="61" t="s">
        <v>1199</v>
      </c>
      <c r="E129" s="62" t="n">
        <v>1</v>
      </c>
      <c r="F129" s="61"/>
      <c r="G129" s="62" t="n">
        <v>1021985000</v>
      </c>
      <c r="H129" s="62" t="n">
        <v>179.2</v>
      </c>
      <c r="I129" s="63" t="n">
        <v>46294</v>
      </c>
      <c r="J129" s="62" t="n">
        <v>179.2</v>
      </c>
      <c r="K129" s="61" t="s">
        <v>4</v>
      </c>
      <c r="L129" s="61" t="s">
        <v>1067</v>
      </c>
      <c r="M129" s="61"/>
      <c r="N129" s="61" t="s">
        <v>246</v>
      </c>
      <c r="O129" s="60" t="n">
        <v>46459</v>
      </c>
      <c r="P129" s="61" t="s">
        <v>1049</v>
      </c>
    </row>
    <row r="130" customFormat="false" ht="15" hidden="false" customHeight="false" outlineLevel="0" collapsed="false">
      <c r="A130" s="61" t="s">
        <v>71</v>
      </c>
      <c r="B130" s="61" t="s">
        <v>136</v>
      </c>
      <c r="C130" s="61" t="s">
        <v>1102</v>
      </c>
      <c r="D130" s="61" t="s">
        <v>1200</v>
      </c>
      <c r="E130" s="62" t="n">
        <v>1</v>
      </c>
      <c r="F130" s="61"/>
      <c r="G130" s="62" t="n">
        <v>1021985000</v>
      </c>
      <c r="H130" s="62" t="n">
        <v>313.6</v>
      </c>
      <c r="I130" s="63" t="n">
        <v>46294</v>
      </c>
      <c r="J130" s="62" t="n">
        <v>313.6</v>
      </c>
      <c r="K130" s="61" t="s">
        <v>4</v>
      </c>
      <c r="L130" s="61" t="s">
        <v>1067</v>
      </c>
      <c r="M130" s="61"/>
      <c r="N130" s="61" t="s">
        <v>246</v>
      </c>
      <c r="O130" s="60" t="n">
        <v>46459</v>
      </c>
      <c r="P130" s="61" t="s">
        <v>1049</v>
      </c>
    </row>
    <row r="131" customFormat="false" ht="15" hidden="false" customHeight="false" outlineLevel="0" collapsed="false">
      <c r="A131" s="61" t="s">
        <v>131</v>
      </c>
      <c r="B131" s="61" t="s">
        <v>206</v>
      </c>
      <c r="C131" s="61" t="s">
        <v>1102</v>
      </c>
      <c r="D131" s="61" t="s">
        <v>1201</v>
      </c>
      <c r="E131" s="62" t="n">
        <v>1</v>
      </c>
      <c r="F131" s="61"/>
      <c r="G131" s="62" t="n">
        <v>1021976000</v>
      </c>
      <c r="H131" s="62" t="n">
        <v>120</v>
      </c>
      <c r="I131" s="63" t="n">
        <v>46291</v>
      </c>
      <c r="J131" s="62" t="n">
        <v>120</v>
      </c>
      <c r="K131" s="61" t="s">
        <v>12</v>
      </c>
      <c r="L131" s="61" t="s">
        <v>1063</v>
      </c>
      <c r="M131" s="61"/>
      <c r="N131" s="61" t="s">
        <v>246</v>
      </c>
      <c r="O131" s="60" t="n">
        <v>46655</v>
      </c>
      <c r="P131" s="61" t="s">
        <v>1049</v>
      </c>
    </row>
    <row r="132" customFormat="false" ht="15" hidden="false" customHeight="false" outlineLevel="0" collapsed="false">
      <c r="A132" s="61" t="s">
        <v>106</v>
      </c>
      <c r="B132" s="61" t="s">
        <v>185</v>
      </c>
      <c r="C132" s="61" t="s">
        <v>1102</v>
      </c>
      <c r="D132" s="61" t="s">
        <v>1202</v>
      </c>
      <c r="E132" s="62" t="n">
        <v>1</v>
      </c>
      <c r="F132" s="61"/>
      <c r="G132" s="62" t="n">
        <v>1021983000</v>
      </c>
      <c r="H132" s="62" t="n">
        <v>420</v>
      </c>
      <c r="I132" s="63" t="n">
        <v>46293</v>
      </c>
      <c r="J132" s="62" t="n">
        <v>420</v>
      </c>
      <c r="K132" s="61" t="s">
        <v>4</v>
      </c>
      <c r="L132" s="61" t="s">
        <v>1048</v>
      </c>
      <c r="M132" s="61"/>
      <c r="N132" s="61" t="s">
        <v>246</v>
      </c>
      <c r="O132" s="60" t="n">
        <v>46703</v>
      </c>
      <c r="P132" s="61" t="s">
        <v>1049</v>
      </c>
    </row>
    <row r="133" customFormat="false" ht="15" hidden="false" customHeight="false" outlineLevel="0" collapsed="false">
      <c r="A133" s="61" t="s">
        <v>160</v>
      </c>
      <c r="B133" s="61" t="s">
        <v>218</v>
      </c>
      <c r="C133" s="61" t="s">
        <v>1102</v>
      </c>
      <c r="D133" s="61" t="s">
        <v>1203</v>
      </c>
      <c r="E133" s="62" t="n">
        <v>1</v>
      </c>
      <c r="F133" s="61"/>
      <c r="G133" s="62" t="n">
        <v>1021976000</v>
      </c>
      <c r="H133" s="62" t="n">
        <v>313.6</v>
      </c>
      <c r="I133" s="63" t="n">
        <v>46291</v>
      </c>
      <c r="J133" s="62" t="n">
        <v>313.6</v>
      </c>
      <c r="K133" s="61" t="s">
        <v>4</v>
      </c>
      <c r="L133" s="61" t="s">
        <v>1063</v>
      </c>
      <c r="M133" s="61"/>
      <c r="N133" s="61" t="s">
        <v>246</v>
      </c>
      <c r="O133" s="60" t="n">
        <v>46457</v>
      </c>
      <c r="P133" s="61" t="s">
        <v>1049</v>
      </c>
    </row>
    <row r="134" customFormat="false" ht="15" hidden="false" customHeight="false" outlineLevel="0" collapsed="false">
      <c r="A134" s="61" t="s">
        <v>47</v>
      </c>
      <c r="B134" s="61" t="s">
        <v>68</v>
      </c>
      <c r="C134" s="61" t="s">
        <v>1102</v>
      </c>
      <c r="D134" s="61" t="s">
        <v>1204</v>
      </c>
      <c r="E134" s="62" t="n">
        <v>1</v>
      </c>
      <c r="F134" s="61"/>
      <c r="G134" s="62" t="n">
        <v>1021977000</v>
      </c>
      <c r="H134" s="62" t="n">
        <v>20</v>
      </c>
      <c r="I134" s="63" t="n">
        <v>46291</v>
      </c>
      <c r="J134" s="62" t="n">
        <v>20</v>
      </c>
      <c r="K134" s="61" t="s">
        <v>4</v>
      </c>
      <c r="L134" s="61" t="s">
        <v>1063</v>
      </c>
      <c r="M134" s="61"/>
      <c r="N134" s="61" t="s">
        <v>246</v>
      </c>
      <c r="O134" s="61"/>
      <c r="P134" s="61" t="s">
        <v>1049</v>
      </c>
    </row>
    <row r="135" customFormat="false" ht="15" hidden="false" customHeight="false" outlineLevel="0" collapsed="false">
      <c r="A135" s="61" t="s">
        <v>131</v>
      </c>
      <c r="B135" s="61" t="s">
        <v>133</v>
      </c>
      <c r="C135" s="61" t="s">
        <v>1102</v>
      </c>
      <c r="D135" s="61" t="s">
        <v>1205</v>
      </c>
      <c r="E135" s="62" t="n">
        <v>1</v>
      </c>
      <c r="F135" s="61"/>
      <c r="G135" s="62" t="n">
        <v>1021977000</v>
      </c>
      <c r="H135" s="62" t="n">
        <v>120</v>
      </c>
      <c r="I135" s="63" t="n">
        <v>46293</v>
      </c>
      <c r="J135" s="62" t="n">
        <v>120</v>
      </c>
      <c r="K135" s="61" t="s">
        <v>12</v>
      </c>
      <c r="L135" s="61" t="s">
        <v>1048</v>
      </c>
      <c r="M135" s="61"/>
      <c r="N135" s="61" t="s">
        <v>246</v>
      </c>
      <c r="O135" s="60" t="n">
        <v>46736</v>
      </c>
      <c r="P135" s="61" t="s">
        <v>1049</v>
      </c>
    </row>
    <row r="136" customFormat="false" ht="15" hidden="false" customHeight="false" outlineLevel="0" collapsed="false">
      <c r="A136" s="61" t="s">
        <v>131</v>
      </c>
      <c r="B136" s="61" t="s">
        <v>209</v>
      </c>
      <c r="C136" s="61" t="s">
        <v>1102</v>
      </c>
      <c r="D136" s="61" t="s">
        <v>1206</v>
      </c>
      <c r="E136" s="62" t="n">
        <v>1</v>
      </c>
      <c r="F136" s="61"/>
      <c r="G136" s="62" t="n">
        <v>1021985000</v>
      </c>
      <c r="H136" s="62" t="n">
        <v>120</v>
      </c>
      <c r="I136" s="63" t="n">
        <v>46294</v>
      </c>
      <c r="J136" s="62" t="n">
        <v>120</v>
      </c>
      <c r="K136" s="61" t="s">
        <v>12</v>
      </c>
      <c r="L136" s="61" t="s">
        <v>1067</v>
      </c>
      <c r="M136" s="61"/>
      <c r="N136" s="61" t="s">
        <v>246</v>
      </c>
      <c r="O136" s="60" t="n">
        <v>46822</v>
      </c>
      <c r="P136" s="61" t="s">
        <v>1049</v>
      </c>
    </row>
    <row r="137" customFormat="false" ht="15" hidden="false" customHeight="false" outlineLevel="0" collapsed="false">
      <c r="A137" s="61" t="s">
        <v>106</v>
      </c>
      <c r="B137" s="61" t="s">
        <v>185</v>
      </c>
      <c r="C137" s="61" t="s">
        <v>1102</v>
      </c>
      <c r="D137" s="61" t="s">
        <v>1207</v>
      </c>
      <c r="E137" s="62" t="n">
        <v>1</v>
      </c>
      <c r="F137" s="61"/>
      <c r="G137" s="62" t="n">
        <v>1021983000</v>
      </c>
      <c r="H137" s="62" t="n">
        <v>360</v>
      </c>
      <c r="I137" s="63" t="n">
        <v>46293</v>
      </c>
      <c r="J137" s="62" t="n">
        <v>360</v>
      </c>
      <c r="K137" s="61" t="s">
        <v>4</v>
      </c>
      <c r="L137" s="61" t="s">
        <v>1048</v>
      </c>
      <c r="M137" s="61"/>
      <c r="N137" s="61" t="s">
        <v>246</v>
      </c>
      <c r="O137" s="60" t="n">
        <v>46703</v>
      </c>
      <c r="P137" s="61" t="s">
        <v>1049</v>
      </c>
    </row>
    <row r="138" customFormat="false" ht="15" hidden="false" customHeight="false" outlineLevel="0" collapsed="false">
      <c r="A138" s="61" t="s">
        <v>81</v>
      </c>
      <c r="B138" s="61" t="s">
        <v>145</v>
      </c>
      <c r="C138" s="61" t="s">
        <v>1102</v>
      </c>
      <c r="D138" s="61" t="s">
        <v>1208</v>
      </c>
      <c r="E138" s="62" t="n">
        <v>1</v>
      </c>
      <c r="F138" s="61"/>
      <c r="G138" s="62" t="n">
        <v>1021977000</v>
      </c>
      <c r="H138" s="62" t="n">
        <v>198</v>
      </c>
      <c r="I138" s="63" t="n">
        <v>46291</v>
      </c>
      <c r="J138" s="62" t="n">
        <v>198</v>
      </c>
      <c r="K138" s="61" t="s">
        <v>4</v>
      </c>
      <c r="L138" s="61" t="s">
        <v>1063</v>
      </c>
      <c r="M138" s="61"/>
      <c r="N138" s="61" t="s">
        <v>246</v>
      </c>
      <c r="O138" s="60" t="n">
        <v>46394</v>
      </c>
      <c r="P138" s="61" t="s">
        <v>1049</v>
      </c>
    </row>
    <row r="139" customFormat="false" ht="15" hidden="false" customHeight="false" outlineLevel="0" collapsed="false">
      <c r="A139" s="61" t="s">
        <v>29</v>
      </c>
      <c r="B139" s="61" t="s">
        <v>34</v>
      </c>
      <c r="C139" s="61" t="s">
        <v>1102</v>
      </c>
      <c r="D139" s="61" t="s">
        <v>1209</v>
      </c>
      <c r="E139" s="62" t="n">
        <v>1</v>
      </c>
      <c r="F139" s="61"/>
      <c r="G139" s="62" t="n">
        <v>1021425000</v>
      </c>
      <c r="H139" s="62" t="n">
        <v>313.6</v>
      </c>
      <c r="I139" s="63" t="n">
        <v>46183</v>
      </c>
      <c r="J139" s="62" t="n">
        <v>313.6</v>
      </c>
      <c r="K139" s="61" t="s">
        <v>4</v>
      </c>
      <c r="L139" s="61" t="s">
        <v>1139</v>
      </c>
      <c r="M139" s="61"/>
      <c r="N139" s="61" t="s">
        <v>246</v>
      </c>
      <c r="O139" s="60" t="n">
        <v>46551</v>
      </c>
      <c r="P139" s="61" t="s">
        <v>1049</v>
      </c>
    </row>
    <row r="140" customFormat="false" ht="15" hidden="false" customHeight="false" outlineLevel="0" collapsed="false">
      <c r="A140" s="61" t="s">
        <v>33</v>
      </c>
      <c r="B140" s="61" t="s">
        <v>52</v>
      </c>
      <c r="C140" s="61" t="s">
        <v>1102</v>
      </c>
      <c r="D140" s="61" t="s">
        <v>1210</v>
      </c>
      <c r="E140" s="62" t="n">
        <v>1</v>
      </c>
      <c r="F140" s="61"/>
      <c r="G140" s="62" t="n">
        <v>1021918000</v>
      </c>
      <c r="H140" s="62" t="n">
        <v>20</v>
      </c>
      <c r="I140" s="63" t="n">
        <v>46290</v>
      </c>
      <c r="J140" s="62" t="n">
        <v>20</v>
      </c>
      <c r="K140" s="61" t="s">
        <v>4</v>
      </c>
      <c r="L140" s="61" t="s">
        <v>1211</v>
      </c>
      <c r="M140" s="61"/>
      <c r="N140" s="61" t="s">
        <v>246</v>
      </c>
      <c r="O140" s="61"/>
      <c r="P140" s="61" t="s">
        <v>1049</v>
      </c>
    </row>
    <row r="141" customFormat="false" ht="15" hidden="false" customHeight="false" outlineLevel="0" collapsed="false">
      <c r="A141" s="61" t="s">
        <v>75</v>
      </c>
      <c r="B141" s="61" t="s">
        <v>143</v>
      </c>
      <c r="C141" s="61" t="s">
        <v>1102</v>
      </c>
      <c r="D141" s="61" t="s">
        <v>1212</v>
      </c>
      <c r="E141" s="62" t="n">
        <v>1</v>
      </c>
      <c r="F141" s="61"/>
      <c r="G141" s="62" t="n">
        <v>1021969000</v>
      </c>
      <c r="H141" s="62" t="n">
        <v>240</v>
      </c>
      <c r="I141" s="63" t="n">
        <v>46290</v>
      </c>
      <c r="J141" s="62" t="n">
        <v>240</v>
      </c>
      <c r="K141" s="61" t="s">
        <v>4</v>
      </c>
      <c r="L141" s="61" t="s">
        <v>1211</v>
      </c>
      <c r="M141" s="61"/>
      <c r="N141" s="61" t="s">
        <v>246</v>
      </c>
      <c r="O141" s="60" t="n">
        <v>46641</v>
      </c>
      <c r="P141" s="61" t="s">
        <v>1049</v>
      </c>
    </row>
    <row r="142" customFormat="false" ht="15" hidden="false" customHeight="false" outlineLevel="0" collapsed="false">
      <c r="A142" s="61" t="s">
        <v>23</v>
      </c>
      <c r="B142" s="61" t="s">
        <v>28</v>
      </c>
      <c r="C142" s="61" t="s">
        <v>1102</v>
      </c>
      <c r="D142" s="61" t="s">
        <v>1213</v>
      </c>
      <c r="E142" s="62" t="n">
        <v>1</v>
      </c>
      <c r="F142" s="61"/>
      <c r="G142" s="62" t="n">
        <v>1021985000</v>
      </c>
      <c r="H142" s="62" t="n">
        <v>142.8</v>
      </c>
      <c r="I142" s="63" t="n">
        <v>46294</v>
      </c>
      <c r="J142" s="62" t="n">
        <v>142.8</v>
      </c>
      <c r="K142" s="61" t="s">
        <v>4</v>
      </c>
      <c r="L142" s="61" t="s">
        <v>1067</v>
      </c>
      <c r="M142" s="61"/>
      <c r="N142" s="61" t="s">
        <v>246</v>
      </c>
      <c r="O142" s="60" t="n">
        <v>46765</v>
      </c>
      <c r="P142" s="61" t="s">
        <v>1049</v>
      </c>
    </row>
    <row r="143" customFormat="false" ht="15" hidden="false" customHeight="false" outlineLevel="0" collapsed="false">
      <c r="A143" s="61" t="s">
        <v>157</v>
      </c>
      <c r="B143" s="61" t="s">
        <v>194</v>
      </c>
      <c r="C143" s="61" t="s">
        <v>1102</v>
      </c>
      <c r="D143" s="61" t="s">
        <v>1214</v>
      </c>
      <c r="E143" s="62" t="n">
        <v>1</v>
      </c>
      <c r="F143" s="61"/>
      <c r="G143" s="62" t="n">
        <v>1021969000</v>
      </c>
      <c r="H143" s="62" t="n">
        <v>482.4</v>
      </c>
      <c r="I143" s="63" t="n">
        <v>46290</v>
      </c>
      <c r="J143" s="62" t="n">
        <v>482.4</v>
      </c>
      <c r="K143" s="61" t="s">
        <v>4</v>
      </c>
      <c r="L143" s="61" t="s">
        <v>1211</v>
      </c>
      <c r="M143" s="61"/>
      <c r="N143" s="61" t="s">
        <v>246</v>
      </c>
      <c r="O143" s="60" t="n">
        <v>46678</v>
      </c>
      <c r="P143" s="61" t="s">
        <v>1049</v>
      </c>
    </row>
    <row r="144" customFormat="false" ht="15" hidden="false" customHeight="false" outlineLevel="0" collapsed="false">
      <c r="A144" s="61" t="s">
        <v>47</v>
      </c>
      <c r="B144" s="61" t="s">
        <v>68</v>
      </c>
      <c r="C144" s="61" t="s">
        <v>1102</v>
      </c>
      <c r="D144" s="61" t="s">
        <v>1215</v>
      </c>
      <c r="E144" s="62" t="n">
        <v>1</v>
      </c>
      <c r="F144" s="61"/>
      <c r="G144" s="62" t="n">
        <v>1021969000</v>
      </c>
      <c r="H144" s="62" t="n">
        <v>360</v>
      </c>
      <c r="I144" s="63" t="n">
        <v>46295</v>
      </c>
      <c r="J144" s="62" t="n">
        <v>360</v>
      </c>
      <c r="K144" s="61" t="s">
        <v>4</v>
      </c>
      <c r="L144" s="61" t="s">
        <v>1211</v>
      </c>
      <c r="M144" s="61"/>
      <c r="N144" s="61" t="s">
        <v>246</v>
      </c>
      <c r="O144" s="60" t="n">
        <v>46708</v>
      </c>
      <c r="P144" s="61" t="s">
        <v>1049</v>
      </c>
    </row>
    <row r="145" customFormat="false" ht="15" hidden="false" customHeight="false" outlineLevel="0" collapsed="false">
      <c r="A145" s="61" t="s">
        <v>23</v>
      </c>
      <c r="B145" s="61" t="s">
        <v>24</v>
      </c>
      <c r="C145" s="61" t="s">
        <v>1102</v>
      </c>
      <c r="D145" s="61" t="s">
        <v>1216</v>
      </c>
      <c r="E145" s="62" t="n">
        <v>1</v>
      </c>
      <c r="F145" s="61"/>
      <c r="G145" s="62" t="n">
        <v>1021985000</v>
      </c>
      <c r="H145" s="62" t="n">
        <v>313.6</v>
      </c>
      <c r="I145" s="63" t="n">
        <v>46294</v>
      </c>
      <c r="J145" s="62" t="n">
        <v>313.6</v>
      </c>
      <c r="K145" s="61" t="s">
        <v>4</v>
      </c>
      <c r="L145" s="61" t="s">
        <v>1067</v>
      </c>
      <c r="M145" s="61"/>
      <c r="N145" s="61" t="s">
        <v>246</v>
      </c>
      <c r="O145" s="60" t="n">
        <v>46550</v>
      </c>
      <c r="P145" s="61" t="s">
        <v>1049</v>
      </c>
    </row>
    <row r="146" customFormat="false" ht="15" hidden="false" customHeight="false" outlineLevel="0" collapsed="false">
      <c r="A146" s="61" t="s">
        <v>47</v>
      </c>
      <c r="B146" s="61" t="s">
        <v>68</v>
      </c>
      <c r="C146" s="61" t="s">
        <v>1102</v>
      </c>
      <c r="D146" s="61" t="s">
        <v>1217</v>
      </c>
      <c r="E146" s="62" t="n">
        <v>1</v>
      </c>
      <c r="F146" s="61"/>
      <c r="G146" s="62" t="n">
        <v>1021969000</v>
      </c>
      <c r="H146" s="62" t="n">
        <v>600</v>
      </c>
      <c r="I146" s="63" t="n">
        <v>46290</v>
      </c>
      <c r="J146" s="62" t="n">
        <v>600</v>
      </c>
      <c r="K146" s="61" t="s">
        <v>4</v>
      </c>
      <c r="L146" s="61" t="s">
        <v>1211</v>
      </c>
      <c r="M146" s="61"/>
      <c r="N146" s="61" t="s">
        <v>246</v>
      </c>
      <c r="O146" s="60" t="n">
        <v>46708</v>
      </c>
      <c r="P146" s="61" t="s">
        <v>1049</v>
      </c>
    </row>
    <row r="147" customFormat="false" ht="15" hidden="false" customHeight="false" outlineLevel="0" collapsed="false">
      <c r="A147" s="61" t="s">
        <v>43</v>
      </c>
      <c r="B147" s="61" t="s">
        <v>64</v>
      </c>
      <c r="C147" s="61" t="s">
        <v>1102</v>
      </c>
      <c r="D147" s="61" t="s">
        <v>1218</v>
      </c>
      <c r="E147" s="62" t="n">
        <v>1</v>
      </c>
      <c r="F147" s="61"/>
      <c r="G147" s="62" t="n">
        <v>1021985000</v>
      </c>
      <c r="H147" s="62" t="n">
        <v>1000</v>
      </c>
      <c r="I147" s="63" t="n">
        <v>46294</v>
      </c>
      <c r="J147" s="62" t="n">
        <v>1000</v>
      </c>
      <c r="K147" s="61" t="s">
        <v>4</v>
      </c>
      <c r="L147" s="61" t="s">
        <v>1067</v>
      </c>
      <c r="M147" s="61"/>
      <c r="N147" s="61" t="s">
        <v>246</v>
      </c>
      <c r="O147" s="60" t="n">
        <v>46659</v>
      </c>
      <c r="P147" s="61" t="s">
        <v>1049</v>
      </c>
    </row>
    <row r="148" customFormat="false" ht="15" hidden="false" customHeight="false" outlineLevel="0" collapsed="false">
      <c r="A148" s="61" t="s">
        <v>104</v>
      </c>
      <c r="B148" s="61" t="s">
        <v>166</v>
      </c>
      <c r="C148" s="61" t="s">
        <v>1102</v>
      </c>
      <c r="D148" s="61" t="s">
        <v>1219</v>
      </c>
      <c r="E148" s="62" t="n">
        <v>1</v>
      </c>
      <c r="F148" s="61"/>
      <c r="G148" s="62" t="n">
        <v>1021955000</v>
      </c>
      <c r="H148" s="62" t="n">
        <v>432</v>
      </c>
      <c r="I148" s="63" t="n">
        <v>46293</v>
      </c>
      <c r="J148" s="62" t="n">
        <v>432</v>
      </c>
      <c r="K148" s="61" t="s">
        <v>4</v>
      </c>
      <c r="L148" s="61" t="s">
        <v>1048</v>
      </c>
      <c r="M148" s="61"/>
      <c r="N148" s="61" t="s">
        <v>246</v>
      </c>
      <c r="O148" s="60" t="n">
        <v>46671</v>
      </c>
      <c r="P148" s="61" t="s">
        <v>1049</v>
      </c>
    </row>
    <row r="149" customFormat="false" ht="15" hidden="false" customHeight="false" outlineLevel="0" collapsed="false">
      <c r="A149" s="61" t="s">
        <v>100</v>
      </c>
      <c r="B149" s="61" t="s">
        <v>176</v>
      </c>
      <c r="C149" s="61" t="s">
        <v>1102</v>
      </c>
      <c r="D149" s="61" t="s">
        <v>1220</v>
      </c>
      <c r="E149" s="62" t="n">
        <v>1</v>
      </c>
      <c r="F149" s="61"/>
      <c r="G149" s="62" t="n">
        <v>1021985000</v>
      </c>
      <c r="H149" s="62" t="n">
        <v>432</v>
      </c>
      <c r="I149" s="63" t="n">
        <v>46294</v>
      </c>
      <c r="J149" s="62" t="n">
        <v>432</v>
      </c>
      <c r="K149" s="61" t="s">
        <v>4</v>
      </c>
      <c r="L149" s="61" t="s">
        <v>1067</v>
      </c>
      <c r="M149" s="61"/>
      <c r="N149" s="61" t="s">
        <v>246</v>
      </c>
      <c r="O149" s="60" t="n">
        <v>46608</v>
      </c>
      <c r="P149" s="61" t="s">
        <v>1049</v>
      </c>
    </row>
    <row r="150" customFormat="false" ht="15" hidden="false" customHeight="false" outlineLevel="0" collapsed="false">
      <c r="A150" s="61" t="s">
        <v>104</v>
      </c>
      <c r="B150" s="61" t="s">
        <v>166</v>
      </c>
      <c r="C150" s="61" t="s">
        <v>1102</v>
      </c>
      <c r="D150" s="61" t="s">
        <v>1221</v>
      </c>
      <c r="E150" s="62" t="n">
        <v>1</v>
      </c>
      <c r="F150" s="61"/>
      <c r="G150" s="62" t="n">
        <v>1021955000</v>
      </c>
      <c r="H150" s="62" t="n">
        <v>432</v>
      </c>
      <c r="I150" s="63" t="n">
        <v>46293</v>
      </c>
      <c r="J150" s="62" t="n">
        <v>432</v>
      </c>
      <c r="K150" s="61" t="s">
        <v>4</v>
      </c>
      <c r="L150" s="61" t="s">
        <v>1048</v>
      </c>
      <c r="M150" s="61"/>
      <c r="N150" s="61" t="s">
        <v>246</v>
      </c>
      <c r="O150" s="60" t="n">
        <v>46671</v>
      </c>
      <c r="P150" s="61" t="s">
        <v>1049</v>
      </c>
    </row>
    <row r="151" customFormat="false" ht="15" hidden="false" customHeight="false" outlineLevel="0" collapsed="false">
      <c r="A151" s="61" t="s">
        <v>106</v>
      </c>
      <c r="B151" s="61" t="s">
        <v>185</v>
      </c>
      <c r="C151" s="61" t="s">
        <v>1102</v>
      </c>
      <c r="D151" s="61" t="s">
        <v>1222</v>
      </c>
      <c r="E151" s="62" t="n">
        <v>1</v>
      </c>
      <c r="F151" s="61"/>
      <c r="G151" s="62" t="n">
        <v>1021983000</v>
      </c>
      <c r="H151" s="62" t="n">
        <v>420</v>
      </c>
      <c r="I151" s="63" t="n">
        <v>46293</v>
      </c>
      <c r="J151" s="62" t="n">
        <v>420</v>
      </c>
      <c r="K151" s="61" t="s">
        <v>4</v>
      </c>
      <c r="L151" s="61" t="s">
        <v>1048</v>
      </c>
      <c r="M151" s="61"/>
      <c r="N151" s="61" t="s">
        <v>246</v>
      </c>
      <c r="O151" s="60" t="n">
        <v>46703</v>
      </c>
      <c r="P151" s="61" t="s">
        <v>1049</v>
      </c>
    </row>
    <row r="152" customFormat="false" ht="15" hidden="false" customHeight="false" outlineLevel="0" collapsed="false">
      <c r="A152" s="61" t="s">
        <v>75</v>
      </c>
      <c r="B152" s="61" t="s">
        <v>143</v>
      </c>
      <c r="C152" s="61" t="s">
        <v>1102</v>
      </c>
      <c r="D152" s="61" t="s">
        <v>1223</v>
      </c>
      <c r="E152" s="62" t="n">
        <v>1</v>
      </c>
      <c r="F152" s="61"/>
      <c r="G152" s="62" t="n">
        <v>1021969000</v>
      </c>
      <c r="H152" s="62" t="n">
        <v>236</v>
      </c>
      <c r="I152" s="63" t="n">
        <v>46295</v>
      </c>
      <c r="J152" s="62" t="n">
        <v>236</v>
      </c>
      <c r="K152" s="61" t="s">
        <v>4</v>
      </c>
      <c r="L152" s="61" t="s">
        <v>1211</v>
      </c>
      <c r="M152" s="61"/>
      <c r="N152" s="61" t="s">
        <v>246</v>
      </c>
      <c r="O152" s="60" t="n">
        <v>46641</v>
      </c>
      <c r="P152" s="61" t="s">
        <v>1049</v>
      </c>
    </row>
    <row r="153" customFormat="false" ht="15" hidden="false" customHeight="false" outlineLevel="0" collapsed="false">
      <c r="A153" s="61" t="s">
        <v>75</v>
      </c>
      <c r="B153" s="61" t="s">
        <v>143</v>
      </c>
      <c r="C153" s="61" t="s">
        <v>1102</v>
      </c>
      <c r="D153" s="61" t="s">
        <v>1224</v>
      </c>
      <c r="E153" s="62" t="n">
        <v>1</v>
      </c>
      <c r="F153" s="61"/>
      <c r="G153" s="62" t="n">
        <v>1021969000</v>
      </c>
      <c r="H153" s="62" t="n">
        <v>240</v>
      </c>
      <c r="I153" s="63" t="n">
        <v>46290</v>
      </c>
      <c r="J153" s="62" t="n">
        <v>240</v>
      </c>
      <c r="K153" s="61" t="s">
        <v>4</v>
      </c>
      <c r="L153" s="61" t="s">
        <v>1211</v>
      </c>
      <c r="M153" s="61"/>
      <c r="N153" s="61" t="s">
        <v>246</v>
      </c>
      <c r="O153" s="60" t="n">
        <v>46641</v>
      </c>
      <c r="P153" s="61" t="s">
        <v>1049</v>
      </c>
    </row>
    <row r="154" customFormat="false" ht="15" hidden="false" customHeight="false" outlineLevel="0" collapsed="false">
      <c r="A154" s="61" t="s">
        <v>104</v>
      </c>
      <c r="B154" s="61" t="s">
        <v>166</v>
      </c>
      <c r="C154" s="61" t="s">
        <v>1102</v>
      </c>
      <c r="D154" s="61" t="s">
        <v>1225</v>
      </c>
      <c r="E154" s="62" t="n">
        <v>1</v>
      </c>
      <c r="F154" s="61"/>
      <c r="G154" s="62" t="n">
        <v>1021955000</v>
      </c>
      <c r="H154" s="62" t="n">
        <v>54</v>
      </c>
      <c r="I154" s="63" t="n">
        <v>46293</v>
      </c>
      <c r="J154" s="62" t="n">
        <v>54</v>
      </c>
      <c r="K154" s="61" t="s">
        <v>4</v>
      </c>
      <c r="L154" s="61" t="s">
        <v>1048</v>
      </c>
      <c r="M154" s="61"/>
      <c r="N154" s="61" t="s">
        <v>246</v>
      </c>
      <c r="O154" s="60" t="n">
        <v>46671</v>
      </c>
      <c r="P154" s="61" t="s">
        <v>1049</v>
      </c>
    </row>
    <row r="155" customFormat="false" ht="15" hidden="false" customHeight="false" outlineLevel="0" collapsed="false">
      <c r="A155" s="61" t="s">
        <v>75</v>
      </c>
      <c r="B155" s="61" t="s">
        <v>143</v>
      </c>
      <c r="C155" s="61" t="s">
        <v>1102</v>
      </c>
      <c r="D155" s="61" t="s">
        <v>1226</v>
      </c>
      <c r="E155" s="62" t="n">
        <v>1</v>
      </c>
      <c r="F155" s="61"/>
      <c r="G155" s="62" t="n">
        <v>1021969000</v>
      </c>
      <c r="H155" s="62" t="n">
        <v>240</v>
      </c>
      <c r="I155" s="63" t="n">
        <v>46290</v>
      </c>
      <c r="J155" s="62" t="n">
        <v>240</v>
      </c>
      <c r="K155" s="61" t="s">
        <v>4</v>
      </c>
      <c r="L155" s="61" t="s">
        <v>1211</v>
      </c>
      <c r="M155" s="61"/>
      <c r="N155" s="61" t="s">
        <v>246</v>
      </c>
      <c r="O155" s="60" t="n">
        <v>46641</v>
      </c>
      <c r="P155" s="61" t="s">
        <v>1049</v>
      </c>
    </row>
    <row r="156" customFormat="false" ht="15" hidden="false" customHeight="false" outlineLevel="0" collapsed="false">
      <c r="A156" s="61" t="s">
        <v>131</v>
      </c>
      <c r="B156" s="61" t="s">
        <v>205</v>
      </c>
      <c r="C156" s="61" t="s">
        <v>1102</v>
      </c>
      <c r="D156" s="61" t="s">
        <v>1227</v>
      </c>
      <c r="E156" s="62" t="n">
        <v>1</v>
      </c>
      <c r="F156" s="61"/>
      <c r="G156" s="62" t="n">
        <v>1021985000</v>
      </c>
      <c r="H156" s="62" t="n">
        <v>120</v>
      </c>
      <c r="I156" s="63" t="n">
        <v>46294</v>
      </c>
      <c r="J156" s="62" t="n">
        <v>120</v>
      </c>
      <c r="K156" s="61" t="s">
        <v>12</v>
      </c>
      <c r="L156" s="61" t="s">
        <v>1067</v>
      </c>
      <c r="M156" s="61"/>
      <c r="N156" s="61" t="s">
        <v>246</v>
      </c>
      <c r="O156" s="60" t="n">
        <v>46651</v>
      </c>
      <c r="P156" s="61" t="s">
        <v>1049</v>
      </c>
    </row>
    <row r="157" customFormat="false" ht="15" hidden="false" customHeight="false" outlineLevel="0" collapsed="false">
      <c r="A157" s="61" t="s">
        <v>61</v>
      </c>
      <c r="B157" s="61" t="s">
        <v>107</v>
      </c>
      <c r="C157" s="61" t="s">
        <v>1102</v>
      </c>
      <c r="D157" s="61" t="s">
        <v>1228</v>
      </c>
      <c r="E157" s="62" t="n">
        <v>1</v>
      </c>
      <c r="F157" s="61"/>
      <c r="G157" s="62" t="n">
        <v>1021985000</v>
      </c>
      <c r="H157" s="62" t="n">
        <v>240</v>
      </c>
      <c r="I157" s="63" t="n">
        <v>46294</v>
      </c>
      <c r="J157" s="62" t="n">
        <v>240</v>
      </c>
      <c r="K157" s="61" t="s">
        <v>4</v>
      </c>
      <c r="L157" s="61" t="s">
        <v>1067</v>
      </c>
      <c r="M157" s="61"/>
      <c r="N157" s="61" t="s">
        <v>246</v>
      </c>
      <c r="O157" s="60" t="n">
        <v>46437</v>
      </c>
      <c r="P157" s="61" t="s">
        <v>1049</v>
      </c>
    </row>
    <row r="158" customFormat="false" ht="15" hidden="false" customHeight="false" outlineLevel="0" collapsed="false">
      <c r="A158" s="61" t="s">
        <v>106</v>
      </c>
      <c r="B158" s="61" t="s">
        <v>183</v>
      </c>
      <c r="C158" s="61" t="s">
        <v>1102</v>
      </c>
      <c r="D158" s="61" t="s">
        <v>1229</v>
      </c>
      <c r="E158" s="62" t="n">
        <v>1</v>
      </c>
      <c r="F158" s="61"/>
      <c r="G158" s="62" t="n">
        <v>1021969000</v>
      </c>
      <c r="H158" s="62" t="n">
        <v>480</v>
      </c>
      <c r="I158" s="63" t="n">
        <v>46291</v>
      </c>
      <c r="J158" s="62" t="n">
        <v>480</v>
      </c>
      <c r="K158" s="61" t="s">
        <v>4</v>
      </c>
      <c r="L158" s="61" t="s">
        <v>1063</v>
      </c>
      <c r="M158" s="61"/>
      <c r="N158" s="61" t="s">
        <v>246</v>
      </c>
      <c r="O158" s="60" t="n">
        <v>46703</v>
      </c>
      <c r="P158" s="61" t="s">
        <v>1049</v>
      </c>
    </row>
    <row r="159" customFormat="false" ht="15" hidden="false" customHeight="false" outlineLevel="0" collapsed="false">
      <c r="A159" s="61" t="s">
        <v>41</v>
      </c>
      <c r="B159" s="61" t="s">
        <v>62</v>
      </c>
      <c r="C159" s="61" t="s">
        <v>1102</v>
      </c>
      <c r="D159" s="61" t="s">
        <v>1230</v>
      </c>
      <c r="E159" s="62" t="n">
        <v>1</v>
      </c>
      <c r="F159" s="61"/>
      <c r="G159" s="62" t="n">
        <v>1021425000</v>
      </c>
      <c r="H159" s="62" t="n">
        <v>313.6</v>
      </c>
      <c r="I159" s="63" t="n">
        <v>46170</v>
      </c>
      <c r="J159" s="62" t="n">
        <v>313.6</v>
      </c>
      <c r="K159" s="61" t="s">
        <v>4</v>
      </c>
      <c r="L159" s="61" t="s">
        <v>1176</v>
      </c>
      <c r="M159" s="61"/>
      <c r="N159" s="61" t="s">
        <v>246</v>
      </c>
      <c r="O159" s="60" t="n">
        <v>46416</v>
      </c>
      <c r="P159" s="61" t="s">
        <v>1049</v>
      </c>
    </row>
    <row r="160" customFormat="false" ht="15" hidden="false" customHeight="false" outlineLevel="0" collapsed="false">
      <c r="A160" s="61" t="s">
        <v>131</v>
      </c>
      <c r="B160" s="61" t="s">
        <v>206</v>
      </c>
      <c r="C160" s="61" t="s">
        <v>1102</v>
      </c>
      <c r="D160" s="61" t="s">
        <v>1231</v>
      </c>
      <c r="E160" s="62" t="n">
        <v>1</v>
      </c>
      <c r="F160" s="61"/>
      <c r="G160" s="62" t="n">
        <v>1021985000</v>
      </c>
      <c r="H160" s="62" t="n">
        <v>120</v>
      </c>
      <c r="I160" s="63" t="n">
        <v>46294</v>
      </c>
      <c r="J160" s="62" t="n">
        <v>120</v>
      </c>
      <c r="K160" s="61" t="s">
        <v>12</v>
      </c>
      <c r="L160" s="61" t="s">
        <v>1067</v>
      </c>
      <c r="M160" s="61"/>
      <c r="N160" s="61" t="s">
        <v>246</v>
      </c>
      <c r="O160" s="60" t="n">
        <v>46655</v>
      </c>
      <c r="P160" s="61" t="s">
        <v>1049</v>
      </c>
    </row>
    <row r="161" customFormat="false" ht="15" hidden="false" customHeight="false" outlineLevel="0" collapsed="false">
      <c r="A161" s="61" t="s">
        <v>131</v>
      </c>
      <c r="B161" s="61" t="s">
        <v>206</v>
      </c>
      <c r="C161" s="61" t="s">
        <v>1102</v>
      </c>
      <c r="D161" s="61" t="s">
        <v>1232</v>
      </c>
      <c r="E161" s="62" t="n">
        <v>1</v>
      </c>
      <c r="F161" s="61"/>
      <c r="G161" s="62" t="n">
        <v>1021985000</v>
      </c>
      <c r="H161" s="62" t="n">
        <v>120</v>
      </c>
      <c r="I161" s="63" t="n">
        <v>46294</v>
      </c>
      <c r="J161" s="62" t="n">
        <v>120</v>
      </c>
      <c r="K161" s="61" t="s">
        <v>12</v>
      </c>
      <c r="L161" s="61" t="s">
        <v>1067</v>
      </c>
      <c r="M161" s="61"/>
      <c r="N161" s="61" t="s">
        <v>246</v>
      </c>
      <c r="O161" s="60" t="n">
        <v>46655</v>
      </c>
      <c r="P161" s="61" t="s">
        <v>1049</v>
      </c>
    </row>
    <row r="162" customFormat="false" ht="15" hidden="false" customHeight="false" outlineLevel="0" collapsed="false">
      <c r="A162" s="61" t="s">
        <v>131</v>
      </c>
      <c r="B162" s="61" t="s">
        <v>206</v>
      </c>
      <c r="C162" s="61" t="s">
        <v>1102</v>
      </c>
      <c r="D162" s="61" t="s">
        <v>1233</v>
      </c>
      <c r="E162" s="62" t="n">
        <v>1</v>
      </c>
      <c r="F162" s="61"/>
      <c r="G162" s="62" t="n">
        <v>1021969000</v>
      </c>
      <c r="H162" s="62" t="n">
        <v>119.75</v>
      </c>
      <c r="I162" s="63" t="n">
        <v>46291</v>
      </c>
      <c r="J162" s="62" t="n">
        <v>119.75</v>
      </c>
      <c r="K162" s="61" t="s">
        <v>12</v>
      </c>
      <c r="L162" s="61" t="s">
        <v>1063</v>
      </c>
      <c r="M162" s="61"/>
      <c r="N162" s="61" t="s">
        <v>246</v>
      </c>
      <c r="O162" s="60" t="n">
        <v>46655</v>
      </c>
      <c r="P162" s="61" t="s">
        <v>1049</v>
      </c>
    </row>
    <row r="163" customFormat="false" ht="15" hidden="false" customHeight="false" outlineLevel="0" collapsed="false">
      <c r="A163" s="61" t="s">
        <v>81</v>
      </c>
      <c r="B163" s="61" t="s">
        <v>145</v>
      </c>
      <c r="C163" s="61" t="s">
        <v>1102</v>
      </c>
      <c r="D163" s="61" t="s">
        <v>1234</v>
      </c>
      <c r="E163" s="62" t="n">
        <v>1</v>
      </c>
      <c r="F163" s="61"/>
      <c r="G163" s="62" t="n">
        <v>1021969000</v>
      </c>
      <c r="H163" s="62" t="n">
        <v>180</v>
      </c>
      <c r="I163" s="63" t="n">
        <v>46291</v>
      </c>
      <c r="J163" s="62" t="n">
        <v>180</v>
      </c>
      <c r="K163" s="61" t="s">
        <v>4</v>
      </c>
      <c r="L163" s="61" t="s">
        <v>1063</v>
      </c>
      <c r="M163" s="61"/>
      <c r="N163" s="61" t="s">
        <v>246</v>
      </c>
      <c r="O163" s="60" t="n">
        <v>46394</v>
      </c>
      <c r="P163" s="61" t="s">
        <v>1049</v>
      </c>
    </row>
    <row r="164" customFormat="false" ht="15" hidden="false" customHeight="false" outlineLevel="0" collapsed="false">
      <c r="A164" s="61" t="s">
        <v>55</v>
      </c>
      <c r="B164" s="61" t="s">
        <v>89</v>
      </c>
      <c r="C164" s="61" t="s">
        <v>1102</v>
      </c>
      <c r="D164" s="61" t="s">
        <v>1235</v>
      </c>
      <c r="E164" s="62" t="n">
        <v>1</v>
      </c>
      <c r="F164" s="61"/>
      <c r="G164" s="62" t="n">
        <v>1021963000</v>
      </c>
      <c r="H164" s="62" t="n">
        <v>432</v>
      </c>
      <c r="I164" s="63" t="n">
        <v>46288</v>
      </c>
      <c r="J164" s="62" t="n">
        <v>432</v>
      </c>
      <c r="K164" s="61" t="s">
        <v>4</v>
      </c>
      <c r="L164" s="61" t="s">
        <v>1073</v>
      </c>
      <c r="M164" s="61"/>
      <c r="N164" s="61" t="s">
        <v>246</v>
      </c>
      <c r="O164" s="60" t="n">
        <v>46668</v>
      </c>
      <c r="P164" s="61" t="s">
        <v>1049</v>
      </c>
    </row>
    <row r="165" customFormat="false" ht="15" hidden="false" customHeight="false" outlineLevel="0" collapsed="false">
      <c r="A165" s="61" t="s">
        <v>27</v>
      </c>
      <c r="B165" s="61" t="s">
        <v>30</v>
      </c>
      <c r="C165" s="61" t="s">
        <v>1102</v>
      </c>
      <c r="D165" s="61" t="s">
        <v>1236</v>
      </c>
      <c r="E165" s="62" t="n">
        <v>1</v>
      </c>
      <c r="F165" s="61"/>
      <c r="G165" s="62" t="n">
        <v>1021725000</v>
      </c>
      <c r="H165" s="62" t="n">
        <v>20.1</v>
      </c>
      <c r="I165" s="63" t="n">
        <v>46261</v>
      </c>
      <c r="J165" s="62" t="n">
        <v>20.1</v>
      </c>
      <c r="K165" s="61" t="s">
        <v>4</v>
      </c>
      <c r="L165" s="61" t="s">
        <v>1237</v>
      </c>
      <c r="M165" s="61"/>
      <c r="N165" s="61" t="s">
        <v>246</v>
      </c>
      <c r="O165" s="60" t="n">
        <v>46475</v>
      </c>
      <c r="P165" s="61" t="s">
        <v>1049</v>
      </c>
    </row>
    <row r="166" customFormat="false" ht="15" hidden="false" customHeight="false" outlineLevel="0" collapsed="false">
      <c r="A166" s="61" t="s">
        <v>2</v>
      </c>
      <c r="B166" s="61" t="s">
        <v>3</v>
      </c>
      <c r="C166" s="61" t="s">
        <v>1102</v>
      </c>
      <c r="D166" s="61" t="s">
        <v>1238</v>
      </c>
      <c r="E166" s="62" t="n">
        <v>1</v>
      </c>
      <c r="F166" s="61"/>
      <c r="G166" s="62" t="n">
        <v>1021970000</v>
      </c>
      <c r="H166" s="62" t="n">
        <v>600</v>
      </c>
      <c r="I166" s="63" t="n">
        <v>46289</v>
      </c>
      <c r="J166" s="62" t="n">
        <v>600</v>
      </c>
      <c r="K166" s="61" t="s">
        <v>4</v>
      </c>
      <c r="L166" s="61" t="s">
        <v>1078</v>
      </c>
      <c r="M166" s="61"/>
      <c r="N166" s="61" t="s">
        <v>246</v>
      </c>
      <c r="O166" s="60" t="n">
        <v>46484</v>
      </c>
      <c r="P166" s="61" t="s">
        <v>1049</v>
      </c>
    </row>
    <row r="167" customFormat="false" ht="15" hidden="false" customHeight="false" outlineLevel="0" collapsed="false">
      <c r="A167" s="61" t="s">
        <v>7</v>
      </c>
      <c r="B167" s="61" t="s">
        <v>8</v>
      </c>
      <c r="C167" s="61" t="s">
        <v>1102</v>
      </c>
      <c r="D167" s="61" t="s">
        <v>1239</v>
      </c>
      <c r="E167" s="62" t="n">
        <v>1</v>
      </c>
      <c r="F167" s="61"/>
      <c r="G167" s="62" t="n">
        <v>1021963000</v>
      </c>
      <c r="H167" s="62" t="n">
        <v>201</v>
      </c>
      <c r="I167" s="63" t="n">
        <v>46291</v>
      </c>
      <c r="J167" s="62" t="n">
        <v>201</v>
      </c>
      <c r="K167" s="61" t="s">
        <v>4</v>
      </c>
      <c r="L167" s="61" t="s">
        <v>1073</v>
      </c>
      <c r="M167" s="61"/>
      <c r="N167" s="61" t="s">
        <v>246</v>
      </c>
      <c r="O167" s="60" t="n">
        <v>46759</v>
      </c>
      <c r="P167" s="61" t="s">
        <v>1049</v>
      </c>
    </row>
    <row r="168" customFormat="false" ht="15" hidden="false" customHeight="false" outlineLevel="0" collapsed="false">
      <c r="A168" s="61" t="s">
        <v>110</v>
      </c>
      <c r="B168" s="61" t="s">
        <v>177</v>
      </c>
      <c r="C168" s="61" t="s">
        <v>1102</v>
      </c>
      <c r="D168" s="61" t="s">
        <v>1240</v>
      </c>
      <c r="E168" s="62" t="n">
        <v>1</v>
      </c>
      <c r="F168" s="61"/>
      <c r="G168" s="62" t="n">
        <v>1021970000</v>
      </c>
      <c r="H168" s="62" t="n">
        <v>603</v>
      </c>
      <c r="I168" s="63" t="n">
        <v>46289</v>
      </c>
      <c r="J168" s="62" t="n">
        <v>603</v>
      </c>
      <c r="K168" s="61" t="s">
        <v>4</v>
      </c>
      <c r="L168" s="61" t="s">
        <v>1078</v>
      </c>
      <c r="M168" s="61"/>
      <c r="N168" s="61" t="s">
        <v>246</v>
      </c>
      <c r="O168" s="60" t="n">
        <v>46468</v>
      </c>
      <c r="P168" s="61" t="s">
        <v>1049</v>
      </c>
    </row>
    <row r="169" customFormat="false" ht="15" hidden="false" customHeight="false" outlineLevel="0" collapsed="false">
      <c r="A169" s="61" t="s">
        <v>110</v>
      </c>
      <c r="B169" s="61" t="s">
        <v>177</v>
      </c>
      <c r="C169" s="61" t="s">
        <v>1102</v>
      </c>
      <c r="D169" s="61" t="s">
        <v>1241</v>
      </c>
      <c r="E169" s="62" t="n">
        <v>1</v>
      </c>
      <c r="F169" s="61"/>
      <c r="G169" s="62" t="n">
        <v>1021970000</v>
      </c>
      <c r="H169" s="62" t="n">
        <v>603</v>
      </c>
      <c r="I169" s="63" t="n">
        <v>46289</v>
      </c>
      <c r="J169" s="62" t="n">
        <v>603</v>
      </c>
      <c r="K169" s="61" t="s">
        <v>4</v>
      </c>
      <c r="L169" s="61" t="s">
        <v>1078</v>
      </c>
      <c r="M169" s="61"/>
      <c r="N169" s="61" t="s">
        <v>246</v>
      </c>
      <c r="O169" s="60" t="n">
        <v>46468</v>
      </c>
      <c r="P169" s="61" t="s">
        <v>1049</v>
      </c>
    </row>
    <row r="170" customFormat="false" ht="15" hidden="false" customHeight="false" outlineLevel="0" collapsed="false">
      <c r="A170" s="61" t="s">
        <v>20</v>
      </c>
      <c r="B170" s="61" t="s">
        <v>21</v>
      </c>
      <c r="C170" s="61" t="s">
        <v>1102</v>
      </c>
      <c r="D170" s="61" t="s">
        <v>1242</v>
      </c>
      <c r="E170" s="62" t="n">
        <v>1</v>
      </c>
      <c r="F170" s="61"/>
      <c r="G170" s="62" t="n">
        <v>1021963000</v>
      </c>
      <c r="H170" s="62" t="n">
        <v>313.6</v>
      </c>
      <c r="I170" s="63" t="n">
        <v>46288</v>
      </c>
      <c r="J170" s="62" t="n">
        <v>313.6</v>
      </c>
      <c r="K170" s="61" t="s">
        <v>4</v>
      </c>
      <c r="L170" s="61" t="s">
        <v>1073</v>
      </c>
      <c r="M170" s="61"/>
      <c r="N170" s="61" t="s">
        <v>246</v>
      </c>
      <c r="O170" s="60" t="n">
        <v>46708</v>
      </c>
      <c r="P170" s="61" t="s">
        <v>1049</v>
      </c>
    </row>
    <row r="171" customFormat="false" ht="15" hidden="false" customHeight="false" outlineLevel="0" collapsed="false">
      <c r="A171" s="61" t="s">
        <v>2</v>
      </c>
      <c r="B171" s="61" t="s">
        <v>3</v>
      </c>
      <c r="C171" s="61" t="s">
        <v>1102</v>
      </c>
      <c r="D171" s="61" t="s">
        <v>1243</v>
      </c>
      <c r="E171" s="62" t="n">
        <v>1</v>
      </c>
      <c r="F171" s="61"/>
      <c r="G171" s="62" t="n">
        <v>1021970000</v>
      </c>
      <c r="H171" s="62" t="n">
        <v>600</v>
      </c>
      <c r="I171" s="63" t="n">
        <v>46289</v>
      </c>
      <c r="J171" s="62" t="n">
        <v>600</v>
      </c>
      <c r="K171" s="61" t="s">
        <v>4</v>
      </c>
      <c r="L171" s="61" t="s">
        <v>1078</v>
      </c>
      <c r="M171" s="61"/>
      <c r="N171" s="61" t="s">
        <v>246</v>
      </c>
      <c r="O171" s="60" t="n">
        <v>46484</v>
      </c>
      <c r="P171" s="61" t="s">
        <v>1049</v>
      </c>
    </row>
    <row r="172" customFormat="false" ht="15" hidden="false" customHeight="false" outlineLevel="0" collapsed="false">
      <c r="A172" s="61" t="s">
        <v>81</v>
      </c>
      <c r="B172" s="61" t="s">
        <v>145</v>
      </c>
      <c r="C172" s="61" t="s">
        <v>1102</v>
      </c>
      <c r="D172" s="61" t="s">
        <v>1244</v>
      </c>
      <c r="E172" s="62" t="n">
        <v>1</v>
      </c>
      <c r="F172" s="61"/>
      <c r="G172" s="62" t="n">
        <v>1021771000</v>
      </c>
      <c r="H172" s="62" t="n">
        <v>384</v>
      </c>
      <c r="I172" s="63" t="n">
        <v>46240</v>
      </c>
      <c r="J172" s="62" t="n">
        <v>384</v>
      </c>
      <c r="K172" s="61" t="s">
        <v>4</v>
      </c>
      <c r="L172" s="61" t="s">
        <v>1099</v>
      </c>
      <c r="M172" s="61"/>
      <c r="N172" s="61" t="s">
        <v>246</v>
      </c>
      <c r="O172" s="60" t="n">
        <v>46394</v>
      </c>
      <c r="P172" s="61" t="s">
        <v>1049</v>
      </c>
    </row>
    <row r="173" customFormat="false" ht="15" hidden="false" customHeight="false" outlineLevel="0" collapsed="false">
      <c r="A173" s="61" t="s">
        <v>29</v>
      </c>
      <c r="B173" s="61" t="s">
        <v>34</v>
      </c>
      <c r="C173" s="61" t="s">
        <v>1102</v>
      </c>
      <c r="D173" s="61" t="s">
        <v>1245</v>
      </c>
      <c r="E173" s="62" t="n">
        <v>1</v>
      </c>
      <c r="F173" s="61"/>
      <c r="G173" s="62" t="n">
        <v>1021425000</v>
      </c>
      <c r="H173" s="62" t="n">
        <v>313.6</v>
      </c>
      <c r="I173" s="63" t="n">
        <v>46183</v>
      </c>
      <c r="J173" s="62" t="n">
        <v>313.6</v>
      </c>
      <c r="K173" s="61" t="s">
        <v>4</v>
      </c>
      <c r="L173" s="61" t="s">
        <v>1139</v>
      </c>
      <c r="M173" s="61"/>
      <c r="N173" s="61" t="s">
        <v>246</v>
      </c>
      <c r="O173" s="60" t="n">
        <v>46551</v>
      </c>
      <c r="P173" s="61" t="s">
        <v>1049</v>
      </c>
    </row>
    <row r="174" customFormat="false" ht="15" hidden="false" customHeight="false" outlineLevel="0" collapsed="false">
      <c r="A174" s="61" t="s">
        <v>41</v>
      </c>
      <c r="B174" s="61" t="s">
        <v>62</v>
      </c>
      <c r="C174" s="61" t="s">
        <v>1102</v>
      </c>
      <c r="D174" s="61" t="s">
        <v>1246</v>
      </c>
      <c r="E174" s="62" t="n">
        <v>1</v>
      </c>
      <c r="F174" s="61"/>
      <c r="G174" s="62" t="n">
        <v>1021425000</v>
      </c>
      <c r="H174" s="62" t="n">
        <v>271.6</v>
      </c>
      <c r="I174" s="63" t="n">
        <v>46295</v>
      </c>
      <c r="J174" s="62" t="n">
        <v>271.6</v>
      </c>
      <c r="K174" s="61" t="s">
        <v>4</v>
      </c>
      <c r="L174" s="61" t="s">
        <v>1247</v>
      </c>
      <c r="M174" s="61"/>
      <c r="N174" s="61" t="s">
        <v>246</v>
      </c>
      <c r="O174" s="60" t="n">
        <v>46416</v>
      </c>
      <c r="P174" s="61" t="s">
        <v>1049</v>
      </c>
    </row>
    <row r="175" customFormat="false" ht="15" hidden="false" customHeight="false" outlineLevel="0" collapsed="false">
      <c r="A175" s="61" t="s">
        <v>61</v>
      </c>
      <c r="B175" s="61" t="s">
        <v>107</v>
      </c>
      <c r="C175" s="61" t="s">
        <v>1102</v>
      </c>
      <c r="D175" s="61" t="s">
        <v>1248</v>
      </c>
      <c r="E175" s="62" t="n">
        <v>1</v>
      </c>
      <c r="F175" s="61"/>
      <c r="G175" s="62" t="n">
        <v>1020120000</v>
      </c>
      <c r="H175" s="62" t="n">
        <v>384</v>
      </c>
      <c r="I175" s="63" t="n">
        <v>45881</v>
      </c>
      <c r="J175" s="62" t="n">
        <v>384</v>
      </c>
      <c r="K175" s="61" t="s">
        <v>4</v>
      </c>
      <c r="L175" s="61" t="s">
        <v>1131</v>
      </c>
      <c r="M175" s="61"/>
      <c r="N175" s="61" t="s">
        <v>246</v>
      </c>
      <c r="O175" s="60" t="n">
        <v>46437</v>
      </c>
      <c r="P175" s="61" t="s">
        <v>1049</v>
      </c>
    </row>
    <row r="176" customFormat="false" ht="15" hidden="false" customHeight="false" outlineLevel="0" collapsed="false">
      <c r="A176" s="61" t="s">
        <v>41</v>
      </c>
      <c r="B176" s="61" t="s">
        <v>62</v>
      </c>
      <c r="C176" s="61" t="s">
        <v>1102</v>
      </c>
      <c r="D176" s="61" t="s">
        <v>1249</v>
      </c>
      <c r="E176" s="62" t="n">
        <v>1</v>
      </c>
      <c r="F176" s="61"/>
      <c r="G176" s="62" t="n">
        <v>1021425000</v>
      </c>
      <c r="H176" s="62" t="n">
        <v>313.6</v>
      </c>
      <c r="I176" s="63" t="n">
        <v>46165</v>
      </c>
      <c r="J176" s="62" t="n">
        <v>313.6</v>
      </c>
      <c r="K176" s="61" t="s">
        <v>4</v>
      </c>
      <c r="L176" s="61" t="s">
        <v>1247</v>
      </c>
      <c r="M176" s="61"/>
      <c r="N176" s="61" t="s">
        <v>246</v>
      </c>
      <c r="O176" s="60" t="n">
        <v>46416</v>
      </c>
      <c r="P176" s="61" t="s">
        <v>1049</v>
      </c>
    </row>
    <row r="177" customFormat="false" ht="15" hidden="false" customHeight="false" outlineLevel="0" collapsed="false">
      <c r="A177" s="61" t="s">
        <v>29</v>
      </c>
      <c r="B177" s="61" t="s">
        <v>34</v>
      </c>
      <c r="C177" s="61" t="s">
        <v>1102</v>
      </c>
      <c r="D177" s="61" t="s">
        <v>1250</v>
      </c>
      <c r="E177" s="62" t="n">
        <v>1</v>
      </c>
      <c r="F177" s="61"/>
      <c r="G177" s="62" t="n">
        <v>1021425000</v>
      </c>
      <c r="H177" s="62" t="n">
        <v>313.6</v>
      </c>
      <c r="I177" s="63" t="n">
        <v>46183</v>
      </c>
      <c r="J177" s="62" t="n">
        <v>313.6</v>
      </c>
      <c r="K177" s="61" t="s">
        <v>4</v>
      </c>
      <c r="L177" s="61" t="s">
        <v>1139</v>
      </c>
      <c r="M177" s="61"/>
      <c r="N177" s="61" t="s">
        <v>246</v>
      </c>
      <c r="O177" s="60" t="n">
        <v>46551</v>
      </c>
      <c r="P177" s="61" t="s">
        <v>1049</v>
      </c>
    </row>
    <row r="178" customFormat="false" ht="15" hidden="false" customHeight="false" outlineLevel="0" collapsed="false">
      <c r="A178" s="61" t="s">
        <v>27</v>
      </c>
      <c r="B178" s="61" t="s">
        <v>30</v>
      </c>
      <c r="C178" s="61" t="s">
        <v>1251</v>
      </c>
      <c r="D178" s="61" t="s">
        <v>1252</v>
      </c>
      <c r="E178" s="62" t="n">
        <v>3</v>
      </c>
      <c r="F178" s="61" t="s">
        <v>1091</v>
      </c>
      <c r="G178" s="61"/>
      <c r="H178" s="62" t="n">
        <v>20.1</v>
      </c>
      <c r="I178" s="63" t="n">
        <v>46244</v>
      </c>
      <c r="J178" s="62" t="n">
        <v>20.1</v>
      </c>
      <c r="K178" s="61" t="s">
        <v>4</v>
      </c>
      <c r="L178" s="61" t="s">
        <v>1253</v>
      </c>
      <c r="M178" s="61"/>
      <c r="N178" s="61" t="s">
        <v>246</v>
      </c>
      <c r="O178" s="60" t="n">
        <v>46475</v>
      </c>
      <c r="P178" s="61" t="s">
        <v>1049</v>
      </c>
    </row>
    <row r="179" customFormat="false" ht="15" hidden="false" customHeight="false" outlineLevel="0" collapsed="false">
      <c r="A179" s="61" t="s">
        <v>61</v>
      </c>
      <c r="B179" s="61" t="s">
        <v>107</v>
      </c>
      <c r="C179" s="61" t="s">
        <v>1251</v>
      </c>
      <c r="D179" s="61" t="s">
        <v>1254</v>
      </c>
      <c r="E179" s="62" t="n">
        <v>3</v>
      </c>
      <c r="F179" s="61"/>
      <c r="G179" s="61"/>
      <c r="H179" s="62" t="n">
        <v>30</v>
      </c>
      <c r="I179" s="63" t="n">
        <v>46269</v>
      </c>
      <c r="J179" s="62" t="n">
        <v>30</v>
      </c>
      <c r="K179" s="61" t="s">
        <v>4</v>
      </c>
      <c r="L179" s="61" t="s">
        <v>1255</v>
      </c>
      <c r="M179" s="61"/>
      <c r="N179" s="61" t="s">
        <v>246</v>
      </c>
      <c r="O179" s="60" t="n">
        <v>46437</v>
      </c>
      <c r="P179" s="61" t="s">
        <v>1049</v>
      </c>
    </row>
    <row r="180" customFormat="false" ht="15" hidden="false" customHeight="false" outlineLevel="0" collapsed="false">
      <c r="A180" s="61" t="s">
        <v>61</v>
      </c>
      <c r="B180" s="61" t="s">
        <v>107</v>
      </c>
      <c r="C180" s="61" t="s">
        <v>1251</v>
      </c>
      <c r="D180" s="61" t="s">
        <v>1256</v>
      </c>
      <c r="E180" s="62" t="n">
        <v>4</v>
      </c>
      <c r="F180" s="61"/>
      <c r="G180" s="61"/>
      <c r="H180" s="62" t="n">
        <v>6</v>
      </c>
      <c r="I180" s="63" t="n">
        <v>46272</v>
      </c>
      <c r="J180" s="62" t="n">
        <v>6</v>
      </c>
      <c r="K180" s="61" t="s">
        <v>4</v>
      </c>
      <c r="L180" s="61" t="s">
        <v>1257</v>
      </c>
      <c r="M180" s="61"/>
      <c r="N180" s="61" t="s">
        <v>246</v>
      </c>
      <c r="O180" s="60" t="n">
        <v>46437</v>
      </c>
      <c r="P180" s="61" t="s">
        <v>1049</v>
      </c>
    </row>
    <row r="181" customFormat="false" ht="15" hidden="false" customHeight="false" outlineLevel="0" collapsed="false">
      <c r="A181" s="61" t="s">
        <v>106</v>
      </c>
      <c r="B181" s="61" t="s">
        <v>183</v>
      </c>
      <c r="C181" s="61" t="s">
        <v>1251</v>
      </c>
      <c r="D181" s="61" t="s">
        <v>1258</v>
      </c>
      <c r="E181" s="62" t="n">
        <v>1</v>
      </c>
      <c r="F181" s="61"/>
      <c r="G181" s="61"/>
      <c r="H181" s="62" t="n">
        <v>260</v>
      </c>
      <c r="I181" s="63" t="n">
        <v>46295</v>
      </c>
      <c r="J181" s="62" t="n">
        <v>260</v>
      </c>
      <c r="K181" s="61" t="s">
        <v>4</v>
      </c>
      <c r="L181" s="61" t="s">
        <v>1086</v>
      </c>
      <c r="M181" s="61"/>
      <c r="N181" s="61" t="s">
        <v>246</v>
      </c>
      <c r="O181" s="60" t="n">
        <v>46703</v>
      </c>
      <c r="P181" s="61" t="s">
        <v>1049</v>
      </c>
    </row>
    <row r="182" customFormat="false" ht="15" hidden="false" customHeight="false" outlineLevel="0" collapsed="false">
      <c r="A182" s="61" t="s">
        <v>110</v>
      </c>
      <c r="B182" s="61" t="s">
        <v>177</v>
      </c>
      <c r="C182" s="61" t="s">
        <v>1251</v>
      </c>
      <c r="D182" s="61" t="s">
        <v>1259</v>
      </c>
      <c r="E182" s="62" t="n">
        <v>1</v>
      </c>
      <c r="F182" s="61"/>
      <c r="G182" s="61"/>
      <c r="H182" s="62" t="n">
        <v>603</v>
      </c>
      <c r="I182" s="63" t="n">
        <v>46291</v>
      </c>
      <c r="J182" s="62" t="n">
        <v>603</v>
      </c>
      <c r="K182" s="61" t="s">
        <v>4</v>
      </c>
      <c r="L182" s="61" t="s">
        <v>1063</v>
      </c>
      <c r="M182" s="61"/>
      <c r="N182" s="61" t="s">
        <v>246</v>
      </c>
      <c r="O182" s="60" t="n">
        <v>46468</v>
      </c>
      <c r="P182" s="61" t="s">
        <v>1049</v>
      </c>
    </row>
    <row r="183" customFormat="false" ht="15" hidden="false" customHeight="false" outlineLevel="0" collapsed="false">
      <c r="A183" s="61" t="s">
        <v>29</v>
      </c>
      <c r="B183" s="61" t="s">
        <v>34</v>
      </c>
      <c r="C183" s="61" t="s">
        <v>1251</v>
      </c>
      <c r="D183" s="61" t="s">
        <v>1260</v>
      </c>
      <c r="E183" s="62" t="n">
        <v>1</v>
      </c>
      <c r="F183" s="61"/>
      <c r="G183" s="61"/>
      <c r="H183" s="62" t="n">
        <v>2.8</v>
      </c>
      <c r="I183" s="63" t="n">
        <v>46291</v>
      </c>
      <c r="J183" s="62" t="n">
        <v>2.8</v>
      </c>
      <c r="K183" s="61" t="s">
        <v>4</v>
      </c>
      <c r="L183" s="61" t="s">
        <v>1063</v>
      </c>
      <c r="M183" s="61"/>
      <c r="N183" s="61" t="s">
        <v>246</v>
      </c>
      <c r="O183" s="60" t="n">
        <v>46551</v>
      </c>
      <c r="P183" s="61" t="s">
        <v>1049</v>
      </c>
    </row>
    <row r="184" customFormat="false" ht="15" hidden="false" customHeight="false" outlineLevel="0" collapsed="false">
      <c r="A184" s="61" t="s">
        <v>35</v>
      </c>
      <c r="B184" s="61" t="s">
        <v>60</v>
      </c>
      <c r="C184" s="61" t="s">
        <v>1251</v>
      </c>
      <c r="D184" s="61" t="s">
        <v>1261</v>
      </c>
      <c r="E184" s="62" t="n">
        <v>1</v>
      </c>
      <c r="F184" s="61"/>
      <c r="G184" s="61"/>
      <c r="H184" s="62" t="n">
        <v>522.6</v>
      </c>
      <c r="I184" s="63" t="n">
        <v>46294</v>
      </c>
      <c r="J184" s="62" t="n">
        <v>522.6</v>
      </c>
      <c r="K184" s="61" t="s">
        <v>4</v>
      </c>
      <c r="L184" s="61" t="s">
        <v>1063</v>
      </c>
      <c r="M184" s="61"/>
      <c r="N184" s="61" t="s">
        <v>246</v>
      </c>
      <c r="O184" s="60" t="n">
        <v>46498</v>
      </c>
      <c r="P184" s="61" t="s">
        <v>1049</v>
      </c>
    </row>
    <row r="185" customFormat="false" ht="15" hidden="false" customHeight="false" outlineLevel="0" collapsed="false">
      <c r="A185" s="61" t="s">
        <v>110</v>
      </c>
      <c r="B185" s="61" t="s">
        <v>162</v>
      </c>
      <c r="C185" s="61" t="s">
        <v>1251</v>
      </c>
      <c r="D185" s="61" t="s">
        <v>1262</v>
      </c>
      <c r="E185" s="62" t="n">
        <v>1</v>
      </c>
      <c r="F185" s="61"/>
      <c r="G185" s="61"/>
      <c r="H185" s="62" t="n">
        <v>160.8</v>
      </c>
      <c r="I185" s="63" t="n">
        <v>46291</v>
      </c>
      <c r="J185" s="62" t="n">
        <v>160.8</v>
      </c>
      <c r="K185" s="61" t="s">
        <v>4</v>
      </c>
      <c r="L185" s="61" t="s">
        <v>1063</v>
      </c>
      <c r="M185" s="61"/>
      <c r="N185" s="61" t="s">
        <v>246</v>
      </c>
      <c r="O185" s="60" t="n">
        <v>46551</v>
      </c>
      <c r="P185" s="61" t="s">
        <v>1049</v>
      </c>
    </row>
    <row r="186" customFormat="false" ht="15" hidden="false" customHeight="false" outlineLevel="0" collapsed="false">
      <c r="A186" s="61" t="s">
        <v>27</v>
      </c>
      <c r="B186" s="61" t="s">
        <v>32</v>
      </c>
      <c r="C186" s="61" t="s">
        <v>1251</v>
      </c>
      <c r="D186" s="61" t="s">
        <v>1263</v>
      </c>
      <c r="E186" s="62" t="n">
        <v>1</v>
      </c>
      <c r="F186" s="61"/>
      <c r="G186" s="61"/>
      <c r="H186" s="62" t="n">
        <v>20.1</v>
      </c>
      <c r="I186" s="63" t="n">
        <v>46255</v>
      </c>
      <c r="J186" s="62" t="n">
        <v>20.1</v>
      </c>
      <c r="K186" s="61" t="s">
        <v>4</v>
      </c>
      <c r="L186" s="61" t="s">
        <v>1264</v>
      </c>
      <c r="M186" s="61"/>
      <c r="N186" s="61" t="s">
        <v>254</v>
      </c>
      <c r="O186" s="60" t="n">
        <v>46632</v>
      </c>
      <c r="P186" s="61" t="s">
        <v>1049</v>
      </c>
    </row>
    <row r="187" customFormat="false" ht="15" hidden="false" customHeight="false" outlineLevel="0" collapsed="false">
      <c r="A187" s="61" t="s">
        <v>160</v>
      </c>
      <c r="B187" s="61" t="s">
        <v>217</v>
      </c>
      <c r="C187" s="61" t="s">
        <v>1251</v>
      </c>
      <c r="D187" s="61" t="s">
        <v>1265</v>
      </c>
      <c r="E187" s="62" t="n">
        <v>1</v>
      </c>
      <c r="F187" s="61"/>
      <c r="G187" s="61"/>
      <c r="H187" s="62" t="n">
        <v>33.6</v>
      </c>
      <c r="I187" s="63" t="n">
        <v>46293</v>
      </c>
      <c r="J187" s="62" t="n">
        <v>33.6</v>
      </c>
      <c r="K187" s="61" t="s">
        <v>4</v>
      </c>
      <c r="L187" s="61" t="s">
        <v>1067</v>
      </c>
      <c r="M187" s="61"/>
      <c r="N187" s="61" t="s">
        <v>246</v>
      </c>
      <c r="O187" s="60" t="n">
        <v>46245</v>
      </c>
      <c r="P187" s="61" t="s">
        <v>1049</v>
      </c>
    </row>
    <row r="188" customFormat="false" ht="15" hidden="false" customHeight="false" outlineLevel="0" collapsed="false">
      <c r="A188" s="61" t="s">
        <v>29</v>
      </c>
      <c r="B188" s="61" t="s">
        <v>34</v>
      </c>
      <c r="C188" s="61" t="s">
        <v>1251</v>
      </c>
      <c r="D188" s="61" t="s">
        <v>1266</v>
      </c>
      <c r="E188" s="62" t="n">
        <v>1</v>
      </c>
      <c r="F188" s="61"/>
      <c r="G188" s="61"/>
      <c r="H188" s="62" t="n">
        <v>182</v>
      </c>
      <c r="I188" s="63" t="n">
        <v>46295</v>
      </c>
      <c r="J188" s="62" t="n">
        <v>182</v>
      </c>
      <c r="K188" s="61" t="s">
        <v>4</v>
      </c>
      <c r="L188" s="61" t="s">
        <v>1267</v>
      </c>
      <c r="M188" s="61"/>
      <c r="N188" s="61" t="s">
        <v>246</v>
      </c>
      <c r="O188" s="60" t="n">
        <v>46551</v>
      </c>
      <c r="P188" s="61" t="s">
        <v>1049</v>
      </c>
    </row>
    <row r="189" customFormat="false" ht="15" hidden="false" customHeight="false" outlineLevel="0" collapsed="false">
      <c r="A189" s="61" t="s">
        <v>131</v>
      </c>
      <c r="B189" s="61" t="s">
        <v>205</v>
      </c>
      <c r="C189" s="61" t="s">
        <v>1251</v>
      </c>
      <c r="D189" s="61" t="s">
        <v>1268</v>
      </c>
      <c r="E189" s="62" t="n">
        <v>1</v>
      </c>
      <c r="F189" s="61"/>
      <c r="G189" s="61"/>
      <c r="H189" s="62" t="n">
        <v>19</v>
      </c>
      <c r="I189" s="63" t="n">
        <v>46295</v>
      </c>
      <c r="J189" s="62" t="n">
        <v>19</v>
      </c>
      <c r="K189" s="61" t="s">
        <v>12</v>
      </c>
      <c r="L189" s="61" t="s">
        <v>1063</v>
      </c>
      <c r="M189" s="61"/>
      <c r="N189" s="61" t="s">
        <v>246</v>
      </c>
      <c r="O189" s="60" t="n">
        <v>46651</v>
      </c>
      <c r="P189" s="61" t="s">
        <v>1049</v>
      </c>
    </row>
    <row r="190" customFormat="false" ht="15" hidden="false" customHeight="false" outlineLevel="0" collapsed="false">
      <c r="A190" s="61" t="s">
        <v>20</v>
      </c>
      <c r="B190" s="61" t="s">
        <v>21</v>
      </c>
      <c r="C190" s="61" t="s">
        <v>1251</v>
      </c>
      <c r="D190" s="61" t="s">
        <v>1269</v>
      </c>
      <c r="E190" s="62" t="n">
        <v>1</v>
      </c>
      <c r="F190" s="61"/>
      <c r="G190" s="61"/>
      <c r="H190" s="62" t="n">
        <v>8.4</v>
      </c>
      <c r="I190" s="63" t="n">
        <v>46295</v>
      </c>
      <c r="J190" s="62" t="n">
        <v>8.4</v>
      </c>
      <c r="K190" s="61" t="s">
        <v>4</v>
      </c>
      <c r="L190" s="61" t="s">
        <v>1086</v>
      </c>
      <c r="M190" s="61"/>
      <c r="N190" s="61" t="s">
        <v>246</v>
      </c>
      <c r="O190" s="60" t="n">
        <v>46708</v>
      </c>
      <c r="P190" s="61" t="s">
        <v>1049</v>
      </c>
    </row>
    <row r="191" customFormat="false" ht="15" hidden="false" customHeight="false" outlineLevel="0" collapsed="false">
      <c r="A191" s="61" t="s">
        <v>35</v>
      </c>
      <c r="B191" s="61" t="s">
        <v>60</v>
      </c>
      <c r="C191" s="61" t="s">
        <v>1251</v>
      </c>
      <c r="D191" s="61" t="s">
        <v>1270</v>
      </c>
      <c r="E191" s="62" t="n">
        <v>1</v>
      </c>
      <c r="F191" s="61"/>
      <c r="G191" s="61"/>
      <c r="H191" s="62" t="n">
        <v>261.3</v>
      </c>
      <c r="I191" s="63" t="n">
        <v>46292</v>
      </c>
      <c r="J191" s="62" t="n">
        <v>261.3</v>
      </c>
      <c r="K191" s="61" t="s">
        <v>4</v>
      </c>
      <c r="L191" s="61" t="s">
        <v>1211</v>
      </c>
      <c r="M191" s="61"/>
      <c r="N191" s="61" t="s">
        <v>246</v>
      </c>
      <c r="O191" s="60" t="n">
        <v>46498</v>
      </c>
      <c r="P191" s="61" t="s">
        <v>1049</v>
      </c>
    </row>
    <row r="192" customFormat="false" ht="15" hidden="false" customHeight="false" outlineLevel="0" collapsed="false">
      <c r="A192" s="61" t="s">
        <v>104</v>
      </c>
      <c r="B192" s="61" t="s">
        <v>166</v>
      </c>
      <c r="C192" s="61" t="s">
        <v>1251</v>
      </c>
      <c r="D192" s="61" t="s">
        <v>1271</v>
      </c>
      <c r="E192" s="62" t="n">
        <v>1</v>
      </c>
      <c r="F192" s="61"/>
      <c r="G192" s="61"/>
      <c r="H192" s="62" t="n">
        <v>330</v>
      </c>
      <c r="I192" s="63" t="n">
        <v>46294</v>
      </c>
      <c r="J192" s="62" t="n">
        <v>330</v>
      </c>
      <c r="K192" s="61" t="s">
        <v>4</v>
      </c>
      <c r="L192" s="61" t="s">
        <v>1272</v>
      </c>
      <c r="M192" s="61"/>
      <c r="N192" s="61" t="s">
        <v>246</v>
      </c>
      <c r="O192" s="60" t="n">
        <v>46671</v>
      </c>
      <c r="P192" s="61" t="s">
        <v>1049</v>
      </c>
    </row>
    <row r="193" customFormat="false" ht="15" hidden="false" customHeight="false" outlineLevel="0" collapsed="false">
      <c r="A193" s="61" t="s">
        <v>151</v>
      </c>
      <c r="B193" s="61" t="s">
        <v>213</v>
      </c>
      <c r="C193" s="61" t="s">
        <v>1251</v>
      </c>
      <c r="D193" s="61" t="s">
        <v>1273</v>
      </c>
      <c r="E193" s="62" t="n">
        <v>1</v>
      </c>
      <c r="F193" s="61"/>
      <c r="G193" s="61"/>
      <c r="H193" s="62" t="n">
        <v>280</v>
      </c>
      <c r="I193" s="63" t="n">
        <v>46294</v>
      </c>
      <c r="J193" s="62" t="n">
        <v>280</v>
      </c>
      <c r="K193" s="61" t="s">
        <v>4</v>
      </c>
      <c r="L193" s="61" t="s">
        <v>1063</v>
      </c>
      <c r="M193" s="61"/>
      <c r="N193" s="61" t="s">
        <v>246</v>
      </c>
      <c r="O193" s="60" t="n">
        <v>46505</v>
      </c>
      <c r="P193" s="61" t="s">
        <v>1049</v>
      </c>
    </row>
    <row r="194" customFormat="false" ht="15" hidden="false" customHeight="false" outlineLevel="0" collapsed="false">
      <c r="A194" s="61" t="s">
        <v>7</v>
      </c>
      <c r="B194" s="61" t="s">
        <v>8</v>
      </c>
      <c r="C194" s="61" t="s">
        <v>1251</v>
      </c>
      <c r="D194" s="61" t="s">
        <v>1274</v>
      </c>
      <c r="E194" s="62" t="n">
        <v>1</v>
      </c>
      <c r="F194" s="61"/>
      <c r="G194" s="61"/>
      <c r="H194" s="62" t="n">
        <v>140.7</v>
      </c>
      <c r="I194" s="63" t="n">
        <v>46294</v>
      </c>
      <c r="J194" s="62" t="n">
        <v>140.7</v>
      </c>
      <c r="K194" s="61" t="s">
        <v>4</v>
      </c>
      <c r="L194" s="61" t="s">
        <v>1063</v>
      </c>
      <c r="M194" s="61"/>
      <c r="N194" s="61" t="s">
        <v>246</v>
      </c>
      <c r="O194" s="60" t="n">
        <v>46759</v>
      </c>
      <c r="P194" s="61" t="s">
        <v>1049</v>
      </c>
    </row>
    <row r="195" customFormat="false" ht="15" hidden="false" customHeight="false" outlineLevel="0" collapsed="false">
      <c r="A195" s="61" t="s">
        <v>81</v>
      </c>
      <c r="B195" s="61" t="s">
        <v>30</v>
      </c>
      <c r="C195" s="61" t="s">
        <v>1251</v>
      </c>
      <c r="D195" s="61" t="s">
        <v>1275</v>
      </c>
      <c r="E195" s="62" t="n">
        <v>1</v>
      </c>
      <c r="F195" s="61" t="s">
        <v>1091</v>
      </c>
      <c r="G195" s="61"/>
      <c r="H195" s="62" t="n">
        <v>288</v>
      </c>
      <c r="I195" s="63" t="n">
        <v>46292</v>
      </c>
      <c r="J195" s="62" t="n">
        <v>288</v>
      </c>
      <c r="K195" s="61" t="s">
        <v>4</v>
      </c>
      <c r="L195" s="61" t="s">
        <v>1276</v>
      </c>
      <c r="M195" s="61"/>
      <c r="N195" s="61" t="s">
        <v>1277</v>
      </c>
      <c r="O195" s="60" t="n">
        <v>46294</v>
      </c>
      <c r="P195" s="61" t="s">
        <v>1049</v>
      </c>
    </row>
    <row r="196" customFormat="false" ht="15" hidden="false" customHeight="false" outlineLevel="0" collapsed="false">
      <c r="A196" s="61" t="s">
        <v>75</v>
      </c>
      <c r="B196" s="61" t="s">
        <v>143</v>
      </c>
      <c r="C196" s="61" t="s">
        <v>1251</v>
      </c>
      <c r="D196" s="61" t="s">
        <v>1278</v>
      </c>
      <c r="E196" s="62" t="n">
        <v>1</v>
      </c>
      <c r="F196" s="61"/>
      <c r="G196" s="61"/>
      <c r="H196" s="62" t="n">
        <v>76</v>
      </c>
      <c r="I196" s="63" t="n">
        <v>46293</v>
      </c>
      <c r="J196" s="62" t="n">
        <v>76</v>
      </c>
      <c r="K196" s="61" t="s">
        <v>4</v>
      </c>
      <c r="L196" s="61" t="s">
        <v>1279</v>
      </c>
      <c r="M196" s="61"/>
      <c r="N196" s="61" t="s">
        <v>246</v>
      </c>
      <c r="O196" s="60" t="n">
        <v>46641</v>
      </c>
      <c r="P196" s="61" t="s">
        <v>1049</v>
      </c>
    </row>
    <row r="197" customFormat="false" ht="15" hidden="false" customHeight="false" outlineLevel="0" collapsed="false">
      <c r="A197" s="61" t="s">
        <v>53</v>
      </c>
      <c r="B197" s="61" t="s">
        <v>86</v>
      </c>
      <c r="C197" s="61" t="s">
        <v>1251</v>
      </c>
      <c r="D197" s="61" t="s">
        <v>1280</v>
      </c>
      <c r="E197" s="62" t="n">
        <v>1</v>
      </c>
      <c r="F197" s="61"/>
      <c r="G197" s="61"/>
      <c r="H197" s="62" t="n">
        <v>120</v>
      </c>
      <c r="I197" s="63" t="n">
        <v>46295</v>
      </c>
      <c r="J197" s="62" t="n">
        <v>120</v>
      </c>
      <c r="K197" s="61" t="s">
        <v>9</v>
      </c>
      <c r="L197" s="61" t="s">
        <v>1067</v>
      </c>
      <c r="M197" s="61"/>
      <c r="N197" s="61" t="s">
        <v>246</v>
      </c>
      <c r="O197" s="60" t="n">
        <v>46866</v>
      </c>
      <c r="P197" s="61" t="s">
        <v>1049</v>
      </c>
    </row>
    <row r="198" customFormat="false" ht="15" hidden="false" customHeight="false" outlineLevel="0" collapsed="false">
      <c r="A198" s="61" t="s">
        <v>53</v>
      </c>
      <c r="B198" s="61" t="s">
        <v>84</v>
      </c>
      <c r="C198" s="61" t="s">
        <v>1251</v>
      </c>
      <c r="D198" s="61" t="s">
        <v>1281</v>
      </c>
      <c r="E198" s="62" t="n">
        <v>1</v>
      </c>
      <c r="F198" s="61"/>
      <c r="G198" s="61"/>
      <c r="H198" s="62" t="n">
        <v>60</v>
      </c>
      <c r="I198" s="63" t="n">
        <v>46294</v>
      </c>
      <c r="J198" s="62" t="n">
        <v>60</v>
      </c>
      <c r="K198" s="61" t="s">
        <v>9</v>
      </c>
      <c r="L198" s="61" t="s">
        <v>1067</v>
      </c>
      <c r="M198" s="61"/>
      <c r="N198" s="61" t="s">
        <v>246</v>
      </c>
      <c r="O198" s="60" t="n">
        <v>46844</v>
      </c>
      <c r="P198" s="61" t="s">
        <v>1049</v>
      </c>
    </row>
    <row r="199" customFormat="false" ht="15" hidden="false" customHeight="false" outlineLevel="0" collapsed="false">
      <c r="A199" s="61" t="s">
        <v>135</v>
      </c>
      <c r="B199" s="61" t="s">
        <v>203</v>
      </c>
      <c r="C199" s="61" t="s">
        <v>1251</v>
      </c>
      <c r="D199" s="61" t="s">
        <v>1282</v>
      </c>
      <c r="E199" s="62" t="n">
        <v>1</v>
      </c>
      <c r="F199" s="61"/>
      <c r="G199" s="61"/>
      <c r="H199" s="62" t="n">
        <v>800</v>
      </c>
      <c r="I199" s="63" t="n">
        <v>46295</v>
      </c>
      <c r="J199" s="62" t="n">
        <v>800</v>
      </c>
      <c r="K199" s="61" t="s">
        <v>4</v>
      </c>
      <c r="L199" s="61" t="s">
        <v>1067</v>
      </c>
      <c r="M199" s="61"/>
      <c r="N199" s="61" t="s">
        <v>246</v>
      </c>
      <c r="O199" s="60" t="n">
        <v>46390</v>
      </c>
      <c r="P199" s="61" t="s">
        <v>1049</v>
      </c>
    </row>
    <row r="200" customFormat="false" ht="15" hidden="false" customHeight="false" outlineLevel="0" collapsed="false">
      <c r="A200" s="61" t="s">
        <v>31</v>
      </c>
      <c r="B200" s="61" t="s">
        <v>42</v>
      </c>
      <c r="C200" s="61" t="s">
        <v>1251</v>
      </c>
      <c r="D200" s="61" t="s">
        <v>1283</v>
      </c>
      <c r="E200" s="62" t="n">
        <v>1</v>
      </c>
      <c r="F200" s="61"/>
      <c r="G200" s="61"/>
      <c r="H200" s="62" t="n">
        <v>950</v>
      </c>
      <c r="I200" s="63" t="n">
        <v>46294</v>
      </c>
      <c r="J200" s="62" t="n">
        <v>950</v>
      </c>
      <c r="K200" s="61" t="s">
        <v>4</v>
      </c>
      <c r="L200" s="61" t="s">
        <v>1067</v>
      </c>
      <c r="M200" s="61"/>
      <c r="N200" s="61" t="s">
        <v>246</v>
      </c>
      <c r="O200" s="60" t="n">
        <v>46715</v>
      </c>
      <c r="P200" s="61" t="s">
        <v>1049</v>
      </c>
    </row>
    <row r="201" customFormat="false" ht="15" hidden="false" customHeight="false" outlineLevel="0" collapsed="false">
      <c r="A201" s="61" t="s">
        <v>110</v>
      </c>
      <c r="B201" s="61" t="s">
        <v>190</v>
      </c>
      <c r="C201" s="61" t="s">
        <v>1251</v>
      </c>
      <c r="D201" s="61" t="s">
        <v>1284</v>
      </c>
      <c r="E201" s="62" t="n">
        <v>1</v>
      </c>
      <c r="F201" s="61"/>
      <c r="G201" s="61"/>
      <c r="H201" s="62" t="n">
        <v>301.4</v>
      </c>
      <c r="I201" s="63" t="n">
        <v>46294</v>
      </c>
      <c r="J201" s="62" t="n">
        <v>301.4</v>
      </c>
      <c r="K201" s="61" t="s">
        <v>4</v>
      </c>
      <c r="L201" s="61" t="s">
        <v>1063</v>
      </c>
      <c r="M201" s="61"/>
      <c r="N201" s="61" t="s">
        <v>246</v>
      </c>
      <c r="O201" s="60" t="n">
        <v>46441</v>
      </c>
      <c r="P201" s="61" t="s">
        <v>1049</v>
      </c>
    </row>
    <row r="202" customFormat="false" ht="15" hidden="false" customHeight="false" outlineLevel="0" collapsed="false">
      <c r="A202" s="61" t="s">
        <v>33</v>
      </c>
      <c r="B202" s="61" t="s">
        <v>54</v>
      </c>
      <c r="C202" s="61" t="s">
        <v>1251</v>
      </c>
      <c r="D202" s="61" t="s">
        <v>1285</v>
      </c>
      <c r="E202" s="62" t="n">
        <v>1</v>
      </c>
      <c r="F202" s="61"/>
      <c r="G202" s="61"/>
      <c r="H202" s="62" t="n">
        <v>40</v>
      </c>
      <c r="I202" s="63" t="n">
        <v>46294</v>
      </c>
      <c r="J202" s="62" t="n">
        <v>40</v>
      </c>
      <c r="K202" s="61" t="s">
        <v>4</v>
      </c>
      <c r="L202" s="61" t="s">
        <v>1067</v>
      </c>
      <c r="M202" s="61"/>
      <c r="N202" s="61" t="s">
        <v>246</v>
      </c>
      <c r="O202" s="60" t="n">
        <v>46867</v>
      </c>
      <c r="P202" s="61" t="s">
        <v>1049</v>
      </c>
    </row>
    <row r="203" customFormat="false" ht="15" hidden="false" customHeight="false" outlineLevel="0" collapsed="false">
      <c r="A203" s="61" t="s">
        <v>55</v>
      </c>
      <c r="B203" s="61" t="s">
        <v>89</v>
      </c>
      <c r="C203" s="61" t="s">
        <v>1251</v>
      </c>
      <c r="D203" s="61" t="s">
        <v>1286</v>
      </c>
      <c r="E203" s="62" t="n">
        <v>1</v>
      </c>
      <c r="F203" s="61"/>
      <c r="G203" s="61"/>
      <c r="H203" s="62" t="n">
        <v>162</v>
      </c>
      <c r="I203" s="63" t="n">
        <v>46294</v>
      </c>
      <c r="J203" s="62" t="n">
        <v>162</v>
      </c>
      <c r="K203" s="61" t="s">
        <v>4</v>
      </c>
      <c r="L203" s="61" t="s">
        <v>1063</v>
      </c>
      <c r="M203" s="61"/>
      <c r="N203" s="61" t="s">
        <v>246</v>
      </c>
      <c r="O203" s="60" t="n">
        <v>46668</v>
      </c>
      <c r="P203" s="61" t="s">
        <v>1049</v>
      </c>
    </row>
    <row r="204" customFormat="false" ht="15" hidden="false" customHeight="false" outlineLevel="0" collapsed="false">
      <c r="A204" s="61" t="s">
        <v>61</v>
      </c>
      <c r="B204" s="61" t="s">
        <v>107</v>
      </c>
      <c r="C204" s="61" t="s">
        <v>1251</v>
      </c>
      <c r="D204" s="61" t="s">
        <v>1287</v>
      </c>
      <c r="E204" s="62" t="n">
        <v>1</v>
      </c>
      <c r="F204" s="61"/>
      <c r="G204" s="61"/>
      <c r="H204" s="62" t="n">
        <v>294</v>
      </c>
      <c r="I204" s="63" t="n">
        <v>46278</v>
      </c>
      <c r="J204" s="62" t="n">
        <v>294</v>
      </c>
      <c r="K204" s="61" t="s">
        <v>4</v>
      </c>
      <c r="L204" s="61" t="s">
        <v>1288</v>
      </c>
      <c r="M204" s="61"/>
      <c r="N204" s="61" t="s">
        <v>246</v>
      </c>
      <c r="O204" s="60" t="n">
        <v>46437</v>
      </c>
      <c r="P204" s="61" t="s">
        <v>1049</v>
      </c>
    </row>
    <row r="205" customFormat="false" ht="15" hidden="false" customHeight="false" outlineLevel="0" collapsed="false">
      <c r="A205" s="61" t="s">
        <v>53</v>
      </c>
      <c r="B205" s="61" t="s">
        <v>80</v>
      </c>
      <c r="C205" s="61" t="s">
        <v>1251</v>
      </c>
      <c r="D205" s="61" t="s">
        <v>1289</v>
      </c>
      <c r="E205" s="62" t="n">
        <v>1</v>
      </c>
      <c r="F205" s="61"/>
      <c r="G205" s="61"/>
      <c r="H205" s="62" t="n">
        <v>15</v>
      </c>
      <c r="I205" s="63" t="n">
        <v>46294</v>
      </c>
      <c r="J205" s="62" t="n">
        <v>15</v>
      </c>
      <c r="K205" s="61" t="s">
        <v>9</v>
      </c>
      <c r="L205" s="61" t="s">
        <v>1078</v>
      </c>
      <c r="M205" s="61"/>
      <c r="N205" s="61" t="s">
        <v>246</v>
      </c>
      <c r="O205" s="60" t="n">
        <v>46684</v>
      </c>
      <c r="P205" s="61" t="s">
        <v>1049</v>
      </c>
    </row>
    <row r="206" customFormat="false" ht="15" hidden="false" customHeight="false" outlineLevel="0" collapsed="false">
      <c r="A206" s="61" t="s">
        <v>131</v>
      </c>
      <c r="B206" s="61" t="s">
        <v>133</v>
      </c>
      <c r="C206" s="61" t="s">
        <v>1251</v>
      </c>
      <c r="D206" s="61" t="s">
        <v>1290</v>
      </c>
      <c r="E206" s="62" t="n">
        <v>1</v>
      </c>
      <c r="F206" s="61"/>
      <c r="G206" s="61"/>
      <c r="H206" s="62" t="n">
        <v>7</v>
      </c>
      <c r="I206" s="63" t="n">
        <v>46293</v>
      </c>
      <c r="J206" s="62" t="n">
        <v>7</v>
      </c>
      <c r="K206" s="61" t="s">
        <v>12</v>
      </c>
      <c r="L206" s="61" t="s">
        <v>1048</v>
      </c>
      <c r="M206" s="61"/>
      <c r="N206" s="61" t="s">
        <v>246</v>
      </c>
      <c r="O206" s="60" t="n">
        <v>46736</v>
      </c>
      <c r="P206" s="61" t="s">
        <v>1049</v>
      </c>
    </row>
    <row r="207" customFormat="false" ht="15" hidden="false" customHeight="false" outlineLevel="0" collapsed="false">
      <c r="A207" s="61" t="s">
        <v>157</v>
      </c>
      <c r="B207" s="61" t="s">
        <v>194</v>
      </c>
      <c r="C207" s="61" t="s">
        <v>1251</v>
      </c>
      <c r="D207" s="61" t="s">
        <v>1291</v>
      </c>
      <c r="E207" s="62" t="n">
        <v>1</v>
      </c>
      <c r="F207" s="61"/>
      <c r="G207" s="61"/>
      <c r="H207" s="62" t="n">
        <v>100.5</v>
      </c>
      <c r="I207" s="63" t="n">
        <v>46295</v>
      </c>
      <c r="J207" s="62" t="n">
        <v>100.5</v>
      </c>
      <c r="K207" s="61" t="s">
        <v>4</v>
      </c>
      <c r="L207" s="61" t="s">
        <v>1276</v>
      </c>
      <c r="M207" s="61"/>
      <c r="N207" s="61" t="s">
        <v>246</v>
      </c>
      <c r="O207" s="60" t="n">
        <v>46678</v>
      </c>
      <c r="P207" s="61" t="s">
        <v>1049</v>
      </c>
    </row>
    <row r="208" customFormat="false" ht="15" hidden="false" customHeight="false" outlineLevel="0" collapsed="false">
      <c r="A208" s="61" t="s">
        <v>51</v>
      </c>
      <c r="B208" s="61" t="s">
        <v>70</v>
      </c>
      <c r="C208" s="61" t="s">
        <v>1251</v>
      </c>
      <c r="D208" s="61" t="s">
        <v>1292</v>
      </c>
      <c r="E208" s="62" t="n">
        <v>1</v>
      </c>
      <c r="F208" s="61"/>
      <c r="G208" s="61"/>
      <c r="H208" s="62" t="n">
        <v>210</v>
      </c>
      <c r="I208" s="63" t="n">
        <v>46295</v>
      </c>
      <c r="J208" s="62" t="n">
        <v>210</v>
      </c>
      <c r="K208" s="61" t="s">
        <v>4</v>
      </c>
      <c r="L208" s="61" t="s">
        <v>1086</v>
      </c>
      <c r="M208" s="61"/>
      <c r="N208" s="61" t="s">
        <v>246</v>
      </c>
      <c r="O208" s="60" t="n">
        <v>46486</v>
      </c>
      <c r="P208" s="61" t="s">
        <v>1049</v>
      </c>
    </row>
    <row r="209" customFormat="false" ht="15" hidden="false" customHeight="false" outlineLevel="0" collapsed="false">
      <c r="A209" s="61" t="s">
        <v>106</v>
      </c>
      <c r="B209" s="61" t="s">
        <v>183</v>
      </c>
      <c r="C209" s="61" t="s">
        <v>1251</v>
      </c>
      <c r="D209" s="61" t="s">
        <v>1293</v>
      </c>
      <c r="E209" s="62" t="n">
        <v>1</v>
      </c>
      <c r="F209" s="61"/>
      <c r="G209" s="61"/>
      <c r="H209" s="62" t="n">
        <v>10</v>
      </c>
      <c r="I209" s="63" t="n">
        <v>46295</v>
      </c>
      <c r="J209" s="62" t="n">
        <v>10</v>
      </c>
      <c r="K209" s="61" t="s">
        <v>4</v>
      </c>
      <c r="L209" s="61" t="s">
        <v>1276</v>
      </c>
      <c r="M209" s="61"/>
      <c r="N209" s="61" t="s">
        <v>246</v>
      </c>
      <c r="O209" s="60" t="n">
        <v>46703</v>
      </c>
      <c r="P209" s="61" t="s">
        <v>1049</v>
      </c>
    </row>
    <row r="210" customFormat="false" ht="15" hidden="false" customHeight="false" outlineLevel="0" collapsed="false">
      <c r="A210" s="61" t="s">
        <v>27</v>
      </c>
      <c r="B210" s="61" t="s">
        <v>30</v>
      </c>
      <c r="C210" s="61" t="s">
        <v>1294</v>
      </c>
      <c r="D210" s="61" t="s">
        <v>1295</v>
      </c>
      <c r="E210" s="62" t="n">
        <v>102</v>
      </c>
      <c r="F210" s="61" t="s">
        <v>1091</v>
      </c>
      <c r="G210" s="61"/>
      <c r="H210" s="62" t="n">
        <v>138.69</v>
      </c>
      <c r="I210" s="63" t="n">
        <v>46262</v>
      </c>
      <c r="J210" s="62" t="n">
        <v>138.69</v>
      </c>
      <c r="K210" s="61" t="s">
        <v>4</v>
      </c>
      <c r="L210" s="61" t="s">
        <v>1296</v>
      </c>
      <c r="M210" s="61"/>
      <c r="N210" s="61" t="s">
        <v>246</v>
      </c>
      <c r="O210" s="60" t="n">
        <v>46475</v>
      </c>
      <c r="P210" s="61" t="s">
        <v>1049</v>
      </c>
    </row>
    <row r="211" customFormat="false" ht="15" hidden="false" customHeight="false" outlineLevel="0" collapsed="false">
      <c r="A211" s="61" t="s">
        <v>61</v>
      </c>
      <c r="B211" s="61" t="s">
        <v>107</v>
      </c>
      <c r="C211" s="61" t="s">
        <v>1294</v>
      </c>
      <c r="D211" s="61" t="s">
        <v>1295</v>
      </c>
      <c r="E211" s="62" t="n">
        <v>102</v>
      </c>
      <c r="F211" s="61" t="s">
        <v>1093</v>
      </c>
      <c r="G211" s="61"/>
      <c r="H211" s="62" t="n">
        <v>6</v>
      </c>
      <c r="I211" s="63" t="n">
        <v>45854</v>
      </c>
      <c r="J211" s="62" t="n">
        <v>6</v>
      </c>
      <c r="K211" s="61" t="s">
        <v>4</v>
      </c>
      <c r="L211" s="61" t="s">
        <v>1297</v>
      </c>
      <c r="M211" s="61"/>
      <c r="N211" s="61" t="s">
        <v>246</v>
      </c>
      <c r="O211" s="60" t="n">
        <v>46437</v>
      </c>
      <c r="P211" s="61" t="s">
        <v>1049</v>
      </c>
    </row>
    <row r="212" customFormat="false" ht="15" hidden="false" customHeight="false" outlineLevel="0" collapsed="false">
      <c r="A212" s="61" t="s">
        <v>69</v>
      </c>
      <c r="B212" s="61" t="s">
        <v>127</v>
      </c>
      <c r="C212" s="61" t="s">
        <v>1294</v>
      </c>
      <c r="D212" s="61" t="s">
        <v>1295</v>
      </c>
      <c r="E212" s="62" t="n">
        <v>102</v>
      </c>
      <c r="F212" s="61"/>
      <c r="G212" s="61"/>
      <c r="H212" s="62" t="n">
        <v>36.18</v>
      </c>
      <c r="I212" s="63" t="n">
        <v>46265</v>
      </c>
      <c r="J212" s="62" t="n">
        <v>36.18</v>
      </c>
      <c r="K212" s="61" t="s">
        <v>4</v>
      </c>
      <c r="L212" s="61" t="s">
        <v>1298</v>
      </c>
      <c r="M212" s="61"/>
      <c r="N212" s="61" t="s">
        <v>246</v>
      </c>
      <c r="O212" s="60" t="n">
        <v>46566</v>
      </c>
      <c r="P212" s="61" t="s">
        <v>1049</v>
      </c>
    </row>
    <row r="213" customFormat="false" ht="15" hidden="false" customHeight="false" outlineLevel="0" collapsed="false">
      <c r="A213" s="61" t="s">
        <v>77</v>
      </c>
      <c r="B213" s="61" t="s">
        <v>148</v>
      </c>
      <c r="C213" s="61" t="s">
        <v>1294</v>
      </c>
      <c r="D213" s="61" t="s">
        <v>1295</v>
      </c>
      <c r="E213" s="62" t="n">
        <v>102</v>
      </c>
      <c r="F213" s="61"/>
      <c r="G213" s="61"/>
      <c r="H213" s="62" t="n">
        <v>10</v>
      </c>
      <c r="I213" s="63" t="n">
        <v>46261</v>
      </c>
      <c r="J213" s="62" t="n">
        <v>10</v>
      </c>
      <c r="K213" s="61" t="s">
        <v>4</v>
      </c>
      <c r="L213" s="61" t="s">
        <v>1299</v>
      </c>
      <c r="M213" s="61"/>
      <c r="N213" s="61" t="s">
        <v>246</v>
      </c>
      <c r="O213" s="60" t="n">
        <v>46491</v>
      </c>
      <c r="P213" s="61" t="s">
        <v>1049</v>
      </c>
    </row>
    <row r="214" customFormat="false" ht="15" hidden="false" customHeight="false" outlineLevel="0" collapsed="false">
      <c r="A214" s="61" t="s">
        <v>157</v>
      </c>
      <c r="B214" s="61" t="s">
        <v>158</v>
      </c>
      <c r="C214" s="61" t="s">
        <v>1294</v>
      </c>
      <c r="D214" s="61" t="s">
        <v>1295</v>
      </c>
      <c r="E214" s="62" t="n">
        <v>102</v>
      </c>
      <c r="F214" s="61"/>
      <c r="G214" s="61"/>
      <c r="H214" s="62" t="n">
        <v>18.09</v>
      </c>
      <c r="I214" s="63" t="n">
        <v>46261</v>
      </c>
      <c r="J214" s="62" t="n">
        <v>18.09</v>
      </c>
      <c r="K214" s="61" t="s">
        <v>4</v>
      </c>
      <c r="L214" s="61" t="s">
        <v>1264</v>
      </c>
      <c r="M214" s="61"/>
      <c r="N214" s="61" t="s">
        <v>246</v>
      </c>
      <c r="O214" s="60" t="n">
        <v>46558</v>
      </c>
      <c r="P214" s="61" t="s">
        <v>1049</v>
      </c>
    </row>
    <row r="215" customFormat="false" ht="15" hidden="false" customHeight="false" outlineLevel="0" collapsed="false">
      <c r="A215" s="61" t="s">
        <v>27</v>
      </c>
      <c r="B215" s="61" t="s">
        <v>30</v>
      </c>
      <c r="C215" s="61" t="s">
        <v>1294</v>
      </c>
      <c r="D215" s="61" t="s">
        <v>1300</v>
      </c>
      <c r="E215" s="62" t="n">
        <v>40</v>
      </c>
      <c r="F215" s="61" t="s">
        <v>1093</v>
      </c>
      <c r="G215" s="61"/>
      <c r="H215" s="62" t="n">
        <v>18.09</v>
      </c>
      <c r="I215" s="63" t="n">
        <v>45897</v>
      </c>
      <c r="J215" s="62" t="n">
        <v>18.09</v>
      </c>
      <c r="K215" s="61" t="s">
        <v>4</v>
      </c>
      <c r="L215" s="61" t="s">
        <v>1301</v>
      </c>
      <c r="M215" s="61"/>
      <c r="N215" s="61" t="s">
        <v>246</v>
      </c>
      <c r="O215" s="60" t="n">
        <v>46475</v>
      </c>
      <c r="P215" s="61" t="s">
        <v>1049</v>
      </c>
    </row>
    <row r="216" customFormat="false" ht="15" hidden="false" customHeight="false" outlineLevel="0" collapsed="false">
      <c r="A216" s="61" t="s">
        <v>81</v>
      </c>
      <c r="B216" s="61" t="s">
        <v>145</v>
      </c>
      <c r="C216" s="61" t="s">
        <v>1294</v>
      </c>
      <c r="D216" s="61" t="s">
        <v>1300</v>
      </c>
      <c r="E216" s="62" t="n">
        <v>40</v>
      </c>
      <c r="F216" s="61"/>
      <c r="G216" s="61"/>
      <c r="H216" s="62" t="n">
        <v>4.998</v>
      </c>
      <c r="I216" s="63" t="n">
        <v>46241</v>
      </c>
      <c r="J216" s="62" t="n">
        <v>4.998</v>
      </c>
      <c r="K216" s="61" t="s">
        <v>4</v>
      </c>
      <c r="L216" s="61" t="s">
        <v>1302</v>
      </c>
      <c r="M216" s="61"/>
      <c r="N216" s="61" t="s">
        <v>246</v>
      </c>
      <c r="O216" s="60" t="n">
        <v>46394</v>
      </c>
      <c r="P216" s="61" t="s">
        <v>1049</v>
      </c>
    </row>
    <row r="217" customFormat="false" ht="15" hidden="false" customHeight="false" outlineLevel="0" collapsed="false">
      <c r="A217" s="61" t="s">
        <v>27</v>
      </c>
      <c r="B217" s="61" t="s">
        <v>30</v>
      </c>
      <c r="C217" s="61" t="s">
        <v>1294</v>
      </c>
      <c r="D217" s="61" t="s">
        <v>1303</v>
      </c>
      <c r="E217" s="62" t="n">
        <v>10</v>
      </c>
      <c r="F217" s="61" t="s">
        <v>1093</v>
      </c>
      <c r="G217" s="61"/>
      <c r="H217" s="62" t="n">
        <v>34.17</v>
      </c>
      <c r="I217" s="63" t="n">
        <v>45899</v>
      </c>
      <c r="J217" s="62" t="n">
        <v>34.17</v>
      </c>
      <c r="K217" s="61" t="s">
        <v>4</v>
      </c>
      <c r="L217" s="61" t="s">
        <v>1304</v>
      </c>
      <c r="M217" s="61"/>
      <c r="N217" s="61" t="s">
        <v>246</v>
      </c>
      <c r="O217" s="60" t="n">
        <v>46475</v>
      </c>
      <c r="P217" s="61" t="s">
        <v>1049</v>
      </c>
    </row>
    <row r="218" customFormat="false" ht="15" hidden="false" customHeight="false" outlineLevel="0" collapsed="false">
      <c r="A218" s="61" t="s">
        <v>27</v>
      </c>
      <c r="B218" s="61" t="s">
        <v>30</v>
      </c>
      <c r="C218" s="61" t="s">
        <v>1294</v>
      </c>
      <c r="D218" s="61" t="s">
        <v>1305</v>
      </c>
      <c r="E218" s="62" t="n">
        <v>7</v>
      </c>
      <c r="F218" s="61" t="s">
        <v>1093</v>
      </c>
      <c r="G218" s="61"/>
      <c r="H218" s="62" t="n">
        <v>22.11</v>
      </c>
      <c r="I218" s="63" t="n">
        <v>45899</v>
      </c>
      <c r="J218" s="62" t="n">
        <v>22.11</v>
      </c>
      <c r="K218" s="61" t="s">
        <v>4</v>
      </c>
      <c r="L218" s="61" t="s">
        <v>1304</v>
      </c>
      <c r="M218" s="61"/>
      <c r="N218" s="61" t="s">
        <v>246</v>
      </c>
      <c r="O218" s="60" t="n">
        <v>46475</v>
      </c>
      <c r="P218" s="61" t="s">
        <v>1049</v>
      </c>
    </row>
    <row r="219" customFormat="false" ht="15" hidden="false" customHeight="false" outlineLevel="0" collapsed="false">
      <c r="A219" s="61" t="s">
        <v>35</v>
      </c>
      <c r="B219" s="61" t="s">
        <v>58</v>
      </c>
      <c r="C219" s="61" t="s">
        <v>1306</v>
      </c>
      <c r="D219" s="61" t="s">
        <v>1307</v>
      </c>
      <c r="E219" s="62" t="n">
        <v>125</v>
      </c>
      <c r="F219" s="61"/>
      <c r="G219" s="61"/>
      <c r="H219" s="62" t="n">
        <v>1200</v>
      </c>
      <c r="I219" s="63" t="n">
        <v>46294</v>
      </c>
      <c r="J219" s="62" t="n">
        <v>1200</v>
      </c>
      <c r="K219" s="61" t="s">
        <v>4</v>
      </c>
      <c r="L219" s="61" t="s">
        <v>1048</v>
      </c>
      <c r="M219" s="61"/>
      <c r="N219" s="61" t="s">
        <v>246</v>
      </c>
      <c r="O219" s="60" t="n">
        <v>46494</v>
      </c>
      <c r="P219" s="61" t="s">
        <v>1049</v>
      </c>
    </row>
    <row r="220" customFormat="false" ht="15" hidden="false" customHeight="false" outlineLevel="0" collapsed="false">
      <c r="A220" s="61" t="s">
        <v>47</v>
      </c>
      <c r="B220" s="61" t="s">
        <v>66</v>
      </c>
      <c r="C220" s="61" t="s">
        <v>1306</v>
      </c>
      <c r="D220" s="61" t="s">
        <v>1307</v>
      </c>
      <c r="E220" s="62" t="n">
        <v>125</v>
      </c>
      <c r="F220" s="61"/>
      <c r="G220" s="61"/>
      <c r="H220" s="62" t="n">
        <v>1800</v>
      </c>
      <c r="I220" s="63" t="n">
        <v>46293</v>
      </c>
      <c r="J220" s="62" t="n">
        <v>1800</v>
      </c>
      <c r="K220" s="61" t="s">
        <v>4</v>
      </c>
      <c r="L220" s="61" t="s">
        <v>1048</v>
      </c>
      <c r="M220" s="61"/>
      <c r="N220" s="61" t="s">
        <v>246</v>
      </c>
      <c r="O220" s="60" t="n">
        <v>46609</v>
      </c>
      <c r="P220" s="61" t="s">
        <v>1049</v>
      </c>
    </row>
    <row r="221" customFormat="false" ht="15" hidden="false" customHeight="false" outlineLevel="0" collapsed="false">
      <c r="A221" s="61" t="s">
        <v>53</v>
      </c>
      <c r="B221" s="61" t="s">
        <v>76</v>
      </c>
      <c r="C221" s="61" t="s">
        <v>1306</v>
      </c>
      <c r="D221" s="61" t="s">
        <v>1307</v>
      </c>
      <c r="E221" s="62" t="n">
        <v>125</v>
      </c>
      <c r="F221" s="61"/>
      <c r="G221" s="61"/>
      <c r="H221" s="62" t="n">
        <v>4.219</v>
      </c>
      <c r="I221" s="63" t="n">
        <v>46258</v>
      </c>
      <c r="J221" s="62" t="n">
        <v>4.219</v>
      </c>
      <c r="K221" s="61" t="s">
        <v>9</v>
      </c>
      <c r="L221" s="61" t="s">
        <v>1308</v>
      </c>
      <c r="M221" s="61"/>
      <c r="N221" s="61" t="s">
        <v>246</v>
      </c>
      <c r="O221" s="60" t="n">
        <v>46469</v>
      </c>
      <c r="P221" s="61" t="s">
        <v>1049</v>
      </c>
    </row>
    <row r="222" customFormat="false" ht="15" hidden="false" customHeight="false" outlineLevel="0" collapsed="false">
      <c r="A222" s="61" t="s">
        <v>53</v>
      </c>
      <c r="B222" s="61" t="s">
        <v>80</v>
      </c>
      <c r="C222" s="61" t="s">
        <v>1306</v>
      </c>
      <c r="D222" s="61" t="s">
        <v>1307</v>
      </c>
      <c r="E222" s="62" t="n">
        <v>125</v>
      </c>
      <c r="F222" s="61"/>
      <c r="G222" s="61"/>
      <c r="H222" s="62" t="n">
        <v>900</v>
      </c>
      <c r="I222" s="63" t="n">
        <v>46294</v>
      </c>
      <c r="J222" s="62" t="n">
        <v>900</v>
      </c>
      <c r="K222" s="61" t="s">
        <v>9</v>
      </c>
      <c r="L222" s="61" t="s">
        <v>1048</v>
      </c>
      <c r="M222" s="61"/>
      <c r="N222" s="61" t="s">
        <v>246</v>
      </c>
      <c r="O222" s="60" t="n">
        <v>46684</v>
      </c>
      <c r="P222" s="61" t="s">
        <v>1049</v>
      </c>
    </row>
    <row r="223" customFormat="false" ht="15" hidden="false" customHeight="false" outlineLevel="0" collapsed="false">
      <c r="A223" s="61" t="s">
        <v>69</v>
      </c>
      <c r="B223" s="61" t="s">
        <v>120</v>
      </c>
      <c r="C223" s="61" t="s">
        <v>1306</v>
      </c>
      <c r="D223" s="61" t="s">
        <v>1307</v>
      </c>
      <c r="E223" s="62" t="n">
        <v>125</v>
      </c>
      <c r="F223" s="61"/>
      <c r="G223" s="61"/>
      <c r="H223" s="62" t="n">
        <v>-603</v>
      </c>
      <c r="I223" s="63" t="n">
        <v>46295</v>
      </c>
      <c r="J223" s="62" t="n">
        <v>-603</v>
      </c>
      <c r="K223" s="61" t="s">
        <v>4</v>
      </c>
      <c r="L223" s="61" t="s">
        <v>1050</v>
      </c>
      <c r="M223" s="61"/>
      <c r="N223" s="61" t="s">
        <v>254</v>
      </c>
      <c r="O223" s="60" t="n">
        <v>46683</v>
      </c>
      <c r="P223" s="61" t="s">
        <v>1049</v>
      </c>
    </row>
    <row r="224" customFormat="false" ht="15" hidden="false" customHeight="false" outlineLevel="0" collapsed="false">
      <c r="A224" s="61" t="s">
        <v>69</v>
      </c>
      <c r="B224" s="61" t="s">
        <v>120</v>
      </c>
      <c r="C224" s="61" t="s">
        <v>1306</v>
      </c>
      <c r="D224" s="61" t="s">
        <v>1307</v>
      </c>
      <c r="E224" s="62" t="n">
        <v>125</v>
      </c>
      <c r="F224" s="61"/>
      <c r="G224" s="61"/>
      <c r="H224" s="62" t="n">
        <v>603</v>
      </c>
      <c r="I224" s="63" t="n">
        <v>46294</v>
      </c>
      <c r="J224" s="62" t="n">
        <v>603</v>
      </c>
      <c r="K224" s="61" t="s">
        <v>4</v>
      </c>
      <c r="L224" s="61" t="s">
        <v>1048</v>
      </c>
      <c r="M224" s="61"/>
      <c r="N224" s="61" t="s">
        <v>246</v>
      </c>
      <c r="O224" s="60" t="n">
        <v>46683</v>
      </c>
      <c r="P224" s="61" t="s">
        <v>1049</v>
      </c>
    </row>
    <row r="225" customFormat="false" ht="15" hidden="false" customHeight="false" outlineLevel="0" collapsed="false">
      <c r="A225" s="61" t="s">
        <v>85</v>
      </c>
      <c r="B225" s="61" t="s">
        <v>168</v>
      </c>
      <c r="C225" s="61" t="s">
        <v>1306</v>
      </c>
      <c r="D225" s="61" t="s">
        <v>1307</v>
      </c>
      <c r="E225" s="62" t="n">
        <v>125</v>
      </c>
      <c r="F225" s="61"/>
      <c r="G225" s="61"/>
      <c r="H225" s="62" t="n">
        <v>108.8</v>
      </c>
      <c r="I225" s="63" t="n">
        <v>46293</v>
      </c>
      <c r="J225" s="62" t="n">
        <v>108.8</v>
      </c>
      <c r="K225" s="61" t="s">
        <v>4</v>
      </c>
      <c r="L225" s="61" t="s">
        <v>1048</v>
      </c>
      <c r="M225" s="61"/>
      <c r="N225" s="61" t="s">
        <v>246</v>
      </c>
      <c r="O225" s="60" t="n">
        <v>46430</v>
      </c>
      <c r="P225" s="61" t="s">
        <v>1049</v>
      </c>
    </row>
    <row r="226" customFormat="false" ht="15" hidden="false" customHeight="false" outlineLevel="0" collapsed="false">
      <c r="A226" s="61" t="s">
        <v>131</v>
      </c>
      <c r="B226" s="61" t="s">
        <v>180</v>
      </c>
      <c r="C226" s="61" t="s">
        <v>1306</v>
      </c>
      <c r="D226" s="61" t="s">
        <v>1307</v>
      </c>
      <c r="E226" s="62" t="n">
        <v>125</v>
      </c>
      <c r="F226" s="61"/>
      <c r="G226" s="61"/>
      <c r="H226" s="62" t="n">
        <v>-120</v>
      </c>
      <c r="I226" s="63" t="n">
        <v>46289</v>
      </c>
      <c r="J226" s="62" t="n">
        <v>-120</v>
      </c>
      <c r="K226" s="61" t="s">
        <v>12</v>
      </c>
      <c r="L226" s="61" t="s">
        <v>1050</v>
      </c>
      <c r="M226" s="61"/>
      <c r="N226" s="61" t="s">
        <v>246</v>
      </c>
      <c r="O226" s="61"/>
      <c r="P226" s="61" t="s">
        <v>1049</v>
      </c>
    </row>
    <row r="227" customFormat="false" ht="15" hidden="false" customHeight="false" outlineLevel="0" collapsed="false">
      <c r="A227" s="61" t="s">
        <v>151</v>
      </c>
      <c r="B227" s="61" t="s">
        <v>213</v>
      </c>
      <c r="C227" s="61" t="s">
        <v>1306</v>
      </c>
      <c r="D227" s="61" t="s">
        <v>1307</v>
      </c>
      <c r="E227" s="62" t="n">
        <v>125</v>
      </c>
      <c r="F227" s="61"/>
      <c r="G227" s="61"/>
      <c r="H227" s="62" t="n">
        <v>-40</v>
      </c>
      <c r="I227" s="63" t="n">
        <v>46289</v>
      </c>
      <c r="J227" s="62" t="n">
        <v>-40</v>
      </c>
      <c r="K227" s="61" t="s">
        <v>4</v>
      </c>
      <c r="L227" s="61" t="s">
        <v>1050</v>
      </c>
      <c r="M227" s="61"/>
      <c r="N227" s="61" t="s">
        <v>246</v>
      </c>
      <c r="O227" s="60" t="n">
        <v>46505</v>
      </c>
      <c r="P227" s="61" t="s">
        <v>1049</v>
      </c>
    </row>
    <row r="228" customFormat="false" ht="15" hidden="false" customHeight="false" outlineLevel="0" collapsed="false">
      <c r="A228" s="61" t="s">
        <v>156</v>
      </c>
      <c r="B228" s="61" t="s">
        <v>216</v>
      </c>
      <c r="C228" s="61" t="s">
        <v>1306</v>
      </c>
      <c r="D228" s="61" t="s">
        <v>1307</v>
      </c>
      <c r="E228" s="62" t="n">
        <v>125</v>
      </c>
      <c r="F228" s="61"/>
      <c r="G228" s="61"/>
      <c r="H228" s="62" t="n">
        <v>1000</v>
      </c>
      <c r="I228" s="63" t="n">
        <v>46293</v>
      </c>
      <c r="J228" s="62" t="n">
        <v>1000</v>
      </c>
      <c r="K228" s="61" t="s">
        <v>4</v>
      </c>
      <c r="L228" s="61" t="s">
        <v>1048</v>
      </c>
      <c r="M228" s="61"/>
      <c r="N228" s="61" t="s">
        <v>246</v>
      </c>
      <c r="O228" s="60" t="n">
        <v>46729</v>
      </c>
      <c r="P228" s="61" t="s">
        <v>1049</v>
      </c>
    </row>
    <row r="229" customFormat="false" ht="15" hidden="false" customHeight="false" outlineLevel="0" collapsed="false">
      <c r="A229" s="61" t="s">
        <v>157</v>
      </c>
      <c r="B229" s="61" t="s">
        <v>158</v>
      </c>
      <c r="C229" s="61" t="s">
        <v>1306</v>
      </c>
      <c r="D229" s="61" t="s">
        <v>1307</v>
      </c>
      <c r="E229" s="62" t="n">
        <v>125</v>
      </c>
      <c r="F229" s="61"/>
      <c r="G229" s="61"/>
      <c r="H229" s="62" t="n">
        <v>281.4</v>
      </c>
      <c r="I229" s="63" t="n">
        <v>46287</v>
      </c>
      <c r="J229" s="62" t="n">
        <v>281.4</v>
      </c>
      <c r="K229" s="61" t="s">
        <v>4</v>
      </c>
      <c r="L229" s="61" t="s">
        <v>1060</v>
      </c>
      <c r="M229" s="61"/>
      <c r="N229" s="61" t="s">
        <v>246</v>
      </c>
      <c r="O229" s="60" t="n">
        <v>46558</v>
      </c>
      <c r="P229" s="61" t="s">
        <v>1049</v>
      </c>
    </row>
  </sheetData>
  <autoFilter ref="A1:P2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L2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5" min="2" style="0" width="12"/>
    <col collapsed="false" customWidth="true" hidden="false" outlineLevel="0" max="6" min="6" style="0" width="22"/>
    <col collapsed="false" customWidth="true" hidden="false" outlineLevel="0" max="7" min="7" style="0" width="14"/>
    <col collapsed="false" customWidth="true" hidden="false" outlineLevel="0" max="8" min="8" style="0" width="12"/>
    <col collapsed="false" customWidth="true" hidden="false" outlineLevel="0" max="9" min="9" style="0" width="19"/>
    <col collapsed="false" customWidth="true" hidden="false" outlineLevel="0" max="10" min="10" style="0" width="20"/>
    <col collapsed="false" customWidth="true" hidden="false" outlineLevel="0" max="11" min="11" style="0" width="30"/>
    <col collapsed="false" customWidth="true" hidden="false" outlineLevel="0" max="12" min="12" style="0" width="16"/>
  </cols>
  <sheetData>
    <row r="1" customFormat="false" ht="15" hidden="false" customHeight="false" outlineLevel="0" collapsed="false">
      <c r="A1" s="33" t="s">
        <v>1309</v>
      </c>
      <c r="B1" s="33" t="s">
        <v>14</v>
      </c>
      <c r="C1" s="33" t="s">
        <v>15</v>
      </c>
      <c r="D1" s="33" t="s">
        <v>239</v>
      </c>
      <c r="E1" s="33" t="s">
        <v>1045</v>
      </c>
      <c r="F1" s="33" t="s">
        <v>1310</v>
      </c>
      <c r="G1" s="33" t="s">
        <v>1311</v>
      </c>
      <c r="H1" s="33" t="s">
        <v>90</v>
      </c>
      <c r="I1" s="33" t="s">
        <v>1312</v>
      </c>
      <c r="J1" s="33" t="s">
        <v>1313</v>
      </c>
      <c r="K1" s="33" t="s">
        <v>19</v>
      </c>
      <c r="L1" s="33" t="s">
        <v>1314</v>
      </c>
    </row>
    <row r="2" customFormat="false" ht="15" hidden="false" customHeight="false" outlineLevel="0" collapsed="false">
      <c r="A2" s="61" t="s">
        <v>584</v>
      </c>
      <c r="B2" s="61" t="s">
        <v>2</v>
      </c>
      <c r="C2" s="61" t="s">
        <v>3</v>
      </c>
      <c r="D2" s="61" t="s">
        <v>251</v>
      </c>
      <c r="E2" s="61" t="s">
        <v>1049</v>
      </c>
      <c r="F2" s="60" t="n">
        <v>46289</v>
      </c>
      <c r="G2" s="62" t="n">
        <v>-600</v>
      </c>
      <c r="H2" s="61" t="s">
        <v>4</v>
      </c>
      <c r="I2" s="60" t="n">
        <v>46289</v>
      </c>
      <c r="J2" s="64" t="n">
        <v>0.878275462962963</v>
      </c>
      <c r="K2" s="61" t="str">
        <f aca="false">IF(AND(G2&gt;0,F2&lt;=Resumo!$C$6),"Recebido no 2008",IF(G2&lt;0,"Entrada","Estorno"))</f>
        <v>Entrada</v>
      </c>
      <c r="L2" s="62" t="n">
        <f aca="false">IF(K2="Recebido no 2008",0,-G2)</f>
        <v>600</v>
      </c>
    </row>
    <row r="3" customFormat="false" ht="15" hidden="false" customHeight="false" outlineLevel="0" collapsed="false">
      <c r="A3" s="61" t="s">
        <v>585</v>
      </c>
      <c r="B3" s="61" t="s">
        <v>2</v>
      </c>
      <c r="C3" s="61" t="s">
        <v>3</v>
      </c>
      <c r="D3" s="61" t="s">
        <v>251</v>
      </c>
      <c r="E3" s="61" t="s">
        <v>1049</v>
      </c>
      <c r="F3" s="60" t="n">
        <v>46289</v>
      </c>
      <c r="G3" s="62" t="n">
        <v>-600</v>
      </c>
      <c r="H3" s="61" t="s">
        <v>4</v>
      </c>
      <c r="I3" s="60" t="n">
        <v>46289</v>
      </c>
      <c r="J3" s="64" t="n">
        <v>0.882037037037037</v>
      </c>
      <c r="K3" s="61" t="str">
        <f aca="false">IF(AND(G3&gt;0,F3&lt;=Resumo!$C$6),"Recebido no 2008",IF(G3&lt;0,"Entrada","Estorno"))</f>
        <v>Entrada</v>
      </c>
      <c r="L3" s="62" t="n">
        <f aca="false">IF(K3="Recebido no 2008",0,-G3)</f>
        <v>600</v>
      </c>
    </row>
    <row r="4" customFormat="false" ht="15" hidden="false" customHeight="false" outlineLevel="0" collapsed="false">
      <c r="A4" s="61" t="s">
        <v>849</v>
      </c>
      <c r="B4" s="61" t="s">
        <v>7</v>
      </c>
      <c r="C4" s="61" t="s">
        <v>11</v>
      </c>
      <c r="D4" s="61" t="s">
        <v>251</v>
      </c>
      <c r="E4" s="61" t="s">
        <v>1049</v>
      </c>
      <c r="F4" s="60" t="n">
        <v>46294</v>
      </c>
      <c r="G4" s="62" t="n">
        <v>-603</v>
      </c>
      <c r="H4" s="61" t="s">
        <v>4</v>
      </c>
      <c r="I4" s="60" t="n">
        <v>46294</v>
      </c>
      <c r="J4" s="64" t="n">
        <v>0.685798611111111</v>
      </c>
      <c r="K4" s="61" t="str">
        <f aca="false">IF(AND(G4&gt;0,F4&lt;=Resumo!$C$6),"Recebido no 2008",IF(G4&lt;0,"Entrada","Estorno"))</f>
        <v>Entrada</v>
      </c>
      <c r="L4" s="62" t="n">
        <f aca="false">IF(K4="Recebido no 2008",0,-G4)</f>
        <v>603</v>
      </c>
    </row>
    <row r="5" customFormat="false" ht="15" hidden="false" customHeight="false" outlineLevel="0" collapsed="false">
      <c r="A5" s="61" t="s">
        <v>562</v>
      </c>
      <c r="B5" s="61" t="s">
        <v>7</v>
      </c>
      <c r="C5" s="61" t="s">
        <v>8</v>
      </c>
      <c r="D5" s="61" t="s">
        <v>251</v>
      </c>
      <c r="E5" s="61" t="s">
        <v>1049</v>
      </c>
      <c r="F5" s="60" t="n">
        <v>46288</v>
      </c>
      <c r="G5" s="62" t="n">
        <v>-2412</v>
      </c>
      <c r="H5" s="61" t="s">
        <v>4</v>
      </c>
      <c r="I5" s="60" t="n">
        <v>46288</v>
      </c>
      <c r="J5" s="64" t="n">
        <v>0.260289351851852</v>
      </c>
      <c r="K5" s="61" t="str">
        <f aca="false">IF(AND(G5&gt;0,F5&lt;=Resumo!$C$6),"Recebido no 2008",IF(G5&lt;0,"Entrada","Estorno"))</f>
        <v>Entrada</v>
      </c>
      <c r="L5" s="62" t="n">
        <f aca="false">IF(K5="Recebido no 2008",0,-G5)</f>
        <v>2412</v>
      </c>
    </row>
    <row r="6" customFormat="false" ht="15" hidden="false" customHeight="false" outlineLevel="0" collapsed="false">
      <c r="A6" s="61" t="s">
        <v>563</v>
      </c>
      <c r="B6" s="61" t="s">
        <v>7</v>
      </c>
      <c r="C6" s="61" t="s">
        <v>8</v>
      </c>
      <c r="D6" s="61" t="s">
        <v>251</v>
      </c>
      <c r="E6" s="61" t="s">
        <v>1049</v>
      </c>
      <c r="F6" s="60" t="n">
        <v>46288</v>
      </c>
      <c r="G6" s="62" t="n">
        <v>-603</v>
      </c>
      <c r="H6" s="61" t="s">
        <v>4</v>
      </c>
      <c r="I6" s="60" t="n">
        <v>46288</v>
      </c>
      <c r="J6" s="64" t="n">
        <v>0.270486111111111</v>
      </c>
      <c r="K6" s="61" t="str">
        <f aca="false">IF(AND(G6&gt;0,F6&lt;=Resumo!$C$6),"Recebido no 2008",IF(G6&lt;0,"Entrada","Estorno"))</f>
        <v>Entrada</v>
      </c>
      <c r="L6" s="62" t="n">
        <f aca="false">IF(K6="Recebido no 2008",0,-G6)</f>
        <v>603</v>
      </c>
    </row>
    <row r="7" customFormat="false" ht="15" hidden="false" customHeight="false" outlineLevel="0" collapsed="false">
      <c r="A7" s="61" t="s">
        <v>564</v>
      </c>
      <c r="B7" s="61" t="s">
        <v>20</v>
      </c>
      <c r="C7" s="61" t="s">
        <v>21</v>
      </c>
      <c r="D7" s="61" t="s">
        <v>251</v>
      </c>
      <c r="E7" s="61" t="s">
        <v>1049</v>
      </c>
      <c r="F7" s="60" t="n">
        <v>46288</v>
      </c>
      <c r="G7" s="62" t="n">
        <v>-940.8</v>
      </c>
      <c r="H7" s="61" t="s">
        <v>4</v>
      </c>
      <c r="I7" s="60" t="n">
        <v>46288</v>
      </c>
      <c r="J7" s="64" t="n">
        <v>0.268969907407407</v>
      </c>
      <c r="K7" s="61" t="str">
        <f aca="false">IF(AND(G7&gt;0,F7&lt;=Resumo!$C$6),"Recebido no 2008",IF(G7&lt;0,"Entrada","Estorno"))</f>
        <v>Entrada</v>
      </c>
      <c r="L7" s="62" t="n">
        <f aca="false">IF(K7="Recebido no 2008",0,-G7)</f>
        <v>940.8</v>
      </c>
    </row>
    <row r="8" customFormat="false" ht="15" hidden="false" customHeight="false" outlineLevel="0" collapsed="false">
      <c r="A8" s="61" t="s">
        <v>853</v>
      </c>
      <c r="B8" s="61" t="s">
        <v>23</v>
      </c>
      <c r="C8" s="61" t="s">
        <v>24</v>
      </c>
      <c r="D8" s="61" t="s">
        <v>251</v>
      </c>
      <c r="E8" s="61" t="s">
        <v>1049</v>
      </c>
      <c r="F8" s="60" t="n">
        <v>46294</v>
      </c>
      <c r="G8" s="62" t="n">
        <v>-313.6</v>
      </c>
      <c r="H8" s="61" t="s">
        <v>4</v>
      </c>
      <c r="I8" s="60" t="n">
        <v>46294</v>
      </c>
      <c r="J8" s="64" t="n">
        <v>0.611377314814815</v>
      </c>
      <c r="K8" s="61" t="str">
        <f aca="false">IF(AND(G8&gt;0,F8&lt;=Resumo!$C$6),"Recebido no 2008",IF(G8&lt;0,"Entrada","Estorno"))</f>
        <v>Entrada</v>
      </c>
      <c r="L8" s="62" t="n">
        <f aca="false">IF(K8="Recebido no 2008",0,-G8)</f>
        <v>313.6</v>
      </c>
    </row>
    <row r="9" customFormat="false" ht="15" hidden="false" customHeight="false" outlineLevel="0" collapsed="false">
      <c r="A9" s="61" t="s">
        <v>853</v>
      </c>
      <c r="B9" s="61" t="s">
        <v>23</v>
      </c>
      <c r="C9" s="61" t="s">
        <v>28</v>
      </c>
      <c r="D9" s="61" t="s">
        <v>251</v>
      </c>
      <c r="E9" s="61" t="s">
        <v>1049</v>
      </c>
      <c r="F9" s="60" t="n">
        <v>46294</v>
      </c>
      <c r="G9" s="62" t="n">
        <v>-142.8</v>
      </c>
      <c r="H9" s="61" t="s">
        <v>4</v>
      </c>
      <c r="I9" s="60" t="n">
        <v>46294</v>
      </c>
      <c r="J9" s="64" t="n">
        <v>0.611377314814815</v>
      </c>
      <c r="K9" s="61" t="str">
        <f aca="false">IF(AND(G9&gt;0,F9&lt;=Resumo!$C$6),"Recebido no 2008",IF(G9&lt;0,"Entrada","Estorno"))</f>
        <v>Entrada</v>
      </c>
      <c r="L9" s="62" t="n">
        <f aca="false">IF(K9="Recebido no 2008",0,-G9)</f>
        <v>142.8</v>
      </c>
    </row>
    <row r="10" customFormat="false" ht="15" hidden="false" customHeight="false" outlineLevel="0" collapsed="false">
      <c r="A10" s="61" t="s">
        <v>945</v>
      </c>
      <c r="B10" s="61" t="s">
        <v>27</v>
      </c>
      <c r="C10" s="61" t="s">
        <v>32</v>
      </c>
      <c r="D10" s="61" t="s">
        <v>251</v>
      </c>
      <c r="E10" s="61" t="s">
        <v>1049</v>
      </c>
      <c r="F10" s="60" t="n">
        <v>46295</v>
      </c>
      <c r="G10" s="62" t="n">
        <v>-221.1</v>
      </c>
      <c r="H10" s="61" t="s">
        <v>4</v>
      </c>
      <c r="I10" s="60" t="n">
        <v>46295</v>
      </c>
      <c r="J10" s="64" t="n">
        <v>0.748159722222222</v>
      </c>
      <c r="K10" s="61" t="str">
        <f aca="false">IF(AND(G10&gt;0,F10&lt;=Resumo!$C$6),"Recebido no 2008",IF(G10&lt;0,"Entrada","Estorno"))</f>
        <v>Entrada</v>
      </c>
      <c r="L10" s="62" t="n">
        <f aca="false">IF(K10="Recebido no 2008",0,-G10)</f>
        <v>221.1</v>
      </c>
    </row>
    <row r="11" customFormat="false" ht="15" hidden="false" customHeight="false" outlineLevel="0" collapsed="false">
      <c r="A11" s="61" t="s">
        <v>858</v>
      </c>
      <c r="B11" s="61" t="s">
        <v>27</v>
      </c>
      <c r="C11" s="61" t="s">
        <v>32</v>
      </c>
      <c r="D11" s="61" t="s">
        <v>251</v>
      </c>
      <c r="E11" s="61" t="s">
        <v>1049</v>
      </c>
      <c r="F11" s="60" t="n">
        <v>46294</v>
      </c>
      <c r="G11" s="62" t="n">
        <v>-482.4</v>
      </c>
      <c r="H11" s="61" t="s">
        <v>4</v>
      </c>
      <c r="I11" s="60" t="n">
        <v>46294</v>
      </c>
      <c r="J11" s="64" t="n">
        <v>0.693738425925926</v>
      </c>
      <c r="K11" s="61" t="str">
        <f aca="false">IF(AND(G11&gt;0,F11&lt;=Resumo!$C$6),"Recebido no 2008",IF(G11&lt;0,"Entrada","Estorno"))</f>
        <v>Entrada</v>
      </c>
      <c r="L11" s="62" t="n">
        <f aca="false">IF(K11="Recebido no 2008",0,-G11)</f>
        <v>482.4</v>
      </c>
    </row>
    <row r="12" customFormat="false" ht="15" hidden="false" customHeight="false" outlineLevel="0" collapsed="false">
      <c r="A12" s="61" t="s">
        <v>858</v>
      </c>
      <c r="B12" s="61" t="s">
        <v>27</v>
      </c>
      <c r="C12" s="61" t="s">
        <v>32</v>
      </c>
      <c r="D12" s="61" t="s">
        <v>251</v>
      </c>
      <c r="E12" s="61" t="s">
        <v>1049</v>
      </c>
      <c r="F12" s="60" t="n">
        <v>46294</v>
      </c>
      <c r="G12" s="62" t="n">
        <v>-221.1</v>
      </c>
      <c r="H12" s="61" t="s">
        <v>4</v>
      </c>
      <c r="I12" s="60" t="n">
        <v>46294</v>
      </c>
      <c r="J12" s="64" t="n">
        <v>0.693738425925926</v>
      </c>
      <c r="K12" s="61" t="str">
        <f aca="false">IF(AND(G12&gt;0,F12&lt;=Resumo!$C$6),"Recebido no 2008",IF(G12&lt;0,"Entrada","Estorno"))</f>
        <v>Entrada</v>
      </c>
      <c r="L12" s="62" t="n">
        <f aca="false">IF(K12="Recebido no 2008",0,-G12)</f>
        <v>221.1</v>
      </c>
    </row>
    <row r="13" customFormat="false" ht="15" hidden="false" customHeight="false" outlineLevel="0" collapsed="false">
      <c r="A13" s="61" t="s">
        <v>858</v>
      </c>
      <c r="B13" s="61" t="s">
        <v>27</v>
      </c>
      <c r="C13" s="61" t="s">
        <v>32</v>
      </c>
      <c r="D13" s="61" t="s">
        <v>251</v>
      </c>
      <c r="E13" s="61" t="s">
        <v>1049</v>
      </c>
      <c r="F13" s="60" t="n">
        <v>46294</v>
      </c>
      <c r="G13" s="62" t="n">
        <v>-603</v>
      </c>
      <c r="H13" s="61" t="s">
        <v>4</v>
      </c>
      <c r="I13" s="60" t="n">
        <v>46294</v>
      </c>
      <c r="J13" s="64" t="n">
        <v>0.693738425925926</v>
      </c>
      <c r="K13" s="61" t="str">
        <f aca="false">IF(AND(G13&gt;0,F13&lt;=Resumo!$C$6),"Recebido no 2008",IF(G13&lt;0,"Entrada","Estorno"))</f>
        <v>Entrada</v>
      </c>
      <c r="L13" s="62" t="n">
        <f aca="false">IF(K13="Recebido no 2008",0,-G13)</f>
        <v>603</v>
      </c>
    </row>
    <row r="14" customFormat="false" ht="15" hidden="false" customHeight="false" outlineLevel="0" collapsed="false">
      <c r="A14" s="61" t="s">
        <v>858</v>
      </c>
      <c r="B14" s="61" t="s">
        <v>27</v>
      </c>
      <c r="C14" s="61" t="s">
        <v>32</v>
      </c>
      <c r="D14" s="61" t="s">
        <v>251</v>
      </c>
      <c r="E14" s="61" t="s">
        <v>1049</v>
      </c>
      <c r="F14" s="60" t="n">
        <v>46294</v>
      </c>
      <c r="G14" s="62" t="n">
        <v>-603</v>
      </c>
      <c r="H14" s="61" t="s">
        <v>4</v>
      </c>
      <c r="I14" s="60" t="n">
        <v>46294</v>
      </c>
      <c r="J14" s="64" t="n">
        <v>0.693738425925926</v>
      </c>
      <c r="K14" s="61" t="str">
        <f aca="false">IF(AND(G14&gt;0,F14&lt;=Resumo!$C$6),"Recebido no 2008",IF(G14&lt;0,"Entrada","Estorno"))</f>
        <v>Entrada</v>
      </c>
      <c r="L14" s="62" t="n">
        <f aca="false">IF(K14="Recebido no 2008",0,-G14)</f>
        <v>603</v>
      </c>
    </row>
    <row r="15" customFormat="false" ht="15" hidden="false" customHeight="false" outlineLevel="0" collapsed="false">
      <c r="A15" s="61" t="s">
        <v>858</v>
      </c>
      <c r="B15" s="61" t="s">
        <v>27</v>
      </c>
      <c r="C15" s="61" t="s">
        <v>32</v>
      </c>
      <c r="D15" s="61" t="s">
        <v>251</v>
      </c>
      <c r="E15" s="61" t="s">
        <v>1049</v>
      </c>
      <c r="F15" s="60" t="n">
        <v>46294</v>
      </c>
      <c r="G15" s="62" t="n">
        <v>-603</v>
      </c>
      <c r="H15" s="61" t="s">
        <v>4</v>
      </c>
      <c r="I15" s="60" t="n">
        <v>46294</v>
      </c>
      <c r="J15" s="64" t="n">
        <v>0.693738425925926</v>
      </c>
      <c r="K15" s="61" t="str">
        <f aca="false">IF(AND(G15&gt;0,F15&lt;=Resumo!$C$6),"Recebido no 2008",IF(G15&lt;0,"Entrada","Estorno"))</f>
        <v>Entrada</v>
      </c>
      <c r="L15" s="62" t="n">
        <f aca="false">IF(K15="Recebido no 2008",0,-G15)</f>
        <v>603</v>
      </c>
    </row>
    <row r="16" customFormat="false" ht="15" hidden="false" customHeight="false" outlineLevel="0" collapsed="false">
      <c r="A16" s="61" t="s">
        <v>298</v>
      </c>
      <c r="B16" s="61" t="s">
        <v>27</v>
      </c>
      <c r="C16" s="61" t="s">
        <v>30</v>
      </c>
      <c r="D16" s="61" t="s">
        <v>251</v>
      </c>
      <c r="E16" s="61" t="s">
        <v>1049</v>
      </c>
      <c r="F16" s="60" t="n">
        <v>46276</v>
      </c>
      <c r="G16" s="62" t="n">
        <v>-180.9</v>
      </c>
      <c r="H16" s="61" t="s">
        <v>4</v>
      </c>
      <c r="I16" s="60" t="n">
        <v>46276</v>
      </c>
      <c r="J16" s="64" t="n">
        <v>0.752997685185185</v>
      </c>
      <c r="K16" s="61" t="str">
        <f aca="false">IF(AND(G16&gt;0,F16&lt;=Resumo!$C$6),"Recebido no 2008",IF(G16&lt;0,"Entrada","Estorno"))</f>
        <v>Entrada</v>
      </c>
      <c r="L16" s="62" t="n">
        <f aca="false">IF(K16="Recebido no 2008",0,-G16)</f>
        <v>180.9</v>
      </c>
    </row>
    <row r="17" customFormat="false" ht="15" hidden="false" customHeight="false" outlineLevel="0" collapsed="false">
      <c r="A17" s="61" t="s">
        <v>841</v>
      </c>
      <c r="B17" s="61" t="s">
        <v>31</v>
      </c>
      <c r="C17" s="61" t="s">
        <v>42</v>
      </c>
      <c r="D17" s="61" t="s">
        <v>251</v>
      </c>
      <c r="E17" s="61" t="s">
        <v>1049</v>
      </c>
      <c r="F17" s="60" t="n">
        <v>46293</v>
      </c>
      <c r="G17" s="62" t="n">
        <v>-1000</v>
      </c>
      <c r="H17" s="61" t="s">
        <v>4</v>
      </c>
      <c r="I17" s="60" t="n">
        <v>46293</v>
      </c>
      <c r="J17" s="64" t="n">
        <v>0.717893518518519</v>
      </c>
      <c r="K17" s="61" t="str">
        <f aca="false">IF(AND(G17&gt;0,F17&lt;=Resumo!$C$6),"Recebido no 2008",IF(G17&lt;0,"Entrada","Estorno"))</f>
        <v>Entrada</v>
      </c>
      <c r="L17" s="62" t="n">
        <f aca="false">IF(K17="Recebido no 2008",0,-G17)</f>
        <v>1000</v>
      </c>
    </row>
    <row r="18" customFormat="false" ht="15" hidden="false" customHeight="false" outlineLevel="0" collapsed="false">
      <c r="A18" s="61" t="s">
        <v>595</v>
      </c>
      <c r="B18" s="61" t="s">
        <v>31</v>
      </c>
      <c r="C18" s="61" t="s">
        <v>36</v>
      </c>
      <c r="D18" s="61" t="s">
        <v>251</v>
      </c>
      <c r="E18" s="61" t="s">
        <v>1049</v>
      </c>
      <c r="F18" s="60" t="n">
        <v>46289</v>
      </c>
      <c r="G18" s="62" t="n">
        <v>-750</v>
      </c>
      <c r="H18" s="61" t="s">
        <v>4</v>
      </c>
      <c r="I18" s="60" t="n">
        <v>46289</v>
      </c>
      <c r="J18" s="64" t="n">
        <v>0.709375</v>
      </c>
      <c r="K18" s="61" t="str">
        <f aca="false">IF(AND(G18&gt;0,F18&lt;=Resumo!$C$6),"Recebido no 2008",IF(G18&lt;0,"Entrada","Estorno"))</f>
        <v>Entrada</v>
      </c>
      <c r="L18" s="62" t="n">
        <f aca="false">IF(K18="Recebido no 2008",0,-G18)</f>
        <v>750</v>
      </c>
    </row>
    <row r="19" customFormat="false" ht="15" hidden="false" customHeight="false" outlineLevel="0" collapsed="false">
      <c r="A19" s="61" t="s">
        <v>596</v>
      </c>
      <c r="B19" s="61" t="s">
        <v>31</v>
      </c>
      <c r="C19" s="61" t="s">
        <v>36</v>
      </c>
      <c r="D19" s="61" t="s">
        <v>251</v>
      </c>
      <c r="E19" s="61" t="s">
        <v>1049</v>
      </c>
      <c r="F19" s="60" t="n">
        <v>46289</v>
      </c>
      <c r="G19" s="62" t="n">
        <v>-750</v>
      </c>
      <c r="H19" s="61" t="s">
        <v>4</v>
      </c>
      <c r="I19" s="60" t="n">
        <v>46289</v>
      </c>
      <c r="J19" s="64" t="n">
        <v>0.694560185185185</v>
      </c>
      <c r="K19" s="61" t="str">
        <f aca="false">IF(AND(G19&gt;0,F19&lt;=Resumo!$C$6),"Recebido no 2008",IF(G19&lt;0,"Entrada","Estorno"))</f>
        <v>Entrada</v>
      </c>
      <c r="L19" s="62" t="n">
        <f aca="false">IF(K19="Recebido no 2008",0,-G19)</f>
        <v>750</v>
      </c>
    </row>
    <row r="20" customFormat="false" ht="15" hidden="false" customHeight="false" outlineLevel="0" collapsed="false">
      <c r="A20" s="61" t="s">
        <v>598</v>
      </c>
      <c r="B20" s="61" t="s">
        <v>31</v>
      </c>
      <c r="C20" s="61" t="s">
        <v>42</v>
      </c>
      <c r="D20" s="61" t="s">
        <v>251</v>
      </c>
      <c r="E20" s="61" t="s">
        <v>1049</v>
      </c>
      <c r="F20" s="60" t="n">
        <v>46289</v>
      </c>
      <c r="G20" s="62" t="n">
        <v>30</v>
      </c>
      <c r="H20" s="61" t="s">
        <v>4</v>
      </c>
      <c r="I20" s="60" t="n">
        <v>46289</v>
      </c>
      <c r="J20" s="64" t="n">
        <v>0.692581018518519</v>
      </c>
      <c r="K20" s="61" t="str">
        <f aca="false">IF(AND(G20&gt;0,F20&lt;=Resumo!$C$6),"Recebido no 2008",IF(G20&lt;0,"Entrada","Estorno"))</f>
        <v>Estorno</v>
      </c>
      <c r="L20" s="62" t="n">
        <f aca="false">IF(K20="Recebido no 2008",0,-G20)</f>
        <v>-30</v>
      </c>
    </row>
    <row r="21" customFormat="false" ht="15" hidden="false" customHeight="false" outlineLevel="0" collapsed="false">
      <c r="A21" s="61" t="s">
        <v>597</v>
      </c>
      <c r="B21" s="61" t="s">
        <v>31</v>
      </c>
      <c r="C21" s="61" t="s">
        <v>36</v>
      </c>
      <c r="D21" s="61" t="s">
        <v>251</v>
      </c>
      <c r="E21" s="61" t="s">
        <v>1049</v>
      </c>
      <c r="F21" s="60" t="n">
        <v>46289</v>
      </c>
      <c r="G21" s="62" t="n">
        <v>-30</v>
      </c>
      <c r="H21" s="61" t="s">
        <v>4</v>
      </c>
      <c r="I21" s="60" t="n">
        <v>46289</v>
      </c>
      <c r="J21" s="64" t="n">
        <v>0.686759259259259</v>
      </c>
      <c r="K21" s="61" t="str">
        <f aca="false">IF(AND(G21&gt;0,F21&lt;=Resumo!$C$6),"Recebido no 2008",IF(G21&lt;0,"Entrada","Estorno"))</f>
        <v>Entrada</v>
      </c>
      <c r="L21" s="62" t="n">
        <f aca="false">IF(K21="Recebido no 2008",0,-G21)</f>
        <v>30</v>
      </c>
    </row>
    <row r="22" customFormat="false" ht="15" hidden="false" customHeight="false" outlineLevel="0" collapsed="false">
      <c r="A22" s="61" t="s">
        <v>598</v>
      </c>
      <c r="B22" s="61" t="s">
        <v>31</v>
      </c>
      <c r="C22" s="61" t="s">
        <v>36</v>
      </c>
      <c r="D22" s="61" t="s">
        <v>251</v>
      </c>
      <c r="E22" s="61" t="s">
        <v>1049</v>
      </c>
      <c r="F22" s="60" t="n">
        <v>46289</v>
      </c>
      <c r="G22" s="62" t="n">
        <v>30</v>
      </c>
      <c r="H22" s="61" t="s">
        <v>4</v>
      </c>
      <c r="I22" s="60" t="n">
        <v>46289</v>
      </c>
      <c r="J22" s="64" t="n">
        <v>0.692581018518519</v>
      </c>
      <c r="K22" s="61" t="str">
        <f aca="false">IF(AND(G22&gt;0,F22&lt;=Resumo!$C$6),"Recebido no 2008",IF(G22&lt;0,"Entrada","Estorno"))</f>
        <v>Estorno</v>
      </c>
      <c r="L22" s="62" t="n">
        <f aca="false">IF(K22="Recebido no 2008",0,-G22)</f>
        <v>-30</v>
      </c>
    </row>
    <row r="23" customFormat="false" ht="15" hidden="false" customHeight="false" outlineLevel="0" collapsed="false">
      <c r="A23" s="61" t="s">
        <v>596</v>
      </c>
      <c r="B23" s="61" t="s">
        <v>31</v>
      </c>
      <c r="C23" s="61" t="s">
        <v>42</v>
      </c>
      <c r="D23" s="61" t="s">
        <v>251</v>
      </c>
      <c r="E23" s="61" t="s">
        <v>1049</v>
      </c>
      <c r="F23" s="60" t="n">
        <v>46289</v>
      </c>
      <c r="G23" s="62" t="n">
        <v>-750</v>
      </c>
      <c r="H23" s="61" t="s">
        <v>4</v>
      </c>
      <c r="I23" s="60" t="n">
        <v>46289</v>
      </c>
      <c r="J23" s="64" t="n">
        <v>0.694560185185185</v>
      </c>
      <c r="K23" s="61" t="str">
        <f aca="false">IF(AND(G23&gt;0,F23&lt;=Resumo!$C$6),"Recebido no 2008",IF(G23&lt;0,"Entrada","Estorno"))</f>
        <v>Entrada</v>
      </c>
      <c r="L23" s="62" t="n">
        <f aca="false">IF(K23="Recebido no 2008",0,-G23)</f>
        <v>750</v>
      </c>
    </row>
    <row r="24" customFormat="false" ht="15" hidden="false" customHeight="false" outlineLevel="0" collapsed="false">
      <c r="A24" s="61" t="s">
        <v>597</v>
      </c>
      <c r="B24" s="61" t="s">
        <v>31</v>
      </c>
      <c r="C24" s="61" t="s">
        <v>42</v>
      </c>
      <c r="D24" s="61" t="s">
        <v>251</v>
      </c>
      <c r="E24" s="61" t="s">
        <v>1049</v>
      </c>
      <c r="F24" s="60" t="n">
        <v>46289</v>
      </c>
      <c r="G24" s="62" t="n">
        <v>-30</v>
      </c>
      <c r="H24" s="61" t="s">
        <v>4</v>
      </c>
      <c r="I24" s="60" t="n">
        <v>46289</v>
      </c>
      <c r="J24" s="64" t="n">
        <v>0.686759259259259</v>
      </c>
      <c r="K24" s="61" t="str">
        <f aca="false">IF(AND(G24&gt;0,F24&lt;=Resumo!$C$6),"Recebido no 2008",IF(G24&lt;0,"Entrada","Estorno"))</f>
        <v>Entrada</v>
      </c>
      <c r="L24" s="62" t="n">
        <f aca="false">IF(K24="Recebido no 2008",0,-G24)</f>
        <v>30</v>
      </c>
    </row>
    <row r="25" customFormat="false" ht="15" hidden="false" customHeight="false" outlineLevel="0" collapsed="false">
      <c r="A25" s="61" t="s">
        <v>858</v>
      </c>
      <c r="B25" s="61" t="s">
        <v>33</v>
      </c>
      <c r="C25" s="61" t="s">
        <v>54</v>
      </c>
      <c r="D25" s="61" t="s">
        <v>251</v>
      </c>
      <c r="E25" s="61" t="s">
        <v>1049</v>
      </c>
      <c r="F25" s="60" t="n">
        <v>46294</v>
      </c>
      <c r="G25" s="62" t="n">
        <v>-540</v>
      </c>
      <c r="H25" s="61" t="s">
        <v>4</v>
      </c>
      <c r="I25" s="60" t="n">
        <v>46294</v>
      </c>
      <c r="J25" s="64" t="n">
        <v>0.693738425925926</v>
      </c>
      <c r="K25" s="61" t="str">
        <f aca="false">IF(AND(G25&gt;0,F25&lt;=Resumo!$C$6),"Recebido no 2008",IF(G25&lt;0,"Entrada","Estorno"))</f>
        <v>Entrada</v>
      </c>
      <c r="L25" s="62" t="n">
        <f aca="false">IF(K25="Recebido no 2008",0,-G25)</f>
        <v>540</v>
      </c>
    </row>
    <row r="26" customFormat="false" ht="15" hidden="false" customHeight="false" outlineLevel="0" collapsed="false">
      <c r="A26" s="61" t="s">
        <v>858</v>
      </c>
      <c r="B26" s="61" t="s">
        <v>33</v>
      </c>
      <c r="C26" s="61" t="s">
        <v>54</v>
      </c>
      <c r="D26" s="61" t="s">
        <v>251</v>
      </c>
      <c r="E26" s="61" t="s">
        <v>1049</v>
      </c>
      <c r="F26" s="60" t="n">
        <v>46294</v>
      </c>
      <c r="G26" s="62" t="n">
        <v>-600</v>
      </c>
      <c r="H26" s="61" t="s">
        <v>4</v>
      </c>
      <c r="I26" s="60" t="n">
        <v>46294</v>
      </c>
      <c r="J26" s="64" t="n">
        <v>0.693738425925926</v>
      </c>
      <c r="K26" s="61" t="str">
        <f aca="false">IF(AND(G26&gt;0,F26&lt;=Resumo!$C$6),"Recebido no 2008",IF(G26&lt;0,"Entrada","Estorno"))</f>
        <v>Entrada</v>
      </c>
      <c r="L26" s="62" t="n">
        <f aca="false">IF(K26="Recebido no 2008",0,-G26)</f>
        <v>600</v>
      </c>
    </row>
    <row r="27" customFormat="false" ht="15" hidden="false" customHeight="false" outlineLevel="0" collapsed="false">
      <c r="A27" s="61" t="s">
        <v>849</v>
      </c>
      <c r="B27" s="61" t="s">
        <v>35</v>
      </c>
      <c r="C27" s="61" t="s">
        <v>58</v>
      </c>
      <c r="D27" s="61" t="s">
        <v>251</v>
      </c>
      <c r="E27" s="61" t="s">
        <v>1049</v>
      </c>
      <c r="F27" s="60" t="n">
        <v>46294</v>
      </c>
      <c r="G27" s="62" t="n">
        <v>-603</v>
      </c>
      <c r="H27" s="61" t="s">
        <v>4</v>
      </c>
      <c r="I27" s="60" t="n">
        <v>46294</v>
      </c>
      <c r="J27" s="64" t="n">
        <v>0.685798611111111</v>
      </c>
      <c r="K27" s="61" t="str">
        <f aca="false">IF(AND(G27&gt;0,F27&lt;=Resumo!$C$6),"Recebido no 2008",IF(G27&lt;0,"Entrada","Estorno"))</f>
        <v>Entrada</v>
      </c>
      <c r="L27" s="62" t="n">
        <f aca="false">IF(K27="Recebido no 2008",0,-G27)</f>
        <v>603</v>
      </c>
    </row>
    <row r="28" customFormat="false" ht="15" hidden="false" customHeight="false" outlineLevel="0" collapsed="false">
      <c r="A28" s="61" t="s">
        <v>849</v>
      </c>
      <c r="B28" s="61" t="s">
        <v>35</v>
      </c>
      <c r="C28" s="61" t="s">
        <v>58</v>
      </c>
      <c r="D28" s="61" t="s">
        <v>251</v>
      </c>
      <c r="E28" s="61" t="s">
        <v>1049</v>
      </c>
      <c r="F28" s="60" t="n">
        <v>46294</v>
      </c>
      <c r="G28" s="62" t="n">
        <v>-603</v>
      </c>
      <c r="H28" s="61" t="s">
        <v>4</v>
      </c>
      <c r="I28" s="60" t="n">
        <v>46294</v>
      </c>
      <c r="J28" s="64" t="n">
        <v>0.685798611111111</v>
      </c>
      <c r="K28" s="61" t="str">
        <f aca="false">IF(AND(G28&gt;0,F28&lt;=Resumo!$C$6),"Recebido no 2008",IF(G28&lt;0,"Entrada","Estorno"))</f>
        <v>Entrada</v>
      </c>
      <c r="L28" s="62" t="n">
        <f aca="false">IF(K28="Recebido no 2008",0,-G28)</f>
        <v>603</v>
      </c>
    </row>
    <row r="29" customFormat="false" ht="15" hidden="false" customHeight="false" outlineLevel="0" collapsed="false">
      <c r="A29" s="61" t="s">
        <v>849</v>
      </c>
      <c r="B29" s="61" t="s">
        <v>35</v>
      </c>
      <c r="C29" s="61" t="s">
        <v>58</v>
      </c>
      <c r="D29" s="61" t="s">
        <v>251</v>
      </c>
      <c r="E29" s="61" t="s">
        <v>1049</v>
      </c>
      <c r="F29" s="60" t="n">
        <v>46294</v>
      </c>
      <c r="G29" s="62" t="n">
        <v>-603</v>
      </c>
      <c r="H29" s="61" t="s">
        <v>4</v>
      </c>
      <c r="I29" s="60" t="n">
        <v>46294</v>
      </c>
      <c r="J29" s="64" t="n">
        <v>0.685798611111111</v>
      </c>
      <c r="K29" s="61" t="str">
        <f aca="false">IF(AND(G29&gt;0,F29&lt;=Resumo!$C$6),"Recebido no 2008",IF(G29&lt;0,"Entrada","Estorno"))</f>
        <v>Entrada</v>
      </c>
      <c r="L29" s="62" t="n">
        <f aca="false">IF(K29="Recebido no 2008",0,-G29)</f>
        <v>603</v>
      </c>
    </row>
    <row r="30" customFormat="false" ht="15" hidden="false" customHeight="false" outlineLevel="0" collapsed="false">
      <c r="A30" s="61" t="s">
        <v>849</v>
      </c>
      <c r="B30" s="61" t="s">
        <v>35</v>
      </c>
      <c r="C30" s="61" t="s">
        <v>58</v>
      </c>
      <c r="D30" s="61" t="s">
        <v>251</v>
      </c>
      <c r="E30" s="61" t="s">
        <v>1049</v>
      </c>
      <c r="F30" s="60" t="n">
        <v>46294</v>
      </c>
      <c r="G30" s="62" t="n">
        <v>-120.6</v>
      </c>
      <c r="H30" s="61" t="s">
        <v>4</v>
      </c>
      <c r="I30" s="60" t="n">
        <v>46294</v>
      </c>
      <c r="J30" s="64" t="n">
        <v>0.685798611111111</v>
      </c>
      <c r="K30" s="61" t="str">
        <f aca="false">IF(AND(G30&gt;0,F30&lt;=Resumo!$C$6),"Recebido no 2008",IF(G30&lt;0,"Entrada","Estorno"))</f>
        <v>Entrada</v>
      </c>
      <c r="L30" s="62" t="n">
        <f aca="false">IF(K30="Recebido no 2008",0,-G30)</f>
        <v>120.6</v>
      </c>
    </row>
    <row r="31" customFormat="false" ht="15" hidden="false" customHeight="false" outlineLevel="0" collapsed="false">
      <c r="A31" s="61" t="s">
        <v>849</v>
      </c>
      <c r="B31" s="61" t="s">
        <v>35</v>
      </c>
      <c r="C31" s="61" t="s">
        <v>58</v>
      </c>
      <c r="D31" s="61" t="s">
        <v>251</v>
      </c>
      <c r="E31" s="61" t="s">
        <v>1049</v>
      </c>
      <c r="F31" s="60" t="n">
        <v>46294</v>
      </c>
      <c r="G31" s="62" t="n">
        <v>-482.4</v>
      </c>
      <c r="H31" s="61" t="s">
        <v>4</v>
      </c>
      <c r="I31" s="60" t="n">
        <v>46294</v>
      </c>
      <c r="J31" s="64" t="n">
        <v>0.685798611111111</v>
      </c>
      <c r="K31" s="61" t="str">
        <f aca="false">IF(AND(G31&gt;0,F31&lt;=Resumo!$C$6),"Recebido no 2008",IF(G31&lt;0,"Entrada","Estorno"))</f>
        <v>Entrada</v>
      </c>
      <c r="L31" s="62" t="n">
        <f aca="false">IF(K31="Recebido no 2008",0,-G31)</f>
        <v>482.4</v>
      </c>
    </row>
    <row r="32" customFormat="false" ht="15" hidden="false" customHeight="false" outlineLevel="0" collapsed="false">
      <c r="A32" s="61" t="s">
        <v>841</v>
      </c>
      <c r="B32" s="61" t="s">
        <v>35</v>
      </c>
      <c r="C32" s="61" t="s">
        <v>58</v>
      </c>
      <c r="D32" s="61" t="s">
        <v>251</v>
      </c>
      <c r="E32" s="61" t="s">
        <v>1049</v>
      </c>
      <c r="F32" s="60" t="n">
        <v>46293</v>
      </c>
      <c r="G32" s="62" t="n">
        <v>-1200</v>
      </c>
      <c r="H32" s="61" t="s">
        <v>4</v>
      </c>
      <c r="I32" s="60" t="n">
        <v>46293</v>
      </c>
      <c r="J32" s="64" t="n">
        <v>0.717893518518519</v>
      </c>
      <c r="K32" s="61" t="str">
        <f aca="false">IF(AND(G32&gt;0,F32&lt;=Resumo!$C$6),"Recebido no 2008",IF(G32&lt;0,"Entrada","Estorno"))</f>
        <v>Entrada</v>
      </c>
      <c r="L32" s="62" t="n">
        <f aca="false">IF(K32="Recebido no 2008",0,-G32)</f>
        <v>1200</v>
      </c>
    </row>
    <row r="33" customFormat="false" ht="15" hidden="false" customHeight="false" outlineLevel="0" collapsed="false">
      <c r="A33" s="61" t="s">
        <v>599</v>
      </c>
      <c r="B33" s="61" t="s">
        <v>35</v>
      </c>
      <c r="C33" s="61" t="s">
        <v>56</v>
      </c>
      <c r="D33" s="61" t="s">
        <v>251</v>
      </c>
      <c r="E33" s="61" t="s">
        <v>1049</v>
      </c>
      <c r="F33" s="60" t="n">
        <v>46289</v>
      </c>
      <c r="G33" s="62" t="n">
        <v>-461.9</v>
      </c>
      <c r="H33" s="61" t="s">
        <v>4</v>
      </c>
      <c r="I33" s="60" t="n">
        <v>46289</v>
      </c>
      <c r="J33" s="64" t="n">
        <v>0.929027777777778</v>
      </c>
      <c r="K33" s="61" t="str">
        <f aca="false">IF(AND(G33&gt;0,F33&lt;=Resumo!$C$6),"Recebido no 2008",IF(G33&lt;0,"Entrada","Estorno"))</f>
        <v>Entrada</v>
      </c>
      <c r="L33" s="62" t="n">
        <f aca="false">IF(K33="Recebido no 2008",0,-G33)</f>
        <v>461.9</v>
      </c>
    </row>
    <row r="34" customFormat="false" ht="15" hidden="false" customHeight="false" outlineLevel="0" collapsed="false">
      <c r="A34" s="61" t="s">
        <v>584</v>
      </c>
      <c r="B34" s="61" t="s">
        <v>35</v>
      </c>
      <c r="C34" s="61" t="s">
        <v>60</v>
      </c>
      <c r="D34" s="61" t="s">
        <v>251</v>
      </c>
      <c r="E34" s="61" t="s">
        <v>1049</v>
      </c>
      <c r="F34" s="60" t="n">
        <v>46289</v>
      </c>
      <c r="G34" s="62" t="n">
        <v>-1206</v>
      </c>
      <c r="H34" s="61" t="s">
        <v>4</v>
      </c>
      <c r="I34" s="60" t="n">
        <v>46289</v>
      </c>
      <c r="J34" s="64" t="n">
        <v>0.878275462962963</v>
      </c>
      <c r="K34" s="61" t="str">
        <f aca="false">IF(AND(G34&gt;0,F34&lt;=Resumo!$C$6),"Recebido no 2008",IF(G34&lt;0,"Entrada","Estorno"))</f>
        <v>Entrada</v>
      </c>
      <c r="L34" s="62" t="n">
        <f aca="false">IF(K34="Recebido no 2008",0,-G34)</f>
        <v>1206</v>
      </c>
    </row>
    <row r="35" customFormat="false" ht="15" hidden="false" customHeight="false" outlineLevel="0" collapsed="false">
      <c r="A35" s="61" t="s">
        <v>853</v>
      </c>
      <c r="B35" s="61" t="s">
        <v>43</v>
      </c>
      <c r="C35" s="61" t="s">
        <v>64</v>
      </c>
      <c r="D35" s="61" t="s">
        <v>251</v>
      </c>
      <c r="E35" s="61" t="s">
        <v>1049</v>
      </c>
      <c r="F35" s="60" t="n">
        <v>46294</v>
      </c>
      <c r="G35" s="62" t="n">
        <v>-1000</v>
      </c>
      <c r="H35" s="61" t="s">
        <v>4</v>
      </c>
      <c r="I35" s="60" t="n">
        <v>46294</v>
      </c>
      <c r="J35" s="64" t="n">
        <v>0.611377314814815</v>
      </c>
      <c r="K35" s="61" t="str">
        <f aca="false">IF(AND(G35&gt;0,F35&lt;=Resumo!$C$6),"Recebido no 2008",IF(G35&lt;0,"Entrada","Estorno"))</f>
        <v>Entrada</v>
      </c>
      <c r="L35" s="62" t="n">
        <f aca="false">IF(K35="Recebido no 2008",0,-G35)</f>
        <v>1000</v>
      </c>
    </row>
    <row r="36" customFormat="false" ht="15" hidden="false" customHeight="false" outlineLevel="0" collapsed="false">
      <c r="A36" s="61" t="s">
        <v>841</v>
      </c>
      <c r="B36" s="61" t="s">
        <v>47</v>
      </c>
      <c r="C36" s="61" t="s">
        <v>66</v>
      </c>
      <c r="D36" s="61" t="s">
        <v>251</v>
      </c>
      <c r="E36" s="61" t="s">
        <v>1049</v>
      </c>
      <c r="F36" s="60" t="n">
        <v>46293</v>
      </c>
      <c r="G36" s="62" t="n">
        <v>-1800</v>
      </c>
      <c r="H36" s="61" t="s">
        <v>4</v>
      </c>
      <c r="I36" s="60" t="n">
        <v>46293</v>
      </c>
      <c r="J36" s="64" t="n">
        <v>0.717893518518519</v>
      </c>
      <c r="K36" s="61" t="str">
        <f aca="false">IF(AND(G36&gt;0,F36&lt;=Resumo!$C$6),"Recebido no 2008",IF(G36&lt;0,"Entrada","Estorno"))</f>
        <v>Entrada</v>
      </c>
      <c r="L36" s="62" t="n">
        <f aca="false">IF(K36="Recebido no 2008",0,-G36)</f>
        <v>1800</v>
      </c>
    </row>
    <row r="37" customFormat="false" ht="15" hidden="false" customHeight="false" outlineLevel="0" collapsed="false">
      <c r="A37" s="61" t="s">
        <v>606</v>
      </c>
      <c r="B37" s="61" t="s">
        <v>47</v>
      </c>
      <c r="C37" s="61" t="s">
        <v>68</v>
      </c>
      <c r="D37" s="61" t="s">
        <v>251</v>
      </c>
      <c r="E37" s="61" t="s">
        <v>1049</v>
      </c>
      <c r="F37" s="60" t="n">
        <v>46289</v>
      </c>
      <c r="G37" s="62" t="n">
        <v>-3540</v>
      </c>
      <c r="H37" s="61" t="s">
        <v>4</v>
      </c>
      <c r="I37" s="60" t="n">
        <v>46289</v>
      </c>
      <c r="J37" s="64" t="n">
        <v>0.708125</v>
      </c>
      <c r="K37" s="61" t="str">
        <f aca="false">IF(AND(G37&gt;0,F37&lt;=Resumo!$C$6),"Recebido no 2008",IF(G37&lt;0,"Entrada","Estorno"))</f>
        <v>Entrada</v>
      </c>
      <c r="L37" s="62" t="n">
        <f aca="false">IF(K37="Recebido no 2008",0,-G37)</f>
        <v>3540</v>
      </c>
    </row>
    <row r="38" customFormat="false" ht="15" hidden="false" customHeight="false" outlineLevel="0" collapsed="false">
      <c r="A38" s="61" t="s">
        <v>597</v>
      </c>
      <c r="B38" s="61" t="s">
        <v>47</v>
      </c>
      <c r="C38" s="61" t="s">
        <v>68</v>
      </c>
      <c r="D38" s="61" t="s">
        <v>251</v>
      </c>
      <c r="E38" s="61" t="s">
        <v>1049</v>
      </c>
      <c r="F38" s="60" t="n">
        <v>46289</v>
      </c>
      <c r="G38" s="62" t="n">
        <v>-205</v>
      </c>
      <c r="H38" s="61" t="s">
        <v>4</v>
      </c>
      <c r="I38" s="60" t="n">
        <v>46289</v>
      </c>
      <c r="J38" s="64" t="n">
        <v>0.686759259259259</v>
      </c>
      <c r="K38" s="61" t="str">
        <f aca="false">IF(AND(G38&gt;0,F38&lt;=Resumo!$C$6),"Recebido no 2008",IF(G38&lt;0,"Entrada","Estorno"))</f>
        <v>Entrada</v>
      </c>
      <c r="L38" s="62" t="n">
        <f aca="false">IF(K38="Recebido no 2008",0,-G38)</f>
        <v>205</v>
      </c>
    </row>
    <row r="39" customFormat="false" ht="15" hidden="false" customHeight="false" outlineLevel="0" collapsed="false">
      <c r="A39" s="61" t="s">
        <v>598</v>
      </c>
      <c r="B39" s="61" t="s">
        <v>47</v>
      </c>
      <c r="C39" s="61" t="s">
        <v>68</v>
      </c>
      <c r="D39" s="61" t="s">
        <v>251</v>
      </c>
      <c r="E39" s="61" t="s">
        <v>1049</v>
      </c>
      <c r="F39" s="60" t="n">
        <v>46289</v>
      </c>
      <c r="G39" s="62" t="n">
        <v>205</v>
      </c>
      <c r="H39" s="61" t="s">
        <v>4</v>
      </c>
      <c r="I39" s="60" t="n">
        <v>46289</v>
      </c>
      <c r="J39" s="64" t="n">
        <v>0.692581018518519</v>
      </c>
      <c r="K39" s="61" t="str">
        <f aca="false">IF(AND(G39&gt;0,F39&lt;=Resumo!$C$6),"Recebido no 2008",IF(G39&lt;0,"Entrada","Estorno"))</f>
        <v>Estorno</v>
      </c>
      <c r="L39" s="62" t="n">
        <f aca="false">IF(K39="Recebido no 2008",0,-G39)</f>
        <v>-205</v>
      </c>
    </row>
    <row r="40" customFormat="false" ht="15" hidden="false" customHeight="false" outlineLevel="0" collapsed="false">
      <c r="A40" s="61" t="s">
        <v>871</v>
      </c>
      <c r="B40" s="61" t="s">
        <v>53</v>
      </c>
      <c r="C40" s="61" t="s">
        <v>80</v>
      </c>
      <c r="D40" s="61" t="s">
        <v>251</v>
      </c>
      <c r="E40" s="61" t="s">
        <v>1049</v>
      </c>
      <c r="F40" s="60" t="n">
        <v>46294</v>
      </c>
      <c r="G40" s="62" t="n">
        <v>-450</v>
      </c>
      <c r="H40" s="61" t="s">
        <v>9</v>
      </c>
      <c r="I40" s="60" t="n">
        <v>46294</v>
      </c>
      <c r="J40" s="64" t="n">
        <v>0.737974537037037</v>
      </c>
      <c r="K40" s="61" t="str">
        <f aca="false">IF(AND(G40&gt;0,F40&lt;=Resumo!$C$6),"Recebido no 2008",IF(G40&lt;0,"Entrada","Estorno"))</f>
        <v>Entrada</v>
      </c>
      <c r="L40" s="62" t="n">
        <f aca="false">IF(K40="Recebido no 2008",0,-G40)</f>
        <v>450</v>
      </c>
    </row>
    <row r="41" customFormat="false" ht="15" hidden="false" customHeight="false" outlineLevel="0" collapsed="false">
      <c r="A41" s="61" t="s">
        <v>878</v>
      </c>
      <c r="B41" s="61" t="s">
        <v>53</v>
      </c>
      <c r="C41" s="61" t="s">
        <v>82</v>
      </c>
      <c r="D41" s="61" t="s">
        <v>251</v>
      </c>
      <c r="E41" s="61" t="s">
        <v>1049</v>
      </c>
      <c r="F41" s="60" t="n">
        <v>46294</v>
      </c>
      <c r="G41" s="62" t="n">
        <v>-450</v>
      </c>
      <c r="H41" s="61" t="s">
        <v>9</v>
      </c>
      <c r="I41" s="60" t="n">
        <v>46294</v>
      </c>
      <c r="J41" s="64" t="n">
        <v>0.609502314814815</v>
      </c>
      <c r="K41" s="61" t="str">
        <f aca="false">IF(AND(G41&gt;0,F41&lt;=Resumo!$C$6),"Recebido no 2008",IF(G41&lt;0,"Entrada","Estorno"))</f>
        <v>Entrada</v>
      </c>
      <c r="L41" s="62" t="n">
        <f aca="false">IF(K41="Recebido no 2008",0,-G41)</f>
        <v>450</v>
      </c>
    </row>
    <row r="42" customFormat="false" ht="15" hidden="false" customHeight="false" outlineLevel="0" collapsed="false">
      <c r="A42" s="61" t="s">
        <v>882</v>
      </c>
      <c r="B42" s="61" t="s">
        <v>53</v>
      </c>
      <c r="C42" s="61" t="s">
        <v>86</v>
      </c>
      <c r="D42" s="61" t="s">
        <v>251</v>
      </c>
      <c r="E42" s="61" t="s">
        <v>1049</v>
      </c>
      <c r="F42" s="60" t="n">
        <v>46294</v>
      </c>
      <c r="G42" s="62" t="n">
        <v>-30</v>
      </c>
      <c r="H42" s="61" t="s">
        <v>9</v>
      </c>
      <c r="I42" s="60" t="n">
        <v>46294</v>
      </c>
      <c r="J42" s="64" t="n">
        <v>0.643587962962963</v>
      </c>
      <c r="K42" s="61" t="str">
        <f aca="false">IF(AND(G42&gt;0,F42&lt;=Resumo!$C$6),"Recebido no 2008",IF(G42&lt;0,"Entrada","Estorno"))</f>
        <v>Entrada</v>
      </c>
      <c r="L42" s="62" t="n">
        <f aca="false">IF(K42="Recebido no 2008",0,-G42)</f>
        <v>30</v>
      </c>
    </row>
    <row r="43" customFormat="false" ht="15" hidden="false" customHeight="false" outlineLevel="0" collapsed="false">
      <c r="A43" s="61" t="s">
        <v>870</v>
      </c>
      <c r="B43" s="61" t="s">
        <v>53</v>
      </c>
      <c r="C43" s="61" t="s">
        <v>86</v>
      </c>
      <c r="D43" s="61" t="s">
        <v>251</v>
      </c>
      <c r="E43" s="61" t="s">
        <v>1049</v>
      </c>
      <c r="F43" s="60" t="n">
        <v>46294</v>
      </c>
      <c r="G43" s="62" t="n">
        <v>30</v>
      </c>
      <c r="H43" s="61" t="s">
        <v>9</v>
      </c>
      <c r="I43" s="60" t="n">
        <v>46294</v>
      </c>
      <c r="J43" s="64" t="n">
        <v>0.643206018518519</v>
      </c>
      <c r="K43" s="61" t="str">
        <f aca="false">IF(AND(G43&gt;0,F43&lt;=Resumo!$C$6),"Recebido no 2008",IF(G43&lt;0,"Entrada","Estorno"))</f>
        <v>Estorno</v>
      </c>
      <c r="L43" s="62" t="n">
        <f aca="false">IF(K43="Recebido no 2008",0,-G43)</f>
        <v>-30</v>
      </c>
    </row>
    <row r="44" customFormat="false" ht="15" hidden="false" customHeight="false" outlineLevel="0" collapsed="false">
      <c r="A44" s="61" t="s">
        <v>870</v>
      </c>
      <c r="B44" s="61" t="s">
        <v>53</v>
      </c>
      <c r="C44" s="61" t="s">
        <v>76</v>
      </c>
      <c r="D44" s="61" t="s">
        <v>251</v>
      </c>
      <c r="E44" s="61" t="s">
        <v>1049</v>
      </c>
      <c r="F44" s="60" t="n">
        <v>46294</v>
      </c>
      <c r="G44" s="62" t="n">
        <v>-30</v>
      </c>
      <c r="H44" s="61" t="s">
        <v>9</v>
      </c>
      <c r="I44" s="60" t="n">
        <v>46294</v>
      </c>
      <c r="J44" s="64" t="n">
        <v>0.643206018518519</v>
      </c>
      <c r="K44" s="61" t="str">
        <f aca="false">IF(AND(G44&gt;0,F44&lt;=Resumo!$C$6),"Recebido no 2008",IF(G44&lt;0,"Entrada","Estorno"))</f>
        <v>Entrada</v>
      </c>
      <c r="L44" s="62" t="n">
        <f aca="false">IF(K44="Recebido no 2008",0,-G44)</f>
        <v>30</v>
      </c>
    </row>
    <row r="45" customFormat="false" ht="15" hidden="false" customHeight="false" outlineLevel="0" collapsed="false">
      <c r="A45" s="61" t="s">
        <v>883</v>
      </c>
      <c r="B45" s="61" t="s">
        <v>53</v>
      </c>
      <c r="C45" s="61" t="s">
        <v>86</v>
      </c>
      <c r="D45" s="61" t="s">
        <v>251</v>
      </c>
      <c r="E45" s="61" t="s">
        <v>1049</v>
      </c>
      <c r="F45" s="60" t="n">
        <v>46294</v>
      </c>
      <c r="G45" s="62" t="n">
        <v>-495</v>
      </c>
      <c r="H45" s="61" t="s">
        <v>9</v>
      </c>
      <c r="I45" s="60" t="n">
        <v>46294</v>
      </c>
      <c r="J45" s="64" t="n">
        <v>0.641354166666667</v>
      </c>
      <c r="K45" s="61" t="str">
        <f aca="false">IF(AND(G45&gt;0,F45&lt;=Resumo!$C$6),"Recebido no 2008",IF(G45&lt;0,"Entrada","Estorno"))</f>
        <v>Entrada</v>
      </c>
      <c r="L45" s="62" t="n">
        <f aca="false">IF(K45="Recebido no 2008",0,-G45)</f>
        <v>495</v>
      </c>
    </row>
    <row r="46" customFormat="false" ht="15" hidden="false" customHeight="false" outlineLevel="0" collapsed="false">
      <c r="A46" s="61" t="s">
        <v>841</v>
      </c>
      <c r="B46" s="61" t="s">
        <v>53</v>
      </c>
      <c r="C46" s="61" t="s">
        <v>86</v>
      </c>
      <c r="D46" s="61" t="s">
        <v>251</v>
      </c>
      <c r="E46" s="61" t="s">
        <v>1049</v>
      </c>
      <c r="F46" s="60" t="n">
        <v>46293</v>
      </c>
      <c r="G46" s="62" t="n">
        <v>-825</v>
      </c>
      <c r="H46" s="61" t="s">
        <v>9</v>
      </c>
      <c r="I46" s="60" t="n">
        <v>46293</v>
      </c>
      <c r="J46" s="64" t="n">
        <v>0.717893518518519</v>
      </c>
      <c r="K46" s="61" t="str">
        <f aca="false">IF(AND(G46&gt;0,F46&lt;=Resumo!$C$6),"Recebido no 2008",IF(G46&lt;0,"Entrada","Estorno"))</f>
        <v>Entrada</v>
      </c>
      <c r="L46" s="62" t="n">
        <f aca="false">IF(K46="Recebido no 2008",0,-G46)</f>
        <v>825</v>
      </c>
    </row>
    <row r="47" customFormat="false" ht="15" hidden="false" customHeight="false" outlineLevel="0" collapsed="false">
      <c r="A47" s="61" t="s">
        <v>841</v>
      </c>
      <c r="B47" s="61" t="s">
        <v>53</v>
      </c>
      <c r="C47" s="61" t="s">
        <v>80</v>
      </c>
      <c r="D47" s="61" t="s">
        <v>251</v>
      </c>
      <c r="E47" s="61" t="s">
        <v>1049</v>
      </c>
      <c r="F47" s="60" t="n">
        <v>46293</v>
      </c>
      <c r="G47" s="62" t="n">
        <v>-900</v>
      </c>
      <c r="H47" s="61" t="s">
        <v>9</v>
      </c>
      <c r="I47" s="60" t="n">
        <v>46293</v>
      </c>
      <c r="J47" s="64" t="n">
        <v>0.717893518518519</v>
      </c>
      <c r="K47" s="61" t="str">
        <f aca="false">IF(AND(G47&gt;0,F47&lt;=Resumo!$C$6),"Recebido no 2008",IF(G47&lt;0,"Entrada","Estorno"))</f>
        <v>Entrada</v>
      </c>
      <c r="L47" s="62" t="n">
        <f aca="false">IF(K47="Recebido no 2008",0,-G47)</f>
        <v>900</v>
      </c>
    </row>
    <row r="48" customFormat="false" ht="15" hidden="false" customHeight="false" outlineLevel="0" collapsed="false">
      <c r="A48" s="61" t="s">
        <v>584</v>
      </c>
      <c r="B48" s="61" t="s">
        <v>53</v>
      </c>
      <c r="C48" s="61" t="s">
        <v>78</v>
      </c>
      <c r="D48" s="61" t="s">
        <v>251</v>
      </c>
      <c r="E48" s="61" t="s">
        <v>1049</v>
      </c>
      <c r="F48" s="60" t="n">
        <v>46289</v>
      </c>
      <c r="G48" s="62" t="n">
        <v>-450</v>
      </c>
      <c r="H48" s="61" t="s">
        <v>9</v>
      </c>
      <c r="I48" s="60" t="n">
        <v>46289</v>
      </c>
      <c r="J48" s="64" t="n">
        <v>0.878275462962963</v>
      </c>
      <c r="K48" s="61" t="str">
        <f aca="false">IF(AND(G48&gt;0,F48&lt;=Resumo!$C$6),"Recebido no 2008",IF(G48&lt;0,"Entrada","Estorno"))</f>
        <v>Entrada</v>
      </c>
      <c r="L48" s="62" t="n">
        <f aca="false">IF(K48="Recebido no 2008",0,-G48)</f>
        <v>450</v>
      </c>
    </row>
    <row r="49" customFormat="false" ht="15" hidden="false" customHeight="false" outlineLevel="0" collapsed="false">
      <c r="A49" s="61" t="s">
        <v>584</v>
      </c>
      <c r="B49" s="61" t="s">
        <v>53</v>
      </c>
      <c r="C49" s="61" t="s">
        <v>80</v>
      </c>
      <c r="D49" s="61" t="s">
        <v>251</v>
      </c>
      <c r="E49" s="61" t="s">
        <v>1049</v>
      </c>
      <c r="F49" s="60" t="n">
        <v>46289</v>
      </c>
      <c r="G49" s="62" t="n">
        <v>-450</v>
      </c>
      <c r="H49" s="61" t="s">
        <v>9</v>
      </c>
      <c r="I49" s="60" t="n">
        <v>46289</v>
      </c>
      <c r="J49" s="64" t="n">
        <v>0.878275462962963</v>
      </c>
      <c r="K49" s="61" t="str">
        <f aca="false">IF(AND(G49&gt;0,F49&lt;=Resumo!$C$6),"Recebido no 2008",IF(G49&lt;0,"Entrada","Estorno"))</f>
        <v>Entrada</v>
      </c>
      <c r="L49" s="62" t="n">
        <f aca="false">IF(K49="Recebido no 2008",0,-G49)</f>
        <v>450</v>
      </c>
    </row>
    <row r="50" customFormat="false" ht="15" hidden="false" customHeight="false" outlineLevel="0" collapsed="false">
      <c r="A50" s="61" t="s">
        <v>574</v>
      </c>
      <c r="B50" s="61" t="s">
        <v>55</v>
      </c>
      <c r="C50" s="61" t="s">
        <v>89</v>
      </c>
      <c r="D50" s="61" t="s">
        <v>251</v>
      </c>
      <c r="E50" s="61" t="s">
        <v>1049</v>
      </c>
      <c r="F50" s="60" t="n">
        <v>46288</v>
      </c>
      <c r="G50" s="62" t="n">
        <v>-648</v>
      </c>
      <c r="H50" s="61" t="s">
        <v>4</v>
      </c>
      <c r="I50" s="60" t="n">
        <v>46288</v>
      </c>
      <c r="J50" s="64" t="n">
        <v>0.265335648148148</v>
      </c>
      <c r="K50" s="61" t="str">
        <f aca="false">IF(AND(G50&gt;0,F50&lt;=Resumo!$C$6),"Recebido no 2008",IF(G50&lt;0,"Entrada","Estorno"))</f>
        <v>Entrada</v>
      </c>
      <c r="L50" s="62" t="n">
        <f aca="false">IF(K50="Recebido no 2008",0,-G50)</f>
        <v>648</v>
      </c>
    </row>
    <row r="51" customFormat="false" ht="15" hidden="false" customHeight="false" outlineLevel="0" collapsed="false">
      <c r="A51" s="61" t="s">
        <v>878</v>
      </c>
      <c r="B51" s="61" t="s">
        <v>61</v>
      </c>
      <c r="C51" s="61" t="s">
        <v>107</v>
      </c>
      <c r="D51" s="61" t="s">
        <v>251</v>
      </c>
      <c r="E51" s="61" t="s">
        <v>1049</v>
      </c>
      <c r="F51" s="60" t="n">
        <v>46294</v>
      </c>
      <c r="G51" s="62" t="n">
        <v>-240</v>
      </c>
      <c r="H51" s="61" t="s">
        <v>4</v>
      </c>
      <c r="I51" s="60" t="n">
        <v>46294</v>
      </c>
      <c r="J51" s="64" t="n">
        <v>0.609502314814815</v>
      </c>
      <c r="K51" s="61" t="str">
        <f aca="false">IF(AND(G51&gt;0,F51&lt;=Resumo!$C$6),"Recebido no 2008",IF(G51&lt;0,"Entrada","Estorno"))</f>
        <v>Entrada</v>
      </c>
      <c r="L51" s="62" t="n">
        <f aca="false">IF(K51="Recebido no 2008",0,-G51)</f>
        <v>240</v>
      </c>
    </row>
    <row r="52" customFormat="false" ht="15" hidden="false" customHeight="false" outlineLevel="0" collapsed="false">
      <c r="A52" s="61" t="s">
        <v>871</v>
      </c>
      <c r="B52" s="61" t="s">
        <v>69</v>
      </c>
      <c r="C52" s="61" t="s">
        <v>120</v>
      </c>
      <c r="D52" s="61" t="s">
        <v>251</v>
      </c>
      <c r="E52" s="61" t="s">
        <v>1049</v>
      </c>
      <c r="F52" s="60" t="n">
        <v>46294</v>
      </c>
      <c r="G52" s="62" t="n">
        <v>-603</v>
      </c>
      <c r="H52" s="61" t="s">
        <v>4</v>
      </c>
      <c r="I52" s="60" t="n">
        <v>46294</v>
      </c>
      <c r="J52" s="64" t="n">
        <v>0.737974537037037</v>
      </c>
      <c r="K52" s="61" t="str">
        <f aca="false">IF(AND(G52&gt;0,F52&lt;=Resumo!$C$6),"Recebido no 2008",IF(G52&lt;0,"Entrada","Estorno"))</f>
        <v>Entrada</v>
      </c>
      <c r="L52" s="62" t="n">
        <f aca="false">IF(K52="Recebido no 2008",0,-G52)</f>
        <v>603</v>
      </c>
    </row>
    <row r="53" customFormat="false" ht="15" hidden="false" customHeight="false" outlineLevel="0" collapsed="false">
      <c r="A53" s="61" t="s">
        <v>871</v>
      </c>
      <c r="B53" s="61" t="s">
        <v>69</v>
      </c>
      <c r="C53" s="61" t="s">
        <v>120</v>
      </c>
      <c r="D53" s="61" t="s">
        <v>251</v>
      </c>
      <c r="E53" s="61" t="s">
        <v>1049</v>
      </c>
      <c r="F53" s="60" t="n">
        <v>46294</v>
      </c>
      <c r="G53" s="62" t="n">
        <v>-321.6</v>
      </c>
      <c r="H53" s="61" t="s">
        <v>4</v>
      </c>
      <c r="I53" s="60" t="n">
        <v>46294</v>
      </c>
      <c r="J53" s="64" t="n">
        <v>0.737974537037037</v>
      </c>
      <c r="K53" s="61" t="str">
        <f aca="false">IF(AND(G53&gt;0,F53&lt;=Resumo!$C$6),"Recebido no 2008",IF(G53&lt;0,"Entrada","Estorno"))</f>
        <v>Entrada</v>
      </c>
      <c r="L53" s="62" t="n">
        <f aca="false">IF(K53="Recebido no 2008",0,-G53)</f>
        <v>321.6</v>
      </c>
    </row>
    <row r="54" customFormat="false" ht="15" hidden="false" customHeight="false" outlineLevel="0" collapsed="false">
      <c r="A54" s="61" t="s">
        <v>584</v>
      </c>
      <c r="B54" s="61" t="s">
        <v>69</v>
      </c>
      <c r="C54" s="61" t="s">
        <v>120</v>
      </c>
      <c r="D54" s="61" t="s">
        <v>251</v>
      </c>
      <c r="E54" s="61" t="s">
        <v>1049</v>
      </c>
      <c r="F54" s="60" t="n">
        <v>46289</v>
      </c>
      <c r="G54" s="62" t="n">
        <v>-603</v>
      </c>
      <c r="H54" s="61" t="s">
        <v>4</v>
      </c>
      <c r="I54" s="60" t="n">
        <v>46289</v>
      </c>
      <c r="J54" s="64" t="n">
        <v>0.878275462962963</v>
      </c>
      <c r="K54" s="61" t="str">
        <f aca="false">IF(AND(G54&gt;0,F54&lt;=Resumo!$C$6),"Recebido no 2008",IF(G54&lt;0,"Entrada","Estorno"))</f>
        <v>Entrada</v>
      </c>
      <c r="L54" s="62" t="n">
        <f aca="false">IF(K54="Recebido no 2008",0,-G54)</f>
        <v>603</v>
      </c>
    </row>
    <row r="55" customFormat="false" ht="15" hidden="false" customHeight="false" outlineLevel="0" collapsed="false">
      <c r="A55" s="61" t="s">
        <v>584</v>
      </c>
      <c r="B55" s="61" t="s">
        <v>69</v>
      </c>
      <c r="C55" s="61" t="s">
        <v>120</v>
      </c>
      <c r="D55" s="61" t="s">
        <v>251</v>
      </c>
      <c r="E55" s="61" t="s">
        <v>1049</v>
      </c>
      <c r="F55" s="60" t="n">
        <v>46289</v>
      </c>
      <c r="G55" s="62" t="n">
        <v>-542.7</v>
      </c>
      <c r="H55" s="61" t="s">
        <v>4</v>
      </c>
      <c r="I55" s="60" t="n">
        <v>46289</v>
      </c>
      <c r="J55" s="64" t="n">
        <v>0.878275462962963</v>
      </c>
      <c r="K55" s="61" t="str">
        <f aca="false">IF(AND(G55&gt;0,F55&lt;=Resumo!$C$6),"Recebido no 2008",IF(G55&lt;0,"Entrada","Estorno"))</f>
        <v>Entrada</v>
      </c>
      <c r="L55" s="62" t="n">
        <f aca="false">IF(K55="Recebido no 2008",0,-G55)</f>
        <v>542.7</v>
      </c>
    </row>
    <row r="56" customFormat="false" ht="15" hidden="false" customHeight="false" outlineLevel="0" collapsed="false">
      <c r="A56" s="61" t="s">
        <v>887</v>
      </c>
      <c r="B56" s="61" t="s">
        <v>71</v>
      </c>
      <c r="C56" s="61" t="s">
        <v>136</v>
      </c>
      <c r="D56" s="61" t="s">
        <v>251</v>
      </c>
      <c r="E56" s="61" t="s">
        <v>1049</v>
      </c>
      <c r="F56" s="60" t="n">
        <v>46294</v>
      </c>
      <c r="G56" s="62" t="n">
        <v>-179.2</v>
      </c>
      <c r="H56" s="61" t="s">
        <v>4</v>
      </c>
      <c r="I56" s="60" t="n">
        <v>46294</v>
      </c>
      <c r="J56" s="64" t="n">
        <v>0.612326388888889</v>
      </c>
      <c r="K56" s="61" t="str">
        <f aca="false">IF(AND(G56&gt;0,F56&lt;=Resumo!$C$6),"Recebido no 2008",IF(G56&lt;0,"Entrada","Estorno"))</f>
        <v>Entrada</v>
      </c>
      <c r="L56" s="62" t="n">
        <f aca="false">IF(K56="Recebido no 2008",0,-G56)</f>
        <v>179.2</v>
      </c>
    </row>
    <row r="57" customFormat="false" ht="15" hidden="false" customHeight="false" outlineLevel="0" collapsed="false">
      <c r="A57" s="61" t="s">
        <v>887</v>
      </c>
      <c r="B57" s="61" t="s">
        <v>71</v>
      </c>
      <c r="C57" s="61" t="s">
        <v>136</v>
      </c>
      <c r="D57" s="61" t="s">
        <v>251</v>
      </c>
      <c r="E57" s="61" t="s">
        <v>1049</v>
      </c>
      <c r="F57" s="60" t="n">
        <v>46294</v>
      </c>
      <c r="G57" s="62" t="n">
        <v>-313.6</v>
      </c>
      <c r="H57" s="61" t="s">
        <v>4</v>
      </c>
      <c r="I57" s="60" t="n">
        <v>46294</v>
      </c>
      <c r="J57" s="64" t="n">
        <v>0.612326388888889</v>
      </c>
      <c r="K57" s="61" t="str">
        <f aca="false">IF(AND(G57&gt;0,F57&lt;=Resumo!$C$6),"Recebido no 2008",IF(G57&lt;0,"Entrada","Estorno"))</f>
        <v>Entrada</v>
      </c>
      <c r="L57" s="62" t="n">
        <f aca="false">IF(K57="Recebido no 2008",0,-G57)</f>
        <v>313.6</v>
      </c>
    </row>
    <row r="58" customFormat="false" ht="15" hidden="false" customHeight="false" outlineLevel="0" collapsed="false">
      <c r="A58" s="61" t="s">
        <v>887</v>
      </c>
      <c r="B58" s="61" t="s">
        <v>71</v>
      </c>
      <c r="C58" s="61" t="s">
        <v>136</v>
      </c>
      <c r="D58" s="61" t="s">
        <v>251</v>
      </c>
      <c r="E58" s="61" t="s">
        <v>1049</v>
      </c>
      <c r="F58" s="60" t="n">
        <v>46294</v>
      </c>
      <c r="G58" s="62" t="n">
        <v>-313.6</v>
      </c>
      <c r="H58" s="61" t="s">
        <v>4</v>
      </c>
      <c r="I58" s="60" t="n">
        <v>46294</v>
      </c>
      <c r="J58" s="64" t="n">
        <v>0.612326388888889</v>
      </c>
      <c r="K58" s="61" t="str">
        <f aca="false">IF(AND(G58&gt;0,F58&lt;=Resumo!$C$6),"Recebido no 2008",IF(G58&lt;0,"Entrada","Estorno"))</f>
        <v>Entrada</v>
      </c>
      <c r="L58" s="62" t="n">
        <f aca="false">IF(K58="Recebido no 2008",0,-G58)</f>
        <v>313.6</v>
      </c>
    </row>
    <row r="59" customFormat="false" ht="15" hidden="false" customHeight="false" outlineLevel="0" collapsed="false">
      <c r="A59" s="61" t="s">
        <v>597</v>
      </c>
      <c r="B59" s="61" t="s">
        <v>75</v>
      </c>
      <c r="C59" s="61" t="s">
        <v>143</v>
      </c>
      <c r="D59" s="61" t="s">
        <v>251</v>
      </c>
      <c r="E59" s="61" t="s">
        <v>1049</v>
      </c>
      <c r="F59" s="60" t="n">
        <v>46289</v>
      </c>
      <c r="G59" s="62" t="n">
        <v>-240</v>
      </c>
      <c r="H59" s="61" t="s">
        <v>4</v>
      </c>
      <c r="I59" s="60" t="n">
        <v>46289</v>
      </c>
      <c r="J59" s="64" t="n">
        <v>0.686759259259259</v>
      </c>
      <c r="K59" s="61" t="str">
        <f aca="false">IF(AND(G59&gt;0,F59&lt;=Resumo!$C$6),"Recebido no 2008",IF(G59&lt;0,"Entrada","Estorno"))</f>
        <v>Entrada</v>
      </c>
      <c r="L59" s="62" t="n">
        <f aca="false">IF(K59="Recebido no 2008",0,-G59)</f>
        <v>240</v>
      </c>
    </row>
    <row r="60" customFormat="false" ht="15" hidden="false" customHeight="false" outlineLevel="0" collapsed="false">
      <c r="A60" s="61" t="s">
        <v>596</v>
      </c>
      <c r="B60" s="61" t="s">
        <v>75</v>
      </c>
      <c r="C60" s="61" t="s">
        <v>143</v>
      </c>
      <c r="D60" s="61" t="s">
        <v>251</v>
      </c>
      <c r="E60" s="61" t="s">
        <v>1049</v>
      </c>
      <c r="F60" s="60" t="n">
        <v>46289</v>
      </c>
      <c r="G60" s="62" t="n">
        <v>-960</v>
      </c>
      <c r="H60" s="61" t="s">
        <v>4</v>
      </c>
      <c r="I60" s="60" t="n">
        <v>46289</v>
      </c>
      <c r="J60" s="64" t="n">
        <v>0.694560185185185</v>
      </c>
      <c r="K60" s="61" t="str">
        <f aca="false">IF(AND(G60&gt;0,F60&lt;=Resumo!$C$6),"Recebido no 2008",IF(G60&lt;0,"Entrada","Estorno"))</f>
        <v>Entrada</v>
      </c>
      <c r="L60" s="62" t="n">
        <f aca="false">IF(K60="Recebido no 2008",0,-G60)</f>
        <v>960</v>
      </c>
    </row>
    <row r="61" customFormat="false" ht="15" hidden="false" customHeight="false" outlineLevel="0" collapsed="false">
      <c r="A61" s="61" t="s">
        <v>607</v>
      </c>
      <c r="B61" s="61" t="s">
        <v>75</v>
      </c>
      <c r="C61" s="61" t="s">
        <v>143</v>
      </c>
      <c r="D61" s="61" t="s">
        <v>251</v>
      </c>
      <c r="E61" s="61" t="s">
        <v>1049</v>
      </c>
      <c r="F61" s="60" t="n">
        <v>46289</v>
      </c>
      <c r="G61" s="62" t="n">
        <v>480</v>
      </c>
      <c r="H61" s="61" t="s">
        <v>4</v>
      </c>
      <c r="I61" s="60" t="n">
        <v>46289</v>
      </c>
      <c r="J61" s="64" t="n">
        <v>0.761574074074074</v>
      </c>
      <c r="K61" s="61" t="str">
        <f aca="false">IF(AND(G61&gt;0,F61&lt;=Resumo!$C$6),"Recebido no 2008",IF(G61&lt;0,"Entrada","Estorno"))</f>
        <v>Estorno</v>
      </c>
      <c r="L61" s="62" t="n">
        <f aca="false">IF(K61="Recebido no 2008",0,-G61)</f>
        <v>-480</v>
      </c>
    </row>
    <row r="62" customFormat="false" ht="15" hidden="false" customHeight="false" outlineLevel="0" collapsed="false">
      <c r="A62" s="61" t="s">
        <v>608</v>
      </c>
      <c r="B62" s="61" t="s">
        <v>75</v>
      </c>
      <c r="C62" s="61" t="s">
        <v>143</v>
      </c>
      <c r="D62" s="61" t="s">
        <v>251</v>
      </c>
      <c r="E62" s="61" t="s">
        <v>1049</v>
      </c>
      <c r="F62" s="60" t="n">
        <v>46289</v>
      </c>
      <c r="G62" s="62" t="n">
        <v>480</v>
      </c>
      <c r="H62" s="61" t="s">
        <v>4</v>
      </c>
      <c r="I62" s="60" t="n">
        <v>46289</v>
      </c>
      <c r="J62" s="64" t="n">
        <v>0.756041666666667</v>
      </c>
      <c r="K62" s="61" t="str">
        <f aca="false">IF(AND(G62&gt;0,F62&lt;=Resumo!$C$6),"Recebido no 2008",IF(G62&lt;0,"Entrada","Estorno"))</f>
        <v>Estorno</v>
      </c>
      <c r="L62" s="62" t="n">
        <f aca="false">IF(K62="Recebido no 2008",0,-G62)</f>
        <v>-480</v>
      </c>
    </row>
    <row r="63" customFormat="false" ht="15" hidden="false" customHeight="false" outlineLevel="0" collapsed="false">
      <c r="A63" s="61" t="s">
        <v>598</v>
      </c>
      <c r="B63" s="61" t="s">
        <v>75</v>
      </c>
      <c r="C63" s="61" t="s">
        <v>143</v>
      </c>
      <c r="D63" s="61" t="s">
        <v>251</v>
      </c>
      <c r="E63" s="61" t="s">
        <v>1049</v>
      </c>
      <c r="F63" s="60" t="n">
        <v>46289</v>
      </c>
      <c r="G63" s="62" t="n">
        <v>240</v>
      </c>
      <c r="H63" s="61" t="s">
        <v>4</v>
      </c>
      <c r="I63" s="60" t="n">
        <v>46289</v>
      </c>
      <c r="J63" s="64" t="n">
        <v>0.692581018518519</v>
      </c>
      <c r="K63" s="61" t="str">
        <f aca="false">IF(AND(G63&gt;0,F63&lt;=Resumo!$C$6),"Recebido no 2008",IF(G63&lt;0,"Entrada","Estorno"))</f>
        <v>Estorno</v>
      </c>
      <c r="L63" s="62" t="n">
        <f aca="false">IF(K63="Recebido no 2008",0,-G63)</f>
        <v>-240</v>
      </c>
    </row>
    <row r="64" customFormat="false" ht="15" hidden="false" customHeight="false" outlineLevel="0" collapsed="false">
      <c r="A64" s="61" t="s">
        <v>609</v>
      </c>
      <c r="B64" s="61" t="s">
        <v>75</v>
      </c>
      <c r="C64" s="61" t="s">
        <v>143</v>
      </c>
      <c r="D64" s="61" t="s">
        <v>251</v>
      </c>
      <c r="E64" s="61" t="s">
        <v>1049</v>
      </c>
      <c r="F64" s="60" t="n">
        <v>46289</v>
      </c>
      <c r="G64" s="62" t="n">
        <v>-960</v>
      </c>
      <c r="H64" s="61" t="s">
        <v>4</v>
      </c>
      <c r="I64" s="60" t="n">
        <v>46289</v>
      </c>
      <c r="J64" s="64" t="n">
        <v>0.709930555555556</v>
      </c>
      <c r="K64" s="61" t="str">
        <f aca="false">IF(AND(G64&gt;0,F64&lt;=Resumo!$C$6),"Recebido no 2008",IF(G64&lt;0,"Entrada","Estorno"))</f>
        <v>Entrada</v>
      </c>
      <c r="L64" s="62" t="n">
        <f aca="false">IF(K64="Recebido no 2008",0,-G64)</f>
        <v>960</v>
      </c>
    </row>
    <row r="65" customFormat="false" ht="15" hidden="false" customHeight="false" outlineLevel="0" collapsed="false">
      <c r="A65" s="61" t="s">
        <v>598</v>
      </c>
      <c r="B65" s="61" t="s">
        <v>81</v>
      </c>
      <c r="C65" s="61" t="s">
        <v>145</v>
      </c>
      <c r="D65" s="61" t="s">
        <v>251</v>
      </c>
      <c r="E65" s="61" t="s">
        <v>1049</v>
      </c>
      <c r="F65" s="60" t="n">
        <v>46289</v>
      </c>
      <c r="G65" s="62" t="n">
        <v>64</v>
      </c>
      <c r="H65" s="61" t="s">
        <v>4</v>
      </c>
      <c r="I65" s="60" t="n">
        <v>46289</v>
      </c>
      <c r="J65" s="64" t="n">
        <v>0.692581018518519</v>
      </c>
      <c r="K65" s="61" t="str">
        <f aca="false">IF(AND(G65&gt;0,F65&lt;=Resumo!$C$6),"Recebido no 2008",IF(G65&lt;0,"Entrada","Estorno"))</f>
        <v>Estorno</v>
      </c>
      <c r="L65" s="62" t="n">
        <f aca="false">IF(K65="Recebido no 2008",0,-G65)</f>
        <v>-64</v>
      </c>
    </row>
    <row r="66" customFormat="false" ht="15" hidden="false" customHeight="false" outlineLevel="0" collapsed="false">
      <c r="A66" s="61" t="s">
        <v>597</v>
      </c>
      <c r="B66" s="61" t="s">
        <v>81</v>
      </c>
      <c r="C66" s="61" t="s">
        <v>145</v>
      </c>
      <c r="D66" s="61" t="s">
        <v>251</v>
      </c>
      <c r="E66" s="61" t="s">
        <v>1049</v>
      </c>
      <c r="F66" s="60" t="n">
        <v>46289</v>
      </c>
      <c r="G66" s="62" t="n">
        <v>-64</v>
      </c>
      <c r="H66" s="61" t="s">
        <v>4</v>
      </c>
      <c r="I66" s="60" t="n">
        <v>46289</v>
      </c>
      <c r="J66" s="64" t="n">
        <v>0.686759259259259</v>
      </c>
      <c r="K66" s="61" t="str">
        <f aca="false">IF(AND(G66&gt;0,F66&lt;=Resumo!$C$6),"Recebido no 2008",IF(G66&lt;0,"Entrada","Estorno"))</f>
        <v>Entrada</v>
      </c>
      <c r="L66" s="62" t="n">
        <f aca="false">IF(K66="Recebido no 2008",0,-G66)</f>
        <v>64</v>
      </c>
    </row>
    <row r="67" customFormat="false" ht="15" hidden="false" customHeight="false" outlineLevel="0" collapsed="false">
      <c r="A67" s="61" t="s">
        <v>596</v>
      </c>
      <c r="B67" s="61" t="s">
        <v>81</v>
      </c>
      <c r="C67" s="61" t="s">
        <v>145</v>
      </c>
      <c r="D67" s="61" t="s">
        <v>251</v>
      </c>
      <c r="E67" s="61" t="s">
        <v>1049</v>
      </c>
      <c r="F67" s="60" t="n">
        <v>46289</v>
      </c>
      <c r="G67" s="62" t="n">
        <v>-384</v>
      </c>
      <c r="H67" s="61" t="s">
        <v>4</v>
      </c>
      <c r="I67" s="60" t="n">
        <v>46289</v>
      </c>
      <c r="J67" s="64" t="n">
        <v>0.694560185185185</v>
      </c>
      <c r="K67" s="61" t="str">
        <f aca="false">IF(AND(G67&gt;0,F67&lt;=Resumo!$C$6),"Recebido no 2008",IF(G67&lt;0,"Entrada","Estorno"))</f>
        <v>Entrada</v>
      </c>
      <c r="L67" s="62" t="n">
        <f aca="false">IF(K67="Recebido no 2008",0,-G67)</f>
        <v>384</v>
      </c>
    </row>
    <row r="68" customFormat="false" ht="15" hidden="false" customHeight="false" outlineLevel="0" collapsed="false">
      <c r="A68" s="61" t="s">
        <v>610</v>
      </c>
      <c r="B68" s="61" t="s">
        <v>81</v>
      </c>
      <c r="C68" s="61" t="s">
        <v>145</v>
      </c>
      <c r="D68" s="61" t="s">
        <v>251</v>
      </c>
      <c r="E68" s="61" t="s">
        <v>1049</v>
      </c>
      <c r="F68" s="60" t="n">
        <v>46289</v>
      </c>
      <c r="G68" s="62" t="n">
        <v>-384</v>
      </c>
      <c r="H68" s="61" t="s">
        <v>4</v>
      </c>
      <c r="I68" s="60" t="n">
        <v>46289</v>
      </c>
      <c r="J68" s="64" t="n">
        <v>0.7103125</v>
      </c>
      <c r="K68" s="61" t="str">
        <f aca="false">IF(AND(G68&gt;0,F68&lt;=Resumo!$C$6),"Recebido no 2008",IF(G68&lt;0,"Entrada","Estorno"))</f>
        <v>Entrada</v>
      </c>
      <c r="L68" s="62" t="n">
        <f aca="false">IF(K68="Recebido no 2008",0,-G68)</f>
        <v>384</v>
      </c>
    </row>
    <row r="69" customFormat="false" ht="15" hidden="false" customHeight="false" outlineLevel="0" collapsed="false">
      <c r="A69" s="61" t="s">
        <v>841</v>
      </c>
      <c r="B69" s="61" t="s">
        <v>85</v>
      </c>
      <c r="C69" s="61" t="s">
        <v>168</v>
      </c>
      <c r="D69" s="61" t="s">
        <v>251</v>
      </c>
      <c r="E69" s="61" t="s">
        <v>1049</v>
      </c>
      <c r="F69" s="60" t="n">
        <v>46293</v>
      </c>
      <c r="G69" s="62" t="n">
        <v>-108.8</v>
      </c>
      <c r="H69" s="61" t="s">
        <v>4</v>
      </c>
      <c r="I69" s="60" t="n">
        <v>46293</v>
      </c>
      <c r="J69" s="64" t="n">
        <v>0.717893518518519</v>
      </c>
      <c r="K69" s="61" t="str">
        <f aca="false">IF(AND(G69&gt;0,F69&lt;=Resumo!$C$6),"Recebido no 2008",IF(G69&lt;0,"Entrada","Estorno"))</f>
        <v>Entrada</v>
      </c>
      <c r="L69" s="62" t="n">
        <f aca="false">IF(K69="Recebido no 2008",0,-G69)</f>
        <v>108.8</v>
      </c>
    </row>
    <row r="70" customFormat="false" ht="15" hidden="false" customHeight="false" outlineLevel="0" collapsed="false">
      <c r="A70" s="61" t="s">
        <v>578</v>
      </c>
      <c r="B70" s="61" t="s">
        <v>88</v>
      </c>
      <c r="C70" s="61" t="s">
        <v>124</v>
      </c>
      <c r="D70" s="61" t="s">
        <v>251</v>
      </c>
      <c r="E70" s="61" t="s">
        <v>1049</v>
      </c>
      <c r="F70" s="60" t="n">
        <v>46288</v>
      </c>
      <c r="G70" s="62" t="n">
        <v>-261.12</v>
      </c>
      <c r="H70" s="61" t="s">
        <v>4</v>
      </c>
      <c r="I70" s="60" t="n">
        <v>46288</v>
      </c>
      <c r="J70" s="64" t="n">
        <v>0.275023148148148</v>
      </c>
      <c r="K70" s="61" t="str">
        <f aca="false">IF(AND(G70&gt;0,F70&lt;=Resumo!$C$6),"Recebido no 2008",IF(G70&lt;0,"Entrada","Estorno"))</f>
        <v>Entrada</v>
      </c>
      <c r="L70" s="62" t="n">
        <f aca="false">IF(K70="Recebido no 2008",0,-G70)</f>
        <v>261.12</v>
      </c>
    </row>
    <row r="71" customFormat="false" ht="15" hidden="false" customHeight="false" outlineLevel="0" collapsed="false">
      <c r="A71" s="61" t="s">
        <v>889</v>
      </c>
      <c r="B71" s="61" t="s">
        <v>100</v>
      </c>
      <c r="C71" s="61" t="s">
        <v>176</v>
      </c>
      <c r="D71" s="61" t="s">
        <v>251</v>
      </c>
      <c r="E71" s="61" t="s">
        <v>1049</v>
      </c>
      <c r="F71" s="60" t="n">
        <v>46294</v>
      </c>
      <c r="G71" s="62" t="n">
        <v>-432</v>
      </c>
      <c r="H71" s="61" t="s">
        <v>4</v>
      </c>
      <c r="I71" s="60" t="n">
        <v>46294</v>
      </c>
      <c r="J71" s="64" t="n">
        <v>0.610439814814815</v>
      </c>
      <c r="K71" s="61" t="str">
        <f aca="false">IF(AND(G71&gt;0,F71&lt;=Resumo!$C$6),"Recebido no 2008",IF(G71&lt;0,"Entrada","Estorno"))</f>
        <v>Entrada</v>
      </c>
      <c r="L71" s="62" t="n">
        <f aca="false">IF(K71="Recebido no 2008",0,-G71)</f>
        <v>432</v>
      </c>
    </row>
    <row r="72" customFormat="false" ht="15" hidden="false" customHeight="false" outlineLevel="0" collapsed="false">
      <c r="A72" s="61" t="s">
        <v>551</v>
      </c>
      <c r="B72" s="61" t="s">
        <v>104</v>
      </c>
      <c r="C72" s="61" t="s">
        <v>166</v>
      </c>
      <c r="D72" s="61" t="s">
        <v>251</v>
      </c>
      <c r="E72" s="61" t="s">
        <v>1049</v>
      </c>
      <c r="F72" s="60" t="n">
        <v>46286</v>
      </c>
      <c r="G72" s="62" t="n">
        <v>-54</v>
      </c>
      <c r="H72" s="61" t="s">
        <v>4</v>
      </c>
      <c r="I72" s="60" t="n">
        <v>46286</v>
      </c>
      <c r="J72" s="64" t="n">
        <v>0.758668981481481</v>
      </c>
      <c r="K72" s="61" t="str">
        <f aca="false">IF(AND(G72&gt;0,F72&lt;=Resumo!$C$6),"Recebido no 2008",IF(G72&lt;0,"Entrada","Estorno"))</f>
        <v>Entrada</v>
      </c>
      <c r="L72" s="62" t="n">
        <f aca="false">IF(K72="Recebido no 2008",0,-G72)</f>
        <v>54</v>
      </c>
    </row>
    <row r="73" customFormat="false" ht="15" hidden="false" customHeight="false" outlineLevel="0" collapsed="false">
      <c r="A73" s="61" t="s">
        <v>551</v>
      </c>
      <c r="B73" s="61" t="s">
        <v>104</v>
      </c>
      <c r="C73" s="61" t="s">
        <v>166</v>
      </c>
      <c r="D73" s="61" t="s">
        <v>251</v>
      </c>
      <c r="E73" s="61" t="s">
        <v>1049</v>
      </c>
      <c r="F73" s="60" t="n">
        <v>46286</v>
      </c>
      <c r="G73" s="62" t="n">
        <v>-432</v>
      </c>
      <c r="H73" s="61" t="s">
        <v>4</v>
      </c>
      <c r="I73" s="60" t="n">
        <v>46286</v>
      </c>
      <c r="J73" s="64" t="n">
        <v>0.758668981481481</v>
      </c>
      <c r="K73" s="61" t="str">
        <f aca="false">IF(AND(G73&gt;0,F73&lt;=Resumo!$C$6),"Recebido no 2008",IF(G73&lt;0,"Entrada","Estorno"))</f>
        <v>Entrada</v>
      </c>
      <c r="L73" s="62" t="n">
        <f aca="false">IF(K73="Recebido no 2008",0,-G73)</f>
        <v>432</v>
      </c>
    </row>
    <row r="74" customFormat="false" ht="15" hidden="false" customHeight="false" outlineLevel="0" collapsed="false">
      <c r="A74" s="61" t="s">
        <v>551</v>
      </c>
      <c r="B74" s="61" t="s">
        <v>104</v>
      </c>
      <c r="C74" s="61" t="s">
        <v>166</v>
      </c>
      <c r="D74" s="61" t="s">
        <v>251</v>
      </c>
      <c r="E74" s="61" t="s">
        <v>1049</v>
      </c>
      <c r="F74" s="60" t="n">
        <v>46286</v>
      </c>
      <c r="G74" s="62" t="n">
        <v>-432</v>
      </c>
      <c r="H74" s="61" t="s">
        <v>4</v>
      </c>
      <c r="I74" s="60" t="n">
        <v>46286</v>
      </c>
      <c r="J74" s="64" t="n">
        <v>0.758668981481481</v>
      </c>
      <c r="K74" s="61" t="str">
        <f aca="false">IF(AND(G74&gt;0,F74&lt;=Resumo!$C$6),"Recebido no 2008",IF(G74&lt;0,"Entrada","Estorno"))</f>
        <v>Entrada</v>
      </c>
      <c r="L74" s="62" t="n">
        <f aca="false">IF(K74="Recebido no 2008",0,-G74)</f>
        <v>432</v>
      </c>
    </row>
    <row r="75" customFormat="false" ht="15" hidden="false" customHeight="false" outlineLevel="0" collapsed="false">
      <c r="A75" s="61" t="s">
        <v>945</v>
      </c>
      <c r="B75" s="61" t="s">
        <v>106</v>
      </c>
      <c r="C75" s="61" t="s">
        <v>183</v>
      </c>
      <c r="D75" s="61" t="s">
        <v>251</v>
      </c>
      <c r="E75" s="61" t="s">
        <v>1049</v>
      </c>
      <c r="F75" s="60" t="n">
        <v>46295</v>
      </c>
      <c r="G75" s="62" t="n">
        <v>-300</v>
      </c>
      <c r="H75" s="61" t="s">
        <v>4</v>
      </c>
      <c r="I75" s="60" t="n">
        <v>46295</v>
      </c>
      <c r="J75" s="64" t="n">
        <v>0.748159722222222</v>
      </c>
      <c r="K75" s="61" t="str">
        <f aca="false">IF(AND(G75&gt;0,F75&lt;=Resumo!$C$6),"Recebido no 2008",IF(G75&lt;0,"Entrada","Estorno"))</f>
        <v>Entrada</v>
      </c>
      <c r="L75" s="62" t="n">
        <f aca="false">IF(K75="Recebido no 2008",0,-G75)</f>
        <v>300</v>
      </c>
    </row>
    <row r="76" customFormat="false" ht="15" hidden="false" customHeight="false" outlineLevel="0" collapsed="false">
      <c r="A76" s="61" t="s">
        <v>841</v>
      </c>
      <c r="B76" s="61" t="s">
        <v>106</v>
      </c>
      <c r="C76" s="61" t="s">
        <v>185</v>
      </c>
      <c r="D76" s="61" t="s">
        <v>251</v>
      </c>
      <c r="E76" s="61" t="s">
        <v>1049</v>
      </c>
      <c r="F76" s="60" t="n">
        <v>46293</v>
      </c>
      <c r="G76" s="62" t="n">
        <v>-1200</v>
      </c>
      <c r="H76" s="61" t="s">
        <v>4</v>
      </c>
      <c r="I76" s="60" t="n">
        <v>46293</v>
      </c>
      <c r="J76" s="64" t="n">
        <v>0.717893518518519</v>
      </c>
      <c r="K76" s="61" t="str">
        <f aca="false">IF(AND(G76&gt;0,F76&lt;=Resumo!$C$6),"Recebido no 2008",IF(G76&lt;0,"Entrada","Estorno"))</f>
        <v>Entrada</v>
      </c>
      <c r="L76" s="62" t="n">
        <f aca="false">IF(K76="Recebido no 2008",0,-G76)</f>
        <v>1200</v>
      </c>
    </row>
    <row r="77" customFormat="false" ht="15" hidden="false" customHeight="false" outlineLevel="0" collapsed="false">
      <c r="A77" s="61" t="s">
        <v>618</v>
      </c>
      <c r="B77" s="61" t="s">
        <v>106</v>
      </c>
      <c r="C77" s="61" t="s">
        <v>183</v>
      </c>
      <c r="D77" s="61" t="s">
        <v>251</v>
      </c>
      <c r="E77" s="61" t="s">
        <v>1049</v>
      </c>
      <c r="F77" s="60" t="n">
        <v>46289</v>
      </c>
      <c r="G77" s="62" t="n">
        <v>-600</v>
      </c>
      <c r="H77" s="61" t="s">
        <v>4</v>
      </c>
      <c r="I77" s="60" t="n">
        <v>46289</v>
      </c>
      <c r="J77" s="64" t="n">
        <v>0.710798611111111</v>
      </c>
      <c r="K77" s="61" t="str">
        <f aca="false">IF(AND(G77&gt;0,F77&lt;=Resumo!$C$6),"Recebido no 2008",IF(G77&lt;0,"Entrada","Estorno"))</f>
        <v>Entrada</v>
      </c>
      <c r="L77" s="62" t="n">
        <f aca="false">IF(K77="Recebido no 2008",0,-G77)</f>
        <v>600</v>
      </c>
    </row>
    <row r="78" customFormat="false" ht="15" hidden="false" customHeight="false" outlineLevel="0" collapsed="false">
      <c r="A78" s="61" t="s">
        <v>597</v>
      </c>
      <c r="B78" s="61" t="s">
        <v>106</v>
      </c>
      <c r="C78" s="61" t="s">
        <v>183</v>
      </c>
      <c r="D78" s="61" t="s">
        <v>251</v>
      </c>
      <c r="E78" s="61" t="s">
        <v>1049</v>
      </c>
      <c r="F78" s="60" t="n">
        <v>46289</v>
      </c>
      <c r="G78" s="62" t="n">
        <v>-60</v>
      </c>
      <c r="H78" s="61" t="s">
        <v>4</v>
      </c>
      <c r="I78" s="60" t="n">
        <v>46289</v>
      </c>
      <c r="J78" s="64" t="n">
        <v>0.686759259259259</v>
      </c>
      <c r="K78" s="61" t="str">
        <f aca="false">IF(AND(G78&gt;0,F78&lt;=Resumo!$C$6),"Recebido no 2008",IF(G78&lt;0,"Entrada","Estorno"))</f>
        <v>Entrada</v>
      </c>
      <c r="L78" s="62" t="n">
        <f aca="false">IF(K78="Recebido no 2008",0,-G78)</f>
        <v>60</v>
      </c>
    </row>
    <row r="79" customFormat="false" ht="15" hidden="false" customHeight="false" outlineLevel="0" collapsed="false">
      <c r="A79" s="61" t="s">
        <v>596</v>
      </c>
      <c r="B79" s="61" t="s">
        <v>106</v>
      </c>
      <c r="C79" s="61" t="s">
        <v>183</v>
      </c>
      <c r="D79" s="61" t="s">
        <v>251</v>
      </c>
      <c r="E79" s="61" t="s">
        <v>1049</v>
      </c>
      <c r="F79" s="60" t="n">
        <v>46289</v>
      </c>
      <c r="G79" s="62" t="n">
        <v>-600</v>
      </c>
      <c r="H79" s="61" t="s">
        <v>4</v>
      </c>
      <c r="I79" s="60" t="n">
        <v>46289</v>
      </c>
      <c r="J79" s="64" t="n">
        <v>0.694560185185185</v>
      </c>
      <c r="K79" s="61" t="str">
        <f aca="false">IF(AND(G79&gt;0,F79&lt;=Resumo!$C$6),"Recebido no 2008",IF(G79&lt;0,"Entrada","Estorno"))</f>
        <v>Entrada</v>
      </c>
      <c r="L79" s="62" t="n">
        <f aca="false">IF(K79="Recebido no 2008",0,-G79)</f>
        <v>600</v>
      </c>
    </row>
    <row r="80" customFormat="false" ht="15" hidden="false" customHeight="false" outlineLevel="0" collapsed="false">
      <c r="A80" s="61" t="s">
        <v>598</v>
      </c>
      <c r="B80" s="61" t="s">
        <v>106</v>
      </c>
      <c r="C80" s="61" t="s">
        <v>183</v>
      </c>
      <c r="D80" s="61" t="s">
        <v>251</v>
      </c>
      <c r="E80" s="61" t="s">
        <v>1049</v>
      </c>
      <c r="F80" s="60" t="n">
        <v>46289</v>
      </c>
      <c r="G80" s="62" t="n">
        <v>60</v>
      </c>
      <c r="H80" s="61" t="s">
        <v>4</v>
      </c>
      <c r="I80" s="60" t="n">
        <v>46289</v>
      </c>
      <c r="J80" s="64" t="n">
        <v>0.692581018518519</v>
      </c>
      <c r="K80" s="61" t="str">
        <f aca="false">IF(AND(G80&gt;0,F80&lt;=Resumo!$C$6),"Recebido no 2008",IF(G80&lt;0,"Entrada","Estorno"))</f>
        <v>Estorno</v>
      </c>
      <c r="L80" s="62" t="n">
        <f aca="false">IF(K80="Recebido no 2008",0,-G80)</f>
        <v>-60</v>
      </c>
    </row>
    <row r="81" customFormat="false" ht="15" hidden="false" customHeight="false" outlineLevel="0" collapsed="false">
      <c r="A81" s="61" t="s">
        <v>619</v>
      </c>
      <c r="B81" s="61" t="s">
        <v>110</v>
      </c>
      <c r="C81" s="61" t="s">
        <v>190</v>
      </c>
      <c r="D81" s="61" t="s">
        <v>251</v>
      </c>
      <c r="E81" s="61" t="s">
        <v>1049</v>
      </c>
      <c r="F81" s="60" t="n">
        <v>46289</v>
      </c>
      <c r="G81" s="62" t="n">
        <v>-602.9</v>
      </c>
      <c r="H81" s="61" t="s">
        <v>4</v>
      </c>
      <c r="I81" s="60" t="n">
        <v>46289</v>
      </c>
      <c r="J81" s="64" t="n">
        <v>0.925601851851852</v>
      </c>
      <c r="K81" s="61" t="str">
        <f aca="false">IF(AND(G81&gt;0,F81&lt;=Resumo!$C$6),"Recebido no 2008",IF(G81&lt;0,"Entrada","Estorno"))</f>
        <v>Entrada</v>
      </c>
      <c r="L81" s="62" t="n">
        <f aca="false">IF(K81="Recebido no 2008",0,-G81)</f>
        <v>602.9</v>
      </c>
    </row>
    <row r="82" customFormat="false" ht="15" hidden="false" customHeight="false" outlineLevel="0" collapsed="false">
      <c r="A82" s="61" t="s">
        <v>584</v>
      </c>
      <c r="B82" s="61" t="s">
        <v>110</v>
      </c>
      <c r="C82" s="61" t="s">
        <v>177</v>
      </c>
      <c r="D82" s="61" t="s">
        <v>251</v>
      </c>
      <c r="E82" s="61" t="s">
        <v>1049</v>
      </c>
      <c r="F82" s="60" t="n">
        <v>46289</v>
      </c>
      <c r="G82" s="62" t="n">
        <v>-1206</v>
      </c>
      <c r="H82" s="61" t="s">
        <v>4</v>
      </c>
      <c r="I82" s="60" t="n">
        <v>46289</v>
      </c>
      <c r="J82" s="64" t="n">
        <v>0.878275462962963</v>
      </c>
      <c r="K82" s="61" t="str">
        <f aca="false">IF(AND(G82&gt;0,F82&lt;=Resumo!$C$6),"Recebido no 2008",IF(G82&lt;0,"Entrada","Estorno"))</f>
        <v>Entrada</v>
      </c>
      <c r="L82" s="62" t="n">
        <f aca="false">IF(K82="Recebido no 2008",0,-G82)</f>
        <v>1206</v>
      </c>
    </row>
    <row r="83" customFormat="false" ht="15" hidden="false" customHeight="false" outlineLevel="0" collapsed="false">
      <c r="A83" s="61" t="s">
        <v>582</v>
      </c>
      <c r="B83" s="61" t="s">
        <v>110</v>
      </c>
      <c r="C83" s="61" t="s">
        <v>193</v>
      </c>
      <c r="D83" s="61" t="s">
        <v>251</v>
      </c>
      <c r="E83" s="61" t="s">
        <v>1049</v>
      </c>
      <c r="F83" s="60" t="n">
        <v>46288</v>
      </c>
      <c r="G83" s="62" t="n">
        <v>-603</v>
      </c>
      <c r="H83" s="61" t="s">
        <v>4</v>
      </c>
      <c r="I83" s="60" t="n">
        <v>46288</v>
      </c>
      <c r="J83" s="64" t="n">
        <v>0.262141203703704</v>
      </c>
      <c r="K83" s="61" t="str">
        <f aca="false">IF(AND(G83&gt;0,F83&lt;=Resumo!$C$6),"Recebido no 2008",IF(G83&lt;0,"Entrada","Estorno"))</f>
        <v>Entrada</v>
      </c>
      <c r="L83" s="62" t="n">
        <f aca="false">IF(K83="Recebido no 2008",0,-G83)</f>
        <v>603</v>
      </c>
    </row>
    <row r="84" customFormat="false" ht="15" hidden="false" customHeight="false" outlineLevel="0" collapsed="false">
      <c r="A84" s="61" t="s">
        <v>841</v>
      </c>
      <c r="B84" s="61" t="s">
        <v>122</v>
      </c>
      <c r="C84" s="61" t="s">
        <v>197</v>
      </c>
      <c r="D84" s="61" t="s">
        <v>251</v>
      </c>
      <c r="E84" s="61" t="s">
        <v>1049</v>
      </c>
      <c r="F84" s="60" t="n">
        <v>46293</v>
      </c>
      <c r="G84" s="62" t="n">
        <v>-864</v>
      </c>
      <c r="H84" s="61" t="s">
        <v>4</v>
      </c>
      <c r="I84" s="60" t="n">
        <v>46293</v>
      </c>
      <c r="J84" s="64" t="n">
        <v>0.717893518518519</v>
      </c>
      <c r="K84" s="61" t="str">
        <f aca="false">IF(AND(G84&gt;0,F84&lt;=Resumo!$C$6),"Recebido no 2008",IF(G84&lt;0,"Entrada","Estorno"))</f>
        <v>Entrada</v>
      </c>
      <c r="L84" s="62" t="n">
        <f aca="false">IF(K84="Recebido no 2008",0,-G84)</f>
        <v>864</v>
      </c>
    </row>
    <row r="85" customFormat="false" ht="15" hidden="false" customHeight="false" outlineLevel="0" collapsed="false">
      <c r="A85" s="61" t="s">
        <v>583</v>
      </c>
      <c r="B85" s="61" t="s">
        <v>139</v>
      </c>
      <c r="C85" s="61" t="s">
        <v>204</v>
      </c>
      <c r="D85" s="61" t="s">
        <v>251</v>
      </c>
      <c r="E85" s="61" t="s">
        <v>1049</v>
      </c>
      <c r="F85" s="60" t="n">
        <v>46288</v>
      </c>
      <c r="G85" s="62" t="n">
        <v>-1000</v>
      </c>
      <c r="H85" s="61" t="s">
        <v>4</v>
      </c>
      <c r="I85" s="60" t="n">
        <v>46288</v>
      </c>
      <c r="J85" s="64" t="n">
        <v>0.267523148148148</v>
      </c>
      <c r="K85" s="61" t="str">
        <f aca="false">IF(AND(G85&gt;0,F85&lt;=Resumo!$C$6),"Recebido no 2008",IF(G85&lt;0,"Entrada","Estorno"))</f>
        <v>Entrada</v>
      </c>
      <c r="L85" s="62" t="n">
        <f aca="false">IF(K85="Recebido no 2008",0,-G85)</f>
        <v>1000</v>
      </c>
    </row>
    <row r="86" customFormat="false" ht="15" hidden="false" customHeight="false" outlineLevel="0" collapsed="false">
      <c r="A86" s="61" t="s">
        <v>887</v>
      </c>
      <c r="B86" s="61" t="s">
        <v>131</v>
      </c>
      <c r="C86" s="61" t="s">
        <v>209</v>
      </c>
      <c r="D86" s="61" t="s">
        <v>251</v>
      </c>
      <c r="E86" s="61" t="s">
        <v>1049</v>
      </c>
      <c r="F86" s="60" t="n">
        <v>46294</v>
      </c>
      <c r="G86" s="62" t="n">
        <v>-120</v>
      </c>
      <c r="H86" s="61" t="s">
        <v>12</v>
      </c>
      <c r="I86" s="60" t="n">
        <v>46294</v>
      </c>
      <c r="J86" s="64" t="n">
        <v>0.612326388888889</v>
      </c>
      <c r="K86" s="61" t="str">
        <f aca="false">IF(AND(G86&gt;0,F86&lt;=Resumo!$C$6),"Recebido no 2008",IF(G86&lt;0,"Entrada","Estorno"))</f>
        <v>Entrada</v>
      </c>
      <c r="L86" s="62" t="n">
        <f aca="false">IF(K86="Recebido no 2008",0,-G86)</f>
        <v>120</v>
      </c>
    </row>
    <row r="87" customFormat="false" ht="15" hidden="false" customHeight="false" outlineLevel="0" collapsed="false">
      <c r="A87" s="61" t="s">
        <v>911</v>
      </c>
      <c r="B87" s="61" t="s">
        <v>131</v>
      </c>
      <c r="C87" s="61" t="s">
        <v>209</v>
      </c>
      <c r="D87" s="61" t="s">
        <v>251</v>
      </c>
      <c r="E87" s="61" t="s">
        <v>1049</v>
      </c>
      <c r="F87" s="60" t="n">
        <v>46294</v>
      </c>
      <c r="G87" s="62" t="n">
        <v>-120</v>
      </c>
      <c r="H87" s="61" t="s">
        <v>12</v>
      </c>
      <c r="I87" s="60" t="n">
        <v>46294</v>
      </c>
      <c r="J87" s="64" t="n">
        <v>0.611863425925926</v>
      </c>
      <c r="K87" s="61" t="str">
        <f aca="false">IF(AND(G87&gt;0,F87&lt;=Resumo!$C$6),"Recebido no 2008",IF(G87&lt;0,"Entrada","Estorno"))</f>
        <v>Entrada</v>
      </c>
      <c r="L87" s="62" t="n">
        <f aca="false">IF(K87="Recebido no 2008",0,-G87)</f>
        <v>120</v>
      </c>
    </row>
    <row r="88" customFormat="false" ht="15" hidden="false" customHeight="false" outlineLevel="0" collapsed="false">
      <c r="A88" s="61" t="s">
        <v>905</v>
      </c>
      <c r="B88" s="61" t="s">
        <v>131</v>
      </c>
      <c r="C88" s="61" t="s">
        <v>205</v>
      </c>
      <c r="D88" s="61" t="s">
        <v>251</v>
      </c>
      <c r="E88" s="61" t="s">
        <v>1049</v>
      </c>
      <c r="F88" s="60" t="n">
        <v>46294</v>
      </c>
      <c r="G88" s="62" t="n">
        <v>-120</v>
      </c>
      <c r="H88" s="61" t="s">
        <v>12</v>
      </c>
      <c r="I88" s="60" t="n">
        <v>46294</v>
      </c>
      <c r="J88" s="64" t="n">
        <v>0.601747685185185</v>
      </c>
      <c r="K88" s="61" t="str">
        <f aca="false">IF(AND(G88&gt;0,F88&lt;=Resumo!$C$6),"Recebido no 2008",IF(G88&lt;0,"Entrada","Estorno"))</f>
        <v>Entrada</v>
      </c>
      <c r="L88" s="62" t="n">
        <f aca="false">IF(K88="Recebido no 2008",0,-G88)</f>
        <v>120</v>
      </c>
    </row>
    <row r="89" customFormat="false" ht="15" hidden="false" customHeight="false" outlineLevel="0" collapsed="false">
      <c r="A89" s="61" t="s">
        <v>905</v>
      </c>
      <c r="B89" s="61" t="s">
        <v>131</v>
      </c>
      <c r="C89" s="61" t="s">
        <v>206</v>
      </c>
      <c r="D89" s="61" t="s">
        <v>251</v>
      </c>
      <c r="E89" s="61" t="s">
        <v>1049</v>
      </c>
      <c r="F89" s="60" t="n">
        <v>46294</v>
      </c>
      <c r="G89" s="62" t="n">
        <v>-120</v>
      </c>
      <c r="H89" s="61" t="s">
        <v>12</v>
      </c>
      <c r="I89" s="60" t="n">
        <v>46294</v>
      </c>
      <c r="J89" s="64" t="n">
        <v>0.601747685185185</v>
      </c>
      <c r="K89" s="61" t="str">
        <f aca="false">IF(AND(G89&gt;0,F89&lt;=Resumo!$C$6),"Recebido no 2008",IF(G89&lt;0,"Entrada","Estorno"))</f>
        <v>Entrada</v>
      </c>
      <c r="L89" s="62" t="n">
        <f aca="false">IF(K89="Recebido no 2008",0,-G89)</f>
        <v>120</v>
      </c>
    </row>
    <row r="90" customFormat="false" ht="15" hidden="false" customHeight="false" outlineLevel="0" collapsed="false">
      <c r="A90" s="61" t="s">
        <v>910</v>
      </c>
      <c r="B90" s="61" t="s">
        <v>131</v>
      </c>
      <c r="C90" s="61" t="s">
        <v>206</v>
      </c>
      <c r="D90" s="61" t="s">
        <v>251</v>
      </c>
      <c r="E90" s="61" t="s">
        <v>1049</v>
      </c>
      <c r="F90" s="60" t="n">
        <v>46294</v>
      </c>
      <c r="G90" s="62" t="n">
        <v>-120</v>
      </c>
      <c r="H90" s="61" t="s">
        <v>12</v>
      </c>
      <c r="I90" s="60" t="n">
        <v>46294</v>
      </c>
      <c r="J90" s="64" t="n">
        <v>0.600717592592593</v>
      </c>
      <c r="K90" s="61" t="str">
        <f aca="false">IF(AND(G90&gt;0,F90&lt;=Resumo!$C$6),"Recebido no 2008",IF(G90&lt;0,"Entrada","Estorno"))</f>
        <v>Entrada</v>
      </c>
      <c r="L90" s="62" t="n">
        <f aca="false">IF(K90="Recebido no 2008",0,-G90)</f>
        <v>120</v>
      </c>
    </row>
    <row r="91" customFormat="false" ht="15" hidden="false" customHeight="false" outlineLevel="0" collapsed="false">
      <c r="A91" s="61" t="s">
        <v>625</v>
      </c>
      <c r="B91" s="61" t="s">
        <v>131</v>
      </c>
      <c r="C91" s="61" t="s">
        <v>133</v>
      </c>
      <c r="D91" s="61" t="s">
        <v>251</v>
      </c>
      <c r="E91" s="61" t="s">
        <v>1049</v>
      </c>
      <c r="F91" s="60" t="n">
        <v>46289</v>
      </c>
      <c r="G91" s="62" t="n">
        <v>-7</v>
      </c>
      <c r="H91" s="61" t="s">
        <v>12</v>
      </c>
      <c r="I91" s="60" t="n">
        <v>46289</v>
      </c>
      <c r="J91" s="64" t="n">
        <v>0.922997685185185</v>
      </c>
      <c r="K91" s="61" t="str">
        <f aca="false">IF(AND(G91&gt;0,F91&lt;=Resumo!$C$6),"Recebido no 2008",IF(G91&lt;0,"Entrada","Estorno"))</f>
        <v>Entrada</v>
      </c>
      <c r="L91" s="62" t="n">
        <f aca="false">IF(K91="Recebido no 2008",0,-G91)</f>
        <v>7</v>
      </c>
    </row>
    <row r="92" customFormat="false" ht="15" hidden="false" customHeight="false" outlineLevel="0" collapsed="false">
      <c r="A92" s="61" t="s">
        <v>624</v>
      </c>
      <c r="B92" s="61" t="s">
        <v>131</v>
      </c>
      <c r="C92" s="61" t="s">
        <v>205</v>
      </c>
      <c r="D92" s="61" t="s">
        <v>251</v>
      </c>
      <c r="E92" s="61" t="s">
        <v>1049</v>
      </c>
      <c r="F92" s="60" t="n">
        <v>46289</v>
      </c>
      <c r="G92" s="62" t="n">
        <v>-120</v>
      </c>
      <c r="H92" s="61" t="s">
        <v>12</v>
      </c>
      <c r="I92" s="60" t="n">
        <v>46289</v>
      </c>
      <c r="J92" s="64" t="n">
        <v>0.922662037037037</v>
      </c>
      <c r="K92" s="61" t="str">
        <f aca="false">IF(AND(G92&gt;0,F92&lt;=Resumo!$C$6),"Recebido no 2008",IF(G92&lt;0,"Entrada","Estorno"))</f>
        <v>Entrada</v>
      </c>
      <c r="L92" s="62" t="n">
        <f aca="false">IF(K92="Recebido no 2008",0,-G92)</f>
        <v>120</v>
      </c>
    </row>
    <row r="93" customFormat="false" ht="15" hidden="false" customHeight="false" outlineLevel="0" collapsed="false">
      <c r="A93" s="61" t="s">
        <v>626</v>
      </c>
      <c r="B93" s="61" t="s">
        <v>131</v>
      </c>
      <c r="C93" s="61" t="s">
        <v>133</v>
      </c>
      <c r="D93" s="61" t="s">
        <v>251</v>
      </c>
      <c r="E93" s="61" t="s">
        <v>1049</v>
      </c>
      <c r="F93" s="60" t="n">
        <v>46289</v>
      </c>
      <c r="G93" s="62" t="n">
        <v>-120</v>
      </c>
      <c r="H93" s="61" t="s">
        <v>12</v>
      </c>
      <c r="I93" s="60" t="n">
        <v>46289</v>
      </c>
      <c r="J93" s="64" t="n">
        <v>0.922210648148148</v>
      </c>
      <c r="K93" s="61" t="str">
        <f aca="false">IF(AND(G93&gt;0,F93&lt;=Resumo!$C$6),"Recebido no 2008",IF(G93&lt;0,"Entrada","Estorno"))</f>
        <v>Entrada</v>
      </c>
      <c r="L93" s="62" t="n">
        <f aca="false">IF(K93="Recebido no 2008",0,-G93)</f>
        <v>120</v>
      </c>
    </row>
    <row r="94" customFormat="false" ht="15" hidden="false" customHeight="false" outlineLevel="0" collapsed="false">
      <c r="A94" s="61" t="s">
        <v>627</v>
      </c>
      <c r="B94" s="61" t="s">
        <v>131</v>
      </c>
      <c r="C94" s="61" t="s">
        <v>133</v>
      </c>
      <c r="D94" s="61" t="s">
        <v>251</v>
      </c>
      <c r="E94" s="61" t="s">
        <v>1049</v>
      </c>
      <c r="F94" s="60" t="n">
        <v>46289</v>
      </c>
      <c r="G94" s="62" t="n">
        <v>-120</v>
      </c>
      <c r="H94" s="61" t="s">
        <v>12</v>
      </c>
      <c r="I94" s="60" t="n">
        <v>46289</v>
      </c>
      <c r="J94" s="64" t="n">
        <v>0.879814814814815</v>
      </c>
      <c r="K94" s="61" t="str">
        <f aca="false">IF(AND(G94&gt;0,F94&lt;=Resumo!$C$6),"Recebido no 2008",IF(G94&lt;0,"Entrada","Estorno"))</f>
        <v>Entrada</v>
      </c>
      <c r="L94" s="62" t="n">
        <f aca="false">IF(K94="Recebido no 2008",0,-G94)</f>
        <v>120</v>
      </c>
    </row>
    <row r="95" customFormat="false" ht="15" hidden="false" customHeight="false" outlineLevel="0" collapsed="false">
      <c r="A95" s="61" t="s">
        <v>596</v>
      </c>
      <c r="B95" s="61" t="s">
        <v>131</v>
      </c>
      <c r="C95" s="61" t="s">
        <v>206</v>
      </c>
      <c r="D95" s="61" t="s">
        <v>251</v>
      </c>
      <c r="E95" s="61" t="s">
        <v>1049</v>
      </c>
      <c r="F95" s="60" t="n">
        <v>46289</v>
      </c>
      <c r="G95" s="62" t="n">
        <v>-119.75</v>
      </c>
      <c r="H95" s="61" t="s">
        <v>12</v>
      </c>
      <c r="I95" s="60" t="n">
        <v>46289</v>
      </c>
      <c r="J95" s="64" t="n">
        <v>0.694560185185185</v>
      </c>
      <c r="K95" s="61" t="str">
        <f aca="false">IF(AND(G95&gt;0,F95&lt;=Resumo!$C$6),"Recebido no 2008",IF(G95&lt;0,"Entrada","Estorno"))</f>
        <v>Entrada</v>
      </c>
      <c r="L95" s="62" t="n">
        <f aca="false">IF(K95="Recebido no 2008",0,-G95)</f>
        <v>119.75</v>
      </c>
    </row>
    <row r="96" customFormat="false" ht="15" hidden="false" customHeight="false" outlineLevel="0" collapsed="false">
      <c r="A96" s="61" t="s">
        <v>623</v>
      </c>
      <c r="B96" s="61" t="s">
        <v>131</v>
      </c>
      <c r="C96" s="61" t="s">
        <v>180</v>
      </c>
      <c r="D96" s="61" t="s">
        <v>251</v>
      </c>
      <c r="E96" s="61" t="s">
        <v>1049</v>
      </c>
      <c r="F96" s="60" t="n">
        <v>46289</v>
      </c>
      <c r="G96" s="62" t="n">
        <v>120</v>
      </c>
      <c r="H96" s="61" t="s">
        <v>12</v>
      </c>
      <c r="I96" s="60" t="n">
        <v>46289</v>
      </c>
      <c r="J96" s="64" t="n">
        <v>0.894085648148148</v>
      </c>
      <c r="K96" s="61" t="str">
        <f aca="false">IF(AND(G96&gt;0,F96&lt;=Resumo!$C$6),"Recebido no 2008",IF(G96&lt;0,"Entrada","Estorno"))</f>
        <v>Estorno</v>
      </c>
      <c r="L96" s="62" t="n">
        <f aca="false">IF(K96="Recebido no 2008",0,-G96)</f>
        <v>-120</v>
      </c>
    </row>
    <row r="97" customFormat="false" ht="15" hidden="false" customHeight="false" outlineLevel="0" collapsed="false">
      <c r="A97" s="61" t="s">
        <v>1023</v>
      </c>
      <c r="B97" s="61" t="s">
        <v>147</v>
      </c>
      <c r="C97" s="61" t="s">
        <v>211</v>
      </c>
      <c r="D97" s="61" t="s">
        <v>251</v>
      </c>
      <c r="E97" s="61" t="s">
        <v>1049</v>
      </c>
      <c r="F97" s="60" t="n">
        <v>46295</v>
      </c>
      <c r="G97" s="62" t="n">
        <v>-500</v>
      </c>
      <c r="H97" s="61" t="s">
        <v>4</v>
      </c>
      <c r="I97" s="60" t="n">
        <v>46295</v>
      </c>
      <c r="J97" s="64" t="n">
        <v>0.746724537037037</v>
      </c>
      <c r="K97" s="61" t="str">
        <f aca="false">IF(AND(G97&gt;0,F97&lt;=Resumo!$C$6),"Recebido no 2008",IF(G97&lt;0,"Entrada","Estorno"))</f>
        <v>Entrada</v>
      </c>
      <c r="L97" s="62" t="n">
        <f aca="false">IF(K97="Recebido no 2008",0,-G97)</f>
        <v>500</v>
      </c>
    </row>
    <row r="98" customFormat="false" ht="15" hidden="false" customHeight="false" outlineLevel="0" collapsed="false">
      <c r="A98" s="61" t="s">
        <v>916</v>
      </c>
      <c r="B98" s="61" t="s">
        <v>147</v>
      </c>
      <c r="C98" s="61" t="s">
        <v>211</v>
      </c>
      <c r="D98" s="61" t="s">
        <v>251</v>
      </c>
      <c r="E98" s="61" t="s">
        <v>1049</v>
      </c>
      <c r="F98" s="60" t="n">
        <v>46294</v>
      </c>
      <c r="G98" s="62" t="n">
        <v>-100</v>
      </c>
      <c r="H98" s="61" t="s">
        <v>4</v>
      </c>
      <c r="I98" s="60" t="n">
        <v>46294</v>
      </c>
      <c r="J98" s="64" t="n">
        <v>0.671377314814815</v>
      </c>
      <c r="K98" s="61" t="str">
        <f aca="false">IF(AND(G98&gt;0,F98&lt;=Resumo!$C$6),"Recebido no 2008",IF(G98&lt;0,"Entrada","Estorno"))</f>
        <v>Entrada</v>
      </c>
      <c r="L98" s="62" t="n">
        <f aca="false">IF(K98="Recebido no 2008",0,-G98)</f>
        <v>100</v>
      </c>
    </row>
    <row r="99" customFormat="false" ht="15" hidden="false" customHeight="false" outlineLevel="0" collapsed="false">
      <c r="A99" s="61" t="s">
        <v>916</v>
      </c>
      <c r="B99" s="61" t="s">
        <v>147</v>
      </c>
      <c r="C99" s="61" t="s">
        <v>211</v>
      </c>
      <c r="D99" s="61" t="s">
        <v>251</v>
      </c>
      <c r="E99" s="61" t="s">
        <v>1049</v>
      </c>
      <c r="F99" s="60" t="n">
        <v>46294</v>
      </c>
      <c r="G99" s="62" t="n">
        <v>-500</v>
      </c>
      <c r="H99" s="61" t="s">
        <v>4</v>
      </c>
      <c r="I99" s="60" t="n">
        <v>46294</v>
      </c>
      <c r="J99" s="64" t="n">
        <v>0.671377314814815</v>
      </c>
      <c r="K99" s="61" t="str">
        <f aca="false">IF(AND(G99&gt;0,F99&lt;=Resumo!$C$6),"Recebido no 2008",IF(G99&lt;0,"Entrada","Estorno"))</f>
        <v>Entrada</v>
      </c>
      <c r="L99" s="62" t="n">
        <f aca="false">IF(K99="Recebido no 2008",0,-G99)</f>
        <v>500</v>
      </c>
    </row>
    <row r="100" customFormat="false" ht="15" hidden="false" customHeight="false" outlineLevel="0" collapsed="false">
      <c r="A100" s="61" t="s">
        <v>917</v>
      </c>
      <c r="B100" s="61" t="s">
        <v>147</v>
      </c>
      <c r="C100" s="61" t="s">
        <v>211</v>
      </c>
      <c r="D100" s="61" t="s">
        <v>251</v>
      </c>
      <c r="E100" s="61" t="s">
        <v>1049</v>
      </c>
      <c r="F100" s="60" t="n">
        <v>46294</v>
      </c>
      <c r="G100" s="62" t="n">
        <v>-500</v>
      </c>
      <c r="H100" s="61" t="s">
        <v>4</v>
      </c>
      <c r="I100" s="60" t="n">
        <v>46294</v>
      </c>
      <c r="J100" s="64" t="n">
        <v>0.66287037037037</v>
      </c>
      <c r="K100" s="61" t="str">
        <f aca="false">IF(AND(G100&gt;0,F100&lt;=Resumo!$C$6),"Recebido no 2008",IF(G100&lt;0,"Entrada","Estorno"))</f>
        <v>Entrada</v>
      </c>
      <c r="L100" s="62" t="n">
        <f aca="false">IF(K100="Recebido no 2008",0,-G100)</f>
        <v>500</v>
      </c>
    </row>
    <row r="101" customFormat="false" ht="15" hidden="false" customHeight="false" outlineLevel="0" collapsed="false">
      <c r="A101" s="61" t="s">
        <v>917</v>
      </c>
      <c r="B101" s="61" t="s">
        <v>147</v>
      </c>
      <c r="C101" s="61" t="s">
        <v>211</v>
      </c>
      <c r="D101" s="61" t="s">
        <v>251</v>
      </c>
      <c r="E101" s="61" t="s">
        <v>1049</v>
      </c>
      <c r="F101" s="60" t="n">
        <v>46294</v>
      </c>
      <c r="G101" s="62" t="n">
        <v>-500</v>
      </c>
      <c r="H101" s="61" t="s">
        <v>4</v>
      </c>
      <c r="I101" s="60" t="n">
        <v>46294</v>
      </c>
      <c r="J101" s="64" t="n">
        <v>0.66287037037037</v>
      </c>
      <c r="K101" s="61" t="str">
        <f aca="false">IF(AND(G101&gt;0,F101&lt;=Resumo!$C$6),"Recebido no 2008",IF(G101&lt;0,"Entrada","Estorno"))</f>
        <v>Entrada</v>
      </c>
      <c r="L101" s="62" t="n">
        <f aca="false">IF(K101="Recebido no 2008",0,-G101)</f>
        <v>500</v>
      </c>
    </row>
    <row r="102" customFormat="false" ht="15" hidden="false" customHeight="false" outlineLevel="0" collapsed="false">
      <c r="A102" s="61" t="s">
        <v>917</v>
      </c>
      <c r="B102" s="61" t="s">
        <v>147</v>
      </c>
      <c r="C102" s="61" t="s">
        <v>211</v>
      </c>
      <c r="D102" s="61" t="s">
        <v>251</v>
      </c>
      <c r="E102" s="61" t="s">
        <v>1049</v>
      </c>
      <c r="F102" s="60" t="n">
        <v>46294</v>
      </c>
      <c r="G102" s="62" t="n">
        <v>-500</v>
      </c>
      <c r="H102" s="61" t="s">
        <v>4</v>
      </c>
      <c r="I102" s="60" t="n">
        <v>46294</v>
      </c>
      <c r="J102" s="64" t="n">
        <v>0.66287037037037</v>
      </c>
      <c r="K102" s="61" t="str">
        <f aca="false">IF(AND(G102&gt;0,F102&lt;=Resumo!$C$6),"Recebido no 2008",IF(G102&lt;0,"Entrada","Estorno"))</f>
        <v>Entrada</v>
      </c>
      <c r="L102" s="62" t="n">
        <f aca="false">IF(K102="Recebido no 2008",0,-G102)</f>
        <v>500</v>
      </c>
    </row>
    <row r="103" customFormat="false" ht="15" hidden="false" customHeight="false" outlineLevel="0" collapsed="false">
      <c r="A103" s="61" t="s">
        <v>917</v>
      </c>
      <c r="B103" s="61" t="s">
        <v>147</v>
      </c>
      <c r="C103" s="61" t="s">
        <v>211</v>
      </c>
      <c r="D103" s="61" t="s">
        <v>251</v>
      </c>
      <c r="E103" s="61" t="s">
        <v>1049</v>
      </c>
      <c r="F103" s="60" t="n">
        <v>46294</v>
      </c>
      <c r="G103" s="62" t="n">
        <v>-500</v>
      </c>
      <c r="H103" s="61" t="s">
        <v>4</v>
      </c>
      <c r="I103" s="60" t="n">
        <v>46294</v>
      </c>
      <c r="J103" s="64" t="n">
        <v>0.66287037037037</v>
      </c>
      <c r="K103" s="61" t="str">
        <f aca="false">IF(AND(G103&gt;0,F103&lt;=Resumo!$C$6),"Recebido no 2008",IF(G103&lt;0,"Entrada","Estorno"))</f>
        <v>Entrada</v>
      </c>
      <c r="L103" s="62" t="n">
        <f aca="false">IF(K103="Recebido no 2008",0,-G103)</f>
        <v>500</v>
      </c>
    </row>
    <row r="104" customFormat="false" ht="15" hidden="false" customHeight="false" outlineLevel="0" collapsed="false">
      <c r="A104" s="61" t="s">
        <v>917</v>
      </c>
      <c r="B104" s="61" t="s">
        <v>147</v>
      </c>
      <c r="C104" s="61" t="s">
        <v>211</v>
      </c>
      <c r="D104" s="61" t="s">
        <v>251</v>
      </c>
      <c r="E104" s="61" t="s">
        <v>1049</v>
      </c>
      <c r="F104" s="60" t="n">
        <v>46294</v>
      </c>
      <c r="G104" s="62" t="n">
        <v>-500</v>
      </c>
      <c r="H104" s="61" t="s">
        <v>4</v>
      </c>
      <c r="I104" s="60" t="n">
        <v>46294</v>
      </c>
      <c r="J104" s="64" t="n">
        <v>0.66287037037037</v>
      </c>
      <c r="K104" s="61" t="str">
        <f aca="false">IF(AND(G104&gt;0,F104&lt;=Resumo!$C$6),"Recebido no 2008",IF(G104&lt;0,"Entrada","Estorno"))</f>
        <v>Entrada</v>
      </c>
      <c r="L104" s="62" t="n">
        <f aca="false">IF(K104="Recebido no 2008",0,-G104)</f>
        <v>500</v>
      </c>
    </row>
    <row r="105" customFormat="false" ht="15" hidden="false" customHeight="false" outlineLevel="0" collapsed="false">
      <c r="A105" s="61" t="s">
        <v>917</v>
      </c>
      <c r="B105" s="61" t="s">
        <v>147</v>
      </c>
      <c r="C105" s="61" t="s">
        <v>211</v>
      </c>
      <c r="D105" s="61" t="s">
        <v>251</v>
      </c>
      <c r="E105" s="61" t="s">
        <v>1049</v>
      </c>
      <c r="F105" s="60" t="n">
        <v>46294</v>
      </c>
      <c r="G105" s="62" t="n">
        <v>-480</v>
      </c>
      <c r="H105" s="61" t="s">
        <v>4</v>
      </c>
      <c r="I105" s="60" t="n">
        <v>46294</v>
      </c>
      <c r="J105" s="64" t="n">
        <v>0.66287037037037</v>
      </c>
      <c r="K105" s="61" t="str">
        <f aca="false">IF(AND(G105&gt;0,F105&lt;=Resumo!$C$6),"Recebido no 2008",IF(G105&lt;0,"Entrada","Estorno"))</f>
        <v>Entrada</v>
      </c>
      <c r="L105" s="62" t="n">
        <f aca="false">IF(K105="Recebido no 2008",0,-G105)</f>
        <v>480</v>
      </c>
    </row>
    <row r="106" customFormat="false" ht="15" hidden="false" customHeight="false" outlineLevel="0" collapsed="false">
      <c r="A106" s="61" t="s">
        <v>917</v>
      </c>
      <c r="B106" s="61" t="s">
        <v>147</v>
      </c>
      <c r="C106" s="61" t="s">
        <v>211</v>
      </c>
      <c r="D106" s="61" t="s">
        <v>251</v>
      </c>
      <c r="E106" s="61" t="s">
        <v>1049</v>
      </c>
      <c r="F106" s="60" t="n">
        <v>46294</v>
      </c>
      <c r="G106" s="62" t="n">
        <v>-200</v>
      </c>
      <c r="H106" s="61" t="s">
        <v>4</v>
      </c>
      <c r="I106" s="60" t="n">
        <v>46294</v>
      </c>
      <c r="J106" s="64" t="n">
        <v>0.66287037037037</v>
      </c>
      <c r="K106" s="61" t="str">
        <f aca="false">IF(AND(G106&gt;0,F106&lt;=Resumo!$C$6),"Recebido no 2008",IF(G106&lt;0,"Entrada","Estorno"))</f>
        <v>Entrada</v>
      </c>
      <c r="L106" s="62" t="n">
        <f aca="false">IF(K106="Recebido no 2008",0,-G106)</f>
        <v>200</v>
      </c>
    </row>
    <row r="107" customFormat="false" ht="15" hidden="false" customHeight="false" outlineLevel="0" collapsed="false">
      <c r="A107" s="61" t="s">
        <v>917</v>
      </c>
      <c r="B107" s="61" t="s">
        <v>147</v>
      </c>
      <c r="C107" s="61" t="s">
        <v>211</v>
      </c>
      <c r="D107" s="61" t="s">
        <v>251</v>
      </c>
      <c r="E107" s="61" t="s">
        <v>1049</v>
      </c>
      <c r="F107" s="60" t="n">
        <v>46294</v>
      </c>
      <c r="G107" s="62" t="n">
        <v>-500</v>
      </c>
      <c r="H107" s="61" t="s">
        <v>4</v>
      </c>
      <c r="I107" s="60" t="n">
        <v>46294</v>
      </c>
      <c r="J107" s="64" t="n">
        <v>0.66287037037037</v>
      </c>
      <c r="K107" s="61" t="str">
        <f aca="false">IF(AND(G107&gt;0,F107&lt;=Resumo!$C$6),"Recebido no 2008",IF(G107&lt;0,"Entrada","Estorno"))</f>
        <v>Entrada</v>
      </c>
      <c r="L107" s="62" t="n">
        <f aca="false">IF(K107="Recebido no 2008",0,-G107)</f>
        <v>500</v>
      </c>
    </row>
    <row r="108" customFormat="false" ht="15" hidden="false" customHeight="false" outlineLevel="0" collapsed="false">
      <c r="A108" s="61" t="s">
        <v>917</v>
      </c>
      <c r="B108" s="61" t="s">
        <v>147</v>
      </c>
      <c r="C108" s="61" t="s">
        <v>211</v>
      </c>
      <c r="D108" s="61" t="s">
        <v>251</v>
      </c>
      <c r="E108" s="61" t="s">
        <v>1049</v>
      </c>
      <c r="F108" s="60" t="n">
        <v>46294</v>
      </c>
      <c r="G108" s="62" t="n">
        <v>-500</v>
      </c>
      <c r="H108" s="61" t="s">
        <v>4</v>
      </c>
      <c r="I108" s="60" t="n">
        <v>46294</v>
      </c>
      <c r="J108" s="64" t="n">
        <v>0.66287037037037</v>
      </c>
      <c r="K108" s="61" t="str">
        <f aca="false">IF(AND(G108&gt;0,F108&lt;=Resumo!$C$6),"Recebido no 2008",IF(G108&lt;0,"Entrada","Estorno"))</f>
        <v>Entrada</v>
      </c>
      <c r="L108" s="62" t="n">
        <f aca="false">IF(K108="Recebido no 2008",0,-G108)</f>
        <v>500</v>
      </c>
    </row>
    <row r="109" customFormat="false" ht="15" hidden="false" customHeight="false" outlineLevel="0" collapsed="false">
      <c r="A109" s="61" t="s">
        <v>596</v>
      </c>
      <c r="B109" s="61" t="s">
        <v>151</v>
      </c>
      <c r="C109" s="61" t="s">
        <v>213</v>
      </c>
      <c r="D109" s="61" t="s">
        <v>251</v>
      </c>
      <c r="E109" s="61" t="s">
        <v>1049</v>
      </c>
      <c r="F109" s="60" t="n">
        <v>46289</v>
      </c>
      <c r="G109" s="62" t="n">
        <v>-400</v>
      </c>
      <c r="H109" s="61" t="s">
        <v>4</v>
      </c>
      <c r="I109" s="60" t="n">
        <v>46289</v>
      </c>
      <c r="J109" s="64" t="n">
        <v>0.694560185185185</v>
      </c>
      <c r="K109" s="61" t="str">
        <f aca="false">IF(AND(G109&gt;0,F109&lt;=Resumo!$C$6),"Recebido no 2008",IF(G109&lt;0,"Entrada","Estorno"))</f>
        <v>Entrada</v>
      </c>
      <c r="L109" s="62" t="n">
        <f aca="false">IF(K109="Recebido no 2008",0,-G109)</f>
        <v>400</v>
      </c>
    </row>
    <row r="110" customFormat="false" ht="15" hidden="false" customHeight="false" outlineLevel="0" collapsed="false">
      <c r="A110" s="61" t="s">
        <v>598</v>
      </c>
      <c r="B110" s="61" t="s">
        <v>151</v>
      </c>
      <c r="C110" s="61" t="s">
        <v>213</v>
      </c>
      <c r="D110" s="61" t="s">
        <v>251</v>
      </c>
      <c r="E110" s="61" t="s">
        <v>1049</v>
      </c>
      <c r="F110" s="60" t="n">
        <v>46289</v>
      </c>
      <c r="G110" s="62" t="n">
        <v>40</v>
      </c>
      <c r="H110" s="61" t="s">
        <v>4</v>
      </c>
      <c r="I110" s="60" t="n">
        <v>46289</v>
      </c>
      <c r="J110" s="64" t="n">
        <v>0.692581018518519</v>
      </c>
      <c r="K110" s="61" t="str">
        <f aca="false">IF(AND(G110&gt;0,F110&lt;=Resumo!$C$6),"Recebido no 2008",IF(G110&lt;0,"Entrada","Estorno"))</f>
        <v>Estorno</v>
      </c>
      <c r="L110" s="62" t="n">
        <f aca="false">IF(K110="Recebido no 2008",0,-G110)</f>
        <v>-40</v>
      </c>
    </row>
    <row r="111" customFormat="false" ht="15" hidden="false" customHeight="false" outlineLevel="0" collapsed="false">
      <c r="A111" s="61" t="s">
        <v>597</v>
      </c>
      <c r="B111" s="61" t="s">
        <v>151</v>
      </c>
      <c r="C111" s="61" t="s">
        <v>213</v>
      </c>
      <c r="D111" s="61" t="s">
        <v>251</v>
      </c>
      <c r="E111" s="61" t="s">
        <v>1049</v>
      </c>
      <c r="F111" s="60" t="n">
        <v>46289</v>
      </c>
      <c r="G111" s="62" t="n">
        <v>-40</v>
      </c>
      <c r="H111" s="61" t="s">
        <v>4</v>
      </c>
      <c r="I111" s="60" t="n">
        <v>46289</v>
      </c>
      <c r="J111" s="64" t="n">
        <v>0.686759259259259</v>
      </c>
      <c r="K111" s="61" t="str">
        <f aca="false">IF(AND(G111&gt;0,F111&lt;=Resumo!$C$6),"Recebido no 2008",IF(G111&lt;0,"Entrada","Estorno"))</f>
        <v>Entrada</v>
      </c>
      <c r="L111" s="62" t="n">
        <f aca="false">IF(K111="Recebido no 2008",0,-G111)</f>
        <v>40</v>
      </c>
    </row>
    <row r="112" customFormat="false" ht="15" hidden="false" customHeight="false" outlineLevel="0" collapsed="false">
      <c r="A112" s="61" t="s">
        <v>841</v>
      </c>
      <c r="B112" s="61" t="s">
        <v>156</v>
      </c>
      <c r="C112" s="61" t="s">
        <v>216</v>
      </c>
      <c r="D112" s="61" t="s">
        <v>251</v>
      </c>
      <c r="E112" s="61" t="s">
        <v>1049</v>
      </c>
      <c r="F112" s="60" t="n">
        <v>46293</v>
      </c>
      <c r="G112" s="62" t="n">
        <v>-1000</v>
      </c>
      <c r="H112" s="61" t="s">
        <v>4</v>
      </c>
      <c r="I112" s="60" t="n">
        <v>46293</v>
      </c>
      <c r="J112" s="64" t="n">
        <v>0.717893518518519</v>
      </c>
      <c r="K112" s="61" t="str">
        <f aca="false">IF(AND(G112&gt;0,F112&lt;=Resumo!$C$6),"Recebido no 2008",IF(G112&lt;0,"Entrada","Estorno"))</f>
        <v>Entrada</v>
      </c>
      <c r="L112" s="62" t="n">
        <f aca="false">IF(K112="Recebido no 2008",0,-G112)</f>
        <v>1000</v>
      </c>
    </row>
    <row r="113" customFormat="false" ht="15" hidden="false" customHeight="false" outlineLevel="0" collapsed="false">
      <c r="A113" s="61" t="s">
        <v>887</v>
      </c>
      <c r="B113" s="61" t="s">
        <v>157</v>
      </c>
      <c r="C113" s="61" t="s">
        <v>194</v>
      </c>
      <c r="D113" s="61" t="s">
        <v>251</v>
      </c>
      <c r="E113" s="61" t="s">
        <v>1049</v>
      </c>
      <c r="F113" s="60" t="n">
        <v>46294</v>
      </c>
      <c r="G113" s="62" t="n">
        <v>-482.4</v>
      </c>
      <c r="H113" s="61" t="s">
        <v>4</v>
      </c>
      <c r="I113" s="60" t="n">
        <v>46294</v>
      </c>
      <c r="J113" s="64" t="n">
        <v>0.612326388888889</v>
      </c>
      <c r="K113" s="61" t="str">
        <f aca="false">IF(AND(G113&gt;0,F113&lt;=Resumo!$C$6),"Recebido no 2008",IF(G113&lt;0,"Entrada","Estorno"))</f>
        <v>Entrada</v>
      </c>
      <c r="L113" s="62" t="n">
        <f aca="false">IF(K113="Recebido no 2008",0,-G113)</f>
        <v>482.4</v>
      </c>
    </row>
    <row r="114" customFormat="false" ht="15" hidden="false" customHeight="false" outlineLevel="0" collapsed="false">
      <c r="A114" s="61" t="s">
        <v>598</v>
      </c>
      <c r="B114" s="61" t="s">
        <v>157</v>
      </c>
      <c r="C114" s="61" t="s">
        <v>194</v>
      </c>
      <c r="D114" s="61" t="s">
        <v>251</v>
      </c>
      <c r="E114" s="61" t="s">
        <v>1049</v>
      </c>
      <c r="F114" s="60" t="n">
        <v>46289</v>
      </c>
      <c r="G114" s="62" t="n">
        <v>186</v>
      </c>
      <c r="H114" s="61" t="s">
        <v>4</v>
      </c>
      <c r="I114" s="60" t="n">
        <v>46289</v>
      </c>
      <c r="J114" s="64" t="n">
        <v>0.692581018518519</v>
      </c>
      <c r="K114" s="61" t="str">
        <f aca="false">IF(AND(G114&gt;0,F114&lt;=Resumo!$C$6),"Recebido no 2008",IF(G114&lt;0,"Entrada","Estorno"))</f>
        <v>Estorno</v>
      </c>
      <c r="L114" s="62" t="n">
        <f aca="false">IF(K114="Recebido no 2008",0,-G114)</f>
        <v>-186</v>
      </c>
    </row>
    <row r="115" customFormat="false" ht="15" hidden="false" customHeight="false" outlineLevel="0" collapsed="false">
      <c r="A115" s="61" t="s">
        <v>597</v>
      </c>
      <c r="B115" s="61" t="s">
        <v>157</v>
      </c>
      <c r="C115" s="61" t="s">
        <v>194</v>
      </c>
      <c r="D115" s="61" t="s">
        <v>251</v>
      </c>
      <c r="E115" s="61" t="s">
        <v>1049</v>
      </c>
      <c r="F115" s="60" t="n">
        <v>46289</v>
      </c>
      <c r="G115" s="62" t="n">
        <v>-186</v>
      </c>
      <c r="H115" s="61" t="s">
        <v>4</v>
      </c>
      <c r="I115" s="60" t="n">
        <v>46289</v>
      </c>
      <c r="J115" s="64" t="n">
        <v>0.686759259259259</v>
      </c>
      <c r="K115" s="61" t="str">
        <f aca="false">IF(AND(G115&gt;0,F115&lt;=Resumo!$C$6),"Recebido no 2008",IF(G115&lt;0,"Entrada","Estorno"))</f>
        <v>Entrada</v>
      </c>
      <c r="L115" s="62" t="n">
        <f aca="false">IF(K115="Recebido no 2008",0,-G115)</f>
        <v>186</v>
      </c>
    </row>
    <row r="116" customFormat="false" ht="15" hidden="false" customHeight="false" outlineLevel="0" collapsed="false">
      <c r="A116" s="61" t="s">
        <v>628</v>
      </c>
      <c r="B116" s="61" t="s">
        <v>157</v>
      </c>
      <c r="C116" s="61" t="s">
        <v>194</v>
      </c>
      <c r="D116" s="61" t="s">
        <v>251</v>
      </c>
      <c r="E116" s="61" t="s">
        <v>1049</v>
      </c>
      <c r="F116" s="60" t="n">
        <v>46289</v>
      </c>
      <c r="G116" s="62" t="n">
        <v>-2543.3</v>
      </c>
      <c r="H116" s="61" t="s">
        <v>4</v>
      </c>
      <c r="I116" s="60" t="n">
        <v>46289</v>
      </c>
      <c r="J116" s="64" t="n">
        <v>0.768275462962963</v>
      </c>
      <c r="K116" s="61" t="str">
        <f aca="false">IF(AND(G116&gt;0,F116&lt;=Resumo!$C$6),"Recebido no 2008",IF(G116&lt;0,"Entrada","Estorno"))</f>
        <v>Entrada</v>
      </c>
      <c r="L116" s="62" t="n">
        <f aca="false">IF(K116="Recebido no 2008",0,-G116)</f>
        <v>2543.3</v>
      </c>
    </row>
    <row r="117" customFormat="false" ht="15" hidden="false" customHeight="false" outlineLevel="0" collapsed="false">
      <c r="A117" s="61" t="s">
        <v>253</v>
      </c>
      <c r="B117" s="61" t="s">
        <v>7</v>
      </c>
      <c r="C117" s="61" t="s">
        <v>11</v>
      </c>
      <c r="D117" s="61" t="s">
        <v>251</v>
      </c>
      <c r="E117" s="61" t="s">
        <v>1049</v>
      </c>
      <c r="F117" s="60" t="n">
        <v>46275</v>
      </c>
      <c r="G117" s="62" t="n">
        <v>6633</v>
      </c>
      <c r="H117" s="61" t="s">
        <v>4</v>
      </c>
      <c r="I117" s="60" t="n">
        <v>46275</v>
      </c>
      <c r="J117" s="64" t="n">
        <v>0.790555555555556</v>
      </c>
      <c r="K117" s="61" t="str">
        <f aca="false">IF(AND(G117&gt;0,F117&lt;=Resumo!$C$6),"Recebido no 2008",IF(G117&lt;0,"Entrada","Estorno"))</f>
        <v>Recebido no 2008</v>
      </c>
      <c r="L117" s="62" t="n">
        <f aca="false">IF(K117="Recebido no 2008",0,-G117)</f>
        <v>0</v>
      </c>
    </row>
    <row r="118" customFormat="false" ht="15" hidden="false" customHeight="false" outlineLevel="0" collapsed="false">
      <c r="A118" s="61" t="s">
        <v>673</v>
      </c>
      <c r="B118" s="61" t="s">
        <v>29</v>
      </c>
      <c r="C118" s="61" t="s">
        <v>34</v>
      </c>
      <c r="D118" s="61" t="s">
        <v>251</v>
      </c>
      <c r="E118" s="61" t="s">
        <v>1049</v>
      </c>
      <c r="F118" s="60" t="n">
        <v>46291</v>
      </c>
      <c r="G118" s="62" t="n">
        <v>-2.8</v>
      </c>
      <c r="H118" s="61" t="s">
        <v>4</v>
      </c>
      <c r="I118" s="60" t="n">
        <v>46291</v>
      </c>
      <c r="J118" s="64" t="n">
        <v>0.672928240740741</v>
      </c>
      <c r="K118" s="61" t="str">
        <f aca="false">IF(AND(G118&gt;0,F118&lt;=Resumo!$C$6),"Recebido no 2008",IF(G118&lt;0,"Entrada","Estorno"))</f>
        <v>Entrada</v>
      </c>
      <c r="L118" s="62" t="n">
        <f aca="false">IF(K118="Recebido no 2008",0,-G118)</f>
        <v>2.8</v>
      </c>
    </row>
    <row r="119" customFormat="false" ht="15" hidden="false" customHeight="false" outlineLevel="0" collapsed="false">
      <c r="A119" s="61" t="s">
        <v>299</v>
      </c>
      <c r="B119" s="61" t="s">
        <v>33</v>
      </c>
      <c r="C119" s="61" t="s">
        <v>44</v>
      </c>
      <c r="D119" s="61" t="s">
        <v>251</v>
      </c>
      <c r="E119" s="61" t="s">
        <v>1049</v>
      </c>
      <c r="F119" s="60" t="n">
        <v>46276</v>
      </c>
      <c r="G119" s="62" t="n">
        <v>-1800</v>
      </c>
      <c r="H119" s="61" t="s">
        <v>4</v>
      </c>
      <c r="I119" s="60" t="n">
        <v>46276</v>
      </c>
      <c r="J119" s="64" t="n">
        <v>0.696342592592593</v>
      </c>
      <c r="K119" s="61" t="str">
        <f aca="false">IF(AND(G119&gt;0,F119&lt;=Resumo!$C$6),"Recebido no 2008",IF(G119&lt;0,"Entrada","Estorno"))</f>
        <v>Entrada</v>
      </c>
      <c r="L119" s="62" t="n">
        <f aca="false">IF(K119="Recebido no 2008",0,-G119)</f>
        <v>1800</v>
      </c>
    </row>
    <row r="120" customFormat="false" ht="15" hidden="false" customHeight="false" outlineLevel="0" collapsed="false">
      <c r="A120" s="61" t="s">
        <v>299</v>
      </c>
      <c r="B120" s="61" t="s">
        <v>33</v>
      </c>
      <c r="C120" s="61" t="s">
        <v>48</v>
      </c>
      <c r="D120" s="61" t="s">
        <v>251</v>
      </c>
      <c r="E120" s="61" t="s">
        <v>1049</v>
      </c>
      <c r="F120" s="60" t="n">
        <v>46276</v>
      </c>
      <c r="G120" s="62" t="n">
        <v>-600</v>
      </c>
      <c r="H120" s="61" t="s">
        <v>4</v>
      </c>
      <c r="I120" s="60" t="n">
        <v>46276</v>
      </c>
      <c r="J120" s="64" t="n">
        <v>0.696342592592593</v>
      </c>
      <c r="K120" s="61" t="str">
        <f aca="false">IF(AND(G120&gt;0,F120&lt;=Resumo!$C$6),"Recebido no 2008",IF(G120&lt;0,"Entrada","Estorno"))</f>
        <v>Entrada</v>
      </c>
      <c r="L120" s="62" t="n">
        <f aca="false">IF(K120="Recebido no 2008",0,-G120)</f>
        <v>600</v>
      </c>
    </row>
    <row r="121" customFormat="false" ht="15" hidden="false" customHeight="false" outlineLevel="0" collapsed="false">
      <c r="A121" s="61" t="s">
        <v>299</v>
      </c>
      <c r="B121" s="61" t="s">
        <v>33</v>
      </c>
      <c r="C121" s="61" t="s">
        <v>54</v>
      </c>
      <c r="D121" s="61" t="s">
        <v>251</v>
      </c>
      <c r="E121" s="61" t="s">
        <v>1049</v>
      </c>
      <c r="F121" s="60" t="n">
        <v>46276</v>
      </c>
      <c r="G121" s="62" t="n">
        <v>-520</v>
      </c>
      <c r="H121" s="61" t="s">
        <v>4</v>
      </c>
      <c r="I121" s="60" t="n">
        <v>46276</v>
      </c>
      <c r="J121" s="64" t="n">
        <v>0.696342592592593</v>
      </c>
      <c r="K121" s="61" t="str">
        <f aca="false">IF(AND(G121&gt;0,F121&lt;=Resumo!$C$6),"Recebido no 2008",IF(G121&lt;0,"Entrada","Estorno"))</f>
        <v>Entrada</v>
      </c>
      <c r="L121" s="62" t="n">
        <f aca="false">IF(K121="Recebido no 2008",0,-G121)</f>
        <v>520</v>
      </c>
    </row>
    <row r="122" customFormat="false" ht="15" hidden="false" customHeight="false" outlineLevel="0" collapsed="false">
      <c r="A122" s="61" t="s">
        <v>299</v>
      </c>
      <c r="B122" s="61" t="s">
        <v>33</v>
      </c>
      <c r="C122" s="61" t="s">
        <v>52</v>
      </c>
      <c r="D122" s="61" t="s">
        <v>251</v>
      </c>
      <c r="E122" s="61" t="s">
        <v>1049</v>
      </c>
      <c r="F122" s="60" t="n">
        <v>46276</v>
      </c>
      <c r="G122" s="62" t="n">
        <v>-1180</v>
      </c>
      <c r="H122" s="61" t="s">
        <v>4</v>
      </c>
      <c r="I122" s="60" t="n">
        <v>46276</v>
      </c>
      <c r="J122" s="64" t="n">
        <v>0.696342592592593</v>
      </c>
      <c r="K122" s="61" t="str">
        <f aca="false">IF(AND(G122&gt;0,F122&lt;=Resumo!$C$6),"Recebido no 2008",IF(G122&lt;0,"Entrada","Estorno"))</f>
        <v>Entrada</v>
      </c>
      <c r="L122" s="62" t="n">
        <f aca="false">IF(K122="Recebido no 2008",0,-G122)</f>
        <v>1180</v>
      </c>
    </row>
    <row r="123" customFormat="false" ht="15" hidden="false" customHeight="false" outlineLevel="0" collapsed="false">
      <c r="A123" s="61" t="s">
        <v>265</v>
      </c>
      <c r="B123" s="61" t="s">
        <v>33</v>
      </c>
      <c r="C123" s="61" t="s">
        <v>54</v>
      </c>
      <c r="D123" s="61" t="s">
        <v>251</v>
      </c>
      <c r="E123" s="61" t="s">
        <v>1049</v>
      </c>
      <c r="F123" s="60" t="n">
        <v>46275</v>
      </c>
      <c r="G123" s="62" t="n">
        <v>5240</v>
      </c>
      <c r="H123" s="61" t="s">
        <v>4</v>
      </c>
      <c r="I123" s="60" t="n">
        <v>46275</v>
      </c>
      <c r="J123" s="64" t="n">
        <v>0.823101851851852</v>
      </c>
      <c r="K123" s="61" t="str">
        <f aca="false">IF(AND(G123&gt;0,F123&lt;=Resumo!$C$6),"Recebido no 2008",IF(G123&lt;0,"Entrada","Estorno"))</f>
        <v>Recebido no 2008</v>
      </c>
      <c r="L123" s="62" t="n">
        <f aca="false">IF(K123="Recebido no 2008",0,-G123)</f>
        <v>0</v>
      </c>
    </row>
    <row r="124" customFormat="false" ht="15" hidden="false" customHeight="false" outlineLevel="0" collapsed="false">
      <c r="A124" s="61" t="s">
        <v>265</v>
      </c>
      <c r="B124" s="61" t="s">
        <v>33</v>
      </c>
      <c r="C124" s="61" t="s">
        <v>52</v>
      </c>
      <c r="D124" s="61" t="s">
        <v>251</v>
      </c>
      <c r="E124" s="61" t="s">
        <v>1049</v>
      </c>
      <c r="F124" s="60" t="n">
        <v>46275</v>
      </c>
      <c r="G124" s="62" t="n">
        <v>4360</v>
      </c>
      <c r="H124" s="61" t="s">
        <v>4</v>
      </c>
      <c r="I124" s="60" t="n">
        <v>46275</v>
      </c>
      <c r="J124" s="64" t="n">
        <v>0.823101851851852</v>
      </c>
      <c r="K124" s="61" t="str">
        <f aca="false">IF(AND(G124&gt;0,F124&lt;=Resumo!$C$6),"Recebido no 2008",IF(G124&lt;0,"Entrada","Estorno"))</f>
        <v>Recebido no 2008</v>
      </c>
      <c r="L124" s="62" t="n">
        <f aca="false">IF(K124="Recebido no 2008",0,-G124)</f>
        <v>0</v>
      </c>
    </row>
    <row r="125" customFormat="false" ht="15" hidden="false" customHeight="false" outlineLevel="0" collapsed="false">
      <c r="A125" s="61" t="s">
        <v>673</v>
      </c>
      <c r="B125" s="61" t="s">
        <v>35</v>
      </c>
      <c r="C125" s="61" t="s">
        <v>60</v>
      </c>
      <c r="D125" s="61" t="s">
        <v>251</v>
      </c>
      <c r="E125" s="61" t="s">
        <v>1049</v>
      </c>
      <c r="F125" s="60" t="n">
        <v>46291</v>
      </c>
      <c r="G125" s="62" t="n">
        <v>-603</v>
      </c>
      <c r="H125" s="61" t="s">
        <v>4</v>
      </c>
      <c r="I125" s="60" t="n">
        <v>46291</v>
      </c>
      <c r="J125" s="64" t="n">
        <v>0.672928240740741</v>
      </c>
      <c r="K125" s="61" t="str">
        <f aca="false">IF(AND(G125&gt;0,F125&lt;=Resumo!$C$6),"Recebido no 2008",IF(G125&lt;0,"Entrada","Estorno"))</f>
        <v>Entrada</v>
      </c>
      <c r="L125" s="62" t="n">
        <f aca="false">IF(K125="Recebido no 2008",0,-G125)</f>
        <v>603</v>
      </c>
    </row>
    <row r="126" customFormat="false" ht="15" hidden="false" customHeight="false" outlineLevel="0" collapsed="false">
      <c r="A126" s="61" t="s">
        <v>677</v>
      </c>
      <c r="B126" s="61" t="s">
        <v>41</v>
      </c>
      <c r="C126" s="61" t="s">
        <v>62</v>
      </c>
      <c r="D126" s="61" t="s">
        <v>251</v>
      </c>
      <c r="E126" s="61" t="s">
        <v>1049</v>
      </c>
      <c r="F126" s="60" t="n">
        <v>46291</v>
      </c>
      <c r="G126" s="62" t="n">
        <v>-2.8</v>
      </c>
      <c r="H126" s="61" t="s">
        <v>4</v>
      </c>
      <c r="I126" s="60" t="n">
        <v>46291</v>
      </c>
      <c r="J126" s="64" t="n">
        <v>0.679537037037037</v>
      </c>
      <c r="K126" s="61" t="str">
        <f aca="false">IF(AND(G126&gt;0,F126&lt;=Resumo!$C$6),"Recebido no 2008",IF(G126&lt;0,"Entrada","Estorno"))</f>
        <v>Entrada</v>
      </c>
      <c r="L126" s="62" t="n">
        <f aca="false">IF(K126="Recebido no 2008",0,-G126)</f>
        <v>2.8</v>
      </c>
    </row>
    <row r="127" customFormat="false" ht="15" hidden="false" customHeight="false" outlineLevel="0" collapsed="false">
      <c r="A127" s="61" t="s">
        <v>299</v>
      </c>
      <c r="B127" s="61" t="s">
        <v>47</v>
      </c>
      <c r="C127" s="61" t="s">
        <v>68</v>
      </c>
      <c r="D127" s="61" t="s">
        <v>251</v>
      </c>
      <c r="E127" s="61" t="s">
        <v>1049</v>
      </c>
      <c r="F127" s="60" t="n">
        <v>46276</v>
      </c>
      <c r="G127" s="62" t="n">
        <v>-2400</v>
      </c>
      <c r="H127" s="61" t="s">
        <v>4</v>
      </c>
      <c r="I127" s="60" t="n">
        <v>46276</v>
      </c>
      <c r="J127" s="64" t="n">
        <v>0.696342592592593</v>
      </c>
      <c r="K127" s="61" t="str">
        <f aca="false">IF(AND(G127&gt;0,F127&lt;=Resumo!$C$6),"Recebido no 2008",IF(G127&lt;0,"Entrada","Estorno"))</f>
        <v>Entrada</v>
      </c>
      <c r="L127" s="62" t="n">
        <f aca="false">IF(K127="Recebido no 2008",0,-G127)</f>
        <v>2400</v>
      </c>
    </row>
    <row r="128" customFormat="false" ht="15" hidden="false" customHeight="false" outlineLevel="0" collapsed="false">
      <c r="A128" s="61" t="s">
        <v>270</v>
      </c>
      <c r="B128" s="61" t="s">
        <v>47</v>
      </c>
      <c r="C128" s="61" t="s">
        <v>68</v>
      </c>
      <c r="D128" s="61" t="s">
        <v>251</v>
      </c>
      <c r="E128" s="61" t="s">
        <v>1049</v>
      </c>
      <c r="F128" s="60" t="n">
        <v>46275</v>
      </c>
      <c r="G128" s="62" t="n">
        <v>2400</v>
      </c>
      <c r="H128" s="61" t="s">
        <v>4</v>
      </c>
      <c r="I128" s="60" t="n">
        <v>46275</v>
      </c>
      <c r="J128" s="64" t="n">
        <v>0.929918981481481</v>
      </c>
      <c r="K128" s="61" t="str">
        <f aca="false">IF(AND(G128&gt;0,F128&lt;=Resumo!$C$6),"Recebido no 2008",IF(G128&lt;0,"Entrada","Estorno"))</f>
        <v>Recebido no 2008</v>
      </c>
      <c r="L128" s="62" t="n">
        <f aca="false">IF(K128="Recebido no 2008",0,-G128)</f>
        <v>0</v>
      </c>
    </row>
    <row r="129" customFormat="false" ht="15" hidden="false" customHeight="false" outlineLevel="0" collapsed="false">
      <c r="A129" s="61" t="s">
        <v>271</v>
      </c>
      <c r="B129" s="61" t="s">
        <v>47</v>
      </c>
      <c r="C129" s="61" t="s">
        <v>68</v>
      </c>
      <c r="D129" s="61" t="s">
        <v>251</v>
      </c>
      <c r="E129" s="61" t="s">
        <v>1049</v>
      </c>
      <c r="F129" s="60" t="n">
        <v>46275</v>
      </c>
      <c r="G129" s="62" t="n">
        <v>3600</v>
      </c>
      <c r="H129" s="61" t="s">
        <v>4</v>
      </c>
      <c r="I129" s="60" t="n">
        <v>46275</v>
      </c>
      <c r="J129" s="64" t="n">
        <v>0.906979166666667</v>
      </c>
      <c r="K129" s="61" t="str">
        <f aca="false">IF(AND(G129&gt;0,F129&lt;=Resumo!$C$6),"Recebido no 2008",IF(G129&lt;0,"Entrada","Estorno"))</f>
        <v>Recebido no 2008</v>
      </c>
      <c r="L129" s="62" t="n">
        <f aca="false">IF(K129="Recebido no 2008",0,-G129)</f>
        <v>0</v>
      </c>
    </row>
    <row r="130" customFormat="false" ht="15" hidden="false" customHeight="false" outlineLevel="0" collapsed="false">
      <c r="A130" s="61" t="s">
        <v>681</v>
      </c>
      <c r="B130" s="61" t="s">
        <v>51</v>
      </c>
      <c r="C130" s="61" t="s">
        <v>72</v>
      </c>
      <c r="D130" s="61" t="s">
        <v>251</v>
      </c>
      <c r="E130" s="61" t="s">
        <v>1049</v>
      </c>
      <c r="F130" s="60" t="n">
        <v>46291</v>
      </c>
      <c r="G130" s="62" t="n">
        <v>-720</v>
      </c>
      <c r="H130" s="61" t="s">
        <v>4</v>
      </c>
      <c r="I130" s="60" t="n">
        <v>46291</v>
      </c>
      <c r="J130" s="64" t="n">
        <v>0.768680555555556</v>
      </c>
      <c r="K130" s="61" t="str">
        <f aca="false">IF(AND(G130&gt;0,F130&lt;=Resumo!$C$6),"Recebido no 2008",IF(G130&lt;0,"Entrada","Estorno"))</f>
        <v>Entrada</v>
      </c>
      <c r="L130" s="62" t="n">
        <f aca="false">IF(K130="Recebido no 2008",0,-G130)</f>
        <v>720</v>
      </c>
    </row>
    <row r="131" customFormat="false" ht="15" hidden="false" customHeight="false" outlineLevel="0" collapsed="false">
      <c r="A131" s="61" t="s">
        <v>681</v>
      </c>
      <c r="B131" s="61" t="s">
        <v>51</v>
      </c>
      <c r="C131" s="61" t="s">
        <v>70</v>
      </c>
      <c r="D131" s="61" t="s">
        <v>251</v>
      </c>
      <c r="E131" s="61" t="s">
        <v>1049</v>
      </c>
      <c r="F131" s="60" t="n">
        <v>46291</v>
      </c>
      <c r="G131" s="62" t="n">
        <v>-480</v>
      </c>
      <c r="H131" s="61" t="s">
        <v>4</v>
      </c>
      <c r="I131" s="60" t="n">
        <v>46291</v>
      </c>
      <c r="J131" s="64" t="n">
        <v>0.768680555555556</v>
      </c>
      <c r="K131" s="61" t="str">
        <f aca="false">IF(AND(G131&gt;0,F131&lt;=Resumo!$C$6),"Recebido no 2008",IF(G131&lt;0,"Entrada","Estorno"))</f>
        <v>Entrada</v>
      </c>
      <c r="L131" s="62" t="n">
        <f aca="false">IF(K131="Recebido no 2008",0,-G131)</f>
        <v>480</v>
      </c>
    </row>
    <row r="132" customFormat="false" ht="15" hidden="false" customHeight="false" outlineLevel="0" collapsed="false">
      <c r="A132" s="61" t="s">
        <v>299</v>
      </c>
      <c r="B132" s="61" t="s">
        <v>51</v>
      </c>
      <c r="C132" s="61" t="s">
        <v>74</v>
      </c>
      <c r="D132" s="61" t="s">
        <v>251</v>
      </c>
      <c r="E132" s="61" t="s">
        <v>1049</v>
      </c>
      <c r="F132" s="60" t="n">
        <v>46276</v>
      </c>
      <c r="G132" s="62" t="n">
        <v>-40</v>
      </c>
      <c r="H132" s="61" t="s">
        <v>4</v>
      </c>
      <c r="I132" s="60" t="n">
        <v>46276</v>
      </c>
      <c r="J132" s="64" t="n">
        <v>0.696342592592593</v>
      </c>
      <c r="K132" s="61" t="str">
        <f aca="false">IF(AND(G132&gt;0,F132&lt;=Resumo!$C$6),"Recebido no 2008",IF(G132&lt;0,"Entrada","Estorno"))</f>
        <v>Entrada</v>
      </c>
      <c r="L132" s="62" t="n">
        <f aca="false">IF(K132="Recebido no 2008",0,-G132)</f>
        <v>40</v>
      </c>
    </row>
    <row r="133" customFormat="false" ht="15" hidden="false" customHeight="false" outlineLevel="0" collapsed="false">
      <c r="A133" s="61" t="s">
        <v>276</v>
      </c>
      <c r="B133" s="61" t="s">
        <v>51</v>
      </c>
      <c r="C133" s="61" t="s">
        <v>74</v>
      </c>
      <c r="D133" s="61" t="s">
        <v>251</v>
      </c>
      <c r="E133" s="61" t="s">
        <v>1049</v>
      </c>
      <c r="F133" s="60" t="n">
        <v>46275</v>
      </c>
      <c r="G133" s="62" t="n">
        <v>960</v>
      </c>
      <c r="H133" s="61" t="s">
        <v>4</v>
      </c>
      <c r="I133" s="60" t="n">
        <v>46275</v>
      </c>
      <c r="J133" s="64" t="n">
        <v>0.840451388888889</v>
      </c>
      <c r="K133" s="61" t="str">
        <f aca="false">IF(AND(G133&gt;0,F133&lt;=Resumo!$C$6),"Recebido no 2008",IF(G133&lt;0,"Entrada","Estorno"))</f>
        <v>Recebido no 2008</v>
      </c>
      <c r="L133" s="62" t="n">
        <f aca="false">IF(K133="Recebido no 2008",0,-G133)</f>
        <v>0</v>
      </c>
    </row>
    <row r="134" customFormat="false" ht="15" hidden="false" customHeight="false" outlineLevel="0" collapsed="false">
      <c r="A134" s="61" t="s">
        <v>277</v>
      </c>
      <c r="B134" s="61" t="s">
        <v>51</v>
      </c>
      <c r="C134" s="61" t="s">
        <v>74</v>
      </c>
      <c r="D134" s="61" t="s">
        <v>251</v>
      </c>
      <c r="E134" s="61" t="s">
        <v>1049</v>
      </c>
      <c r="F134" s="60" t="n">
        <v>46275</v>
      </c>
      <c r="G134" s="62" t="n">
        <v>1920</v>
      </c>
      <c r="H134" s="61" t="s">
        <v>4</v>
      </c>
      <c r="I134" s="60" t="n">
        <v>46275</v>
      </c>
      <c r="J134" s="64" t="n">
        <v>0.70130787037037</v>
      </c>
      <c r="K134" s="61" t="str">
        <f aca="false">IF(AND(G134&gt;0,F134&lt;=Resumo!$C$6),"Recebido no 2008",IF(G134&lt;0,"Entrada","Estorno"))</f>
        <v>Recebido no 2008</v>
      </c>
      <c r="L134" s="62" t="n">
        <f aca="false">IF(K134="Recebido no 2008",0,-G134)</f>
        <v>0</v>
      </c>
    </row>
    <row r="135" customFormat="false" ht="15" hidden="false" customHeight="false" outlineLevel="0" collapsed="false">
      <c r="A135" s="61" t="s">
        <v>683</v>
      </c>
      <c r="B135" s="61" t="s">
        <v>53</v>
      </c>
      <c r="C135" s="61" t="s">
        <v>84</v>
      </c>
      <c r="D135" s="61" t="s">
        <v>251</v>
      </c>
      <c r="E135" s="61" t="s">
        <v>1049</v>
      </c>
      <c r="F135" s="60" t="n">
        <v>46291</v>
      </c>
      <c r="G135" s="62" t="n">
        <v>-900</v>
      </c>
      <c r="H135" s="61" t="s">
        <v>9</v>
      </c>
      <c r="I135" s="60" t="n">
        <v>46291</v>
      </c>
      <c r="J135" s="64" t="n">
        <v>0.778101851851852</v>
      </c>
      <c r="K135" s="61" t="str">
        <f aca="false">IF(AND(G135&gt;0,F135&lt;=Resumo!$C$6),"Recebido no 2008",IF(G135&lt;0,"Entrada","Estorno"))</f>
        <v>Entrada</v>
      </c>
      <c r="L135" s="62" t="n">
        <f aca="false">IF(K135="Recebido no 2008",0,-G135)</f>
        <v>900</v>
      </c>
    </row>
    <row r="136" customFormat="false" ht="15" hidden="false" customHeight="false" outlineLevel="0" collapsed="false">
      <c r="A136" s="61" t="s">
        <v>682</v>
      </c>
      <c r="B136" s="61" t="s">
        <v>53</v>
      </c>
      <c r="C136" s="61" t="s">
        <v>80</v>
      </c>
      <c r="D136" s="61" t="s">
        <v>251</v>
      </c>
      <c r="E136" s="61" t="s">
        <v>1049</v>
      </c>
      <c r="F136" s="60" t="n">
        <v>46291</v>
      </c>
      <c r="G136" s="62" t="n">
        <v>-450</v>
      </c>
      <c r="H136" s="61" t="s">
        <v>9</v>
      </c>
      <c r="I136" s="60" t="n">
        <v>46291</v>
      </c>
      <c r="J136" s="64" t="n">
        <v>0.665636574074074</v>
      </c>
      <c r="K136" s="61" t="str">
        <f aca="false">IF(AND(G136&gt;0,F136&lt;=Resumo!$C$6),"Recebido no 2008",IF(G136&lt;0,"Entrada","Estorno"))</f>
        <v>Entrada</v>
      </c>
      <c r="L136" s="62" t="n">
        <f aca="false">IF(K136="Recebido no 2008",0,-G136)</f>
        <v>450</v>
      </c>
    </row>
    <row r="137" customFormat="false" ht="15" hidden="false" customHeight="false" outlineLevel="0" collapsed="false">
      <c r="A137" s="61" t="s">
        <v>253</v>
      </c>
      <c r="B137" s="61" t="s">
        <v>57</v>
      </c>
      <c r="C137" s="61" t="s">
        <v>101</v>
      </c>
      <c r="D137" s="61" t="s">
        <v>251</v>
      </c>
      <c r="E137" s="61" t="s">
        <v>1049</v>
      </c>
      <c r="F137" s="60" t="n">
        <v>46275</v>
      </c>
      <c r="G137" s="62" t="n">
        <v>600</v>
      </c>
      <c r="H137" s="61" t="s">
        <v>4</v>
      </c>
      <c r="I137" s="60" t="n">
        <v>46275</v>
      </c>
      <c r="J137" s="64" t="n">
        <v>0.790555555555556</v>
      </c>
      <c r="K137" s="61" t="str">
        <f aca="false">IF(AND(G137&gt;0,F137&lt;=Resumo!$C$6),"Recebido no 2008",IF(G137&lt;0,"Entrada","Estorno"))</f>
        <v>Recebido no 2008</v>
      </c>
      <c r="L137" s="62" t="n">
        <f aca="false">IF(K137="Recebido no 2008",0,-G137)</f>
        <v>0</v>
      </c>
    </row>
    <row r="138" customFormat="false" ht="15" hidden="false" customHeight="false" outlineLevel="0" collapsed="false">
      <c r="A138" s="61" t="s">
        <v>277</v>
      </c>
      <c r="B138" s="61" t="s">
        <v>57</v>
      </c>
      <c r="C138" s="61" t="s">
        <v>101</v>
      </c>
      <c r="D138" s="61" t="s">
        <v>251</v>
      </c>
      <c r="E138" s="61" t="s">
        <v>1049</v>
      </c>
      <c r="F138" s="60" t="n">
        <v>46275</v>
      </c>
      <c r="G138" s="62" t="n">
        <v>1800</v>
      </c>
      <c r="H138" s="61" t="s">
        <v>4</v>
      </c>
      <c r="I138" s="60" t="n">
        <v>46275</v>
      </c>
      <c r="J138" s="64" t="n">
        <v>0.70130787037037</v>
      </c>
      <c r="K138" s="61" t="str">
        <f aca="false">IF(AND(G138&gt;0,F138&lt;=Resumo!$C$6),"Recebido no 2008",IF(G138&lt;0,"Entrada","Estorno"))</f>
        <v>Recebido no 2008</v>
      </c>
      <c r="L138" s="62" t="n">
        <f aca="false">IF(K138="Recebido no 2008",0,-G138)</f>
        <v>0</v>
      </c>
    </row>
    <row r="139" customFormat="false" ht="15" hidden="false" customHeight="false" outlineLevel="0" collapsed="false">
      <c r="A139" s="61" t="s">
        <v>253</v>
      </c>
      <c r="B139" s="61" t="s">
        <v>59</v>
      </c>
      <c r="C139" s="61" t="s">
        <v>105</v>
      </c>
      <c r="D139" s="61" t="s">
        <v>251</v>
      </c>
      <c r="E139" s="61" t="s">
        <v>1049</v>
      </c>
      <c r="F139" s="60" t="n">
        <v>46275</v>
      </c>
      <c r="G139" s="62" t="n">
        <v>1122</v>
      </c>
      <c r="H139" s="61" t="s">
        <v>4</v>
      </c>
      <c r="I139" s="60" t="n">
        <v>46275</v>
      </c>
      <c r="J139" s="64" t="n">
        <v>0.790555555555556</v>
      </c>
      <c r="K139" s="61" t="str">
        <f aca="false">IF(AND(G139&gt;0,F139&lt;=Resumo!$C$6),"Recebido no 2008",IF(G139&lt;0,"Entrada","Estorno"))</f>
        <v>Recebido no 2008</v>
      </c>
      <c r="L139" s="62" t="n">
        <f aca="false">IF(K139="Recebido no 2008",0,-G139)</f>
        <v>0</v>
      </c>
    </row>
    <row r="140" customFormat="false" ht="15" hidden="false" customHeight="false" outlineLevel="0" collapsed="false">
      <c r="A140" s="61" t="s">
        <v>253</v>
      </c>
      <c r="B140" s="61" t="s">
        <v>59</v>
      </c>
      <c r="C140" s="61" t="s">
        <v>103</v>
      </c>
      <c r="D140" s="61" t="s">
        <v>251</v>
      </c>
      <c r="E140" s="61" t="s">
        <v>1049</v>
      </c>
      <c r="F140" s="60" t="n">
        <v>46275</v>
      </c>
      <c r="G140" s="62" t="n">
        <v>798</v>
      </c>
      <c r="H140" s="61" t="s">
        <v>4</v>
      </c>
      <c r="I140" s="60" t="n">
        <v>46275</v>
      </c>
      <c r="J140" s="64" t="n">
        <v>0.790555555555556</v>
      </c>
      <c r="K140" s="61" t="str">
        <f aca="false">IF(AND(G140&gt;0,F140&lt;=Resumo!$C$6),"Recebido no 2008",IF(G140&lt;0,"Entrada","Estorno"))</f>
        <v>Recebido no 2008</v>
      </c>
      <c r="L140" s="62" t="n">
        <f aca="false">IF(K140="Recebido no 2008",0,-G140)</f>
        <v>0</v>
      </c>
    </row>
    <row r="141" customFormat="false" ht="15" hidden="false" customHeight="false" outlineLevel="0" collapsed="false">
      <c r="A141" s="61" t="s">
        <v>681</v>
      </c>
      <c r="B141" s="61" t="s">
        <v>63</v>
      </c>
      <c r="C141" s="61" t="s">
        <v>109</v>
      </c>
      <c r="D141" s="61" t="s">
        <v>251</v>
      </c>
      <c r="E141" s="61" t="s">
        <v>1049</v>
      </c>
      <c r="F141" s="60" t="n">
        <v>46291</v>
      </c>
      <c r="G141" s="62" t="n">
        <v>-81.6</v>
      </c>
      <c r="H141" s="61" t="s">
        <v>4</v>
      </c>
      <c r="I141" s="60" t="n">
        <v>46291</v>
      </c>
      <c r="J141" s="64" t="n">
        <v>0.768680555555556</v>
      </c>
      <c r="K141" s="61" t="str">
        <f aca="false">IF(AND(G141&gt;0,F141&lt;=Resumo!$C$6),"Recebido no 2008",IF(G141&lt;0,"Entrada","Estorno"))</f>
        <v>Entrada</v>
      </c>
      <c r="L141" s="62" t="n">
        <f aca="false">IF(K141="Recebido no 2008",0,-G141)</f>
        <v>81.6</v>
      </c>
    </row>
    <row r="142" customFormat="false" ht="15" hidden="false" customHeight="false" outlineLevel="0" collapsed="false">
      <c r="A142" s="61" t="s">
        <v>277</v>
      </c>
      <c r="B142" s="61" t="s">
        <v>65</v>
      </c>
      <c r="C142" s="61" t="s">
        <v>111</v>
      </c>
      <c r="D142" s="61" t="s">
        <v>251</v>
      </c>
      <c r="E142" s="61" t="s">
        <v>1049</v>
      </c>
      <c r="F142" s="60" t="n">
        <v>46275</v>
      </c>
      <c r="G142" s="62" t="n">
        <v>1296</v>
      </c>
      <c r="H142" s="61" t="s">
        <v>4</v>
      </c>
      <c r="I142" s="60" t="n">
        <v>46275</v>
      </c>
      <c r="J142" s="64" t="n">
        <v>0.70130787037037</v>
      </c>
      <c r="K142" s="61" t="str">
        <f aca="false">IF(AND(G142&gt;0,F142&lt;=Resumo!$C$6),"Recebido no 2008",IF(G142&lt;0,"Entrada","Estorno"))</f>
        <v>Recebido no 2008</v>
      </c>
      <c r="L142" s="62" t="n">
        <f aca="false">IF(K142="Recebido no 2008",0,-G142)</f>
        <v>0</v>
      </c>
    </row>
    <row r="143" customFormat="false" ht="15" hidden="false" customHeight="false" outlineLevel="0" collapsed="false">
      <c r="A143" s="61" t="s">
        <v>402</v>
      </c>
      <c r="B143" s="61" t="s">
        <v>67</v>
      </c>
      <c r="C143" s="61" t="s">
        <v>118</v>
      </c>
      <c r="D143" s="61" t="s">
        <v>251</v>
      </c>
      <c r="E143" s="61" t="s">
        <v>1049</v>
      </c>
      <c r="F143" s="60" t="n">
        <v>46280</v>
      </c>
      <c r="G143" s="62" t="n">
        <v>1280</v>
      </c>
      <c r="H143" s="61" t="s">
        <v>4</v>
      </c>
      <c r="I143" s="60" t="n">
        <v>46280</v>
      </c>
      <c r="J143" s="64" t="n">
        <v>0.80443287037037</v>
      </c>
      <c r="K143" s="61" t="str">
        <f aca="false">IF(AND(G143&gt;0,F143&lt;=Resumo!$C$6),"Recebido no 2008",IF(G143&lt;0,"Entrada","Estorno"))</f>
        <v>Recebido no 2008</v>
      </c>
      <c r="L143" s="62" t="n">
        <f aca="false">IF(K143="Recebido no 2008",0,-G143)</f>
        <v>0</v>
      </c>
    </row>
    <row r="144" customFormat="false" ht="15" hidden="false" customHeight="false" outlineLevel="0" collapsed="false">
      <c r="A144" s="61" t="s">
        <v>677</v>
      </c>
      <c r="B144" s="61" t="s">
        <v>69</v>
      </c>
      <c r="C144" s="61" t="s">
        <v>127</v>
      </c>
      <c r="D144" s="61" t="s">
        <v>251</v>
      </c>
      <c r="E144" s="61" t="s">
        <v>1049</v>
      </c>
      <c r="F144" s="60" t="n">
        <v>46291</v>
      </c>
      <c r="G144" s="62" t="n">
        <v>-40.2</v>
      </c>
      <c r="H144" s="61" t="s">
        <v>4</v>
      </c>
      <c r="I144" s="60" t="n">
        <v>46291</v>
      </c>
      <c r="J144" s="64" t="n">
        <v>0.679537037037037</v>
      </c>
      <c r="K144" s="61" t="str">
        <f aca="false">IF(AND(G144&gt;0,F144&lt;=Resumo!$C$6),"Recebido no 2008",IF(G144&lt;0,"Entrada","Estorno"))</f>
        <v>Entrada</v>
      </c>
      <c r="L144" s="62" t="n">
        <f aca="false">IF(K144="Recebido no 2008",0,-G144)</f>
        <v>40.2</v>
      </c>
    </row>
    <row r="145" customFormat="false" ht="15" hidden="false" customHeight="false" outlineLevel="0" collapsed="false">
      <c r="A145" s="61" t="s">
        <v>684</v>
      </c>
      <c r="B145" s="61" t="s">
        <v>69</v>
      </c>
      <c r="C145" s="61" t="s">
        <v>120</v>
      </c>
      <c r="D145" s="61" t="s">
        <v>251</v>
      </c>
      <c r="E145" s="61" t="s">
        <v>1049</v>
      </c>
      <c r="F145" s="60" t="n">
        <v>46291</v>
      </c>
      <c r="G145" s="62" t="n">
        <v>-603</v>
      </c>
      <c r="H145" s="61" t="s">
        <v>4</v>
      </c>
      <c r="I145" s="60" t="n">
        <v>46291</v>
      </c>
      <c r="J145" s="64" t="n">
        <v>0.598726851851852</v>
      </c>
      <c r="K145" s="61" t="str">
        <f aca="false">IF(AND(G145&gt;0,F145&lt;=Resumo!$C$6),"Recebido no 2008",IF(G145&lt;0,"Entrada","Estorno"))</f>
        <v>Entrada</v>
      </c>
      <c r="L145" s="62" t="n">
        <f aca="false">IF(K145="Recebido no 2008",0,-G145)</f>
        <v>603</v>
      </c>
    </row>
    <row r="146" customFormat="false" ht="15" hidden="false" customHeight="false" outlineLevel="0" collapsed="false">
      <c r="A146" s="61" t="s">
        <v>265</v>
      </c>
      <c r="B146" s="61" t="s">
        <v>69</v>
      </c>
      <c r="C146" s="61" t="s">
        <v>123</v>
      </c>
      <c r="D146" s="61" t="s">
        <v>251</v>
      </c>
      <c r="E146" s="61" t="s">
        <v>1049</v>
      </c>
      <c r="F146" s="60" t="n">
        <v>46275</v>
      </c>
      <c r="G146" s="62" t="n">
        <v>160.8</v>
      </c>
      <c r="H146" s="61" t="s">
        <v>4</v>
      </c>
      <c r="I146" s="60" t="n">
        <v>46275</v>
      </c>
      <c r="J146" s="64" t="n">
        <v>0.823101851851852</v>
      </c>
      <c r="K146" s="61" t="str">
        <f aca="false">IF(AND(G146&gt;0,F146&lt;=Resumo!$C$6),"Recebido no 2008",IF(G146&lt;0,"Entrada","Estorno"))</f>
        <v>Recebido no 2008</v>
      </c>
      <c r="L146" s="62" t="n">
        <f aca="false">IF(K146="Recebido no 2008",0,-G146)</f>
        <v>0</v>
      </c>
    </row>
    <row r="147" customFormat="false" ht="15" hidden="false" customHeight="false" outlineLevel="0" collapsed="false">
      <c r="A147" s="61" t="s">
        <v>265</v>
      </c>
      <c r="B147" s="61" t="s">
        <v>69</v>
      </c>
      <c r="C147" s="61" t="s">
        <v>120</v>
      </c>
      <c r="D147" s="61" t="s">
        <v>251</v>
      </c>
      <c r="E147" s="61" t="s">
        <v>1049</v>
      </c>
      <c r="F147" s="60" t="n">
        <v>46275</v>
      </c>
      <c r="G147" s="62" t="n">
        <v>1025.1</v>
      </c>
      <c r="H147" s="61" t="s">
        <v>4</v>
      </c>
      <c r="I147" s="60" t="n">
        <v>46275</v>
      </c>
      <c r="J147" s="64" t="n">
        <v>0.823101851851852</v>
      </c>
      <c r="K147" s="61" t="str">
        <f aca="false">IF(AND(G147&gt;0,F147&lt;=Resumo!$C$6),"Recebido no 2008",IF(G147&lt;0,"Entrada","Estorno"))</f>
        <v>Recebido no 2008</v>
      </c>
      <c r="L147" s="62" t="n">
        <f aca="false">IF(K147="Recebido no 2008",0,-G147)</f>
        <v>0</v>
      </c>
    </row>
    <row r="148" customFormat="false" ht="15" hidden="false" customHeight="false" outlineLevel="0" collapsed="false">
      <c r="A148" s="61" t="s">
        <v>402</v>
      </c>
      <c r="B148" s="61" t="s">
        <v>73</v>
      </c>
      <c r="C148" s="61" t="s">
        <v>140</v>
      </c>
      <c r="D148" s="61" t="s">
        <v>251</v>
      </c>
      <c r="E148" s="61" t="s">
        <v>1049</v>
      </c>
      <c r="F148" s="60" t="n">
        <v>46280</v>
      </c>
      <c r="G148" s="62" t="n">
        <v>640</v>
      </c>
      <c r="H148" s="61" t="s">
        <v>4</v>
      </c>
      <c r="I148" s="60" t="n">
        <v>46280</v>
      </c>
      <c r="J148" s="64" t="n">
        <v>0.80443287037037</v>
      </c>
      <c r="K148" s="61" t="str">
        <f aca="false">IF(AND(G148&gt;0,F148&lt;=Resumo!$C$6),"Recebido no 2008",IF(G148&lt;0,"Entrada","Estorno"))</f>
        <v>Recebido no 2008</v>
      </c>
      <c r="L148" s="62" t="n">
        <f aca="false">IF(K148="Recebido no 2008",0,-G148)</f>
        <v>0</v>
      </c>
    </row>
    <row r="149" customFormat="false" ht="15" hidden="false" customHeight="false" outlineLevel="0" collapsed="false">
      <c r="A149" s="61" t="s">
        <v>278</v>
      </c>
      <c r="B149" s="61" t="s">
        <v>75</v>
      </c>
      <c r="C149" s="61" t="s">
        <v>143</v>
      </c>
      <c r="D149" s="61" t="s">
        <v>251</v>
      </c>
      <c r="E149" s="61" t="s">
        <v>1049</v>
      </c>
      <c r="F149" s="60" t="n">
        <v>46275</v>
      </c>
      <c r="G149" s="62" t="n">
        <v>1920</v>
      </c>
      <c r="H149" s="61" t="s">
        <v>4</v>
      </c>
      <c r="I149" s="60" t="n">
        <v>46275</v>
      </c>
      <c r="J149" s="64" t="n">
        <v>0.768738425925926</v>
      </c>
      <c r="K149" s="61" t="str">
        <f aca="false">IF(AND(G149&gt;0,F149&lt;=Resumo!$C$6),"Recebido no 2008",IF(G149&lt;0,"Entrada","Estorno"))</f>
        <v>Recebido no 2008</v>
      </c>
      <c r="L149" s="62" t="n">
        <f aca="false">IF(K149="Recebido no 2008",0,-G149)</f>
        <v>0</v>
      </c>
    </row>
    <row r="150" customFormat="false" ht="15" hidden="false" customHeight="false" outlineLevel="0" collapsed="false">
      <c r="A150" s="61" t="s">
        <v>673</v>
      </c>
      <c r="B150" s="61" t="s">
        <v>77</v>
      </c>
      <c r="C150" s="61" t="s">
        <v>148</v>
      </c>
      <c r="D150" s="61" t="s">
        <v>251</v>
      </c>
      <c r="E150" s="61" t="s">
        <v>1049</v>
      </c>
      <c r="F150" s="60" t="n">
        <v>46291</v>
      </c>
      <c r="G150" s="62" t="n">
        <v>-10</v>
      </c>
      <c r="H150" s="61" t="s">
        <v>4</v>
      </c>
      <c r="I150" s="60" t="n">
        <v>46291</v>
      </c>
      <c r="J150" s="64" t="n">
        <v>0.672928240740741</v>
      </c>
      <c r="K150" s="61" t="str">
        <f aca="false">IF(AND(G150&gt;0,F150&lt;=Resumo!$C$6),"Recebido no 2008",IF(G150&lt;0,"Entrada","Estorno"))</f>
        <v>Entrada</v>
      </c>
      <c r="L150" s="62" t="n">
        <f aca="false">IF(K150="Recebido no 2008",0,-G150)</f>
        <v>10</v>
      </c>
    </row>
    <row r="151" customFormat="false" ht="15" hidden="false" customHeight="false" outlineLevel="0" collapsed="false">
      <c r="A151" s="61" t="s">
        <v>253</v>
      </c>
      <c r="B151" s="61" t="s">
        <v>79</v>
      </c>
      <c r="C151" s="61" t="s">
        <v>152</v>
      </c>
      <c r="D151" s="61" t="s">
        <v>251</v>
      </c>
      <c r="E151" s="61" t="s">
        <v>1049</v>
      </c>
      <c r="F151" s="60" t="n">
        <v>46275</v>
      </c>
      <c r="G151" s="62" t="n">
        <v>384</v>
      </c>
      <c r="H151" s="61" t="s">
        <v>4</v>
      </c>
      <c r="I151" s="60" t="n">
        <v>46275</v>
      </c>
      <c r="J151" s="64" t="n">
        <v>0.790555555555556</v>
      </c>
      <c r="K151" s="61" t="str">
        <f aca="false">IF(AND(G151&gt;0,F151&lt;=Resumo!$C$6),"Recebido no 2008",IF(G151&lt;0,"Entrada","Estorno"))</f>
        <v>Recebido no 2008</v>
      </c>
      <c r="L151" s="62" t="n">
        <f aca="false">IF(K151="Recebido no 2008",0,-G151)</f>
        <v>0</v>
      </c>
    </row>
    <row r="152" customFormat="false" ht="15" hidden="false" customHeight="false" outlineLevel="0" collapsed="false">
      <c r="A152" s="61" t="s">
        <v>677</v>
      </c>
      <c r="B152" s="61" t="s">
        <v>81</v>
      </c>
      <c r="C152" s="61" t="s">
        <v>30</v>
      </c>
      <c r="D152" s="61" t="s">
        <v>251</v>
      </c>
      <c r="E152" s="61" t="s">
        <v>1049</v>
      </c>
      <c r="F152" s="60" t="n">
        <v>46291</v>
      </c>
      <c r="G152" s="62" t="n">
        <v>-288</v>
      </c>
      <c r="H152" s="61" t="s">
        <v>4</v>
      </c>
      <c r="I152" s="60" t="n">
        <v>46291</v>
      </c>
      <c r="J152" s="64" t="n">
        <v>0.679537037037037</v>
      </c>
      <c r="K152" s="61" t="str">
        <f aca="false">IF(AND(G152&gt;0,F152&lt;=Resumo!$C$6),"Recebido no 2008",IF(G152&lt;0,"Entrada","Estorno"))</f>
        <v>Entrada</v>
      </c>
      <c r="L152" s="62" t="n">
        <f aca="false">IF(K152="Recebido no 2008",0,-G152)</f>
        <v>288</v>
      </c>
    </row>
    <row r="153" customFormat="false" ht="15" hidden="false" customHeight="false" outlineLevel="0" collapsed="false">
      <c r="A153" s="61" t="s">
        <v>683</v>
      </c>
      <c r="B153" s="61" t="s">
        <v>81</v>
      </c>
      <c r="C153" s="61" t="s">
        <v>145</v>
      </c>
      <c r="D153" s="61" t="s">
        <v>251</v>
      </c>
      <c r="E153" s="61" t="s">
        <v>1049</v>
      </c>
      <c r="F153" s="60" t="n">
        <v>46291</v>
      </c>
      <c r="G153" s="62" t="n">
        <v>-198</v>
      </c>
      <c r="H153" s="61" t="s">
        <v>4</v>
      </c>
      <c r="I153" s="60" t="n">
        <v>46291</v>
      </c>
      <c r="J153" s="64" t="n">
        <v>0.778101851851852</v>
      </c>
      <c r="K153" s="61" t="str">
        <f aca="false">IF(AND(G153&gt;0,F153&lt;=Resumo!$C$6),"Recebido no 2008",IF(G153&lt;0,"Entrada","Estorno"))</f>
        <v>Entrada</v>
      </c>
      <c r="L153" s="62" t="n">
        <f aca="false">IF(K153="Recebido no 2008",0,-G153)</f>
        <v>198</v>
      </c>
    </row>
    <row r="154" customFormat="false" ht="15" hidden="false" customHeight="false" outlineLevel="0" collapsed="false">
      <c r="A154" s="61" t="s">
        <v>402</v>
      </c>
      <c r="B154" s="61" t="s">
        <v>83</v>
      </c>
      <c r="C154" s="61" t="s">
        <v>164</v>
      </c>
      <c r="D154" s="61" t="s">
        <v>251</v>
      </c>
      <c r="E154" s="61" t="s">
        <v>1049</v>
      </c>
      <c r="F154" s="60" t="n">
        <v>46280</v>
      </c>
      <c r="G154" s="62" t="n">
        <v>2900</v>
      </c>
      <c r="H154" s="61" t="s">
        <v>4</v>
      </c>
      <c r="I154" s="60" t="n">
        <v>46280</v>
      </c>
      <c r="J154" s="64" t="n">
        <v>0.80443287037037</v>
      </c>
      <c r="K154" s="61" t="str">
        <f aca="false">IF(AND(G154&gt;0,F154&lt;=Resumo!$C$6),"Recebido no 2008",IF(G154&lt;0,"Entrada","Estorno"))</f>
        <v>Recebido no 2008</v>
      </c>
      <c r="L154" s="62" t="n">
        <f aca="false">IF(K154="Recebido no 2008",0,-G154)</f>
        <v>0</v>
      </c>
    </row>
    <row r="155" customFormat="false" ht="15" hidden="false" customHeight="false" outlineLevel="0" collapsed="false">
      <c r="A155" s="61" t="s">
        <v>402</v>
      </c>
      <c r="B155" s="61" t="s">
        <v>83</v>
      </c>
      <c r="C155" s="61" t="s">
        <v>161</v>
      </c>
      <c r="D155" s="61" t="s">
        <v>251</v>
      </c>
      <c r="E155" s="61" t="s">
        <v>1049</v>
      </c>
      <c r="F155" s="60" t="n">
        <v>46280</v>
      </c>
      <c r="G155" s="62" t="n">
        <v>1300</v>
      </c>
      <c r="H155" s="61" t="s">
        <v>4</v>
      </c>
      <c r="I155" s="60" t="n">
        <v>46280</v>
      </c>
      <c r="J155" s="64" t="n">
        <v>0.80443287037037</v>
      </c>
      <c r="K155" s="61" t="str">
        <f aca="false">IF(AND(G155&gt;0,F155&lt;=Resumo!$C$6),"Recebido no 2008",IF(G155&lt;0,"Entrada","Estorno"))</f>
        <v>Recebido no 2008</v>
      </c>
      <c r="L155" s="62" t="n">
        <f aca="false">IF(K155="Recebido no 2008",0,-G155)</f>
        <v>0</v>
      </c>
    </row>
    <row r="156" customFormat="false" ht="15" hidden="false" customHeight="false" outlineLevel="0" collapsed="false">
      <c r="A156" s="61" t="s">
        <v>252</v>
      </c>
      <c r="B156" s="61" t="s">
        <v>85</v>
      </c>
      <c r="C156" s="61" t="s">
        <v>170</v>
      </c>
      <c r="D156" s="61" t="s">
        <v>251</v>
      </c>
      <c r="E156" s="61" t="s">
        <v>1049</v>
      </c>
      <c r="F156" s="60" t="n">
        <v>46274</v>
      </c>
      <c r="G156" s="62" t="n">
        <v>-195.84</v>
      </c>
      <c r="H156" s="61" t="s">
        <v>4</v>
      </c>
      <c r="I156" s="60" t="n">
        <v>46274</v>
      </c>
      <c r="J156" s="64" t="n">
        <v>0.6428125</v>
      </c>
      <c r="K156" s="61" t="str">
        <f aca="false">IF(AND(G156&gt;0,F156&lt;=Resumo!$C$6),"Recebido no 2008",IF(G156&lt;0,"Entrada","Estorno"))</f>
        <v>Entrada</v>
      </c>
      <c r="L156" s="62" t="n">
        <f aca="false">IF(K156="Recebido no 2008",0,-G156)</f>
        <v>195.84</v>
      </c>
    </row>
    <row r="157" customFormat="false" ht="15" hidden="false" customHeight="false" outlineLevel="0" collapsed="false">
      <c r="A157" s="61" t="s">
        <v>252</v>
      </c>
      <c r="B157" s="61" t="s">
        <v>85</v>
      </c>
      <c r="C157" s="61" t="s">
        <v>172</v>
      </c>
      <c r="D157" s="61" t="s">
        <v>251</v>
      </c>
      <c r="E157" s="61" t="s">
        <v>1049</v>
      </c>
      <c r="F157" s="60" t="n">
        <v>46274</v>
      </c>
      <c r="G157" s="62" t="n">
        <v>-295.12</v>
      </c>
      <c r="H157" s="61" t="s">
        <v>4</v>
      </c>
      <c r="I157" s="60" t="n">
        <v>46274</v>
      </c>
      <c r="J157" s="64" t="n">
        <v>0.6428125</v>
      </c>
      <c r="K157" s="61" t="str">
        <f aca="false">IF(AND(G157&gt;0,F157&lt;=Resumo!$C$6),"Recebido no 2008",IF(G157&lt;0,"Entrada","Estorno"))</f>
        <v>Entrada</v>
      </c>
      <c r="L157" s="62" t="n">
        <f aca="false">IF(K157="Recebido no 2008",0,-G157)</f>
        <v>295.12</v>
      </c>
    </row>
    <row r="158" customFormat="false" ht="15" hidden="false" customHeight="false" outlineLevel="0" collapsed="false">
      <c r="A158" s="61" t="s">
        <v>402</v>
      </c>
      <c r="B158" s="61" t="s">
        <v>102</v>
      </c>
      <c r="C158" s="61" t="s">
        <v>179</v>
      </c>
      <c r="D158" s="61" t="s">
        <v>251</v>
      </c>
      <c r="E158" s="61" t="s">
        <v>1049</v>
      </c>
      <c r="F158" s="60" t="n">
        <v>46280</v>
      </c>
      <c r="G158" s="62" t="n">
        <v>1200</v>
      </c>
      <c r="H158" s="61" t="s">
        <v>4</v>
      </c>
      <c r="I158" s="60" t="n">
        <v>46280</v>
      </c>
      <c r="J158" s="64" t="n">
        <v>0.80443287037037</v>
      </c>
      <c r="K158" s="61" t="str">
        <f aca="false">IF(AND(G158&gt;0,F158&lt;=Resumo!$C$6),"Recebido no 2008",IF(G158&lt;0,"Entrada","Estorno"))</f>
        <v>Recebido no 2008</v>
      </c>
      <c r="L158" s="62" t="n">
        <f aca="false">IF(K158="Recebido no 2008",0,-G158)</f>
        <v>0</v>
      </c>
    </row>
    <row r="159" customFormat="false" ht="15" hidden="false" customHeight="false" outlineLevel="0" collapsed="false">
      <c r="A159" s="61" t="s">
        <v>688</v>
      </c>
      <c r="B159" s="61" t="s">
        <v>106</v>
      </c>
      <c r="C159" s="61" t="s">
        <v>183</v>
      </c>
      <c r="D159" s="61" t="s">
        <v>251</v>
      </c>
      <c r="E159" s="61" t="s">
        <v>1049</v>
      </c>
      <c r="F159" s="60" t="n">
        <v>46291</v>
      </c>
      <c r="G159" s="62" t="n">
        <v>-480</v>
      </c>
      <c r="H159" s="61" t="s">
        <v>4</v>
      </c>
      <c r="I159" s="60" t="n">
        <v>46291</v>
      </c>
      <c r="J159" s="64" t="n">
        <v>0.592152777777778</v>
      </c>
      <c r="K159" s="61" t="str">
        <f aca="false">IF(AND(G159&gt;0,F159&lt;=Resumo!$C$6),"Recebido no 2008",IF(G159&lt;0,"Entrada","Estorno"))</f>
        <v>Entrada</v>
      </c>
      <c r="L159" s="62" t="n">
        <f aca="false">IF(K159="Recebido no 2008",0,-G159)</f>
        <v>480</v>
      </c>
    </row>
    <row r="160" customFormat="false" ht="15" hidden="false" customHeight="false" outlineLevel="0" collapsed="false">
      <c r="A160" s="61" t="s">
        <v>689</v>
      </c>
      <c r="B160" s="61" t="s">
        <v>106</v>
      </c>
      <c r="C160" s="61" t="s">
        <v>183</v>
      </c>
      <c r="D160" s="61" t="s">
        <v>251</v>
      </c>
      <c r="E160" s="61" t="s">
        <v>1049</v>
      </c>
      <c r="F160" s="60" t="n">
        <v>46291</v>
      </c>
      <c r="G160" s="62" t="n">
        <v>120</v>
      </c>
      <c r="H160" s="61" t="s">
        <v>4</v>
      </c>
      <c r="I160" s="60" t="n">
        <v>46291</v>
      </c>
      <c r="J160" s="64" t="n">
        <v>0.836284722222222</v>
      </c>
      <c r="K160" s="61" t="str">
        <f aca="false">IF(AND(G160&gt;0,F160&lt;=Resumo!$C$6),"Recebido no 2008",IF(G160&lt;0,"Entrada","Estorno"))</f>
        <v>Estorno</v>
      </c>
      <c r="L160" s="62" t="n">
        <f aca="false">IF(K160="Recebido no 2008",0,-G160)</f>
        <v>-120</v>
      </c>
    </row>
    <row r="161" customFormat="false" ht="15" hidden="false" customHeight="false" outlineLevel="0" collapsed="false">
      <c r="A161" s="61" t="s">
        <v>277</v>
      </c>
      <c r="B161" s="61" t="s">
        <v>106</v>
      </c>
      <c r="C161" s="61" t="s">
        <v>185</v>
      </c>
      <c r="D161" s="61" t="s">
        <v>251</v>
      </c>
      <c r="E161" s="61" t="s">
        <v>1049</v>
      </c>
      <c r="F161" s="60" t="n">
        <v>46275</v>
      </c>
      <c r="G161" s="62" t="n">
        <v>840</v>
      </c>
      <c r="H161" s="61" t="s">
        <v>4</v>
      </c>
      <c r="I161" s="60" t="n">
        <v>46275</v>
      </c>
      <c r="J161" s="64" t="n">
        <v>0.70130787037037</v>
      </c>
      <c r="K161" s="61" t="str">
        <f aca="false">IF(AND(G161&gt;0,F161&lt;=Resumo!$C$6),"Recebido no 2008",IF(G161&lt;0,"Entrada","Estorno"))</f>
        <v>Recebido no 2008</v>
      </c>
      <c r="L161" s="62" t="n">
        <f aca="false">IF(K161="Recebido no 2008",0,-G161)</f>
        <v>0</v>
      </c>
    </row>
    <row r="162" customFormat="false" ht="15" hidden="false" customHeight="false" outlineLevel="0" collapsed="false">
      <c r="A162" s="61" t="s">
        <v>681</v>
      </c>
      <c r="B162" s="61" t="s">
        <v>108</v>
      </c>
      <c r="C162" s="61" t="s">
        <v>188</v>
      </c>
      <c r="D162" s="61" t="s">
        <v>251</v>
      </c>
      <c r="E162" s="61" t="s">
        <v>1049</v>
      </c>
      <c r="F162" s="60" t="n">
        <v>46291</v>
      </c>
      <c r="G162" s="62" t="n">
        <v>-313.6</v>
      </c>
      <c r="H162" s="61" t="s">
        <v>4</v>
      </c>
      <c r="I162" s="60" t="n">
        <v>46291</v>
      </c>
      <c r="J162" s="64" t="n">
        <v>0.768680555555556</v>
      </c>
      <c r="K162" s="61" t="str">
        <f aca="false">IF(AND(G162&gt;0,F162&lt;=Resumo!$C$6),"Recebido no 2008",IF(G162&lt;0,"Entrada","Estorno"))</f>
        <v>Entrada</v>
      </c>
      <c r="L162" s="62" t="n">
        <f aca="false">IF(K162="Recebido no 2008",0,-G162)</f>
        <v>313.6</v>
      </c>
    </row>
    <row r="163" customFormat="false" ht="15" hidden="false" customHeight="false" outlineLevel="0" collapsed="false">
      <c r="A163" s="61" t="s">
        <v>277</v>
      </c>
      <c r="B163" s="61" t="s">
        <v>108</v>
      </c>
      <c r="C163" s="61" t="s">
        <v>188</v>
      </c>
      <c r="D163" s="61" t="s">
        <v>251</v>
      </c>
      <c r="E163" s="61" t="s">
        <v>1049</v>
      </c>
      <c r="F163" s="60" t="n">
        <v>46275</v>
      </c>
      <c r="G163" s="62" t="n">
        <v>940.8</v>
      </c>
      <c r="H163" s="61" t="s">
        <v>4</v>
      </c>
      <c r="I163" s="60" t="n">
        <v>46275</v>
      </c>
      <c r="J163" s="64" t="n">
        <v>0.70130787037037</v>
      </c>
      <c r="K163" s="61" t="str">
        <f aca="false">IF(AND(G163&gt;0,F163&lt;=Resumo!$C$6),"Recebido no 2008",IF(G163&lt;0,"Entrada","Estorno"))</f>
        <v>Recebido no 2008</v>
      </c>
      <c r="L163" s="62" t="n">
        <f aca="false">IF(K163="Recebido no 2008",0,-G163)</f>
        <v>0</v>
      </c>
    </row>
    <row r="164" customFormat="false" ht="15" hidden="false" customHeight="false" outlineLevel="0" collapsed="false">
      <c r="A164" s="61" t="s">
        <v>270</v>
      </c>
      <c r="B164" s="61" t="s">
        <v>108</v>
      </c>
      <c r="C164" s="61" t="s">
        <v>188</v>
      </c>
      <c r="D164" s="61" t="s">
        <v>251</v>
      </c>
      <c r="E164" s="61" t="s">
        <v>1049</v>
      </c>
      <c r="F164" s="60" t="n">
        <v>46275</v>
      </c>
      <c r="G164" s="62" t="n">
        <v>932.4</v>
      </c>
      <c r="H164" s="61" t="s">
        <v>4</v>
      </c>
      <c r="I164" s="60" t="n">
        <v>46275</v>
      </c>
      <c r="J164" s="64" t="n">
        <v>0.929918981481481</v>
      </c>
      <c r="K164" s="61" t="str">
        <f aca="false">IF(AND(G164&gt;0,F164&lt;=Resumo!$C$6),"Recebido no 2008",IF(G164&lt;0,"Entrada","Estorno"))</f>
        <v>Recebido no 2008</v>
      </c>
      <c r="L164" s="62" t="n">
        <f aca="false">IF(K164="Recebido no 2008",0,-G164)</f>
        <v>0</v>
      </c>
    </row>
    <row r="165" customFormat="false" ht="15" hidden="false" customHeight="false" outlineLevel="0" collapsed="false">
      <c r="A165" s="61" t="s">
        <v>682</v>
      </c>
      <c r="B165" s="61" t="s">
        <v>110</v>
      </c>
      <c r="C165" s="61" t="s">
        <v>177</v>
      </c>
      <c r="D165" s="61" t="s">
        <v>251</v>
      </c>
      <c r="E165" s="61" t="s">
        <v>1049</v>
      </c>
      <c r="F165" s="60" t="n">
        <v>46291</v>
      </c>
      <c r="G165" s="62" t="n">
        <v>-20.3</v>
      </c>
      <c r="H165" s="61" t="s">
        <v>4</v>
      </c>
      <c r="I165" s="60" t="n">
        <v>46291</v>
      </c>
      <c r="J165" s="64" t="n">
        <v>0.665636574074074</v>
      </c>
      <c r="K165" s="61" t="str">
        <f aca="false">IF(AND(G165&gt;0,F165&lt;=Resumo!$C$6),"Recebido no 2008",IF(G165&lt;0,"Entrada","Estorno"))</f>
        <v>Entrada</v>
      </c>
      <c r="L165" s="62" t="n">
        <f aca="false">IF(K165="Recebido no 2008",0,-G165)</f>
        <v>20.3</v>
      </c>
    </row>
    <row r="166" customFormat="false" ht="15" hidden="false" customHeight="false" outlineLevel="0" collapsed="false">
      <c r="A166" s="61" t="s">
        <v>682</v>
      </c>
      <c r="B166" s="61" t="s">
        <v>110</v>
      </c>
      <c r="C166" s="61" t="s">
        <v>177</v>
      </c>
      <c r="D166" s="61" t="s">
        <v>251</v>
      </c>
      <c r="E166" s="61" t="s">
        <v>1049</v>
      </c>
      <c r="F166" s="60" t="n">
        <v>46291</v>
      </c>
      <c r="G166" s="62" t="n">
        <v>-1045</v>
      </c>
      <c r="H166" s="61" t="s">
        <v>4</v>
      </c>
      <c r="I166" s="60" t="n">
        <v>46291</v>
      </c>
      <c r="J166" s="64" t="n">
        <v>0.665636574074074</v>
      </c>
      <c r="K166" s="61" t="str">
        <f aca="false">IF(AND(G166&gt;0,F166&lt;=Resumo!$C$6),"Recebido no 2008",IF(G166&lt;0,"Entrada","Estorno"))</f>
        <v>Entrada</v>
      </c>
      <c r="L166" s="62" t="n">
        <f aca="false">IF(K166="Recebido no 2008",0,-G166)</f>
        <v>1045</v>
      </c>
    </row>
    <row r="167" customFormat="false" ht="15" hidden="false" customHeight="false" outlineLevel="0" collapsed="false">
      <c r="A167" s="61" t="s">
        <v>682</v>
      </c>
      <c r="B167" s="61" t="s">
        <v>110</v>
      </c>
      <c r="C167" s="61" t="s">
        <v>162</v>
      </c>
      <c r="D167" s="61" t="s">
        <v>251</v>
      </c>
      <c r="E167" s="61" t="s">
        <v>1049</v>
      </c>
      <c r="F167" s="60" t="n">
        <v>46291</v>
      </c>
      <c r="G167" s="62" t="n">
        <v>-763.8</v>
      </c>
      <c r="H167" s="61" t="s">
        <v>4</v>
      </c>
      <c r="I167" s="60" t="n">
        <v>46291</v>
      </c>
      <c r="J167" s="64" t="n">
        <v>0.665636574074074</v>
      </c>
      <c r="K167" s="61" t="str">
        <f aca="false">IF(AND(G167&gt;0,F167&lt;=Resumo!$C$6),"Recebido no 2008",IF(G167&lt;0,"Entrada","Estorno"))</f>
        <v>Entrada</v>
      </c>
      <c r="L167" s="62" t="n">
        <f aca="false">IF(K167="Recebido no 2008",0,-G167)</f>
        <v>763.8</v>
      </c>
    </row>
    <row r="168" customFormat="false" ht="15" hidden="false" customHeight="false" outlineLevel="0" collapsed="false">
      <c r="A168" s="61" t="s">
        <v>682</v>
      </c>
      <c r="B168" s="61" t="s">
        <v>110</v>
      </c>
      <c r="C168" s="61" t="s">
        <v>192</v>
      </c>
      <c r="D168" s="61" t="s">
        <v>251</v>
      </c>
      <c r="E168" s="61" t="s">
        <v>1049</v>
      </c>
      <c r="F168" s="60" t="n">
        <v>46291</v>
      </c>
      <c r="G168" s="62" t="n">
        <v>-603</v>
      </c>
      <c r="H168" s="61" t="s">
        <v>4</v>
      </c>
      <c r="I168" s="60" t="n">
        <v>46291</v>
      </c>
      <c r="J168" s="64" t="n">
        <v>0.665636574074074</v>
      </c>
      <c r="K168" s="61" t="str">
        <f aca="false">IF(AND(G168&gt;0,F168&lt;=Resumo!$C$6),"Recebido no 2008",IF(G168&lt;0,"Entrada","Estorno"))</f>
        <v>Entrada</v>
      </c>
      <c r="L168" s="62" t="n">
        <f aca="false">IF(K168="Recebido no 2008",0,-G168)</f>
        <v>603</v>
      </c>
    </row>
    <row r="169" customFormat="false" ht="15" hidden="false" customHeight="false" outlineLevel="0" collapsed="false">
      <c r="A169" s="61" t="s">
        <v>253</v>
      </c>
      <c r="B169" s="61" t="s">
        <v>110</v>
      </c>
      <c r="C169" s="61" t="s">
        <v>193</v>
      </c>
      <c r="D169" s="61" t="s">
        <v>251</v>
      </c>
      <c r="E169" s="61" t="s">
        <v>1049</v>
      </c>
      <c r="F169" s="60" t="n">
        <v>46275</v>
      </c>
      <c r="G169" s="62" t="n">
        <v>1166</v>
      </c>
      <c r="H169" s="61" t="s">
        <v>4</v>
      </c>
      <c r="I169" s="60" t="n">
        <v>46275</v>
      </c>
      <c r="J169" s="64" t="n">
        <v>0.790555555555556</v>
      </c>
      <c r="K169" s="61" t="str">
        <f aca="false">IF(AND(G169&gt;0,F169&lt;=Resumo!$C$6),"Recebido no 2008",IF(G169&lt;0,"Entrada","Estorno"))</f>
        <v>Recebido no 2008</v>
      </c>
      <c r="L169" s="62" t="n">
        <f aca="false">IF(K169="Recebido no 2008",0,-G169)</f>
        <v>0</v>
      </c>
    </row>
    <row r="170" customFormat="false" ht="15" hidden="false" customHeight="false" outlineLevel="0" collapsed="false">
      <c r="A170" s="61" t="s">
        <v>253</v>
      </c>
      <c r="B170" s="61" t="s">
        <v>110</v>
      </c>
      <c r="C170" s="61" t="s">
        <v>177</v>
      </c>
      <c r="D170" s="61" t="s">
        <v>251</v>
      </c>
      <c r="E170" s="61" t="s">
        <v>1049</v>
      </c>
      <c r="F170" s="60" t="n">
        <v>46275</v>
      </c>
      <c r="G170" s="62" t="n">
        <v>40</v>
      </c>
      <c r="H170" s="61" t="s">
        <v>4</v>
      </c>
      <c r="I170" s="60" t="n">
        <v>46275</v>
      </c>
      <c r="J170" s="64" t="n">
        <v>0.790555555555556</v>
      </c>
      <c r="K170" s="61" t="str">
        <f aca="false">IF(AND(G170&gt;0,F170&lt;=Resumo!$C$6),"Recebido no 2008",IF(G170&lt;0,"Entrada","Estorno"))</f>
        <v>Recebido no 2008</v>
      </c>
      <c r="L170" s="62" t="n">
        <f aca="false">IF(K170="Recebido no 2008",0,-G170)</f>
        <v>0</v>
      </c>
    </row>
    <row r="171" customFormat="false" ht="15" hidden="false" customHeight="false" outlineLevel="0" collapsed="false">
      <c r="A171" s="61" t="s">
        <v>688</v>
      </c>
      <c r="B171" s="61" t="s">
        <v>117</v>
      </c>
      <c r="C171" s="61" t="s">
        <v>195</v>
      </c>
      <c r="D171" s="61" t="s">
        <v>251</v>
      </c>
      <c r="E171" s="61" t="s">
        <v>1049</v>
      </c>
      <c r="F171" s="60" t="n">
        <v>46291</v>
      </c>
      <c r="G171" s="62" t="n">
        <v>-1200</v>
      </c>
      <c r="H171" s="61" t="s">
        <v>4</v>
      </c>
      <c r="I171" s="60" t="n">
        <v>46291</v>
      </c>
      <c r="J171" s="64" t="n">
        <v>0.592152777777778</v>
      </c>
      <c r="K171" s="61" t="str">
        <f aca="false">IF(AND(G171&gt;0,F171&lt;=Resumo!$C$6),"Recebido no 2008",IF(G171&lt;0,"Entrada","Estorno"))</f>
        <v>Entrada</v>
      </c>
      <c r="L171" s="62" t="n">
        <f aca="false">IF(K171="Recebido no 2008",0,-G171)</f>
        <v>1200</v>
      </c>
    </row>
    <row r="172" customFormat="false" ht="15" hidden="false" customHeight="false" outlineLevel="0" collapsed="false">
      <c r="A172" s="61" t="s">
        <v>253</v>
      </c>
      <c r="B172" s="61" t="s">
        <v>117</v>
      </c>
      <c r="C172" s="61" t="s">
        <v>196</v>
      </c>
      <c r="D172" s="61" t="s">
        <v>251</v>
      </c>
      <c r="E172" s="61" t="s">
        <v>1049</v>
      </c>
      <c r="F172" s="60" t="n">
        <v>46275</v>
      </c>
      <c r="G172" s="62" t="n">
        <v>600</v>
      </c>
      <c r="H172" s="61" t="s">
        <v>4</v>
      </c>
      <c r="I172" s="60" t="n">
        <v>46275</v>
      </c>
      <c r="J172" s="64" t="n">
        <v>0.790555555555556</v>
      </c>
      <c r="K172" s="61" t="str">
        <f aca="false">IF(AND(G172&gt;0,F172&lt;=Resumo!$C$6),"Recebido no 2008",IF(G172&lt;0,"Entrada","Estorno"))</f>
        <v>Recebido no 2008</v>
      </c>
      <c r="L172" s="62" t="n">
        <f aca="false">IF(K172="Recebido no 2008",0,-G172)</f>
        <v>0</v>
      </c>
    </row>
    <row r="173" customFormat="false" ht="15" hidden="false" customHeight="false" outlineLevel="0" collapsed="false">
      <c r="A173" s="61" t="s">
        <v>278</v>
      </c>
      <c r="B173" s="61" t="s">
        <v>117</v>
      </c>
      <c r="C173" s="61" t="s">
        <v>196</v>
      </c>
      <c r="D173" s="61" t="s">
        <v>251</v>
      </c>
      <c r="E173" s="61" t="s">
        <v>1049</v>
      </c>
      <c r="F173" s="60" t="n">
        <v>46275</v>
      </c>
      <c r="G173" s="62" t="n">
        <v>1800</v>
      </c>
      <c r="H173" s="61" t="s">
        <v>4</v>
      </c>
      <c r="I173" s="60" t="n">
        <v>46275</v>
      </c>
      <c r="J173" s="64" t="n">
        <v>0.768738425925926</v>
      </c>
      <c r="K173" s="61" t="str">
        <f aca="false">IF(AND(G173&gt;0,F173&lt;=Resumo!$C$6),"Recebido no 2008",IF(G173&lt;0,"Entrada","Estorno"))</f>
        <v>Recebido no 2008</v>
      </c>
      <c r="L173" s="62" t="n">
        <f aca="false">IF(K173="Recebido no 2008",0,-G173)</f>
        <v>0</v>
      </c>
    </row>
    <row r="174" customFormat="false" ht="15" hidden="false" customHeight="false" outlineLevel="0" collapsed="false">
      <c r="A174" s="61" t="s">
        <v>270</v>
      </c>
      <c r="B174" s="61" t="s">
        <v>122</v>
      </c>
      <c r="C174" s="61" t="s">
        <v>197</v>
      </c>
      <c r="D174" s="61" t="s">
        <v>251</v>
      </c>
      <c r="E174" s="61" t="s">
        <v>1049</v>
      </c>
      <c r="F174" s="60" t="n">
        <v>46275</v>
      </c>
      <c r="G174" s="62" t="n">
        <v>864</v>
      </c>
      <c r="H174" s="61" t="s">
        <v>4</v>
      </c>
      <c r="I174" s="60" t="n">
        <v>46275</v>
      </c>
      <c r="J174" s="64" t="n">
        <v>0.929918981481481</v>
      </c>
      <c r="K174" s="61" t="str">
        <f aca="false">IF(AND(G174&gt;0,F174&lt;=Resumo!$C$6),"Recebido no 2008",IF(G174&lt;0,"Entrada","Estorno"))</f>
        <v>Recebido no 2008</v>
      </c>
      <c r="L174" s="62" t="n">
        <f aca="false">IF(K174="Recebido no 2008",0,-G174)</f>
        <v>0</v>
      </c>
    </row>
    <row r="175" customFormat="false" ht="15" hidden="false" customHeight="false" outlineLevel="0" collapsed="false">
      <c r="A175" s="61" t="s">
        <v>277</v>
      </c>
      <c r="B175" s="61" t="s">
        <v>126</v>
      </c>
      <c r="C175" s="61" t="s">
        <v>198</v>
      </c>
      <c r="D175" s="61" t="s">
        <v>251</v>
      </c>
      <c r="E175" s="61" t="s">
        <v>1049</v>
      </c>
      <c r="F175" s="60" t="n">
        <v>46275</v>
      </c>
      <c r="G175" s="62" t="n">
        <v>432</v>
      </c>
      <c r="H175" s="61" t="s">
        <v>4</v>
      </c>
      <c r="I175" s="60" t="n">
        <v>46275</v>
      </c>
      <c r="J175" s="64" t="n">
        <v>0.70130787037037</v>
      </c>
      <c r="K175" s="61" t="str">
        <f aca="false">IF(AND(G175&gt;0,F175&lt;=Resumo!$C$6),"Recebido no 2008",IF(G175&lt;0,"Entrada","Estorno"))</f>
        <v>Recebido no 2008</v>
      </c>
      <c r="L175" s="62" t="n">
        <f aca="false">IF(K175="Recebido no 2008",0,-G175)</f>
        <v>0</v>
      </c>
    </row>
    <row r="176" customFormat="false" ht="15" hidden="false" customHeight="false" outlineLevel="0" collapsed="false">
      <c r="A176" s="61" t="s">
        <v>278</v>
      </c>
      <c r="B176" s="61" t="s">
        <v>130</v>
      </c>
      <c r="C176" s="61" t="s">
        <v>200</v>
      </c>
      <c r="D176" s="61" t="s">
        <v>251</v>
      </c>
      <c r="E176" s="61" t="s">
        <v>1049</v>
      </c>
      <c r="F176" s="60" t="n">
        <v>46275</v>
      </c>
      <c r="G176" s="62" t="n">
        <v>4296</v>
      </c>
      <c r="H176" s="61" t="s">
        <v>4</v>
      </c>
      <c r="I176" s="60" t="n">
        <v>46275</v>
      </c>
      <c r="J176" s="64" t="n">
        <v>0.768738425925926</v>
      </c>
      <c r="K176" s="61" t="str">
        <f aca="false">IF(AND(G176&gt;0,F176&lt;=Resumo!$C$6),"Recebido no 2008",IF(G176&lt;0,"Entrada","Estorno"))</f>
        <v>Recebido no 2008</v>
      </c>
      <c r="L176" s="62" t="n">
        <f aca="false">IF(K176="Recebido no 2008",0,-G176)</f>
        <v>0</v>
      </c>
    </row>
    <row r="177" customFormat="false" ht="15" hidden="false" customHeight="false" outlineLevel="0" collapsed="false">
      <c r="A177" s="61" t="s">
        <v>276</v>
      </c>
      <c r="B177" s="61" t="s">
        <v>130</v>
      </c>
      <c r="C177" s="61" t="s">
        <v>201</v>
      </c>
      <c r="D177" s="61" t="s">
        <v>251</v>
      </c>
      <c r="E177" s="61" t="s">
        <v>1049</v>
      </c>
      <c r="F177" s="60" t="n">
        <v>46275</v>
      </c>
      <c r="G177" s="62" t="n">
        <v>5592</v>
      </c>
      <c r="H177" s="61" t="s">
        <v>4</v>
      </c>
      <c r="I177" s="60" t="n">
        <v>46275</v>
      </c>
      <c r="J177" s="64" t="n">
        <v>0.840451388888889</v>
      </c>
      <c r="K177" s="61" t="str">
        <f aca="false">IF(AND(G177&gt;0,F177&lt;=Resumo!$C$6),"Recebido no 2008",IF(G177&lt;0,"Entrada","Estorno"))</f>
        <v>Recebido no 2008</v>
      </c>
      <c r="L177" s="62" t="n">
        <f aca="false">IF(K177="Recebido no 2008",0,-G177)</f>
        <v>0</v>
      </c>
    </row>
    <row r="178" customFormat="false" ht="15" hidden="false" customHeight="false" outlineLevel="0" collapsed="false">
      <c r="A178" s="61" t="s">
        <v>278</v>
      </c>
      <c r="B178" s="61" t="s">
        <v>130</v>
      </c>
      <c r="C178" s="61" t="s">
        <v>201</v>
      </c>
      <c r="D178" s="61" t="s">
        <v>251</v>
      </c>
      <c r="E178" s="61" t="s">
        <v>1049</v>
      </c>
      <c r="F178" s="60" t="n">
        <v>46275</v>
      </c>
      <c r="G178" s="62" t="n">
        <v>1320</v>
      </c>
      <c r="H178" s="61" t="s">
        <v>4</v>
      </c>
      <c r="I178" s="60" t="n">
        <v>46275</v>
      </c>
      <c r="J178" s="64" t="n">
        <v>0.768738425925926</v>
      </c>
      <c r="K178" s="61" t="str">
        <f aca="false">IF(AND(G178&gt;0,F178&lt;=Resumo!$C$6),"Recebido no 2008",IF(G178&lt;0,"Entrada","Estorno"))</f>
        <v>Recebido no 2008</v>
      </c>
      <c r="L178" s="62" t="n">
        <f aca="false">IF(K178="Recebido no 2008",0,-G178)</f>
        <v>0</v>
      </c>
    </row>
    <row r="179" customFormat="false" ht="15" hidden="false" customHeight="false" outlineLevel="0" collapsed="false">
      <c r="A179" s="61" t="s">
        <v>681</v>
      </c>
      <c r="B179" s="61" t="s">
        <v>135</v>
      </c>
      <c r="C179" s="61" t="s">
        <v>203</v>
      </c>
      <c r="D179" s="61" t="s">
        <v>251</v>
      </c>
      <c r="E179" s="61" t="s">
        <v>1049</v>
      </c>
      <c r="F179" s="60" t="n">
        <v>46291</v>
      </c>
      <c r="G179" s="62" t="n">
        <v>-850</v>
      </c>
      <c r="H179" s="61" t="s">
        <v>4</v>
      </c>
      <c r="I179" s="60" t="n">
        <v>46291</v>
      </c>
      <c r="J179" s="64" t="n">
        <v>0.768680555555556</v>
      </c>
      <c r="K179" s="61" t="str">
        <f aca="false">IF(AND(G179&gt;0,F179&lt;=Resumo!$C$6),"Recebido no 2008",IF(G179&lt;0,"Entrada","Estorno"))</f>
        <v>Entrada</v>
      </c>
      <c r="L179" s="62" t="n">
        <f aca="false">IF(K179="Recebido no 2008",0,-G179)</f>
        <v>850</v>
      </c>
    </row>
    <row r="180" customFormat="false" ht="15" hidden="false" customHeight="false" outlineLevel="0" collapsed="false">
      <c r="A180" s="61" t="s">
        <v>683</v>
      </c>
      <c r="B180" s="61" t="s">
        <v>131</v>
      </c>
      <c r="C180" s="61" t="s">
        <v>133</v>
      </c>
      <c r="D180" s="61" t="s">
        <v>251</v>
      </c>
      <c r="E180" s="61" t="s">
        <v>1049</v>
      </c>
      <c r="F180" s="60" t="n">
        <v>46291</v>
      </c>
      <c r="G180" s="62" t="n">
        <v>-240</v>
      </c>
      <c r="H180" s="61" t="s">
        <v>12</v>
      </c>
      <c r="I180" s="60" t="n">
        <v>46291</v>
      </c>
      <c r="J180" s="64" t="n">
        <v>0.778101851851852</v>
      </c>
      <c r="K180" s="61" t="str">
        <f aca="false">IF(AND(G180&gt;0,F180&lt;=Resumo!$C$6),"Recebido no 2008",IF(G180&lt;0,"Entrada","Estorno"))</f>
        <v>Entrada</v>
      </c>
      <c r="L180" s="62" t="n">
        <f aca="false">IF(K180="Recebido no 2008",0,-G180)</f>
        <v>240</v>
      </c>
    </row>
    <row r="181" customFormat="false" ht="15" hidden="false" customHeight="false" outlineLevel="0" collapsed="false">
      <c r="A181" s="61" t="s">
        <v>682</v>
      </c>
      <c r="B181" s="61" t="s">
        <v>131</v>
      </c>
      <c r="C181" s="61" t="s">
        <v>205</v>
      </c>
      <c r="D181" s="61" t="s">
        <v>251</v>
      </c>
      <c r="E181" s="61" t="s">
        <v>1049</v>
      </c>
      <c r="F181" s="60" t="n">
        <v>46291</v>
      </c>
      <c r="G181" s="62" t="n">
        <v>-120</v>
      </c>
      <c r="H181" s="61" t="s">
        <v>12</v>
      </c>
      <c r="I181" s="60" t="n">
        <v>46291</v>
      </c>
      <c r="J181" s="64" t="n">
        <v>0.665636574074074</v>
      </c>
      <c r="K181" s="61" t="str">
        <f aca="false">IF(AND(G181&gt;0,F181&lt;=Resumo!$C$6),"Recebido no 2008",IF(G181&lt;0,"Entrada","Estorno"))</f>
        <v>Entrada</v>
      </c>
      <c r="L181" s="62" t="n">
        <f aca="false">IF(K181="Recebido no 2008",0,-G181)</f>
        <v>120</v>
      </c>
    </row>
    <row r="182" customFormat="false" ht="15" hidden="false" customHeight="false" outlineLevel="0" collapsed="false">
      <c r="A182" s="61" t="s">
        <v>684</v>
      </c>
      <c r="B182" s="61" t="s">
        <v>131</v>
      </c>
      <c r="C182" s="61" t="s">
        <v>205</v>
      </c>
      <c r="D182" s="61" t="s">
        <v>251</v>
      </c>
      <c r="E182" s="61" t="s">
        <v>1049</v>
      </c>
      <c r="F182" s="60" t="n">
        <v>46291</v>
      </c>
      <c r="G182" s="62" t="n">
        <v>-146</v>
      </c>
      <c r="H182" s="61" t="s">
        <v>12</v>
      </c>
      <c r="I182" s="60" t="n">
        <v>46291</v>
      </c>
      <c r="J182" s="64" t="n">
        <v>0.598726851851852</v>
      </c>
      <c r="K182" s="61" t="str">
        <f aca="false">IF(AND(G182&gt;0,F182&lt;=Resumo!$C$6),"Recebido no 2008",IF(G182&lt;0,"Entrada","Estorno"))</f>
        <v>Entrada</v>
      </c>
      <c r="L182" s="62" t="n">
        <f aca="false">IF(K182="Recebido no 2008",0,-G182)</f>
        <v>146</v>
      </c>
    </row>
    <row r="183" customFormat="false" ht="15" hidden="false" customHeight="false" outlineLevel="0" collapsed="false">
      <c r="A183" s="61" t="s">
        <v>684</v>
      </c>
      <c r="B183" s="61" t="s">
        <v>131</v>
      </c>
      <c r="C183" s="61" t="s">
        <v>206</v>
      </c>
      <c r="D183" s="61" t="s">
        <v>251</v>
      </c>
      <c r="E183" s="61" t="s">
        <v>1049</v>
      </c>
      <c r="F183" s="60" t="n">
        <v>46291</v>
      </c>
      <c r="G183" s="62" t="n">
        <v>-165</v>
      </c>
      <c r="H183" s="61" t="s">
        <v>12</v>
      </c>
      <c r="I183" s="60" t="n">
        <v>46291</v>
      </c>
      <c r="J183" s="64" t="n">
        <v>0.598726851851852</v>
      </c>
      <c r="K183" s="61" t="str">
        <f aca="false">IF(AND(G183&gt;0,F183&lt;=Resumo!$C$6),"Recebido no 2008",IF(G183&lt;0,"Entrada","Estorno"))</f>
        <v>Entrada</v>
      </c>
      <c r="L183" s="62" t="n">
        <f aca="false">IF(K183="Recebido no 2008",0,-G183)</f>
        <v>165</v>
      </c>
    </row>
    <row r="184" customFormat="false" ht="15" hidden="false" customHeight="false" outlineLevel="0" collapsed="false">
      <c r="A184" s="61" t="s">
        <v>271</v>
      </c>
      <c r="B184" s="61" t="s">
        <v>131</v>
      </c>
      <c r="C184" s="61" t="s">
        <v>207</v>
      </c>
      <c r="D184" s="61" t="s">
        <v>251</v>
      </c>
      <c r="E184" s="61" t="s">
        <v>1049</v>
      </c>
      <c r="F184" s="60" t="n">
        <v>46275</v>
      </c>
      <c r="G184" s="62" t="n">
        <v>600</v>
      </c>
      <c r="H184" s="61" t="s">
        <v>12</v>
      </c>
      <c r="I184" s="60" t="n">
        <v>46275</v>
      </c>
      <c r="J184" s="64" t="n">
        <v>0.906979166666667</v>
      </c>
      <c r="K184" s="61" t="str">
        <f aca="false">IF(AND(G184&gt;0,F184&lt;=Resumo!$C$6),"Recebido no 2008",IF(G184&lt;0,"Entrada","Estorno"))</f>
        <v>Recebido no 2008</v>
      </c>
      <c r="L184" s="62" t="n">
        <f aca="false">IF(K184="Recebido no 2008",0,-G184)</f>
        <v>0</v>
      </c>
    </row>
    <row r="185" customFormat="false" ht="15" hidden="false" customHeight="false" outlineLevel="0" collapsed="false">
      <c r="A185" s="61" t="s">
        <v>270</v>
      </c>
      <c r="B185" s="61" t="s">
        <v>131</v>
      </c>
      <c r="C185" s="61" t="s">
        <v>207</v>
      </c>
      <c r="D185" s="61" t="s">
        <v>251</v>
      </c>
      <c r="E185" s="61" t="s">
        <v>1049</v>
      </c>
      <c r="F185" s="60" t="n">
        <v>46275</v>
      </c>
      <c r="G185" s="62" t="n">
        <v>300</v>
      </c>
      <c r="H185" s="61" t="s">
        <v>12</v>
      </c>
      <c r="I185" s="60" t="n">
        <v>46275</v>
      </c>
      <c r="J185" s="64" t="n">
        <v>0.929918981481481</v>
      </c>
      <c r="K185" s="61" t="str">
        <f aca="false">IF(AND(G185&gt;0,F185&lt;=Resumo!$C$6),"Recebido no 2008",IF(G185&lt;0,"Entrada","Estorno"))</f>
        <v>Recebido no 2008</v>
      </c>
      <c r="L185" s="62" t="n">
        <f aca="false">IF(K185="Recebido no 2008",0,-G185)</f>
        <v>0</v>
      </c>
    </row>
    <row r="186" customFormat="false" ht="15" hidden="false" customHeight="false" outlineLevel="0" collapsed="false">
      <c r="A186" s="61" t="s">
        <v>270</v>
      </c>
      <c r="B186" s="61" t="s">
        <v>131</v>
      </c>
      <c r="C186" s="61" t="s">
        <v>208</v>
      </c>
      <c r="D186" s="61" t="s">
        <v>251</v>
      </c>
      <c r="E186" s="61" t="s">
        <v>1049</v>
      </c>
      <c r="F186" s="60" t="n">
        <v>46275</v>
      </c>
      <c r="G186" s="62" t="n">
        <v>300</v>
      </c>
      <c r="H186" s="61" t="s">
        <v>12</v>
      </c>
      <c r="I186" s="60" t="n">
        <v>46275</v>
      </c>
      <c r="J186" s="64" t="n">
        <v>0.929918981481481</v>
      </c>
      <c r="K186" s="61" t="str">
        <f aca="false">IF(AND(G186&gt;0,F186&lt;=Resumo!$C$6),"Recebido no 2008",IF(G186&lt;0,"Entrada","Estorno"))</f>
        <v>Recebido no 2008</v>
      </c>
      <c r="L186" s="62" t="n">
        <f aca="false">IF(K186="Recebido no 2008",0,-G186)</f>
        <v>0</v>
      </c>
    </row>
    <row r="187" customFormat="false" ht="15" hidden="false" customHeight="false" outlineLevel="0" collapsed="false">
      <c r="A187" s="61" t="s">
        <v>276</v>
      </c>
      <c r="B187" s="61" t="s">
        <v>131</v>
      </c>
      <c r="C187" s="61" t="s">
        <v>209</v>
      </c>
      <c r="D187" s="61" t="s">
        <v>251</v>
      </c>
      <c r="E187" s="61" t="s">
        <v>1049</v>
      </c>
      <c r="F187" s="60" t="n">
        <v>46275</v>
      </c>
      <c r="G187" s="62" t="n">
        <v>240</v>
      </c>
      <c r="H187" s="61" t="s">
        <v>12</v>
      </c>
      <c r="I187" s="60" t="n">
        <v>46275</v>
      </c>
      <c r="J187" s="64" t="n">
        <v>0.840451388888889</v>
      </c>
      <c r="K187" s="61" t="str">
        <f aca="false">IF(AND(G187&gt;0,F187&lt;=Resumo!$C$6),"Recebido no 2008",IF(G187&lt;0,"Entrada","Estorno"))</f>
        <v>Recebido no 2008</v>
      </c>
      <c r="L187" s="62" t="n">
        <f aca="false">IF(K187="Recebido no 2008",0,-G187)</f>
        <v>0</v>
      </c>
    </row>
    <row r="188" customFormat="false" ht="15" hidden="false" customHeight="false" outlineLevel="0" collapsed="false">
      <c r="A188" s="61" t="s">
        <v>695</v>
      </c>
      <c r="B188" s="61" t="s">
        <v>147</v>
      </c>
      <c r="C188" s="61" t="s">
        <v>210</v>
      </c>
      <c r="D188" s="61" t="s">
        <v>251</v>
      </c>
      <c r="E188" s="61" t="s">
        <v>1049</v>
      </c>
      <c r="F188" s="60" t="n">
        <v>46291</v>
      </c>
      <c r="G188" s="62" t="n">
        <v>-1000</v>
      </c>
      <c r="H188" s="61" t="s">
        <v>4</v>
      </c>
      <c r="I188" s="60" t="n">
        <v>46291</v>
      </c>
      <c r="J188" s="64" t="n">
        <v>0.603981481481482</v>
      </c>
      <c r="K188" s="61" t="str">
        <f aca="false">IF(AND(G188&gt;0,F188&lt;=Resumo!$C$6),"Recebido no 2008",IF(G188&lt;0,"Entrada","Estorno"))</f>
        <v>Entrada</v>
      </c>
      <c r="L188" s="62" t="n">
        <f aca="false">IF(K188="Recebido no 2008",0,-G188)</f>
        <v>1000</v>
      </c>
    </row>
    <row r="189" customFormat="false" ht="15" hidden="false" customHeight="false" outlineLevel="0" collapsed="false">
      <c r="A189" s="61" t="s">
        <v>271</v>
      </c>
      <c r="B189" s="61" t="s">
        <v>147</v>
      </c>
      <c r="C189" s="61" t="s">
        <v>211</v>
      </c>
      <c r="D189" s="61" t="s">
        <v>251</v>
      </c>
      <c r="E189" s="61" t="s">
        <v>1049</v>
      </c>
      <c r="F189" s="60" t="n">
        <v>46275</v>
      </c>
      <c r="G189" s="62" t="n">
        <v>4000</v>
      </c>
      <c r="H189" s="61" t="s">
        <v>4</v>
      </c>
      <c r="I189" s="60" t="n">
        <v>46275</v>
      </c>
      <c r="J189" s="64" t="n">
        <v>0.906979166666667</v>
      </c>
      <c r="K189" s="61" t="str">
        <f aca="false">IF(AND(G189&gt;0,F189&lt;=Resumo!$C$6),"Recebido no 2008",IF(G189&lt;0,"Entrada","Estorno"))</f>
        <v>Recebido no 2008</v>
      </c>
      <c r="L189" s="62" t="n">
        <f aca="false">IF(K189="Recebido no 2008",0,-G189)</f>
        <v>0</v>
      </c>
    </row>
    <row r="190" customFormat="false" ht="15" hidden="false" customHeight="false" outlineLevel="0" collapsed="false">
      <c r="A190" s="61" t="s">
        <v>277</v>
      </c>
      <c r="B190" s="61" t="s">
        <v>147</v>
      </c>
      <c r="C190" s="61" t="s">
        <v>211</v>
      </c>
      <c r="D190" s="61" t="s">
        <v>251</v>
      </c>
      <c r="E190" s="61" t="s">
        <v>1049</v>
      </c>
      <c r="F190" s="60" t="n">
        <v>46275</v>
      </c>
      <c r="G190" s="62" t="n">
        <v>800</v>
      </c>
      <c r="H190" s="61" t="s">
        <v>4</v>
      </c>
      <c r="I190" s="60" t="n">
        <v>46275</v>
      </c>
      <c r="J190" s="64" t="n">
        <v>0.70130787037037</v>
      </c>
      <c r="K190" s="61" t="str">
        <f aca="false">IF(AND(G190&gt;0,F190&lt;=Resumo!$C$6),"Recebido no 2008",IF(G190&lt;0,"Entrada","Estorno"))</f>
        <v>Recebido no 2008</v>
      </c>
      <c r="L190" s="62" t="n">
        <f aca="false">IF(K190="Recebido no 2008",0,-G190)</f>
        <v>0</v>
      </c>
    </row>
    <row r="191" customFormat="false" ht="15" hidden="false" customHeight="false" outlineLevel="0" collapsed="false">
      <c r="A191" s="61" t="s">
        <v>277</v>
      </c>
      <c r="B191" s="61" t="s">
        <v>151</v>
      </c>
      <c r="C191" s="61" t="s">
        <v>212</v>
      </c>
      <c r="D191" s="61" t="s">
        <v>251</v>
      </c>
      <c r="E191" s="61" t="s">
        <v>1049</v>
      </c>
      <c r="F191" s="60" t="n">
        <v>46275</v>
      </c>
      <c r="G191" s="62" t="n">
        <v>400</v>
      </c>
      <c r="H191" s="61" t="s">
        <v>4</v>
      </c>
      <c r="I191" s="60" t="n">
        <v>46275</v>
      </c>
      <c r="J191" s="64" t="n">
        <v>0.70130787037037</v>
      </c>
      <c r="K191" s="61" t="str">
        <f aca="false">IF(AND(G191&gt;0,F191&lt;=Resumo!$C$6),"Recebido no 2008",IF(G191&lt;0,"Entrada","Estorno"))</f>
        <v>Recebido no 2008</v>
      </c>
      <c r="L191" s="62" t="n">
        <f aca="false">IF(K191="Recebido no 2008",0,-G191)</f>
        <v>0</v>
      </c>
    </row>
    <row r="192" customFormat="false" ht="15" hidden="false" customHeight="false" outlineLevel="0" collapsed="false">
      <c r="A192" s="61" t="s">
        <v>402</v>
      </c>
      <c r="B192" s="61" t="s">
        <v>154</v>
      </c>
      <c r="C192" s="61" t="s">
        <v>214</v>
      </c>
      <c r="D192" s="61" t="s">
        <v>251</v>
      </c>
      <c r="E192" s="61" t="s">
        <v>1049</v>
      </c>
      <c r="F192" s="60" t="n">
        <v>46280</v>
      </c>
      <c r="G192" s="62" t="n">
        <v>1920</v>
      </c>
      <c r="H192" s="61" t="s">
        <v>4</v>
      </c>
      <c r="I192" s="60" t="n">
        <v>46280</v>
      </c>
      <c r="J192" s="64" t="n">
        <v>0.80443287037037</v>
      </c>
      <c r="K192" s="61" t="str">
        <f aca="false">IF(AND(G192&gt;0,F192&lt;=Resumo!$C$6),"Recebido no 2008",IF(G192&lt;0,"Entrada","Estorno"))</f>
        <v>Recebido no 2008</v>
      </c>
      <c r="L192" s="62" t="n">
        <f aca="false">IF(K192="Recebido no 2008",0,-G192)</f>
        <v>0</v>
      </c>
    </row>
    <row r="193" customFormat="false" ht="15" hidden="false" customHeight="false" outlineLevel="0" collapsed="false">
      <c r="A193" s="61" t="s">
        <v>402</v>
      </c>
      <c r="B193" s="61" t="s">
        <v>156</v>
      </c>
      <c r="C193" s="61" t="s">
        <v>216</v>
      </c>
      <c r="D193" s="61" t="s">
        <v>251</v>
      </c>
      <c r="E193" s="61" t="s">
        <v>1049</v>
      </c>
      <c r="F193" s="60" t="n">
        <v>46280</v>
      </c>
      <c r="G193" s="62" t="n">
        <v>3840</v>
      </c>
      <c r="H193" s="61" t="s">
        <v>4</v>
      </c>
      <c r="I193" s="60" t="n">
        <v>46280</v>
      </c>
      <c r="J193" s="64" t="n">
        <v>0.80443287037037</v>
      </c>
      <c r="K193" s="61" t="str">
        <f aca="false">IF(AND(G193&gt;0,F193&lt;=Resumo!$C$6),"Recebido no 2008",IF(G193&lt;0,"Entrada","Estorno"))</f>
        <v>Recebido no 2008</v>
      </c>
      <c r="L193" s="62" t="n">
        <f aca="false">IF(K193="Recebido no 2008",0,-G193)</f>
        <v>0</v>
      </c>
    </row>
    <row r="194" customFormat="false" ht="15" hidden="false" customHeight="false" outlineLevel="0" collapsed="false">
      <c r="A194" s="61" t="s">
        <v>683</v>
      </c>
      <c r="B194" s="61" t="s">
        <v>160</v>
      </c>
      <c r="C194" s="61" t="s">
        <v>217</v>
      </c>
      <c r="D194" s="61" t="s">
        <v>251</v>
      </c>
      <c r="E194" s="61" t="s">
        <v>1049</v>
      </c>
      <c r="F194" s="60" t="n">
        <v>46291</v>
      </c>
      <c r="G194" s="62" t="n">
        <v>-53.2</v>
      </c>
      <c r="H194" s="61" t="s">
        <v>4</v>
      </c>
      <c r="I194" s="60" t="n">
        <v>46291</v>
      </c>
      <c r="J194" s="64" t="n">
        <v>0.778101851851852</v>
      </c>
      <c r="K194" s="61" t="str">
        <f aca="false">IF(AND(G194&gt;0,F194&lt;=Resumo!$C$6),"Recebido no 2008",IF(G194&lt;0,"Entrada","Estorno"))</f>
        <v>Entrada</v>
      </c>
      <c r="L194" s="62" t="n">
        <f aca="false">IF(K194="Recebido no 2008",0,-G194)</f>
        <v>53.2</v>
      </c>
    </row>
    <row r="195" customFormat="false" ht="15" hidden="false" customHeight="false" outlineLevel="0" collapsed="false">
      <c r="A195" s="61" t="s">
        <v>695</v>
      </c>
      <c r="B195" s="61" t="s">
        <v>160</v>
      </c>
      <c r="C195" s="61" t="s">
        <v>218</v>
      </c>
      <c r="D195" s="61" t="s">
        <v>251</v>
      </c>
      <c r="E195" s="61" t="s">
        <v>1049</v>
      </c>
      <c r="F195" s="60" t="n">
        <v>46291</v>
      </c>
      <c r="G195" s="62" t="n">
        <v>-627.2</v>
      </c>
      <c r="H195" s="61" t="s">
        <v>4</v>
      </c>
      <c r="I195" s="60" t="n">
        <v>46291</v>
      </c>
      <c r="J195" s="64" t="n">
        <v>0.603981481481482</v>
      </c>
      <c r="K195" s="61" t="str">
        <f aca="false">IF(AND(G195&gt;0,F195&lt;=Resumo!$C$6),"Recebido no 2008",IF(G195&lt;0,"Entrada","Estorno"))</f>
        <v>Entrada</v>
      </c>
      <c r="L195" s="62" t="n">
        <f aca="false">IF(K195="Recebido no 2008",0,-G195)</f>
        <v>627.2</v>
      </c>
    </row>
    <row r="196" customFormat="false" ht="15" hidden="false" customHeight="false" outlineLevel="0" collapsed="false">
      <c r="A196" s="61" t="s">
        <v>265</v>
      </c>
      <c r="B196" s="61" t="s">
        <v>160</v>
      </c>
      <c r="C196" s="61" t="s">
        <v>221</v>
      </c>
      <c r="D196" s="61" t="s">
        <v>251</v>
      </c>
      <c r="E196" s="61" t="s">
        <v>1049</v>
      </c>
      <c r="F196" s="60" t="n">
        <v>46275</v>
      </c>
      <c r="G196" s="62" t="n">
        <v>725.2</v>
      </c>
      <c r="H196" s="61" t="s">
        <v>4</v>
      </c>
      <c r="I196" s="60" t="n">
        <v>46275</v>
      </c>
      <c r="J196" s="64" t="n">
        <v>0.823101851851852</v>
      </c>
      <c r="K196" s="61" t="str">
        <f aca="false">IF(AND(G196&gt;0,F196&lt;=Resumo!$C$6),"Recebido no 2008",IF(G196&lt;0,"Entrada","Estorno"))</f>
        <v>Recebido no 2008</v>
      </c>
      <c r="L196" s="62" t="n">
        <f aca="false">IF(K196="Recebido no 2008",0,-G196)</f>
        <v>0</v>
      </c>
    </row>
    <row r="197" customFormat="false" ht="15" hidden="false" customHeight="false" outlineLevel="0" collapsed="false">
      <c r="A197" s="61" t="s">
        <v>276</v>
      </c>
      <c r="B197" s="61" t="s">
        <v>160</v>
      </c>
      <c r="C197" s="61" t="s">
        <v>221</v>
      </c>
      <c r="D197" s="61" t="s">
        <v>251</v>
      </c>
      <c r="E197" s="61" t="s">
        <v>1049</v>
      </c>
      <c r="F197" s="60" t="n">
        <v>46275</v>
      </c>
      <c r="G197" s="62" t="n">
        <v>1254.4</v>
      </c>
      <c r="H197" s="61" t="s">
        <v>4</v>
      </c>
      <c r="I197" s="60" t="n">
        <v>46275</v>
      </c>
      <c r="J197" s="64" t="n">
        <v>0.840451388888889</v>
      </c>
      <c r="K197" s="61" t="str">
        <f aca="false">IF(AND(G197&gt;0,F197&lt;=Resumo!$C$6),"Recebido no 2008",IF(G197&lt;0,"Entrada","Estorno"))</f>
        <v>Recebido no 2008</v>
      </c>
      <c r="L197" s="62" t="n">
        <f aca="false">IF(K197="Recebido no 2008",0,-G197)</f>
        <v>0</v>
      </c>
    </row>
    <row r="198" customFormat="false" ht="15" hidden="false" customHeight="false" outlineLevel="0" collapsed="false">
      <c r="A198" s="61" t="s">
        <v>277</v>
      </c>
      <c r="B198" s="61" t="s">
        <v>160</v>
      </c>
      <c r="C198" s="61" t="s">
        <v>220</v>
      </c>
      <c r="D198" s="61" t="s">
        <v>251</v>
      </c>
      <c r="E198" s="61" t="s">
        <v>1049</v>
      </c>
      <c r="F198" s="60" t="n">
        <v>46275</v>
      </c>
      <c r="G198" s="62" t="n">
        <v>109.2</v>
      </c>
      <c r="H198" s="61" t="s">
        <v>4</v>
      </c>
      <c r="I198" s="60" t="n">
        <v>46275</v>
      </c>
      <c r="J198" s="64" t="n">
        <v>0.70130787037037</v>
      </c>
      <c r="K198" s="61" t="str">
        <f aca="false">IF(AND(G198&gt;0,F198&lt;=Resumo!$C$6),"Recebido no 2008",IF(G198&lt;0,"Entrada","Estorno"))</f>
        <v>Recebido no 2008</v>
      </c>
      <c r="L198" s="62" t="n">
        <f aca="false">IF(K198="Recebido no 2008",0,-G198)</f>
        <v>0</v>
      </c>
    </row>
    <row r="199" customFormat="false" ht="15" hidden="false" customHeight="false" outlineLevel="0" collapsed="false">
      <c r="A199" s="61" t="s">
        <v>277</v>
      </c>
      <c r="B199" s="61" t="s">
        <v>160</v>
      </c>
      <c r="C199" s="61" t="s">
        <v>219</v>
      </c>
      <c r="D199" s="61" t="s">
        <v>251</v>
      </c>
      <c r="E199" s="61" t="s">
        <v>1049</v>
      </c>
      <c r="F199" s="60" t="n">
        <v>46275</v>
      </c>
      <c r="G199" s="62" t="n">
        <v>204.4</v>
      </c>
      <c r="H199" s="61" t="s">
        <v>4</v>
      </c>
      <c r="I199" s="60" t="n">
        <v>46275</v>
      </c>
      <c r="J199" s="64" t="n">
        <v>0.70130787037037</v>
      </c>
      <c r="K199" s="61" t="str">
        <f aca="false">IF(AND(G199&gt;0,F199&lt;=Resumo!$C$6),"Recebido no 2008",IF(G199&lt;0,"Entrada","Estorno"))</f>
        <v>Recebido no 2008</v>
      </c>
      <c r="L199" s="62" t="n">
        <f aca="false">IF(K199="Recebido no 2008",0,-G199)</f>
        <v>0</v>
      </c>
    </row>
    <row r="200" customFormat="false" ht="15" hidden="false" customHeight="false" outlineLevel="0" collapsed="false">
      <c r="A200" s="61" t="s">
        <v>265</v>
      </c>
      <c r="B200" s="61" t="s">
        <v>160</v>
      </c>
      <c r="C200" s="61" t="s">
        <v>220</v>
      </c>
      <c r="D200" s="61" t="s">
        <v>251</v>
      </c>
      <c r="E200" s="61" t="s">
        <v>1049</v>
      </c>
      <c r="F200" s="60" t="n">
        <v>46275</v>
      </c>
      <c r="G200" s="62" t="n">
        <v>529.2</v>
      </c>
      <c r="H200" s="61" t="s">
        <v>4</v>
      </c>
      <c r="I200" s="60" t="n">
        <v>46275</v>
      </c>
      <c r="J200" s="64" t="n">
        <v>0.823101851851852</v>
      </c>
      <c r="K200" s="61" t="str">
        <f aca="false">IF(AND(G200&gt;0,F200&lt;=Resumo!$C$6),"Recebido no 2008",IF(G200&lt;0,"Entrada","Estorno"))</f>
        <v>Recebido no 2008</v>
      </c>
      <c r="L200" s="62" t="n">
        <f aca="false">IF(K200="Recebido no 2008",0,-G200)</f>
        <v>0</v>
      </c>
    </row>
    <row r="201" customFormat="false" ht="15" hidden="false" customHeight="false" outlineLevel="0" collapsed="false">
      <c r="A201" s="61" t="s">
        <v>253</v>
      </c>
      <c r="B201" s="61" t="s">
        <v>157</v>
      </c>
      <c r="C201" s="61" t="s">
        <v>158</v>
      </c>
      <c r="D201" s="61" t="s">
        <v>251</v>
      </c>
      <c r="E201" s="61" t="s">
        <v>1049</v>
      </c>
      <c r="F201" s="60" t="n">
        <v>46275</v>
      </c>
      <c r="G201" s="62" t="n">
        <v>20</v>
      </c>
      <c r="H201" s="61" t="s">
        <v>4</v>
      </c>
      <c r="I201" s="60" t="n">
        <v>46275</v>
      </c>
      <c r="J201" s="64" t="n">
        <v>0.790555555555556</v>
      </c>
      <c r="K201" s="61" t="str">
        <f aca="false">IF(AND(G201&gt;0,F201&lt;=Resumo!$C$6),"Recebido no 2008",IF(G201&lt;0,"Entrada","Estorno"))</f>
        <v>Recebido no 2008</v>
      </c>
      <c r="L201" s="62" t="n">
        <f aca="false">IF(K201="Recebido no 2008",0,-G201)</f>
        <v>0</v>
      </c>
    </row>
    <row r="202" customFormat="false" ht="15" hidden="false" customHeight="false" outlineLevel="0" collapsed="false">
      <c r="A202" s="61" t="s">
        <v>253</v>
      </c>
      <c r="B202" s="61" t="s">
        <v>157</v>
      </c>
      <c r="C202" s="61" t="s">
        <v>194</v>
      </c>
      <c r="D202" s="61" t="s">
        <v>251</v>
      </c>
      <c r="E202" s="61" t="s">
        <v>1049</v>
      </c>
      <c r="F202" s="60" t="n">
        <v>46275</v>
      </c>
      <c r="G202" s="62" t="n">
        <v>2995</v>
      </c>
      <c r="H202" s="61" t="s">
        <v>4</v>
      </c>
      <c r="I202" s="60" t="n">
        <v>46275</v>
      </c>
      <c r="J202" s="64" t="n">
        <v>0.790555555555556</v>
      </c>
      <c r="K202" s="61" t="str">
        <f aca="false">IF(AND(G202&gt;0,F202&lt;=Resumo!$C$6),"Recebido no 2008",IF(G202&lt;0,"Entrada","Estorno"))</f>
        <v>Recebido no 2008</v>
      </c>
      <c r="L202" s="62" t="n">
        <f aca="false">IF(K202="Recebido no 2008",0,-G202)</f>
        <v>0</v>
      </c>
    </row>
  </sheetData>
  <autoFilter ref="A1:L2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R4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3" min="2" style="0" width="12"/>
    <col collapsed="false" customWidth="true" hidden="false" outlineLevel="0" max="4" min="4" style="0" width="13"/>
    <col collapsed="false" customWidth="true" hidden="false" outlineLevel="0" max="6" min="5" style="0" width="12"/>
    <col collapsed="false" customWidth="true" hidden="false" outlineLevel="0" max="7" min="7" style="0" width="22"/>
    <col collapsed="false" customWidth="true" hidden="false" outlineLevel="0" max="8" min="8" style="0" width="14"/>
    <col collapsed="false" customWidth="true" hidden="false" outlineLevel="0" max="9" min="9" style="0" width="12"/>
    <col collapsed="false" customWidth="true" hidden="false" outlineLevel="0" max="10" min="10" style="0" width="19"/>
    <col collapsed="false" customWidth="true" hidden="false" outlineLevel="0" max="11" min="11" style="0" width="21"/>
    <col collapsed="false" customWidth="true" hidden="false" outlineLevel="0" max="12" min="12" style="0" width="23"/>
    <col collapsed="false" customWidth="true" hidden="false" outlineLevel="0" max="13" min="13" style="0" width="20"/>
    <col collapsed="false" customWidth="true" hidden="false" outlineLevel="0" max="14" min="14" style="0" width="19"/>
    <col collapsed="false" customWidth="true" hidden="false" outlineLevel="0" max="15" min="15" style="0" width="14"/>
    <col collapsed="false" customWidth="true" hidden="false" outlineLevel="0" max="18" min="16" style="0" width="12"/>
  </cols>
  <sheetData>
    <row r="1" customFormat="false" ht="15" hidden="false" customHeight="false" outlineLevel="0" collapsed="false">
      <c r="A1" s="33" t="s">
        <v>1309</v>
      </c>
      <c r="B1" s="33" t="s">
        <v>14</v>
      </c>
      <c r="C1" s="33" t="s">
        <v>15</v>
      </c>
      <c r="D1" s="33" t="s">
        <v>99</v>
      </c>
      <c r="E1" s="33" t="s">
        <v>239</v>
      </c>
      <c r="F1" s="33" t="s">
        <v>1045</v>
      </c>
      <c r="G1" s="33" t="s">
        <v>1310</v>
      </c>
      <c r="H1" s="33" t="s">
        <v>1311</v>
      </c>
      <c r="I1" s="33" t="s">
        <v>90</v>
      </c>
      <c r="J1" s="33" t="s">
        <v>1312</v>
      </c>
      <c r="K1" s="33" t="s">
        <v>1315</v>
      </c>
      <c r="L1" s="33" t="s">
        <v>1316</v>
      </c>
      <c r="M1" s="33" t="s">
        <v>1313</v>
      </c>
      <c r="N1" s="33" t="s">
        <v>1317</v>
      </c>
      <c r="O1" s="33" t="s">
        <v>1318</v>
      </c>
      <c r="P1" s="33" t="s">
        <v>244</v>
      </c>
      <c r="Q1" s="33" t="s">
        <v>1319</v>
      </c>
      <c r="R1" s="33" t="s">
        <v>93</v>
      </c>
    </row>
    <row r="2" customFormat="false" ht="15" hidden="false" customHeight="false" outlineLevel="0" collapsed="false">
      <c r="A2" s="61" t="s">
        <v>921</v>
      </c>
      <c r="B2" s="61" t="s">
        <v>7</v>
      </c>
      <c r="C2" s="61" t="s">
        <v>8</v>
      </c>
      <c r="D2" s="61" t="s">
        <v>119</v>
      </c>
      <c r="E2" s="61" t="s">
        <v>246</v>
      </c>
      <c r="F2" s="61" t="s">
        <v>1049</v>
      </c>
      <c r="G2" s="60" t="n">
        <v>46295</v>
      </c>
      <c r="H2" s="62" t="n">
        <v>-40.2</v>
      </c>
      <c r="I2" s="61" t="s">
        <v>4</v>
      </c>
      <c r="J2" s="60" t="n">
        <v>46295</v>
      </c>
      <c r="K2" s="61" t="s">
        <v>1320</v>
      </c>
      <c r="L2" s="62" t="n">
        <v>0</v>
      </c>
      <c r="M2" s="64" t="n">
        <v>0.430717592592593</v>
      </c>
      <c r="N2" s="61" t="s">
        <v>250</v>
      </c>
      <c r="O2" s="61" t="s">
        <v>1321</v>
      </c>
      <c r="P2" s="61" t="s">
        <v>922</v>
      </c>
      <c r="Q2" s="61" t="s">
        <v>923</v>
      </c>
      <c r="R2" s="62" t="n">
        <f aca="false">-H2</f>
        <v>40.2</v>
      </c>
    </row>
    <row r="3" customFormat="false" ht="15" hidden="false" customHeight="false" outlineLevel="0" collapsed="false">
      <c r="A3" s="61" t="s">
        <v>924</v>
      </c>
      <c r="B3" s="61" t="s">
        <v>7</v>
      </c>
      <c r="C3" s="61" t="s">
        <v>8</v>
      </c>
      <c r="D3" s="61" t="s">
        <v>119</v>
      </c>
      <c r="E3" s="61" t="s">
        <v>246</v>
      </c>
      <c r="F3" s="61" t="s">
        <v>1049</v>
      </c>
      <c r="G3" s="60" t="n">
        <v>46295</v>
      </c>
      <c r="H3" s="62" t="n">
        <v>-60.3</v>
      </c>
      <c r="I3" s="61" t="s">
        <v>4</v>
      </c>
      <c r="J3" s="60" t="n">
        <v>46295</v>
      </c>
      <c r="K3" s="61" t="s">
        <v>1320</v>
      </c>
      <c r="L3" s="62" t="n">
        <v>0</v>
      </c>
      <c r="M3" s="64" t="n">
        <v>0.355983796296296</v>
      </c>
      <c r="N3" s="61" t="s">
        <v>250</v>
      </c>
      <c r="O3" s="61" t="s">
        <v>1322</v>
      </c>
      <c r="P3" s="61" t="s">
        <v>925</v>
      </c>
      <c r="Q3" s="61" t="s">
        <v>926</v>
      </c>
      <c r="R3" s="62" t="n">
        <f aca="false">-H3</f>
        <v>60.3</v>
      </c>
    </row>
    <row r="4" customFormat="false" ht="15" hidden="false" customHeight="false" outlineLevel="0" collapsed="false">
      <c r="A4" s="61" t="s">
        <v>927</v>
      </c>
      <c r="B4" s="61" t="s">
        <v>7</v>
      </c>
      <c r="C4" s="61" t="s">
        <v>11</v>
      </c>
      <c r="D4" s="61" t="s">
        <v>119</v>
      </c>
      <c r="E4" s="61" t="s">
        <v>254</v>
      </c>
      <c r="F4" s="61" t="s">
        <v>1049</v>
      </c>
      <c r="G4" s="60" t="n">
        <v>46295</v>
      </c>
      <c r="H4" s="62" t="n">
        <v>-20.1</v>
      </c>
      <c r="I4" s="61" t="s">
        <v>4</v>
      </c>
      <c r="J4" s="60" t="n">
        <v>46295</v>
      </c>
      <c r="K4" s="61" t="s">
        <v>1320</v>
      </c>
      <c r="L4" s="62" t="n">
        <v>0</v>
      </c>
      <c r="M4" s="64" t="n">
        <v>0.745011574074074</v>
      </c>
      <c r="N4" s="61" t="s">
        <v>319</v>
      </c>
      <c r="O4" s="61" t="s">
        <v>1323</v>
      </c>
      <c r="P4" s="61" t="s">
        <v>928</v>
      </c>
      <c r="Q4" s="61" t="s">
        <v>929</v>
      </c>
      <c r="R4" s="62" t="n">
        <f aca="false">-H4</f>
        <v>20.1</v>
      </c>
    </row>
    <row r="5" customFormat="false" ht="15" hidden="false" customHeight="false" outlineLevel="0" collapsed="false">
      <c r="A5" s="61" t="s">
        <v>848</v>
      </c>
      <c r="B5" s="61" t="s">
        <v>7</v>
      </c>
      <c r="C5" s="61" t="s">
        <v>8</v>
      </c>
      <c r="D5" s="61" t="s">
        <v>119</v>
      </c>
      <c r="E5" s="61" t="s">
        <v>246</v>
      </c>
      <c r="F5" s="61" t="s">
        <v>1049</v>
      </c>
      <c r="G5" s="60" t="n">
        <v>46294</v>
      </c>
      <c r="H5" s="62" t="n">
        <v>-80.4</v>
      </c>
      <c r="I5" s="61" t="s">
        <v>4</v>
      </c>
      <c r="J5" s="60" t="n">
        <v>46295</v>
      </c>
      <c r="K5" s="61" t="s">
        <v>1320</v>
      </c>
      <c r="L5" s="62" t="n">
        <v>0</v>
      </c>
      <c r="M5" s="64" t="n">
        <v>0.00539351851851852</v>
      </c>
      <c r="N5" s="61" t="s">
        <v>250</v>
      </c>
      <c r="O5" s="61" t="s">
        <v>1324</v>
      </c>
      <c r="P5" s="61" t="s">
        <v>387</v>
      </c>
      <c r="Q5" s="61" t="s">
        <v>388</v>
      </c>
      <c r="R5" s="62" t="n">
        <f aca="false">-H5</f>
        <v>80.4</v>
      </c>
    </row>
    <row r="6" customFormat="false" ht="15" hidden="false" customHeight="false" outlineLevel="0" collapsed="false">
      <c r="A6" s="61" t="s">
        <v>840</v>
      </c>
      <c r="B6" s="61" t="s">
        <v>7</v>
      </c>
      <c r="C6" s="61" t="s">
        <v>11</v>
      </c>
      <c r="D6" s="61" t="s">
        <v>119</v>
      </c>
      <c r="E6" s="61" t="s">
        <v>254</v>
      </c>
      <c r="F6" s="61" t="s">
        <v>1049</v>
      </c>
      <c r="G6" s="60" t="n">
        <v>46293</v>
      </c>
      <c r="H6" s="62" t="n">
        <v>-20.1</v>
      </c>
      <c r="I6" s="61" t="s">
        <v>4</v>
      </c>
      <c r="J6" s="60" t="n">
        <v>46293</v>
      </c>
      <c r="K6" s="61" t="s">
        <v>1320</v>
      </c>
      <c r="L6" s="62" t="n">
        <v>0</v>
      </c>
      <c r="M6" s="64" t="n">
        <v>0.683634259259259</v>
      </c>
      <c r="N6" s="61" t="s">
        <v>258</v>
      </c>
      <c r="O6" s="61" t="s">
        <v>1325</v>
      </c>
      <c r="P6" s="61" t="s">
        <v>256</v>
      </c>
      <c r="Q6" s="61" t="s">
        <v>257</v>
      </c>
      <c r="R6" s="62" t="n">
        <f aca="false">-H6</f>
        <v>20.1</v>
      </c>
    </row>
    <row r="7" customFormat="false" ht="15" hidden="false" customHeight="false" outlineLevel="0" collapsed="false">
      <c r="A7" s="61" t="s">
        <v>700</v>
      </c>
      <c r="B7" s="61" t="s">
        <v>7</v>
      </c>
      <c r="C7" s="61" t="s">
        <v>8</v>
      </c>
      <c r="D7" s="61" t="s">
        <v>119</v>
      </c>
      <c r="E7" s="61" t="s">
        <v>246</v>
      </c>
      <c r="F7" s="61" t="s">
        <v>1049</v>
      </c>
      <c r="G7" s="60" t="n">
        <v>46292</v>
      </c>
      <c r="H7" s="62" t="n">
        <v>-201</v>
      </c>
      <c r="I7" s="61" t="s">
        <v>4</v>
      </c>
      <c r="J7" s="60" t="n">
        <v>46292</v>
      </c>
      <c r="K7" s="61" t="s">
        <v>1320</v>
      </c>
      <c r="L7" s="62" t="n">
        <v>0</v>
      </c>
      <c r="M7" s="64" t="n">
        <v>0.824525462962963</v>
      </c>
      <c r="N7" s="61" t="s">
        <v>275</v>
      </c>
      <c r="O7" s="61" t="s">
        <v>1326</v>
      </c>
      <c r="P7" s="61" t="s">
        <v>701</v>
      </c>
      <c r="Q7" s="61" t="s">
        <v>702</v>
      </c>
      <c r="R7" s="62" t="n">
        <f aca="false">-H7</f>
        <v>201</v>
      </c>
    </row>
    <row r="8" customFormat="false" ht="15" hidden="false" customHeight="false" outlineLevel="0" collapsed="false">
      <c r="A8" s="61" t="s">
        <v>703</v>
      </c>
      <c r="B8" s="61" t="s">
        <v>7</v>
      </c>
      <c r="C8" s="61" t="s">
        <v>8</v>
      </c>
      <c r="D8" s="61" t="s">
        <v>119</v>
      </c>
      <c r="E8" s="61" t="s">
        <v>246</v>
      </c>
      <c r="F8" s="61" t="s">
        <v>1049</v>
      </c>
      <c r="G8" s="60" t="n">
        <v>46292</v>
      </c>
      <c r="H8" s="62" t="n">
        <v>-20.1</v>
      </c>
      <c r="I8" s="61" t="s">
        <v>4</v>
      </c>
      <c r="J8" s="60" t="n">
        <v>46292</v>
      </c>
      <c r="K8" s="61" t="s">
        <v>1320</v>
      </c>
      <c r="L8" s="62" t="n">
        <v>0</v>
      </c>
      <c r="M8" s="64" t="n">
        <v>0.631296296296296</v>
      </c>
      <c r="N8" s="61" t="s">
        <v>275</v>
      </c>
      <c r="O8" s="61" t="s">
        <v>1327</v>
      </c>
      <c r="P8" s="61" t="s">
        <v>365</v>
      </c>
      <c r="Q8" s="61" t="s">
        <v>366</v>
      </c>
      <c r="R8" s="62" t="n">
        <f aca="false">-H8</f>
        <v>20.1</v>
      </c>
    </row>
    <row r="9" customFormat="false" ht="15" hidden="false" customHeight="false" outlineLevel="0" collapsed="false">
      <c r="A9" s="61" t="s">
        <v>704</v>
      </c>
      <c r="B9" s="61" t="s">
        <v>7</v>
      </c>
      <c r="C9" s="61" t="s">
        <v>8</v>
      </c>
      <c r="D9" s="61" t="s">
        <v>119</v>
      </c>
      <c r="E9" s="61" t="s">
        <v>246</v>
      </c>
      <c r="F9" s="61" t="s">
        <v>1049</v>
      </c>
      <c r="G9" s="60" t="n">
        <v>46292</v>
      </c>
      <c r="H9" s="62" t="n">
        <v>-40.2</v>
      </c>
      <c r="I9" s="61" t="s">
        <v>4</v>
      </c>
      <c r="J9" s="60" t="n">
        <v>46292</v>
      </c>
      <c r="K9" s="61" t="s">
        <v>1320</v>
      </c>
      <c r="L9" s="62" t="n">
        <v>0</v>
      </c>
      <c r="M9" s="64" t="n">
        <v>0.82537037037037</v>
      </c>
      <c r="N9" s="61" t="s">
        <v>275</v>
      </c>
      <c r="O9" s="61" t="s">
        <v>1328</v>
      </c>
      <c r="P9" s="61" t="s">
        <v>705</v>
      </c>
      <c r="Q9" s="61" t="s">
        <v>706</v>
      </c>
      <c r="R9" s="62" t="n">
        <f aca="false">-H9</f>
        <v>40.2</v>
      </c>
    </row>
    <row r="10" customFormat="false" ht="15" hidden="false" customHeight="false" outlineLevel="0" collapsed="false">
      <c r="A10" s="61" t="s">
        <v>707</v>
      </c>
      <c r="B10" s="61" t="s">
        <v>7</v>
      </c>
      <c r="C10" s="61" t="s">
        <v>8</v>
      </c>
      <c r="D10" s="61" t="s">
        <v>119</v>
      </c>
      <c r="E10" s="61" t="s">
        <v>246</v>
      </c>
      <c r="F10" s="61" t="s">
        <v>1049</v>
      </c>
      <c r="G10" s="60" t="n">
        <v>46292</v>
      </c>
      <c r="H10" s="62" t="n">
        <v>-261.3</v>
      </c>
      <c r="I10" s="61" t="s">
        <v>4</v>
      </c>
      <c r="J10" s="60" t="n">
        <v>46293</v>
      </c>
      <c r="K10" s="61" t="s">
        <v>1320</v>
      </c>
      <c r="L10" s="62" t="n">
        <v>0</v>
      </c>
      <c r="M10" s="64" t="n">
        <v>0.121898148148148</v>
      </c>
      <c r="N10" s="61" t="s">
        <v>269</v>
      </c>
      <c r="O10" s="61" t="s">
        <v>1329</v>
      </c>
      <c r="P10" s="61" t="s">
        <v>708</v>
      </c>
      <c r="Q10" s="61" t="s">
        <v>709</v>
      </c>
      <c r="R10" s="62" t="n">
        <f aca="false">-H10</f>
        <v>261.3</v>
      </c>
    </row>
    <row r="11" customFormat="false" ht="15" hidden="false" customHeight="false" outlineLevel="0" collapsed="false">
      <c r="A11" s="61" t="s">
        <v>710</v>
      </c>
      <c r="B11" s="61" t="s">
        <v>7</v>
      </c>
      <c r="C11" s="61" t="s">
        <v>8</v>
      </c>
      <c r="D11" s="61" t="s">
        <v>119</v>
      </c>
      <c r="E11" s="61" t="s">
        <v>246</v>
      </c>
      <c r="F11" s="61" t="s">
        <v>1049</v>
      </c>
      <c r="G11" s="60" t="n">
        <v>46292</v>
      </c>
      <c r="H11" s="62" t="n">
        <v>-40.2</v>
      </c>
      <c r="I11" s="61" t="s">
        <v>4</v>
      </c>
      <c r="J11" s="60" t="n">
        <v>46292</v>
      </c>
      <c r="K11" s="61" t="s">
        <v>1320</v>
      </c>
      <c r="L11" s="62" t="n">
        <v>0</v>
      </c>
      <c r="M11" s="64" t="n">
        <v>0.825775462962963</v>
      </c>
      <c r="N11" s="61" t="s">
        <v>275</v>
      </c>
      <c r="O11" s="61" t="s">
        <v>1330</v>
      </c>
      <c r="P11" s="61" t="s">
        <v>711</v>
      </c>
      <c r="Q11" s="61" t="s">
        <v>712</v>
      </c>
      <c r="R11" s="62" t="n">
        <f aca="false">-H11</f>
        <v>40.2</v>
      </c>
    </row>
    <row r="12" customFormat="false" ht="15" hidden="false" customHeight="false" outlineLevel="0" collapsed="false">
      <c r="A12" s="61" t="s">
        <v>713</v>
      </c>
      <c r="B12" s="61" t="s">
        <v>7</v>
      </c>
      <c r="C12" s="61" t="s">
        <v>8</v>
      </c>
      <c r="D12" s="61" t="s">
        <v>119</v>
      </c>
      <c r="E12" s="61" t="s">
        <v>246</v>
      </c>
      <c r="F12" s="61" t="s">
        <v>1049</v>
      </c>
      <c r="G12" s="60" t="n">
        <v>46292</v>
      </c>
      <c r="H12" s="62" t="n">
        <v>-20.1</v>
      </c>
      <c r="I12" s="61" t="s">
        <v>4</v>
      </c>
      <c r="J12" s="60" t="n">
        <v>46292</v>
      </c>
      <c r="K12" s="61" t="s">
        <v>1320</v>
      </c>
      <c r="L12" s="62" t="n">
        <v>0</v>
      </c>
      <c r="M12" s="64" t="n">
        <v>0.825833333333333</v>
      </c>
      <c r="N12" s="61" t="s">
        <v>275</v>
      </c>
      <c r="O12" s="61" t="s">
        <v>1331</v>
      </c>
      <c r="P12" s="61" t="s">
        <v>356</v>
      </c>
      <c r="Q12" s="61" t="s">
        <v>357</v>
      </c>
      <c r="R12" s="62" t="n">
        <f aca="false">-H12</f>
        <v>20.1</v>
      </c>
    </row>
    <row r="13" customFormat="false" ht="15" hidden="false" customHeight="false" outlineLevel="0" collapsed="false">
      <c r="A13" s="61" t="s">
        <v>714</v>
      </c>
      <c r="B13" s="61" t="s">
        <v>7</v>
      </c>
      <c r="C13" s="61" t="s">
        <v>8</v>
      </c>
      <c r="D13" s="61" t="s">
        <v>119</v>
      </c>
      <c r="E13" s="61" t="s">
        <v>246</v>
      </c>
      <c r="F13" s="61" t="s">
        <v>1049</v>
      </c>
      <c r="G13" s="60" t="n">
        <v>46292</v>
      </c>
      <c r="H13" s="62" t="n">
        <v>-40.2</v>
      </c>
      <c r="I13" s="61" t="s">
        <v>4</v>
      </c>
      <c r="J13" s="60" t="n">
        <v>46292</v>
      </c>
      <c r="K13" s="61" t="s">
        <v>1320</v>
      </c>
      <c r="L13" s="62" t="n">
        <v>0</v>
      </c>
      <c r="M13" s="64" t="n">
        <v>0.825902777777778</v>
      </c>
      <c r="N13" s="61" t="s">
        <v>275</v>
      </c>
      <c r="O13" s="61" t="s">
        <v>1332</v>
      </c>
      <c r="P13" s="61" t="s">
        <v>715</v>
      </c>
      <c r="Q13" s="61" t="s">
        <v>716</v>
      </c>
      <c r="R13" s="62" t="n">
        <f aca="false">-H13</f>
        <v>40.2</v>
      </c>
    </row>
    <row r="14" customFormat="false" ht="15" hidden="false" customHeight="false" outlineLevel="0" collapsed="false">
      <c r="A14" s="61" t="s">
        <v>657</v>
      </c>
      <c r="B14" s="61" t="s">
        <v>7</v>
      </c>
      <c r="C14" s="61" t="s">
        <v>8</v>
      </c>
      <c r="D14" s="61" t="s">
        <v>119</v>
      </c>
      <c r="E14" s="61" t="s">
        <v>246</v>
      </c>
      <c r="F14" s="61" t="s">
        <v>1049</v>
      </c>
      <c r="G14" s="60" t="n">
        <v>46291</v>
      </c>
      <c r="H14" s="62" t="n">
        <v>-522.6</v>
      </c>
      <c r="I14" s="61" t="s">
        <v>4</v>
      </c>
      <c r="J14" s="60" t="n">
        <v>46291</v>
      </c>
      <c r="K14" s="61" t="s">
        <v>1320</v>
      </c>
      <c r="L14" s="62" t="n">
        <v>0</v>
      </c>
      <c r="M14" s="64" t="n">
        <v>0.518101851851852</v>
      </c>
      <c r="N14" s="61" t="s">
        <v>275</v>
      </c>
      <c r="O14" s="61" t="s">
        <v>1333</v>
      </c>
      <c r="P14" s="61" t="s">
        <v>387</v>
      </c>
      <c r="Q14" s="61" t="s">
        <v>388</v>
      </c>
      <c r="R14" s="62" t="n">
        <f aca="false">-H14</f>
        <v>522.6</v>
      </c>
    </row>
    <row r="15" customFormat="false" ht="15" hidden="false" customHeight="false" outlineLevel="0" collapsed="false">
      <c r="A15" s="61" t="s">
        <v>658</v>
      </c>
      <c r="B15" s="61" t="s">
        <v>7</v>
      </c>
      <c r="C15" s="61" t="s">
        <v>8</v>
      </c>
      <c r="D15" s="61" t="s">
        <v>119</v>
      </c>
      <c r="E15" s="61" t="s">
        <v>246</v>
      </c>
      <c r="F15" s="61" t="s">
        <v>1049</v>
      </c>
      <c r="G15" s="60" t="n">
        <v>46291</v>
      </c>
      <c r="H15" s="62" t="n">
        <v>-80.4</v>
      </c>
      <c r="I15" s="61" t="s">
        <v>4</v>
      </c>
      <c r="J15" s="60" t="n">
        <v>46292</v>
      </c>
      <c r="K15" s="61" t="s">
        <v>1320</v>
      </c>
      <c r="L15" s="62" t="n">
        <v>0</v>
      </c>
      <c r="M15" s="64" t="n">
        <v>0.0319907407407407</v>
      </c>
      <c r="N15" s="61" t="s">
        <v>269</v>
      </c>
      <c r="O15" s="61" t="s">
        <v>1334</v>
      </c>
      <c r="P15" s="61" t="s">
        <v>659</v>
      </c>
      <c r="Q15" s="61" t="s">
        <v>660</v>
      </c>
      <c r="R15" s="62" t="n">
        <f aca="false">-H15</f>
        <v>80.4</v>
      </c>
    </row>
    <row r="16" customFormat="false" ht="15" hidden="false" customHeight="false" outlineLevel="0" collapsed="false">
      <c r="A16" s="61" t="s">
        <v>661</v>
      </c>
      <c r="B16" s="61" t="s">
        <v>7</v>
      </c>
      <c r="C16" s="61" t="s">
        <v>8</v>
      </c>
      <c r="D16" s="61" t="s">
        <v>119</v>
      </c>
      <c r="E16" s="61" t="s">
        <v>246</v>
      </c>
      <c r="F16" s="61" t="s">
        <v>1049</v>
      </c>
      <c r="G16" s="60" t="n">
        <v>46291</v>
      </c>
      <c r="H16" s="62" t="n">
        <v>-40.2</v>
      </c>
      <c r="I16" s="61" t="s">
        <v>4</v>
      </c>
      <c r="J16" s="60" t="n">
        <v>46291</v>
      </c>
      <c r="K16" s="61" t="s">
        <v>1320</v>
      </c>
      <c r="L16" s="62" t="n">
        <v>0</v>
      </c>
      <c r="M16" s="64" t="n">
        <v>0.339259259259259</v>
      </c>
      <c r="N16" s="61" t="s">
        <v>250</v>
      </c>
      <c r="O16" s="61" t="s">
        <v>1335</v>
      </c>
      <c r="P16" s="61" t="s">
        <v>662</v>
      </c>
      <c r="Q16" s="61" t="s">
        <v>663</v>
      </c>
      <c r="R16" s="62" t="n">
        <f aca="false">-H16</f>
        <v>40.2</v>
      </c>
    </row>
    <row r="17" customFormat="false" ht="15" hidden="false" customHeight="false" outlineLevel="0" collapsed="false">
      <c r="A17" s="61" t="s">
        <v>664</v>
      </c>
      <c r="B17" s="61" t="s">
        <v>7</v>
      </c>
      <c r="C17" s="61" t="s">
        <v>8</v>
      </c>
      <c r="D17" s="61" t="s">
        <v>119</v>
      </c>
      <c r="E17" s="61" t="s">
        <v>246</v>
      </c>
      <c r="F17" s="61" t="s">
        <v>1049</v>
      </c>
      <c r="G17" s="60" t="n">
        <v>46291</v>
      </c>
      <c r="H17" s="62" t="n">
        <v>-402</v>
      </c>
      <c r="I17" s="61" t="s">
        <v>4</v>
      </c>
      <c r="J17" s="60" t="n">
        <v>46292</v>
      </c>
      <c r="K17" s="61" t="s">
        <v>1320</v>
      </c>
      <c r="L17" s="62" t="n">
        <v>0</v>
      </c>
      <c r="M17" s="64" t="n">
        <v>0.030625</v>
      </c>
      <c r="N17" s="61" t="s">
        <v>269</v>
      </c>
      <c r="O17" s="61" t="s">
        <v>1336</v>
      </c>
      <c r="P17" s="61" t="s">
        <v>546</v>
      </c>
      <c r="Q17" s="61" t="s">
        <v>547</v>
      </c>
      <c r="R17" s="62" t="n">
        <f aca="false">-H17</f>
        <v>402</v>
      </c>
    </row>
    <row r="18" customFormat="false" ht="15" hidden="false" customHeight="false" outlineLevel="0" collapsed="false">
      <c r="A18" s="61" t="s">
        <v>665</v>
      </c>
      <c r="B18" s="61" t="s">
        <v>7</v>
      </c>
      <c r="C18" s="61" t="s">
        <v>8</v>
      </c>
      <c r="D18" s="61" t="s">
        <v>119</v>
      </c>
      <c r="E18" s="61" t="s">
        <v>246</v>
      </c>
      <c r="F18" s="61" t="s">
        <v>1049</v>
      </c>
      <c r="G18" s="60" t="n">
        <v>46291</v>
      </c>
      <c r="H18" s="62" t="n">
        <v>-40.2</v>
      </c>
      <c r="I18" s="61" t="s">
        <v>4</v>
      </c>
      <c r="J18" s="60" t="n">
        <v>46291</v>
      </c>
      <c r="K18" s="61" t="s">
        <v>1320</v>
      </c>
      <c r="L18" s="62" t="n">
        <v>0</v>
      </c>
      <c r="M18" s="64" t="n">
        <v>0.339166666666667</v>
      </c>
      <c r="N18" s="61" t="s">
        <v>250</v>
      </c>
      <c r="O18" s="61" t="s">
        <v>1337</v>
      </c>
      <c r="P18" s="61" t="s">
        <v>662</v>
      </c>
      <c r="Q18" s="61" t="s">
        <v>663</v>
      </c>
      <c r="R18" s="62" t="n">
        <f aca="false">-H18</f>
        <v>40.2</v>
      </c>
    </row>
    <row r="19" customFormat="false" ht="15" hidden="false" customHeight="false" outlineLevel="0" collapsed="false">
      <c r="A19" s="61" t="s">
        <v>666</v>
      </c>
      <c r="B19" s="61" t="s">
        <v>7</v>
      </c>
      <c r="C19" s="61" t="s">
        <v>8</v>
      </c>
      <c r="D19" s="61" t="s">
        <v>119</v>
      </c>
      <c r="E19" s="61" t="s">
        <v>246</v>
      </c>
      <c r="F19" s="61" t="s">
        <v>1049</v>
      </c>
      <c r="G19" s="60" t="n">
        <v>46291</v>
      </c>
      <c r="H19" s="62" t="n">
        <v>-160.8</v>
      </c>
      <c r="I19" s="61" t="s">
        <v>4</v>
      </c>
      <c r="J19" s="60" t="n">
        <v>46291</v>
      </c>
      <c r="K19" s="61" t="s">
        <v>1320</v>
      </c>
      <c r="L19" s="62" t="n">
        <v>0</v>
      </c>
      <c r="M19" s="64" t="n">
        <v>0.520636574074074</v>
      </c>
      <c r="N19" s="61" t="s">
        <v>275</v>
      </c>
      <c r="O19" s="61" t="s">
        <v>1338</v>
      </c>
      <c r="P19" s="61" t="s">
        <v>667</v>
      </c>
      <c r="Q19" s="61" t="s">
        <v>668</v>
      </c>
      <c r="R19" s="62" t="n">
        <f aca="false">-H19</f>
        <v>160.8</v>
      </c>
    </row>
    <row r="20" customFormat="false" ht="15" hidden="false" customHeight="false" outlineLevel="0" collapsed="false">
      <c r="A20" s="61" t="s">
        <v>629</v>
      </c>
      <c r="B20" s="61" t="s">
        <v>7</v>
      </c>
      <c r="C20" s="61" t="s">
        <v>8</v>
      </c>
      <c r="D20" s="61" t="s">
        <v>119</v>
      </c>
      <c r="E20" s="61" t="s">
        <v>246</v>
      </c>
      <c r="F20" s="61" t="s">
        <v>1049</v>
      </c>
      <c r="G20" s="60" t="n">
        <v>46290</v>
      </c>
      <c r="H20" s="62" t="n">
        <v>-20.1</v>
      </c>
      <c r="I20" s="61" t="s">
        <v>4</v>
      </c>
      <c r="J20" s="60" t="n">
        <v>46290</v>
      </c>
      <c r="K20" s="61" t="s">
        <v>1320</v>
      </c>
      <c r="L20" s="62" t="n">
        <v>0</v>
      </c>
      <c r="M20" s="64" t="n">
        <v>0.749340277777778</v>
      </c>
      <c r="N20" s="61" t="s">
        <v>338</v>
      </c>
      <c r="O20" s="61" t="s">
        <v>1339</v>
      </c>
      <c r="P20" s="61" t="s">
        <v>630</v>
      </c>
      <c r="Q20" s="61" t="s">
        <v>631</v>
      </c>
      <c r="R20" s="62" t="n">
        <f aca="false">-H20</f>
        <v>20.1</v>
      </c>
    </row>
    <row r="21" customFormat="false" ht="15" hidden="false" customHeight="false" outlineLevel="0" collapsed="false">
      <c r="A21" s="61" t="s">
        <v>632</v>
      </c>
      <c r="B21" s="61" t="s">
        <v>7</v>
      </c>
      <c r="C21" s="61" t="s">
        <v>8</v>
      </c>
      <c r="D21" s="61" t="s">
        <v>119</v>
      </c>
      <c r="E21" s="61" t="s">
        <v>246</v>
      </c>
      <c r="F21" s="61" t="s">
        <v>1049</v>
      </c>
      <c r="G21" s="60" t="n">
        <v>46290</v>
      </c>
      <c r="H21" s="62" t="n">
        <v>-603</v>
      </c>
      <c r="I21" s="61" t="s">
        <v>4</v>
      </c>
      <c r="J21" s="60" t="n">
        <v>46290</v>
      </c>
      <c r="K21" s="61" t="s">
        <v>1320</v>
      </c>
      <c r="L21" s="62" t="n">
        <v>0</v>
      </c>
      <c r="M21" s="64" t="n">
        <v>0.383680555555556</v>
      </c>
      <c r="N21" s="61" t="s">
        <v>250</v>
      </c>
      <c r="O21" s="61" t="s">
        <v>1340</v>
      </c>
      <c r="P21" s="61" t="s">
        <v>377</v>
      </c>
      <c r="Q21" s="61" t="s">
        <v>378</v>
      </c>
      <c r="R21" s="62" t="n">
        <f aca="false">-H21</f>
        <v>603</v>
      </c>
    </row>
    <row r="22" customFormat="false" ht="15" hidden="false" customHeight="false" outlineLevel="0" collapsed="false">
      <c r="A22" s="61" t="s">
        <v>586</v>
      </c>
      <c r="B22" s="61" t="s">
        <v>7</v>
      </c>
      <c r="C22" s="61" t="s">
        <v>11</v>
      </c>
      <c r="D22" s="61" t="s">
        <v>119</v>
      </c>
      <c r="E22" s="61" t="s">
        <v>254</v>
      </c>
      <c r="F22" s="61" t="s">
        <v>1049</v>
      </c>
      <c r="G22" s="60" t="n">
        <v>46289</v>
      </c>
      <c r="H22" s="62" t="n">
        <v>-60.3</v>
      </c>
      <c r="I22" s="61" t="s">
        <v>4</v>
      </c>
      <c r="J22" s="60" t="n">
        <v>46289</v>
      </c>
      <c r="K22" s="61" t="s">
        <v>1320</v>
      </c>
      <c r="L22" s="62" t="n">
        <v>0</v>
      </c>
      <c r="M22" s="64" t="n">
        <v>0.645798611111111</v>
      </c>
      <c r="N22" s="61" t="s">
        <v>319</v>
      </c>
      <c r="O22" s="61" t="s">
        <v>1341</v>
      </c>
      <c r="P22" s="61" t="s">
        <v>283</v>
      </c>
      <c r="Q22" s="61" t="s">
        <v>284</v>
      </c>
      <c r="R22" s="62" t="n">
        <f aca="false">-H22</f>
        <v>60.3</v>
      </c>
    </row>
    <row r="23" customFormat="false" ht="15" hidden="false" customHeight="false" outlineLevel="0" collapsed="false">
      <c r="A23" s="61" t="s">
        <v>587</v>
      </c>
      <c r="B23" s="61" t="s">
        <v>7</v>
      </c>
      <c r="C23" s="61" t="s">
        <v>11</v>
      </c>
      <c r="D23" s="61" t="s">
        <v>119</v>
      </c>
      <c r="E23" s="61" t="s">
        <v>254</v>
      </c>
      <c r="F23" s="61" t="s">
        <v>1049</v>
      </c>
      <c r="G23" s="60" t="n">
        <v>46289</v>
      </c>
      <c r="H23" s="62" t="n">
        <v>-20.1</v>
      </c>
      <c r="I23" s="61" t="s">
        <v>4</v>
      </c>
      <c r="J23" s="60" t="n">
        <v>46289</v>
      </c>
      <c r="K23" s="61" t="s">
        <v>1320</v>
      </c>
      <c r="L23" s="62" t="n">
        <v>0</v>
      </c>
      <c r="M23" s="64" t="n">
        <v>0.640335648148148</v>
      </c>
      <c r="N23" s="61" t="s">
        <v>319</v>
      </c>
      <c r="O23" s="61" t="s">
        <v>1342</v>
      </c>
      <c r="P23" s="61" t="s">
        <v>588</v>
      </c>
      <c r="Q23" s="61" t="s">
        <v>589</v>
      </c>
      <c r="R23" s="62" t="n">
        <f aca="false">-H23</f>
        <v>20.1</v>
      </c>
    </row>
    <row r="24" customFormat="false" ht="15" hidden="false" customHeight="false" outlineLevel="0" collapsed="false">
      <c r="A24" s="61" t="s">
        <v>430</v>
      </c>
      <c r="B24" s="61" t="s">
        <v>7</v>
      </c>
      <c r="C24" s="61" t="s">
        <v>11</v>
      </c>
      <c r="D24" s="61" t="s">
        <v>119</v>
      </c>
      <c r="E24" s="61" t="s">
        <v>254</v>
      </c>
      <c r="F24" s="61" t="s">
        <v>1049</v>
      </c>
      <c r="G24" s="60" t="n">
        <v>46282</v>
      </c>
      <c r="H24" s="62" t="n">
        <v>-40.2</v>
      </c>
      <c r="I24" s="61" t="s">
        <v>4</v>
      </c>
      <c r="J24" s="60" t="n">
        <v>46282</v>
      </c>
      <c r="K24" s="61" t="s">
        <v>1320</v>
      </c>
      <c r="L24" s="62" t="n">
        <v>0</v>
      </c>
      <c r="M24" s="64" t="n">
        <v>0.945289351851852</v>
      </c>
      <c r="N24" s="61" t="s">
        <v>258</v>
      </c>
      <c r="O24" s="61" t="s">
        <v>1343</v>
      </c>
      <c r="P24" s="61" t="s">
        <v>431</v>
      </c>
      <c r="Q24" s="61" t="s">
        <v>432</v>
      </c>
      <c r="R24" s="62" t="n">
        <f aca="false">-H24</f>
        <v>40.2</v>
      </c>
    </row>
    <row r="25" customFormat="false" ht="15" hidden="false" customHeight="false" outlineLevel="0" collapsed="false">
      <c r="A25" s="61" t="s">
        <v>433</v>
      </c>
      <c r="B25" s="61" t="s">
        <v>7</v>
      </c>
      <c r="C25" s="61" t="s">
        <v>11</v>
      </c>
      <c r="D25" s="61" t="s">
        <v>119</v>
      </c>
      <c r="E25" s="61" t="s">
        <v>254</v>
      </c>
      <c r="F25" s="61" t="s">
        <v>1049</v>
      </c>
      <c r="G25" s="60" t="n">
        <v>46282</v>
      </c>
      <c r="H25" s="62" t="n">
        <v>-20.1</v>
      </c>
      <c r="I25" s="61" t="s">
        <v>4</v>
      </c>
      <c r="J25" s="60" t="n">
        <v>46282</v>
      </c>
      <c r="K25" s="61" t="s">
        <v>1320</v>
      </c>
      <c r="L25" s="62" t="n">
        <v>0</v>
      </c>
      <c r="M25" s="64" t="n">
        <v>0.945428240740741</v>
      </c>
      <c r="N25" s="61" t="s">
        <v>258</v>
      </c>
      <c r="O25" s="61" t="s">
        <v>1344</v>
      </c>
      <c r="P25" s="61" t="s">
        <v>434</v>
      </c>
      <c r="Q25" s="61" t="s">
        <v>435</v>
      </c>
      <c r="R25" s="62" t="n">
        <f aca="false">-H25</f>
        <v>20.1</v>
      </c>
    </row>
    <row r="26" customFormat="false" ht="15" hidden="false" customHeight="false" outlineLevel="0" collapsed="false">
      <c r="A26" s="61" t="s">
        <v>389</v>
      </c>
      <c r="B26" s="61" t="s">
        <v>7</v>
      </c>
      <c r="C26" s="61" t="s">
        <v>11</v>
      </c>
      <c r="D26" s="61" t="s">
        <v>119</v>
      </c>
      <c r="E26" s="61" t="s">
        <v>254</v>
      </c>
      <c r="F26" s="61" t="s">
        <v>1049</v>
      </c>
      <c r="G26" s="60" t="n">
        <v>46280</v>
      </c>
      <c r="H26" s="62" t="n">
        <v>-20.1</v>
      </c>
      <c r="I26" s="61" t="s">
        <v>4</v>
      </c>
      <c r="J26" s="60" t="n">
        <v>46280</v>
      </c>
      <c r="K26" s="61" t="s">
        <v>1320</v>
      </c>
      <c r="L26" s="62" t="n">
        <v>0</v>
      </c>
      <c r="M26" s="64" t="n">
        <v>0.945092592592593</v>
      </c>
      <c r="N26" s="61" t="s">
        <v>258</v>
      </c>
      <c r="O26" s="61" t="s">
        <v>1345</v>
      </c>
      <c r="P26" s="61" t="s">
        <v>390</v>
      </c>
      <c r="Q26" s="61" t="s">
        <v>391</v>
      </c>
      <c r="R26" s="62" t="n">
        <f aca="false">-H26</f>
        <v>20.1</v>
      </c>
    </row>
    <row r="27" customFormat="false" ht="15" hidden="false" customHeight="false" outlineLevel="0" collapsed="false">
      <c r="A27" s="61" t="s">
        <v>392</v>
      </c>
      <c r="B27" s="61" t="s">
        <v>7</v>
      </c>
      <c r="C27" s="61" t="s">
        <v>11</v>
      </c>
      <c r="D27" s="61" t="s">
        <v>119</v>
      </c>
      <c r="E27" s="61" t="s">
        <v>254</v>
      </c>
      <c r="F27" s="61" t="s">
        <v>1049</v>
      </c>
      <c r="G27" s="60" t="n">
        <v>46280</v>
      </c>
      <c r="H27" s="62" t="n">
        <v>-40.2</v>
      </c>
      <c r="I27" s="61" t="s">
        <v>4</v>
      </c>
      <c r="J27" s="60" t="n">
        <v>46280</v>
      </c>
      <c r="K27" s="61" t="s">
        <v>1320</v>
      </c>
      <c r="L27" s="62" t="n">
        <v>0</v>
      </c>
      <c r="M27" s="64" t="n">
        <v>0.945347222222222</v>
      </c>
      <c r="N27" s="61" t="s">
        <v>258</v>
      </c>
      <c r="O27" s="61" t="s">
        <v>1346</v>
      </c>
      <c r="P27" s="61" t="s">
        <v>393</v>
      </c>
      <c r="Q27" s="61" t="s">
        <v>394</v>
      </c>
      <c r="R27" s="62" t="n">
        <f aca="false">-H27</f>
        <v>40.2</v>
      </c>
    </row>
    <row r="28" customFormat="false" ht="15" hidden="false" customHeight="false" outlineLevel="0" collapsed="false">
      <c r="A28" s="61" t="s">
        <v>395</v>
      </c>
      <c r="B28" s="61" t="s">
        <v>7</v>
      </c>
      <c r="C28" s="61" t="s">
        <v>11</v>
      </c>
      <c r="D28" s="61" t="s">
        <v>119</v>
      </c>
      <c r="E28" s="61" t="s">
        <v>254</v>
      </c>
      <c r="F28" s="61" t="s">
        <v>1049</v>
      </c>
      <c r="G28" s="60" t="n">
        <v>46280</v>
      </c>
      <c r="H28" s="62" t="n">
        <v>-20.1</v>
      </c>
      <c r="I28" s="61" t="s">
        <v>4</v>
      </c>
      <c r="J28" s="60" t="n">
        <v>46280</v>
      </c>
      <c r="K28" s="61" t="s">
        <v>1320</v>
      </c>
      <c r="L28" s="62" t="n">
        <v>0</v>
      </c>
      <c r="M28" s="64" t="n">
        <v>0.945474537037037</v>
      </c>
      <c r="N28" s="61" t="s">
        <v>258</v>
      </c>
      <c r="O28" s="61" t="s">
        <v>1347</v>
      </c>
      <c r="P28" s="61" t="s">
        <v>256</v>
      </c>
      <c r="Q28" s="61" t="s">
        <v>257</v>
      </c>
      <c r="R28" s="62" t="n">
        <f aca="false">-H28</f>
        <v>20.1</v>
      </c>
    </row>
    <row r="29" customFormat="false" ht="15" hidden="false" customHeight="false" outlineLevel="0" collapsed="false">
      <c r="A29" s="61" t="s">
        <v>255</v>
      </c>
      <c r="B29" s="61" t="s">
        <v>7</v>
      </c>
      <c r="C29" s="61" t="s">
        <v>11</v>
      </c>
      <c r="D29" s="61" t="s">
        <v>119</v>
      </c>
      <c r="E29" s="61" t="s">
        <v>254</v>
      </c>
      <c r="F29" s="61" t="s">
        <v>1049</v>
      </c>
      <c r="G29" s="60" t="n">
        <v>46275</v>
      </c>
      <c r="H29" s="62" t="n">
        <v>-20.1</v>
      </c>
      <c r="I29" s="61" t="s">
        <v>4</v>
      </c>
      <c r="J29" s="60" t="n">
        <v>46275</v>
      </c>
      <c r="K29" s="61" t="s">
        <v>1320</v>
      </c>
      <c r="L29" s="62" t="n">
        <v>0</v>
      </c>
      <c r="M29" s="64" t="n">
        <v>0.912060185185185</v>
      </c>
      <c r="N29" s="61" t="s">
        <v>258</v>
      </c>
      <c r="O29" s="61" t="s">
        <v>1055</v>
      </c>
      <c r="P29" s="61" t="s">
        <v>256</v>
      </c>
      <c r="Q29" s="61" t="s">
        <v>257</v>
      </c>
      <c r="R29" s="62" t="n">
        <f aca="false">-H29</f>
        <v>20.1</v>
      </c>
    </row>
    <row r="30" customFormat="false" ht="15" hidden="false" customHeight="false" outlineLevel="0" collapsed="false">
      <c r="A30" s="61" t="s">
        <v>259</v>
      </c>
      <c r="B30" s="61" t="s">
        <v>7</v>
      </c>
      <c r="C30" s="61" t="s">
        <v>11</v>
      </c>
      <c r="D30" s="61" t="s">
        <v>119</v>
      </c>
      <c r="E30" s="61" t="s">
        <v>254</v>
      </c>
      <c r="F30" s="61" t="s">
        <v>1049</v>
      </c>
      <c r="G30" s="60" t="n">
        <v>46275</v>
      </c>
      <c r="H30" s="62" t="n">
        <v>-40.2</v>
      </c>
      <c r="I30" s="61" t="s">
        <v>4</v>
      </c>
      <c r="J30" s="60" t="n">
        <v>46275</v>
      </c>
      <c r="K30" s="61" t="s">
        <v>1320</v>
      </c>
      <c r="L30" s="62" t="n">
        <v>0</v>
      </c>
      <c r="M30" s="64" t="n">
        <v>0.911875</v>
      </c>
      <c r="N30" s="61" t="s">
        <v>258</v>
      </c>
      <c r="O30" s="61" t="s">
        <v>1348</v>
      </c>
      <c r="P30" s="61" t="s">
        <v>260</v>
      </c>
      <c r="Q30" s="61" t="s">
        <v>261</v>
      </c>
      <c r="R30" s="62" t="n">
        <f aca="false">-H30</f>
        <v>40.2</v>
      </c>
    </row>
    <row r="31" customFormat="false" ht="15" hidden="false" customHeight="false" outlineLevel="0" collapsed="false">
      <c r="A31" s="61" t="s">
        <v>1025</v>
      </c>
      <c r="B31" s="61" t="s">
        <v>20</v>
      </c>
      <c r="C31" s="61" t="s">
        <v>21</v>
      </c>
      <c r="D31" s="61" t="s">
        <v>141</v>
      </c>
      <c r="E31" s="61" t="s">
        <v>246</v>
      </c>
      <c r="F31" s="61" t="s">
        <v>1049</v>
      </c>
      <c r="G31" s="60" t="n">
        <v>46296</v>
      </c>
      <c r="H31" s="62" t="n">
        <v>-145.6</v>
      </c>
      <c r="I31" s="61" t="s">
        <v>4</v>
      </c>
      <c r="J31" s="60" t="n">
        <v>46296</v>
      </c>
      <c r="K31" s="61" t="s">
        <v>1320</v>
      </c>
      <c r="L31" s="62" t="n">
        <v>0</v>
      </c>
      <c r="M31" s="64" t="n">
        <v>0.322372685185185</v>
      </c>
      <c r="N31" s="61" t="s">
        <v>474</v>
      </c>
      <c r="O31" s="61" t="s">
        <v>1349</v>
      </c>
      <c r="P31" s="61" t="s">
        <v>1026</v>
      </c>
      <c r="Q31" s="61" t="s">
        <v>1027</v>
      </c>
      <c r="R31" s="62" t="n">
        <f aca="false">-H31</f>
        <v>145.6</v>
      </c>
    </row>
    <row r="32" customFormat="false" ht="15" hidden="false" customHeight="false" outlineLevel="0" collapsed="false">
      <c r="A32" s="61" t="s">
        <v>930</v>
      </c>
      <c r="B32" s="61" t="s">
        <v>20</v>
      </c>
      <c r="C32" s="61" t="s">
        <v>21</v>
      </c>
      <c r="D32" s="61" t="s">
        <v>141</v>
      </c>
      <c r="E32" s="61" t="s">
        <v>246</v>
      </c>
      <c r="F32" s="61" t="s">
        <v>1049</v>
      </c>
      <c r="G32" s="60" t="n">
        <v>46295</v>
      </c>
      <c r="H32" s="62" t="n">
        <v>-14</v>
      </c>
      <c r="I32" s="61" t="s">
        <v>4</v>
      </c>
      <c r="J32" s="60" t="n">
        <v>46296</v>
      </c>
      <c r="K32" s="61" t="s">
        <v>1320</v>
      </c>
      <c r="L32" s="62" t="n">
        <v>0</v>
      </c>
      <c r="M32" s="64" t="n">
        <v>0.0629513888888889</v>
      </c>
      <c r="N32" s="61" t="s">
        <v>269</v>
      </c>
      <c r="O32" s="61" t="s">
        <v>1350</v>
      </c>
      <c r="P32" s="61" t="s">
        <v>931</v>
      </c>
      <c r="Q32" s="61" t="s">
        <v>932</v>
      </c>
      <c r="R32" s="62" t="n">
        <f aca="false">-H32</f>
        <v>14</v>
      </c>
    </row>
    <row r="33" customFormat="false" ht="15" hidden="false" customHeight="false" outlineLevel="0" collapsed="false">
      <c r="A33" s="61" t="s">
        <v>933</v>
      </c>
      <c r="B33" s="61" t="s">
        <v>20</v>
      </c>
      <c r="C33" s="61" t="s">
        <v>21</v>
      </c>
      <c r="D33" s="61" t="s">
        <v>141</v>
      </c>
      <c r="E33" s="61" t="s">
        <v>246</v>
      </c>
      <c r="F33" s="61" t="s">
        <v>1049</v>
      </c>
      <c r="G33" s="60" t="n">
        <v>46295</v>
      </c>
      <c r="H33" s="62" t="n">
        <v>-2.8</v>
      </c>
      <c r="I33" s="61" t="s">
        <v>4</v>
      </c>
      <c r="J33" s="60" t="n">
        <v>46295</v>
      </c>
      <c r="K33" s="61" t="s">
        <v>1320</v>
      </c>
      <c r="L33" s="62" t="n">
        <v>0</v>
      </c>
      <c r="M33" s="64" t="n">
        <v>0.35587962962963</v>
      </c>
      <c r="N33" s="61" t="s">
        <v>250</v>
      </c>
      <c r="O33" s="61" t="s">
        <v>1351</v>
      </c>
      <c r="P33" s="61" t="s">
        <v>934</v>
      </c>
      <c r="Q33" s="61" t="s">
        <v>935</v>
      </c>
      <c r="R33" s="62" t="n">
        <f aca="false">-H33</f>
        <v>2.8</v>
      </c>
    </row>
    <row r="34" customFormat="false" ht="15" hidden="false" customHeight="false" outlineLevel="0" collapsed="false">
      <c r="A34" s="61" t="s">
        <v>936</v>
      </c>
      <c r="B34" s="61" t="s">
        <v>20</v>
      </c>
      <c r="C34" s="61" t="s">
        <v>21</v>
      </c>
      <c r="D34" s="61" t="s">
        <v>141</v>
      </c>
      <c r="E34" s="61" t="s">
        <v>254</v>
      </c>
      <c r="F34" s="61" t="s">
        <v>1049</v>
      </c>
      <c r="G34" s="60" t="n">
        <v>46295</v>
      </c>
      <c r="H34" s="62" t="n">
        <v>-140</v>
      </c>
      <c r="I34" s="61" t="s">
        <v>4</v>
      </c>
      <c r="J34" s="60" t="n">
        <v>46295</v>
      </c>
      <c r="K34" s="61" t="s">
        <v>1320</v>
      </c>
      <c r="L34" s="62" t="n">
        <v>0</v>
      </c>
      <c r="M34" s="64" t="n">
        <v>0.985636574074074</v>
      </c>
      <c r="N34" s="61" t="s">
        <v>258</v>
      </c>
      <c r="O34" s="61" t="s">
        <v>1352</v>
      </c>
      <c r="P34" s="61" t="s">
        <v>937</v>
      </c>
      <c r="Q34" s="61" t="s">
        <v>938</v>
      </c>
      <c r="R34" s="62" t="n">
        <f aca="false">-H34</f>
        <v>140</v>
      </c>
    </row>
    <row r="35" customFormat="false" ht="15" hidden="false" customHeight="false" outlineLevel="0" collapsed="false">
      <c r="A35" s="61" t="s">
        <v>939</v>
      </c>
      <c r="B35" s="61" t="s">
        <v>20</v>
      </c>
      <c r="C35" s="61" t="s">
        <v>21</v>
      </c>
      <c r="D35" s="61" t="s">
        <v>141</v>
      </c>
      <c r="E35" s="61" t="s">
        <v>246</v>
      </c>
      <c r="F35" s="61" t="s">
        <v>1049</v>
      </c>
      <c r="G35" s="60" t="n">
        <v>46295</v>
      </c>
      <c r="H35" s="62" t="n">
        <v>-154</v>
      </c>
      <c r="I35" s="61" t="s">
        <v>4</v>
      </c>
      <c r="J35" s="60" t="n">
        <v>46295</v>
      </c>
      <c r="K35" s="61" t="s">
        <v>1320</v>
      </c>
      <c r="L35" s="62" t="n">
        <v>0</v>
      </c>
      <c r="M35" s="64" t="n">
        <v>0.356168981481482</v>
      </c>
      <c r="N35" s="61" t="s">
        <v>250</v>
      </c>
      <c r="O35" s="61" t="s">
        <v>1353</v>
      </c>
      <c r="P35" s="61" t="s">
        <v>940</v>
      </c>
      <c r="Q35" s="61" t="s">
        <v>941</v>
      </c>
      <c r="R35" s="62" t="n">
        <f aca="false">-H35</f>
        <v>154</v>
      </c>
    </row>
    <row r="36" customFormat="false" ht="15" hidden="false" customHeight="false" outlineLevel="0" collapsed="false">
      <c r="A36" s="61" t="s">
        <v>942</v>
      </c>
      <c r="B36" s="61" t="s">
        <v>20</v>
      </c>
      <c r="C36" s="61" t="s">
        <v>21</v>
      </c>
      <c r="D36" s="61" t="s">
        <v>141</v>
      </c>
      <c r="E36" s="61" t="s">
        <v>246</v>
      </c>
      <c r="F36" s="61" t="s">
        <v>1049</v>
      </c>
      <c r="G36" s="60" t="n">
        <v>46295</v>
      </c>
      <c r="H36" s="62" t="n">
        <v>-2.8</v>
      </c>
      <c r="I36" s="61" t="s">
        <v>4</v>
      </c>
      <c r="J36" s="60" t="n">
        <v>46295</v>
      </c>
      <c r="K36" s="61" t="s">
        <v>1320</v>
      </c>
      <c r="L36" s="62" t="n">
        <v>0</v>
      </c>
      <c r="M36" s="64" t="n">
        <v>0.356203703703704</v>
      </c>
      <c r="N36" s="61" t="s">
        <v>250</v>
      </c>
      <c r="O36" s="61" t="s">
        <v>1354</v>
      </c>
      <c r="P36" s="61" t="s">
        <v>943</v>
      </c>
      <c r="Q36" s="61" t="s">
        <v>944</v>
      </c>
      <c r="R36" s="62" t="n">
        <f aca="false">-H36</f>
        <v>2.8</v>
      </c>
    </row>
    <row r="37" customFormat="false" ht="15" hidden="false" customHeight="false" outlineLevel="0" collapsed="false">
      <c r="A37" s="61" t="s">
        <v>850</v>
      </c>
      <c r="B37" s="61" t="s">
        <v>20</v>
      </c>
      <c r="C37" s="61" t="s">
        <v>21</v>
      </c>
      <c r="D37" s="61" t="s">
        <v>141</v>
      </c>
      <c r="E37" s="61" t="s">
        <v>246</v>
      </c>
      <c r="F37" s="61" t="s">
        <v>1049</v>
      </c>
      <c r="G37" s="60" t="n">
        <v>46294</v>
      </c>
      <c r="H37" s="62" t="n">
        <v>-56</v>
      </c>
      <c r="I37" s="61" t="s">
        <v>4</v>
      </c>
      <c r="J37" s="60" t="n">
        <v>46294</v>
      </c>
      <c r="K37" s="61" t="s">
        <v>1320</v>
      </c>
      <c r="L37" s="62" t="n">
        <v>0</v>
      </c>
      <c r="M37" s="64" t="n">
        <v>0.375914351851852</v>
      </c>
      <c r="N37" s="61" t="s">
        <v>250</v>
      </c>
      <c r="O37" s="61" t="s">
        <v>1355</v>
      </c>
      <c r="P37" s="61" t="s">
        <v>267</v>
      </c>
      <c r="Q37" s="61" t="s">
        <v>268</v>
      </c>
      <c r="R37" s="62" t="n">
        <f aca="false">-H37</f>
        <v>56</v>
      </c>
    </row>
    <row r="38" customFormat="false" ht="15" hidden="false" customHeight="false" outlineLevel="0" collapsed="false">
      <c r="A38" s="61" t="s">
        <v>851</v>
      </c>
      <c r="B38" s="61" t="s">
        <v>20</v>
      </c>
      <c r="C38" s="61" t="s">
        <v>21</v>
      </c>
      <c r="D38" s="61" t="s">
        <v>141</v>
      </c>
      <c r="E38" s="61" t="s">
        <v>246</v>
      </c>
      <c r="F38" s="61" t="s">
        <v>1049</v>
      </c>
      <c r="G38" s="60" t="n">
        <v>46294</v>
      </c>
      <c r="H38" s="62" t="n">
        <v>-2.8</v>
      </c>
      <c r="I38" s="61" t="s">
        <v>4</v>
      </c>
      <c r="J38" s="60" t="n">
        <v>46295</v>
      </c>
      <c r="K38" s="61" t="s">
        <v>1320</v>
      </c>
      <c r="L38" s="62" t="n">
        <v>0</v>
      </c>
      <c r="M38" s="64" t="n">
        <v>0.005625</v>
      </c>
      <c r="N38" s="61" t="s">
        <v>250</v>
      </c>
      <c r="O38" s="61" t="s">
        <v>1356</v>
      </c>
      <c r="P38" s="61" t="s">
        <v>472</v>
      </c>
      <c r="Q38" s="61" t="s">
        <v>473</v>
      </c>
      <c r="R38" s="62" t="n">
        <f aca="false">-H38</f>
        <v>2.8</v>
      </c>
    </row>
    <row r="39" customFormat="false" ht="15" hidden="false" customHeight="false" outlineLevel="0" collapsed="false">
      <c r="A39" s="61" t="s">
        <v>852</v>
      </c>
      <c r="B39" s="61" t="s">
        <v>20</v>
      </c>
      <c r="C39" s="61" t="s">
        <v>21</v>
      </c>
      <c r="D39" s="61" t="s">
        <v>141</v>
      </c>
      <c r="E39" s="61" t="s">
        <v>246</v>
      </c>
      <c r="F39" s="61" t="s">
        <v>1049</v>
      </c>
      <c r="G39" s="60" t="n">
        <v>46294</v>
      </c>
      <c r="H39" s="62" t="n">
        <v>-28</v>
      </c>
      <c r="I39" s="61" t="s">
        <v>4</v>
      </c>
      <c r="J39" s="60" t="n">
        <v>46295</v>
      </c>
      <c r="K39" s="61" t="s">
        <v>1320</v>
      </c>
      <c r="L39" s="62" t="n">
        <v>0</v>
      </c>
      <c r="M39" s="64" t="n">
        <v>0.00503472222222222</v>
      </c>
      <c r="N39" s="61" t="s">
        <v>250</v>
      </c>
      <c r="O39" s="61" t="s">
        <v>1357</v>
      </c>
      <c r="P39" s="61" t="s">
        <v>343</v>
      </c>
      <c r="Q39" s="61" t="s">
        <v>344</v>
      </c>
      <c r="R39" s="62" t="n">
        <f aca="false">-H39</f>
        <v>28</v>
      </c>
    </row>
    <row r="40" customFormat="false" ht="15" hidden="false" customHeight="false" outlineLevel="0" collapsed="false">
      <c r="A40" s="61" t="s">
        <v>717</v>
      </c>
      <c r="B40" s="61" t="s">
        <v>20</v>
      </c>
      <c r="C40" s="61" t="s">
        <v>21</v>
      </c>
      <c r="D40" s="61" t="s">
        <v>141</v>
      </c>
      <c r="E40" s="61" t="s">
        <v>246</v>
      </c>
      <c r="F40" s="61" t="s">
        <v>1049</v>
      </c>
      <c r="G40" s="60" t="n">
        <v>46292</v>
      </c>
      <c r="H40" s="62" t="n">
        <v>-5.6</v>
      </c>
      <c r="I40" s="61" t="s">
        <v>4</v>
      </c>
      <c r="J40" s="60" t="n">
        <v>46292</v>
      </c>
      <c r="K40" s="61" t="s">
        <v>1320</v>
      </c>
      <c r="L40" s="62" t="n">
        <v>0</v>
      </c>
      <c r="M40" s="64" t="n">
        <v>0.589421296296296</v>
      </c>
      <c r="N40" s="61" t="s">
        <v>275</v>
      </c>
      <c r="O40" s="61" t="s">
        <v>1358</v>
      </c>
      <c r="P40" s="61" t="s">
        <v>718</v>
      </c>
      <c r="Q40" s="61" t="s">
        <v>719</v>
      </c>
      <c r="R40" s="62" t="n">
        <f aca="false">-H40</f>
        <v>5.6</v>
      </c>
    </row>
    <row r="41" customFormat="false" ht="15" hidden="false" customHeight="false" outlineLevel="0" collapsed="false">
      <c r="A41" s="61" t="s">
        <v>720</v>
      </c>
      <c r="B41" s="61" t="s">
        <v>20</v>
      </c>
      <c r="C41" s="61" t="s">
        <v>21</v>
      </c>
      <c r="D41" s="61" t="s">
        <v>141</v>
      </c>
      <c r="E41" s="61" t="s">
        <v>246</v>
      </c>
      <c r="F41" s="61" t="s">
        <v>1049</v>
      </c>
      <c r="G41" s="60" t="n">
        <v>46292</v>
      </c>
      <c r="H41" s="62" t="n">
        <v>-8.4</v>
      </c>
      <c r="I41" s="61" t="s">
        <v>4</v>
      </c>
      <c r="J41" s="60" t="n">
        <v>46292</v>
      </c>
      <c r="K41" s="61" t="s">
        <v>1320</v>
      </c>
      <c r="L41" s="62" t="n">
        <v>0</v>
      </c>
      <c r="M41" s="64" t="n">
        <v>0.589525462962963</v>
      </c>
      <c r="N41" s="61" t="s">
        <v>275</v>
      </c>
      <c r="O41" s="61" t="s">
        <v>1359</v>
      </c>
      <c r="P41" s="61" t="s">
        <v>479</v>
      </c>
      <c r="Q41" s="61" t="s">
        <v>480</v>
      </c>
      <c r="R41" s="62" t="n">
        <f aca="false">-H41</f>
        <v>8.4</v>
      </c>
    </row>
    <row r="42" customFormat="false" ht="15" hidden="false" customHeight="false" outlineLevel="0" collapsed="false">
      <c r="A42" s="61" t="s">
        <v>721</v>
      </c>
      <c r="B42" s="61" t="s">
        <v>20</v>
      </c>
      <c r="C42" s="61" t="s">
        <v>21</v>
      </c>
      <c r="D42" s="61" t="s">
        <v>141</v>
      </c>
      <c r="E42" s="61" t="s">
        <v>246</v>
      </c>
      <c r="F42" s="61" t="s">
        <v>1049</v>
      </c>
      <c r="G42" s="60" t="n">
        <v>46292</v>
      </c>
      <c r="H42" s="62" t="n">
        <v>-8.4</v>
      </c>
      <c r="I42" s="61" t="s">
        <v>4</v>
      </c>
      <c r="J42" s="60" t="n">
        <v>46292</v>
      </c>
      <c r="K42" s="61" t="s">
        <v>1320</v>
      </c>
      <c r="L42" s="62" t="n">
        <v>0</v>
      </c>
      <c r="M42" s="64" t="n">
        <v>0.826388888888889</v>
      </c>
      <c r="N42" s="61" t="s">
        <v>275</v>
      </c>
      <c r="O42" s="61" t="s">
        <v>1360</v>
      </c>
      <c r="P42" s="61" t="s">
        <v>336</v>
      </c>
      <c r="Q42" s="61" t="s">
        <v>337</v>
      </c>
      <c r="R42" s="62" t="n">
        <f aca="false">-H42</f>
        <v>8.4</v>
      </c>
    </row>
    <row r="43" customFormat="false" ht="15" hidden="false" customHeight="false" outlineLevel="0" collapsed="false">
      <c r="A43" s="61" t="s">
        <v>722</v>
      </c>
      <c r="B43" s="61" t="s">
        <v>20</v>
      </c>
      <c r="C43" s="61" t="s">
        <v>21</v>
      </c>
      <c r="D43" s="61" t="s">
        <v>141</v>
      </c>
      <c r="E43" s="61" t="s">
        <v>246</v>
      </c>
      <c r="F43" s="61" t="s">
        <v>1049</v>
      </c>
      <c r="G43" s="60" t="n">
        <v>46292</v>
      </c>
      <c r="H43" s="62" t="n">
        <v>-5.6</v>
      </c>
      <c r="I43" s="61" t="s">
        <v>4</v>
      </c>
      <c r="J43" s="60" t="n">
        <v>46292</v>
      </c>
      <c r="K43" s="61" t="s">
        <v>1320</v>
      </c>
      <c r="L43" s="62" t="n">
        <v>0</v>
      </c>
      <c r="M43" s="64" t="n">
        <v>0.677465277777778</v>
      </c>
      <c r="N43" s="61" t="s">
        <v>275</v>
      </c>
      <c r="O43" s="61" t="s">
        <v>1361</v>
      </c>
      <c r="P43" s="61" t="s">
        <v>488</v>
      </c>
      <c r="Q43" s="61" t="s">
        <v>489</v>
      </c>
      <c r="R43" s="62" t="n">
        <f aca="false">-H43</f>
        <v>5.6</v>
      </c>
    </row>
    <row r="44" customFormat="false" ht="15" hidden="false" customHeight="false" outlineLevel="0" collapsed="false">
      <c r="A44" s="61" t="s">
        <v>723</v>
      </c>
      <c r="B44" s="61" t="s">
        <v>20</v>
      </c>
      <c r="C44" s="61" t="s">
        <v>21</v>
      </c>
      <c r="D44" s="61" t="s">
        <v>141</v>
      </c>
      <c r="E44" s="61" t="s">
        <v>246</v>
      </c>
      <c r="F44" s="61" t="s">
        <v>1049</v>
      </c>
      <c r="G44" s="60" t="n">
        <v>46292</v>
      </c>
      <c r="H44" s="62" t="n">
        <v>-5.6</v>
      </c>
      <c r="I44" s="61" t="s">
        <v>4</v>
      </c>
      <c r="J44" s="60" t="n">
        <v>46292</v>
      </c>
      <c r="K44" s="61" t="s">
        <v>1320</v>
      </c>
      <c r="L44" s="62" t="n">
        <v>0</v>
      </c>
      <c r="M44" s="64" t="n">
        <v>0.826238425925926</v>
      </c>
      <c r="N44" s="61" t="s">
        <v>275</v>
      </c>
      <c r="O44" s="61" t="s">
        <v>1362</v>
      </c>
      <c r="P44" s="61" t="s">
        <v>724</v>
      </c>
      <c r="Q44" s="61" t="s">
        <v>725</v>
      </c>
      <c r="R44" s="62" t="n">
        <f aca="false">-H44</f>
        <v>5.6</v>
      </c>
    </row>
    <row r="45" customFormat="false" ht="15" hidden="false" customHeight="false" outlineLevel="0" collapsed="false">
      <c r="A45" s="61" t="s">
        <v>726</v>
      </c>
      <c r="B45" s="61" t="s">
        <v>20</v>
      </c>
      <c r="C45" s="61" t="s">
        <v>21</v>
      </c>
      <c r="D45" s="61" t="s">
        <v>141</v>
      </c>
      <c r="E45" s="61" t="s">
        <v>246</v>
      </c>
      <c r="F45" s="61" t="s">
        <v>1049</v>
      </c>
      <c r="G45" s="60" t="n">
        <v>46292</v>
      </c>
      <c r="H45" s="62" t="n">
        <v>-5.6</v>
      </c>
      <c r="I45" s="61" t="s">
        <v>4</v>
      </c>
      <c r="J45" s="60" t="n">
        <v>46292</v>
      </c>
      <c r="K45" s="61" t="s">
        <v>1320</v>
      </c>
      <c r="L45" s="62" t="n">
        <v>0</v>
      </c>
      <c r="M45" s="64" t="n">
        <v>0.677256944444444</v>
      </c>
      <c r="N45" s="61" t="s">
        <v>275</v>
      </c>
      <c r="O45" s="61" t="s">
        <v>1363</v>
      </c>
      <c r="P45" s="61" t="s">
        <v>482</v>
      </c>
      <c r="Q45" s="61" t="s">
        <v>483</v>
      </c>
      <c r="R45" s="62" t="n">
        <f aca="false">-H45</f>
        <v>5.6</v>
      </c>
    </row>
    <row r="46" customFormat="false" ht="15" hidden="false" customHeight="false" outlineLevel="0" collapsed="false">
      <c r="A46" s="61" t="s">
        <v>669</v>
      </c>
      <c r="B46" s="61" t="s">
        <v>20</v>
      </c>
      <c r="C46" s="61" t="s">
        <v>21</v>
      </c>
      <c r="D46" s="61" t="s">
        <v>141</v>
      </c>
      <c r="E46" s="61" t="s">
        <v>246</v>
      </c>
      <c r="F46" s="61" t="s">
        <v>1049</v>
      </c>
      <c r="G46" s="60" t="n">
        <v>46291</v>
      </c>
      <c r="H46" s="62" t="n">
        <v>-5.6</v>
      </c>
      <c r="I46" s="61" t="s">
        <v>4</v>
      </c>
      <c r="J46" s="60" t="n">
        <v>46292</v>
      </c>
      <c r="K46" s="61" t="s">
        <v>1320</v>
      </c>
      <c r="L46" s="62" t="n">
        <v>0</v>
      </c>
      <c r="M46" s="64" t="n">
        <v>0.0316782407407407</v>
      </c>
      <c r="N46" s="61" t="s">
        <v>269</v>
      </c>
      <c r="O46" s="61" t="s">
        <v>1364</v>
      </c>
      <c r="P46" s="61" t="s">
        <v>532</v>
      </c>
      <c r="Q46" s="61" t="s">
        <v>533</v>
      </c>
      <c r="R46" s="62" t="n">
        <f aca="false">-H46</f>
        <v>5.6</v>
      </c>
    </row>
    <row r="47" customFormat="false" ht="15" hidden="false" customHeight="false" outlineLevel="0" collapsed="false">
      <c r="A47" s="61" t="s">
        <v>670</v>
      </c>
      <c r="B47" s="61" t="s">
        <v>20</v>
      </c>
      <c r="C47" s="61" t="s">
        <v>21</v>
      </c>
      <c r="D47" s="61" t="s">
        <v>141</v>
      </c>
      <c r="E47" s="61" t="s">
        <v>246</v>
      </c>
      <c r="F47" s="61" t="s">
        <v>1049</v>
      </c>
      <c r="G47" s="60" t="n">
        <v>46291</v>
      </c>
      <c r="H47" s="62" t="n">
        <v>-2.8</v>
      </c>
      <c r="I47" s="61" t="s">
        <v>4</v>
      </c>
      <c r="J47" s="60" t="n">
        <v>46292</v>
      </c>
      <c r="K47" s="61" t="s">
        <v>1320</v>
      </c>
      <c r="L47" s="62" t="n">
        <v>0</v>
      </c>
      <c r="M47" s="64" t="n">
        <v>0.0317476851851852</v>
      </c>
      <c r="N47" s="61" t="s">
        <v>269</v>
      </c>
      <c r="O47" s="61" t="s">
        <v>1365</v>
      </c>
      <c r="P47" s="61" t="s">
        <v>539</v>
      </c>
      <c r="Q47" s="61" t="s">
        <v>540</v>
      </c>
      <c r="R47" s="62" t="n">
        <f aca="false">-H47</f>
        <v>2.8</v>
      </c>
    </row>
    <row r="48" customFormat="false" ht="15" hidden="false" customHeight="false" outlineLevel="0" collapsed="false">
      <c r="A48" s="61" t="s">
        <v>671</v>
      </c>
      <c r="B48" s="61" t="s">
        <v>20</v>
      </c>
      <c r="C48" s="61" t="s">
        <v>21</v>
      </c>
      <c r="D48" s="61" t="s">
        <v>141</v>
      </c>
      <c r="E48" s="61" t="s">
        <v>246</v>
      </c>
      <c r="F48" s="61" t="s">
        <v>1049</v>
      </c>
      <c r="G48" s="60" t="n">
        <v>46291</v>
      </c>
      <c r="H48" s="62" t="n">
        <v>-30.8</v>
      </c>
      <c r="I48" s="61" t="s">
        <v>4</v>
      </c>
      <c r="J48" s="60" t="n">
        <v>46292</v>
      </c>
      <c r="K48" s="61" t="s">
        <v>1320</v>
      </c>
      <c r="L48" s="62" t="n">
        <v>0</v>
      </c>
      <c r="M48" s="64" t="n">
        <v>0.031412037037037</v>
      </c>
      <c r="N48" s="61" t="s">
        <v>269</v>
      </c>
      <c r="O48" s="61" t="s">
        <v>1366</v>
      </c>
      <c r="P48" s="61" t="s">
        <v>347</v>
      </c>
      <c r="Q48" s="61" t="s">
        <v>348</v>
      </c>
      <c r="R48" s="62" t="n">
        <f aca="false">-H48</f>
        <v>30.8</v>
      </c>
    </row>
    <row r="49" customFormat="false" ht="15" hidden="false" customHeight="false" outlineLevel="0" collapsed="false">
      <c r="A49" s="61" t="s">
        <v>672</v>
      </c>
      <c r="B49" s="61" t="s">
        <v>20</v>
      </c>
      <c r="C49" s="61" t="s">
        <v>21</v>
      </c>
      <c r="D49" s="61" t="s">
        <v>141</v>
      </c>
      <c r="E49" s="61" t="s">
        <v>246</v>
      </c>
      <c r="F49" s="61" t="s">
        <v>1049</v>
      </c>
      <c r="G49" s="60" t="n">
        <v>46291</v>
      </c>
      <c r="H49" s="62" t="n">
        <v>-89.6</v>
      </c>
      <c r="I49" s="61" t="s">
        <v>4</v>
      </c>
      <c r="J49" s="60" t="n">
        <v>46292</v>
      </c>
      <c r="K49" s="61" t="s">
        <v>1320</v>
      </c>
      <c r="L49" s="62" t="n">
        <v>0</v>
      </c>
      <c r="M49" s="64" t="n">
        <v>0.0312384259259259</v>
      </c>
      <c r="N49" s="61" t="s">
        <v>269</v>
      </c>
      <c r="O49" s="61" t="s">
        <v>1367</v>
      </c>
      <c r="P49" s="61" t="s">
        <v>347</v>
      </c>
      <c r="Q49" s="61" t="s">
        <v>348</v>
      </c>
      <c r="R49" s="62" t="n">
        <f aca="false">-H49</f>
        <v>89.6</v>
      </c>
    </row>
    <row r="50" customFormat="false" ht="15" hidden="false" customHeight="false" outlineLevel="0" collapsed="false">
      <c r="A50" s="61" t="s">
        <v>629</v>
      </c>
      <c r="B50" s="61" t="s">
        <v>20</v>
      </c>
      <c r="C50" s="61" t="s">
        <v>21</v>
      </c>
      <c r="D50" s="61" t="s">
        <v>141</v>
      </c>
      <c r="E50" s="61" t="s">
        <v>246</v>
      </c>
      <c r="F50" s="61" t="s">
        <v>1049</v>
      </c>
      <c r="G50" s="60" t="n">
        <v>46290</v>
      </c>
      <c r="H50" s="62" t="n">
        <v>-14</v>
      </c>
      <c r="I50" s="61" t="s">
        <v>4</v>
      </c>
      <c r="J50" s="60" t="n">
        <v>46290</v>
      </c>
      <c r="K50" s="61" t="s">
        <v>1320</v>
      </c>
      <c r="L50" s="62" t="n">
        <v>0</v>
      </c>
      <c r="M50" s="64" t="n">
        <v>0.749340277777778</v>
      </c>
      <c r="N50" s="61" t="s">
        <v>338</v>
      </c>
      <c r="O50" s="61" t="s">
        <v>1339</v>
      </c>
      <c r="P50" s="61" t="s">
        <v>630</v>
      </c>
      <c r="Q50" s="61" t="s">
        <v>631</v>
      </c>
      <c r="R50" s="62" t="n">
        <f aca="false">-H50</f>
        <v>14</v>
      </c>
    </row>
    <row r="51" customFormat="false" ht="15" hidden="false" customHeight="false" outlineLevel="0" collapsed="false">
      <c r="A51" s="61" t="s">
        <v>633</v>
      </c>
      <c r="B51" s="61" t="s">
        <v>20</v>
      </c>
      <c r="C51" s="61" t="s">
        <v>21</v>
      </c>
      <c r="D51" s="61" t="s">
        <v>141</v>
      </c>
      <c r="E51" s="61" t="s">
        <v>246</v>
      </c>
      <c r="F51" s="61" t="s">
        <v>1049</v>
      </c>
      <c r="G51" s="60" t="n">
        <v>46290</v>
      </c>
      <c r="H51" s="62" t="n">
        <v>-14</v>
      </c>
      <c r="I51" s="61" t="s">
        <v>4</v>
      </c>
      <c r="J51" s="60" t="n">
        <v>46290</v>
      </c>
      <c r="K51" s="61" t="s">
        <v>1320</v>
      </c>
      <c r="L51" s="62" t="n">
        <v>0</v>
      </c>
      <c r="M51" s="64" t="n">
        <v>0.809560185185185</v>
      </c>
      <c r="N51" s="61" t="s">
        <v>338</v>
      </c>
      <c r="O51" s="61" t="s">
        <v>1368</v>
      </c>
      <c r="P51" s="61" t="s">
        <v>634</v>
      </c>
      <c r="Q51" s="61" t="s">
        <v>635</v>
      </c>
      <c r="R51" s="62" t="n">
        <f aca="false">-H51</f>
        <v>14</v>
      </c>
    </row>
    <row r="52" customFormat="false" ht="15" hidden="false" customHeight="false" outlineLevel="0" collapsed="false">
      <c r="A52" s="61" t="s">
        <v>590</v>
      </c>
      <c r="B52" s="61" t="s">
        <v>20</v>
      </c>
      <c r="C52" s="61" t="s">
        <v>21</v>
      </c>
      <c r="D52" s="61" t="s">
        <v>141</v>
      </c>
      <c r="E52" s="61" t="s">
        <v>246</v>
      </c>
      <c r="F52" s="61" t="s">
        <v>1049</v>
      </c>
      <c r="G52" s="60" t="n">
        <v>46289</v>
      </c>
      <c r="H52" s="62" t="n">
        <v>-14</v>
      </c>
      <c r="I52" s="61" t="s">
        <v>4</v>
      </c>
      <c r="J52" s="60" t="n">
        <v>46289</v>
      </c>
      <c r="K52" s="61" t="s">
        <v>1320</v>
      </c>
      <c r="L52" s="62" t="n">
        <v>0</v>
      </c>
      <c r="M52" s="64" t="n">
        <v>0.898923611111111</v>
      </c>
      <c r="N52" s="61" t="s">
        <v>338</v>
      </c>
      <c r="O52" s="61" t="s">
        <v>1369</v>
      </c>
      <c r="P52" s="61" t="s">
        <v>446</v>
      </c>
      <c r="Q52" s="61" t="s">
        <v>447</v>
      </c>
      <c r="R52" s="62" t="n">
        <f aca="false">-H52</f>
        <v>14</v>
      </c>
    </row>
    <row r="53" customFormat="false" ht="15" hidden="false" customHeight="false" outlineLevel="0" collapsed="false">
      <c r="A53" s="61" t="s">
        <v>591</v>
      </c>
      <c r="B53" s="61" t="s">
        <v>20</v>
      </c>
      <c r="C53" s="61" t="s">
        <v>21</v>
      </c>
      <c r="D53" s="61" t="s">
        <v>141</v>
      </c>
      <c r="E53" s="61" t="s">
        <v>246</v>
      </c>
      <c r="F53" s="61" t="s">
        <v>1049</v>
      </c>
      <c r="G53" s="60" t="n">
        <v>46289</v>
      </c>
      <c r="H53" s="62" t="n">
        <v>-2.8</v>
      </c>
      <c r="I53" s="61" t="s">
        <v>4</v>
      </c>
      <c r="J53" s="60" t="n">
        <v>46289</v>
      </c>
      <c r="K53" s="61" t="s">
        <v>1320</v>
      </c>
      <c r="L53" s="62" t="n">
        <v>0</v>
      </c>
      <c r="M53" s="64" t="n">
        <v>0.633460648148148</v>
      </c>
      <c r="N53" s="61" t="s">
        <v>338</v>
      </c>
      <c r="O53" s="61" t="s">
        <v>1370</v>
      </c>
      <c r="P53" s="61" t="s">
        <v>592</v>
      </c>
      <c r="Q53" s="61" t="s">
        <v>593</v>
      </c>
      <c r="R53" s="62" t="n">
        <f aca="false">-H53</f>
        <v>2.8</v>
      </c>
    </row>
    <row r="54" customFormat="false" ht="15" hidden="false" customHeight="false" outlineLevel="0" collapsed="false">
      <c r="A54" s="61" t="s">
        <v>555</v>
      </c>
      <c r="B54" s="61" t="s">
        <v>20</v>
      </c>
      <c r="C54" s="61" t="s">
        <v>21</v>
      </c>
      <c r="D54" s="61" t="s">
        <v>141</v>
      </c>
      <c r="E54" s="61" t="s">
        <v>254</v>
      </c>
      <c r="F54" s="61" t="s">
        <v>1049</v>
      </c>
      <c r="G54" s="60" t="n">
        <v>46287</v>
      </c>
      <c r="H54" s="62" t="n">
        <v>-11.2</v>
      </c>
      <c r="I54" s="61" t="s">
        <v>4</v>
      </c>
      <c r="J54" s="60" t="n">
        <v>46287</v>
      </c>
      <c r="K54" s="61" t="s">
        <v>1320</v>
      </c>
      <c r="L54" s="62" t="n">
        <v>0</v>
      </c>
      <c r="M54" s="64" t="n">
        <v>0.901388888888889</v>
      </c>
      <c r="N54" s="61" t="s">
        <v>258</v>
      </c>
      <c r="O54" s="61" t="s">
        <v>1371</v>
      </c>
      <c r="P54" s="61" t="s">
        <v>263</v>
      </c>
      <c r="Q54" s="61" t="s">
        <v>264</v>
      </c>
      <c r="R54" s="62" t="n">
        <f aca="false">-H54</f>
        <v>11.2</v>
      </c>
    </row>
    <row r="55" customFormat="false" ht="15" hidden="false" customHeight="false" outlineLevel="0" collapsed="false">
      <c r="A55" s="61" t="s">
        <v>262</v>
      </c>
      <c r="B55" s="61" t="s">
        <v>20</v>
      </c>
      <c r="C55" s="61" t="s">
        <v>21</v>
      </c>
      <c r="D55" s="61" t="s">
        <v>141</v>
      </c>
      <c r="E55" s="61" t="s">
        <v>254</v>
      </c>
      <c r="F55" s="61" t="s">
        <v>1049</v>
      </c>
      <c r="G55" s="60" t="n">
        <v>46275</v>
      </c>
      <c r="H55" s="62" t="n">
        <v>-11.2</v>
      </c>
      <c r="I55" s="61" t="s">
        <v>4</v>
      </c>
      <c r="J55" s="60" t="n">
        <v>46275</v>
      </c>
      <c r="K55" s="61" t="s">
        <v>1320</v>
      </c>
      <c r="L55" s="62" t="n">
        <v>0</v>
      </c>
      <c r="M55" s="64" t="n">
        <v>0.951435185185185</v>
      </c>
      <c r="N55" s="61" t="s">
        <v>258</v>
      </c>
      <c r="O55" s="61" t="s">
        <v>1372</v>
      </c>
      <c r="P55" s="61" t="s">
        <v>263</v>
      </c>
      <c r="Q55" s="61" t="s">
        <v>264</v>
      </c>
      <c r="R55" s="62" t="n">
        <f aca="false">-H55</f>
        <v>11.2</v>
      </c>
    </row>
    <row r="56" customFormat="false" ht="15" hidden="false" customHeight="false" outlineLevel="0" collapsed="false">
      <c r="A56" s="61" t="s">
        <v>854</v>
      </c>
      <c r="B56" s="61" t="s">
        <v>23</v>
      </c>
      <c r="C56" s="61" t="s">
        <v>24</v>
      </c>
      <c r="D56" s="61" t="s">
        <v>141</v>
      </c>
      <c r="E56" s="61" t="s">
        <v>246</v>
      </c>
      <c r="F56" s="61" t="s">
        <v>1049</v>
      </c>
      <c r="G56" s="60" t="n">
        <v>46294</v>
      </c>
      <c r="H56" s="62" t="n">
        <v>-2.8</v>
      </c>
      <c r="I56" s="61" t="s">
        <v>4</v>
      </c>
      <c r="J56" s="60" t="n">
        <v>46294</v>
      </c>
      <c r="K56" s="61" t="s">
        <v>1320</v>
      </c>
      <c r="L56" s="62" t="n">
        <v>0</v>
      </c>
      <c r="M56" s="64" t="n">
        <v>0.5878125</v>
      </c>
      <c r="N56" s="61" t="s">
        <v>338</v>
      </c>
      <c r="O56" s="61" t="s">
        <v>1373</v>
      </c>
      <c r="P56" s="61" t="s">
        <v>679</v>
      </c>
      <c r="Q56" s="61" t="s">
        <v>680</v>
      </c>
      <c r="R56" s="62" t="n">
        <f aca="false">-H56</f>
        <v>2.8</v>
      </c>
    </row>
    <row r="57" customFormat="false" ht="15" hidden="false" customHeight="false" outlineLevel="0" collapsed="false">
      <c r="A57" s="61" t="s">
        <v>855</v>
      </c>
      <c r="B57" s="61" t="s">
        <v>23</v>
      </c>
      <c r="C57" s="61" t="s">
        <v>24</v>
      </c>
      <c r="D57" s="61" t="s">
        <v>141</v>
      </c>
      <c r="E57" s="61" t="s">
        <v>246</v>
      </c>
      <c r="F57" s="61" t="s">
        <v>1049</v>
      </c>
      <c r="G57" s="60" t="n">
        <v>46294</v>
      </c>
      <c r="H57" s="62" t="n">
        <v>-8.4</v>
      </c>
      <c r="I57" s="61" t="s">
        <v>4</v>
      </c>
      <c r="J57" s="60" t="n">
        <v>46294</v>
      </c>
      <c r="K57" s="61" t="s">
        <v>1320</v>
      </c>
      <c r="L57" s="62" t="n">
        <v>0</v>
      </c>
      <c r="M57" s="64" t="n">
        <v>0.58806712962963</v>
      </c>
      <c r="N57" s="61" t="s">
        <v>338</v>
      </c>
      <c r="O57" s="61" t="s">
        <v>1374</v>
      </c>
      <c r="P57" s="61" t="s">
        <v>856</v>
      </c>
      <c r="Q57" s="61" t="s">
        <v>857</v>
      </c>
      <c r="R57" s="62" t="n">
        <f aca="false">-H57</f>
        <v>8.4</v>
      </c>
    </row>
    <row r="58" customFormat="false" ht="15" hidden="false" customHeight="false" outlineLevel="0" collapsed="false">
      <c r="A58" s="61" t="s">
        <v>636</v>
      </c>
      <c r="B58" s="61" t="s">
        <v>23</v>
      </c>
      <c r="C58" s="61" t="s">
        <v>24</v>
      </c>
      <c r="D58" s="61" t="s">
        <v>141</v>
      </c>
      <c r="E58" s="61" t="s">
        <v>246</v>
      </c>
      <c r="F58" s="61" t="s">
        <v>1049</v>
      </c>
      <c r="G58" s="60" t="n">
        <v>46290</v>
      </c>
      <c r="H58" s="62" t="n">
        <v>-5.6</v>
      </c>
      <c r="I58" s="61" t="s">
        <v>4</v>
      </c>
      <c r="J58" s="60" t="n">
        <v>46290</v>
      </c>
      <c r="K58" s="61" t="s">
        <v>1320</v>
      </c>
      <c r="L58" s="62" t="n">
        <v>0</v>
      </c>
      <c r="M58" s="64" t="n">
        <v>0.738414351851852</v>
      </c>
      <c r="N58" s="61" t="s">
        <v>338</v>
      </c>
      <c r="O58" s="61" t="s">
        <v>1375</v>
      </c>
      <c r="P58" s="61" t="s">
        <v>637</v>
      </c>
      <c r="Q58" s="61" t="s">
        <v>638</v>
      </c>
      <c r="R58" s="62" t="n">
        <f aca="false">-H58</f>
        <v>5.6</v>
      </c>
    </row>
    <row r="59" customFormat="false" ht="15" hidden="false" customHeight="false" outlineLevel="0" collapsed="false">
      <c r="A59" s="61" t="s">
        <v>639</v>
      </c>
      <c r="B59" s="61" t="s">
        <v>23</v>
      </c>
      <c r="C59" s="61" t="s">
        <v>24</v>
      </c>
      <c r="D59" s="61" t="s">
        <v>141</v>
      </c>
      <c r="E59" s="61" t="s">
        <v>246</v>
      </c>
      <c r="F59" s="61" t="s">
        <v>1049</v>
      </c>
      <c r="G59" s="60" t="n">
        <v>46290</v>
      </c>
      <c r="H59" s="62" t="n">
        <v>-14</v>
      </c>
      <c r="I59" s="61" t="s">
        <v>4</v>
      </c>
      <c r="J59" s="60" t="n">
        <v>46290</v>
      </c>
      <c r="K59" s="61" t="s">
        <v>1320</v>
      </c>
      <c r="L59" s="62" t="n">
        <v>0</v>
      </c>
      <c r="M59" s="64" t="n">
        <v>0.651793981481482</v>
      </c>
      <c r="N59" s="61" t="s">
        <v>338</v>
      </c>
      <c r="O59" s="61" t="s">
        <v>1376</v>
      </c>
      <c r="P59" s="61" t="s">
        <v>630</v>
      </c>
      <c r="Q59" s="61" t="s">
        <v>631</v>
      </c>
      <c r="R59" s="62" t="n">
        <f aca="false">-H59</f>
        <v>14</v>
      </c>
    </row>
    <row r="60" customFormat="false" ht="15" hidden="false" customHeight="false" outlineLevel="0" collapsed="false">
      <c r="A60" s="61" t="s">
        <v>591</v>
      </c>
      <c r="B60" s="61" t="s">
        <v>23</v>
      </c>
      <c r="C60" s="61" t="s">
        <v>24</v>
      </c>
      <c r="D60" s="61" t="s">
        <v>141</v>
      </c>
      <c r="E60" s="61" t="s">
        <v>246</v>
      </c>
      <c r="F60" s="61" t="s">
        <v>1049</v>
      </c>
      <c r="G60" s="60" t="n">
        <v>46289</v>
      </c>
      <c r="H60" s="62" t="n">
        <v>-2.8</v>
      </c>
      <c r="I60" s="61" t="s">
        <v>4</v>
      </c>
      <c r="J60" s="60" t="n">
        <v>46289</v>
      </c>
      <c r="K60" s="61" t="s">
        <v>1320</v>
      </c>
      <c r="L60" s="62" t="n">
        <v>0</v>
      </c>
      <c r="M60" s="64" t="n">
        <v>0.633460648148148</v>
      </c>
      <c r="N60" s="61" t="s">
        <v>338</v>
      </c>
      <c r="O60" s="61" t="s">
        <v>1370</v>
      </c>
      <c r="P60" s="61" t="s">
        <v>592</v>
      </c>
      <c r="Q60" s="61" t="s">
        <v>593</v>
      </c>
      <c r="R60" s="62" t="n">
        <f aca="false">-H60</f>
        <v>2.8</v>
      </c>
    </row>
    <row r="61" customFormat="false" ht="15" hidden="false" customHeight="false" outlineLevel="0" collapsed="false">
      <c r="A61" s="61" t="s">
        <v>594</v>
      </c>
      <c r="B61" s="61" t="s">
        <v>23</v>
      </c>
      <c r="C61" s="61" t="s">
        <v>24</v>
      </c>
      <c r="D61" s="61" t="s">
        <v>141</v>
      </c>
      <c r="E61" s="61" t="s">
        <v>246</v>
      </c>
      <c r="F61" s="61" t="s">
        <v>1049</v>
      </c>
      <c r="G61" s="60" t="n">
        <v>46289</v>
      </c>
      <c r="H61" s="62" t="n">
        <v>-28</v>
      </c>
      <c r="I61" s="61" t="s">
        <v>4</v>
      </c>
      <c r="J61" s="60" t="n">
        <v>46289</v>
      </c>
      <c r="K61" s="61" t="s">
        <v>1320</v>
      </c>
      <c r="L61" s="62" t="n">
        <v>0</v>
      </c>
      <c r="M61" s="64" t="n">
        <v>0.560601851851852</v>
      </c>
      <c r="N61" s="61" t="s">
        <v>338</v>
      </c>
      <c r="O61" s="61" t="s">
        <v>1377</v>
      </c>
      <c r="P61" s="61" t="s">
        <v>580</v>
      </c>
      <c r="Q61" s="61" t="s">
        <v>581</v>
      </c>
      <c r="R61" s="62" t="n">
        <f aca="false">-H61</f>
        <v>28</v>
      </c>
    </row>
    <row r="62" customFormat="false" ht="15" hidden="false" customHeight="false" outlineLevel="0" collapsed="false">
      <c r="A62" s="61" t="s">
        <v>565</v>
      </c>
      <c r="B62" s="61" t="s">
        <v>23</v>
      </c>
      <c r="C62" s="61" t="s">
        <v>24</v>
      </c>
      <c r="D62" s="61" t="s">
        <v>141</v>
      </c>
      <c r="E62" s="61" t="s">
        <v>246</v>
      </c>
      <c r="F62" s="61" t="s">
        <v>1049</v>
      </c>
      <c r="G62" s="60" t="n">
        <v>46288</v>
      </c>
      <c r="H62" s="62" t="n">
        <v>-2.8</v>
      </c>
      <c r="I62" s="61" t="s">
        <v>4</v>
      </c>
      <c r="J62" s="60" t="n">
        <v>46288</v>
      </c>
      <c r="K62" s="61" t="s">
        <v>1320</v>
      </c>
      <c r="L62" s="62" t="n">
        <v>0</v>
      </c>
      <c r="M62" s="64" t="n">
        <v>0.281458333333333</v>
      </c>
      <c r="N62" s="61" t="s">
        <v>269</v>
      </c>
      <c r="O62" s="61" t="s">
        <v>1378</v>
      </c>
      <c r="P62" s="61" t="s">
        <v>566</v>
      </c>
      <c r="Q62" s="61" t="s">
        <v>567</v>
      </c>
      <c r="R62" s="62" t="n">
        <f aca="false">-H62</f>
        <v>2.8</v>
      </c>
    </row>
    <row r="63" customFormat="false" ht="15" hidden="false" customHeight="false" outlineLevel="0" collapsed="false">
      <c r="A63" s="61" t="s">
        <v>528</v>
      </c>
      <c r="B63" s="61" t="s">
        <v>23</v>
      </c>
      <c r="C63" s="61" t="s">
        <v>24</v>
      </c>
      <c r="D63" s="61" t="s">
        <v>141</v>
      </c>
      <c r="E63" s="61" t="s">
        <v>246</v>
      </c>
      <c r="F63" s="61" t="s">
        <v>1049</v>
      </c>
      <c r="G63" s="60" t="n">
        <v>46286</v>
      </c>
      <c r="H63" s="62" t="n">
        <v>-2.8</v>
      </c>
      <c r="I63" s="61" t="s">
        <v>4</v>
      </c>
      <c r="J63" s="60" t="n">
        <v>46286</v>
      </c>
      <c r="K63" s="61" t="s">
        <v>1320</v>
      </c>
      <c r="L63" s="62" t="n">
        <v>0</v>
      </c>
      <c r="M63" s="64" t="n">
        <v>0.486157407407407</v>
      </c>
      <c r="N63" s="61" t="s">
        <v>338</v>
      </c>
      <c r="O63" s="61" t="s">
        <v>1379</v>
      </c>
      <c r="P63" s="61" t="s">
        <v>529</v>
      </c>
      <c r="Q63" s="61" t="s">
        <v>530</v>
      </c>
      <c r="R63" s="62" t="n">
        <f aca="false">-H63</f>
        <v>2.8</v>
      </c>
    </row>
    <row r="64" customFormat="false" ht="15" hidden="false" customHeight="false" outlineLevel="0" collapsed="false">
      <c r="A64" s="61" t="s">
        <v>531</v>
      </c>
      <c r="B64" s="61" t="s">
        <v>23</v>
      </c>
      <c r="C64" s="61" t="s">
        <v>24</v>
      </c>
      <c r="D64" s="61" t="s">
        <v>141</v>
      </c>
      <c r="E64" s="61" t="s">
        <v>246</v>
      </c>
      <c r="F64" s="61" t="s">
        <v>1049</v>
      </c>
      <c r="G64" s="60" t="n">
        <v>46286</v>
      </c>
      <c r="H64" s="62" t="n">
        <v>-5.6</v>
      </c>
      <c r="I64" s="61" t="s">
        <v>4</v>
      </c>
      <c r="J64" s="60" t="n">
        <v>46286</v>
      </c>
      <c r="K64" s="61" t="s">
        <v>1320</v>
      </c>
      <c r="L64" s="62" t="n">
        <v>0</v>
      </c>
      <c r="M64" s="64" t="n">
        <v>0.517118055555556</v>
      </c>
      <c r="N64" s="61" t="s">
        <v>338</v>
      </c>
      <c r="O64" s="61" t="s">
        <v>1380</v>
      </c>
      <c r="P64" s="61" t="s">
        <v>532</v>
      </c>
      <c r="Q64" s="61" t="s">
        <v>533</v>
      </c>
      <c r="R64" s="62" t="n">
        <f aca="false">-H64</f>
        <v>5.6</v>
      </c>
    </row>
    <row r="65" customFormat="false" ht="15" hidden="false" customHeight="false" outlineLevel="0" collapsed="false">
      <c r="A65" s="61" t="s">
        <v>502</v>
      </c>
      <c r="B65" s="61" t="s">
        <v>23</v>
      </c>
      <c r="C65" s="61" t="s">
        <v>24</v>
      </c>
      <c r="D65" s="61" t="s">
        <v>141</v>
      </c>
      <c r="E65" s="61" t="s">
        <v>246</v>
      </c>
      <c r="F65" s="61" t="s">
        <v>1049</v>
      </c>
      <c r="G65" s="60" t="n">
        <v>46285</v>
      </c>
      <c r="H65" s="62" t="n">
        <v>-8.4</v>
      </c>
      <c r="I65" s="61" t="s">
        <v>4</v>
      </c>
      <c r="J65" s="60" t="n">
        <v>46286</v>
      </c>
      <c r="K65" s="61" t="s">
        <v>1320</v>
      </c>
      <c r="L65" s="62" t="n">
        <v>0</v>
      </c>
      <c r="M65" s="64" t="n">
        <v>0.0589236111111111</v>
      </c>
      <c r="N65" s="61" t="s">
        <v>250</v>
      </c>
      <c r="O65" s="61" t="s">
        <v>1381</v>
      </c>
      <c r="P65" s="61" t="s">
        <v>503</v>
      </c>
      <c r="Q65" s="61" t="s">
        <v>504</v>
      </c>
      <c r="R65" s="62" t="n">
        <f aca="false">-H65</f>
        <v>8.4</v>
      </c>
    </row>
    <row r="66" customFormat="false" ht="15" hidden="false" customHeight="false" outlineLevel="0" collapsed="false">
      <c r="A66" s="61" t="s">
        <v>505</v>
      </c>
      <c r="B66" s="61" t="s">
        <v>23</v>
      </c>
      <c r="C66" s="61" t="s">
        <v>24</v>
      </c>
      <c r="D66" s="61" t="s">
        <v>141</v>
      </c>
      <c r="E66" s="61" t="s">
        <v>246</v>
      </c>
      <c r="F66" s="61" t="s">
        <v>1049</v>
      </c>
      <c r="G66" s="60" t="n">
        <v>46285</v>
      </c>
      <c r="H66" s="62" t="n">
        <v>-5.6</v>
      </c>
      <c r="I66" s="61" t="s">
        <v>4</v>
      </c>
      <c r="J66" s="60" t="n">
        <v>46285</v>
      </c>
      <c r="K66" s="61" t="s">
        <v>1320</v>
      </c>
      <c r="L66" s="62" t="n">
        <v>0</v>
      </c>
      <c r="M66" s="64" t="n">
        <v>0.995150462962963</v>
      </c>
      <c r="N66" s="61" t="s">
        <v>250</v>
      </c>
      <c r="O66" s="61" t="s">
        <v>1382</v>
      </c>
      <c r="P66" s="61" t="s">
        <v>506</v>
      </c>
      <c r="Q66" s="61" t="s">
        <v>507</v>
      </c>
      <c r="R66" s="62" t="n">
        <f aca="false">-H66</f>
        <v>5.6</v>
      </c>
    </row>
    <row r="67" customFormat="false" ht="15" hidden="false" customHeight="false" outlineLevel="0" collapsed="false">
      <c r="A67" s="61" t="s">
        <v>508</v>
      </c>
      <c r="B67" s="61" t="s">
        <v>23</v>
      </c>
      <c r="C67" s="61" t="s">
        <v>24</v>
      </c>
      <c r="D67" s="61" t="s">
        <v>141</v>
      </c>
      <c r="E67" s="61" t="s">
        <v>246</v>
      </c>
      <c r="F67" s="61" t="s">
        <v>1049</v>
      </c>
      <c r="G67" s="60" t="n">
        <v>46285</v>
      </c>
      <c r="H67" s="62" t="n">
        <v>-14</v>
      </c>
      <c r="I67" s="61" t="s">
        <v>4</v>
      </c>
      <c r="J67" s="60" t="n">
        <v>46285</v>
      </c>
      <c r="K67" s="61" t="s">
        <v>1320</v>
      </c>
      <c r="L67" s="62" t="n">
        <v>0</v>
      </c>
      <c r="M67" s="64" t="n">
        <v>0.314953703703704</v>
      </c>
      <c r="N67" s="61" t="s">
        <v>269</v>
      </c>
      <c r="O67" s="61" t="s">
        <v>1383</v>
      </c>
      <c r="P67" s="61" t="s">
        <v>509</v>
      </c>
      <c r="Q67" s="61" t="s">
        <v>510</v>
      </c>
      <c r="R67" s="62" t="n">
        <f aca="false">-H67</f>
        <v>14</v>
      </c>
    </row>
    <row r="68" customFormat="false" ht="15" hidden="false" customHeight="false" outlineLevel="0" collapsed="false">
      <c r="A68" s="61" t="s">
        <v>468</v>
      </c>
      <c r="B68" s="61" t="s">
        <v>23</v>
      </c>
      <c r="C68" s="61" t="s">
        <v>24</v>
      </c>
      <c r="D68" s="61" t="s">
        <v>141</v>
      </c>
      <c r="E68" s="61" t="s">
        <v>246</v>
      </c>
      <c r="F68" s="61" t="s">
        <v>1049</v>
      </c>
      <c r="G68" s="60" t="n">
        <v>46284</v>
      </c>
      <c r="H68" s="62" t="n">
        <v>-28</v>
      </c>
      <c r="I68" s="61" t="s">
        <v>4</v>
      </c>
      <c r="J68" s="60" t="n">
        <v>46284</v>
      </c>
      <c r="K68" s="61" t="s">
        <v>1320</v>
      </c>
      <c r="L68" s="62" t="n">
        <v>0</v>
      </c>
      <c r="M68" s="64" t="n">
        <v>0.81255787037037</v>
      </c>
      <c r="N68" s="61" t="s">
        <v>275</v>
      </c>
      <c r="O68" s="61" t="s">
        <v>1384</v>
      </c>
      <c r="P68" s="61" t="s">
        <v>469</v>
      </c>
      <c r="Q68" s="61" t="s">
        <v>470</v>
      </c>
      <c r="R68" s="62" t="n">
        <f aca="false">-H68</f>
        <v>28</v>
      </c>
    </row>
    <row r="69" customFormat="false" ht="15" hidden="false" customHeight="false" outlineLevel="0" collapsed="false">
      <c r="A69" s="61" t="s">
        <v>471</v>
      </c>
      <c r="B69" s="61" t="s">
        <v>23</v>
      </c>
      <c r="C69" s="61" t="s">
        <v>24</v>
      </c>
      <c r="D69" s="61" t="s">
        <v>141</v>
      </c>
      <c r="E69" s="61" t="s">
        <v>246</v>
      </c>
      <c r="F69" s="61" t="s">
        <v>1049</v>
      </c>
      <c r="G69" s="60" t="n">
        <v>46284</v>
      </c>
      <c r="H69" s="62" t="n">
        <v>-2.8</v>
      </c>
      <c r="I69" s="61" t="s">
        <v>4</v>
      </c>
      <c r="J69" s="60" t="n">
        <v>46284</v>
      </c>
      <c r="K69" s="61" t="s">
        <v>1320</v>
      </c>
      <c r="L69" s="62" t="n">
        <v>0</v>
      </c>
      <c r="M69" s="64" t="n">
        <v>0.31724537037037</v>
      </c>
      <c r="N69" s="61" t="s">
        <v>474</v>
      </c>
      <c r="O69" s="61" t="s">
        <v>1385</v>
      </c>
      <c r="P69" s="61" t="s">
        <v>472</v>
      </c>
      <c r="Q69" s="61" t="s">
        <v>473</v>
      </c>
      <c r="R69" s="62" t="n">
        <f aca="false">-H69</f>
        <v>2.8</v>
      </c>
    </row>
    <row r="70" customFormat="false" ht="15" hidden="false" customHeight="false" outlineLevel="0" collapsed="false">
      <c r="A70" s="61" t="s">
        <v>475</v>
      </c>
      <c r="B70" s="61" t="s">
        <v>23</v>
      </c>
      <c r="C70" s="61" t="s">
        <v>24</v>
      </c>
      <c r="D70" s="61" t="s">
        <v>141</v>
      </c>
      <c r="E70" s="61" t="s">
        <v>246</v>
      </c>
      <c r="F70" s="61" t="s">
        <v>1049</v>
      </c>
      <c r="G70" s="60" t="n">
        <v>46284</v>
      </c>
      <c r="H70" s="62" t="n">
        <v>-2.8</v>
      </c>
      <c r="I70" s="61" t="s">
        <v>4</v>
      </c>
      <c r="J70" s="60" t="n">
        <v>46284</v>
      </c>
      <c r="K70" s="61" t="s">
        <v>1320</v>
      </c>
      <c r="L70" s="62" t="n">
        <v>0</v>
      </c>
      <c r="M70" s="64" t="n">
        <v>0.237453703703704</v>
      </c>
      <c r="N70" s="61" t="s">
        <v>474</v>
      </c>
      <c r="O70" s="61" t="s">
        <v>1386</v>
      </c>
      <c r="P70" s="61" t="s">
        <v>476</v>
      </c>
      <c r="Q70" s="61" t="s">
        <v>477</v>
      </c>
      <c r="R70" s="62" t="n">
        <f aca="false">-H70</f>
        <v>2.8</v>
      </c>
    </row>
    <row r="71" customFormat="false" ht="15" hidden="false" customHeight="false" outlineLevel="0" collapsed="false">
      <c r="A71" s="61" t="s">
        <v>415</v>
      </c>
      <c r="B71" s="61" t="s">
        <v>23</v>
      </c>
      <c r="C71" s="61" t="s">
        <v>24</v>
      </c>
      <c r="D71" s="61" t="s">
        <v>141</v>
      </c>
      <c r="E71" s="61" t="s">
        <v>246</v>
      </c>
      <c r="F71" s="61" t="s">
        <v>1049</v>
      </c>
      <c r="G71" s="60" t="n">
        <v>46281</v>
      </c>
      <c r="H71" s="62" t="n">
        <v>-2.8</v>
      </c>
      <c r="I71" s="61" t="s">
        <v>4</v>
      </c>
      <c r="J71" s="60" t="n">
        <v>46281</v>
      </c>
      <c r="K71" s="61" t="s">
        <v>1320</v>
      </c>
      <c r="L71" s="62" t="n">
        <v>0</v>
      </c>
      <c r="M71" s="64" t="n">
        <v>0.788148148148148</v>
      </c>
      <c r="N71" s="61" t="s">
        <v>338</v>
      </c>
      <c r="O71" s="61" t="s">
        <v>1387</v>
      </c>
      <c r="P71" s="61" t="s">
        <v>416</v>
      </c>
      <c r="Q71" s="61" t="s">
        <v>417</v>
      </c>
      <c r="R71" s="62" t="n">
        <f aca="false">-H71</f>
        <v>2.8</v>
      </c>
    </row>
    <row r="72" customFormat="false" ht="15" hidden="false" customHeight="false" outlineLevel="0" collapsed="false">
      <c r="A72" s="61" t="s">
        <v>418</v>
      </c>
      <c r="B72" s="61" t="s">
        <v>23</v>
      </c>
      <c r="C72" s="61" t="s">
        <v>24</v>
      </c>
      <c r="D72" s="61" t="s">
        <v>141</v>
      </c>
      <c r="E72" s="61" t="s">
        <v>246</v>
      </c>
      <c r="F72" s="61" t="s">
        <v>1049</v>
      </c>
      <c r="G72" s="60" t="n">
        <v>46281</v>
      </c>
      <c r="H72" s="62" t="n">
        <v>-33.6</v>
      </c>
      <c r="I72" s="61" t="s">
        <v>4</v>
      </c>
      <c r="J72" s="60" t="n">
        <v>46282</v>
      </c>
      <c r="K72" s="61" t="s">
        <v>1320</v>
      </c>
      <c r="L72" s="62" t="n">
        <v>0</v>
      </c>
      <c r="M72" s="64" t="n">
        <v>0.096875</v>
      </c>
      <c r="N72" s="61" t="s">
        <v>250</v>
      </c>
      <c r="O72" s="61" t="s">
        <v>1388</v>
      </c>
      <c r="P72" s="61" t="s">
        <v>419</v>
      </c>
      <c r="Q72" s="61" t="s">
        <v>420</v>
      </c>
      <c r="R72" s="62" t="n">
        <f aca="false">-H72</f>
        <v>33.6</v>
      </c>
    </row>
    <row r="73" customFormat="false" ht="15" hidden="false" customHeight="false" outlineLevel="0" collapsed="false">
      <c r="A73" s="61" t="s">
        <v>396</v>
      </c>
      <c r="B73" s="61" t="s">
        <v>23</v>
      </c>
      <c r="C73" s="61" t="s">
        <v>24</v>
      </c>
      <c r="D73" s="61" t="s">
        <v>141</v>
      </c>
      <c r="E73" s="61" t="s">
        <v>246</v>
      </c>
      <c r="F73" s="61" t="s">
        <v>1049</v>
      </c>
      <c r="G73" s="60" t="n">
        <v>46280</v>
      </c>
      <c r="H73" s="62" t="n">
        <v>-2.8</v>
      </c>
      <c r="I73" s="61" t="s">
        <v>4</v>
      </c>
      <c r="J73" s="60" t="n">
        <v>46280</v>
      </c>
      <c r="K73" s="61" t="s">
        <v>1320</v>
      </c>
      <c r="L73" s="62" t="n">
        <v>0</v>
      </c>
      <c r="M73" s="64" t="n">
        <v>0.529641203703704</v>
      </c>
      <c r="N73" s="61" t="s">
        <v>275</v>
      </c>
      <c r="O73" s="61" t="s">
        <v>1389</v>
      </c>
      <c r="P73" s="61" t="s">
        <v>397</v>
      </c>
      <c r="Q73" s="61" t="s">
        <v>398</v>
      </c>
      <c r="R73" s="62" t="n">
        <f aca="false">-H73</f>
        <v>2.8</v>
      </c>
    </row>
    <row r="74" customFormat="false" ht="15" hidden="false" customHeight="false" outlineLevel="0" collapsed="false">
      <c r="A74" s="61" t="s">
        <v>361</v>
      </c>
      <c r="B74" s="61" t="s">
        <v>23</v>
      </c>
      <c r="C74" s="61" t="s">
        <v>24</v>
      </c>
      <c r="D74" s="61" t="s">
        <v>141</v>
      </c>
      <c r="E74" s="61" t="s">
        <v>246</v>
      </c>
      <c r="F74" s="61" t="s">
        <v>1049</v>
      </c>
      <c r="G74" s="60" t="n">
        <v>46279</v>
      </c>
      <c r="H74" s="62" t="n">
        <v>-2.8</v>
      </c>
      <c r="I74" s="61" t="s">
        <v>4</v>
      </c>
      <c r="J74" s="60" t="n">
        <v>46279</v>
      </c>
      <c r="K74" s="61" t="s">
        <v>1320</v>
      </c>
      <c r="L74" s="62" t="n">
        <v>0</v>
      </c>
      <c r="M74" s="64" t="n">
        <v>0.655162037037037</v>
      </c>
      <c r="N74" s="61" t="s">
        <v>275</v>
      </c>
      <c r="O74" s="61" t="s">
        <v>1390</v>
      </c>
      <c r="P74" s="61" t="s">
        <v>362</v>
      </c>
      <c r="Q74" s="61" t="s">
        <v>363</v>
      </c>
      <c r="R74" s="62" t="n">
        <f aca="false">-H74</f>
        <v>2.8</v>
      </c>
    </row>
    <row r="75" customFormat="false" ht="15" hidden="false" customHeight="false" outlineLevel="0" collapsed="false">
      <c r="A75" s="61" t="s">
        <v>364</v>
      </c>
      <c r="B75" s="61" t="s">
        <v>23</v>
      </c>
      <c r="C75" s="61" t="s">
        <v>24</v>
      </c>
      <c r="D75" s="61" t="s">
        <v>141</v>
      </c>
      <c r="E75" s="61" t="s">
        <v>246</v>
      </c>
      <c r="F75" s="61" t="s">
        <v>1049</v>
      </c>
      <c r="G75" s="60" t="n">
        <v>46279</v>
      </c>
      <c r="H75" s="62" t="n">
        <v>-2.8</v>
      </c>
      <c r="I75" s="61" t="s">
        <v>4</v>
      </c>
      <c r="J75" s="60" t="n">
        <v>46280</v>
      </c>
      <c r="K75" s="61" t="s">
        <v>1320</v>
      </c>
      <c r="L75" s="62" t="n">
        <v>0</v>
      </c>
      <c r="M75" s="64" t="n">
        <v>0.053125</v>
      </c>
      <c r="N75" s="61" t="s">
        <v>269</v>
      </c>
      <c r="O75" s="61" t="s">
        <v>1391</v>
      </c>
      <c r="P75" s="61" t="s">
        <v>365</v>
      </c>
      <c r="Q75" s="61" t="s">
        <v>366</v>
      </c>
      <c r="R75" s="62" t="n">
        <f aca="false">-H75</f>
        <v>2.8</v>
      </c>
    </row>
    <row r="76" customFormat="false" ht="15" hidden="false" customHeight="false" outlineLevel="0" collapsed="false">
      <c r="A76" s="61" t="s">
        <v>335</v>
      </c>
      <c r="B76" s="61" t="s">
        <v>23</v>
      </c>
      <c r="C76" s="61" t="s">
        <v>24</v>
      </c>
      <c r="D76" s="61" t="s">
        <v>141</v>
      </c>
      <c r="E76" s="61" t="s">
        <v>246</v>
      </c>
      <c r="F76" s="61" t="s">
        <v>1049</v>
      </c>
      <c r="G76" s="60" t="n">
        <v>46278</v>
      </c>
      <c r="H76" s="62" t="n">
        <v>-8.4</v>
      </c>
      <c r="I76" s="61" t="s">
        <v>4</v>
      </c>
      <c r="J76" s="60" t="n">
        <v>46278</v>
      </c>
      <c r="K76" s="61" t="s">
        <v>1320</v>
      </c>
      <c r="L76" s="62" t="n">
        <v>0</v>
      </c>
      <c r="M76" s="64" t="n">
        <v>0.754907407407407</v>
      </c>
      <c r="N76" s="61" t="s">
        <v>338</v>
      </c>
      <c r="O76" s="61" t="s">
        <v>1392</v>
      </c>
      <c r="P76" s="61" t="s">
        <v>336</v>
      </c>
      <c r="Q76" s="61" t="s">
        <v>337</v>
      </c>
      <c r="R76" s="62" t="n">
        <f aca="false">-H76</f>
        <v>8.4</v>
      </c>
    </row>
    <row r="77" customFormat="false" ht="15" hidden="false" customHeight="false" outlineLevel="0" collapsed="false">
      <c r="A77" s="61" t="s">
        <v>339</v>
      </c>
      <c r="B77" s="61" t="s">
        <v>23</v>
      </c>
      <c r="C77" s="61" t="s">
        <v>24</v>
      </c>
      <c r="D77" s="61" t="s">
        <v>141</v>
      </c>
      <c r="E77" s="61" t="s">
        <v>246</v>
      </c>
      <c r="F77" s="61" t="s">
        <v>1049</v>
      </c>
      <c r="G77" s="60" t="n">
        <v>46278</v>
      </c>
      <c r="H77" s="62" t="n">
        <v>-2.8</v>
      </c>
      <c r="I77" s="61" t="s">
        <v>4</v>
      </c>
      <c r="J77" s="60" t="n">
        <v>46278</v>
      </c>
      <c r="K77" s="61" t="s">
        <v>1320</v>
      </c>
      <c r="L77" s="62" t="n">
        <v>0</v>
      </c>
      <c r="M77" s="64" t="n">
        <v>0.92375</v>
      </c>
      <c r="N77" s="61" t="s">
        <v>338</v>
      </c>
      <c r="O77" s="61" t="s">
        <v>1393</v>
      </c>
      <c r="P77" s="61" t="s">
        <v>340</v>
      </c>
      <c r="Q77" s="61" t="s">
        <v>341</v>
      </c>
      <c r="R77" s="62" t="n">
        <f aca="false">-H77</f>
        <v>2.8</v>
      </c>
    </row>
    <row r="78" customFormat="false" ht="15" hidden="false" customHeight="false" outlineLevel="0" collapsed="false">
      <c r="A78" s="61" t="s">
        <v>342</v>
      </c>
      <c r="B78" s="61" t="s">
        <v>23</v>
      </c>
      <c r="C78" s="61" t="s">
        <v>24</v>
      </c>
      <c r="D78" s="61" t="s">
        <v>141</v>
      </c>
      <c r="E78" s="61" t="s">
        <v>246</v>
      </c>
      <c r="F78" s="61" t="s">
        <v>1049</v>
      </c>
      <c r="G78" s="60" t="n">
        <v>46278</v>
      </c>
      <c r="H78" s="62" t="n">
        <v>-11.2</v>
      </c>
      <c r="I78" s="61" t="s">
        <v>4</v>
      </c>
      <c r="J78" s="60" t="n">
        <v>46279</v>
      </c>
      <c r="K78" s="61" t="s">
        <v>1320</v>
      </c>
      <c r="L78" s="62" t="n">
        <v>0</v>
      </c>
      <c r="M78" s="64" t="n">
        <v>0.0832638888888889</v>
      </c>
      <c r="N78" s="61" t="s">
        <v>250</v>
      </c>
      <c r="O78" s="61" t="s">
        <v>1394</v>
      </c>
      <c r="P78" s="61" t="s">
        <v>343</v>
      </c>
      <c r="Q78" s="61" t="s">
        <v>344</v>
      </c>
      <c r="R78" s="62" t="n">
        <f aca="false">-H78</f>
        <v>11.2</v>
      </c>
    </row>
    <row r="79" customFormat="false" ht="15" hidden="false" customHeight="false" outlineLevel="0" collapsed="false">
      <c r="A79" s="61" t="s">
        <v>345</v>
      </c>
      <c r="B79" s="61" t="s">
        <v>23</v>
      </c>
      <c r="C79" s="61" t="s">
        <v>24</v>
      </c>
      <c r="D79" s="61" t="s">
        <v>141</v>
      </c>
      <c r="E79" s="61" t="s">
        <v>246</v>
      </c>
      <c r="F79" s="61" t="s">
        <v>1049</v>
      </c>
      <c r="G79" s="60" t="n">
        <v>46278</v>
      </c>
      <c r="H79" s="62" t="n">
        <v>-14</v>
      </c>
      <c r="I79" s="61" t="s">
        <v>4</v>
      </c>
      <c r="J79" s="60" t="n">
        <v>46279</v>
      </c>
      <c r="K79" s="61" t="s">
        <v>1320</v>
      </c>
      <c r="L79" s="62" t="n">
        <v>0</v>
      </c>
      <c r="M79" s="64" t="n">
        <v>0.0832986111111111</v>
      </c>
      <c r="N79" s="61" t="s">
        <v>250</v>
      </c>
      <c r="O79" s="61" t="s">
        <v>1395</v>
      </c>
      <c r="P79" s="61" t="s">
        <v>343</v>
      </c>
      <c r="Q79" s="61" t="s">
        <v>344</v>
      </c>
      <c r="R79" s="62" t="n">
        <f aca="false">-H79</f>
        <v>14</v>
      </c>
    </row>
    <row r="80" customFormat="false" ht="15" hidden="false" customHeight="false" outlineLevel="0" collapsed="false">
      <c r="A80" s="61" t="s">
        <v>247</v>
      </c>
      <c r="B80" s="61" t="s">
        <v>23</v>
      </c>
      <c r="C80" s="61" t="s">
        <v>24</v>
      </c>
      <c r="D80" s="61" t="s">
        <v>141</v>
      </c>
      <c r="E80" s="61" t="s">
        <v>246</v>
      </c>
      <c r="F80" s="61" t="s">
        <v>1049</v>
      </c>
      <c r="G80" s="60" t="n">
        <v>46274</v>
      </c>
      <c r="H80" s="62" t="n">
        <v>-5.6</v>
      </c>
      <c r="I80" s="61" t="s">
        <v>4</v>
      </c>
      <c r="J80" s="60" t="n">
        <v>46274</v>
      </c>
      <c r="K80" s="61" t="s">
        <v>1320</v>
      </c>
      <c r="L80" s="62" t="n">
        <v>0</v>
      </c>
      <c r="M80" s="64" t="n">
        <v>0.400775462962963</v>
      </c>
      <c r="N80" s="61" t="s">
        <v>250</v>
      </c>
      <c r="O80" s="61" t="s">
        <v>1396</v>
      </c>
      <c r="P80" s="61" t="s">
        <v>248</v>
      </c>
      <c r="Q80" s="61" t="s">
        <v>249</v>
      </c>
      <c r="R80" s="62" t="n">
        <f aca="false">-H80</f>
        <v>5.6</v>
      </c>
    </row>
    <row r="81" customFormat="false" ht="15" hidden="false" customHeight="false" outlineLevel="0" collapsed="false">
      <c r="A81" s="61" t="s">
        <v>946</v>
      </c>
      <c r="B81" s="61" t="s">
        <v>27</v>
      </c>
      <c r="C81" s="61" t="s">
        <v>32</v>
      </c>
      <c r="D81" s="61" t="s">
        <v>119</v>
      </c>
      <c r="E81" s="61" t="s">
        <v>246</v>
      </c>
      <c r="F81" s="61" t="s">
        <v>1049</v>
      </c>
      <c r="G81" s="60" t="n">
        <v>46295</v>
      </c>
      <c r="H81" s="62" t="n">
        <v>-1206</v>
      </c>
      <c r="I81" s="61" t="s">
        <v>4</v>
      </c>
      <c r="J81" s="60" t="n">
        <v>46295</v>
      </c>
      <c r="K81" s="61" t="s">
        <v>1320</v>
      </c>
      <c r="L81" s="62" t="n">
        <v>0</v>
      </c>
      <c r="M81" s="64" t="n">
        <v>0.343460648148148</v>
      </c>
      <c r="N81" s="61" t="s">
        <v>250</v>
      </c>
      <c r="O81" s="61" t="s">
        <v>1397</v>
      </c>
      <c r="P81" s="61" t="s">
        <v>947</v>
      </c>
      <c r="Q81" s="61" t="s">
        <v>948</v>
      </c>
      <c r="R81" s="62" t="n">
        <f aca="false">-H81</f>
        <v>1206</v>
      </c>
    </row>
    <row r="82" customFormat="false" ht="15" hidden="false" customHeight="false" outlineLevel="0" collapsed="false">
      <c r="A82" s="61" t="s">
        <v>568</v>
      </c>
      <c r="B82" s="61" t="s">
        <v>27</v>
      </c>
      <c r="C82" s="61" t="s">
        <v>30</v>
      </c>
      <c r="D82" s="61" t="s">
        <v>119</v>
      </c>
      <c r="E82" s="61" t="s">
        <v>246</v>
      </c>
      <c r="F82" s="61" t="s">
        <v>1049</v>
      </c>
      <c r="G82" s="60" t="n">
        <v>46288</v>
      </c>
      <c r="H82" s="62" t="n">
        <v>-20.1</v>
      </c>
      <c r="I82" s="61" t="s">
        <v>4</v>
      </c>
      <c r="J82" s="60" t="n">
        <v>46288</v>
      </c>
      <c r="K82" s="61" t="s">
        <v>1320</v>
      </c>
      <c r="L82" s="62" t="n">
        <v>0</v>
      </c>
      <c r="M82" s="64" t="n">
        <v>0.273090277777778</v>
      </c>
      <c r="N82" s="61" t="s">
        <v>269</v>
      </c>
      <c r="O82" s="61" t="s">
        <v>1398</v>
      </c>
      <c r="P82" s="61" t="s">
        <v>569</v>
      </c>
      <c r="Q82" s="61" t="s">
        <v>570</v>
      </c>
      <c r="R82" s="62" t="n">
        <f aca="false">-H82</f>
        <v>20.1</v>
      </c>
    </row>
    <row r="83" customFormat="false" ht="15" hidden="false" customHeight="false" outlineLevel="0" collapsed="false">
      <c r="A83" s="61" t="s">
        <v>534</v>
      </c>
      <c r="B83" s="61" t="s">
        <v>27</v>
      </c>
      <c r="C83" s="61" t="s">
        <v>30</v>
      </c>
      <c r="D83" s="61" t="s">
        <v>119</v>
      </c>
      <c r="E83" s="61" t="s">
        <v>246</v>
      </c>
      <c r="F83" s="61" t="s">
        <v>1049</v>
      </c>
      <c r="G83" s="60" t="n">
        <v>46286</v>
      </c>
      <c r="H83" s="62" t="n">
        <v>-20.1</v>
      </c>
      <c r="I83" s="61" t="s">
        <v>4</v>
      </c>
      <c r="J83" s="60" t="n">
        <v>46286</v>
      </c>
      <c r="K83" s="61" t="s">
        <v>1320</v>
      </c>
      <c r="L83" s="62" t="n">
        <v>0</v>
      </c>
      <c r="M83" s="64" t="n">
        <v>0.862291666666667</v>
      </c>
      <c r="N83" s="61" t="s">
        <v>338</v>
      </c>
      <c r="O83" s="61" t="s">
        <v>1399</v>
      </c>
      <c r="P83" s="61" t="s">
        <v>353</v>
      </c>
      <c r="Q83" s="61" t="s">
        <v>354</v>
      </c>
      <c r="R83" s="62" t="n">
        <f aca="false">-H83</f>
        <v>20.1</v>
      </c>
    </row>
    <row r="84" customFormat="false" ht="15" hidden="false" customHeight="false" outlineLevel="0" collapsed="false">
      <c r="A84" s="61" t="s">
        <v>511</v>
      </c>
      <c r="B84" s="61" t="s">
        <v>27</v>
      </c>
      <c r="C84" s="61" t="s">
        <v>30</v>
      </c>
      <c r="D84" s="61" t="s">
        <v>119</v>
      </c>
      <c r="E84" s="61" t="s">
        <v>246</v>
      </c>
      <c r="F84" s="61" t="s">
        <v>1049</v>
      </c>
      <c r="G84" s="60" t="n">
        <v>46285</v>
      </c>
      <c r="H84" s="62" t="n">
        <v>-100.5</v>
      </c>
      <c r="I84" s="61" t="s">
        <v>4</v>
      </c>
      <c r="J84" s="60" t="n">
        <v>46286</v>
      </c>
      <c r="K84" s="61" t="s">
        <v>1320</v>
      </c>
      <c r="L84" s="62" t="n">
        <v>0</v>
      </c>
      <c r="M84" s="64" t="n">
        <v>0.0590856481481482</v>
      </c>
      <c r="N84" s="61" t="s">
        <v>250</v>
      </c>
      <c r="O84" s="61" t="s">
        <v>1400</v>
      </c>
      <c r="P84" s="61" t="s">
        <v>512</v>
      </c>
      <c r="Q84" s="61" t="s">
        <v>513</v>
      </c>
      <c r="R84" s="62" t="n">
        <f aca="false">-H84</f>
        <v>100.5</v>
      </c>
    </row>
    <row r="85" customFormat="false" ht="15" hidden="false" customHeight="false" outlineLevel="0" collapsed="false">
      <c r="A85" s="61" t="s">
        <v>421</v>
      </c>
      <c r="B85" s="61" t="s">
        <v>27</v>
      </c>
      <c r="C85" s="61" t="s">
        <v>30</v>
      </c>
      <c r="D85" s="61" t="s">
        <v>119</v>
      </c>
      <c r="E85" s="61" t="s">
        <v>246</v>
      </c>
      <c r="F85" s="61" t="s">
        <v>1049</v>
      </c>
      <c r="G85" s="60" t="n">
        <v>46281</v>
      </c>
      <c r="H85" s="62" t="n">
        <v>-40.2</v>
      </c>
      <c r="I85" s="61" t="s">
        <v>4</v>
      </c>
      <c r="J85" s="60" t="n">
        <v>46281</v>
      </c>
      <c r="K85" s="61" t="s">
        <v>1320</v>
      </c>
      <c r="L85" s="62" t="n">
        <v>0</v>
      </c>
      <c r="M85" s="64" t="n">
        <v>0.788113425925926</v>
      </c>
      <c r="N85" s="61" t="s">
        <v>338</v>
      </c>
      <c r="O85" s="61" t="s">
        <v>1401</v>
      </c>
      <c r="P85" s="61" t="s">
        <v>422</v>
      </c>
      <c r="Q85" s="61" t="s">
        <v>423</v>
      </c>
      <c r="R85" s="62" t="n">
        <f aca="false">-H85</f>
        <v>40.2</v>
      </c>
    </row>
    <row r="86" customFormat="false" ht="15" hidden="false" customHeight="false" outlineLevel="0" collapsed="false">
      <c r="A86" s="61" t="s">
        <v>949</v>
      </c>
      <c r="B86" s="61" t="s">
        <v>29</v>
      </c>
      <c r="C86" s="61" t="s">
        <v>34</v>
      </c>
      <c r="D86" s="61" t="s">
        <v>141</v>
      </c>
      <c r="E86" s="61" t="s">
        <v>246</v>
      </c>
      <c r="F86" s="61" t="s">
        <v>1049</v>
      </c>
      <c r="G86" s="60" t="n">
        <v>46295</v>
      </c>
      <c r="H86" s="62" t="n">
        <v>-2.8</v>
      </c>
      <c r="I86" s="61" t="s">
        <v>4</v>
      </c>
      <c r="J86" s="60" t="n">
        <v>46296</v>
      </c>
      <c r="K86" s="61" t="s">
        <v>1320</v>
      </c>
      <c r="L86" s="62" t="n">
        <v>0</v>
      </c>
      <c r="M86" s="64" t="n">
        <v>0.0646990740740741</v>
      </c>
      <c r="N86" s="61" t="s">
        <v>269</v>
      </c>
      <c r="O86" s="61" t="s">
        <v>1402</v>
      </c>
      <c r="P86" s="61" t="s">
        <v>950</v>
      </c>
      <c r="Q86" s="61" t="s">
        <v>951</v>
      </c>
      <c r="R86" s="62" t="n">
        <f aca="false">-H86</f>
        <v>2.8</v>
      </c>
    </row>
    <row r="87" customFormat="false" ht="15" hidden="false" customHeight="false" outlineLevel="0" collapsed="false">
      <c r="A87" s="61" t="s">
        <v>936</v>
      </c>
      <c r="B87" s="61" t="s">
        <v>29</v>
      </c>
      <c r="C87" s="61" t="s">
        <v>34</v>
      </c>
      <c r="D87" s="61" t="s">
        <v>141</v>
      </c>
      <c r="E87" s="61" t="s">
        <v>254</v>
      </c>
      <c r="F87" s="61" t="s">
        <v>1049</v>
      </c>
      <c r="G87" s="60" t="n">
        <v>46295</v>
      </c>
      <c r="H87" s="62" t="n">
        <v>-84</v>
      </c>
      <c r="I87" s="61" t="s">
        <v>4</v>
      </c>
      <c r="J87" s="60" t="n">
        <v>46295</v>
      </c>
      <c r="K87" s="61" t="s">
        <v>1320</v>
      </c>
      <c r="L87" s="62" t="n">
        <v>0</v>
      </c>
      <c r="M87" s="64" t="n">
        <v>0.985636574074074</v>
      </c>
      <c r="N87" s="61" t="s">
        <v>258</v>
      </c>
      <c r="O87" s="61" t="s">
        <v>1352</v>
      </c>
      <c r="P87" s="61" t="s">
        <v>937</v>
      </c>
      <c r="Q87" s="61" t="s">
        <v>938</v>
      </c>
      <c r="R87" s="62" t="n">
        <f aca="false">-H87</f>
        <v>84</v>
      </c>
    </row>
    <row r="88" customFormat="false" ht="15" hidden="false" customHeight="false" outlineLevel="0" collapsed="false">
      <c r="A88" s="61" t="s">
        <v>855</v>
      </c>
      <c r="B88" s="61" t="s">
        <v>29</v>
      </c>
      <c r="C88" s="61" t="s">
        <v>34</v>
      </c>
      <c r="D88" s="61" t="s">
        <v>141</v>
      </c>
      <c r="E88" s="61" t="s">
        <v>246</v>
      </c>
      <c r="F88" s="61" t="s">
        <v>1049</v>
      </c>
      <c r="G88" s="60" t="n">
        <v>46294</v>
      </c>
      <c r="H88" s="62" t="n">
        <v>-2.8</v>
      </c>
      <c r="I88" s="61" t="s">
        <v>4</v>
      </c>
      <c r="J88" s="60" t="n">
        <v>46294</v>
      </c>
      <c r="K88" s="61" t="s">
        <v>1320</v>
      </c>
      <c r="L88" s="62" t="n">
        <v>0</v>
      </c>
      <c r="M88" s="64" t="n">
        <v>0.58806712962963</v>
      </c>
      <c r="N88" s="61" t="s">
        <v>338</v>
      </c>
      <c r="O88" s="61" t="s">
        <v>1374</v>
      </c>
      <c r="P88" s="61" t="s">
        <v>856</v>
      </c>
      <c r="Q88" s="61" t="s">
        <v>857</v>
      </c>
      <c r="R88" s="62" t="n">
        <f aca="false">-H88</f>
        <v>2.8</v>
      </c>
    </row>
    <row r="89" customFormat="false" ht="15" hidden="false" customHeight="false" outlineLevel="0" collapsed="false">
      <c r="A89" s="61" t="s">
        <v>636</v>
      </c>
      <c r="B89" s="61" t="s">
        <v>29</v>
      </c>
      <c r="C89" s="61" t="s">
        <v>34</v>
      </c>
      <c r="D89" s="61" t="s">
        <v>141</v>
      </c>
      <c r="E89" s="61" t="s">
        <v>246</v>
      </c>
      <c r="F89" s="61" t="s">
        <v>1049</v>
      </c>
      <c r="G89" s="60" t="n">
        <v>46290</v>
      </c>
      <c r="H89" s="62" t="n">
        <v>-2.8</v>
      </c>
      <c r="I89" s="61" t="s">
        <v>4</v>
      </c>
      <c r="J89" s="60" t="n">
        <v>46290</v>
      </c>
      <c r="K89" s="61" t="s">
        <v>1320</v>
      </c>
      <c r="L89" s="62" t="n">
        <v>0</v>
      </c>
      <c r="M89" s="64" t="n">
        <v>0.738414351851852</v>
      </c>
      <c r="N89" s="61" t="s">
        <v>338</v>
      </c>
      <c r="O89" s="61" t="s">
        <v>1375</v>
      </c>
      <c r="P89" s="61" t="s">
        <v>637</v>
      </c>
      <c r="Q89" s="61" t="s">
        <v>638</v>
      </c>
      <c r="R89" s="62" t="n">
        <f aca="false">-H89</f>
        <v>2.8</v>
      </c>
    </row>
    <row r="90" customFormat="false" ht="15" hidden="false" customHeight="false" outlineLevel="0" collapsed="false">
      <c r="A90" s="61" t="s">
        <v>591</v>
      </c>
      <c r="B90" s="61" t="s">
        <v>29</v>
      </c>
      <c r="C90" s="61" t="s">
        <v>34</v>
      </c>
      <c r="D90" s="61" t="s">
        <v>141</v>
      </c>
      <c r="E90" s="61" t="s">
        <v>246</v>
      </c>
      <c r="F90" s="61" t="s">
        <v>1049</v>
      </c>
      <c r="G90" s="60" t="n">
        <v>46289</v>
      </c>
      <c r="H90" s="62" t="n">
        <v>-2.8</v>
      </c>
      <c r="I90" s="61" t="s">
        <v>4</v>
      </c>
      <c r="J90" s="60" t="n">
        <v>46289</v>
      </c>
      <c r="K90" s="61" t="s">
        <v>1320</v>
      </c>
      <c r="L90" s="62" t="n">
        <v>0</v>
      </c>
      <c r="M90" s="64" t="n">
        <v>0.633460648148148</v>
      </c>
      <c r="N90" s="61" t="s">
        <v>338</v>
      </c>
      <c r="O90" s="61" t="s">
        <v>1370</v>
      </c>
      <c r="P90" s="61" t="s">
        <v>592</v>
      </c>
      <c r="Q90" s="61" t="s">
        <v>593</v>
      </c>
      <c r="R90" s="62" t="n">
        <f aca="false">-H90</f>
        <v>2.8</v>
      </c>
    </row>
    <row r="91" customFormat="false" ht="15" hidden="false" customHeight="false" outlineLevel="0" collapsed="false">
      <c r="A91" s="61" t="s">
        <v>555</v>
      </c>
      <c r="B91" s="61" t="s">
        <v>29</v>
      </c>
      <c r="C91" s="61" t="s">
        <v>34</v>
      </c>
      <c r="D91" s="61" t="s">
        <v>141</v>
      </c>
      <c r="E91" s="61" t="s">
        <v>254</v>
      </c>
      <c r="F91" s="61" t="s">
        <v>1049</v>
      </c>
      <c r="G91" s="60" t="n">
        <v>46287</v>
      </c>
      <c r="H91" s="62" t="n">
        <v>-11.2</v>
      </c>
      <c r="I91" s="61" t="s">
        <v>4</v>
      </c>
      <c r="J91" s="60" t="n">
        <v>46287</v>
      </c>
      <c r="K91" s="61" t="s">
        <v>1320</v>
      </c>
      <c r="L91" s="62" t="n">
        <v>0</v>
      </c>
      <c r="M91" s="64" t="n">
        <v>0.901388888888889</v>
      </c>
      <c r="N91" s="61" t="s">
        <v>258</v>
      </c>
      <c r="O91" s="61" t="s">
        <v>1371</v>
      </c>
      <c r="P91" s="61" t="s">
        <v>263</v>
      </c>
      <c r="Q91" s="61" t="s">
        <v>264</v>
      </c>
      <c r="R91" s="62" t="n">
        <f aca="false">-H91</f>
        <v>11.2</v>
      </c>
    </row>
    <row r="92" customFormat="false" ht="15" hidden="false" customHeight="false" outlineLevel="0" collapsed="false">
      <c r="A92" s="61" t="s">
        <v>535</v>
      </c>
      <c r="B92" s="61" t="s">
        <v>29</v>
      </c>
      <c r="C92" s="61" t="s">
        <v>34</v>
      </c>
      <c r="D92" s="61" t="s">
        <v>141</v>
      </c>
      <c r="E92" s="61" t="s">
        <v>246</v>
      </c>
      <c r="F92" s="61" t="s">
        <v>1049</v>
      </c>
      <c r="G92" s="60" t="n">
        <v>46286</v>
      </c>
      <c r="H92" s="62" t="n">
        <v>-5.6</v>
      </c>
      <c r="I92" s="61" t="s">
        <v>4</v>
      </c>
      <c r="J92" s="60" t="n">
        <v>46286</v>
      </c>
      <c r="K92" s="61" t="s">
        <v>1320</v>
      </c>
      <c r="L92" s="62" t="n">
        <v>0</v>
      </c>
      <c r="M92" s="64" t="n">
        <v>0.946585648148148</v>
      </c>
      <c r="N92" s="61" t="s">
        <v>338</v>
      </c>
      <c r="O92" s="61" t="s">
        <v>1403</v>
      </c>
      <c r="P92" s="61" t="s">
        <v>536</v>
      </c>
      <c r="Q92" s="61" t="s">
        <v>537</v>
      </c>
      <c r="R92" s="62" t="n">
        <f aca="false">-H92</f>
        <v>5.6</v>
      </c>
    </row>
    <row r="93" customFormat="false" ht="15" hidden="false" customHeight="false" outlineLevel="0" collapsed="false">
      <c r="A93" s="61" t="s">
        <v>538</v>
      </c>
      <c r="B93" s="61" t="s">
        <v>29</v>
      </c>
      <c r="C93" s="61" t="s">
        <v>34</v>
      </c>
      <c r="D93" s="61" t="s">
        <v>141</v>
      </c>
      <c r="E93" s="61" t="s">
        <v>246</v>
      </c>
      <c r="F93" s="61" t="s">
        <v>1049</v>
      </c>
      <c r="G93" s="60" t="n">
        <v>46286</v>
      </c>
      <c r="H93" s="62" t="n">
        <v>-2.8</v>
      </c>
      <c r="I93" s="61" t="s">
        <v>4</v>
      </c>
      <c r="J93" s="60" t="n">
        <v>46286</v>
      </c>
      <c r="K93" s="61" t="s">
        <v>1320</v>
      </c>
      <c r="L93" s="62" t="n">
        <v>0</v>
      </c>
      <c r="M93" s="64" t="n">
        <v>0.431643518518519</v>
      </c>
      <c r="N93" s="61" t="s">
        <v>250</v>
      </c>
      <c r="O93" s="61" t="s">
        <v>1404</v>
      </c>
      <c r="P93" s="61" t="s">
        <v>539</v>
      </c>
      <c r="Q93" s="61" t="s">
        <v>540</v>
      </c>
      <c r="R93" s="62" t="n">
        <f aca="false">-H93</f>
        <v>2.8</v>
      </c>
    </row>
    <row r="94" customFormat="false" ht="15" hidden="false" customHeight="false" outlineLevel="0" collapsed="false">
      <c r="A94" s="61" t="s">
        <v>528</v>
      </c>
      <c r="B94" s="61" t="s">
        <v>29</v>
      </c>
      <c r="C94" s="61" t="s">
        <v>34</v>
      </c>
      <c r="D94" s="61" t="s">
        <v>141</v>
      </c>
      <c r="E94" s="61" t="s">
        <v>246</v>
      </c>
      <c r="F94" s="61" t="s">
        <v>1049</v>
      </c>
      <c r="G94" s="60" t="n">
        <v>46286</v>
      </c>
      <c r="H94" s="62" t="n">
        <v>-2.8</v>
      </c>
      <c r="I94" s="61" t="s">
        <v>4</v>
      </c>
      <c r="J94" s="60" t="n">
        <v>46286</v>
      </c>
      <c r="K94" s="61" t="s">
        <v>1320</v>
      </c>
      <c r="L94" s="62" t="n">
        <v>0</v>
      </c>
      <c r="M94" s="64" t="n">
        <v>0.486157407407407</v>
      </c>
      <c r="N94" s="61" t="s">
        <v>338</v>
      </c>
      <c r="O94" s="61" t="s">
        <v>1379</v>
      </c>
      <c r="P94" s="61" t="s">
        <v>529</v>
      </c>
      <c r="Q94" s="61" t="s">
        <v>530</v>
      </c>
      <c r="R94" s="62" t="n">
        <f aca="false">-H94</f>
        <v>2.8</v>
      </c>
    </row>
    <row r="95" customFormat="false" ht="15" hidden="false" customHeight="false" outlineLevel="0" collapsed="false">
      <c r="A95" s="61" t="s">
        <v>541</v>
      </c>
      <c r="B95" s="61" t="s">
        <v>29</v>
      </c>
      <c r="C95" s="61" t="s">
        <v>34</v>
      </c>
      <c r="D95" s="61" t="s">
        <v>141</v>
      </c>
      <c r="E95" s="61" t="s">
        <v>246</v>
      </c>
      <c r="F95" s="61" t="s">
        <v>1049</v>
      </c>
      <c r="G95" s="60" t="n">
        <v>46286</v>
      </c>
      <c r="H95" s="62" t="n">
        <v>-61.6</v>
      </c>
      <c r="I95" s="61" t="s">
        <v>4</v>
      </c>
      <c r="J95" s="60" t="n">
        <v>46286</v>
      </c>
      <c r="K95" s="61" t="s">
        <v>1320</v>
      </c>
      <c r="L95" s="62" t="n">
        <v>0</v>
      </c>
      <c r="M95" s="64" t="n">
        <v>0.653136574074074</v>
      </c>
      <c r="N95" s="61" t="s">
        <v>338</v>
      </c>
      <c r="O95" s="61" t="s">
        <v>1405</v>
      </c>
      <c r="P95" s="61" t="s">
        <v>347</v>
      </c>
      <c r="Q95" s="61" t="s">
        <v>348</v>
      </c>
      <c r="R95" s="62" t="n">
        <f aca="false">-H95</f>
        <v>61.6</v>
      </c>
    </row>
    <row r="96" customFormat="false" ht="15" hidden="false" customHeight="false" outlineLevel="0" collapsed="false">
      <c r="A96" s="61" t="s">
        <v>508</v>
      </c>
      <c r="B96" s="61" t="s">
        <v>29</v>
      </c>
      <c r="C96" s="61" t="s">
        <v>34</v>
      </c>
      <c r="D96" s="61" t="s">
        <v>141</v>
      </c>
      <c r="E96" s="61" t="s">
        <v>246</v>
      </c>
      <c r="F96" s="61" t="s">
        <v>1049</v>
      </c>
      <c r="G96" s="60" t="n">
        <v>46285</v>
      </c>
      <c r="H96" s="62" t="n">
        <v>-19.6</v>
      </c>
      <c r="I96" s="61" t="s">
        <v>4</v>
      </c>
      <c r="J96" s="60" t="n">
        <v>46285</v>
      </c>
      <c r="K96" s="61" t="s">
        <v>1320</v>
      </c>
      <c r="L96" s="62" t="n">
        <v>0</v>
      </c>
      <c r="M96" s="64" t="n">
        <v>0.314953703703704</v>
      </c>
      <c r="N96" s="61" t="s">
        <v>269</v>
      </c>
      <c r="O96" s="61" t="s">
        <v>1383</v>
      </c>
      <c r="P96" s="61" t="s">
        <v>509</v>
      </c>
      <c r="Q96" s="61" t="s">
        <v>510</v>
      </c>
      <c r="R96" s="62" t="n">
        <f aca="false">-H96</f>
        <v>19.6</v>
      </c>
    </row>
    <row r="97" customFormat="false" ht="15" hidden="false" customHeight="false" outlineLevel="0" collapsed="false">
      <c r="A97" s="61" t="s">
        <v>478</v>
      </c>
      <c r="B97" s="61" t="s">
        <v>29</v>
      </c>
      <c r="C97" s="61" t="s">
        <v>34</v>
      </c>
      <c r="D97" s="61" t="s">
        <v>141</v>
      </c>
      <c r="E97" s="61" t="s">
        <v>246</v>
      </c>
      <c r="F97" s="61" t="s">
        <v>1049</v>
      </c>
      <c r="G97" s="60" t="n">
        <v>46284</v>
      </c>
      <c r="H97" s="62" t="n">
        <v>-5.6</v>
      </c>
      <c r="I97" s="61" t="s">
        <v>4</v>
      </c>
      <c r="J97" s="60" t="n">
        <v>46284</v>
      </c>
      <c r="K97" s="61" t="s">
        <v>1320</v>
      </c>
      <c r="L97" s="62" t="n">
        <v>0</v>
      </c>
      <c r="M97" s="64" t="n">
        <v>0.991134259259259</v>
      </c>
      <c r="N97" s="61" t="s">
        <v>269</v>
      </c>
      <c r="O97" s="61" t="s">
        <v>1406</v>
      </c>
      <c r="P97" s="61" t="s">
        <v>479</v>
      </c>
      <c r="Q97" s="61" t="s">
        <v>480</v>
      </c>
      <c r="R97" s="62" t="n">
        <f aca="false">-H97</f>
        <v>5.6</v>
      </c>
    </row>
    <row r="98" customFormat="false" ht="15" hidden="false" customHeight="false" outlineLevel="0" collapsed="false">
      <c r="A98" s="61" t="s">
        <v>481</v>
      </c>
      <c r="B98" s="61" t="s">
        <v>29</v>
      </c>
      <c r="C98" s="61" t="s">
        <v>34</v>
      </c>
      <c r="D98" s="61" t="s">
        <v>141</v>
      </c>
      <c r="E98" s="61" t="s">
        <v>246</v>
      </c>
      <c r="F98" s="61" t="s">
        <v>1049</v>
      </c>
      <c r="G98" s="60" t="n">
        <v>46284</v>
      </c>
      <c r="H98" s="62" t="n">
        <v>-2.8</v>
      </c>
      <c r="I98" s="61" t="s">
        <v>4</v>
      </c>
      <c r="J98" s="60" t="n">
        <v>46284</v>
      </c>
      <c r="K98" s="61" t="s">
        <v>1320</v>
      </c>
      <c r="L98" s="62" t="n">
        <v>0</v>
      </c>
      <c r="M98" s="64" t="n">
        <v>0.990625</v>
      </c>
      <c r="N98" s="61" t="s">
        <v>269</v>
      </c>
      <c r="O98" s="61" t="s">
        <v>1407</v>
      </c>
      <c r="P98" s="61" t="s">
        <v>482</v>
      </c>
      <c r="Q98" s="61" t="s">
        <v>483</v>
      </c>
      <c r="R98" s="62" t="n">
        <f aca="false">-H98</f>
        <v>2.8</v>
      </c>
    </row>
    <row r="99" customFormat="false" ht="15" hidden="false" customHeight="false" outlineLevel="0" collapsed="false">
      <c r="A99" s="61" t="s">
        <v>471</v>
      </c>
      <c r="B99" s="61" t="s">
        <v>29</v>
      </c>
      <c r="C99" s="61" t="s">
        <v>34</v>
      </c>
      <c r="D99" s="61" t="s">
        <v>141</v>
      </c>
      <c r="E99" s="61" t="s">
        <v>246</v>
      </c>
      <c r="F99" s="61" t="s">
        <v>1049</v>
      </c>
      <c r="G99" s="60" t="n">
        <v>46284</v>
      </c>
      <c r="H99" s="62" t="n">
        <v>-2.8</v>
      </c>
      <c r="I99" s="61" t="s">
        <v>4</v>
      </c>
      <c r="J99" s="60" t="n">
        <v>46284</v>
      </c>
      <c r="K99" s="61" t="s">
        <v>1320</v>
      </c>
      <c r="L99" s="62" t="n">
        <v>0</v>
      </c>
      <c r="M99" s="64" t="n">
        <v>0.31724537037037</v>
      </c>
      <c r="N99" s="61" t="s">
        <v>474</v>
      </c>
      <c r="O99" s="61" t="s">
        <v>1385</v>
      </c>
      <c r="P99" s="61" t="s">
        <v>472</v>
      </c>
      <c r="Q99" s="61" t="s">
        <v>473</v>
      </c>
      <c r="R99" s="62" t="n">
        <f aca="false">-H99</f>
        <v>2.8</v>
      </c>
    </row>
    <row r="100" customFormat="false" ht="15" hidden="false" customHeight="false" outlineLevel="0" collapsed="false">
      <c r="A100" s="61" t="s">
        <v>484</v>
      </c>
      <c r="B100" s="61" t="s">
        <v>29</v>
      </c>
      <c r="C100" s="61" t="s">
        <v>34</v>
      </c>
      <c r="D100" s="61" t="s">
        <v>141</v>
      </c>
      <c r="E100" s="61" t="s">
        <v>246</v>
      </c>
      <c r="F100" s="61" t="s">
        <v>1049</v>
      </c>
      <c r="G100" s="60" t="n">
        <v>46284</v>
      </c>
      <c r="H100" s="62" t="n">
        <v>-5.6</v>
      </c>
      <c r="I100" s="61" t="s">
        <v>4</v>
      </c>
      <c r="J100" s="60" t="n">
        <v>46284</v>
      </c>
      <c r="K100" s="61" t="s">
        <v>1320</v>
      </c>
      <c r="L100" s="62" t="n">
        <v>0</v>
      </c>
      <c r="M100" s="64" t="n">
        <v>0.989756944444444</v>
      </c>
      <c r="N100" s="61" t="s">
        <v>269</v>
      </c>
      <c r="O100" s="61" t="s">
        <v>1408</v>
      </c>
      <c r="P100" s="61" t="s">
        <v>485</v>
      </c>
      <c r="Q100" s="61" t="s">
        <v>486</v>
      </c>
      <c r="R100" s="62" t="n">
        <f aca="false">-H100</f>
        <v>5.6</v>
      </c>
    </row>
    <row r="101" customFormat="false" ht="15" hidden="false" customHeight="false" outlineLevel="0" collapsed="false">
      <c r="A101" s="61" t="s">
        <v>487</v>
      </c>
      <c r="B101" s="61" t="s">
        <v>29</v>
      </c>
      <c r="C101" s="61" t="s">
        <v>34</v>
      </c>
      <c r="D101" s="61" t="s">
        <v>141</v>
      </c>
      <c r="E101" s="61" t="s">
        <v>246</v>
      </c>
      <c r="F101" s="61" t="s">
        <v>1049</v>
      </c>
      <c r="G101" s="60" t="n">
        <v>46284</v>
      </c>
      <c r="H101" s="62" t="n">
        <v>-11.2</v>
      </c>
      <c r="I101" s="61" t="s">
        <v>4</v>
      </c>
      <c r="J101" s="60" t="n">
        <v>46284</v>
      </c>
      <c r="K101" s="61" t="s">
        <v>1320</v>
      </c>
      <c r="L101" s="62" t="n">
        <v>0</v>
      </c>
      <c r="M101" s="64" t="n">
        <v>0.589618055555556</v>
      </c>
      <c r="N101" s="61" t="s">
        <v>275</v>
      </c>
      <c r="O101" s="61" t="s">
        <v>1409</v>
      </c>
      <c r="P101" s="61" t="s">
        <v>488</v>
      </c>
      <c r="Q101" s="61" t="s">
        <v>489</v>
      </c>
      <c r="R101" s="62" t="n">
        <f aca="false">-H101</f>
        <v>11.2</v>
      </c>
    </row>
    <row r="102" customFormat="false" ht="15" hidden="false" customHeight="false" outlineLevel="0" collapsed="false">
      <c r="A102" s="61" t="s">
        <v>859</v>
      </c>
      <c r="B102" s="61" t="s">
        <v>31</v>
      </c>
      <c r="C102" s="61" t="s">
        <v>42</v>
      </c>
      <c r="D102" s="61" t="s">
        <v>199</v>
      </c>
      <c r="E102" s="61" t="s">
        <v>246</v>
      </c>
      <c r="F102" s="61" t="s">
        <v>1049</v>
      </c>
      <c r="G102" s="60" t="n">
        <v>46294</v>
      </c>
      <c r="H102" s="62" t="n">
        <v>-25</v>
      </c>
      <c r="I102" s="61" t="s">
        <v>4</v>
      </c>
      <c r="J102" s="60" t="n">
        <v>46295</v>
      </c>
      <c r="K102" s="61" t="s">
        <v>1320</v>
      </c>
      <c r="L102" s="62" t="n">
        <v>0</v>
      </c>
      <c r="M102" s="64" t="n">
        <v>0.00523148148148148</v>
      </c>
      <c r="N102" s="61" t="s">
        <v>250</v>
      </c>
      <c r="O102" s="61" t="s">
        <v>1410</v>
      </c>
      <c r="P102" s="61" t="s">
        <v>580</v>
      </c>
      <c r="Q102" s="61" t="s">
        <v>581</v>
      </c>
      <c r="R102" s="62" t="n">
        <f aca="false">-H102</f>
        <v>25</v>
      </c>
    </row>
    <row r="103" customFormat="false" ht="15" hidden="false" customHeight="false" outlineLevel="0" collapsed="false">
      <c r="A103" s="61" t="s">
        <v>860</v>
      </c>
      <c r="B103" s="61" t="s">
        <v>31</v>
      </c>
      <c r="C103" s="61" t="s">
        <v>42</v>
      </c>
      <c r="D103" s="61" t="s">
        <v>199</v>
      </c>
      <c r="E103" s="61" t="s">
        <v>246</v>
      </c>
      <c r="F103" s="61" t="s">
        <v>1049</v>
      </c>
      <c r="G103" s="60" t="n">
        <v>46294</v>
      </c>
      <c r="H103" s="62" t="n">
        <v>-25</v>
      </c>
      <c r="I103" s="61" t="s">
        <v>4</v>
      </c>
      <c r="J103" s="60" t="n">
        <v>46295</v>
      </c>
      <c r="K103" s="61" t="s">
        <v>1320</v>
      </c>
      <c r="L103" s="62" t="n">
        <v>0</v>
      </c>
      <c r="M103" s="64" t="n">
        <v>0.00520833333333333</v>
      </c>
      <c r="N103" s="61" t="s">
        <v>250</v>
      </c>
      <c r="O103" s="61" t="s">
        <v>1411</v>
      </c>
      <c r="P103" s="61" t="s">
        <v>572</v>
      </c>
      <c r="Q103" s="61" t="s">
        <v>573</v>
      </c>
      <c r="R103" s="62" t="n">
        <f aca="false">-H103</f>
        <v>25</v>
      </c>
    </row>
    <row r="104" customFormat="false" ht="15" hidden="false" customHeight="false" outlineLevel="0" collapsed="false">
      <c r="A104" s="61" t="s">
        <v>674</v>
      </c>
      <c r="B104" s="61" t="s">
        <v>31</v>
      </c>
      <c r="C104" s="61" t="s">
        <v>42</v>
      </c>
      <c r="D104" s="61" t="s">
        <v>199</v>
      </c>
      <c r="E104" s="61" t="s">
        <v>246</v>
      </c>
      <c r="F104" s="61" t="s">
        <v>1049</v>
      </c>
      <c r="G104" s="60" t="n">
        <v>46291</v>
      </c>
      <c r="H104" s="62" t="n">
        <v>-350</v>
      </c>
      <c r="I104" s="61" t="s">
        <v>4</v>
      </c>
      <c r="J104" s="60" t="n">
        <v>46292</v>
      </c>
      <c r="K104" s="61" t="s">
        <v>1320</v>
      </c>
      <c r="L104" s="62" t="n">
        <v>0</v>
      </c>
      <c r="M104" s="64" t="n">
        <v>0.032349537037037</v>
      </c>
      <c r="N104" s="61" t="s">
        <v>269</v>
      </c>
      <c r="O104" s="61" t="s">
        <v>1412</v>
      </c>
      <c r="P104" s="61" t="s">
        <v>546</v>
      </c>
      <c r="Q104" s="61" t="s">
        <v>547</v>
      </c>
      <c r="R104" s="62" t="n">
        <f aca="false">-H104</f>
        <v>350</v>
      </c>
    </row>
    <row r="105" customFormat="false" ht="15" hidden="false" customHeight="false" outlineLevel="0" collapsed="false">
      <c r="A105" s="61" t="s">
        <v>640</v>
      </c>
      <c r="B105" s="61" t="s">
        <v>31</v>
      </c>
      <c r="C105" s="61" t="s">
        <v>42</v>
      </c>
      <c r="D105" s="61" t="s">
        <v>199</v>
      </c>
      <c r="E105" s="61" t="s">
        <v>246</v>
      </c>
      <c r="F105" s="61" t="s">
        <v>1049</v>
      </c>
      <c r="G105" s="60" t="n">
        <v>46290</v>
      </c>
      <c r="H105" s="62" t="n">
        <v>-200</v>
      </c>
      <c r="I105" s="61" t="s">
        <v>4</v>
      </c>
      <c r="J105" s="60" t="n">
        <v>46290</v>
      </c>
      <c r="K105" s="61" t="s">
        <v>1320</v>
      </c>
      <c r="L105" s="62" t="n">
        <v>0</v>
      </c>
      <c r="M105" s="64" t="n">
        <v>0.901967592592593</v>
      </c>
      <c r="N105" s="61" t="s">
        <v>523</v>
      </c>
      <c r="O105" s="61" t="s">
        <v>1413</v>
      </c>
      <c r="P105" s="61" t="s">
        <v>310</v>
      </c>
      <c r="Q105" s="61" t="s">
        <v>311</v>
      </c>
      <c r="R105" s="62" t="n">
        <f aca="false">-H105</f>
        <v>200</v>
      </c>
    </row>
    <row r="106" customFormat="false" ht="15" hidden="false" customHeight="false" outlineLevel="0" collapsed="false">
      <c r="A106" s="61" t="s">
        <v>641</v>
      </c>
      <c r="B106" s="61" t="s">
        <v>31</v>
      </c>
      <c r="C106" s="61" t="s">
        <v>42</v>
      </c>
      <c r="D106" s="61" t="s">
        <v>199</v>
      </c>
      <c r="E106" s="61" t="s">
        <v>246</v>
      </c>
      <c r="F106" s="61" t="s">
        <v>1049</v>
      </c>
      <c r="G106" s="60" t="n">
        <v>46290</v>
      </c>
      <c r="H106" s="62" t="n">
        <v>-200</v>
      </c>
      <c r="I106" s="61" t="s">
        <v>4</v>
      </c>
      <c r="J106" s="60" t="n">
        <v>46290</v>
      </c>
      <c r="K106" s="61" t="s">
        <v>1320</v>
      </c>
      <c r="L106" s="62" t="n">
        <v>0</v>
      </c>
      <c r="M106" s="64" t="n">
        <v>0.90244212962963</v>
      </c>
      <c r="N106" s="61" t="s">
        <v>523</v>
      </c>
      <c r="O106" s="61" t="s">
        <v>1414</v>
      </c>
      <c r="P106" s="61" t="s">
        <v>310</v>
      </c>
      <c r="Q106" s="61" t="s">
        <v>311</v>
      </c>
      <c r="R106" s="62" t="n">
        <f aca="false">-H106</f>
        <v>200</v>
      </c>
    </row>
    <row r="107" customFormat="false" ht="15" hidden="false" customHeight="false" outlineLevel="0" collapsed="false">
      <c r="A107" s="61" t="s">
        <v>952</v>
      </c>
      <c r="B107" s="61" t="s">
        <v>33</v>
      </c>
      <c r="C107" s="61" t="s">
        <v>54</v>
      </c>
      <c r="D107" s="61" t="s">
        <v>202</v>
      </c>
      <c r="E107" s="61" t="s">
        <v>246</v>
      </c>
      <c r="F107" s="61" t="s">
        <v>1049</v>
      </c>
      <c r="G107" s="60" t="n">
        <v>46295</v>
      </c>
      <c r="H107" s="62" t="n">
        <v>-100</v>
      </c>
      <c r="I107" s="61" t="s">
        <v>4</v>
      </c>
      <c r="J107" s="60" t="n">
        <v>46296</v>
      </c>
      <c r="K107" s="61" t="s">
        <v>1320</v>
      </c>
      <c r="L107" s="62" t="n">
        <v>0</v>
      </c>
      <c r="M107" s="64" t="n">
        <v>0.0689930555555556</v>
      </c>
      <c r="N107" s="61" t="s">
        <v>269</v>
      </c>
      <c r="O107" s="61" t="s">
        <v>1415</v>
      </c>
      <c r="P107" s="61" t="s">
        <v>953</v>
      </c>
      <c r="Q107" s="61" t="s">
        <v>954</v>
      </c>
      <c r="R107" s="62" t="n">
        <f aca="false">-H107</f>
        <v>100</v>
      </c>
    </row>
    <row r="108" customFormat="false" ht="15" hidden="false" customHeight="false" outlineLevel="0" collapsed="false">
      <c r="A108" s="61" t="s">
        <v>861</v>
      </c>
      <c r="B108" s="61" t="s">
        <v>33</v>
      </c>
      <c r="C108" s="61" t="s">
        <v>54</v>
      </c>
      <c r="D108" s="61" t="s">
        <v>202</v>
      </c>
      <c r="E108" s="61" t="s">
        <v>246</v>
      </c>
      <c r="F108" s="61" t="s">
        <v>1049</v>
      </c>
      <c r="G108" s="60" t="n">
        <v>46294</v>
      </c>
      <c r="H108" s="62" t="n">
        <v>-100</v>
      </c>
      <c r="I108" s="61" t="s">
        <v>4</v>
      </c>
      <c r="J108" s="60" t="n">
        <v>46294</v>
      </c>
      <c r="K108" s="61" t="s">
        <v>1320</v>
      </c>
      <c r="L108" s="62" t="n">
        <v>0</v>
      </c>
      <c r="M108" s="64" t="n">
        <v>0.587777777777778</v>
      </c>
      <c r="N108" s="61" t="s">
        <v>338</v>
      </c>
      <c r="O108" s="61" t="s">
        <v>1416</v>
      </c>
      <c r="P108" s="61" t="s">
        <v>862</v>
      </c>
      <c r="Q108" s="61" t="s">
        <v>863</v>
      </c>
      <c r="R108" s="62" t="n">
        <f aca="false">-H108</f>
        <v>100</v>
      </c>
    </row>
    <row r="109" customFormat="false" ht="15" hidden="false" customHeight="false" outlineLevel="0" collapsed="false">
      <c r="A109" s="61" t="s">
        <v>727</v>
      </c>
      <c r="B109" s="61" t="s">
        <v>33</v>
      </c>
      <c r="C109" s="61" t="s">
        <v>44</v>
      </c>
      <c r="D109" s="61" t="s">
        <v>202</v>
      </c>
      <c r="E109" s="61" t="s">
        <v>246</v>
      </c>
      <c r="F109" s="61" t="s">
        <v>1049</v>
      </c>
      <c r="G109" s="60" t="n">
        <v>46292</v>
      </c>
      <c r="H109" s="62" t="n">
        <v>-40</v>
      </c>
      <c r="I109" s="61" t="s">
        <v>4</v>
      </c>
      <c r="J109" s="60" t="n">
        <v>46292</v>
      </c>
      <c r="K109" s="61" t="s">
        <v>1320</v>
      </c>
      <c r="L109" s="62" t="n">
        <v>0</v>
      </c>
      <c r="M109" s="64" t="n">
        <v>0.82494212962963</v>
      </c>
      <c r="N109" s="61" t="s">
        <v>275</v>
      </c>
      <c r="O109" s="61" t="s">
        <v>1417</v>
      </c>
      <c r="P109" s="61" t="s">
        <v>728</v>
      </c>
      <c r="Q109" s="61" t="s">
        <v>729</v>
      </c>
      <c r="R109" s="62" t="n">
        <f aca="false">-H109</f>
        <v>40</v>
      </c>
    </row>
    <row r="110" customFormat="false" ht="15" hidden="false" customHeight="false" outlineLevel="0" collapsed="false">
      <c r="A110" s="61" t="s">
        <v>730</v>
      </c>
      <c r="B110" s="61" t="s">
        <v>33</v>
      </c>
      <c r="C110" s="61" t="s">
        <v>54</v>
      </c>
      <c r="D110" s="61" t="s">
        <v>202</v>
      </c>
      <c r="E110" s="61" t="s">
        <v>246</v>
      </c>
      <c r="F110" s="61" t="s">
        <v>1049</v>
      </c>
      <c r="G110" s="60" t="n">
        <v>46292</v>
      </c>
      <c r="H110" s="62" t="n">
        <v>-40</v>
      </c>
      <c r="I110" s="61" t="s">
        <v>4</v>
      </c>
      <c r="J110" s="60" t="n">
        <v>46292</v>
      </c>
      <c r="K110" s="61" t="s">
        <v>1320</v>
      </c>
      <c r="L110" s="62" t="n">
        <v>0</v>
      </c>
      <c r="M110" s="64" t="n">
        <v>0.825011574074074</v>
      </c>
      <c r="N110" s="61" t="s">
        <v>275</v>
      </c>
      <c r="O110" s="61" t="s">
        <v>1418</v>
      </c>
      <c r="P110" s="61" t="s">
        <v>731</v>
      </c>
      <c r="Q110" s="61" t="s">
        <v>732</v>
      </c>
      <c r="R110" s="62" t="n">
        <f aca="false">-H110</f>
        <v>40</v>
      </c>
    </row>
    <row r="111" customFormat="false" ht="15" hidden="false" customHeight="false" outlineLevel="0" collapsed="false">
      <c r="A111" s="61" t="s">
        <v>733</v>
      </c>
      <c r="B111" s="61" t="s">
        <v>33</v>
      </c>
      <c r="C111" s="61" t="s">
        <v>54</v>
      </c>
      <c r="D111" s="61" t="s">
        <v>202</v>
      </c>
      <c r="E111" s="61" t="s">
        <v>246</v>
      </c>
      <c r="F111" s="61" t="s">
        <v>1049</v>
      </c>
      <c r="G111" s="60" t="n">
        <v>46292</v>
      </c>
      <c r="H111" s="62" t="n">
        <v>-40</v>
      </c>
      <c r="I111" s="61" t="s">
        <v>4</v>
      </c>
      <c r="J111" s="60" t="n">
        <v>46292</v>
      </c>
      <c r="K111" s="61" t="s">
        <v>1320</v>
      </c>
      <c r="L111" s="62" t="n">
        <v>0</v>
      </c>
      <c r="M111" s="64" t="n">
        <v>0.82650462962963</v>
      </c>
      <c r="N111" s="61" t="s">
        <v>275</v>
      </c>
      <c r="O111" s="61" t="s">
        <v>1419</v>
      </c>
      <c r="P111" s="61" t="s">
        <v>734</v>
      </c>
      <c r="Q111" s="61" t="s">
        <v>735</v>
      </c>
      <c r="R111" s="62" t="n">
        <f aca="false">-H111</f>
        <v>40</v>
      </c>
    </row>
    <row r="112" customFormat="false" ht="15" hidden="false" customHeight="false" outlineLevel="0" collapsed="false">
      <c r="A112" s="61" t="s">
        <v>736</v>
      </c>
      <c r="B112" s="61" t="s">
        <v>33</v>
      </c>
      <c r="C112" s="61" t="s">
        <v>54</v>
      </c>
      <c r="D112" s="61" t="s">
        <v>202</v>
      </c>
      <c r="E112" s="61" t="s">
        <v>246</v>
      </c>
      <c r="F112" s="61" t="s">
        <v>1049</v>
      </c>
      <c r="G112" s="60" t="n">
        <v>46292</v>
      </c>
      <c r="H112" s="62" t="n">
        <v>-100</v>
      </c>
      <c r="I112" s="61" t="s">
        <v>4</v>
      </c>
      <c r="J112" s="60" t="n">
        <v>46292</v>
      </c>
      <c r="K112" s="61" t="s">
        <v>1320</v>
      </c>
      <c r="L112" s="62" t="n">
        <v>0</v>
      </c>
      <c r="M112" s="64" t="n">
        <v>0.825601851851852</v>
      </c>
      <c r="N112" s="61" t="s">
        <v>275</v>
      </c>
      <c r="O112" s="61" t="s">
        <v>1420</v>
      </c>
      <c r="P112" s="61" t="s">
        <v>737</v>
      </c>
      <c r="Q112" s="61" t="s">
        <v>738</v>
      </c>
      <c r="R112" s="62" t="n">
        <f aca="false">-H112</f>
        <v>100</v>
      </c>
    </row>
    <row r="113" customFormat="false" ht="15" hidden="false" customHeight="false" outlineLevel="0" collapsed="false">
      <c r="A113" s="61" t="s">
        <v>643</v>
      </c>
      <c r="B113" s="61" t="s">
        <v>33</v>
      </c>
      <c r="C113" s="61" t="s">
        <v>52</v>
      </c>
      <c r="D113" s="61" t="s">
        <v>202</v>
      </c>
      <c r="E113" s="61" t="s">
        <v>246</v>
      </c>
      <c r="F113" s="61" t="s">
        <v>1049</v>
      </c>
      <c r="G113" s="60" t="n">
        <v>46290</v>
      </c>
      <c r="H113" s="62" t="n">
        <v>-1160</v>
      </c>
      <c r="I113" s="61" t="s">
        <v>4</v>
      </c>
      <c r="J113" s="60" t="n">
        <v>46290</v>
      </c>
      <c r="K113" s="61" t="s">
        <v>1320</v>
      </c>
      <c r="L113" s="62" t="n">
        <v>0</v>
      </c>
      <c r="M113" s="64" t="n">
        <v>0.881365740740741</v>
      </c>
      <c r="N113" s="61" t="s">
        <v>523</v>
      </c>
      <c r="O113" s="61" t="s">
        <v>1421</v>
      </c>
      <c r="P113" s="61" t="s">
        <v>310</v>
      </c>
      <c r="Q113" s="61" t="s">
        <v>311</v>
      </c>
      <c r="R113" s="62" t="n">
        <f aca="false">-H113</f>
        <v>1160</v>
      </c>
    </row>
    <row r="114" customFormat="false" ht="15" hidden="false" customHeight="false" outlineLevel="0" collapsed="false">
      <c r="A114" s="61" t="s">
        <v>643</v>
      </c>
      <c r="B114" s="61" t="s">
        <v>33</v>
      </c>
      <c r="C114" s="61" t="s">
        <v>54</v>
      </c>
      <c r="D114" s="61" t="s">
        <v>202</v>
      </c>
      <c r="E114" s="61" t="s">
        <v>246</v>
      </c>
      <c r="F114" s="61" t="s">
        <v>1049</v>
      </c>
      <c r="G114" s="60" t="n">
        <v>46290</v>
      </c>
      <c r="H114" s="62" t="n">
        <v>-200</v>
      </c>
      <c r="I114" s="61" t="s">
        <v>4</v>
      </c>
      <c r="J114" s="60" t="n">
        <v>46290</v>
      </c>
      <c r="K114" s="61" t="s">
        <v>1320</v>
      </c>
      <c r="L114" s="62" t="n">
        <v>0</v>
      </c>
      <c r="M114" s="64" t="n">
        <v>0.881365740740741</v>
      </c>
      <c r="N114" s="61" t="s">
        <v>523</v>
      </c>
      <c r="O114" s="61" t="s">
        <v>1421</v>
      </c>
      <c r="P114" s="61" t="s">
        <v>310</v>
      </c>
      <c r="Q114" s="61" t="s">
        <v>311</v>
      </c>
      <c r="R114" s="62" t="n">
        <f aca="false">-H114</f>
        <v>200</v>
      </c>
    </row>
    <row r="115" customFormat="false" ht="15" hidden="false" customHeight="false" outlineLevel="0" collapsed="false">
      <c r="A115" s="61" t="s">
        <v>642</v>
      </c>
      <c r="B115" s="61" t="s">
        <v>33</v>
      </c>
      <c r="C115" s="61" t="s">
        <v>44</v>
      </c>
      <c r="D115" s="61" t="s">
        <v>202</v>
      </c>
      <c r="E115" s="61" t="s">
        <v>246</v>
      </c>
      <c r="F115" s="61" t="s">
        <v>1049</v>
      </c>
      <c r="G115" s="60" t="n">
        <v>46290</v>
      </c>
      <c r="H115" s="62" t="n">
        <v>-1740</v>
      </c>
      <c r="I115" s="61" t="s">
        <v>4</v>
      </c>
      <c r="J115" s="60" t="n">
        <v>46290</v>
      </c>
      <c r="K115" s="61" t="s">
        <v>1320</v>
      </c>
      <c r="L115" s="62" t="n">
        <v>0</v>
      </c>
      <c r="M115" s="64" t="n">
        <v>0.881944444444444</v>
      </c>
      <c r="N115" s="61" t="s">
        <v>523</v>
      </c>
      <c r="O115" s="61" t="s">
        <v>1422</v>
      </c>
      <c r="P115" s="61" t="s">
        <v>310</v>
      </c>
      <c r="Q115" s="61" t="s">
        <v>311</v>
      </c>
      <c r="R115" s="62" t="n">
        <f aca="false">-H115</f>
        <v>1740</v>
      </c>
    </row>
    <row r="116" customFormat="false" ht="15" hidden="false" customHeight="false" outlineLevel="0" collapsed="false">
      <c r="A116" s="61" t="s">
        <v>955</v>
      </c>
      <c r="B116" s="61" t="s">
        <v>35</v>
      </c>
      <c r="C116" s="61" t="s">
        <v>60</v>
      </c>
      <c r="D116" s="61" t="s">
        <v>119</v>
      </c>
      <c r="E116" s="61" t="s">
        <v>246</v>
      </c>
      <c r="F116" s="61" t="s">
        <v>1049</v>
      </c>
      <c r="G116" s="60" t="n">
        <v>46295</v>
      </c>
      <c r="H116" s="62" t="n">
        <v>-80.4</v>
      </c>
      <c r="I116" s="61" t="s">
        <v>4</v>
      </c>
      <c r="J116" s="60" t="n">
        <v>46295</v>
      </c>
      <c r="K116" s="61" t="s">
        <v>1320</v>
      </c>
      <c r="L116" s="62" t="n">
        <v>0</v>
      </c>
      <c r="M116" s="64" t="n">
        <v>0.356122685185185</v>
      </c>
      <c r="N116" s="61" t="s">
        <v>250</v>
      </c>
      <c r="O116" s="61" t="s">
        <v>1423</v>
      </c>
      <c r="P116" s="61" t="s">
        <v>956</v>
      </c>
      <c r="Q116" s="61" t="s">
        <v>957</v>
      </c>
      <c r="R116" s="62" t="n">
        <f aca="false">-H116</f>
        <v>80.4</v>
      </c>
    </row>
    <row r="117" customFormat="false" ht="15" hidden="false" customHeight="false" outlineLevel="0" collapsed="false">
      <c r="A117" s="61" t="s">
        <v>739</v>
      </c>
      <c r="B117" s="61" t="s">
        <v>35</v>
      </c>
      <c r="C117" s="61" t="s">
        <v>60</v>
      </c>
      <c r="D117" s="61" t="s">
        <v>119</v>
      </c>
      <c r="E117" s="61" t="s">
        <v>246</v>
      </c>
      <c r="F117" s="61" t="s">
        <v>1049</v>
      </c>
      <c r="G117" s="60" t="n">
        <v>46292</v>
      </c>
      <c r="H117" s="62" t="n">
        <v>-100.5</v>
      </c>
      <c r="I117" s="61" t="s">
        <v>4</v>
      </c>
      <c r="J117" s="60" t="n">
        <v>46292</v>
      </c>
      <c r="K117" s="61" t="s">
        <v>1320</v>
      </c>
      <c r="L117" s="62" t="n">
        <v>0</v>
      </c>
      <c r="M117" s="64" t="n">
        <v>0.826597222222222</v>
      </c>
      <c r="N117" s="61" t="s">
        <v>275</v>
      </c>
      <c r="O117" s="61" t="s">
        <v>1424</v>
      </c>
      <c r="P117" s="61" t="s">
        <v>701</v>
      </c>
      <c r="Q117" s="61" t="s">
        <v>702</v>
      </c>
      <c r="R117" s="62" t="n">
        <f aca="false">-H117</f>
        <v>100.5</v>
      </c>
    </row>
    <row r="118" customFormat="false" ht="15" hidden="false" customHeight="false" outlineLevel="0" collapsed="false">
      <c r="A118" s="61" t="s">
        <v>665</v>
      </c>
      <c r="B118" s="61" t="s">
        <v>35</v>
      </c>
      <c r="C118" s="61" t="s">
        <v>60</v>
      </c>
      <c r="D118" s="61" t="s">
        <v>119</v>
      </c>
      <c r="E118" s="61" t="s">
        <v>246</v>
      </c>
      <c r="F118" s="61" t="s">
        <v>1049</v>
      </c>
      <c r="G118" s="60" t="n">
        <v>46291</v>
      </c>
      <c r="H118" s="62" t="n">
        <v>-20.1</v>
      </c>
      <c r="I118" s="61" t="s">
        <v>4</v>
      </c>
      <c r="J118" s="60" t="n">
        <v>46291</v>
      </c>
      <c r="K118" s="61" t="s">
        <v>1320</v>
      </c>
      <c r="L118" s="62" t="n">
        <v>0</v>
      </c>
      <c r="M118" s="64" t="n">
        <v>0.339166666666667</v>
      </c>
      <c r="N118" s="61" t="s">
        <v>250</v>
      </c>
      <c r="O118" s="61" t="s">
        <v>1337</v>
      </c>
      <c r="P118" s="61" t="s">
        <v>662</v>
      </c>
      <c r="Q118" s="61" t="s">
        <v>663</v>
      </c>
      <c r="R118" s="62" t="n">
        <f aca="false">-H118</f>
        <v>20.1</v>
      </c>
    </row>
    <row r="119" customFormat="false" ht="15" hidden="false" customHeight="false" outlineLevel="0" collapsed="false">
      <c r="A119" s="61" t="s">
        <v>661</v>
      </c>
      <c r="B119" s="61" t="s">
        <v>35</v>
      </c>
      <c r="C119" s="61" t="s">
        <v>60</v>
      </c>
      <c r="D119" s="61" t="s">
        <v>119</v>
      </c>
      <c r="E119" s="61" t="s">
        <v>246</v>
      </c>
      <c r="F119" s="61" t="s">
        <v>1049</v>
      </c>
      <c r="G119" s="60" t="n">
        <v>46291</v>
      </c>
      <c r="H119" s="62" t="n">
        <v>-20.1</v>
      </c>
      <c r="I119" s="61" t="s">
        <v>4</v>
      </c>
      <c r="J119" s="60" t="n">
        <v>46291</v>
      </c>
      <c r="K119" s="61" t="s">
        <v>1320</v>
      </c>
      <c r="L119" s="62" t="n">
        <v>0</v>
      </c>
      <c r="M119" s="64" t="n">
        <v>0.339259259259259</v>
      </c>
      <c r="N119" s="61" t="s">
        <v>250</v>
      </c>
      <c r="O119" s="61" t="s">
        <v>1335</v>
      </c>
      <c r="P119" s="61" t="s">
        <v>662</v>
      </c>
      <c r="Q119" s="61" t="s">
        <v>663</v>
      </c>
      <c r="R119" s="62" t="n">
        <f aca="false">-H119</f>
        <v>20.1</v>
      </c>
    </row>
    <row r="120" customFormat="false" ht="15" hidden="false" customHeight="false" outlineLevel="0" collapsed="false">
      <c r="A120" s="61" t="s">
        <v>676</v>
      </c>
      <c r="B120" s="61" t="s">
        <v>35</v>
      </c>
      <c r="C120" s="61" t="s">
        <v>60</v>
      </c>
      <c r="D120" s="61" t="s">
        <v>119</v>
      </c>
      <c r="E120" s="61" t="s">
        <v>246</v>
      </c>
      <c r="F120" s="61" t="s">
        <v>1049</v>
      </c>
      <c r="G120" s="60" t="n">
        <v>46291</v>
      </c>
      <c r="H120" s="62" t="n">
        <v>-40.2</v>
      </c>
      <c r="I120" s="61" t="s">
        <v>4</v>
      </c>
      <c r="J120" s="60" t="n">
        <v>46291</v>
      </c>
      <c r="K120" s="61" t="s">
        <v>1320</v>
      </c>
      <c r="L120" s="62" t="n">
        <v>0</v>
      </c>
      <c r="M120" s="64" t="n">
        <v>0.806018518518519</v>
      </c>
      <c r="N120" s="61" t="s">
        <v>275</v>
      </c>
      <c r="O120" s="61" t="s">
        <v>1425</v>
      </c>
      <c r="P120" s="61" t="s">
        <v>321</v>
      </c>
      <c r="Q120" s="61" t="s">
        <v>322</v>
      </c>
      <c r="R120" s="62" t="n">
        <f aca="false">-H120</f>
        <v>40.2</v>
      </c>
    </row>
    <row r="121" customFormat="false" ht="15" hidden="false" customHeight="false" outlineLevel="0" collapsed="false">
      <c r="A121" s="61" t="s">
        <v>675</v>
      </c>
      <c r="B121" s="61" t="s">
        <v>35</v>
      </c>
      <c r="C121" s="61" t="s">
        <v>56</v>
      </c>
      <c r="D121" s="61" t="s">
        <v>119</v>
      </c>
      <c r="E121" s="61" t="s">
        <v>246</v>
      </c>
      <c r="F121" s="61" t="s">
        <v>1049</v>
      </c>
      <c r="G121" s="60" t="n">
        <v>46291</v>
      </c>
      <c r="H121" s="62" t="n">
        <v>-442.2</v>
      </c>
      <c r="I121" s="61" t="s">
        <v>4</v>
      </c>
      <c r="J121" s="60" t="n">
        <v>46292</v>
      </c>
      <c r="K121" s="61" t="s">
        <v>1320</v>
      </c>
      <c r="L121" s="62" t="n">
        <v>0</v>
      </c>
      <c r="M121" s="64" t="n">
        <v>0.0322453703703704</v>
      </c>
      <c r="N121" s="61" t="s">
        <v>269</v>
      </c>
      <c r="O121" s="61" t="s">
        <v>1426</v>
      </c>
      <c r="P121" s="61" t="s">
        <v>546</v>
      </c>
      <c r="Q121" s="61" t="s">
        <v>547</v>
      </c>
      <c r="R121" s="62" t="n">
        <f aca="false">-H121</f>
        <v>442.2</v>
      </c>
    </row>
    <row r="122" customFormat="false" ht="15" hidden="false" customHeight="false" outlineLevel="0" collapsed="false">
      <c r="A122" s="61" t="s">
        <v>675</v>
      </c>
      <c r="B122" s="61" t="s">
        <v>35</v>
      </c>
      <c r="C122" s="61" t="s">
        <v>60</v>
      </c>
      <c r="D122" s="61" t="s">
        <v>119</v>
      </c>
      <c r="E122" s="61" t="s">
        <v>246</v>
      </c>
      <c r="F122" s="61" t="s">
        <v>1049</v>
      </c>
      <c r="G122" s="60" t="n">
        <v>46291</v>
      </c>
      <c r="H122" s="62" t="n">
        <v>-160.8</v>
      </c>
      <c r="I122" s="61" t="s">
        <v>4</v>
      </c>
      <c r="J122" s="60" t="n">
        <v>46292</v>
      </c>
      <c r="K122" s="61" t="s">
        <v>1320</v>
      </c>
      <c r="L122" s="62" t="n">
        <v>0</v>
      </c>
      <c r="M122" s="64" t="n">
        <v>0.0322453703703704</v>
      </c>
      <c r="N122" s="61" t="s">
        <v>269</v>
      </c>
      <c r="O122" s="61" t="s">
        <v>1426</v>
      </c>
      <c r="P122" s="61" t="s">
        <v>546</v>
      </c>
      <c r="Q122" s="61" t="s">
        <v>547</v>
      </c>
      <c r="R122" s="62" t="n">
        <f aca="false">-H122</f>
        <v>160.8</v>
      </c>
    </row>
    <row r="123" customFormat="false" ht="15" hidden="false" customHeight="false" outlineLevel="0" collapsed="false">
      <c r="A123" s="61" t="s">
        <v>644</v>
      </c>
      <c r="B123" s="61" t="s">
        <v>35</v>
      </c>
      <c r="C123" s="61" t="s">
        <v>60</v>
      </c>
      <c r="D123" s="61" t="s">
        <v>119</v>
      </c>
      <c r="E123" s="61" t="s">
        <v>246</v>
      </c>
      <c r="F123" s="61" t="s">
        <v>1049</v>
      </c>
      <c r="G123" s="60" t="n">
        <v>46290</v>
      </c>
      <c r="H123" s="62" t="n">
        <v>-603</v>
      </c>
      <c r="I123" s="61" t="s">
        <v>4</v>
      </c>
      <c r="J123" s="60" t="n">
        <v>46291</v>
      </c>
      <c r="K123" s="61" t="s">
        <v>1320</v>
      </c>
      <c r="L123" s="62" t="n">
        <v>0</v>
      </c>
      <c r="M123" s="64" t="n">
        <v>0.095625</v>
      </c>
      <c r="N123" s="61" t="s">
        <v>250</v>
      </c>
      <c r="O123" s="61" t="s">
        <v>1427</v>
      </c>
      <c r="P123" s="61" t="s">
        <v>546</v>
      </c>
      <c r="Q123" s="61" t="s">
        <v>547</v>
      </c>
      <c r="R123" s="62" t="n">
        <f aca="false">-H123</f>
        <v>603</v>
      </c>
    </row>
    <row r="124" customFormat="false" ht="15" hidden="false" customHeight="false" outlineLevel="0" collapsed="false">
      <c r="A124" s="61" t="s">
        <v>320</v>
      </c>
      <c r="B124" s="61" t="s">
        <v>35</v>
      </c>
      <c r="C124" s="61" t="s">
        <v>58</v>
      </c>
      <c r="D124" s="61" t="s">
        <v>119</v>
      </c>
      <c r="E124" s="61" t="s">
        <v>246</v>
      </c>
      <c r="F124" s="61" t="s">
        <v>1049</v>
      </c>
      <c r="G124" s="60" t="n">
        <v>46277</v>
      </c>
      <c r="H124" s="62" t="n">
        <v>-40.2</v>
      </c>
      <c r="I124" s="61" t="s">
        <v>4</v>
      </c>
      <c r="J124" s="60" t="n">
        <v>46278</v>
      </c>
      <c r="K124" s="61" t="s">
        <v>1320</v>
      </c>
      <c r="L124" s="62" t="n">
        <v>0</v>
      </c>
      <c r="M124" s="64" t="n">
        <v>0.103842592592593</v>
      </c>
      <c r="N124" s="61" t="s">
        <v>250</v>
      </c>
      <c r="O124" s="61" t="s">
        <v>1428</v>
      </c>
      <c r="P124" s="61" t="s">
        <v>321</v>
      </c>
      <c r="Q124" s="61" t="s">
        <v>322</v>
      </c>
      <c r="R124" s="62" t="n">
        <f aca="false">-H124</f>
        <v>40.2</v>
      </c>
    </row>
    <row r="125" customFormat="false" ht="15" hidden="false" customHeight="false" outlineLevel="0" collapsed="false">
      <c r="A125" s="61" t="s">
        <v>323</v>
      </c>
      <c r="B125" s="61" t="s">
        <v>35</v>
      </c>
      <c r="C125" s="61" t="s">
        <v>58</v>
      </c>
      <c r="D125" s="61" t="s">
        <v>119</v>
      </c>
      <c r="E125" s="61" t="s">
        <v>246</v>
      </c>
      <c r="F125" s="61" t="s">
        <v>1049</v>
      </c>
      <c r="G125" s="60" t="n">
        <v>46277</v>
      </c>
      <c r="H125" s="62" t="n">
        <v>-40.2</v>
      </c>
      <c r="I125" s="61" t="s">
        <v>4</v>
      </c>
      <c r="J125" s="60" t="n">
        <v>46278</v>
      </c>
      <c r="K125" s="61" t="s">
        <v>1320</v>
      </c>
      <c r="L125" s="62" t="n">
        <v>0</v>
      </c>
      <c r="M125" s="64" t="n">
        <v>0.113449074074074</v>
      </c>
      <c r="N125" s="61" t="s">
        <v>250</v>
      </c>
      <c r="O125" s="61" t="s">
        <v>1429</v>
      </c>
      <c r="P125" s="61" t="s">
        <v>324</v>
      </c>
      <c r="Q125" s="61" t="s">
        <v>325</v>
      </c>
      <c r="R125" s="62" t="n">
        <f aca="false">-H125</f>
        <v>40.2</v>
      </c>
    </row>
    <row r="126" customFormat="false" ht="15" hidden="false" customHeight="false" outlineLevel="0" collapsed="false">
      <c r="A126" s="61" t="s">
        <v>1028</v>
      </c>
      <c r="B126" s="61" t="s">
        <v>41</v>
      </c>
      <c r="C126" s="61" t="s">
        <v>62</v>
      </c>
      <c r="D126" s="61" t="s">
        <v>141</v>
      </c>
      <c r="E126" s="61" t="s">
        <v>246</v>
      </c>
      <c r="F126" s="61" t="s">
        <v>1049</v>
      </c>
      <c r="G126" s="60" t="n">
        <v>46296</v>
      </c>
      <c r="H126" s="62" t="n">
        <v>-8.4</v>
      </c>
      <c r="I126" s="61" t="s">
        <v>4</v>
      </c>
      <c r="J126" s="60" t="n">
        <v>46296</v>
      </c>
      <c r="K126" s="61" t="s">
        <v>1320</v>
      </c>
      <c r="L126" s="62" t="n">
        <v>0</v>
      </c>
      <c r="M126" s="64" t="n">
        <v>0.296574074074074</v>
      </c>
      <c r="N126" s="61" t="s">
        <v>474</v>
      </c>
      <c r="O126" s="61" t="s">
        <v>1430</v>
      </c>
      <c r="P126" s="61" t="s">
        <v>1029</v>
      </c>
      <c r="Q126" s="61" t="s">
        <v>1030</v>
      </c>
      <c r="R126" s="62" t="n">
        <f aca="false">-H126</f>
        <v>8.4</v>
      </c>
    </row>
    <row r="127" customFormat="false" ht="15" hidden="false" customHeight="false" outlineLevel="0" collapsed="false">
      <c r="A127" s="61" t="s">
        <v>1031</v>
      </c>
      <c r="B127" s="61" t="s">
        <v>41</v>
      </c>
      <c r="C127" s="61" t="s">
        <v>62</v>
      </c>
      <c r="D127" s="61" t="s">
        <v>141</v>
      </c>
      <c r="E127" s="61" t="s">
        <v>246</v>
      </c>
      <c r="F127" s="61" t="s">
        <v>1049</v>
      </c>
      <c r="G127" s="60" t="n">
        <v>46296</v>
      </c>
      <c r="H127" s="62" t="n">
        <v>-30.8</v>
      </c>
      <c r="I127" s="61" t="s">
        <v>4</v>
      </c>
      <c r="J127" s="60" t="n">
        <v>46296</v>
      </c>
      <c r="K127" s="61" t="s">
        <v>1320</v>
      </c>
      <c r="L127" s="62" t="n">
        <v>0</v>
      </c>
      <c r="M127" s="64" t="n">
        <v>0.321631944444444</v>
      </c>
      <c r="N127" s="61" t="s">
        <v>474</v>
      </c>
      <c r="O127" s="61" t="s">
        <v>1431</v>
      </c>
      <c r="P127" s="61" t="s">
        <v>1026</v>
      </c>
      <c r="Q127" s="61" t="s">
        <v>1027</v>
      </c>
      <c r="R127" s="62" t="n">
        <f aca="false">-H127</f>
        <v>30.8</v>
      </c>
    </row>
    <row r="128" customFormat="false" ht="15" hidden="false" customHeight="false" outlineLevel="0" collapsed="false">
      <c r="A128" s="61" t="s">
        <v>958</v>
      </c>
      <c r="B128" s="61" t="s">
        <v>41</v>
      </c>
      <c r="C128" s="61" t="s">
        <v>62</v>
      </c>
      <c r="D128" s="61" t="s">
        <v>141</v>
      </c>
      <c r="E128" s="61" t="s">
        <v>246</v>
      </c>
      <c r="F128" s="61" t="s">
        <v>1049</v>
      </c>
      <c r="G128" s="60" t="n">
        <v>46295</v>
      </c>
      <c r="H128" s="62" t="n">
        <v>-2.8</v>
      </c>
      <c r="I128" s="61" t="s">
        <v>4</v>
      </c>
      <c r="J128" s="60" t="n">
        <v>46296</v>
      </c>
      <c r="K128" s="61" t="s">
        <v>1320</v>
      </c>
      <c r="L128" s="62" t="n">
        <v>0</v>
      </c>
      <c r="M128" s="64" t="n">
        <v>0.0645023148148148</v>
      </c>
      <c r="N128" s="61" t="s">
        <v>269</v>
      </c>
      <c r="O128" s="61" t="s">
        <v>1432</v>
      </c>
      <c r="P128" s="61" t="s">
        <v>959</v>
      </c>
      <c r="Q128" s="61" t="s">
        <v>960</v>
      </c>
      <c r="R128" s="62" t="n">
        <f aca="false">-H128</f>
        <v>2.8</v>
      </c>
    </row>
    <row r="129" customFormat="false" ht="15" hidden="false" customHeight="false" outlineLevel="0" collapsed="false">
      <c r="A129" s="61" t="s">
        <v>961</v>
      </c>
      <c r="B129" s="61" t="s">
        <v>41</v>
      </c>
      <c r="C129" s="61" t="s">
        <v>62</v>
      </c>
      <c r="D129" s="61" t="s">
        <v>141</v>
      </c>
      <c r="E129" s="61" t="s">
        <v>246</v>
      </c>
      <c r="F129" s="61" t="s">
        <v>1049</v>
      </c>
      <c r="G129" s="60" t="n">
        <v>46295</v>
      </c>
      <c r="H129" s="62" t="n">
        <v>-2.8</v>
      </c>
      <c r="I129" s="61" t="s">
        <v>4</v>
      </c>
      <c r="J129" s="60" t="n">
        <v>46295</v>
      </c>
      <c r="K129" s="61" t="s">
        <v>1320</v>
      </c>
      <c r="L129" s="62" t="n">
        <v>0</v>
      </c>
      <c r="M129" s="64" t="n">
        <v>0.42369212962963</v>
      </c>
      <c r="N129" s="61" t="s">
        <v>250</v>
      </c>
      <c r="O129" s="61" t="s">
        <v>1433</v>
      </c>
      <c r="P129" s="61" t="s">
        <v>314</v>
      </c>
      <c r="Q129" s="61" t="s">
        <v>315</v>
      </c>
      <c r="R129" s="62" t="n">
        <f aca="false">-H129</f>
        <v>2.8</v>
      </c>
    </row>
    <row r="130" customFormat="false" ht="15" hidden="false" customHeight="false" outlineLevel="0" collapsed="false">
      <c r="A130" s="61" t="s">
        <v>961</v>
      </c>
      <c r="B130" s="61" t="s">
        <v>41</v>
      </c>
      <c r="C130" s="61" t="s">
        <v>62</v>
      </c>
      <c r="D130" s="61" t="s">
        <v>141</v>
      </c>
      <c r="E130" s="61" t="s">
        <v>246</v>
      </c>
      <c r="F130" s="61" t="s">
        <v>1049</v>
      </c>
      <c r="G130" s="60" t="n">
        <v>46295</v>
      </c>
      <c r="H130" s="62" t="n">
        <v>-25.2</v>
      </c>
      <c r="I130" s="61" t="s">
        <v>4</v>
      </c>
      <c r="J130" s="60" t="n">
        <v>46295</v>
      </c>
      <c r="K130" s="61" t="s">
        <v>1320</v>
      </c>
      <c r="L130" s="62" t="n">
        <v>0</v>
      </c>
      <c r="M130" s="64" t="n">
        <v>0.42369212962963</v>
      </c>
      <c r="N130" s="61" t="s">
        <v>250</v>
      </c>
      <c r="O130" s="61" t="s">
        <v>1433</v>
      </c>
      <c r="P130" s="61" t="s">
        <v>314</v>
      </c>
      <c r="Q130" s="61" t="s">
        <v>315</v>
      </c>
      <c r="R130" s="62" t="n">
        <f aca="false">-H130</f>
        <v>25.2</v>
      </c>
    </row>
    <row r="131" customFormat="false" ht="15" hidden="false" customHeight="false" outlineLevel="0" collapsed="false">
      <c r="A131" s="61" t="s">
        <v>864</v>
      </c>
      <c r="B131" s="61" t="s">
        <v>41</v>
      </c>
      <c r="C131" s="61" t="s">
        <v>62</v>
      </c>
      <c r="D131" s="61" t="s">
        <v>141</v>
      </c>
      <c r="E131" s="61" t="s">
        <v>246</v>
      </c>
      <c r="F131" s="61" t="s">
        <v>1049</v>
      </c>
      <c r="G131" s="60" t="n">
        <v>46294</v>
      </c>
      <c r="H131" s="62" t="n">
        <v>-28</v>
      </c>
      <c r="I131" s="61" t="s">
        <v>4</v>
      </c>
      <c r="J131" s="60" t="n">
        <v>46294</v>
      </c>
      <c r="K131" s="61" t="s">
        <v>1320</v>
      </c>
      <c r="L131" s="62" t="n">
        <v>0</v>
      </c>
      <c r="M131" s="64" t="n">
        <v>0.346689814814815</v>
      </c>
      <c r="N131" s="61" t="s">
        <v>250</v>
      </c>
      <c r="O131" s="61" t="s">
        <v>1434</v>
      </c>
      <c r="P131" s="61" t="s">
        <v>865</v>
      </c>
      <c r="Q131" s="61" t="s">
        <v>866</v>
      </c>
      <c r="R131" s="62" t="n">
        <f aca="false">-H131</f>
        <v>28</v>
      </c>
    </row>
    <row r="132" customFormat="false" ht="15" hidden="false" customHeight="false" outlineLevel="0" collapsed="false">
      <c r="A132" s="61" t="s">
        <v>855</v>
      </c>
      <c r="B132" s="61" t="s">
        <v>41</v>
      </c>
      <c r="C132" s="61" t="s">
        <v>62</v>
      </c>
      <c r="D132" s="61" t="s">
        <v>141</v>
      </c>
      <c r="E132" s="61" t="s">
        <v>246</v>
      </c>
      <c r="F132" s="61" t="s">
        <v>1049</v>
      </c>
      <c r="G132" s="60" t="n">
        <v>46294</v>
      </c>
      <c r="H132" s="62" t="n">
        <v>-2.8</v>
      </c>
      <c r="I132" s="61" t="s">
        <v>4</v>
      </c>
      <c r="J132" s="60" t="n">
        <v>46294</v>
      </c>
      <c r="K132" s="61" t="s">
        <v>1320</v>
      </c>
      <c r="L132" s="62" t="n">
        <v>0</v>
      </c>
      <c r="M132" s="64" t="n">
        <v>0.58806712962963</v>
      </c>
      <c r="N132" s="61" t="s">
        <v>338</v>
      </c>
      <c r="O132" s="61" t="s">
        <v>1374</v>
      </c>
      <c r="P132" s="61" t="s">
        <v>856</v>
      </c>
      <c r="Q132" s="61" t="s">
        <v>857</v>
      </c>
      <c r="R132" s="62" t="n">
        <f aca="false">-H132</f>
        <v>2.8</v>
      </c>
    </row>
    <row r="133" customFormat="false" ht="15" hidden="false" customHeight="false" outlineLevel="0" collapsed="false">
      <c r="A133" s="61" t="s">
        <v>740</v>
      </c>
      <c r="B133" s="61" t="s">
        <v>41</v>
      </c>
      <c r="C133" s="61" t="s">
        <v>62</v>
      </c>
      <c r="D133" s="61" t="s">
        <v>141</v>
      </c>
      <c r="E133" s="61" t="s">
        <v>246</v>
      </c>
      <c r="F133" s="61" t="s">
        <v>1049</v>
      </c>
      <c r="G133" s="60" t="n">
        <v>46292</v>
      </c>
      <c r="H133" s="62" t="n">
        <v>-22.4</v>
      </c>
      <c r="I133" s="61" t="s">
        <v>4</v>
      </c>
      <c r="J133" s="60" t="n">
        <v>46292</v>
      </c>
      <c r="K133" s="61" t="s">
        <v>1320</v>
      </c>
      <c r="L133" s="62" t="n">
        <v>0</v>
      </c>
      <c r="M133" s="64" t="n">
        <v>0.677326388888889</v>
      </c>
      <c r="N133" s="61" t="s">
        <v>275</v>
      </c>
      <c r="O133" s="61" t="s">
        <v>1435</v>
      </c>
      <c r="P133" s="61" t="s">
        <v>741</v>
      </c>
      <c r="Q133" s="61" t="s">
        <v>742</v>
      </c>
      <c r="R133" s="62" t="n">
        <f aca="false">-H133</f>
        <v>22.4</v>
      </c>
    </row>
    <row r="134" customFormat="false" ht="15" hidden="false" customHeight="false" outlineLevel="0" collapsed="false">
      <c r="A134" s="61" t="s">
        <v>678</v>
      </c>
      <c r="B134" s="61" t="s">
        <v>41</v>
      </c>
      <c r="C134" s="61" t="s">
        <v>62</v>
      </c>
      <c r="D134" s="61" t="s">
        <v>141</v>
      </c>
      <c r="E134" s="61" t="s">
        <v>246</v>
      </c>
      <c r="F134" s="61" t="s">
        <v>1049</v>
      </c>
      <c r="G134" s="60" t="n">
        <v>46291</v>
      </c>
      <c r="H134" s="62" t="n">
        <v>-5.6</v>
      </c>
      <c r="I134" s="61" t="s">
        <v>4</v>
      </c>
      <c r="J134" s="60" t="n">
        <v>46292</v>
      </c>
      <c r="K134" s="61" t="s">
        <v>1320</v>
      </c>
      <c r="L134" s="62" t="n">
        <v>0</v>
      </c>
      <c r="M134" s="64" t="n">
        <v>0.0297569444444444</v>
      </c>
      <c r="N134" s="61" t="s">
        <v>269</v>
      </c>
      <c r="O134" s="61" t="s">
        <v>1436</v>
      </c>
      <c r="P134" s="61" t="s">
        <v>679</v>
      </c>
      <c r="Q134" s="61" t="s">
        <v>680</v>
      </c>
      <c r="R134" s="62" t="n">
        <f aca="false">-H134</f>
        <v>5.6</v>
      </c>
    </row>
    <row r="135" customFormat="false" ht="15" hidden="false" customHeight="false" outlineLevel="0" collapsed="false">
      <c r="A135" s="61" t="s">
        <v>645</v>
      </c>
      <c r="B135" s="61" t="s">
        <v>41</v>
      </c>
      <c r="C135" s="61" t="s">
        <v>62</v>
      </c>
      <c r="D135" s="61" t="s">
        <v>141</v>
      </c>
      <c r="E135" s="61" t="s">
        <v>246</v>
      </c>
      <c r="F135" s="61" t="s">
        <v>1049</v>
      </c>
      <c r="G135" s="60" t="n">
        <v>46290</v>
      </c>
      <c r="H135" s="62" t="n">
        <v>-5.6</v>
      </c>
      <c r="I135" s="61" t="s">
        <v>4</v>
      </c>
      <c r="J135" s="60" t="n">
        <v>46290</v>
      </c>
      <c r="K135" s="61" t="s">
        <v>1320</v>
      </c>
      <c r="L135" s="62" t="n">
        <v>0</v>
      </c>
      <c r="M135" s="64" t="n">
        <v>0.288541666666667</v>
      </c>
      <c r="N135" s="61" t="s">
        <v>275</v>
      </c>
      <c r="O135" s="61" t="s">
        <v>1437</v>
      </c>
      <c r="P135" s="61" t="s">
        <v>646</v>
      </c>
      <c r="Q135" s="61" t="s">
        <v>647</v>
      </c>
      <c r="R135" s="62" t="n">
        <f aca="false">-H135</f>
        <v>5.6</v>
      </c>
    </row>
    <row r="136" customFormat="false" ht="15" hidden="false" customHeight="false" outlineLevel="0" collapsed="false">
      <c r="A136" s="61" t="s">
        <v>648</v>
      </c>
      <c r="B136" s="61" t="s">
        <v>41</v>
      </c>
      <c r="C136" s="61" t="s">
        <v>62</v>
      </c>
      <c r="D136" s="61" t="s">
        <v>141</v>
      </c>
      <c r="E136" s="61" t="s">
        <v>246</v>
      </c>
      <c r="F136" s="61" t="s">
        <v>1049</v>
      </c>
      <c r="G136" s="60" t="n">
        <v>46290</v>
      </c>
      <c r="H136" s="62" t="n">
        <v>-42</v>
      </c>
      <c r="I136" s="61" t="s">
        <v>4</v>
      </c>
      <c r="J136" s="60" t="n">
        <v>46290</v>
      </c>
      <c r="K136" s="61" t="s">
        <v>1320</v>
      </c>
      <c r="L136" s="62" t="n">
        <v>0</v>
      </c>
      <c r="M136" s="64" t="n">
        <v>0.441770833333333</v>
      </c>
      <c r="N136" s="61" t="s">
        <v>250</v>
      </c>
      <c r="O136" s="61" t="s">
        <v>1438</v>
      </c>
      <c r="P136" s="61" t="s">
        <v>649</v>
      </c>
      <c r="Q136" s="61" t="s">
        <v>650</v>
      </c>
      <c r="R136" s="62" t="n">
        <f aca="false">-H136</f>
        <v>42</v>
      </c>
    </row>
    <row r="137" customFormat="false" ht="15" hidden="false" customHeight="false" outlineLevel="0" collapsed="false">
      <c r="A137" s="61" t="s">
        <v>600</v>
      </c>
      <c r="B137" s="61" t="s">
        <v>41</v>
      </c>
      <c r="C137" s="61" t="s">
        <v>62</v>
      </c>
      <c r="D137" s="61" t="s">
        <v>141</v>
      </c>
      <c r="E137" s="61" t="s">
        <v>246</v>
      </c>
      <c r="F137" s="61" t="s">
        <v>1049</v>
      </c>
      <c r="G137" s="60" t="n">
        <v>46289</v>
      </c>
      <c r="H137" s="62" t="n">
        <v>-2.8</v>
      </c>
      <c r="I137" s="61" t="s">
        <v>4</v>
      </c>
      <c r="J137" s="60" t="n">
        <v>46289</v>
      </c>
      <c r="K137" s="61" t="s">
        <v>1320</v>
      </c>
      <c r="L137" s="62" t="n">
        <v>0</v>
      </c>
      <c r="M137" s="64" t="n">
        <v>0.864768518518519</v>
      </c>
      <c r="N137" s="61" t="s">
        <v>338</v>
      </c>
      <c r="O137" s="61" t="s">
        <v>1439</v>
      </c>
      <c r="P137" s="61" t="s">
        <v>601</v>
      </c>
      <c r="Q137" s="61" t="s">
        <v>602</v>
      </c>
      <c r="R137" s="62" t="n">
        <f aca="false">-H137</f>
        <v>2.8</v>
      </c>
    </row>
    <row r="138" customFormat="false" ht="15" hidden="false" customHeight="false" outlineLevel="0" collapsed="false">
      <c r="A138" s="61" t="s">
        <v>603</v>
      </c>
      <c r="B138" s="61" t="s">
        <v>41</v>
      </c>
      <c r="C138" s="61" t="s">
        <v>62</v>
      </c>
      <c r="D138" s="61" t="s">
        <v>141</v>
      </c>
      <c r="E138" s="61" t="s">
        <v>246</v>
      </c>
      <c r="F138" s="61" t="s">
        <v>1049</v>
      </c>
      <c r="G138" s="60" t="n">
        <v>46289</v>
      </c>
      <c r="H138" s="62" t="n">
        <v>-5.6</v>
      </c>
      <c r="I138" s="61" t="s">
        <v>4</v>
      </c>
      <c r="J138" s="60" t="n">
        <v>46289</v>
      </c>
      <c r="K138" s="61" t="s">
        <v>1320</v>
      </c>
      <c r="L138" s="62" t="n">
        <v>0</v>
      </c>
      <c r="M138" s="64" t="n">
        <v>0.860949074074074</v>
      </c>
      <c r="N138" s="61" t="s">
        <v>338</v>
      </c>
      <c r="O138" s="61" t="s">
        <v>1440</v>
      </c>
      <c r="P138" s="61" t="s">
        <v>604</v>
      </c>
      <c r="Q138" s="61" t="s">
        <v>605</v>
      </c>
      <c r="R138" s="62" t="n">
        <f aca="false">-H138</f>
        <v>5.6</v>
      </c>
    </row>
    <row r="139" customFormat="false" ht="15" hidden="false" customHeight="false" outlineLevel="0" collapsed="false">
      <c r="A139" s="61" t="s">
        <v>591</v>
      </c>
      <c r="B139" s="61" t="s">
        <v>41</v>
      </c>
      <c r="C139" s="61" t="s">
        <v>62</v>
      </c>
      <c r="D139" s="61" t="s">
        <v>141</v>
      </c>
      <c r="E139" s="61" t="s">
        <v>246</v>
      </c>
      <c r="F139" s="61" t="s">
        <v>1049</v>
      </c>
      <c r="G139" s="60" t="n">
        <v>46289</v>
      </c>
      <c r="H139" s="62" t="n">
        <v>-2.8</v>
      </c>
      <c r="I139" s="61" t="s">
        <v>4</v>
      </c>
      <c r="J139" s="60" t="n">
        <v>46289</v>
      </c>
      <c r="K139" s="61" t="s">
        <v>1320</v>
      </c>
      <c r="L139" s="62" t="n">
        <v>0</v>
      </c>
      <c r="M139" s="64" t="n">
        <v>0.633460648148148</v>
      </c>
      <c r="N139" s="61" t="s">
        <v>338</v>
      </c>
      <c r="O139" s="61" t="s">
        <v>1370</v>
      </c>
      <c r="P139" s="61" t="s">
        <v>592</v>
      </c>
      <c r="Q139" s="61" t="s">
        <v>593</v>
      </c>
      <c r="R139" s="62" t="n">
        <f aca="false">-H139</f>
        <v>2.8</v>
      </c>
    </row>
    <row r="140" customFormat="false" ht="15" hidden="false" customHeight="false" outlineLevel="0" collapsed="false">
      <c r="A140" s="61" t="s">
        <v>594</v>
      </c>
      <c r="B140" s="61" t="s">
        <v>41</v>
      </c>
      <c r="C140" s="61" t="s">
        <v>62</v>
      </c>
      <c r="D140" s="61" t="s">
        <v>141</v>
      </c>
      <c r="E140" s="61" t="s">
        <v>246</v>
      </c>
      <c r="F140" s="61" t="s">
        <v>1049</v>
      </c>
      <c r="G140" s="60" t="n">
        <v>46289</v>
      </c>
      <c r="H140" s="62" t="n">
        <v>-28</v>
      </c>
      <c r="I140" s="61" t="s">
        <v>4</v>
      </c>
      <c r="J140" s="60" t="n">
        <v>46289</v>
      </c>
      <c r="K140" s="61" t="s">
        <v>1320</v>
      </c>
      <c r="L140" s="62" t="n">
        <v>0</v>
      </c>
      <c r="M140" s="64" t="n">
        <v>0.560601851851852</v>
      </c>
      <c r="N140" s="61" t="s">
        <v>338</v>
      </c>
      <c r="O140" s="61" t="s">
        <v>1377</v>
      </c>
      <c r="P140" s="61" t="s">
        <v>580</v>
      </c>
      <c r="Q140" s="61" t="s">
        <v>581</v>
      </c>
      <c r="R140" s="62" t="n">
        <f aca="false">-H140</f>
        <v>28</v>
      </c>
    </row>
    <row r="141" customFormat="false" ht="15" hidden="false" customHeight="false" outlineLevel="0" collapsed="false">
      <c r="A141" s="61" t="s">
        <v>568</v>
      </c>
      <c r="B141" s="61" t="s">
        <v>41</v>
      </c>
      <c r="C141" s="61" t="s">
        <v>62</v>
      </c>
      <c r="D141" s="61" t="s">
        <v>141</v>
      </c>
      <c r="E141" s="61" t="s">
        <v>246</v>
      </c>
      <c r="F141" s="61" t="s">
        <v>1049</v>
      </c>
      <c r="G141" s="60" t="n">
        <v>46288</v>
      </c>
      <c r="H141" s="62" t="n">
        <v>-5.6</v>
      </c>
      <c r="I141" s="61" t="s">
        <v>4</v>
      </c>
      <c r="J141" s="60" t="n">
        <v>46288</v>
      </c>
      <c r="K141" s="61" t="s">
        <v>1320</v>
      </c>
      <c r="L141" s="62" t="n">
        <v>0</v>
      </c>
      <c r="M141" s="64" t="n">
        <v>0.273090277777778</v>
      </c>
      <c r="N141" s="61" t="s">
        <v>269</v>
      </c>
      <c r="O141" s="61" t="s">
        <v>1398</v>
      </c>
      <c r="P141" s="61" t="s">
        <v>569</v>
      </c>
      <c r="Q141" s="61" t="s">
        <v>570</v>
      </c>
      <c r="R141" s="62" t="n">
        <f aca="false">-H141</f>
        <v>5.6</v>
      </c>
    </row>
    <row r="142" customFormat="false" ht="15" hidden="false" customHeight="false" outlineLevel="0" collapsed="false">
      <c r="A142" s="61" t="s">
        <v>571</v>
      </c>
      <c r="B142" s="61" t="s">
        <v>41</v>
      </c>
      <c r="C142" s="61" t="s">
        <v>62</v>
      </c>
      <c r="D142" s="61" t="s">
        <v>141</v>
      </c>
      <c r="E142" s="61" t="s">
        <v>246</v>
      </c>
      <c r="F142" s="61" t="s">
        <v>1049</v>
      </c>
      <c r="G142" s="60" t="n">
        <v>46288</v>
      </c>
      <c r="H142" s="62" t="n">
        <v>-14</v>
      </c>
      <c r="I142" s="61" t="s">
        <v>4</v>
      </c>
      <c r="J142" s="60" t="n">
        <v>46288</v>
      </c>
      <c r="K142" s="61" t="s">
        <v>1320</v>
      </c>
      <c r="L142" s="62" t="n">
        <v>0</v>
      </c>
      <c r="M142" s="64" t="n">
        <v>0.291168981481482</v>
      </c>
      <c r="N142" s="61" t="s">
        <v>269</v>
      </c>
      <c r="O142" s="61" t="s">
        <v>1441</v>
      </c>
      <c r="P142" s="61" t="s">
        <v>572</v>
      </c>
      <c r="Q142" s="61" t="s">
        <v>573</v>
      </c>
      <c r="R142" s="62" t="n">
        <f aca="false">-H142</f>
        <v>14</v>
      </c>
    </row>
    <row r="143" customFormat="false" ht="15" hidden="false" customHeight="false" outlineLevel="0" collapsed="false">
      <c r="A143" s="61" t="s">
        <v>556</v>
      </c>
      <c r="B143" s="61" t="s">
        <v>41</v>
      </c>
      <c r="C143" s="61" t="s">
        <v>62</v>
      </c>
      <c r="D143" s="61" t="s">
        <v>141</v>
      </c>
      <c r="E143" s="61" t="s">
        <v>246</v>
      </c>
      <c r="F143" s="61" t="s">
        <v>1049</v>
      </c>
      <c r="G143" s="60" t="n">
        <v>46287</v>
      </c>
      <c r="H143" s="62" t="n">
        <v>-42</v>
      </c>
      <c r="I143" s="61" t="s">
        <v>4</v>
      </c>
      <c r="J143" s="60" t="n">
        <v>46287</v>
      </c>
      <c r="K143" s="61" t="s">
        <v>1320</v>
      </c>
      <c r="L143" s="62" t="n">
        <v>0</v>
      </c>
      <c r="M143" s="64" t="n">
        <v>0.279965277777778</v>
      </c>
      <c r="N143" s="61" t="s">
        <v>250</v>
      </c>
      <c r="O143" s="61" t="s">
        <v>1442</v>
      </c>
      <c r="P143" s="61" t="s">
        <v>557</v>
      </c>
      <c r="Q143" s="61" t="s">
        <v>558</v>
      </c>
      <c r="R143" s="62" t="n">
        <f aca="false">-H143</f>
        <v>42</v>
      </c>
    </row>
    <row r="144" customFormat="false" ht="15" hidden="false" customHeight="false" outlineLevel="0" collapsed="false">
      <c r="A144" s="61" t="s">
        <v>528</v>
      </c>
      <c r="B144" s="61" t="s">
        <v>41</v>
      </c>
      <c r="C144" s="61" t="s">
        <v>62</v>
      </c>
      <c r="D144" s="61" t="s">
        <v>141</v>
      </c>
      <c r="E144" s="61" t="s">
        <v>246</v>
      </c>
      <c r="F144" s="61" t="s">
        <v>1049</v>
      </c>
      <c r="G144" s="60" t="n">
        <v>46286</v>
      </c>
      <c r="H144" s="62" t="n">
        <v>-2.8</v>
      </c>
      <c r="I144" s="61" t="s">
        <v>4</v>
      </c>
      <c r="J144" s="60" t="n">
        <v>46286</v>
      </c>
      <c r="K144" s="61" t="s">
        <v>1320</v>
      </c>
      <c r="L144" s="62" t="n">
        <v>0</v>
      </c>
      <c r="M144" s="64" t="n">
        <v>0.486157407407407</v>
      </c>
      <c r="N144" s="61" t="s">
        <v>338</v>
      </c>
      <c r="O144" s="61" t="s">
        <v>1379</v>
      </c>
      <c r="P144" s="61" t="s">
        <v>529</v>
      </c>
      <c r="Q144" s="61" t="s">
        <v>530</v>
      </c>
      <c r="R144" s="62" t="n">
        <f aca="false">-H144</f>
        <v>2.8</v>
      </c>
    </row>
    <row r="145" customFormat="false" ht="15" hidden="false" customHeight="false" outlineLevel="0" collapsed="false">
      <c r="A145" s="61" t="s">
        <v>531</v>
      </c>
      <c r="B145" s="61" t="s">
        <v>41</v>
      </c>
      <c r="C145" s="61" t="s">
        <v>62</v>
      </c>
      <c r="D145" s="61" t="s">
        <v>141</v>
      </c>
      <c r="E145" s="61" t="s">
        <v>246</v>
      </c>
      <c r="F145" s="61" t="s">
        <v>1049</v>
      </c>
      <c r="G145" s="60" t="n">
        <v>46286</v>
      </c>
      <c r="H145" s="62" t="n">
        <v>-5.6</v>
      </c>
      <c r="I145" s="61" t="s">
        <v>4</v>
      </c>
      <c r="J145" s="60" t="n">
        <v>46286</v>
      </c>
      <c r="K145" s="61" t="s">
        <v>1320</v>
      </c>
      <c r="L145" s="62" t="n">
        <v>0</v>
      </c>
      <c r="M145" s="64" t="n">
        <v>0.517118055555556</v>
      </c>
      <c r="N145" s="61" t="s">
        <v>338</v>
      </c>
      <c r="O145" s="61" t="s">
        <v>1380</v>
      </c>
      <c r="P145" s="61" t="s">
        <v>532</v>
      </c>
      <c r="Q145" s="61" t="s">
        <v>533</v>
      </c>
      <c r="R145" s="62" t="n">
        <f aca="false">-H145</f>
        <v>5.6</v>
      </c>
    </row>
    <row r="146" customFormat="false" ht="15" hidden="false" customHeight="false" outlineLevel="0" collapsed="false">
      <c r="A146" s="61" t="s">
        <v>541</v>
      </c>
      <c r="B146" s="61" t="s">
        <v>41</v>
      </c>
      <c r="C146" s="61" t="s">
        <v>62</v>
      </c>
      <c r="D146" s="61" t="s">
        <v>141</v>
      </c>
      <c r="E146" s="61" t="s">
        <v>246</v>
      </c>
      <c r="F146" s="61" t="s">
        <v>1049</v>
      </c>
      <c r="G146" s="60" t="n">
        <v>46286</v>
      </c>
      <c r="H146" s="62" t="n">
        <v>-56</v>
      </c>
      <c r="I146" s="61" t="s">
        <v>4</v>
      </c>
      <c r="J146" s="60" t="n">
        <v>46286</v>
      </c>
      <c r="K146" s="61" t="s">
        <v>1320</v>
      </c>
      <c r="L146" s="62" t="n">
        <v>0</v>
      </c>
      <c r="M146" s="64" t="n">
        <v>0.653136574074074</v>
      </c>
      <c r="N146" s="61" t="s">
        <v>338</v>
      </c>
      <c r="O146" s="61" t="s">
        <v>1405</v>
      </c>
      <c r="P146" s="61" t="s">
        <v>347</v>
      </c>
      <c r="Q146" s="61" t="s">
        <v>348</v>
      </c>
      <c r="R146" s="62" t="n">
        <f aca="false">-H146</f>
        <v>56</v>
      </c>
    </row>
    <row r="147" customFormat="false" ht="15" hidden="false" customHeight="false" outlineLevel="0" collapsed="false">
      <c r="A147" s="61" t="s">
        <v>538</v>
      </c>
      <c r="B147" s="61" t="s">
        <v>41</v>
      </c>
      <c r="C147" s="61" t="s">
        <v>62</v>
      </c>
      <c r="D147" s="61" t="s">
        <v>141</v>
      </c>
      <c r="E147" s="61" t="s">
        <v>246</v>
      </c>
      <c r="F147" s="61" t="s">
        <v>1049</v>
      </c>
      <c r="G147" s="60" t="n">
        <v>46286</v>
      </c>
      <c r="H147" s="62" t="n">
        <v>-2.8</v>
      </c>
      <c r="I147" s="61" t="s">
        <v>4</v>
      </c>
      <c r="J147" s="60" t="n">
        <v>46286</v>
      </c>
      <c r="K147" s="61" t="s">
        <v>1320</v>
      </c>
      <c r="L147" s="62" t="n">
        <v>0</v>
      </c>
      <c r="M147" s="64" t="n">
        <v>0.431643518518519</v>
      </c>
      <c r="N147" s="61" t="s">
        <v>250</v>
      </c>
      <c r="O147" s="61" t="s">
        <v>1404</v>
      </c>
      <c r="P147" s="61" t="s">
        <v>539</v>
      </c>
      <c r="Q147" s="61" t="s">
        <v>540</v>
      </c>
      <c r="R147" s="62" t="n">
        <f aca="false">-H147</f>
        <v>2.8</v>
      </c>
    </row>
    <row r="148" customFormat="false" ht="15" hidden="false" customHeight="false" outlineLevel="0" collapsed="false">
      <c r="A148" s="61" t="s">
        <v>535</v>
      </c>
      <c r="B148" s="61" t="s">
        <v>41</v>
      </c>
      <c r="C148" s="61" t="s">
        <v>62</v>
      </c>
      <c r="D148" s="61" t="s">
        <v>141</v>
      </c>
      <c r="E148" s="61" t="s">
        <v>246</v>
      </c>
      <c r="F148" s="61" t="s">
        <v>1049</v>
      </c>
      <c r="G148" s="60" t="n">
        <v>46286</v>
      </c>
      <c r="H148" s="62" t="n">
        <v>-5.6</v>
      </c>
      <c r="I148" s="61" t="s">
        <v>4</v>
      </c>
      <c r="J148" s="60" t="n">
        <v>46286</v>
      </c>
      <c r="K148" s="61" t="s">
        <v>1320</v>
      </c>
      <c r="L148" s="62" t="n">
        <v>0</v>
      </c>
      <c r="M148" s="64" t="n">
        <v>0.946585648148148</v>
      </c>
      <c r="N148" s="61" t="s">
        <v>338</v>
      </c>
      <c r="O148" s="61" t="s">
        <v>1403</v>
      </c>
      <c r="P148" s="61" t="s">
        <v>536</v>
      </c>
      <c r="Q148" s="61" t="s">
        <v>537</v>
      </c>
      <c r="R148" s="62" t="n">
        <f aca="false">-H148</f>
        <v>5.6</v>
      </c>
    </row>
    <row r="149" customFormat="false" ht="15" hidden="false" customHeight="false" outlineLevel="0" collapsed="false">
      <c r="A149" s="61" t="s">
        <v>502</v>
      </c>
      <c r="B149" s="61" t="s">
        <v>41</v>
      </c>
      <c r="C149" s="61" t="s">
        <v>62</v>
      </c>
      <c r="D149" s="61" t="s">
        <v>141</v>
      </c>
      <c r="E149" s="61" t="s">
        <v>246</v>
      </c>
      <c r="F149" s="61" t="s">
        <v>1049</v>
      </c>
      <c r="G149" s="60" t="n">
        <v>46285</v>
      </c>
      <c r="H149" s="62" t="n">
        <v>-8.4</v>
      </c>
      <c r="I149" s="61" t="s">
        <v>4</v>
      </c>
      <c r="J149" s="60" t="n">
        <v>46286</v>
      </c>
      <c r="K149" s="61" t="s">
        <v>1320</v>
      </c>
      <c r="L149" s="62" t="n">
        <v>0</v>
      </c>
      <c r="M149" s="64" t="n">
        <v>0.0589236111111111</v>
      </c>
      <c r="N149" s="61" t="s">
        <v>250</v>
      </c>
      <c r="O149" s="61" t="s">
        <v>1381</v>
      </c>
      <c r="P149" s="61" t="s">
        <v>503</v>
      </c>
      <c r="Q149" s="61" t="s">
        <v>504</v>
      </c>
      <c r="R149" s="62" t="n">
        <f aca="false">-H149</f>
        <v>8.4</v>
      </c>
    </row>
    <row r="150" customFormat="false" ht="15" hidden="false" customHeight="false" outlineLevel="0" collapsed="false">
      <c r="A150" s="61" t="s">
        <v>471</v>
      </c>
      <c r="B150" s="61" t="s">
        <v>41</v>
      </c>
      <c r="C150" s="61" t="s">
        <v>62</v>
      </c>
      <c r="D150" s="61" t="s">
        <v>141</v>
      </c>
      <c r="E150" s="61" t="s">
        <v>246</v>
      </c>
      <c r="F150" s="61" t="s">
        <v>1049</v>
      </c>
      <c r="G150" s="60" t="n">
        <v>46284</v>
      </c>
      <c r="H150" s="62" t="n">
        <v>-5.6</v>
      </c>
      <c r="I150" s="61" t="s">
        <v>4</v>
      </c>
      <c r="J150" s="60" t="n">
        <v>46284</v>
      </c>
      <c r="K150" s="61" t="s">
        <v>1320</v>
      </c>
      <c r="L150" s="62" t="n">
        <v>0</v>
      </c>
      <c r="M150" s="64" t="n">
        <v>0.31724537037037</v>
      </c>
      <c r="N150" s="61" t="s">
        <v>474</v>
      </c>
      <c r="O150" s="61" t="s">
        <v>1385</v>
      </c>
      <c r="P150" s="61" t="s">
        <v>472</v>
      </c>
      <c r="Q150" s="61" t="s">
        <v>473</v>
      </c>
      <c r="R150" s="62" t="n">
        <f aca="false">-H150</f>
        <v>5.6</v>
      </c>
    </row>
    <row r="151" customFormat="false" ht="15" hidden="false" customHeight="false" outlineLevel="0" collapsed="false">
      <c r="A151" s="61" t="s">
        <v>487</v>
      </c>
      <c r="B151" s="61" t="s">
        <v>41</v>
      </c>
      <c r="C151" s="61" t="s">
        <v>62</v>
      </c>
      <c r="D151" s="61" t="s">
        <v>141</v>
      </c>
      <c r="E151" s="61" t="s">
        <v>246</v>
      </c>
      <c r="F151" s="61" t="s">
        <v>1049</v>
      </c>
      <c r="G151" s="60" t="n">
        <v>46284</v>
      </c>
      <c r="H151" s="62" t="n">
        <v>-11.2</v>
      </c>
      <c r="I151" s="61" t="s">
        <v>4</v>
      </c>
      <c r="J151" s="60" t="n">
        <v>46284</v>
      </c>
      <c r="K151" s="61" t="s">
        <v>1320</v>
      </c>
      <c r="L151" s="62" t="n">
        <v>0</v>
      </c>
      <c r="M151" s="64" t="n">
        <v>0.589618055555556</v>
      </c>
      <c r="N151" s="61" t="s">
        <v>275</v>
      </c>
      <c r="O151" s="61" t="s">
        <v>1409</v>
      </c>
      <c r="P151" s="61" t="s">
        <v>488</v>
      </c>
      <c r="Q151" s="61" t="s">
        <v>489</v>
      </c>
      <c r="R151" s="62" t="n">
        <f aca="false">-H151</f>
        <v>11.2</v>
      </c>
    </row>
    <row r="152" customFormat="false" ht="15" hidden="false" customHeight="false" outlineLevel="0" collapsed="false">
      <c r="A152" s="61" t="s">
        <v>490</v>
      </c>
      <c r="B152" s="61" t="s">
        <v>41</v>
      </c>
      <c r="C152" s="61" t="s">
        <v>62</v>
      </c>
      <c r="D152" s="61" t="s">
        <v>141</v>
      </c>
      <c r="E152" s="61" t="s">
        <v>246</v>
      </c>
      <c r="F152" s="61" t="s">
        <v>1049</v>
      </c>
      <c r="G152" s="60" t="n">
        <v>46284</v>
      </c>
      <c r="H152" s="62" t="n">
        <v>-5.6</v>
      </c>
      <c r="I152" s="61" t="s">
        <v>4</v>
      </c>
      <c r="J152" s="60" t="n">
        <v>46284</v>
      </c>
      <c r="K152" s="61" t="s">
        <v>1320</v>
      </c>
      <c r="L152" s="62" t="n">
        <v>0</v>
      </c>
      <c r="M152" s="64" t="n">
        <v>0.649166666666667</v>
      </c>
      <c r="N152" s="61" t="s">
        <v>275</v>
      </c>
      <c r="O152" s="61" t="s">
        <v>1443</v>
      </c>
      <c r="P152" s="61" t="s">
        <v>491</v>
      </c>
      <c r="Q152" s="61" t="s">
        <v>492</v>
      </c>
      <c r="R152" s="62" t="n">
        <f aca="false">-H152</f>
        <v>5.6</v>
      </c>
    </row>
    <row r="153" customFormat="false" ht="15" hidden="false" customHeight="false" outlineLevel="0" collapsed="false">
      <c r="A153" s="61" t="s">
        <v>475</v>
      </c>
      <c r="B153" s="61" t="s">
        <v>41</v>
      </c>
      <c r="C153" s="61" t="s">
        <v>62</v>
      </c>
      <c r="D153" s="61" t="s">
        <v>141</v>
      </c>
      <c r="E153" s="61" t="s">
        <v>246</v>
      </c>
      <c r="F153" s="61" t="s">
        <v>1049</v>
      </c>
      <c r="G153" s="60" t="n">
        <v>46284</v>
      </c>
      <c r="H153" s="62" t="n">
        <v>-5.6</v>
      </c>
      <c r="I153" s="61" t="s">
        <v>4</v>
      </c>
      <c r="J153" s="60" t="n">
        <v>46284</v>
      </c>
      <c r="K153" s="61" t="s">
        <v>1320</v>
      </c>
      <c r="L153" s="62" t="n">
        <v>0</v>
      </c>
      <c r="M153" s="64" t="n">
        <v>0.237453703703704</v>
      </c>
      <c r="N153" s="61" t="s">
        <v>474</v>
      </c>
      <c r="O153" s="61" t="s">
        <v>1386</v>
      </c>
      <c r="P153" s="61" t="s">
        <v>476</v>
      </c>
      <c r="Q153" s="61" t="s">
        <v>477</v>
      </c>
      <c r="R153" s="62" t="n">
        <f aca="false">-H153</f>
        <v>5.6</v>
      </c>
    </row>
    <row r="154" customFormat="false" ht="15" hidden="false" customHeight="false" outlineLevel="0" collapsed="false">
      <c r="A154" s="61" t="s">
        <v>481</v>
      </c>
      <c r="B154" s="61" t="s">
        <v>41</v>
      </c>
      <c r="C154" s="61" t="s">
        <v>62</v>
      </c>
      <c r="D154" s="61" t="s">
        <v>141</v>
      </c>
      <c r="E154" s="61" t="s">
        <v>246</v>
      </c>
      <c r="F154" s="61" t="s">
        <v>1049</v>
      </c>
      <c r="G154" s="60" t="n">
        <v>46284</v>
      </c>
      <c r="H154" s="62" t="n">
        <v>-2.8</v>
      </c>
      <c r="I154" s="61" t="s">
        <v>4</v>
      </c>
      <c r="J154" s="60" t="n">
        <v>46284</v>
      </c>
      <c r="K154" s="61" t="s">
        <v>1320</v>
      </c>
      <c r="L154" s="62" t="n">
        <v>0</v>
      </c>
      <c r="M154" s="64" t="n">
        <v>0.990625</v>
      </c>
      <c r="N154" s="61" t="s">
        <v>269</v>
      </c>
      <c r="O154" s="61" t="s">
        <v>1407</v>
      </c>
      <c r="P154" s="61" t="s">
        <v>482</v>
      </c>
      <c r="Q154" s="61" t="s">
        <v>483</v>
      </c>
      <c r="R154" s="62" t="n">
        <f aca="false">-H154</f>
        <v>2.8</v>
      </c>
    </row>
    <row r="155" customFormat="false" ht="15" hidden="false" customHeight="false" outlineLevel="0" collapsed="false">
      <c r="A155" s="61" t="s">
        <v>493</v>
      </c>
      <c r="B155" s="61" t="s">
        <v>41</v>
      </c>
      <c r="C155" s="61" t="s">
        <v>62</v>
      </c>
      <c r="D155" s="61" t="s">
        <v>141</v>
      </c>
      <c r="E155" s="61" t="s">
        <v>246</v>
      </c>
      <c r="F155" s="61" t="s">
        <v>1049</v>
      </c>
      <c r="G155" s="60" t="n">
        <v>46284</v>
      </c>
      <c r="H155" s="62" t="n">
        <v>-2.8</v>
      </c>
      <c r="I155" s="61" t="s">
        <v>4</v>
      </c>
      <c r="J155" s="60" t="n">
        <v>46284</v>
      </c>
      <c r="K155" s="61" t="s">
        <v>1320</v>
      </c>
      <c r="L155" s="62" t="n">
        <v>0</v>
      </c>
      <c r="M155" s="64" t="n">
        <v>0.990277777777778</v>
      </c>
      <c r="N155" s="61" t="s">
        <v>269</v>
      </c>
      <c r="O155" s="61" t="s">
        <v>1444</v>
      </c>
      <c r="P155" s="61" t="s">
        <v>494</v>
      </c>
      <c r="Q155" s="61" t="s">
        <v>495</v>
      </c>
      <c r="R155" s="62" t="n">
        <f aca="false">-H155</f>
        <v>2.8</v>
      </c>
    </row>
    <row r="156" customFormat="false" ht="15" hidden="false" customHeight="false" outlineLevel="0" collapsed="false">
      <c r="A156" s="61" t="s">
        <v>496</v>
      </c>
      <c r="B156" s="61" t="s">
        <v>41</v>
      </c>
      <c r="C156" s="61" t="s">
        <v>62</v>
      </c>
      <c r="D156" s="61" t="s">
        <v>141</v>
      </c>
      <c r="E156" s="61" t="s">
        <v>246</v>
      </c>
      <c r="F156" s="61" t="s">
        <v>1049</v>
      </c>
      <c r="G156" s="60" t="n">
        <v>46284</v>
      </c>
      <c r="H156" s="62" t="n">
        <v>-11.2</v>
      </c>
      <c r="I156" s="61" t="s">
        <v>4</v>
      </c>
      <c r="J156" s="60" t="n">
        <v>46284</v>
      </c>
      <c r="K156" s="61" t="s">
        <v>1320</v>
      </c>
      <c r="L156" s="62" t="n">
        <v>0</v>
      </c>
      <c r="M156" s="64" t="n">
        <v>0.989907407407408</v>
      </c>
      <c r="N156" s="61" t="s">
        <v>269</v>
      </c>
      <c r="O156" s="61" t="s">
        <v>1445</v>
      </c>
      <c r="P156" s="61" t="s">
        <v>497</v>
      </c>
      <c r="Q156" s="61" t="s">
        <v>498</v>
      </c>
      <c r="R156" s="62" t="n">
        <f aca="false">-H156</f>
        <v>11.2</v>
      </c>
    </row>
    <row r="157" customFormat="false" ht="15" hidden="false" customHeight="false" outlineLevel="0" collapsed="false">
      <c r="A157" s="61" t="s">
        <v>484</v>
      </c>
      <c r="B157" s="61" t="s">
        <v>41</v>
      </c>
      <c r="C157" s="61" t="s">
        <v>62</v>
      </c>
      <c r="D157" s="61" t="s">
        <v>141</v>
      </c>
      <c r="E157" s="61" t="s">
        <v>246</v>
      </c>
      <c r="F157" s="61" t="s">
        <v>1049</v>
      </c>
      <c r="G157" s="60" t="n">
        <v>46284</v>
      </c>
      <c r="H157" s="62" t="n">
        <v>-5.6</v>
      </c>
      <c r="I157" s="61" t="s">
        <v>4</v>
      </c>
      <c r="J157" s="60" t="n">
        <v>46284</v>
      </c>
      <c r="K157" s="61" t="s">
        <v>1320</v>
      </c>
      <c r="L157" s="62" t="n">
        <v>0</v>
      </c>
      <c r="M157" s="64" t="n">
        <v>0.989756944444444</v>
      </c>
      <c r="N157" s="61" t="s">
        <v>269</v>
      </c>
      <c r="O157" s="61" t="s">
        <v>1408</v>
      </c>
      <c r="P157" s="61" t="s">
        <v>485</v>
      </c>
      <c r="Q157" s="61" t="s">
        <v>486</v>
      </c>
      <c r="R157" s="62" t="n">
        <f aca="false">-H157</f>
        <v>5.6</v>
      </c>
    </row>
    <row r="158" customFormat="false" ht="15" hidden="false" customHeight="false" outlineLevel="0" collapsed="false">
      <c r="A158" s="61" t="s">
        <v>468</v>
      </c>
      <c r="B158" s="61" t="s">
        <v>41</v>
      </c>
      <c r="C158" s="61" t="s">
        <v>62</v>
      </c>
      <c r="D158" s="61" t="s">
        <v>141</v>
      </c>
      <c r="E158" s="61" t="s">
        <v>246</v>
      </c>
      <c r="F158" s="61" t="s">
        <v>1049</v>
      </c>
      <c r="G158" s="60" t="n">
        <v>46284</v>
      </c>
      <c r="H158" s="62" t="n">
        <v>-16.8</v>
      </c>
      <c r="I158" s="61" t="s">
        <v>4</v>
      </c>
      <c r="J158" s="60" t="n">
        <v>46284</v>
      </c>
      <c r="K158" s="61" t="s">
        <v>1320</v>
      </c>
      <c r="L158" s="62" t="n">
        <v>0</v>
      </c>
      <c r="M158" s="64" t="n">
        <v>0.81255787037037</v>
      </c>
      <c r="N158" s="61" t="s">
        <v>275</v>
      </c>
      <c r="O158" s="61" t="s">
        <v>1384</v>
      </c>
      <c r="P158" s="61" t="s">
        <v>469</v>
      </c>
      <c r="Q158" s="61" t="s">
        <v>470</v>
      </c>
      <c r="R158" s="62" t="n">
        <f aca="false">-H158</f>
        <v>16.8</v>
      </c>
    </row>
    <row r="159" customFormat="false" ht="15" hidden="false" customHeight="false" outlineLevel="0" collapsed="false">
      <c r="A159" s="61" t="s">
        <v>462</v>
      </c>
      <c r="B159" s="61" t="s">
        <v>41</v>
      </c>
      <c r="C159" s="61" t="s">
        <v>62</v>
      </c>
      <c r="D159" s="61" t="s">
        <v>141</v>
      </c>
      <c r="E159" s="61" t="s">
        <v>246</v>
      </c>
      <c r="F159" s="61" t="s">
        <v>1049</v>
      </c>
      <c r="G159" s="60" t="n">
        <v>46283</v>
      </c>
      <c r="H159" s="62" t="n">
        <v>-2.8</v>
      </c>
      <c r="I159" s="61" t="s">
        <v>4</v>
      </c>
      <c r="J159" s="60" t="n">
        <v>46284</v>
      </c>
      <c r="K159" s="61" t="s">
        <v>1320</v>
      </c>
      <c r="L159" s="62" t="n">
        <v>0</v>
      </c>
      <c r="M159" s="64" t="n">
        <v>0.151956018518519</v>
      </c>
      <c r="N159" s="61" t="s">
        <v>269</v>
      </c>
      <c r="O159" s="61" t="s">
        <v>1446</v>
      </c>
      <c r="P159" s="61" t="s">
        <v>463</v>
      </c>
      <c r="Q159" s="61" t="s">
        <v>464</v>
      </c>
      <c r="R159" s="62" t="n">
        <f aca="false">-H159</f>
        <v>2.8</v>
      </c>
    </row>
    <row r="160" customFormat="false" ht="15" hidden="false" customHeight="false" outlineLevel="0" collapsed="false">
      <c r="A160" s="61" t="s">
        <v>436</v>
      </c>
      <c r="B160" s="61" t="s">
        <v>41</v>
      </c>
      <c r="C160" s="61" t="s">
        <v>62</v>
      </c>
      <c r="D160" s="61" t="s">
        <v>141</v>
      </c>
      <c r="E160" s="61" t="s">
        <v>246</v>
      </c>
      <c r="F160" s="61" t="s">
        <v>1049</v>
      </c>
      <c r="G160" s="60" t="n">
        <v>46282</v>
      </c>
      <c r="H160" s="62" t="n">
        <v>-5.6</v>
      </c>
      <c r="I160" s="61" t="s">
        <v>4</v>
      </c>
      <c r="J160" s="60" t="n">
        <v>46282</v>
      </c>
      <c r="K160" s="61" t="s">
        <v>1320</v>
      </c>
      <c r="L160" s="62" t="n">
        <v>0</v>
      </c>
      <c r="M160" s="64" t="n">
        <v>0.315347222222222</v>
      </c>
      <c r="N160" s="61" t="s">
        <v>250</v>
      </c>
      <c r="O160" s="61" t="s">
        <v>1447</v>
      </c>
      <c r="P160" s="61" t="s">
        <v>437</v>
      </c>
      <c r="Q160" s="61" t="s">
        <v>438</v>
      </c>
      <c r="R160" s="62" t="n">
        <f aca="false">-H160</f>
        <v>5.6</v>
      </c>
    </row>
    <row r="161" customFormat="false" ht="15" hidden="false" customHeight="false" outlineLevel="0" collapsed="false">
      <c r="A161" s="61" t="s">
        <v>439</v>
      </c>
      <c r="B161" s="61" t="s">
        <v>41</v>
      </c>
      <c r="C161" s="61" t="s">
        <v>62</v>
      </c>
      <c r="D161" s="61" t="s">
        <v>141</v>
      </c>
      <c r="E161" s="61" t="s">
        <v>246</v>
      </c>
      <c r="F161" s="61" t="s">
        <v>1049</v>
      </c>
      <c r="G161" s="60" t="n">
        <v>46282</v>
      </c>
      <c r="H161" s="62" t="n">
        <v>-2.8</v>
      </c>
      <c r="I161" s="61" t="s">
        <v>4</v>
      </c>
      <c r="J161" s="60" t="n">
        <v>46282</v>
      </c>
      <c r="K161" s="61" t="s">
        <v>1320</v>
      </c>
      <c r="L161" s="62" t="n">
        <v>0</v>
      </c>
      <c r="M161" s="64" t="n">
        <v>0.867731481481482</v>
      </c>
      <c r="N161" s="61" t="s">
        <v>338</v>
      </c>
      <c r="O161" s="61" t="s">
        <v>1448</v>
      </c>
      <c r="P161" s="61" t="s">
        <v>440</v>
      </c>
      <c r="Q161" s="61" t="s">
        <v>441</v>
      </c>
      <c r="R161" s="62" t="n">
        <f aca="false">-H161</f>
        <v>2.8</v>
      </c>
    </row>
    <row r="162" customFormat="false" ht="15" hidden="false" customHeight="false" outlineLevel="0" collapsed="false">
      <c r="A162" s="61" t="s">
        <v>442</v>
      </c>
      <c r="B162" s="61" t="s">
        <v>41</v>
      </c>
      <c r="C162" s="61" t="s">
        <v>62</v>
      </c>
      <c r="D162" s="61" t="s">
        <v>141</v>
      </c>
      <c r="E162" s="61" t="s">
        <v>246</v>
      </c>
      <c r="F162" s="61" t="s">
        <v>1049</v>
      </c>
      <c r="G162" s="60" t="n">
        <v>46282</v>
      </c>
      <c r="H162" s="62" t="n">
        <v>-5.6</v>
      </c>
      <c r="I162" s="61" t="s">
        <v>4</v>
      </c>
      <c r="J162" s="60" t="n">
        <v>46282</v>
      </c>
      <c r="K162" s="61" t="s">
        <v>1320</v>
      </c>
      <c r="L162" s="62" t="n">
        <v>0</v>
      </c>
      <c r="M162" s="64" t="n">
        <v>0.914826388888889</v>
      </c>
      <c r="N162" s="61" t="s">
        <v>338</v>
      </c>
      <c r="O162" s="61" t="s">
        <v>1449</v>
      </c>
      <c r="P162" s="61" t="s">
        <v>443</v>
      </c>
      <c r="Q162" s="61" t="s">
        <v>444</v>
      </c>
      <c r="R162" s="62" t="n">
        <f aca="false">-H162</f>
        <v>5.6</v>
      </c>
    </row>
    <row r="163" customFormat="false" ht="15" hidden="false" customHeight="false" outlineLevel="0" collapsed="false">
      <c r="A163" s="61" t="s">
        <v>445</v>
      </c>
      <c r="B163" s="61" t="s">
        <v>41</v>
      </c>
      <c r="C163" s="61" t="s">
        <v>62</v>
      </c>
      <c r="D163" s="61" t="s">
        <v>141</v>
      </c>
      <c r="E163" s="61" t="s">
        <v>246</v>
      </c>
      <c r="F163" s="61" t="s">
        <v>1049</v>
      </c>
      <c r="G163" s="60" t="n">
        <v>46282</v>
      </c>
      <c r="H163" s="62" t="n">
        <v>-28</v>
      </c>
      <c r="I163" s="61" t="s">
        <v>4</v>
      </c>
      <c r="J163" s="60" t="n">
        <v>46282</v>
      </c>
      <c r="K163" s="61" t="s">
        <v>1320</v>
      </c>
      <c r="L163" s="62" t="n">
        <v>0</v>
      </c>
      <c r="M163" s="64" t="n">
        <v>0.869363425925926</v>
      </c>
      <c r="N163" s="61" t="s">
        <v>338</v>
      </c>
      <c r="O163" s="61" t="s">
        <v>1450</v>
      </c>
      <c r="P163" s="61" t="s">
        <v>446</v>
      </c>
      <c r="Q163" s="61" t="s">
        <v>447</v>
      </c>
      <c r="R163" s="62" t="n">
        <f aca="false">-H163</f>
        <v>28</v>
      </c>
    </row>
    <row r="164" customFormat="false" ht="15" hidden="false" customHeight="false" outlineLevel="0" collapsed="false">
      <c r="A164" s="61" t="s">
        <v>361</v>
      </c>
      <c r="B164" s="61" t="s">
        <v>41</v>
      </c>
      <c r="C164" s="61" t="s">
        <v>62</v>
      </c>
      <c r="D164" s="61" t="s">
        <v>141</v>
      </c>
      <c r="E164" s="61" t="s">
        <v>246</v>
      </c>
      <c r="F164" s="61" t="s">
        <v>1049</v>
      </c>
      <c r="G164" s="60" t="n">
        <v>46279</v>
      </c>
      <c r="H164" s="62" t="n">
        <v>-2.8</v>
      </c>
      <c r="I164" s="61" t="s">
        <v>4</v>
      </c>
      <c r="J164" s="60" t="n">
        <v>46279</v>
      </c>
      <c r="K164" s="61" t="s">
        <v>1320</v>
      </c>
      <c r="L164" s="62" t="n">
        <v>0</v>
      </c>
      <c r="M164" s="64" t="n">
        <v>0.655162037037037</v>
      </c>
      <c r="N164" s="61" t="s">
        <v>275</v>
      </c>
      <c r="O164" s="61" t="s">
        <v>1390</v>
      </c>
      <c r="P164" s="61" t="s">
        <v>362</v>
      </c>
      <c r="Q164" s="61" t="s">
        <v>363</v>
      </c>
      <c r="R164" s="62" t="n">
        <f aca="false">-H164</f>
        <v>2.8</v>
      </c>
    </row>
    <row r="165" customFormat="false" ht="15" hidden="false" customHeight="false" outlineLevel="0" collapsed="false">
      <c r="A165" s="61" t="s">
        <v>367</v>
      </c>
      <c r="B165" s="61" t="s">
        <v>41</v>
      </c>
      <c r="C165" s="61" t="s">
        <v>62</v>
      </c>
      <c r="D165" s="61" t="s">
        <v>141</v>
      </c>
      <c r="E165" s="61" t="s">
        <v>246</v>
      </c>
      <c r="F165" s="61" t="s">
        <v>1049</v>
      </c>
      <c r="G165" s="60" t="n">
        <v>46279</v>
      </c>
      <c r="H165" s="62" t="n">
        <v>-2.8</v>
      </c>
      <c r="I165" s="61" t="s">
        <v>4</v>
      </c>
      <c r="J165" s="60" t="n">
        <v>46279</v>
      </c>
      <c r="K165" s="61" t="s">
        <v>1320</v>
      </c>
      <c r="L165" s="62" t="n">
        <v>0</v>
      </c>
      <c r="M165" s="64" t="n">
        <v>0.530428240740741</v>
      </c>
      <c r="N165" s="61" t="s">
        <v>275</v>
      </c>
      <c r="O165" s="61" t="s">
        <v>1451</v>
      </c>
      <c r="P165" s="61" t="s">
        <v>368</v>
      </c>
      <c r="Q165" s="61" t="s">
        <v>369</v>
      </c>
      <c r="R165" s="62" t="n">
        <f aca="false">-H165</f>
        <v>2.8</v>
      </c>
    </row>
    <row r="166" customFormat="false" ht="15" hidden="false" customHeight="false" outlineLevel="0" collapsed="false">
      <c r="A166" s="61" t="s">
        <v>370</v>
      </c>
      <c r="B166" s="61" t="s">
        <v>41</v>
      </c>
      <c r="C166" s="61" t="s">
        <v>62</v>
      </c>
      <c r="D166" s="61" t="s">
        <v>141</v>
      </c>
      <c r="E166" s="61" t="s">
        <v>246</v>
      </c>
      <c r="F166" s="61" t="s">
        <v>1049</v>
      </c>
      <c r="G166" s="60" t="n">
        <v>46279</v>
      </c>
      <c r="H166" s="62" t="n">
        <v>-5.6</v>
      </c>
      <c r="I166" s="61" t="s">
        <v>4</v>
      </c>
      <c r="J166" s="60" t="n">
        <v>46279</v>
      </c>
      <c r="K166" s="61" t="s">
        <v>1320</v>
      </c>
      <c r="L166" s="62" t="n">
        <v>0</v>
      </c>
      <c r="M166" s="64" t="n">
        <v>0.655694444444445</v>
      </c>
      <c r="N166" s="61" t="s">
        <v>275</v>
      </c>
      <c r="O166" s="61" t="s">
        <v>1452</v>
      </c>
      <c r="P166" s="61" t="s">
        <v>371</v>
      </c>
      <c r="Q166" s="61" t="s">
        <v>372</v>
      </c>
      <c r="R166" s="62" t="n">
        <f aca="false">-H166</f>
        <v>5.6</v>
      </c>
    </row>
    <row r="167" customFormat="false" ht="15" hidden="false" customHeight="false" outlineLevel="0" collapsed="false">
      <c r="A167" s="61" t="s">
        <v>345</v>
      </c>
      <c r="B167" s="61" t="s">
        <v>41</v>
      </c>
      <c r="C167" s="61" t="s">
        <v>62</v>
      </c>
      <c r="D167" s="61" t="s">
        <v>141</v>
      </c>
      <c r="E167" s="61" t="s">
        <v>246</v>
      </c>
      <c r="F167" s="61" t="s">
        <v>1049</v>
      </c>
      <c r="G167" s="60" t="n">
        <v>46278</v>
      </c>
      <c r="H167" s="62" t="n">
        <v>-19.6</v>
      </c>
      <c r="I167" s="61" t="s">
        <v>4</v>
      </c>
      <c r="J167" s="60" t="n">
        <v>46279</v>
      </c>
      <c r="K167" s="61" t="s">
        <v>1320</v>
      </c>
      <c r="L167" s="62" t="n">
        <v>0</v>
      </c>
      <c r="M167" s="64" t="n">
        <v>0.0832986111111111</v>
      </c>
      <c r="N167" s="61" t="s">
        <v>250</v>
      </c>
      <c r="O167" s="61" t="s">
        <v>1395</v>
      </c>
      <c r="P167" s="61" t="s">
        <v>343</v>
      </c>
      <c r="Q167" s="61" t="s">
        <v>344</v>
      </c>
      <c r="R167" s="62" t="n">
        <f aca="false">-H167</f>
        <v>19.6</v>
      </c>
    </row>
    <row r="168" customFormat="false" ht="15" hidden="false" customHeight="false" outlineLevel="0" collapsed="false">
      <c r="A168" s="61" t="s">
        <v>342</v>
      </c>
      <c r="B168" s="61" t="s">
        <v>41</v>
      </c>
      <c r="C168" s="61" t="s">
        <v>62</v>
      </c>
      <c r="D168" s="61" t="s">
        <v>141</v>
      </c>
      <c r="E168" s="61" t="s">
        <v>246</v>
      </c>
      <c r="F168" s="61" t="s">
        <v>1049</v>
      </c>
      <c r="G168" s="60" t="n">
        <v>46278</v>
      </c>
      <c r="H168" s="62" t="n">
        <v>-28</v>
      </c>
      <c r="I168" s="61" t="s">
        <v>4</v>
      </c>
      <c r="J168" s="60" t="n">
        <v>46279</v>
      </c>
      <c r="K168" s="61" t="s">
        <v>1320</v>
      </c>
      <c r="L168" s="62" t="n">
        <v>0</v>
      </c>
      <c r="M168" s="64" t="n">
        <v>0.0832638888888889</v>
      </c>
      <c r="N168" s="61" t="s">
        <v>250</v>
      </c>
      <c r="O168" s="61" t="s">
        <v>1394</v>
      </c>
      <c r="P168" s="61" t="s">
        <v>343</v>
      </c>
      <c r="Q168" s="61" t="s">
        <v>344</v>
      </c>
      <c r="R168" s="62" t="n">
        <f aca="false">-H168</f>
        <v>28</v>
      </c>
    </row>
    <row r="169" customFormat="false" ht="15" hidden="false" customHeight="false" outlineLevel="0" collapsed="false">
      <c r="A169" s="61" t="s">
        <v>335</v>
      </c>
      <c r="B169" s="61" t="s">
        <v>41</v>
      </c>
      <c r="C169" s="61" t="s">
        <v>62</v>
      </c>
      <c r="D169" s="61" t="s">
        <v>141</v>
      </c>
      <c r="E169" s="61" t="s">
        <v>246</v>
      </c>
      <c r="F169" s="61" t="s">
        <v>1049</v>
      </c>
      <c r="G169" s="60" t="n">
        <v>46278</v>
      </c>
      <c r="H169" s="62" t="n">
        <v>-14</v>
      </c>
      <c r="I169" s="61" t="s">
        <v>4</v>
      </c>
      <c r="J169" s="60" t="n">
        <v>46278</v>
      </c>
      <c r="K169" s="61" t="s">
        <v>1320</v>
      </c>
      <c r="L169" s="62" t="n">
        <v>0</v>
      </c>
      <c r="M169" s="64" t="n">
        <v>0.754907407407407</v>
      </c>
      <c r="N169" s="61" t="s">
        <v>338</v>
      </c>
      <c r="O169" s="61" t="s">
        <v>1392</v>
      </c>
      <c r="P169" s="61" t="s">
        <v>336</v>
      </c>
      <c r="Q169" s="61" t="s">
        <v>337</v>
      </c>
      <c r="R169" s="62" t="n">
        <f aca="false">-H169</f>
        <v>14</v>
      </c>
    </row>
    <row r="170" customFormat="false" ht="15" hidden="false" customHeight="false" outlineLevel="0" collapsed="false">
      <c r="A170" s="61" t="s">
        <v>346</v>
      </c>
      <c r="B170" s="61" t="s">
        <v>41</v>
      </c>
      <c r="C170" s="61" t="s">
        <v>62</v>
      </c>
      <c r="D170" s="61" t="s">
        <v>141</v>
      </c>
      <c r="E170" s="61" t="s">
        <v>246</v>
      </c>
      <c r="F170" s="61" t="s">
        <v>1049</v>
      </c>
      <c r="G170" s="60" t="n">
        <v>46278</v>
      </c>
      <c r="H170" s="62" t="n">
        <v>-64.4</v>
      </c>
      <c r="I170" s="61" t="s">
        <v>4</v>
      </c>
      <c r="J170" s="60" t="n">
        <v>46278</v>
      </c>
      <c r="K170" s="61" t="s">
        <v>1320</v>
      </c>
      <c r="L170" s="62" t="n">
        <v>0</v>
      </c>
      <c r="M170" s="64" t="n">
        <v>0.328402777777778</v>
      </c>
      <c r="N170" s="61" t="s">
        <v>250</v>
      </c>
      <c r="O170" s="61" t="s">
        <v>1453</v>
      </c>
      <c r="P170" s="61" t="s">
        <v>347</v>
      </c>
      <c r="Q170" s="61" t="s">
        <v>348</v>
      </c>
      <c r="R170" s="62" t="n">
        <f aca="false">-H170</f>
        <v>64.4</v>
      </c>
    </row>
    <row r="171" customFormat="false" ht="15" hidden="false" customHeight="false" outlineLevel="0" collapsed="false">
      <c r="A171" s="61" t="s">
        <v>326</v>
      </c>
      <c r="B171" s="61" t="s">
        <v>41</v>
      </c>
      <c r="C171" s="61" t="s">
        <v>62</v>
      </c>
      <c r="D171" s="61" t="s">
        <v>141</v>
      </c>
      <c r="E171" s="61" t="s">
        <v>246</v>
      </c>
      <c r="F171" s="61" t="s">
        <v>1049</v>
      </c>
      <c r="G171" s="60" t="n">
        <v>46277</v>
      </c>
      <c r="H171" s="62" t="n">
        <v>-8.4</v>
      </c>
      <c r="I171" s="61" t="s">
        <v>4</v>
      </c>
      <c r="J171" s="60" t="n">
        <v>46278</v>
      </c>
      <c r="K171" s="61" t="s">
        <v>1320</v>
      </c>
      <c r="L171" s="62" t="n">
        <v>0</v>
      </c>
      <c r="M171" s="64" t="n">
        <v>0.0972685185185185</v>
      </c>
      <c r="N171" s="61" t="s">
        <v>250</v>
      </c>
      <c r="O171" s="61" t="s">
        <v>1454</v>
      </c>
      <c r="P171" s="61" t="s">
        <v>327</v>
      </c>
      <c r="Q171" s="61" t="s">
        <v>328</v>
      </c>
      <c r="R171" s="62" t="n">
        <f aca="false">-H171</f>
        <v>8.4</v>
      </c>
    </row>
    <row r="172" customFormat="false" ht="15" hidden="false" customHeight="false" outlineLevel="0" collapsed="false">
      <c r="A172" s="61" t="s">
        <v>300</v>
      </c>
      <c r="B172" s="61" t="s">
        <v>41</v>
      </c>
      <c r="C172" s="61" t="s">
        <v>62</v>
      </c>
      <c r="D172" s="61" t="s">
        <v>141</v>
      </c>
      <c r="E172" s="61" t="s">
        <v>246</v>
      </c>
      <c r="F172" s="61" t="s">
        <v>1049</v>
      </c>
      <c r="G172" s="60" t="n">
        <v>46276</v>
      </c>
      <c r="H172" s="62" t="n">
        <v>-8.4</v>
      </c>
      <c r="I172" s="61" t="s">
        <v>4</v>
      </c>
      <c r="J172" s="60" t="n">
        <v>46276</v>
      </c>
      <c r="K172" s="61" t="s">
        <v>1320</v>
      </c>
      <c r="L172" s="62" t="n">
        <v>0</v>
      </c>
      <c r="M172" s="64" t="n">
        <v>0.248969907407407</v>
      </c>
      <c r="N172" s="61" t="s">
        <v>269</v>
      </c>
      <c r="O172" s="61" t="s">
        <v>1455</v>
      </c>
      <c r="P172" s="61" t="s">
        <v>301</v>
      </c>
      <c r="Q172" s="61" t="s">
        <v>302</v>
      </c>
      <c r="R172" s="62" t="n">
        <f aca="false">-H172</f>
        <v>8.4</v>
      </c>
    </row>
    <row r="173" customFormat="false" ht="15" hidden="false" customHeight="false" outlineLevel="0" collapsed="false">
      <c r="A173" s="61" t="s">
        <v>303</v>
      </c>
      <c r="B173" s="61" t="s">
        <v>41</v>
      </c>
      <c r="C173" s="61" t="s">
        <v>62</v>
      </c>
      <c r="D173" s="61" t="s">
        <v>141</v>
      </c>
      <c r="E173" s="61" t="s">
        <v>246</v>
      </c>
      <c r="F173" s="61" t="s">
        <v>1049</v>
      </c>
      <c r="G173" s="60" t="n">
        <v>46276</v>
      </c>
      <c r="H173" s="62" t="n">
        <v>-2.8</v>
      </c>
      <c r="I173" s="61" t="s">
        <v>4</v>
      </c>
      <c r="J173" s="60" t="n">
        <v>46276</v>
      </c>
      <c r="K173" s="61" t="s">
        <v>1320</v>
      </c>
      <c r="L173" s="62" t="n">
        <v>0</v>
      </c>
      <c r="M173" s="64" t="n">
        <v>0.285405092592593</v>
      </c>
      <c r="N173" s="61" t="s">
        <v>269</v>
      </c>
      <c r="O173" s="61" t="s">
        <v>1456</v>
      </c>
      <c r="P173" s="61" t="s">
        <v>304</v>
      </c>
      <c r="Q173" s="61" t="s">
        <v>305</v>
      </c>
      <c r="R173" s="62" t="n">
        <f aca="false">-H173</f>
        <v>2.8</v>
      </c>
    </row>
    <row r="174" customFormat="false" ht="15" hidden="false" customHeight="false" outlineLevel="0" collapsed="false">
      <c r="A174" s="61" t="s">
        <v>306</v>
      </c>
      <c r="B174" s="61" t="s">
        <v>41</v>
      </c>
      <c r="C174" s="61" t="s">
        <v>62</v>
      </c>
      <c r="D174" s="61" t="s">
        <v>141</v>
      </c>
      <c r="E174" s="61" t="s">
        <v>246</v>
      </c>
      <c r="F174" s="61" t="s">
        <v>1049</v>
      </c>
      <c r="G174" s="60" t="n">
        <v>46276</v>
      </c>
      <c r="H174" s="62" t="n">
        <v>-2.8</v>
      </c>
      <c r="I174" s="61" t="s">
        <v>4</v>
      </c>
      <c r="J174" s="60" t="n">
        <v>46276</v>
      </c>
      <c r="K174" s="61" t="s">
        <v>1320</v>
      </c>
      <c r="L174" s="62" t="n">
        <v>0</v>
      </c>
      <c r="M174" s="64" t="n">
        <v>0.286006944444445</v>
      </c>
      <c r="N174" s="61" t="s">
        <v>269</v>
      </c>
      <c r="O174" s="61" t="s">
        <v>1457</v>
      </c>
      <c r="P174" s="61" t="s">
        <v>307</v>
      </c>
      <c r="Q174" s="61" t="s">
        <v>308</v>
      </c>
      <c r="R174" s="62" t="n">
        <f aca="false">-H174</f>
        <v>2.8</v>
      </c>
    </row>
    <row r="175" customFormat="false" ht="15" hidden="false" customHeight="false" outlineLevel="0" collapsed="false">
      <c r="A175" s="61" t="s">
        <v>266</v>
      </c>
      <c r="B175" s="61" t="s">
        <v>41</v>
      </c>
      <c r="C175" s="61" t="s">
        <v>62</v>
      </c>
      <c r="D175" s="61" t="s">
        <v>141</v>
      </c>
      <c r="E175" s="61" t="s">
        <v>246</v>
      </c>
      <c r="F175" s="61" t="s">
        <v>1049</v>
      </c>
      <c r="G175" s="60" t="n">
        <v>46275</v>
      </c>
      <c r="H175" s="62" t="n">
        <v>-28</v>
      </c>
      <c r="I175" s="61" t="s">
        <v>4</v>
      </c>
      <c r="J175" s="60" t="n">
        <v>46276</v>
      </c>
      <c r="K175" s="61" t="s">
        <v>1320</v>
      </c>
      <c r="L175" s="62" t="n">
        <v>0</v>
      </c>
      <c r="M175" s="64" t="n">
        <v>0.0646180555555556</v>
      </c>
      <c r="N175" s="61" t="s">
        <v>269</v>
      </c>
      <c r="O175" s="61" t="s">
        <v>1058</v>
      </c>
      <c r="P175" s="61" t="s">
        <v>267</v>
      </c>
      <c r="Q175" s="61" t="s">
        <v>268</v>
      </c>
      <c r="R175" s="62" t="n">
        <f aca="false">-H175</f>
        <v>28</v>
      </c>
    </row>
    <row r="176" customFormat="false" ht="15" hidden="false" customHeight="false" outlineLevel="0" collapsed="false">
      <c r="A176" s="61" t="s">
        <v>262</v>
      </c>
      <c r="B176" s="61" t="s">
        <v>41</v>
      </c>
      <c r="C176" s="61" t="s">
        <v>62</v>
      </c>
      <c r="D176" s="61" t="s">
        <v>141</v>
      </c>
      <c r="E176" s="61" t="s">
        <v>254</v>
      </c>
      <c r="F176" s="61" t="s">
        <v>1049</v>
      </c>
      <c r="G176" s="60" t="n">
        <v>46275</v>
      </c>
      <c r="H176" s="62" t="n">
        <v>-14</v>
      </c>
      <c r="I176" s="61" t="s">
        <v>4</v>
      </c>
      <c r="J176" s="60" t="n">
        <v>46275</v>
      </c>
      <c r="K176" s="61" t="s">
        <v>1320</v>
      </c>
      <c r="L176" s="62" t="n">
        <v>0</v>
      </c>
      <c r="M176" s="64" t="n">
        <v>0.951435185185185</v>
      </c>
      <c r="N176" s="61" t="s">
        <v>258</v>
      </c>
      <c r="O176" s="61" t="s">
        <v>1372</v>
      </c>
      <c r="P176" s="61" t="s">
        <v>263</v>
      </c>
      <c r="Q176" s="61" t="s">
        <v>264</v>
      </c>
      <c r="R176" s="62" t="n">
        <f aca="false">-H176</f>
        <v>14</v>
      </c>
    </row>
    <row r="177" customFormat="false" ht="15" hidden="false" customHeight="false" outlineLevel="0" collapsed="false">
      <c r="A177" s="61" t="s">
        <v>247</v>
      </c>
      <c r="B177" s="61" t="s">
        <v>41</v>
      </c>
      <c r="C177" s="61" t="s">
        <v>62</v>
      </c>
      <c r="D177" s="61" t="s">
        <v>141</v>
      </c>
      <c r="E177" s="61" t="s">
        <v>246</v>
      </c>
      <c r="F177" s="61" t="s">
        <v>1049</v>
      </c>
      <c r="G177" s="60" t="n">
        <v>46274</v>
      </c>
      <c r="H177" s="62" t="n">
        <v>-5.6</v>
      </c>
      <c r="I177" s="61" t="s">
        <v>4</v>
      </c>
      <c r="J177" s="60" t="n">
        <v>46274</v>
      </c>
      <c r="K177" s="61" t="s">
        <v>1320</v>
      </c>
      <c r="L177" s="62" t="n">
        <v>0</v>
      </c>
      <c r="M177" s="64" t="n">
        <v>0.400775462962963</v>
      </c>
      <c r="N177" s="61" t="s">
        <v>250</v>
      </c>
      <c r="O177" s="61" t="s">
        <v>1396</v>
      </c>
      <c r="P177" s="61" t="s">
        <v>248</v>
      </c>
      <c r="Q177" s="61" t="s">
        <v>249</v>
      </c>
      <c r="R177" s="62" t="n">
        <f aca="false">-H177</f>
        <v>5.6</v>
      </c>
    </row>
    <row r="178" customFormat="false" ht="15" hidden="false" customHeight="false" outlineLevel="0" collapsed="false">
      <c r="A178" s="61" t="s">
        <v>962</v>
      </c>
      <c r="B178" s="61" t="s">
        <v>47</v>
      </c>
      <c r="C178" s="61" t="s">
        <v>68</v>
      </c>
      <c r="D178" s="61" t="s">
        <v>202</v>
      </c>
      <c r="E178" s="61" t="s">
        <v>246</v>
      </c>
      <c r="F178" s="61" t="s">
        <v>1049</v>
      </c>
      <c r="G178" s="60" t="n">
        <v>46295</v>
      </c>
      <c r="H178" s="62" t="n">
        <v>-2460</v>
      </c>
      <c r="I178" s="61" t="s">
        <v>4</v>
      </c>
      <c r="J178" s="60" t="n">
        <v>46296</v>
      </c>
      <c r="K178" s="61" t="s">
        <v>1320</v>
      </c>
      <c r="L178" s="62" t="n">
        <v>0</v>
      </c>
      <c r="M178" s="64" t="n">
        <v>0.0689583333333333</v>
      </c>
      <c r="N178" s="61" t="s">
        <v>269</v>
      </c>
      <c r="O178" s="61" t="s">
        <v>1458</v>
      </c>
      <c r="P178" s="61" t="s">
        <v>953</v>
      </c>
      <c r="Q178" s="61" t="s">
        <v>954</v>
      </c>
      <c r="R178" s="62" t="n">
        <f aca="false">-H178</f>
        <v>2460</v>
      </c>
    </row>
    <row r="179" customFormat="false" ht="15" hidden="false" customHeight="false" outlineLevel="0" collapsed="false">
      <c r="A179" s="61" t="s">
        <v>867</v>
      </c>
      <c r="B179" s="61" t="s">
        <v>47</v>
      </c>
      <c r="C179" s="61" t="s">
        <v>68</v>
      </c>
      <c r="D179" s="61" t="s">
        <v>202</v>
      </c>
      <c r="E179" s="61" t="s">
        <v>246</v>
      </c>
      <c r="F179" s="61" t="s">
        <v>1049</v>
      </c>
      <c r="G179" s="60" t="n">
        <v>46294</v>
      </c>
      <c r="H179" s="62" t="n">
        <v>-60</v>
      </c>
      <c r="I179" s="61" t="s">
        <v>4</v>
      </c>
      <c r="J179" s="60" t="n">
        <v>46294</v>
      </c>
      <c r="K179" s="61" t="s">
        <v>1320</v>
      </c>
      <c r="L179" s="62" t="n">
        <v>0</v>
      </c>
      <c r="M179" s="64" t="n">
        <v>0.58787037037037</v>
      </c>
      <c r="N179" s="61" t="s">
        <v>338</v>
      </c>
      <c r="O179" s="61" t="s">
        <v>1459</v>
      </c>
      <c r="P179" s="61" t="s">
        <v>868</v>
      </c>
      <c r="Q179" s="61" t="s">
        <v>869</v>
      </c>
      <c r="R179" s="62" t="n">
        <f aca="false">-H179</f>
        <v>60</v>
      </c>
    </row>
    <row r="180" customFormat="false" ht="15" hidden="false" customHeight="false" outlineLevel="0" collapsed="false">
      <c r="A180" s="61" t="s">
        <v>743</v>
      </c>
      <c r="B180" s="61" t="s">
        <v>47</v>
      </c>
      <c r="C180" s="61" t="s">
        <v>68</v>
      </c>
      <c r="D180" s="61" t="s">
        <v>202</v>
      </c>
      <c r="E180" s="61" t="s">
        <v>246</v>
      </c>
      <c r="F180" s="61" t="s">
        <v>1049</v>
      </c>
      <c r="G180" s="60" t="n">
        <v>46292</v>
      </c>
      <c r="H180" s="62" t="n">
        <v>-40</v>
      </c>
      <c r="I180" s="61" t="s">
        <v>4</v>
      </c>
      <c r="J180" s="60" t="n">
        <v>46292</v>
      </c>
      <c r="K180" s="61" t="s">
        <v>1320</v>
      </c>
      <c r="L180" s="62" t="n">
        <v>0</v>
      </c>
      <c r="M180" s="64" t="n">
        <v>0.82525462962963</v>
      </c>
      <c r="N180" s="61" t="s">
        <v>275</v>
      </c>
      <c r="O180" s="61" t="s">
        <v>1460</v>
      </c>
      <c r="P180" s="61" t="s">
        <v>744</v>
      </c>
      <c r="Q180" s="61" t="s">
        <v>745</v>
      </c>
      <c r="R180" s="62" t="n">
        <f aca="false">-H180</f>
        <v>40</v>
      </c>
    </row>
    <row r="181" customFormat="false" ht="15" hidden="false" customHeight="false" outlineLevel="0" collapsed="false">
      <c r="A181" s="61" t="s">
        <v>730</v>
      </c>
      <c r="B181" s="61" t="s">
        <v>47</v>
      </c>
      <c r="C181" s="61" t="s">
        <v>68</v>
      </c>
      <c r="D181" s="61" t="s">
        <v>202</v>
      </c>
      <c r="E181" s="61" t="s">
        <v>246</v>
      </c>
      <c r="F181" s="61" t="s">
        <v>1049</v>
      </c>
      <c r="G181" s="60" t="n">
        <v>46292</v>
      </c>
      <c r="H181" s="62" t="n">
        <v>-40</v>
      </c>
      <c r="I181" s="61" t="s">
        <v>4</v>
      </c>
      <c r="J181" s="60" t="n">
        <v>46292</v>
      </c>
      <c r="K181" s="61" t="s">
        <v>1320</v>
      </c>
      <c r="L181" s="62" t="n">
        <v>0</v>
      </c>
      <c r="M181" s="64" t="n">
        <v>0.825011574074074</v>
      </c>
      <c r="N181" s="61" t="s">
        <v>275</v>
      </c>
      <c r="O181" s="61" t="s">
        <v>1418</v>
      </c>
      <c r="P181" s="61" t="s">
        <v>731</v>
      </c>
      <c r="Q181" s="61" t="s">
        <v>732</v>
      </c>
      <c r="R181" s="62" t="n">
        <f aca="false">-H181</f>
        <v>40</v>
      </c>
    </row>
    <row r="182" customFormat="false" ht="15" hidden="false" customHeight="false" outlineLevel="0" collapsed="false">
      <c r="A182" s="61" t="s">
        <v>746</v>
      </c>
      <c r="B182" s="61" t="s">
        <v>47</v>
      </c>
      <c r="C182" s="61" t="s">
        <v>68</v>
      </c>
      <c r="D182" s="61" t="s">
        <v>202</v>
      </c>
      <c r="E182" s="61" t="s">
        <v>246</v>
      </c>
      <c r="F182" s="61" t="s">
        <v>1049</v>
      </c>
      <c r="G182" s="60" t="n">
        <v>46292</v>
      </c>
      <c r="H182" s="62" t="n">
        <v>-40</v>
      </c>
      <c r="I182" s="61" t="s">
        <v>4</v>
      </c>
      <c r="J182" s="60" t="n">
        <v>46292</v>
      </c>
      <c r="K182" s="61" t="s">
        <v>1320</v>
      </c>
      <c r="L182" s="62" t="n">
        <v>0</v>
      </c>
      <c r="M182" s="64" t="n">
        <v>0.824988425925926</v>
      </c>
      <c r="N182" s="61" t="s">
        <v>275</v>
      </c>
      <c r="O182" s="61" t="s">
        <v>1461</v>
      </c>
      <c r="P182" s="61" t="s">
        <v>747</v>
      </c>
      <c r="Q182" s="61" t="s">
        <v>748</v>
      </c>
      <c r="R182" s="62" t="n">
        <f aca="false">-H182</f>
        <v>40</v>
      </c>
    </row>
    <row r="183" customFormat="false" ht="15" hidden="false" customHeight="false" outlineLevel="0" collapsed="false">
      <c r="A183" s="61" t="s">
        <v>309</v>
      </c>
      <c r="B183" s="61" t="s">
        <v>47</v>
      </c>
      <c r="C183" s="61" t="s">
        <v>68</v>
      </c>
      <c r="D183" s="61" t="s">
        <v>202</v>
      </c>
      <c r="E183" s="61" t="s">
        <v>246</v>
      </c>
      <c r="F183" s="61" t="s">
        <v>1049</v>
      </c>
      <c r="G183" s="60" t="n">
        <v>46276</v>
      </c>
      <c r="H183" s="62" t="n">
        <v>-2300</v>
      </c>
      <c r="I183" s="61" t="s">
        <v>4</v>
      </c>
      <c r="J183" s="60" t="n">
        <v>46276</v>
      </c>
      <c r="K183" s="61" t="s">
        <v>1320</v>
      </c>
      <c r="L183" s="62" t="n">
        <v>0</v>
      </c>
      <c r="M183" s="64" t="n">
        <v>0.761851851851852</v>
      </c>
      <c r="N183" s="61" t="s">
        <v>312</v>
      </c>
      <c r="O183" s="61" t="s">
        <v>1462</v>
      </c>
      <c r="P183" s="61" t="s">
        <v>310</v>
      </c>
      <c r="Q183" s="61" t="s">
        <v>311</v>
      </c>
      <c r="R183" s="62" t="n">
        <f aca="false">-H183</f>
        <v>2300</v>
      </c>
    </row>
    <row r="184" customFormat="false" ht="15" hidden="false" customHeight="false" outlineLevel="0" collapsed="false">
      <c r="A184" s="61" t="s">
        <v>963</v>
      </c>
      <c r="B184" s="61" t="s">
        <v>51</v>
      </c>
      <c r="C184" s="61" t="s">
        <v>70</v>
      </c>
      <c r="D184" s="61" t="s">
        <v>128</v>
      </c>
      <c r="E184" s="61" t="s">
        <v>246</v>
      </c>
      <c r="F184" s="61" t="s">
        <v>1049</v>
      </c>
      <c r="G184" s="60" t="n">
        <v>46295</v>
      </c>
      <c r="H184" s="62" t="n">
        <v>-30</v>
      </c>
      <c r="I184" s="61" t="s">
        <v>4</v>
      </c>
      <c r="J184" s="60" t="n">
        <v>46296</v>
      </c>
      <c r="K184" s="61" t="s">
        <v>1320</v>
      </c>
      <c r="L184" s="62" t="n">
        <v>0</v>
      </c>
      <c r="M184" s="64" t="n">
        <v>0.0631481481481482</v>
      </c>
      <c r="N184" s="61" t="s">
        <v>269</v>
      </c>
      <c r="O184" s="61" t="s">
        <v>1463</v>
      </c>
      <c r="P184" s="61" t="s">
        <v>428</v>
      </c>
      <c r="Q184" s="61" t="s">
        <v>429</v>
      </c>
      <c r="R184" s="62" t="n">
        <f aca="false">-H184</f>
        <v>30</v>
      </c>
    </row>
    <row r="185" customFormat="false" ht="15" hidden="false" customHeight="false" outlineLevel="0" collapsed="false">
      <c r="A185" s="61" t="s">
        <v>964</v>
      </c>
      <c r="B185" s="61" t="s">
        <v>51</v>
      </c>
      <c r="C185" s="61" t="s">
        <v>70</v>
      </c>
      <c r="D185" s="61" t="s">
        <v>128</v>
      </c>
      <c r="E185" s="61" t="s">
        <v>246</v>
      </c>
      <c r="F185" s="61" t="s">
        <v>1049</v>
      </c>
      <c r="G185" s="60" t="n">
        <v>46295</v>
      </c>
      <c r="H185" s="62" t="n">
        <v>-10</v>
      </c>
      <c r="I185" s="61" t="s">
        <v>4</v>
      </c>
      <c r="J185" s="60" t="n">
        <v>46296</v>
      </c>
      <c r="K185" s="61" t="s">
        <v>1320</v>
      </c>
      <c r="L185" s="62" t="n">
        <v>0</v>
      </c>
      <c r="M185" s="64" t="n">
        <v>0.0690393518518519</v>
      </c>
      <c r="N185" s="61" t="s">
        <v>269</v>
      </c>
      <c r="O185" s="61" t="s">
        <v>1464</v>
      </c>
      <c r="P185" s="61" t="s">
        <v>965</v>
      </c>
      <c r="Q185" s="61" t="s">
        <v>966</v>
      </c>
      <c r="R185" s="62" t="n">
        <f aca="false">-H185</f>
        <v>10</v>
      </c>
    </row>
    <row r="186" customFormat="false" ht="15" hidden="false" customHeight="false" outlineLevel="0" collapsed="false">
      <c r="A186" s="61" t="s">
        <v>964</v>
      </c>
      <c r="B186" s="61" t="s">
        <v>51</v>
      </c>
      <c r="C186" s="61" t="s">
        <v>72</v>
      </c>
      <c r="D186" s="61" t="s">
        <v>128</v>
      </c>
      <c r="E186" s="61" t="s">
        <v>246</v>
      </c>
      <c r="F186" s="61" t="s">
        <v>1049</v>
      </c>
      <c r="G186" s="60" t="n">
        <v>46295</v>
      </c>
      <c r="H186" s="62" t="n">
        <v>-240</v>
      </c>
      <c r="I186" s="61" t="s">
        <v>4</v>
      </c>
      <c r="J186" s="60" t="n">
        <v>46296</v>
      </c>
      <c r="K186" s="61" t="s">
        <v>1320</v>
      </c>
      <c r="L186" s="62" t="n">
        <v>0</v>
      </c>
      <c r="M186" s="64" t="n">
        <v>0.0690393518518519</v>
      </c>
      <c r="N186" s="61" t="s">
        <v>269</v>
      </c>
      <c r="O186" s="61" t="s">
        <v>1464</v>
      </c>
      <c r="P186" s="61" t="s">
        <v>965</v>
      </c>
      <c r="Q186" s="61" t="s">
        <v>966</v>
      </c>
      <c r="R186" s="62" t="n">
        <f aca="false">-H186</f>
        <v>240</v>
      </c>
    </row>
    <row r="187" customFormat="false" ht="15" hidden="false" customHeight="false" outlineLevel="0" collapsed="false">
      <c r="A187" s="61" t="s">
        <v>568</v>
      </c>
      <c r="B187" s="61" t="s">
        <v>51</v>
      </c>
      <c r="C187" s="61" t="s">
        <v>70</v>
      </c>
      <c r="D187" s="61" t="s">
        <v>128</v>
      </c>
      <c r="E187" s="61" t="s">
        <v>246</v>
      </c>
      <c r="F187" s="61" t="s">
        <v>1049</v>
      </c>
      <c r="G187" s="60" t="n">
        <v>46288</v>
      </c>
      <c r="H187" s="62" t="n">
        <v>-10</v>
      </c>
      <c r="I187" s="61" t="s">
        <v>4</v>
      </c>
      <c r="J187" s="60" t="n">
        <v>46288</v>
      </c>
      <c r="K187" s="61" t="s">
        <v>1320</v>
      </c>
      <c r="L187" s="62" t="n">
        <v>0</v>
      </c>
      <c r="M187" s="64" t="n">
        <v>0.273090277777778</v>
      </c>
      <c r="N187" s="61" t="s">
        <v>269</v>
      </c>
      <c r="O187" s="61" t="s">
        <v>1398</v>
      </c>
      <c r="P187" s="61" t="s">
        <v>569</v>
      </c>
      <c r="Q187" s="61" t="s">
        <v>570</v>
      </c>
      <c r="R187" s="62" t="n">
        <f aca="false">-H187</f>
        <v>10</v>
      </c>
    </row>
    <row r="188" customFormat="false" ht="15" hidden="false" customHeight="false" outlineLevel="0" collapsed="false">
      <c r="A188" s="61" t="s">
        <v>272</v>
      </c>
      <c r="B188" s="61" t="s">
        <v>51</v>
      </c>
      <c r="C188" s="61" t="s">
        <v>70</v>
      </c>
      <c r="D188" s="61" t="s">
        <v>128</v>
      </c>
      <c r="E188" s="61" t="s">
        <v>246</v>
      </c>
      <c r="F188" s="61" t="s">
        <v>1049</v>
      </c>
      <c r="G188" s="60" t="n">
        <v>46275</v>
      </c>
      <c r="H188" s="62" t="n">
        <v>-10</v>
      </c>
      <c r="I188" s="61" t="s">
        <v>4</v>
      </c>
      <c r="J188" s="60" t="n">
        <v>46275</v>
      </c>
      <c r="K188" s="61" t="s">
        <v>1320</v>
      </c>
      <c r="L188" s="62" t="n">
        <v>0</v>
      </c>
      <c r="M188" s="64" t="n">
        <v>0.545972222222222</v>
      </c>
      <c r="N188" s="61" t="s">
        <v>275</v>
      </c>
      <c r="O188" s="61" t="s">
        <v>1465</v>
      </c>
      <c r="P188" s="61" t="s">
        <v>273</v>
      </c>
      <c r="Q188" s="61" t="s">
        <v>274</v>
      </c>
      <c r="R188" s="62" t="n">
        <f aca="false">-H188</f>
        <v>10</v>
      </c>
    </row>
    <row r="189" customFormat="false" ht="15" hidden="false" customHeight="false" outlineLevel="0" collapsed="false">
      <c r="A189" s="61" t="s">
        <v>979</v>
      </c>
      <c r="B189" s="61" t="s">
        <v>53</v>
      </c>
      <c r="C189" s="61" t="s">
        <v>86</v>
      </c>
      <c r="D189" s="61" t="s">
        <v>137</v>
      </c>
      <c r="E189" s="61" t="s">
        <v>246</v>
      </c>
      <c r="F189" s="61" t="s">
        <v>1049</v>
      </c>
      <c r="G189" s="60" t="n">
        <v>46295</v>
      </c>
      <c r="H189" s="62" t="n">
        <v>-150</v>
      </c>
      <c r="I189" s="61" t="s">
        <v>9</v>
      </c>
      <c r="J189" s="60" t="n">
        <v>46296</v>
      </c>
      <c r="K189" s="61" t="s">
        <v>1320</v>
      </c>
      <c r="L189" s="62" t="n">
        <v>0</v>
      </c>
      <c r="M189" s="64" t="n">
        <v>0.0630208333333333</v>
      </c>
      <c r="N189" s="61" t="s">
        <v>269</v>
      </c>
      <c r="O189" s="61" t="s">
        <v>1466</v>
      </c>
      <c r="P189" s="61" t="s">
        <v>980</v>
      </c>
      <c r="Q189" s="61" t="s">
        <v>981</v>
      </c>
      <c r="R189" s="62" t="n">
        <f aca="false">-H189</f>
        <v>150</v>
      </c>
    </row>
    <row r="190" customFormat="false" ht="15" hidden="false" customHeight="false" outlineLevel="0" collapsed="false">
      <c r="A190" s="61" t="s">
        <v>982</v>
      </c>
      <c r="B190" s="61" t="s">
        <v>53</v>
      </c>
      <c r="C190" s="61" t="s">
        <v>86</v>
      </c>
      <c r="D190" s="61" t="s">
        <v>137</v>
      </c>
      <c r="E190" s="61" t="s">
        <v>246</v>
      </c>
      <c r="F190" s="61" t="s">
        <v>1049</v>
      </c>
      <c r="G190" s="60" t="n">
        <v>46295</v>
      </c>
      <c r="H190" s="62" t="n">
        <v>-60</v>
      </c>
      <c r="I190" s="61" t="s">
        <v>9</v>
      </c>
      <c r="J190" s="60" t="n">
        <v>46296</v>
      </c>
      <c r="K190" s="61" t="s">
        <v>1320</v>
      </c>
      <c r="L190" s="62" t="n">
        <v>0</v>
      </c>
      <c r="M190" s="64" t="n">
        <v>0.0630439814814815</v>
      </c>
      <c r="N190" s="61" t="s">
        <v>269</v>
      </c>
      <c r="O190" s="61" t="s">
        <v>1467</v>
      </c>
      <c r="P190" s="61" t="s">
        <v>980</v>
      </c>
      <c r="Q190" s="61" t="s">
        <v>981</v>
      </c>
      <c r="R190" s="62" t="n">
        <f aca="false">-H190</f>
        <v>60</v>
      </c>
    </row>
    <row r="191" customFormat="false" ht="15" hidden="false" customHeight="false" outlineLevel="0" collapsed="false">
      <c r="A191" s="61" t="s">
        <v>967</v>
      </c>
      <c r="B191" s="61" t="s">
        <v>53</v>
      </c>
      <c r="C191" s="61" t="s">
        <v>84</v>
      </c>
      <c r="D191" s="61" t="s">
        <v>137</v>
      </c>
      <c r="E191" s="61" t="s">
        <v>246</v>
      </c>
      <c r="F191" s="61" t="s">
        <v>1049</v>
      </c>
      <c r="G191" s="60" t="n">
        <v>46295</v>
      </c>
      <c r="H191" s="62" t="n">
        <v>-30</v>
      </c>
      <c r="I191" s="61" t="s">
        <v>9</v>
      </c>
      <c r="J191" s="60" t="n">
        <v>46295</v>
      </c>
      <c r="K191" s="61" t="s">
        <v>1320</v>
      </c>
      <c r="L191" s="62" t="n">
        <v>0</v>
      </c>
      <c r="M191" s="64" t="n">
        <v>0.430740740740741</v>
      </c>
      <c r="N191" s="61" t="s">
        <v>250</v>
      </c>
      <c r="O191" s="61" t="s">
        <v>1468</v>
      </c>
      <c r="P191" s="61" t="s">
        <v>314</v>
      </c>
      <c r="Q191" s="61" t="s">
        <v>315</v>
      </c>
      <c r="R191" s="62" t="n">
        <f aca="false">-H191</f>
        <v>30</v>
      </c>
    </row>
    <row r="192" customFormat="false" ht="15" hidden="false" customHeight="false" outlineLevel="0" collapsed="false">
      <c r="A192" s="61" t="s">
        <v>967</v>
      </c>
      <c r="B192" s="61" t="s">
        <v>53</v>
      </c>
      <c r="C192" s="61" t="s">
        <v>78</v>
      </c>
      <c r="D192" s="61" t="s">
        <v>137</v>
      </c>
      <c r="E192" s="61" t="s">
        <v>246</v>
      </c>
      <c r="F192" s="61" t="s">
        <v>1049</v>
      </c>
      <c r="G192" s="60" t="n">
        <v>46295</v>
      </c>
      <c r="H192" s="62" t="n">
        <v>-195</v>
      </c>
      <c r="I192" s="61" t="s">
        <v>9</v>
      </c>
      <c r="J192" s="60" t="n">
        <v>46295</v>
      </c>
      <c r="K192" s="61" t="s">
        <v>1320</v>
      </c>
      <c r="L192" s="62" t="n">
        <v>0</v>
      </c>
      <c r="M192" s="64" t="n">
        <v>0.430740740740741</v>
      </c>
      <c r="N192" s="61" t="s">
        <v>250</v>
      </c>
      <c r="O192" s="61" t="s">
        <v>1468</v>
      </c>
      <c r="P192" s="61" t="s">
        <v>314</v>
      </c>
      <c r="Q192" s="61" t="s">
        <v>315</v>
      </c>
      <c r="R192" s="62" t="n">
        <f aca="false">-H192</f>
        <v>195</v>
      </c>
    </row>
    <row r="193" customFormat="false" ht="15" hidden="false" customHeight="false" outlineLevel="0" collapsed="false">
      <c r="A193" s="61" t="s">
        <v>968</v>
      </c>
      <c r="B193" s="61" t="s">
        <v>53</v>
      </c>
      <c r="C193" s="61" t="s">
        <v>80</v>
      </c>
      <c r="D193" s="61" t="s">
        <v>137</v>
      </c>
      <c r="E193" s="61" t="s">
        <v>246</v>
      </c>
      <c r="F193" s="61" t="s">
        <v>1049</v>
      </c>
      <c r="G193" s="60" t="n">
        <v>46295</v>
      </c>
      <c r="H193" s="62" t="n">
        <v>-15</v>
      </c>
      <c r="I193" s="61" t="s">
        <v>9</v>
      </c>
      <c r="J193" s="60" t="n">
        <v>46295</v>
      </c>
      <c r="K193" s="61" t="s">
        <v>1320</v>
      </c>
      <c r="L193" s="62" t="n">
        <v>0</v>
      </c>
      <c r="M193" s="64" t="n">
        <v>0.356875</v>
      </c>
      <c r="N193" s="61" t="s">
        <v>250</v>
      </c>
      <c r="O193" s="61" t="s">
        <v>1469</v>
      </c>
      <c r="P193" s="61" t="s">
        <v>969</v>
      </c>
      <c r="Q193" s="61" t="s">
        <v>970</v>
      </c>
      <c r="R193" s="62" t="n">
        <f aca="false">-H193</f>
        <v>15</v>
      </c>
    </row>
    <row r="194" customFormat="false" ht="15" hidden="false" customHeight="false" outlineLevel="0" collapsed="false">
      <c r="A194" s="61" t="s">
        <v>978</v>
      </c>
      <c r="B194" s="61" t="s">
        <v>53</v>
      </c>
      <c r="C194" s="61" t="s">
        <v>82</v>
      </c>
      <c r="D194" s="61" t="s">
        <v>137</v>
      </c>
      <c r="E194" s="61" t="s">
        <v>246</v>
      </c>
      <c r="F194" s="61" t="s">
        <v>1049</v>
      </c>
      <c r="G194" s="60" t="n">
        <v>46295</v>
      </c>
      <c r="H194" s="62" t="n">
        <v>-450</v>
      </c>
      <c r="I194" s="61" t="s">
        <v>9</v>
      </c>
      <c r="J194" s="60" t="n">
        <v>46295</v>
      </c>
      <c r="K194" s="61" t="s">
        <v>1320</v>
      </c>
      <c r="L194" s="62" t="n">
        <v>0</v>
      </c>
      <c r="M194" s="64" t="n">
        <v>0.356782407407407</v>
      </c>
      <c r="N194" s="61" t="s">
        <v>250</v>
      </c>
      <c r="O194" s="61" t="s">
        <v>1470</v>
      </c>
      <c r="P194" s="61" t="s">
        <v>973</v>
      </c>
      <c r="Q194" s="61" t="s">
        <v>974</v>
      </c>
      <c r="R194" s="62" t="n">
        <f aca="false">-H194</f>
        <v>450</v>
      </c>
    </row>
    <row r="195" customFormat="false" ht="15" hidden="false" customHeight="false" outlineLevel="0" collapsed="false">
      <c r="A195" s="61" t="s">
        <v>978</v>
      </c>
      <c r="B195" s="61" t="s">
        <v>53</v>
      </c>
      <c r="C195" s="61" t="s">
        <v>84</v>
      </c>
      <c r="D195" s="61" t="s">
        <v>137</v>
      </c>
      <c r="E195" s="61" t="s">
        <v>246</v>
      </c>
      <c r="F195" s="61" t="s">
        <v>1049</v>
      </c>
      <c r="G195" s="60" t="n">
        <v>46295</v>
      </c>
      <c r="H195" s="62" t="n">
        <v>-300</v>
      </c>
      <c r="I195" s="61" t="s">
        <v>9</v>
      </c>
      <c r="J195" s="60" t="n">
        <v>46295</v>
      </c>
      <c r="K195" s="61" t="s">
        <v>1320</v>
      </c>
      <c r="L195" s="62" t="n">
        <v>0</v>
      </c>
      <c r="M195" s="64" t="n">
        <v>0.356782407407407</v>
      </c>
      <c r="N195" s="61" t="s">
        <v>250</v>
      </c>
      <c r="O195" s="61" t="s">
        <v>1470</v>
      </c>
      <c r="P195" s="61" t="s">
        <v>973</v>
      </c>
      <c r="Q195" s="61" t="s">
        <v>974</v>
      </c>
      <c r="R195" s="62" t="n">
        <f aca="false">-H195</f>
        <v>300</v>
      </c>
    </row>
    <row r="196" customFormat="false" ht="15" hidden="false" customHeight="false" outlineLevel="0" collapsed="false">
      <c r="A196" s="61" t="s">
        <v>971</v>
      </c>
      <c r="B196" s="61" t="s">
        <v>53</v>
      </c>
      <c r="C196" s="61" t="s">
        <v>80</v>
      </c>
      <c r="D196" s="61" t="s">
        <v>137</v>
      </c>
      <c r="E196" s="61" t="s">
        <v>246</v>
      </c>
      <c r="F196" s="61" t="s">
        <v>1049</v>
      </c>
      <c r="G196" s="60" t="n">
        <v>46295</v>
      </c>
      <c r="H196" s="62" t="n">
        <v>-45</v>
      </c>
      <c r="I196" s="61" t="s">
        <v>9</v>
      </c>
      <c r="J196" s="60" t="n">
        <v>46295</v>
      </c>
      <c r="K196" s="61" t="s">
        <v>1320</v>
      </c>
      <c r="L196" s="62" t="n">
        <v>0</v>
      </c>
      <c r="M196" s="64" t="n">
        <v>0.356111111111111</v>
      </c>
      <c r="N196" s="61" t="s">
        <v>250</v>
      </c>
      <c r="O196" s="61" t="s">
        <v>1471</v>
      </c>
      <c r="P196" s="61" t="s">
        <v>604</v>
      </c>
      <c r="Q196" s="61" t="s">
        <v>605</v>
      </c>
      <c r="R196" s="62" t="n">
        <f aca="false">-H196</f>
        <v>45</v>
      </c>
    </row>
    <row r="197" customFormat="false" ht="15" hidden="false" customHeight="false" outlineLevel="0" collapsed="false">
      <c r="A197" s="61" t="s">
        <v>983</v>
      </c>
      <c r="B197" s="61" t="s">
        <v>53</v>
      </c>
      <c r="C197" s="61" t="s">
        <v>86</v>
      </c>
      <c r="D197" s="61" t="s">
        <v>137</v>
      </c>
      <c r="E197" s="61" t="s">
        <v>246</v>
      </c>
      <c r="F197" s="61" t="s">
        <v>1049</v>
      </c>
      <c r="G197" s="60" t="n">
        <v>46295</v>
      </c>
      <c r="H197" s="62" t="n">
        <v>-120</v>
      </c>
      <c r="I197" s="61" t="s">
        <v>9</v>
      </c>
      <c r="J197" s="60" t="n">
        <v>46295</v>
      </c>
      <c r="K197" s="61" t="s">
        <v>1320</v>
      </c>
      <c r="L197" s="62" t="n">
        <v>0</v>
      </c>
      <c r="M197" s="64" t="n">
        <v>0.356180555555556</v>
      </c>
      <c r="N197" s="61" t="s">
        <v>250</v>
      </c>
      <c r="O197" s="61" t="s">
        <v>1472</v>
      </c>
      <c r="P197" s="61" t="s">
        <v>984</v>
      </c>
      <c r="Q197" s="61" t="s">
        <v>985</v>
      </c>
      <c r="R197" s="62" t="n">
        <f aca="false">-H197</f>
        <v>120</v>
      </c>
    </row>
    <row r="198" customFormat="false" ht="15" hidden="false" customHeight="false" outlineLevel="0" collapsed="false">
      <c r="A198" s="61" t="s">
        <v>972</v>
      </c>
      <c r="B198" s="61" t="s">
        <v>53</v>
      </c>
      <c r="C198" s="61" t="s">
        <v>84</v>
      </c>
      <c r="D198" s="61" t="s">
        <v>137</v>
      </c>
      <c r="E198" s="61" t="s">
        <v>246</v>
      </c>
      <c r="F198" s="61" t="s">
        <v>1049</v>
      </c>
      <c r="G198" s="60" t="n">
        <v>46295</v>
      </c>
      <c r="H198" s="62" t="n">
        <v>-45</v>
      </c>
      <c r="I198" s="61" t="s">
        <v>9</v>
      </c>
      <c r="J198" s="60" t="n">
        <v>46295</v>
      </c>
      <c r="K198" s="61" t="s">
        <v>1320</v>
      </c>
      <c r="L198" s="62" t="n">
        <v>0</v>
      </c>
      <c r="M198" s="64" t="n">
        <v>0.356759259259259</v>
      </c>
      <c r="N198" s="61" t="s">
        <v>250</v>
      </c>
      <c r="O198" s="61" t="s">
        <v>1473</v>
      </c>
      <c r="P198" s="61" t="s">
        <v>973</v>
      </c>
      <c r="Q198" s="61" t="s">
        <v>974</v>
      </c>
      <c r="R198" s="62" t="n">
        <f aca="false">-H198</f>
        <v>45</v>
      </c>
    </row>
    <row r="199" customFormat="false" ht="15" hidden="false" customHeight="false" outlineLevel="0" collapsed="false">
      <c r="A199" s="61" t="s">
        <v>972</v>
      </c>
      <c r="B199" s="61" t="s">
        <v>53</v>
      </c>
      <c r="C199" s="61" t="s">
        <v>80</v>
      </c>
      <c r="D199" s="61" t="s">
        <v>137</v>
      </c>
      <c r="E199" s="61" t="s">
        <v>246</v>
      </c>
      <c r="F199" s="61" t="s">
        <v>1049</v>
      </c>
      <c r="G199" s="60" t="n">
        <v>46295</v>
      </c>
      <c r="H199" s="62" t="n">
        <v>-165</v>
      </c>
      <c r="I199" s="61" t="s">
        <v>9</v>
      </c>
      <c r="J199" s="60" t="n">
        <v>46295</v>
      </c>
      <c r="K199" s="61" t="s">
        <v>1320</v>
      </c>
      <c r="L199" s="62" t="n">
        <v>0</v>
      </c>
      <c r="M199" s="64" t="n">
        <v>0.356759259259259</v>
      </c>
      <c r="N199" s="61" t="s">
        <v>250</v>
      </c>
      <c r="O199" s="61" t="s">
        <v>1473</v>
      </c>
      <c r="P199" s="61" t="s">
        <v>973</v>
      </c>
      <c r="Q199" s="61" t="s">
        <v>974</v>
      </c>
      <c r="R199" s="62" t="n">
        <f aca="false">-H199</f>
        <v>165</v>
      </c>
    </row>
    <row r="200" customFormat="false" ht="15" hidden="false" customHeight="false" outlineLevel="0" collapsed="false">
      <c r="A200" s="61" t="s">
        <v>975</v>
      </c>
      <c r="B200" s="61" t="s">
        <v>53</v>
      </c>
      <c r="C200" s="61" t="s">
        <v>80</v>
      </c>
      <c r="D200" s="61" t="s">
        <v>137</v>
      </c>
      <c r="E200" s="61" t="s">
        <v>246</v>
      </c>
      <c r="F200" s="61" t="s">
        <v>1049</v>
      </c>
      <c r="G200" s="60" t="n">
        <v>46295</v>
      </c>
      <c r="H200" s="62" t="n">
        <v>-75</v>
      </c>
      <c r="I200" s="61" t="s">
        <v>9</v>
      </c>
      <c r="J200" s="60" t="n">
        <v>46295</v>
      </c>
      <c r="K200" s="61" t="s">
        <v>1320</v>
      </c>
      <c r="L200" s="62" t="n">
        <v>0</v>
      </c>
      <c r="M200" s="64" t="n">
        <v>0.356145833333333</v>
      </c>
      <c r="N200" s="61" t="s">
        <v>250</v>
      </c>
      <c r="O200" s="61" t="s">
        <v>1474</v>
      </c>
      <c r="P200" s="61" t="s">
        <v>976</v>
      </c>
      <c r="Q200" s="61" t="s">
        <v>977</v>
      </c>
      <c r="R200" s="62" t="n">
        <f aca="false">-H200</f>
        <v>75</v>
      </c>
    </row>
    <row r="201" customFormat="false" ht="15" hidden="false" customHeight="false" outlineLevel="0" collapsed="false">
      <c r="A201" s="61" t="s">
        <v>978</v>
      </c>
      <c r="B201" s="61" t="s">
        <v>53</v>
      </c>
      <c r="C201" s="61" t="s">
        <v>84</v>
      </c>
      <c r="D201" s="61" t="s">
        <v>137</v>
      </c>
      <c r="E201" s="61" t="s">
        <v>246</v>
      </c>
      <c r="F201" s="61" t="s">
        <v>1049</v>
      </c>
      <c r="G201" s="60" t="n">
        <v>46295</v>
      </c>
      <c r="H201" s="62" t="n">
        <v>-450</v>
      </c>
      <c r="I201" s="61" t="s">
        <v>9</v>
      </c>
      <c r="J201" s="60" t="n">
        <v>46295</v>
      </c>
      <c r="K201" s="61" t="s">
        <v>1320</v>
      </c>
      <c r="L201" s="62" t="n">
        <v>0</v>
      </c>
      <c r="M201" s="64" t="n">
        <v>0.356782407407407</v>
      </c>
      <c r="N201" s="61" t="s">
        <v>250</v>
      </c>
      <c r="O201" s="61" t="s">
        <v>1470</v>
      </c>
      <c r="P201" s="61" t="s">
        <v>973</v>
      </c>
      <c r="Q201" s="61" t="s">
        <v>974</v>
      </c>
      <c r="R201" s="62" t="n">
        <f aca="false">-H201</f>
        <v>450</v>
      </c>
    </row>
    <row r="202" customFormat="false" ht="15" hidden="false" customHeight="false" outlineLevel="0" collapsed="false">
      <c r="A202" s="61" t="s">
        <v>872</v>
      </c>
      <c r="B202" s="61" t="s">
        <v>53</v>
      </c>
      <c r="C202" s="61" t="s">
        <v>80</v>
      </c>
      <c r="D202" s="61" t="s">
        <v>137</v>
      </c>
      <c r="E202" s="61" t="s">
        <v>246</v>
      </c>
      <c r="F202" s="61" t="s">
        <v>1049</v>
      </c>
      <c r="G202" s="60" t="n">
        <v>46294</v>
      </c>
      <c r="H202" s="62" t="n">
        <v>-75</v>
      </c>
      <c r="I202" s="61" t="s">
        <v>9</v>
      </c>
      <c r="J202" s="60" t="n">
        <v>46295</v>
      </c>
      <c r="K202" s="61" t="s">
        <v>1320</v>
      </c>
      <c r="L202" s="62" t="n">
        <v>0</v>
      </c>
      <c r="M202" s="64" t="n">
        <v>0.00552083333333333</v>
      </c>
      <c r="N202" s="61" t="s">
        <v>250</v>
      </c>
      <c r="O202" s="61" t="s">
        <v>1475</v>
      </c>
      <c r="P202" s="61" t="s">
        <v>580</v>
      </c>
      <c r="Q202" s="61" t="s">
        <v>581</v>
      </c>
      <c r="R202" s="62" t="n">
        <f aca="false">-H202</f>
        <v>75</v>
      </c>
    </row>
    <row r="203" customFormat="false" ht="15" hidden="false" customHeight="false" outlineLevel="0" collapsed="false">
      <c r="A203" s="61" t="s">
        <v>873</v>
      </c>
      <c r="B203" s="61" t="s">
        <v>53</v>
      </c>
      <c r="C203" s="61" t="s">
        <v>80</v>
      </c>
      <c r="D203" s="61" t="s">
        <v>137</v>
      </c>
      <c r="E203" s="61" t="s">
        <v>246</v>
      </c>
      <c r="F203" s="61" t="s">
        <v>1049</v>
      </c>
      <c r="G203" s="60" t="n">
        <v>46294</v>
      </c>
      <c r="H203" s="62" t="n">
        <v>-15</v>
      </c>
      <c r="I203" s="61" t="s">
        <v>9</v>
      </c>
      <c r="J203" s="60" t="n">
        <v>46294</v>
      </c>
      <c r="K203" s="61" t="s">
        <v>1320</v>
      </c>
      <c r="L203" s="62" t="n">
        <v>0</v>
      </c>
      <c r="M203" s="64" t="n">
        <v>0.425798611111111</v>
      </c>
      <c r="N203" s="61" t="s">
        <v>250</v>
      </c>
      <c r="O203" s="61" t="s">
        <v>1476</v>
      </c>
      <c r="P203" s="61" t="s">
        <v>521</v>
      </c>
      <c r="Q203" s="61" t="s">
        <v>522</v>
      </c>
      <c r="R203" s="62" t="n">
        <f aca="false">-H203</f>
        <v>15</v>
      </c>
    </row>
    <row r="204" customFormat="false" ht="15" hidden="false" customHeight="false" outlineLevel="0" collapsed="false">
      <c r="A204" s="61" t="s">
        <v>879</v>
      </c>
      <c r="B204" s="61" t="s">
        <v>53</v>
      </c>
      <c r="C204" s="61" t="s">
        <v>84</v>
      </c>
      <c r="D204" s="61" t="s">
        <v>137</v>
      </c>
      <c r="E204" s="61" t="s">
        <v>246</v>
      </c>
      <c r="F204" s="61" t="s">
        <v>1049</v>
      </c>
      <c r="G204" s="60" t="n">
        <v>46294</v>
      </c>
      <c r="H204" s="62" t="n">
        <v>-15</v>
      </c>
      <c r="I204" s="61" t="s">
        <v>9</v>
      </c>
      <c r="J204" s="60" t="n">
        <v>46295</v>
      </c>
      <c r="K204" s="61" t="s">
        <v>1320</v>
      </c>
      <c r="L204" s="62" t="n">
        <v>0</v>
      </c>
      <c r="M204" s="64" t="n">
        <v>0.00555555555555556</v>
      </c>
      <c r="N204" s="61" t="s">
        <v>250</v>
      </c>
      <c r="O204" s="61" t="s">
        <v>1477</v>
      </c>
      <c r="P204" s="61" t="s">
        <v>880</v>
      </c>
      <c r="Q204" s="61" t="s">
        <v>881</v>
      </c>
      <c r="R204" s="62" t="n">
        <f aca="false">-H204</f>
        <v>15</v>
      </c>
    </row>
    <row r="205" customFormat="false" ht="15" hidden="false" customHeight="false" outlineLevel="0" collapsed="false">
      <c r="A205" s="61" t="s">
        <v>874</v>
      </c>
      <c r="B205" s="61" t="s">
        <v>53</v>
      </c>
      <c r="C205" s="61" t="s">
        <v>80</v>
      </c>
      <c r="D205" s="61" t="s">
        <v>137</v>
      </c>
      <c r="E205" s="61" t="s">
        <v>246</v>
      </c>
      <c r="F205" s="61" t="s">
        <v>1049</v>
      </c>
      <c r="G205" s="60" t="n">
        <v>46294</v>
      </c>
      <c r="H205" s="62" t="n">
        <v>-15</v>
      </c>
      <c r="I205" s="61" t="s">
        <v>9</v>
      </c>
      <c r="J205" s="60" t="n">
        <v>46294</v>
      </c>
      <c r="K205" s="61" t="s">
        <v>1320</v>
      </c>
      <c r="L205" s="62" t="n">
        <v>0</v>
      </c>
      <c r="M205" s="64" t="n">
        <v>0.346400462962963</v>
      </c>
      <c r="N205" s="61" t="s">
        <v>250</v>
      </c>
      <c r="O205" s="61" t="s">
        <v>1478</v>
      </c>
      <c r="P205" s="61" t="s">
        <v>875</v>
      </c>
      <c r="Q205" s="61" t="s">
        <v>876</v>
      </c>
      <c r="R205" s="62" t="n">
        <f aca="false">-H205</f>
        <v>15</v>
      </c>
    </row>
    <row r="206" customFormat="false" ht="15" hidden="false" customHeight="false" outlineLevel="0" collapsed="false">
      <c r="A206" s="61" t="s">
        <v>877</v>
      </c>
      <c r="B206" s="61" t="s">
        <v>53</v>
      </c>
      <c r="C206" s="61" t="s">
        <v>80</v>
      </c>
      <c r="D206" s="61" t="s">
        <v>137</v>
      </c>
      <c r="E206" s="61" t="s">
        <v>246</v>
      </c>
      <c r="F206" s="61" t="s">
        <v>1049</v>
      </c>
      <c r="G206" s="60" t="n">
        <v>46294</v>
      </c>
      <c r="H206" s="62" t="n">
        <v>-150</v>
      </c>
      <c r="I206" s="61" t="s">
        <v>9</v>
      </c>
      <c r="J206" s="60" t="n">
        <v>46294</v>
      </c>
      <c r="K206" s="61" t="s">
        <v>1320</v>
      </c>
      <c r="L206" s="62" t="n">
        <v>0</v>
      </c>
      <c r="M206" s="64" t="n">
        <v>0.588043981481482</v>
      </c>
      <c r="N206" s="61" t="s">
        <v>338</v>
      </c>
      <c r="O206" s="61" t="s">
        <v>1479</v>
      </c>
      <c r="P206" s="61" t="s">
        <v>546</v>
      </c>
      <c r="Q206" s="61" t="s">
        <v>547</v>
      </c>
      <c r="R206" s="62" t="n">
        <f aca="false">-H206</f>
        <v>150</v>
      </c>
    </row>
    <row r="207" customFormat="false" ht="15" hidden="false" customHeight="false" outlineLevel="0" collapsed="false">
      <c r="A207" s="61" t="s">
        <v>749</v>
      </c>
      <c r="B207" s="61" t="s">
        <v>53</v>
      </c>
      <c r="C207" s="61" t="s">
        <v>78</v>
      </c>
      <c r="D207" s="61" t="s">
        <v>137</v>
      </c>
      <c r="E207" s="61" t="s">
        <v>246</v>
      </c>
      <c r="F207" s="61" t="s">
        <v>1049</v>
      </c>
      <c r="G207" s="60" t="n">
        <v>46292</v>
      </c>
      <c r="H207" s="62" t="n">
        <v>-45</v>
      </c>
      <c r="I207" s="61" t="s">
        <v>9</v>
      </c>
      <c r="J207" s="60" t="n">
        <v>46292</v>
      </c>
      <c r="K207" s="61" t="s">
        <v>1320</v>
      </c>
      <c r="L207" s="62" t="n">
        <v>0</v>
      </c>
      <c r="M207" s="64" t="n">
        <v>0.677453703703704</v>
      </c>
      <c r="N207" s="61" t="s">
        <v>275</v>
      </c>
      <c r="O207" s="61" t="s">
        <v>1480</v>
      </c>
      <c r="P207" s="61" t="s">
        <v>428</v>
      </c>
      <c r="Q207" s="61" t="s">
        <v>429</v>
      </c>
      <c r="R207" s="62" t="n">
        <f aca="false">-H207</f>
        <v>45</v>
      </c>
    </row>
    <row r="208" customFormat="false" ht="15" hidden="false" customHeight="false" outlineLevel="0" collapsed="false">
      <c r="A208" s="61" t="s">
        <v>750</v>
      </c>
      <c r="B208" s="61" t="s">
        <v>53</v>
      </c>
      <c r="C208" s="61" t="s">
        <v>78</v>
      </c>
      <c r="D208" s="61" t="s">
        <v>137</v>
      </c>
      <c r="E208" s="61" t="s">
        <v>246</v>
      </c>
      <c r="F208" s="61" t="s">
        <v>1049</v>
      </c>
      <c r="G208" s="60" t="n">
        <v>46292</v>
      </c>
      <c r="H208" s="62" t="n">
        <v>-15</v>
      </c>
      <c r="I208" s="61" t="s">
        <v>9</v>
      </c>
      <c r="J208" s="60" t="n">
        <v>46292</v>
      </c>
      <c r="K208" s="61" t="s">
        <v>1320</v>
      </c>
      <c r="L208" s="62" t="n">
        <v>0</v>
      </c>
      <c r="M208" s="64" t="n">
        <v>0.826157407407407</v>
      </c>
      <c r="N208" s="61" t="s">
        <v>275</v>
      </c>
      <c r="O208" s="61" t="s">
        <v>1481</v>
      </c>
      <c r="P208" s="61" t="s">
        <v>751</v>
      </c>
      <c r="Q208" s="61" t="s">
        <v>752</v>
      </c>
      <c r="R208" s="62" t="n">
        <f aca="false">-H208</f>
        <v>15</v>
      </c>
    </row>
    <row r="209" customFormat="false" ht="15" hidden="false" customHeight="false" outlineLevel="0" collapsed="false">
      <c r="A209" s="61" t="s">
        <v>753</v>
      </c>
      <c r="B209" s="61" t="s">
        <v>53</v>
      </c>
      <c r="C209" s="61" t="s">
        <v>78</v>
      </c>
      <c r="D209" s="61" t="s">
        <v>137</v>
      </c>
      <c r="E209" s="61" t="s">
        <v>246</v>
      </c>
      <c r="F209" s="61" t="s">
        <v>1049</v>
      </c>
      <c r="G209" s="60" t="n">
        <v>46292</v>
      </c>
      <c r="H209" s="62" t="n">
        <v>-30</v>
      </c>
      <c r="I209" s="61" t="s">
        <v>9</v>
      </c>
      <c r="J209" s="60" t="n">
        <v>46292</v>
      </c>
      <c r="K209" s="61" t="s">
        <v>1320</v>
      </c>
      <c r="L209" s="62" t="n">
        <v>0</v>
      </c>
      <c r="M209" s="64" t="n">
        <v>0.826180555555556</v>
      </c>
      <c r="N209" s="61" t="s">
        <v>275</v>
      </c>
      <c r="O209" s="61" t="s">
        <v>1482</v>
      </c>
      <c r="P209" s="61" t="s">
        <v>353</v>
      </c>
      <c r="Q209" s="61" t="s">
        <v>354</v>
      </c>
      <c r="R209" s="62" t="n">
        <f aca="false">-H209</f>
        <v>30</v>
      </c>
    </row>
    <row r="210" customFormat="false" ht="15" hidden="false" customHeight="false" outlineLevel="0" collapsed="false">
      <c r="A210" s="61" t="s">
        <v>767</v>
      </c>
      <c r="B210" s="61" t="s">
        <v>53</v>
      </c>
      <c r="C210" s="61" t="s">
        <v>80</v>
      </c>
      <c r="D210" s="61" t="s">
        <v>137</v>
      </c>
      <c r="E210" s="61" t="s">
        <v>246</v>
      </c>
      <c r="F210" s="61" t="s">
        <v>1049</v>
      </c>
      <c r="G210" s="60" t="n">
        <v>46292</v>
      </c>
      <c r="H210" s="62" t="n">
        <v>-15</v>
      </c>
      <c r="I210" s="61" t="s">
        <v>9</v>
      </c>
      <c r="J210" s="60" t="n">
        <v>46292</v>
      </c>
      <c r="K210" s="61" t="s">
        <v>1320</v>
      </c>
      <c r="L210" s="62" t="n">
        <v>0</v>
      </c>
      <c r="M210" s="64" t="n">
        <v>0.8253125</v>
      </c>
      <c r="N210" s="61" t="s">
        <v>275</v>
      </c>
      <c r="O210" s="61" t="s">
        <v>1483</v>
      </c>
      <c r="P210" s="61" t="s">
        <v>768</v>
      </c>
      <c r="Q210" s="61" t="s">
        <v>769</v>
      </c>
      <c r="R210" s="62" t="n">
        <f aca="false">-H210</f>
        <v>15</v>
      </c>
    </row>
    <row r="211" customFormat="false" ht="15" hidden="false" customHeight="false" outlineLevel="0" collapsed="false">
      <c r="A211" s="61" t="s">
        <v>770</v>
      </c>
      <c r="B211" s="61" t="s">
        <v>53</v>
      </c>
      <c r="C211" s="61" t="s">
        <v>80</v>
      </c>
      <c r="D211" s="61" t="s">
        <v>137</v>
      </c>
      <c r="E211" s="61" t="s">
        <v>246</v>
      </c>
      <c r="F211" s="61" t="s">
        <v>1049</v>
      </c>
      <c r="G211" s="60" t="n">
        <v>46292</v>
      </c>
      <c r="H211" s="62" t="n">
        <v>-15</v>
      </c>
      <c r="I211" s="61" t="s">
        <v>9</v>
      </c>
      <c r="J211" s="60" t="n">
        <v>46292</v>
      </c>
      <c r="K211" s="61" t="s">
        <v>1320</v>
      </c>
      <c r="L211" s="62" t="n">
        <v>0</v>
      </c>
      <c r="M211" s="64" t="n">
        <v>0.825474537037037</v>
      </c>
      <c r="N211" s="61" t="s">
        <v>275</v>
      </c>
      <c r="O211" s="61" t="s">
        <v>1484</v>
      </c>
      <c r="P211" s="61" t="s">
        <v>751</v>
      </c>
      <c r="Q211" s="61" t="s">
        <v>752</v>
      </c>
      <c r="R211" s="62" t="n">
        <f aca="false">-H211</f>
        <v>15</v>
      </c>
    </row>
    <row r="212" customFormat="false" ht="15" hidden="false" customHeight="false" outlineLevel="0" collapsed="false">
      <c r="A212" s="61" t="s">
        <v>771</v>
      </c>
      <c r="B212" s="61" t="s">
        <v>53</v>
      </c>
      <c r="C212" s="61" t="s">
        <v>80</v>
      </c>
      <c r="D212" s="61" t="s">
        <v>137</v>
      </c>
      <c r="E212" s="61" t="s">
        <v>246</v>
      </c>
      <c r="F212" s="61" t="s">
        <v>1049</v>
      </c>
      <c r="G212" s="60" t="n">
        <v>46292</v>
      </c>
      <c r="H212" s="62" t="n">
        <v>-90</v>
      </c>
      <c r="I212" s="61" t="s">
        <v>9</v>
      </c>
      <c r="J212" s="60" t="n">
        <v>46292</v>
      </c>
      <c r="K212" s="61" t="s">
        <v>1320</v>
      </c>
      <c r="L212" s="62" t="n">
        <v>0</v>
      </c>
      <c r="M212" s="64" t="n">
        <v>0.677835648148148</v>
      </c>
      <c r="N212" s="61" t="s">
        <v>275</v>
      </c>
      <c r="O212" s="61" t="s">
        <v>1485</v>
      </c>
      <c r="P212" s="61" t="s">
        <v>759</v>
      </c>
      <c r="Q212" s="61" t="s">
        <v>760</v>
      </c>
      <c r="R212" s="62" t="n">
        <f aca="false">-H212</f>
        <v>90</v>
      </c>
    </row>
    <row r="213" customFormat="false" ht="15" hidden="false" customHeight="false" outlineLevel="0" collapsed="false">
      <c r="A213" s="61" t="s">
        <v>754</v>
      </c>
      <c r="B213" s="61" t="s">
        <v>53</v>
      </c>
      <c r="C213" s="61" t="s">
        <v>78</v>
      </c>
      <c r="D213" s="61" t="s">
        <v>137</v>
      </c>
      <c r="E213" s="61" t="s">
        <v>246</v>
      </c>
      <c r="F213" s="61" t="s">
        <v>1049</v>
      </c>
      <c r="G213" s="60" t="n">
        <v>46292</v>
      </c>
      <c r="H213" s="62" t="n">
        <v>-30</v>
      </c>
      <c r="I213" s="61" t="s">
        <v>9</v>
      </c>
      <c r="J213" s="60" t="n">
        <v>46292</v>
      </c>
      <c r="K213" s="61" t="s">
        <v>1320</v>
      </c>
      <c r="L213" s="62" t="n">
        <v>0</v>
      </c>
      <c r="M213" s="64" t="n">
        <v>0.826145833333333</v>
      </c>
      <c r="N213" s="61" t="s">
        <v>275</v>
      </c>
      <c r="O213" s="61" t="s">
        <v>1486</v>
      </c>
      <c r="P213" s="61" t="s">
        <v>755</v>
      </c>
      <c r="Q213" s="61" t="s">
        <v>756</v>
      </c>
      <c r="R213" s="62" t="n">
        <f aca="false">-H213</f>
        <v>30</v>
      </c>
    </row>
    <row r="214" customFormat="false" ht="15" hidden="false" customHeight="false" outlineLevel="0" collapsed="false">
      <c r="A214" s="61" t="s">
        <v>772</v>
      </c>
      <c r="B214" s="61" t="s">
        <v>53</v>
      </c>
      <c r="C214" s="61" t="s">
        <v>80</v>
      </c>
      <c r="D214" s="61" t="s">
        <v>137</v>
      </c>
      <c r="E214" s="61" t="s">
        <v>246</v>
      </c>
      <c r="F214" s="61" t="s">
        <v>1049</v>
      </c>
      <c r="G214" s="60" t="n">
        <v>46292</v>
      </c>
      <c r="H214" s="62" t="n">
        <v>-30</v>
      </c>
      <c r="I214" s="61" t="s">
        <v>9</v>
      </c>
      <c r="J214" s="60" t="n">
        <v>46292</v>
      </c>
      <c r="K214" s="61" t="s">
        <v>1320</v>
      </c>
      <c r="L214" s="62" t="n">
        <v>0</v>
      </c>
      <c r="M214" s="64" t="n">
        <v>0.826134259259259</v>
      </c>
      <c r="N214" s="61" t="s">
        <v>275</v>
      </c>
      <c r="O214" s="61" t="s">
        <v>1487</v>
      </c>
      <c r="P214" s="61" t="s">
        <v>773</v>
      </c>
      <c r="Q214" s="61" t="s">
        <v>774</v>
      </c>
      <c r="R214" s="62" t="n">
        <f aca="false">-H214</f>
        <v>30</v>
      </c>
    </row>
    <row r="215" customFormat="false" ht="15" hidden="false" customHeight="false" outlineLevel="0" collapsed="false">
      <c r="A215" s="61" t="s">
        <v>775</v>
      </c>
      <c r="B215" s="61" t="s">
        <v>53</v>
      </c>
      <c r="C215" s="61" t="s">
        <v>80</v>
      </c>
      <c r="D215" s="61" t="s">
        <v>137</v>
      </c>
      <c r="E215" s="61" t="s">
        <v>246</v>
      </c>
      <c r="F215" s="61" t="s">
        <v>1049</v>
      </c>
      <c r="G215" s="60" t="n">
        <v>46292</v>
      </c>
      <c r="H215" s="62" t="n">
        <v>-15</v>
      </c>
      <c r="I215" s="61" t="s">
        <v>9</v>
      </c>
      <c r="J215" s="60" t="n">
        <v>46292</v>
      </c>
      <c r="K215" s="61" t="s">
        <v>1320</v>
      </c>
      <c r="L215" s="62" t="n">
        <v>0</v>
      </c>
      <c r="M215" s="64" t="n">
        <v>0.825451388888889</v>
      </c>
      <c r="N215" s="61" t="s">
        <v>275</v>
      </c>
      <c r="O215" s="61" t="s">
        <v>1488</v>
      </c>
      <c r="P215" s="61" t="s">
        <v>776</v>
      </c>
      <c r="Q215" s="61" t="s">
        <v>777</v>
      </c>
      <c r="R215" s="62" t="n">
        <f aca="false">-H215</f>
        <v>15</v>
      </c>
    </row>
    <row r="216" customFormat="false" ht="15" hidden="false" customHeight="false" outlineLevel="0" collapsed="false">
      <c r="A216" s="61" t="s">
        <v>778</v>
      </c>
      <c r="B216" s="61" t="s">
        <v>53</v>
      </c>
      <c r="C216" s="61" t="s">
        <v>80</v>
      </c>
      <c r="D216" s="61" t="s">
        <v>137</v>
      </c>
      <c r="E216" s="61" t="s">
        <v>246</v>
      </c>
      <c r="F216" s="61" t="s">
        <v>1049</v>
      </c>
      <c r="G216" s="60" t="n">
        <v>46292</v>
      </c>
      <c r="H216" s="62" t="n">
        <v>-30</v>
      </c>
      <c r="I216" s="61" t="s">
        <v>9</v>
      </c>
      <c r="J216" s="60" t="n">
        <v>46292</v>
      </c>
      <c r="K216" s="61" t="s">
        <v>1320</v>
      </c>
      <c r="L216" s="62" t="n">
        <v>0</v>
      </c>
      <c r="M216" s="64" t="n">
        <v>0.82619212962963</v>
      </c>
      <c r="N216" s="61" t="s">
        <v>275</v>
      </c>
      <c r="O216" s="61" t="s">
        <v>1489</v>
      </c>
      <c r="P216" s="61" t="s">
        <v>779</v>
      </c>
      <c r="Q216" s="61" t="s">
        <v>780</v>
      </c>
      <c r="R216" s="62" t="n">
        <f aca="false">-H216</f>
        <v>30</v>
      </c>
    </row>
    <row r="217" customFormat="false" ht="15" hidden="false" customHeight="false" outlineLevel="0" collapsed="false">
      <c r="A217" s="61" t="s">
        <v>757</v>
      </c>
      <c r="B217" s="61" t="s">
        <v>53</v>
      </c>
      <c r="C217" s="61" t="s">
        <v>78</v>
      </c>
      <c r="D217" s="61" t="s">
        <v>137</v>
      </c>
      <c r="E217" s="61" t="s">
        <v>246</v>
      </c>
      <c r="F217" s="61" t="s">
        <v>1049</v>
      </c>
      <c r="G217" s="60" t="n">
        <v>46292</v>
      </c>
      <c r="H217" s="62" t="n">
        <v>-15</v>
      </c>
      <c r="I217" s="61" t="s">
        <v>9</v>
      </c>
      <c r="J217" s="60" t="n">
        <v>46292</v>
      </c>
      <c r="K217" s="61" t="s">
        <v>1320</v>
      </c>
      <c r="L217" s="62" t="n">
        <v>0</v>
      </c>
      <c r="M217" s="64" t="n">
        <v>0.826226851851852</v>
      </c>
      <c r="N217" s="61" t="s">
        <v>275</v>
      </c>
      <c r="O217" s="61" t="s">
        <v>1490</v>
      </c>
      <c r="P217" s="61" t="s">
        <v>724</v>
      </c>
      <c r="Q217" s="61" t="s">
        <v>725</v>
      </c>
      <c r="R217" s="62" t="n">
        <f aca="false">-H217</f>
        <v>15</v>
      </c>
    </row>
    <row r="218" customFormat="false" ht="15" hidden="false" customHeight="false" outlineLevel="0" collapsed="false">
      <c r="A218" s="61" t="s">
        <v>758</v>
      </c>
      <c r="B218" s="61" t="s">
        <v>53</v>
      </c>
      <c r="C218" s="61" t="s">
        <v>78</v>
      </c>
      <c r="D218" s="61" t="s">
        <v>137</v>
      </c>
      <c r="E218" s="61" t="s">
        <v>246</v>
      </c>
      <c r="F218" s="61" t="s">
        <v>1049</v>
      </c>
      <c r="G218" s="60" t="n">
        <v>46292</v>
      </c>
      <c r="H218" s="62" t="n">
        <v>-30</v>
      </c>
      <c r="I218" s="61" t="s">
        <v>9</v>
      </c>
      <c r="J218" s="60" t="n">
        <v>46292</v>
      </c>
      <c r="K218" s="61" t="s">
        <v>1320</v>
      </c>
      <c r="L218" s="62" t="n">
        <v>0</v>
      </c>
      <c r="M218" s="64" t="n">
        <v>0.589189814814815</v>
      </c>
      <c r="N218" s="61" t="s">
        <v>275</v>
      </c>
      <c r="O218" s="61" t="s">
        <v>1491</v>
      </c>
      <c r="P218" s="61" t="s">
        <v>759</v>
      </c>
      <c r="Q218" s="61" t="s">
        <v>760</v>
      </c>
      <c r="R218" s="62" t="n">
        <f aca="false">-H218</f>
        <v>30</v>
      </c>
    </row>
    <row r="219" customFormat="false" ht="15" hidden="false" customHeight="false" outlineLevel="0" collapsed="false">
      <c r="A219" s="61" t="s">
        <v>723</v>
      </c>
      <c r="B219" s="61" t="s">
        <v>53</v>
      </c>
      <c r="C219" s="61" t="s">
        <v>78</v>
      </c>
      <c r="D219" s="61" t="s">
        <v>137</v>
      </c>
      <c r="E219" s="61" t="s">
        <v>246</v>
      </c>
      <c r="F219" s="61" t="s">
        <v>1049</v>
      </c>
      <c r="G219" s="60" t="n">
        <v>46292</v>
      </c>
      <c r="H219" s="62" t="n">
        <v>-15</v>
      </c>
      <c r="I219" s="61" t="s">
        <v>9</v>
      </c>
      <c r="J219" s="60" t="n">
        <v>46292</v>
      </c>
      <c r="K219" s="61" t="s">
        <v>1320</v>
      </c>
      <c r="L219" s="62" t="n">
        <v>0</v>
      </c>
      <c r="M219" s="64" t="n">
        <v>0.826238425925926</v>
      </c>
      <c r="N219" s="61" t="s">
        <v>275</v>
      </c>
      <c r="O219" s="61" t="s">
        <v>1362</v>
      </c>
      <c r="P219" s="61" t="s">
        <v>724</v>
      </c>
      <c r="Q219" s="61" t="s">
        <v>725</v>
      </c>
      <c r="R219" s="62" t="n">
        <f aca="false">-H219</f>
        <v>15</v>
      </c>
    </row>
    <row r="220" customFormat="false" ht="15" hidden="false" customHeight="false" outlineLevel="0" collapsed="false">
      <c r="A220" s="61" t="s">
        <v>781</v>
      </c>
      <c r="B220" s="61" t="s">
        <v>53</v>
      </c>
      <c r="C220" s="61" t="s">
        <v>80</v>
      </c>
      <c r="D220" s="61" t="s">
        <v>137</v>
      </c>
      <c r="E220" s="61" t="s">
        <v>246</v>
      </c>
      <c r="F220" s="61" t="s">
        <v>1049</v>
      </c>
      <c r="G220" s="60" t="n">
        <v>46292</v>
      </c>
      <c r="H220" s="62" t="n">
        <v>-60</v>
      </c>
      <c r="I220" s="61" t="s">
        <v>9</v>
      </c>
      <c r="J220" s="60" t="n">
        <v>46292</v>
      </c>
      <c r="K220" s="61" t="s">
        <v>1320</v>
      </c>
      <c r="L220" s="62" t="n">
        <v>0</v>
      </c>
      <c r="M220" s="64" t="n">
        <v>0.631678240740741</v>
      </c>
      <c r="N220" s="61" t="s">
        <v>275</v>
      </c>
      <c r="O220" s="61" t="s">
        <v>1492</v>
      </c>
      <c r="P220" s="61" t="s">
        <v>759</v>
      </c>
      <c r="Q220" s="61" t="s">
        <v>760</v>
      </c>
      <c r="R220" s="62" t="n">
        <f aca="false">-H220</f>
        <v>60</v>
      </c>
    </row>
    <row r="221" customFormat="false" ht="15" hidden="false" customHeight="false" outlineLevel="0" collapsed="false">
      <c r="A221" s="61" t="s">
        <v>761</v>
      </c>
      <c r="B221" s="61" t="s">
        <v>53</v>
      </c>
      <c r="C221" s="61" t="s">
        <v>78</v>
      </c>
      <c r="D221" s="61" t="s">
        <v>137</v>
      </c>
      <c r="E221" s="61" t="s">
        <v>246</v>
      </c>
      <c r="F221" s="61" t="s">
        <v>1049</v>
      </c>
      <c r="G221" s="60" t="n">
        <v>46292</v>
      </c>
      <c r="H221" s="62" t="n">
        <v>-45</v>
      </c>
      <c r="I221" s="61" t="s">
        <v>9</v>
      </c>
      <c r="J221" s="60" t="n">
        <v>46292</v>
      </c>
      <c r="K221" s="61" t="s">
        <v>1320</v>
      </c>
      <c r="L221" s="62" t="n">
        <v>0</v>
      </c>
      <c r="M221" s="64" t="n">
        <v>0.631273148148148</v>
      </c>
      <c r="N221" s="61" t="s">
        <v>275</v>
      </c>
      <c r="O221" s="61" t="s">
        <v>1493</v>
      </c>
      <c r="P221" s="61" t="s">
        <v>762</v>
      </c>
      <c r="Q221" s="61" t="s">
        <v>763</v>
      </c>
      <c r="R221" s="62" t="n">
        <f aca="false">-H221</f>
        <v>45</v>
      </c>
    </row>
    <row r="222" customFormat="false" ht="15" hidden="false" customHeight="false" outlineLevel="0" collapsed="false">
      <c r="A222" s="61" t="s">
        <v>764</v>
      </c>
      <c r="B222" s="61" t="s">
        <v>53</v>
      </c>
      <c r="C222" s="61" t="s">
        <v>78</v>
      </c>
      <c r="D222" s="61" t="s">
        <v>137</v>
      </c>
      <c r="E222" s="61" t="s">
        <v>246</v>
      </c>
      <c r="F222" s="61" t="s">
        <v>1049</v>
      </c>
      <c r="G222" s="60" t="n">
        <v>46292</v>
      </c>
      <c r="H222" s="62" t="n">
        <v>-15</v>
      </c>
      <c r="I222" s="61" t="s">
        <v>9</v>
      </c>
      <c r="J222" s="60" t="n">
        <v>46292</v>
      </c>
      <c r="K222" s="61" t="s">
        <v>1320</v>
      </c>
      <c r="L222" s="62" t="n">
        <v>0</v>
      </c>
      <c r="M222" s="64" t="n">
        <v>0.589305555555556</v>
      </c>
      <c r="N222" s="61" t="s">
        <v>275</v>
      </c>
      <c r="O222" s="61" t="s">
        <v>1494</v>
      </c>
      <c r="P222" s="61" t="s">
        <v>765</v>
      </c>
      <c r="Q222" s="61" t="s">
        <v>766</v>
      </c>
      <c r="R222" s="62" t="n">
        <f aca="false">-H222</f>
        <v>15</v>
      </c>
    </row>
    <row r="223" customFormat="false" ht="15" hidden="false" customHeight="false" outlineLevel="0" collapsed="false">
      <c r="A223" s="61" t="s">
        <v>758</v>
      </c>
      <c r="B223" s="61" t="s">
        <v>53</v>
      </c>
      <c r="C223" s="61" t="s">
        <v>78</v>
      </c>
      <c r="D223" s="61" t="s">
        <v>137</v>
      </c>
      <c r="E223" s="61" t="s">
        <v>246</v>
      </c>
      <c r="F223" s="61" t="s">
        <v>1049</v>
      </c>
      <c r="G223" s="60" t="n">
        <v>46292</v>
      </c>
      <c r="H223" s="62" t="n">
        <v>-15</v>
      </c>
      <c r="I223" s="61" t="s">
        <v>9</v>
      </c>
      <c r="J223" s="60" t="n">
        <v>46292</v>
      </c>
      <c r="K223" s="61" t="s">
        <v>1320</v>
      </c>
      <c r="L223" s="62" t="n">
        <v>0</v>
      </c>
      <c r="M223" s="64" t="n">
        <v>0.589189814814815</v>
      </c>
      <c r="N223" s="61" t="s">
        <v>275</v>
      </c>
      <c r="O223" s="61" t="s">
        <v>1491</v>
      </c>
      <c r="P223" s="61" t="s">
        <v>759</v>
      </c>
      <c r="Q223" s="61" t="s">
        <v>760</v>
      </c>
      <c r="R223" s="62" t="n">
        <f aca="false">-H223</f>
        <v>15</v>
      </c>
    </row>
    <row r="224" customFormat="false" ht="15" hidden="false" customHeight="false" outlineLevel="0" collapsed="false">
      <c r="A224" s="61" t="s">
        <v>651</v>
      </c>
      <c r="B224" s="61" t="s">
        <v>53</v>
      </c>
      <c r="C224" s="61" t="s">
        <v>80</v>
      </c>
      <c r="D224" s="61" t="s">
        <v>137</v>
      </c>
      <c r="E224" s="61" t="s">
        <v>246</v>
      </c>
      <c r="F224" s="61" t="s">
        <v>1049</v>
      </c>
      <c r="G224" s="60" t="n">
        <v>46290</v>
      </c>
      <c r="H224" s="62" t="n">
        <v>-30</v>
      </c>
      <c r="I224" s="61" t="s">
        <v>9</v>
      </c>
      <c r="J224" s="60" t="n">
        <v>46290</v>
      </c>
      <c r="K224" s="61" t="s">
        <v>1320</v>
      </c>
      <c r="L224" s="62" t="n">
        <v>0</v>
      </c>
      <c r="M224" s="64" t="n">
        <v>0.80931712962963</v>
      </c>
      <c r="N224" s="61" t="s">
        <v>338</v>
      </c>
      <c r="O224" s="61" t="s">
        <v>1495</v>
      </c>
      <c r="P224" s="61" t="s">
        <v>634</v>
      </c>
      <c r="Q224" s="61" t="s">
        <v>635</v>
      </c>
      <c r="R224" s="62" t="n">
        <f aca="false">-H224</f>
        <v>30</v>
      </c>
    </row>
    <row r="225" customFormat="false" ht="15" hidden="false" customHeight="false" outlineLevel="0" collapsed="false">
      <c r="A225" s="61" t="s">
        <v>652</v>
      </c>
      <c r="B225" s="61" t="s">
        <v>53</v>
      </c>
      <c r="C225" s="61" t="s">
        <v>80</v>
      </c>
      <c r="D225" s="61" t="s">
        <v>137</v>
      </c>
      <c r="E225" s="61" t="s">
        <v>246</v>
      </c>
      <c r="F225" s="61" t="s">
        <v>1049</v>
      </c>
      <c r="G225" s="60" t="n">
        <v>46290</v>
      </c>
      <c r="H225" s="62" t="n">
        <v>-15</v>
      </c>
      <c r="I225" s="61" t="s">
        <v>9</v>
      </c>
      <c r="J225" s="60" t="n">
        <v>46290</v>
      </c>
      <c r="K225" s="61" t="s">
        <v>1320</v>
      </c>
      <c r="L225" s="62" t="n">
        <v>0</v>
      </c>
      <c r="M225" s="64" t="n">
        <v>0.809282407407407</v>
      </c>
      <c r="N225" s="61" t="s">
        <v>338</v>
      </c>
      <c r="O225" s="61" t="s">
        <v>1496</v>
      </c>
      <c r="P225" s="61" t="s">
        <v>653</v>
      </c>
      <c r="Q225" s="61" t="s">
        <v>654</v>
      </c>
      <c r="R225" s="62" t="n">
        <f aca="false">-H225</f>
        <v>15</v>
      </c>
    </row>
    <row r="226" customFormat="false" ht="15" hidden="false" customHeight="false" outlineLevel="0" collapsed="false">
      <c r="A226" s="61" t="s">
        <v>655</v>
      </c>
      <c r="B226" s="61" t="s">
        <v>53</v>
      </c>
      <c r="C226" s="61" t="s">
        <v>80</v>
      </c>
      <c r="D226" s="61" t="s">
        <v>137</v>
      </c>
      <c r="E226" s="61" t="s">
        <v>246</v>
      </c>
      <c r="F226" s="61" t="s">
        <v>1049</v>
      </c>
      <c r="G226" s="60" t="n">
        <v>46290</v>
      </c>
      <c r="H226" s="62" t="n">
        <v>-30</v>
      </c>
      <c r="I226" s="61" t="s">
        <v>9</v>
      </c>
      <c r="J226" s="60" t="n">
        <v>46290</v>
      </c>
      <c r="K226" s="61" t="s">
        <v>1320</v>
      </c>
      <c r="L226" s="62" t="n">
        <v>0</v>
      </c>
      <c r="M226" s="64" t="n">
        <v>0.809305555555556</v>
      </c>
      <c r="N226" s="61" t="s">
        <v>338</v>
      </c>
      <c r="O226" s="61" t="s">
        <v>1497</v>
      </c>
      <c r="P226" s="61" t="s">
        <v>634</v>
      </c>
      <c r="Q226" s="61" t="s">
        <v>635</v>
      </c>
      <c r="R226" s="62" t="n">
        <f aca="false">-H226</f>
        <v>30</v>
      </c>
    </row>
    <row r="227" customFormat="false" ht="15" hidden="false" customHeight="false" outlineLevel="0" collapsed="false">
      <c r="A227" s="61" t="s">
        <v>542</v>
      </c>
      <c r="B227" s="61" t="s">
        <v>53</v>
      </c>
      <c r="C227" s="61" t="s">
        <v>78</v>
      </c>
      <c r="D227" s="61" t="s">
        <v>137</v>
      </c>
      <c r="E227" s="61" t="s">
        <v>254</v>
      </c>
      <c r="F227" s="61" t="s">
        <v>1049</v>
      </c>
      <c r="G227" s="60" t="n">
        <v>46286</v>
      </c>
      <c r="H227" s="62" t="n">
        <v>-15</v>
      </c>
      <c r="I227" s="61" t="s">
        <v>9</v>
      </c>
      <c r="J227" s="60" t="n">
        <v>46286</v>
      </c>
      <c r="K227" s="61" t="s">
        <v>1320</v>
      </c>
      <c r="L227" s="62" t="n">
        <v>0</v>
      </c>
      <c r="M227" s="64" t="n">
        <v>0.710173611111111</v>
      </c>
      <c r="N227" s="61" t="s">
        <v>258</v>
      </c>
      <c r="O227" s="61" t="s">
        <v>1498</v>
      </c>
      <c r="P227" s="61" t="s">
        <v>543</v>
      </c>
      <c r="Q227" s="61" t="s">
        <v>544</v>
      </c>
      <c r="R227" s="62" t="n">
        <f aca="false">-H227</f>
        <v>15</v>
      </c>
    </row>
    <row r="228" customFormat="false" ht="15" hidden="false" customHeight="false" outlineLevel="0" collapsed="false">
      <c r="A228" s="61" t="s">
        <v>424</v>
      </c>
      <c r="B228" s="61" t="s">
        <v>53</v>
      </c>
      <c r="C228" s="61" t="s">
        <v>78</v>
      </c>
      <c r="D228" s="61" t="s">
        <v>137</v>
      </c>
      <c r="E228" s="61" t="s">
        <v>254</v>
      </c>
      <c r="F228" s="61" t="s">
        <v>1049</v>
      </c>
      <c r="G228" s="60" t="n">
        <v>46281</v>
      </c>
      <c r="H228" s="62" t="n">
        <v>-15</v>
      </c>
      <c r="I228" s="61" t="s">
        <v>9</v>
      </c>
      <c r="J228" s="60" t="n">
        <v>46281</v>
      </c>
      <c r="K228" s="61" t="s">
        <v>1320</v>
      </c>
      <c r="L228" s="62" t="n">
        <v>0</v>
      </c>
      <c r="M228" s="64" t="n">
        <v>0.749189814814815</v>
      </c>
      <c r="N228" s="61" t="s">
        <v>258</v>
      </c>
      <c r="O228" s="61" t="s">
        <v>1499</v>
      </c>
      <c r="P228" s="61" t="s">
        <v>425</v>
      </c>
      <c r="Q228" s="61" t="s">
        <v>426</v>
      </c>
      <c r="R228" s="62" t="n">
        <f aca="false">-H228</f>
        <v>15</v>
      </c>
    </row>
    <row r="229" customFormat="false" ht="15" hidden="false" customHeight="false" outlineLevel="0" collapsed="false">
      <c r="A229" s="61" t="s">
        <v>395</v>
      </c>
      <c r="B229" s="61" t="s">
        <v>53</v>
      </c>
      <c r="C229" s="61" t="s">
        <v>78</v>
      </c>
      <c r="D229" s="61" t="s">
        <v>137</v>
      </c>
      <c r="E229" s="61" t="s">
        <v>254</v>
      </c>
      <c r="F229" s="61" t="s">
        <v>1049</v>
      </c>
      <c r="G229" s="60" t="n">
        <v>46280</v>
      </c>
      <c r="H229" s="62" t="n">
        <v>-15</v>
      </c>
      <c r="I229" s="61" t="s">
        <v>9</v>
      </c>
      <c r="J229" s="60" t="n">
        <v>46280</v>
      </c>
      <c r="K229" s="61" t="s">
        <v>1320</v>
      </c>
      <c r="L229" s="62" t="n">
        <v>0</v>
      </c>
      <c r="M229" s="64" t="n">
        <v>0.945474537037037</v>
      </c>
      <c r="N229" s="61" t="s">
        <v>258</v>
      </c>
      <c r="O229" s="61" t="s">
        <v>1347</v>
      </c>
      <c r="P229" s="61" t="s">
        <v>256</v>
      </c>
      <c r="Q229" s="61" t="s">
        <v>257</v>
      </c>
      <c r="R229" s="62" t="n">
        <f aca="false">-H229</f>
        <v>15</v>
      </c>
    </row>
    <row r="230" customFormat="false" ht="15" hidden="false" customHeight="false" outlineLevel="0" collapsed="false">
      <c r="A230" s="61" t="s">
        <v>399</v>
      </c>
      <c r="B230" s="61" t="s">
        <v>53</v>
      </c>
      <c r="C230" s="61" t="s">
        <v>78</v>
      </c>
      <c r="D230" s="61" t="s">
        <v>137</v>
      </c>
      <c r="E230" s="61" t="s">
        <v>254</v>
      </c>
      <c r="F230" s="61" t="s">
        <v>1049</v>
      </c>
      <c r="G230" s="60" t="n">
        <v>46280</v>
      </c>
      <c r="H230" s="62" t="n">
        <v>-15</v>
      </c>
      <c r="I230" s="61" t="s">
        <v>9</v>
      </c>
      <c r="J230" s="60" t="n">
        <v>46280</v>
      </c>
      <c r="K230" s="61" t="s">
        <v>1320</v>
      </c>
      <c r="L230" s="62" t="n">
        <v>0</v>
      </c>
      <c r="M230" s="64" t="n">
        <v>0.945243055555556</v>
      </c>
      <c r="N230" s="61" t="s">
        <v>258</v>
      </c>
      <c r="O230" s="61" t="s">
        <v>1500</v>
      </c>
      <c r="P230" s="61" t="s">
        <v>400</v>
      </c>
      <c r="Q230" s="61" t="s">
        <v>401</v>
      </c>
      <c r="R230" s="62" t="n">
        <f aca="false">-H230</f>
        <v>15</v>
      </c>
    </row>
    <row r="231" customFormat="false" ht="15" hidden="false" customHeight="false" outlineLevel="0" collapsed="false">
      <c r="A231" s="61" t="s">
        <v>884</v>
      </c>
      <c r="B231" s="61" t="s">
        <v>55</v>
      </c>
      <c r="C231" s="61" t="s">
        <v>89</v>
      </c>
      <c r="D231" s="61" t="s">
        <v>215</v>
      </c>
      <c r="E231" s="61" t="s">
        <v>246</v>
      </c>
      <c r="F231" s="61" t="s">
        <v>1049</v>
      </c>
      <c r="G231" s="60" t="n">
        <v>46294</v>
      </c>
      <c r="H231" s="62" t="n">
        <v>-18</v>
      </c>
      <c r="I231" s="61" t="s">
        <v>4</v>
      </c>
      <c r="J231" s="60" t="n">
        <v>46295</v>
      </c>
      <c r="K231" s="61" t="s">
        <v>1320</v>
      </c>
      <c r="L231" s="62" t="n">
        <v>0</v>
      </c>
      <c r="M231" s="64" t="n">
        <v>0.00543981481481482</v>
      </c>
      <c r="N231" s="61" t="s">
        <v>250</v>
      </c>
      <c r="O231" s="61" t="s">
        <v>1501</v>
      </c>
      <c r="P231" s="61" t="s">
        <v>580</v>
      </c>
      <c r="Q231" s="61" t="s">
        <v>581</v>
      </c>
      <c r="R231" s="62" t="n">
        <f aca="false">-H231</f>
        <v>18</v>
      </c>
    </row>
    <row r="232" customFormat="false" ht="15" hidden="false" customHeight="false" outlineLevel="0" collapsed="false">
      <c r="A232" s="61" t="s">
        <v>782</v>
      </c>
      <c r="B232" s="61" t="s">
        <v>55</v>
      </c>
      <c r="C232" s="61" t="s">
        <v>89</v>
      </c>
      <c r="D232" s="61" t="s">
        <v>215</v>
      </c>
      <c r="E232" s="61" t="s">
        <v>246</v>
      </c>
      <c r="F232" s="61" t="s">
        <v>1049</v>
      </c>
      <c r="G232" s="60" t="n">
        <v>46292</v>
      </c>
      <c r="H232" s="62" t="n">
        <v>-18</v>
      </c>
      <c r="I232" s="61" t="s">
        <v>4</v>
      </c>
      <c r="J232" s="60" t="n">
        <v>46292</v>
      </c>
      <c r="K232" s="61" t="s">
        <v>1320</v>
      </c>
      <c r="L232" s="62" t="n">
        <v>0</v>
      </c>
      <c r="M232" s="64" t="n">
        <v>0.825486111111111</v>
      </c>
      <c r="N232" s="61" t="s">
        <v>275</v>
      </c>
      <c r="O232" s="61" t="s">
        <v>1502</v>
      </c>
      <c r="P232" s="61" t="s">
        <v>353</v>
      </c>
      <c r="Q232" s="61" t="s">
        <v>354</v>
      </c>
      <c r="R232" s="62" t="n">
        <f aca="false">-H232</f>
        <v>18</v>
      </c>
    </row>
    <row r="233" customFormat="false" ht="15" hidden="false" customHeight="false" outlineLevel="0" collapsed="false">
      <c r="A233" s="61" t="s">
        <v>783</v>
      </c>
      <c r="B233" s="61" t="s">
        <v>55</v>
      </c>
      <c r="C233" s="61" t="s">
        <v>89</v>
      </c>
      <c r="D233" s="61" t="s">
        <v>215</v>
      </c>
      <c r="E233" s="61" t="s">
        <v>246</v>
      </c>
      <c r="F233" s="61" t="s">
        <v>1049</v>
      </c>
      <c r="G233" s="60" t="n">
        <v>46292</v>
      </c>
      <c r="H233" s="62" t="n">
        <v>-6</v>
      </c>
      <c r="I233" s="61" t="s">
        <v>4</v>
      </c>
      <c r="J233" s="60" t="n">
        <v>46292</v>
      </c>
      <c r="K233" s="61" t="s">
        <v>1320</v>
      </c>
      <c r="L233" s="62" t="n">
        <v>0</v>
      </c>
      <c r="M233" s="64" t="n">
        <v>0.577048611111111</v>
      </c>
      <c r="N233" s="61" t="s">
        <v>275</v>
      </c>
      <c r="O233" s="61" t="s">
        <v>1503</v>
      </c>
      <c r="P233" s="61" t="s">
        <v>580</v>
      </c>
      <c r="Q233" s="61" t="s">
        <v>581</v>
      </c>
      <c r="R233" s="62" t="n">
        <f aca="false">-H233</f>
        <v>6</v>
      </c>
    </row>
    <row r="234" customFormat="false" ht="15" hidden="false" customHeight="false" outlineLevel="0" collapsed="false">
      <c r="A234" s="61" t="s">
        <v>784</v>
      </c>
      <c r="B234" s="61" t="s">
        <v>55</v>
      </c>
      <c r="C234" s="61" t="s">
        <v>89</v>
      </c>
      <c r="D234" s="61" t="s">
        <v>215</v>
      </c>
      <c r="E234" s="61" t="s">
        <v>246</v>
      </c>
      <c r="F234" s="61" t="s">
        <v>1049</v>
      </c>
      <c r="G234" s="60" t="n">
        <v>46292</v>
      </c>
      <c r="H234" s="62" t="n">
        <v>-12</v>
      </c>
      <c r="I234" s="61" t="s">
        <v>4</v>
      </c>
      <c r="J234" s="60" t="n">
        <v>46292</v>
      </c>
      <c r="K234" s="61" t="s">
        <v>1320</v>
      </c>
      <c r="L234" s="62" t="n">
        <v>0</v>
      </c>
      <c r="M234" s="64" t="n">
        <v>0.825497685185185</v>
      </c>
      <c r="N234" s="61" t="s">
        <v>275</v>
      </c>
      <c r="O234" s="61" t="s">
        <v>1504</v>
      </c>
      <c r="P234" s="61" t="s">
        <v>785</v>
      </c>
      <c r="Q234" s="61" t="s">
        <v>786</v>
      </c>
      <c r="R234" s="62" t="n">
        <f aca="false">-H234</f>
        <v>12</v>
      </c>
    </row>
    <row r="235" customFormat="false" ht="15" hidden="false" customHeight="false" outlineLevel="0" collapsed="false">
      <c r="A235" s="61" t="s">
        <v>373</v>
      </c>
      <c r="B235" s="61" t="s">
        <v>61</v>
      </c>
      <c r="C235" s="61" t="s">
        <v>107</v>
      </c>
      <c r="D235" s="61" t="s">
        <v>149</v>
      </c>
      <c r="E235" s="61" t="s">
        <v>246</v>
      </c>
      <c r="F235" s="61" t="s">
        <v>1049</v>
      </c>
      <c r="G235" s="60" t="n">
        <v>46279</v>
      </c>
      <c r="H235" s="62" t="n">
        <v>-6</v>
      </c>
      <c r="I235" s="61" t="s">
        <v>4</v>
      </c>
      <c r="J235" s="60" t="n">
        <v>46279</v>
      </c>
      <c r="K235" s="61" t="s">
        <v>1320</v>
      </c>
      <c r="L235" s="62" t="n">
        <v>0</v>
      </c>
      <c r="M235" s="64" t="n">
        <v>0.483310185185185</v>
      </c>
      <c r="N235" s="61" t="s">
        <v>275</v>
      </c>
      <c r="O235" s="61" t="s">
        <v>1505</v>
      </c>
      <c r="P235" s="61" t="s">
        <v>374</v>
      </c>
      <c r="Q235" s="61" t="s">
        <v>375</v>
      </c>
      <c r="R235" s="62" t="n">
        <f aca="false">-H235</f>
        <v>6</v>
      </c>
    </row>
    <row r="236" customFormat="false" ht="15" hidden="false" customHeight="false" outlineLevel="0" collapsed="false">
      <c r="A236" s="61" t="s">
        <v>986</v>
      </c>
      <c r="B236" s="61" t="s">
        <v>69</v>
      </c>
      <c r="C236" s="61" t="s">
        <v>120</v>
      </c>
      <c r="D236" s="61" t="s">
        <v>119</v>
      </c>
      <c r="E236" s="61" t="s">
        <v>246</v>
      </c>
      <c r="F236" s="61" t="s">
        <v>1049</v>
      </c>
      <c r="G236" s="60" t="n">
        <v>46295</v>
      </c>
      <c r="H236" s="62" t="n">
        <v>-603</v>
      </c>
      <c r="I236" s="61" t="s">
        <v>4</v>
      </c>
      <c r="J236" s="60" t="n">
        <v>46296</v>
      </c>
      <c r="K236" s="61" t="s">
        <v>1320</v>
      </c>
      <c r="L236" s="62" t="n">
        <v>0</v>
      </c>
      <c r="M236" s="64" t="n">
        <v>0.156226851851852</v>
      </c>
      <c r="N236" s="61" t="s">
        <v>269</v>
      </c>
      <c r="O236" s="61" t="s">
        <v>1506</v>
      </c>
      <c r="P236" s="61" t="s">
        <v>987</v>
      </c>
      <c r="Q236" s="61" t="s">
        <v>988</v>
      </c>
      <c r="R236" s="62" t="n">
        <f aca="false">-H236</f>
        <v>603</v>
      </c>
    </row>
    <row r="237" customFormat="false" ht="15" hidden="false" customHeight="false" outlineLevel="0" collapsed="false">
      <c r="A237" s="61" t="s">
        <v>986</v>
      </c>
      <c r="B237" s="61" t="s">
        <v>69</v>
      </c>
      <c r="C237" s="61" t="s">
        <v>120</v>
      </c>
      <c r="D237" s="61" t="s">
        <v>119</v>
      </c>
      <c r="E237" s="61" t="s">
        <v>246</v>
      </c>
      <c r="F237" s="61" t="s">
        <v>1049</v>
      </c>
      <c r="G237" s="60" t="n">
        <v>46295</v>
      </c>
      <c r="H237" s="62" t="n">
        <v>-201</v>
      </c>
      <c r="I237" s="61" t="s">
        <v>4</v>
      </c>
      <c r="J237" s="60" t="n">
        <v>46296</v>
      </c>
      <c r="K237" s="61" t="s">
        <v>1320</v>
      </c>
      <c r="L237" s="62" t="n">
        <v>0</v>
      </c>
      <c r="M237" s="64" t="n">
        <v>0.156226851851852</v>
      </c>
      <c r="N237" s="61" t="s">
        <v>269</v>
      </c>
      <c r="O237" s="61" t="s">
        <v>1506</v>
      </c>
      <c r="P237" s="61" t="s">
        <v>987</v>
      </c>
      <c r="Q237" s="61" t="s">
        <v>988</v>
      </c>
      <c r="R237" s="62" t="n">
        <f aca="false">-H237</f>
        <v>201</v>
      </c>
    </row>
    <row r="238" customFormat="false" ht="15" hidden="false" customHeight="false" outlineLevel="0" collapsed="false">
      <c r="A238" s="61" t="s">
        <v>989</v>
      </c>
      <c r="B238" s="61" t="s">
        <v>69</v>
      </c>
      <c r="C238" s="61" t="s">
        <v>120</v>
      </c>
      <c r="D238" s="61" t="s">
        <v>119</v>
      </c>
      <c r="E238" s="61" t="s">
        <v>254</v>
      </c>
      <c r="F238" s="61" t="s">
        <v>1049</v>
      </c>
      <c r="G238" s="60" t="n">
        <v>46295</v>
      </c>
      <c r="H238" s="62" t="n">
        <v>-20.1</v>
      </c>
      <c r="I238" s="61" t="s">
        <v>4</v>
      </c>
      <c r="J238" s="60" t="n">
        <v>46295</v>
      </c>
      <c r="K238" s="61" t="s">
        <v>1320</v>
      </c>
      <c r="L238" s="62" t="n">
        <v>0</v>
      </c>
      <c r="M238" s="64" t="n">
        <v>0.985428240740741</v>
      </c>
      <c r="N238" s="61" t="s">
        <v>258</v>
      </c>
      <c r="O238" s="61" t="s">
        <v>1507</v>
      </c>
      <c r="P238" s="61" t="s">
        <v>990</v>
      </c>
      <c r="Q238" s="61" t="s">
        <v>991</v>
      </c>
      <c r="R238" s="62" t="n">
        <f aca="false">-H238</f>
        <v>20.1</v>
      </c>
    </row>
    <row r="239" customFormat="false" ht="15" hidden="false" customHeight="false" outlineLevel="0" collapsed="false">
      <c r="A239" s="61" t="s">
        <v>992</v>
      </c>
      <c r="B239" s="61" t="s">
        <v>69</v>
      </c>
      <c r="C239" s="61" t="s">
        <v>120</v>
      </c>
      <c r="D239" s="61" t="s">
        <v>119</v>
      </c>
      <c r="E239" s="61" t="s">
        <v>254</v>
      </c>
      <c r="F239" s="61" t="s">
        <v>1049</v>
      </c>
      <c r="G239" s="60" t="n">
        <v>46295</v>
      </c>
      <c r="H239" s="62" t="n">
        <v>-20.1</v>
      </c>
      <c r="I239" s="61" t="s">
        <v>4</v>
      </c>
      <c r="J239" s="60" t="n">
        <v>46295</v>
      </c>
      <c r="K239" s="61" t="s">
        <v>1320</v>
      </c>
      <c r="L239" s="62" t="n">
        <v>0</v>
      </c>
      <c r="M239" s="64" t="n">
        <v>0.985451388888889</v>
      </c>
      <c r="N239" s="61" t="s">
        <v>258</v>
      </c>
      <c r="O239" s="61" t="s">
        <v>1508</v>
      </c>
      <c r="P239" s="61" t="s">
        <v>283</v>
      </c>
      <c r="Q239" s="61" t="s">
        <v>284</v>
      </c>
      <c r="R239" s="62" t="n">
        <f aca="false">-H239</f>
        <v>20.1</v>
      </c>
    </row>
    <row r="240" customFormat="false" ht="15" hidden="false" customHeight="false" outlineLevel="0" collapsed="false">
      <c r="A240" s="61" t="s">
        <v>993</v>
      </c>
      <c r="B240" s="61" t="s">
        <v>69</v>
      </c>
      <c r="C240" s="61" t="s">
        <v>120</v>
      </c>
      <c r="D240" s="61" t="s">
        <v>119</v>
      </c>
      <c r="E240" s="61" t="s">
        <v>254</v>
      </c>
      <c r="F240" s="61" t="s">
        <v>1049</v>
      </c>
      <c r="G240" s="60" t="n">
        <v>46295</v>
      </c>
      <c r="H240" s="62" t="n">
        <v>-20.1</v>
      </c>
      <c r="I240" s="61" t="s">
        <v>4</v>
      </c>
      <c r="J240" s="60" t="n">
        <v>46295</v>
      </c>
      <c r="K240" s="61" t="s">
        <v>1320</v>
      </c>
      <c r="L240" s="62" t="n">
        <v>0</v>
      </c>
      <c r="M240" s="64" t="n">
        <v>0.985462962962963</v>
      </c>
      <c r="N240" s="61" t="s">
        <v>258</v>
      </c>
      <c r="O240" s="61" t="s">
        <v>1509</v>
      </c>
      <c r="P240" s="61" t="s">
        <v>449</v>
      </c>
      <c r="Q240" s="61" t="s">
        <v>450</v>
      </c>
      <c r="R240" s="62" t="n">
        <f aca="false">-H240</f>
        <v>20.1</v>
      </c>
    </row>
    <row r="241" customFormat="false" ht="15" hidden="false" customHeight="false" outlineLevel="0" collapsed="false">
      <c r="A241" s="61" t="s">
        <v>994</v>
      </c>
      <c r="B241" s="61" t="s">
        <v>69</v>
      </c>
      <c r="C241" s="61" t="s">
        <v>120</v>
      </c>
      <c r="D241" s="61" t="s">
        <v>119</v>
      </c>
      <c r="E241" s="61" t="s">
        <v>254</v>
      </c>
      <c r="F241" s="61" t="s">
        <v>1049</v>
      </c>
      <c r="G241" s="60" t="n">
        <v>46295</v>
      </c>
      <c r="H241" s="62" t="n">
        <v>-20.1</v>
      </c>
      <c r="I241" s="61" t="s">
        <v>4</v>
      </c>
      <c r="J241" s="60" t="n">
        <v>46295</v>
      </c>
      <c r="K241" s="61" t="s">
        <v>1320</v>
      </c>
      <c r="L241" s="62" t="n">
        <v>0</v>
      </c>
      <c r="M241" s="64" t="n">
        <v>0.985509259259259</v>
      </c>
      <c r="N241" s="61" t="s">
        <v>258</v>
      </c>
      <c r="O241" s="61" t="s">
        <v>1510</v>
      </c>
      <c r="P241" s="61" t="s">
        <v>995</v>
      </c>
      <c r="Q241" s="61" t="s">
        <v>996</v>
      </c>
      <c r="R241" s="62" t="n">
        <f aca="false">-H241</f>
        <v>20.1</v>
      </c>
    </row>
    <row r="242" customFormat="false" ht="15" hidden="false" customHeight="false" outlineLevel="0" collapsed="false">
      <c r="A242" s="61" t="s">
        <v>997</v>
      </c>
      <c r="B242" s="61" t="s">
        <v>69</v>
      </c>
      <c r="C242" s="61" t="s">
        <v>120</v>
      </c>
      <c r="D242" s="61" t="s">
        <v>119</v>
      </c>
      <c r="E242" s="61" t="s">
        <v>246</v>
      </c>
      <c r="F242" s="61" t="s">
        <v>1049</v>
      </c>
      <c r="G242" s="60" t="n">
        <v>46295</v>
      </c>
      <c r="H242" s="62" t="n">
        <v>-20.1</v>
      </c>
      <c r="I242" s="61" t="s">
        <v>4</v>
      </c>
      <c r="J242" s="60" t="n">
        <v>46296</v>
      </c>
      <c r="K242" s="61" t="s">
        <v>1320</v>
      </c>
      <c r="L242" s="62" t="n">
        <v>0</v>
      </c>
      <c r="M242" s="64" t="n">
        <v>0.0645949074074074</v>
      </c>
      <c r="N242" s="61" t="s">
        <v>269</v>
      </c>
      <c r="O242" s="61" t="s">
        <v>1511</v>
      </c>
      <c r="P242" s="61" t="s">
        <v>362</v>
      </c>
      <c r="Q242" s="61" t="s">
        <v>363</v>
      </c>
      <c r="R242" s="62" t="n">
        <f aca="false">-H242</f>
        <v>20.1</v>
      </c>
    </row>
    <row r="243" customFormat="false" ht="15" hidden="false" customHeight="false" outlineLevel="0" collapsed="false">
      <c r="A243" s="61" t="s">
        <v>998</v>
      </c>
      <c r="B243" s="61" t="s">
        <v>69</v>
      </c>
      <c r="C243" s="61" t="s">
        <v>120</v>
      </c>
      <c r="D243" s="61" t="s">
        <v>119</v>
      </c>
      <c r="E243" s="61" t="s">
        <v>246</v>
      </c>
      <c r="F243" s="61" t="s">
        <v>1049</v>
      </c>
      <c r="G243" s="60" t="n">
        <v>46295</v>
      </c>
      <c r="H243" s="62" t="n">
        <v>-20.1</v>
      </c>
      <c r="I243" s="61" t="s">
        <v>4</v>
      </c>
      <c r="J243" s="60" t="n">
        <v>46296</v>
      </c>
      <c r="K243" s="61" t="s">
        <v>1320</v>
      </c>
      <c r="L243" s="62" t="n">
        <v>0</v>
      </c>
      <c r="M243" s="64" t="n">
        <v>0.0690277777777778</v>
      </c>
      <c r="N243" s="61" t="s">
        <v>269</v>
      </c>
      <c r="O243" s="61" t="s">
        <v>1512</v>
      </c>
      <c r="P243" s="61" t="s">
        <v>953</v>
      </c>
      <c r="Q243" s="61" t="s">
        <v>954</v>
      </c>
      <c r="R243" s="62" t="n">
        <f aca="false">-H243</f>
        <v>20.1</v>
      </c>
    </row>
    <row r="244" customFormat="false" ht="15" hidden="false" customHeight="false" outlineLevel="0" collapsed="false">
      <c r="A244" s="61" t="s">
        <v>999</v>
      </c>
      <c r="B244" s="61" t="s">
        <v>69</v>
      </c>
      <c r="C244" s="61" t="s">
        <v>120</v>
      </c>
      <c r="D244" s="61" t="s">
        <v>119</v>
      </c>
      <c r="E244" s="61" t="s">
        <v>254</v>
      </c>
      <c r="F244" s="61" t="s">
        <v>1049</v>
      </c>
      <c r="G244" s="60" t="n">
        <v>46295</v>
      </c>
      <c r="H244" s="62" t="n">
        <v>-20.1</v>
      </c>
      <c r="I244" s="61" t="s">
        <v>4</v>
      </c>
      <c r="J244" s="60" t="n">
        <v>46295</v>
      </c>
      <c r="K244" s="61" t="s">
        <v>1320</v>
      </c>
      <c r="L244" s="62" t="n">
        <v>0</v>
      </c>
      <c r="M244" s="64" t="n">
        <v>0.985520833333333</v>
      </c>
      <c r="N244" s="61" t="s">
        <v>258</v>
      </c>
      <c r="O244" s="61" t="s">
        <v>1513</v>
      </c>
      <c r="P244" s="61" t="s">
        <v>553</v>
      </c>
      <c r="Q244" s="61" t="s">
        <v>554</v>
      </c>
      <c r="R244" s="62" t="n">
        <f aca="false">-H244</f>
        <v>20.1</v>
      </c>
    </row>
    <row r="245" customFormat="false" ht="15" hidden="false" customHeight="false" outlineLevel="0" collapsed="false">
      <c r="A245" s="61" t="s">
        <v>998</v>
      </c>
      <c r="B245" s="61" t="s">
        <v>69</v>
      </c>
      <c r="C245" s="61" t="s">
        <v>120</v>
      </c>
      <c r="D245" s="61" t="s">
        <v>119</v>
      </c>
      <c r="E245" s="61" t="s">
        <v>246</v>
      </c>
      <c r="F245" s="61" t="s">
        <v>1049</v>
      </c>
      <c r="G245" s="60" t="n">
        <v>46295</v>
      </c>
      <c r="H245" s="62" t="n">
        <v>-40.2</v>
      </c>
      <c r="I245" s="61" t="s">
        <v>4</v>
      </c>
      <c r="J245" s="60" t="n">
        <v>46296</v>
      </c>
      <c r="K245" s="61" t="s">
        <v>1320</v>
      </c>
      <c r="L245" s="62" t="n">
        <v>0</v>
      </c>
      <c r="M245" s="64" t="n">
        <v>0.0690277777777778</v>
      </c>
      <c r="N245" s="61" t="s">
        <v>269</v>
      </c>
      <c r="O245" s="61" t="s">
        <v>1512</v>
      </c>
      <c r="P245" s="61" t="s">
        <v>953</v>
      </c>
      <c r="Q245" s="61" t="s">
        <v>954</v>
      </c>
      <c r="R245" s="62" t="n">
        <f aca="false">-H245</f>
        <v>40.2</v>
      </c>
    </row>
    <row r="246" customFormat="false" ht="15" hidden="false" customHeight="false" outlineLevel="0" collapsed="false">
      <c r="A246" s="61" t="s">
        <v>885</v>
      </c>
      <c r="B246" s="61" t="s">
        <v>69</v>
      </c>
      <c r="C246" s="61" t="s">
        <v>127</v>
      </c>
      <c r="D246" s="61" t="s">
        <v>119</v>
      </c>
      <c r="E246" s="61" t="s">
        <v>246</v>
      </c>
      <c r="F246" s="61" t="s">
        <v>1049</v>
      </c>
      <c r="G246" s="60" t="n">
        <v>46294</v>
      </c>
      <c r="H246" s="62" t="n">
        <v>-20.1</v>
      </c>
      <c r="I246" s="61" t="s">
        <v>4</v>
      </c>
      <c r="J246" s="60" t="n">
        <v>46295</v>
      </c>
      <c r="K246" s="61" t="s">
        <v>1320</v>
      </c>
      <c r="L246" s="62" t="n">
        <v>0</v>
      </c>
      <c r="M246" s="64" t="n">
        <v>0.00545138888888889</v>
      </c>
      <c r="N246" s="61" t="s">
        <v>250</v>
      </c>
      <c r="O246" s="61" t="s">
        <v>1514</v>
      </c>
      <c r="P246" s="61" t="s">
        <v>880</v>
      </c>
      <c r="Q246" s="61" t="s">
        <v>881</v>
      </c>
      <c r="R246" s="62" t="n">
        <f aca="false">-H246</f>
        <v>20.1</v>
      </c>
    </row>
    <row r="247" customFormat="false" ht="15" hidden="false" customHeight="false" outlineLevel="0" collapsed="false">
      <c r="A247" s="61" t="s">
        <v>886</v>
      </c>
      <c r="B247" s="61" t="s">
        <v>69</v>
      </c>
      <c r="C247" s="61" t="s">
        <v>120</v>
      </c>
      <c r="D247" s="61" t="s">
        <v>119</v>
      </c>
      <c r="E247" s="61" t="s">
        <v>246</v>
      </c>
      <c r="F247" s="61" t="s">
        <v>1049</v>
      </c>
      <c r="G247" s="60" t="n">
        <v>46294</v>
      </c>
      <c r="H247" s="62" t="n">
        <v>-20.1</v>
      </c>
      <c r="I247" s="61" t="s">
        <v>4</v>
      </c>
      <c r="J247" s="60" t="n">
        <v>46294</v>
      </c>
      <c r="K247" s="61" t="s">
        <v>1320</v>
      </c>
      <c r="L247" s="62" t="n">
        <v>0</v>
      </c>
      <c r="M247" s="64" t="n">
        <v>0.34625</v>
      </c>
      <c r="N247" s="61" t="s">
        <v>250</v>
      </c>
      <c r="O247" s="61" t="s">
        <v>1515</v>
      </c>
      <c r="P247" s="61" t="s">
        <v>295</v>
      </c>
      <c r="Q247" s="61" t="s">
        <v>296</v>
      </c>
      <c r="R247" s="62" t="n">
        <f aca="false">-H247</f>
        <v>20.1</v>
      </c>
    </row>
    <row r="248" customFormat="false" ht="15" hidden="false" customHeight="false" outlineLevel="0" collapsed="false">
      <c r="A248" s="61" t="s">
        <v>787</v>
      </c>
      <c r="B248" s="61" t="s">
        <v>69</v>
      </c>
      <c r="C248" s="61" t="s">
        <v>127</v>
      </c>
      <c r="D248" s="61" t="s">
        <v>119</v>
      </c>
      <c r="E248" s="61" t="s">
        <v>246</v>
      </c>
      <c r="F248" s="61" t="s">
        <v>1049</v>
      </c>
      <c r="G248" s="60" t="n">
        <v>46292</v>
      </c>
      <c r="H248" s="62" t="n">
        <v>-20.1</v>
      </c>
      <c r="I248" s="61" t="s">
        <v>4</v>
      </c>
      <c r="J248" s="60" t="n">
        <v>46292</v>
      </c>
      <c r="K248" s="61" t="s">
        <v>1320</v>
      </c>
      <c r="L248" s="62" t="n">
        <v>0</v>
      </c>
      <c r="M248" s="64" t="n">
        <v>0.631215277777778</v>
      </c>
      <c r="N248" s="61" t="s">
        <v>275</v>
      </c>
      <c r="O248" s="61" t="s">
        <v>1516</v>
      </c>
      <c r="P248" s="61" t="s">
        <v>788</v>
      </c>
      <c r="Q248" s="61" t="s">
        <v>789</v>
      </c>
      <c r="R248" s="62" t="n">
        <f aca="false">-H248</f>
        <v>20.1</v>
      </c>
    </row>
    <row r="249" customFormat="false" ht="15" hidden="false" customHeight="false" outlineLevel="0" collapsed="false">
      <c r="A249" s="61" t="s">
        <v>842</v>
      </c>
      <c r="B249" s="61" t="s">
        <v>71</v>
      </c>
      <c r="C249" s="61" t="s">
        <v>136</v>
      </c>
      <c r="D249" s="61" t="s">
        <v>186</v>
      </c>
      <c r="E249" s="61" t="s">
        <v>254</v>
      </c>
      <c r="F249" s="61" t="s">
        <v>1049</v>
      </c>
      <c r="G249" s="60" t="n">
        <v>46293</v>
      </c>
      <c r="H249" s="62" t="n">
        <v>-19.6</v>
      </c>
      <c r="I249" s="61" t="s">
        <v>4</v>
      </c>
      <c r="J249" s="60" t="n">
        <v>46293</v>
      </c>
      <c r="K249" s="61" t="s">
        <v>1320</v>
      </c>
      <c r="L249" s="62" t="n">
        <v>0</v>
      </c>
      <c r="M249" s="64" t="n">
        <v>0.683668981481482</v>
      </c>
      <c r="N249" s="61" t="s">
        <v>258</v>
      </c>
      <c r="O249" s="61" t="s">
        <v>1517</v>
      </c>
      <c r="P249" s="61" t="s">
        <v>400</v>
      </c>
      <c r="Q249" s="61" t="s">
        <v>401</v>
      </c>
      <c r="R249" s="62" t="n">
        <f aca="false">-H249</f>
        <v>19.6</v>
      </c>
    </row>
    <row r="250" customFormat="false" ht="15" hidden="false" customHeight="false" outlineLevel="0" collapsed="false">
      <c r="A250" s="61" t="s">
        <v>843</v>
      </c>
      <c r="B250" s="61" t="s">
        <v>71</v>
      </c>
      <c r="C250" s="61" t="s">
        <v>136</v>
      </c>
      <c r="D250" s="61" t="s">
        <v>186</v>
      </c>
      <c r="E250" s="61" t="s">
        <v>254</v>
      </c>
      <c r="F250" s="61" t="s">
        <v>1049</v>
      </c>
      <c r="G250" s="60" t="n">
        <v>46293</v>
      </c>
      <c r="H250" s="62" t="n">
        <v>-19.6</v>
      </c>
      <c r="I250" s="61" t="s">
        <v>4</v>
      </c>
      <c r="J250" s="60" t="n">
        <v>46293</v>
      </c>
      <c r="K250" s="61" t="s">
        <v>1320</v>
      </c>
      <c r="L250" s="62" t="n">
        <v>0</v>
      </c>
      <c r="M250" s="64" t="n">
        <v>0.68380787037037</v>
      </c>
      <c r="N250" s="61" t="s">
        <v>258</v>
      </c>
      <c r="O250" s="61" t="s">
        <v>1518</v>
      </c>
      <c r="P250" s="61" t="s">
        <v>844</v>
      </c>
      <c r="Q250" s="61" t="s">
        <v>845</v>
      </c>
      <c r="R250" s="62" t="n">
        <f aca="false">-H250</f>
        <v>19.6</v>
      </c>
    </row>
    <row r="251" customFormat="false" ht="15" hidden="false" customHeight="false" outlineLevel="0" collapsed="false">
      <c r="A251" s="61" t="s">
        <v>555</v>
      </c>
      <c r="B251" s="61" t="s">
        <v>71</v>
      </c>
      <c r="C251" s="61" t="s">
        <v>136</v>
      </c>
      <c r="D251" s="61" t="s">
        <v>186</v>
      </c>
      <c r="E251" s="61" t="s">
        <v>254</v>
      </c>
      <c r="F251" s="61" t="s">
        <v>1049</v>
      </c>
      <c r="G251" s="60" t="n">
        <v>46287</v>
      </c>
      <c r="H251" s="62" t="n">
        <v>-5.6</v>
      </c>
      <c r="I251" s="61" t="s">
        <v>4</v>
      </c>
      <c r="J251" s="60" t="n">
        <v>46287</v>
      </c>
      <c r="K251" s="61" t="s">
        <v>1320</v>
      </c>
      <c r="L251" s="62" t="n">
        <v>0</v>
      </c>
      <c r="M251" s="64" t="n">
        <v>0.901388888888889</v>
      </c>
      <c r="N251" s="61" t="s">
        <v>258</v>
      </c>
      <c r="O251" s="61" t="s">
        <v>1371</v>
      </c>
      <c r="P251" s="61" t="s">
        <v>263</v>
      </c>
      <c r="Q251" s="61" t="s">
        <v>264</v>
      </c>
      <c r="R251" s="62" t="n">
        <f aca="false">-H251</f>
        <v>5.6</v>
      </c>
    </row>
    <row r="252" customFormat="false" ht="15" hidden="false" customHeight="false" outlineLevel="0" collapsed="false">
      <c r="A252" s="61" t="s">
        <v>448</v>
      </c>
      <c r="B252" s="61" t="s">
        <v>71</v>
      </c>
      <c r="C252" s="61" t="s">
        <v>136</v>
      </c>
      <c r="D252" s="61" t="s">
        <v>186</v>
      </c>
      <c r="E252" s="61" t="s">
        <v>254</v>
      </c>
      <c r="F252" s="61" t="s">
        <v>1049</v>
      </c>
      <c r="G252" s="60" t="n">
        <v>46282</v>
      </c>
      <c r="H252" s="62" t="n">
        <v>-8.4</v>
      </c>
      <c r="I252" s="61" t="s">
        <v>4</v>
      </c>
      <c r="J252" s="60" t="n">
        <v>46282</v>
      </c>
      <c r="K252" s="61" t="s">
        <v>1320</v>
      </c>
      <c r="L252" s="62" t="n">
        <v>0</v>
      </c>
      <c r="M252" s="64" t="n">
        <v>0.951585648148148</v>
      </c>
      <c r="N252" s="61" t="s">
        <v>258</v>
      </c>
      <c r="O252" s="61" t="s">
        <v>1519</v>
      </c>
      <c r="P252" s="61" t="s">
        <v>449</v>
      </c>
      <c r="Q252" s="61" t="s">
        <v>450</v>
      </c>
      <c r="R252" s="62" t="n">
        <f aca="false">-H252</f>
        <v>8.4</v>
      </c>
    </row>
    <row r="253" customFormat="false" ht="15" hidden="false" customHeight="false" outlineLevel="0" collapsed="false">
      <c r="A253" s="61" t="s">
        <v>1000</v>
      </c>
      <c r="B253" s="61" t="s">
        <v>75</v>
      </c>
      <c r="C253" s="61" t="s">
        <v>143</v>
      </c>
      <c r="D253" s="61" t="s">
        <v>173</v>
      </c>
      <c r="E253" s="61" t="s">
        <v>246</v>
      </c>
      <c r="F253" s="61" t="s">
        <v>1049</v>
      </c>
      <c r="G253" s="60" t="n">
        <v>46295</v>
      </c>
      <c r="H253" s="62" t="n">
        <v>-4</v>
      </c>
      <c r="I253" s="61" t="s">
        <v>4</v>
      </c>
      <c r="J253" s="60" t="n">
        <v>46296</v>
      </c>
      <c r="K253" s="61" t="s">
        <v>1320</v>
      </c>
      <c r="L253" s="62" t="n">
        <v>0</v>
      </c>
      <c r="M253" s="64" t="n">
        <v>0.15806712962963</v>
      </c>
      <c r="N253" s="61" t="s">
        <v>269</v>
      </c>
      <c r="O253" s="61" t="s">
        <v>1520</v>
      </c>
      <c r="P253" s="61" t="s">
        <v>1001</v>
      </c>
      <c r="Q253" s="61" t="s">
        <v>1002</v>
      </c>
      <c r="R253" s="62" t="n">
        <f aca="false">-H253</f>
        <v>4</v>
      </c>
    </row>
    <row r="254" customFormat="false" ht="15" hidden="false" customHeight="false" outlineLevel="0" collapsed="false">
      <c r="A254" s="61" t="s">
        <v>888</v>
      </c>
      <c r="B254" s="61" t="s">
        <v>75</v>
      </c>
      <c r="C254" s="61" t="s">
        <v>143</v>
      </c>
      <c r="D254" s="61" t="s">
        <v>173</v>
      </c>
      <c r="E254" s="61" t="s">
        <v>246</v>
      </c>
      <c r="F254" s="61" t="s">
        <v>1049</v>
      </c>
      <c r="G254" s="60" t="n">
        <v>46294</v>
      </c>
      <c r="H254" s="62" t="n">
        <v>-8</v>
      </c>
      <c r="I254" s="61" t="s">
        <v>4</v>
      </c>
      <c r="J254" s="60" t="n">
        <v>46294</v>
      </c>
      <c r="K254" s="61" t="s">
        <v>1320</v>
      </c>
      <c r="L254" s="62" t="n">
        <v>0</v>
      </c>
      <c r="M254" s="64" t="n">
        <v>0.346469907407407</v>
      </c>
      <c r="N254" s="61" t="s">
        <v>250</v>
      </c>
      <c r="O254" s="61" t="s">
        <v>1521</v>
      </c>
      <c r="P254" s="61" t="s">
        <v>267</v>
      </c>
      <c r="Q254" s="61" t="s">
        <v>268</v>
      </c>
      <c r="R254" s="62" t="n">
        <f aca="false">-H254</f>
        <v>8</v>
      </c>
    </row>
    <row r="255" customFormat="false" ht="15" hidden="false" customHeight="false" outlineLevel="0" collapsed="false">
      <c r="A255" s="61" t="s">
        <v>685</v>
      </c>
      <c r="B255" s="61" t="s">
        <v>75</v>
      </c>
      <c r="C255" s="61" t="s">
        <v>143</v>
      </c>
      <c r="D255" s="61" t="s">
        <v>173</v>
      </c>
      <c r="E255" s="61" t="s">
        <v>246</v>
      </c>
      <c r="F255" s="61" t="s">
        <v>1049</v>
      </c>
      <c r="G255" s="60" t="n">
        <v>46291</v>
      </c>
      <c r="H255" s="62" t="n">
        <v>-4</v>
      </c>
      <c r="I255" s="61" t="s">
        <v>4</v>
      </c>
      <c r="J255" s="60" t="n">
        <v>46291</v>
      </c>
      <c r="K255" s="61" t="s">
        <v>1320</v>
      </c>
      <c r="L255" s="62" t="n">
        <v>0</v>
      </c>
      <c r="M255" s="64" t="n">
        <v>0.804537037037037</v>
      </c>
      <c r="N255" s="61" t="s">
        <v>275</v>
      </c>
      <c r="O255" s="61" t="s">
        <v>1522</v>
      </c>
      <c r="P255" s="61" t="s">
        <v>686</v>
      </c>
      <c r="Q255" s="61" t="s">
        <v>687</v>
      </c>
      <c r="R255" s="62" t="n">
        <f aca="false">-H255</f>
        <v>4</v>
      </c>
    </row>
    <row r="256" customFormat="false" ht="15" hidden="false" customHeight="false" outlineLevel="0" collapsed="false">
      <c r="A256" s="61" t="s">
        <v>656</v>
      </c>
      <c r="B256" s="61" t="s">
        <v>75</v>
      </c>
      <c r="C256" s="61" t="s">
        <v>143</v>
      </c>
      <c r="D256" s="61" t="s">
        <v>173</v>
      </c>
      <c r="E256" s="61" t="s">
        <v>246</v>
      </c>
      <c r="F256" s="61" t="s">
        <v>1049</v>
      </c>
      <c r="G256" s="60" t="n">
        <v>46290</v>
      </c>
      <c r="H256" s="62" t="n">
        <v>-8</v>
      </c>
      <c r="I256" s="61" t="s">
        <v>4</v>
      </c>
      <c r="J256" s="60" t="n">
        <v>46291</v>
      </c>
      <c r="K256" s="61" t="s">
        <v>1320</v>
      </c>
      <c r="L256" s="62" t="n">
        <v>0</v>
      </c>
      <c r="M256" s="64" t="n">
        <v>0.0955555555555556</v>
      </c>
      <c r="N256" s="61" t="s">
        <v>250</v>
      </c>
      <c r="O256" s="61" t="s">
        <v>1523</v>
      </c>
      <c r="P256" s="61" t="s">
        <v>546</v>
      </c>
      <c r="Q256" s="61" t="s">
        <v>547</v>
      </c>
      <c r="R256" s="62" t="n">
        <f aca="false">-H256</f>
        <v>8</v>
      </c>
    </row>
    <row r="257" customFormat="false" ht="15" hidden="false" customHeight="false" outlineLevel="0" collapsed="false">
      <c r="A257" s="61" t="s">
        <v>575</v>
      </c>
      <c r="B257" s="61" t="s">
        <v>75</v>
      </c>
      <c r="C257" s="61" t="s">
        <v>143</v>
      </c>
      <c r="D257" s="61" t="s">
        <v>173</v>
      </c>
      <c r="E257" s="61" t="s">
        <v>246</v>
      </c>
      <c r="F257" s="61" t="s">
        <v>1049</v>
      </c>
      <c r="G257" s="60" t="n">
        <v>46288</v>
      </c>
      <c r="H257" s="62" t="n">
        <v>-40</v>
      </c>
      <c r="I257" s="61" t="s">
        <v>4</v>
      </c>
      <c r="J257" s="60" t="n">
        <v>46288</v>
      </c>
      <c r="K257" s="61" t="s">
        <v>1320</v>
      </c>
      <c r="L257" s="62" t="n">
        <v>0</v>
      </c>
      <c r="M257" s="64" t="n">
        <v>0.508831018518519</v>
      </c>
      <c r="N257" s="61" t="s">
        <v>275</v>
      </c>
      <c r="O257" s="61" t="s">
        <v>1524</v>
      </c>
      <c r="P257" s="61" t="s">
        <v>576</v>
      </c>
      <c r="Q257" s="61" t="s">
        <v>577</v>
      </c>
      <c r="R257" s="62" t="n">
        <f aca="false">-H257</f>
        <v>40</v>
      </c>
    </row>
    <row r="258" customFormat="false" ht="15" hidden="false" customHeight="false" outlineLevel="0" collapsed="false">
      <c r="A258" s="61" t="s">
        <v>508</v>
      </c>
      <c r="B258" s="61" t="s">
        <v>75</v>
      </c>
      <c r="C258" s="61" t="s">
        <v>143</v>
      </c>
      <c r="D258" s="61" t="s">
        <v>173</v>
      </c>
      <c r="E258" s="61" t="s">
        <v>246</v>
      </c>
      <c r="F258" s="61" t="s">
        <v>1049</v>
      </c>
      <c r="G258" s="60" t="n">
        <v>46285</v>
      </c>
      <c r="H258" s="62" t="n">
        <v>-4</v>
      </c>
      <c r="I258" s="61" t="s">
        <v>4</v>
      </c>
      <c r="J258" s="60" t="n">
        <v>46285</v>
      </c>
      <c r="K258" s="61" t="s">
        <v>1320</v>
      </c>
      <c r="L258" s="62" t="n">
        <v>0</v>
      </c>
      <c r="M258" s="64" t="n">
        <v>0.314953703703704</v>
      </c>
      <c r="N258" s="61" t="s">
        <v>269</v>
      </c>
      <c r="O258" s="61" t="s">
        <v>1383</v>
      </c>
      <c r="P258" s="61" t="s">
        <v>509</v>
      </c>
      <c r="Q258" s="61" t="s">
        <v>510</v>
      </c>
      <c r="R258" s="62" t="n">
        <f aca="false">-H258</f>
        <v>4</v>
      </c>
    </row>
    <row r="259" customFormat="false" ht="15" hidden="false" customHeight="false" outlineLevel="0" collapsed="false">
      <c r="A259" s="61" t="s">
        <v>475</v>
      </c>
      <c r="B259" s="61" t="s">
        <v>75</v>
      </c>
      <c r="C259" s="61" t="s">
        <v>143</v>
      </c>
      <c r="D259" s="61" t="s">
        <v>173</v>
      </c>
      <c r="E259" s="61" t="s">
        <v>246</v>
      </c>
      <c r="F259" s="61" t="s">
        <v>1049</v>
      </c>
      <c r="G259" s="60" t="n">
        <v>46284</v>
      </c>
      <c r="H259" s="62" t="n">
        <v>-4</v>
      </c>
      <c r="I259" s="61" t="s">
        <v>4</v>
      </c>
      <c r="J259" s="60" t="n">
        <v>46284</v>
      </c>
      <c r="K259" s="61" t="s">
        <v>1320</v>
      </c>
      <c r="L259" s="62" t="n">
        <v>0</v>
      </c>
      <c r="M259" s="64" t="n">
        <v>0.237453703703704</v>
      </c>
      <c r="N259" s="61" t="s">
        <v>474</v>
      </c>
      <c r="O259" s="61" t="s">
        <v>1386</v>
      </c>
      <c r="P259" s="61" t="s">
        <v>476</v>
      </c>
      <c r="Q259" s="61" t="s">
        <v>477</v>
      </c>
      <c r="R259" s="62" t="n">
        <f aca="false">-H259</f>
        <v>4</v>
      </c>
    </row>
    <row r="260" customFormat="false" ht="15" hidden="false" customHeight="false" outlineLevel="0" collapsed="false">
      <c r="A260" s="61" t="s">
        <v>499</v>
      </c>
      <c r="B260" s="61" t="s">
        <v>75</v>
      </c>
      <c r="C260" s="61" t="s">
        <v>143</v>
      </c>
      <c r="D260" s="61" t="s">
        <v>173</v>
      </c>
      <c r="E260" s="61" t="s">
        <v>246</v>
      </c>
      <c r="F260" s="61" t="s">
        <v>1049</v>
      </c>
      <c r="G260" s="60" t="n">
        <v>46284</v>
      </c>
      <c r="H260" s="62" t="n">
        <v>-4</v>
      </c>
      <c r="I260" s="61" t="s">
        <v>4</v>
      </c>
      <c r="J260" s="60" t="n">
        <v>46284</v>
      </c>
      <c r="K260" s="61" t="s">
        <v>1320</v>
      </c>
      <c r="L260" s="62" t="n">
        <v>0</v>
      </c>
      <c r="M260" s="64" t="n">
        <v>0.990810185185185</v>
      </c>
      <c r="N260" s="61" t="s">
        <v>269</v>
      </c>
      <c r="O260" s="61" t="s">
        <v>1525</v>
      </c>
      <c r="P260" s="61" t="s">
        <v>500</v>
      </c>
      <c r="Q260" s="61" t="s">
        <v>501</v>
      </c>
      <c r="R260" s="62" t="n">
        <f aca="false">-H260</f>
        <v>4</v>
      </c>
    </row>
    <row r="261" customFormat="false" ht="15" hidden="false" customHeight="false" outlineLevel="0" collapsed="false">
      <c r="A261" s="61" t="s">
        <v>465</v>
      </c>
      <c r="B261" s="61" t="s">
        <v>75</v>
      </c>
      <c r="C261" s="61" t="s">
        <v>143</v>
      </c>
      <c r="D261" s="61" t="s">
        <v>173</v>
      </c>
      <c r="E261" s="61" t="s">
        <v>246</v>
      </c>
      <c r="F261" s="61" t="s">
        <v>1049</v>
      </c>
      <c r="G261" s="60" t="n">
        <v>46283</v>
      </c>
      <c r="H261" s="62" t="n">
        <v>-8</v>
      </c>
      <c r="I261" s="61" t="s">
        <v>4</v>
      </c>
      <c r="J261" s="60" t="n">
        <v>46284</v>
      </c>
      <c r="K261" s="61" t="s">
        <v>1320</v>
      </c>
      <c r="L261" s="62" t="n">
        <v>0</v>
      </c>
      <c r="M261" s="64" t="n">
        <v>0.0177893518518519</v>
      </c>
      <c r="N261" s="61" t="s">
        <v>269</v>
      </c>
      <c r="O261" s="61" t="s">
        <v>1526</v>
      </c>
      <c r="P261" s="61" t="s">
        <v>466</v>
      </c>
      <c r="Q261" s="61" t="s">
        <v>467</v>
      </c>
      <c r="R261" s="62" t="n">
        <f aca="false">-H261</f>
        <v>8</v>
      </c>
    </row>
    <row r="262" customFormat="false" ht="15" hidden="false" customHeight="false" outlineLevel="0" collapsed="false">
      <c r="A262" s="61" t="s">
        <v>376</v>
      </c>
      <c r="B262" s="61" t="s">
        <v>75</v>
      </c>
      <c r="C262" s="61" t="s">
        <v>143</v>
      </c>
      <c r="D262" s="61" t="s">
        <v>173</v>
      </c>
      <c r="E262" s="61" t="s">
        <v>246</v>
      </c>
      <c r="F262" s="61" t="s">
        <v>1049</v>
      </c>
      <c r="G262" s="60" t="n">
        <v>46279</v>
      </c>
      <c r="H262" s="62" t="n">
        <v>-40</v>
      </c>
      <c r="I262" s="61" t="s">
        <v>4</v>
      </c>
      <c r="J262" s="60" t="n">
        <v>46279</v>
      </c>
      <c r="K262" s="61" t="s">
        <v>1320</v>
      </c>
      <c r="L262" s="62" t="n">
        <v>0</v>
      </c>
      <c r="M262" s="64" t="n">
        <v>0.913229166666667</v>
      </c>
      <c r="N262" s="61" t="s">
        <v>297</v>
      </c>
      <c r="O262" s="61" t="s">
        <v>1527</v>
      </c>
      <c r="P262" s="61" t="s">
        <v>377</v>
      </c>
      <c r="Q262" s="61" t="s">
        <v>378</v>
      </c>
      <c r="R262" s="62" t="n">
        <f aca="false">-H262</f>
        <v>40</v>
      </c>
    </row>
    <row r="263" customFormat="false" ht="15" hidden="false" customHeight="false" outlineLevel="0" collapsed="false">
      <c r="A263" s="61" t="s">
        <v>361</v>
      </c>
      <c r="B263" s="61" t="s">
        <v>75</v>
      </c>
      <c r="C263" s="61" t="s">
        <v>143</v>
      </c>
      <c r="D263" s="61" t="s">
        <v>173</v>
      </c>
      <c r="E263" s="61" t="s">
        <v>246</v>
      </c>
      <c r="F263" s="61" t="s">
        <v>1049</v>
      </c>
      <c r="G263" s="60" t="n">
        <v>46279</v>
      </c>
      <c r="H263" s="62" t="n">
        <v>-4</v>
      </c>
      <c r="I263" s="61" t="s">
        <v>4</v>
      </c>
      <c r="J263" s="60" t="n">
        <v>46279</v>
      </c>
      <c r="K263" s="61" t="s">
        <v>1320</v>
      </c>
      <c r="L263" s="62" t="n">
        <v>0</v>
      </c>
      <c r="M263" s="64" t="n">
        <v>0.655162037037037</v>
      </c>
      <c r="N263" s="61" t="s">
        <v>275</v>
      </c>
      <c r="O263" s="61" t="s">
        <v>1390</v>
      </c>
      <c r="P263" s="61" t="s">
        <v>362</v>
      </c>
      <c r="Q263" s="61" t="s">
        <v>363</v>
      </c>
      <c r="R263" s="62" t="n">
        <f aca="false">-H263</f>
        <v>4</v>
      </c>
    </row>
    <row r="264" customFormat="false" ht="15" hidden="false" customHeight="false" outlineLevel="0" collapsed="false">
      <c r="A264" s="61" t="s">
        <v>379</v>
      </c>
      <c r="B264" s="61" t="s">
        <v>75</v>
      </c>
      <c r="C264" s="61" t="s">
        <v>143</v>
      </c>
      <c r="D264" s="61" t="s">
        <v>173</v>
      </c>
      <c r="E264" s="61" t="s">
        <v>246</v>
      </c>
      <c r="F264" s="61" t="s">
        <v>1049</v>
      </c>
      <c r="G264" s="60" t="n">
        <v>46279</v>
      </c>
      <c r="H264" s="62" t="n">
        <v>-8</v>
      </c>
      <c r="I264" s="61" t="s">
        <v>4</v>
      </c>
      <c r="J264" s="60" t="n">
        <v>46279</v>
      </c>
      <c r="K264" s="61" t="s">
        <v>1320</v>
      </c>
      <c r="L264" s="62" t="n">
        <v>0</v>
      </c>
      <c r="M264" s="64" t="n">
        <v>0.354988425925926</v>
      </c>
      <c r="N264" s="61" t="s">
        <v>250</v>
      </c>
      <c r="O264" s="61" t="s">
        <v>1528</v>
      </c>
      <c r="P264" s="61" t="s">
        <v>380</v>
      </c>
      <c r="Q264" s="61" t="s">
        <v>381</v>
      </c>
      <c r="R264" s="62" t="n">
        <f aca="false">-H264</f>
        <v>8</v>
      </c>
    </row>
    <row r="265" customFormat="false" ht="15" hidden="false" customHeight="false" outlineLevel="0" collapsed="false">
      <c r="A265" s="61" t="s">
        <v>313</v>
      </c>
      <c r="B265" s="61" t="s">
        <v>75</v>
      </c>
      <c r="C265" s="61" t="s">
        <v>143</v>
      </c>
      <c r="D265" s="61" t="s">
        <v>173</v>
      </c>
      <c r="E265" s="61" t="s">
        <v>246</v>
      </c>
      <c r="F265" s="61" t="s">
        <v>1049</v>
      </c>
      <c r="G265" s="60" t="n">
        <v>46276</v>
      </c>
      <c r="H265" s="62" t="n">
        <v>-40</v>
      </c>
      <c r="I265" s="61" t="s">
        <v>4</v>
      </c>
      <c r="J265" s="60" t="n">
        <v>46277</v>
      </c>
      <c r="K265" s="61" t="s">
        <v>1320</v>
      </c>
      <c r="L265" s="62" t="n">
        <v>0</v>
      </c>
      <c r="M265" s="64" t="n">
        <v>0.109826388888889</v>
      </c>
      <c r="N265" s="61" t="s">
        <v>269</v>
      </c>
      <c r="O265" s="61" t="s">
        <v>1529</v>
      </c>
      <c r="P265" s="61" t="s">
        <v>314</v>
      </c>
      <c r="Q265" s="61" t="s">
        <v>315</v>
      </c>
      <c r="R265" s="62" t="n">
        <f aca="false">-H265</f>
        <v>40</v>
      </c>
    </row>
    <row r="266" customFormat="false" ht="15" hidden="false" customHeight="false" outlineLevel="0" collapsed="false">
      <c r="A266" s="61" t="s">
        <v>1003</v>
      </c>
      <c r="B266" s="61" t="s">
        <v>77</v>
      </c>
      <c r="C266" s="61" t="s">
        <v>148</v>
      </c>
      <c r="D266" s="61" t="s">
        <v>191</v>
      </c>
      <c r="E266" s="61" t="s">
        <v>254</v>
      </c>
      <c r="F266" s="61" t="s">
        <v>1049</v>
      </c>
      <c r="G266" s="60" t="n">
        <v>46295</v>
      </c>
      <c r="H266" s="62" t="n">
        <v>-50</v>
      </c>
      <c r="I266" s="61" t="s">
        <v>4</v>
      </c>
      <c r="J266" s="60" t="n">
        <v>46295</v>
      </c>
      <c r="K266" s="61" t="s">
        <v>1320</v>
      </c>
      <c r="L266" s="62" t="n">
        <v>0</v>
      </c>
      <c r="M266" s="64" t="n">
        <v>0.747719907407408</v>
      </c>
      <c r="N266" s="61" t="s">
        <v>319</v>
      </c>
      <c r="O266" s="61" t="s">
        <v>1530</v>
      </c>
      <c r="P266" s="61" t="s">
        <v>1004</v>
      </c>
      <c r="Q266" s="61" t="s">
        <v>1005</v>
      </c>
      <c r="R266" s="62" t="n">
        <f aca="false">-H266</f>
        <v>50</v>
      </c>
    </row>
    <row r="267" customFormat="false" ht="15" hidden="false" customHeight="false" outlineLevel="0" collapsed="false">
      <c r="A267" s="61" t="s">
        <v>783</v>
      </c>
      <c r="B267" s="61" t="s">
        <v>77</v>
      </c>
      <c r="C267" s="61" t="s">
        <v>148</v>
      </c>
      <c r="D267" s="61" t="s">
        <v>191</v>
      </c>
      <c r="E267" s="61" t="s">
        <v>246</v>
      </c>
      <c r="F267" s="61" t="s">
        <v>1049</v>
      </c>
      <c r="G267" s="60" t="n">
        <v>46292</v>
      </c>
      <c r="H267" s="62" t="n">
        <v>-10</v>
      </c>
      <c r="I267" s="61" t="s">
        <v>4</v>
      </c>
      <c r="J267" s="60" t="n">
        <v>46292</v>
      </c>
      <c r="K267" s="61" t="s">
        <v>1320</v>
      </c>
      <c r="L267" s="62" t="n">
        <v>0</v>
      </c>
      <c r="M267" s="64" t="n">
        <v>0.577048611111111</v>
      </c>
      <c r="N267" s="61" t="s">
        <v>275</v>
      </c>
      <c r="O267" s="61" t="s">
        <v>1503</v>
      </c>
      <c r="P267" s="61" t="s">
        <v>580</v>
      </c>
      <c r="Q267" s="61" t="s">
        <v>581</v>
      </c>
      <c r="R267" s="62" t="n">
        <f aca="false">-H267</f>
        <v>10</v>
      </c>
    </row>
    <row r="268" customFormat="false" ht="15" hidden="false" customHeight="false" outlineLevel="0" collapsed="false">
      <c r="A268" s="61" t="s">
        <v>846</v>
      </c>
      <c r="B268" s="61" t="s">
        <v>81</v>
      </c>
      <c r="C268" s="61" t="s">
        <v>145</v>
      </c>
      <c r="D268" s="61" t="s">
        <v>144</v>
      </c>
      <c r="E268" s="61" t="s">
        <v>246</v>
      </c>
      <c r="F268" s="61" t="s">
        <v>1049</v>
      </c>
      <c r="G268" s="60" t="n">
        <v>46293</v>
      </c>
      <c r="H268" s="62" t="n">
        <v>-60</v>
      </c>
      <c r="I268" s="61" t="s">
        <v>4</v>
      </c>
      <c r="J268" s="60" t="n">
        <v>46293</v>
      </c>
      <c r="K268" s="61" t="s">
        <v>1320</v>
      </c>
      <c r="L268" s="62" t="n">
        <v>0</v>
      </c>
      <c r="M268" s="64" t="n">
        <v>0.683958333333333</v>
      </c>
      <c r="N268" s="61" t="s">
        <v>258</v>
      </c>
      <c r="O268" s="61" t="s">
        <v>1531</v>
      </c>
      <c r="P268" s="61" t="s">
        <v>263</v>
      </c>
      <c r="Q268" s="61" t="s">
        <v>264</v>
      </c>
      <c r="R268" s="62" t="n">
        <f aca="false">-H268</f>
        <v>60</v>
      </c>
    </row>
    <row r="269" customFormat="false" ht="15" hidden="false" customHeight="false" outlineLevel="0" collapsed="false">
      <c r="A269" s="61" t="s">
        <v>790</v>
      </c>
      <c r="B269" s="61" t="s">
        <v>81</v>
      </c>
      <c r="C269" s="61" t="s">
        <v>145</v>
      </c>
      <c r="D269" s="61" t="s">
        <v>144</v>
      </c>
      <c r="E269" s="61" t="s">
        <v>246</v>
      </c>
      <c r="F269" s="61" t="s">
        <v>1049</v>
      </c>
      <c r="G269" s="60" t="n">
        <v>46292</v>
      </c>
      <c r="H269" s="62" t="n">
        <v>-204</v>
      </c>
      <c r="I269" s="61" t="s">
        <v>4</v>
      </c>
      <c r="J269" s="60" t="n">
        <v>46292</v>
      </c>
      <c r="K269" s="61" t="s">
        <v>1320</v>
      </c>
      <c r="L269" s="62" t="n">
        <v>0</v>
      </c>
      <c r="M269" s="64" t="n">
        <v>0.577453703703704</v>
      </c>
      <c r="N269" s="61" t="s">
        <v>275</v>
      </c>
      <c r="O269" s="61" t="s">
        <v>1061</v>
      </c>
      <c r="P269" s="61" t="s">
        <v>791</v>
      </c>
      <c r="Q269" s="61" t="s">
        <v>792</v>
      </c>
      <c r="R269" s="62" t="n">
        <f aca="false">-H269</f>
        <v>204</v>
      </c>
    </row>
    <row r="270" customFormat="false" ht="15" hidden="false" customHeight="false" outlineLevel="0" collapsed="false">
      <c r="A270" s="61" t="s">
        <v>611</v>
      </c>
      <c r="B270" s="61" t="s">
        <v>81</v>
      </c>
      <c r="C270" s="61" t="s">
        <v>145</v>
      </c>
      <c r="D270" s="61" t="s">
        <v>144</v>
      </c>
      <c r="E270" s="61" t="s">
        <v>246</v>
      </c>
      <c r="F270" s="61" t="s">
        <v>1049</v>
      </c>
      <c r="G270" s="60" t="n">
        <v>46289</v>
      </c>
      <c r="H270" s="62" t="n">
        <v>-6</v>
      </c>
      <c r="I270" s="61" t="s">
        <v>4</v>
      </c>
      <c r="J270" s="60" t="n">
        <v>46289</v>
      </c>
      <c r="K270" s="61" t="s">
        <v>1320</v>
      </c>
      <c r="L270" s="62" t="n">
        <v>0</v>
      </c>
      <c r="M270" s="64" t="n">
        <v>0.669085648148148</v>
      </c>
      <c r="N270" s="61" t="s">
        <v>338</v>
      </c>
      <c r="O270" s="61" t="s">
        <v>1532</v>
      </c>
      <c r="P270" s="61" t="s">
        <v>612</v>
      </c>
      <c r="Q270" s="61" t="s">
        <v>613</v>
      </c>
      <c r="R270" s="62" t="n">
        <f aca="false">-H270</f>
        <v>6</v>
      </c>
    </row>
    <row r="271" customFormat="false" ht="15" hidden="false" customHeight="false" outlineLevel="0" collapsed="false">
      <c r="A271" s="61" t="s">
        <v>611</v>
      </c>
      <c r="B271" s="61" t="s">
        <v>81</v>
      </c>
      <c r="C271" s="61" t="s">
        <v>145</v>
      </c>
      <c r="D271" s="61" t="s">
        <v>144</v>
      </c>
      <c r="E271" s="61" t="s">
        <v>246</v>
      </c>
      <c r="F271" s="61" t="s">
        <v>1049</v>
      </c>
      <c r="G271" s="60" t="n">
        <v>46289</v>
      </c>
      <c r="H271" s="62" t="n">
        <v>-84</v>
      </c>
      <c r="I271" s="61" t="s">
        <v>4</v>
      </c>
      <c r="J271" s="60" t="n">
        <v>46289</v>
      </c>
      <c r="K271" s="61" t="s">
        <v>1320</v>
      </c>
      <c r="L271" s="62" t="n">
        <v>0</v>
      </c>
      <c r="M271" s="64" t="n">
        <v>0.669085648148148</v>
      </c>
      <c r="N271" s="61" t="s">
        <v>338</v>
      </c>
      <c r="O271" s="61" t="s">
        <v>1532</v>
      </c>
      <c r="P271" s="61" t="s">
        <v>612</v>
      </c>
      <c r="Q271" s="61" t="s">
        <v>613</v>
      </c>
      <c r="R271" s="62" t="n">
        <f aca="false">-H271</f>
        <v>84</v>
      </c>
    </row>
    <row r="272" customFormat="false" ht="15" hidden="false" customHeight="false" outlineLevel="0" collapsed="false">
      <c r="A272" s="61" t="s">
        <v>615</v>
      </c>
      <c r="B272" s="61" t="s">
        <v>81</v>
      </c>
      <c r="C272" s="61" t="s">
        <v>145</v>
      </c>
      <c r="D272" s="61" t="s">
        <v>144</v>
      </c>
      <c r="E272" s="61" t="s">
        <v>614</v>
      </c>
      <c r="F272" s="61" t="s">
        <v>1049</v>
      </c>
      <c r="G272" s="60" t="n">
        <v>46289</v>
      </c>
      <c r="H272" s="62" t="n">
        <v>-12</v>
      </c>
      <c r="I272" s="61" t="s">
        <v>4</v>
      </c>
      <c r="J272" s="60" t="n">
        <v>46289</v>
      </c>
      <c r="K272" s="61" t="s">
        <v>1320</v>
      </c>
      <c r="L272" s="62" t="n">
        <v>0</v>
      </c>
      <c r="M272" s="64" t="n">
        <v>0.656273148148148</v>
      </c>
      <c r="N272" s="61" t="s">
        <v>319</v>
      </c>
      <c r="O272" s="61" t="s">
        <v>1533</v>
      </c>
      <c r="P272" s="61" t="s">
        <v>616</v>
      </c>
      <c r="Q272" s="61" t="s">
        <v>617</v>
      </c>
      <c r="R272" s="62" t="n">
        <f aca="false">-H272</f>
        <v>12</v>
      </c>
    </row>
    <row r="273" customFormat="false" ht="15" hidden="false" customHeight="false" outlineLevel="0" collapsed="false">
      <c r="A273" s="61" t="s">
        <v>591</v>
      </c>
      <c r="B273" s="61" t="s">
        <v>81</v>
      </c>
      <c r="C273" s="61" t="s">
        <v>145</v>
      </c>
      <c r="D273" s="61" t="s">
        <v>144</v>
      </c>
      <c r="E273" s="61" t="s">
        <v>246</v>
      </c>
      <c r="F273" s="61" t="s">
        <v>1049</v>
      </c>
      <c r="G273" s="60" t="n">
        <v>46289</v>
      </c>
      <c r="H273" s="62" t="n">
        <v>-6</v>
      </c>
      <c r="I273" s="61" t="s">
        <v>4</v>
      </c>
      <c r="J273" s="60" t="n">
        <v>46289</v>
      </c>
      <c r="K273" s="61" t="s">
        <v>1320</v>
      </c>
      <c r="L273" s="62" t="n">
        <v>0</v>
      </c>
      <c r="M273" s="64" t="n">
        <v>0.633460648148148</v>
      </c>
      <c r="N273" s="61" t="s">
        <v>338</v>
      </c>
      <c r="O273" s="61" t="s">
        <v>1370</v>
      </c>
      <c r="P273" s="61" t="s">
        <v>592</v>
      </c>
      <c r="Q273" s="61" t="s">
        <v>593</v>
      </c>
      <c r="R273" s="62" t="n">
        <f aca="false">-H273</f>
        <v>6</v>
      </c>
    </row>
    <row r="274" customFormat="false" ht="15" hidden="false" customHeight="false" outlineLevel="0" collapsed="false">
      <c r="A274" s="61" t="s">
        <v>545</v>
      </c>
      <c r="B274" s="61" t="s">
        <v>81</v>
      </c>
      <c r="C274" s="61" t="s">
        <v>145</v>
      </c>
      <c r="D274" s="61" t="s">
        <v>144</v>
      </c>
      <c r="E274" s="61" t="s">
        <v>246</v>
      </c>
      <c r="F274" s="61" t="s">
        <v>1049</v>
      </c>
      <c r="G274" s="60" t="n">
        <v>46286</v>
      </c>
      <c r="H274" s="62" t="n">
        <v>-6</v>
      </c>
      <c r="I274" s="61" t="s">
        <v>4</v>
      </c>
      <c r="J274" s="60" t="n">
        <v>46286</v>
      </c>
      <c r="K274" s="61" t="s">
        <v>1320</v>
      </c>
      <c r="L274" s="62" t="n">
        <v>0</v>
      </c>
      <c r="M274" s="64" t="n">
        <v>0.590300925925926</v>
      </c>
      <c r="N274" s="61" t="s">
        <v>338</v>
      </c>
      <c r="O274" s="61" t="s">
        <v>1534</v>
      </c>
      <c r="P274" s="61" t="s">
        <v>546</v>
      </c>
      <c r="Q274" s="61" t="s">
        <v>547</v>
      </c>
      <c r="R274" s="62" t="n">
        <f aca="false">-H274</f>
        <v>6</v>
      </c>
    </row>
    <row r="275" customFormat="false" ht="15" hidden="false" customHeight="false" outlineLevel="0" collapsed="false">
      <c r="A275" s="61" t="s">
        <v>548</v>
      </c>
      <c r="B275" s="61" t="s">
        <v>81</v>
      </c>
      <c r="C275" s="61" t="s">
        <v>145</v>
      </c>
      <c r="D275" s="61" t="s">
        <v>144</v>
      </c>
      <c r="E275" s="61" t="s">
        <v>246</v>
      </c>
      <c r="F275" s="61" t="s">
        <v>1049</v>
      </c>
      <c r="G275" s="60" t="n">
        <v>46286</v>
      </c>
      <c r="H275" s="62" t="n">
        <v>-18</v>
      </c>
      <c r="I275" s="61" t="s">
        <v>4</v>
      </c>
      <c r="J275" s="60" t="n">
        <v>46286</v>
      </c>
      <c r="K275" s="61" t="s">
        <v>1320</v>
      </c>
      <c r="L275" s="62" t="n">
        <v>0</v>
      </c>
      <c r="M275" s="64" t="n">
        <v>0.418819444444445</v>
      </c>
      <c r="N275" s="61" t="s">
        <v>250</v>
      </c>
      <c r="O275" s="61" t="s">
        <v>1535</v>
      </c>
      <c r="P275" s="61" t="s">
        <v>549</v>
      </c>
      <c r="Q275" s="61" t="s">
        <v>550</v>
      </c>
      <c r="R275" s="62" t="n">
        <f aca="false">-H275</f>
        <v>18</v>
      </c>
    </row>
    <row r="276" customFormat="false" ht="15" hidden="false" customHeight="false" outlineLevel="0" collapsed="false">
      <c r="A276" s="61" t="s">
        <v>514</v>
      </c>
      <c r="B276" s="61" t="s">
        <v>81</v>
      </c>
      <c r="C276" s="61" t="s">
        <v>145</v>
      </c>
      <c r="D276" s="61" t="s">
        <v>144</v>
      </c>
      <c r="E276" s="61" t="s">
        <v>246</v>
      </c>
      <c r="F276" s="61" t="s">
        <v>1049</v>
      </c>
      <c r="G276" s="60" t="n">
        <v>46285</v>
      </c>
      <c r="H276" s="62" t="n">
        <v>-30</v>
      </c>
      <c r="I276" s="61" t="s">
        <v>4</v>
      </c>
      <c r="J276" s="60" t="n">
        <v>46286</v>
      </c>
      <c r="K276" s="61" t="s">
        <v>1320</v>
      </c>
      <c r="L276" s="62" t="n">
        <v>0</v>
      </c>
      <c r="M276" s="64" t="n">
        <v>0.0396527777777778</v>
      </c>
      <c r="N276" s="61" t="s">
        <v>250</v>
      </c>
      <c r="O276" s="61" t="s">
        <v>1536</v>
      </c>
      <c r="P276" s="61" t="s">
        <v>515</v>
      </c>
      <c r="Q276" s="61" t="s">
        <v>516</v>
      </c>
      <c r="R276" s="62" t="n">
        <f aca="false">-H276</f>
        <v>30</v>
      </c>
    </row>
    <row r="277" customFormat="false" ht="15" hidden="false" customHeight="false" outlineLevel="0" collapsed="false">
      <c r="A277" s="61" t="s">
        <v>517</v>
      </c>
      <c r="B277" s="61" t="s">
        <v>81</v>
      </c>
      <c r="C277" s="61" t="s">
        <v>145</v>
      </c>
      <c r="D277" s="61" t="s">
        <v>144</v>
      </c>
      <c r="E277" s="61" t="s">
        <v>246</v>
      </c>
      <c r="F277" s="61" t="s">
        <v>1049</v>
      </c>
      <c r="G277" s="60" t="n">
        <v>46285</v>
      </c>
      <c r="H277" s="62" t="n">
        <v>-6</v>
      </c>
      <c r="I277" s="61" t="s">
        <v>4</v>
      </c>
      <c r="J277" s="60" t="n">
        <v>46286</v>
      </c>
      <c r="K277" s="61" t="s">
        <v>1320</v>
      </c>
      <c r="L277" s="62" t="n">
        <v>0</v>
      </c>
      <c r="M277" s="64" t="n">
        <v>0.0136226851851852</v>
      </c>
      <c r="N277" s="61" t="s">
        <v>250</v>
      </c>
      <c r="O277" s="61" t="s">
        <v>1537</v>
      </c>
      <c r="P277" s="61" t="s">
        <v>518</v>
      </c>
      <c r="Q277" s="61" t="s">
        <v>519</v>
      </c>
      <c r="R277" s="62" t="n">
        <f aca="false">-H277</f>
        <v>6</v>
      </c>
    </row>
    <row r="278" customFormat="false" ht="15" hidden="false" customHeight="false" outlineLevel="0" collapsed="false">
      <c r="A278" s="61" t="s">
        <v>520</v>
      </c>
      <c r="B278" s="61" t="s">
        <v>81</v>
      </c>
      <c r="C278" s="61" t="s">
        <v>145</v>
      </c>
      <c r="D278" s="61" t="s">
        <v>144</v>
      </c>
      <c r="E278" s="61" t="s">
        <v>246</v>
      </c>
      <c r="F278" s="61" t="s">
        <v>1049</v>
      </c>
      <c r="G278" s="60" t="n">
        <v>46285</v>
      </c>
      <c r="H278" s="62" t="n">
        <v>-60</v>
      </c>
      <c r="I278" s="61" t="s">
        <v>4</v>
      </c>
      <c r="J278" s="60" t="n">
        <v>46285</v>
      </c>
      <c r="K278" s="61" t="s">
        <v>1320</v>
      </c>
      <c r="L278" s="62" t="n">
        <v>0</v>
      </c>
      <c r="M278" s="64" t="n">
        <v>0.693587962962963</v>
      </c>
      <c r="N278" s="61" t="s">
        <v>523</v>
      </c>
      <c r="O278" s="61" t="s">
        <v>1538</v>
      </c>
      <c r="P278" s="61" t="s">
        <v>521</v>
      </c>
      <c r="Q278" s="61" t="s">
        <v>522</v>
      </c>
      <c r="R278" s="62" t="n">
        <f aca="false">-H278</f>
        <v>60</v>
      </c>
    </row>
    <row r="279" customFormat="false" ht="15" hidden="false" customHeight="false" outlineLevel="0" collapsed="false">
      <c r="A279" s="61" t="s">
        <v>481</v>
      </c>
      <c r="B279" s="61" t="s">
        <v>81</v>
      </c>
      <c r="C279" s="61" t="s">
        <v>145</v>
      </c>
      <c r="D279" s="61" t="s">
        <v>144</v>
      </c>
      <c r="E279" s="61" t="s">
        <v>246</v>
      </c>
      <c r="F279" s="61" t="s">
        <v>1049</v>
      </c>
      <c r="G279" s="60" t="n">
        <v>46284</v>
      </c>
      <c r="H279" s="62" t="n">
        <v>-6</v>
      </c>
      <c r="I279" s="61" t="s">
        <v>4</v>
      </c>
      <c r="J279" s="60" t="n">
        <v>46284</v>
      </c>
      <c r="K279" s="61" t="s">
        <v>1320</v>
      </c>
      <c r="L279" s="62" t="n">
        <v>0</v>
      </c>
      <c r="M279" s="64" t="n">
        <v>0.990625</v>
      </c>
      <c r="N279" s="61" t="s">
        <v>269</v>
      </c>
      <c r="O279" s="61" t="s">
        <v>1407</v>
      </c>
      <c r="P279" s="61" t="s">
        <v>482</v>
      </c>
      <c r="Q279" s="61" t="s">
        <v>483</v>
      </c>
      <c r="R279" s="62" t="n">
        <f aca="false">-H279</f>
        <v>6</v>
      </c>
    </row>
    <row r="280" customFormat="false" ht="15" hidden="false" customHeight="false" outlineLevel="0" collapsed="false">
      <c r="A280" s="61" t="s">
        <v>487</v>
      </c>
      <c r="B280" s="61" t="s">
        <v>81</v>
      </c>
      <c r="C280" s="61" t="s">
        <v>145</v>
      </c>
      <c r="D280" s="61" t="s">
        <v>144</v>
      </c>
      <c r="E280" s="61" t="s">
        <v>246</v>
      </c>
      <c r="F280" s="61" t="s">
        <v>1049</v>
      </c>
      <c r="G280" s="60" t="n">
        <v>46284</v>
      </c>
      <c r="H280" s="62" t="n">
        <v>-12</v>
      </c>
      <c r="I280" s="61" t="s">
        <v>4</v>
      </c>
      <c r="J280" s="60" t="n">
        <v>46284</v>
      </c>
      <c r="K280" s="61" t="s">
        <v>1320</v>
      </c>
      <c r="L280" s="62" t="n">
        <v>0</v>
      </c>
      <c r="M280" s="64" t="n">
        <v>0.589618055555556</v>
      </c>
      <c r="N280" s="61" t="s">
        <v>275</v>
      </c>
      <c r="O280" s="61" t="s">
        <v>1409</v>
      </c>
      <c r="P280" s="61" t="s">
        <v>488</v>
      </c>
      <c r="Q280" s="61" t="s">
        <v>489</v>
      </c>
      <c r="R280" s="62" t="n">
        <f aca="false">-H280</f>
        <v>12</v>
      </c>
    </row>
    <row r="281" customFormat="false" ht="15" hidden="false" customHeight="false" outlineLevel="0" collapsed="false">
      <c r="A281" s="61" t="s">
        <v>451</v>
      </c>
      <c r="B281" s="61" t="s">
        <v>81</v>
      </c>
      <c r="C281" s="61" t="s">
        <v>145</v>
      </c>
      <c r="D281" s="61" t="s">
        <v>144</v>
      </c>
      <c r="E281" s="61" t="s">
        <v>246</v>
      </c>
      <c r="F281" s="61" t="s">
        <v>1049</v>
      </c>
      <c r="G281" s="60" t="n">
        <v>46282</v>
      </c>
      <c r="H281" s="62" t="n">
        <v>-60</v>
      </c>
      <c r="I281" s="61" t="s">
        <v>4</v>
      </c>
      <c r="J281" s="60" t="n">
        <v>46282</v>
      </c>
      <c r="K281" s="61" t="s">
        <v>1320</v>
      </c>
      <c r="L281" s="62" t="n">
        <v>0</v>
      </c>
      <c r="M281" s="64" t="n">
        <v>0.836412037037037</v>
      </c>
      <c r="N281" s="61" t="s">
        <v>338</v>
      </c>
      <c r="O281" s="61" t="s">
        <v>1539</v>
      </c>
      <c r="P281" s="61" t="s">
        <v>446</v>
      </c>
      <c r="Q281" s="61" t="s">
        <v>447</v>
      </c>
      <c r="R281" s="62" t="n">
        <f aca="false">-H281</f>
        <v>60</v>
      </c>
    </row>
    <row r="282" customFormat="false" ht="15" hidden="false" customHeight="false" outlineLevel="0" collapsed="false">
      <c r="A282" s="61" t="s">
        <v>452</v>
      </c>
      <c r="B282" s="61" t="s">
        <v>81</v>
      </c>
      <c r="C282" s="61" t="s">
        <v>145</v>
      </c>
      <c r="D282" s="61" t="s">
        <v>144</v>
      </c>
      <c r="E282" s="61" t="s">
        <v>246</v>
      </c>
      <c r="F282" s="61" t="s">
        <v>1049</v>
      </c>
      <c r="G282" s="60" t="n">
        <v>46282</v>
      </c>
      <c r="H282" s="62" t="n">
        <v>-6</v>
      </c>
      <c r="I282" s="61" t="s">
        <v>4</v>
      </c>
      <c r="J282" s="60" t="n">
        <v>46282</v>
      </c>
      <c r="K282" s="61" t="s">
        <v>1320</v>
      </c>
      <c r="L282" s="62" t="n">
        <v>0</v>
      </c>
      <c r="M282" s="64" t="n">
        <v>0.315555555555556</v>
      </c>
      <c r="N282" s="61" t="s">
        <v>250</v>
      </c>
      <c r="O282" s="61" t="s">
        <v>1540</v>
      </c>
      <c r="P282" s="61" t="s">
        <v>453</v>
      </c>
      <c r="Q282" s="61" t="s">
        <v>454</v>
      </c>
      <c r="R282" s="62" t="n">
        <f aca="false">-H282</f>
        <v>6</v>
      </c>
    </row>
    <row r="283" customFormat="false" ht="15" hidden="false" customHeight="false" outlineLevel="0" collapsed="false">
      <c r="A283" s="61" t="s">
        <v>427</v>
      </c>
      <c r="B283" s="61" t="s">
        <v>81</v>
      </c>
      <c r="C283" s="61" t="s">
        <v>145</v>
      </c>
      <c r="D283" s="61" t="s">
        <v>144</v>
      </c>
      <c r="E283" s="61" t="s">
        <v>246</v>
      </c>
      <c r="F283" s="61" t="s">
        <v>1049</v>
      </c>
      <c r="G283" s="60" t="n">
        <v>46281</v>
      </c>
      <c r="H283" s="62" t="n">
        <v>-6</v>
      </c>
      <c r="I283" s="61" t="s">
        <v>4</v>
      </c>
      <c r="J283" s="60" t="n">
        <v>46282</v>
      </c>
      <c r="K283" s="61" t="s">
        <v>1320</v>
      </c>
      <c r="L283" s="62" t="n">
        <v>0</v>
      </c>
      <c r="M283" s="64" t="n">
        <v>0.110671296296296</v>
      </c>
      <c r="N283" s="61" t="s">
        <v>250</v>
      </c>
      <c r="O283" s="61" t="s">
        <v>1541</v>
      </c>
      <c r="P283" s="61" t="s">
        <v>428</v>
      </c>
      <c r="Q283" s="61" t="s">
        <v>429</v>
      </c>
      <c r="R283" s="62" t="n">
        <f aca="false">-H283</f>
        <v>6</v>
      </c>
    </row>
    <row r="284" customFormat="false" ht="15" hidden="false" customHeight="false" outlineLevel="0" collapsed="false">
      <c r="A284" s="61" t="s">
        <v>403</v>
      </c>
      <c r="B284" s="61" t="s">
        <v>81</v>
      </c>
      <c r="C284" s="61" t="s">
        <v>145</v>
      </c>
      <c r="D284" s="61" t="s">
        <v>144</v>
      </c>
      <c r="E284" s="61" t="s">
        <v>254</v>
      </c>
      <c r="F284" s="61" t="s">
        <v>1049</v>
      </c>
      <c r="G284" s="60" t="n">
        <v>46280</v>
      </c>
      <c r="H284" s="62" t="n">
        <v>-12</v>
      </c>
      <c r="I284" s="61" t="s">
        <v>4</v>
      </c>
      <c r="J284" s="60" t="n">
        <v>46280</v>
      </c>
      <c r="K284" s="61" t="s">
        <v>1320</v>
      </c>
      <c r="L284" s="62" t="n">
        <v>0</v>
      </c>
      <c r="M284" s="64" t="n">
        <v>0.911099537037037</v>
      </c>
      <c r="N284" s="61" t="s">
        <v>258</v>
      </c>
      <c r="O284" s="61" t="s">
        <v>1542</v>
      </c>
      <c r="P284" s="61" t="s">
        <v>404</v>
      </c>
      <c r="Q284" s="61" t="s">
        <v>405</v>
      </c>
      <c r="R284" s="62" t="n">
        <f aca="false">-H284</f>
        <v>12</v>
      </c>
    </row>
    <row r="285" customFormat="false" ht="15" hidden="false" customHeight="false" outlineLevel="0" collapsed="false">
      <c r="A285" s="61" t="s">
        <v>399</v>
      </c>
      <c r="B285" s="61" t="s">
        <v>81</v>
      </c>
      <c r="C285" s="61" t="s">
        <v>145</v>
      </c>
      <c r="D285" s="61" t="s">
        <v>144</v>
      </c>
      <c r="E285" s="61" t="s">
        <v>254</v>
      </c>
      <c r="F285" s="61" t="s">
        <v>1049</v>
      </c>
      <c r="G285" s="60" t="n">
        <v>46280</v>
      </c>
      <c r="H285" s="62" t="n">
        <v>-36</v>
      </c>
      <c r="I285" s="61" t="s">
        <v>4</v>
      </c>
      <c r="J285" s="60" t="n">
        <v>46280</v>
      </c>
      <c r="K285" s="61" t="s">
        <v>1320</v>
      </c>
      <c r="L285" s="62" t="n">
        <v>0</v>
      </c>
      <c r="M285" s="64" t="n">
        <v>0.945243055555556</v>
      </c>
      <c r="N285" s="61" t="s">
        <v>258</v>
      </c>
      <c r="O285" s="61" t="s">
        <v>1500</v>
      </c>
      <c r="P285" s="61" t="s">
        <v>400</v>
      </c>
      <c r="Q285" s="61" t="s">
        <v>401</v>
      </c>
      <c r="R285" s="62" t="n">
        <f aca="false">-H285</f>
        <v>36</v>
      </c>
    </row>
    <row r="286" customFormat="false" ht="15" hidden="false" customHeight="false" outlineLevel="0" collapsed="false">
      <c r="A286" s="61" t="s">
        <v>361</v>
      </c>
      <c r="B286" s="61" t="s">
        <v>81</v>
      </c>
      <c r="C286" s="61" t="s">
        <v>145</v>
      </c>
      <c r="D286" s="61" t="s">
        <v>144</v>
      </c>
      <c r="E286" s="61" t="s">
        <v>246</v>
      </c>
      <c r="F286" s="61" t="s">
        <v>1049</v>
      </c>
      <c r="G286" s="60" t="n">
        <v>46279</v>
      </c>
      <c r="H286" s="62" t="n">
        <v>-12</v>
      </c>
      <c r="I286" s="61" t="s">
        <v>4</v>
      </c>
      <c r="J286" s="60" t="n">
        <v>46279</v>
      </c>
      <c r="K286" s="61" t="s">
        <v>1320</v>
      </c>
      <c r="L286" s="62" t="n">
        <v>0</v>
      </c>
      <c r="M286" s="64" t="n">
        <v>0.655162037037037</v>
      </c>
      <c r="N286" s="61" t="s">
        <v>275</v>
      </c>
      <c r="O286" s="61" t="s">
        <v>1390</v>
      </c>
      <c r="P286" s="61" t="s">
        <v>362</v>
      </c>
      <c r="Q286" s="61" t="s">
        <v>363</v>
      </c>
      <c r="R286" s="62" t="n">
        <f aca="false">-H286</f>
        <v>12</v>
      </c>
    </row>
    <row r="287" customFormat="false" ht="15" hidden="false" customHeight="false" outlineLevel="0" collapsed="false">
      <c r="A287" s="61" t="s">
        <v>382</v>
      </c>
      <c r="B287" s="61" t="s">
        <v>81</v>
      </c>
      <c r="C287" s="61" t="s">
        <v>145</v>
      </c>
      <c r="D287" s="61" t="s">
        <v>144</v>
      </c>
      <c r="E287" s="61" t="s">
        <v>246</v>
      </c>
      <c r="F287" s="61" t="s">
        <v>1049</v>
      </c>
      <c r="G287" s="60" t="n">
        <v>46279</v>
      </c>
      <c r="H287" s="62" t="n">
        <v>-30</v>
      </c>
      <c r="I287" s="61" t="s">
        <v>4</v>
      </c>
      <c r="J287" s="60" t="n">
        <v>46279</v>
      </c>
      <c r="K287" s="61" t="s">
        <v>1320</v>
      </c>
      <c r="L287" s="62" t="n">
        <v>0</v>
      </c>
      <c r="M287" s="64" t="n">
        <v>0.913541666666667</v>
      </c>
      <c r="N287" s="61" t="s">
        <v>297</v>
      </c>
      <c r="O287" s="61" t="s">
        <v>1543</v>
      </c>
      <c r="P287" s="61" t="s">
        <v>377</v>
      </c>
      <c r="Q287" s="61" t="s">
        <v>378</v>
      </c>
      <c r="R287" s="62" t="n">
        <f aca="false">-H287</f>
        <v>30</v>
      </c>
    </row>
    <row r="288" customFormat="false" ht="15" hidden="false" customHeight="false" outlineLevel="0" collapsed="false">
      <c r="A288" s="61" t="s">
        <v>349</v>
      </c>
      <c r="B288" s="61" t="s">
        <v>81</v>
      </c>
      <c r="C288" s="61" t="s">
        <v>145</v>
      </c>
      <c r="D288" s="61" t="s">
        <v>144</v>
      </c>
      <c r="E288" s="61" t="s">
        <v>246</v>
      </c>
      <c r="F288" s="61" t="s">
        <v>1049</v>
      </c>
      <c r="G288" s="60" t="n">
        <v>46278</v>
      </c>
      <c r="H288" s="62" t="n">
        <v>-150</v>
      </c>
      <c r="I288" s="61" t="s">
        <v>4</v>
      </c>
      <c r="J288" s="60" t="n">
        <v>46278</v>
      </c>
      <c r="K288" s="61" t="s">
        <v>1320</v>
      </c>
      <c r="L288" s="62" t="n">
        <v>0</v>
      </c>
      <c r="M288" s="64" t="n">
        <v>0.271770833333333</v>
      </c>
      <c r="N288" s="61" t="s">
        <v>250</v>
      </c>
      <c r="O288" s="61" t="s">
        <v>1544</v>
      </c>
      <c r="P288" s="61" t="s">
        <v>350</v>
      </c>
      <c r="Q288" s="61" t="s">
        <v>351</v>
      </c>
      <c r="R288" s="62" t="n">
        <f aca="false">-H288</f>
        <v>150</v>
      </c>
    </row>
    <row r="289" customFormat="false" ht="15" hidden="false" customHeight="false" outlineLevel="0" collapsed="false">
      <c r="A289" s="61" t="s">
        <v>335</v>
      </c>
      <c r="B289" s="61" t="s">
        <v>81</v>
      </c>
      <c r="C289" s="61" t="s">
        <v>145</v>
      </c>
      <c r="D289" s="61" t="s">
        <v>144</v>
      </c>
      <c r="E289" s="61" t="s">
        <v>246</v>
      </c>
      <c r="F289" s="61" t="s">
        <v>1049</v>
      </c>
      <c r="G289" s="60" t="n">
        <v>46278</v>
      </c>
      <c r="H289" s="62" t="n">
        <v>-18</v>
      </c>
      <c r="I289" s="61" t="s">
        <v>4</v>
      </c>
      <c r="J289" s="60" t="n">
        <v>46278</v>
      </c>
      <c r="K289" s="61" t="s">
        <v>1320</v>
      </c>
      <c r="L289" s="62" t="n">
        <v>0</v>
      </c>
      <c r="M289" s="64" t="n">
        <v>0.754907407407407</v>
      </c>
      <c r="N289" s="61" t="s">
        <v>338</v>
      </c>
      <c r="O289" s="61" t="s">
        <v>1392</v>
      </c>
      <c r="P289" s="61" t="s">
        <v>336</v>
      </c>
      <c r="Q289" s="61" t="s">
        <v>337</v>
      </c>
      <c r="R289" s="62" t="n">
        <f aca="false">-H289</f>
        <v>18</v>
      </c>
    </row>
    <row r="290" customFormat="false" ht="15" hidden="false" customHeight="false" outlineLevel="0" collapsed="false">
      <c r="A290" s="61" t="s">
        <v>329</v>
      </c>
      <c r="B290" s="61" t="s">
        <v>81</v>
      </c>
      <c r="C290" s="61" t="s">
        <v>145</v>
      </c>
      <c r="D290" s="61" t="s">
        <v>144</v>
      </c>
      <c r="E290" s="61" t="s">
        <v>246</v>
      </c>
      <c r="F290" s="61" t="s">
        <v>1049</v>
      </c>
      <c r="G290" s="60" t="n">
        <v>46277</v>
      </c>
      <c r="H290" s="62" t="n">
        <v>-6</v>
      </c>
      <c r="I290" s="61" t="s">
        <v>4</v>
      </c>
      <c r="J290" s="60" t="n">
        <v>46278</v>
      </c>
      <c r="K290" s="61" t="s">
        <v>1320</v>
      </c>
      <c r="L290" s="62" t="n">
        <v>0</v>
      </c>
      <c r="M290" s="64" t="n">
        <v>0.0975231481481482</v>
      </c>
      <c r="N290" s="61" t="s">
        <v>250</v>
      </c>
      <c r="O290" s="61" t="s">
        <v>1545</v>
      </c>
      <c r="P290" s="61" t="s">
        <v>330</v>
      </c>
      <c r="Q290" s="61" t="s">
        <v>331</v>
      </c>
      <c r="R290" s="62" t="n">
        <f aca="false">-H290</f>
        <v>6</v>
      </c>
    </row>
    <row r="291" customFormat="false" ht="15" hidden="false" customHeight="false" outlineLevel="0" collapsed="false">
      <c r="A291" s="61" t="s">
        <v>326</v>
      </c>
      <c r="B291" s="61" t="s">
        <v>81</v>
      </c>
      <c r="C291" s="61" t="s">
        <v>145</v>
      </c>
      <c r="D291" s="61" t="s">
        <v>144</v>
      </c>
      <c r="E291" s="61" t="s">
        <v>246</v>
      </c>
      <c r="F291" s="61" t="s">
        <v>1049</v>
      </c>
      <c r="G291" s="60" t="n">
        <v>46277</v>
      </c>
      <c r="H291" s="62" t="n">
        <v>-18</v>
      </c>
      <c r="I291" s="61" t="s">
        <v>4</v>
      </c>
      <c r="J291" s="60" t="n">
        <v>46278</v>
      </c>
      <c r="K291" s="61" t="s">
        <v>1320</v>
      </c>
      <c r="L291" s="62" t="n">
        <v>0</v>
      </c>
      <c r="M291" s="64" t="n">
        <v>0.0972685185185185</v>
      </c>
      <c r="N291" s="61" t="s">
        <v>250</v>
      </c>
      <c r="O291" s="61" t="s">
        <v>1454</v>
      </c>
      <c r="P291" s="61" t="s">
        <v>327</v>
      </c>
      <c r="Q291" s="61" t="s">
        <v>328</v>
      </c>
      <c r="R291" s="62" t="n">
        <f aca="false">-H291</f>
        <v>18</v>
      </c>
    </row>
    <row r="292" customFormat="false" ht="15" hidden="false" customHeight="false" outlineLevel="0" collapsed="false">
      <c r="A292" s="61" t="s">
        <v>266</v>
      </c>
      <c r="B292" s="61" t="s">
        <v>81</v>
      </c>
      <c r="C292" s="61" t="s">
        <v>145</v>
      </c>
      <c r="D292" s="61" t="s">
        <v>144</v>
      </c>
      <c r="E292" s="61" t="s">
        <v>246</v>
      </c>
      <c r="F292" s="61" t="s">
        <v>1049</v>
      </c>
      <c r="G292" s="60" t="n">
        <v>46275</v>
      </c>
      <c r="H292" s="62" t="n">
        <v>-42</v>
      </c>
      <c r="I292" s="61" t="s">
        <v>4</v>
      </c>
      <c r="J292" s="60" t="n">
        <v>46276</v>
      </c>
      <c r="K292" s="61" t="s">
        <v>1320</v>
      </c>
      <c r="L292" s="62" t="n">
        <v>0</v>
      </c>
      <c r="M292" s="64" t="n">
        <v>0.0646180555555556</v>
      </c>
      <c r="N292" s="61" t="s">
        <v>269</v>
      </c>
      <c r="O292" s="61" t="s">
        <v>1058</v>
      </c>
      <c r="P292" s="61" t="s">
        <v>267</v>
      </c>
      <c r="Q292" s="61" t="s">
        <v>268</v>
      </c>
      <c r="R292" s="62" t="n">
        <f aca="false">-H292</f>
        <v>42</v>
      </c>
    </row>
    <row r="293" customFormat="false" ht="15" hidden="false" customHeight="false" outlineLevel="0" collapsed="false">
      <c r="A293" s="61" t="s">
        <v>890</v>
      </c>
      <c r="B293" s="61" t="s">
        <v>104</v>
      </c>
      <c r="C293" s="61" t="s">
        <v>166</v>
      </c>
      <c r="D293" s="61" t="s">
        <v>165</v>
      </c>
      <c r="E293" s="61" t="s">
        <v>246</v>
      </c>
      <c r="F293" s="61" t="s">
        <v>1049</v>
      </c>
      <c r="G293" s="60" t="n">
        <v>46294</v>
      </c>
      <c r="H293" s="62" t="n">
        <v>-18</v>
      </c>
      <c r="I293" s="61" t="s">
        <v>4</v>
      </c>
      <c r="J293" s="60" t="n">
        <v>46295</v>
      </c>
      <c r="K293" s="61" t="s">
        <v>1320</v>
      </c>
      <c r="L293" s="62" t="n">
        <v>0</v>
      </c>
      <c r="M293" s="64" t="n">
        <v>0.00453703703703704</v>
      </c>
      <c r="N293" s="61" t="s">
        <v>250</v>
      </c>
      <c r="O293" s="61" t="s">
        <v>1546</v>
      </c>
      <c r="P293" s="61" t="s">
        <v>891</v>
      </c>
      <c r="Q293" s="61" t="s">
        <v>892</v>
      </c>
      <c r="R293" s="62" t="n">
        <f aca="false">-H293</f>
        <v>18</v>
      </c>
    </row>
    <row r="294" customFormat="false" ht="15" hidden="false" customHeight="false" outlineLevel="0" collapsed="false">
      <c r="A294" s="61" t="s">
        <v>594</v>
      </c>
      <c r="B294" s="61" t="s">
        <v>104</v>
      </c>
      <c r="C294" s="61" t="s">
        <v>166</v>
      </c>
      <c r="D294" s="61" t="s">
        <v>165</v>
      </c>
      <c r="E294" s="61" t="s">
        <v>246</v>
      </c>
      <c r="F294" s="61" t="s">
        <v>1049</v>
      </c>
      <c r="G294" s="60" t="n">
        <v>46289</v>
      </c>
      <c r="H294" s="62" t="n">
        <v>-12</v>
      </c>
      <c r="I294" s="61" t="s">
        <v>4</v>
      </c>
      <c r="J294" s="60" t="n">
        <v>46289</v>
      </c>
      <c r="K294" s="61" t="s">
        <v>1320</v>
      </c>
      <c r="L294" s="62" t="n">
        <v>0</v>
      </c>
      <c r="M294" s="64" t="n">
        <v>0.560601851851852</v>
      </c>
      <c r="N294" s="61" t="s">
        <v>338</v>
      </c>
      <c r="O294" s="61" t="s">
        <v>1377</v>
      </c>
      <c r="P294" s="61" t="s">
        <v>580</v>
      </c>
      <c r="Q294" s="61" t="s">
        <v>581</v>
      </c>
      <c r="R294" s="62" t="n">
        <f aca="false">-H294</f>
        <v>12</v>
      </c>
    </row>
    <row r="295" customFormat="false" ht="15" hidden="false" customHeight="false" outlineLevel="0" collapsed="false">
      <c r="A295" s="61" t="s">
        <v>579</v>
      </c>
      <c r="B295" s="61" t="s">
        <v>104</v>
      </c>
      <c r="C295" s="61" t="s">
        <v>166</v>
      </c>
      <c r="D295" s="61" t="s">
        <v>165</v>
      </c>
      <c r="E295" s="61" t="s">
        <v>246</v>
      </c>
      <c r="F295" s="61" t="s">
        <v>1049</v>
      </c>
      <c r="G295" s="60" t="n">
        <v>46288</v>
      </c>
      <c r="H295" s="62" t="n">
        <v>-42</v>
      </c>
      <c r="I295" s="61" t="s">
        <v>4</v>
      </c>
      <c r="J295" s="60" t="n">
        <v>46288</v>
      </c>
      <c r="K295" s="61" t="s">
        <v>1320</v>
      </c>
      <c r="L295" s="62" t="n">
        <v>0</v>
      </c>
      <c r="M295" s="64" t="n">
        <v>0.291064814814815</v>
      </c>
      <c r="N295" s="61" t="s">
        <v>269</v>
      </c>
      <c r="O295" s="61" t="s">
        <v>1547</v>
      </c>
      <c r="P295" s="61" t="s">
        <v>580</v>
      </c>
      <c r="Q295" s="61" t="s">
        <v>581</v>
      </c>
      <c r="R295" s="62" t="n">
        <f aca="false">-H295</f>
        <v>42</v>
      </c>
    </row>
    <row r="296" customFormat="false" ht="15" hidden="false" customHeight="false" outlineLevel="0" collapsed="false">
      <c r="A296" s="61" t="s">
        <v>559</v>
      </c>
      <c r="B296" s="61" t="s">
        <v>104</v>
      </c>
      <c r="C296" s="61" t="s">
        <v>166</v>
      </c>
      <c r="D296" s="61" t="s">
        <v>165</v>
      </c>
      <c r="E296" s="61" t="s">
        <v>254</v>
      </c>
      <c r="F296" s="61" t="s">
        <v>1049</v>
      </c>
      <c r="G296" s="60" t="n">
        <v>46287</v>
      </c>
      <c r="H296" s="62" t="n">
        <v>-24</v>
      </c>
      <c r="I296" s="61" t="s">
        <v>4</v>
      </c>
      <c r="J296" s="60" t="n">
        <v>46287</v>
      </c>
      <c r="K296" s="61" t="s">
        <v>1320</v>
      </c>
      <c r="L296" s="62" t="n">
        <v>0</v>
      </c>
      <c r="M296" s="64" t="n">
        <v>0.901331018518519</v>
      </c>
      <c r="N296" s="61" t="s">
        <v>258</v>
      </c>
      <c r="O296" s="61" t="s">
        <v>1548</v>
      </c>
      <c r="P296" s="61" t="s">
        <v>560</v>
      </c>
      <c r="Q296" s="61" t="s">
        <v>561</v>
      </c>
      <c r="R296" s="62" t="n">
        <f aca="false">-H296</f>
        <v>24</v>
      </c>
    </row>
    <row r="297" customFormat="false" ht="15" hidden="false" customHeight="false" outlineLevel="0" collapsed="false">
      <c r="A297" s="61" t="s">
        <v>555</v>
      </c>
      <c r="B297" s="61" t="s">
        <v>104</v>
      </c>
      <c r="C297" s="61" t="s">
        <v>166</v>
      </c>
      <c r="D297" s="61" t="s">
        <v>165</v>
      </c>
      <c r="E297" s="61" t="s">
        <v>254</v>
      </c>
      <c r="F297" s="61" t="s">
        <v>1049</v>
      </c>
      <c r="G297" s="60" t="n">
        <v>46287</v>
      </c>
      <c r="H297" s="62" t="n">
        <v>-6</v>
      </c>
      <c r="I297" s="61" t="s">
        <v>4</v>
      </c>
      <c r="J297" s="60" t="n">
        <v>46287</v>
      </c>
      <c r="K297" s="61" t="s">
        <v>1320</v>
      </c>
      <c r="L297" s="62" t="n">
        <v>0</v>
      </c>
      <c r="M297" s="64" t="n">
        <v>0.901388888888889</v>
      </c>
      <c r="N297" s="61" t="s">
        <v>258</v>
      </c>
      <c r="O297" s="61" t="s">
        <v>1371</v>
      </c>
      <c r="P297" s="61" t="s">
        <v>263</v>
      </c>
      <c r="Q297" s="61" t="s">
        <v>264</v>
      </c>
      <c r="R297" s="62" t="n">
        <f aca="false">-H297</f>
        <v>6</v>
      </c>
    </row>
    <row r="298" customFormat="false" ht="15" hidden="false" customHeight="false" outlineLevel="0" collapsed="false">
      <c r="A298" s="61" t="s">
        <v>508</v>
      </c>
      <c r="B298" s="61" t="s">
        <v>104</v>
      </c>
      <c r="C298" s="61" t="s">
        <v>166</v>
      </c>
      <c r="D298" s="61" t="s">
        <v>165</v>
      </c>
      <c r="E298" s="61" t="s">
        <v>246</v>
      </c>
      <c r="F298" s="61" t="s">
        <v>1049</v>
      </c>
      <c r="G298" s="60" t="n">
        <v>46285</v>
      </c>
      <c r="H298" s="62" t="n">
        <v>-6</v>
      </c>
      <c r="I298" s="61" t="s">
        <v>4</v>
      </c>
      <c r="J298" s="60" t="n">
        <v>46285</v>
      </c>
      <c r="K298" s="61" t="s">
        <v>1320</v>
      </c>
      <c r="L298" s="62" t="n">
        <v>0</v>
      </c>
      <c r="M298" s="64" t="n">
        <v>0.314953703703704</v>
      </c>
      <c r="N298" s="61" t="s">
        <v>269</v>
      </c>
      <c r="O298" s="61" t="s">
        <v>1383</v>
      </c>
      <c r="P298" s="61" t="s">
        <v>509</v>
      </c>
      <c r="Q298" s="61" t="s">
        <v>510</v>
      </c>
      <c r="R298" s="62" t="n">
        <f aca="false">-H298</f>
        <v>6</v>
      </c>
    </row>
    <row r="299" customFormat="false" ht="15" hidden="false" customHeight="false" outlineLevel="0" collapsed="false">
      <c r="A299" s="61" t="s">
        <v>427</v>
      </c>
      <c r="B299" s="61" t="s">
        <v>104</v>
      </c>
      <c r="C299" s="61" t="s">
        <v>166</v>
      </c>
      <c r="D299" s="61" t="s">
        <v>165</v>
      </c>
      <c r="E299" s="61" t="s">
        <v>246</v>
      </c>
      <c r="F299" s="61" t="s">
        <v>1049</v>
      </c>
      <c r="G299" s="60" t="n">
        <v>46281</v>
      </c>
      <c r="H299" s="62" t="n">
        <v>-12</v>
      </c>
      <c r="I299" s="61" t="s">
        <v>4</v>
      </c>
      <c r="J299" s="60" t="n">
        <v>46282</v>
      </c>
      <c r="K299" s="61" t="s">
        <v>1320</v>
      </c>
      <c r="L299" s="62" t="n">
        <v>0</v>
      </c>
      <c r="M299" s="64" t="n">
        <v>0.110671296296296</v>
      </c>
      <c r="N299" s="61" t="s">
        <v>250</v>
      </c>
      <c r="O299" s="61" t="s">
        <v>1541</v>
      </c>
      <c r="P299" s="61" t="s">
        <v>428</v>
      </c>
      <c r="Q299" s="61" t="s">
        <v>429</v>
      </c>
      <c r="R299" s="62" t="n">
        <f aca="false">-H299</f>
        <v>12</v>
      </c>
    </row>
    <row r="300" customFormat="false" ht="15" hidden="false" customHeight="false" outlineLevel="0" collapsed="false">
      <c r="A300" s="61" t="s">
        <v>406</v>
      </c>
      <c r="B300" s="61" t="s">
        <v>104</v>
      </c>
      <c r="C300" s="61" t="s">
        <v>166</v>
      </c>
      <c r="D300" s="61" t="s">
        <v>165</v>
      </c>
      <c r="E300" s="61" t="s">
        <v>254</v>
      </c>
      <c r="F300" s="61" t="s">
        <v>1049</v>
      </c>
      <c r="G300" s="60" t="n">
        <v>46280</v>
      </c>
      <c r="H300" s="62" t="n">
        <v>-48</v>
      </c>
      <c r="I300" s="61" t="s">
        <v>4</v>
      </c>
      <c r="J300" s="60" t="n">
        <v>46280</v>
      </c>
      <c r="K300" s="61" t="s">
        <v>1320</v>
      </c>
      <c r="L300" s="62" t="n">
        <v>0</v>
      </c>
      <c r="M300" s="64" t="n">
        <v>0.945405092592593</v>
      </c>
      <c r="N300" s="61" t="s">
        <v>258</v>
      </c>
      <c r="O300" s="61" t="s">
        <v>1549</v>
      </c>
      <c r="P300" s="61" t="s">
        <v>407</v>
      </c>
      <c r="Q300" s="61" t="s">
        <v>408</v>
      </c>
      <c r="R300" s="62" t="n">
        <f aca="false">-H300</f>
        <v>48</v>
      </c>
    </row>
    <row r="301" customFormat="false" ht="15" hidden="false" customHeight="false" outlineLevel="0" collapsed="false">
      <c r="A301" s="61" t="s">
        <v>383</v>
      </c>
      <c r="B301" s="61" t="s">
        <v>104</v>
      </c>
      <c r="C301" s="61" t="s">
        <v>166</v>
      </c>
      <c r="D301" s="61" t="s">
        <v>165</v>
      </c>
      <c r="E301" s="61" t="s">
        <v>246</v>
      </c>
      <c r="F301" s="61" t="s">
        <v>1049</v>
      </c>
      <c r="G301" s="60" t="n">
        <v>46279</v>
      </c>
      <c r="H301" s="62" t="n">
        <v>-6</v>
      </c>
      <c r="I301" s="61" t="s">
        <v>4</v>
      </c>
      <c r="J301" s="60" t="n">
        <v>46279</v>
      </c>
      <c r="K301" s="61" t="s">
        <v>1320</v>
      </c>
      <c r="L301" s="62" t="n">
        <v>0</v>
      </c>
      <c r="M301" s="64" t="n">
        <v>0.613483796296296</v>
      </c>
      <c r="N301" s="61" t="s">
        <v>275</v>
      </c>
      <c r="O301" s="61" t="s">
        <v>1550</v>
      </c>
      <c r="P301" s="61" t="s">
        <v>384</v>
      </c>
      <c r="Q301" s="61" t="s">
        <v>385</v>
      </c>
      <c r="R301" s="62" t="n">
        <f aca="false">-H301</f>
        <v>6</v>
      </c>
    </row>
    <row r="302" customFormat="false" ht="15" hidden="false" customHeight="false" outlineLevel="0" collapsed="false">
      <c r="A302" s="61" t="s">
        <v>266</v>
      </c>
      <c r="B302" s="61" t="s">
        <v>104</v>
      </c>
      <c r="C302" s="61" t="s">
        <v>166</v>
      </c>
      <c r="D302" s="61" t="s">
        <v>165</v>
      </c>
      <c r="E302" s="61" t="s">
        <v>246</v>
      </c>
      <c r="F302" s="61" t="s">
        <v>1049</v>
      </c>
      <c r="G302" s="60" t="n">
        <v>46275</v>
      </c>
      <c r="H302" s="62" t="n">
        <v>-12</v>
      </c>
      <c r="I302" s="61" t="s">
        <v>4</v>
      </c>
      <c r="J302" s="60" t="n">
        <v>46276</v>
      </c>
      <c r="K302" s="61" t="s">
        <v>1320</v>
      </c>
      <c r="L302" s="62" t="n">
        <v>0</v>
      </c>
      <c r="M302" s="64" t="n">
        <v>0.0646180555555556</v>
      </c>
      <c r="N302" s="61" t="s">
        <v>269</v>
      </c>
      <c r="O302" s="61" t="s">
        <v>1058</v>
      </c>
      <c r="P302" s="61" t="s">
        <v>267</v>
      </c>
      <c r="Q302" s="61" t="s">
        <v>268</v>
      </c>
      <c r="R302" s="62" t="n">
        <f aca="false">-H302</f>
        <v>12</v>
      </c>
    </row>
    <row r="303" customFormat="false" ht="15" hidden="false" customHeight="false" outlineLevel="0" collapsed="false">
      <c r="A303" s="61" t="s">
        <v>1006</v>
      </c>
      <c r="B303" s="61" t="s">
        <v>106</v>
      </c>
      <c r="C303" s="61" t="s">
        <v>183</v>
      </c>
      <c r="D303" s="61" t="s">
        <v>222</v>
      </c>
      <c r="E303" s="61" t="s">
        <v>246</v>
      </c>
      <c r="F303" s="61" t="s">
        <v>1049</v>
      </c>
      <c r="G303" s="60" t="n">
        <v>46295</v>
      </c>
      <c r="H303" s="62" t="n">
        <v>-50</v>
      </c>
      <c r="I303" s="61" t="s">
        <v>4</v>
      </c>
      <c r="J303" s="60" t="n">
        <v>46295</v>
      </c>
      <c r="K303" s="61" t="s">
        <v>1320</v>
      </c>
      <c r="L303" s="62" t="n">
        <v>0</v>
      </c>
      <c r="M303" s="64" t="n">
        <v>0.356030092592593</v>
      </c>
      <c r="N303" s="61" t="s">
        <v>250</v>
      </c>
      <c r="O303" s="61" t="s">
        <v>1551</v>
      </c>
      <c r="P303" s="61" t="s">
        <v>973</v>
      </c>
      <c r="Q303" s="61" t="s">
        <v>974</v>
      </c>
      <c r="R303" s="62" t="n">
        <f aca="false">-H303</f>
        <v>50</v>
      </c>
    </row>
    <row r="304" customFormat="false" ht="15" hidden="false" customHeight="false" outlineLevel="0" collapsed="false">
      <c r="A304" s="61" t="s">
        <v>1007</v>
      </c>
      <c r="B304" s="61" t="s">
        <v>106</v>
      </c>
      <c r="C304" s="61" t="s">
        <v>183</v>
      </c>
      <c r="D304" s="61" t="s">
        <v>222</v>
      </c>
      <c r="E304" s="61" t="s">
        <v>246</v>
      </c>
      <c r="F304" s="61" t="s">
        <v>1049</v>
      </c>
      <c r="G304" s="60" t="n">
        <v>46295</v>
      </c>
      <c r="H304" s="62" t="n">
        <v>-10</v>
      </c>
      <c r="I304" s="61" t="s">
        <v>4</v>
      </c>
      <c r="J304" s="60" t="n">
        <v>46296</v>
      </c>
      <c r="K304" s="61" t="s">
        <v>1320</v>
      </c>
      <c r="L304" s="62" t="n">
        <v>0</v>
      </c>
      <c r="M304" s="64" t="n">
        <v>0.0630902777777778</v>
      </c>
      <c r="N304" s="61" t="s">
        <v>269</v>
      </c>
      <c r="O304" s="61" t="s">
        <v>1552</v>
      </c>
      <c r="P304" s="61" t="s">
        <v>374</v>
      </c>
      <c r="Q304" s="61" t="s">
        <v>375</v>
      </c>
      <c r="R304" s="62" t="n">
        <f aca="false">-H304</f>
        <v>10</v>
      </c>
    </row>
    <row r="305" customFormat="false" ht="15" hidden="false" customHeight="false" outlineLevel="0" collapsed="false">
      <c r="A305" s="61" t="s">
        <v>1008</v>
      </c>
      <c r="B305" s="61" t="s">
        <v>106</v>
      </c>
      <c r="C305" s="61" t="s">
        <v>183</v>
      </c>
      <c r="D305" s="61" t="s">
        <v>222</v>
      </c>
      <c r="E305" s="61" t="s">
        <v>246</v>
      </c>
      <c r="F305" s="61" t="s">
        <v>1049</v>
      </c>
      <c r="G305" s="60" t="n">
        <v>46295</v>
      </c>
      <c r="H305" s="62" t="n">
        <v>-10</v>
      </c>
      <c r="I305" s="61" t="s">
        <v>4</v>
      </c>
      <c r="J305" s="60" t="n">
        <v>46296</v>
      </c>
      <c r="K305" s="61" t="s">
        <v>1320</v>
      </c>
      <c r="L305" s="62" t="n">
        <v>0</v>
      </c>
      <c r="M305" s="64" t="n">
        <v>0.0630671296296296</v>
      </c>
      <c r="N305" s="61" t="s">
        <v>269</v>
      </c>
      <c r="O305" s="61" t="s">
        <v>1553</v>
      </c>
      <c r="P305" s="61" t="s">
        <v>1009</v>
      </c>
      <c r="Q305" s="61" t="s">
        <v>1010</v>
      </c>
      <c r="R305" s="62" t="n">
        <f aca="false">-H305</f>
        <v>10</v>
      </c>
    </row>
    <row r="306" customFormat="false" ht="15" hidden="false" customHeight="false" outlineLevel="0" collapsed="false">
      <c r="A306" s="61" t="s">
        <v>1011</v>
      </c>
      <c r="B306" s="61" t="s">
        <v>106</v>
      </c>
      <c r="C306" s="61" t="s">
        <v>183</v>
      </c>
      <c r="D306" s="61" t="s">
        <v>222</v>
      </c>
      <c r="E306" s="61" t="s">
        <v>246</v>
      </c>
      <c r="F306" s="61" t="s">
        <v>1049</v>
      </c>
      <c r="G306" s="60" t="n">
        <v>46295</v>
      </c>
      <c r="H306" s="62" t="n">
        <v>-10</v>
      </c>
      <c r="I306" s="61" t="s">
        <v>4</v>
      </c>
      <c r="J306" s="60" t="n">
        <v>46296</v>
      </c>
      <c r="K306" s="61" t="s">
        <v>1320</v>
      </c>
      <c r="L306" s="62" t="n">
        <v>0</v>
      </c>
      <c r="M306" s="64" t="n">
        <v>0.063125</v>
      </c>
      <c r="N306" s="61" t="s">
        <v>269</v>
      </c>
      <c r="O306" s="61" t="s">
        <v>1554</v>
      </c>
      <c r="P306" s="61" t="s">
        <v>931</v>
      </c>
      <c r="Q306" s="61" t="s">
        <v>932</v>
      </c>
      <c r="R306" s="62" t="n">
        <f aca="false">-H306</f>
        <v>10</v>
      </c>
    </row>
    <row r="307" customFormat="false" ht="15" hidden="false" customHeight="false" outlineLevel="0" collapsed="false">
      <c r="A307" s="61" t="s">
        <v>997</v>
      </c>
      <c r="B307" s="61" t="s">
        <v>106</v>
      </c>
      <c r="C307" s="61" t="s">
        <v>183</v>
      </c>
      <c r="D307" s="61" t="s">
        <v>222</v>
      </c>
      <c r="E307" s="61" t="s">
        <v>246</v>
      </c>
      <c r="F307" s="61" t="s">
        <v>1049</v>
      </c>
      <c r="G307" s="60" t="n">
        <v>46295</v>
      </c>
      <c r="H307" s="62" t="n">
        <v>-10</v>
      </c>
      <c r="I307" s="61" t="s">
        <v>4</v>
      </c>
      <c r="J307" s="60" t="n">
        <v>46296</v>
      </c>
      <c r="K307" s="61" t="s">
        <v>1320</v>
      </c>
      <c r="L307" s="62" t="n">
        <v>0</v>
      </c>
      <c r="M307" s="64" t="n">
        <v>0.0645949074074074</v>
      </c>
      <c r="N307" s="61" t="s">
        <v>269</v>
      </c>
      <c r="O307" s="61" t="s">
        <v>1511</v>
      </c>
      <c r="P307" s="61" t="s">
        <v>362</v>
      </c>
      <c r="Q307" s="61" t="s">
        <v>363</v>
      </c>
      <c r="R307" s="62" t="n">
        <f aca="false">-H307</f>
        <v>10</v>
      </c>
    </row>
    <row r="308" customFormat="false" ht="15" hidden="false" customHeight="false" outlineLevel="0" collapsed="false">
      <c r="A308" s="61" t="s">
        <v>1012</v>
      </c>
      <c r="B308" s="61" t="s">
        <v>106</v>
      </c>
      <c r="C308" s="61" t="s">
        <v>183</v>
      </c>
      <c r="D308" s="61" t="s">
        <v>222</v>
      </c>
      <c r="E308" s="61" t="s">
        <v>246</v>
      </c>
      <c r="F308" s="61" t="s">
        <v>1049</v>
      </c>
      <c r="G308" s="60" t="n">
        <v>46295</v>
      </c>
      <c r="H308" s="62" t="n">
        <v>-20</v>
      </c>
      <c r="I308" s="61" t="s">
        <v>4</v>
      </c>
      <c r="J308" s="60" t="n">
        <v>46295</v>
      </c>
      <c r="K308" s="61" t="s">
        <v>1320</v>
      </c>
      <c r="L308" s="62" t="n">
        <v>0</v>
      </c>
      <c r="M308" s="64" t="n">
        <v>0.356099537037037</v>
      </c>
      <c r="N308" s="61" t="s">
        <v>250</v>
      </c>
      <c r="O308" s="61" t="s">
        <v>1555</v>
      </c>
      <c r="P308" s="61" t="s">
        <v>634</v>
      </c>
      <c r="Q308" s="61" t="s">
        <v>635</v>
      </c>
      <c r="R308" s="62" t="n">
        <f aca="false">-H308</f>
        <v>20</v>
      </c>
    </row>
    <row r="309" customFormat="false" ht="15" hidden="false" customHeight="false" outlineLevel="0" collapsed="false">
      <c r="A309" s="61" t="s">
        <v>893</v>
      </c>
      <c r="B309" s="61" t="s">
        <v>106</v>
      </c>
      <c r="C309" s="61" t="s">
        <v>183</v>
      </c>
      <c r="D309" s="61" t="s">
        <v>222</v>
      </c>
      <c r="E309" s="61" t="s">
        <v>246</v>
      </c>
      <c r="F309" s="61" t="s">
        <v>1049</v>
      </c>
      <c r="G309" s="60" t="n">
        <v>46294</v>
      </c>
      <c r="H309" s="62" t="n">
        <v>-100</v>
      </c>
      <c r="I309" s="61" t="s">
        <v>4</v>
      </c>
      <c r="J309" s="60" t="n">
        <v>46295</v>
      </c>
      <c r="K309" s="61" t="s">
        <v>1320</v>
      </c>
      <c r="L309" s="62" t="n">
        <v>0</v>
      </c>
      <c r="M309" s="64" t="n">
        <v>0.00537037037037037</v>
      </c>
      <c r="N309" s="61" t="s">
        <v>250</v>
      </c>
      <c r="O309" s="61" t="s">
        <v>1556</v>
      </c>
      <c r="P309" s="61" t="s">
        <v>387</v>
      </c>
      <c r="Q309" s="61" t="s">
        <v>388</v>
      </c>
      <c r="R309" s="62" t="n">
        <f aca="false">-H309</f>
        <v>100</v>
      </c>
    </row>
    <row r="310" customFormat="false" ht="15" hidden="false" customHeight="false" outlineLevel="0" collapsed="false">
      <c r="A310" s="61" t="s">
        <v>886</v>
      </c>
      <c r="B310" s="61" t="s">
        <v>106</v>
      </c>
      <c r="C310" s="61" t="s">
        <v>183</v>
      </c>
      <c r="D310" s="61" t="s">
        <v>222</v>
      </c>
      <c r="E310" s="61" t="s">
        <v>246</v>
      </c>
      <c r="F310" s="61" t="s">
        <v>1049</v>
      </c>
      <c r="G310" s="60" t="n">
        <v>46294</v>
      </c>
      <c r="H310" s="62" t="n">
        <v>-10</v>
      </c>
      <c r="I310" s="61" t="s">
        <v>4</v>
      </c>
      <c r="J310" s="60" t="n">
        <v>46294</v>
      </c>
      <c r="K310" s="61" t="s">
        <v>1320</v>
      </c>
      <c r="L310" s="62" t="n">
        <v>0</v>
      </c>
      <c r="M310" s="64" t="n">
        <v>0.34625</v>
      </c>
      <c r="N310" s="61" t="s">
        <v>250</v>
      </c>
      <c r="O310" s="61" t="s">
        <v>1515</v>
      </c>
      <c r="P310" s="61" t="s">
        <v>295</v>
      </c>
      <c r="Q310" s="61" t="s">
        <v>296</v>
      </c>
      <c r="R310" s="62" t="n">
        <f aca="false">-H310</f>
        <v>10</v>
      </c>
    </row>
    <row r="311" customFormat="false" ht="15" hidden="false" customHeight="false" outlineLevel="0" collapsed="false">
      <c r="A311" s="61" t="s">
        <v>894</v>
      </c>
      <c r="B311" s="61" t="s">
        <v>106</v>
      </c>
      <c r="C311" s="61" t="s">
        <v>183</v>
      </c>
      <c r="D311" s="61" t="s">
        <v>222</v>
      </c>
      <c r="E311" s="61" t="s">
        <v>246</v>
      </c>
      <c r="F311" s="61" t="s">
        <v>1049</v>
      </c>
      <c r="G311" s="60" t="n">
        <v>46294</v>
      </c>
      <c r="H311" s="62" t="n">
        <v>-10</v>
      </c>
      <c r="I311" s="61" t="s">
        <v>4</v>
      </c>
      <c r="J311" s="60" t="n">
        <v>46295</v>
      </c>
      <c r="K311" s="61" t="s">
        <v>1320</v>
      </c>
      <c r="L311" s="62" t="n">
        <v>0</v>
      </c>
      <c r="M311" s="64" t="n">
        <v>0.00525462962962963</v>
      </c>
      <c r="N311" s="61" t="s">
        <v>250</v>
      </c>
      <c r="O311" s="61" t="s">
        <v>1557</v>
      </c>
      <c r="P311" s="61" t="s">
        <v>472</v>
      </c>
      <c r="Q311" s="61" t="s">
        <v>473</v>
      </c>
      <c r="R311" s="62" t="n">
        <f aca="false">-H311</f>
        <v>10</v>
      </c>
    </row>
    <row r="312" customFormat="false" ht="15" hidden="false" customHeight="false" outlineLevel="0" collapsed="false">
      <c r="A312" s="61" t="s">
        <v>895</v>
      </c>
      <c r="B312" s="61" t="s">
        <v>106</v>
      </c>
      <c r="C312" s="61" t="s">
        <v>183</v>
      </c>
      <c r="D312" s="61" t="s">
        <v>222</v>
      </c>
      <c r="E312" s="61" t="s">
        <v>246</v>
      </c>
      <c r="F312" s="61" t="s">
        <v>1049</v>
      </c>
      <c r="G312" s="60" t="n">
        <v>46294</v>
      </c>
      <c r="H312" s="62" t="n">
        <v>-10</v>
      </c>
      <c r="I312" s="61" t="s">
        <v>4</v>
      </c>
      <c r="J312" s="60" t="n">
        <v>46295</v>
      </c>
      <c r="K312" s="61" t="s">
        <v>1320</v>
      </c>
      <c r="L312" s="62" t="n">
        <v>0</v>
      </c>
      <c r="M312" s="64" t="n">
        <v>0.00515046296296296</v>
      </c>
      <c r="N312" s="61" t="s">
        <v>250</v>
      </c>
      <c r="O312" s="61" t="s">
        <v>1558</v>
      </c>
      <c r="P312" s="61" t="s">
        <v>880</v>
      </c>
      <c r="Q312" s="61" t="s">
        <v>881</v>
      </c>
      <c r="R312" s="62" t="n">
        <f aca="false">-H312</f>
        <v>10</v>
      </c>
    </row>
    <row r="313" customFormat="false" ht="15" hidden="false" customHeight="false" outlineLevel="0" collapsed="false">
      <c r="A313" s="61" t="s">
        <v>896</v>
      </c>
      <c r="B313" s="61" t="s">
        <v>106</v>
      </c>
      <c r="C313" s="61" t="s">
        <v>183</v>
      </c>
      <c r="D313" s="61" t="s">
        <v>222</v>
      </c>
      <c r="E313" s="61" t="s">
        <v>246</v>
      </c>
      <c r="F313" s="61" t="s">
        <v>1049</v>
      </c>
      <c r="G313" s="60" t="n">
        <v>46294</v>
      </c>
      <c r="H313" s="62" t="n">
        <v>-10</v>
      </c>
      <c r="I313" s="61" t="s">
        <v>4</v>
      </c>
      <c r="J313" s="60" t="n">
        <v>46295</v>
      </c>
      <c r="K313" s="61" t="s">
        <v>1320</v>
      </c>
      <c r="L313" s="62" t="n">
        <v>0</v>
      </c>
      <c r="M313" s="64" t="n">
        <v>0.00506944444444444</v>
      </c>
      <c r="N313" s="61" t="s">
        <v>250</v>
      </c>
      <c r="O313" s="61" t="s">
        <v>1559</v>
      </c>
      <c r="P313" s="61" t="s">
        <v>897</v>
      </c>
      <c r="Q313" s="61" t="s">
        <v>898</v>
      </c>
      <c r="R313" s="62" t="n">
        <f aca="false">-H313</f>
        <v>10</v>
      </c>
    </row>
    <row r="314" customFormat="false" ht="15" hidden="false" customHeight="false" outlineLevel="0" collapsed="false">
      <c r="A314" s="61" t="s">
        <v>899</v>
      </c>
      <c r="B314" s="61" t="s">
        <v>106</v>
      </c>
      <c r="C314" s="61" t="s">
        <v>183</v>
      </c>
      <c r="D314" s="61" t="s">
        <v>222</v>
      </c>
      <c r="E314" s="61" t="s">
        <v>246</v>
      </c>
      <c r="F314" s="61" t="s">
        <v>1049</v>
      </c>
      <c r="G314" s="60" t="n">
        <v>46294</v>
      </c>
      <c r="H314" s="62" t="n">
        <v>-10</v>
      </c>
      <c r="I314" s="61" t="s">
        <v>4</v>
      </c>
      <c r="J314" s="60" t="n">
        <v>46295</v>
      </c>
      <c r="K314" s="61" t="s">
        <v>1320</v>
      </c>
      <c r="L314" s="62" t="n">
        <v>0</v>
      </c>
      <c r="M314" s="64" t="n">
        <v>0.00505787037037037</v>
      </c>
      <c r="N314" s="61" t="s">
        <v>250</v>
      </c>
      <c r="O314" s="61" t="s">
        <v>1560</v>
      </c>
      <c r="P314" s="61" t="s">
        <v>686</v>
      </c>
      <c r="Q314" s="61" t="s">
        <v>687</v>
      </c>
      <c r="R314" s="62" t="n">
        <f aca="false">-H314</f>
        <v>10</v>
      </c>
    </row>
    <row r="315" customFormat="false" ht="15" hidden="false" customHeight="false" outlineLevel="0" collapsed="false">
      <c r="A315" s="61" t="s">
        <v>900</v>
      </c>
      <c r="B315" s="61" t="s">
        <v>106</v>
      </c>
      <c r="C315" s="61" t="s">
        <v>183</v>
      </c>
      <c r="D315" s="61" t="s">
        <v>222</v>
      </c>
      <c r="E315" s="61" t="s">
        <v>246</v>
      </c>
      <c r="F315" s="61" t="s">
        <v>1049</v>
      </c>
      <c r="G315" s="60" t="n">
        <v>46294</v>
      </c>
      <c r="H315" s="62" t="n">
        <v>-10</v>
      </c>
      <c r="I315" s="61" t="s">
        <v>4</v>
      </c>
      <c r="J315" s="60" t="n">
        <v>46294</v>
      </c>
      <c r="K315" s="61" t="s">
        <v>1320</v>
      </c>
      <c r="L315" s="62" t="n">
        <v>0</v>
      </c>
      <c r="M315" s="64" t="n">
        <v>0.42587962962963</v>
      </c>
      <c r="N315" s="61" t="s">
        <v>250</v>
      </c>
      <c r="O315" s="61" t="s">
        <v>1561</v>
      </c>
      <c r="P315" s="61" t="s">
        <v>901</v>
      </c>
      <c r="Q315" s="61" t="s">
        <v>902</v>
      </c>
      <c r="R315" s="62" t="n">
        <f aca="false">-H315</f>
        <v>10</v>
      </c>
    </row>
    <row r="316" customFormat="false" ht="15" hidden="false" customHeight="false" outlineLevel="0" collapsed="false">
      <c r="A316" s="61" t="s">
        <v>903</v>
      </c>
      <c r="B316" s="61" t="s">
        <v>106</v>
      </c>
      <c r="C316" s="61" t="s">
        <v>183</v>
      </c>
      <c r="D316" s="61" t="s">
        <v>222</v>
      </c>
      <c r="E316" s="61" t="s">
        <v>246</v>
      </c>
      <c r="F316" s="61" t="s">
        <v>1049</v>
      </c>
      <c r="G316" s="60" t="n">
        <v>46294</v>
      </c>
      <c r="H316" s="62" t="n">
        <v>-150</v>
      </c>
      <c r="I316" s="61" t="s">
        <v>4</v>
      </c>
      <c r="J316" s="60" t="n">
        <v>46294</v>
      </c>
      <c r="K316" s="61" t="s">
        <v>1320</v>
      </c>
      <c r="L316" s="62" t="n">
        <v>0</v>
      </c>
      <c r="M316" s="64" t="n">
        <v>0.588020833333333</v>
      </c>
      <c r="N316" s="61" t="s">
        <v>338</v>
      </c>
      <c r="O316" s="61" t="s">
        <v>1562</v>
      </c>
      <c r="P316" s="61" t="s">
        <v>546</v>
      </c>
      <c r="Q316" s="61" t="s">
        <v>547</v>
      </c>
      <c r="R316" s="62" t="n">
        <f aca="false">-H316</f>
        <v>150</v>
      </c>
    </row>
    <row r="317" customFormat="false" ht="15" hidden="false" customHeight="false" outlineLevel="0" collapsed="false">
      <c r="A317" s="61" t="s">
        <v>793</v>
      </c>
      <c r="B317" s="61" t="s">
        <v>106</v>
      </c>
      <c r="C317" s="61" t="s">
        <v>183</v>
      </c>
      <c r="D317" s="61" t="s">
        <v>222</v>
      </c>
      <c r="E317" s="61" t="s">
        <v>246</v>
      </c>
      <c r="F317" s="61" t="s">
        <v>1049</v>
      </c>
      <c r="G317" s="60" t="n">
        <v>46292</v>
      </c>
      <c r="H317" s="62" t="n">
        <v>-10</v>
      </c>
      <c r="I317" s="61" t="s">
        <v>4</v>
      </c>
      <c r="J317" s="60" t="n">
        <v>46292</v>
      </c>
      <c r="K317" s="61" t="s">
        <v>1320</v>
      </c>
      <c r="L317" s="62" t="n">
        <v>0</v>
      </c>
      <c r="M317" s="64" t="n">
        <v>0.826076388888889</v>
      </c>
      <c r="N317" s="61" t="s">
        <v>275</v>
      </c>
      <c r="O317" s="61" t="s">
        <v>1563</v>
      </c>
      <c r="P317" s="61" t="s">
        <v>794</v>
      </c>
      <c r="Q317" s="61" t="s">
        <v>795</v>
      </c>
      <c r="R317" s="62" t="n">
        <f aca="false">-H317</f>
        <v>10</v>
      </c>
    </row>
    <row r="318" customFormat="false" ht="15" hidden="false" customHeight="false" outlineLevel="0" collapsed="false">
      <c r="A318" s="61" t="s">
        <v>796</v>
      </c>
      <c r="B318" s="61" t="s">
        <v>106</v>
      </c>
      <c r="C318" s="61" t="s">
        <v>183</v>
      </c>
      <c r="D318" s="61" t="s">
        <v>222</v>
      </c>
      <c r="E318" s="61" t="s">
        <v>246</v>
      </c>
      <c r="F318" s="61" t="s">
        <v>1049</v>
      </c>
      <c r="G318" s="60" t="n">
        <v>46292</v>
      </c>
      <c r="H318" s="62" t="n">
        <v>-10</v>
      </c>
      <c r="I318" s="61" t="s">
        <v>4</v>
      </c>
      <c r="J318" s="60" t="n">
        <v>46292</v>
      </c>
      <c r="K318" s="61" t="s">
        <v>1320</v>
      </c>
      <c r="L318" s="62" t="n">
        <v>0</v>
      </c>
      <c r="M318" s="64" t="n">
        <v>0.825821759259259</v>
      </c>
      <c r="N318" s="61" t="s">
        <v>275</v>
      </c>
      <c r="O318" s="61" t="s">
        <v>1564</v>
      </c>
      <c r="P318" s="61" t="s">
        <v>797</v>
      </c>
      <c r="Q318" s="61" t="s">
        <v>798</v>
      </c>
      <c r="R318" s="62" t="n">
        <f aca="false">-H318</f>
        <v>10</v>
      </c>
    </row>
    <row r="319" customFormat="false" ht="15" hidden="false" customHeight="false" outlineLevel="0" collapsed="false">
      <c r="A319" s="61" t="s">
        <v>799</v>
      </c>
      <c r="B319" s="61" t="s">
        <v>106</v>
      </c>
      <c r="C319" s="61" t="s">
        <v>183</v>
      </c>
      <c r="D319" s="61" t="s">
        <v>222</v>
      </c>
      <c r="E319" s="61" t="s">
        <v>246</v>
      </c>
      <c r="F319" s="61" t="s">
        <v>1049</v>
      </c>
      <c r="G319" s="60" t="n">
        <v>46292</v>
      </c>
      <c r="H319" s="62" t="n">
        <v>-20</v>
      </c>
      <c r="I319" s="61" t="s">
        <v>4</v>
      </c>
      <c r="J319" s="60" t="n">
        <v>46292</v>
      </c>
      <c r="K319" s="61" t="s">
        <v>1320</v>
      </c>
      <c r="L319" s="62" t="n">
        <v>0</v>
      </c>
      <c r="M319" s="64" t="n">
        <v>0.677395833333333</v>
      </c>
      <c r="N319" s="61" t="s">
        <v>275</v>
      </c>
      <c r="O319" s="61" t="s">
        <v>1565</v>
      </c>
      <c r="P319" s="61" t="s">
        <v>800</v>
      </c>
      <c r="Q319" s="61" t="s">
        <v>801</v>
      </c>
      <c r="R319" s="62" t="n">
        <f aca="false">-H319</f>
        <v>20</v>
      </c>
    </row>
    <row r="320" customFormat="false" ht="15" hidden="false" customHeight="false" outlineLevel="0" collapsed="false">
      <c r="A320" s="61" t="s">
        <v>802</v>
      </c>
      <c r="B320" s="61" t="s">
        <v>106</v>
      </c>
      <c r="C320" s="61" t="s">
        <v>183</v>
      </c>
      <c r="D320" s="61" t="s">
        <v>222</v>
      </c>
      <c r="E320" s="61" t="s">
        <v>246</v>
      </c>
      <c r="F320" s="61" t="s">
        <v>1049</v>
      </c>
      <c r="G320" s="60" t="n">
        <v>46292</v>
      </c>
      <c r="H320" s="62" t="n">
        <v>-10</v>
      </c>
      <c r="I320" s="61" t="s">
        <v>4</v>
      </c>
      <c r="J320" s="60" t="n">
        <v>46292</v>
      </c>
      <c r="K320" s="61" t="s">
        <v>1320</v>
      </c>
      <c r="L320" s="62" t="n">
        <v>0</v>
      </c>
      <c r="M320" s="64" t="n">
        <v>0.826053240740741</v>
      </c>
      <c r="N320" s="61" t="s">
        <v>275</v>
      </c>
      <c r="O320" s="61" t="s">
        <v>1566</v>
      </c>
      <c r="P320" s="61" t="s">
        <v>803</v>
      </c>
      <c r="Q320" s="61" t="s">
        <v>804</v>
      </c>
      <c r="R320" s="62" t="n">
        <f aca="false">-H320</f>
        <v>10</v>
      </c>
    </row>
    <row r="321" customFormat="false" ht="15" hidden="false" customHeight="false" outlineLevel="0" collapsed="false">
      <c r="A321" s="61" t="s">
        <v>805</v>
      </c>
      <c r="B321" s="61" t="s">
        <v>106</v>
      </c>
      <c r="C321" s="61" t="s">
        <v>183</v>
      </c>
      <c r="D321" s="61" t="s">
        <v>222</v>
      </c>
      <c r="E321" s="61" t="s">
        <v>246</v>
      </c>
      <c r="F321" s="61" t="s">
        <v>1049</v>
      </c>
      <c r="G321" s="60" t="n">
        <v>46292</v>
      </c>
      <c r="H321" s="62" t="n">
        <v>-10</v>
      </c>
      <c r="I321" s="61" t="s">
        <v>4</v>
      </c>
      <c r="J321" s="60" t="n">
        <v>46292</v>
      </c>
      <c r="K321" s="61" t="s">
        <v>1320</v>
      </c>
      <c r="L321" s="62" t="n">
        <v>0</v>
      </c>
      <c r="M321" s="64" t="n">
        <v>0.631354166666667</v>
      </c>
      <c r="N321" s="61" t="s">
        <v>275</v>
      </c>
      <c r="O321" s="61" t="s">
        <v>1567</v>
      </c>
      <c r="P321" s="61" t="s">
        <v>806</v>
      </c>
      <c r="Q321" s="61" t="s">
        <v>807</v>
      </c>
      <c r="R321" s="62" t="n">
        <f aca="false">-H321</f>
        <v>10</v>
      </c>
    </row>
    <row r="322" customFormat="false" ht="15" hidden="false" customHeight="false" outlineLevel="0" collapsed="false">
      <c r="A322" s="61" t="s">
        <v>808</v>
      </c>
      <c r="B322" s="61" t="s">
        <v>106</v>
      </c>
      <c r="C322" s="61" t="s">
        <v>183</v>
      </c>
      <c r="D322" s="61" t="s">
        <v>222</v>
      </c>
      <c r="E322" s="61" t="s">
        <v>246</v>
      </c>
      <c r="F322" s="61" t="s">
        <v>1049</v>
      </c>
      <c r="G322" s="60" t="n">
        <v>46292</v>
      </c>
      <c r="H322" s="62" t="n">
        <v>-40</v>
      </c>
      <c r="I322" s="61" t="s">
        <v>4</v>
      </c>
      <c r="J322" s="60" t="n">
        <v>46292</v>
      </c>
      <c r="K322" s="61" t="s">
        <v>1320</v>
      </c>
      <c r="L322" s="62" t="n">
        <v>0</v>
      </c>
      <c r="M322" s="64" t="n">
        <v>0.631238425925926</v>
      </c>
      <c r="N322" s="61" t="s">
        <v>275</v>
      </c>
      <c r="O322" s="61" t="s">
        <v>1568</v>
      </c>
      <c r="P322" s="61" t="s">
        <v>809</v>
      </c>
      <c r="Q322" s="61" t="s">
        <v>810</v>
      </c>
      <c r="R322" s="62" t="n">
        <f aca="false">-H322</f>
        <v>40</v>
      </c>
    </row>
    <row r="323" customFormat="false" ht="15" hidden="false" customHeight="false" outlineLevel="0" collapsed="false">
      <c r="A323" s="61" t="s">
        <v>787</v>
      </c>
      <c r="B323" s="61" t="s">
        <v>106</v>
      </c>
      <c r="C323" s="61" t="s">
        <v>183</v>
      </c>
      <c r="D323" s="61" t="s">
        <v>222</v>
      </c>
      <c r="E323" s="61" t="s">
        <v>246</v>
      </c>
      <c r="F323" s="61" t="s">
        <v>1049</v>
      </c>
      <c r="G323" s="60" t="n">
        <v>46292</v>
      </c>
      <c r="H323" s="62" t="n">
        <v>-30</v>
      </c>
      <c r="I323" s="61" t="s">
        <v>4</v>
      </c>
      <c r="J323" s="60" t="n">
        <v>46292</v>
      </c>
      <c r="K323" s="61" t="s">
        <v>1320</v>
      </c>
      <c r="L323" s="62" t="n">
        <v>0</v>
      </c>
      <c r="M323" s="64" t="n">
        <v>0.631215277777778</v>
      </c>
      <c r="N323" s="61" t="s">
        <v>275</v>
      </c>
      <c r="O323" s="61" t="s">
        <v>1516</v>
      </c>
      <c r="P323" s="61" t="s">
        <v>788</v>
      </c>
      <c r="Q323" s="61" t="s">
        <v>789</v>
      </c>
      <c r="R323" s="62" t="n">
        <f aca="false">-H323</f>
        <v>30</v>
      </c>
    </row>
    <row r="324" customFormat="false" ht="15" hidden="false" customHeight="false" outlineLevel="0" collapsed="false">
      <c r="A324" s="61" t="s">
        <v>811</v>
      </c>
      <c r="B324" s="61" t="s">
        <v>106</v>
      </c>
      <c r="C324" s="61" t="s">
        <v>183</v>
      </c>
      <c r="D324" s="61" t="s">
        <v>222</v>
      </c>
      <c r="E324" s="61" t="s">
        <v>246</v>
      </c>
      <c r="F324" s="61" t="s">
        <v>1049</v>
      </c>
      <c r="G324" s="60" t="n">
        <v>46292</v>
      </c>
      <c r="H324" s="62" t="n">
        <v>-10</v>
      </c>
      <c r="I324" s="61" t="s">
        <v>4</v>
      </c>
      <c r="J324" s="60" t="n">
        <v>46292</v>
      </c>
      <c r="K324" s="61" t="s">
        <v>1320</v>
      </c>
      <c r="L324" s="62" t="n">
        <v>0</v>
      </c>
      <c r="M324" s="64" t="n">
        <v>0.631203703703704</v>
      </c>
      <c r="N324" s="61" t="s">
        <v>275</v>
      </c>
      <c r="O324" s="61" t="s">
        <v>1569</v>
      </c>
      <c r="P324" s="61" t="s">
        <v>812</v>
      </c>
      <c r="Q324" s="61" t="s">
        <v>813</v>
      </c>
      <c r="R324" s="62" t="n">
        <f aca="false">-H324</f>
        <v>10</v>
      </c>
    </row>
    <row r="325" customFormat="false" ht="15" hidden="false" customHeight="false" outlineLevel="0" collapsed="false">
      <c r="A325" s="61" t="s">
        <v>814</v>
      </c>
      <c r="B325" s="61" t="s">
        <v>106</v>
      </c>
      <c r="C325" s="61" t="s">
        <v>183</v>
      </c>
      <c r="D325" s="61" t="s">
        <v>222</v>
      </c>
      <c r="E325" s="61" t="s">
        <v>246</v>
      </c>
      <c r="F325" s="61" t="s">
        <v>1049</v>
      </c>
      <c r="G325" s="60" t="n">
        <v>46292</v>
      </c>
      <c r="H325" s="62" t="n">
        <v>-20</v>
      </c>
      <c r="I325" s="61" t="s">
        <v>4</v>
      </c>
      <c r="J325" s="60" t="n">
        <v>46292</v>
      </c>
      <c r="K325" s="61" t="s">
        <v>1320</v>
      </c>
      <c r="L325" s="62" t="n">
        <v>0</v>
      </c>
      <c r="M325" s="64" t="n">
        <v>0.631180555555556</v>
      </c>
      <c r="N325" s="61" t="s">
        <v>275</v>
      </c>
      <c r="O325" s="61" t="s">
        <v>1570</v>
      </c>
      <c r="P325" s="61" t="s">
        <v>815</v>
      </c>
      <c r="Q325" s="61" t="s">
        <v>816</v>
      </c>
      <c r="R325" s="62" t="n">
        <f aca="false">-H325</f>
        <v>20</v>
      </c>
    </row>
    <row r="326" customFormat="false" ht="15" hidden="false" customHeight="false" outlineLevel="0" collapsed="false">
      <c r="A326" s="61" t="s">
        <v>690</v>
      </c>
      <c r="B326" s="61" t="s">
        <v>106</v>
      </c>
      <c r="C326" s="61" t="s">
        <v>183</v>
      </c>
      <c r="D326" s="61" t="s">
        <v>222</v>
      </c>
      <c r="E326" s="61" t="s">
        <v>246</v>
      </c>
      <c r="F326" s="61" t="s">
        <v>1049</v>
      </c>
      <c r="G326" s="60" t="n">
        <v>46291</v>
      </c>
      <c r="H326" s="62" t="n">
        <v>-30</v>
      </c>
      <c r="I326" s="61" t="s">
        <v>4</v>
      </c>
      <c r="J326" s="60" t="n">
        <v>46292</v>
      </c>
      <c r="K326" s="61" t="s">
        <v>1320</v>
      </c>
      <c r="L326" s="62" t="n">
        <v>0</v>
      </c>
      <c r="M326" s="64" t="n">
        <v>0.0319675925925926</v>
      </c>
      <c r="N326" s="61" t="s">
        <v>269</v>
      </c>
      <c r="O326" s="61" t="s">
        <v>1571</v>
      </c>
      <c r="P326" s="61" t="s">
        <v>333</v>
      </c>
      <c r="Q326" s="61" t="s">
        <v>334</v>
      </c>
      <c r="R326" s="62" t="n">
        <f aca="false">-H326</f>
        <v>30</v>
      </c>
    </row>
    <row r="327" customFormat="false" ht="15" hidden="false" customHeight="false" outlineLevel="0" collapsed="false">
      <c r="A327" s="61" t="s">
        <v>691</v>
      </c>
      <c r="B327" s="61" t="s">
        <v>106</v>
      </c>
      <c r="C327" s="61" t="s">
        <v>183</v>
      </c>
      <c r="D327" s="61" t="s">
        <v>222</v>
      </c>
      <c r="E327" s="61" t="s">
        <v>246</v>
      </c>
      <c r="F327" s="61" t="s">
        <v>1049</v>
      </c>
      <c r="G327" s="60" t="n">
        <v>46291</v>
      </c>
      <c r="H327" s="62" t="n">
        <v>-150</v>
      </c>
      <c r="I327" s="61" t="s">
        <v>4</v>
      </c>
      <c r="J327" s="60" t="n">
        <v>46292</v>
      </c>
      <c r="K327" s="61" t="s">
        <v>1320</v>
      </c>
      <c r="L327" s="62" t="n">
        <v>0</v>
      </c>
      <c r="M327" s="64" t="n">
        <v>0.0323611111111111</v>
      </c>
      <c r="N327" s="61" t="s">
        <v>269</v>
      </c>
      <c r="O327" s="61" t="s">
        <v>1572</v>
      </c>
      <c r="P327" s="61" t="s">
        <v>546</v>
      </c>
      <c r="Q327" s="61" t="s">
        <v>547</v>
      </c>
      <c r="R327" s="62" t="n">
        <f aca="false">-H327</f>
        <v>150</v>
      </c>
    </row>
    <row r="328" customFormat="false" ht="15" hidden="false" customHeight="false" outlineLevel="0" collapsed="false">
      <c r="A328" s="61" t="s">
        <v>692</v>
      </c>
      <c r="B328" s="61" t="s">
        <v>106</v>
      </c>
      <c r="C328" s="61" t="s">
        <v>183</v>
      </c>
      <c r="D328" s="61" t="s">
        <v>222</v>
      </c>
      <c r="E328" s="61" t="s">
        <v>246</v>
      </c>
      <c r="F328" s="61" t="s">
        <v>1049</v>
      </c>
      <c r="G328" s="60" t="n">
        <v>46291</v>
      </c>
      <c r="H328" s="62" t="n">
        <v>-10</v>
      </c>
      <c r="I328" s="61" t="s">
        <v>4</v>
      </c>
      <c r="J328" s="60" t="n">
        <v>46292</v>
      </c>
      <c r="K328" s="61" t="s">
        <v>1320</v>
      </c>
      <c r="L328" s="62" t="n">
        <v>0</v>
      </c>
      <c r="M328" s="64" t="n">
        <v>0.0324305555555556</v>
      </c>
      <c r="N328" s="61" t="s">
        <v>269</v>
      </c>
      <c r="O328" s="61" t="s">
        <v>1573</v>
      </c>
      <c r="P328" s="61" t="s">
        <v>693</v>
      </c>
      <c r="Q328" s="61" t="s">
        <v>694</v>
      </c>
      <c r="R328" s="62" t="n">
        <f aca="false">-H328</f>
        <v>10</v>
      </c>
    </row>
    <row r="329" customFormat="false" ht="15" hidden="false" customHeight="false" outlineLevel="0" collapsed="false">
      <c r="A329" s="61" t="s">
        <v>1007</v>
      </c>
      <c r="B329" s="61" t="s">
        <v>110</v>
      </c>
      <c r="C329" s="61" t="s">
        <v>177</v>
      </c>
      <c r="D329" s="61" t="s">
        <v>119</v>
      </c>
      <c r="E329" s="61" t="s">
        <v>246</v>
      </c>
      <c r="F329" s="61" t="s">
        <v>1049</v>
      </c>
      <c r="G329" s="60" t="n">
        <v>46295</v>
      </c>
      <c r="H329" s="62" t="n">
        <v>-40.2</v>
      </c>
      <c r="I329" s="61" t="s">
        <v>4</v>
      </c>
      <c r="J329" s="60" t="n">
        <v>46296</v>
      </c>
      <c r="K329" s="61" t="s">
        <v>1320</v>
      </c>
      <c r="L329" s="62" t="n">
        <v>0</v>
      </c>
      <c r="M329" s="64" t="n">
        <v>0.0630902777777778</v>
      </c>
      <c r="N329" s="61" t="s">
        <v>269</v>
      </c>
      <c r="O329" s="61" t="s">
        <v>1552</v>
      </c>
      <c r="P329" s="61" t="s">
        <v>374</v>
      </c>
      <c r="Q329" s="61" t="s">
        <v>375</v>
      </c>
      <c r="R329" s="62" t="n">
        <f aca="false">-H329</f>
        <v>40.2</v>
      </c>
    </row>
    <row r="330" customFormat="false" ht="15" hidden="false" customHeight="false" outlineLevel="0" collapsed="false">
      <c r="A330" s="61" t="s">
        <v>997</v>
      </c>
      <c r="B330" s="61" t="s">
        <v>110</v>
      </c>
      <c r="C330" s="61" t="s">
        <v>177</v>
      </c>
      <c r="D330" s="61" t="s">
        <v>119</v>
      </c>
      <c r="E330" s="61" t="s">
        <v>246</v>
      </c>
      <c r="F330" s="61" t="s">
        <v>1049</v>
      </c>
      <c r="G330" s="60" t="n">
        <v>46295</v>
      </c>
      <c r="H330" s="62" t="n">
        <v>-20.1</v>
      </c>
      <c r="I330" s="61" t="s">
        <v>4</v>
      </c>
      <c r="J330" s="60" t="n">
        <v>46296</v>
      </c>
      <c r="K330" s="61" t="s">
        <v>1320</v>
      </c>
      <c r="L330" s="62" t="n">
        <v>0</v>
      </c>
      <c r="M330" s="64" t="n">
        <v>0.0645949074074074</v>
      </c>
      <c r="N330" s="61" t="s">
        <v>269</v>
      </c>
      <c r="O330" s="61" t="s">
        <v>1511</v>
      </c>
      <c r="P330" s="61" t="s">
        <v>362</v>
      </c>
      <c r="Q330" s="61" t="s">
        <v>363</v>
      </c>
      <c r="R330" s="62" t="n">
        <f aca="false">-H330</f>
        <v>20.1</v>
      </c>
    </row>
    <row r="331" customFormat="false" ht="15" hidden="false" customHeight="false" outlineLevel="0" collapsed="false">
      <c r="A331" s="61" t="s">
        <v>893</v>
      </c>
      <c r="B331" s="61" t="s">
        <v>110</v>
      </c>
      <c r="C331" s="61" t="s">
        <v>190</v>
      </c>
      <c r="D331" s="61" t="s">
        <v>119</v>
      </c>
      <c r="E331" s="61" t="s">
        <v>246</v>
      </c>
      <c r="F331" s="61" t="s">
        <v>1049</v>
      </c>
      <c r="G331" s="60" t="n">
        <v>46294</v>
      </c>
      <c r="H331" s="62" t="n">
        <v>-201</v>
      </c>
      <c r="I331" s="61" t="s">
        <v>4</v>
      </c>
      <c r="J331" s="60" t="n">
        <v>46295</v>
      </c>
      <c r="K331" s="61" t="s">
        <v>1320</v>
      </c>
      <c r="L331" s="62" t="n">
        <v>0</v>
      </c>
      <c r="M331" s="64" t="n">
        <v>0.00537037037037037</v>
      </c>
      <c r="N331" s="61" t="s">
        <v>250</v>
      </c>
      <c r="O331" s="61" t="s">
        <v>1556</v>
      </c>
      <c r="P331" s="61" t="s">
        <v>387</v>
      </c>
      <c r="Q331" s="61" t="s">
        <v>388</v>
      </c>
      <c r="R331" s="62" t="n">
        <f aca="false">-H331</f>
        <v>201</v>
      </c>
    </row>
    <row r="332" customFormat="false" ht="15" hidden="false" customHeight="false" outlineLevel="0" collapsed="false">
      <c r="A332" s="61" t="s">
        <v>850</v>
      </c>
      <c r="B332" s="61" t="s">
        <v>110</v>
      </c>
      <c r="C332" s="61" t="s">
        <v>177</v>
      </c>
      <c r="D332" s="61" t="s">
        <v>119</v>
      </c>
      <c r="E332" s="61" t="s">
        <v>246</v>
      </c>
      <c r="F332" s="61" t="s">
        <v>1049</v>
      </c>
      <c r="G332" s="60" t="n">
        <v>46294</v>
      </c>
      <c r="H332" s="62" t="n">
        <v>-120.6</v>
      </c>
      <c r="I332" s="61" t="s">
        <v>4</v>
      </c>
      <c r="J332" s="60" t="n">
        <v>46294</v>
      </c>
      <c r="K332" s="61" t="s">
        <v>1320</v>
      </c>
      <c r="L332" s="62" t="n">
        <v>0</v>
      </c>
      <c r="M332" s="64" t="n">
        <v>0.375914351851852</v>
      </c>
      <c r="N332" s="61" t="s">
        <v>250</v>
      </c>
      <c r="O332" s="61" t="s">
        <v>1355</v>
      </c>
      <c r="P332" s="61" t="s">
        <v>267</v>
      </c>
      <c r="Q332" s="61" t="s">
        <v>268</v>
      </c>
      <c r="R332" s="62" t="n">
        <f aca="false">-H332</f>
        <v>120.6</v>
      </c>
    </row>
    <row r="333" customFormat="false" ht="15" hidden="false" customHeight="false" outlineLevel="0" collapsed="false">
      <c r="A333" s="61" t="s">
        <v>904</v>
      </c>
      <c r="B333" s="61" t="s">
        <v>110</v>
      </c>
      <c r="C333" s="61" t="s">
        <v>177</v>
      </c>
      <c r="D333" s="61" t="s">
        <v>119</v>
      </c>
      <c r="E333" s="61" t="s">
        <v>246</v>
      </c>
      <c r="F333" s="61" t="s">
        <v>1049</v>
      </c>
      <c r="G333" s="60" t="n">
        <v>46294</v>
      </c>
      <c r="H333" s="62" t="n">
        <v>-20.1</v>
      </c>
      <c r="I333" s="61" t="s">
        <v>4</v>
      </c>
      <c r="J333" s="60" t="n">
        <v>46294</v>
      </c>
      <c r="K333" s="61" t="s">
        <v>1320</v>
      </c>
      <c r="L333" s="62" t="n">
        <v>0</v>
      </c>
      <c r="M333" s="64" t="n">
        <v>0.425902777777778</v>
      </c>
      <c r="N333" s="61" t="s">
        <v>250</v>
      </c>
      <c r="O333" s="61" t="s">
        <v>1574</v>
      </c>
      <c r="P333" s="61" t="s">
        <v>592</v>
      </c>
      <c r="Q333" s="61" t="s">
        <v>593</v>
      </c>
      <c r="R333" s="62" t="n">
        <f aca="false">-H333</f>
        <v>20.1</v>
      </c>
    </row>
    <row r="334" customFormat="false" ht="15" hidden="false" customHeight="false" outlineLevel="0" collapsed="false">
      <c r="A334" s="61" t="s">
        <v>847</v>
      </c>
      <c r="B334" s="61" t="s">
        <v>110</v>
      </c>
      <c r="C334" s="61" t="s">
        <v>162</v>
      </c>
      <c r="D334" s="61" t="s">
        <v>119</v>
      </c>
      <c r="E334" s="61" t="s">
        <v>254</v>
      </c>
      <c r="F334" s="61" t="s">
        <v>1049</v>
      </c>
      <c r="G334" s="60" t="n">
        <v>46293</v>
      </c>
      <c r="H334" s="62" t="n">
        <v>-60.3</v>
      </c>
      <c r="I334" s="61" t="s">
        <v>4</v>
      </c>
      <c r="J334" s="60" t="n">
        <v>46293</v>
      </c>
      <c r="K334" s="61" t="s">
        <v>1320</v>
      </c>
      <c r="L334" s="62" t="n">
        <v>0</v>
      </c>
      <c r="M334" s="64" t="n">
        <v>0.683865740740741</v>
      </c>
      <c r="N334" s="61" t="s">
        <v>258</v>
      </c>
      <c r="O334" s="61" t="s">
        <v>1575</v>
      </c>
      <c r="P334" s="61" t="s">
        <v>283</v>
      </c>
      <c r="Q334" s="61" t="s">
        <v>284</v>
      </c>
      <c r="R334" s="62" t="n">
        <f aca="false">-H334</f>
        <v>60.3</v>
      </c>
    </row>
    <row r="335" customFormat="false" ht="15" hidden="false" customHeight="false" outlineLevel="0" collapsed="false">
      <c r="A335" s="61" t="s">
        <v>722</v>
      </c>
      <c r="B335" s="61" t="s">
        <v>110</v>
      </c>
      <c r="C335" s="61" t="s">
        <v>190</v>
      </c>
      <c r="D335" s="61" t="s">
        <v>119</v>
      </c>
      <c r="E335" s="61" t="s">
        <v>246</v>
      </c>
      <c r="F335" s="61" t="s">
        <v>1049</v>
      </c>
      <c r="G335" s="60" t="n">
        <v>46292</v>
      </c>
      <c r="H335" s="62" t="n">
        <v>-40.2</v>
      </c>
      <c r="I335" s="61" t="s">
        <v>4</v>
      </c>
      <c r="J335" s="60" t="n">
        <v>46292</v>
      </c>
      <c r="K335" s="61" t="s">
        <v>1320</v>
      </c>
      <c r="L335" s="62" t="n">
        <v>0</v>
      </c>
      <c r="M335" s="64" t="n">
        <v>0.677465277777778</v>
      </c>
      <c r="N335" s="61" t="s">
        <v>275</v>
      </c>
      <c r="O335" s="61" t="s">
        <v>1361</v>
      </c>
      <c r="P335" s="61" t="s">
        <v>488</v>
      </c>
      <c r="Q335" s="61" t="s">
        <v>489</v>
      </c>
      <c r="R335" s="62" t="n">
        <f aca="false">-H335</f>
        <v>40.2</v>
      </c>
    </row>
    <row r="336" customFormat="false" ht="15" hidden="false" customHeight="false" outlineLevel="0" collapsed="false">
      <c r="A336" s="61" t="s">
        <v>817</v>
      </c>
      <c r="B336" s="61" t="s">
        <v>110</v>
      </c>
      <c r="C336" s="61" t="s">
        <v>177</v>
      </c>
      <c r="D336" s="61" t="s">
        <v>119</v>
      </c>
      <c r="E336" s="61" t="s">
        <v>246</v>
      </c>
      <c r="F336" s="61" t="s">
        <v>1049</v>
      </c>
      <c r="G336" s="60" t="n">
        <v>46292</v>
      </c>
      <c r="H336" s="62" t="n">
        <v>-201</v>
      </c>
      <c r="I336" s="61" t="s">
        <v>4</v>
      </c>
      <c r="J336" s="60" t="n">
        <v>46292</v>
      </c>
      <c r="K336" s="61" t="s">
        <v>1320</v>
      </c>
      <c r="L336" s="62" t="n">
        <v>0</v>
      </c>
      <c r="M336" s="64" t="n">
        <v>0.571354166666667</v>
      </c>
      <c r="N336" s="61" t="s">
        <v>275</v>
      </c>
      <c r="O336" s="61" t="s">
        <v>1576</v>
      </c>
      <c r="P336" s="61" t="s">
        <v>572</v>
      </c>
      <c r="Q336" s="61" t="s">
        <v>573</v>
      </c>
      <c r="R336" s="62" t="n">
        <f aca="false">-H336</f>
        <v>201</v>
      </c>
    </row>
    <row r="337" customFormat="false" ht="15" hidden="false" customHeight="false" outlineLevel="0" collapsed="false">
      <c r="A337" s="61" t="s">
        <v>818</v>
      </c>
      <c r="B337" s="61" t="s">
        <v>110</v>
      </c>
      <c r="C337" s="61" t="s">
        <v>177</v>
      </c>
      <c r="D337" s="61" t="s">
        <v>119</v>
      </c>
      <c r="E337" s="61" t="s">
        <v>246</v>
      </c>
      <c r="F337" s="61" t="s">
        <v>1049</v>
      </c>
      <c r="G337" s="60" t="n">
        <v>46292</v>
      </c>
      <c r="H337" s="62" t="n">
        <v>-40.2</v>
      </c>
      <c r="I337" s="61" t="s">
        <v>4</v>
      </c>
      <c r="J337" s="60" t="n">
        <v>46292</v>
      </c>
      <c r="K337" s="61" t="s">
        <v>1320</v>
      </c>
      <c r="L337" s="62" t="n">
        <v>0</v>
      </c>
      <c r="M337" s="64" t="n">
        <v>0.631412037037037</v>
      </c>
      <c r="N337" s="61" t="s">
        <v>275</v>
      </c>
      <c r="O337" s="61" t="s">
        <v>1577</v>
      </c>
      <c r="P337" s="61" t="s">
        <v>384</v>
      </c>
      <c r="Q337" s="61" t="s">
        <v>385</v>
      </c>
      <c r="R337" s="62" t="n">
        <f aca="false">-H337</f>
        <v>40.2</v>
      </c>
    </row>
    <row r="338" customFormat="false" ht="15" hidden="false" customHeight="false" outlineLevel="0" collapsed="false">
      <c r="A338" s="61" t="s">
        <v>805</v>
      </c>
      <c r="B338" s="61" t="s">
        <v>110</v>
      </c>
      <c r="C338" s="61" t="s">
        <v>190</v>
      </c>
      <c r="D338" s="61" t="s">
        <v>119</v>
      </c>
      <c r="E338" s="61" t="s">
        <v>246</v>
      </c>
      <c r="F338" s="61" t="s">
        <v>1049</v>
      </c>
      <c r="G338" s="60" t="n">
        <v>46292</v>
      </c>
      <c r="H338" s="62" t="n">
        <v>-40.2</v>
      </c>
      <c r="I338" s="61" t="s">
        <v>4</v>
      </c>
      <c r="J338" s="60" t="n">
        <v>46292</v>
      </c>
      <c r="K338" s="61" t="s">
        <v>1320</v>
      </c>
      <c r="L338" s="62" t="n">
        <v>0</v>
      </c>
      <c r="M338" s="64" t="n">
        <v>0.631354166666667</v>
      </c>
      <c r="N338" s="61" t="s">
        <v>275</v>
      </c>
      <c r="O338" s="61" t="s">
        <v>1567</v>
      </c>
      <c r="P338" s="61" t="s">
        <v>806</v>
      </c>
      <c r="Q338" s="61" t="s">
        <v>807</v>
      </c>
      <c r="R338" s="62" t="n">
        <f aca="false">-H338</f>
        <v>40.2</v>
      </c>
    </row>
    <row r="339" customFormat="false" ht="15" hidden="false" customHeight="false" outlineLevel="0" collapsed="false">
      <c r="A339" s="61" t="s">
        <v>703</v>
      </c>
      <c r="B339" s="61" t="s">
        <v>110</v>
      </c>
      <c r="C339" s="61" t="s">
        <v>190</v>
      </c>
      <c r="D339" s="61" t="s">
        <v>119</v>
      </c>
      <c r="E339" s="61" t="s">
        <v>246</v>
      </c>
      <c r="F339" s="61" t="s">
        <v>1049</v>
      </c>
      <c r="G339" s="60" t="n">
        <v>46292</v>
      </c>
      <c r="H339" s="62" t="n">
        <v>-20.1</v>
      </c>
      <c r="I339" s="61" t="s">
        <v>4</v>
      </c>
      <c r="J339" s="60" t="n">
        <v>46292</v>
      </c>
      <c r="K339" s="61" t="s">
        <v>1320</v>
      </c>
      <c r="L339" s="62" t="n">
        <v>0</v>
      </c>
      <c r="M339" s="64" t="n">
        <v>0.631296296296296</v>
      </c>
      <c r="N339" s="61" t="s">
        <v>275</v>
      </c>
      <c r="O339" s="61" t="s">
        <v>1327</v>
      </c>
      <c r="P339" s="61" t="s">
        <v>365</v>
      </c>
      <c r="Q339" s="61" t="s">
        <v>366</v>
      </c>
      <c r="R339" s="62" t="n">
        <f aca="false">-H339</f>
        <v>20.1</v>
      </c>
    </row>
    <row r="340" customFormat="false" ht="15" hidden="false" customHeight="false" outlineLevel="0" collapsed="false">
      <c r="A340" s="61" t="s">
        <v>657</v>
      </c>
      <c r="B340" s="61" t="s">
        <v>110</v>
      </c>
      <c r="C340" s="61" t="s">
        <v>193</v>
      </c>
      <c r="D340" s="61" t="s">
        <v>119</v>
      </c>
      <c r="E340" s="61" t="s">
        <v>246</v>
      </c>
      <c r="F340" s="61" t="s">
        <v>1049</v>
      </c>
      <c r="G340" s="60" t="n">
        <v>46291</v>
      </c>
      <c r="H340" s="62" t="n">
        <v>-402</v>
      </c>
      <c r="I340" s="61" t="s">
        <v>4</v>
      </c>
      <c r="J340" s="60" t="n">
        <v>46291</v>
      </c>
      <c r="K340" s="61" t="s">
        <v>1320</v>
      </c>
      <c r="L340" s="62" t="n">
        <v>0</v>
      </c>
      <c r="M340" s="64" t="n">
        <v>0.518101851851852</v>
      </c>
      <c r="N340" s="61" t="s">
        <v>275</v>
      </c>
      <c r="O340" s="61" t="s">
        <v>1333</v>
      </c>
      <c r="P340" s="61" t="s">
        <v>387</v>
      </c>
      <c r="Q340" s="61" t="s">
        <v>388</v>
      </c>
      <c r="R340" s="62" t="n">
        <f aca="false">-H340</f>
        <v>402</v>
      </c>
    </row>
    <row r="341" customFormat="false" ht="15" hidden="false" customHeight="false" outlineLevel="0" collapsed="false">
      <c r="A341" s="61" t="s">
        <v>620</v>
      </c>
      <c r="B341" s="61" t="s">
        <v>110</v>
      </c>
      <c r="C341" s="61" t="s">
        <v>193</v>
      </c>
      <c r="D341" s="61" t="s">
        <v>119</v>
      </c>
      <c r="E341" s="61" t="s">
        <v>246</v>
      </c>
      <c r="F341" s="61" t="s">
        <v>1049</v>
      </c>
      <c r="G341" s="60" t="n">
        <v>46289</v>
      </c>
      <c r="H341" s="62" t="n">
        <v>-20.1</v>
      </c>
      <c r="I341" s="61" t="s">
        <v>4</v>
      </c>
      <c r="J341" s="60" t="n">
        <v>46289</v>
      </c>
      <c r="K341" s="61" t="s">
        <v>1320</v>
      </c>
      <c r="L341" s="62" t="n">
        <v>0</v>
      </c>
      <c r="M341" s="64" t="n">
        <v>0.528634259259259</v>
      </c>
      <c r="N341" s="61" t="s">
        <v>338</v>
      </c>
      <c r="O341" s="61" t="s">
        <v>1578</v>
      </c>
      <c r="P341" s="61" t="s">
        <v>621</v>
      </c>
      <c r="Q341" s="61" t="s">
        <v>622</v>
      </c>
      <c r="R341" s="62" t="n">
        <f aca="false">-H341</f>
        <v>20.1</v>
      </c>
    </row>
    <row r="342" customFormat="false" ht="15" hidden="false" customHeight="false" outlineLevel="0" collapsed="false">
      <c r="A342" s="61" t="s">
        <v>555</v>
      </c>
      <c r="B342" s="61" t="s">
        <v>110</v>
      </c>
      <c r="C342" s="61" t="s">
        <v>162</v>
      </c>
      <c r="D342" s="61" t="s">
        <v>119</v>
      </c>
      <c r="E342" s="61" t="s">
        <v>254</v>
      </c>
      <c r="F342" s="61" t="s">
        <v>1049</v>
      </c>
      <c r="G342" s="60" t="n">
        <v>46287</v>
      </c>
      <c r="H342" s="62" t="n">
        <v>-20.1</v>
      </c>
      <c r="I342" s="61" t="s">
        <v>4</v>
      </c>
      <c r="J342" s="60" t="n">
        <v>46287</v>
      </c>
      <c r="K342" s="61" t="s">
        <v>1320</v>
      </c>
      <c r="L342" s="62" t="n">
        <v>0</v>
      </c>
      <c r="M342" s="64" t="n">
        <v>0.901388888888889</v>
      </c>
      <c r="N342" s="61" t="s">
        <v>258</v>
      </c>
      <c r="O342" s="61" t="s">
        <v>1371</v>
      </c>
      <c r="P342" s="61" t="s">
        <v>263</v>
      </c>
      <c r="Q342" s="61" t="s">
        <v>264</v>
      </c>
      <c r="R342" s="62" t="n">
        <f aca="false">-H342</f>
        <v>20.1</v>
      </c>
    </row>
    <row r="343" customFormat="false" ht="15" hidden="false" customHeight="false" outlineLevel="0" collapsed="false">
      <c r="A343" s="61" t="s">
        <v>552</v>
      </c>
      <c r="B343" s="61" t="s">
        <v>110</v>
      </c>
      <c r="C343" s="61" t="s">
        <v>162</v>
      </c>
      <c r="D343" s="61" t="s">
        <v>119</v>
      </c>
      <c r="E343" s="61" t="s">
        <v>254</v>
      </c>
      <c r="F343" s="61" t="s">
        <v>1049</v>
      </c>
      <c r="G343" s="60" t="n">
        <v>46286</v>
      </c>
      <c r="H343" s="62" t="n">
        <v>-40.2</v>
      </c>
      <c r="I343" s="61" t="s">
        <v>4</v>
      </c>
      <c r="J343" s="60" t="n">
        <v>46286</v>
      </c>
      <c r="K343" s="61" t="s">
        <v>1320</v>
      </c>
      <c r="L343" s="62" t="n">
        <v>0</v>
      </c>
      <c r="M343" s="64" t="n">
        <v>0.71025462962963</v>
      </c>
      <c r="N343" s="61" t="s">
        <v>258</v>
      </c>
      <c r="O343" s="61" t="s">
        <v>1579</v>
      </c>
      <c r="P343" s="61" t="s">
        <v>553</v>
      </c>
      <c r="Q343" s="61" t="s">
        <v>554</v>
      </c>
      <c r="R343" s="62" t="n">
        <f aca="false">-H343</f>
        <v>40.2</v>
      </c>
    </row>
    <row r="344" customFormat="false" ht="15" hidden="false" customHeight="false" outlineLevel="0" collapsed="false">
      <c r="A344" s="61" t="s">
        <v>524</v>
      </c>
      <c r="B344" s="61" t="s">
        <v>110</v>
      </c>
      <c r="C344" s="61" t="s">
        <v>177</v>
      </c>
      <c r="D344" s="61" t="s">
        <v>119</v>
      </c>
      <c r="E344" s="61" t="s">
        <v>246</v>
      </c>
      <c r="F344" s="61" t="s">
        <v>1049</v>
      </c>
      <c r="G344" s="60" t="n">
        <v>46285</v>
      </c>
      <c r="H344" s="62" t="n">
        <v>-20.1</v>
      </c>
      <c r="I344" s="61" t="s">
        <v>4</v>
      </c>
      <c r="J344" s="60" t="n">
        <v>46285</v>
      </c>
      <c r="K344" s="61" t="s">
        <v>1320</v>
      </c>
      <c r="L344" s="62" t="n">
        <v>0</v>
      </c>
      <c r="M344" s="64" t="n">
        <v>0.305150462962963</v>
      </c>
      <c r="N344" s="61" t="s">
        <v>269</v>
      </c>
      <c r="O344" s="61" t="s">
        <v>1580</v>
      </c>
      <c r="P344" s="61" t="s">
        <v>509</v>
      </c>
      <c r="Q344" s="61" t="s">
        <v>510</v>
      </c>
      <c r="R344" s="62" t="n">
        <f aca="false">-H344</f>
        <v>20.1</v>
      </c>
    </row>
    <row r="345" customFormat="false" ht="15" hidden="false" customHeight="false" outlineLevel="0" collapsed="false">
      <c r="A345" s="61" t="s">
        <v>525</v>
      </c>
      <c r="B345" s="61" t="s">
        <v>110</v>
      </c>
      <c r="C345" s="61" t="s">
        <v>177</v>
      </c>
      <c r="D345" s="61" t="s">
        <v>119</v>
      </c>
      <c r="E345" s="61" t="s">
        <v>246</v>
      </c>
      <c r="F345" s="61" t="s">
        <v>1049</v>
      </c>
      <c r="G345" s="60" t="n">
        <v>46285</v>
      </c>
      <c r="H345" s="62" t="n">
        <v>-20.1</v>
      </c>
      <c r="I345" s="61" t="s">
        <v>4</v>
      </c>
      <c r="J345" s="60" t="n">
        <v>46285</v>
      </c>
      <c r="K345" s="61" t="s">
        <v>1320</v>
      </c>
      <c r="L345" s="62" t="n">
        <v>0</v>
      </c>
      <c r="M345" s="64" t="n">
        <v>0.692569444444445</v>
      </c>
      <c r="N345" s="61" t="s">
        <v>523</v>
      </c>
      <c r="O345" s="61" t="s">
        <v>1581</v>
      </c>
      <c r="P345" s="61" t="s">
        <v>526</v>
      </c>
      <c r="Q345" s="61" t="s">
        <v>527</v>
      </c>
      <c r="R345" s="62" t="n">
        <f aca="false">-H345</f>
        <v>20.1</v>
      </c>
    </row>
    <row r="346" customFormat="false" ht="15" hidden="false" customHeight="false" outlineLevel="0" collapsed="false">
      <c r="A346" s="61" t="s">
        <v>455</v>
      </c>
      <c r="B346" s="61" t="s">
        <v>110</v>
      </c>
      <c r="C346" s="61" t="s">
        <v>162</v>
      </c>
      <c r="D346" s="61" t="s">
        <v>119</v>
      </c>
      <c r="E346" s="61" t="s">
        <v>254</v>
      </c>
      <c r="F346" s="61" t="s">
        <v>1049</v>
      </c>
      <c r="G346" s="60" t="n">
        <v>46282</v>
      </c>
      <c r="H346" s="62" t="n">
        <v>-40.2</v>
      </c>
      <c r="I346" s="61" t="s">
        <v>4</v>
      </c>
      <c r="J346" s="60" t="n">
        <v>46282</v>
      </c>
      <c r="K346" s="61" t="s">
        <v>1320</v>
      </c>
      <c r="L346" s="62" t="n">
        <v>0</v>
      </c>
      <c r="M346" s="64" t="n">
        <v>0.945543981481481</v>
      </c>
      <c r="N346" s="61" t="s">
        <v>258</v>
      </c>
      <c r="O346" s="61" t="s">
        <v>1582</v>
      </c>
      <c r="P346" s="61" t="s">
        <v>456</v>
      </c>
      <c r="Q346" s="61" t="s">
        <v>457</v>
      </c>
      <c r="R346" s="62" t="n">
        <f aca="false">-H346</f>
        <v>40.2</v>
      </c>
    </row>
    <row r="347" customFormat="false" ht="15" hidden="false" customHeight="false" outlineLevel="0" collapsed="false">
      <c r="A347" s="61" t="s">
        <v>458</v>
      </c>
      <c r="B347" s="61" t="s">
        <v>110</v>
      </c>
      <c r="C347" s="61" t="s">
        <v>162</v>
      </c>
      <c r="D347" s="61" t="s">
        <v>119</v>
      </c>
      <c r="E347" s="61" t="s">
        <v>254</v>
      </c>
      <c r="F347" s="61" t="s">
        <v>1049</v>
      </c>
      <c r="G347" s="60" t="n">
        <v>46282</v>
      </c>
      <c r="H347" s="62" t="n">
        <v>-40.2</v>
      </c>
      <c r="I347" s="61" t="s">
        <v>4</v>
      </c>
      <c r="J347" s="60" t="n">
        <v>46282</v>
      </c>
      <c r="K347" s="61" t="s">
        <v>1320</v>
      </c>
      <c r="L347" s="62" t="n">
        <v>0</v>
      </c>
      <c r="M347" s="64" t="n">
        <v>0.945462962962963</v>
      </c>
      <c r="N347" s="61" t="s">
        <v>258</v>
      </c>
      <c r="O347" s="61" t="s">
        <v>1583</v>
      </c>
      <c r="P347" s="61" t="s">
        <v>283</v>
      </c>
      <c r="Q347" s="61" t="s">
        <v>284</v>
      </c>
      <c r="R347" s="62" t="n">
        <f aca="false">-H347</f>
        <v>40.2</v>
      </c>
    </row>
    <row r="348" customFormat="false" ht="15" hidden="false" customHeight="false" outlineLevel="0" collapsed="false">
      <c r="A348" s="61" t="s">
        <v>459</v>
      </c>
      <c r="B348" s="61" t="s">
        <v>110</v>
      </c>
      <c r="C348" s="61" t="s">
        <v>162</v>
      </c>
      <c r="D348" s="61" t="s">
        <v>119</v>
      </c>
      <c r="E348" s="61" t="s">
        <v>254</v>
      </c>
      <c r="F348" s="61" t="s">
        <v>1049</v>
      </c>
      <c r="G348" s="60" t="n">
        <v>46282</v>
      </c>
      <c r="H348" s="62" t="n">
        <v>-80.4</v>
      </c>
      <c r="I348" s="61" t="s">
        <v>4</v>
      </c>
      <c r="J348" s="60" t="n">
        <v>46282</v>
      </c>
      <c r="K348" s="61" t="s">
        <v>1320</v>
      </c>
      <c r="L348" s="62" t="n">
        <v>0</v>
      </c>
      <c r="M348" s="64" t="n">
        <v>0.945277777777778</v>
      </c>
      <c r="N348" s="61" t="s">
        <v>258</v>
      </c>
      <c r="O348" s="61" t="s">
        <v>1584</v>
      </c>
      <c r="P348" s="61" t="s">
        <v>460</v>
      </c>
      <c r="Q348" s="61" t="s">
        <v>461</v>
      </c>
      <c r="R348" s="62" t="n">
        <f aca="false">-H348</f>
        <v>80.4</v>
      </c>
    </row>
    <row r="349" customFormat="false" ht="15" hidden="false" customHeight="false" outlineLevel="0" collapsed="false">
      <c r="A349" s="61" t="s">
        <v>403</v>
      </c>
      <c r="B349" s="61" t="s">
        <v>110</v>
      </c>
      <c r="C349" s="61" t="s">
        <v>162</v>
      </c>
      <c r="D349" s="61" t="s">
        <v>119</v>
      </c>
      <c r="E349" s="61" t="s">
        <v>254</v>
      </c>
      <c r="F349" s="61" t="s">
        <v>1049</v>
      </c>
      <c r="G349" s="60" t="n">
        <v>46280</v>
      </c>
      <c r="H349" s="62" t="n">
        <v>-20.1</v>
      </c>
      <c r="I349" s="61" t="s">
        <v>4</v>
      </c>
      <c r="J349" s="60" t="n">
        <v>46280</v>
      </c>
      <c r="K349" s="61" t="s">
        <v>1320</v>
      </c>
      <c r="L349" s="62" t="n">
        <v>0</v>
      </c>
      <c r="M349" s="64" t="n">
        <v>0.911099537037037</v>
      </c>
      <c r="N349" s="61" t="s">
        <v>258</v>
      </c>
      <c r="O349" s="61" t="s">
        <v>1542</v>
      </c>
      <c r="P349" s="61" t="s">
        <v>404</v>
      </c>
      <c r="Q349" s="61" t="s">
        <v>405</v>
      </c>
      <c r="R349" s="62" t="n">
        <f aca="false">-H349</f>
        <v>20.1</v>
      </c>
    </row>
    <row r="350" customFormat="false" ht="15" hidden="false" customHeight="false" outlineLevel="0" collapsed="false">
      <c r="A350" s="61" t="s">
        <v>332</v>
      </c>
      <c r="B350" s="61" t="s">
        <v>110</v>
      </c>
      <c r="C350" s="61" t="s">
        <v>177</v>
      </c>
      <c r="D350" s="61" t="s">
        <v>119</v>
      </c>
      <c r="E350" s="61" t="s">
        <v>246</v>
      </c>
      <c r="F350" s="61" t="s">
        <v>1049</v>
      </c>
      <c r="G350" s="60" t="n">
        <v>46277</v>
      </c>
      <c r="H350" s="62" t="n">
        <v>-20.1</v>
      </c>
      <c r="I350" s="61" t="s">
        <v>4</v>
      </c>
      <c r="J350" s="60" t="n">
        <v>46278</v>
      </c>
      <c r="K350" s="61" t="s">
        <v>1320</v>
      </c>
      <c r="L350" s="62" t="n">
        <v>0</v>
      </c>
      <c r="M350" s="64" t="n">
        <v>0.103831018518519</v>
      </c>
      <c r="N350" s="61" t="s">
        <v>250</v>
      </c>
      <c r="O350" s="61" t="s">
        <v>1585</v>
      </c>
      <c r="P350" s="61" t="s">
        <v>333</v>
      </c>
      <c r="Q350" s="61" t="s">
        <v>334</v>
      </c>
      <c r="R350" s="62" t="n">
        <f aca="false">-H350</f>
        <v>20.1</v>
      </c>
    </row>
    <row r="351" customFormat="false" ht="15" hidden="false" customHeight="false" outlineLevel="0" collapsed="false">
      <c r="A351" s="61" t="s">
        <v>320</v>
      </c>
      <c r="B351" s="61" t="s">
        <v>110</v>
      </c>
      <c r="C351" s="61" t="s">
        <v>177</v>
      </c>
      <c r="D351" s="61" t="s">
        <v>119</v>
      </c>
      <c r="E351" s="61" t="s">
        <v>246</v>
      </c>
      <c r="F351" s="61" t="s">
        <v>1049</v>
      </c>
      <c r="G351" s="60" t="n">
        <v>46277</v>
      </c>
      <c r="H351" s="62" t="n">
        <v>-20.1</v>
      </c>
      <c r="I351" s="61" t="s">
        <v>4</v>
      </c>
      <c r="J351" s="60" t="n">
        <v>46278</v>
      </c>
      <c r="K351" s="61" t="s">
        <v>1320</v>
      </c>
      <c r="L351" s="62" t="n">
        <v>0</v>
      </c>
      <c r="M351" s="64" t="n">
        <v>0.103842592592593</v>
      </c>
      <c r="N351" s="61" t="s">
        <v>250</v>
      </c>
      <c r="O351" s="61" t="s">
        <v>1428</v>
      </c>
      <c r="P351" s="61" t="s">
        <v>321</v>
      </c>
      <c r="Q351" s="61" t="s">
        <v>322</v>
      </c>
      <c r="R351" s="62" t="n">
        <f aca="false">-H351</f>
        <v>20.1</v>
      </c>
    </row>
    <row r="352" customFormat="false" ht="15" hidden="false" customHeight="false" outlineLevel="0" collapsed="false">
      <c r="A352" s="61" t="s">
        <v>316</v>
      </c>
      <c r="B352" s="61" t="s">
        <v>110</v>
      </c>
      <c r="C352" s="61" t="s">
        <v>162</v>
      </c>
      <c r="D352" s="61" t="s">
        <v>119</v>
      </c>
      <c r="E352" s="61" t="s">
        <v>254</v>
      </c>
      <c r="F352" s="61" t="s">
        <v>1049</v>
      </c>
      <c r="G352" s="60" t="n">
        <v>46276</v>
      </c>
      <c r="H352" s="62" t="n">
        <v>-241.2</v>
      </c>
      <c r="I352" s="61" t="s">
        <v>4</v>
      </c>
      <c r="J352" s="60" t="n">
        <v>46276</v>
      </c>
      <c r="K352" s="61" t="s">
        <v>1320</v>
      </c>
      <c r="L352" s="62" t="n">
        <v>0</v>
      </c>
      <c r="M352" s="64" t="n">
        <v>0.84462962962963</v>
      </c>
      <c r="N352" s="61" t="s">
        <v>319</v>
      </c>
      <c r="O352" s="61" t="s">
        <v>1586</v>
      </c>
      <c r="P352" s="61" t="s">
        <v>317</v>
      </c>
      <c r="Q352" s="61" t="s">
        <v>318</v>
      </c>
      <c r="R352" s="62" t="n">
        <f aca="false">-H352</f>
        <v>241.2</v>
      </c>
    </row>
    <row r="353" customFormat="false" ht="15" hidden="false" customHeight="false" outlineLevel="0" collapsed="false">
      <c r="A353" s="61" t="s">
        <v>316</v>
      </c>
      <c r="B353" s="61" t="s">
        <v>110</v>
      </c>
      <c r="C353" s="61" t="s">
        <v>162</v>
      </c>
      <c r="D353" s="61" t="s">
        <v>119</v>
      </c>
      <c r="E353" s="61" t="s">
        <v>254</v>
      </c>
      <c r="F353" s="61" t="s">
        <v>1049</v>
      </c>
      <c r="G353" s="60" t="n">
        <v>46276</v>
      </c>
      <c r="H353" s="62" t="n">
        <v>-241.2</v>
      </c>
      <c r="I353" s="61" t="s">
        <v>4</v>
      </c>
      <c r="J353" s="60" t="n">
        <v>46276</v>
      </c>
      <c r="K353" s="61" t="s">
        <v>1320</v>
      </c>
      <c r="L353" s="62" t="n">
        <v>0</v>
      </c>
      <c r="M353" s="64" t="n">
        <v>0.84462962962963</v>
      </c>
      <c r="N353" s="61" t="s">
        <v>319</v>
      </c>
      <c r="O353" s="61" t="s">
        <v>1586</v>
      </c>
      <c r="P353" s="61" t="s">
        <v>317</v>
      </c>
      <c r="Q353" s="61" t="s">
        <v>318</v>
      </c>
      <c r="R353" s="62" t="n">
        <f aca="false">-H353</f>
        <v>241.2</v>
      </c>
    </row>
    <row r="354" customFormat="false" ht="15" hidden="false" customHeight="false" outlineLevel="0" collapsed="false">
      <c r="A354" s="61" t="s">
        <v>279</v>
      </c>
      <c r="B354" s="61" t="s">
        <v>110</v>
      </c>
      <c r="C354" s="61" t="s">
        <v>177</v>
      </c>
      <c r="D354" s="61" t="s">
        <v>119</v>
      </c>
      <c r="E354" s="61" t="s">
        <v>246</v>
      </c>
      <c r="F354" s="61" t="s">
        <v>1049</v>
      </c>
      <c r="G354" s="60" t="n">
        <v>46275</v>
      </c>
      <c r="H354" s="62" t="n">
        <v>-40.2</v>
      </c>
      <c r="I354" s="61" t="s">
        <v>4</v>
      </c>
      <c r="J354" s="60" t="n">
        <v>46276</v>
      </c>
      <c r="K354" s="61" t="s">
        <v>1320</v>
      </c>
      <c r="L354" s="62" t="n">
        <v>0</v>
      </c>
      <c r="M354" s="64" t="n">
        <v>0.0146412037037037</v>
      </c>
      <c r="N354" s="61" t="s">
        <v>269</v>
      </c>
      <c r="O354" s="61" t="s">
        <v>1587</v>
      </c>
      <c r="P354" s="61" t="s">
        <v>280</v>
      </c>
      <c r="Q354" s="61" t="s">
        <v>281</v>
      </c>
      <c r="R354" s="62" t="n">
        <f aca="false">-H354</f>
        <v>40.2</v>
      </c>
    </row>
    <row r="355" customFormat="false" ht="15" hidden="false" customHeight="false" outlineLevel="0" collapsed="false">
      <c r="A355" s="61" t="s">
        <v>282</v>
      </c>
      <c r="B355" s="61" t="s">
        <v>110</v>
      </c>
      <c r="C355" s="61" t="s">
        <v>162</v>
      </c>
      <c r="D355" s="61" t="s">
        <v>119</v>
      </c>
      <c r="E355" s="61" t="s">
        <v>254</v>
      </c>
      <c r="F355" s="61" t="s">
        <v>1049</v>
      </c>
      <c r="G355" s="60" t="n">
        <v>46275</v>
      </c>
      <c r="H355" s="62" t="n">
        <v>-60.3</v>
      </c>
      <c r="I355" s="61" t="s">
        <v>4</v>
      </c>
      <c r="J355" s="60" t="n">
        <v>46275</v>
      </c>
      <c r="K355" s="61" t="s">
        <v>1320</v>
      </c>
      <c r="L355" s="62" t="n">
        <v>0</v>
      </c>
      <c r="M355" s="64" t="n">
        <v>0.94900462962963</v>
      </c>
      <c r="N355" s="61" t="s">
        <v>258</v>
      </c>
      <c r="O355" s="61" t="s">
        <v>1588</v>
      </c>
      <c r="P355" s="61" t="s">
        <v>283</v>
      </c>
      <c r="Q355" s="61" t="s">
        <v>284</v>
      </c>
      <c r="R355" s="62" t="n">
        <f aca="false">-H355</f>
        <v>60.3</v>
      </c>
    </row>
    <row r="356" customFormat="false" ht="15" hidden="false" customHeight="false" outlineLevel="0" collapsed="false">
      <c r="A356" s="61" t="s">
        <v>285</v>
      </c>
      <c r="B356" s="61" t="s">
        <v>110</v>
      </c>
      <c r="C356" s="61" t="s">
        <v>162</v>
      </c>
      <c r="D356" s="61" t="s">
        <v>119</v>
      </c>
      <c r="E356" s="61" t="s">
        <v>254</v>
      </c>
      <c r="F356" s="61" t="s">
        <v>1049</v>
      </c>
      <c r="G356" s="60" t="n">
        <v>46275</v>
      </c>
      <c r="H356" s="62" t="n">
        <v>-80.4</v>
      </c>
      <c r="I356" s="61" t="s">
        <v>4</v>
      </c>
      <c r="J356" s="60" t="n">
        <v>46275</v>
      </c>
      <c r="K356" s="61" t="s">
        <v>1320</v>
      </c>
      <c r="L356" s="62" t="n">
        <v>0</v>
      </c>
      <c r="M356" s="64" t="n">
        <v>0.912152777777778</v>
      </c>
      <c r="N356" s="61" t="s">
        <v>258</v>
      </c>
      <c r="O356" s="61" t="s">
        <v>1589</v>
      </c>
      <c r="P356" s="61" t="s">
        <v>286</v>
      </c>
      <c r="Q356" s="61" t="s">
        <v>287</v>
      </c>
      <c r="R356" s="62" t="n">
        <f aca="false">-H356</f>
        <v>80.4</v>
      </c>
    </row>
    <row r="357" customFormat="false" ht="15" hidden="false" customHeight="false" outlineLevel="0" collapsed="false">
      <c r="A357" s="61" t="s">
        <v>1032</v>
      </c>
      <c r="B357" s="61" t="s">
        <v>122</v>
      </c>
      <c r="C357" s="61" t="s">
        <v>197</v>
      </c>
      <c r="D357" s="61" t="s">
        <v>223</v>
      </c>
      <c r="E357" s="61" t="s">
        <v>246</v>
      </c>
      <c r="F357" s="61" t="s">
        <v>1049</v>
      </c>
      <c r="G357" s="60" t="n">
        <v>46296</v>
      </c>
      <c r="H357" s="62" t="n">
        <v>-306</v>
      </c>
      <c r="I357" s="61" t="s">
        <v>4</v>
      </c>
      <c r="J357" s="60" t="n">
        <v>46296</v>
      </c>
      <c r="K357" s="61" t="s">
        <v>1320</v>
      </c>
      <c r="L357" s="62" t="n">
        <v>0</v>
      </c>
      <c r="M357" s="64" t="n">
        <v>0.321967592592593</v>
      </c>
      <c r="N357" s="61" t="s">
        <v>474</v>
      </c>
      <c r="O357" s="61" t="s">
        <v>1590</v>
      </c>
      <c r="P357" s="61" t="s">
        <v>1033</v>
      </c>
      <c r="Q357" s="61" t="s">
        <v>1034</v>
      </c>
      <c r="R357" s="62" t="n">
        <f aca="false">-H357</f>
        <v>306</v>
      </c>
    </row>
    <row r="358" customFormat="false" ht="15" hidden="false" customHeight="false" outlineLevel="0" collapsed="false">
      <c r="A358" s="61" t="s">
        <v>1013</v>
      </c>
      <c r="B358" s="61" t="s">
        <v>135</v>
      </c>
      <c r="C358" s="61" t="s">
        <v>203</v>
      </c>
      <c r="D358" s="61" t="s">
        <v>224</v>
      </c>
      <c r="E358" s="61" t="s">
        <v>246</v>
      </c>
      <c r="F358" s="61" t="s">
        <v>1049</v>
      </c>
      <c r="G358" s="60" t="n">
        <v>46295</v>
      </c>
      <c r="H358" s="62" t="n">
        <v>-25</v>
      </c>
      <c r="I358" s="61" t="s">
        <v>4</v>
      </c>
      <c r="J358" s="60" t="n">
        <v>46296</v>
      </c>
      <c r="K358" s="61" t="s">
        <v>1320</v>
      </c>
      <c r="L358" s="62" t="n">
        <v>0</v>
      </c>
      <c r="M358" s="64" t="n">
        <v>0.0633912037037037</v>
      </c>
      <c r="N358" s="61" t="s">
        <v>269</v>
      </c>
      <c r="O358" s="61" t="s">
        <v>1591</v>
      </c>
      <c r="P358" s="61" t="s">
        <v>1014</v>
      </c>
      <c r="Q358" s="61" t="s">
        <v>1015</v>
      </c>
      <c r="R358" s="62" t="n">
        <f aca="false">-H358</f>
        <v>25</v>
      </c>
    </row>
    <row r="359" customFormat="false" ht="15" hidden="false" customHeight="false" outlineLevel="0" collapsed="false">
      <c r="A359" s="61" t="s">
        <v>903</v>
      </c>
      <c r="B359" s="61" t="s">
        <v>135</v>
      </c>
      <c r="C359" s="61" t="s">
        <v>203</v>
      </c>
      <c r="D359" s="61" t="s">
        <v>224</v>
      </c>
      <c r="E359" s="61" t="s">
        <v>246</v>
      </c>
      <c r="F359" s="61" t="s">
        <v>1049</v>
      </c>
      <c r="G359" s="60" t="n">
        <v>46294</v>
      </c>
      <c r="H359" s="62" t="n">
        <v>-25</v>
      </c>
      <c r="I359" s="61" t="s">
        <v>4</v>
      </c>
      <c r="J359" s="60" t="n">
        <v>46294</v>
      </c>
      <c r="K359" s="61" t="s">
        <v>1320</v>
      </c>
      <c r="L359" s="62" t="n">
        <v>0</v>
      </c>
      <c r="M359" s="64" t="n">
        <v>0.588020833333333</v>
      </c>
      <c r="N359" s="61" t="s">
        <v>338</v>
      </c>
      <c r="O359" s="61" t="s">
        <v>1562</v>
      </c>
      <c r="P359" s="61" t="s">
        <v>546</v>
      </c>
      <c r="Q359" s="61" t="s">
        <v>547</v>
      </c>
      <c r="R359" s="62" t="n">
        <f aca="false">-H359</f>
        <v>25</v>
      </c>
    </row>
    <row r="360" customFormat="false" ht="15" hidden="false" customHeight="false" outlineLevel="0" collapsed="false">
      <c r="A360" s="61" t="s">
        <v>1016</v>
      </c>
      <c r="B360" s="61" t="s">
        <v>131</v>
      </c>
      <c r="C360" s="61" t="s">
        <v>205</v>
      </c>
      <c r="D360" s="61" t="s">
        <v>132</v>
      </c>
      <c r="E360" s="61" t="s">
        <v>246</v>
      </c>
      <c r="F360" s="61" t="s">
        <v>1049</v>
      </c>
      <c r="G360" s="60" t="n">
        <v>46295</v>
      </c>
      <c r="H360" s="62" t="n">
        <v>-4</v>
      </c>
      <c r="I360" s="61" t="s">
        <v>12</v>
      </c>
      <c r="J360" s="60" t="n">
        <v>46296</v>
      </c>
      <c r="K360" s="61" t="s">
        <v>1320</v>
      </c>
      <c r="L360" s="62" t="n">
        <v>0</v>
      </c>
      <c r="M360" s="64" t="n">
        <v>0.0629861111111111</v>
      </c>
      <c r="N360" s="61" t="s">
        <v>269</v>
      </c>
      <c r="O360" s="61" t="s">
        <v>1592</v>
      </c>
      <c r="P360" s="61" t="s">
        <v>820</v>
      </c>
      <c r="Q360" s="61" t="s">
        <v>821</v>
      </c>
      <c r="R360" s="62" t="n">
        <f aca="false">-H360</f>
        <v>4</v>
      </c>
    </row>
    <row r="361" customFormat="false" ht="15" hidden="false" customHeight="false" outlineLevel="0" collapsed="false">
      <c r="A361" s="61" t="s">
        <v>1017</v>
      </c>
      <c r="B361" s="61" t="s">
        <v>131</v>
      </c>
      <c r="C361" s="61" t="s">
        <v>205</v>
      </c>
      <c r="D361" s="61" t="s">
        <v>132</v>
      </c>
      <c r="E361" s="61" t="s">
        <v>246</v>
      </c>
      <c r="F361" s="61" t="s">
        <v>1049</v>
      </c>
      <c r="G361" s="60" t="n">
        <v>46295</v>
      </c>
      <c r="H361" s="62" t="n">
        <v>-31</v>
      </c>
      <c r="I361" s="61" t="s">
        <v>12</v>
      </c>
      <c r="J361" s="60" t="n">
        <v>46296</v>
      </c>
      <c r="K361" s="61" t="s">
        <v>1320</v>
      </c>
      <c r="L361" s="62" t="n">
        <v>0</v>
      </c>
      <c r="M361" s="64" t="n">
        <v>0.15625</v>
      </c>
      <c r="N361" s="61" t="s">
        <v>269</v>
      </c>
      <c r="O361" s="61" t="s">
        <v>1593</v>
      </c>
      <c r="P361" s="61" t="s">
        <v>1018</v>
      </c>
      <c r="Q361" s="61" t="s">
        <v>1019</v>
      </c>
      <c r="R361" s="62" t="n">
        <f aca="false">-H361</f>
        <v>31</v>
      </c>
    </row>
    <row r="362" customFormat="false" ht="15" hidden="false" customHeight="false" outlineLevel="0" collapsed="false">
      <c r="A362" s="61" t="s">
        <v>1020</v>
      </c>
      <c r="B362" s="61" t="s">
        <v>131</v>
      </c>
      <c r="C362" s="61" t="s">
        <v>205</v>
      </c>
      <c r="D362" s="61" t="s">
        <v>132</v>
      </c>
      <c r="E362" s="61" t="s">
        <v>246</v>
      </c>
      <c r="F362" s="61" t="s">
        <v>1049</v>
      </c>
      <c r="G362" s="60" t="n">
        <v>46295</v>
      </c>
      <c r="H362" s="62" t="n">
        <v>-11</v>
      </c>
      <c r="I362" s="61" t="s">
        <v>12</v>
      </c>
      <c r="J362" s="60" t="n">
        <v>46296</v>
      </c>
      <c r="K362" s="61" t="s">
        <v>1320</v>
      </c>
      <c r="L362" s="62" t="n">
        <v>0</v>
      </c>
      <c r="M362" s="64" t="n">
        <v>0.0629976851851852</v>
      </c>
      <c r="N362" s="61" t="s">
        <v>269</v>
      </c>
      <c r="O362" s="61" t="s">
        <v>1594</v>
      </c>
      <c r="P362" s="61" t="s">
        <v>1021</v>
      </c>
      <c r="Q362" s="61" t="s">
        <v>1022</v>
      </c>
      <c r="R362" s="62" t="n">
        <f aca="false">-H362</f>
        <v>11</v>
      </c>
    </row>
    <row r="363" customFormat="false" ht="15" hidden="false" customHeight="false" outlineLevel="0" collapsed="false">
      <c r="A363" s="61" t="s">
        <v>906</v>
      </c>
      <c r="B363" s="61" t="s">
        <v>131</v>
      </c>
      <c r="C363" s="61" t="s">
        <v>205</v>
      </c>
      <c r="D363" s="61" t="s">
        <v>132</v>
      </c>
      <c r="E363" s="61" t="s">
        <v>246</v>
      </c>
      <c r="F363" s="61" t="s">
        <v>1049</v>
      </c>
      <c r="G363" s="60" t="n">
        <v>46294</v>
      </c>
      <c r="H363" s="62" t="n">
        <v>-3</v>
      </c>
      <c r="I363" s="61" t="s">
        <v>12</v>
      </c>
      <c r="J363" s="60" t="n">
        <v>46294</v>
      </c>
      <c r="K363" s="61" t="s">
        <v>1320</v>
      </c>
      <c r="L363" s="62" t="n">
        <v>0</v>
      </c>
      <c r="M363" s="64" t="n">
        <v>0.587951388888889</v>
      </c>
      <c r="N363" s="61" t="s">
        <v>338</v>
      </c>
      <c r="O363" s="61" t="s">
        <v>1595</v>
      </c>
      <c r="P363" s="61" t="s">
        <v>546</v>
      </c>
      <c r="Q363" s="61" t="s">
        <v>547</v>
      </c>
      <c r="R363" s="62" t="n">
        <f aca="false">-H363</f>
        <v>3</v>
      </c>
    </row>
    <row r="364" customFormat="false" ht="15" hidden="false" customHeight="false" outlineLevel="0" collapsed="false">
      <c r="A364" s="61" t="s">
        <v>907</v>
      </c>
      <c r="B364" s="61" t="s">
        <v>131</v>
      </c>
      <c r="C364" s="61" t="s">
        <v>205</v>
      </c>
      <c r="D364" s="61" t="s">
        <v>132</v>
      </c>
      <c r="E364" s="61" t="s">
        <v>246</v>
      </c>
      <c r="F364" s="61" t="s">
        <v>1049</v>
      </c>
      <c r="G364" s="60" t="n">
        <v>46294</v>
      </c>
      <c r="H364" s="62" t="n">
        <v>-12</v>
      </c>
      <c r="I364" s="61" t="s">
        <v>12</v>
      </c>
      <c r="J364" s="60" t="n">
        <v>46294</v>
      </c>
      <c r="K364" s="61" t="s">
        <v>1320</v>
      </c>
      <c r="L364" s="62" t="n">
        <v>0</v>
      </c>
      <c r="M364" s="64" t="n">
        <v>0.588356481481482</v>
      </c>
      <c r="N364" s="61" t="s">
        <v>338</v>
      </c>
      <c r="O364" s="61" t="s">
        <v>1596</v>
      </c>
      <c r="P364" s="61" t="s">
        <v>908</v>
      </c>
      <c r="Q364" s="61" t="s">
        <v>909</v>
      </c>
      <c r="R364" s="62" t="n">
        <f aca="false">-H364</f>
        <v>12</v>
      </c>
    </row>
    <row r="365" customFormat="false" ht="15" hidden="false" customHeight="false" outlineLevel="0" collapsed="false">
      <c r="A365" s="61" t="s">
        <v>819</v>
      </c>
      <c r="B365" s="61" t="s">
        <v>131</v>
      </c>
      <c r="C365" s="61" t="s">
        <v>205</v>
      </c>
      <c r="D365" s="61" t="s">
        <v>132</v>
      </c>
      <c r="E365" s="61" t="s">
        <v>246</v>
      </c>
      <c r="F365" s="61" t="s">
        <v>1049</v>
      </c>
      <c r="G365" s="60" t="n">
        <v>46292</v>
      </c>
      <c r="H365" s="62" t="n">
        <v>-30</v>
      </c>
      <c r="I365" s="61" t="s">
        <v>12</v>
      </c>
      <c r="J365" s="60" t="n">
        <v>46292</v>
      </c>
      <c r="K365" s="61" t="s">
        <v>1320</v>
      </c>
      <c r="L365" s="62" t="n">
        <v>0</v>
      </c>
      <c r="M365" s="64" t="n">
        <v>0.589166666666667</v>
      </c>
      <c r="N365" s="61" t="s">
        <v>275</v>
      </c>
      <c r="O365" s="61" t="s">
        <v>1597</v>
      </c>
      <c r="P365" s="61" t="s">
        <v>820</v>
      </c>
      <c r="Q365" s="61" t="s">
        <v>821</v>
      </c>
      <c r="R365" s="62" t="n">
        <f aca="false">-H365</f>
        <v>30</v>
      </c>
    </row>
    <row r="366" customFormat="false" ht="15" hidden="false" customHeight="false" outlineLevel="0" collapsed="false">
      <c r="A366" s="61" t="s">
        <v>822</v>
      </c>
      <c r="B366" s="61" t="s">
        <v>131</v>
      </c>
      <c r="C366" s="61" t="s">
        <v>205</v>
      </c>
      <c r="D366" s="61" t="s">
        <v>132</v>
      </c>
      <c r="E366" s="61" t="s">
        <v>246</v>
      </c>
      <c r="F366" s="61" t="s">
        <v>1049</v>
      </c>
      <c r="G366" s="60" t="n">
        <v>46292</v>
      </c>
      <c r="H366" s="62" t="n">
        <v>-10</v>
      </c>
      <c r="I366" s="61" t="s">
        <v>12</v>
      </c>
      <c r="J366" s="60" t="n">
        <v>46292</v>
      </c>
      <c r="K366" s="61" t="s">
        <v>1320</v>
      </c>
      <c r="L366" s="62" t="n">
        <v>0</v>
      </c>
      <c r="M366" s="64" t="n">
        <v>0.826087962962963</v>
      </c>
      <c r="N366" s="61" t="s">
        <v>275</v>
      </c>
      <c r="O366" s="61" t="s">
        <v>1598</v>
      </c>
      <c r="P366" s="61" t="s">
        <v>779</v>
      </c>
      <c r="Q366" s="61" t="s">
        <v>780</v>
      </c>
      <c r="R366" s="62" t="n">
        <f aca="false">-H366</f>
        <v>10</v>
      </c>
    </row>
    <row r="367" customFormat="false" ht="15" hidden="false" customHeight="false" outlineLevel="0" collapsed="false">
      <c r="A367" s="61" t="s">
        <v>912</v>
      </c>
      <c r="B367" s="61" t="s">
        <v>147</v>
      </c>
      <c r="C367" s="61" t="s">
        <v>210</v>
      </c>
      <c r="D367" s="61" t="s">
        <v>225</v>
      </c>
      <c r="E367" s="61" t="s">
        <v>246</v>
      </c>
      <c r="F367" s="61" t="s">
        <v>1049</v>
      </c>
      <c r="G367" s="60" t="n">
        <v>46294</v>
      </c>
      <c r="H367" s="62" t="n">
        <v>-350</v>
      </c>
      <c r="I367" s="61" t="s">
        <v>4</v>
      </c>
      <c r="J367" s="60" t="n">
        <v>46294</v>
      </c>
      <c r="K367" s="61" t="s">
        <v>1320</v>
      </c>
      <c r="L367" s="62" t="n">
        <v>0</v>
      </c>
      <c r="M367" s="64" t="n">
        <v>0.346331018518519</v>
      </c>
      <c r="N367" s="61" t="s">
        <v>250</v>
      </c>
      <c r="O367" s="61" t="s">
        <v>1599</v>
      </c>
      <c r="P367" s="61" t="s">
        <v>913</v>
      </c>
      <c r="Q367" s="61" t="s">
        <v>914</v>
      </c>
      <c r="R367" s="62" t="n">
        <f aca="false">-H367</f>
        <v>350</v>
      </c>
    </row>
    <row r="368" customFormat="false" ht="15" hidden="false" customHeight="false" outlineLevel="0" collapsed="false">
      <c r="A368" s="61" t="s">
        <v>915</v>
      </c>
      <c r="B368" s="61" t="s">
        <v>147</v>
      </c>
      <c r="C368" s="61" t="s">
        <v>210</v>
      </c>
      <c r="D368" s="61" t="s">
        <v>225</v>
      </c>
      <c r="E368" s="61" t="s">
        <v>246</v>
      </c>
      <c r="F368" s="61" t="s">
        <v>1049</v>
      </c>
      <c r="G368" s="60" t="n">
        <v>46294</v>
      </c>
      <c r="H368" s="62" t="n">
        <v>-650</v>
      </c>
      <c r="I368" s="61" t="s">
        <v>4</v>
      </c>
      <c r="J368" s="60" t="n">
        <v>46294</v>
      </c>
      <c r="K368" s="61" t="s">
        <v>1320</v>
      </c>
      <c r="L368" s="62" t="n">
        <v>0</v>
      </c>
      <c r="M368" s="64" t="n">
        <v>0.34630787037037</v>
      </c>
      <c r="N368" s="61" t="s">
        <v>250</v>
      </c>
      <c r="O368" s="61" t="s">
        <v>1600</v>
      </c>
      <c r="P368" s="61" t="s">
        <v>913</v>
      </c>
      <c r="Q368" s="61" t="s">
        <v>914</v>
      </c>
      <c r="R368" s="62" t="n">
        <f aca="false">-H368</f>
        <v>650</v>
      </c>
    </row>
    <row r="369" customFormat="false" ht="15" hidden="false" customHeight="false" outlineLevel="0" collapsed="false">
      <c r="A369" s="61" t="s">
        <v>1024</v>
      </c>
      <c r="B369" s="61" t="s">
        <v>151</v>
      </c>
      <c r="C369" s="61" t="s">
        <v>213</v>
      </c>
      <c r="D369" s="61" t="s">
        <v>225</v>
      </c>
      <c r="E369" s="61" t="s">
        <v>246</v>
      </c>
      <c r="F369" s="61" t="s">
        <v>1049</v>
      </c>
      <c r="G369" s="60" t="n">
        <v>46295</v>
      </c>
      <c r="H369" s="62" t="n">
        <v>-10</v>
      </c>
      <c r="I369" s="61" t="s">
        <v>4</v>
      </c>
      <c r="J369" s="60" t="n">
        <v>46295</v>
      </c>
      <c r="K369" s="61" t="s">
        <v>1320</v>
      </c>
      <c r="L369" s="62" t="n">
        <v>0</v>
      </c>
      <c r="M369" s="64" t="n">
        <v>0.356076388888889</v>
      </c>
      <c r="N369" s="61" t="s">
        <v>250</v>
      </c>
      <c r="O369" s="61" t="s">
        <v>1601</v>
      </c>
      <c r="P369" s="61" t="s">
        <v>653</v>
      </c>
      <c r="Q369" s="61" t="s">
        <v>654</v>
      </c>
      <c r="R369" s="62" t="n">
        <f aca="false">-H369</f>
        <v>10</v>
      </c>
    </row>
    <row r="370" customFormat="false" ht="15" hidden="false" customHeight="false" outlineLevel="0" collapsed="false">
      <c r="A370" s="61" t="s">
        <v>918</v>
      </c>
      <c r="B370" s="61" t="s">
        <v>151</v>
      </c>
      <c r="C370" s="61" t="s">
        <v>213</v>
      </c>
      <c r="D370" s="61" t="s">
        <v>225</v>
      </c>
      <c r="E370" s="61" t="s">
        <v>246</v>
      </c>
      <c r="F370" s="61" t="s">
        <v>1049</v>
      </c>
      <c r="G370" s="60" t="n">
        <v>46294</v>
      </c>
      <c r="H370" s="62" t="n">
        <v>-10</v>
      </c>
      <c r="I370" s="61" t="s">
        <v>4</v>
      </c>
      <c r="J370" s="60" t="n">
        <v>46295</v>
      </c>
      <c r="K370" s="61" t="s">
        <v>1320</v>
      </c>
      <c r="L370" s="62" t="n">
        <v>0</v>
      </c>
      <c r="M370" s="64" t="n">
        <v>0.00527777777777778</v>
      </c>
      <c r="N370" s="61" t="s">
        <v>250</v>
      </c>
      <c r="O370" s="61" t="s">
        <v>1602</v>
      </c>
      <c r="P370" s="61" t="s">
        <v>580</v>
      </c>
      <c r="Q370" s="61" t="s">
        <v>581</v>
      </c>
      <c r="R370" s="62" t="n">
        <f aca="false">-H370</f>
        <v>10</v>
      </c>
    </row>
    <row r="371" customFormat="false" ht="15" hidden="false" customHeight="false" outlineLevel="0" collapsed="false">
      <c r="A371" s="61" t="s">
        <v>823</v>
      </c>
      <c r="B371" s="61" t="s">
        <v>151</v>
      </c>
      <c r="C371" s="61" t="s">
        <v>213</v>
      </c>
      <c r="D371" s="61" t="s">
        <v>225</v>
      </c>
      <c r="E371" s="61" t="s">
        <v>246</v>
      </c>
      <c r="F371" s="61" t="s">
        <v>1049</v>
      </c>
      <c r="G371" s="60" t="n">
        <v>46292</v>
      </c>
      <c r="H371" s="62" t="n">
        <v>-10</v>
      </c>
      <c r="I371" s="61" t="s">
        <v>4</v>
      </c>
      <c r="J371" s="60" t="n">
        <v>46292</v>
      </c>
      <c r="K371" s="61" t="s">
        <v>1320</v>
      </c>
      <c r="L371" s="62" t="n">
        <v>0</v>
      </c>
      <c r="M371" s="64" t="n">
        <v>0.825983796296296</v>
      </c>
      <c r="N371" s="61" t="s">
        <v>275</v>
      </c>
      <c r="O371" s="61" t="s">
        <v>1603</v>
      </c>
      <c r="P371" s="61" t="s">
        <v>824</v>
      </c>
      <c r="Q371" s="61" t="s">
        <v>825</v>
      </c>
      <c r="R371" s="62" t="n">
        <f aca="false">-H371</f>
        <v>10</v>
      </c>
    </row>
    <row r="372" customFormat="false" ht="15" hidden="false" customHeight="false" outlineLevel="0" collapsed="false">
      <c r="A372" s="61" t="s">
        <v>826</v>
      </c>
      <c r="B372" s="61" t="s">
        <v>151</v>
      </c>
      <c r="C372" s="61" t="s">
        <v>213</v>
      </c>
      <c r="D372" s="61" t="s">
        <v>225</v>
      </c>
      <c r="E372" s="61" t="s">
        <v>246</v>
      </c>
      <c r="F372" s="61" t="s">
        <v>1049</v>
      </c>
      <c r="G372" s="60" t="n">
        <v>46292</v>
      </c>
      <c r="H372" s="62" t="n">
        <v>-10</v>
      </c>
      <c r="I372" s="61" t="s">
        <v>4</v>
      </c>
      <c r="J372" s="60" t="n">
        <v>46292</v>
      </c>
      <c r="K372" s="61" t="s">
        <v>1320</v>
      </c>
      <c r="L372" s="62" t="n">
        <v>0</v>
      </c>
      <c r="M372" s="64" t="n">
        <v>0.82599537037037</v>
      </c>
      <c r="N372" s="61" t="s">
        <v>275</v>
      </c>
      <c r="O372" s="61" t="s">
        <v>1604</v>
      </c>
      <c r="P372" s="61" t="s">
        <v>827</v>
      </c>
      <c r="Q372" s="61" t="s">
        <v>828</v>
      </c>
      <c r="R372" s="62" t="n">
        <f aca="false">-H372</f>
        <v>10</v>
      </c>
    </row>
    <row r="373" customFormat="false" ht="15" hidden="false" customHeight="false" outlineLevel="0" collapsed="false">
      <c r="A373" s="61" t="s">
        <v>829</v>
      </c>
      <c r="B373" s="61" t="s">
        <v>151</v>
      </c>
      <c r="C373" s="61" t="s">
        <v>213</v>
      </c>
      <c r="D373" s="61" t="s">
        <v>225</v>
      </c>
      <c r="E373" s="61" t="s">
        <v>246</v>
      </c>
      <c r="F373" s="61" t="s">
        <v>1049</v>
      </c>
      <c r="G373" s="60" t="n">
        <v>46292</v>
      </c>
      <c r="H373" s="62" t="n">
        <v>-10</v>
      </c>
      <c r="I373" s="61" t="s">
        <v>4</v>
      </c>
      <c r="J373" s="60" t="n">
        <v>46292</v>
      </c>
      <c r="K373" s="61" t="s">
        <v>1320</v>
      </c>
      <c r="L373" s="62" t="n">
        <v>0</v>
      </c>
      <c r="M373" s="64" t="n">
        <v>0.826018518518519</v>
      </c>
      <c r="N373" s="61" t="s">
        <v>275</v>
      </c>
      <c r="O373" s="61" t="s">
        <v>1605</v>
      </c>
      <c r="P373" s="61" t="s">
        <v>830</v>
      </c>
      <c r="Q373" s="61" t="s">
        <v>831</v>
      </c>
      <c r="R373" s="62" t="n">
        <f aca="false">-H373</f>
        <v>10</v>
      </c>
    </row>
    <row r="374" customFormat="false" ht="15" hidden="false" customHeight="false" outlineLevel="0" collapsed="false">
      <c r="A374" s="61" t="s">
        <v>832</v>
      </c>
      <c r="B374" s="61" t="s">
        <v>151</v>
      </c>
      <c r="C374" s="61" t="s">
        <v>213</v>
      </c>
      <c r="D374" s="61" t="s">
        <v>225</v>
      </c>
      <c r="E374" s="61" t="s">
        <v>246</v>
      </c>
      <c r="F374" s="61" t="s">
        <v>1049</v>
      </c>
      <c r="G374" s="60" t="n">
        <v>46292</v>
      </c>
      <c r="H374" s="62" t="n">
        <v>-10</v>
      </c>
      <c r="I374" s="61" t="s">
        <v>4</v>
      </c>
      <c r="J374" s="60" t="n">
        <v>46292</v>
      </c>
      <c r="K374" s="61" t="s">
        <v>1320</v>
      </c>
      <c r="L374" s="62" t="n">
        <v>0</v>
      </c>
      <c r="M374" s="64" t="n">
        <v>0.826030092592593</v>
      </c>
      <c r="N374" s="61" t="s">
        <v>275</v>
      </c>
      <c r="O374" s="61" t="s">
        <v>1606</v>
      </c>
      <c r="P374" s="61" t="s">
        <v>833</v>
      </c>
      <c r="Q374" s="61" t="s">
        <v>834</v>
      </c>
      <c r="R374" s="62" t="n">
        <f aca="false">-H374</f>
        <v>10</v>
      </c>
    </row>
    <row r="375" customFormat="false" ht="15" hidden="false" customHeight="false" outlineLevel="0" collapsed="false">
      <c r="A375" s="61" t="s">
        <v>835</v>
      </c>
      <c r="B375" s="61" t="s">
        <v>151</v>
      </c>
      <c r="C375" s="61" t="s">
        <v>213</v>
      </c>
      <c r="D375" s="61" t="s">
        <v>225</v>
      </c>
      <c r="E375" s="61" t="s">
        <v>246</v>
      </c>
      <c r="F375" s="61" t="s">
        <v>1049</v>
      </c>
      <c r="G375" s="60" t="n">
        <v>46292</v>
      </c>
      <c r="H375" s="62" t="n">
        <v>-10</v>
      </c>
      <c r="I375" s="61" t="s">
        <v>4</v>
      </c>
      <c r="J375" s="60" t="n">
        <v>46292</v>
      </c>
      <c r="K375" s="61" t="s">
        <v>1320</v>
      </c>
      <c r="L375" s="62" t="n">
        <v>0</v>
      </c>
      <c r="M375" s="64" t="n">
        <v>0.826041666666667</v>
      </c>
      <c r="N375" s="61" t="s">
        <v>275</v>
      </c>
      <c r="O375" s="61" t="s">
        <v>1607</v>
      </c>
      <c r="P375" s="61" t="s">
        <v>827</v>
      </c>
      <c r="Q375" s="61" t="s">
        <v>828</v>
      </c>
      <c r="R375" s="62" t="n">
        <f aca="false">-H375</f>
        <v>10</v>
      </c>
    </row>
    <row r="376" customFormat="false" ht="15" hidden="false" customHeight="false" outlineLevel="0" collapsed="false">
      <c r="A376" s="61" t="s">
        <v>696</v>
      </c>
      <c r="B376" s="61" t="s">
        <v>151</v>
      </c>
      <c r="C376" s="61" t="s">
        <v>213</v>
      </c>
      <c r="D376" s="61" t="s">
        <v>225</v>
      </c>
      <c r="E376" s="61" t="s">
        <v>246</v>
      </c>
      <c r="F376" s="61" t="s">
        <v>1049</v>
      </c>
      <c r="G376" s="60" t="n">
        <v>46291</v>
      </c>
      <c r="H376" s="62" t="n">
        <v>-20</v>
      </c>
      <c r="I376" s="61" t="s">
        <v>4</v>
      </c>
      <c r="J376" s="60" t="n">
        <v>46292</v>
      </c>
      <c r="K376" s="61" t="s">
        <v>1320</v>
      </c>
      <c r="L376" s="62" t="n">
        <v>0</v>
      </c>
      <c r="M376" s="64" t="n">
        <v>0.0324074074074074</v>
      </c>
      <c r="N376" s="61" t="s">
        <v>269</v>
      </c>
      <c r="O376" s="61" t="s">
        <v>1608</v>
      </c>
      <c r="P376" s="61" t="s">
        <v>546</v>
      </c>
      <c r="Q376" s="61" t="s">
        <v>547</v>
      </c>
      <c r="R376" s="62" t="n">
        <f aca="false">-H376</f>
        <v>20</v>
      </c>
    </row>
    <row r="377" customFormat="false" ht="15" hidden="false" customHeight="false" outlineLevel="0" collapsed="false">
      <c r="A377" s="61" t="s">
        <v>676</v>
      </c>
      <c r="B377" s="61" t="s">
        <v>151</v>
      </c>
      <c r="C377" s="61" t="s">
        <v>213</v>
      </c>
      <c r="D377" s="61" t="s">
        <v>225</v>
      </c>
      <c r="E377" s="61" t="s">
        <v>246</v>
      </c>
      <c r="F377" s="61" t="s">
        <v>1049</v>
      </c>
      <c r="G377" s="60" t="n">
        <v>46291</v>
      </c>
      <c r="H377" s="62" t="n">
        <v>-20</v>
      </c>
      <c r="I377" s="61" t="s">
        <v>4</v>
      </c>
      <c r="J377" s="60" t="n">
        <v>46291</v>
      </c>
      <c r="K377" s="61" t="s">
        <v>1320</v>
      </c>
      <c r="L377" s="62" t="n">
        <v>0</v>
      </c>
      <c r="M377" s="64" t="n">
        <v>0.806018518518519</v>
      </c>
      <c r="N377" s="61" t="s">
        <v>275</v>
      </c>
      <c r="O377" s="61" t="s">
        <v>1425</v>
      </c>
      <c r="P377" s="61" t="s">
        <v>321</v>
      </c>
      <c r="Q377" s="61" t="s">
        <v>322</v>
      </c>
      <c r="R377" s="62" t="n">
        <f aca="false">-H377</f>
        <v>20</v>
      </c>
    </row>
    <row r="378" customFormat="false" ht="15" hidden="false" customHeight="false" outlineLevel="0" collapsed="false">
      <c r="A378" s="61" t="s">
        <v>697</v>
      </c>
      <c r="B378" s="61" t="s">
        <v>151</v>
      </c>
      <c r="C378" s="61" t="s">
        <v>213</v>
      </c>
      <c r="D378" s="61" t="s">
        <v>225</v>
      </c>
      <c r="E378" s="61" t="s">
        <v>246</v>
      </c>
      <c r="F378" s="61" t="s">
        <v>1049</v>
      </c>
      <c r="G378" s="60" t="n">
        <v>46291</v>
      </c>
      <c r="H378" s="62" t="n">
        <v>-10</v>
      </c>
      <c r="I378" s="61" t="s">
        <v>4</v>
      </c>
      <c r="J378" s="60" t="n">
        <v>46292</v>
      </c>
      <c r="K378" s="61" t="s">
        <v>1320</v>
      </c>
      <c r="L378" s="62" t="n">
        <v>0</v>
      </c>
      <c r="M378" s="64" t="n">
        <v>0.0321180555555556</v>
      </c>
      <c r="N378" s="61" t="s">
        <v>269</v>
      </c>
      <c r="O378" s="61" t="s">
        <v>1609</v>
      </c>
      <c r="P378" s="61" t="s">
        <v>546</v>
      </c>
      <c r="Q378" s="61" t="s">
        <v>547</v>
      </c>
      <c r="R378" s="62" t="n">
        <f aca="false">-H378</f>
        <v>10</v>
      </c>
    </row>
    <row r="379" customFormat="false" ht="15" hidden="false" customHeight="false" outlineLevel="0" collapsed="false">
      <c r="A379" s="61" t="s">
        <v>864</v>
      </c>
      <c r="B379" s="61" t="s">
        <v>160</v>
      </c>
      <c r="C379" s="61" t="s">
        <v>217</v>
      </c>
      <c r="D379" s="61" t="s">
        <v>186</v>
      </c>
      <c r="E379" s="61" t="s">
        <v>246</v>
      </c>
      <c r="F379" s="61" t="s">
        <v>1049</v>
      </c>
      <c r="G379" s="60" t="n">
        <v>46294</v>
      </c>
      <c r="H379" s="62" t="n">
        <v>-19.6</v>
      </c>
      <c r="I379" s="61" t="s">
        <v>4</v>
      </c>
      <c r="J379" s="60" t="n">
        <v>46294</v>
      </c>
      <c r="K379" s="61" t="s">
        <v>1320</v>
      </c>
      <c r="L379" s="62" t="n">
        <v>0</v>
      </c>
      <c r="M379" s="64" t="n">
        <v>0.346689814814815</v>
      </c>
      <c r="N379" s="61" t="s">
        <v>250</v>
      </c>
      <c r="O379" s="61" t="s">
        <v>1434</v>
      </c>
      <c r="P379" s="61" t="s">
        <v>865</v>
      </c>
      <c r="Q379" s="61" t="s">
        <v>866</v>
      </c>
      <c r="R379" s="62" t="n">
        <f aca="false">-H379</f>
        <v>19.6</v>
      </c>
    </row>
    <row r="380" customFormat="false" ht="15" hidden="false" customHeight="false" outlineLevel="0" collapsed="false">
      <c r="A380" s="61" t="s">
        <v>1007</v>
      </c>
      <c r="B380" s="61" t="s">
        <v>157</v>
      </c>
      <c r="C380" s="61" t="s">
        <v>194</v>
      </c>
      <c r="D380" s="61" t="s">
        <v>119</v>
      </c>
      <c r="E380" s="61" t="s">
        <v>246</v>
      </c>
      <c r="F380" s="61" t="s">
        <v>1049</v>
      </c>
      <c r="G380" s="60" t="n">
        <v>46295</v>
      </c>
      <c r="H380" s="62" t="n">
        <v>-40.2</v>
      </c>
      <c r="I380" s="61" t="s">
        <v>4</v>
      </c>
      <c r="J380" s="60" t="n">
        <v>46296</v>
      </c>
      <c r="K380" s="61" t="s">
        <v>1320</v>
      </c>
      <c r="L380" s="62" t="n">
        <v>0</v>
      </c>
      <c r="M380" s="64" t="n">
        <v>0.0630902777777778</v>
      </c>
      <c r="N380" s="61" t="s">
        <v>269</v>
      </c>
      <c r="O380" s="61" t="s">
        <v>1552</v>
      </c>
      <c r="P380" s="61" t="s">
        <v>374</v>
      </c>
      <c r="Q380" s="61" t="s">
        <v>375</v>
      </c>
      <c r="R380" s="62" t="n">
        <f aca="false">-H380</f>
        <v>40.2</v>
      </c>
    </row>
    <row r="381" customFormat="false" ht="15" hidden="false" customHeight="false" outlineLevel="0" collapsed="false">
      <c r="A381" s="61" t="s">
        <v>919</v>
      </c>
      <c r="B381" s="61" t="s">
        <v>157</v>
      </c>
      <c r="C381" s="61" t="s">
        <v>194</v>
      </c>
      <c r="D381" s="61" t="s">
        <v>119</v>
      </c>
      <c r="E381" s="61" t="s">
        <v>246</v>
      </c>
      <c r="F381" s="61" t="s">
        <v>1049</v>
      </c>
      <c r="G381" s="60" t="n">
        <v>46294</v>
      </c>
      <c r="H381" s="62" t="n">
        <v>-100.5</v>
      </c>
      <c r="I381" s="61" t="s">
        <v>4</v>
      </c>
      <c r="J381" s="60" t="n">
        <v>46294</v>
      </c>
      <c r="K381" s="61" t="s">
        <v>1320</v>
      </c>
      <c r="L381" s="62" t="n">
        <v>0</v>
      </c>
      <c r="M381" s="64" t="n">
        <v>0.346423611111111</v>
      </c>
      <c r="N381" s="61" t="s">
        <v>250</v>
      </c>
      <c r="O381" s="61" t="s">
        <v>1610</v>
      </c>
      <c r="P381" s="61" t="s">
        <v>267</v>
      </c>
      <c r="Q381" s="61" t="s">
        <v>268</v>
      </c>
      <c r="R381" s="62" t="n">
        <f aca="false">-H381</f>
        <v>100.5</v>
      </c>
    </row>
    <row r="382" customFormat="false" ht="15" hidden="false" customHeight="false" outlineLevel="0" collapsed="false">
      <c r="A382" s="61" t="s">
        <v>920</v>
      </c>
      <c r="B382" s="61" t="s">
        <v>157</v>
      </c>
      <c r="C382" s="61" t="s">
        <v>194</v>
      </c>
      <c r="D382" s="61" t="s">
        <v>119</v>
      </c>
      <c r="E382" s="61" t="s">
        <v>246</v>
      </c>
      <c r="F382" s="61" t="s">
        <v>1049</v>
      </c>
      <c r="G382" s="60" t="n">
        <v>46294</v>
      </c>
      <c r="H382" s="62" t="n">
        <v>-120.6</v>
      </c>
      <c r="I382" s="61" t="s">
        <v>4</v>
      </c>
      <c r="J382" s="60" t="n">
        <v>46294</v>
      </c>
      <c r="K382" s="61" t="s">
        <v>1320</v>
      </c>
      <c r="L382" s="62" t="n">
        <v>0</v>
      </c>
      <c r="M382" s="64" t="n">
        <v>0.587858796296296</v>
      </c>
      <c r="N382" s="61" t="s">
        <v>338</v>
      </c>
      <c r="O382" s="61" t="s">
        <v>1611</v>
      </c>
      <c r="P382" s="61" t="s">
        <v>546</v>
      </c>
      <c r="Q382" s="61" t="s">
        <v>547</v>
      </c>
      <c r="R382" s="62" t="n">
        <f aca="false">-H382</f>
        <v>120.6</v>
      </c>
    </row>
    <row r="383" customFormat="false" ht="15" hidden="false" customHeight="false" outlineLevel="0" collapsed="false">
      <c r="A383" s="61" t="s">
        <v>836</v>
      </c>
      <c r="B383" s="61" t="s">
        <v>157</v>
      </c>
      <c r="C383" s="61" t="s">
        <v>194</v>
      </c>
      <c r="D383" s="61" t="s">
        <v>119</v>
      </c>
      <c r="E383" s="61" t="s">
        <v>246</v>
      </c>
      <c r="F383" s="61" t="s">
        <v>1049</v>
      </c>
      <c r="G383" s="60" t="n">
        <v>46292</v>
      </c>
      <c r="H383" s="62" t="n">
        <v>-40.2</v>
      </c>
      <c r="I383" s="61" t="s">
        <v>4</v>
      </c>
      <c r="J383" s="60" t="n">
        <v>46292</v>
      </c>
      <c r="K383" s="61" t="s">
        <v>1320</v>
      </c>
      <c r="L383" s="62" t="n">
        <v>0</v>
      </c>
      <c r="M383" s="64" t="n">
        <v>0.589270833333333</v>
      </c>
      <c r="N383" s="61" t="s">
        <v>275</v>
      </c>
      <c r="O383" s="61" t="s">
        <v>1612</v>
      </c>
      <c r="P383" s="61" t="s">
        <v>741</v>
      </c>
      <c r="Q383" s="61" t="s">
        <v>742</v>
      </c>
      <c r="R383" s="62" t="n">
        <f aca="false">-H383</f>
        <v>40.2</v>
      </c>
    </row>
    <row r="384" customFormat="false" ht="15" hidden="false" customHeight="false" outlineLevel="0" collapsed="false">
      <c r="A384" s="61" t="s">
        <v>837</v>
      </c>
      <c r="B384" s="61" t="s">
        <v>157</v>
      </c>
      <c r="C384" s="61" t="s">
        <v>194</v>
      </c>
      <c r="D384" s="61" t="s">
        <v>119</v>
      </c>
      <c r="E384" s="61" t="s">
        <v>246</v>
      </c>
      <c r="F384" s="61" t="s">
        <v>1049</v>
      </c>
      <c r="G384" s="60" t="n">
        <v>46292</v>
      </c>
      <c r="H384" s="62" t="n">
        <v>-20.1</v>
      </c>
      <c r="I384" s="61" t="s">
        <v>4</v>
      </c>
      <c r="J384" s="60" t="n">
        <v>46292</v>
      </c>
      <c r="K384" s="61" t="s">
        <v>1320</v>
      </c>
      <c r="L384" s="62" t="n">
        <v>0</v>
      </c>
      <c r="M384" s="64" t="n">
        <v>0.826099537037037</v>
      </c>
      <c r="N384" s="61" t="s">
        <v>275</v>
      </c>
      <c r="O384" s="61" t="s">
        <v>1613</v>
      </c>
      <c r="P384" s="61" t="s">
        <v>356</v>
      </c>
      <c r="Q384" s="61" t="s">
        <v>357</v>
      </c>
      <c r="R384" s="62" t="n">
        <f aca="false">-H384</f>
        <v>20.1</v>
      </c>
    </row>
    <row r="385" customFormat="false" ht="15" hidden="false" customHeight="false" outlineLevel="0" collapsed="false">
      <c r="A385" s="61" t="s">
        <v>838</v>
      </c>
      <c r="B385" s="61" t="s">
        <v>157</v>
      </c>
      <c r="C385" s="61" t="s">
        <v>194</v>
      </c>
      <c r="D385" s="61" t="s">
        <v>119</v>
      </c>
      <c r="E385" s="61" t="s">
        <v>246</v>
      </c>
      <c r="F385" s="61" t="s">
        <v>1049</v>
      </c>
      <c r="G385" s="60" t="n">
        <v>46292</v>
      </c>
      <c r="H385" s="62" t="n">
        <v>-40.2</v>
      </c>
      <c r="I385" s="61" t="s">
        <v>4</v>
      </c>
      <c r="J385" s="60" t="n">
        <v>46292</v>
      </c>
      <c r="K385" s="61" t="s">
        <v>1320</v>
      </c>
      <c r="L385" s="62" t="n">
        <v>0</v>
      </c>
      <c r="M385" s="64" t="n">
        <v>0.826122685185185</v>
      </c>
      <c r="N385" s="61" t="s">
        <v>275</v>
      </c>
      <c r="O385" s="61" t="s">
        <v>1614</v>
      </c>
      <c r="P385" s="61" t="s">
        <v>353</v>
      </c>
      <c r="Q385" s="61" t="s">
        <v>354</v>
      </c>
      <c r="R385" s="62" t="n">
        <f aca="false">-H385</f>
        <v>40.2</v>
      </c>
    </row>
    <row r="386" customFormat="false" ht="15" hidden="false" customHeight="false" outlineLevel="0" collapsed="false">
      <c r="A386" s="61" t="s">
        <v>723</v>
      </c>
      <c r="B386" s="61" t="s">
        <v>157</v>
      </c>
      <c r="C386" s="61" t="s">
        <v>194</v>
      </c>
      <c r="D386" s="61" t="s">
        <v>119</v>
      </c>
      <c r="E386" s="61" t="s">
        <v>246</v>
      </c>
      <c r="F386" s="61" t="s">
        <v>1049</v>
      </c>
      <c r="G386" s="60" t="n">
        <v>46292</v>
      </c>
      <c r="H386" s="62" t="n">
        <v>-20.1</v>
      </c>
      <c r="I386" s="61" t="s">
        <v>4</v>
      </c>
      <c r="J386" s="60" t="n">
        <v>46292</v>
      </c>
      <c r="K386" s="61" t="s">
        <v>1320</v>
      </c>
      <c r="L386" s="62" t="n">
        <v>0</v>
      </c>
      <c r="M386" s="64" t="n">
        <v>0.826238425925926</v>
      </c>
      <c r="N386" s="61" t="s">
        <v>275</v>
      </c>
      <c r="O386" s="61" t="s">
        <v>1362</v>
      </c>
      <c r="P386" s="61" t="s">
        <v>724</v>
      </c>
      <c r="Q386" s="61" t="s">
        <v>725</v>
      </c>
      <c r="R386" s="62" t="n">
        <f aca="false">-H386</f>
        <v>20.1</v>
      </c>
    </row>
    <row r="387" customFormat="false" ht="15" hidden="false" customHeight="false" outlineLevel="0" collapsed="false">
      <c r="A387" s="61" t="s">
        <v>839</v>
      </c>
      <c r="B387" s="61" t="s">
        <v>157</v>
      </c>
      <c r="C387" s="61" t="s">
        <v>194</v>
      </c>
      <c r="D387" s="61" t="s">
        <v>119</v>
      </c>
      <c r="E387" s="61" t="s">
        <v>246</v>
      </c>
      <c r="F387" s="61" t="s">
        <v>1049</v>
      </c>
      <c r="G387" s="60" t="n">
        <v>46292</v>
      </c>
      <c r="H387" s="62" t="n">
        <v>-40.2</v>
      </c>
      <c r="I387" s="61" t="s">
        <v>4</v>
      </c>
      <c r="J387" s="60" t="n">
        <v>46292</v>
      </c>
      <c r="K387" s="61" t="s">
        <v>1320</v>
      </c>
      <c r="L387" s="62" t="n">
        <v>0</v>
      </c>
      <c r="M387" s="64" t="n">
        <v>0.826342592592593</v>
      </c>
      <c r="N387" s="61" t="s">
        <v>275</v>
      </c>
      <c r="O387" s="61" t="s">
        <v>1615</v>
      </c>
      <c r="P387" s="61" t="s">
        <v>705</v>
      </c>
      <c r="Q387" s="61" t="s">
        <v>706</v>
      </c>
      <c r="R387" s="62" t="n">
        <f aca="false">-H387</f>
        <v>40.2</v>
      </c>
    </row>
    <row r="388" customFormat="false" ht="15" hidden="false" customHeight="false" outlineLevel="0" collapsed="false">
      <c r="A388" s="61" t="s">
        <v>739</v>
      </c>
      <c r="B388" s="61" t="s">
        <v>157</v>
      </c>
      <c r="C388" s="61" t="s">
        <v>194</v>
      </c>
      <c r="D388" s="61" t="s">
        <v>119</v>
      </c>
      <c r="E388" s="61" t="s">
        <v>246</v>
      </c>
      <c r="F388" s="61" t="s">
        <v>1049</v>
      </c>
      <c r="G388" s="60" t="n">
        <v>46292</v>
      </c>
      <c r="H388" s="62" t="n">
        <v>-80.4</v>
      </c>
      <c r="I388" s="61" t="s">
        <v>4</v>
      </c>
      <c r="J388" s="60" t="n">
        <v>46292</v>
      </c>
      <c r="K388" s="61" t="s">
        <v>1320</v>
      </c>
      <c r="L388" s="62" t="n">
        <v>0</v>
      </c>
      <c r="M388" s="64" t="n">
        <v>0.826597222222222</v>
      </c>
      <c r="N388" s="61" t="s">
        <v>275</v>
      </c>
      <c r="O388" s="61" t="s">
        <v>1424</v>
      </c>
      <c r="P388" s="61" t="s">
        <v>701</v>
      </c>
      <c r="Q388" s="61" t="s">
        <v>702</v>
      </c>
      <c r="R388" s="62" t="n">
        <f aca="false">-H388</f>
        <v>80.4</v>
      </c>
    </row>
    <row r="389" customFormat="false" ht="15" hidden="false" customHeight="false" outlineLevel="0" collapsed="false">
      <c r="A389" s="61" t="s">
        <v>698</v>
      </c>
      <c r="B389" s="61" t="s">
        <v>157</v>
      </c>
      <c r="C389" s="61" t="s">
        <v>194</v>
      </c>
      <c r="D389" s="61" t="s">
        <v>119</v>
      </c>
      <c r="E389" s="61" t="s">
        <v>246</v>
      </c>
      <c r="F389" s="61" t="s">
        <v>1049</v>
      </c>
      <c r="G389" s="60" t="n">
        <v>46291</v>
      </c>
      <c r="H389" s="62" t="n">
        <v>-603</v>
      </c>
      <c r="I389" s="61" t="s">
        <v>4</v>
      </c>
      <c r="J389" s="60" t="n">
        <v>46292</v>
      </c>
      <c r="K389" s="61" t="s">
        <v>1320</v>
      </c>
      <c r="L389" s="62" t="n">
        <v>0</v>
      </c>
      <c r="M389" s="64" t="n">
        <v>0.0322222222222222</v>
      </c>
      <c r="N389" s="61" t="s">
        <v>269</v>
      </c>
      <c r="O389" s="61" t="s">
        <v>1616</v>
      </c>
      <c r="P389" s="61" t="s">
        <v>546</v>
      </c>
      <c r="Q389" s="61" t="s">
        <v>547</v>
      </c>
      <c r="R389" s="62" t="n">
        <f aca="false">-H389</f>
        <v>603</v>
      </c>
    </row>
    <row r="390" customFormat="false" ht="15" hidden="false" customHeight="false" outlineLevel="0" collapsed="false">
      <c r="A390" s="61" t="s">
        <v>676</v>
      </c>
      <c r="B390" s="61" t="s">
        <v>157</v>
      </c>
      <c r="C390" s="61" t="s">
        <v>194</v>
      </c>
      <c r="D390" s="61" t="s">
        <v>119</v>
      </c>
      <c r="E390" s="61" t="s">
        <v>246</v>
      </c>
      <c r="F390" s="61" t="s">
        <v>1049</v>
      </c>
      <c r="G390" s="60" t="n">
        <v>46291</v>
      </c>
      <c r="H390" s="62" t="n">
        <v>-40.2</v>
      </c>
      <c r="I390" s="61" t="s">
        <v>4</v>
      </c>
      <c r="J390" s="60" t="n">
        <v>46291</v>
      </c>
      <c r="K390" s="61" t="s">
        <v>1320</v>
      </c>
      <c r="L390" s="62" t="n">
        <v>0</v>
      </c>
      <c r="M390" s="64" t="n">
        <v>0.806018518518519</v>
      </c>
      <c r="N390" s="61" t="s">
        <v>275</v>
      </c>
      <c r="O390" s="61" t="s">
        <v>1425</v>
      </c>
      <c r="P390" s="61" t="s">
        <v>321</v>
      </c>
      <c r="Q390" s="61" t="s">
        <v>322</v>
      </c>
      <c r="R390" s="62" t="n">
        <f aca="false">-H390</f>
        <v>40.2</v>
      </c>
    </row>
    <row r="391" customFormat="false" ht="15" hidden="false" customHeight="false" outlineLevel="0" collapsed="false">
      <c r="A391" s="61" t="s">
        <v>699</v>
      </c>
      <c r="B391" s="61" t="s">
        <v>157</v>
      </c>
      <c r="C391" s="61" t="s">
        <v>194</v>
      </c>
      <c r="D391" s="61" t="s">
        <v>119</v>
      </c>
      <c r="E391" s="61" t="s">
        <v>246</v>
      </c>
      <c r="F391" s="61" t="s">
        <v>1049</v>
      </c>
      <c r="G391" s="60" t="n">
        <v>46291</v>
      </c>
      <c r="H391" s="62" t="n">
        <v>-201</v>
      </c>
      <c r="I391" s="61" t="s">
        <v>4</v>
      </c>
      <c r="J391" s="60" t="n">
        <v>46291</v>
      </c>
      <c r="K391" s="61" t="s">
        <v>1320</v>
      </c>
      <c r="L391" s="62" t="n">
        <v>0</v>
      </c>
      <c r="M391" s="64" t="n">
        <v>0.515439814814815</v>
      </c>
      <c r="N391" s="61" t="s">
        <v>275</v>
      </c>
      <c r="O391" s="61" t="s">
        <v>1617</v>
      </c>
      <c r="P391" s="61" t="s">
        <v>387</v>
      </c>
      <c r="Q391" s="61" t="s">
        <v>388</v>
      </c>
      <c r="R391" s="62" t="n">
        <f aca="false">-H391</f>
        <v>201</v>
      </c>
    </row>
    <row r="392" customFormat="false" ht="15" hidden="false" customHeight="false" outlineLevel="0" collapsed="false">
      <c r="A392" s="61" t="s">
        <v>531</v>
      </c>
      <c r="B392" s="61" t="s">
        <v>157</v>
      </c>
      <c r="C392" s="61" t="s">
        <v>158</v>
      </c>
      <c r="D392" s="61" t="s">
        <v>119</v>
      </c>
      <c r="E392" s="61" t="s">
        <v>246</v>
      </c>
      <c r="F392" s="61" t="s">
        <v>1049</v>
      </c>
      <c r="G392" s="60" t="n">
        <v>46286</v>
      </c>
      <c r="H392" s="62" t="n">
        <v>-40.2</v>
      </c>
      <c r="I392" s="61" t="s">
        <v>4</v>
      </c>
      <c r="J392" s="60" t="n">
        <v>46286</v>
      </c>
      <c r="K392" s="61" t="s">
        <v>1320</v>
      </c>
      <c r="L392" s="62" t="n">
        <v>0</v>
      </c>
      <c r="M392" s="64" t="n">
        <v>0.517118055555556</v>
      </c>
      <c r="N392" s="61" t="s">
        <v>338</v>
      </c>
      <c r="O392" s="61" t="s">
        <v>1380</v>
      </c>
      <c r="P392" s="61" t="s">
        <v>532</v>
      </c>
      <c r="Q392" s="61" t="s">
        <v>533</v>
      </c>
      <c r="R392" s="62" t="n">
        <f aca="false">-H392</f>
        <v>40.2</v>
      </c>
    </row>
    <row r="393" customFormat="false" ht="15" hidden="false" customHeight="false" outlineLevel="0" collapsed="false">
      <c r="A393" s="61" t="s">
        <v>487</v>
      </c>
      <c r="B393" s="61" t="s">
        <v>157</v>
      </c>
      <c r="C393" s="61" t="s">
        <v>158</v>
      </c>
      <c r="D393" s="61" t="s">
        <v>119</v>
      </c>
      <c r="E393" s="61" t="s">
        <v>246</v>
      </c>
      <c r="F393" s="61" t="s">
        <v>1049</v>
      </c>
      <c r="G393" s="60" t="n">
        <v>46284</v>
      </c>
      <c r="H393" s="62" t="n">
        <v>-40.2</v>
      </c>
      <c r="I393" s="61" t="s">
        <v>4</v>
      </c>
      <c r="J393" s="60" t="n">
        <v>46284</v>
      </c>
      <c r="K393" s="61" t="s">
        <v>1320</v>
      </c>
      <c r="L393" s="62" t="n">
        <v>0</v>
      </c>
      <c r="M393" s="64" t="n">
        <v>0.589618055555556</v>
      </c>
      <c r="N393" s="61" t="s">
        <v>275</v>
      </c>
      <c r="O393" s="61" t="s">
        <v>1409</v>
      </c>
      <c r="P393" s="61" t="s">
        <v>488</v>
      </c>
      <c r="Q393" s="61" t="s">
        <v>489</v>
      </c>
      <c r="R393" s="62" t="n">
        <f aca="false">-H393</f>
        <v>40.2</v>
      </c>
    </row>
    <row r="394" customFormat="false" ht="15" hidden="false" customHeight="false" outlineLevel="0" collapsed="false">
      <c r="A394" s="61" t="s">
        <v>409</v>
      </c>
      <c r="B394" s="61" t="s">
        <v>157</v>
      </c>
      <c r="C394" s="61" t="s">
        <v>158</v>
      </c>
      <c r="D394" s="61" t="s">
        <v>119</v>
      </c>
      <c r="E394" s="61" t="s">
        <v>254</v>
      </c>
      <c r="F394" s="61" t="s">
        <v>1049</v>
      </c>
      <c r="G394" s="60" t="n">
        <v>46280</v>
      </c>
      <c r="H394" s="62" t="n">
        <v>-80.4</v>
      </c>
      <c r="I394" s="61" t="s">
        <v>4</v>
      </c>
      <c r="J394" s="60" t="n">
        <v>46280</v>
      </c>
      <c r="K394" s="61" t="s">
        <v>1320</v>
      </c>
      <c r="L394" s="62" t="n">
        <v>0</v>
      </c>
      <c r="M394" s="64" t="n">
        <v>0.916099537037037</v>
      </c>
      <c r="N394" s="61" t="s">
        <v>258</v>
      </c>
      <c r="O394" s="61" t="s">
        <v>1618</v>
      </c>
      <c r="P394" s="61" t="s">
        <v>410</v>
      </c>
      <c r="Q394" s="61" t="s">
        <v>411</v>
      </c>
      <c r="R394" s="62" t="n">
        <f aca="false">-H394</f>
        <v>80.4</v>
      </c>
    </row>
    <row r="395" customFormat="false" ht="15" hidden="false" customHeight="false" outlineLevel="0" collapsed="false">
      <c r="A395" s="61" t="s">
        <v>412</v>
      </c>
      <c r="B395" s="61" t="s">
        <v>157</v>
      </c>
      <c r="C395" s="61" t="s">
        <v>194</v>
      </c>
      <c r="D395" s="61" t="s">
        <v>119</v>
      </c>
      <c r="E395" s="61" t="s">
        <v>254</v>
      </c>
      <c r="F395" s="61" t="s">
        <v>1049</v>
      </c>
      <c r="G395" s="60" t="n">
        <v>46280</v>
      </c>
      <c r="H395" s="62" t="n">
        <v>-20.1</v>
      </c>
      <c r="I395" s="61" t="s">
        <v>4</v>
      </c>
      <c r="J395" s="60" t="n">
        <v>46280</v>
      </c>
      <c r="K395" s="61" t="s">
        <v>1320</v>
      </c>
      <c r="L395" s="62" t="n">
        <v>0</v>
      </c>
      <c r="M395" s="64" t="n">
        <v>0.945439814814815</v>
      </c>
      <c r="N395" s="61" t="s">
        <v>258</v>
      </c>
      <c r="O395" s="61" t="s">
        <v>1619</v>
      </c>
      <c r="P395" s="61" t="s">
        <v>413</v>
      </c>
      <c r="Q395" s="61" t="s">
        <v>414</v>
      </c>
      <c r="R395" s="62" t="n">
        <f aca="false">-H395</f>
        <v>20.1</v>
      </c>
    </row>
    <row r="396" customFormat="false" ht="15" hidden="false" customHeight="false" outlineLevel="0" collapsed="false">
      <c r="A396" s="61" t="s">
        <v>395</v>
      </c>
      <c r="B396" s="61" t="s">
        <v>157</v>
      </c>
      <c r="C396" s="61" t="s">
        <v>158</v>
      </c>
      <c r="D396" s="61" t="s">
        <v>119</v>
      </c>
      <c r="E396" s="61" t="s">
        <v>254</v>
      </c>
      <c r="F396" s="61" t="s">
        <v>1049</v>
      </c>
      <c r="G396" s="60" t="n">
        <v>46280</v>
      </c>
      <c r="H396" s="62" t="n">
        <v>-40.2</v>
      </c>
      <c r="I396" s="61" t="s">
        <v>4</v>
      </c>
      <c r="J396" s="60" t="n">
        <v>46280</v>
      </c>
      <c r="K396" s="61" t="s">
        <v>1320</v>
      </c>
      <c r="L396" s="62" t="n">
        <v>0</v>
      </c>
      <c r="M396" s="64" t="n">
        <v>0.945474537037037</v>
      </c>
      <c r="N396" s="61" t="s">
        <v>258</v>
      </c>
      <c r="O396" s="61" t="s">
        <v>1347</v>
      </c>
      <c r="P396" s="61" t="s">
        <v>256</v>
      </c>
      <c r="Q396" s="61" t="s">
        <v>257</v>
      </c>
      <c r="R396" s="62" t="n">
        <f aca="false">-H396</f>
        <v>40.2</v>
      </c>
    </row>
    <row r="397" customFormat="false" ht="15" hidden="false" customHeight="false" outlineLevel="0" collapsed="false">
      <c r="A397" s="61" t="s">
        <v>386</v>
      </c>
      <c r="B397" s="61" t="s">
        <v>157</v>
      </c>
      <c r="C397" s="61" t="s">
        <v>158</v>
      </c>
      <c r="D397" s="61" t="s">
        <v>119</v>
      </c>
      <c r="E397" s="61" t="s">
        <v>246</v>
      </c>
      <c r="F397" s="61" t="s">
        <v>1049</v>
      </c>
      <c r="G397" s="60" t="n">
        <v>46279</v>
      </c>
      <c r="H397" s="62" t="n">
        <v>-40.2</v>
      </c>
      <c r="I397" s="61" t="s">
        <v>4</v>
      </c>
      <c r="J397" s="60" t="n">
        <v>46279</v>
      </c>
      <c r="K397" s="61" t="s">
        <v>1320</v>
      </c>
      <c r="L397" s="62" t="n">
        <v>0</v>
      </c>
      <c r="M397" s="64" t="n">
        <v>0.850428240740741</v>
      </c>
      <c r="N397" s="61" t="s">
        <v>297</v>
      </c>
      <c r="O397" s="61" t="s">
        <v>1620</v>
      </c>
      <c r="P397" s="61" t="s">
        <v>387</v>
      </c>
      <c r="Q397" s="61" t="s">
        <v>388</v>
      </c>
      <c r="R397" s="62" t="n">
        <f aca="false">-H397</f>
        <v>40.2</v>
      </c>
    </row>
    <row r="398" customFormat="false" ht="15" hidden="false" customHeight="false" outlineLevel="0" collapsed="false">
      <c r="A398" s="61" t="s">
        <v>352</v>
      </c>
      <c r="B398" s="61" t="s">
        <v>157</v>
      </c>
      <c r="C398" s="61" t="s">
        <v>158</v>
      </c>
      <c r="D398" s="61" t="s">
        <v>119</v>
      </c>
      <c r="E398" s="61" t="s">
        <v>246</v>
      </c>
      <c r="F398" s="61" t="s">
        <v>1049</v>
      </c>
      <c r="G398" s="60" t="n">
        <v>46278</v>
      </c>
      <c r="H398" s="62" t="n">
        <v>-40.2</v>
      </c>
      <c r="I398" s="61" t="s">
        <v>4</v>
      </c>
      <c r="J398" s="60" t="n">
        <v>46278</v>
      </c>
      <c r="K398" s="61" t="s">
        <v>1320</v>
      </c>
      <c r="L398" s="62" t="n">
        <v>0</v>
      </c>
      <c r="M398" s="64" t="n">
        <v>0.647847222222222</v>
      </c>
      <c r="N398" s="61" t="s">
        <v>338</v>
      </c>
      <c r="O398" s="61" t="s">
        <v>1621</v>
      </c>
      <c r="P398" s="61" t="s">
        <v>353</v>
      </c>
      <c r="Q398" s="61" t="s">
        <v>354</v>
      </c>
      <c r="R398" s="62" t="n">
        <f aca="false">-H398</f>
        <v>40.2</v>
      </c>
    </row>
    <row r="399" customFormat="false" ht="15" hidden="false" customHeight="false" outlineLevel="0" collapsed="false">
      <c r="A399" s="61" t="s">
        <v>355</v>
      </c>
      <c r="B399" s="61" t="s">
        <v>157</v>
      </c>
      <c r="C399" s="61" t="s">
        <v>158</v>
      </c>
      <c r="D399" s="61" t="s">
        <v>119</v>
      </c>
      <c r="E399" s="61" t="s">
        <v>246</v>
      </c>
      <c r="F399" s="61" t="s">
        <v>1049</v>
      </c>
      <c r="G399" s="60" t="n">
        <v>46278</v>
      </c>
      <c r="H399" s="62" t="n">
        <v>-20.1</v>
      </c>
      <c r="I399" s="61" t="s">
        <v>4</v>
      </c>
      <c r="J399" s="60" t="n">
        <v>46278</v>
      </c>
      <c r="K399" s="61" t="s">
        <v>1320</v>
      </c>
      <c r="L399" s="62" t="n">
        <v>0</v>
      </c>
      <c r="M399" s="64" t="n">
        <v>0.648240740740741</v>
      </c>
      <c r="N399" s="61" t="s">
        <v>338</v>
      </c>
      <c r="O399" s="61" t="s">
        <v>1622</v>
      </c>
      <c r="P399" s="61" t="s">
        <v>356</v>
      </c>
      <c r="Q399" s="61" t="s">
        <v>357</v>
      </c>
      <c r="R399" s="62" t="n">
        <f aca="false">-H399</f>
        <v>20.1</v>
      </c>
    </row>
    <row r="400" customFormat="false" ht="15" hidden="false" customHeight="false" outlineLevel="0" collapsed="false">
      <c r="A400" s="61" t="s">
        <v>358</v>
      </c>
      <c r="B400" s="61" t="s">
        <v>157</v>
      </c>
      <c r="C400" s="61" t="s">
        <v>158</v>
      </c>
      <c r="D400" s="61" t="s">
        <v>119</v>
      </c>
      <c r="E400" s="61" t="s">
        <v>246</v>
      </c>
      <c r="F400" s="61" t="s">
        <v>1049</v>
      </c>
      <c r="G400" s="60" t="n">
        <v>46278</v>
      </c>
      <c r="H400" s="62" t="n">
        <v>-20.1</v>
      </c>
      <c r="I400" s="61" t="s">
        <v>4</v>
      </c>
      <c r="J400" s="60" t="n">
        <v>46278</v>
      </c>
      <c r="K400" s="61" t="s">
        <v>1320</v>
      </c>
      <c r="L400" s="62" t="n">
        <v>0</v>
      </c>
      <c r="M400" s="64" t="n">
        <v>0.754976851851852</v>
      </c>
      <c r="N400" s="61" t="s">
        <v>338</v>
      </c>
      <c r="O400" s="61" t="s">
        <v>1623</v>
      </c>
      <c r="P400" s="61" t="s">
        <v>359</v>
      </c>
      <c r="Q400" s="61" t="s">
        <v>360</v>
      </c>
      <c r="R400" s="62" t="n">
        <f aca="false">-H400</f>
        <v>20.1</v>
      </c>
    </row>
    <row r="401" customFormat="false" ht="15" hidden="false" customHeight="false" outlineLevel="0" collapsed="false">
      <c r="A401" s="61" t="s">
        <v>320</v>
      </c>
      <c r="B401" s="61" t="s">
        <v>157</v>
      </c>
      <c r="C401" s="61" t="s">
        <v>158</v>
      </c>
      <c r="D401" s="61" t="s">
        <v>119</v>
      </c>
      <c r="E401" s="61" t="s">
        <v>246</v>
      </c>
      <c r="F401" s="61" t="s">
        <v>1049</v>
      </c>
      <c r="G401" s="60" t="n">
        <v>46277</v>
      </c>
      <c r="H401" s="62" t="n">
        <v>-20.1</v>
      </c>
      <c r="I401" s="61" t="s">
        <v>4</v>
      </c>
      <c r="J401" s="60" t="n">
        <v>46278</v>
      </c>
      <c r="K401" s="61" t="s">
        <v>1320</v>
      </c>
      <c r="L401" s="62" t="n">
        <v>0</v>
      </c>
      <c r="M401" s="64" t="n">
        <v>0.103842592592593</v>
      </c>
      <c r="N401" s="61" t="s">
        <v>250</v>
      </c>
      <c r="O401" s="61" t="s">
        <v>1428</v>
      </c>
      <c r="P401" s="61" t="s">
        <v>321</v>
      </c>
      <c r="Q401" s="61" t="s">
        <v>322</v>
      </c>
      <c r="R401" s="62" t="n">
        <f aca="false">-H401</f>
        <v>20.1</v>
      </c>
    </row>
    <row r="402" customFormat="false" ht="15" hidden="false" customHeight="false" outlineLevel="0" collapsed="false">
      <c r="A402" s="61" t="s">
        <v>288</v>
      </c>
      <c r="B402" s="61" t="s">
        <v>157</v>
      </c>
      <c r="C402" s="61" t="s">
        <v>158</v>
      </c>
      <c r="D402" s="61" t="s">
        <v>119</v>
      </c>
      <c r="E402" s="61" t="s">
        <v>246</v>
      </c>
      <c r="F402" s="61" t="s">
        <v>1049</v>
      </c>
      <c r="G402" s="60" t="n">
        <v>46275</v>
      </c>
      <c r="H402" s="62" t="n">
        <v>-20.1</v>
      </c>
      <c r="I402" s="61" t="s">
        <v>4</v>
      </c>
      <c r="J402" s="60" t="n">
        <v>46275</v>
      </c>
      <c r="K402" s="61" t="s">
        <v>1320</v>
      </c>
      <c r="L402" s="62" t="n">
        <v>0</v>
      </c>
      <c r="M402" s="64" t="n">
        <v>0.983518518518519</v>
      </c>
      <c r="N402" s="61" t="s">
        <v>258</v>
      </c>
      <c r="O402" s="61" t="s">
        <v>1054</v>
      </c>
      <c r="P402" s="61" t="s">
        <v>289</v>
      </c>
      <c r="Q402" s="61" t="s">
        <v>290</v>
      </c>
      <c r="R402" s="62" t="n">
        <f aca="false">-H402</f>
        <v>20.1</v>
      </c>
    </row>
    <row r="403" customFormat="false" ht="15" hidden="false" customHeight="false" outlineLevel="0" collapsed="false">
      <c r="A403" s="61" t="s">
        <v>266</v>
      </c>
      <c r="B403" s="61" t="s">
        <v>157</v>
      </c>
      <c r="C403" s="61" t="s">
        <v>158</v>
      </c>
      <c r="D403" s="61" t="s">
        <v>119</v>
      </c>
      <c r="E403" s="61" t="s">
        <v>246</v>
      </c>
      <c r="F403" s="61" t="s">
        <v>1049</v>
      </c>
      <c r="G403" s="60" t="n">
        <v>46275</v>
      </c>
      <c r="H403" s="62" t="n">
        <v>-100.5</v>
      </c>
      <c r="I403" s="61" t="s">
        <v>4</v>
      </c>
      <c r="J403" s="60" t="n">
        <v>46276</v>
      </c>
      <c r="K403" s="61" t="s">
        <v>1320</v>
      </c>
      <c r="L403" s="62" t="n">
        <v>0</v>
      </c>
      <c r="M403" s="64" t="n">
        <v>0.0646180555555556</v>
      </c>
      <c r="N403" s="61" t="s">
        <v>269</v>
      </c>
      <c r="O403" s="61" t="s">
        <v>1058</v>
      </c>
      <c r="P403" s="61" t="s">
        <v>267</v>
      </c>
      <c r="Q403" s="61" t="s">
        <v>268</v>
      </c>
      <c r="R403" s="62" t="n">
        <f aca="false">-H403</f>
        <v>100.5</v>
      </c>
    </row>
    <row r="404" customFormat="false" ht="15" hidden="false" customHeight="false" outlineLevel="0" collapsed="false">
      <c r="A404" s="61" t="s">
        <v>291</v>
      </c>
      <c r="B404" s="61" t="s">
        <v>157</v>
      </c>
      <c r="C404" s="61" t="s">
        <v>158</v>
      </c>
      <c r="D404" s="61" t="s">
        <v>119</v>
      </c>
      <c r="E404" s="61" t="s">
        <v>246</v>
      </c>
      <c r="F404" s="61" t="s">
        <v>1049</v>
      </c>
      <c r="G404" s="60" t="n">
        <v>46275</v>
      </c>
      <c r="H404" s="62" t="n">
        <v>-40.2</v>
      </c>
      <c r="I404" s="61" t="s">
        <v>4</v>
      </c>
      <c r="J404" s="60" t="n">
        <v>46275</v>
      </c>
      <c r="K404" s="61" t="s">
        <v>1320</v>
      </c>
      <c r="L404" s="62" t="n">
        <v>0</v>
      </c>
      <c r="M404" s="64" t="n">
        <v>0.912280092592593</v>
      </c>
      <c r="N404" s="61" t="s">
        <v>258</v>
      </c>
      <c r="O404" s="61" t="s">
        <v>1624</v>
      </c>
      <c r="P404" s="61" t="s">
        <v>292</v>
      </c>
      <c r="Q404" s="61" t="s">
        <v>293</v>
      </c>
      <c r="R404" s="62" t="n">
        <f aca="false">-H404</f>
        <v>40.2</v>
      </c>
    </row>
    <row r="405" customFormat="false" ht="15" hidden="false" customHeight="false" outlineLevel="0" collapsed="false">
      <c r="A405" s="61" t="s">
        <v>255</v>
      </c>
      <c r="B405" s="61" t="s">
        <v>157</v>
      </c>
      <c r="C405" s="61" t="s">
        <v>158</v>
      </c>
      <c r="D405" s="61" t="s">
        <v>119</v>
      </c>
      <c r="E405" s="61" t="s">
        <v>246</v>
      </c>
      <c r="F405" s="61" t="s">
        <v>1049</v>
      </c>
      <c r="G405" s="60" t="n">
        <v>46275</v>
      </c>
      <c r="H405" s="62" t="n">
        <v>-20.1</v>
      </c>
      <c r="I405" s="61" t="s">
        <v>4</v>
      </c>
      <c r="J405" s="60" t="n">
        <v>46275</v>
      </c>
      <c r="K405" s="61" t="s">
        <v>1320</v>
      </c>
      <c r="L405" s="62" t="n">
        <v>0</v>
      </c>
      <c r="M405" s="64" t="n">
        <v>0.912060185185185</v>
      </c>
      <c r="N405" s="61" t="s">
        <v>258</v>
      </c>
      <c r="O405" s="61" t="s">
        <v>1055</v>
      </c>
      <c r="P405" s="61" t="s">
        <v>256</v>
      </c>
      <c r="Q405" s="61" t="s">
        <v>257</v>
      </c>
      <c r="R405" s="62" t="n">
        <f aca="false">-H405</f>
        <v>20.1</v>
      </c>
    </row>
    <row r="406" customFormat="false" ht="15" hidden="false" customHeight="false" outlineLevel="0" collapsed="false">
      <c r="A406" s="61" t="s">
        <v>294</v>
      </c>
      <c r="B406" s="61" t="s">
        <v>157</v>
      </c>
      <c r="C406" s="61" t="s">
        <v>158</v>
      </c>
      <c r="D406" s="61" t="s">
        <v>119</v>
      </c>
      <c r="E406" s="61" t="s">
        <v>246</v>
      </c>
      <c r="F406" s="61" t="s">
        <v>1049</v>
      </c>
      <c r="G406" s="60" t="n">
        <v>46275</v>
      </c>
      <c r="H406" s="62" t="n">
        <v>-20.1</v>
      </c>
      <c r="I406" s="61" t="s">
        <v>4</v>
      </c>
      <c r="J406" s="60" t="n">
        <v>46275</v>
      </c>
      <c r="K406" s="61" t="s">
        <v>1320</v>
      </c>
      <c r="L406" s="62" t="n">
        <v>0</v>
      </c>
      <c r="M406" s="64" t="n">
        <v>0.746284722222222</v>
      </c>
      <c r="N406" s="61" t="s">
        <v>297</v>
      </c>
      <c r="O406" s="61" t="s">
        <v>1057</v>
      </c>
      <c r="P406" s="61" t="s">
        <v>295</v>
      </c>
      <c r="Q406" s="61" t="s">
        <v>296</v>
      </c>
      <c r="R406" s="62" t="n">
        <f aca="false">-H406</f>
        <v>20.1</v>
      </c>
    </row>
  </sheetData>
  <autoFilter ref="A1:R4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8" min="3" style="0" width="17"/>
  </cols>
  <sheetData>
    <row r="1" customFormat="false" ht="26.8" hidden="false" customHeight="false" outlineLevel="0" collapsed="false">
      <c r="A1" s="44" t="s">
        <v>1625</v>
      </c>
    </row>
    <row r="2" customFormat="false" ht="15" hidden="false" customHeight="false" outlineLevel="0" collapsed="false">
      <c r="A2" s="45" t="s">
        <v>1626</v>
      </c>
    </row>
    <row r="4" customFormat="false" ht="18.55" hidden="false" customHeight="false" outlineLevel="0" collapsed="false">
      <c r="B4" s="65" t="s">
        <v>1627</v>
      </c>
    </row>
    <row r="6" customFormat="false" ht="15" hidden="false" customHeight="false" outlineLevel="0" collapsed="false">
      <c r="B6" s="61" t="s">
        <v>1628</v>
      </c>
      <c r="C6" s="66" t="n">
        <v>46280</v>
      </c>
    </row>
    <row r="7" customFormat="false" ht="15" hidden="false" customHeight="false" outlineLevel="0" collapsed="false">
      <c r="B7" s="61" t="s">
        <v>1629</v>
      </c>
      <c r="C7" s="67" t="n">
        <v>0.01</v>
      </c>
    </row>
    <row r="9" customFormat="false" ht="18.55" hidden="false" customHeight="false" outlineLevel="0" collapsed="false">
      <c r="B9" s="65" t="s">
        <v>1630</v>
      </c>
    </row>
    <row r="10" customFormat="false" ht="15" hidden="false" customHeight="false" outlineLevel="0" collapsed="false">
      <c r="B10" s="68" t="s">
        <v>1631</v>
      </c>
      <c r="C10" s="68" t="s">
        <v>1632</v>
      </c>
      <c r="D10" s="68" t="s">
        <v>1633</v>
      </c>
      <c r="E10" s="68" t="s">
        <v>1634</v>
      </c>
      <c r="F10" s="68" t="s">
        <v>1635</v>
      </c>
    </row>
    <row r="11" customFormat="false" ht="15" hidden="false" customHeight="false" outlineLevel="0" collapsed="false">
      <c r="B11" s="56" t="s">
        <v>1636</v>
      </c>
      <c r="C11" s="56" t="n">
        <f aca="false">COUNTA('Cruzamento por Lote'!$A$5:$A$98)</f>
        <v>94</v>
      </c>
      <c r="D11" s="56" t="n">
        <f aca="false">COUNTIF('Cruzamento por Lote'!$J$5:$J$98,"OK")</f>
        <v>66</v>
      </c>
      <c r="E11" s="56" t="n">
        <f aca="false">COUNTIF('Cruzamento por Lote'!$J$5:$J$98,"Sobra no estoque")</f>
        <v>23</v>
      </c>
      <c r="F11" s="56" t="n">
        <f aca="false">COUNTIF('Cruzamento por Lote'!$J$5:$J$98,"Falta no estoque")</f>
        <v>5</v>
      </c>
      <c r="G11" s="69" t="n">
        <f aca="false">IF(C11=0,0,D11/C11)</f>
        <v>0.702127659574468</v>
      </c>
    </row>
    <row r="12" customFormat="false" ht="15" hidden="false" customHeight="false" outlineLevel="0" collapsed="false">
      <c r="B12" s="56" t="s">
        <v>1637</v>
      </c>
      <c r="C12" s="56" t="n">
        <f aca="false">COUNTA('Cruzamento por Material'!$A$5:$A$54)</f>
        <v>50</v>
      </c>
      <c r="D12" s="56" t="n">
        <f aca="false">COUNTIF('Cruzamento por Material'!$I$5:$I$54,"OK")</f>
        <v>31</v>
      </c>
      <c r="E12" s="56" t="n">
        <f aca="false">COUNTIF('Cruzamento por Material'!$I$5:$I$54,"Sobra no estoque")</f>
        <v>16</v>
      </c>
      <c r="F12" s="56" t="n">
        <f aca="false">COUNTIF('Cruzamento por Material'!$I$5:$I$54,"Falta no estoque")</f>
        <v>3</v>
      </c>
      <c r="G12" s="69" t="n">
        <f aca="false">IF(C12=0,0,D12/C12)</f>
        <v>0.62</v>
      </c>
    </row>
    <row r="14" customFormat="false" ht="18.55" hidden="false" customHeight="false" outlineLevel="0" collapsed="false">
      <c r="B14" s="65" t="s">
        <v>1638</v>
      </c>
    </row>
    <row r="15" customFormat="false" ht="15" hidden="false" customHeight="false" outlineLevel="0" collapsed="false">
      <c r="B15" s="68" t="s">
        <v>90</v>
      </c>
      <c r="C15" s="68" t="s">
        <v>1639</v>
      </c>
      <c r="D15" s="68" t="s">
        <v>1640</v>
      </c>
      <c r="E15" s="68" t="s">
        <v>1641</v>
      </c>
      <c r="F15" s="68" t="s">
        <v>1642</v>
      </c>
      <c r="G15" s="68" t="s">
        <v>1643</v>
      </c>
    </row>
    <row r="16" customFormat="false" ht="15" hidden="false" customHeight="false" outlineLevel="0" collapsed="false">
      <c r="B16" s="56" t="s">
        <v>4</v>
      </c>
      <c r="C16" s="57" t="n">
        <f aca="false">SUMIFS('Cruzamento por Lote'!$E$5:$E$98,'Cruzamento por Lote'!$C$5:$C$98,$B16)</f>
        <v>65930.28</v>
      </c>
      <c r="D16" s="57" t="n">
        <f aca="false">SUMIFS('Cruzamento por Lote'!$F$5:$F$98,'Cruzamento por Lote'!$C$5:$C$98,$B16)</f>
        <v>26268.8</v>
      </c>
      <c r="E16" s="57" t="n">
        <f aca="false">SUMIFS('Cruzamento por Lote'!$G$5:$G$98,'Cruzamento por Lote'!$C$5:$C$98,$B16)</f>
        <v>39661.48</v>
      </c>
      <c r="F16" s="57" t="n">
        <f aca="false">SUMIFS('Cruzamento por Lote'!$H$5:$H$98,'Cruzamento por Lote'!$C$5:$C$98,$B16)</f>
        <v>59270.487</v>
      </c>
      <c r="G16" s="57" t="n">
        <f aca="false">SUMIFS('Cruzamento por Lote'!$I$5:$I$98,'Cruzamento por Lote'!$C$5:$C$98,$B16)</f>
        <v>19609.007</v>
      </c>
    </row>
    <row r="17" customFormat="false" ht="15" hidden="false" customHeight="false" outlineLevel="0" collapsed="false">
      <c r="B17" s="56" t="s">
        <v>9</v>
      </c>
      <c r="C17" s="57" t="n">
        <f aca="false">SUMIFS('Cruzamento por Lote'!$E$5:$E$98,'Cruzamento por Lote'!$C$5:$C$98,$B17)</f>
        <v>5400</v>
      </c>
      <c r="D17" s="57" t="n">
        <f aca="false">SUMIFS('Cruzamento por Lote'!$F$5:$F$98,'Cruzamento por Lote'!$C$5:$C$98,$B17)</f>
        <v>3015</v>
      </c>
      <c r="E17" s="57" t="n">
        <f aca="false">SUMIFS('Cruzamento por Lote'!$G$5:$G$98,'Cruzamento por Lote'!$C$5:$C$98,$B17)</f>
        <v>2385</v>
      </c>
      <c r="F17" s="57" t="n">
        <f aca="false">SUMIFS('Cruzamento por Lote'!$H$5:$H$98,'Cruzamento por Lote'!$C$5:$C$98,$B17)</f>
        <v>2449.219</v>
      </c>
      <c r="G17" s="57" t="n">
        <f aca="false">SUMIFS('Cruzamento por Lote'!$I$5:$I$98,'Cruzamento por Lote'!$C$5:$C$98,$B17)</f>
        <v>64.219</v>
      </c>
    </row>
    <row r="18" customFormat="false" ht="15" hidden="false" customHeight="false" outlineLevel="0" collapsed="false">
      <c r="B18" s="56" t="s">
        <v>12</v>
      </c>
      <c r="C18" s="57" t="n">
        <f aca="false">SUMIFS('Cruzamento por Lote'!$E$5:$E$98,'Cruzamento por Lote'!$C$5:$C$98,$B18)</f>
        <v>1637.75</v>
      </c>
      <c r="D18" s="57" t="n">
        <f aca="false">SUMIFS('Cruzamento por Lote'!$F$5:$F$98,'Cruzamento por Lote'!$C$5:$C$98,$B18)</f>
        <v>101</v>
      </c>
      <c r="E18" s="57" t="n">
        <f aca="false">SUMIFS('Cruzamento por Lote'!$G$5:$G$98,'Cruzamento por Lote'!$C$5:$C$98,$B18)</f>
        <v>1536.75</v>
      </c>
      <c r="F18" s="57" t="n">
        <f aca="false">SUMIFS('Cruzamento por Lote'!$H$5:$H$98,'Cruzamento por Lote'!$C$5:$C$98,$B18)</f>
        <v>1536.75</v>
      </c>
      <c r="G18" s="57" t="n">
        <f aca="false">SUMIFS('Cruzamento por Lote'!$I$5:$I$98,'Cruzamento por Lote'!$C$5:$C$98,$B18)</f>
        <v>0</v>
      </c>
    </row>
    <row r="20" customFormat="false" ht="18.55" hidden="false" customHeight="false" outlineLevel="0" collapsed="false">
      <c r="B20" s="65" t="s">
        <v>1644</v>
      </c>
    </row>
    <row r="21" customFormat="false" ht="15" hidden="false" customHeight="false" outlineLevel="0" collapsed="false">
      <c r="B21" s="70" t="s">
        <v>1645</v>
      </c>
      <c r="C21" s="70" t="s">
        <v>1646</v>
      </c>
      <c r="D21" s="70" t="s">
        <v>1647</v>
      </c>
    </row>
    <row r="22" customFormat="false" ht="15" hidden="false" customHeight="false" outlineLevel="0" collapsed="false">
      <c r="B22" s="56" t="s">
        <v>1648</v>
      </c>
      <c r="C22" s="56" t="n">
        <f aca="false">COUNTIF(Entrada!$K$2:$K$202,"Recebido no 2008")</f>
        <v>49</v>
      </c>
      <c r="D22" s="57" t="n">
        <f aca="false">SUMIFS(Entrada!$G$2:$G$202,Entrada!$K$2:$K$202,"Recebido no 2008")</f>
        <v>78599.5</v>
      </c>
    </row>
    <row r="23" customFormat="false" ht="15" hidden="false" customHeight="false" outlineLevel="0" collapsed="false">
      <c r="B23" s="56" t="s">
        <v>1649</v>
      </c>
      <c r="C23" s="56" t="n">
        <f aca="false">COUNTIF(Entrada!$K$2:$K$202,"Entrada")</f>
        <v>139</v>
      </c>
      <c r="D23" s="57" t="n">
        <f aca="false">-SUMIFS(Entrada!$G$2:$G$202,Entrada!$K$2:$K$202,"Entrada")</f>
        <v>75053.03</v>
      </c>
    </row>
    <row r="24" customFormat="false" ht="15" hidden="false" customHeight="false" outlineLevel="0" collapsed="false">
      <c r="B24" s="56" t="s">
        <v>1650</v>
      </c>
      <c r="C24" s="56" t="n">
        <f aca="false">COUNTIF(Entrada!$K$2:$K$202,"Estorno")</f>
        <v>13</v>
      </c>
      <c r="D24" s="57" t="n">
        <f aca="false">SUMIFS(Entrada!$G$2:$G$202,Entrada!$K$2:$K$202,"Estorno")</f>
        <v>2085</v>
      </c>
    </row>
    <row r="25" customFormat="false" ht="15" hidden="false" customHeight="false" outlineLevel="0" collapsed="false">
      <c r="B25" s="56" t="s">
        <v>1640</v>
      </c>
      <c r="C25" s="56" t="n">
        <f aca="false">COUNTA(Saida!$A$2:$A$406)</f>
        <v>405</v>
      </c>
      <c r="D25" s="57" t="n">
        <f aca="false">SUM(Saida!$R$2:$R$406)</f>
        <v>29384.8</v>
      </c>
    </row>
    <row r="26" customFormat="false" ht="15" hidden="false" customHeight="false" outlineLevel="0" collapsed="false">
      <c r="B26" s="56" t="s">
        <v>1651</v>
      </c>
      <c r="C26" s="56" t="n">
        <f aca="false">COUNTA('Estoque físico'!$C$2:$C$229)</f>
        <v>228</v>
      </c>
      <c r="D26" s="57" t="n">
        <f aca="false">SUM('Estoque físico'!$J$2:$J$229)</f>
        <v>63256.456</v>
      </c>
    </row>
    <row r="27" customFormat="false" ht="15" hidden="false" customHeight="false" outlineLevel="0" collapsed="false">
      <c r="B27" s="45" t="s">
        <v>1652</v>
      </c>
    </row>
    <row r="29" customFormat="false" ht="18.55" hidden="false" customHeight="false" outlineLevel="0" collapsed="false">
      <c r="B29" s="65" t="s">
        <v>1653</v>
      </c>
    </row>
    <row r="30" customFormat="false" ht="30" hidden="false" customHeight="true" outlineLevel="0" collapsed="false">
      <c r="B30" s="71" t="s">
        <v>1654</v>
      </c>
      <c r="C30" s="71"/>
      <c r="D30" s="71"/>
      <c r="E30" s="71"/>
      <c r="F30" s="71"/>
      <c r="G30" s="71"/>
      <c r="H30" s="71"/>
    </row>
    <row r="31" customFormat="false" ht="30" hidden="false" customHeight="true" outlineLevel="0" collapsed="false">
      <c r="B31" s="71" t="s">
        <v>1655</v>
      </c>
      <c r="C31" s="71"/>
      <c r="D31" s="71"/>
      <c r="E31" s="71"/>
      <c r="F31" s="71"/>
      <c r="G31" s="71"/>
      <c r="H31" s="71"/>
    </row>
    <row r="32" customFormat="false" ht="30" hidden="false" customHeight="true" outlineLevel="0" collapsed="false">
      <c r="B32" s="71" t="s">
        <v>1656</v>
      </c>
      <c r="C32" s="71"/>
      <c r="D32" s="71"/>
      <c r="E32" s="71"/>
      <c r="F32" s="71"/>
      <c r="G32" s="71"/>
      <c r="H32" s="71"/>
    </row>
    <row r="33" customFormat="false" ht="30" hidden="false" customHeight="true" outlineLevel="0" collapsed="false">
      <c r="B33" s="71" t="s">
        <v>1657</v>
      </c>
      <c r="C33" s="71"/>
      <c r="D33" s="71"/>
      <c r="E33" s="71"/>
      <c r="F33" s="71"/>
      <c r="G33" s="71"/>
      <c r="H33" s="71"/>
    </row>
    <row r="34" customFormat="false" ht="30" hidden="false" customHeight="true" outlineLevel="0" collapsed="false">
      <c r="B34" s="71" t="s">
        <v>1658</v>
      </c>
      <c r="C34" s="71"/>
      <c r="D34" s="71"/>
      <c r="E34" s="71"/>
      <c r="F34" s="71"/>
      <c r="G34" s="71"/>
      <c r="H34" s="71"/>
    </row>
    <row r="35" customFormat="false" ht="30" hidden="false" customHeight="true" outlineLevel="0" collapsed="false">
      <c r="B35" s="71" t="s">
        <v>1659</v>
      </c>
      <c r="C35" s="71"/>
      <c r="D35" s="71"/>
      <c r="E35" s="71"/>
      <c r="F35" s="71"/>
      <c r="G35" s="71"/>
      <c r="H35" s="71"/>
    </row>
  </sheetData>
  <mergeCells count="6">
    <mergeCell ref="B30:H30"/>
    <mergeCell ref="B31:H31"/>
    <mergeCell ref="B32:H32"/>
    <mergeCell ref="B33:H33"/>
    <mergeCell ref="B34:H34"/>
    <mergeCell ref="B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K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6"/>
    <col collapsed="false" customWidth="true" hidden="false" outlineLevel="0" max="4" min="3" style="0" width="15"/>
    <col collapsed="false" customWidth="true" hidden="false" outlineLevel="0" max="5" min="5" style="0" width="13"/>
    <col collapsed="false" customWidth="true" hidden="false" outlineLevel="0" max="6" min="6" style="0" width="17"/>
    <col collapsed="false" customWidth="true" hidden="false" outlineLevel="0" max="7" min="7" style="0" width="13"/>
    <col collapsed="false" customWidth="true" hidden="false" outlineLevel="0" max="8" min="8" style="0" width="17"/>
    <col collapsed="false" customWidth="true" hidden="false" outlineLevel="0" max="9" min="9" style="0" width="26"/>
    <col collapsed="false" customWidth="true" hidden="false" outlineLevel="0" max="10" min="10" style="0" width="44"/>
    <col collapsed="false" customWidth="true" hidden="false" outlineLevel="0" max="11" min="11" style="0" width="18"/>
  </cols>
  <sheetData>
    <row r="1" customFormat="false" ht="26.8" hidden="false" customHeight="false" outlineLevel="0" collapsed="false">
      <c r="A1" s="44" t="s">
        <v>1660</v>
      </c>
    </row>
    <row r="2" customFormat="false" ht="15" hidden="false" customHeight="false" outlineLevel="0" collapsed="false">
      <c r="A2" s="45" t="s">
        <v>1661</v>
      </c>
    </row>
    <row r="4" customFormat="false" ht="45" hidden="false" customHeight="true" outlineLevel="0" collapsed="false">
      <c r="A4" s="33" t="s">
        <v>14</v>
      </c>
      <c r="B4" s="33" t="s">
        <v>90</v>
      </c>
      <c r="C4" s="33" t="s">
        <v>1662</v>
      </c>
      <c r="D4" s="33" t="s">
        <v>1663</v>
      </c>
      <c r="E4" s="33" t="s">
        <v>1664</v>
      </c>
      <c r="F4" s="33" t="s">
        <v>1665</v>
      </c>
      <c r="G4" s="33" t="s">
        <v>1666</v>
      </c>
      <c r="H4" s="33" t="s">
        <v>1667</v>
      </c>
      <c r="I4" s="33" t="s">
        <v>1668</v>
      </c>
      <c r="J4" s="33" t="s">
        <v>1669</v>
      </c>
      <c r="K4" s="33" t="s">
        <v>1670</v>
      </c>
    </row>
    <row r="5" customFormat="false" ht="15" hidden="false" customHeight="false" outlineLevel="0" collapsed="false">
      <c r="A5" s="56" t="s">
        <v>29</v>
      </c>
      <c r="B5" s="56" t="s">
        <v>4</v>
      </c>
      <c r="C5" s="57" t="n">
        <f aca="false">SUMIFS(Entrada!$G$2:$G$202,Entrada!$B$2:$B$202,$A5,Entrada!$K$2:$K$202,"Recebido no 2008")</f>
        <v>0</v>
      </c>
      <c r="D5" s="57" t="n">
        <f aca="false">SUMIFS(Entrada!$L$2:$L$202,Entrada!$B$2:$B$202,$A5)</f>
        <v>2.8</v>
      </c>
      <c r="E5" s="57" t="n">
        <f aca="false">SUMIFS(Saida!$R$2:$R$406,Saida!$B$2:$B$406,$A5)</f>
        <v>226.8</v>
      </c>
      <c r="F5" s="57" t="n">
        <f aca="false">D5-E5</f>
        <v>-224</v>
      </c>
      <c r="G5" s="57" t="n">
        <f aca="false">SUMIFS('Estoque físico'!$J$2:$J$229,'Estoque físico'!$A$2:$A$229,$A5)</f>
        <v>5513.2</v>
      </c>
      <c r="H5" s="72" t="n">
        <f aca="false">ROUND(G5-F5,3)</f>
        <v>5737.2</v>
      </c>
      <c r="I5" s="56" t="str">
        <f aca="false">IF(ABS(H5)&lt;=Resumo!$C$7,"OK",IF(H5&gt;0,"Sobra no estoque","Falta no estoque"))</f>
        <v>Sobra no estoque</v>
      </c>
      <c r="J5" s="56" t="str">
        <f aca="false">IF(I5="OK","",IF(AND(D5=0,E5=0),"Estoque sem movimento no período",IF(F5&lt;0,"Saídas maiores que entradas – estoque anterior ao período?",IF(G5=0,"Saldo calculado sem estoque físico – verificar",IF(H5&gt;0,"Estoque acima do esperado – saldo anterior ou entrada não listada","Estoque abaixo do esperado – saída/ajuste não listado")))))</f>
        <v>Saídas maiores que entradas – estoque anterior ao período?</v>
      </c>
      <c r="K5" s="57" t="str">
        <f aca="false">IF(C5=0,"",C5-D5)</f>
        <v/>
      </c>
    </row>
    <row r="6" customFormat="false" ht="15" hidden="false" customHeight="false" outlineLevel="0" collapsed="false">
      <c r="A6" s="56" t="s">
        <v>81</v>
      </c>
      <c r="B6" s="56" t="s">
        <v>4</v>
      </c>
      <c r="C6" s="57" t="n">
        <f aca="false">SUMIFS(Entrada!$G$2:$G$202,Entrada!$B$2:$B$202,$A6,Entrada!$K$2:$K$202,"Recebido no 2008")</f>
        <v>0</v>
      </c>
      <c r="D6" s="57" t="n">
        <f aca="false">SUMIFS(Entrada!$L$2:$L$202,Entrada!$B$2:$B$202,$A6)</f>
        <v>1254</v>
      </c>
      <c r="E6" s="57" t="n">
        <f aca="false">SUMIFS(Saida!$R$2:$R$406,Saida!$B$2:$B$406,$A6)</f>
        <v>906</v>
      </c>
      <c r="F6" s="57" t="n">
        <f aca="false">D6-E6</f>
        <v>348</v>
      </c>
      <c r="G6" s="57" t="n">
        <f aca="false">SUMIFS('Estoque físico'!$J$2:$J$229,'Estoque físico'!$A$2:$A$229,$A6)</f>
        <v>4042.998</v>
      </c>
      <c r="H6" s="72" t="n">
        <f aca="false">ROUND(G6-F6,3)</f>
        <v>3694.998</v>
      </c>
      <c r="I6" s="56" t="str">
        <f aca="false">IF(ABS(H6)&lt;=Resumo!$C$7,"OK",IF(H6&gt;0,"Sobra no estoque","Falta no estoque"))</f>
        <v>Sobra no estoque</v>
      </c>
      <c r="J6" s="56" t="str">
        <f aca="false">IF(I6="OK","",IF(AND(D6=0,E6=0),"Estoque sem movimento no período",IF(F6&lt;0,"Saídas maiores que entradas – estoque anterior ao período?",IF(G6=0,"Saldo calculado sem estoque físico – verificar",IF(H6&gt;0,"Estoque acima do esperado – saldo anterior ou entrada não listada","Estoque abaixo do esperado – saída/ajuste não listado")))))</f>
        <v>Estoque acima do esperado – saldo anterior ou entrada não listada</v>
      </c>
      <c r="K6" s="57" t="str">
        <f aca="false">IF(C6=0,"",C6-D6)</f>
        <v/>
      </c>
    </row>
    <row r="7" customFormat="false" ht="15" hidden="false" customHeight="false" outlineLevel="0" collapsed="false">
      <c r="A7" s="56" t="s">
        <v>61</v>
      </c>
      <c r="B7" s="56" t="s">
        <v>4</v>
      </c>
      <c r="C7" s="57" t="n">
        <f aca="false">SUMIFS(Entrada!$G$2:$G$202,Entrada!$B$2:$B$202,$A7,Entrada!$K$2:$K$202,"Recebido no 2008")</f>
        <v>0</v>
      </c>
      <c r="D7" s="57" t="n">
        <f aca="false">SUMIFS(Entrada!$L$2:$L$202,Entrada!$B$2:$B$202,$A7)</f>
        <v>240</v>
      </c>
      <c r="E7" s="57" t="n">
        <f aca="false">SUMIFS(Saida!$R$2:$R$406,Saida!$B$2:$B$406,$A7)</f>
        <v>6</v>
      </c>
      <c r="F7" s="57" t="n">
        <f aca="false">D7-E7</f>
        <v>234</v>
      </c>
      <c r="G7" s="57" t="n">
        <f aca="false">SUMIFS('Estoque físico'!$J$2:$J$229,'Estoque físico'!$A$2:$A$229,$A7)</f>
        <v>3432</v>
      </c>
      <c r="H7" s="72" t="n">
        <f aca="false">ROUND(G7-F7,3)</f>
        <v>3198</v>
      </c>
      <c r="I7" s="56" t="str">
        <f aca="false">IF(ABS(H7)&lt;=Resumo!$C$7,"OK",IF(H7&gt;0,"Sobra no estoque","Falta no estoque"))</f>
        <v>Sobra no estoque</v>
      </c>
      <c r="J7" s="56" t="str">
        <f aca="false">IF(I7="OK","",IF(AND(D7=0,E7=0),"Estoque sem movimento no período",IF(F7&lt;0,"Saídas maiores que entradas – estoque anterior ao período?",IF(G7=0,"Saldo calculado sem estoque físico – verificar",IF(H7&gt;0,"Estoque acima do esperado – saldo anterior ou entrada não listada","Estoque abaixo do esperado – saída/ajuste não listado")))))</f>
        <v>Estoque acima do esperado – saldo anterior ou entrada não listada</v>
      </c>
      <c r="K7" s="57" t="str">
        <f aca="false">IF(C7=0,"",C7-D7)</f>
        <v/>
      </c>
    </row>
    <row r="8" customFormat="false" ht="15" hidden="false" customHeight="false" outlineLevel="0" collapsed="false">
      <c r="A8" s="56" t="s">
        <v>41</v>
      </c>
      <c r="B8" s="56" t="s">
        <v>4</v>
      </c>
      <c r="C8" s="57" t="n">
        <f aca="false">SUMIFS(Entrada!$G$2:$G$202,Entrada!$B$2:$B$202,$A8,Entrada!$K$2:$K$202,"Recebido no 2008")</f>
        <v>0</v>
      </c>
      <c r="D8" s="57" t="n">
        <f aca="false">SUMIFS(Entrada!$L$2:$L$202,Entrada!$B$2:$B$202,$A8)</f>
        <v>2.8</v>
      </c>
      <c r="E8" s="57" t="n">
        <f aca="false">SUMIFS(Saida!$R$2:$R$406,Saida!$B$2:$B$406,$A8)</f>
        <v>677.6</v>
      </c>
      <c r="F8" s="57" t="n">
        <f aca="false">D8-E8</f>
        <v>-674.8</v>
      </c>
      <c r="G8" s="57" t="n">
        <f aca="false">SUMIFS('Estoque físico'!$J$2:$J$229,'Estoque físico'!$A$2:$A$229,$A8)</f>
        <v>1853.6</v>
      </c>
      <c r="H8" s="72" t="n">
        <f aca="false">ROUND(G8-F8,3)</f>
        <v>2528.4</v>
      </c>
      <c r="I8" s="56" t="str">
        <f aca="false">IF(ABS(H8)&lt;=Resumo!$C$7,"OK",IF(H8&gt;0,"Sobra no estoque","Falta no estoque"))</f>
        <v>Sobra no estoque</v>
      </c>
      <c r="J8" s="56" t="str">
        <f aca="false">IF(I8="OK","",IF(AND(D8=0,E8=0),"Estoque sem movimento no período",IF(F8&lt;0,"Saídas maiores que entradas – estoque anterior ao período?",IF(G8=0,"Saldo calculado sem estoque físico – verificar",IF(H8&gt;0,"Estoque acima do esperado – saldo anterior ou entrada não listada","Estoque abaixo do esperado – saída/ajuste não listado")))))</f>
        <v>Saídas maiores que entradas – estoque anterior ao período?</v>
      </c>
      <c r="K8" s="57" t="str">
        <f aca="false">IF(C8=0,"",C8-D8)</f>
        <v/>
      </c>
    </row>
    <row r="9" customFormat="false" ht="15" hidden="false" customHeight="false" outlineLevel="0" collapsed="false">
      <c r="A9" s="56" t="s">
        <v>23</v>
      </c>
      <c r="B9" s="56" t="s">
        <v>4</v>
      </c>
      <c r="C9" s="57" t="n">
        <f aca="false">SUMIFS(Entrada!$G$2:$G$202,Entrada!$B$2:$B$202,$A9,Entrada!$K$2:$K$202,"Recebido no 2008")</f>
        <v>0</v>
      </c>
      <c r="D9" s="57" t="n">
        <f aca="false">SUMIFS(Entrada!$L$2:$L$202,Entrada!$B$2:$B$202,$A9)</f>
        <v>456.4</v>
      </c>
      <c r="E9" s="57" t="n">
        <f aca="false">SUMIFS(Saida!$R$2:$R$406,Saida!$B$2:$B$406,$A9)</f>
        <v>221.2</v>
      </c>
      <c r="F9" s="57" t="n">
        <f aca="false">D9-E9</f>
        <v>235.2</v>
      </c>
      <c r="G9" s="57" t="n">
        <f aca="false">SUMIFS('Estoque físico'!$J$2:$J$229,'Estoque físico'!$A$2:$A$229,$A9)</f>
        <v>1503.6</v>
      </c>
      <c r="H9" s="72" t="n">
        <f aca="false">ROUND(G9-F9,3)</f>
        <v>1268.4</v>
      </c>
      <c r="I9" s="56" t="str">
        <f aca="false">IF(ABS(H9)&lt;=Resumo!$C$7,"OK",IF(H9&gt;0,"Sobra no estoque","Falta no estoque"))</f>
        <v>Sobra no estoque</v>
      </c>
      <c r="J9" s="56" t="str">
        <f aca="false">IF(I9="OK","",IF(AND(D9=0,E9=0),"Estoque sem movimento no período",IF(F9&lt;0,"Saídas maiores que entradas – estoque anterior ao período?",IF(G9=0,"Saldo calculado sem estoque físico – verificar",IF(H9&gt;0,"Estoque acima do esperado – saldo anterior ou entrada não listada","Estoque abaixo do esperado – saída/ajuste não listado")))))</f>
        <v>Estoque acima do esperado – saldo anterior ou entrada não listada</v>
      </c>
      <c r="K9" s="57" t="str">
        <f aca="false">IF(C9=0,"",C9-D9)</f>
        <v/>
      </c>
    </row>
    <row r="10" customFormat="false" ht="15" hidden="false" customHeight="false" outlineLevel="0" collapsed="false">
      <c r="A10" s="56" t="s">
        <v>157</v>
      </c>
      <c r="B10" s="56" t="s">
        <v>4</v>
      </c>
      <c r="C10" s="57" t="n">
        <f aca="false">SUMIFS(Entrada!$G$2:$G$202,Entrada!$B$2:$B$202,$A10,Entrada!$K$2:$K$202,"Recebido no 2008")</f>
        <v>3015</v>
      </c>
      <c r="D10" s="57" t="n">
        <f aca="false">SUMIFS(Entrada!$L$2:$L$202,Entrada!$B$2:$B$202,$A10)</f>
        <v>3025.7</v>
      </c>
      <c r="E10" s="57" t="n">
        <f aca="false">SUMIFS(Saida!$R$2:$R$406,Saida!$B$2:$B$406,$A10)</f>
        <v>1909.5</v>
      </c>
      <c r="F10" s="57" t="n">
        <f aca="false">D10-E10</f>
        <v>1116.2</v>
      </c>
      <c r="G10" s="57" t="n">
        <f aca="false">SUMIFS('Estoque físico'!$J$2:$J$229,'Estoque físico'!$A$2:$A$229,$A10)</f>
        <v>2219.69</v>
      </c>
      <c r="H10" s="72" t="n">
        <f aca="false">ROUND(G10-F10,3)</f>
        <v>1103.49</v>
      </c>
      <c r="I10" s="56" t="str">
        <f aca="false">IF(ABS(H10)&lt;=Resumo!$C$7,"OK",IF(H10&gt;0,"Sobra no estoque","Falta no estoque"))</f>
        <v>Sobra no estoque</v>
      </c>
      <c r="J10" s="56" t="str">
        <f aca="false">IF(I10="OK","",IF(AND(D10=0,E10=0),"Estoque sem movimento no período",IF(F10&lt;0,"Saídas maiores que entradas – estoque anterior ao período?",IF(G10=0,"Saldo calculado sem estoque físico – verificar",IF(H10&gt;0,"Estoque acima do esperado – saldo anterior ou entrada não listada","Estoque abaixo do esperado – saída/ajuste não listado")))))</f>
        <v>Estoque acima do esperado – saldo anterior ou entrada não listada</v>
      </c>
      <c r="K10" s="57" t="n">
        <f aca="false">IF(C10=0,"",C10-D10)</f>
        <v>-10.7000000000003</v>
      </c>
    </row>
    <row r="11" customFormat="false" ht="15" hidden="false" customHeight="false" outlineLevel="0" collapsed="false">
      <c r="A11" s="56" t="s">
        <v>110</v>
      </c>
      <c r="B11" s="56" t="s">
        <v>4</v>
      </c>
      <c r="C11" s="57" t="n">
        <f aca="false">SUMIFS(Entrada!$G$2:$G$202,Entrada!$B$2:$B$202,$A11,Entrada!$K$2:$K$202,"Recebido no 2008")</f>
        <v>1206</v>
      </c>
      <c r="D11" s="57" t="n">
        <f aca="false">SUMIFS(Entrada!$L$2:$L$202,Entrada!$B$2:$B$202,$A11)</f>
        <v>4844</v>
      </c>
      <c r="E11" s="57" t="n">
        <f aca="false">SUMIFS(Saida!$R$2:$R$406,Saida!$B$2:$B$406,$A11)</f>
        <v>2211</v>
      </c>
      <c r="F11" s="57" t="n">
        <f aca="false">D11-E11</f>
        <v>2633</v>
      </c>
      <c r="G11" s="57" t="n">
        <f aca="false">SUMIFS('Estoque físico'!$J$2:$J$229,'Estoque físico'!$A$2:$A$229,$A11)</f>
        <v>3698.3</v>
      </c>
      <c r="H11" s="72" t="n">
        <f aca="false">ROUND(G11-F11,3)</f>
        <v>1065.3</v>
      </c>
      <c r="I11" s="56" t="str">
        <f aca="false">IF(ABS(H11)&lt;=Resumo!$C$7,"OK",IF(H11&gt;0,"Sobra no estoque","Falta no estoque"))</f>
        <v>Sobra no estoque</v>
      </c>
      <c r="J11" s="56" t="str">
        <f aca="false">IF(I11="OK","",IF(AND(D11=0,E11=0),"Estoque sem movimento no período",IF(F11&lt;0,"Saídas maiores que entradas – estoque anterior ao período?",IF(G11=0,"Saldo calculado sem estoque físico – verificar",IF(H11&gt;0,"Estoque acima do esperado – saldo anterior ou entrada não listada","Estoque abaixo do esperado – saída/ajuste não listado")))))</f>
        <v>Estoque acima do esperado – saldo anterior ou entrada não listada</v>
      </c>
      <c r="K11" s="57" t="n">
        <f aca="false">IF(C11=0,"",C11-D11)</f>
        <v>-3638</v>
      </c>
    </row>
    <row r="12" customFormat="false" ht="15" hidden="false" customHeight="false" outlineLevel="0" collapsed="false">
      <c r="A12" s="56" t="s">
        <v>104</v>
      </c>
      <c r="B12" s="56" t="s">
        <v>4</v>
      </c>
      <c r="C12" s="57" t="n">
        <f aca="false">SUMIFS(Entrada!$G$2:$G$202,Entrada!$B$2:$B$202,$A12,Entrada!$K$2:$K$202,"Recebido no 2008")</f>
        <v>0</v>
      </c>
      <c r="D12" s="57" t="n">
        <f aca="false">SUMIFS(Entrada!$L$2:$L$202,Entrada!$B$2:$B$202,$A12)</f>
        <v>918</v>
      </c>
      <c r="E12" s="57" t="n">
        <f aca="false">SUMIFS(Saida!$R$2:$R$406,Saida!$B$2:$B$406,$A12)</f>
        <v>186</v>
      </c>
      <c r="F12" s="57" t="n">
        <f aca="false">D12-E12</f>
        <v>732</v>
      </c>
      <c r="G12" s="57" t="n">
        <f aca="false">SUMIFS('Estoque físico'!$J$2:$J$229,'Estoque físico'!$A$2:$A$229,$A12)</f>
        <v>1272</v>
      </c>
      <c r="H12" s="72" t="n">
        <f aca="false">ROUND(G12-F12,3)</f>
        <v>540</v>
      </c>
      <c r="I12" s="56" t="str">
        <f aca="false">IF(ABS(H12)&lt;=Resumo!$C$7,"OK",IF(H12&gt;0,"Sobra no estoque","Falta no estoque"))</f>
        <v>Sobra no estoque</v>
      </c>
      <c r="J12" s="56" t="str">
        <f aca="false">IF(I12="OK","",IF(AND(D12=0,E12=0),"Estoque sem movimento no período",IF(F12&lt;0,"Saídas maiores que entradas – estoque anterior ao período?",IF(G12=0,"Saldo calculado sem estoque físico – verificar",IF(H12&gt;0,"Estoque acima do esperado – saldo anterior ou entrada não listada","Estoque abaixo do esperado – saída/ajuste não listado")))))</f>
        <v>Estoque acima do esperado – saldo anterior ou entrada não listada</v>
      </c>
      <c r="K12" s="57" t="str">
        <f aca="false">IF(C12=0,"",C12-D12)</f>
        <v/>
      </c>
    </row>
    <row r="13" customFormat="false" ht="15" hidden="false" customHeight="false" outlineLevel="0" collapsed="false">
      <c r="A13" s="56" t="s">
        <v>7</v>
      </c>
      <c r="B13" s="56" t="s">
        <v>4</v>
      </c>
      <c r="C13" s="57" t="n">
        <f aca="false">SUMIFS(Entrada!$G$2:$G$202,Entrada!$B$2:$B$202,$A13,Entrada!$K$2:$K$202,"Recebido no 2008")</f>
        <v>6633</v>
      </c>
      <c r="D13" s="57" t="n">
        <f aca="false">SUMIFS(Entrada!$L$2:$L$202,Entrada!$B$2:$B$202,$A13)</f>
        <v>3618</v>
      </c>
      <c r="E13" s="57" t="n">
        <f aca="false">SUMIFS(Saida!$R$2:$R$406,Saida!$B$2:$B$406,$A13)</f>
        <v>2994.9</v>
      </c>
      <c r="F13" s="57" t="n">
        <f aca="false">D13-E13</f>
        <v>623.1</v>
      </c>
      <c r="G13" s="57" t="n">
        <f aca="false">SUMIFS('Estoque físico'!$J$2:$J$229,'Estoque físico'!$A$2:$A$229,$A13)</f>
        <v>964.8</v>
      </c>
      <c r="H13" s="72" t="n">
        <f aca="false">ROUND(G13-F13,3)</f>
        <v>341.7</v>
      </c>
      <c r="I13" s="56" t="str">
        <f aca="false">IF(ABS(H13)&lt;=Resumo!$C$7,"OK",IF(H13&gt;0,"Sobra no estoque","Falta no estoque"))</f>
        <v>Sobra no estoque</v>
      </c>
      <c r="J13" s="56" t="str">
        <f aca="false">IF(I13="OK","",IF(AND(D13=0,E13=0),"Estoque sem movimento no período",IF(F13&lt;0,"Saídas maiores que entradas – estoque anterior ao período?",IF(G13=0,"Saldo calculado sem estoque físico – verificar",IF(H13&gt;0,"Estoque acima do esperado – saldo anterior ou entrada não listada","Estoque abaixo do esperado – saída/ajuste não listado")))))</f>
        <v>Estoque acima do esperado – saldo anterior ou entrada não listada</v>
      </c>
      <c r="K13" s="57" t="n">
        <f aca="false">IF(C13=0,"",C13-D13)</f>
        <v>3015</v>
      </c>
    </row>
    <row r="14" customFormat="false" ht="15" hidden="false" customHeight="false" outlineLevel="0" collapsed="false">
      <c r="A14" s="56" t="s">
        <v>69</v>
      </c>
      <c r="B14" s="56" t="s">
        <v>4</v>
      </c>
      <c r="C14" s="57" t="n">
        <f aca="false">SUMIFS(Entrada!$G$2:$G$202,Entrada!$B$2:$B$202,$A14,Entrada!$K$2:$K$202,"Recebido no 2008")</f>
        <v>1185.9</v>
      </c>
      <c r="D14" s="57" t="n">
        <f aca="false">SUMIFS(Entrada!$L$2:$L$202,Entrada!$B$2:$B$202,$A14)</f>
        <v>2713.5</v>
      </c>
      <c r="E14" s="57" t="n">
        <f aca="false">SUMIFS(Saida!$R$2:$R$406,Saida!$B$2:$B$406,$A14)</f>
        <v>1045.2</v>
      </c>
      <c r="F14" s="57" t="n">
        <f aca="false">D14-E14</f>
        <v>1668.3</v>
      </c>
      <c r="G14" s="57" t="n">
        <f aca="false">SUMIFS('Estoque físico'!$J$2:$J$229,'Estoque físico'!$A$2:$A$229,$A14)</f>
        <v>1342.68</v>
      </c>
      <c r="H14" s="72" t="n">
        <f aca="false">ROUND(G14-F14,3)</f>
        <v>-325.62</v>
      </c>
      <c r="I14" s="56" t="str">
        <f aca="false">IF(ABS(H14)&lt;=Resumo!$C$7,"OK",IF(H14&gt;0,"Sobra no estoque","Falta no estoque"))</f>
        <v>Falta no estoque</v>
      </c>
      <c r="J14" s="56" t="str">
        <f aca="false">IF(I14="OK","",IF(AND(D14=0,E14=0),"Estoque sem movimento no período",IF(F14&lt;0,"Saídas maiores que entradas – estoque anterior ao período?",IF(G14=0,"Saldo calculado sem estoque físico – verificar",IF(H14&gt;0,"Estoque acima do esperado – saldo anterior ou entrada não listada","Estoque abaixo do esperado – saída/ajuste não listado")))))</f>
        <v>Estoque abaixo do esperado – saída/ajuste não listado</v>
      </c>
      <c r="K14" s="57" t="n">
        <f aca="false">IF(C14=0,"",C14-D14)</f>
        <v>-1527.6</v>
      </c>
    </row>
    <row r="15" customFormat="false" ht="15" hidden="false" customHeight="false" outlineLevel="0" collapsed="false">
      <c r="A15" s="56" t="s">
        <v>27</v>
      </c>
      <c r="B15" s="56" t="s">
        <v>4</v>
      </c>
      <c r="C15" s="57" t="n">
        <f aca="false">SUMIFS(Entrada!$G$2:$G$202,Entrada!$B$2:$B$202,$A15,Entrada!$K$2:$K$202,"Recebido no 2008")</f>
        <v>0</v>
      </c>
      <c r="D15" s="57" t="n">
        <f aca="false">SUMIFS(Entrada!$L$2:$L$202,Entrada!$B$2:$B$202,$A15)</f>
        <v>2914.5</v>
      </c>
      <c r="E15" s="57" t="n">
        <f aca="false">SUMIFS(Saida!$R$2:$R$406,Saida!$B$2:$B$406,$A15)</f>
        <v>1386.9</v>
      </c>
      <c r="F15" s="57" t="n">
        <f aca="false">D15-E15</f>
        <v>1527.6</v>
      </c>
      <c r="G15" s="57" t="n">
        <f aca="false">SUMIFS('Estoque físico'!$J$2:$J$229,'Estoque físico'!$A$2:$A$229,$A15)</f>
        <v>1821.06</v>
      </c>
      <c r="H15" s="72" t="n">
        <f aca="false">ROUND(G15-F15,3)</f>
        <v>293.46</v>
      </c>
      <c r="I15" s="56" t="str">
        <f aca="false">IF(ABS(H15)&lt;=Resumo!$C$7,"OK",IF(H15&gt;0,"Sobra no estoque","Falta no estoque"))</f>
        <v>Sobra no estoque</v>
      </c>
      <c r="J15" s="56" t="str">
        <f aca="false">IF(I15="OK","",IF(AND(D15=0,E15=0),"Estoque sem movimento no período",IF(F15&lt;0,"Saídas maiores que entradas – estoque anterior ao período?",IF(G15=0,"Saldo calculado sem estoque físico – verificar",IF(H15&gt;0,"Estoque acima do esperado – saldo anterior ou entrada não listada","Estoque abaixo do esperado – saída/ajuste não listado")))))</f>
        <v>Estoque acima do esperado – saldo anterior ou entrada não listada</v>
      </c>
      <c r="K15" s="57" t="str">
        <f aca="false">IF(C15=0,"",C15-D15)</f>
        <v/>
      </c>
    </row>
    <row r="16" customFormat="false" ht="15" hidden="false" customHeight="false" outlineLevel="0" collapsed="false">
      <c r="A16" s="56" t="s">
        <v>88</v>
      </c>
      <c r="B16" s="56" t="s">
        <v>4</v>
      </c>
      <c r="C16" s="57" t="n">
        <f aca="false">SUMIFS(Entrada!$G$2:$G$202,Entrada!$B$2:$B$202,$A16,Entrada!$K$2:$K$202,"Recebido no 2008")</f>
        <v>0</v>
      </c>
      <c r="D16" s="57" t="n">
        <f aca="false">SUMIFS(Entrada!$L$2:$L$202,Entrada!$B$2:$B$202,$A16)</f>
        <v>261.12</v>
      </c>
      <c r="E16" s="57" t="n">
        <f aca="false">SUMIFS(Saida!$R$2:$R$406,Saida!$B$2:$B$406,$A16)</f>
        <v>0</v>
      </c>
      <c r="F16" s="57" t="n">
        <f aca="false">D16-E16</f>
        <v>261.12</v>
      </c>
      <c r="G16" s="57" t="n">
        <f aca="false">SUMIFS('Estoque físico'!$J$2:$J$229,'Estoque físico'!$A$2:$A$229,$A16)</f>
        <v>0</v>
      </c>
      <c r="H16" s="72" t="n">
        <f aca="false">ROUND(G16-F16,3)</f>
        <v>-261.12</v>
      </c>
      <c r="I16" s="56" t="str">
        <f aca="false">IF(ABS(H16)&lt;=Resumo!$C$7,"OK",IF(H16&gt;0,"Sobra no estoque","Falta no estoque"))</f>
        <v>Falta no estoque</v>
      </c>
      <c r="J16" s="56" t="str">
        <f aca="false">IF(I16="OK","",IF(AND(D16=0,E16=0),"Estoque sem movimento no período",IF(F16&lt;0,"Saídas maiores que entradas – estoque anterior ao período?",IF(G16=0,"Saldo calculado sem estoque físico – verificar",IF(H16&gt;0,"Estoque acima do esperado – saldo anterior ou entrada não listada","Estoque abaixo do esperado – saída/ajuste não listado")))))</f>
        <v>Saldo calculado sem estoque físico – verificar</v>
      </c>
      <c r="K16" s="57" t="str">
        <f aca="false">IF(C16=0,"",C16-D16)</f>
        <v/>
      </c>
    </row>
    <row r="17" customFormat="false" ht="15" hidden="false" customHeight="false" outlineLevel="0" collapsed="false">
      <c r="A17" s="56" t="s">
        <v>75</v>
      </c>
      <c r="B17" s="56" t="s">
        <v>4</v>
      </c>
      <c r="C17" s="57" t="n">
        <f aca="false">SUMIFS(Entrada!$G$2:$G$202,Entrada!$B$2:$B$202,$A17,Entrada!$K$2:$K$202,"Recebido no 2008")</f>
        <v>1920</v>
      </c>
      <c r="D17" s="57" t="n">
        <f aca="false">SUMIFS(Entrada!$L$2:$L$202,Entrada!$B$2:$B$202,$A17)</f>
        <v>960</v>
      </c>
      <c r="E17" s="57" t="n">
        <f aca="false">SUMIFS(Saida!$R$2:$R$406,Saida!$B$2:$B$406,$A17)</f>
        <v>176</v>
      </c>
      <c r="F17" s="57" t="n">
        <f aca="false">D17-E17</f>
        <v>784</v>
      </c>
      <c r="G17" s="57" t="n">
        <f aca="false">SUMIFS('Estoque físico'!$J$2:$J$229,'Estoque físico'!$A$2:$A$229,$A17)</f>
        <v>1032</v>
      </c>
      <c r="H17" s="72" t="n">
        <f aca="false">ROUND(G17-F17,3)</f>
        <v>248</v>
      </c>
      <c r="I17" s="56" t="str">
        <f aca="false">IF(ABS(H17)&lt;=Resumo!$C$7,"OK",IF(H17&gt;0,"Sobra no estoque","Falta no estoque"))</f>
        <v>Sobra no estoque</v>
      </c>
      <c r="J17" s="56" t="str">
        <f aca="false">IF(I17="OK","",IF(AND(D17=0,E17=0),"Estoque sem movimento no período",IF(F17&lt;0,"Saídas maiores que entradas – estoque anterior ao período?",IF(G17=0,"Saldo calculado sem estoque físico – verificar",IF(H17&gt;0,"Estoque acima do esperado – saldo anterior ou entrada não listada","Estoque abaixo do esperado – saída/ajuste não listado")))))</f>
        <v>Estoque acima do esperado – saldo anterior ou entrada não listada</v>
      </c>
      <c r="K17" s="57" t="n">
        <f aca="false">IF(C17=0,"",C17-D17)</f>
        <v>960</v>
      </c>
    </row>
    <row r="18" customFormat="false" ht="15" hidden="false" customHeight="false" outlineLevel="0" collapsed="false">
      <c r="A18" s="56" t="s">
        <v>51</v>
      </c>
      <c r="B18" s="56" t="s">
        <v>4</v>
      </c>
      <c r="C18" s="57" t="n">
        <f aca="false">SUMIFS(Entrada!$G$2:$G$202,Entrada!$B$2:$B$202,$A18,Entrada!$K$2:$K$202,"Recebido no 2008")</f>
        <v>2880</v>
      </c>
      <c r="D18" s="57" t="n">
        <f aca="false">SUMIFS(Entrada!$L$2:$L$202,Entrada!$B$2:$B$202,$A18)</f>
        <v>1240</v>
      </c>
      <c r="E18" s="57" t="n">
        <f aca="false">SUMIFS(Saida!$R$2:$R$406,Saida!$B$2:$B$406,$A18)</f>
        <v>300</v>
      </c>
      <c r="F18" s="57" t="n">
        <f aca="false">D18-E18</f>
        <v>940</v>
      </c>
      <c r="G18" s="57" t="n">
        <f aca="false">SUMIFS('Estoque físico'!$J$2:$J$229,'Estoque físico'!$A$2:$A$229,$A18)</f>
        <v>730</v>
      </c>
      <c r="H18" s="72" t="n">
        <f aca="false">ROUND(G18-F18,3)</f>
        <v>-210</v>
      </c>
      <c r="I18" s="56" t="str">
        <f aca="false">IF(ABS(H18)&lt;=Resumo!$C$7,"OK",IF(H18&gt;0,"Sobra no estoque","Falta no estoque"))</f>
        <v>Falta no estoque</v>
      </c>
      <c r="J18" s="56" t="str">
        <f aca="false">IF(I18="OK","",IF(AND(D18=0,E18=0),"Estoque sem movimento no período",IF(F18&lt;0,"Saídas maiores que entradas – estoque anterior ao período?",IF(G18=0,"Saldo calculado sem estoque físico – verificar",IF(H18&gt;0,"Estoque acima do esperado – saldo anterior ou entrada não listada","Estoque abaixo do esperado – saída/ajuste não listado")))))</f>
        <v>Estoque abaixo do esperado – saída/ajuste não listado</v>
      </c>
      <c r="K18" s="57" t="n">
        <f aca="false">IF(C18=0,"",C18-D18)</f>
        <v>1640</v>
      </c>
    </row>
    <row r="19" customFormat="false" ht="15" hidden="false" customHeight="false" outlineLevel="0" collapsed="false">
      <c r="A19" s="56" t="s">
        <v>20</v>
      </c>
      <c r="B19" s="56" t="s">
        <v>4</v>
      </c>
      <c r="C19" s="57" t="n">
        <f aca="false">SUMIFS(Entrada!$G$2:$G$202,Entrada!$B$2:$B$202,$A19,Entrada!$K$2:$K$202,"Recebido no 2008")</f>
        <v>0</v>
      </c>
      <c r="D19" s="57" t="n">
        <f aca="false">SUMIFS(Entrada!$L$2:$L$202,Entrada!$B$2:$B$202,$A19)</f>
        <v>940.8</v>
      </c>
      <c r="E19" s="57" t="n">
        <f aca="false">SUMIFS(Saida!$R$2:$R$406,Saida!$B$2:$B$406,$A19)</f>
        <v>781.2</v>
      </c>
      <c r="F19" s="57" t="n">
        <f aca="false">D19-E19</f>
        <v>159.6</v>
      </c>
      <c r="G19" s="57" t="n">
        <f aca="false">SUMIFS('Estoque físico'!$J$2:$J$229,'Estoque físico'!$A$2:$A$229,$A19)</f>
        <v>333.2</v>
      </c>
      <c r="H19" s="72" t="n">
        <f aca="false">ROUND(G19-F19,3)</f>
        <v>173.6</v>
      </c>
      <c r="I19" s="56" t="str">
        <f aca="false">IF(ABS(H19)&lt;=Resumo!$C$7,"OK",IF(H19&gt;0,"Sobra no estoque","Falta no estoque"))</f>
        <v>Sobra no estoque</v>
      </c>
      <c r="J19" s="56" t="str">
        <f aca="false">IF(I19="OK","",IF(AND(D19=0,E19=0),"Estoque sem movimento no período",IF(F19&lt;0,"Saídas maiores que entradas – estoque anterior ao período?",IF(G19=0,"Saldo calculado sem estoque físico – verificar",IF(H19&gt;0,"Estoque acima do esperado – saldo anterior ou entrada não listada","Estoque abaixo do esperado – saída/ajuste não listado")))))</f>
        <v>Estoque acima do esperado – saldo anterior ou entrada não listada</v>
      </c>
      <c r="K19" s="57" t="str">
        <f aca="false">IF(C19=0,"",C19-D19)</f>
        <v/>
      </c>
    </row>
    <row r="20" customFormat="false" ht="15" hidden="false" customHeight="false" outlineLevel="0" collapsed="false">
      <c r="A20" s="56" t="s">
        <v>35</v>
      </c>
      <c r="B20" s="56" t="s">
        <v>4</v>
      </c>
      <c r="C20" s="57" t="n">
        <f aca="false">SUMIFS(Entrada!$G$2:$G$202,Entrada!$B$2:$B$202,$A20,Entrada!$K$2:$K$202,"Recebido no 2008")</f>
        <v>0</v>
      </c>
      <c r="D20" s="57" t="n">
        <f aca="false">SUMIFS(Entrada!$L$2:$L$202,Entrada!$B$2:$B$202,$A20)</f>
        <v>5882.9</v>
      </c>
      <c r="E20" s="57" t="n">
        <f aca="false">SUMIFS(Saida!$R$2:$R$406,Saida!$B$2:$B$406,$A20)</f>
        <v>1547.7</v>
      </c>
      <c r="F20" s="57" t="n">
        <f aca="false">D20-E20</f>
        <v>4335.2</v>
      </c>
      <c r="G20" s="57" t="n">
        <f aca="false">SUMIFS('Estoque físico'!$J$2:$J$229,'Estoque físico'!$A$2:$A$229,$A20)</f>
        <v>4415.6</v>
      </c>
      <c r="H20" s="72" t="n">
        <f aca="false">ROUND(G20-F20,3)</f>
        <v>80.4</v>
      </c>
      <c r="I20" s="56" t="str">
        <f aca="false">IF(ABS(H20)&lt;=Resumo!$C$7,"OK",IF(H20&gt;0,"Sobra no estoque","Falta no estoque"))</f>
        <v>Sobra no estoque</v>
      </c>
      <c r="J20" s="56" t="str">
        <f aca="false">IF(I20="OK","",IF(AND(D20=0,E20=0),"Estoque sem movimento no período",IF(F20&lt;0,"Saídas maiores que entradas – estoque anterior ao período?",IF(G20=0,"Saldo calculado sem estoque físico – verificar",IF(H20&gt;0,"Estoque acima do esperado – saldo anterior ou entrada não listada","Estoque abaixo do esperado – saída/ajuste não listado")))))</f>
        <v>Estoque acima do esperado – saldo anterior ou entrada não listada</v>
      </c>
      <c r="K20" s="57" t="str">
        <f aca="false">IF(C20=0,"",C20-D20)</f>
        <v/>
      </c>
    </row>
    <row r="21" customFormat="false" ht="15" hidden="false" customHeight="false" outlineLevel="0" collapsed="false">
      <c r="A21" s="56" t="s">
        <v>71</v>
      </c>
      <c r="B21" s="56" t="s">
        <v>4</v>
      </c>
      <c r="C21" s="57" t="n">
        <f aca="false">SUMIFS(Entrada!$G$2:$G$202,Entrada!$B$2:$B$202,$A21,Entrada!$K$2:$K$202,"Recebido no 2008")</f>
        <v>0</v>
      </c>
      <c r="D21" s="57" t="n">
        <f aca="false">SUMIFS(Entrada!$L$2:$L$202,Entrada!$B$2:$B$202,$A21)</f>
        <v>806.4</v>
      </c>
      <c r="E21" s="57" t="n">
        <f aca="false">SUMIFS(Saida!$R$2:$R$406,Saida!$B$2:$B$406,$A21)</f>
        <v>53.2</v>
      </c>
      <c r="F21" s="57" t="n">
        <f aca="false">D21-E21</f>
        <v>753.2</v>
      </c>
      <c r="G21" s="57" t="n">
        <f aca="false">SUMIFS('Estoque físico'!$J$2:$J$229,'Estoque físico'!$A$2:$A$229,$A21)</f>
        <v>825.999</v>
      </c>
      <c r="H21" s="72" t="n">
        <f aca="false">ROUND(G21-F21,3)</f>
        <v>72.799</v>
      </c>
      <c r="I21" s="56" t="str">
        <f aca="false">IF(ABS(H21)&lt;=Resumo!$C$7,"OK",IF(H21&gt;0,"Sobra no estoque","Falta no estoque"))</f>
        <v>Sobra no estoque</v>
      </c>
      <c r="J21" s="56" t="str">
        <f aca="false">IF(I21="OK","",IF(AND(D21=0,E21=0),"Estoque sem movimento no período",IF(F21&lt;0,"Saídas maiores que entradas – estoque anterior ao período?",IF(G21=0,"Saldo calculado sem estoque físico – verificar",IF(H21&gt;0,"Estoque acima do esperado – saldo anterior ou entrada não listada","Estoque abaixo do esperado – saída/ajuste não listado")))))</f>
        <v>Estoque acima do esperado – saldo anterior ou entrada não listada</v>
      </c>
      <c r="K21" s="57" t="str">
        <f aca="false">IF(C21=0,"",C21-D21)</f>
        <v/>
      </c>
    </row>
    <row r="22" customFormat="false" ht="15" hidden="false" customHeight="false" outlineLevel="0" collapsed="false">
      <c r="A22" s="56" t="s">
        <v>53</v>
      </c>
      <c r="B22" s="56" t="s">
        <v>9</v>
      </c>
      <c r="C22" s="57" t="n">
        <f aca="false">SUMIFS(Entrada!$G$2:$G$202,Entrada!$B$2:$B$202,$A22,Entrada!$K$2:$K$202,"Recebido no 2008")</f>
        <v>0</v>
      </c>
      <c r="D22" s="57" t="n">
        <f aca="false">SUMIFS(Entrada!$L$2:$L$202,Entrada!$B$2:$B$202,$A22)</f>
        <v>5400</v>
      </c>
      <c r="E22" s="57" t="n">
        <f aca="false">SUMIFS(Saida!$R$2:$R$406,Saida!$B$2:$B$406,$A22)</f>
        <v>3015</v>
      </c>
      <c r="F22" s="57" t="n">
        <f aca="false">D22-E22</f>
        <v>2385</v>
      </c>
      <c r="G22" s="57" t="n">
        <f aca="false">SUMIFS('Estoque físico'!$J$2:$J$229,'Estoque físico'!$A$2:$A$229,$A22)</f>
        <v>2449.219</v>
      </c>
      <c r="H22" s="72" t="n">
        <f aca="false">ROUND(G22-F22,3)</f>
        <v>64.219</v>
      </c>
      <c r="I22" s="56" t="str">
        <f aca="false">IF(ABS(H22)&lt;=Resumo!$C$7,"OK",IF(H22&gt;0,"Sobra no estoque","Falta no estoque"))</f>
        <v>Sobra no estoque</v>
      </c>
      <c r="J22" s="56" t="str">
        <f aca="false">IF(I22="OK","",IF(AND(D22=0,E22=0),"Estoque sem movimento no período",IF(F22&lt;0,"Saídas maiores que entradas – estoque anterior ao período?",IF(G22=0,"Saldo calculado sem estoque físico – verificar",IF(H22&gt;0,"Estoque acima do esperado – saldo anterior ou entrada não listada","Estoque abaixo do esperado – saída/ajuste não listado")))))</f>
        <v>Estoque acima do esperado – saldo anterior ou entrada não listada</v>
      </c>
      <c r="K22" s="57" t="str">
        <f aca="false">IF(C22=0,"",C22-D22)</f>
        <v/>
      </c>
    </row>
    <row r="23" customFormat="false" ht="15" hidden="false" customHeight="false" outlineLevel="0" collapsed="false">
      <c r="A23" s="56" t="s">
        <v>77</v>
      </c>
      <c r="B23" s="56" t="s">
        <v>4</v>
      </c>
      <c r="C23" s="57" t="n">
        <f aca="false">SUMIFS(Entrada!$G$2:$G$202,Entrada!$B$2:$B$202,$A23,Entrada!$K$2:$K$202,"Recebido no 2008")</f>
        <v>0</v>
      </c>
      <c r="D23" s="57" t="n">
        <f aca="false">SUMIFS(Entrada!$L$2:$L$202,Entrada!$B$2:$B$202,$A23)</f>
        <v>10</v>
      </c>
      <c r="E23" s="57" t="n">
        <f aca="false">SUMIFS(Saida!$R$2:$R$406,Saida!$B$2:$B$406,$A23)</f>
        <v>60</v>
      </c>
      <c r="F23" s="57" t="n">
        <f aca="false">D23-E23</f>
        <v>-50</v>
      </c>
      <c r="G23" s="57" t="n">
        <f aca="false">SUMIFS('Estoque físico'!$J$2:$J$229,'Estoque físico'!$A$2:$A$229,$A23)</f>
        <v>10</v>
      </c>
      <c r="H23" s="72" t="n">
        <f aca="false">ROUND(G23-F23,3)</f>
        <v>60</v>
      </c>
      <c r="I23" s="56" t="str">
        <f aca="false">IF(ABS(H23)&lt;=Resumo!$C$7,"OK",IF(H23&gt;0,"Sobra no estoque","Falta no estoque"))</f>
        <v>Sobra no estoque</v>
      </c>
      <c r="J23" s="56" t="str">
        <f aca="false">IF(I23="OK","",IF(AND(D23=0,E23=0),"Estoque sem movimento no período",IF(F23&lt;0,"Saídas maiores que entradas – estoque anterior ao período?",IF(G23=0,"Saldo calculado sem estoque físico – verificar",IF(H23&gt;0,"Estoque acima do esperado – saldo anterior ou entrada não listada","Estoque abaixo do esperado – saída/ajuste não listado")))))</f>
        <v>Saídas maiores que entradas – estoque anterior ao período?</v>
      </c>
      <c r="K23" s="57" t="str">
        <f aca="false">IF(C23=0,"",C23-D23)</f>
        <v/>
      </c>
    </row>
    <row r="24" customFormat="false" ht="15" hidden="false" customHeight="false" outlineLevel="0" collapsed="false">
      <c r="A24" s="56" t="s">
        <v>2</v>
      </c>
      <c r="B24" s="56" t="s">
        <v>4</v>
      </c>
      <c r="C24" s="57" t="n">
        <f aca="false">SUMIFS(Entrada!$G$2:$G$202,Entrada!$B$2:$B$202,$A24,Entrada!$K$2:$K$202,"Recebido no 2008")</f>
        <v>0</v>
      </c>
      <c r="D24" s="57" t="n">
        <f aca="false">SUMIFS(Entrada!$L$2:$L$202,Entrada!$B$2:$B$202,$A24)</f>
        <v>1200</v>
      </c>
      <c r="E24" s="57" t="n">
        <f aca="false">SUMIFS(Saida!$R$2:$R$406,Saida!$B$2:$B$406,$A24)</f>
        <v>0</v>
      </c>
      <c r="F24" s="57" t="n">
        <f aca="false">D24-E24</f>
        <v>1200</v>
      </c>
      <c r="G24" s="57" t="n">
        <f aca="false">SUMIFS('Estoque físico'!$J$2:$J$229,'Estoque físico'!$A$2:$A$229,$A24)</f>
        <v>1200</v>
      </c>
      <c r="H24" s="72" t="n">
        <f aca="false">ROUND(G24-F24,3)</f>
        <v>0</v>
      </c>
      <c r="I24" s="56" t="str">
        <f aca="false">IF(ABS(H24)&lt;=Resumo!$C$7,"OK",IF(H24&gt;0,"Sobra no estoque","Falta no estoque"))</f>
        <v>OK</v>
      </c>
      <c r="J24" s="56" t="str">
        <f aca="false">IF(I24="OK","",IF(AND(D24=0,E24=0),"Estoque sem movimento no período",IF(F24&lt;0,"Saídas maiores que entradas – estoque anterior ao período?",IF(G24=0,"Saldo calculado sem estoque físico – verificar",IF(H24&gt;0,"Estoque acima do esperado – saldo anterior ou entrada não listada","Estoque abaixo do esperado – saída/ajuste não listado")))))</f>
        <v/>
      </c>
      <c r="K24" s="57" t="str">
        <f aca="false">IF(C24=0,"",C24-D24)</f>
        <v/>
      </c>
    </row>
    <row r="25" customFormat="false" ht="15" hidden="false" customHeight="false" outlineLevel="0" collapsed="false">
      <c r="A25" s="56" t="s">
        <v>31</v>
      </c>
      <c r="B25" s="56" t="s">
        <v>4</v>
      </c>
      <c r="C25" s="57" t="n">
        <f aca="false">SUMIFS(Entrada!$G$2:$G$202,Entrada!$B$2:$B$202,$A25,Entrada!$K$2:$K$202,"Recebido no 2008")</f>
        <v>0</v>
      </c>
      <c r="D25" s="57" t="n">
        <f aca="false">SUMIFS(Entrada!$L$2:$L$202,Entrada!$B$2:$B$202,$A25)</f>
        <v>3250</v>
      </c>
      <c r="E25" s="57" t="n">
        <f aca="false">SUMIFS(Saida!$R$2:$R$406,Saida!$B$2:$B$406,$A25)</f>
        <v>800</v>
      </c>
      <c r="F25" s="57" t="n">
        <f aca="false">D25-E25</f>
        <v>2450</v>
      </c>
      <c r="G25" s="57" t="n">
        <f aca="false">SUMIFS('Estoque físico'!$J$2:$J$229,'Estoque físico'!$A$2:$A$229,$A25)</f>
        <v>2450</v>
      </c>
      <c r="H25" s="72" t="n">
        <f aca="false">ROUND(G25-F25,3)</f>
        <v>0</v>
      </c>
      <c r="I25" s="56" t="str">
        <f aca="false">IF(ABS(H25)&lt;=Resumo!$C$7,"OK",IF(H25&gt;0,"Sobra no estoque","Falta no estoque"))</f>
        <v>OK</v>
      </c>
      <c r="J25" s="56" t="str">
        <f aca="false">IF(I25="OK","",IF(AND(D25=0,E25=0),"Estoque sem movimento no período",IF(F25&lt;0,"Saídas maiores que entradas – estoque anterior ao período?",IF(G25=0,"Saldo calculado sem estoque físico – verificar",IF(H25&gt;0,"Estoque acima do esperado – saldo anterior ou entrada não listada","Estoque abaixo do esperado – saída/ajuste não listado")))))</f>
        <v/>
      </c>
      <c r="K25" s="57" t="str">
        <f aca="false">IF(C25=0,"",C25-D25)</f>
        <v/>
      </c>
    </row>
    <row r="26" customFormat="false" ht="15" hidden="false" customHeight="false" outlineLevel="0" collapsed="false">
      <c r="A26" s="56" t="s">
        <v>33</v>
      </c>
      <c r="B26" s="56" t="s">
        <v>4</v>
      </c>
      <c r="C26" s="57" t="n">
        <f aca="false">SUMIFS(Entrada!$G$2:$G$202,Entrada!$B$2:$B$202,$A26,Entrada!$K$2:$K$202,"Recebido no 2008")</f>
        <v>9600</v>
      </c>
      <c r="D26" s="57" t="n">
        <f aca="false">SUMIFS(Entrada!$L$2:$L$202,Entrada!$B$2:$B$202,$A26)</f>
        <v>5240</v>
      </c>
      <c r="E26" s="57" t="n">
        <f aca="false">SUMIFS(Saida!$R$2:$R$406,Saida!$B$2:$B$406,$A26)</f>
        <v>3520</v>
      </c>
      <c r="F26" s="57" t="n">
        <f aca="false">D26-E26</f>
        <v>1720</v>
      </c>
      <c r="G26" s="57" t="n">
        <f aca="false">SUMIFS('Estoque físico'!$J$2:$J$229,'Estoque físico'!$A$2:$A$229,$A26)</f>
        <v>1720</v>
      </c>
      <c r="H26" s="72" t="n">
        <f aca="false">ROUND(G26-F26,3)</f>
        <v>0</v>
      </c>
      <c r="I26" s="56" t="str">
        <f aca="false">IF(ABS(H26)&lt;=Resumo!$C$7,"OK",IF(H26&gt;0,"Sobra no estoque","Falta no estoque"))</f>
        <v>OK</v>
      </c>
      <c r="J26" s="56" t="str">
        <f aca="false">IF(I26="OK","",IF(AND(D26=0,E26=0),"Estoque sem movimento no período",IF(F26&lt;0,"Saídas maiores que entradas – estoque anterior ao período?",IF(G26=0,"Saldo calculado sem estoque físico – verificar",IF(H26&gt;0,"Estoque acima do esperado – saldo anterior ou entrada não listada","Estoque abaixo do esperado – saída/ajuste não listado")))))</f>
        <v/>
      </c>
      <c r="K26" s="57" t="n">
        <f aca="false">IF(C26=0,"",C26-D26)</f>
        <v>4360</v>
      </c>
    </row>
    <row r="27" customFormat="false" ht="15" hidden="false" customHeight="false" outlineLevel="0" collapsed="false">
      <c r="A27" s="56" t="s">
        <v>43</v>
      </c>
      <c r="B27" s="56" t="s">
        <v>4</v>
      </c>
      <c r="C27" s="57" t="n">
        <f aca="false">SUMIFS(Entrada!$G$2:$G$202,Entrada!$B$2:$B$202,$A27,Entrada!$K$2:$K$202,"Recebido no 2008")</f>
        <v>0</v>
      </c>
      <c r="D27" s="57" t="n">
        <f aca="false">SUMIFS(Entrada!$L$2:$L$202,Entrada!$B$2:$B$202,$A27)</f>
        <v>1000</v>
      </c>
      <c r="E27" s="57" t="n">
        <f aca="false">SUMIFS(Saida!$R$2:$R$406,Saida!$B$2:$B$406,$A27)</f>
        <v>0</v>
      </c>
      <c r="F27" s="57" t="n">
        <f aca="false">D27-E27</f>
        <v>1000</v>
      </c>
      <c r="G27" s="57" t="n">
        <f aca="false">SUMIFS('Estoque físico'!$J$2:$J$229,'Estoque físico'!$A$2:$A$229,$A27)</f>
        <v>1000</v>
      </c>
      <c r="H27" s="72" t="n">
        <f aca="false">ROUND(G27-F27,3)</f>
        <v>0</v>
      </c>
      <c r="I27" s="56" t="str">
        <f aca="false">IF(ABS(H27)&lt;=Resumo!$C$7,"OK",IF(H27&gt;0,"Sobra no estoque","Falta no estoque"))</f>
        <v>OK</v>
      </c>
      <c r="J27" s="56" t="str">
        <f aca="false">IF(I27="OK","",IF(AND(D27=0,E27=0),"Estoque sem movimento no período",IF(F27&lt;0,"Saídas maiores que entradas – estoque anterior ao período?",IF(G27=0,"Saldo calculado sem estoque físico – verificar",IF(H27&gt;0,"Estoque acima do esperado – saldo anterior ou entrada não listada","Estoque abaixo do esperado – saída/ajuste não listado")))))</f>
        <v/>
      </c>
      <c r="K27" s="57" t="str">
        <f aca="false">IF(C27=0,"",C27-D27)</f>
        <v/>
      </c>
    </row>
    <row r="28" customFormat="false" ht="15" hidden="false" customHeight="false" outlineLevel="0" collapsed="false">
      <c r="A28" s="56" t="s">
        <v>47</v>
      </c>
      <c r="B28" s="56" t="s">
        <v>4</v>
      </c>
      <c r="C28" s="57" t="n">
        <f aca="false">SUMIFS(Entrada!$G$2:$G$202,Entrada!$B$2:$B$202,$A28,Entrada!$K$2:$K$202,"Recebido no 2008")</f>
        <v>6000</v>
      </c>
      <c r="D28" s="57" t="n">
        <f aca="false">SUMIFS(Entrada!$L$2:$L$202,Entrada!$B$2:$B$202,$A28)</f>
        <v>7740</v>
      </c>
      <c r="E28" s="57" t="n">
        <f aca="false">SUMIFS(Saida!$R$2:$R$406,Saida!$B$2:$B$406,$A28)</f>
        <v>4940</v>
      </c>
      <c r="F28" s="57" t="n">
        <f aca="false">D28-E28</f>
        <v>2800</v>
      </c>
      <c r="G28" s="57" t="n">
        <f aca="false">SUMIFS('Estoque físico'!$J$2:$J$229,'Estoque físico'!$A$2:$A$229,$A28)</f>
        <v>2800</v>
      </c>
      <c r="H28" s="72" t="n">
        <f aca="false">ROUND(G28-F28,3)</f>
        <v>0</v>
      </c>
      <c r="I28" s="56" t="str">
        <f aca="false">IF(ABS(H28)&lt;=Resumo!$C$7,"OK",IF(H28&gt;0,"Sobra no estoque","Falta no estoque"))</f>
        <v>OK</v>
      </c>
      <c r="J28" s="56" t="str">
        <f aca="false">IF(I28="OK","",IF(AND(D28=0,E28=0),"Estoque sem movimento no período",IF(F28&lt;0,"Saídas maiores que entradas – estoque anterior ao período?",IF(G28=0,"Saldo calculado sem estoque físico – verificar",IF(H28&gt;0,"Estoque acima do esperado – saldo anterior ou entrada não listada","Estoque abaixo do esperado – saída/ajuste não listado")))))</f>
        <v/>
      </c>
      <c r="K28" s="57" t="n">
        <f aca="false">IF(C28=0,"",C28-D28)</f>
        <v>-1740</v>
      </c>
    </row>
    <row r="29" customFormat="false" ht="15" hidden="false" customHeight="false" outlineLevel="0" collapsed="false">
      <c r="A29" s="56" t="s">
        <v>55</v>
      </c>
      <c r="B29" s="56" t="s">
        <v>4</v>
      </c>
      <c r="C29" s="57" t="n">
        <f aca="false">SUMIFS(Entrada!$G$2:$G$202,Entrada!$B$2:$B$202,$A29,Entrada!$K$2:$K$202,"Recebido no 2008")</f>
        <v>0</v>
      </c>
      <c r="D29" s="57" t="n">
        <f aca="false">SUMIFS(Entrada!$L$2:$L$202,Entrada!$B$2:$B$202,$A29)</f>
        <v>648</v>
      </c>
      <c r="E29" s="57" t="n">
        <f aca="false">SUMIFS(Saida!$R$2:$R$406,Saida!$B$2:$B$406,$A29)</f>
        <v>54</v>
      </c>
      <c r="F29" s="57" t="n">
        <f aca="false">D29-E29</f>
        <v>594</v>
      </c>
      <c r="G29" s="57" t="n">
        <f aca="false">SUMIFS('Estoque físico'!$J$2:$J$229,'Estoque físico'!$A$2:$A$229,$A29)</f>
        <v>594</v>
      </c>
      <c r="H29" s="72" t="n">
        <f aca="false">ROUND(G29-F29,3)</f>
        <v>0</v>
      </c>
      <c r="I29" s="56" t="str">
        <f aca="false">IF(ABS(H29)&lt;=Resumo!$C$7,"OK",IF(H29&gt;0,"Sobra no estoque","Falta no estoque"))</f>
        <v>OK</v>
      </c>
      <c r="J29" s="56" t="str">
        <f aca="false">IF(I29="OK","",IF(AND(D29=0,E29=0),"Estoque sem movimento no período",IF(F29&lt;0,"Saídas maiores que entradas – estoque anterior ao período?",IF(G29=0,"Saldo calculado sem estoque físico – verificar",IF(H29&gt;0,"Estoque acima do esperado – saldo anterior ou entrada não listada","Estoque abaixo do esperado – saída/ajuste não listado")))))</f>
        <v/>
      </c>
      <c r="K29" s="57" t="str">
        <f aca="false">IF(C29=0,"",C29-D29)</f>
        <v/>
      </c>
    </row>
    <row r="30" customFormat="false" ht="15" hidden="false" customHeight="false" outlineLevel="0" collapsed="false">
      <c r="A30" s="56" t="s">
        <v>57</v>
      </c>
      <c r="B30" s="56" t="s">
        <v>4</v>
      </c>
      <c r="C30" s="57" t="n">
        <f aca="false">SUMIFS(Entrada!$G$2:$G$202,Entrada!$B$2:$B$202,$A30,Entrada!$K$2:$K$202,"Recebido no 2008")</f>
        <v>2400</v>
      </c>
      <c r="D30" s="57" t="n">
        <f aca="false">SUMIFS(Entrada!$L$2:$L$202,Entrada!$B$2:$B$202,$A30)</f>
        <v>0</v>
      </c>
      <c r="E30" s="57" t="n">
        <f aca="false">SUMIFS(Saida!$R$2:$R$406,Saida!$B$2:$B$406,$A30)</f>
        <v>0</v>
      </c>
      <c r="F30" s="57" t="n">
        <f aca="false">D30-E30</f>
        <v>0</v>
      </c>
      <c r="G30" s="57" t="n">
        <f aca="false">SUMIFS('Estoque físico'!$J$2:$J$229,'Estoque físico'!$A$2:$A$229,$A30)</f>
        <v>0</v>
      </c>
      <c r="H30" s="72" t="n">
        <f aca="false">ROUND(G30-F30,3)</f>
        <v>0</v>
      </c>
      <c r="I30" s="56" t="str">
        <f aca="false">IF(ABS(H30)&lt;=Resumo!$C$7,"OK",IF(H30&gt;0,"Sobra no estoque","Falta no estoque"))</f>
        <v>OK</v>
      </c>
      <c r="J30" s="56" t="str">
        <f aca="false">IF(I30="OK","",IF(AND(D30=0,E30=0),"Estoque sem movimento no período",IF(F30&lt;0,"Saídas maiores que entradas – estoque anterior ao período?",IF(G30=0,"Saldo calculado sem estoque físico – verificar",IF(H30&gt;0,"Estoque acima do esperado – saldo anterior ou entrada não listada","Estoque abaixo do esperado – saída/ajuste não listado")))))</f>
        <v/>
      </c>
      <c r="K30" s="57" t="n">
        <f aca="false">IF(C30=0,"",C30-D30)</f>
        <v>2400</v>
      </c>
    </row>
    <row r="31" customFormat="false" ht="15" hidden="false" customHeight="false" outlineLevel="0" collapsed="false">
      <c r="A31" s="56" t="s">
        <v>59</v>
      </c>
      <c r="B31" s="56" t="s">
        <v>4</v>
      </c>
      <c r="C31" s="57" t="n">
        <f aca="false">SUMIFS(Entrada!$G$2:$G$202,Entrada!$B$2:$B$202,$A31,Entrada!$K$2:$K$202,"Recebido no 2008")</f>
        <v>1920</v>
      </c>
      <c r="D31" s="57" t="n">
        <f aca="false">SUMIFS(Entrada!$L$2:$L$202,Entrada!$B$2:$B$202,$A31)</f>
        <v>0</v>
      </c>
      <c r="E31" s="57" t="n">
        <f aca="false">SUMIFS(Saida!$R$2:$R$406,Saida!$B$2:$B$406,$A31)</f>
        <v>0</v>
      </c>
      <c r="F31" s="57" t="n">
        <f aca="false">D31-E31</f>
        <v>0</v>
      </c>
      <c r="G31" s="57" t="n">
        <f aca="false">SUMIFS('Estoque físico'!$J$2:$J$229,'Estoque físico'!$A$2:$A$229,$A31)</f>
        <v>0</v>
      </c>
      <c r="H31" s="72" t="n">
        <f aca="false">ROUND(G31-F31,3)</f>
        <v>0</v>
      </c>
      <c r="I31" s="56" t="str">
        <f aca="false">IF(ABS(H31)&lt;=Resumo!$C$7,"OK",IF(H31&gt;0,"Sobra no estoque","Falta no estoque"))</f>
        <v>OK</v>
      </c>
      <c r="J31" s="56" t="str">
        <f aca="false">IF(I31="OK","",IF(AND(D31=0,E31=0),"Estoque sem movimento no período",IF(F31&lt;0,"Saídas maiores que entradas – estoque anterior ao período?",IF(G31=0,"Saldo calculado sem estoque físico – verificar",IF(H31&gt;0,"Estoque acima do esperado – saldo anterior ou entrada não listada","Estoque abaixo do esperado – saída/ajuste não listado")))))</f>
        <v/>
      </c>
      <c r="K31" s="57" t="n">
        <f aca="false">IF(C31=0,"",C31-D31)</f>
        <v>1920</v>
      </c>
    </row>
    <row r="32" customFormat="false" ht="15" hidden="false" customHeight="false" outlineLevel="0" collapsed="false">
      <c r="A32" s="56" t="s">
        <v>63</v>
      </c>
      <c r="B32" s="56" t="s">
        <v>4</v>
      </c>
      <c r="C32" s="57" t="n">
        <f aca="false">SUMIFS(Entrada!$G$2:$G$202,Entrada!$B$2:$B$202,$A32,Entrada!$K$2:$K$202,"Recebido no 2008")</f>
        <v>0</v>
      </c>
      <c r="D32" s="57" t="n">
        <f aca="false">SUMIFS(Entrada!$L$2:$L$202,Entrada!$B$2:$B$202,$A32)</f>
        <v>81.6</v>
      </c>
      <c r="E32" s="57" t="n">
        <f aca="false">SUMIFS(Saida!$R$2:$R$406,Saida!$B$2:$B$406,$A32)</f>
        <v>0</v>
      </c>
      <c r="F32" s="57" t="n">
        <f aca="false">D32-E32</f>
        <v>81.6</v>
      </c>
      <c r="G32" s="57" t="n">
        <f aca="false">SUMIFS('Estoque físico'!$J$2:$J$229,'Estoque físico'!$A$2:$A$229,$A32)</f>
        <v>81.6</v>
      </c>
      <c r="H32" s="72" t="n">
        <f aca="false">ROUND(G32-F32,3)</f>
        <v>0</v>
      </c>
      <c r="I32" s="56" t="str">
        <f aca="false">IF(ABS(H32)&lt;=Resumo!$C$7,"OK",IF(H32&gt;0,"Sobra no estoque","Falta no estoque"))</f>
        <v>OK</v>
      </c>
      <c r="J32" s="56" t="str">
        <f aca="false">IF(I32="OK","",IF(AND(D32=0,E32=0),"Estoque sem movimento no período",IF(F32&lt;0,"Saídas maiores que entradas – estoque anterior ao período?",IF(G32=0,"Saldo calculado sem estoque físico – verificar",IF(H32&gt;0,"Estoque acima do esperado – saldo anterior ou entrada não listada","Estoque abaixo do esperado – saída/ajuste não listado")))))</f>
        <v/>
      </c>
      <c r="K32" s="57" t="str">
        <f aca="false">IF(C32=0,"",C32-D32)</f>
        <v/>
      </c>
    </row>
    <row r="33" customFormat="false" ht="15" hidden="false" customHeight="false" outlineLevel="0" collapsed="false">
      <c r="A33" s="56" t="s">
        <v>65</v>
      </c>
      <c r="B33" s="56" t="s">
        <v>4</v>
      </c>
      <c r="C33" s="57" t="n">
        <f aca="false">SUMIFS(Entrada!$G$2:$G$202,Entrada!$B$2:$B$202,$A33,Entrada!$K$2:$K$202,"Recebido no 2008")</f>
        <v>1296</v>
      </c>
      <c r="D33" s="57" t="n">
        <f aca="false">SUMIFS(Entrada!$L$2:$L$202,Entrada!$B$2:$B$202,$A33)</f>
        <v>0</v>
      </c>
      <c r="E33" s="57" t="n">
        <f aca="false">SUMIFS(Saida!$R$2:$R$406,Saida!$B$2:$B$406,$A33)</f>
        <v>0</v>
      </c>
      <c r="F33" s="57" t="n">
        <f aca="false">D33-E33</f>
        <v>0</v>
      </c>
      <c r="G33" s="57" t="n">
        <f aca="false">SUMIFS('Estoque físico'!$J$2:$J$229,'Estoque físico'!$A$2:$A$229,$A33)</f>
        <v>0</v>
      </c>
      <c r="H33" s="72" t="n">
        <f aca="false">ROUND(G33-F33,3)</f>
        <v>0</v>
      </c>
      <c r="I33" s="56" t="str">
        <f aca="false">IF(ABS(H33)&lt;=Resumo!$C$7,"OK",IF(H33&gt;0,"Sobra no estoque","Falta no estoque"))</f>
        <v>OK</v>
      </c>
      <c r="J33" s="56" t="str">
        <f aca="false">IF(I33="OK","",IF(AND(D33=0,E33=0),"Estoque sem movimento no período",IF(F33&lt;0,"Saídas maiores que entradas – estoque anterior ao período?",IF(G33=0,"Saldo calculado sem estoque físico – verificar",IF(H33&gt;0,"Estoque acima do esperado – saldo anterior ou entrada não listada","Estoque abaixo do esperado – saída/ajuste não listado")))))</f>
        <v/>
      </c>
      <c r="K33" s="57" t="n">
        <f aca="false">IF(C33=0,"",C33-D33)</f>
        <v>1296</v>
      </c>
    </row>
    <row r="34" customFormat="false" ht="15" hidden="false" customHeight="false" outlineLevel="0" collapsed="false">
      <c r="A34" s="56" t="s">
        <v>67</v>
      </c>
      <c r="B34" s="56" t="s">
        <v>4</v>
      </c>
      <c r="C34" s="57" t="n">
        <f aca="false">SUMIFS(Entrada!$G$2:$G$202,Entrada!$B$2:$B$202,$A34,Entrada!$K$2:$K$202,"Recebido no 2008")</f>
        <v>1280</v>
      </c>
      <c r="D34" s="57" t="n">
        <f aca="false">SUMIFS(Entrada!$L$2:$L$202,Entrada!$B$2:$B$202,$A34)</f>
        <v>0</v>
      </c>
      <c r="E34" s="57" t="n">
        <f aca="false">SUMIFS(Saida!$R$2:$R$406,Saida!$B$2:$B$406,$A34)</f>
        <v>0</v>
      </c>
      <c r="F34" s="57" t="n">
        <f aca="false">D34-E34</f>
        <v>0</v>
      </c>
      <c r="G34" s="57" t="n">
        <f aca="false">SUMIFS('Estoque físico'!$J$2:$J$229,'Estoque físico'!$A$2:$A$229,$A34)</f>
        <v>0</v>
      </c>
      <c r="H34" s="72" t="n">
        <f aca="false">ROUND(G34-F34,3)</f>
        <v>0</v>
      </c>
      <c r="I34" s="56" t="str">
        <f aca="false">IF(ABS(H34)&lt;=Resumo!$C$7,"OK",IF(H34&gt;0,"Sobra no estoque","Falta no estoque"))</f>
        <v>OK</v>
      </c>
      <c r="J34" s="56" t="str">
        <f aca="false">IF(I34="OK","",IF(AND(D34=0,E34=0),"Estoque sem movimento no período",IF(F34&lt;0,"Saídas maiores que entradas – estoque anterior ao período?",IF(G34=0,"Saldo calculado sem estoque físico – verificar",IF(H34&gt;0,"Estoque acima do esperado – saldo anterior ou entrada não listada","Estoque abaixo do esperado – saída/ajuste não listado")))))</f>
        <v/>
      </c>
      <c r="K34" s="57" t="n">
        <f aca="false">IF(C34=0,"",C34-D34)</f>
        <v>1280</v>
      </c>
    </row>
    <row r="35" customFormat="false" ht="15" hidden="false" customHeight="false" outlineLevel="0" collapsed="false">
      <c r="A35" s="56" t="s">
        <v>73</v>
      </c>
      <c r="B35" s="56" t="s">
        <v>4</v>
      </c>
      <c r="C35" s="57" t="n">
        <f aca="false">SUMIFS(Entrada!$G$2:$G$202,Entrada!$B$2:$B$202,$A35,Entrada!$K$2:$K$202,"Recebido no 2008")</f>
        <v>640</v>
      </c>
      <c r="D35" s="57" t="n">
        <f aca="false">SUMIFS(Entrada!$L$2:$L$202,Entrada!$B$2:$B$202,$A35)</f>
        <v>0</v>
      </c>
      <c r="E35" s="57" t="n">
        <f aca="false">SUMIFS(Saida!$R$2:$R$406,Saida!$B$2:$B$406,$A35)</f>
        <v>0</v>
      </c>
      <c r="F35" s="57" t="n">
        <f aca="false">D35-E35</f>
        <v>0</v>
      </c>
      <c r="G35" s="57" t="n">
        <f aca="false">SUMIFS('Estoque físico'!$J$2:$J$229,'Estoque físico'!$A$2:$A$229,$A35)</f>
        <v>0</v>
      </c>
      <c r="H35" s="72" t="n">
        <f aca="false">ROUND(G35-F35,3)</f>
        <v>0</v>
      </c>
      <c r="I35" s="56" t="str">
        <f aca="false">IF(ABS(H35)&lt;=Resumo!$C$7,"OK",IF(H35&gt;0,"Sobra no estoque","Falta no estoque"))</f>
        <v>OK</v>
      </c>
      <c r="J35" s="56" t="str">
        <f aca="false">IF(I35="OK","",IF(AND(D35=0,E35=0),"Estoque sem movimento no período",IF(F35&lt;0,"Saídas maiores que entradas – estoque anterior ao período?",IF(G35=0,"Saldo calculado sem estoque físico – verificar",IF(H35&gt;0,"Estoque acima do esperado – saldo anterior ou entrada não listada","Estoque abaixo do esperado – saída/ajuste não listado")))))</f>
        <v/>
      </c>
      <c r="K35" s="57" t="n">
        <f aca="false">IF(C35=0,"",C35-D35)</f>
        <v>640</v>
      </c>
    </row>
    <row r="36" customFormat="false" ht="15" hidden="false" customHeight="false" outlineLevel="0" collapsed="false">
      <c r="A36" s="56" t="s">
        <v>79</v>
      </c>
      <c r="B36" s="56" t="s">
        <v>4</v>
      </c>
      <c r="C36" s="57" t="n">
        <f aca="false">SUMIFS(Entrada!$G$2:$G$202,Entrada!$B$2:$B$202,$A36,Entrada!$K$2:$K$202,"Recebido no 2008")</f>
        <v>384</v>
      </c>
      <c r="D36" s="57" t="n">
        <f aca="false">SUMIFS(Entrada!$L$2:$L$202,Entrada!$B$2:$B$202,$A36)</f>
        <v>0</v>
      </c>
      <c r="E36" s="57" t="n">
        <f aca="false">SUMIFS(Saida!$R$2:$R$406,Saida!$B$2:$B$406,$A36)</f>
        <v>0</v>
      </c>
      <c r="F36" s="57" t="n">
        <f aca="false">D36-E36</f>
        <v>0</v>
      </c>
      <c r="G36" s="57" t="n">
        <f aca="false">SUMIFS('Estoque físico'!$J$2:$J$229,'Estoque físico'!$A$2:$A$229,$A36)</f>
        <v>0</v>
      </c>
      <c r="H36" s="72" t="n">
        <f aca="false">ROUND(G36-F36,3)</f>
        <v>0</v>
      </c>
      <c r="I36" s="56" t="str">
        <f aca="false">IF(ABS(H36)&lt;=Resumo!$C$7,"OK",IF(H36&gt;0,"Sobra no estoque","Falta no estoque"))</f>
        <v>OK</v>
      </c>
      <c r="J36" s="56" t="str">
        <f aca="false">IF(I36="OK","",IF(AND(D36=0,E36=0),"Estoque sem movimento no período",IF(F36&lt;0,"Saídas maiores que entradas – estoque anterior ao período?",IF(G36=0,"Saldo calculado sem estoque físico – verificar",IF(H36&gt;0,"Estoque acima do esperado – saldo anterior ou entrada não listada","Estoque abaixo do esperado – saída/ajuste não listado")))))</f>
        <v/>
      </c>
      <c r="K36" s="57" t="n">
        <f aca="false">IF(C36=0,"",C36-D36)</f>
        <v>384</v>
      </c>
    </row>
    <row r="37" customFormat="false" ht="15" hidden="false" customHeight="false" outlineLevel="0" collapsed="false">
      <c r="A37" s="56" t="s">
        <v>83</v>
      </c>
      <c r="B37" s="56" t="s">
        <v>4</v>
      </c>
      <c r="C37" s="57" t="n">
        <f aca="false">SUMIFS(Entrada!$G$2:$G$202,Entrada!$B$2:$B$202,$A37,Entrada!$K$2:$K$202,"Recebido no 2008")</f>
        <v>4200</v>
      </c>
      <c r="D37" s="57" t="n">
        <f aca="false">SUMIFS(Entrada!$L$2:$L$202,Entrada!$B$2:$B$202,$A37)</f>
        <v>0</v>
      </c>
      <c r="E37" s="57" t="n">
        <f aca="false">SUMIFS(Saida!$R$2:$R$406,Saida!$B$2:$B$406,$A37)</f>
        <v>0</v>
      </c>
      <c r="F37" s="57" t="n">
        <f aca="false">D37-E37</f>
        <v>0</v>
      </c>
      <c r="G37" s="57" t="n">
        <f aca="false">SUMIFS('Estoque físico'!$J$2:$J$229,'Estoque físico'!$A$2:$A$229,$A37)</f>
        <v>0</v>
      </c>
      <c r="H37" s="72" t="n">
        <f aca="false">ROUND(G37-F37,3)</f>
        <v>0</v>
      </c>
      <c r="I37" s="56" t="str">
        <f aca="false">IF(ABS(H37)&lt;=Resumo!$C$7,"OK",IF(H37&gt;0,"Sobra no estoque","Falta no estoque"))</f>
        <v>OK</v>
      </c>
      <c r="J37" s="56" t="str">
        <f aca="false">IF(I37="OK","",IF(AND(D37=0,E37=0),"Estoque sem movimento no período",IF(F37&lt;0,"Saídas maiores que entradas – estoque anterior ao período?",IF(G37=0,"Saldo calculado sem estoque físico – verificar",IF(H37&gt;0,"Estoque acima do esperado – saldo anterior ou entrada não listada","Estoque abaixo do esperado – saída/ajuste não listado")))))</f>
        <v/>
      </c>
      <c r="K37" s="57" t="n">
        <f aca="false">IF(C37=0,"",C37-D37)</f>
        <v>4200</v>
      </c>
    </row>
    <row r="38" customFormat="false" ht="15" hidden="false" customHeight="false" outlineLevel="0" collapsed="false">
      <c r="A38" s="56" t="s">
        <v>85</v>
      </c>
      <c r="B38" s="56" t="s">
        <v>4</v>
      </c>
      <c r="C38" s="57" t="n">
        <f aca="false">SUMIFS(Entrada!$G$2:$G$202,Entrada!$B$2:$B$202,$A38,Entrada!$K$2:$K$202,"Recebido no 2008")</f>
        <v>0</v>
      </c>
      <c r="D38" s="57" t="n">
        <f aca="false">SUMIFS(Entrada!$L$2:$L$202,Entrada!$B$2:$B$202,$A38)</f>
        <v>599.76</v>
      </c>
      <c r="E38" s="57" t="n">
        <f aca="false">SUMIFS(Saida!$R$2:$R$406,Saida!$B$2:$B$406,$A38)</f>
        <v>0</v>
      </c>
      <c r="F38" s="57" t="n">
        <f aca="false">D38-E38</f>
        <v>599.76</v>
      </c>
      <c r="G38" s="57" t="n">
        <f aca="false">SUMIFS('Estoque físico'!$J$2:$J$229,'Estoque físico'!$A$2:$A$229,$A38)</f>
        <v>599.76</v>
      </c>
      <c r="H38" s="72" t="n">
        <f aca="false">ROUND(G38-F38,3)</f>
        <v>0</v>
      </c>
      <c r="I38" s="56" t="str">
        <f aca="false">IF(ABS(H38)&lt;=Resumo!$C$7,"OK",IF(H38&gt;0,"Sobra no estoque","Falta no estoque"))</f>
        <v>OK</v>
      </c>
      <c r="J38" s="56" t="str">
        <f aca="false">IF(I38="OK","",IF(AND(D38=0,E38=0),"Estoque sem movimento no período",IF(F38&lt;0,"Saídas maiores que entradas – estoque anterior ao período?",IF(G38=0,"Saldo calculado sem estoque físico – verificar",IF(H38&gt;0,"Estoque acima do esperado – saldo anterior ou entrada não listada","Estoque abaixo do esperado – saída/ajuste não listado")))))</f>
        <v/>
      </c>
      <c r="K38" s="57" t="str">
        <f aca="false">IF(C38=0,"",C38-D38)</f>
        <v/>
      </c>
    </row>
    <row r="39" customFormat="false" ht="15" hidden="false" customHeight="false" outlineLevel="0" collapsed="false">
      <c r="A39" s="56" t="s">
        <v>100</v>
      </c>
      <c r="B39" s="56" t="s">
        <v>4</v>
      </c>
      <c r="C39" s="57" t="n">
        <f aca="false">SUMIFS(Entrada!$G$2:$G$202,Entrada!$B$2:$B$202,$A39,Entrada!$K$2:$K$202,"Recebido no 2008")</f>
        <v>0</v>
      </c>
      <c r="D39" s="57" t="n">
        <f aca="false">SUMIFS(Entrada!$L$2:$L$202,Entrada!$B$2:$B$202,$A39)</f>
        <v>432</v>
      </c>
      <c r="E39" s="57" t="n">
        <f aca="false">SUMIFS(Saida!$R$2:$R$406,Saida!$B$2:$B$406,$A39)</f>
        <v>0</v>
      </c>
      <c r="F39" s="57" t="n">
        <f aca="false">D39-E39</f>
        <v>432</v>
      </c>
      <c r="G39" s="57" t="n">
        <f aca="false">SUMIFS('Estoque físico'!$J$2:$J$229,'Estoque físico'!$A$2:$A$229,$A39)</f>
        <v>432</v>
      </c>
      <c r="H39" s="72" t="n">
        <f aca="false">ROUND(G39-F39,3)</f>
        <v>0</v>
      </c>
      <c r="I39" s="56" t="str">
        <f aca="false">IF(ABS(H39)&lt;=Resumo!$C$7,"OK",IF(H39&gt;0,"Sobra no estoque","Falta no estoque"))</f>
        <v>OK</v>
      </c>
      <c r="J39" s="56" t="str">
        <f aca="false">IF(I39="OK","",IF(AND(D39=0,E39=0),"Estoque sem movimento no período",IF(F39&lt;0,"Saídas maiores que entradas – estoque anterior ao período?",IF(G39=0,"Saldo calculado sem estoque físico – verificar",IF(H39&gt;0,"Estoque acima do esperado – saldo anterior ou entrada não listada","Estoque abaixo do esperado – saída/ajuste não listado")))))</f>
        <v/>
      </c>
      <c r="K39" s="57" t="str">
        <f aca="false">IF(C39=0,"",C39-D39)</f>
        <v/>
      </c>
    </row>
    <row r="40" customFormat="false" ht="15" hidden="false" customHeight="false" outlineLevel="0" collapsed="false">
      <c r="A40" s="56" t="s">
        <v>102</v>
      </c>
      <c r="B40" s="56" t="s">
        <v>4</v>
      </c>
      <c r="C40" s="57" t="n">
        <f aca="false">SUMIFS(Entrada!$G$2:$G$202,Entrada!$B$2:$B$202,$A40,Entrada!$K$2:$K$202,"Recebido no 2008")</f>
        <v>1200</v>
      </c>
      <c r="D40" s="57" t="n">
        <f aca="false">SUMIFS(Entrada!$L$2:$L$202,Entrada!$B$2:$B$202,$A40)</f>
        <v>0</v>
      </c>
      <c r="E40" s="57" t="n">
        <f aca="false">SUMIFS(Saida!$R$2:$R$406,Saida!$B$2:$B$406,$A40)</f>
        <v>0</v>
      </c>
      <c r="F40" s="57" t="n">
        <f aca="false">D40-E40</f>
        <v>0</v>
      </c>
      <c r="G40" s="57" t="n">
        <f aca="false">SUMIFS('Estoque físico'!$J$2:$J$229,'Estoque físico'!$A$2:$A$229,$A40)</f>
        <v>0</v>
      </c>
      <c r="H40" s="72" t="n">
        <f aca="false">ROUND(G40-F40,3)</f>
        <v>0</v>
      </c>
      <c r="I40" s="56" t="str">
        <f aca="false">IF(ABS(H40)&lt;=Resumo!$C$7,"OK",IF(H40&gt;0,"Sobra no estoque","Falta no estoque"))</f>
        <v>OK</v>
      </c>
      <c r="J40" s="56" t="str">
        <f aca="false">IF(I40="OK","",IF(AND(D40=0,E40=0),"Estoque sem movimento no período",IF(F40&lt;0,"Saídas maiores que entradas – estoque anterior ao período?",IF(G40=0,"Saldo calculado sem estoque físico – verificar",IF(H40&gt;0,"Estoque acima do esperado – saldo anterior ou entrada não listada","Estoque abaixo do esperado – saída/ajuste não listado")))))</f>
        <v/>
      </c>
      <c r="K40" s="57" t="n">
        <f aca="false">IF(C40=0,"",C40-D40)</f>
        <v>1200</v>
      </c>
    </row>
    <row r="41" customFormat="false" ht="15" hidden="false" customHeight="false" outlineLevel="0" collapsed="false">
      <c r="A41" s="56" t="s">
        <v>106</v>
      </c>
      <c r="B41" s="56" t="s">
        <v>4</v>
      </c>
      <c r="C41" s="57" t="n">
        <f aca="false">SUMIFS(Entrada!$G$2:$G$202,Entrada!$B$2:$B$202,$A41,Entrada!$K$2:$K$202,"Recebido no 2008")</f>
        <v>840</v>
      </c>
      <c r="D41" s="57" t="n">
        <f aca="false">SUMIFS(Entrada!$L$2:$L$202,Entrada!$B$2:$B$202,$A41)</f>
        <v>3060</v>
      </c>
      <c r="E41" s="57" t="n">
        <f aca="false">SUMIFS(Saida!$R$2:$R$406,Saida!$B$2:$B$406,$A41)</f>
        <v>770</v>
      </c>
      <c r="F41" s="57" t="n">
        <f aca="false">D41-E41</f>
        <v>2290</v>
      </c>
      <c r="G41" s="57" t="n">
        <f aca="false">SUMIFS('Estoque físico'!$J$2:$J$229,'Estoque físico'!$A$2:$A$229,$A41)</f>
        <v>2290</v>
      </c>
      <c r="H41" s="72" t="n">
        <f aca="false">ROUND(G41-F41,3)</f>
        <v>0</v>
      </c>
      <c r="I41" s="56" t="str">
        <f aca="false">IF(ABS(H41)&lt;=Resumo!$C$7,"OK",IF(H41&gt;0,"Sobra no estoque","Falta no estoque"))</f>
        <v>OK</v>
      </c>
      <c r="J41" s="56" t="str">
        <f aca="false">IF(I41="OK","",IF(AND(D41=0,E41=0),"Estoque sem movimento no período",IF(F41&lt;0,"Saídas maiores que entradas – estoque anterior ao período?",IF(G41=0,"Saldo calculado sem estoque físico – verificar",IF(H41&gt;0,"Estoque acima do esperado – saldo anterior ou entrada não listada","Estoque abaixo do esperado – saída/ajuste não listado")))))</f>
        <v/>
      </c>
      <c r="K41" s="57" t="n">
        <f aca="false">IF(C41=0,"",C41-D41)</f>
        <v>-2220</v>
      </c>
    </row>
    <row r="42" customFormat="false" ht="15" hidden="false" customHeight="false" outlineLevel="0" collapsed="false">
      <c r="A42" s="56" t="s">
        <v>108</v>
      </c>
      <c r="B42" s="56" t="s">
        <v>4</v>
      </c>
      <c r="C42" s="57" t="n">
        <f aca="false">SUMIFS(Entrada!$G$2:$G$202,Entrada!$B$2:$B$202,$A42,Entrada!$K$2:$K$202,"Recebido no 2008")</f>
        <v>1873.2</v>
      </c>
      <c r="D42" s="57" t="n">
        <f aca="false">SUMIFS(Entrada!$L$2:$L$202,Entrada!$B$2:$B$202,$A42)</f>
        <v>313.6</v>
      </c>
      <c r="E42" s="57" t="n">
        <f aca="false">SUMIFS(Saida!$R$2:$R$406,Saida!$B$2:$B$406,$A42)</f>
        <v>0</v>
      </c>
      <c r="F42" s="57" t="n">
        <f aca="false">D42-E42</f>
        <v>313.6</v>
      </c>
      <c r="G42" s="57" t="n">
        <f aca="false">SUMIFS('Estoque físico'!$J$2:$J$229,'Estoque físico'!$A$2:$A$229,$A42)</f>
        <v>313.6</v>
      </c>
      <c r="H42" s="72" t="n">
        <f aca="false">ROUND(G42-F42,3)</f>
        <v>0</v>
      </c>
      <c r="I42" s="56" t="str">
        <f aca="false">IF(ABS(H42)&lt;=Resumo!$C$7,"OK",IF(H42&gt;0,"Sobra no estoque","Falta no estoque"))</f>
        <v>OK</v>
      </c>
      <c r="J42" s="56" t="str">
        <f aca="false">IF(I42="OK","",IF(AND(D42=0,E42=0),"Estoque sem movimento no período",IF(F42&lt;0,"Saídas maiores que entradas – estoque anterior ao período?",IF(G42=0,"Saldo calculado sem estoque físico – verificar",IF(H42&gt;0,"Estoque acima do esperado – saldo anterior ou entrada não listada","Estoque abaixo do esperado – saída/ajuste não listado")))))</f>
        <v/>
      </c>
      <c r="K42" s="57" t="n">
        <f aca="false">IF(C42=0,"",C42-D42)</f>
        <v>1559.6</v>
      </c>
    </row>
    <row r="43" customFormat="false" ht="15" hidden="false" customHeight="false" outlineLevel="0" collapsed="false">
      <c r="A43" s="56" t="s">
        <v>117</v>
      </c>
      <c r="B43" s="56" t="s">
        <v>4</v>
      </c>
      <c r="C43" s="57" t="n">
        <f aca="false">SUMIFS(Entrada!$G$2:$G$202,Entrada!$B$2:$B$202,$A43,Entrada!$K$2:$K$202,"Recebido no 2008")</f>
        <v>2400</v>
      </c>
      <c r="D43" s="57" t="n">
        <f aca="false">SUMIFS(Entrada!$L$2:$L$202,Entrada!$B$2:$B$202,$A43)</f>
        <v>1200</v>
      </c>
      <c r="E43" s="57" t="n">
        <f aca="false">SUMIFS(Saida!$R$2:$R$406,Saida!$B$2:$B$406,$A43)</f>
        <v>0</v>
      </c>
      <c r="F43" s="57" t="n">
        <f aca="false">D43-E43</f>
        <v>1200</v>
      </c>
      <c r="G43" s="57" t="n">
        <f aca="false">SUMIFS('Estoque físico'!$J$2:$J$229,'Estoque físico'!$A$2:$A$229,$A43)</f>
        <v>1200</v>
      </c>
      <c r="H43" s="72" t="n">
        <f aca="false">ROUND(G43-F43,3)</f>
        <v>0</v>
      </c>
      <c r="I43" s="56" t="str">
        <f aca="false">IF(ABS(H43)&lt;=Resumo!$C$7,"OK",IF(H43&gt;0,"Sobra no estoque","Falta no estoque"))</f>
        <v>OK</v>
      </c>
      <c r="J43" s="56" t="str">
        <f aca="false">IF(I43="OK","",IF(AND(D43=0,E43=0),"Estoque sem movimento no período",IF(F43&lt;0,"Saídas maiores que entradas – estoque anterior ao período?",IF(G43=0,"Saldo calculado sem estoque físico – verificar",IF(H43&gt;0,"Estoque acima do esperado – saldo anterior ou entrada não listada","Estoque abaixo do esperado – saída/ajuste não listado")))))</f>
        <v/>
      </c>
      <c r="K43" s="57" t="n">
        <f aca="false">IF(C43=0,"",C43-D43)</f>
        <v>1200</v>
      </c>
    </row>
    <row r="44" customFormat="false" ht="15" hidden="false" customHeight="false" outlineLevel="0" collapsed="false">
      <c r="A44" s="56" t="s">
        <v>122</v>
      </c>
      <c r="B44" s="56" t="s">
        <v>4</v>
      </c>
      <c r="C44" s="57" t="n">
        <f aca="false">SUMIFS(Entrada!$G$2:$G$202,Entrada!$B$2:$B$202,$A44,Entrada!$K$2:$K$202,"Recebido no 2008")</f>
        <v>864</v>
      </c>
      <c r="D44" s="57" t="n">
        <f aca="false">SUMIFS(Entrada!$L$2:$L$202,Entrada!$B$2:$B$202,$A44)</f>
        <v>864</v>
      </c>
      <c r="E44" s="57" t="n">
        <f aca="false">SUMIFS(Saida!$R$2:$R$406,Saida!$B$2:$B$406,$A44)</f>
        <v>306</v>
      </c>
      <c r="F44" s="57" t="n">
        <f aca="false">D44-E44</f>
        <v>558</v>
      </c>
      <c r="G44" s="57" t="n">
        <f aca="false">SUMIFS('Estoque físico'!$J$2:$J$229,'Estoque físico'!$A$2:$A$229,$A44)</f>
        <v>558</v>
      </c>
      <c r="H44" s="72" t="n">
        <f aca="false">ROUND(G44-F44,3)</f>
        <v>0</v>
      </c>
      <c r="I44" s="56" t="str">
        <f aca="false">IF(ABS(H44)&lt;=Resumo!$C$7,"OK",IF(H44&gt;0,"Sobra no estoque","Falta no estoque"))</f>
        <v>OK</v>
      </c>
      <c r="J44" s="56" t="str">
        <f aca="false">IF(I44="OK","",IF(AND(D44=0,E44=0),"Estoque sem movimento no período",IF(F44&lt;0,"Saídas maiores que entradas – estoque anterior ao período?",IF(G44=0,"Saldo calculado sem estoque físico – verificar",IF(H44&gt;0,"Estoque acima do esperado – saldo anterior ou entrada não listada","Estoque abaixo do esperado – saída/ajuste não listado")))))</f>
        <v/>
      </c>
      <c r="K44" s="57" t="n">
        <f aca="false">IF(C44=0,"",C44-D44)</f>
        <v>0</v>
      </c>
    </row>
    <row r="45" customFormat="false" ht="15" hidden="false" customHeight="false" outlineLevel="0" collapsed="false">
      <c r="A45" s="56" t="s">
        <v>126</v>
      </c>
      <c r="B45" s="56" t="s">
        <v>4</v>
      </c>
      <c r="C45" s="57" t="n">
        <f aca="false">SUMIFS(Entrada!$G$2:$G$202,Entrada!$B$2:$B$202,$A45,Entrada!$K$2:$K$202,"Recebido no 2008")</f>
        <v>432</v>
      </c>
      <c r="D45" s="57" t="n">
        <f aca="false">SUMIFS(Entrada!$L$2:$L$202,Entrada!$B$2:$B$202,$A45)</f>
        <v>0</v>
      </c>
      <c r="E45" s="57" t="n">
        <f aca="false">SUMIFS(Saida!$R$2:$R$406,Saida!$B$2:$B$406,$A45)</f>
        <v>0</v>
      </c>
      <c r="F45" s="57" t="n">
        <f aca="false">D45-E45</f>
        <v>0</v>
      </c>
      <c r="G45" s="57" t="n">
        <f aca="false">SUMIFS('Estoque físico'!$J$2:$J$229,'Estoque físico'!$A$2:$A$229,$A45)</f>
        <v>0</v>
      </c>
      <c r="H45" s="72" t="n">
        <f aca="false">ROUND(G45-F45,3)</f>
        <v>0</v>
      </c>
      <c r="I45" s="56" t="str">
        <f aca="false">IF(ABS(H45)&lt;=Resumo!$C$7,"OK",IF(H45&gt;0,"Sobra no estoque","Falta no estoque"))</f>
        <v>OK</v>
      </c>
      <c r="J45" s="56" t="str">
        <f aca="false">IF(I45="OK","",IF(AND(D45=0,E45=0),"Estoque sem movimento no período",IF(F45&lt;0,"Saídas maiores que entradas – estoque anterior ao período?",IF(G45=0,"Saldo calculado sem estoque físico – verificar",IF(H45&gt;0,"Estoque acima do esperado – saldo anterior ou entrada não listada","Estoque abaixo do esperado – saída/ajuste não listado")))))</f>
        <v/>
      </c>
      <c r="K45" s="57" t="n">
        <f aca="false">IF(C45=0,"",C45-D45)</f>
        <v>432</v>
      </c>
    </row>
    <row r="46" customFormat="false" ht="15" hidden="false" customHeight="false" outlineLevel="0" collapsed="false">
      <c r="A46" s="56" t="s">
        <v>130</v>
      </c>
      <c r="B46" s="56" t="s">
        <v>4</v>
      </c>
      <c r="C46" s="57" t="n">
        <f aca="false">SUMIFS(Entrada!$G$2:$G$202,Entrada!$B$2:$B$202,$A46,Entrada!$K$2:$K$202,"Recebido no 2008")</f>
        <v>11208</v>
      </c>
      <c r="D46" s="57" t="n">
        <f aca="false">SUMIFS(Entrada!$L$2:$L$202,Entrada!$B$2:$B$202,$A46)</f>
        <v>0</v>
      </c>
      <c r="E46" s="57" t="n">
        <f aca="false">SUMIFS(Saida!$R$2:$R$406,Saida!$B$2:$B$406,$A46)</f>
        <v>0</v>
      </c>
      <c r="F46" s="57" t="n">
        <f aca="false">D46-E46</f>
        <v>0</v>
      </c>
      <c r="G46" s="57" t="n">
        <f aca="false">SUMIFS('Estoque físico'!$J$2:$J$229,'Estoque físico'!$A$2:$A$229,$A46)</f>
        <v>0</v>
      </c>
      <c r="H46" s="72" t="n">
        <f aca="false">ROUND(G46-F46,3)</f>
        <v>0</v>
      </c>
      <c r="I46" s="56" t="str">
        <f aca="false">IF(ABS(H46)&lt;=Resumo!$C$7,"OK",IF(H46&gt;0,"Sobra no estoque","Falta no estoque"))</f>
        <v>OK</v>
      </c>
      <c r="J46" s="56" t="str">
        <f aca="false">IF(I46="OK","",IF(AND(D46=0,E46=0),"Estoque sem movimento no período",IF(F46&lt;0,"Saídas maiores que entradas – estoque anterior ao período?",IF(G46=0,"Saldo calculado sem estoque físico – verificar",IF(H46&gt;0,"Estoque acima do esperado – saldo anterior ou entrada não listada","Estoque abaixo do esperado – saída/ajuste não listado")))))</f>
        <v/>
      </c>
      <c r="K46" s="57" t="n">
        <f aca="false">IF(C46=0,"",C46-D46)</f>
        <v>11208</v>
      </c>
    </row>
    <row r="47" customFormat="false" ht="15" hidden="false" customHeight="false" outlineLevel="0" collapsed="false">
      <c r="A47" s="56" t="s">
        <v>135</v>
      </c>
      <c r="B47" s="56" t="s">
        <v>4</v>
      </c>
      <c r="C47" s="57" t="n">
        <f aca="false">SUMIFS(Entrada!$G$2:$G$202,Entrada!$B$2:$B$202,$A47,Entrada!$K$2:$K$202,"Recebido no 2008")</f>
        <v>0</v>
      </c>
      <c r="D47" s="57" t="n">
        <f aca="false">SUMIFS(Entrada!$L$2:$L$202,Entrada!$B$2:$B$202,$A47)</f>
        <v>850</v>
      </c>
      <c r="E47" s="57" t="n">
        <f aca="false">SUMIFS(Saida!$R$2:$R$406,Saida!$B$2:$B$406,$A47)</f>
        <v>50</v>
      </c>
      <c r="F47" s="57" t="n">
        <f aca="false">D47-E47</f>
        <v>800</v>
      </c>
      <c r="G47" s="57" t="n">
        <f aca="false">SUMIFS('Estoque físico'!$J$2:$J$229,'Estoque físico'!$A$2:$A$229,$A47)</f>
        <v>800</v>
      </c>
      <c r="H47" s="72" t="n">
        <f aca="false">ROUND(G47-F47,3)</f>
        <v>0</v>
      </c>
      <c r="I47" s="56" t="str">
        <f aca="false">IF(ABS(H47)&lt;=Resumo!$C$7,"OK",IF(H47&gt;0,"Sobra no estoque","Falta no estoque"))</f>
        <v>OK</v>
      </c>
      <c r="J47" s="56" t="str">
        <f aca="false">IF(I47="OK","",IF(AND(D47=0,E47=0),"Estoque sem movimento no período",IF(F47&lt;0,"Saídas maiores que entradas – estoque anterior ao período?",IF(G47=0,"Saldo calculado sem estoque físico – verificar",IF(H47&gt;0,"Estoque acima do esperado – saldo anterior ou entrada não listada","Estoque abaixo do esperado – saída/ajuste não listado")))))</f>
        <v/>
      </c>
      <c r="K47" s="57" t="str">
        <f aca="false">IF(C47=0,"",C47-D47)</f>
        <v/>
      </c>
    </row>
    <row r="48" customFormat="false" ht="15" hidden="false" customHeight="false" outlineLevel="0" collapsed="false">
      <c r="A48" s="56" t="s">
        <v>139</v>
      </c>
      <c r="B48" s="56" t="s">
        <v>4</v>
      </c>
      <c r="C48" s="57" t="n">
        <f aca="false">SUMIFS(Entrada!$G$2:$G$202,Entrada!$B$2:$B$202,$A48,Entrada!$K$2:$K$202,"Recebido no 2008")</f>
        <v>0</v>
      </c>
      <c r="D48" s="57" t="n">
        <f aca="false">SUMIFS(Entrada!$L$2:$L$202,Entrada!$B$2:$B$202,$A48)</f>
        <v>1000</v>
      </c>
      <c r="E48" s="57" t="n">
        <f aca="false">SUMIFS(Saida!$R$2:$R$406,Saida!$B$2:$B$406,$A48)</f>
        <v>0</v>
      </c>
      <c r="F48" s="57" t="n">
        <f aca="false">D48-E48</f>
        <v>1000</v>
      </c>
      <c r="G48" s="57" t="n">
        <f aca="false">SUMIFS('Estoque físico'!$J$2:$J$229,'Estoque físico'!$A$2:$A$229,$A48)</f>
        <v>1000</v>
      </c>
      <c r="H48" s="72" t="n">
        <f aca="false">ROUND(G48-F48,3)</f>
        <v>0</v>
      </c>
      <c r="I48" s="56" t="str">
        <f aca="false">IF(ABS(H48)&lt;=Resumo!$C$7,"OK",IF(H48&gt;0,"Sobra no estoque","Falta no estoque"))</f>
        <v>OK</v>
      </c>
      <c r="J48" s="56" t="str">
        <f aca="false">IF(I48="OK","",IF(AND(D48=0,E48=0),"Estoque sem movimento no período",IF(F48&lt;0,"Saídas maiores que entradas – estoque anterior ao período?",IF(G48=0,"Saldo calculado sem estoque físico – verificar",IF(H48&gt;0,"Estoque acima do esperado – saldo anterior ou entrada não listada","Estoque abaixo do esperado – saída/ajuste não listado")))))</f>
        <v/>
      </c>
      <c r="K48" s="57" t="str">
        <f aca="false">IF(C48=0,"",C48-D48)</f>
        <v/>
      </c>
    </row>
    <row r="49" customFormat="false" ht="15" hidden="false" customHeight="false" outlineLevel="0" collapsed="false">
      <c r="A49" s="56" t="s">
        <v>131</v>
      </c>
      <c r="B49" s="56" t="s">
        <v>12</v>
      </c>
      <c r="C49" s="57" t="n">
        <f aca="false">SUMIFS(Entrada!$G$2:$G$202,Entrada!$B$2:$B$202,$A49,Entrada!$K$2:$K$202,"Recebido no 2008")</f>
        <v>1440</v>
      </c>
      <c r="D49" s="57" t="n">
        <f aca="false">SUMIFS(Entrada!$L$2:$L$202,Entrada!$B$2:$B$202,$A49)</f>
        <v>1637.75</v>
      </c>
      <c r="E49" s="57" t="n">
        <f aca="false">SUMIFS(Saida!$R$2:$R$406,Saida!$B$2:$B$406,$A49)</f>
        <v>101</v>
      </c>
      <c r="F49" s="57" t="n">
        <f aca="false">D49-E49</f>
        <v>1536.75</v>
      </c>
      <c r="G49" s="57" t="n">
        <f aca="false">SUMIFS('Estoque físico'!$J$2:$J$229,'Estoque físico'!$A$2:$A$229,$A49)</f>
        <v>1536.75</v>
      </c>
      <c r="H49" s="72" t="n">
        <f aca="false">ROUND(G49-F49,3)</f>
        <v>0</v>
      </c>
      <c r="I49" s="56" t="str">
        <f aca="false">IF(ABS(H49)&lt;=Resumo!$C$7,"OK",IF(H49&gt;0,"Sobra no estoque","Falta no estoque"))</f>
        <v>OK</v>
      </c>
      <c r="J49" s="56" t="str">
        <f aca="false">IF(I49="OK","",IF(AND(D49=0,E49=0),"Estoque sem movimento no período",IF(F49&lt;0,"Saídas maiores que entradas – estoque anterior ao período?",IF(G49=0,"Saldo calculado sem estoque físico – verificar",IF(H49&gt;0,"Estoque acima do esperado – saldo anterior ou entrada não listada","Estoque abaixo do esperado – saída/ajuste não listado")))))</f>
        <v/>
      </c>
      <c r="K49" s="57" t="n">
        <f aca="false">IF(C49=0,"",C49-D49)</f>
        <v>-197.75</v>
      </c>
    </row>
    <row r="50" customFormat="false" ht="15" hidden="false" customHeight="false" outlineLevel="0" collapsed="false">
      <c r="A50" s="56" t="s">
        <v>147</v>
      </c>
      <c r="B50" s="56" t="s">
        <v>4</v>
      </c>
      <c r="C50" s="57" t="n">
        <f aca="false">SUMIFS(Entrada!$G$2:$G$202,Entrada!$B$2:$B$202,$A50,Entrada!$K$2:$K$202,"Recebido no 2008")</f>
        <v>4800</v>
      </c>
      <c r="D50" s="57" t="n">
        <f aca="false">SUMIFS(Entrada!$L$2:$L$202,Entrada!$B$2:$B$202,$A50)</f>
        <v>6280</v>
      </c>
      <c r="E50" s="57" t="n">
        <f aca="false">SUMIFS(Saida!$R$2:$R$406,Saida!$B$2:$B$406,$A50)</f>
        <v>1000</v>
      </c>
      <c r="F50" s="57" t="n">
        <f aca="false">D50-E50</f>
        <v>5280</v>
      </c>
      <c r="G50" s="57" t="n">
        <f aca="false">SUMIFS('Estoque físico'!$J$2:$J$229,'Estoque físico'!$A$2:$A$229,$A50)</f>
        <v>5280</v>
      </c>
      <c r="H50" s="72" t="n">
        <f aca="false">ROUND(G50-F50,3)</f>
        <v>0</v>
      </c>
      <c r="I50" s="56" t="str">
        <f aca="false">IF(ABS(H50)&lt;=Resumo!$C$7,"OK",IF(H50&gt;0,"Sobra no estoque","Falta no estoque"))</f>
        <v>OK</v>
      </c>
      <c r="J50" s="56" t="str">
        <f aca="false">IF(I50="OK","",IF(AND(D50=0,E50=0),"Estoque sem movimento no período",IF(F50&lt;0,"Saídas maiores que entradas – estoque anterior ao período?",IF(G50=0,"Saldo calculado sem estoque físico – verificar",IF(H50&gt;0,"Estoque acima do esperado – saldo anterior ou entrada não listada","Estoque abaixo do esperado – saída/ajuste não listado")))))</f>
        <v/>
      </c>
      <c r="K50" s="57" t="n">
        <f aca="false">IF(C50=0,"",C50-D50)</f>
        <v>-1480</v>
      </c>
    </row>
    <row r="51" customFormat="false" ht="15" hidden="false" customHeight="false" outlineLevel="0" collapsed="false">
      <c r="A51" s="56" t="s">
        <v>151</v>
      </c>
      <c r="B51" s="56" t="s">
        <v>4</v>
      </c>
      <c r="C51" s="57" t="n">
        <f aca="false">SUMIFS(Entrada!$G$2:$G$202,Entrada!$B$2:$B$202,$A51,Entrada!$K$2:$K$202,"Recebido no 2008")</f>
        <v>400</v>
      </c>
      <c r="D51" s="57" t="n">
        <f aca="false">SUMIFS(Entrada!$L$2:$L$202,Entrada!$B$2:$B$202,$A51)</f>
        <v>400</v>
      </c>
      <c r="E51" s="57" t="n">
        <f aca="false">SUMIFS(Saida!$R$2:$R$406,Saida!$B$2:$B$406,$A51)</f>
        <v>120</v>
      </c>
      <c r="F51" s="57" t="n">
        <f aca="false">D51-E51</f>
        <v>280</v>
      </c>
      <c r="G51" s="57" t="n">
        <f aca="false">SUMIFS('Estoque físico'!$J$2:$J$229,'Estoque físico'!$A$2:$A$229,$A51)</f>
        <v>280</v>
      </c>
      <c r="H51" s="72" t="n">
        <f aca="false">ROUND(G51-F51,3)</f>
        <v>0</v>
      </c>
      <c r="I51" s="56" t="str">
        <f aca="false">IF(ABS(H51)&lt;=Resumo!$C$7,"OK",IF(H51&gt;0,"Sobra no estoque","Falta no estoque"))</f>
        <v>OK</v>
      </c>
      <c r="J51" s="56" t="str">
        <f aca="false">IF(I51="OK","",IF(AND(D51=0,E51=0),"Estoque sem movimento no período",IF(F51&lt;0,"Saídas maiores que entradas – estoque anterior ao período?",IF(G51=0,"Saldo calculado sem estoque físico – verificar",IF(H51&gt;0,"Estoque acima do esperado – saldo anterior ou entrada não listada","Estoque abaixo do esperado – saída/ajuste não listado")))))</f>
        <v/>
      </c>
      <c r="K51" s="57" t="n">
        <f aca="false">IF(C51=0,"",C51-D51)</f>
        <v>0</v>
      </c>
    </row>
    <row r="52" customFormat="false" ht="15" hidden="false" customHeight="false" outlineLevel="0" collapsed="false">
      <c r="A52" s="56" t="s">
        <v>154</v>
      </c>
      <c r="B52" s="56" t="s">
        <v>4</v>
      </c>
      <c r="C52" s="57" t="n">
        <f aca="false">SUMIFS(Entrada!$G$2:$G$202,Entrada!$B$2:$B$202,$A52,Entrada!$K$2:$K$202,"Recebido no 2008")</f>
        <v>1920</v>
      </c>
      <c r="D52" s="57" t="n">
        <f aca="false">SUMIFS(Entrada!$L$2:$L$202,Entrada!$B$2:$B$202,$A52)</f>
        <v>0</v>
      </c>
      <c r="E52" s="57" t="n">
        <f aca="false">SUMIFS(Saida!$R$2:$R$406,Saida!$B$2:$B$406,$A52)</f>
        <v>0</v>
      </c>
      <c r="F52" s="57" t="n">
        <f aca="false">D52-E52</f>
        <v>0</v>
      </c>
      <c r="G52" s="57" t="n">
        <f aca="false">SUMIFS('Estoque físico'!$J$2:$J$229,'Estoque físico'!$A$2:$A$229,$A52)</f>
        <v>0</v>
      </c>
      <c r="H52" s="72" t="n">
        <f aca="false">ROUND(G52-F52,3)</f>
        <v>0</v>
      </c>
      <c r="I52" s="56" t="str">
        <f aca="false">IF(ABS(H52)&lt;=Resumo!$C$7,"OK",IF(H52&gt;0,"Sobra no estoque","Falta no estoque"))</f>
        <v>OK</v>
      </c>
      <c r="J52" s="56" t="str">
        <f aca="false">IF(I52="OK","",IF(AND(D52=0,E52=0),"Estoque sem movimento no período",IF(F52&lt;0,"Saídas maiores que entradas – estoque anterior ao período?",IF(G52=0,"Saldo calculado sem estoque físico – verificar",IF(H52&gt;0,"Estoque acima do esperado – saldo anterior ou entrada não listada","Estoque abaixo do esperado – saída/ajuste não listado")))))</f>
        <v/>
      </c>
      <c r="K52" s="57" t="n">
        <f aca="false">IF(C52=0,"",C52-D52)</f>
        <v>1920</v>
      </c>
    </row>
    <row r="53" customFormat="false" ht="15" hidden="false" customHeight="false" outlineLevel="0" collapsed="false">
      <c r="A53" s="56" t="s">
        <v>156</v>
      </c>
      <c r="B53" s="56" t="s">
        <v>4</v>
      </c>
      <c r="C53" s="57" t="n">
        <f aca="false">SUMIFS(Entrada!$G$2:$G$202,Entrada!$B$2:$B$202,$A53,Entrada!$K$2:$K$202,"Recebido no 2008")</f>
        <v>3840</v>
      </c>
      <c r="D53" s="57" t="n">
        <f aca="false">SUMIFS(Entrada!$L$2:$L$202,Entrada!$B$2:$B$202,$A53)</f>
        <v>1000</v>
      </c>
      <c r="E53" s="57" t="n">
        <f aca="false">SUMIFS(Saida!$R$2:$R$406,Saida!$B$2:$B$406,$A53)</f>
        <v>0</v>
      </c>
      <c r="F53" s="57" t="n">
        <f aca="false">D53-E53</f>
        <v>1000</v>
      </c>
      <c r="G53" s="57" t="n">
        <f aca="false">SUMIFS('Estoque físico'!$J$2:$J$229,'Estoque físico'!$A$2:$A$229,$A53)</f>
        <v>1000</v>
      </c>
      <c r="H53" s="72" t="n">
        <f aca="false">ROUND(G53-F53,3)</f>
        <v>0</v>
      </c>
      <c r="I53" s="56" t="str">
        <f aca="false">IF(ABS(H53)&lt;=Resumo!$C$7,"OK",IF(H53&gt;0,"Sobra no estoque","Falta no estoque"))</f>
        <v>OK</v>
      </c>
      <c r="J53" s="56" t="str">
        <f aca="false">IF(I53="OK","",IF(AND(D53=0,E53=0),"Estoque sem movimento no período",IF(F53&lt;0,"Saídas maiores que entradas – estoque anterior ao período?",IF(G53=0,"Saldo calculado sem estoque físico – verificar",IF(H53&gt;0,"Estoque acima do esperado – saldo anterior ou entrada não listada","Estoque abaixo do esperado – saída/ajuste não listado")))))</f>
        <v/>
      </c>
      <c r="K53" s="57" t="n">
        <f aca="false">IF(C53=0,"",C53-D53)</f>
        <v>2840</v>
      </c>
    </row>
    <row r="54" customFormat="false" ht="15" hidden="false" customHeight="false" outlineLevel="0" collapsed="false">
      <c r="A54" s="56" t="s">
        <v>160</v>
      </c>
      <c r="B54" s="56" t="s">
        <v>4</v>
      </c>
      <c r="C54" s="57" t="n">
        <f aca="false">SUMIFS(Entrada!$G$2:$G$202,Entrada!$B$2:$B$202,$A54,Entrada!$K$2:$K$202,"Recebido no 2008")</f>
        <v>2822.4</v>
      </c>
      <c r="D54" s="57" t="n">
        <f aca="false">SUMIFS(Entrada!$L$2:$L$202,Entrada!$B$2:$B$202,$A54)</f>
        <v>680.4</v>
      </c>
      <c r="E54" s="57" t="n">
        <f aca="false">SUMIFS(Saida!$R$2:$R$406,Saida!$B$2:$B$406,$A54)</f>
        <v>19.6</v>
      </c>
      <c r="F54" s="57" t="n">
        <f aca="false">D54-E54</f>
        <v>660.8</v>
      </c>
      <c r="G54" s="57" t="n">
        <f aca="false">SUMIFS('Estoque físico'!$J$2:$J$229,'Estoque físico'!$A$2:$A$229,$A54)</f>
        <v>660.8</v>
      </c>
      <c r="H54" s="72" t="n">
        <f aca="false">ROUND(G54-F54,3)</f>
        <v>0</v>
      </c>
      <c r="I54" s="56" t="str">
        <f aca="false">IF(ABS(H54)&lt;=Resumo!$C$7,"OK",IF(H54&gt;0,"Sobra no estoque","Falta no estoque"))</f>
        <v>OK</v>
      </c>
      <c r="J54" s="56" t="str">
        <f aca="false">IF(I54="OK","",IF(AND(D54=0,E54=0),"Estoque sem movimento no período",IF(F54&lt;0,"Saídas maiores que entradas – estoque anterior ao período?",IF(G54=0,"Saldo calculado sem estoque físico – verificar",IF(H54&gt;0,"Estoque acima do esperado – saldo anterior ou entrada não listada","Estoque abaixo do esperado – saída/ajuste não listado")))))</f>
        <v/>
      </c>
      <c r="K54" s="57" t="n">
        <f aca="false">IF(C54=0,"",C54-D54)</f>
        <v>2142</v>
      </c>
    </row>
    <row r="55" customFormat="false" ht="15" hidden="false" customHeight="false" outlineLevel="0" collapsed="false">
      <c r="A55" s="46" t="s">
        <v>1671</v>
      </c>
      <c r="C55" s="72" t="n">
        <f aca="false">SUM(C5:C54)</f>
        <v>78599.5</v>
      </c>
      <c r="D55" s="72" t="n">
        <f aca="false">SUM(D5:D54)</f>
        <v>72968.03</v>
      </c>
      <c r="E55" s="72" t="n">
        <f aca="false">SUM(E5:E54)</f>
        <v>29384.8</v>
      </c>
      <c r="F55" s="72" t="n">
        <f aca="false">SUM(F5:F54)</f>
        <v>43583.23</v>
      </c>
      <c r="G55" s="72" t="n">
        <f aca="false">SUM(G5:G54)</f>
        <v>63256.456</v>
      </c>
      <c r="H55" s="72" t="n">
        <f aca="false">SUM(H5:H54)</f>
        <v>19673.226</v>
      </c>
      <c r="K55" s="72" t="n">
        <f aca="false">SUM(K5:K54)</f>
        <v>33782.55</v>
      </c>
    </row>
  </sheetData>
  <autoFilter ref="A4:K54"/>
  <conditionalFormatting sqref="A5:K54">
    <cfRule type="expression" priority="2" aboveAverage="0" equalAverage="0" bottom="0" percent="0" rank="0" text="" dxfId="18">
      <formula>$I5="Falta no estoque"</formula>
    </cfRule>
    <cfRule type="expression" priority="3" aboveAverage="0" equalAverage="0" bottom="0" percent="0" rank="0" text="" dxfId="19">
      <formula>$I5="Sobra no estoque"</formula>
    </cfRule>
  </conditionalFormatting>
  <conditionalFormatting sqref="I5:I54">
    <cfRule type="expression" priority="4" aboveAverage="0" equalAverage="0" bottom="0" percent="0" rank="0" text="" dxfId="20">
      <formula>$I5="OK"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L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6"/>
    <col collapsed="false" customWidth="true" hidden="false" outlineLevel="0" max="5" min="4" style="0" width="15"/>
    <col collapsed="false" customWidth="true" hidden="false" outlineLevel="0" max="6" min="6" style="0" width="13"/>
    <col collapsed="false" customWidth="true" hidden="false" outlineLevel="0" max="7" min="7" style="0" width="17"/>
    <col collapsed="false" customWidth="true" hidden="false" outlineLevel="0" max="8" min="8" style="0" width="13"/>
    <col collapsed="false" customWidth="true" hidden="false" outlineLevel="0" max="9" min="9" style="0" width="17"/>
    <col collapsed="false" customWidth="true" hidden="false" outlineLevel="0" max="10" min="10" style="0" width="26"/>
    <col collapsed="false" customWidth="true" hidden="false" outlineLevel="0" max="11" min="11" style="0" width="44"/>
    <col collapsed="false" customWidth="true" hidden="false" outlineLevel="0" max="12" min="12" style="0" width="18"/>
  </cols>
  <sheetData>
    <row r="1" customFormat="false" ht="26.8" hidden="false" customHeight="false" outlineLevel="0" collapsed="false">
      <c r="A1" s="44" t="s">
        <v>1672</v>
      </c>
    </row>
    <row r="2" customFormat="false" ht="15" hidden="false" customHeight="false" outlineLevel="0" collapsed="false">
      <c r="A2" s="45" t="s">
        <v>1661</v>
      </c>
    </row>
    <row r="4" customFormat="false" ht="45" hidden="false" customHeight="true" outlineLevel="0" collapsed="false">
      <c r="A4" s="33" t="s">
        <v>14</v>
      </c>
      <c r="B4" s="33" t="s">
        <v>15</v>
      </c>
      <c r="C4" s="33" t="s">
        <v>90</v>
      </c>
      <c r="D4" s="33" t="s">
        <v>1662</v>
      </c>
      <c r="E4" s="33" t="s">
        <v>1663</v>
      </c>
      <c r="F4" s="33" t="s">
        <v>1664</v>
      </c>
      <c r="G4" s="33" t="s">
        <v>1665</v>
      </c>
      <c r="H4" s="33" t="s">
        <v>1666</v>
      </c>
      <c r="I4" s="33" t="s">
        <v>1667</v>
      </c>
      <c r="J4" s="33" t="s">
        <v>1668</v>
      </c>
      <c r="K4" s="33" t="s">
        <v>1669</v>
      </c>
      <c r="L4" s="33" t="s">
        <v>1670</v>
      </c>
    </row>
    <row r="5" customFormat="false" ht="15" hidden="false" customHeight="false" outlineLevel="0" collapsed="false">
      <c r="A5" s="56" t="s">
        <v>29</v>
      </c>
      <c r="B5" s="56" t="s">
        <v>34</v>
      </c>
      <c r="C5" s="56" t="s">
        <v>4</v>
      </c>
      <c r="D5" s="57" t="n">
        <f aca="false">SUMIFS(Entrada!$G$2:$G$202,Entrada!$B$2:$B$202,$A5,Entrada!$C$2:$C$202,$B5,Entrada!$K$2:$K$202,"Recebido no 2008")</f>
        <v>0</v>
      </c>
      <c r="E5" s="57" t="n">
        <f aca="false">SUMIFS(Entrada!$L$2:$L$202,Entrada!$B$2:$B$202,$A5,Entrada!$C$2:$C$202,$B5)</f>
        <v>2.8</v>
      </c>
      <c r="F5" s="57" t="n">
        <f aca="false">SUMIFS(Saida!$R$2:$R$406,Saida!$B$2:$B$406,$A5,Saida!$C$2:$C$406,$B5)</f>
        <v>226.8</v>
      </c>
      <c r="G5" s="57" t="n">
        <f aca="false">E5-F5</f>
        <v>-224</v>
      </c>
      <c r="H5" s="57" t="n">
        <f aca="false">SUMIFS('Estoque físico'!$J$2:$J$229,'Estoque físico'!$A$2:$A$229,$A5,'Estoque físico'!$B$2:$B$229,$B5)</f>
        <v>5513.2</v>
      </c>
      <c r="I5" s="72" t="n">
        <f aca="false">ROUND(H5-G5,3)</f>
        <v>5737.2</v>
      </c>
      <c r="J5" s="56" t="str">
        <f aca="false">IF(ABS(I5)&lt;=Resumo!$C$7,"OK",IF(I5&gt;0,"Sobra no estoque","Falta no estoque"))</f>
        <v>Sobra no estoque</v>
      </c>
      <c r="K5" s="56" t="str">
        <f aca="false">IF(J5="OK","",IF(AND(E5=0,F5=0),"Estoque sem movimento no período",IF(G5&lt;0,"Saídas maiores que entradas – estoque anterior ao período?",IF(H5=0,"Saldo calculado sem estoque físico – verificar",IF(I5&gt;0,"Estoque acima do esperado – saldo anterior ou entrada não listada","Estoque abaixo do esperado – saída/ajuste não listado")))))</f>
        <v>Saídas maiores que entradas – estoque anterior ao período?</v>
      </c>
      <c r="L5" s="57" t="str">
        <f aca="false">IF(D5=0,"",D5-E5)</f>
        <v/>
      </c>
    </row>
    <row r="6" customFormat="false" ht="15" hidden="false" customHeight="false" outlineLevel="0" collapsed="false">
      <c r="A6" s="56" t="s">
        <v>81</v>
      </c>
      <c r="B6" s="56" t="s">
        <v>145</v>
      </c>
      <c r="C6" s="56" t="s">
        <v>4</v>
      </c>
      <c r="D6" s="57" t="n">
        <f aca="false">SUMIFS(Entrada!$G$2:$G$202,Entrada!$B$2:$B$202,$A6,Entrada!$C$2:$C$202,$B6,Entrada!$K$2:$K$202,"Recebido no 2008")</f>
        <v>0</v>
      </c>
      <c r="E6" s="57" t="n">
        <f aca="false">SUMIFS(Entrada!$L$2:$L$202,Entrada!$B$2:$B$202,$A6,Entrada!$C$2:$C$202,$B6)</f>
        <v>966</v>
      </c>
      <c r="F6" s="57" t="n">
        <f aca="false">SUMIFS(Saida!$R$2:$R$406,Saida!$B$2:$B$406,$A6,Saida!$C$2:$C$406,$B6)</f>
        <v>906</v>
      </c>
      <c r="G6" s="57" t="n">
        <f aca="false">E6-F6</f>
        <v>60</v>
      </c>
      <c r="H6" s="57" t="n">
        <f aca="false">SUMIFS('Estoque físico'!$J$2:$J$229,'Estoque físico'!$A$2:$A$229,$A6,'Estoque físico'!$B$2:$B$229,$B6)</f>
        <v>3754.998</v>
      </c>
      <c r="I6" s="72" t="n">
        <f aca="false">ROUND(H6-G6,3)</f>
        <v>3694.998</v>
      </c>
      <c r="J6" s="56" t="str">
        <f aca="false">IF(ABS(I6)&lt;=Resumo!$C$7,"OK",IF(I6&gt;0,"Sobra no estoque","Falta no estoque"))</f>
        <v>Sobra no estoque</v>
      </c>
      <c r="K6" s="56" t="str">
        <f aca="false">IF(J6="OK","",IF(AND(E6=0,F6=0),"Estoque sem movimento no período",IF(G6&lt;0,"Saídas maiores que entradas – estoque anterior ao período?",IF(H6=0,"Saldo calculado sem estoque físico – verificar",IF(I6&gt;0,"Estoque acima do esperado – saldo anterior ou entrada não listada","Estoque abaixo do esperado – saída/ajuste não listado")))))</f>
        <v>Estoque acima do esperado – saldo anterior ou entrada não listada</v>
      </c>
      <c r="L6" s="57" t="str">
        <f aca="false">IF(D6=0,"",D6-E6)</f>
        <v/>
      </c>
    </row>
    <row r="7" customFormat="false" ht="15" hidden="false" customHeight="false" outlineLevel="0" collapsed="false">
      <c r="A7" s="56" t="s">
        <v>61</v>
      </c>
      <c r="B7" s="56" t="s">
        <v>107</v>
      </c>
      <c r="C7" s="56" t="s">
        <v>4</v>
      </c>
      <c r="D7" s="57" t="n">
        <f aca="false">SUMIFS(Entrada!$G$2:$G$202,Entrada!$B$2:$B$202,$A7,Entrada!$C$2:$C$202,$B7,Entrada!$K$2:$K$202,"Recebido no 2008")</f>
        <v>0</v>
      </c>
      <c r="E7" s="57" t="n">
        <f aca="false">SUMIFS(Entrada!$L$2:$L$202,Entrada!$B$2:$B$202,$A7,Entrada!$C$2:$C$202,$B7)</f>
        <v>240</v>
      </c>
      <c r="F7" s="57" t="n">
        <f aca="false">SUMIFS(Saida!$R$2:$R$406,Saida!$B$2:$B$406,$A7,Saida!$C$2:$C$406,$B7)</f>
        <v>6</v>
      </c>
      <c r="G7" s="57" t="n">
        <f aca="false">E7-F7</f>
        <v>234</v>
      </c>
      <c r="H7" s="57" t="n">
        <f aca="false">SUMIFS('Estoque físico'!$J$2:$J$229,'Estoque físico'!$A$2:$A$229,$A7,'Estoque físico'!$B$2:$B$229,$B7)</f>
        <v>3432</v>
      </c>
      <c r="I7" s="72" t="n">
        <f aca="false">ROUND(H7-G7,3)</f>
        <v>3198</v>
      </c>
      <c r="J7" s="56" t="str">
        <f aca="false">IF(ABS(I7)&lt;=Resumo!$C$7,"OK",IF(I7&gt;0,"Sobra no estoque","Falta no estoque"))</f>
        <v>Sobra no estoque</v>
      </c>
      <c r="K7" s="56" t="str">
        <f aca="false">IF(J7="OK","",IF(AND(E7=0,F7=0),"Estoque sem movimento no período",IF(G7&lt;0,"Saídas maiores que entradas – estoque anterior ao período?",IF(H7=0,"Saldo calculado sem estoque físico – verificar",IF(I7&gt;0,"Estoque acima do esperado – saldo anterior ou entrada não listada","Estoque abaixo do esperado – saída/ajuste não listado")))))</f>
        <v>Estoque acima do esperado – saldo anterior ou entrada não listada</v>
      </c>
      <c r="L7" s="57" t="str">
        <f aca="false">IF(D7=0,"",D7-E7)</f>
        <v/>
      </c>
    </row>
    <row r="8" customFormat="false" ht="15" hidden="false" customHeight="false" outlineLevel="0" collapsed="false">
      <c r="A8" s="56" t="s">
        <v>41</v>
      </c>
      <c r="B8" s="56" t="s">
        <v>62</v>
      </c>
      <c r="C8" s="56" t="s">
        <v>4</v>
      </c>
      <c r="D8" s="57" t="n">
        <f aca="false">SUMIFS(Entrada!$G$2:$G$202,Entrada!$B$2:$B$202,$A8,Entrada!$C$2:$C$202,$B8,Entrada!$K$2:$K$202,"Recebido no 2008")</f>
        <v>0</v>
      </c>
      <c r="E8" s="57" t="n">
        <f aca="false">SUMIFS(Entrada!$L$2:$L$202,Entrada!$B$2:$B$202,$A8,Entrada!$C$2:$C$202,$B8)</f>
        <v>2.8</v>
      </c>
      <c r="F8" s="57" t="n">
        <f aca="false">SUMIFS(Saida!$R$2:$R$406,Saida!$B$2:$B$406,$A8,Saida!$C$2:$C$406,$B8)</f>
        <v>677.6</v>
      </c>
      <c r="G8" s="57" t="n">
        <f aca="false">E8-F8</f>
        <v>-674.8</v>
      </c>
      <c r="H8" s="57" t="n">
        <f aca="false">SUMIFS('Estoque físico'!$J$2:$J$229,'Estoque físico'!$A$2:$A$229,$A8,'Estoque físico'!$B$2:$B$229,$B8)</f>
        <v>1853.6</v>
      </c>
      <c r="I8" s="72" t="n">
        <f aca="false">ROUND(H8-G8,3)</f>
        <v>2528.4</v>
      </c>
      <c r="J8" s="56" t="str">
        <f aca="false">IF(ABS(I8)&lt;=Resumo!$C$7,"OK",IF(I8&gt;0,"Sobra no estoque","Falta no estoque"))</f>
        <v>Sobra no estoque</v>
      </c>
      <c r="K8" s="56" t="str">
        <f aca="false">IF(J8="OK","",IF(AND(E8=0,F8=0),"Estoque sem movimento no período",IF(G8&lt;0,"Saídas maiores que entradas – estoque anterior ao período?",IF(H8=0,"Saldo calculado sem estoque físico – verificar",IF(I8&gt;0,"Estoque acima do esperado – saldo anterior ou entrada não listada","Estoque abaixo do esperado – saída/ajuste não listado")))))</f>
        <v>Saídas maiores que entradas – estoque anterior ao período?</v>
      </c>
      <c r="L8" s="57" t="str">
        <f aca="false">IF(D8=0,"",D8-E8)</f>
        <v/>
      </c>
    </row>
    <row r="9" customFormat="false" ht="15" hidden="false" customHeight="false" outlineLevel="0" collapsed="false">
      <c r="A9" s="56" t="s">
        <v>23</v>
      </c>
      <c r="B9" s="56" t="s">
        <v>24</v>
      </c>
      <c r="C9" s="56" t="s">
        <v>4</v>
      </c>
      <c r="D9" s="57" t="n">
        <f aca="false">SUMIFS(Entrada!$G$2:$G$202,Entrada!$B$2:$B$202,$A9,Entrada!$C$2:$C$202,$B9,Entrada!$K$2:$K$202,"Recebido no 2008")</f>
        <v>0</v>
      </c>
      <c r="E9" s="57" t="n">
        <f aca="false">SUMIFS(Entrada!$L$2:$L$202,Entrada!$B$2:$B$202,$A9,Entrada!$C$2:$C$202,$B9)</f>
        <v>313.6</v>
      </c>
      <c r="F9" s="57" t="n">
        <f aca="false">SUMIFS(Saida!$R$2:$R$406,Saida!$B$2:$B$406,$A9,Saida!$C$2:$C$406,$B9)</f>
        <v>221.2</v>
      </c>
      <c r="G9" s="57" t="n">
        <f aca="false">E9-F9</f>
        <v>92.4</v>
      </c>
      <c r="H9" s="57" t="n">
        <f aca="false">SUMIFS('Estoque físico'!$J$2:$J$229,'Estoque físico'!$A$2:$A$229,$A9,'Estoque físico'!$B$2:$B$229,$B9)</f>
        <v>1360.8</v>
      </c>
      <c r="I9" s="72" t="n">
        <f aca="false">ROUND(H9-G9,3)</f>
        <v>1268.4</v>
      </c>
      <c r="J9" s="56" t="str">
        <f aca="false">IF(ABS(I9)&lt;=Resumo!$C$7,"OK",IF(I9&gt;0,"Sobra no estoque","Falta no estoque"))</f>
        <v>Sobra no estoque</v>
      </c>
      <c r="K9" s="56" t="str">
        <f aca="false">IF(J9="OK","",IF(AND(E9=0,F9=0),"Estoque sem movimento no período",IF(G9&lt;0,"Saídas maiores que entradas – estoque anterior ao período?",IF(H9=0,"Saldo calculado sem estoque físico – verificar",IF(I9&gt;0,"Estoque acima do esperado – saldo anterior ou entrada não listada","Estoque abaixo do esperado – saída/ajuste não listado")))))</f>
        <v>Estoque acima do esperado – saldo anterior ou entrada não listada</v>
      </c>
      <c r="L9" s="57" t="str">
        <f aca="false">IF(D9=0,"",D9-E9)</f>
        <v/>
      </c>
    </row>
    <row r="10" customFormat="false" ht="15" hidden="false" customHeight="false" outlineLevel="0" collapsed="false">
      <c r="A10" s="56" t="s">
        <v>157</v>
      </c>
      <c r="B10" s="56" t="s">
        <v>158</v>
      </c>
      <c r="C10" s="56" t="s">
        <v>4</v>
      </c>
      <c r="D10" s="57" t="n">
        <f aca="false">SUMIFS(Entrada!$G$2:$G$202,Entrada!$B$2:$B$202,$A10,Entrada!$C$2:$C$202,$B10,Entrada!$K$2:$K$202,"Recebido no 2008")</f>
        <v>20</v>
      </c>
      <c r="E10" s="57" t="n">
        <f aca="false">SUMIFS(Entrada!$L$2:$L$202,Entrada!$B$2:$B$202,$A10,Entrada!$C$2:$C$202,$B10)</f>
        <v>0</v>
      </c>
      <c r="F10" s="57" t="n">
        <f aca="false">SUMIFS(Saida!$R$2:$R$406,Saida!$B$2:$B$406,$A10,Saida!$C$2:$C$406,$B10)</f>
        <v>542.7</v>
      </c>
      <c r="G10" s="57" t="n">
        <f aca="false">E10-F10</f>
        <v>-542.7</v>
      </c>
      <c r="H10" s="57" t="n">
        <f aca="false">SUMIFS('Estoque físico'!$J$2:$J$229,'Estoque físico'!$A$2:$A$229,$A10,'Estoque físico'!$B$2:$B$229,$B10)</f>
        <v>540.69</v>
      </c>
      <c r="I10" s="72" t="n">
        <f aca="false">ROUND(H10-G10,3)</f>
        <v>1083.39</v>
      </c>
      <c r="J10" s="56" t="str">
        <f aca="false">IF(ABS(I10)&lt;=Resumo!$C$7,"OK",IF(I10&gt;0,"Sobra no estoque","Falta no estoque"))</f>
        <v>Sobra no estoque</v>
      </c>
      <c r="K10" s="56" t="str">
        <f aca="false">IF(J10="OK","",IF(AND(E10=0,F10=0),"Estoque sem movimento no período",IF(G10&lt;0,"Saídas maiores que entradas – estoque anterior ao período?",IF(H10=0,"Saldo calculado sem estoque físico – verificar",IF(I10&gt;0,"Estoque acima do esperado – saldo anterior ou entrada não listada","Estoque abaixo do esperado – saída/ajuste não listado")))))</f>
        <v>Saídas maiores que entradas – estoque anterior ao período?</v>
      </c>
      <c r="L10" s="57" t="n">
        <f aca="false">IF(D10=0,"",D10-E10)</f>
        <v>20</v>
      </c>
    </row>
    <row r="11" customFormat="false" ht="15" hidden="false" customHeight="false" outlineLevel="0" collapsed="false">
      <c r="A11" s="56" t="s">
        <v>110</v>
      </c>
      <c r="B11" s="56" t="s">
        <v>162</v>
      </c>
      <c r="C11" s="56" t="s">
        <v>4</v>
      </c>
      <c r="D11" s="57" t="n">
        <f aca="false">SUMIFS(Entrada!$G$2:$G$202,Entrada!$B$2:$B$202,$A11,Entrada!$C$2:$C$202,$B11,Entrada!$K$2:$K$202,"Recebido no 2008")</f>
        <v>0</v>
      </c>
      <c r="E11" s="57" t="n">
        <f aca="false">SUMIFS(Entrada!$L$2:$L$202,Entrada!$B$2:$B$202,$A11,Entrada!$C$2:$C$202,$B11)</f>
        <v>763.8</v>
      </c>
      <c r="F11" s="57" t="n">
        <f aca="false">SUMIFS(Saida!$R$2:$R$406,Saida!$B$2:$B$406,$A11,Saida!$C$2:$C$406,$B11)</f>
        <v>924.6</v>
      </c>
      <c r="G11" s="57" t="n">
        <f aca="false">E11-F11</f>
        <v>-160.8</v>
      </c>
      <c r="H11" s="57" t="n">
        <f aca="false">SUMIFS('Estoque físico'!$J$2:$J$229,'Estoque físico'!$A$2:$A$229,$A11,'Estoque físico'!$B$2:$B$229,$B11)</f>
        <v>763.8</v>
      </c>
      <c r="I11" s="72" t="n">
        <f aca="false">ROUND(H11-G11,3)</f>
        <v>924.6</v>
      </c>
      <c r="J11" s="56" t="str">
        <f aca="false">IF(ABS(I11)&lt;=Resumo!$C$7,"OK",IF(I11&gt;0,"Sobra no estoque","Falta no estoque"))</f>
        <v>Sobra no estoque</v>
      </c>
      <c r="K11" s="56" t="str">
        <f aca="false">IF(J11="OK","",IF(AND(E11=0,F11=0),"Estoque sem movimento no período",IF(G11&lt;0,"Saídas maiores que entradas – estoque anterior ao período?",IF(H11=0,"Saldo calculado sem estoque físico – verificar",IF(I11&gt;0,"Estoque acima do esperado – saldo anterior ou entrada não listada","Estoque abaixo do esperado – saída/ajuste não listado")))))</f>
        <v>Saídas maiores que entradas – estoque anterior ao período?</v>
      </c>
      <c r="L11" s="57" t="str">
        <f aca="false">IF(D11=0,"",D11-E11)</f>
        <v/>
      </c>
    </row>
    <row r="12" customFormat="false" ht="15" hidden="false" customHeight="false" outlineLevel="0" collapsed="false">
      <c r="A12" s="56" t="s">
        <v>104</v>
      </c>
      <c r="B12" s="56" t="s">
        <v>166</v>
      </c>
      <c r="C12" s="56" t="s">
        <v>4</v>
      </c>
      <c r="D12" s="57" t="n">
        <f aca="false">SUMIFS(Entrada!$G$2:$G$202,Entrada!$B$2:$B$202,$A12,Entrada!$C$2:$C$202,$B12,Entrada!$K$2:$K$202,"Recebido no 2008")</f>
        <v>0</v>
      </c>
      <c r="E12" s="57" t="n">
        <f aca="false">SUMIFS(Entrada!$L$2:$L$202,Entrada!$B$2:$B$202,$A12,Entrada!$C$2:$C$202,$B12)</f>
        <v>918</v>
      </c>
      <c r="F12" s="57" t="n">
        <f aca="false">SUMIFS(Saida!$R$2:$R$406,Saida!$B$2:$B$406,$A12,Saida!$C$2:$C$406,$B12)</f>
        <v>186</v>
      </c>
      <c r="G12" s="57" t="n">
        <f aca="false">E12-F12</f>
        <v>732</v>
      </c>
      <c r="H12" s="57" t="n">
        <f aca="false">SUMIFS('Estoque físico'!$J$2:$J$229,'Estoque físico'!$A$2:$A$229,$A12,'Estoque físico'!$B$2:$B$229,$B12)</f>
        <v>1272</v>
      </c>
      <c r="I12" s="72" t="n">
        <f aca="false">ROUND(H12-G12,3)</f>
        <v>540</v>
      </c>
      <c r="J12" s="56" t="str">
        <f aca="false">IF(ABS(I12)&lt;=Resumo!$C$7,"OK",IF(I12&gt;0,"Sobra no estoque","Falta no estoque"))</f>
        <v>Sobra no estoque</v>
      </c>
      <c r="K12" s="56" t="str">
        <f aca="false">IF(J12="OK","",IF(AND(E12=0,F12=0),"Estoque sem movimento no período",IF(G12&lt;0,"Saídas maiores que entradas – estoque anterior ao período?",IF(H12=0,"Saldo calculado sem estoque físico – verificar",IF(I12&gt;0,"Estoque acima do esperado – saldo anterior ou entrada não listada","Estoque abaixo do esperado – saída/ajuste não listado")))))</f>
        <v>Estoque acima do esperado – saldo anterior ou entrada não listada</v>
      </c>
      <c r="L12" s="57" t="str">
        <f aca="false">IF(D12=0,"",D12-E12)</f>
        <v/>
      </c>
    </row>
    <row r="13" customFormat="false" ht="15" hidden="false" customHeight="false" outlineLevel="0" collapsed="false">
      <c r="A13" s="56" t="s">
        <v>69</v>
      </c>
      <c r="B13" s="56" t="s">
        <v>120</v>
      </c>
      <c r="C13" s="56" t="s">
        <v>4</v>
      </c>
      <c r="D13" s="57" t="n">
        <f aca="false">SUMIFS(Entrada!$G$2:$G$202,Entrada!$B$2:$B$202,$A13,Entrada!$C$2:$C$202,$B13,Entrada!$K$2:$K$202,"Recebido no 2008")</f>
        <v>1025.1</v>
      </c>
      <c r="E13" s="57" t="n">
        <f aca="false">SUMIFS(Entrada!$L$2:$L$202,Entrada!$B$2:$B$202,$A13,Entrada!$C$2:$C$202,$B13)</f>
        <v>2673.3</v>
      </c>
      <c r="F13" s="57" t="n">
        <f aca="false">SUMIFS(Saida!$R$2:$R$406,Saida!$B$2:$B$406,$A13,Saida!$C$2:$C$406,$B13)</f>
        <v>1005</v>
      </c>
      <c r="G13" s="57" t="n">
        <f aca="false">E13-F13</f>
        <v>1668.3</v>
      </c>
      <c r="H13" s="57" t="n">
        <f aca="false">SUMIFS('Estoque físico'!$J$2:$J$229,'Estoque físico'!$A$2:$A$229,$A13,'Estoque físico'!$B$2:$B$229,$B13)</f>
        <v>1226.1</v>
      </c>
      <c r="I13" s="72" t="n">
        <f aca="false">ROUND(H13-G13,3)</f>
        <v>-442.2</v>
      </c>
      <c r="J13" s="56" t="str">
        <f aca="false">IF(ABS(I13)&lt;=Resumo!$C$7,"OK",IF(I13&gt;0,"Sobra no estoque","Falta no estoque"))</f>
        <v>Falta no estoque</v>
      </c>
      <c r="K13" s="56" t="str">
        <f aca="false">IF(J13="OK","",IF(AND(E13=0,F13=0),"Estoque sem movimento no período",IF(G13&lt;0,"Saídas maiores que entradas – estoque anterior ao período?",IF(H13=0,"Saldo calculado sem estoque físico – verificar",IF(I13&gt;0,"Estoque acima do esperado – saldo anterior ou entrada não listada","Estoque abaixo do esperado – saída/ajuste não listado")))))</f>
        <v>Estoque abaixo do esperado – saída/ajuste não listado</v>
      </c>
      <c r="L13" s="57" t="n">
        <f aca="false">IF(D13=0,"",D13-E13)</f>
        <v>-1648.2</v>
      </c>
    </row>
    <row r="14" customFormat="false" ht="15" hidden="false" customHeight="false" outlineLevel="0" collapsed="false">
      <c r="A14" s="56" t="s">
        <v>7</v>
      </c>
      <c r="B14" s="56" t="s">
        <v>11</v>
      </c>
      <c r="C14" s="56" t="s">
        <v>4</v>
      </c>
      <c r="D14" s="57" t="n">
        <f aca="false">SUMIFS(Entrada!$G$2:$G$202,Entrada!$B$2:$B$202,$A14,Entrada!$C$2:$C$202,$B14,Entrada!$K$2:$K$202,"Recebido no 2008")</f>
        <v>6633</v>
      </c>
      <c r="E14" s="57" t="n">
        <f aca="false">SUMIFS(Entrada!$L$2:$L$202,Entrada!$B$2:$B$202,$A14,Entrada!$C$2:$C$202,$B14)</f>
        <v>603</v>
      </c>
      <c r="F14" s="57" t="n">
        <f aca="false">SUMIFS(Saida!$R$2:$R$406,Saida!$B$2:$B$406,$A14,Saida!$C$2:$C$406,$B14)</f>
        <v>321.6</v>
      </c>
      <c r="G14" s="57" t="n">
        <f aca="false">E14-F14</f>
        <v>281.4</v>
      </c>
      <c r="H14" s="57" t="n">
        <f aca="false">SUMIFS('Estoque físico'!$J$2:$J$229,'Estoque físico'!$A$2:$A$229,$A14,'Estoque físico'!$B$2:$B$229,$B14)</f>
        <v>623.1</v>
      </c>
      <c r="I14" s="72" t="n">
        <f aca="false">ROUND(H14-G14,3)</f>
        <v>341.7</v>
      </c>
      <c r="J14" s="56" t="str">
        <f aca="false">IF(ABS(I14)&lt;=Resumo!$C$7,"OK",IF(I14&gt;0,"Sobra no estoque","Falta no estoque"))</f>
        <v>Sobra no estoque</v>
      </c>
      <c r="K14" s="56" t="str">
        <f aca="false">IF(J14="OK","",IF(AND(E14=0,F14=0),"Estoque sem movimento no período",IF(G14&lt;0,"Saídas maiores que entradas – estoque anterior ao período?",IF(H14=0,"Saldo calculado sem estoque físico – verificar",IF(I14&gt;0,"Estoque acima do esperado – saldo anterior ou entrada não listada","Estoque abaixo do esperado – saída/ajuste não listado")))))</f>
        <v>Estoque acima do esperado – saldo anterior ou entrada não listada</v>
      </c>
      <c r="L14" s="57" t="n">
        <f aca="false">IF(D14=0,"",D14-E14)</f>
        <v>6030</v>
      </c>
    </row>
    <row r="15" customFormat="false" ht="15" hidden="false" customHeight="false" outlineLevel="0" collapsed="false">
      <c r="A15" s="56" t="s">
        <v>27</v>
      </c>
      <c r="B15" s="56" t="s">
        <v>30</v>
      </c>
      <c r="C15" s="56" t="s">
        <v>4</v>
      </c>
      <c r="D15" s="57" t="n">
        <f aca="false">SUMIFS(Entrada!$G$2:$G$202,Entrada!$B$2:$B$202,$A15,Entrada!$C$2:$C$202,$B15,Entrada!$K$2:$K$202,"Recebido no 2008")</f>
        <v>0</v>
      </c>
      <c r="E15" s="57" t="n">
        <f aca="false">SUMIFS(Entrada!$L$2:$L$202,Entrada!$B$2:$B$202,$A15,Entrada!$C$2:$C$202,$B15)</f>
        <v>180.9</v>
      </c>
      <c r="F15" s="57" t="n">
        <f aca="false">SUMIFS(Saida!$R$2:$R$406,Saida!$B$2:$B$406,$A15,Saida!$C$2:$C$406,$B15)</f>
        <v>180.9</v>
      </c>
      <c r="G15" s="57" t="n">
        <f aca="false">E15-F15</f>
        <v>0</v>
      </c>
      <c r="H15" s="57" t="n">
        <f aca="false">SUMIFS('Estoque físico'!$J$2:$J$229,'Estoque físico'!$A$2:$A$229,$A15,'Estoque físico'!$B$2:$B$229,$B15)</f>
        <v>273.36</v>
      </c>
      <c r="I15" s="72" t="n">
        <f aca="false">ROUND(H15-G15,3)</f>
        <v>273.36</v>
      </c>
      <c r="J15" s="56" t="str">
        <f aca="false">IF(ABS(I15)&lt;=Resumo!$C$7,"OK",IF(I15&gt;0,"Sobra no estoque","Falta no estoque"))</f>
        <v>Sobra no estoque</v>
      </c>
      <c r="K15" s="56" t="str">
        <f aca="false">IF(J15="OK","",IF(AND(E15=0,F15=0),"Estoque sem movimento no período",IF(G15&lt;0,"Saídas maiores que entradas – estoque anterior ao período?",IF(H15=0,"Saldo calculado sem estoque físico – verificar",IF(I15&gt;0,"Estoque acima do esperado – saldo anterior ou entrada não listada","Estoque abaixo do esperado – saída/ajuste não listado")))))</f>
        <v>Estoque acima do esperado – saldo anterior ou entrada não listada</v>
      </c>
      <c r="L15" s="57" t="str">
        <f aca="false">IF(D15=0,"",D15-E15)</f>
        <v/>
      </c>
    </row>
    <row r="16" customFormat="false" ht="15" hidden="false" customHeight="false" outlineLevel="0" collapsed="false">
      <c r="A16" s="56" t="s">
        <v>88</v>
      </c>
      <c r="B16" s="56" t="s">
        <v>124</v>
      </c>
      <c r="C16" s="56" t="s">
        <v>4</v>
      </c>
      <c r="D16" s="57" t="n">
        <f aca="false">SUMIFS(Entrada!$G$2:$G$202,Entrada!$B$2:$B$202,$A16,Entrada!$C$2:$C$202,$B16,Entrada!$K$2:$K$202,"Recebido no 2008")</f>
        <v>0</v>
      </c>
      <c r="E16" s="57" t="n">
        <f aca="false">SUMIFS(Entrada!$L$2:$L$202,Entrada!$B$2:$B$202,$A16,Entrada!$C$2:$C$202,$B16)</f>
        <v>261.12</v>
      </c>
      <c r="F16" s="57" t="n">
        <f aca="false">SUMIFS(Saida!$R$2:$R$406,Saida!$B$2:$B$406,$A16,Saida!$C$2:$C$406,$B16)</f>
        <v>0</v>
      </c>
      <c r="G16" s="57" t="n">
        <f aca="false">E16-F16</f>
        <v>261.12</v>
      </c>
      <c r="H16" s="57" t="n">
        <f aca="false">SUMIFS('Estoque físico'!$J$2:$J$229,'Estoque físico'!$A$2:$A$229,$A16,'Estoque físico'!$B$2:$B$229,$B16)</f>
        <v>0</v>
      </c>
      <c r="I16" s="72" t="n">
        <f aca="false">ROUND(H16-G16,3)</f>
        <v>-261.12</v>
      </c>
      <c r="J16" s="56" t="str">
        <f aca="false">IF(ABS(I16)&lt;=Resumo!$C$7,"OK",IF(I16&gt;0,"Sobra no estoque","Falta no estoque"))</f>
        <v>Falta no estoque</v>
      </c>
      <c r="K16" s="56" t="str">
        <f aca="false">IF(J16="OK","",IF(AND(E16=0,F16=0),"Estoque sem movimento no período",IF(G16&lt;0,"Saídas maiores que entradas – estoque anterior ao período?",IF(H16=0,"Saldo calculado sem estoque físico – verificar",IF(I16&gt;0,"Estoque acima do esperado – saldo anterior ou entrada não listada","Estoque abaixo do esperado – saída/ajuste não listado")))))</f>
        <v>Saldo calculado sem estoque físico – verificar</v>
      </c>
      <c r="L16" s="57" t="str">
        <f aca="false">IF(D16=0,"",D16-E16)</f>
        <v/>
      </c>
    </row>
    <row r="17" customFormat="false" ht="15" hidden="false" customHeight="false" outlineLevel="0" collapsed="false">
      <c r="A17" s="56" t="s">
        <v>75</v>
      </c>
      <c r="B17" s="56" t="s">
        <v>143</v>
      </c>
      <c r="C17" s="56" t="s">
        <v>4</v>
      </c>
      <c r="D17" s="57" t="n">
        <f aca="false">SUMIFS(Entrada!$G$2:$G$202,Entrada!$B$2:$B$202,$A17,Entrada!$C$2:$C$202,$B17,Entrada!$K$2:$K$202,"Recebido no 2008")</f>
        <v>1920</v>
      </c>
      <c r="E17" s="57" t="n">
        <f aca="false">SUMIFS(Entrada!$L$2:$L$202,Entrada!$B$2:$B$202,$A17,Entrada!$C$2:$C$202,$B17)</f>
        <v>960</v>
      </c>
      <c r="F17" s="57" t="n">
        <f aca="false">SUMIFS(Saida!$R$2:$R$406,Saida!$B$2:$B$406,$A17,Saida!$C$2:$C$406,$B17)</f>
        <v>176</v>
      </c>
      <c r="G17" s="57" t="n">
        <f aca="false">E17-F17</f>
        <v>784</v>
      </c>
      <c r="H17" s="57" t="n">
        <f aca="false">SUMIFS('Estoque físico'!$J$2:$J$229,'Estoque físico'!$A$2:$A$229,$A17,'Estoque físico'!$B$2:$B$229,$B17)</f>
        <v>1032</v>
      </c>
      <c r="I17" s="72" t="n">
        <f aca="false">ROUND(H17-G17,3)</f>
        <v>248</v>
      </c>
      <c r="J17" s="56" t="str">
        <f aca="false">IF(ABS(I17)&lt;=Resumo!$C$7,"OK",IF(I17&gt;0,"Sobra no estoque","Falta no estoque"))</f>
        <v>Sobra no estoque</v>
      </c>
      <c r="K17" s="56" t="str">
        <f aca="false">IF(J17="OK","",IF(AND(E17=0,F17=0),"Estoque sem movimento no período",IF(G17&lt;0,"Saídas maiores que entradas – estoque anterior ao período?",IF(H17=0,"Saldo calculado sem estoque físico – verificar",IF(I17&gt;0,"Estoque acima do esperado – saldo anterior ou entrada não listada","Estoque abaixo do esperado – saída/ajuste não listado")))))</f>
        <v>Estoque acima do esperado – saldo anterior ou entrada não listada</v>
      </c>
      <c r="L17" s="57" t="n">
        <f aca="false">IF(D17=0,"",D17-E17)</f>
        <v>960</v>
      </c>
    </row>
    <row r="18" customFormat="false" ht="15" hidden="false" customHeight="false" outlineLevel="0" collapsed="false">
      <c r="A18" s="56" t="s">
        <v>51</v>
      </c>
      <c r="B18" s="56" t="s">
        <v>70</v>
      </c>
      <c r="C18" s="56" t="s">
        <v>4</v>
      </c>
      <c r="D18" s="57" t="n">
        <f aca="false">SUMIFS(Entrada!$G$2:$G$202,Entrada!$B$2:$B$202,$A18,Entrada!$C$2:$C$202,$B18,Entrada!$K$2:$K$202,"Recebido no 2008")</f>
        <v>0</v>
      </c>
      <c r="E18" s="57" t="n">
        <f aca="false">SUMIFS(Entrada!$L$2:$L$202,Entrada!$B$2:$B$202,$A18,Entrada!$C$2:$C$202,$B18)</f>
        <v>480</v>
      </c>
      <c r="F18" s="57" t="n">
        <f aca="false">SUMIFS(Saida!$R$2:$R$406,Saida!$B$2:$B$406,$A18,Saida!$C$2:$C$406,$B18)</f>
        <v>60</v>
      </c>
      <c r="G18" s="57" t="n">
        <f aca="false">E18-F18</f>
        <v>420</v>
      </c>
      <c r="H18" s="57" t="n">
        <f aca="false">SUMIFS('Estoque físico'!$J$2:$J$229,'Estoque físico'!$A$2:$A$229,$A18,'Estoque físico'!$B$2:$B$229,$B18)</f>
        <v>210</v>
      </c>
      <c r="I18" s="72" t="n">
        <f aca="false">ROUND(H18-G18,3)</f>
        <v>-210</v>
      </c>
      <c r="J18" s="56" t="str">
        <f aca="false">IF(ABS(I18)&lt;=Resumo!$C$7,"OK",IF(I18&gt;0,"Sobra no estoque","Falta no estoque"))</f>
        <v>Falta no estoque</v>
      </c>
      <c r="K18" s="56" t="str">
        <f aca="false">IF(J18="OK","",IF(AND(E18=0,F18=0),"Estoque sem movimento no período",IF(G18&lt;0,"Saídas maiores que entradas – estoque anterior ao período?",IF(H18=0,"Saldo calculado sem estoque físico – verificar",IF(I18&gt;0,"Estoque acima do esperado – saldo anterior ou entrada não listada","Estoque abaixo do esperado – saída/ajuste não listado")))))</f>
        <v>Estoque abaixo do esperado – saída/ajuste não listado</v>
      </c>
      <c r="L18" s="57" t="str">
        <f aca="false">IF(D18=0,"",D18-E18)</f>
        <v/>
      </c>
    </row>
    <row r="19" customFormat="false" ht="15" hidden="false" customHeight="false" outlineLevel="0" collapsed="false">
      <c r="A19" s="56" t="s">
        <v>20</v>
      </c>
      <c r="B19" s="56" t="s">
        <v>21</v>
      </c>
      <c r="C19" s="56" t="s">
        <v>4</v>
      </c>
      <c r="D19" s="57" t="n">
        <f aca="false">SUMIFS(Entrada!$G$2:$G$202,Entrada!$B$2:$B$202,$A19,Entrada!$C$2:$C$202,$B19,Entrada!$K$2:$K$202,"Recebido no 2008")</f>
        <v>0</v>
      </c>
      <c r="E19" s="57" t="n">
        <f aca="false">SUMIFS(Entrada!$L$2:$L$202,Entrada!$B$2:$B$202,$A19,Entrada!$C$2:$C$202,$B19)</f>
        <v>940.8</v>
      </c>
      <c r="F19" s="57" t="n">
        <f aca="false">SUMIFS(Saida!$R$2:$R$406,Saida!$B$2:$B$406,$A19,Saida!$C$2:$C$406,$B19)</f>
        <v>781.2</v>
      </c>
      <c r="G19" s="57" t="n">
        <f aca="false">E19-F19</f>
        <v>159.6</v>
      </c>
      <c r="H19" s="57" t="n">
        <f aca="false">SUMIFS('Estoque físico'!$J$2:$J$229,'Estoque físico'!$A$2:$A$229,$A19,'Estoque físico'!$B$2:$B$229,$B19)</f>
        <v>333.2</v>
      </c>
      <c r="I19" s="72" t="n">
        <f aca="false">ROUND(H19-G19,3)</f>
        <v>173.6</v>
      </c>
      <c r="J19" s="56" t="str">
        <f aca="false">IF(ABS(I19)&lt;=Resumo!$C$7,"OK",IF(I19&gt;0,"Sobra no estoque","Falta no estoque"))</f>
        <v>Sobra no estoque</v>
      </c>
      <c r="K19" s="56" t="str">
        <f aca="false">IF(J19="OK","",IF(AND(E19=0,F19=0),"Estoque sem movimento no período",IF(G19&lt;0,"Saídas maiores que entradas – estoque anterior ao período?",IF(H19=0,"Saldo calculado sem estoque físico – verificar",IF(I19&gt;0,"Estoque acima do esperado – saldo anterior ou entrada não listada","Estoque abaixo do esperado – saída/ajuste não listado")))))</f>
        <v>Estoque acima do esperado – saldo anterior ou entrada não listada</v>
      </c>
      <c r="L19" s="57" t="str">
        <f aca="false">IF(D19=0,"",D19-E19)</f>
        <v/>
      </c>
    </row>
    <row r="20" customFormat="false" ht="15" hidden="false" customHeight="false" outlineLevel="0" collapsed="false">
      <c r="A20" s="56" t="s">
        <v>110</v>
      </c>
      <c r="B20" s="56" t="s">
        <v>177</v>
      </c>
      <c r="C20" s="56" t="s">
        <v>4</v>
      </c>
      <c r="D20" s="57" t="n">
        <f aca="false">SUMIFS(Entrada!$G$2:$G$202,Entrada!$B$2:$B$202,$A20,Entrada!$C$2:$C$202,$B20,Entrada!$K$2:$K$202,"Recebido no 2008")</f>
        <v>40</v>
      </c>
      <c r="E20" s="57" t="n">
        <f aca="false">SUMIFS(Entrada!$L$2:$L$202,Entrada!$B$2:$B$202,$A20,Entrada!$C$2:$C$202,$B20)</f>
        <v>2271.3</v>
      </c>
      <c r="F20" s="57" t="n">
        <f aca="false">SUMIFS(Saida!$R$2:$R$406,Saida!$B$2:$B$406,$A20,Saida!$C$2:$C$406,$B20)</f>
        <v>562.8</v>
      </c>
      <c r="G20" s="57" t="n">
        <f aca="false">E20-F20</f>
        <v>1708.5</v>
      </c>
      <c r="H20" s="57" t="n">
        <f aca="false">SUMIFS('Estoque físico'!$J$2:$J$229,'Estoque físico'!$A$2:$A$229,$A20,'Estoque físico'!$B$2:$B$229,$B20)</f>
        <v>1829.1</v>
      </c>
      <c r="I20" s="72" t="n">
        <f aca="false">ROUND(H20-G20,3)</f>
        <v>120.6</v>
      </c>
      <c r="J20" s="56" t="str">
        <f aca="false">IF(ABS(I20)&lt;=Resumo!$C$7,"OK",IF(I20&gt;0,"Sobra no estoque","Falta no estoque"))</f>
        <v>Sobra no estoque</v>
      </c>
      <c r="K20" s="56" t="str">
        <f aca="false">IF(J20="OK","",IF(AND(E20=0,F20=0),"Estoque sem movimento no período",IF(G20&lt;0,"Saídas maiores que entradas – estoque anterior ao período?",IF(H20=0,"Saldo calculado sem estoque físico – verificar",IF(I20&gt;0,"Estoque acima do esperado – saldo anterior ou entrada não listada","Estoque abaixo do esperado – saída/ajuste não listado")))))</f>
        <v>Estoque acima do esperado – saldo anterior ou entrada não listada</v>
      </c>
      <c r="L20" s="57" t="n">
        <f aca="false">IF(D20=0,"",D20-E20)</f>
        <v>-2231.3</v>
      </c>
    </row>
    <row r="21" customFormat="false" ht="15" hidden="false" customHeight="false" outlineLevel="0" collapsed="false">
      <c r="A21" s="56" t="s">
        <v>131</v>
      </c>
      <c r="B21" s="56" t="s">
        <v>180</v>
      </c>
      <c r="C21" s="56" t="s">
        <v>12</v>
      </c>
      <c r="D21" s="57" t="n">
        <f aca="false">SUMIFS(Entrada!$G$2:$G$202,Entrada!$B$2:$B$202,$A21,Entrada!$C$2:$C$202,$B21,Entrada!$K$2:$K$202,"Recebido no 2008")</f>
        <v>0</v>
      </c>
      <c r="E21" s="57" t="n">
        <f aca="false">SUMIFS(Entrada!$L$2:$L$202,Entrada!$B$2:$B$202,$A21,Entrada!$C$2:$C$202,$B21)</f>
        <v>-120</v>
      </c>
      <c r="F21" s="57" t="n">
        <f aca="false">SUMIFS(Saida!$R$2:$R$406,Saida!$B$2:$B$406,$A21,Saida!$C$2:$C$406,$B21)</f>
        <v>0</v>
      </c>
      <c r="G21" s="57" t="n">
        <f aca="false">E21-F21</f>
        <v>-120</v>
      </c>
      <c r="H21" s="57" t="n">
        <f aca="false">SUMIFS('Estoque físico'!$J$2:$J$229,'Estoque físico'!$A$2:$A$229,$A21,'Estoque físico'!$B$2:$B$229,$B21)</f>
        <v>0</v>
      </c>
      <c r="I21" s="72" t="n">
        <f aca="false">ROUND(H21-G21,3)</f>
        <v>120</v>
      </c>
      <c r="J21" s="56" t="str">
        <f aca="false">IF(ABS(I21)&lt;=Resumo!$C$7,"OK",IF(I21&gt;0,"Sobra no estoque","Falta no estoque"))</f>
        <v>Sobra no estoque</v>
      </c>
      <c r="K21" s="56" t="str">
        <f aca="false">IF(J21="OK","",IF(AND(E21=0,F21=0),"Estoque sem movimento no período",IF(G21&lt;0,"Saídas maiores que entradas – estoque anterior ao período?",IF(H21=0,"Saldo calculado sem estoque físico – verificar",IF(I21&gt;0,"Estoque acima do esperado – saldo anterior ou entrada não listada","Estoque abaixo do esperado – saída/ajuste não listado")))))</f>
        <v>Saídas maiores que entradas – estoque anterior ao período?</v>
      </c>
      <c r="L21" s="57" t="str">
        <f aca="false">IF(D21=0,"",D21-E21)</f>
        <v/>
      </c>
    </row>
    <row r="22" customFormat="false" ht="15" hidden="false" customHeight="false" outlineLevel="0" collapsed="false">
      <c r="A22" s="56" t="s">
        <v>131</v>
      </c>
      <c r="B22" s="56" t="s">
        <v>133</v>
      </c>
      <c r="C22" s="56" t="s">
        <v>12</v>
      </c>
      <c r="D22" s="57" t="n">
        <f aca="false">SUMIFS(Entrada!$G$2:$G$202,Entrada!$B$2:$B$202,$A22,Entrada!$C$2:$C$202,$B22,Entrada!$K$2:$K$202,"Recebido no 2008")</f>
        <v>0</v>
      </c>
      <c r="E22" s="57" t="n">
        <f aca="false">SUMIFS(Entrada!$L$2:$L$202,Entrada!$B$2:$B$202,$A22,Entrada!$C$2:$C$202,$B22)</f>
        <v>487</v>
      </c>
      <c r="F22" s="57" t="n">
        <f aca="false">SUMIFS(Saida!$R$2:$R$406,Saida!$B$2:$B$406,$A22,Saida!$C$2:$C$406,$B22)</f>
        <v>0</v>
      </c>
      <c r="G22" s="57" t="n">
        <f aca="false">E22-F22</f>
        <v>487</v>
      </c>
      <c r="H22" s="57" t="n">
        <f aca="false">SUMIFS('Estoque físico'!$J$2:$J$229,'Estoque físico'!$A$2:$A$229,$A22,'Estoque físico'!$B$2:$B$229,$B22)</f>
        <v>367</v>
      </c>
      <c r="I22" s="72" t="n">
        <f aca="false">ROUND(H22-G22,3)</f>
        <v>-120</v>
      </c>
      <c r="J22" s="56" t="str">
        <f aca="false">IF(ABS(I22)&lt;=Resumo!$C$7,"OK",IF(I22&gt;0,"Sobra no estoque","Falta no estoque"))</f>
        <v>Falta no estoque</v>
      </c>
      <c r="K22" s="56" t="str">
        <f aca="false">IF(J22="OK","",IF(AND(E22=0,F22=0),"Estoque sem movimento no período",IF(G22&lt;0,"Saídas maiores que entradas – estoque anterior ao período?",IF(H22=0,"Saldo calculado sem estoque físico – verificar",IF(I22&gt;0,"Estoque acima do esperado – saldo anterior ou entrada não listada","Estoque abaixo do esperado – saída/ajuste não listado")))))</f>
        <v>Estoque abaixo do esperado – saída/ajuste não listado</v>
      </c>
      <c r="L22" s="57" t="str">
        <f aca="false">IF(D22=0,"",D22-E22)</f>
        <v/>
      </c>
    </row>
    <row r="23" customFormat="false" ht="15" hidden="false" customHeight="false" outlineLevel="0" collapsed="false">
      <c r="A23" s="56" t="s">
        <v>69</v>
      </c>
      <c r="B23" s="56" t="s">
        <v>127</v>
      </c>
      <c r="C23" s="56" t="s">
        <v>4</v>
      </c>
      <c r="D23" s="57" t="n">
        <f aca="false">SUMIFS(Entrada!$G$2:$G$202,Entrada!$B$2:$B$202,$A23,Entrada!$C$2:$C$202,$B23,Entrada!$K$2:$K$202,"Recebido no 2008")</f>
        <v>0</v>
      </c>
      <c r="E23" s="57" t="n">
        <f aca="false">SUMIFS(Entrada!$L$2:$L$202,Entrada!$B$2:$B$202,$A23,Entrada!$C$2:$C$202,$B23)</f>
        <v>40.2</v>
      </c>
      <c r="F23" s="57" t="n">
        <f aca="false">SUMIFS(Saida!$R$2:$R$406,Saida!$B$2:$B$406,$A23,Saida!$C$2:$C$406,$B23)</f>
        <v>40.2</v>
      </c>
      <c r="G23" s="57" t="n">
        <f aca="false">E23-F23</f>
        <v>0</v>
      </c>
      <c r="H23" s="57" t="n">
        <f aca="false">SUMIFS('Estoque físico'!$J$2:$J$229,'Estoque físico'!$A$2:$A$229,$A23,'Estoque físico'!$B$2:$B$229,$B23)</f>
        <v>116.58</v>
      </c>
      <c r="I23" s="72" t="n">
        <f aca="false">ROUND(H23-G23,3)</f>
        <v>116.58</v>
      </c>
      <c r="J23" s="56" t="str">
        <f aca="false">IF(ABS(I23)&lt;=Resumo!$C$7,"OK",IF(I23&gt;0,"Sobra no estoque","Falta no estoque"))</f>
        <v>Sobra no estoque</v>
      </c>
      <c r="K23" s="56" t="str">
        <f aca="false">IF(J23="OK","",IF(AND(E23=0,F23=0),"Estoque sem movimento no período",IF(G23&lt;0,"Saídas maiores que entradas – estoque anterior ao período?",IF(H23=0,"Saldo calculado sem estoque físico – verificar",IF(I23&gt;0,"Estoque acima do esperado – saldo anterior ou entrada não listada","Estoque abaixo do esperado – saída/ajuste não listado")))))</f>
        <v>Estoque acima do esperado – saldo anterior ou entrada não listada</v>
      </c>
      <c r="L23" s="57" t="str">
        <f aca="false">IF(D23=0,"",D23-E23)</f>
        <v/>
      </c>
    </row>
    <row r="24" customFormat="false" ht="15" hidden="false" customHeight="false" outlineLevel="0" collapsed="false">
      <c r="A24" s="56" t="s">
        <v>35</v>
      </c>
      <c r="B24" s="56" t="s">
        <v>58</v>
      </c>
      <c r="C24" s="56" t="s">
        <v>4</v>
      </c>
      <c r="D24" s="57" t="n">
        <f aca="false">SUMIFS(Entrada!$G$2:$G$202,Entrada!$B$2:$B$202,$A24,Entrada!$C$2:$C$202,$B24,Entrada!$K$2:$K$202,"Recebido no 2008")</f>
        <v>0</v>
      </c>
      <c r="E24" s="57" t="n">
        <f aca="false">SUMIFS(Entrada!$L$2:$L$202,Entrada!$B$2:$B$202,$A24,Entrada!$C$2:$C$202,$B24)</f>
        <v>3612</v>
      </c>
      <c r="F24" s="57" t="n">
        <f aca="false">SUMIFS(Saida!$R$2:$R$406,Saida!$B$2:$B$406,$A24,Saida!$C$2:$C$406,$B24)</f>
        <v>80.4</v>
      </c>
      <c r="G24" s="57" t="n">
        <f aca="false">E24-F24</f>
        <v>3531.6</v>
      </c>
      <c r="H24" s="57" t="n">
        <f aca="false">SUMIFS('Estoque físico'!$J$2:$J$229,'Estoque físico'!$A$2:$A$229,$A24,'Estoque físico'!$B$2:$B$229,$B24)</f>
        <v>3612</v>
      </c>
      <c r="I24" s="72" t="n">
        <f aca="false">ROUND(H24-G24,3)</f>
        <v>80.4</v>
      </c>
      <c r="J24" s="56" t="str">
        <f aca="false">IF(ABS(I24)&lt;=Resumo!$C$7,"OK",IF(I24&gt;0,"Sobra no estoque","Falta no estoque"))</f>
        <v>Sobra no estoque</v>
      </c>
      <c r="K24" s="56" t="str">
        <f aca="false">IF(J24="OK","",IF(AND(E24=0,F24=0),"Estoque sem movimento no período",IF(G24&lt;0,"Saídas maiores que entradas – estoque anterior ao período?",IF(H24=0,"Saldo calculado sem estoque físico – verificar",IF(I24&gt;0,"Estoque acima do esperado – saldo anterior ou entrada não listada","Estoque abaixo do esperado – saída/ajuste não listado")))))</f>
        <v>Estoque acima do esperado – saldo anterior ou entrada não listada</v>
      </c>
      <c r="L24" s="57" t="str">
        <f aca="false">IF(D24=0,"",D24-E24)</f>
        <v/>
      </c>
    </row>
    <row r="25" customFormat="false" ht="15" hidden="false" customHeight="false" outlineLevel="0" collapsed="false">
      <c r="A25" s="56" t="s">
        <v>71</v>
      </c>
      <c r="B25" s="56" t="s">
        <v>136</v>
      </c>
      <c r="C25" s="56" t="s">
        <v>4</v>
      </c>
      <c r="D25" s="57" t="n">
        <f aca="false">SUMIFS(Entrada!$G$2:$G$202,Entrada!$B$2:$B$202,$A25,Entrada!$C$2:$C$202,$B25,Entrada!$K$2:$K$202,"Recebido no 2008")</f>
        <v>0</v>
      </c>
      <c r="E25" s="57" t="n">
        <f aca="false">SUMIFS(Entrada!$L$2:$L$202,Entrada!$B$2:$B$202,$A25,Entrada!$C$2:$C$202,$B25)</f>
        <v>806.4</v>
      </c>
      <c r="F25" s="57" t="n">
        <f aca="false">SUMIFS(Saida!$R$2:$R$406,Saida!$B$2:$B$406,$A25,Saida!$C$2:$C$406,$B25)</f>
        <v>53.2</v>
      </c>
      <c r="G25" s="57" t="n">
        <f aca="false">E25-F25</f>
        <v>753.2</v>
      </c>
      <c r="H25" s="57" t="n">
        <f aca="false">SUMIFS('Estoque físico'!$J$2:$J$229,'Estoque físico'!$A$2:$A$229,$A25,'Estoque físico'!$B$2:$B$229,$B25)</f>
        <v>825.999</v>
      </c>
      <c r="I25" s="72" t="n">
        <f aca="false">ROUND(H25-G25,3)</f>
        <v>72.799</v>
      </c>
      <c r="J25" s="56" t="str">
        <f aca="false">IF(ABS(I25)&lt;=Resumo!$C$7,"OK",IF(I25&gt;0,"Sobra no estoque","Falta no estoque"))</f>
        <v>Sobra no estoque</v>
      </c>
      <c r="K25" s="56" t="str">
        <f aca="false">IF(J25="OK","",IF(AND(E25=0,F25=0),"Estoque sem movimento no período",IF(G25&lt;0,"Saídas maiores que entradas – estoque anterior ao período?",IF(H25=0,"Saldo calculado sem estoque físico – verificar",IF(I25&gt;0,"Estoque acima do esperado – saldo anterior ou entrada não listada","Estoque abaixo do esperado – saída/ajuste não listado")))))</f>
        <v>Estoque acima do esperado – saldo anterior ou entrada não listada</v>
      </c>
      <c r="L25" s="57" t="str">
        <f aca="false">IF(D25=0,"",D25-E25)</f>
        <v/>
      </c>
    </row>
    <row r="26" customFormat="false" ht="15" hidden="false" customHeight="false" outlineLevel="0" collapsed="false">
      <c r="A26" s="56" t="s">
        <v>53</v>
      </c>
      <c r="B26" s="56" t="s">
        <v>78</v>
      </c>
      <c r="C26" s="56" t="s">
        <v>9</v>
      </c>
      <c r="D26" s="57" t="n">
        <f aca="false">SUMIFS(Entrada!$G$2:$G$202,Entrada!$B$2:$B$202,$A26,Entrada!$C$2:$C$202,$B26,Entrada!$K$2:$K$202,"Recebido no 2008")</f>
        <v>0</v>
      </c>
      <c r="E26" s="57" t="n">
        <f aca="false">SUMIFS(Entrada!$L$2:$L$202,Entrada!$B$2:$B$202,$A26,Entrada!$C$2:$C$202,$B26)</f>
        <v>450</v>
      </c>
      <c r="F26" s="57" t="n">
        <f aca="false">SUMIFS(Saida!$R$2:$R$406,Saida!$B$2:$B$406,$A26,Saida!$C$2:$C$406,$B26)</f>
        <v>510</v>
      </c>
      <c r="G26" s="57" t="n">
        <f aca="false">E26-F26</f>
        <v>-60</v>
      </c>
      <c r="H26" s="57" t="n">
        <f aca="false">SUMIFS('Estoque físico'!$J$2:$J$229,'Estoque físico'!$A$2:$A$229,$A26,'Estoque físico'!$B$2:$B$229,$B26)</f>
        <v>0</v>
      </c>
      <c r="I26" s="72" t="n">
        <f aca="false">ROUND(H26-G26,3)</f>
        <v>60</v>
      </c>
      <c r="J26" s="56" t="str">
        <f aca="false">IF(ABS(I26)&lt;=Resumo!$C$7,"OK",IF(I26&gt;0,"Sobra no estoque","Falta no estoque"))</f>
        <v>Sobra no estoque</v>
      </c>
      <c r="K26" s="56" t="str">
        <f aca="false">IF(J26="OK","",IF(AND(E26=0,F26=0),"Estoque sem movimento no período",IF(G26&lt;0,"Saídas maiores que entradas – estoque anterior ao período?",IF(H26=0,"Saldo calculado sem estoque físico – verificar",IF(I26&gt;0,"Estoque acima do esperado – saldo anterior ou entrada não listada","Estoque abaixo do esperado – saída/ajuste não listado")))))</f>
        <v>Saídas maiores que entradas – estoque anterior ao período?</v>
      </c>
      <c r="L26" s="57" t="str">
        <f aca="false">IF(D26=0,"",D26-E26)</f>
        <v/>
      </c>
    </row>
    <row r="27" customFormat="false" ht="15" hidden="false" customHeight="false" outlineLevel="0" collapsed="false">
      <c r="A27" s="56" t="s">
        <v>77</v>
      </c>
      <c r="B27" s="56" t="s">
        <v>148</v>
      </c>
      <c r="C27" s="56" t="s">
        <v>4</v>
      </c>
      <c r="D27" s="57" t="n">
        <f aca="false">SUMIFS(Entrada!$G$2:$G$202,Entrada!$B$2:$B$202,$A27,Entrada!$C$2:$C$202,$B27,Entrada!$K$2:$K$202,"Recebido no 2008")</f>
        <v>0</v>
      </c>
      <c r="E27" s="57" t="n">
        <f aca="false">SUMIFS(Entrada!$L$2:$L$202,Entrada!$B$2:$B$202,$A27,Entrada!$C$2:$C$202,$B27)</f>
        <v>10</v>
      </c>
      <c r="F27" s="57" t="n">
        <f aca="false">SUMIFS(Saida!$R$2:$R$406,Saida!$B$2:$B$406,$A27,Saida!$C$2:$C$406,$B27)</f>
        <v>60</v>
      </c>
      <c r="G27" s="57" t="n">
        <f aca="false">E27-F27</f>
        <v>-50</v>
      </c>
      <c r="H27" s="57" t="n">
        <f aca="false">SUMIFS('Estoque físico'!$J$2:$J$229,'Estoque físico'!$A$2:$A$229,$A27,'Estoque físico'!$B$2:$B$229,$B27)</f>
        <v>10</v>
      </c>
      <c r="I27" s="72" t="n">
        <f aca="false">ROUND(H27-G27,3)</f>
        <v>60</v>
      </c>
      <c r="J27" s="56" t="str">
        <f aca="false">IF(ABS(I27)&lt;=Resumo!$C$7,"OK",IF(I27&gt;0,"Sobra no estoque","Falta no estoque"))</f>
        <v>Sobra no estoque</v>
      </c>
      <c r="K27" s="56" t="str">
        <f aca="false">IF(J27="OK","",IF(AND(E27=0,F27=0),"Estoque sem movimento no período",IF(G27&lt;0,"Saídas maiores que entradas – estoque anterior ao período?",IF(H27=0,"Saldo calculado sem estoque físico – verificar",IF(I27&gt;0,"Estoque acima do esperado – saldo anterior ou entrada não listada","Estoque abaixo do esperado – saída/ajuste não listado")))))</f>
        <v>Saídas maiores que entradas – estoque anterior ao período?</v>
      </c>
      <c r="L27" s="57" t="str">
        <f aca="false">IF(D27=0,"",D27-E27)</f>
        <v/>
      </c>
    </row>
    <row r="28" customFormat="false" ht="15" hidden="false" customHeight="false" outlineLevel="0" collapsed="false">
      <c r="A28" s="56" t="s">
        <v>53</v>
      </c>
      <c r="B28" s="56" t="s">
        <v>86</v>
      </c>
      <c r="C28" s="56" t="s">
        <v>9</v>
      </c>
      <c r="D28" s="57" t="n">
        <f aca="false">SUMIFS(Entrada!$G$2:$G$202,Entrada!$B$2:$B$202,$A28,Entrada!$C$2:$C$202,$B28,Entrada!$K$2:$K$202,"Recebido no 2008")</f>
        <v>0</v>
      </c>
      <c r="E28" s="57" t="n">
        <f aca="false">SUMIFS(Entrada!$L$2:$L$202,Entrada!$B$2:$B$202,$A28,Entrada!$C$2:$C$202,$B28)</f>
        <v>1320</v>
      </c>
      <c r="F28" s="57" t="n">
        <f aca="false">SUMIFS(Saida!$R$2:$R$406,Saida!$B$2:$B$406,$A28,Saida!$C$2:$C$406,$B28)</f>
        <v>330</v>
      </c>
      <c r="G28" s="57" t="n">
        <f aca="false">E28-F28</f>
        <v>990</v>
      </c>
      <c r="H28" s="57" t="n">
        <f aca="false">SUMIFS('Estoque físico'!$J$2:$J$229,'Estoque físico'!$A$2:$A$229,$A28,'Estoque físico'!$B$2:$B$229,$B28)</f>
        <v>1020</v>
      </c>
      <c r="I28" s="72" t="n">
        <f aca="false">ROUND(H28-G28,3)</f>
        <v>30</v>
      </c>
      <c r="J28" s="56" t="str">
        <f aca="false">IF(ABS(I28)&lt;=Resumo!$C$7,"OK",IF(I28&gt;0,"Sobra no estoque","Falta no estoque"))</f>
        <v>Sobra no estoque</v>
      </c>
      <c r="K28" s="56" t="str">
        <f aca="false">IF(J28="OK","",IF(AND(E28=0,F28=0),"Estoque sem movimento no período",IF(G28&lt;0,"Saídas maiores que entradas – estoque anterior ao período?",IF(H28=0,"Saldo calculado sem estoque físico – verificar",IF(I28&gt;0,"Estoque acima do esperado – saldo anterior ou entrada não listada","Estoque abaixo do esperado – saída/ajuste não listado")))))</f>
        <v>Estoque acima do esperado – saldo anterior ou entrada não listada</v>
      </c>
      <c r="L28" s="57" t="str">
        <f aca="false">IF(D28=0,"",D28-E28)</f>
        <v/>
      </c>
    </row>
    <row r="29" customFormat="false" ht="15" hidden="false" customHeight="false" outlineLevel="0" collapsed="false">
      <c r="A29" s="56" t="s">
        <v>53</v>
      </c>
      <c r="B29" s="56" t="s">
        <v>76</v>
      </c>
      <c r="C29" s="56" t="s">
        <v>9</v>
      </c>
      <c r="D29" s="57" t="n">
        <f aca="false">SUMIFS(Entrada!$G$2:$G$202,Entrada!$B$2:$B$202,$A29,Entrada!$C$2:$C$202,$B29,Entrada!$K$2:$K$202,"Recebido no 2008")</f>
        <v>0</v>
      </c>
      <c r="E29" s="57" t="n">
        <f aca="false">SUMIFS(Entrada!$L$2:$L$202,Entrada!$B$2:$B$202,$A29,Entrada!$C$2:$C$202,$B29)</f>
        <v>30</v>
      </c>
      <c r="F29" s="57" t="n">
        <f aca="false">SUMIFS(Saida!$R$2:$R$406,Saida!$B$2:$B$406,$A29,Saida!$C$2:$C$406,$B29)</f>
        <v>0</v>
      </c>
      <c r="G29" s="57" t="n">
        <f aca="false">E29-F29</f>
        <v>30</v>
      </c>
      <c r="H29" s="57" t="n">
        <f aca="false">SUMIFS('Estoque físico'!$J$2:$J$229,'Estoque físico'!$A$2:$A$229,$A29,'Estoque físico'!$B$2:$B$229,$B29)</f>
        <v>4.219</v>
      </c>
      <c r="I29" s="72" t="n">
        <f aca="false">ROUND(H29-G29,3)</f>
        <v>-25.781</v>
      </c>
      <c r="J29" s="56" t="str">
        <f aca="false">IF(ABS(I29)&lt;=Resumo!$C$7,"OK",IF(I29&gt;0,"Sobra no estoque","Falta no estoque"))</f>
        <v>Falta no estoque</v>
      </c>
      <c r="K29" s="56" t="str">
        <f aca="false">IF(J29="OK","",IF(AND(E29=0,F29=0),"Estoque sem movimento no período",IF(G29&lt;0,"Saídas maiores que entradas – estoque anterior ao período?",IF(H29=0,"Saldo calculado sem estoque físico – verificar",IF(I29&gt;0,"Estoque acima do esperado – saldo anterior ou entrada não listada","Estoque abaixo do esperado – saída/ajuste não listado")))))</f>
        <v>Estoque abaixo do esperado – saída/ajuste não listado</v>
      </c>
      <c r="L29" s="57" t="str">
        <f aca="false">IF(D29=0,"",D29-E29)</f>
        <v/>
      </c>
    </row>
    <row r="30" customFormat="false" ht="15" hidden="false" customHeight="false" outlineLevel="0" collapsed="false">
      <c r="A30" s="56" t="s">
        <v>27</v>
      </c>
      <c r="B30" s="56" t="s">
        <v>32</v>
      </c>
      <c r="C30" s="56" t="s">
        <v>4</v>
      </c>
      <c r="D30" s="57" t="n">
        <f aca="false">SUMIFS(Entrada!$G$2:$G$202,Entrada!$B$2:$B$202,$A30,Entrada!$C$2:$C$202,$B30,Entrada!$K$2:$K$202,"Recebido no 2008")</f>
        <v>0</v>
      </c>
      <c r="E30" s="57" t="n">
        <f aca="false">SUMIFS(Entrada!$L$2:$L$202,Entrada!$B$2:$B$202,$A30,Entrada!$C$2:$C$202,$B30)</f>
        <v>2733.6</v>
      </c>
      <c r="F30" s="57" t="n">
        <f aca="false">SUMIFS(Saida!$R$2:$R$406,Saida!$B$2:$B$406,$A30,Saida!$C$2:$C$406,$B30)</f>
        <v>1206</v>
      </c>
      <c r="G30" s="57" t="n">
        <f aca="false">E30-F30</f>
        <v>1527.6</v>
      </c>
      <c r="H30" s="57" t="n">
        <f aca="false">SUMIFS('Estoque físico'!$J$2:$J$229,'Estoque físico'!$A$2:$A$229,$A30,'Estoque físico'!$B$2:$B$229,$B30)</f>
        <v>1547.7</v>
      </c>
      <c r="I30" s="72" t="n">
        <f aca="false">ROUND(H30-G30,3)</f>
        <v>20.1</v>
      </c>
      <c r="J30" s="56" t="str">
        <f aca="false">IF(ABS(I30)&lt;=Resumo!$C$7,"OK",IF(I30&gt;0,"Sobra no estoque","Falta no estoque"))</f>
        <v>Sobra no estoque</v>
      </c>
      <c r="K30" s="56" t="str">
        <f aca="false">IF(J30="OK","",IF(AND(E30=0,F30=0),"Estoque sem movimento no período",IF(G30&lt;0,"Saídas maiores que entradas – estoque anterior ao período?",IF(H30=0,"Saldo calculado sem estoque físico – verificar",IF(I30&gt;0,"Estoque acima do esperado – saldo anterior ou entrada não listada","Estoque abaixo do esperado – saída/ajuste não listado")))))</f>
        <v>Estoque acima do esperado – saldo anterior ou entrada não listada</v>
      </c>
      <c r="L30" s="57" t="str">
        <f aca="false">IF(D30=0,"",D30-E30)</f>
        <v/>
      </c>
    </row>
    <row r="31" customFormat="false" ht="15" hidden="false" customHeight="false" outlineLevel="0" collapsed="false">
      <c r="A31" s="56" t="s">
        <v>110</v>
      </c>
      <c r="B31" s="56" t="s">
        <v>190</v>
      </c>
      <c r="C31" s="56" t="s">
        <v>4</v>
      </c>
      <c r="D31" s="57" t="n">
        <f aca="false">SUMIFS(Entrada!$G$2:$G$202,Entrada!$B$2:$B$202,$A31,Entrada!$C$2:$C$202,$B31,Entrada!$K$2:$K$202,"Recebido no 2008")</f>
        <v>0</v>
      </c>
      <c r="E31" s="57" t="n">
        <f aca="false">SUMIFS(Entrada!$L$2:$L$202,Entrada!$B$2:$B$202,$A31,Entrada!$C$2:$C$202,$B31)</f>
        <v>602.9</v>
      </c>
      <c r="F31" s="57" t="n">
        <f aca="false">SUMIFS(Saida!$R$2:$R$406,Saida!$B$2:$B$406,$A31,Saida!$C$2:$C$406,$B31)</f>
        <v>301.5</v>
      </c>
      <c r="G31" s="57" t="n">
        <f aca="false">E31-F31</f>
        <v>301.4</v>
      </c>
      <c r="H31" s="57" t="n">
        <f aca="false">SUMIFS('Estoque físico'!$J$2:$J$229,'Estoque físico'!$A$2:$A$229,$A31,'Estoque físico'!$B$2:$B$229,$B31)</f>
        <v>321.5</v>
      </c>
      <c r="I31" s="72" t="n">
        <f aca="false">ROUND(H31-G31,3)</f>
        <v>20.1</v>
      </c>
      <c r="J31" s="56" t="str">
        <f aca="false">IF(ABS(I31)&lt;=Resumo!$C$7,"OK",IF(I31&gt;0,"Sobra no estoque","Falta no estoque"))</f>
        <v>Sobra no estoque</v>
      </c>
      <c r="K31" s="56" t="str">
        <f aca="false">IF(J31="OK","",IF(AND(E31=0,F31=0),"Estoque sem movimento no período",IF(G31&lt;0,"Saídas maiores que entradas – estoque anterior ao período?",IF(H31=0,"Saldo calculado sem estoque físico – verificar",IF(I31&gt;0,"Estoque acima do esperado – saldo anterior ou entrada não listada","Estoque abaixo do esperado – saída/ajuste não listado")))))</f>
        <v>Estoque acima do esperado – saldo anterior ou entrada não listada</v>
      </c>
      <c r="L31" s="57" t="str">
        <f aca="false">IF(D31=0,"",D31-E31)</f>
        <v/>
      </c>
    </row>
    <row r="32" customFormat="false" ht="15" hidden="false" customHeight="false" outlineLevel="0" collapsed="false">
      <c r="A32" s="56" t="s">
        <v>157</v>
      </c>
      <c r="B32" s="56" t="s">
        <v>194</v>
      </c>
      <c r="C32" s="56" t="s">
        <v>4</v>
      </c>
      <c r="D32" s="57" t="n">
        <f aca="false">SUMIFS(Entrada!$G$2:$G$202,Entrada!$B$2:$B$202,$A32,Entrada!$C$2:$C$202,$B32,Entrada!$K$2:$K$202,"Recebido no 2008")</f>
        <v>2995</v>
      </c>
      <c r="E32" s="57" t="n">
        <f aca="false">SUMIFS(Entrada!$L$2:$L$202,Entrada!$B$2:$B$202,$A32,Entrada!$C$2:$C$202,$B32)</f>
        <v>3025.7</v>
      </c>
      <c r="F32" s="57" t="n">
        <f aca="false">SUMIFS(Saida!$R$2:$R$406,Saida!$B$2:$B$406,$A32,Saida!$C$2:$C$406,$B32)</f>
        <v>1366.8</v>
      </c>
      <c r="G32" s="57" t="n">
        <f aca="false">E32-F32</f>
        <v>1658.9</v>
      </c>
      <c r="H32" s="57" t="n">
        <f aca="false">SUMIFS('Estoque físico'!$J$2:$J$229,'Estoque físico'!$A$2:$A$229,$A32,'Estoque físico'!$B$2:$B$229,$B32)</f>
        <v>1679</v>
      </c>
      <c r="I32" s="72" t="n">
        <f aca="false">ROUND(H32-G32,3)</f>
        <v>20.1</v>
      </c>
      <c r="J32" s="56" t="str">
        <f aca="false">IF(ABS(I32)&lt;=Resumo!$C$7,"OK",IF(I32&gt;0,"Sobra no estoque","Falta no estoque"))</f>
        <v>Sobra no estoque</v>
      </c>
      <c r="K32" s="56" t="str">
        <f aca="false">IF(J32="OK","",IF(AND(E32=0,F32=0),"Estoque sem movimento no período",IF(G32&lt;0,"Saídas maiores que entradas – estoque anterior ao período?",IF(H32=0,"Saldo calculado sem estoque físico – verificar",IF(I32&gt;0,"Estoque acima do esperado – saldo anterior ou entrada não listada","Estoque abaixo do esperado – saída/ajuste não listado")))))</f>
        <v>Estoque acima do esperado – saldo anterior ou entrada não listada</v>
      </c>
      <c r="L32" s="57" t="n">
        <f aca="false">IF(D32=0,"",D32-E32)</f>
        <v>-30.7000000000003</v>
      </c>
    </row>
    <row r="33" customFormat="false" ht="15" hidden="false" customHeight="false" outlineLevel="0" collapsed="false">
      <c r="A33" s="56" t="s">
        <v>2</v>
      </c>
      <c r="B33" s="56" t="s">
        <v>3</v>
      </c>
      <c r="C33" s="56" t="s">
        <v>4</v>
      </c>
      <c r="D33" s="57" t="n">
        <f aca="false">SUMIFS(Entrada!$G$2:$G$202,Entrada!$B$2:$B$202,$A33,Entrada!$C$2:$C$202,$B33,Entrada!$K$2:$K$202,"Recebido no 2008")</f>
        <v>0</v>
      </c>
      <c r="E33" s="57" t="n">
        <f aca="false">SUMIFS(Entrada!$L$2:$L$202,Entrada!$B$2:$B$202,$A33,Entrada!$C$2:$C$202,$B33)</f>
        <v>1200</v>
      </c>
      <c r="F33" s="57" t="n">
        <f aca="false">SUMIFS(Saida!$R$2:$R$406,Saida!$B$2:$B$406,$A33,Saida!$C$2:$C$406,$B33)</f>
        <v>0</v>
      </c>
      <c r="G33" s="57" t="n">
        <f aca="false">E33-F33</f>
        <v>1200</v>
      </c>
      <c r="H33" s="57" t="n">
        <f aca="false">SUMIFS('Estoque físico'!$J$2:$J$229,'Estoque físico'!$A$2:$A$229,$A33,'Estoque físico'!$B$2:$B$229,$B33)</f>
        <v>1200</v>
      </c>
      <c r="I33" s="72" t="n">
        <f aca="false">ROUND(H33-G33,3)</f>
        <v>0</v>
      </c>
      <c r="J33" s="56" t="str">
        <f aca="false">IF(ABS(I33)&lt;=Resumo!$C$7,"OK",IF(I33&gt;0,"Sobra no estoque","Falta no estoque"))</f>
        <v>OK</v>
      </c>
      <c r="K33" s="56" t="str">
        <f aca="false">IF(J33="OK","",IF(AND(E33=0,F33=0),"Estoque sem movimento no período",IF(G33&lt;0,"Saídas maiores que entradas – estoque anterior ao período?",IF(H33=0,"Saldo calculado sem estoque físico – verificar",IF(I33&gt;0,"Estoque acima do esperado – saldo anterior ou entrada não listada","Estoque abaixo do esperado – saída/ajuste não listado")))))</f>
        <v/>
      </c>
      <c r="L33" s="57" t="str">
        <f aca="false">IF(D33=0,"",D33-E33)</f>
        <v/>
      </c>
    </row>
    <row r="34" customFormat="false" ht="15" hidden="false" customHeight="false" outlineLevel="0" collapsed="false">
      <c r="A34" s="56" t="s">
        <v>7</v>
      </c>
      <c r="B34" s="56" t="s">
        <v>8</v>
      </c>
      <c r="C34" s="56" t="s">
        <v>4</v>
      </c>
      <c r="D34" s="57" t="n">
        <f aca="false">SUMIFS(Entrada!$G$2:$G$202,Entrada!$B$2:$B$202,$A34,Entrada!$C$2:$C$202,$B34,Entrada!$K$2:$K$202,"Recebido no 2008")</f>
        <v>0</v>
      </c>
      <c r="E34" s="57" t="n">
        <f aca="false">SUMIFS(Entrada!$L$2:$L$202,Entrada!$B$2:$B$202,$A34,Entrada!$C$2:$C$202,$B34)</f>
        <v>3015</v>
      </c>
      <c r="F34" s="57" t="n">
        <f aca="false">SUMIFS(Saida!$R$2:$R$406,Saida!$B$2:$B$406,$A34,Saida!$C$2:$C$406,$B34)</f>
        <v>2673.3</v>
      </c>
      <c r="G34" s="57" t="n">
        <f aca="false">E34-F34</f>
        <v>341.7</v>
      </c>
      <c r="H34" s="57" t="n">
        <f aca="false">SUMIFS('Estoque físico'!$J$2:$J$229,'Estoque físico'!$A$2:$A$229,$A34,'Estoque físico'!$B$2:$B$229,$B34)</f>
        <v>341.7</v>
      </c>
      <c r="I34" s="72" t="n">
        <f aca="false">ROUND(H34-G34,3)</f>
        <v>0</v>
      </c>
      <c r="J34" s="56" t="str">
        <f aca="false">IF(ABS(I34)&lt;=Resumo!$C$7,"OK",IF(I34&gt;0,"Sobra no estoque","Falta no estoque"))</f>
        <v>OK</v>
      </c>
      <c r="K34" s="56" t="str">
        <f aca="false">IF(J34="OK","",IF(AND(E34=0,F34=0),"Estoque sem movimento no período",IF(G34&lt;0,"Saídas maiores que entradas – estoque anterior ao período?",IF(H34=0,"Saldo calculado sem estoque físico – verificar",IF(I34&gt;0,"Estoque acima do esperado – saldo anterior ou entrada não listada","Estoque abaixo do esperado – saída/ajuste não listado")))))</f>
        <v/>
      </c>
      <c r="L34" s="57" t="str">
        <f aca="false">IF(D34=0,"",D34-E34)</f>
        <v/>
      </c>
    </row>
    <row r="35" customFormat="false" ht="15" hidden="false" customHeight="false" outlineLevel="0" collapsed="false">
      <c r="A35" s="56" t="s">
        <v>23</v>
      </c>
      <c r="B35" s="56" t="s">
        <v>28</v>
      </c>
      <c r="C35" s="56" t="s">
        <v>4</v>
      </c>
      <c r="D35" s="57" t="n">
        <f aca="false">SUMIFS(Entrada!$G$2:$G$202,Entrada!$B$2:$B$202,$A35,Entrada!$C$2:$C$202,$B35,Entrada!$K$2:$K$202,"Recebido no 2008")</f>
        <v>0</v>
      </c>
      <c r="E35" s="57" t="n">
        <f aca="false">SUMIFS(Entrada!$L$2:$L$202,Entrada!$B$2:$B$202,$A35,Entrada!$C$2:$C$202,$B35)</f>
        <v>142.8</v>
      </c>
      <c r="F35" s="57" t="n">
        <f aca="false">SUMIFS(Saida!$R$2:$R$406,Saida!$B$2:$B$406,$A35,Saida!$C$2:$C$406,$B35)</f>
        <v>0</v>
      </c>
      <c r="G35" s="57" t="n">
        <f aca="false">E35-F35</f>
        <v>142.8</v>
      </c>
      <c r="H35" s="57" t="n">
        <f aca="false">SUMIFS('Estoque físico'!$J$2:$J$229,'Estoque físico'!$A$2:$A$229,$A35,'Estoque físico'!$B$2:$B$229,$B35)</f>
        <v>142.8</v>
      </c>
      <c r="I35" s="72" t="n">
        <f aca="false">ROUND(H35-G35,3)</f>
        <v>0</v>
      </c>
      <c r="J35" s="56" t="str">
        <f aca="false">IF(ABS(I35)&lt;=Resumo!$C$7,"OK",IF(I35&gt;0,"Sobra no estoque","Falta no estoque"))</f>
        <v>OK</v>
      </c>
      <c r="K35" s="56" t="str">
        <f aca="false">IF(J35="OK","",IF(AND(E35=0,F35=0),"Estoque sem movimento no período",IF(G35&lt;0,"Saídas maiores que entradas – estoque anterior ao período?",IF(H35=0,"Saldo calculado sem estoque físico – verificar",IF(I35&gt;0,"Estoque acima do esperado – saldo anterior ou entrada não listada","Estoque abaixo do esperado – saída/ajuste não listado")))))</f>
        <v/>
      </c>
      <c r="L35" s="57" t="str">
        <f aca="false">IF(D35=0,"",D35-E35)</f>
        <v/>
      </c>
    </row>
    <row r="36" customFormat="false" ht="15" hidden="false" customHeight="false" outlineLevel="0" collapsed="false">
      <c r="A36" s="56" t="s">
        <v>31</v>
      </c>
      <c r="B36" s="56" t="s">
        <v>36</v>
      </c>
      <c r="C36" s="56" t="s">
        <v>4</v>
      </c>
      <c r="D36" s="57" t="n">
        <f aca="false">SUMIFS(Entrada!$G$2:$G$202,Entrada!$B$2:$B$202,$A36,Entrada!$C$2:$C$202,$B36,Entrada!$K$2:$K$202,"Recebido no 2008")</f>
        <v>0</v>
      </c>
      <c r="E36" s="57" t="n">
        <f aca="false">SUMIFS(Entrada!$L$2:$L$202,Entrada!$B$2:$B$202,$A36,Entrada!$C$2:$C$202,$B36)</f>
        <v>1500</v>
      </c>
      <c r="F36" s="57" t="n">
        <f aca="false">SUMIFS(Saida!$R$2:$R$406,Saida!$B$2:$B$406,$A36,Saida!$C$2:$C$406,$B36)</f>
        <v>0</v>
      </c>
      <c r="G36" s="57" t="n">
        <f aca="false">E36-F36</f>
        <v>1500</v>
      </c>
      <c r="H36" s="57" t="n">
        <f aca="false">SUMIFS('Estoque físico'!$J$2:$J$229,'Estoque físico'!$A$2:$A$229,$A36,'Estoque físico'!$B$2:$B$229,$B36)</f>
        <v>1500</v>
      </c>
      <c r="I36" s="72" t="n">
        <f aca="false">ROUND(H36-G36,3)</f>
        <v>0</v>
      </c>
      <c r="J36" s="56" t="str">
        <f aca="false">IF(ABS(I36)&lt;=Resumo!$C$7,"OK",IF(I36&gt;0,"Sobra no estoque","Falta no estoque"))</f>
        <v>OK</v>
      </c>
      <c r="K36" s="56" t="str">
        <f aca="false">IF(J36="OK","",IF(AND(E36=0,F36=0),"Estoque sem movimento no período",IF(G36&lt;0,"Saídas maiores que entradas – estoque anterior ao período?",IF(H36=0,"Saldo calculado sem estoque físico – verificar",IF(I36&gt;0,"Estoque acima do esperado – saldo anterior ou entrada não listada","Estoque abaixo do esperado – saída/ajuste não listado")))))</f>
        <v/>
      </c>
      <c r="L36" s="57" t="str">
        <f aca="false">IF(D36=0,"",D36-E36)</f>
        <v/>
      </c>
    </row>
    <row r="37" customFormat="false" ht="15" hidden="false" customHeight="false" outlineLevel="0" collapsed="false">
      <c r="A37" s="56" t="s">
        <v>31</v>
      </c>
      <c r="B37" s="56" t="s">
        <v>42</v>
      </c>
      <c r="C37" s="56" t="s">
        <v>4</v>
      </c>
      <c r="D37" s="57" t="n">
        <f aca="false">SUMIFS(Entrada!$G$2:$G$202,Entrada!$B$2:$B$202,$A37,Entrada!$C$2:$C$202,$B37,Entrada!$K$2:$K$202,"Recebido no 2008")</f>
        <v>0</v>
      </c>
      <c r="E37" s="57" t="n">
        <f aca="false">SUMIFS(Entrada!$L$2:$L$202,Entrada!$B$2:$B$202,$A37,Entrada!$C$2:$C$202,$B37)</f>
        <v>1750</v>
      </c>
      <c r="F37" s="57" t="n">
        <f aca="false">SUMIFS(Saida!$R$2:$R$406,Saida!$B$2:$B$406,$A37,Saida!$C$2:$C$406,$B37)</f>
        <v>800</v>
      </c>
      <c r="G37" s="57" t="n">
        <f aca="false">E37-F37</f>
        <v>950</v>
      </c>
      <c r="H37" s="57" t="n">
        <f aca="false">SUMIFS('Estoque físico'!$J$2:$J$229,'Estoque físico'!$A$2:$A$229,$A37,'Estoque físico'!$B$2:$B$229,$B37)</f>
        <v>950</v>
      </c>
      <c r="I37" s="72" t="n">
        <f aca="false">ROUND(H37-G37,3)</f>
        <v>0</v>
      </c>
      <c r="J37" s="56" t="str">
        <f aca="false">IF(ABS(I37)&lt;=Resumo!$C$7,"OK",IF(I37&gt;0,"Sobra no estoque","Falta no estoque"))</f>
        <v>OK</v>
      </c>
      <c r="K37" s="56" t="str">
        <f aca="false">IF(J37="OK","",IF(AND(E37=0,F37=0),"Estoque sem movimento no período",IF(G37&lt;0,"Saídas maiores que entradas – estoque anterior ao período?",IF(H37=0,"Saldo calculado sem estoque físico – verificar",IF(I37&gt;0,"Estoque acima do esperado – saldo anterior ou entrada não listada","Estoque abaixo do esperado – saída/ajuste não listado")))))</f>
        <v/>
      </c>
      <c r="L37" s="57" t="str">
        <f aca="false">IF(D37=0,"",D37-E37)</f>
        <v/>
      </c>
    </row>
    <row r="38" customFormat="false" ht="15" hidden="false" customHeight="false" outlineLevel="0" collapsed="false">
      <c r="A38" s="56" t="s">
        <v>33</v>
      </c>
      <c r="B38" s="56" t="s">
        <v>44</v>
      </c>
      <c r="C38" s="56" t="s">
        <v>4</v>
      </c>
      <c r="D38" s="57" t="n">
        <f aca="false">SUMIFS(Entrada!$G$2:$G$202,Entrada!$B$2:$B$202,$A38,Entrada!$C$2:$C$202,$B38,Entrada!$K$2:$K$202,"Recebido no 2008")</f>
        <v>0</v>
      </c>
      <c r="E38" s="57" t="n">
        <f aca="false">SUMIFS(Entrada!$L$2:$L$202,Entrada!$B$2:$B$202,$A38,Entrada!$C$2:$C$202,$B38)</f>
        <v>1800</v>
      </c>
      <c r="F38" s="57" t="n">
        <f aca="false">SUMIFS(Saida!$R$2:$R$406,Saida!$B$2:$B$406,$A38,Saida!$C$2:$C$406,$B38)</f>
        <v>1780</v>
      </c>
      <c r="G38" s="57" t="n">
        <f aca="false">E38-F38</f>
        <v>20</v>
      </c>
      <c r="H38" s="57" t="n">
        <f aca="false">SUMIFS('Estoque físico'!$J$2:$J$229,'Estoque físico'!$A$2:$A$229,$A38,'Estoque físico'!$B$2:$B$229,$B38)</f>
        <v>20</v>
      </c>
      <c r="I38" s="72" t="n">
        <f aca="false">ROUND(H38-G38,3)</f>
        <v>0</v>
      </c>
      <c r="J38" s="56" t="str">
        <f aca="false">IF(ABS(I38)&lt;=Resumo!$C$7,"OK",IF(I38&gt;0,"Sobra no estoque","Falta no estoque"))</f>
        <v>OK</v>
      </c>
      <c r="K38" s="56" t="str">
        <f aca="false">IF(J38="OK","",IF(AND(E38=0,F38=0),"Estoque sem movimento no período",IF(G38&lt;0,"Saídas maiores que entradas – estoque anterior ao período?",IF(H38=0,"Saldo calculado sem estoque físico – verificar",IF(I38&gt;0,"Estoque acima do esperado – saldo anterior ou entrada não listada","Estoque abaixo do esperado – saída/ajuste não listado")))))</f>
        <v/>
      </c>
      <c r="L38" s="57" t="str">
        <f aca="false">IF(D38=0,"",D38-E38)</f>
        <v/>
      </c>
    </row>
    <row r="39" customFormat="false" ht="15" hidden="false" customHeight="false" outlineLevel="0" collapsed="false">
      <c r="A39" s="56" t="s">
        <v>33</v>
      </c>
      <c r="B39" s="56" t="s">
        <v>48</v>
      </c>
      <c r="C39" s="56" t="s">
        <v>4</v>
      </c>
      <c r="D39" s="57" t="n">
        <f aca="false">SUMIFS(Entrada!$G$2:$G$202,Entrada!$B$2:$B$202,$A39,Entrada!$C$2:$C$202,$B39,Entrada!$K$2:$K$202,"Recebido no 2008")</f>
        <v>0</v>
      </c>
      <c r="E39" s="57" t="n">
        <f aca="false">SUMIFS(Entrada!$L$2:$L$202,Entrada!$B$2:$B$202,$A39,Entrada!$C$2:$C$202,$B39)</f>
        <v>600</v>
      </c>
      <c r="F39" s="57" t="n">
        <f aca="false">SUMIFS(Saida!$R$2:$R$406,Saida!$B$2:$B$406,$A39,Saida!$C$2:$C$406,$B39)</f>
        <v>0</v>
      </c>
      <c r="G39" s="57" t="n">
        <f aca="false">E39-F39</f>
        <v>600</v>
      </c>
      <c r="H39" s="57" t="n">
        <f aca="false">SUMIFS('Estoque físico'!$J$2:$J$229,'Estoque físico'!$A$2:$A$229,$A39,'Estoque físico'!$B$2:$B$229,$B39)</f>
        <v>600</v>
      </c>
      <c r="I39" s="72" t="n">
        <f aca="false">ROUND(H39-G39,3)</f>
        <v>0</v>
      </c>
      <c r="J39" s="56" t="str">
        <f aca="false">IF(ABS(I39)&lt;=Resumo!$C$7,"OK",IF(I39&gt;0,"Sobra no estoque","Falta no estoque"))</f>
        <v>OK</v>
      </c>
      <c r="K39" s="56" t="str">
        <f aca="false">IF(J39="OK","",IF(AND(E39=0,F39=0),"Estoque sem movimento no período",IF(G39&lt;0,"Saídas maiores que entradas – estoque anterior ao período?",IF(H39=0,"Saldo calculado sem estoque físico – verificar",IF(I39&gt;0,"Estoque acima do esperado – saldo anterior ou entrada não listada","Estoque abaixo do esperado – saída/ajuste não listado")))))</f>
        <v/>
      </c>
      <c r="L39" s="57" t="str">
        <f aca="false">IF(D39=0,"",D39-E39)</f>
        <v/>
      </c>
    </row>
    <row r="40" customFormat="false" ht="15" hidden="false" customHeight="false" outlineLevel="0" collapsed="false">
      <c r="A40" s="56" t="s">
        <v>33</v>
      </c>
      <c r="B40" s="56" t="s">
        <v>52</v>
      </c>
      <c r="C40" s="56" t="s">
        <v>4</v>
      </c>
      <c r="D40" s="57" t="n">
        <f aca="false">SUMIFS(Entrada!$G$2:$G$202,Entrada!$B$2:$B$202,$A40,Entrada!$C$2:$C$202,$B40,Entrada!$K$2:$K$202,"Recebido no 2008")</f>
        <v>4360</v>
      </c>
      <c r="E40" s="57" t="n">
        <f aca="false">SUMIFS(Entrada!$L$2:$L$202,Entrada!$B$2:$B$202,$A40,Entrada!$C$2:$C$202,$B40)</f>
        <v>1180</v>
      </c>
      <c r="F40" s="57" t="n">
        <f aca="false">SUMIFS(Saida!$R$2:$R$406,Saida!$B$2:$B$406,$A40,Saida!$C$2:$C$406,$B40)</f>
        <v>1160</v>
      </c>
      <c r="G40" s="57" t="n">
        <f aca="false">E40-F40</f>
        <v>20</v>
      </c>
      <c r="H40" s="57" t="n">
        <f aca="false">SUMIFS('Estoque físico'!$J$2:$J$229,'Estoque físico'!$A$2:$A$229,$A40,'Estoque físico'!$B$2:$B$229,$B40)</f>
        <v>20</v>
      </c>
      <c r="I40" s="72" t="n">
        <f aca="false">ROUND(H40-G40,3)</f>
        <v>0</v>
      </c>
      <c r="J40" s="56" t="str">
        <f aca="false">IF(ABS(I40)&lt;=Resumo!$C$7,"OK",IF(I40&gt;0,"Sobra no estoque","Falta no estoque"))</f>
        <v>OK</v>
      </c>
      <c r="K40" s="56" t="str">
        <f aca="false">IF(J40="OK","",IF(AND(E40=0,F40=0),"Estoque sem movimento no período",IF(G40&lt;0,"Saídas maiores que entradas – estoque anterior ao período?",IF(H40=0,"Saldo calculado sem estoque físico – verificar",IF(I40&gt;0,"Estoque acima do esperado – saldo anterior ou entrada não listada","Estoque abaixo do esperado – saída/ajuste não listado")))))</f>
        <v/>
      </c>
      <c r="L40" s="57" t="n">
        <f aca="false">IF(D40=0,"",D40-E40)</f>
        <v>3180</v>
      </c>
    </row>
    <row r="41" customFormat="false" ht="15" hidden="false" customHeight="false" outlineLevel="0" collapsed="false">
      <c r="A41" s="56" t="s">
        <v>33</v>
      </c>
      <c r="B41" s="56" t="s">
        <v>54</v>
      </c>
      <c r="C41" s="56" t="s">
        <v>4</v>
      </c>
      <c r="D41" s="57" t="n">
        <f aca="false">SUMIFS(Entrada!$G$2:$G$202,Entrada!$B$2:$B$202,$A41,Entrada!$C$2:$C$202,$B41,Entrada!$K$2:$K$202,"Recebido no 2008")</f>
        <v>5240</v>
      </c>
      <c r="E41" s="57" t="n">
        <f aca="false">SUMIFS(Entrada!$L$2:$L$202,Entrada!$B$2:$B$202,$A41,Entrada!$C$2:$C$202,$B41)</f>
        <v>1660</v>
      </c>
      <c r="F41" s="57" t="n">
        <f aca="false">SUMIFS(Saida!$R$2:$R$406,Saida!$B$2:$B$406,$A41,Saida!$C$2:$C$406,$B41)</f>
        <v>580</v>
      </c>
      <c r="G41" s="57" t="n">
        <f aca="false">E41-F41</f>
        <v>1080</v>
      </c>
      <c r="H41" s="57" t="n">
        <f aca="false">SUMIFS('Estoque físico'!$J$2:$J$229,'Estoque físico'!$A$2:$A$229,$A41,'Estoque físico'!$B$2:$B$229,$B41)</f>
        <v>1080</v>
      </c>
      <c r="I41" s="72" t="n">
        <f aca="false">ROUND(H41-G41,3)</f>
        <v>0</v>
      </c>
      <c r="J41" s="56" t="str">
        <f aca="false">IF(ABS(I41)&lt;=Resumo!$C$7,"OK",IF(I41&gt;0,"Sobra no estoque","Falta no estoque"))</f>
        <v>OK</v>
      </c>
      <c r="K41" s="56" t="str">
        <f aca="false">IF(J41="OK","",IF(AND(E41=0,F41=0),"Estoque sem movimento no período",IF(G41&lt;0,"Saídas maiores que entradas – estoque anterior ao período?",IF(H41=0,"Saldo calculado sem estoque físico – verificar",IF(I41&gt;0,"Estoque acima do esperado – saldo anterior ou entrada não listada","Estoque abaixo do esperado – saída/ajuste não listado")))))</f>
        <v/>
      </c>
      <c r="L41" s="57" t="n">
        <f aca="false">IF(D41=0,"",D41-E41)</f>
        <v>3580</v>
      </c>
    </row>
    <row r="42" customFormat="false" ht="15" hidden="false" customHeight="false" outlineLevel="0" collapsed="false">
      <c r="A42" s="56" t="s">
        <v>35</v>
      </c>
      <c r="B42" s="56" t="s">
        <v>56</v>
      </c>
      <c r="C42" s="56" t="s">
        <v>4</v>
      </c>
      <c r="D42" s="57" t="n">
        <f aca="false">SUMIFS(Entrada!$G$2:$G$202,Entrada!$B$2:$B$202,$A42,Entrada!$C$2:$C$202,$B42,Entrada!$K$2:$K$202,"Recebido no 2008")</f>
        <v>0</v>
      </c>
      <c r="E42" s="57" t="n">
        <f aca="false">SUMIFS(Entrada!$L$2:$L$202,Entrada!$B$2:$B$202,$A42,Entrada!$C$2:$C$202,$B42)</f>
        <v>461.9</v>
      </c>
      <c r="F42" s="57" t="n">
        <f aca="false">SUMIFS(Saida!$R$2:$R$406,Saida!$B$2:$B$406,$A42,Saida!$C$2:$C$406,$B42)</f>
        <v>442.2</v>
      </c>
      <c r="G42" s="57" t="n">
        <f aca="false">E42-F42</f>
        <v>19.7</v>
      </c>
      <c r="H42" s="57" t="n">
        <f aca="false">SUMIFS('Estoque físico'!$J$2:$J$229,'Estoque físico'!$A$2:$A$229,$A42,'Estoque físico'!$B$2:$B$229,$B42)</f>
        <v>19.7</v>
      </c>
      <c r="I42" s="72" t="n">
        <f aca="false">ROUND(H42-G42,3)</f>
        <v>0</v>
      </c>
      <c r="J42" s="56" t="str">
        <f aca="false">IF(ABS(I42)&lt;=Resumo!$C$7,"OK",IF(I42&gt;0,"Sobra no estoque","Falta no estoque"))</f>
        <v>OK</v>
      </c>
      <c r="K42" s="56" t="str">
        <f aca="false">IF(J42="OK","",IF(AND(E42=0,F42=0),"Estoque sem movimento no período",IF(G42&lt;0,"Saídas maiores que entradas – estoque anterior ao período?",IF(H42=0,"Saldo calculado sem estoque físico – verificar",IF(I42&gt;0,"Estoque acima do esperado – saldo anterior ou entrada não listada","Estoque abaixo do esperado – saída/ajuste não listado")))))</f>
        <v/>
      </c>
      <c r="L42" s="57" t="str">
        <f aca="false">IF(D42=0,"",D42-E42)</f>
        <v/>
      </c>
    </row>
    <row r="43" customFormat="false" ht="15" hidden="false" customHeight="false" outlineLevel="0" collapsed="false">
      <c r="A43" s="56" t="s">
        <v>35</v>
      </c>
      <c r="B43" s="56" t="s">
        <v>60</v>
      </c>
      <c r="C43" s="56" t="s">
        <v>4</v>
      </c>
      <c r="D43" s="57" t="n">
        <f aca="false">SUMIFS(Entrada!$G$2:$G$202,Entrada!$B$2:$B$202,$A43,Entrada!$C$2:$C$202,$B43,Entrada!$K$2:$K$202,"Recebido no 2008")</f>
        <v>0</v>
      </c>
      <c r="E43" s="57" t="n">
        <f aca="false">SUMIFS(Entrada!$L$2:$L$202,Entrada!$B$2:$B$202,$A43,Entrada!$C$2:$C$202,$B43)</f>
        <v>1809</v>
      </c>
      <c r="F43" s="57" t="n">
        <f aca="false">SUMIFS(Saida!$R$2:$R$406,Saida!$B$2:$B$406,$A43,Saida!$C$2:$C$406,$B43)</f>
        <v>1025.1</v>
      </c>
      <c r="G43" s="57" t="n">
        <f aca="false">E43-F43</f>
        <v>783.9</v>
      </c>
      <c r="H43" s="57" t="n">
        <f aca="false">SUMIFS('Estoque físico'!$J$2:$J$229,'Estoque físico'!$A$2:$A$229,$A43,'Estoque físico'!$B$2:$B$229,$B43)</f>
        <v>783.9</v>
      </c>
      <c r="I43" s="72" t="n">
        <f aca="false">ROUND(H43-G43,3)</f>
        <v>0</v>
      </c>
      <c r="J43" s="56" t="str">
        <f aca="false">IF(ABS(I43)&lt;=Resumo!$C$7,"OK",IF(I43&gt;0,"Sobra no estoque","Falta no estoque"))</f>
        <v>OK</v>
      </c>
      <c r="K43" s="56" t="str">
        <f aca="false">IF(J43="OK","",IF(AND(E43=0,F43=0),"Estoque sem movimento no período",IF(G43&lt;0,"Saídas maiores que entradas – estoque anterior ao período?",IF(H43=0,"Saldo calculado sem estoque físico – verificar",IF(I43&gt;0,"Estoque acima do esperado – saldo anterior ou entrada não listada","Estoque abaixo do esperado – saída/ajuste não listado")))))</f>
        <v/>
      </c>
      <c r="L43" s="57" t="str">
        <f aca="false">IF(D43=0,"",D43-E43)</f>
        <v/>
      </c>
    </row>
    <row r="44" customFormat="false" ht="15" hidden="false" customHeight="false" outlineLevel="0" collapsed="false">
      <c r="A44" s="56" t="s">
        <v>43</v>
      </c>
      <c r="B44" s="56" t="s">
        <v>64</v>
      </c>
      <c r="C44" s="56" t="s">
        <v>4</v>
      </c>
      <c r="D44" s="57" t="n">
        <f aca="false">SUMIFS(Entrada!$G$2:$G$202,Entrada!$B$2:$B$202,$A44,Entrada!$C$2:$C$202,$B44,Entrada!$K$2:$K$202,"Recebido no 2008")</f>
        <v>0</v>
      </c>
      <c r="E44" s="57" t="n">
        <f aca="false">SUMIFS(Entrada!$L$2:$L$202,Entrada!$B$2:$B$202,$A44,Entrada!$C$2:$C$202,$B44)</f>
        <v>1000</v>
      </c>
      <c r="F44" s="57" t="n">
        <f aca="false">SUMIFS(Saida!$R$2:$R$406,Saida!$B$2:$B$406,$A44,Saida!$C$2:$C$406,$B44)</f>
        <v>0</v>
      </c>
      <c r="G44" s="57" t="n">
        <f aca="false">E44-F44</f>
        <v>1000</v>
      </c>
      <c r="H44" s="57" t="n">
        <f aca="false">SUMIFS('Estoque físico'!$J$2:$J$229,'Estoque físico'!$A$2:$A$229,$A44,'Estoque físico'!$B$2:$B$229,$B44)</f>
        <v>1000</v>
      </c>
      <c r="I44" s="72" t="n">
        <f aca="false">ROUND(H44-G44,3)</f>
        <v>0</v>
      </c>
      <c r="J44" s="56" t="str">
        <f aca="false">IF(ABS(I44)&lt;=Resumo!$C$7,"OK",IF(I44&gt;0,"Sobra no estoque","Falta no estoque"))</f>
        <v>OK</v>
      </c>
      <c r="K44" s="56" t="str">
        <f aca="false">IF(J44="OK","",IF(AND(E44=0,F44=0),"Estoque sem movimento no período",IF(G44&lt;0,"Saídas maiores que entradas – estoque anterior ao período?",IF(H44=0,"Saldo calculado sem estoque físico – verificar",IF(I44&gt;0,"Estoque acima do esperado – saldo anterior ou entrada não listada","Estoque abaixo do esperado – saída/ajuste não listado")))))</f>
        <v/>
      </c>
      <c r="L44" s="57" t="str">
        <f aca="false">IF(D44=0,"",D44-E44)</f>
        <v/>
      </c>
    </row>
    <row r="45" customFormat="false" ht="15" hidden="false" customHeight="false" outlineLevel="0" collapsed="false">
      <c r="A45" s="56" t="s">
        <v>47</v>
      </c>
      <c r="B45" s="56" t="s">
        <v>66</v>
      </c>
      <c r="C45" s="56" t="s">
        <v>4</v>
      </c>
      <c r="D45" s="57" t="n">
        <f aca="false">SUMIFS(Entrada!$G$2:$G$202,Entrada!$B$2:$B$202,$A45,Entrada!$C$2:$C$202,$B45,Entrada!$K$2:$K$202,"Recebido no 2008")</f>
        <v>0</v>
      </c>
      <c r="E45" s="57" t="n">
        <f aca="false">SUMIFS(Entrada!$L$2:$L$202,Entrada!$B$2:$B$202,$A45,Entrada!$C$2:$C$202,$B45)</f>
        <v>1800</v>
      </c>
      <c r="F45" s="57" t="n">
        <f aca="false">SUMIFS(Saida!$R$2:$R$406,Saida!$B$2:$B$406,$A45,Saida!$C$2:$C$406,$B45)</f>
        <v>0</v>
      </c>
      <c r="G45" s="57" t="n">
        <f aca="false">E45-F45</f>
        <v>1800</v>
      </c>
      <c r="H45" s="57" t="n">
        <f aca="false">SUMIFS('Estoque físico'!$J$2:$J$229,'Estoque físico'!$A$2:$A$229,$A45,'Estoque físico'!$B$2:$B$229,$B45)</f>
        <v>1800</v>
      </c>
      <c r="I45" s="72" t="n">
        <f aca="false">ROUND(H45-G45,3)</f>
        <v>0</v>
      </c>
      <c r="J45" s="56" t="str">
        <f aca="false">IF(ABS(I45)&lt;=Resumo!$C$7,"OK",IF(I45&gt;0,"Sobra no estoque","Falta no estoque"))</f>
        <v>OK</v>
      </c>
      <c r="K45" s="56" t="str">
        <f aca="false">IF(J45="OK","",IF(AND(E45=0,F45=0),"Estoque sem movimento no período",IF(G45&lt;0,"Saídas maiores que entradas – estoque anterior ao período?",IF(H45=0,"Saldo calculado sem estoque físico – verificar",IF(I45&gt;0,"Estoque acima do esperado – saldo anterior ou entrada não listada","Estoque abaixo do esperado – saída/ajuste não listado")))))</f>
        <v/>
      </c>
      <c r="L45" s="57" t="str">
        <f aca="false">IF(D45=0,"",D45-E45)</f>
        <v/>
      </c>
    </row>
    <row r="46" customFormat="false" ht="15" hidden="false" customHeight="false" outlineLevel="0" collapsed="false">
      <c r="A46" s="56" t="s">
        <v>47</v>
      </c>
      <c r="B46" s="56" t="s">
        <v>68</v>
      </c>
      <c r="C46" s="56" t="s">
        <v>4</v>
      </c>
      <c r="D46" s="57" t="n">
        <f aca="false">SUMIFS(Entrada!$G$2:$G$202,Entrada!$B$2:$B$202,$A46,Entrada!$C$2:$C$202,$B46,Entrada!$K$2:$K$202,"Recebido no 2008")</f>
        <v>6000</v>
      </c>
      <c r="E46" s="57" t="n">
        <f aca="false">SUMIFS(Entrada!$L$2:$L$202,Entrada!$B$2:$B$202,$A46,Entrada!$C$2:$C$202,$B46)</f>
        <v>5940</v>
      </c>
      <c r="F46" s="57" t="n">
        <f aca="false">SUMIFS(Saida!$R$2:$R$406,Saida!$B$2:$B$406,$A46,Saida!$C$2:$C$406,$B46)</f>
        <v>4940</v>
      </c>
      <c r="G46" s="57" t="n">
        <f aca="false">E46-F46</f>
        <v>1000</v>
      </c>
      <c r="H46" s="57" t="n">
        <f aca="false">SUMIFS('Estoque físico'!$J$2:$J$229,'Estoque físico'!$A$2:$A$229,$A46,'Estoque físico'!$B$2:$B$229,$B46)</f>
        <v>1000</v>
      </c>
      <c r="I46" s="72" t="n">
        <f aca="false">ROUND(H46-G46,3)</f>
        <v>0</v>
      </c>
      <c r="J46" s="56" t="str">
        <f aca="false">IF(ABS(I46)&lt;=Resumo!$C$7,"OK",IF(I46&gt;0,"Sobra no estoque","Falta no estoque"))</f>
        <v>OK</v>
      </c>
      <c r="K46" s="56" t="str">
        <f aca="false">IF(J46="OK","",IF(AND(E46=0,F46=0),"Estoque sem movimento no período",IF(G46&lt;0,"Saídas maiores que entradas – estoque anterior ao período?",IF(H46=0,"Saldo calculado sem estoque físico – verificar",IF(I46&gt;0,"Estoque acima do esperado – saldo anterior ou entrada não listada","Estoque abaixo do esperado – saída/ajuste não listado")))))</f>
        <v/>
      </c>
      <c r="L46" s="57" t="n">
        <f aca="false">IF(D46=0,"",D46-E46)</f>
        <v>60</v>
      </c>
    </row>
    <row r="47" customFormat="false" ht="15" hidden="false" customHeight="false" outlineLevel="0" collapsed="false">
      <c r="A47" s="56" t="s">
        <v>51</v>
      </c>
      <c r="B47" s="56" t="s">
        <v>72</v>
      </c>
      <c r="C47" s="56" t="s">
        <v>4</v>
      </c>
      <c r="D47" s="57" t="n">
        <f aca="false">SUMIFS(Entrada!$G$2:$G$202,Entrada!$B$2:$B$202,$A47,Entrada!$C$2:$C$202,$B47,Entrada!$K$2:$K$202,"Recebido no 2008")</f>
        <v>0</v>
      </c>
      <c r="E47" s="57" t="n">
        <f aca="false">SUMIFS(Entrada!$L$2:$L$202,Entrada!$B$2:$B$202,$A47,Entrada!$C$2:$C$202,$B47)</f>
        <v>720</v>
      </c>
      <c r="F47" s="57" t="n">
        <f aca="false">SUMIFS(Saida!$R$2:$R$406,Saida!$B$2:$B$406,$A47,Saida!$C$2:$C$406,$B47)</f>
        <v>240</v>
      </c>
      <c r="G47" s="57" t="n">
        <f aca="false">E47-F47</f>
        <v>480</v>
      </c>
      <c r="H47" s="57" t="n">
        <f aca="false">SUMIFS('Estoque físico'!$J$2:$J$229,'Estoque físico'!$A$2:$A$229,$A47,'Estoque físico'!$B$2:$B$229,$B47)</f>
        <v>480</v>
      </c>
      <c r="I47" s="72" t="n">
        <f aca="false">ROUND(H47-G47,3)</f>
        <v>0</v>
      </c>
      <c r="J47" s="56" t="str">
        <f aca="false">IF(ABS(I47)&lt;=Resumo!$C$7,"OK",IF(I47&gt;0,"Sobra no estoque","Falta no estoque"))</f>
        <v>OK</v>
      </c>
      <c r="K47" s="56" t="str">
        <f aca="false">IF(J47="OK","",IF(AND(E47=0,F47=0),"Estoque sem movimento no período",IF(G47&lt;0,"Saídas maiores que entradas – estoque anterior ao período?",IF(H47=0,"Saldo calculado sem estoque físico – verificar",IF(I47&gt;0,"Estoque acima do esperado – saldo anterior ou entrada não listada","Estoque abaixo do esperado – saída/ajuste não listado")))))</f>
        <v/>
      </c>
      <c r="L47" s="57" t="str">
        <f aca="false">IF(D47=0,"",D47-E47)</f>
        <v/>
      </c>
    </row>
    <row r="48" customFormat="false" ht="15" hidden="false" customHeight="false" outlineLevel="0" collapsed="false">
      <c r="A48" s="56" t="s">
        <v>51</v>
      </c>
      <c r="B48" s="56" t="s">
        <v>74</v>
      </c>
      <c r="C48" s="56" t="s">
        <v>4</v>
      </c>
      <c r="D48" s="57" t="n">
        <f aca="false">SUMIFS(Entrada!$G$2:$G$202,Entrada!$B$2:$B$202,$A48,Entrada!$C$2:$C$202,$B48,Entrada!$K$2:$K$202,"Recebido no 2008")</f>
        <v>2880</v>
      </c>
      <c r="E48" s="57" t="n">
        <f aca="false">SUMIFS(Entrada!$L$2:$L$202,Entrada!$B$2:$B$202,$A48,Entrada!$C$2:$C$202,$B48)</f>
        <v>40</v>
      </c>
      <c r="F48" s="57" t="n">
        <f aca="false">SUMIFS(Saida!$R$2:$R$406,Saida!$B$2:$B$406,$A48,Saida!$C$2:$C$406,$B48)</f>
        <v>0</v>
      </c>
      <c r="G48" s="57" t="n">
        <f aca="false">E48-F48</f>
        <v>40</v>
      </c>
      <c r="H48" s="57" t="n">
        <f aca="false">SUMIFS('Estoque físico'!$J$2:$J$229,'Estoque físico'!$A$2:$A$229,$A48,'Estoque físico'!$B$2:$B$229,$B48)</f>
        <v>40</v>
      </c>
      <c r="I48" s="72" t="n">
        <f aca="false">ROUND(H48-G48,3)</f>
        <v>0</v>
      </c>
      <c r="J48" s="56" t="str">
        <f aca="false">IF(ABS(I48)&lt;=Resumo!$C$7,"OK",IF(I48&gt;0,"Sobra no estoque","Falta no estoque"))</f>
        <v>OK</v>
      </c>
      <c r="K48" s="56" t="str">
        <f aca="false">IF(J48="OK","",IF(AND(E48=0,F48=0),"Estoque sem movimento no período",IF(G48&lt;0,"Saídas maiores que entradas – estoque anterior ao período?",IF(H48=0,"Saldo calculado sem estoque físico – verificar",IF(I48&gt;0,"Estoque acima do esperado – saldo anterior ou entrada não listada","Estoque abaixo do esperado – saída/ajuste não listado")))))</f>
        <v/>
      </c>
      <c r="L48" s="57" t="n">
        <f aca="false">IF(D48=0,"",D48-E48)</f>
        <v>2840</v>
      </c>
    </row>
    <row r="49" customFormat="false" ht="15" hidden="false" customHeight="false" outlineLevel="0" collapsed="false">
      <c r="A49" s="56" t="s">
        <v>53</v>
      </c>
      <c r="B49" s="56" t="s">
        <v>80</v>
      </c>
      <c r="C49" s="56" t="s">
        <v>9</v>
      </c>
      <c r="D49" s="57" t="n">
        <f aca="false">SUMIFS(Entrada!$G$2:$G$202,Entrada!$B$2:$B$202,$A49,Entrada!$C$2:$C$202,$B49,Entrada!$K$2:$K$202,"Recebido no 2008")</f>
        <v>0</v>
      </c>
      <c r="E49" s="57" t="n">
        <f aca="false">SUMIFS(Entrada!$L$2:$L$202,Entrada!$B$2:$B$202,$A49,Entrada!$C$2:$C$202,$B49)</f>
        <v>2250</v>
      </c>
      <c r="F49" s="57" t="n">
        <f aca="false">SUMIFS(Saida!$R$2:$R$406,Saida!$B$2:$B$406,$A49,Saida!$C$2:$C$406,$B49)</f>
        <v>885</v>
      </c>
      <c r="G49" s="57" t="n">
        <f aca="false">E49-F49</f>
        <v>1365</v>
      </c>
      <c r="H49" s="57" t="n">
        <f aca="false">SUMIFS('Estoque físico'!$J$2:$J$229,'Estoque físico'!$A$2:$A$229,$A49,'Estoque físico'!$B$2:$B$229,$B49)</f>
        <v>1365</v>
      </c>
      <c r="I49" s="72" t="n">
        <f aca="false">ROUND(H49-G49,3)</f>
        <v>0</v>
      </c>
      <c r="J49" s="56" t="str">
        <f aca="false">IF(ABS(I49)&lt;=Resumo!$C$7,"OK",IF(I49&gt;0,"Sobra no estoque","Falta no estoque"))</f>
        <v>OK</v>
      </c>
      <c r="K49" s="56" t="str">
        <f aca="false">IF(J49="OK","",IF(AND(E49=0,F49=0),"Estoque sem movimento no período",IF(G49&lt;0,"Saídas maiores que entradas – estoque anterior ao período?",IF(H49=0,"Saldo calculado sem estoque físico – verificar",IF(I49&gt;0,"Estoque acima do esperado – saldo anterior ou entrada não listada","Estoque abaixo do esperado – saída/ajuste não listado")))))</f>
        <v/>
      </c>
      <c r="L49" s="57" t="str">
        <f aca="false">IF(D49=0,"",D49-E49)</f>
        <v/>
      </c>
    </row>
    <row r="50" customFormat="false" ht="15" hidden="false" customHeight="false" outlineLevel="0" collapsed="false">
      <c r="A50" s="56" t="s">
        <v>53</v>
      </c>
      <c r="B50" s="56" t="s">
        <v>82</v>
      </c>
      <c r="C50" s="56" t="s">
        <v>9</v>
      </c>
      <c r="D50" s="57" t="n">
        <f aca="false">SUMIFS(Entrada!$G$2:$G$202,Entrada!$B$2:$B$202,$A50,Entrada!$C$2:$C$202,$B50,Entrada!$K$2:$K$202,"Recebido no 2008")</f>
        <v>0</v>
      </c>
      <c r="E50" s="57" t="n">
        <f aca="false">SUMIFS(Entrada!$L$2:$L$202,Entrada!$B$2:$B$202,$A50,Entrada!$C$2:$C$202,$B50)</f>
        <v>450</v>
      </c>
      <c r="F50" s="57" t="n">
        <f aca="false">SUMIFS(Saida!$R$2:$R$406,Saida!$B$2:$B$406,$A50,Saida!$C$2:$C$406,$B50)</f>
        <v>450</v>
      </c>
      <c r="G50" s="57" t="n">
        <f aca="false">E50-F50</f>
        <v>0</v>
      </c>
      <c r="H50" s="57" t="n">
        <f aca="false">SUMIFS('Estoque físico'!$J$2:$J$229,'Estoque físico'!$A$2:$A$229,$A50,'Estoque físico'!$B$2:$B$229,$B50)</f>
        <v>0</v>
      </c>
      <c r="I50" s="72" t="n">
        <f aca="false">ROUND(H50-G50,3)</f>
        <v>0</v>
      </c>
      <c r="J50" s="56" t="str">
        <f aca="false">IF(ABS(I50)&lt;=Resumo!$C$7,"OK",IF(I50&gt;0,"Sobra no estoque","Falta no estoque"))</f>
        <v>OK</v>
      </c>
      <c r="K50" s="56" t="str">
        <f aca="false">IF(J50="OK","",IF(AND(E50=0,F50=0),"Estoque sem movimento no período",IF(G50&lt;0,"Saídas maiores que entradas – estoque anterior ao período?",IF(H50=0,"Saldo calculado sem estoque físico – verificar",IF(I50&gt;0,"Estoque acima do esperado – saldo anterior ou entrada não listada","Estoque abaixo do esperado – saída/ajuste não listado")))))</f>
        <v/>
      </c>
      <c r="L50" s="57" t="str">
        <f aca="false">IF(D50=0,"",D50-E50)</f>
        <v/>
      </c>
    </row>
    <row r="51" customFormat="false" ht="15" hidden="false" customHeight="false" outlineLevel="0" collapsed="false">
      <c r="A51" s="56" t="s">
        <v>53</v>
      </c>
      <c r="B51" s="56" t="s">
        <v>84</v>
      </c>
      <c r="C51" s="56" t="s">
        <v>9</v>
      </c>
      <c r="D51" s="57" t="n">
        <f aca="false">SUMIFS(Entrada!$G$2:$G$202,Entrada!$B$2:$B$202,$A51,Entrada!$C$2:$C$202,$B51,Entrada!$K$2:$K$202,"Recebido no 2008")</f>
        <v>0</v>
      </c>
      <c r="E51" s="57" t="n">
        <f aca="false">SUMIFS(Entrada!$L$2:$L$202,Entrada!$B$2:$B$202,$A51,Entrada!$C$2:$C$202,$B51)</f>
        <v>900</v>
      </c>
      <c r="F51" s="57" t="n">
        <f aca="false">SUMIFS(Saida!$R$2:$R$406,Saida!$B$2:$B$406,$A51,Saida!$C$2:$C$406,$B51)</f>
        <v>840</v>
      </c>
      <c r="G51" s="57" t="n">
        <f aca="false">E51-F51</f>
        <v>60</v>
      </c>
      <c r="H51" s="57" t="n">
        <f aca="false">SUMIFS('Estoque físico'!$J$2:$J$229,'Estoque físico'!$A$2:$A$229,$A51,'Estoque físico'!$B$2:$B$229,$B51)</f>
        <v>60</v>
      </c>
      <c r="I51" s="72" t="n">
        <f aca="false">ROUND(H51-G51,3)</f>
        <v>0</v>
      </c>
      <c r="J51" s="56" t="str">
        <f aca="false">IF(ABS(I51)&lt;=Resumo!$C$7,"OK",IF(I51&gt;0,"Sobra no estoque","Falta no estoque"))</f>
        <v>OK</v>
      </c>
      <c r="K51" s="56" t="str">
        <f aca="false">IF(J51="OK","",IF(AND(E51=0,F51=0),"Estoque sem movimento no período",IF(G51&lt;0,"Saídas maiores que entradas – estoque anterior ao período?",IF(H51=0,"Saldo calculado sem estoque físico – verificar",IF(I51&gt;0,"Estoque acima do esperado – saldo anterior ou entrada não listada","Estoque abaixo do esperado – saída/ajuste não listado")))))</f>
        <v/>
      </c>
      <c r="L51" s="57" t="str">
        <f aca="false">IF(D51=0,"",D51-E51)</f>
        <v/>
      </c>
    </row>
    <row r="52" customFormat="false" ht="15" hidden="false" customHeight="false" outlineLevel="0" collapsed="false">
      <c r="A52" s="56" t="s">
        <v>55</v>
      </c>
      <c r="B52" s="56" t="s">
        <v>89</v>
      </c>
      <c r="C52" s="56" t="s">
        <v>4</v>
      </c>
      <c r="D52" s="57" t="n">
        <f aca="false">SUMIFS(Entrada!$G$2:$G$202,Entrada!$B$2:$B$202,$A52,Entrada!$C$2:$C$202,$B52,Entrada!$K$2:$K$202,"Recebido no 2008")</f>
        <v>0</v>
      </c>
      <c r="E52" s="57" t="n">
        <f aca="false">SUMIFS(Entrada!$L$2:$L$202,Entrada!$B$2:$B$202,$A52,Entrada!$C$2:$C$202,$B52)</f>
        <v>648</v>
      </c>
      <c r="F52" s="57" t="n">
        <f aca="false">SUMIFS(Saida!$R$2:$R$406,Saida!$B$2:$B$406,$A52,Saida!$C$2:$C$406,$B52)</f>
        <v>54</v>
      </c>
      <c r="G52" s="57" t="n">
        <f aca="false">E52-F52</f>
        <v>594</v>
      </c>
      <c r="H52" s="57" t="n">
        <f aca="false">SUMIFS('Estoque físico'!$J$2:$J$229,'Estoque físico'!$A$2:$A$229,$A52,'Estoque físico'!$B$2:$B$229,$B52)</f>
        <v>594</v>
      </c>
      <c r="I52" s="72" t="n">
        <f aca="false">ROUND(H52-G52,3)</f>
        <v>0</v>
      </c>
      <c r="J52" s="56" t="str">
        <f aca="false">IF(ABS(I52)&lt;=Resumo!$C$7,"OK",IF(I52&gt;0,"Sobra no estoque","Falta no estoque"))</f>
        <v>OK</v>
      </c>
      <c r="K52" s="56" t="str">
        <f aca="false">IF(J52="OK","",IF(AND(E52=0,F52=0),"Estoque sem movimento no período",IF(G52&lt;0,"Saídas maiores que entradas – estoque anterior ao período?",IF(H52=0,"Saldo calculado sem estoque físico – verificar",IF(I52&gt;0,"Estoque acima do esperado – saldo anterior ou entrada não listada","Estoque abaixo do esperado – saída/ajuste não listado")))))</f>
        <v/>
      </c>
      <c r="L52" s="57" t="str">
        <f aca="false">IF(D52=0,"",D52-E52)</f>
        <v/>
      </c>
    </row>
    <row r="53" customFormat="false" ht="15" hidden="false" customHeight="false" outlineLevel="0" collapsed="false">
      <c r="A53" s="56" t="s">
        <v>57</v>
      </c>
      <c r="B53" s="56" t="s">
        <v>101</v>
      </c>
      <c r="C53" s="56" t="s">
        <v>4</v>
      </c>
      <c r="D53" s="57" t="n">
        <f aca="false">SUMIFS(Entrada!$G$2:$G$202,Entrada!$B$2:$B$202,$A53,Entrada!$C$2:$C$202,$B53,Entrada!$K$2:$K$202,"Recebido no 2008")</f>
        <v>2400</v>
      </c>
      <c r="E53" s="57" t="n">
        <f aca="false">SUMIFS(Entrada!$L$2:$L$202,Entrada!$B$2:$B$202,$A53,Entrada!$C$2:$C$202,$B53)</f>
        <v>0</v>
      </c>
      <c r="F53" s="57" t="n">
        <f aca="false">SUMIFS(Saida!$R$2:$R$406,Saida!$B$2:$B$406,$A53,Saida!$C$2:$C$406,$B53)</f>
        <v>0</v>
      </c>
      <c r="G53" s="57" t="n">
        <f aca="false">E53-F53</f>
        <v>0</v>
      </c>
      <c r="H53" s="57" t="n">
        <f aca="false">SUMIFS('Estoque físico'!$J$2:$J$229,'Estoque físico'!$A$2:$A$229,$A53,'Estoque físico'!$B$2:$B$229,$B53)</f>
        <v>0</v>
      </c>
      <c r="I53" s="72" t="n">
        <f aca="false">ROUND(H53-G53,3)</f>
        <v>0</v>
      </c>
      <c r="J53" s="56" t="str">
        <f aca="false">IF(ABS(I53)&lt;=Resumo!$C$7,"OK",IF(I53&gt;0,"Sobra no estoque","Falta no estoque"))</f>
        <v>OK</v>
      </c>
      <c r="K53" s="56" t="str">
        <f aca="false">IF(J53="OK","",IF(AND(E53=0,F53=0),"Estoque sem movimento no período",IF(G53&lt;0,"Saídas maiores que entradas – estoque anterior ao período?",IF(H53=0,"Saldo calculado sem estoque físico – verificar",IF(I53&gt;0,"Estoque acima do esperado – saldo anterior ou entrada não listada","Estoque abaixo do esperado – saída/ajuste não listado")))))</f>
        <v/>
      </c>
      <c r="L53" s="57" t="n">
        <f aca="false">IF(D53=0,"",D53-E53)</f>
        <v>2400</v>
      </c>
    </row>
    <row r="54" customFormat="false" ht="15" hidden="false" customHeight="false" outlineLevel="0" collapsed="false">
      <c r="A54" s="56" t="s">
        <v>59</v>
      </c>
      <c r="B54" s="56" t="s">
        <v>103</v>
      </c>
      <c r="C54" s="56" t="s">
        <v>4</v>
      </c>
      <c r="D54" s="57" t="n">
        <f aca="false">SUMIFS(Entrada!$G$2:$G$202,Entrada!$B$2:$B$202,$A54,Entrada!$C$2:$C$202,$B54,Entrada!$K$2:$K$202,"Recebido no 2008")</f>
        <v>798</v>
      </c>
      <c r="E54" s="57" t="n">
        <f aca="false">SUMIFS(Entrada!$L$2:$L$202,Entrada!$B$2:$B$202,$A54,Entrada!$C$2:$C$202,$B54)</f>
        <v>0</v>
      </c>
      <c r="F54" s="57" t="n">
        <f aca="false">SUMIFS(Saida!$R$2:$R$406,Saida!$B$2:$B$406,$A54,Saida!$C$2:$C$406,$B54)</f>
        <v>0</v>
      </c>
      <c r="G54" s="57" t="n">
        <f aca="false">E54-F54</f>
        <v>0</v>
      </c>
      <c r="H54" s="57" t="n">
        <f aca="false">SUMIFS('Estoque físico'!$J$2:$J$229,'Estoque físico'!$A$2:$A$229,$A54,'Estoque físico'!$B$2:$B$229,$B54)</f>
        <v>0</v>
      </c>
      <c r="I54" s="72" t="n">
        <f aca="false">ROUND(H54-G54,3)</f>
        <v>0</v>
      </c>
      <c r="J54" s="56" t="str">
        <f aca="false">IF(ABS(I54)&lt;=Resumo!$C$7,"OK",IF(I54&gt;0,"Sobra no estoque","Falta no estoque"))</f>
        <v>OK</v>
      </c>
      <c r="K54" s="56" t="str">
        <f aca="false">IF(J54="OK","",IF(AND(E54=0,F54=0),"Estoque sem movimento no período",IF(G54&lt;0,"Saídas maiores que entradas – estoque anterior ao período?",IF(H54=0,"Saldo calculado sem estoque físico – verificar",IF(I54&gt;0,"Estoque acima do esperado – saldo anterior ou entrada não listada","Estoque abaixo do esperado – saída/ajuste não listado")))))</f>
        <v/>
      </c>
      <c r="L54" s="57" t="n">
        <f aca="false">IF(D54=0,"",D54-E54)</f>
        <v>798</v>
      </c>
    </row>
    <row r="55" customFormat="false" ht="15" hidden="false" customHeight="false" outlineLevel="0" collapsed="false">
      <c r="A55" s="56" t="s">
        <v>59</v>
      </c>
      <c r="B55" s="56" t="s">
        <v>105</v>
      </c>
      <c r="C55" s="56" t="s">
        <v>4</v>
      </c>
      <c r="D55" s="57" t="n">
        <f aca="false">SUMIFS(Entrada!$G$2:$G$202,Entrada!$B$2:$B$202,$A55,Entrada!$C$2:$C$202,$B55,Entrada!$K$2:$K$202,"Recebido no 2008")</f>
        <v>1122</v>
      </c>
      <c r="E55" s="57" t="n">
        <f aca="false">SUMIFS(Entrada!$L$2:$L$202,Entrada!$B$2:$B$202,$A55,Entrada!$C$2:$C$202,$B55)</f>
        <v>0</v>
      </c>
      <c r="F55" s="57" t="n">
        <f aca="false">SUMIFS(Saida!$R$2:$R$406,Saida!$B$2:$B$406,$A55,Saida!$C$2:$C$406,$B55)</f>
        <v>0</v>
      </c>
      <c r="G55" s="57" t="n">
        <f aca="false">E55-F55</f>
        <v>0</v>
      </c>
      <c r="H55" s="57" t="n">
        <f aca="false">SUMIFS('Estoque físico'!$J$2:$J$229,'Estoque físico'!$A$2:$A$229,$A55,'Estoque físico'!$B$2:$B$229,$B55)</f>
        <v>0</v>
      </c>
      <c r="I55" s="72" t="n">
        <f aca="false">ROUND(H55-G55,3)</f>
        <v>0</v>
      </c>
      <c r="J55" s="56" t="str">
        <f aca="false">IF(ABS(I55)&lt;=Resumo!$C$7,"OK",IF(I55&gt;0,"Sobra no estoque","Falta no estoque"))</f>
        <v>OK</v>
      </c>
      <c r="K55" s="56" t="str">
        <f aca="false">IF(J55="OK","",IF(AND(E55=0,F55=0),"Estoque sem movimento no período",IF(G55&lt;0,"Saídas maiores que entradas – estoque anterior ao período?",IF(H55=0,"Saldo calculado sem estoque físico – verificar",IF(I55&gt;0,"Estoque acima do esperado – saldo anterior ou entrada não listada","Estoque abaixo do esperado – saída/ajuste não listado")))))</f>
        <v/>
      </c>
      <c r="L55" s="57" t="n">
        <f aca="false">IF(D55=0,"",D55-E55)</f>
        <v>1122</v>
      </c>
    </row>
    <row r="56" customFormat="false" ht="15" hidden="false" customHeight="false" outlineLevel="0" collapsed="false">
      <c r="A56" s="56" t="s">
        <v>63</v>
      </c>
      <c r="B56" s="56" t="s">
        <v>109</v>
      </c>
      <c r="C56" s="56" t="s">
        <v>4</v>
      </c>
      <c r="D56" s="57" t="n">
        <f aca="false">SUMIFS(Entrada!$G$2:$G$202,Entrada!$B$2:$B$202,$A56,Entrada!$C$2:$C$202,$B56,Entrada!$K$2:$K$202,"Recebido no 2008")</f>
        <v>0</v>
      </c>
      <c r="E56" s="57" t="n">
        <f aca="false">SUMIFS(Entrada!$L$2:$L$202,Entrada!$B$2:$B$202,$A56,Entrada!$C$2:$C$202,$B56)</f>
        <v>81.6</v>
      </c>
      <c r="F56" s="57" t="n">
        <f aca="false">SUMIFS(Saida!$R$2:$R$406,Saida!$B$2:$B$406,$A56,Saida!$C$2:$C$406,$B56)</f>
        <v>0</v>
      </c>
      <c r="G56" s="57" t="n">
        <f aca="false">E56-F56</f>
        <v>81.6</v>
      </c>
      <c r="H56" s="57" t="n">
        <f aca="false">SUMIFS('Estoque físico'!$J$2:$J$229,'Estoque físico'!$A$2:$A$229,$A56,'Estoque físico'!$B$2:$B$229,$B56)</f>
        <v>81.6</v>
      </c>
      <c r="I56" s="72" t="n">
        <f aca="false">ROUND(H56-G56,3)</f>
        <v>0</v>
      </c>
      <c r="J56" s="56" t="str">
        <f aca="false">IF(ABS(I56)&lt;=Resumo!$C$7,"OK",IF(I56&gt;0,"Sobra no estoque","Falta no estoque"))</f>
        <v>OK</v>
      </c>
      <c r="K56" s="56" t="str">
        <f aca="false">IF(J56="OK","",IF(AND(E56=0,F56=0),"Estoque sem movimento no período",IF(G56&lt;0,"Saídas maiores que entradas – estoque anterior ao período?",IF(H56=0,"Saldo calculado sem estoque físico – verificar",IF(I56&gt;0,"Estoque acima do esperado – saldo anterior ou entrada não listada","Estoque abaixo do esperado – saída/ajuste não listado")))))</f>
        <v/>
      </c>
      <c r="L56" s="57" t="str">
        <f aca="false">IF(D56=0,"",D56-E56)</f>
        <v/>
      </c>
    </row>
    <row r="57" customFormat="false" ht="15" hidden="false" customHeight="false" outlineLevel="0" collapsed="false">
      <c r="A57" s="56" t="s">
        <v>65</v>
      </c>
      <c r="B57" s="56" t="s">
        <v>111</v>
      </c>
      <c r="C57" s="56" t="s">
        <v>4</v>
      </c>
      <c r="D57" s="57" t="n">
        <f aca="false">SUMIFS(Entrada!$G$2:$G$202,Entrada!$B$2:$B$202,$A57,Entrada!$C$2:$C$202,$B57,Entrada!$K$2:$K$202,"Recebido no 2008")</f>
        <v>1296</v>
      </c>
      <c r="E57" s="57" t="n">
        <f aca="false">SUMIFS(Entrada!$L$2:$L$202,Entrada!$B$2:$B$202,$A57,Entrada!$C$2:$C$202,$B57)</f>
        <v>0</v>
      </c>
      <c r="F57" s="57" t="n">
        <f aca="false">SUMIFS(Saida!$R$2:$R$406,Saida!$B$2:$B$406,$A57,Saida!$C$2:$C$406,$B57)</f>
        <v>0</v>
      </c>
      <c r="G57" s="57" t="n">
        <f aca="false">E57-F57</f>
        <v>0</v>
      </c>
      <c r="H57" s="57" t="n">
        <f aca="false">SUMIFS('Estoque físico'!$J$2:$J$229,'Estoque físico'!$A$2:$A$229,$A57,'Estoque físico'!$B$2:$B$229,$B57)</f>
        <v>0</v>
      </c>
      <c r="I57" s="72" t="n">
        <f aca="false">ROUND(H57-G57,3)</f>
        <v>0</v>
      </c>
      <c r="J57" s="56" t="str">
        <f aca="false">IF(ABS(I57)&lt;=Resumo!$C$7,"OK",IF(I57&gt;0,"Sobra no estoque","Falta no estoque"))</f>
        <v>OK</v>
      </c>
      <c r="K57" s="56" t="str">
        <f aca="false">IF(J57="OK","",IF(AND(E57=0,F57=0),"Estoque sem movimento no período",IF(G57&lt;0,"Saídas maiores que entradas – estoque anterior ao período?",IF(H57=0,"Saldo calculado sem estoque físico – verificar",IF(I57&gt;0,"Estoque acima do esperado – saldo anterior ou entrada não listada","Estoque abaixo do esperado – saída/ajuste não listado")))))</f>
        <v/>
      </c>
      <c r="L57" s="57" t="n">
        <f aca="false">IF(D57=0,"",D57-E57)</f>
        <v>1296</v>
      </c>
    </row>
    <row r="58" customFormat="false" ht="15" hidden="false" customHeight="false" outlineLevel="0" collapsed="false">
      <c r="A58" s="56" t="s">
        <v>67</v>
      </c>
      <c r="B58" s="56" t="s">
        <v>118</v>
      </c>
      <c r="C58" s="56" t="s">
        <v>4</v>
      </c>
      <c r="D58" s="57" t="n">
        <f aca="false">SUMIFS(Entrada!$G$2:$G$202,Entrada!$B$2:$B$202,$A58,Entrada!$C$2:$C$202,$B58,Entrada!$K$2:$K$202,"Recebido no 2008")</f>
        <v>1280</v>
      </c>
      <c r="E58" s="57" t="n">
        <f aca="false">SUMIFS(Entrada!$L$2:$L$202,Entrada!$B$2:$B$202,$A58,Entrada!$C$2:$C$202,$B58)</f>
        <v>0</v>
      </c>
      <c r="F58" s="57" t="n">
        <f aca="false">SUMIFS(Saida!$R$2:$R$406,Saida!$B$2:$B$406,$A58,Saida!$C$2:$C$406,$B58)</f>
        <v>0</v>
      </c>
      <c r="G58" s="57" t="n">
        <f aca="false">E58-F58</f>
        <v>0</v>
      </c>
      <c r="H58" s="57" t="n">
        <f aca="false">SUMIFS('Estoque físico'!$J$2:$J$229,'Estoque físico'!$A$2:$A$229,$A58,'Estoque físico'!$B$2:$B$229,$B58)</f>
        <v>0</v>
      </c>
      <c r="I58" s="72" t="n">
        <f aca="false">ROUND(H58-G58,3)</f>
        <v>0</v>
      </c>
      <c r="J58" s="56" t="str">
        <f aca="false">IF(ABS(I58)&lt;=Resumo!$C$7,"OK",IF(I58&gt;0,"Sobra no estoque","Falta no estoque"))</f>
        <v>OK</v>
      </c>
      <c r="K58" s="56" t="str">
        <f aca="false">IF(J58="OK","",IF(AND(E58=0,F58=0),"Estoque sem movimento no período",IF(G58&lt;0,"Saídas maiores que entradas – estoque anterior ao período?",IF(H58=0,"Saldo calculado sem estoque físico – verificar",IF(I58&gt;0,"Estoque acima do esperado – saldo anterior ou entrada não listada","Estoque abaixo do esperado – saída/ajuste não listado")))))</f>
        <v/>
      </c>
      <c r="L58" s="57" t="n">
        <f aca="false">IF(D58=0,"",D58-E58)</f>
        <v>1280</v>
      </c>
    </row>
    <row r="59" customFormat="false" ht="15" hidden="false" customHeight="false" outlineLevel="0" collapsed="false">
      <c r="A59" s="56" t="s">
        <v>69</v>
      </c>
      <c r="B59" s="56" t="s">
        <v>123</v>
      </c>
      <c r="C59" s="56" t="s">
        <v>4</v>
      </c>
      <c r="D59" s="57" t="n">
        <f aca="false">SUMIFS(Entrada!$G$2:$G$202,Entrada!$B$2:$B$202,$A59,Entrada!$C$2:$C$202,$B59,Entrada!$K$2:$K$202,"Recebido no 2008")</f>
        <v>160.8</v>
      </c>
      <c r="E59" s="57" t="n">
        <f aca="false">SUMIFS(Entrada!$L$2:$L$202,Entrada!$B$2:$B$202,$A59,Entrada!$C$2:$C$202,$B59)</f>
        <v>0</v>
      </c>
      <c r="F59" s="57" t="n">
        <f aca="false">SUMIFS(Saida!$R$2:$R$406,Saida!$B$2:$B$406,$A59,Saida!$C$2:$C$406,$B59)</f>
        <v>0</v>
      </c>
      <c r="G59" s="57" t="n">
        <f aca="false">E59-F59</f>
        <v>0</v>
      </c>
      <c r="H59" s="57" t="n">
        <f aca="false">SUMIFS('Estoque físico'!$J$2:$J$229,'Estoque físico'!$A$2:$A$229,$A59,'Estoque físico'!$B$2:$B$229,$B59)</f>
        <v>0</v>
      </c>
      <c r="I59" s="72" t="n">
        <f aca="false">ROUND(H59-G59,3)</f>
        <v>0</v>
      </c>
      <c r="J59" s="56" t="str">
        <f aca="false">IF(ABS(I59)&lt;=Resumo!$C$7,"OK",IF(I59&gt;0,"Sobra no estoque","Falta no estoque"))</f>
        <v>OK</v>
      </c>
      <c r="K59" s="56" t="str">
        <f aca="false">IF(J59="OK","",IF(AND(E59=0,F59=0),"Estoque sem movimento no período",IF(G59&lt;0,"Saídas maiores que entradas – estoque anterior ao período?",IF(H59=0,"Saldo calculado sem estoque físico – verificar",IF(I59&gt;0,"Estoque acima do esperado – saldo anterior ou entrada não listada","Estoque abaixo do esperado – saída/ajuste não listado")))))</f>
        <v/>
      </c>
      <c r="L59" s="57" t="n">
        <f aca="false">IF(D59=0,"",D59-E59)</f>
        <v>160.8</v>
      </c>
    </row>
    <row r="60" customFormat="false" ht="15" hidden="false" customHeight="false" outlineLevel="0" collapsed="false">
      <c r="A60" s="56" t="s">
        <v>73</v>
      </c>
      <c r="B60" s="56" t="s">
        <v>140</v>
      </c>
      <c r="C60" s="56" t="s">
        <v>4</v>
      </c>
      <c r="D60" s="57" t="n">
        <f aca="false">SUMIFS(Entrada!$G$2:$G$202,Entrada!$B$2:$B$202,$A60,Entrada!$C$2:$C$202,$B60,Entrada!$K$2:$K$202,"Recebido no 2008")</f>
        <v>640</v>
      </c>
      <c r="E60" s="57" t="n">
        <f aca="false">SUMIFS(Entrada!$L$2:$L$202,Entrada!$B$2:$B$202,$A60,Entrada!$C$2:$C$202,$B60)</f>
        <v>0</v>
      </c>
      <c r="F60" s="57" t="n">
        <f aca="false">SUMIFS(Saida!$R$2:$R$406,Saida!$B$2:$B$406,$A60,Saida!$C$2:$C$406,$B60)</f>
        <v>0</v>
      </c>
      <c r="G60" s="57" t="n">
        <f aca="false">E60-F60</f>
        <v>0</v>
      </c>
      <c r="H60" s="57" t="n">
        <f aca="false">SUMIFS('Estoque físico'!$J$2:$J$229,'Estoque físico'!$A$2:$A$229,$A60,'Estoque físico'!$B$2:$B$229,$B60)</f>
        <v>0</v>
      </c>
      <c r="I60" s="72" t="n">
        <f aca="false">ROUND(H60-G60,3)</f>
        <v>0</v>
      </c>
      <c r="J60" s="56" t="str">
        <f aca="false">IF(ABS(I60)&lt;=Resumo!$C$7,"OK",IF(I60&gt;0,"Sobra no estoque","Falta no estoque"))</f>
        <v>OK</v>
      </c>
      <c r="K60" s="56" t="str">
        <f aca="false">IF(J60="OK","",IF(AND(E60=0,F60=0),"Estoque sem movimento no período",IF(G60&lt;0,"Saídas maiores que entradas – estoque anterior ao período?",IF(H60=0,"Saldo calculado sem estoque físico – verificar",IF(I60&gt;0,"Estoque acima do esperado – saldo anterior ou entrada não listada","Estoque abaixo do esperado – saída/ajuste não listado")))))</f>
        <v/>
      </c>
      <c r="L60" s="57" t="n">
        <f aca="false">IF(D60=0,"",D60-E60)</f>
        <v>640</v>
      </c>
    </row>
    <row r="61" customFormat="false" ht="15" hidden="false" customHeight="false" outlineLevel="0" collapsed="false">
      <c r="A61" s="56" t="s">
        <v>79</v>
      </c>
      <c r="B61" s="56" t="s">
        <v>152</v>
      </c>
      <c r="C61" s="56" t="s">
        <v>4</v>
      </c>
      <c r="D61" s="57" t="n">
        <f aca="false">SUMIFS(Entrada!$G$2:$G$202,Entrada!$B$2:$B$202,$A61,Entrada!$C$2:$C$202,$B61,Entrada!$K$2:$K$202,"Recebido no 2008")</f>
        <v>384</v>
      </c>
      <c r="E61" s="57" t="n">
        <f aca="false">SUMIFS(Entrada!$L$2:$L$202,Entrada!$B$2:$B$202,$A61,Entrada!$C$2:$C$202,$B61)</f>
        <v>0</v>
      </c>
      <c r="F61" s="57" t="n">
        <f aca="false">SUMIFS(Saida!$R$2:$R$406,Saida!$B$2:$B$406,$A61,Saida!$C$2:$C$406,$B61)</f>
        <v>0</v>
      </c>
      <c r="G61" s="57" t="n">
        <f aca="false">E61-F61</f>
        <v>0</v>
      </c>
      <c r="H61" s="57" t="n">
        <f aca="false">SUMIFS('Estoque físico'!$J$2:$J$229,'Estoque físico'!$A$2:$A$229,$A61,'Estoque físico'!$B$2:$B$229,$B61)</f>
        <v>0</v>
      </c>
      <c r="I61" s="72" t="n">
        <f aca="false">ROUND(H61-G61,3)</f>
        <v>0</v>
      </c>
      <c r="J61" s="56" t="str">
        <f aca="false">IF(ABS(I61)&lt;=Resumo!$C$7,"OK",IF(I61&gt;0,"Sobra no estoque","Falta no estoque"))</f>
        <v>OK</v>
      </c>
      <c r="K61" s="56" t="str">
        <f aca="false">IF(J61="OK","",IF(AND(E61=0,F61=0),"Estoque sem movimento no período",IF(G61&lt;0,"Saídas maiores que entradas – estoque anterior ao período?",IF(H61=0,"Saldo calculado sem estoque físico – verificar",IF(I61&gt;0,"Estoque acima do esperado – saldo anterior ou entrada não listada","Estoque abaixo do esperado – saída/ajuste não listado")))))</f>
        <v/>
      </c>
      <c r="L61" s="57" t="n">
        <f aca="false">IF(D61=0,"",D61-E61)</f>
        <v>384</v>
      </c>
    </row>
    <row r="62" customFormat="false" ht="15" hidden="false" customHeight="false" outlineLevel="0" collapsed="false">
      <c r="A62" s="56" t="s">
        <v>81</v>
      </c>
      <c r="B62" s="56" t="s">
        <v>30</v>
      </c>
      <c r="C62" s="56" t="s">
        <v>4</v>
      </c>
      <c r="D62" s="57" t="n">
        <f aca="false">SUMIFS(Entrada!$G$2:$G$202,Entrada!$B$2:$B$202,$A62,Entrada!$C$2:$C$202,$B62,Entrada!$K$2:$K$202,"Recebido no 2008")</f>
        <v>0</v>
      </c>
      <c r="E62" s="57" t="n">
        <f aca="false">SUMIFS(Entrada!$L$2:$L$202,Entrada!$B$2:$B$202,$A62,Entrada!$C$2:$C$202,$B62)</f>
        <v>288</v>
      </c>
      <c r="F62" s="57" t="n">
        <f aca="false">SUMIFS(Saida!$R$2:$R$406,Saida!$B$2:$B$406,$A62,Saida!$C$2:$C$406,$B62)</f>
        <v>0</v>
      </c>
      <c r="G62" s="57" t="n">
        <f aca="false">E62-F62</f>
        <v>288</v>
      </c>
      <c r="H62" s="57" t="n">
        <f aca="false">SUMIFS('Estoque físico'!$J$2:$J$229,'Estoque físico'!$A$2:$A$229,$A62,'Estoque físico'!$B$2:$B$229,$B62)</f>
        <v>288</v>
      </c>
      <c r="I62" s="72" t="n">
        <f aca="false">ROUND(H62-G62,3)</f>
        <v>0</v>
      </c>
      <c r="J62" s="56" t="str">
        <f aca="false">IF(ABS(I62)&lt;=Resumo!$C$7,"OK",IF(I62&gt;0,"Sobra no estoque","Falta no estoque"))</f>
        <v>OK</v>
      </c>
      <c r="K62" s="56" t="str">
        <f aca="false">IF(J62="OK","",IF(AND(E62=0,F62=0),"Estoque sem movimento no período",IF(G62&lt;0,"Saídas maiores que entradas – estoque anterior ao período?",IF(H62=0,"Saldo calculado sem estoque físico – verificar",IF(I62&gt;0,"Estoque acima do esperado – saldo anterior ou entrada não listada","Estoque abaixo do esperado – saída/ajuste não listado")))))</f>
        <v/>
      </c>
      <c r="L62" s="57" t="str">
        <f aca="false">IF(D62=0,"",D62-E62)</f>
        <v/>
      </c>
    </row>
    <row r="63" customFormat="false" ht="15" hidden="false" customHeight="false" outlineLevel="0" collapsed="false">
      <c r="A63" s="56" t="s">
        <v>83</v>
      </c>
      <c r="B63" s="56" t="s">
        <v>161</v>
      </c>
      <c r="C63" s="56" t="s">
        <v>4</v>
      </c>
      <c r="D63" s="57" t="n">
        <f aca="false">SUMIFS(Entrada!$G$2:$G$202,Entrada!$B$2:$B$202,$A63,Entrada!$C$2:$C$202,$B63,Entrada!$K$2:$K$202,"Recebido no 2008")</f>
        <v>1300</v>
      </c>
      <c r="E63" s="57" t="n">
        <f aca="false">SUMIFS(Entrada!$L$2:$L$202,Entrada!$B$2:$B$202,$A63,Entrada!$C$2:$C$202,$B63)</f>
        <v>0</v>
      </c>
      <c r="F63" s="57" t="n">
        <f aca="false">SUMIFS(Saida!$R$2:$R$406,Saida!$B$2:$B$406,$A63,Saida!$C$2:$C$406,$B63)</f>
        <v>0</v>
      </c>
      <c r="G63" s="57" t="n">
        <f aca="false">E63-F63</f>
        <v>0</v>
      </c>
      <c r="H63" s="57" t="n">
        <f aca="false">SUMIFS('Estoque físico'!$J$2:$J$229,'Estoque físico'!$A$2:$A$229,$A63,'Estoque físico'!$B$2:$B$229,$B63)</f>
        <v>0</v>
      </c>
      <c r="I63" s="72" t="n">
        <f aca="false">ROUND(H63-G63,3)</f>
        <v>0</v>
      </c>
      <c r="J63" s="56" t="str">
        <f aca="false">IF(ABS(I63)&lt;=Resumo!$C$7,"OK",IF(I63&gt;0,"Sobra no estoque","Falta no estoque"))</f>
        <v>OK</v>
      </c>
      <c r="K63" s="56" t="str">
        <f aca="false">IF(J63="OK","",IF(AND(E63=0,F63=0),"Estoque sem movimento no período",IF(G63&lt;0,"Saídas maiores que entradas – estoque anterior ao período?",IF(H63=0,"Saldo calculado sem estoque físico – verificar",IF(I63&gt;0,"Estoque acima do esperado – saldo anterior ou entrada não listada","Estoque abaixo do esperado – saída/ajuste não listado")))))</f>
        <v/>
      </c>
      <c r="L63" s="57" t="n">
        <f aca="false">IF(D63=0,"",D63-E63)</f>
        <v>1300</v>
      </c>
    </row>
    <row r="64" customFormat="false" ht="15" hidden="false" customHeight="false" outlineLevel="0" collapsed="false">
      <c r="A64" s="56" t="s">
        <v>83</v>
      </c>
      <c r="B64" s="56" t="s">
        <v>164</v>
      </c>
      <c r="C64" s="56" t="s">
        <v>4</v>
      </c>
      <c r="D64" s="57" t="n">
        <f aca="false">SUMIFS(Entrada!$G$2:$G$202,Entrada!$B$2:$B$202,$A64,Entrada!$C$2:$C$202,$B64,Entrada!$K$2:$K$202,"Recebido no 2008")</f>
        <v>2900</v>
      </c>
      <c r="E64" s="57" t="n">
        <f aca="false">SUMIFS(Entrada!$L$2:$L$202,Entrada!$B$2:$B$202,$A64,Entrada!$C$2:$C$202,$B64)</f>
        <v>0</v>
      </c>
      <c r="F64" s="57" t="n">
        <f aca="false">SUMIFS(Saida!$R$2:$R$406,Saida!$B$2:$B$406,$A64,Saida!$C$2:$C$406,$B64)</f>
        <v>0</v>
      </c>
      <c r="G64" s="57" t="n">
        <f aca="false">E64-F64</f>
        <v>0</v>
      </c>
      <c r="H64" s="57" t="n">
        <f aca="false">SUMIFS('Estoque físico'!$J$2:$J$229,'Estoque físico'!$A$2:$A$229,$A64,'Estoque físico'!$B$2:$B$229,$B64)</f>
        <v>0</v>
      </c>
      <c r="I64" s="72" t="n">
        <f aca="false">ROUND(H64-G64,3)</f>
        <v>0</v>
      </c>
      <c r="J64" s="56" t="str">
        <f aca="false">IF(ABS(I64)&lt;=Resumo!$C$7,"OK",IF(I64&gt;0,"Sobra no estoque","Falta no estoque"))</f>
        <v>OK</v>
      </c>
      <c r="K64" s="56" t="str">
        <f aca="false">IF(J64="OK","",IF(AND(E64=0,F64=0),"Estoque sem movimento no período",IF(G64&lt;0,"Saídas maiores que entradas – estoque anterior ao período?",IF(H64=0,"Saldo calculado sem estoque físico – verificar",IF(I64&gt;0,"Estoque acima do esperado – saldo anterior ou entrada não listada","Estoque abaixo do esperado – saída/ajuste não listado")))))</f>
        <v/>
      </c>
      <c r="L64" s="57" t="n">
        <f aca="false">IF(D64=0,"",D64-E64)</f>
        <v>2900</v>
      </c>
    </row>
    <row r="65" customFormat="false" ht="15" hidden="false" customHeight="false" outlineLevel="0" collapsed="false">
      <c r="A65" s="56" t="s">
        <v>85</v>
      </c>
      <c r="B65" s="56" t="s">
        <v>168</v>
      </c>
      <c r="C65" s="56" t="s">
        <v>4</v>
      </c>
      <c r="D65" s="57" t="n">
        <f aca="false">SUMIFS(Entrada!$G$2:$G$202,Entrada!$B$2:$B$202,$A65,Entrada!$C$2:$C$202,$B65,Entrada!$K$2:$K$202,"Recebido no 2008")</f>
        <v>0</v>
      </c>
      <c r="E65" s="57" t="n">
        <f aca="false">SUMIFS(Entrada!$L$2:$L$202,Entrada!$B$2:$B$202,$A65,Entrada!$C$2:$C$202,$B65)</f>
        <v>108.8</v>
      </c>
      <c r="F65" s="57" t="n">
        <f aca="false">SUMIFS(Saida!$R$2:$R$406,Saida!$B$2:$B$406,$A65,Saida!$C$2:$C$406,$B65)</f>
        <v>0</v>
      </c>
      <c r="G65" s="57" t="n">
        <f aca="false">E65-F65</f>
        <v>108.8</v>
      </c>
      <c r="H65" s="57" t="n">
        <f aca="false">SUMIFS('Estoque físico'!$J$2:$J$229,'Estoque físico'!$A$2:$A$229,$A65,'Estoque físico'!$B$2:$B$229,$B65)</f>
        <v>108.8</v>
      </c>
      <c r="I65" s="72" t="n">
        <f aca="false">ROUND(H65-G65,3)</f>
        <v>0</v>
      </c>
      <c r="J65" s="56" t="str">
        <f aca="false">IF(ABS(I65)&lt;=Resumo!$C$7,"OK",IF(I65&gt;0,"Sobra no estoque","Falta no estoque"))</f>
        <v>OK</v>
      </c>
      <c r="K65" s="56" t="str">
        <f aca="false">IF(J65="OK","",IF(AND(E65=0,F65=0),"Estoque sem movimento no período",IF(G65&lt;0,"Saídas maiores que entradas – estoque anterior ao período?",IF(H65=0,"Saldo calculado sem estoque físico – verificar",IF(I65&gt;0,"Estoque acima do esperado – saldo anterior ou entrada não listada","Estoque abaixo do esperado – saída/ajuste não listado")))))</f>
        <v/>
      </c>
      <c r="L65" s="57" t="str">
        <f aca="false">IF(D65=0,"",D65-E65)</f>
        <v/>
      </c>
    </row>
    <row r="66" customFormat="false" ht="15" hidden="false" customHeight="false" outlineLevel="0" collapsed="false">
      <c r="A66" s="56" t="s">
        <v>85</v>
      </c>
      <c r="B66" s="56" t="s">
        <v>170</v>
      </c>
      <c r="C66" s="56" t="s">
        <v>4</v>
      </c>
      <c r="D66" s="57" t="n">
        <f aca="false">SUMIFS(Entrada!$G$2:$G$202,Entrada!$B$2:$B$202,$A66,Entrada!$C$2:$C$202,$B66,Entrada!$K$2:$K$202,"Recebido no 2008")</f>
        <v>0</v>
      </c>
      <c r="E66" s="57" t="n">
        <f aca="false">SUMIFS(Entrada!$L$2:$L$202,Entrada!$B$2:$B$202,$A66,Entrada!$C$2:$C$202,$B66)</f>
        <v>195.84</v>
      </c>
      <c r="F66" s="57" t="n">
        <f aca="false">SUMIFS(Saida!$R$2:$R$406,Saida!$B$2:$B$406,$A66,Saida!$C$2:$C$406,$B66)</f>
        <v>0</v>
      </c>
      <c r="G66" s="57" t="n">
        <f aca="false">E66-F66</f>
        <v>195.84</v>
      </c>
      <c r="H66" s="57" t="n">
        <f aca="false">SUMIFS('Estoque físico'!$J$2:$J$229,'Estoque físico'!$A$2:$A$229,$A66,'Estoque físico'!$B$2:$B$229,$B66)</f>
        <v>195.84</v>
      </c>
      <c r="I66" s="72" t="n">
        <f aca="false">ROUND(H66-G66,3)</f>
        <v>0</v>
      </c>
      <c r="J66" s="56" t="str">
        <f aca="false">IF(ABS(I66)&lt;=Resumo!$C$7,"OK",IF(I66&gt;0,"Sobra no estoque","Falta no estoque"))</f>
        <v>OK</v>
      </c>
      <c r="K66" s="56" t="str">
        <f aca="false">IF(J66="OK","",IF(AND(E66=0,F66=0),"Estoque sem movimento no período",IF(G66&lt;0,"Saídas maiores que entradas – estoque anterior ao período?",IF(H66=0,"Saldo calculado sem estoque físico – verificar",IF(I66&gt;0,"Estoque acima do esperado – saldo anterior ou entrada não listada","Estoque abaixo do esperado – saída/ajuste não listado")))))</f>
        <v/>
      </c>
      <c r="L66" s="57" t="str">
        <f aca="false">IF(D66=0,"",D66-E66)</f>
        <v/>
      </c>
    </row>
    <row r="67" customFormat="false" ht="15" hidden="false" customHeight="false" outlineLevel="0" collapsed="false">
      <c r="A67" s="56" t="s">
        <v>85</v>
      </c>
      <c r="B67" s="56" t="s">
        <v>172</v>
      </c>
      <c r="C67" s="56" t="s">
        <v>4</v>
      </c>
      <c r="D67" s="57" t="n">
        <f aca="false">SUMIFS(Entrada!$G$2:$G$202,Entrada!$B$2:$B$202,$A67,Entrada!$C$2:$C$202,$B67,Entrada!$K$2:$K$202,"Recebido no 2008")</f>
        <v>0</v>
      </c>
      <c r="E67" s="57" t="n">
        <f aca="false">SUMIFS(Entrada!$L$2:$L$202,Entrada!$B$2:$B$202,$A67,Entrada!$C$2:$C$202,$B67)</f>
        <v>295.12</v>
      </c>
      <c r="F67" s="57" t="n">
        <f aca="false">SUMIFS(Saida!$R$2:$R$406,Saida!$B$2:$B$406,$A67,Saida!$C$2:$C$406,$B67)</f>
        <v>0</v>
      </c>
      <c r="G67" s="57" t="n">
        <f aca="false">E67-F67</f>
        <v>295.12</v>
      </c>
      <c r="H67" s="57" t="n">
        <f aca="false">SUMIFS('Estoque físico'!$J$2:$J$229,'Estoque físico'!$A$2:$A$229,$A67,'Estoque físico'!$B$2:$B$229,$B67)</f>
        <v>295.12</v>
      </c>
      <c r="I67" s="72" t="n">
        <f aca="false">ROUND(H67-G67,3)</f>
        <v>0</v>
      </c>
      <c r="J67" s="56" t="str">
        <f aca="false">IF(ABS(I67)&lt;=Resumo!$C$7,"OK",IF(I67&gt;0,"Sobra no estoque","Falta no estoque"))</f>
        <v>OK</v>
      </c>
      <c r="K67" s="56" t="str">
        <f aca="false">IF(J67="OK","",IF(AND(E67=0,F67=0),"Estoque sem movimento no período",IF(G67&lt;0,"Saídas maiores que entradas – estoque anterior ao período?",IF(H67=0,"Saldo calculado sem estoque físico – verificar",IF(I67&gt;0,"Estoque acima do esperado – saldo anterior ou entrada não listada","Estoque abaixo do esperado – saída/ajuste não listado")))))</f>
        <v/>
      </c>
      <c r="L67" s="57" t="str">
        <f aca="false">IF(D67=0,"",D67-E67)</f>
        <v/>
      </c>
    </row>
    <row r="68" customFormat="false" ht="15" hidden="false" customHeight="false" outlineLevel="0" collapsed="false">
      <c r="A68" s="56" t="s">
        <v>100</v>
      </c>
      <c r="B68" s="56" t="s">
        <v>176</v>
      </c>
      <c r="C68" s="56" t="s">
        <v>4</v>
      </c>
      <c r="D68" s="57" t="n">
        <f aca="false">SUMIFS(Entrada!$G$2:$G$202,Entrada!$B$2:$B$202,$A68,Entrada!$C$2:$C$202,$B68,Entrada!$K$2:$K$202,"Recebido no 2008")</f>
        <v>0</v>
      </c>
      <c r="E68" s="57" t="n">
        <f aca="false">SUMIFS(Entrada!$L$2:$L$202,Entrada!$B$2:$B$202,$A68,Entrada!$C$2:$C$202,$B68)</f>
        <v>432</v>
      </c>
      <c r="F68" s="57" t="n">
        <f aca="false">SUMIFS(Saida!$R$2:$R$406,Saida!$B$2:$B$406,$A68,Saida!$C$2:$C$406,$B68)</f>
        <v>0</v>
      </c>
      <c r="G68" s="57" t="n">
        <f aca="false">E68-F68</f>
        <v>432</v>
      </c>
      <c r="H68" s="57" t="n">
        <f aca="false">SUMIFS('Estoque físico'!$J$2:$J$229,'Estoque físico'!$A$2:$A$229,$A68,'Estoque físico'!$B$2:$B$229,$B68)</f>
        <v>432</v>
      </c>
      <c r="I68" s="72" t="n">
        <f aca="false">ROUND(H68-G68,3)</f>
        <v>0</v>
      </c>
      <c r="J68" s="56" t="str">
        <f aca="false">IF(ABS(I68)&lt;=Resumo!$C$7,"OK",IF(I68&gt;0,"Sobra no estoque","Falta no estoque"))</f>
        <v>OK</v>
      </c>
      <c r="K68" s="56" t="str">
        <f aca="false">IF(J68="OK","",IF(AND(E68=0,F68=0),"Estoque sem movimento no período",IF(G68&lt;0,"Saídas maiores que entradas – estoque anterior ao período?",IF(H68=0,"Saldo calculado sem estoque físico – verificar",IF(I68&gt;0,"Estoque acima do esperado – saldo anterior ou entrada não listada","Estoque abaixo do esperado – saída/ajuste não listado")))))</f>
        <v/>
      </c>
      <c r="L68" s="57" t="str">
        <f aca="false">IF(D68=0,"",D68-E68)</f>
        <v/>
      </c>
    </row>
    <row r="69" customFormat="false" ht="15" hidden="false" customHeight="false" outlineLevel="0" collapsed="false">
      <c r="A69" s="56" t="s">
        <v>102</v>
      </c>
      <c r="B69" s="56" t="s">
        <v>179</v>
      </c>
      <c r="C69" s="56" t="s">
        <v>4</v>
      </c>
      <c r="D69" s="57" t="n">
        <f aca="false">SUMIFS(Entrada!$G$2:$G$202,Entrada!$B$2:$B$202,$A69,Entrada!$C$2:$C$202,$B69,Entrada!$K$2:$K$202,"Recebido no 2008")</f>
        <v>1200</v>
      </c>
      <c r="E69" s="57" t="n">
        <f aca="false">SUMIFS(Entrada!$L$2:$L$202,Entrada!$B$2:$B$202,$A69,Entrada!$C$2:$C$202,$B69)</f>
        <v>0</v>
      </c>
      <c r="F69" s="57" t="n">
        <f aca="false">SUMIFS(Saida!$R$2:$R$406,Saida!$B$2:$B$406,$A69,Saida!$C$2:$C$406,$B69)</f>
        <v>0</v>
      </c>
      <c r="G69" s="57" t="n">
        <f aca="false">E69-F69</f>
        <v>0</v>
      </c>
      <c r="H69" s="57" t="n">
        <f aca="false">SUMIFS('Estoque físico'!$J$2:$J$229,'Estoque físico'!$A$2:$A$229,$A69,'Estoque físico'!$B$2:$B$229,$B69)</f>
        <v>0</v>
      </c>
      <c r="I69" s="72" t="n">
        <f aca="false">ROUND(H69-G69,3)</f>
        <v>0</v>
      </c>
      <c r="J69" s="56" t="str">
        <f aca="false">IF(ABS(I69)&lt;=Resumo!$C$7,"OK",IF(I69&gt;0,"Sobra no estoque","Falta no estoque"))</f>
        <v>OK</v>
      </c>
      <c r="K69" s="56" t="str">
        <f aca="false">IF(J69="OK","",IF(AND(E69=0,F69=0),"Estoque sem movimento no período",IF(G69&lt;0,"Saídas maiores que entradas – estoque anterior ao período?",IF(H69=0,"Saldo calculado sem estoque físico – verificar",IF(I69&gt;0,"Estoque acima do esperado – saldo anterior ou entrada não listada","Estoque abaixo do esperado – saída/ajuste não listado")))))</f>
        <v/>
      </c>
      <c r="L69" s="57" t="n">
        <f aca="false">IF(D69=0,"",D69-E69)</f>
        <v>1200</v>
      </c>
    </row>
    <row r="70" customFormat="false" ht="15" hidden="false" customHeight="false" outlineLevel="0" collapsed="false">
      <c r="A70" s="56" t="s">
        <v>106</v>
      </c>
      <c r="B70" s="56" t="s">
        <v>183</v>
      </c>
      <c r="C70" s="56" t="s">
        <v>4</v>
      </c>
      <c r="D70" s="57" t="n">
        <f aca="false">SUMIFS(Entrada!$G$2:$G$202,Entrada!$B$2:$B$202,$A70,Entrada!$C$2:$C$202,$B70,Entrada!$K$2:$K$202,"Recebido no 2008")</f>
        <v>0</v>
      </c>
      <c r="E70" s="57" t="n">
        <f aca="false">SUMIFS(Entrada!$L$2:$L$202,Entrada!$B$2:$B$202,$A70,Entrada!$C$2:$C$202,$B70)</f>
        <v>1860</v>
      </c>
      <c r="F70" s="57" t="n">
        <f aca="false">SUMIFS(Saida!$R$2:$R$406,Saida!$B$2:$B$406,$A70,Saida!$C$2:$C$406,$B70)</f>
        <v>770</v>
      </c>
      <c r="G70" s="57" t="n">
        <f aca="false">E70-F70</f>
        <v>1090</v>
      </c>
      <c r="H70" s="57" t="n">
        <f aca="false">SUMIFS('Estoque físico'!$J$2:$J$229,'Estoque físico'!$A$2:$A$229,$A70,'Estoque físico'!$B$2:$B$229,$B70)</f>
        <v>1090</v>
      </c>
      <c r="I70" s="72" t="n">
        <f aca="false">ROUND(H70-G70,3)</f>
        <v>0</v>
      </c>
      <c r="J70" s="56" t="str">
        <f aca="false">IF(ABS(I70)&lt;=Resumo!$C$7,"OK",IF(I70&gt;0,"Sobra no estoque","Falta no estoque"))</f>
        <v>OK</v>
      </c>
      <c r="K70" s="56" t="str">
        <f aca="false">IF(J70="OK","",IF(AND(E70=0,F70=0),"Estoque sem movimento no período",IF(G70&lt;0,"Saídas maiores que entradas – estoque anterior ao período?",IF(H70=0,"Saldo calculado sem estoque físico – verificar",IF(I70&gt;0,"Estoque acima do esperado – saldo anterior ou entrada não listada","Estoque abaixo do esperado – saída/ajuste não listado")))))</f>
        <v/>
      </c>
      <c r="L70" s="57" t="str">
        <f aca="false">IF(D70=0,"",D70-E70)</f>
        <v/>
      </c>
    </row>
    <row r="71" customFormat="false" ht="15" hidden="false" customHeight="false" outlineLevel="0" collapsed="false">
      <c r="A71" s="56" t="s">
        <v>106</v>
      </c>
      <c r="B71" s="56" t="s">
        <v>185</v>
      </c>
      <c r="C71" s="56" t="s">
        <v>4</v>
      </c>
      <c r="D71" s="57" t="n">
        <f aca="false">SUMIFS(Entrada!$G$2:$G$202,Entrada!$B$2:$B$202,$A71,Entrada!$C$2:$C$202,$B71,Entrada!$K$2:$K$202,"Recebido no 2008")</f>
        <v>840</v>
      </c>
      <c r="E71" s="57" t="n">
        <f aca="false">SUMIFS(Entrada!$L$2:$L$202,Entrada!$B$2:$B$202,$A71,Entrada!$C$2:$C$202,$B71)</f>
        <v>1200</v>
      </c>
      <c r="F71" s="57" t="n">
        <f aca="false">SUMIFS(Saida!$R$2:$R$406,Saida!$B$2:$B$406,$A71,Saida!$C$2:$C$406,$B71)</f>
        <v>0</v>
      </c>
      <c r="G71" s="57" t="n">
        <f aca="false">E71-F71</f>
        <v>1200</v>
      </c>
      <c r="H71" s="57" t="n">
        <f aca="false">SUMIFS('Estoque físico'!$J$2:$J$229,'Estoque físico'!$A$2:$A$229,$A71,'Estoque físico'!$B$2:$B$229,$B71)</f>
        <v>1200</v>
      </c>
      <c r="I71" s="72" t="n">
        <f aca="false">ROUND(H71-G71,3)</f>
        <v>0</v>
      </c>
      <c r="J71" s="56" t="str">
        <f aca="false">IF(ABS(I71)&lt;=Resumo!$C$7,"OK",IF(I71&gt;0,"Sobra no estoque","Falta no estoque"))</f>
        <v>OK</v>
      </c>
      <c r="K71" s="56" t="str">
        <f aca="false">IF(J71="OK","",IF(AND(E71=0,F71=0),"Estoque sem movimento no período",IF(G71&lt;0,"Saídas maiores que entradas – estoque anterior ao período?",IF(H71=0,"Saldo calculado sem estoque físico – verificar",IF(I71&gt;0,"Estoque acima do esperado – saldo anterior ou entrada não listada","Estoque abaixo do esperado – saída/ajuste não listado")))))</f>
        <v/>
      </c>
      <c r="L71" s="57" t="n">
        <f aca="false">IF(D71=0,"",D71-E71)</f>
        <v>-360</v>
      </c>
    </row>
    <row r="72" customFormat="false" ht="15" hidden="false" customHeight="false" outlineLevel="0" collapsed="false">
      <c r="A72" s="56" t="s">
        <v>108</v>
      </c>
      <c r="B72" s="56" t="s">
        <v>188</v>
      </c>
      <c r="C72" s="56" t="s">
        <v>4</v>
      </c>
      <c r="D72" s="57" t="n">
        <f aca="false">SUMIFS(Entrada!$G$2:$G$202,Entrada!$B$2:$B$202,$A72,Entrada!$C$2:$C$202,$B72,Entrada!$K$2:$K$202,"Recebido no 2008")</f>
        <v>1873.2</v>
      </c>
      <c r="E72" s="57" t="n">
        <f aca="false">SUMIFS(Entrada!$L$2:$L$202,Entrada!$B$2:$B$202,$A72,Entrada!$C$2:$C$202,$B72)</f>
        <v>313.6</v>
      </c>
      <c r="F72" s="57" t="n">
        <f aca="false">SUMIFS(Saida!$R$2:$R$406,Saida!$B$2:$B$406,$A72,Saida!$C$2:$C$406,$B72)</f>
        <v>0</v>
      </c>
      <c r="G72" s="57" t="n">
        <f aca="false">E72-F72</f>
        <v>313.6</v>
      </c>
      <c r="H72" s="57" t="n">
        <f aca="false">SUMIFS('Estoque físico'!$J$2:$J$229,'Estoque físico'!$A$2:$A$229,$A72,'Estoque físico'!$B$2:$B$229,$B72)</f>
        <v>313.6</v>
      </c>
      <c r="I72" s="72" t="n">
        <f aca="false">ROUND(H72-G72,3)</f>
        <v>0</v>
      </c>
      <c r="J72" s="56" t="str">
        <f aca="false">IF(ABS(I72)&lt;=Resumo!$C$7,"OK",IF(I72&gt;0,"Sobra no estoque","Falta no estoque"))</f>
        <v>OK</v>
      </c>
      <c r="K72" s="56" t="str">
        <f aca="false">IF(J72="OK","",IF(AND(E72=0,F72=0),"Estoque sem movimento no período",IF(G72&lt;0,"Saídas maiores que entradas – estoque anterior ao período?",IF(H72=0,"Saldo calculado sem estoque físico – verificar",IF(I72&gt;0,"Estoque acima do esperado – saldo anterior ou entrada não listada","Estoque abaixo do esperado – saída/ajuste não listado")))))</f>
        <v/>
      </c>
      <c r="L72" s="57" t="n">
        <f aca="false">IF(D72=0,"",D72-E72)</f>
        <v>1559.6</v>
      </c>
    </row>
    <row r="73" customFormat="false" ht="15" hidden="false" customHeight="false" outlineLevel="0" collapsed="false">
      <c r="A73" s="56" t="s">
        <v>110</v>
      </c>
      <c r="B73" s="56" t="s">
        <v>192</v>
      </c>
      <c r="C73" s="56" t="s">
        <v>4</v>
      </c>
      <c r="D73" s="57" t="n">
        <f aca="false">SUMIFS(Entrada!$G$2:$G$202,Entrada!$B$2:$B$202,$A73,Entrada!$C$2:$C$202,$B73,Entrada!$K$2:$K$202,"Recebido no 2008")</f>
        <v>0</v>
      </c>
      <c r="E73" s="57" t="n">
        <f aca="false">SUMIFS(Entrada!$L$2:$L$202,Entrada!$B$2:$B$202,$A73,Entrada!$C$2:$C$202,$B73)</f>
        <v>603</v>
      </c>
      <c r="F73" s="57" t="n">
        <f aca="false">SUMIFS(Saida!$R$2:$R$406,Saida!$B$2:$B$406,$A73,Saida!$C$2:$C$406,$B73)</f>
        <v>0</v>
      </c>
      <c r="G73" s="57" t="n">
        <f aca="false">E73-F73</f>
        <v>603</v>
      </c>
      <c r="H73" s="57" t="n">
        <f aca="false">SUMIFS('Estoque físico'!$J$2:$J$229,'Estoque físico'!$A$2:$A$229,$A73,'Estoque físico'!$B$2:$B$229,$B73)</f>
        <v>603</v>
      </c>
      <c r="I73" s="72" t="n">
        <f aca="false">ROUND(H73-G73,3)</f>
        <v>0</v>
      </c>
      <c r="J73" s="56" t="str">
        <f aca="false">IF(ABS(I73)&lt;=Resumo!$C$7,"OK",IF(I73&gt;0,"Sobra no estoque","Falta no estoque"))</f>
        <v>OK</v>
      </c>
      <c r="K73" s="56" t="str">
        <f aca="false">IF(J73="OK","",IF(AND(E73=0,F73=0),"Estoque sem movimento no período",IF(G73&lt;0,"Saídas maiores que entradas – estoque anterior ao período?",IF(H73=0,"Saldo calculado sem estoque físico – verificar",IF(I73&gt;0,"Estoque acima do esperado – saldo anterior ou entrada não listada","Estoque abaixo do esperado – saída/ajuste não listado")))))</f>
        <v/>
      </c>
      <c r="L73" s="57" t="str">
        <f aca="false">IF(D73=0,"",D73-E73)</f>
        <v/>
      </c>
    </row>
    <row r="74" customFormat="false" ht="15" hidden="false" customHeight="false" outlineLevel="0" collapsed="false">
      <c r="A74" s="56" t="s">
        <v>110</v>
      </c>
      <c r="B74" s="56" t="s">
        <v>193</v>
      </c>
      <c r="C74" s="56" t="s">
        <v>4</v>
      </c>
      <c r="D74" s="57" t="n">
        <f aca="false">SUMIFS(Entrada!$G$2:$G$202,Entrada!$B$2:$B$202,$A74,Entrada!$C$2:$C$202,$B74,Entrada!$K$2:$K$202,"Recebido no 2008")</f>
        <v>1166</v>
      </c>
      <c r="E74" s="57" t="n">
        <f aca="false">SUMIFS(Entrada!$L$2:$L$202,Entrada!$B$2:$B$202,$A74,Entrada!$C$2:$C$202,$B74)</f>
        <v>603</v>
      </c>
      <c r="F74" s="57" t="n">
        <f aca="false">SUMIFS(Saida!$R$2:$R$406,Saida!$B$2:$B$406,$A74,Saida!$C$2:$C$406,$B74)</f>
        <v>422.1</v>
      </c>
      <c r="G74" s="57" t="n">
        <f aca="false">E74-F74</f>
        <v>180.9</v>
      </c>
      <c r="H74" s="57" t="n">
        <f aca="false">SUMIFS('Estoque físico'!$J$2:$J$229,'Estoque físico'!$A$2:$A$229,$A74,'Estoque físico'!$B$2:$B$229,$B74)</f>
        <v>180.9</v>
      </c>
      <c r="I74" s="72" t="n">
        <f aca="false">ROUND(H74-G74,3)</f>
        <v>0</v>
      </c>
      <c r="J74" s="56" t="str">
        <f aca="false">IF(ABS(I74)&lt;=Resumo!$C$7,"OK",IF(I74&gt;0,"Sobra no estoque","Falta no estoque"))</f>
        <v>OK</v>
      </c>
      <c r="K74" s="56" t="str">
        <f aca="false">IF(J74="OK","",IF(AND(E74=0,F74=0),"Estoque sem movimento no período",IF(G74&lt;0,"Saídas maiores que entradas – estoque anterior ao período?",IF(H74=0,"Saldo calculado sem estoque físico – verificar",IF(I74&gt;0,"Estoque acima do esperado – saldo anterior ou entrada não listada","Estoque abaixo do esperado – saída/ajuste não listado")))))</f>
        <v/>
      </c>
      <c r="L74" s="57" t="n">
        <f aca="false">IF(D74=0,"",D74-E74)</f>
        <v>563</v>
      </c>
    </row>
    <row r="75" customFormat="false" ht="15" hidden="false" customHeight="false" outlineLevel="0" collapsed="false">
      <c r="A75" s="56" t="s">
        <v>117</v>
      </c>
      <c r="B75" s="56" t="s">
        <v>195</v>
      </c>
      <c r="C75" s="56" t="s">
        <v>4</v>
      </c>
      <c r="D75" s="57" t="n">
        <f aca="false">SUMIFS(Entrada!$G$2:$G$202,Entrada!$B$2:$B$202,$A75,Entrada!$C$2:$C$202,$B75,Entrada!$K$2:$K$202,"Recebido no 2008")</f>
        <v>0</v>
      </c>
      <c r="E75" s="57" t="n">
        <f aca="false">SUMIFS(Entrada!$L$2:$L$202,Entrada!$B$2:$B$202,$A75,Entrada!$C$2:$C$202,$B75)</f>
        <v>1200</v>
      </c>
      <c r="F75" s="57" t="n">
        <f aca="false">SUMIFS(Saida!$R$2:$R$406,Saida!$B$2:$B$406,$A75,Saida!$C$2:$C$406,$B75)</f>
        <v>0</v>
      </c>
      <c r="G75" s="57" t="n">
        <f aca="false">E75-F75</f>
        <v>1200</v>
      </c>
      <c r="H75" s="57" t="n">
        <f aca="false">SUMIFS('Estoque físico'!$J$2:$J$229,'Estoque físico'!$A$2:$A$229,$A75,'Estoque físico'!$B$2:$B$229,$B75)</f>
        <v>1200</v>
      </c>
      <c r="I75" s="72" t="n">
        <f aca="false">ROUND(H75-G75,3)</f>
        <v>0</v>
      </c>
      <c r="J75" s="56" t="str">
        <f aca="false">IF(ABS(I75)&lt;=Resumo!$C$7,"OK",IF(I75&gt;0,"Sobra no estoque","Falta no estoque"))</f>
        <v>OK</v>
      </c>
      <c r="K75" s="56" t="str">
        <f aca="false">IF(J75="OK","",IF(AND(E75=0,F75=0),"Estoque sem movimento no período",IF(G75&lt;0,"Saídas maiores que entradas – estoque anterior ao período?",IF(H75=0,"Saldo calculado sem estoque físico – verificar",IF(I75&gt;0,"Estoque acima do esperado – saldo anterior ou entrada não listada","Estoque abaixo do esperado – saída/ajuste não listado")))))</f>
        <v/>
      </c>
      <c r="L75" s="57" t="str">
        <f aca="false">IF(D75=0,"",D75-E75)</f>
        <v/>
      </c>
    </row>
    <row r="76" customFormat="false" ht="15" hidden="false" customHeight="false" outlineLevel="0" collapsed="false">
      <c r="A76" s="56" t="s">
        <v>117</v>
      </c>
      <c r="B76" s="56" t="s">
        <v>196</v>
      </c>
      <c r="C76" s="56" t="s">
        <v>4</v>
      </c>
      <c r="D76" s="57" t="n">
        <f aca="false">SUMIFS(Entrada!$G$2:$G$202,Entrada!$B$2:$B$202,$A76,Entrada!$C$2:$C$202,$B76,Entrada!$K$2:$K$202,"Recebido no 2008")</f>
        <v>2400</v>
      </c>
      <c r="E76" s="57" t="n">
        <f aca="false">SUMIFS(Entrada!$L$2:$L$202,Entrada!$B$2:$B$202,$A76,Entrada!$C$2:$C$202,$B76)</f>
        <v>0</v>
      </c>
      <c r="F76" s="57" t="n">
        <f aca="false">SUMIFS(Saida!$R$2:$R$406,Saida!$B$2:$B$406,$A76,Saida!$C$2:$C$406,$B76)</f>
        <v>0</v>
      </c>
      <c r="G76" s="57" t="n">
        <f aca="false">E76-F76</f>
        <v>0</v>
      </c>
      <c r="H76" s="57" t="n">
        <f aca="false">SUMIFS('Estoque físico'!$J$2:$J$229,'Estoque físico'!$A$2:$A$229,$A76,'Estoque físico'!$B$2:$B$229,$B76)</f>
        <v>0</v>
      </c>
      <c r="I76" s="72" t="n">
        <f aca="false">ROUND(H76-G76,3)</f>
        <v>0</v>
      </c>
      <c r="J76" s="56" t="str">
        <f aca="false">IF(ABS(I76)&lt;=Resumo!$C$7,"OK",IF(I76&gt;0,"Sobra no estoque","Falta no estoque"))</f>
        <v>OK</v>
      </c>
      <c r="K76" s="56" t="str">
        <f aca="false">IF(J76="OK","",IF(AND(E76=0,F76=0),"Estoque sem movimento no período",IF(G76&lt;0,"Saídas maiores que entradas – estoque anterior ao período?",IF(H76=0,"Saldo calculado sem estoque físico – verificar",IF(I76&gt;0,"Estoque acima do esperado – saldo anterior ou entrada não listada","Estoque abaixo do esperado – saída/ajuste não listado")))))</f>
        <v/>
      </c>
      <c r="L76" s="57" t="n">
        <f aca="false">IF(D76=0,"",D76-E76)</f>
        <v>2400</v>
      </c>
    </row>
    <row r="77" customFormat="false" ht="15" hidden="false" customHeight="false" outlineLevel="0" collapsed="false">
      <c r="A77" s="56" t="s">
        <v>122</v>
      </c>
      <c r="B77" s="56" t="s">
        <v>197</v>
      </c>
      <c r="C77" s="56" t="s">
        <v>4</v>
      </c>
      <c r="D77" s="57" t="n">
        <f aca="false">SUMIFS(Entrada!$G$2:$G$202,Entrada!$B$2:$B$202,$A77,Entrada!$C$2:$C$202,$B77,Entrada!$K$2:$K$202,"Recebido no 2008")</f>
        <v>864</v>
      </c>
      <c r="E77" s="57" t="n">
        <f aca="false">SUMIFS(Entrada!$L$2:$L$202,Entrada!$B$2:$B$202,$A77,Entrada!$C$2:$C$202,$B77)</f>
        <v>864</v>
      </c>
      <c r="F77" s="57" t="n">
        <f aca="false">SUMIFS(Saida!$R$2:$R$406,Saida!$B$2:$B$406,$A77,Saida!$C$2:$C$406,$B77)</f>
        <v>306</v>
      </c>
      <c r="G77" s="57" t="n">
        <f aca="false">E77-F77</f>
        <v>558</v>
      </c>
      <c r="H77" s="57" t="n">
        <f aca="false">SUMIFS('Estoque físico'!$J$2:$J$229,'Estoque físico'!$A$2:$A$229,$A77,'Estoque físico'!$B$2:$B$229,$B77)</f>
        <v>558</v>
      </c>
      <c r="I77" s="72" t="n">
        <f aca="false">ROUND(H77-G77,3)</f>
        <v>0</v>
      </c>
      <c r="J77" s="56" t="str">
        <f aca="false">IF(ABS(I77)&lt;=Resumo!$C$7,"OK",IF(I77&gt;0,"Sobra no estoque","Falta no estoque"))</f>
        <v>OK</v>
      </c>
      <c r="K77" s="56" t="str">
        <f aca="false">IF(J77="OK","",IF(AND(E77=0,F77=0),"Estoque sem movimento no período",IF(G77&lt;0,"Saídas maiores que entradas – estoque anterior ao período?",IF(H77=0,"Saldo calculado sem estoque físico – verificar",IF(I77&gt;0,"Estoque acima do esperado – saldo anterior ou entrada não listada","Estoque abaixo do esperado – saída/ajuste não listado")))))</f>
        <v/>
      </c>
      <c r="L77" s="57" t="n">
        <f aca="false">IF(D77=0,"",D77-E77)</f>
        <v>0</v>
      </c>
    </row>
    <row r="78" customFormat="false" ht="15" hidden="false" customHeight="false" outlineLevel="0" collapsed="false">
      <c r="A78" s="56" t="s">
        <v>126</v>
      </c>
      <c r="B78" s="56" t="s">
        <v>198</v>
      </c>
      <c r="C78" s="56" t="s">
        <v>4</v>
      </c>
      <c r="D78" s="57" t="n">
        <f aca="false">SUMIFS(Entrada!$G$2:$G$202,Entrada!$B$2:$B$202,$A78,Entrada!$C$2:$C$202,$B78,Entrada!$K$2:$K$202,"Recebido no 2008")</f>
        <v>432</v>
      </c>
      <c r="E78" s="57" t="n">
        <f aca="false">SUMIFS(Entrada!$L$2:$L$202,Entrada!$B$2:$B$202,$A78,Entrada!$C$2:$C$202,$B78)</f>
        <v>0</v>
      </c>
      <c r="F78" s="57" t="n">
        <f aca="false">SUMIFS(Saida!$R$2:$R$406,Saida!$B$2:$B$406,$A78,Saida!$C$2:$C$406,$B78)</f>
        <v>0</v>
      </c>
      <c r="G78" s="57" t="n">
        <f aca="false">E78-F78</f>
        <v>0</v>
      </c>
      <c r="H78" s="57" t="n">
        <f aca="false">SUMIFS('Estoque físico'!$J$2:$J$229,'Estoque físico'!$A$2:$A$229,$A78,'Estoque físico'!$B$2:$B$229,$B78)</f>
        <v>0</v>
      </c>
      <c r="I78" s="72" t="n">
        <f aca="false">ROUND(H78-G78,3)</f>
        <v>0</v>
      </c>
      <c r="J78" s="56" t="str">
        <f aca="false">IF(ABS(I78)&lt;=Resumo!$C$7,"OK",IF(I78&gt;0,"Sobra no estoque","Falta no estoque"))</f>
        <v>OK</v>
      </c>
      <c r="K78" s="56" t="str">
        <f aca="false">IF(J78="OK","",IF(AND(E78=0,F78=0),"Estoque sem movimento no período",IF(G78&lt;0,"Saídas maiores que entradas – estoque anterior ao período?",IF(H78=0,"Saldo calculado sem estoque físico – verificar",IF(I78&gt;0,"Estoque acima do esperado – saldo anterior ou entrada não listada","Estoque abaixo do esperado – saída/ajuste não listado")))))</f>
        <v/>
      </c>
      <c r="L78" s="57" t="n">
        <f aca="false">IF(D78=0,"",D78-E78)</f>
        <v>432</v>
      </c>
    </row>
    <row r="79" customFormat="false" ht="15" hidden="false" customHeight="false" outlineLevel="0" collapsed="false">
      <c r="A79" s="56" t="s">
        <v>130</v>
      </c>
      <c r="B79" s="56" t="s">
        <v>200</v>
      </c>
      <c r="C79" s="56" t="s">
        <v>4</v>
      </c>
      <c r="D79" s="57" t="n">
        <f aca="false">SUMIFS(Entrada!$G$2:$G$202,Entrada!$B$2:$B$202,$A79,Entrada!$C$2:$C$202,$B79,Entrada!$K$2:$K$202,"Recebido no 2008")</f>
        <v>4296</v>
      </c>
      <c r="E79" s="57" t="n">
        <f aca="false">SUMIFS(Entrada!$L$2:$L$202,Entrada!$B$2:$B$202,$A79,Entrada!$C$2:$C$202,$B79)</f>
        <v>0</v>
      </c>
      <c r="F79" s="57" t="n">
        <f aca="false">SUMIFS(Saida!$R$2:$R$406,Saida!$B$2:$B$406,$A79,Saida!$C$2:$C$406,$B79)</f>
        <v>0</v>
      </c>
      <c r="G79" s="57" t="n">
        <f aca="false">E79-F79</f>
        <v>0</v>
      </c>
      <c r="H79" s="57" t="n">
        <f aca="false">SUMIFS('Estoque físico'!$J$2:$J$229,'Estoque físico'!$A$2:$A$229,$A79,'Estoque físico'!$B$2:$B$229,$B79)</f>
        <v>0</v>
      </c>
      <c r="I79" s="72" t="n">
        <f aca="false">ROUND(H79-G79,3)</f>
        <v>0</v>
      </c>
      <c r="J79" s="56" t="str">
        <f aca="false">IF(ABS(I79)&lt;=Resumo!$C$7,"OK",IF(I79&gt;0,"Sobra no estoque","Falta no estoque"))</f>
        <v>OK</v>
      </c>
      <c r="K79" s="56" t="str">
        <f aca="false">IF(J79="OK","",IF(AND(E79=0,F79=0),"Estoque sem movimento no período",IF(G79&lt;0,"Saídas maiores que entradas – estoque anterior ao período?",IF(H79=0,"Saldo calculado sem estoque físico – verificar",IF(I79&gt;0,"Estoque acima do esperado – saldo anterior ou entrada não listada","Estoque abaixo do esperado – saída/ajuste não listado")))))</f>
        <v/>
      </c>
      <c r="L79" s="57" t="n">
        <f aca="false">IF(D79=0,"",D79-E79)</f>
        <v>4296</v>
      </c>
    </row>
    <row r="80" customFormat="false" ht="15" hidden="false" customHeight="false" outlineLevel="0" collapsed="false">
      <c r="A80" s="56" t="s">
        <v>130</v>
      </c>
      <c r="B80" s="56" t="s">
        <v>201</v>
      </c>
      <c r="C80" s="56" t="s">
        <v>4</v>
      </c>
      <c r="D80" s="57" t="n">
        <f aca="false">SUMIFS(Entrada!$G$2:$G$202,Entrada!$B$2:$B$202,$A80,Entrada!$C$2:$C$202,$B80,Entrada!$K$2:$K$202,"Recebido no 2008")</f>
        <v>6912</v>
      </c>
      <c r="E80" s="57" t="n">
        <f aca="false">SUMIFS(Entrada!$L$2:$L$202,Entrada!$B$2:$B$202,$A80,Entrada!$C$2:$C$202,$B80)</f>
        <v>0</v>
      </c>
      <c r="F80" s="57" t="n">
        <f aca="false">SUMIFS(Saida!$R$2:$R$406,Saida!$B$2:$B$406,$A80,Saida!$C$2:$C$406,$B80)</f>
        <v>0</v>
      </c>
      <c r="G80" s="57" t="n">
        <f aca="false">E80-F80</f>
        <v>0</v>
      </c>
      <c r="H80" s="57" t="n">
        <f aca="false">SUMIFS('Estoque físico'!$J$2:$J$229,'Estoque físico'!$A$2:$A$229,$A80,'Estoque físico'!$B$2:$B$229,$B80)</f>
        <v>0</v>
      </c>
      <c r="I80" s="72" t="n">
        <f aca="false">ROUND(H80-G80,3)</f>
        <v>0</v>
      </c>
      <c r="J80" s="56" t="str">
        <f aca="false">IF(ABS(I80)&lt;=Resumo!$C$7,"OK",IF(I80&gt;0,"Sobra no estoque","Falta no estoque"))</f>
        <v>OK</v>
      </c>
      <c r="K80" s="56" t="str">
        <f aca="false">IF(J80="OK","",IF(AND(E80=0,F80=0),"Estoque sem movimento no período",IF(G80&lt;0,"Saídas maiores que entradas – estoque anterior ao período?",IF(H80=0,"Saldo calculado sem estoque físico – verificar",IF(I80&gt;0,"Estoque acima do esperado – saldo anterior ou entrada não listada","Estoque abaixo do esperado – saída/ajuste não listado")))))</f>
        <v/>
      </c>
      <c r="L80" s="57" t="n">
        <f aca="false">IF(D80=0,"",D80-E80)</f>
        <v>6912</v>
      </c>
    </row>
    <row r="81" customFormat="false" ht="15" hidden="false" customHeight="false" outlineLevel="0" collapsed="false">
      <c r="A81" s="56" t="s">
        <v>135</v>
      </c>
      <c r="B81" s="56" t="s">
        <v>203</v>
      </c>
      <c r="C81" s="56" t="s">
        <v>4</v>
      </c>
      <c r="D81" s="57" t="n">
        <f aca="false">SUMIFS(Entrada!$G$2:$G$202,Entrada!$B$2:$B$202,$A81,Entrada!$C$2:$C$202,$B81,Entrada!$K$2:$K$202,"Recebido no 2008")</f>
        <v>0</v>
      </c>
      <c r="E81" s="57" t="n">
        <f aca="false">SUMIFS(Entrada!$L$2:$L$202,Entrada!$B$2:$B$202,$A81,Entrada!$C$2:$C$202,$B81)</f>
        <v>850</v>
      </c>
      <c r="F81" s="57" t="n">
        <f aca="false">SUMIFS(Saida!$R$2:$R$406,Saida!$B$2:$B$406,$A81,Saida!$C$2:$C$406,$B81)</f>
        <v>50</v>
      </c>
      <c r="G81" s="57" t="n">
        <f aca="false">E81-F81</f>
        <v>800</v>
      </c>
      <c r="H81" s="57" t="n">
        <f aca="false">SUMIFS('Estoque físico'!$J$2:$J$229,'Estoque físico'!$A$2:$A$229,$A81,'Estoque físico'!$B$2:$B$229,$B81)</f>
        <v>800</v>
      </c>
      <c r="I81" s="72" t="n">
        <f aca="false">ROUND(H81-G81,3)</f>
        <v>0</v>
      </c>
      <c r="J81" s="56" t="str">
        <f aca="false">IF(ABS(I81)&lt;=Resumo!$C$7,"OK",IF(I81&gt;0,"Sobra no estoque","Falta no estoque"))</f>
        <v>OK</v>
      </c>
      <c r="K81" s="56" t="str">
        <f aca="false">IF(J81="OK","",IF(AND(E81=0,F81=0),"Estoque sem movimento no período",IF(G81&lt;0,"Saídas maiores que entradas – estoque anterior ao período?",IF(H81=0,"Saldo calculado sem estoque físico – verificar",IF(I81&gt;0,"Estoque acima do esperado – saldo anterior ou entrada não listada","Estoque abaixo do esperado – saída/ajuste não listado")))))</f>
        <v/>
      </c>
      <c r="L81" s="57" t="str">
        <f aca="false">IF(D81=0,"",D81-E81)</f>
        <v/>
      </c>
    </row>
    <row r="82" customFormat="false" ht="15" hidden="false" customHeight="false" outlineLevel="0" collapsed="false">
      <c r="A82" s="56" t="s">
        <v>139</v>
      </c>
      <c r="B82" s="56" t="s">
        <v>204</v>
      </c>
      <c r="C82" s="56" t="s">
        <v>4</v>
      </c>
      <c r="D82" s="57" t="n">
        <f aca="false">SUMIFS(Entrada!$G$2:$G$202,Entrada!$B$2:$B$202,$A82,Entrada!$C$2:$C$202,$B82,Entrada!$K$2:$K$202,"Recebido no 2008")</f>
        <v>0</v>
      </c>
      <c r="E82" s="57" t="n">
        <f aca="false">SUMIFS(Entrada!$L$2:$L$202,Entrada!$B$2:$B$202,$A82,Entrada!$C$2:$C$202,$B82)</f>
        <v>1000</v>
      </c>
      <c r="F82" s="57" t="n">
        <f aca="false">SUMIFS(Saida!$R$2:$R$406,Saida!$B$2:$B$406,$A82,Saida!$C$2:$C$406,$B82)</f>
        <v>0</v>
      </c>
      <c r="G82" s="57" t="n">
        <f aca="false">E82-F82</f>
        <v>1000</v>
      </c>
      <c r="H82" s="57" t="n">
        <f aca="false">SUMIFS('Estoque físico'!$J$2:$J$229,'Estoque físico'!$A$2:$A$229,$A82,'Estoque físico'!$B$2:$B$229,$B82)</f>
        <v>1000</v>
      </c>
      <c r="I82" s="72" t="n">
        <f aca="false">ROUND(H82-G82,3)</f>
        <v>0</v>
      </c>
      <c r="J82" s="56" t="str">
        <f aca="false">IF(ABS(I82)&lt;=Resumo!$C$7,"OK",IF(I82&gt;0,"Sobra no estoque","Falta no estoque"))</f>
        <v>OK</v>
      </c>
      <c r="K82" s="56" t="str">
        <f aca="false">IF(J82="OK","",IF(AND(E82=0,F82=0),"Estoque sem movimento no período",IF(G82&lt;0,"Saídas maiores que entradas – estoque anterior ao período?",IF(H82=0,"Saldo calculado sem estoque físico – verificar",IF(I82&gt;0,"Estoque acima do esperado – saldo anterior ou entrada não listada","Estoque abaixo do esperado – saída/ajuste não listado")))))</f>
        <v/>
      </c>
      <c r="L82" s="57" t="str">
        <f aca="false">IF(D82=0,"",D82-E82)</f>
        <v/>
      </c>
    </row>
    <row r="83" customFormat="false" ht="15" hidden="false" customHeight="false" outlineLevel="0" collapsed="false">
      <c r="A83" s="56" t="s">
        <v>131</v>
      </c>
      <c r="B83" s="56" t="s">
        <v>205</v>
      </c>
      <c r="C83" s="56" t="s">
        <v>12</v>
      </c>
      <c r="D83" s="57" t="n">
        <f aca="false">SUMIFS(Entrada!$G$2:$G$202,Entrada!$B$2:$B$202,$A83,Entrada!$C$2:$C$202,$B83,Entrada!$K$2:$K$202,"Recebido no 2008")</f>
        <v>0</v>
      </c>
      <c r="E83" s="57" t="n">
        <f aca="false">SUMIFS(Entrada!$L$2:$L$202,Entrada!$B$2:$B$202,$A83,Entrada!$C$2:$C$202,$B83)</f>
        <v>506</v>
      </c>
      <c r="F83" s="57" t="n">
        <f aca="false">SUMIFS(Saida!$R$2:$R$406,Saida!$B$2:$B$406,$A83,Saida!$C$2:$C$406,$B83)</f>
        <v>101</v>
      </c>
      <c r="G83" s="57" t="n">
        <f aca="false">E83-F83</f>
        <v>405</v>
      </c>
      <c r="H83" s="57" t="n">
        <f aca="false">SUMIFS('Estoque físico'!$J$2:$J$229,'Estoque físico'!$A$2:$A$229,$A83,'Estoque físico'!$B$2:$B$229,$B83)</f>
        <v>405</v>
      </c>
      <c r="I83" s="72" t="n">
        <f aca="false">ROUND(H83-G83,3)</f>
        <v>0</v>
      </c>
      <c r="J83" s="56" t="str">
        <f aca="false">IF(ABS(I83)&lt;=Resumo!$C$7,"OK",IF(I83&gt;0,"Sobra no estoque","Falta no estoque"))</f>
        <v>OK</v>
      </c>
      <c r="K83" s="56" t="str">
        <f aca="false">IF(J83="OK","",IF(AND(E83=0,F83=0),"Estoque sem movimento no período",IF(G83&lt;0,"Saídas maiores que entradas – estoque anterior ao período?",IF(H83=0,"Saldo calculado sem estoque físico – verificar",IF(I83&gt;0,"Estoque acima do esperado – saldo anterior ou entrada não listada","Estoque abaixo do esperado – saída/ajuste não listado")))))</f>
        <v/>
      </c>
      <c r="L83" s="57" t="str">
        <f aca="false">IF(D83=0,"",D83-E83)</f>
        <v/>
      </c>
    </row>
    <row r="84" customFormat="false" ht="15" hidden="false" customHeight="false" outlineLevel="0" collapsed="false">
      <c r="A84" s="56" t="s">
        <v>131</v>
      </c>
      <c r="B84" s="56" t="s">
        <v>206</v>
      </c>
      <c r="C84" s="56" t="s">
        <v>12</v>
      </c>
      <c r="D84" s="57" t="n">
        <f aca="false">SUMIFS(Entrada!$G$2:$G$202,Entrada!$B$2:$B$202,$A84,Entrada!$C$2:$C$202,$B84,Entrada!$K$2:$K$202,"Recebido no 2008")</f>
        <v>0</v>
      </c>
      <c r="E84" s="57" t="n">
        <f aca="false">SUMIFS(Entrada!$L$2:$L$202,Entrada!$B$2:$B$202,$A84,Entrada!$C$2:$C$202,$B84)</f>
        <v>524.75</v>
      </c>
      <c r="F84" s="57" t="n">
        <f aca="false">SUMIFS(Saida!$R$2:$R$406,Saida!$B$2:$B$406,$A84,Saida!$C$2:$C$406,$B84)</f>
        <v>0</v>
      </c>
      <c r="G84" s="57" t="n">
        <f aca="false">E84-F84</f>
        <v>524.75</v>
      </c>
      <c r="H84" s="57" t="n">
        <f aca="false">SUMIFS('Estoque físico'!$J$2:$J$229,'Estoque físico'!$A$2:$A$229,$A84,'Estoque físico'!$B$2:$B$229,$B84)</f>
        <v>524.75</v>
      </c>
      <c r="I84" s="72" t="n">
        <f aca="false">ROUND(H84-G84,3)</f>
        <v>0</v>
      </c>
      <c r="J84" s="56" t="str">
        <f aca="false">IF(ABS(I84)&lt;=Resumo!$C$7,"OK",IF(I84&gt;0,"Sobra no estoque","Falta no estoque"))</f>
        <v>OK</v>
      </c>
      <c r="K84" s="56" t="str">
        <f aca="false">IF(J84="OK","",IF(AND(E84=0,F84=0),"Estoque sem movimento no período",IF(G84&lt;0,"Saídas maiores que entradas – estoque anterior ao período?",IF(H84=0,"Saldo calculado sem estoque físico – verificar",IF(I84&gt;0,"Estoque acima do esperado – saldo anterior ou entrada não listada","Estoque abaixo do esperado – saída/ajuste não listado")))))</f>
        <v/>
      </c>
      <c r="L84" s="57" t="str">
        <f aca="false">IF(D84=0,"",D84-E84)</f>
        <v/>
      </c>
    </row>
    <row r="85" customFormat="false" ht="15" hidden="false" customHeight="false" outlineLevel="0" collapsed="false">
      <c r="A85" s="56" t="s">
        <v>131</v>
      </c>
      <c r="B85" s="56" t="s">
        <v>207</v>
      </c>
      <c r="C85" s="56" t="s">
        <v>12</v>
      </c>
      <c r="D85" s="57" t="n">
        <f aca="false">SUMIFS(Entrada!$G$2:$G$202,Entrada!$B$2:$B$202,$A85,Entrada!$C$2:$C$202,$B85,Entrada!$K$2:$K$202,"Recebido no 2008")</f>
        <v>900</v>
      </c>
      <c r="E85" s="57" t="n">
        <f aca="false">SUMIFS(Entrada!$L$2:$L$202,Entrada!$B$2:$B$202,$A85,Entrada!$C$2:$C$202,$B85)</f>
        <v>0</v>
      </c>
      <c r="F85" s="57" t="n">
        <f aca="false">SUMIFS(Saida!$R$2:$R$406,Saida!$B$2:$B$406,$A85,Saida!$C$2:$C$406,$B85)</f>
        <v>0</v>
      </c>
      <c r="G85" s="57" t="n">
        <f aca="false">E85-F85</f>
        <v>0</v>
      </c>
      <c r="H85" s="57" t="n">
        <f aca="false">SUMIFS('Estoque físico'!$J$2:$J$229,'Estoque físico'!$A$2:$A$229,$A85,'Estoque físico'!$B$2:$B$229,$B85)</f>
        <v>0</v>
      </c>
      <c r="I85" s="72" t="n">
        <f aca="false">ROUND(H85-G85,3)</f>
        <v>0</v>
      </c>
      <c r="J85" s="56" t="str">
        <f aca="false">IF(ABS(I85)&lt;=Resumo!$C$7,"OK",IF(I85&gt;0,"Sobra no estoque","Falta no estoque"))</f>
        <v>OK</v>
      </c>
      <c r="K85" s="56" t="str">
        <f aca="false">IF(J85="OK","",IF(AND(E85=0,F85=0),"Estoque sem movimento no período",IF(G85&lt;0,"Saídas maiores que entradas – estoque anterior ao período?",IF(H85=0,"Saldo calculado sem estoque físico – verificar",IF(I85&gt;0,"Estoque acima do esperado – saldo anterior ou entrada não listada","Estoque abaixo do esperado – saída/ajuste não listado")))))</f>
        <v/>
      </c>
      <c r="L85" s="57" t="n">
        <f aca="false">IF(D85=0,"",D85-E85)</f>
        <v>900</v>
      </c>
    </row>
    <row r="86" customFormat="false" ht="15" hidden="false" customHeight="false" outlineLevel="0" collapsed="false">
      <c r="A86" s="56" t="s">
        <v>131</v>
      </c>
      <c r="B86" s="56" t="s">
        <v>208</v>
      </c>
      <c r="C86" s="56" t="s">
        <v>12</v>
      </c>
      <c r="D86" s="57" t="n">
        <f aca="false">SUMIFS(Entrada!$G$2:$G$202,Entrada!$B$2:$B$202,$A86,Entrada!$C$2:$C$202,$B86,Entrada!$K$2:$K$202,"Recebido no 2008")</f>
        <v>300</v>
      </c>
      <c r="E86" s="57" t="n">
        <f aca="false">SUMIFS(Entrada!$L$2:$L$202,Entrada!$B$2:$B$202,$A86,Entrada!$C$2:$C$202,$B86)</f>
        <v>0</v>
      </c>
      <c r="F86" s="57" t="n">
        <f aca="false">SUMIFS(Saida!$R$2:$R$406,Saida!$B$2:$B$406,$A86,Saida!$C$2:$C$406,$B86)</f>
        <v>0</v>
      </c>
      <c r="G86" s="57" t="n">
        <f aca="false">E86-F86</f>
        <v>0</v>
      </c>
      <c r="H86" s="57" t="n">
        <f aca="false">SUMIFS('Estoque físico'!$J$2:$J$229,'Estoque físico'!$A$2:$A$229,$A86,'Estoque físico'!$B$2:$B$229,$B86)</f>
        <v>0</v>
      </c>
      <c r="I86" s="72" t="n">
        <f aca="false">ROUND(H86-G86,3)</f>
        <v>0</v>
      </c>
      <c r="J86" s="56" t="str">
        <f aca="false">IF(ABS(I86)&lt;=Resumo!$C$7,"OK",IF(I86&gt;0,"Sobra no estoque","Falta no estoque"))</f>
        <v>OK</v>
      </c>
      <c r="K86" s="56" t="str">
        <f aca="false">IF(J86="OK","",IF(AND(E86=0,F86=0),"Estoque sem movimento no período",IF(G86&lt;0,"Saídas maiores que entradas – estoque anterior ao período?",IF(H86=0,"Saldo calculado sem estoque físico – verificar",IF(I86&gt;0,"Estoque acima do esperado – saldo anterior ou entrada não listada","Estoque abaixo do esperado – saída/ajuste não listado")))))</f>
        <v/>
      </c>
      <c r="L86" s="57" t="n">
        <f aca="false">IF(D86=0,"",D86-E86)</f>
        <v>300</v>
      </c>
    </row>
    <row r="87" customFormat="false" ht="15" hidden="false" customHeight="false" outlineLevel="0" collapsed="false">
      <c r="A87" s="56" t="s">
        <v>131</v>
      </c>
      <c r="B87" s="56" t="s">
        <v>209</v>
      </c>
      <c r="C87" s="56" t="s">
        <v>12</v>
      </c>
      <c r="D87" s="57" t="n">
        <f aca="false">SUMIFS(Entrada!$G$2:$G$202,Entrada!$B$2:$B$202,$A87,Entrada!$C$2:$C$202,$B87,Entrada!$K$2:$K$202,"Recebido no 2008")</f>
        <v>240</v>
      </c>
      <c r="E87" s="57" t="n">
        <f aca="false">SUMIFS(Entrada!$L$2:$L$202,Entrada!$B$2:$B$202,$A87,Entrada!$C$2:$C$202,$B87)</f>
        <v>240</v>
      </c>
      <c r="F87" s="57" t="n">
        <f aca="false">SUMIFS(Saida!$R$2:$R$406,Saida!$B$2:$B$406,$A87,Saida!$C$2:$C$406,$B87)</f>
        <v>0</v>
      </c>
      <c r="G87" s="57" t="n">
        <f aca="false">E87-F87</f>
        <v>240</v>
      </c>
      <c r="H87" s="57" t="n">
        <f aca="false">SUMIFS('Estoque físico'!$J$2:$J$229,'Estoque físico'!$A$2:$A$229,$A87,'Estoque físico'!$B$2:$B$229,$B87)</f>
        <v>240</v>
      </c>
      <c r="I87" s="72" t="n">
        <f aca="false">ROUND(H87-G87,3)</f>
        <v>0</v>
      </c>
      <c r="J87" s="56" t="str">
        <f aca="false">IF(ABS(I87)&lt;=Resumo!$C$7,"OK",IF(I87&gt;0,"Sobra no estoque","Falta no estoque"))</f>
        <v>OK</v>
      </c>
      <c r="K87" s="56" t="str">
        <f aca="false">IF(J87="OK","",IF(AND(E87=0,F87=0),"Estoque sem movimento no período",IF(G87&lt;0,"Saídas maiores que entradas – estoque anterior ao período?",IF(H87=0,"Saldo calculado sem estoque físico – verificar",IF(I87&gt;0,"Estoque acima do esperado – saldo anterior ou entrada não listada","Estoque abaixo do esperado – saída/ajuste não listado")))))</f>
        <v/>
      </c>
      <c r="L87" s="57" t="n">
        <f aca="false">IF(D87=0,"",D87-E87)</f>
        <v>0</v>
      </c>
    </row>
    <row r="88" customFormat="false" ht="15" hidden="false" customHeight="false" outlineLevel="0" collapsed="false">
      <c r="A88" s="56" t="s">
        <v>147</v>
      </c>
      <c r="B88" s="56" t="s">
        <v>210</v>
      </c>
      <c r="C88" s="56" t="s">
        <v>4</v>
      </c>
      <c r="D88" s="57" t="n">
        <f aca="false">SUMIFS(Entrada!$G$2:$G$202,Entrada!$B$2:$B$202,$A88,Entrada!$C$2:$C$202,$B88,Entrada!$K$2:$K$202,"Recebido no 2008")</f>
        <v>0</v>
      </c>
      <c r="E88" s="57" t="n">
        <f aca="false">SUMIFS(Entrada!$L$2:$L$202,Entrada!$B$2:$B$202,$A88,Entrada!$C$2:$C$202,$B88)</f>
        <v>1000</v>
      </c>
      <c r="F88" s="57" t="n">
        <f aca="false">SUMIFS(Saida!$R$2:$R$406,Saida!$B$2:$B$406,$A88,Saida!$C$2:$C$406,$B88)</f>
        <v>1000</v>
      </c>
      <c r="G88" s="57" t="n">
        <f aca="false">E88-F88</f>
        <v>0</v>
      </c>
      <c r="H88" s="57" t="n">
        <f aca="false">SUMIFS('Estoque físico'!$J$2:$J$229,'Estoque físico'!$A$2:$A$229,$A88,'Estoque físico'!$B$2:$B$229,$B88)</f>
        <v>0</v>
      </c>
      <c r="I88" s="72" t="n">
        <f aca="false">ROUND(H88-G88,3)</f>
        <v>0</v>
      </c>
      <c r="J88" s="56" t="str">
        <f aca="false">IF(ABS(I88)&lt;=Resumo!$C$7,"OK",IF(I88&gt;0,"Sobra no estoque","Falta no estoque"))</f>
        <v>OK</v>
      </c>
      <c r="K88" s="56" t="str">
        <f aca="false">IF(J88="OK","",IF(AND(E88=0,F88=0),"Estoque sem movimento no período",IF(G88&lt;0,"Saídas maiores que entradas – estoque anterior ao período?",IF(H88=0,"Saldo calculado sem estoque físico – verificar",IF(I88&gt;0,"Estoque acima do esperado – saldo anterior ou entrada não listada","Estoque abaixo do esperado – saída/ajuste não listado")))))</f>
        <v/>
      </c>
      <c r="L88" s="57" t="str">
        <f aca="false">IF(D88=0,"",D88-E88)</f>
        <v/>
      </c>
    </row>
    <row r="89" customFormat="false" ht="15" hidden="false" customHeight="false" outlineLevel="0" collapsed="false">
      <c r="A89" s="56" t="s">
        <v>147</v>
      </c>
      <c r="B89" s="56" t="s">
        <v>211</v>
      </c>
      <c r="C89" s="56" t="s">
        <v>4</v>
      </c>
      <c r="D89" s="57" t="n">
        <f aca="false">SUMIFS(Entrada!$G$2:$G$202,Entrada!$B$2:$B$202,$A89,Entrada!$C$2:$C$202,$B89,Entrada!$K$2:$K$202,"Recebido no 2008")</f>
        <v>4800</v>
      </c>
      <c r="E89" s="57" t="n">
        <f aca="false">SUMIFS(Entrada!$L$2:$L$202,Entrada!$B$2:$B$202,$A89,Entrada!$C$2:$C$202,$B89)</f>
        <v>5280</v>
      </c>
      <c r="F89" s="57" t="n">
        <f aca="false">SUMIFS(Saida!$R$2:$R$406,Saida!$B$2:$B$406,$A89,Saida!$C$2:$C$406,$B89)</f>
        <v>0</v>
      </c>
      <c r="G89" s="57" t="n">
        <f aca="false">E89-F89</f>
        <v>5280</v>
      </c>
      <c r="H89" s="57" t="n">
        <f aca="false">SUMIFS('Estoque físico'!$J$2:$J$229,'Estoque físico'!$A$2:$A$229,$A89,'Estoque físico'!$B$2:$B$229,$B89)</f>
        <v>5280</v>
      </c>
      <c r="I89" s="72" t="n">
        <f aca="false">ROUND(H89-G89,3)</f>
        <v>0</v>
      </c>
      <c r="J89" s="56" t="str">
        <f aca="false">IF(ABS(I89)&lt;=Resumo!$C$7,"OK",IF(I89&gt;0,"Sobra no estoque","Falta no estoque"))</f>
        <v>OK</v>
      </c>
      <c r="K89" s="56" t="str">
        <f aca="false">IF(J89="OK","",IF(AND(E89=0,F89=0),"Estoque sem movimento no período",IF(G89&lt;0,"Saídas maiores que entradas – estoque anterior ao período?",IF(H89=0,"Saldo calculado sem estoque físico – verificar",IF(I89&gt;0,"Estoque acima do esperado – saldo anterior ou entrada não listada","Estoque abaixo do esperado – saída/ajuste não listado")))))</f>
        <v/>
      </c>
      <c r="L89" s="57" t="n">
        <f aca="false">IF(D89=0,"",D89-E89)</f>
        <v>-480</v>
      </c>
    </row>
    <row r="90" customFormat="false" ht="15" hidden="false" customHeight="false" outlineLevel="0" collapsed="false">
      <c r="A90" s="56" t="s">
        <v>151</v>
      </c>
      <c r="B90" s="56" t="s">
        <v>212</v>
      </c>
      <c r="C90" s="56" t="s">
        <v>4</v>
      </c>
      <c r="D90" s="57" t="n">
        <f aca="false">SUMIFS(Entrada!$G$2:$G$202,Entrada!$B$2:$B$202,$A90,Entrada!$C$2:$C$202,$B90,Entrada!$K$2:$K$202,"Recebido no 2008")</f>
        <v>400</v>
      </c>
      <c r="E90" s="57" t="n">
        <f aca="false">SUMIFS(Entrada!$L$2:$L$202,Entrada!$B$2:$B$202,$A90,Entrada!$C$2:$C$202,$B90)</f>
        <v>0</v>
      </c>
      <c r="F90" s="57" t="n">
        <f aca="false">SUMIFS(Saida!$R$2:$R$406,Saida!$B$2:$B$406,$A90,Saida!$C$2:$C$406,$B90)</f>
        <v>0</v>
      </c>
      <c r="G90" s="57" t="n">
        <f aca="false">E90-F90</f>
        <v>0</v>
      </c>
      <c r="H90" s="57" t="n">
        <f aca="false">SUMIFS('Estoque físico'!$J$2:$J$229,'Estoque físico'!$A$2:$A$229,$A90,'Estoque físico'!$B$2:$B$229,$B90)</f>
        <v>0</v>
      </c>
      <c r="I90" s="72" t="n">
        <f aca="false">ROUND(H90-G90,3)</f>
        <v>0</v>
      </c>
      <c r="J90" s="56" t="str">
        <f aca="false">IF(ABS(I90)&lt;=Resumo!$C$7,"OK",IF(I90&gt;0,"Sobra no estoque","Falta no estoque"))</f>
        <v>OK</v>
      </c>
      <c r="K90" s="56" t="str">
        <f aca="false">IF(J90="OK","",IF(AND(E90=0,F90=0),"Estoque sem movimento no período",IF(G90&lt;0,"Saídas maiores que entradas – estoque anterior ao período?",IF(H90=0,"Saldo calculado sem estoque físico – verificar",IF(I90&gt;0,"Estoque acima do esperado – saldo anterior ou entrada não listada","Estoque abaixo do esperado – saída/ajuste não listado")))))</f>
        <v/>
      </c>
      <c r="L90" s="57" t="n">
        <f aca="false">IF(D90=0,"",D90-E90)</f>
        <v>400</v>
      </c>
    </row>
    <row r="91" customFormat="false" ht="15" hidden="false" customHeight="false" outlineLevel="0" collapsed="false">
      <c r="A91" s="56" t="s">
        <v>151</v>
      </c>
      <c r="B91" s="56" t="s">
        <v>213</v>
      </c>
      <c r="C91" s="56" t="s">
        <v>4</v>
      </c>
      <c r="D91" s="57" t="n">
        <f aca="false">SUMIFS(Entrada!$G$2:$G$202,Entrada!$B$2:$B$202,$A91,Entrada!$C$2:$C$202,$B91,Entrada!$K$2:$K$202,"Recebido no 2008")</f>
        <v>0</v>
      </c>
      <c r="E91" s="57" t="n">
        <f aca="false">SUMIFS(Entrada!$L$2:$L$202,Entrada!$B$2:$B$202,$A91,Entrada!$C$2:$C$202,$B91)</f>
        <v>400</v>
      </c>
      <c r="F91" s="57" t="n">
        <f aca="false">SUMIFS(Saida!$R$2:$R$406,Saida!$B$2:$B$406,$A91,Saida!$C$2:$C$406,$B91)</f>
        <v>120</v>
      </c>
      <c r="G91" s="57" t="n">
        <f aca="false">E91-F91</f>
        <v>280</v>
      </c>
      <c r="H91" s="57" t="n">
        <f aca="false">SUMIFS('Estoque físico'!$J$2:$J$229,'Estoque físico'!$A$2:$A$229,$A91,'Estoque físico'!$B$2:$B$229,$B91)</f>
        <v>280</v>
      </c>
      <c r="I91" s="72" t="n">
        <f aca="false">ROUND(H91-G91,3)</f>
        <v>0</v>
      </c>
      <c r="J91" s="56" t="str">
        <f aca="false">IF(ABS(I91)&lt;=Resumo!$C$7,"OK",IF(I91&gt;0,"Sobra no estoque","Falta no estoque"))</f>
        <v>OK</v>
      </c>
      <c r="K91" s="56" t="str">
        <f aca="false">IF(J91="OK","",IF(AND(E91=0,F91=0),"Estoque sem movimento no período",IF(G91&lt;0,"Saídas maiores que entradas – estoque anterior ao período?",IF(H91=0,"Saldo calculado sem estoque físico – verificar",IF(I91&gt;0,"Estoque acima do esperado – saldo anterior ou entrada não listada","Estoque abaixo do esperado – saída/ajuste não listado")))))</f>
        <v/>
      </c>
      <c r="L91" s="57" t="str">
        <f aca="false">IF(D91=0,"",D91-E91)</f>
        <v/>
      </c>
    </row>
    <row r="92" customFormat="false" ht="15" hidden="false" customHeight="false" outlineLevel="0" collapsed="false">
      <c r="A92" s="56" t="s">
        <v>154</v>
      </c>
      <c r="B92" s="56" t="s">
        <v>214</v>
      </c>
      <c r="C92" s="56" t="s">
        <v>4</v>
      </c>
      <c r="D92" s="57" t="n">
        <f aca="false">SUMIFS(Entrada!$G$2:$G$202,Entrada!$B$2:$B$202,$A92,Entrada!$C$2:$C$202,$B92,Entrada!$K$2:$K$202,"Recebido no 2008")</f>
        <v>1920</v>
      </c>
      <c r="E92" s="57" t="n">
        <f aca="false">SUMIFS(Entrada!$L$2:$L$202,Entrada!$B$2:$B$202,$A92,Entrada!$C$2:$C$202,$B92)</f>
        <v>0</v>
      </c>
      <c r="F92" s="57" t="n">
        <f aca="false">SUMIFS(Saida!$R$2:$R$406,Saida!$B$2:$B$406,$A92,Saida!$C$2:$C$406,$B92)</f>
        <v>0</v>
      </c>
      <c r="G92" s="57" t="n">
        <f aca="false">E92-F92</f>
        <v>0</v>
      </c>
      <c r="H92" s="57" t="n">
        <f aca="false">SUMIFS('Estoque físico'!$J$2:$J$229,'Estoque físico'!$A$2:$A$229,$A92,'Estoque físico'!$B$2:$B$229,$B92)</f>
        <v>0</v>
      </c>
      <c r="I92" s="72" t="n">
        <f aca="false">ROUND(H92-G92,3)</f>
        <v>0</v>
      </c>
      <c r="J92" s="56" t="str">
        <f aca="false">IF(ABS(I92)&lt;=Resumo!$C$7,"OK",IF(I92&gt;0,"Sobra no estoque","Falta no estoque"))</f>
        <v>OK</v>
      </c>
      <c r="K92" s="56" t="str">
        <f aca="false">IF(J92="OK","",IF(AND(E92=0,F92=0),"Estoque sem movimento no período",IF(G92&lt;0,"Saídas maiores que entradas – estoque anterior ao período?",IF(H92=0,"Saldo calculado sem estoque físico – verificar",IF(I92&gt;0,"Estoque acima do esperado – saldo anterior ou entrada não listada","Estoque abaixo do esperado – saída/ajuste não listado")))))</f>
        <v/>
      </c>
      <c r="L92" s="57" t="n">
        <f aca="false">IF(D92=0,"",D92-E92)</f>
        <v>1920</v>
      </c>
    </row>
    <row r="93" customFormat="false" ht="15" hidden="false" customHeight="false" outlineLevel="0" collapsed="false">
      <c r="A93" s="56" t="s">
        <v>156</v>
      </c>
      <c r="B93" s="56" t="s">
        <v>216</v>
      </c>
      <c r="C93" s="56" t="s">
        <v>4</v>
      </c>
      <c r="D93" s="57" t="n">
        <f aca="false">SUMIFS(Entrada!$G$2:$G$202,Entrada!$B$2:$B$202,$A93,Entrada!$C$2:$C$202,$B93,Entrada!$K$2:$K$202,"Recebido no 2008")</f>
        <v>3840</v>
      </c>
      <c r="E93" s="57" t="n">
        <f aca="false">SUMIFS(Entrada!$L$2:$L$202,Entrada!$B$2:$B$202,$A93,Entrada!$C$2:$C$202,$B93)</f>
        <v>1000</v>
      </c>
      <c r="F93" s="57" t="n">
        <f aca="false">SUMIFS(Saida!$R$2:$R$406,Saida!$B$2:$B$406,$A93,Saida!$C$2:$C$406,$B93)</f>
        <v>0</v>
      </c>
      <c r="G93" s="57" t="n">
        <f aca="false">E93-F93</f>
        <v>1000</v>
      </c>
      <c r="H93" s="57" t="n">
        <f aca="false">SUMIFS('Estoque físico'!$J$2:$J$229,'Estoque físico'!$A$2:$A$229,$A93,'Estoque físico'!$B$2:$B$229,$B93)</f>
        <v>1000</v>
      </c>
      <c r="I93" s="72" t="n">
        <f aca="false">ROUND(H93-G93,3)</f>
        <v>0</v>
      </c>
      <c r="J93" s="56" t="str">
        <f aca="false">IF(ABS(I93)&lt;=Resumo!$C$7,"OK",IF(I93&gt;0,"Sobra no estoque","Falta no estoque"))</f>
        <v>OK</v>
      </c>
      <c r="K93" s="56" t="str">
        <f aca="false">IF(J93="OK","",IF(AND(E93=0,F93=0),"Estoque sem movimento no período",IF(G93&lt;0,"Saídas maiores que entradas – estoque anterior ao período?",IF(H93=0,"Saldo calculado sem estoque físico – verificar",IF(I93&gt;0,"Estoque acima do esperado – saldo anterior ou entrada não listada","Estoque abaixo do esperado – saída/ajuste não listado")))))</f>
        <v/>
      </c>
      <c r="L93" s="57" t="n">
        <f aca="false">IF(D93=0,"",D93-E93)</f>
        <v>2840</v>
      </c>
    </row>
    <row r="94" customFormat="false" ht="15" hidden="false" customHeight="false" outlineLevel="0" collapsed="false">
      <c r="A94" s="56" t="s">
        <v>160</v>
      </c>
      <c r="B94" s="56" t="s">
        <v>217</v>
      </c>
      <c r="C94" s="56" t="s">
        <v>4</v>
      </c>
      <c r="D94" s="57" t="n">
        <f aca="false">SUMIFS(Entrada!$G$2:$G$202,Entrada!$B$2:$B$202,$A94,Entrada!$C$2:$C$202,$B94,Entrada!$K$2:$K$202,"Recebido no 2008")</f>
        <v>0</v>
      </c>
      <c r="E94" s="57" t="n">
        <f aca="false">SUMIFS(Entrada!$L$2:$L$202,Entrada!$B$2:$B$202,$A94,Entrada!$C$2:$C$202,$B94)</f>
        <v>53.2</v>
      </c>
      <c r="F94" s="57" t="n">
        <f aca="false">SUMIFS(Saida!$R$2:$R$406,Saida!$B$2:$B$406,$A94,Saida!$C$2:$C$406,$B94)</f>
        <v>19.6</v>
      </c>
      <c r="G94" s="57" t="n">
        <f aca="false">E94-F94</f>
        <v>33.6</v>
      </c>
      <c r="H94" s="57" t="n">
        <f aca="false">SUMIFS('Estoque físico'!$J$2:$J$229,'Estoque físico'!$A$2:$A$229,$A94,'Estoque físico'!$B$2:$B$229,$B94)</f>
        <v>33.6</v>
      </c>
      <c r="I94" s="72" t="n">
        <f aca="false">ROUND(H94-G94,3)</f>
        <v>0</v>
      </c>
      <c r="J94" s="56" t="str">
        <f aca="false">IF(ABS(I94)&lt;=Resumo!$C$7,"OK",IF(I94&gt;0,"Sobra no estoque","Falta no estoque"))</f>
        <v>OK</v>
      </c>
      <c r="K94" s="56" t="str">
        <f aca="false">IF(J94="OK","",IF(AND(E94=0,F94=0),"Estoque sem movimento no período",IF(G94&lt;0,"Saídas maiores que entradas – estoque anterior ao período?",IF(H94=0,"Saldo calculado sem estoque físico – verificar",IF(I94&gt;0,"Estoque acima do esperado – saldo anterior ou entrada não listada","Estoque abaixo do esperado – saída/ajuste não listado")))))</f>
        <v/>
      </c>
      <c r="L94" s="57" t="str">
        <f aca="false">IF(D94=0,"",D94-E94)</f>
        <v/>
      </c>
    </row>
    <row r="95" customFormat="false" ht="15" hidden="false" customHeight="false" outlineLevel="0" collapsed="false">
      <c r="A95" s="56" t="s">
        <v>160</v>
      </c>
      <c r="B95" s="56" t="s">
        <v>218</v>
      </c>
      <c r="C95" s="56" t="s">
        <v>4</v>
      </c>
      <c r="D95" s="57" t="n">
        <f aca="false">SUMIFS(Entrada!$G$2:$G$202,Entrada!$B$2:$B$202,$A95,Entrada!$C$2:$C$202,$B95,Entrada!$K$2:$K$202,"Recebido no 2008")</f>
        <v>0</v>
      </c>
      <c r="E95" s="57" t="n">
        <f aca="false">SUMIFS(Entrada!$L$2:$L$202,Entrada!$B$2:$B$202,$A95,Entrada!$C$2:$C$202,$B95)</f>
        <v>627.2</v>
      </c>
      <c r="F95" s="57" t="n">
        <f aca="false">SUMIFS(Saida!$R$2:$R$406,Saida!$B$2:$B$406,$A95,Saida!$C$2:$C$406,$B95)</f>
        <v>0</v>
      </c>
      <c r="G95" s="57" t="n">
        <f aca="false">E95-F95</f>
        <v>627.2</v>
      </c>
      <c r="H95" s="57" t="n">
        <f aca="false">SUMIFS('Estoque físico'!$J$2:$J$229,'Estoque físico'!$A$2:$A$229,$A95,'Estoque físico'!$B$2:$B$229,$B95)</f>
        <v>627.2</v>
      </c>
      <c r="I95" s="72" t="n">
        <f aca="false">ROUND(H95-G95,3)</f>
        <v>0</v>
      </c>
      <c r="J95" s="56" t="str">
        <f aca="false">IF(ABS(I95)&lt;=Resumo!$C$7,"OK",IF(I95&gt;0,"Sobra no estoque","Falta no estoque"))</f>
        <v>OK</v>
      </c>
      <c r="K95" s="56" t="str">
        <f aca="false">IF(J95="OK","",IF(AND(E95=0,F95=0),"Estoque sem movimento no período",IF(G95&lt;0,"Saídas maiores que entradas – estoque anterior ao período?",IF(H95=0,"Saldo calculado sem estoque físico – verificar",IF(I95&gt;0,"Estoque acima do esperado – saldo anterior ou entrada não listada","Estoque abaixo do esperado – saída/ajuste não listado")))))</f>
        <v/>
      </c>
      <c r="L95" s="57" t="str">
        <f aca="false">IF(D95=0,"",D95-E95)</f>
        <v/>
      </c>
    </row>
    <row r="96" customFormat="false" ht="15" hidden="false" customHeight="false" outlineLevel="0" collapsed="false">
      <c r="A96" s="56" t="s">
        <v>160</v>
      </c>
      <c r="B96" s="56" t="s">
        <v>219</v>
      </c>
      <c r="C96" s="56" t="s">
        <v>4</v>
      </c>
      <c r="D96" s="57" t="n">
        <f aca="false">SUMIFS(Entrada!$G$2:$G$202,Entrada!$B$2:$B$202,$A96,Entrada!$C$2:$C$202,$B96,Entrada!$K$2:$K$202,"Recebido no 2008")</f>
        <v>204.4</v>
      </c>
      <c r="E96" s="57" t="n">
        <f aca="false">SUMIFS(Entrada!$L$2:$L$202,Entrada!$B$2:$B$202,$A96,Entrada!$C$2:$C$202,$B96)</f>
        <v>0</v>
      </c>
      <c r="F96" s="57" t="n">
        <f aca="false">SUMIFS(Saida!$R$2:$R$406,Saida!$B$2:$B$406,$A96,Saida!$C$2:$C$406,$B96)</f>
        <v>0</v>
      </c>
      <c r="G96" s="57" t="n">
        <f aca="false">E96-F96</f>
        <v>0</v>
      </c>
      <c r="H96" s="57" t="n">
        <f aca="false">SUMIFS('Estoque físico'!$J$2:$J$229,'Estoque físico'!$A$2:$A$229,$A96,'Estoque físico'!$B$2:$B$229,$B96)</f>
        <v>0</v>
      </c>
      <c r="I96" s="72" t="n">
        <f aca="false">ROUND(H96-G96,3)</f>
        <v>0</v>
      </c>
      <c r="J96" s="56" t="str">
        <f aca="false">IF(ABS(I96)&lt;=Resumo!$C$7,"OK",IF(I96&gt;0,"Sobra no estoque","Falta no estoque"))</f>
        <v>OK</v>
      </c>
      <c r="K96" s="56" t="str">
        <f aca="false">IF(J96="OK","",IF(AND(E96=0,F96=0),"Estoque sem movimento no período",IF(G96&lt;0,"Saídas maiores que entradas – estoque anterior ao período?",IF(H96=0,"Saldo calculado sem estoque físico – verificar",IF(I96&gt;0,"Estoque acima do esperado – saldo anterior ou entrada não listada","Estoque abaixo do esperado – saída/ajuste não listado")))))</f>
        <v/>
      </c>
      <c r="L96" s="57" t="n">
        <f aca="false">IF(D96=0,"",D96-E96)</f>
        <v>204.4</v>
      </c>
    </row>
    <row r="97" customFormat="false" ht="15" hidden="false" customHeight="false" outlineLevel="0" collapsed="false">
      <c r="A97" s="56" t="s">
        <v>160</v>
      </c>
      <c r="B97" s="56" t="s">
        <v>220</v>
      </c>
      <c r="C97" s="56" t="s">
        <v>4</v>
      </c>
      <c r="D97" s="57" t="n">
        <f aca="false">SUMIFS(Entrada!$G$2:$G$202,Entrada!$B$2:$B$202,$A97,Entrada!$C$2:$C$202,$B97,Entrada!$K$2:$K$202,"Recebido no 2008")</f>
        <v>638.4</v>
      </c>
      <c r="E97" s="57" t="n">
        <f aca="false">SUMIFS(Entrada!$L$2:$L$202,Entrada!$B$2:$B$202,$A97,Entrada!$C$2:$C$202,$B97)</f>
        <v>0</v>
      </c>
      <c r="F97" s="57" t="n">
        <f aca="false">SUMIFS(Saida!$R$2:$R$406,Saida!$B$2:$B$406,$A97,Saida!$C$2:$C$406,$B97)</f>
        <v>0</v>
      </c>
      <c r="G97" s="57" t="n">
        <f aca="false">E97-F97</f>
        <v>0</v>
      </c>
      <c r="H97" s="57" t="n">
        <f aca="false">SUMIFS('Estoque físico'!$J$2:$J$229,'Estoque físico'!$A$2:$A$229,$A97,'Estoque físico'!$B$2:$B$229,$B97)</f>
        <v>0</v>
      </c>
      <c r="I97" s="72" t="n">
        <f aca="false">ROUND(H97-G97,3)</f>
        <v>0</v>
      </c>
      <c r="J97" s="56" t="str">
        <f aca="false">IF(ABS(I97)&lt;=Resumo!$C$7,"OK",IF(I97&gt;0,"Sobra no estoque","Falta no estoque"))</f>
        <v>OK</v>
      </c>
      <c r="K97" s="56" t="str">
        <f aca="false">IF(J97="OK","",IF(AND(E97=0,F97=0),"Estoque sem movimento no período",IF(G97&lt;0,"Saídas maiores que entradas – estoque anterior ao período?",IF(H97=0,"Saldo calculado sem estoque físico – verificar",IF(I97&gt;0,"Estoque acima do esperado – saldo anterior ou entrada não listada","Estoque abaixo do esperado – saída/ajuste não listado")))))</f>
        <v/>
      </c>
      <c r="L97" s="57" t="n">
        <f aca="false">IF(D97=0,"",D97-E97)</f>
        <v>638.4</v>
      </c>
    </row>
    <row r="98" customFormat="false" ht="15" hidden="false" customHeight="false" outlineLevel="0" collapsed="false">
      <c r="A98" s="56" t="s">
        <v>160</v>
      </c>
      <c r="B98" s="56" t="s">
        <v>221</v>
      </c>
      <c r="C98" s="56" t="s">
        <v>4</v>
      </c>
      <c r="D98" s="57" t="n">
        <f aca="false">SUMIFS(Entrada!$G$2:$G$202,Entrada!$B$2:$B$202,$A98,Entrada!$C$2:$C$202,$B98,Entrada!$K$2:$K$202,"Recebido no 2008")</f>
        <v>1979.6</v>
      </c>
      <c r="E98" s="57" t="n">
        <f aca="false">SUMIFS(Entrada!$L$2:$L$202,Entrada!$B$2:$B$202,$A98,Entrada!$C$2:$C$202,$B98)</f>
        <v>0</v>
      </c>
      <c r="F98" s="57" t="n">
        <f aca="false">SUMIFS(Saida!$R$2:$R$406,Saida!$B$2:$B$406,$A98,Saida!$C$2:$C$406,$B98)</f>
        <v>0</v>
      </c>
      <c r="G98" s="57" t="n">
        <f aca="false">E98-F98</f>
        <v>0</v>
      </c>
      <c r="H98" s="57" t="n">
        <f aca="false">SUMIFS('Estoque físico'!$J$2:$J$229,'Estoque físico'!$A$2:$A$229,$A98,'Estoque físico'!$B$2:$B$229,$B98)</f>
        <v>0</v>
      </c>
      <c r="I98" s="72" t="n">
        <f aca="false">ROUND(H98-G98,3)</f>
        <v>0</v>
      </c>
      <c r="J98" s="56" t="str">
        <f aca="false">IF(ABS(I98)&lt;=Resumo!$C$7,"OK",IF(I98&gt;0,"Sobra no estoque","Falta no estoque"))</f>
        <v>OK</v>
      </c>
      <c r="K98" s="56" t="str">
        <f aca="false">IF(J98="OK","",IF(AND(E98=0,F98=0),"Estoque sem movimento no período",IF(G98&lt;0,"Saídas maiores que entradas – estoque anterior ao período?",IF(H98=0,"Saldo calculado sem estoque físico – verificar",IF(I98&gt;0,"Estoque acima do esperado – saldo anterior ou entrada não listada","Estoque abaixo do esperado – saída/ajuste não listado")))))</f>
        <v/>
      </c>
      <c r="L98" s="57" t="n">
        <f aca="false">IF(D98=0,"",D98-E98)</f>
        <v>1979.6</v>
      </c>
    </row>
    <row r="99" customFormat="false" ht="15" hidden="false" customHeight="false" outlineLevel="0" collapsed="false">
      <c r="A99" s="46" t="s">
        <v>1671</v>
      </c>
      <c r="D99" s="72" t="n">
        <f aca="false">SUM(D5:D98)</f>
        <v>78599.5</v>
      </c>
      <c r="E99" s="72" t="n">
        <f aca="false">SUM(E5:E98)</f>
        <v>72968.03</v>
      </c>
      <c r="F99" s="72" t="n">
        <f aca="false">SUM(F5:F98)</f>
        <v>29384.8</v>
      </c>
      <c r="G99" s="72" t="n">
        <f aca="false">SUM(G5:G98)</f>
        <v>43583.23</v>
      </c>
      <c r="H99" s="72" t="n">
        <f aca="false">SUM(H5:H98)</f>
        <v>63256.456</v>
      </c>
      <c r="I99" s="72" t="n">
        <f aca="false">SUM(I5:I98)</f>
        <v>19673.226</v>
      </c>
      <c r="L99" s="72" t="n">
        <f aca="false">SUM(L5:L98)</f>
        <v>50745.6</v>
      </c>
    </row>
  </sheetData>
  <autoFilter ref="A4:L98"/>
  <conditionalFormatting sqref="A5:L98">
    <cfRule type="expression" priority="2" aboveAverage="0" equalAverage="0" bottom="0" percent="0" rank="0" text="" dxfId="18">
      <formula>$J5="Falta no estoque"</formula>
    </cfRule>
    <cfRule type="expression" priority="3" aboveAverage="0" equalAverage="0" bottom="0" percent="0" rank="0" text="" dxfId="19">
      <formula>$J5="Sobra no estoque"</formula>
    </cfRule>
  </conditionalFormatting>
  <conditionalFormatting sqref="J5:J98">
    <cfRule type="expression" priority="4" aboveAverage="0" equalAverage="0" bottom="0" percent="0" rank="0" text="" dxfId="20">
      <formula>$J5="OK"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2026-10-02T01:36:25Z</dcterms:created>
  <dc:creator>openpyxl</dc:creator>
  <dc:description/>
  <dc:language>en-US</dc:language>
  <cp:lastModifiedBy/>
  <dcterms:modified xsi:type="dcterms:W3CDTF">2026-10-02T01:36:29Z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