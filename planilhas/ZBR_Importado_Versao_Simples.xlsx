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Produtos" sheetId="2" state="visible" r:id="rId4"/>
    <sheet name="O Que Fazer" sheetId="3" state="visible" r:id="rId5"/>
    <sheet name="Depósito 2008" sheetId="4" state="visible" r:id="rId6"/>
    <sheet name="Palavr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<sst xmlns="http://schemas.openxmlformats.org/spreadsheetml/2006/main" count="1072" uniqueCount="298">
  <si>
    <t xml:space="preserve">Estoque ZBR Importado</t>
  </si>
  <si>
    <t xml:space="preserve">Resumo fácil · movimentos de 9 de setembro a 1º de outubro de 2026</t>
  </si>
  <si>
    <t xml:space="preserve">✔ ESTÃO CERTOS</t>
  </si>
  <si>
    <t xml:space="preserve">⚠ TÊM DIFERENÇA</t>
  </si>
  <si>
    <t xml:space="preserve">❗ URGENTES</t>
  </si>
  <si>
    <t xml:space="preserve">66 de 94</t>
  </si>
  <si>
    <t xml:space="preserve">28</t>
  </si>
  <si>
    <t xml:space="preserve">3</t>
  </si>
  <si>
    <t xml:space="preserve">70% dos produtos e lotes</t>
  </si>
  <si>
    <t xml:space="preserve">veja a aba "Produtos"</t>
  </si>
  <si>
    <t xml:space="preserve">resolver primeiro (aba "O Que Fazer")</t>
  </si>
  <si>
    <t xml:space="preserve">📦 No depósito 2008 (onde chega a importação) há 54,3 toneladas paradas em 33 lotes, esperando ir para o estoque de venda.</t>
  </si>
  <si>
    <t xml:space="preserve">COMO LER</t>
  </si>
  <si>
    <t xml:space="preserve">• Cada linha é um produto (código SKU) em um lote.</t>
  </si>
  <si>
    <t xml:space="preserve">• "Deveria ter" é o que o sistema diz que entrou menos o que saiu. "Tem" é o que está no estoque.</t>
  </si>
  <si>
    <t xml:space="preserve">• Se os dois números são iguais, está certo. Se não, existe uma diferença.</t>
  </si>
  <si>
    <t xml:space="preserve">• Cores: verde = certo · amarelo = sobrando · vermelho = faltando ou urgente.</t>
  </si>
  <si>
    <t xml:space="preserve">O QUE FAZER PRIMEIRO</t>
  </si>
  <si>
    <t xml:space="preserve">❗ CHK-R30GOLD-BR-25A (lote 261130301): Tem menos do que deveria e não achamos o motivo nos dados. → Contar o lote. Se faltar mesmo, avisar para corrigir no sistema.</t>
  </si>
  <si>
    <t xml:space="preserve">❗ CHM-TS-P23-E0-999 (lote 2605567696): Entrou no sistema, mas não foi encontrado no estoque. → Procurar no armazém. Se não achar, contar e corrigir no sistema.</t>
  </si>
  <si>
    <t xml:space="preserve">❗ BIG-PF-1BO-401 (lote 26044019): Tem menos do que deveria e não achamos o motivo nos dados. → Contar o lote. Se faltar mesmo, avisar para corrigir no sistema.</t>
  </si>
  <si>
    <t xml:space="preserve">ABAS DESTA PLANILHA (clique para abrir)</t>
  </si>
  <si>
    <t xml:space="preserve">→ Produtos</t>
  </si>
  <si>
    <t xml:space="preserve">Todos os produtos e lotes: certo, sobrando ou faltando, e o porquê.</t>
  </si>
  <si>
    <t xml:space="preserve">→ O Que Fazer</t>
  </si>
  <si>
    <t xml:space="preserve">Só os que têm problema, do mais urgente ao menos urgente.</t>
  </si>
  <si>
    <t xml:space="preserve">→ Depósito 2008</t>
  </si>
  <si>
    <t xml:space="preserve">Importação que chegou e ainda não foi para o estoque de venda.</t>
  </si>
  <si>
    <t xml:space="preserve">→ Palavras</t>
  </si>
  <si>
    <t xml:space="preserve">O que significa cada termo.</t>
  </si>
  <si>
    <t xml:space="preserve">Números calculados a partir do relatório completo "ZBR_Importado_Relatorio_Gestao.xlsx" (versão para analistas, com todas as contas).</t>
  </si>
  <si>
    <t xml:space="preserve">Produtos e lotes</t>
  </si>
  <si>
    <t xml:space="preserve">◄ Voltar ao início</t>
  </si>
  <si>
    <t xml:space="preserve">Use as setas do cabeçalho para filtrar (por exemplo, só "▼ Faltando"). As linhas mais importantes estão em cima.</t>
  </si>
  <si>
    <t xml:space="preserve">Situação</t>
  </si>
  <si>
    <t xml:space="preserve">Produto (SKU)</t>
  </si>
  <si>
    <t xml:space="preserve">Lote</t>
  </si>
  <si>
    <t xml:space="preserve">Descrição</t>
  </si>
  <si>
    <t xml:space="preserve">Deveria ter</t>
  </si>
  <si>
    <t xml:space="preserve">Tem no estoque</t>
  </si>
  <si>
    <t xml:space="preserve">Diferença</t>
  </si>
  <si>
    <t xml:space="preserve">Unidade</t>
  </si>
  <si>
    <t xml:space="preserve">O que aconteceu</t>
  </si>
  <si>
    <t xml:space="preserve">O que fazer</t>
  </si>
  <si>
    <t xml:space="preserve">Prioridade</t>
  </si>
  <si>
    <t xml:space="preserve">▼ Faltando</t>
  </si>
  <si>
    <t xml:space="preserve">CHK-R30GOLD-BR-25A</t>
  </si>
  <si>
    <t xml:space="preserve">261130301</t>
  </si>
  <si>
    <t xml:space="preserve">CA MOEDAS 2,01KG/UC 10UC/CX 30CX/PAL</t>
  </si>
  <si>
    <t xml:space="preserve">kg</t>
  </si>
  <si>
    <t xml:space="preserve">Tem menos do que deveria e não achamos o motivo nos dados.</t>
  </si>
  <si>
    <t xml:space="preserve">Contar o lote. Se faltar mesmo, avisar para corrigir no sistema.</t>
  </si>
  <si>
    <t xml:space="preserve">Urgente</t>
  </si>
  <si>
    <t xml:space="preserve">CHM-TS-P23-E0-999</t>
  </si>
  <si>
    <t xml:space="preserve">2605567696</t>
  </si>
  <si>
    <t xml:space="preserve">Entrou no sistema, mas não foi encontrado no estoque.</t>
  </si>
  <si>
    <t xml:space="preserve">Procurar no armazém. Se não achar, contar e corrigir no sistema.</t>
  </si>
  <si>
    <t xml:space="preserve">BIG-PF-1BO-401</t>
  </si>
  <si>
    <t xml:space="preserve">26044019</t>
  </si>
  <si>
    <t xml:space="preserve">CB PAILLETÉ FEUILLETINE 2.5KG/UC 4UC/BOX</t>
  </si>
  <si>
    <t xml:space="preserve">▲ Sobrando</t>
  </si>
  <si>
    <t xml:space="preserve">CHM-SP-Z3L-BR-U73</t>
  </si>
  <si>
    <t xml:space="preserve">251880301</t>
  </si>
  <si>
    <t xml:space="preserve">CA MILK LARGE FLAKES SPLITTERS 1KG/UC</t>
  </si>
  <si>
    <t xml:space="preserve">Tem mais do que deveria; parte é estoque antigo, o resto precisa ser conferido.</t>
  </si>
  <si>
    <t xml:space="preserve">Contar o lote e corrigir a diferença no sistema.</t>
  </si>
  <si>
    <t xml:space="preserve">Alta</t>
  </si>
  <si>
    <t xml:space="preserve">823-BR-D94</t>
  </si>
  <si>
    <t xml:space="preserve">252103049</t>
  </si>
  <si>
    <t xml:space="preserve">CA MOEDAS 0,4KG/UC 7UC/CX 144CX/PAL</t>
  </si>
  <si>
    <t xml:space="preserve">W3-BR-25A</t>
  </si>
  <si>
    <t xml:space="preserve">253540301</t>
  </si>
  <si>
    <t xml:space="preserve">CHP-20SICHP-760</t>
  </si>
  <si>
    <t xml:space="preserve">252843369</t>
  </si>
  <si>
    <t xml:space="preserve">CA SILKY CHOCO POWDER POWDER 1KG/UC</t>
  </si>
  <si>
    <t xml:space="preserve">CHD-BB-308BY-357</t>
  </si>
  <si>
    <t xml:space="preserve">250827800</t>
  </si>
  <si>
    <t xml:space="preserve">CB EXTRUDED 8CM STICKS 1.6KG/UC 15UC/BOX</t>
  </si>
  <si>
    <t xml:space="preserve">un</t>
  </si>
  <si>
    <t xml:space="preserve">811-BR-D94</t>
  </si>
  <si>
    <t xml:space="preserve">251643289</t>
  </si>
  <si>
    <t xml:space="preserve">Média</t>
  </si>
  <si>
    <t xml:space="preserve">CHD-SP-9Z4-BR-U73</t>
  </si>
  <si>
    <t xml:space="preserve">250500301</t>
  </si>
  <si>
    <t xml:space="preserve">96_FU:CHD-SP-1L-BR-U73</t>
  </si>
  <si>
    <t xml:space="preserve">CHM-BS-9U15-E0-07B</t>
  </si>
  <si>
    <t xml:space="preserve">260701069</t>
  </si>
  <si>
    <t xml:space="preserve">CA MILK BLOSSOMS BLOSSOMS 1KG/UC 4UC/BOX</t>
  </si>
  <si>
    <t xml:space="preserve">Tem mais do que deveria e não achamos o motivo nos dados.</t>
  </si>
  <si>
    <t xml:space="preserve">CW2-BR-25A</t>
  </si>
  <si>
    <t xml:space="preserve">252650301</t>
  </si>
  <si>
    <t xml:space="preserve">2611378000</t>
  </si>
  <si>
    <t xml:space="preserve">805-BR-D94</t>
  </si>
  <si>
    <t xml:space="preserve">251633359</t>
  </si>
  <si>
    <t xml:space="preserve">Foi vendido ou entregue, mas ainda aparece no estoque (faltou dar baixa).</t>
  </si>
  <si>
    <t xml:space="preserve">Pedir para dar baixa das entregas no sistema.</t>
  </si>
  <si>
    <t xml:space="preserve">Baixa</t>
  </si>
  <si>
    <t xml:space="preserve">253470301</t>
  </si>
  <si>
    <t xml:space="preserve">70-30-38-BR-25A</t>
  </si>
  <si>
    <t xml:space="preserve">260370301</t>
  </si>
  <si>
    <t xml:space="preserve">811-BR-25A</t>
  </si>
  <si>
    <t xml:space="preserve">250880301</t>
  </si>
  <si>
    <t xml:space="preserve">É estoque antigo, de antes de 9 de setembro.</t>
  </si>
  <si>
    <t xml:space="preserve">Confirmar o estoque de 8 de setembro. Se estiver certo, nada a fazer.</t>
  </si>
  <si>
    <t xml:space="preserve">70-30-38-BR-D94</t>
  </si>
  <si>
    <t xml:space="preserve">253213449</t>
  </si>
  <si>
    <t xml:space="preserve">NIBS-S502-X47</t>
  </si>
  <si>
    <t xml:space="preserve">242643099</t>
  </si>
  <si>
    <t xml:space="preserve">CA NIBS S 0.8KG/UC 4UC/BOX 120BOX/PAL</t>
  </si>
  <si>
    <t xml:space="preserve">cx</t>
  </si>
  <si>
    <t xml:space="preserve">Foi lançado no lote errado: a mesma quantidade aparece em outro lote.</t>
  </si>
  <si>
    <t xml:space="preserve">Corrigir o lote no sistema.</t>
  </si>
  <si>
    <t xml:space="preserve">253490619</t>
  </si>
  <si>
    <t xml:space="preserve">253620301</t>
  </si>
  <si>
    <t xml:space="preserve">823-BR-25A</t>
  </si>
  <si>
    <t xml:space="preserve">252900303</t>
  </si>
  <si>
    <t xml:space="preserve">CHK-R30GOLD-E0-D94</t>
  </si>
  <si>
    <t xml:space="preserve">260720939</t>
  </si>
  <si>
    <t xml:space="preserve">CA CALLETS 0.4KG/UC 7UC/BOX 144BOX/PAL</t>
  </si>
  <si>
    <t xml:space="preserve">2529678000</t>
  </si>
  <si>
    <t xml:space="preserve">CHM-CU-7X80-E5-U70</t>
  </si>
  <si>
    <t xml:space="preserve">2528749307</t>
  </si>
  <si>
    <t xml:space="preserve">CA CHOCOCUBES CHUNKS 700CT/KG 2.5KG/UC</t>
  </si>
  <si>
    <t xml:space="preserve">252450301</t>
  </si>
  <si>
    <t xml:space="preserve">252350301</t>
  </si>
  <si>
    <t xml:space="preserve">Está parado na doca ou em transferência, ainda não foi guardado.</t>
  </si>
  <si>
    <t xml:space="preserve">Guardar a mercadoria na posição ou dar baixa da entrega.</t>
  </si>
  <si>
    <t xml:space="preserve">261080301</t>
  </si>
  <si>
    <t xml:space="preserve">✔ Certo</t>
  </si>
  <si>
    <t xml:space="preserve">2665-E4-U71</t>
  </si>
  <si>
    <t xml:space="preserve">252800202</t>
  </si>
  <si>
    <t xml:space="preserve">Tudo certo.</t>
  </si>
  <si>
    <t xml:space="preserve">—</t>
  </si>
  <si>
    <t xml:space="preserve">260070301</t>
  </si>
  <si>
    <t xml:space="preserve">260130779</t>
  </si>
  <si>
    <t xml:space="preserve">811NV-132</t>
  </si>
  <si>
    <t xml:space="preserve">252510301</t>
  </si>
  <si>
    <t xml:space="preserve">96_FU:811NV-50C_CA BLOCKS 5KG/UC 5UC</t>
  </si>
  <si>
    <t xml:space="preserve">253280301</t>
  </si>
  <si>
    <t xml:space="preserve">811NV-595</t>
  </si>
  <si>
    <t xml:space="preserve">260900702</t>
  </si>
  <si>
    <t xml:space="preserve">CA CALLETS 10KG/UC 2UC/BOX 30BOX/PAL</t>
  </si>
  <si>
    <t xml:space="preserve">260920702</t>
  </si>
  <si>
    <t xml:space="preserve">261146101</t>
  </si>
  <si>
    <t xml:space="preserve">261146102</t>
  </si>
  <si>
    <t xml:space="preserve">252100301</t>
  </si>
  <si>
    <t xml:space="preserve">252940301</t>
  </si>
  <si>
    <t xml:space="preserve">823NV-132</t>
  </si>
  <si>
    <t xml:space="preserve">260880201</t>
  </si>
  <si>
    <t xml:space="preserve">823NV-595</t>
  </si>
  <si>
    <t xml:space="preserve">260416102</t>
  </si>
  <si>
    <t xml:space="preserve">261376101</t>
  </si>
  <si>
    <t xml:space="preserve">26093039</t>
  </si>
  <si>
    <t xml:space="preserve">26126039</t>
  </si>
  <si>
    <t xml:space="preserve">2529778000</t>
  </si>
  <si>
    <t xml:space="preserve">2609078000</t>
  </si>
  <si>
    <t xml:space="preserve">2609178000</t>
  </si>
  <si>
    <t xml:space="preserve">CHD-DR-75Y5-E1-U68</t>
  </si>
  <si>
    <t xml:space="preserve">252810301</t>
  </si>
  <si>
    <t xml:space="preserve">CB CHIPS 7500CT/KG 1KG/UC 6UC/CX</t>
  </si>
  <si>
    <t xml:space="preserve">CHD-SP-1M-2B-U77</t>
  </si>
  <si>
    <t xml:space="preserve">260880101</t>
  </si>
  <si>
    <t xml:space="preserve">CHD-SP-1M-BR-U73</t>
  </si>
  <si>
    <t xml:space="preserve">260310301</t>
  </si>
  <si>
    <t xml:space="preserve">260880301</t>
  </si>
  <si>
    <t xml:space="preserve">CHD-TS-22350E0-999</t>
  </si>
  <si>
    <t xml:space="preserve">2520443650</t>
  </si>
  <si>
    <t xml:space="preserve">CHD-VR-Z2S-E0-U68</t>
  </si>
  <si>
    <t xml:space="preserve">261160301</t>
  </si>
  <si>
    <t xml:space="preserve">CHK-D-413</t>
  </si>
  <si>
    <t xml:space="preserve">261756201</t>
  </si>
  <si>
    <t xml:space="preserve">252750301</t>
  </si>
  <si>
    <t xml:space="preserve">CHK-W-413</t>
  </si>
  <si>
    <t xml:space="preserve">260536201</t>
  </si>
  <si>
    <t xml:space="preserve">CHM-Q41ALUN-2B-U73</t>
  </si>
  <si>
    <t xml:space="preserve">260660303</t>
  </si>
  <si>
    <t xml:space="preserve">CHM-SP-Z3L-E0-U72</t>
  </si>
  <si>
    <t xml:space="preserve">253100102</t>
  </si>
  <si>
    <t xml:space="preserve">260580101</t>
  </si>
  <si>
    <t xml:space="preserve">CHM-TS-22351E0-999</t>
  </si>
  <si>
    <t xml:space="preserve">2522444420</t>
  </si>
  <si>
    <t xml:space="preserve">2525950306</t>
  </si>
  <si>
    <t xml:space="preserve">2526050307</t>
  </si>
  <si>
    <t xml:space="preserve">CHM-VR-Z3S-E0-U68</t>
  </si>
  <si>
    <t xml:space="preserve">260400301</t>
  </si>
  <si>
    <t xml:space="preserve">CHM-VR-Z3S-E0-U72</t>
  </si>
  <si>
    <t xml:space="preserve">260600103</t>
  </si>
  <si>
    <t xml:space="preserve">CHR-Q37RB2-2B-U75</t>
  </si>
  <si>
    <t xml:space="preserve">261320202</t>
  </si>
  <si>
    <t xml:space="preserve">CA RUBY CALLETS 2.5KG/UC 4UC/BOX</t>
  </si>
  <si>
    <t xml:space="preserve">261320203</t>
  </si>
  <si>
    <t xml:space="preserve">CHR-Q37RB2-E0-D94</t>
  </si>
  <si>
    <t xml:space="preserve">261301539</t>
  </si>
  <si>
    <t xml:space="preserve">252590301</t>
  </si>
  <si>
    <t xml:space="preserve">261070301</t>
  </si>
  <si>
    <t xml:space="preserve">CW2NV-595</t>
  </si>
  <si>
    <t xml:space="preserve">260850602</t>
  </si>
  <si>
    <t xml:space="preserve">261070601</t>
  </si>
  <si>
    <t xml:space="preserve">DCP-10BONOI-89B</t>
  </si>
  <si>
    <t xml:space="preserve">260778132</t>
  </si>
  <si>
    <t xml:space="preserve">CA BOTANICAL NOIR INTENSE 1KG/UC 6UC/BOX</t>
  </si>
  <si>
    <t xml:space="preserve">DCP-20BODEC-89B</t>
  </si>
  <si>
    <t xml:space="preserve">261388131</t>
  </si>
  <si>
    <t xml:space="preserve">DCP-22ZEPLA-89B</t>
  </si>
  <si>
    <t xml:space="preserve">260348131</t>
  </si>
  <si>
    <t xml:space="preserve">260358131</t>
  </si>
  <si>
    <t xml:space="preserve">GIA-145</t>
  </si>
  <si>
    <t xml:space="preserve">2518442009</t>
  </si>
  <si>
    <t xml:space="preserve">CA BLOCKS 5KG/UC 5UC/BOX 40BOX/PAL</t>
  </si>
  <si>
    <t xml:space="preserve">MALCHOC-D-123</t>
  </si>
  <si>
    <t xml:space="preserve">261060203</t>
  </si>
  <si>
    <t xml:space="preserve">252643099</t>
  </si>
  <si>
    <t xml:space="preserve">252683099</t>
  </si>
  <si>
    <t xml:space="preserve">260341149</t>
  </si>
  <si>
    <t xml:space="preserve">260611429</t>
  </si>
  <si>
    <t xml:space="preserve">260691479</t>
  </si>
  <si>
    <t xml:space="preserve">PNP-T14</t>
  </si>
  <si>
    <t xml:space="preserve">2608294084</t>
  </si>
  <si>
    <t xml:space="preserve">CA 5KG/UC 2UC/BOX 50BOX/PAL</t>
  </si>
  <si>
    <t xml:space="preserve">2613495951</t>
  </si>
  <si>
    <t xml:space="preserve">PRA-T14</t>
  </si>
  <si>
    <t xml:space="preserve">2611295089</t>
  </si>
  <si>
    <t xml:space="preserve">2611895339</t>
  </si>
  <si>
    <t xml:space="preserve">SPLIT-4-D-413</t>
  </si>
  <si>
    <t xml:space="preserve">261826201</t>
  </si>
  <si>
    <t xml:space="preserve">SPLIT-4-M-413</t>
  </si>
  <si>
    <t xml:space="preserve">261596201</t>
  </si>
  <si>
    <t xml:space="preserve">W2-BR-D94</t>
  </si>
  <si>
    <t xml:space="preserve">252232739</t>
  </si>
  <si>
    <t xml:space="preserve">260700919</t>
  </si>
  <si>
    <t xml:space="preserve">261131599</t>
  </si>
  <si>
    <t xml:space="preserve">261181599</t>
  </si>
  <si>
    <t xml:space="preserve">261391599</t>
  </si>
  <si>
    <t xml:space="preserve">Só os produtos com problema, do mais urgente ao menos urgente. Preencha "Quem vai fazer", "Até quando" e "Feito?".</t>
  </si>
  <si>
    <t xml:space="preserve">Nº</t>
  </si>
  <si>
    <t xml:space="preserve">O problema</t>
  </si>
  <si>
    <t xml:space="preserve">Quem vai fazer</t>
  </si>
  <si>
    <t xml:space="preserve">Até quando</t>
  </si>
  <si>
    <t xml:space="preserve">Feito?</t>
  </si>
  <si>
    <t xml:space="preserve">Faltam 442 kg. Tem menos do que deveria e não achamos o motivo nos dados.</t>
  </si>
  <si>
    <t xml:space="preserve">Não</t>
  </si>
  <si>
    <t xml:space="preserve">Faltam 261 kg. Entrou no sistema, mas não foi encontrado no estoque.</t>
  </si>
  <si>
    <t xml:space="preserve">Faltam 210 kg. Tem menos do que deveria e não achamos o motivo nos dados.</t>
  </si>
  <si>
    <t xml:space="preserve">Sobram 3.695 kg. Tem mais do que deveria; parte é estoque antigo, o resto precisa ser conferido.</t>
  </si>
  <si>
    <t xml:space="preserve">Sobram 2.528 kg. Tem mais do que deveria; parte é estoque antigo, o resto precisa ser conferido.</t>
  </si>
  <si>
    <t xml:space="preserve">Sobram 1.083 kg. Tem mais do que deveria; parte é estoque antigo, o resto precisa ser conferido.</t>
  </si>
  <si>
    <t xml:space="preserve">Sobram 540 kg. Tem mais do que deveria; parte é estoque antigo, o resto precisa ser conferido.</t>
  </si>
  <si>
    <t xml:space="preserve">Faltam 26 un. Tem menos do que deveria e não achamos o motivo nos dados.</t>
  </si>
  <si>
    <t xml:space="preserve">Sobram 5.737 kg. Tem mais do que deveria; parte é estoque antigo, o resto precisa ser conferido.</t>
  </si>
  <si>
    <t xml:space="preserve">Sobram 3.198 kg. Tem mais do que deveria; parte é estoque antigo, o resto precisa ser conferido.</t>
  </si>
  <si>
    <t xml:space="preserve">Sobram 248 kg. Tem mais do que deveria e não achamos o motivo nos dados.</t>
  </si>
  <si>
    <t xml:space="preserve">Sobram 121 kg. Tem mais do que deveria; parte é estoque antigo, o resto precisa ser conferido.</t>
  </si>
  <si>
    <t xml:space="preserve">Sobram 30 un. Tem mais do que deveria e não achamos o motivo nos dados.</t>
  </si>
  <si>
    <t xml:space="preserve">Sobram 1.268 kg. Foi vendido ou entregue, mas ainda aparece no estoque (faltou dar baixa).</t>
  </si>
  <si>
    <t xml:space="preserve">Sobram 925 kg. Foi vendido ou entregue, mas ainda aparece no estoque (faltou dar baixa).</t>
  </si>
  <si>
    <t xml:space="preserve">Sobram 342 kg. Foi vendido ou entregue, mas ainda aparece no estoque (faltou dar baixa).</t>
  </si>
  <si>
    <t xml:space="preserve">Sobram 273 kg. É estoque antigo, de antes de 9 de setembro.</t>
  </si>
  <si>
    <t xml:space="preserve">Sobram 174 kg. Foi vendido ou entregue, mas ainda aparece no estoque (faltou dar baixa).</t>
  </si>
  <si>
    <t xml:space="preserve">Sobram 120 cx. Foi lançado no lote errado: a mesma quantidade aparece em outro lote.</t>
  </si>
  <si>
    <t xml:space="preserve">Faltam 120 cx. Foi lançado no lote errado: a mesma quantidade aparece em outro lote.</t>
  </si>
  <si>
    <t xml:space="preserve">Sobram 117 kg. É estoque antigo, de antes de 9 de setembro.</t>
  </si>
  <si>
    <t xml:space="preserve">Sobram 80 kg. Foi vendido ou entregue, mas ainda aparece no estoque (faltou dar baixa).</t>
  </si>
  <si>
    <t xml:space="preserve">Sobram 73 kg. Foi vendido ou entregue, mas ainda aparece no estoque (faltou dar baixa).</t>
  </si>
  <si>
    <t xml:space="preserve">Sobram 60 un. Foi vendido ou entregue, mas ainda aparece no estoque (faltou dar baixa).</t>
  </si>
  <si>
    <t xml:space="preserve">Sobram 60 kg. Foi vendido ou entregue, mas ainda aparece no estoque (faltou dar baixa).</t>
  </si>
  <si>
    <t xml:space="preserve">Sobram 20 kg. É estoque antigo, de antes de 9 de setembro.</t>
  </si>
  <si>
    <t xml:space="preserve">Sobram 20 kg. Está parado na doca ou em transferência, ainda não foi guardado.</t>
  </si>
  <si>
    <t xml:space="preserve">Sobram 20 kg. Foi vendido ou entregue, mas ainda aparece no estoque (faltou dar baixa).</t>
  </si>
  <si>
    <t xml:space="preserve">Depósito 2008: importação parada</t>
  </si>
  <si>
    <t xml:space="preserve">O depósito 2008 é onde a importação chega. Daqui ela deve ir para o estoque de venda (ZBR). Abaixo, o que chegou e ainda não foi.</t>
  </si>
  <si>
    <t xml:space="preserve">Chegou</t>
  </si>
  <si>
    <t xml:space="preserve">Já foi para venda</t>
  </si>
  <si>
    <t xml:space="preserve">Ainda parado</t>
  </si>
  <si>
    <t xml:space="preserve">Transferir para o estoque de venda (ZBR).</t>
  </si>
  <si>
    <t xml:space="preserve">Total parado (kg):</t>
  </si>
  <si>
    <t xml:space="preserve">O que significa cada palavra</t>
  </si>
  <si>
    <t xml:space="preserve">Palavra</t>
  </si>
  <si>
    <t xml:space="preserve">Significado</t>
  </si>
  <si>
    <t xml:space="preserve">SKU</t>
  </si>
  <si>
    <t xml:space="preserve">Código do produto no sistema.</t>
  </si>
  <si>
    <t xml:space="preserve">Número que identifica um grupo do mesmo produto, fabricado junto.</t>
  </si>
  <si>
    <t xml:space="preserve">Estoque de venda (ZBR)</t>
  </si>
  <si>
    <t xml:space="preserve">Onde fica a mercadoria pronta para vender e entregar.</t>
  </si>
  <si>
    <t xml:space="preserve">Depósito 2008</t>
  </si>
  <si>
    <t xml:space="preserve">Onde a importação chega antes de ir para o estoque de venda.</t>
  </si>
  <si>
    <t xml:space="preserve">O que entrou menos o que saiu, segundo o sistema (mais o estoque de 8/set, se informado).</t>
  </si>
  <si>
    <t xml:space="preserve">O que o sistema mostra guardado hoje nas posições do armazém.</t>
  </si>
  <si>
    <t xml:space="preserve">"Tem no estoque" menos "Deveria ter". Positivo = sobrando; negativo = faltando.</t>
  </si>
  <si>
    <t xml:space="preserve">Dar baixa</t>
  </si>
  <si>
    <t xml:space="preserve">Registrar no sistema que a mercadoria saiu (foi vendida ou entregue).</t>
  </si>
  <si>
    <t xml:space="preserve">Doca</t>
  </si>
  <si>
    <t xml:space="preserve">Área do armazém onde a mercadoria fica ao carregar ou descarregar.</t>
  </si>
  <si>
    <t xml:space="preserve">Estoque antigo</t>
  </si>
  <si>
    <t xml:space="preserve">Mercadoria que já estava guardada antes de 9 de setembro.</t>
  </si>
  <si>
    <t xml:space="preserve">Urgente / Alta / Média / Baixa</t>
  </si>
  <si>
    <t xml:space="preserve">Ordem de importância para resolver. Urgente = falta grande ou mercadoria não encontrada.</t>
  </si>
  <si>
    <t xml:space="preserve">kg / un / cx</t>
  </si>
  <si>
    <t xml:space="preserve">Quilos, unidades e caixas.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</si>
</sst>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#,##0;\-#,##0;0"/>
    <numFmt numFmtId="167" formatCode="dd/mm/yyyy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7365D"/>
      <name val="Calibri"/>
      <family val="0"/>
      <charset val="1"/>
    </font>
    <font>
      <sz val="13"/>
      <color rgb="FF6B7480"/>
      <name val="Calibri"/>
      <family val="0"/>
      <charset val="1"/>
    </font>
    <font>
      <b val="true"/>
      <sz val="12"/>
      <color rgb="FF375623"/>
      <name val="Calibri"/>
      <family val="0"/>
      <charset val="1"/>
    </font>
    <font>
      <b val="true"/>
      <sz val="12"/>
      <color rgb="FF7F6000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34"/>
      <color rgb="FF375623"/>
      <name val="Calibri"/>
      <family val="0"/>
      <charset val="1"/>
    </font>
    <font>
      <b val="true"/>
      <sz val="34"/>
      <color rgb="FF7F6000"/>
      <name val="Calibri"/>
      <family val="0"/>
      <charset val="1"/>
    </font>
    <font>
      <b val="true"/>
      <sz val="34"/>
      <color rgb="FFC00000"/>
      <name val="Calibri"/>
      <family val="0"/>
      <charset val="1"/>
    </font>
    <font>
      <sz val="11"/>
      <color rgb="FF375623"/>
      <name val="Calibri"/>
      <family val="0"/>
      <charset val="1"/>
    </font>
    <font>
      <sz val="11"/>
      <color rgb="FF7F6000"/>
      <name val="Calibri"/>
      <family val="0"/>
      <charset val="1"/>
    </font>
    <font>
      <sz val="11"/>
      <color rgb="FFC00000"/>
      <name val="Calibri"/>
      <family val="0"/>
      <charset val="1"/>
    </font>
    <font>
      <b val="true"/>
      <sz val="13"/>
      <color rgb="FF7F6000"/>
      <name val="Calibri"/>
      <family val="0"/>
      <charset val="1"/>
    </font>
    <font>
      <b val="true"/>
      <sz val="15"/>
      <color rgb="FF245A81"/>
      <name val="Calibri"/>
      <family val="0"/>
      <charset val="1"/>
    </font>
    <font>
      <sz val="12"/>
      <color rgb="FF404854"/>
      <name val="Calibri"/>
      <family val="0"/>
      <charset val="1"/>
    </font>
    <font>
      <sz val="12"/>
      <color rgb="FFC00000"/>
      <name val="Calibri"/>
      <family val="0"/>
      <charset val="1"/>
    </font>
    <font>
      <b val="true"/>
      <u val="single"/>
      <sz val="13"/>
      <color rgb="FF245A81"/>
      <name val="Calibri"/>
      <family val="0"/>
      <charset val="1"/>
    </font>
    <font>
      <i val="true"/>
      <sz val="10"/>
      <color rgb="FF6B7480"/>
      <name val="Calibri"/>
      <family val="0"/>
      <charset val="1"/>
    </font>
    <font>
      <b val="true"/>
      <sz val="22"/>
      <color rgb="FF17365D"/>
      <name val="Calibri"/>
      <family val="0"/>
      <charset val="1"/>
    </font>
    <font>
      <b val="true"/>
      <u val="single"/>
      <sz val="11"/>
      <color rgb="FF245A81"/>
      <name val="Calibri"/>
      <family val="0"/>
      <charset val="1"/>
    </font>
    <font>
      <sz val="11"/>
      <color rgb="FF6B748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404854"/>
      <name val="Calibri"/>
      <family val="0"/>
      <charset val="1"/>
    </font>
    <font>
      <sz val="11"/>
      <color rgb="FF404854"/>
      <name val="Calibri"/>
      <family val="0"/>
      <charset val="1"/>
    </font>
    <font>
      <b val="true"/>
      <sz val="13"/>
      <color rgb="FF245A81"/>
      <name val="Calibri"/>
      <family val="0"/>
      <charset val="1"/>
    </font>
    <font>
      <b val="true"/>
      <sz val="12"/>
      <color rgb="FF17365D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2F4F7"/>
      </patternFill>
    </fill>
    <fill>
      <patternFill patternType="solid">
        <fgColor rgb="FFE2EFDA"/>
        <bgColor rgb="FFE3E8EF"/>
      </patternFill>
    </fill>
    <fill>
      <patternFill patternType="solid">
        <fgColor rgb="FFFFF2CC"/>
        <bgColor rgb="FFF2F4F7"/>
      </patternFill>
    </fill>
    <fill>
      <patternFill patternType="solid">
        <fgColor rgb="FFF8DADA"/>
        <bgColor rgb="FFE3E8EF"/>
      </patternFill>
    </fill>
    <fill>
      <patternFill patternType="solid">
        <fgColor rgb="FF17365D"/>
        <bgColor rgb="FF404854"/>
      </patternFill>
    </fill>
    <fill>
      <patternFill patternType="solid">
        <fgColor rgb="FF245A81"/>
        <bgColor rgb="FF404854"/>
      </patternFill>
    </fill>
    <fill>
      <patternFill patternType="solid">
        <fgColor rgb="FFEEF5FB"/>
        <bgColor rgb="FFF2F4F7"/>
      </patternFill>
    </fill>
    <fill>
      <patternFill patternType="solid">
        <fgColor rgb="FFF2F4F7"/>
        <bgColor rgb="FFEE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8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DA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854"/>
          <bgColor rgb="FF000000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8DADA"/>
        </patternFill>
      </fill>
    </dxf>
    <dxf>
      <fill>
        <patternFill>
          <bgColor rgb="FFF2F4F7"/>
        </patternFill>
      </fill>
    </dxf>
    <dxf>
      <fill>
        <patternFill patternType="solid">
          <fgColor rgb="FF245A81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ont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E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F"/>
      <rgbColor rgb="FFE2EFDA"/>
      <rgbColor rgb="FFF2F4F7"/>
      <rgbColor rgb="FF99CCFF"/>
      <rgbColor rgb="FFFF99CC"/>
      <rgbColor rgb="FFCC99FF"/>
      <rgbColor rgb="FFF8DADA"/>
      <rgbColor rgb="FF3366FF"/>
      <rgbColor rgb="FF33CCCC"/>
      <rgbColor rgb="FF99CC00"/>
      <rgbColor rgb="FFFFC000"/>
      <rgbColor rgb="FFFF9900"/>
      <rgbColor rgb="FFFF6600"/>
      <rgbColor rgb="FF6B7480"/>
      <rgbColor rgb="FF969696"/>
      <rgbColor rgb="FF17365D"/>
      <rgbColor rgb="FF339966"/>
      <rgbColor rgb="FF003300"/>
      <rgbColor rgb="FF375623"/>
      <rgbColor rgb="FF993300"/>
      <rgbColor rgb="FF993366"/>
      <rgbColor rgb="FF245A81"/>
      <rgbColor rgb="FF4048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OQueFazer" displayName="tbOQueFazer" ref="A4:I32" headerRowCount="1" totalsRowCount="0" totalsRowShown="0">
  <autoFilter ref="A4:I32"/>
  <tableColumns count="9">
    <tableColumn id="1" name="Nº"/>
    <tableColumn id="2" name="Prioridade"/>
    <tableColumn id="3" name="Produto (SKU)"/>
    <tableColumn id="4" name="Lote"/>
    <tableColumn id="5" name="O problema"/>
    <tableColumn id="6" name="O que fazer"/>
    <tableColumn id="7" name="Quem vai fazer"/>
    <tableColumn id="8" name="Até quando"/>
    <tableColumn id="9" name="Feito?"/>
  </tableColumns>
</table>
</file>

<file path=xl/tables/table2.xml><?xml version="1.0" encoding="utf-8"?>
<table xmlns="http://schemas.openxmlformats.org/spreadsheetml/2006/main" id="2" name="tbParado2008" displayName="tbParado2008" ref="A4:H37" headerRowCount="1" totalsRowCount="0" totalsRowShown="0">
  <autoFilter ref="A4:H37"/>
  <tableColumns count="8">
    <tableColumn id="1" name="Produto (SKU)"/>
    <tableColumn id="2" name="Lote"/>
    <tableColumn id="3" name="Descrição"/>
    <tableColumn id="4" name="Chegou"/>
    <tableColumn id="5" name="Já foi para venda"/>
    <tableColumn id="6" name="Ainda parado"/>
    <tableColumn id="7" name="Unidade"/>
    <tableColumn id="8" name="O que fazer"/>
  </tableColumns>
</table>
</file>

<file path=xl/tables/table3.xml><?xml version="1.0" encoding="utf-8"?>
<table xmlns="http://schemas.openxmlformats.org/spreadsheetml/2006/main" id="3" name="tbProdutos" displayName="tbProdutos" ref="A4:K98" headerRowCount="1" totalsRowCount="0" totalsRowShown="0">
  <autoFilter ref="A4:K98"/>
  <tableColumns count="11">
    <tableColumn id="1" name="Situação"/>
    <tableColumn id="2" name="Produto (SKU)"/>
    <tableColumn id="3" name="Lote"/>
    <tableColumn id="4" name="Descrição"/>
    <tableColumn id="5" name="Deveria ter"/>
    <tableColumn id="6" name="Tem no estoque"/>
    <tableColumn id="7" name="Diferença"/>
    <tableColumn id="8" name="Unidade"/>
    <tableColumn id="9" name="O que aconteceu"/>
    <tableColumn id="10" name="O que fazer"/>
    <tableColumn id="11" name="Priorid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ZBR_Importado_Versao_Simples.xlsx" TargetMode="External"/><Relationship Id="rId2" Type="http://schemas.openxmlformats.org/officeDocument/2006/relationships/hyperlink" Target="ZBR_Importado_Versao_Simples.xlsx" TargetMode="External"/><Relationship Id="rId3" Type="http://schemas.openxmlformats.org/officeDocument/2006/relationships/hyperlink" Target="ZBR_Importado_Versao_Simples.xlsx" TargetMode="External"/><Relationship Id="rId4" Type="http://schemas.openxmlformats.org/officeDocument/2006/relationships/hyperlink" Target="ZBR_Importado_Versao_Simple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ZBR_Importado_Versao_Simples.xlsx" TargetMode="Externa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ZBR_Importado_Versao_Simples.xlsx" TargetMode="Externa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ZBR_Importado_Versao_Simples.xlsx" TargetMode="Externa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ZBR_Importado_Versao_Simple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8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9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16.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false" outlineLevel="0" collapsed="false">
      <c r="A5" s="1"/>
      <c r="B5" s="4" t="s">
        <v>2</v>
      </c>
      <c r="C5" s="1"/>
      <c r="D5" s="5" t="s">
        <v>3</v>
      </c>
      <c r="E5" s="1"/>
      <c r="F5" s="6" t="s">
        <v>4</v>
      </c>
      <c r="G5" s="1"/>
      <c r="H5" s="1"/>
      <c r="I5" s="1"/>
    </row>
    <row r="6" customFormat="false" ht="48" hidden="false" customHeight="true" outlineLevel="0" collapsed="false">
      <c r="A6" s="1"/>
      <c r="B6" s="7" t="s">
        <v>5</v>
      </c>
      <c r="C6" s="1"/>
      <c r="D6" s="8" t="s">
        <v>6</v>
      </c>
      <c r="E6" s="1"/>
      <c r="F6" s="9" t="s">
        <v>7</v>
      </c>
      <c r="G6" s="1"/>
      <c r="H6" s="1"/>
      <c r="I6" s="1"/>
    </row>
    <row r="7" customFormat="false" ht="30" hidden="false" customHeight="true" outlineLevel="0" collapsed="false">
      <c r="A7" s="1"/>
      <c r="B7" s="10" t="s">
        <v>8</v>
      </c>
      <c r="C7" s="1"/>
      <c r="D7" s="11" t="s">
        <v>9</v>
      </c>
      <c r="E7" s="1"/>
      <c r="F7" s="12" t="s">
        <v>10</v>
      </c>
      <c r="G7" s="1"/>
      <c r="H7" s="1"/>
      <c r="I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30" hidden="false" customHeight="true" outlineLevel="0" collapsed="false">
      <c r="A9" s="1"/>
      <c r="B9" s="13" t="s">
        <v>11</v>
      </c>
      <c r="C9" s="13"/>
      <c r="D9" s="13"/>
      <c r="E9" s="13"/>
      <c r="F9" s="13"/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8.55" hidden="false" customHeight="false" outlineLevel="0" collapsed="false">
      <c r="A11" s="1"/>
      <c r="B11" s="14" t="s">
        <v>12</v>
      </c>
      <c r="C11" s="1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15" t="s">
        <v>13</v>
      </c>
      <c r="C12" s="15"/>
      <c r="D12" s="15"/>
      <c r="E12" s="15"/>
      <c r="F12" s="15"/>
      <c r="G12" s="1"/>
      <c r="H12" s="1"/>
      <c r="I12" s="1"/>
    </row>
    <row r="13" customFormat="false" ht="15" hidden="false" customHeight="false" outlineLevel="0" collapsed="false">
      <c r="A13" s="1"/>
      <c r="B13" s="15" t="s">
        <v>14</v>
      </c>
      <c r="C13" s="15"/>
      <c r="D13" s="15"/>
      <c r="E13" s="15"/>
      <c r="F13" s="15"/>
      <c r="G13" s="1"/>
      <c r="H13" s="1"/>
      <c r="I13" s="1"/>
    </row>
    <row r="14" customFormat="false" ht="15" hidden="false" customHeight="false" outlineLevel="0" collapsed="false">
      <c r="A14" s="1"/>
      <c r="B14" s="15" t="s">
        <v>15</v>
      </c>
      <c r="C14" s="15"/>
      <c r="D14" s="15"/>
      <c r="E14" s="15"/>
      <c r="F14" s="15"/>
      <c r="G14" s="1"/>
      <c r="H14" s="1"/>
      <c r="I14" s="1"/>
    </row>
    <row r="15" customFormat="false" ht="15" hidden="false" customHeight="false" outlineLevel="0" collapsed="false">
      <c r="A15" s="1"/>
      <c r="B15" s="15" t="s">
        <v>16</v>
      </c>
      <c r="C15" s="15"/>
      <c r="D15" s="15"/>
      <c r="E15" s="15"/>
      <c r="F15" s="15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8.55" hidden="false" customHeight="false" outlineLevel="0" collapsed="false">
      <c r="A17" s="1"/>
      <c r="B17" s="14" t="s">
        <v>17</v>
      </c>
      <c r="C17" s="1"/>
      <c r="D17" s="1"/>
      <c r="E17" s="1"/>
      <c r="F17" s="1"/>
      <c r="G17" s="1"/>
      <c r="H17" s="1"/>
      <c r="I17" s="1"/>
    </row>
    <row r="18" customFormat="false" ht="33.75" hidden="false" customHeight="true" outlineLevel="0" collapsed="false">
      <c r="A18" s="1"/>
      <c r="B18" s="16" t="s">
        <v>18</v>
      </c>
      <c r="C18" s="16"/>
      <c r="D18" s="16"/>
      <c r="E18" s="16"/>
      <c r="F18" s="16"/>
      <c r="G18" s="1"/>
      <c r="H18" s="1"/>
      <c r="I18" s="1"/>
    </row>
    <row r="19" customFormat="false" ht="33.75" hidden="false" customHeight="true" outlineLevel="0" collapsed="false">
      <c r="A19" s="1"/>
      <c r="B19" s="16" t="s">
        <v>19</v>
      </c>
      <c r="C19" s="16"/>
      <c r="D19" s="16"/>
      <c r="E19" s="16"/>
      <c r="F19" s="16"/>
      <c r="G19" s="1"/>
      <c r="H19" s="1"/>
      <c r="I19" s="1"/>
    </row>
    <row r="20" customFormat="false" ht="33.75" hidden="false" customHeight="true" outlineLevel="0" collapsed="false">
      <c r="A20" s="1"/>
      <c r="B20" s="16" t="s">
        <v>20</v>
      </c>
      <c r="C20" s="16"/>
      <c r="D20" s="16"/>
      <c r="E20" s="16"/>
      <c r="F20" s="16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8.55" hidden="false" customHeight="false" outlineLevel="0" collapsed="false">
      <c r="A22" s="1"/>
      <c r="B22" s="14" t="s">
        <v>21</v>
      </c>
      <c r="C22" s="1"/>
      <c r="D22" s="1"/>
      <c r="E22" s="1"/>
      <c r="F22" s="1"/>
      <c r="G22" s="1"/>
      <c r="H22" s="1"/>
      <c r="I22" s="1"/>
    </row>
    <row r="23" customFormat="false" ht="16.4" hidden="false" customHeight="false" outlineLevel="0" collapsed="false">
      <c r="A23" s="1"/>
      <c r="B23" s="17" t="s">
        <v>22</v>
      </c>
      <c r="C23" s="1"/>
      <c r="D23" s="15" t="s">
        <v>23</v>
      </c>
      <c r="E23" s="15"/>
      <c r="F23" s="15"/>
      <c r="G23" s="1"/>
      <c r="H23" s="1"/>
      <c r="I23" s="1"/>
    </row>
    <row r="24" customFormat="false" ht="16.4" hidden="false" customHeight="false" outlineLevel="0" collapsed="false">
      <c r="A24" s="1"/>
      <c r="B24" s="17" t="s">
        <v>24</v>
      </c>
      <c r="C24" s="1"/>
      <c r="D24" s="15" t="s">
        <v>25</v>
      </c>
      <c r="E24" s="15"/>
      <c r="F24" s="15"/>
      <c r="G24" s="1"/>
      <c r="H24" s="1"/>
      <c r="I24" s="1"/>
    </row>
    <row r="25" customFormat="false" ht="16.4" hidden="false" customHeight="false" outlineLevel="0" collapsed="false">
      <c r="A25" s="1"/>
      <c r="B25" s="17" t="s">
        <v>26</v>
      </c>
      <c r="C25" s="1"/>
      <c r="D25" s="15" t="s">
        <v>27</v>
      </c>
      <c r="E25" s="15"/>
      <c r="F25" s="15"/>
      <c r="G25" s="1"/>
      <c r="H25" s="1"/>
      <c r="I25" s="1"/>
    </row>
    <row r="26" customFormat="false" ht="16.4" hidden="false" customHeight="false" outlineLevel="0" collapsed="false">
      <c r="A26" s="1"/>
      <c r="B26" s="17" t="s">
        <v>28</v>
      </c>
      <c r="C26" s="1"/>
      <c r="D26" s="15" t="s">
        <v>29</v>
      </c>
      <c r="E26" s="15"/>
      <c r="F26" s="15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8" t="s">
        <v>30</v>
      </c>
      <c r="C28" s="18"/>
      <c r="D28" s="18"/>
      <c r="E28" s="18"/>
      <c r="F28" s="18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</sheetData>
  <mergeCells count="13">
    <mergeCell ref="B9:F9"/>
    <mergeCell ref="B12:F12"/>
    <mergeCell ref="B13:F13"/>
    <mergeCell ref="B14:F14"/>
    <mergeCell ref="B15:F15"/>
    <mergeCell ref="B18:F18"/>
    <mergeCell ref="B19:F19"/>
    <mergeCell ref="B20:F20"/>
    <mergeCell ref="D23:F23"/>
    <mergeCell ref="D24:F24"/>
    <mergeCell ref="D25:F25"/>
    <mergeCell ref="D26:F26"/>
    <mergeCell ref="B28:F28"/>
  </mergeCells>
  <hyperlinks>
    <hyperlink ref="B23" r:id="rId1" location="'Produtos'!A1" display="→ Produtos"/>
    <hyperlink ref="B24" r:id="rId2" location="'O%20Que%20Fazer'!A1" display="→ O Que Fazer"/>
    <hyperlink ref="B25" r:id="rId3" location="'Depósito%202008'!A1" display="→ Depósito 2008"/>
    <hyperlink ref="B26" r:id="rId4" location="'Palavras'!A1" display="→ Palavras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A81"/>
    <pageSetUpPr fitToPage="true"/>
  </sheetPr>
  <dimension ref="A1:K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60"/>
    <col collapsed="false" customWidth="true" hidden="false" outlineLevel="0" max="10" min="10" style="0" width="52"/>
    <col collapsed="false" customWidth="true" hidden="false" outlineLevel="0" max="11" min="11" style="0" width="12"/>
  </cols>
  <sheetData>
    <row r="1" customFormat="false" ht="26.8" hidden="false" customHeight="false" outlineLevel="0" collapsed="false">
      <c r="A1" s="19" t="s">
        <v>31</v>
      </c>
      <c r="J1" s="20" t="s">
        <v>32</v>
      </c>
    </row>
    <row r="2" customFormat="false" ht="15" hidden="false" customHeight="false" outlineLevel="0" collapsed="false">
      <c r="A2" s="21" t="s">
        <v>33</v>
      </c>
    </row>
    <row r="4" customFormat="false" ht="33.75" hidden="false" customHeight="true" outlineLevel="0" collapsed="false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22" t="s">
        <v>42</v>
      </c>
      <c r="J4" s="22" t="s">
        <v>43</v>
      </c>
      <c r="K4" s="22" t="s">
        <v>44</v>
      </c>
    </row>
    <row r="5" customFormat="false" ht="28.35" hidden="false" customHeight="false" outlineLevel="0" collapsed="false">
      <c r="A5" s="23" t="s">
        <v>45</v>
      </c>
      <c r="B5" s="23" t="s">
        <v>46</v>
      </c>
      <c r="C5" s="24" t="s">
        <v>47</v>
      </c>
      <c r="D5" s="24" t="s">
        <v>48</v>
      </c>
      <c r="E5" s="25" t="n">
        <v>1668.3</v>
      </c>
      <c r="F5" s="25" t="n">
        <v>1226.1</v>
      </c>
      <c r="G5" s="26" t="n">
        <v>-442.2</v>
      </c>
      <c r="H5" s="24" t="s">
        <v>49</v>
      </c>
      <c r="I5" s="27" t="s">
        <v>50</v>
      </c>
      <c r="J5" s="27" t="s">
        <v>51</v>
      </c>
      <c r="K5" s="24" t="s">
        <v>52</v>
      </c>
    </row>
    <row r="6" customFormat="false" ht="28.35" hidden="false" customHeight="false" outlineLevel="0" collapsed="false">
      <c r="A6" s="23" t="s">
        <v>45</v>
      </c>
      <c r="B6" s="23" t="s">
        <v>53</v>
      </c>
      <c r="C6" s="24" t="s">
        <v>54</v>
      </c>
      <c r="D6" s="24"/>
      <c r="E6" s="25" t="n">
        <v>261.12</v>
      </c>
      <c r="F6" s="25" t="n">
        <v>0</v>
      </c>
      <c r="G6" s="26" t="n">
        <v>-261.12</v>
      </c>
      <c r="H6" s="24" t="s">
        <v>49</v>
      </c>
      <c r="I6" s="27" t="s">
        <v>55</v>
      </c>
      <c r="J6" s="27" t="s">
        <v>56</v>
      </c>
      <c r="K6" s="24" t="s">
        <v>52</v>
      </c>
    </row>
    <row r="7" customFormat="false" ht="28.35" hidden="false" customHeight="false" outlineLevel="0" collapsed="false">
      <c r="A7" s="23" t="s">
        <v>45</v>
      </c>
      <c r="B7" s="23" t="s">
        <v>57</v>
      </c>
      <c r="C7" s="24" t="s">
        <v>58</v>
      </c>
      <c r="D7" s="24" t="s">
        <v>59</v>
      </c>
      <c r="E7" s="25" t="n">
        <v>420</v>
      </c>
      <c r="F7" s="25" t="n">
        <v>210</v>
      </c>
      <c r="G7" s="26" t="n">
        <v>-210</v>
      </c>
      <c r="H7" s="24" t="s">
        <v>49</v>
      </c>
      <c r="I7" s="27" t="s">
        <v>50</v>
      </c>
      <c r="J7" s="27" t="s">
        <v>51</v>
      </c>
      <c r="K7" s="24" t="s">
        <v>52</v>
      </c>
    </row>
    <row r="8" customFormat="false" ht="28.35" hidden="false" customHeight="false" outlineLevel="0" collapsed="false">
      <c r="A8" s="23" t="s">
        <v>60</v>
      </c>
      <c r="B8" s="23" t="s">
        <v>61</v>
      </c>
      <c r="C8" s="24" t="s">
        <v>62</v>
      </c>
      <c r="D8" s="24" t="s">
        <v>63</v>
      </c>
      <c r="E8" s="25" t="n">
        <v>60</v>
      </c>
      <c r="F8" s="25" t="n">
        <v>3754.998</v>
      </c>
      <c r="G8" s="26" t="n">
        <v>3695</v>
      </c>
      <c r="H8" s="24" t="s">
        <v>49</v>
      </c>
      <c r="I8" s="27" t="s">
        <v>64</v>
      </c>
      <c r="J8" s="27" t="s">
        <v>65</v>
      </c>
      <c r="K8" s="24" t="s">
        <v>66</v>
      </c>
    </row>
    <row r="9" customFormat="false" ht="28.35" hidden="false" customHeight="false" outlineLevel="0" collapsed="false">
      <c r="A9" s="23" t="s">
        <v>60</v>
      </c>
      <c r="B9" s="23" t="s">
        <v>67</v>
      </c>
      <c r="C9" s="24" t="s">
        <v>68</v>
      </c>
      <c r="D9" s="24" t="s">
        <v>69</v>
      </c>
      <c r="E9" s="25" t="n">
        <v>-674.8</v>
      </c>
      <c r="F9" s="25" t="n">
        <v>1853.6</v>
      </c>
      <c r="G9" s="26" t="n">
        <v>2528.4</v>
      </c>
      <c r="H9" s="24" t="s">
        <v>49</v>
      </c>
      <c r="I9" s="27" t="s">
        <v>64</v>
      </c>
      <c r="J9" s="27" t="s">
        <v>65</v>
      </c>
      <c r="K9" s="24" t="s">
        <v>66</v>
      </c>
    </row>
    <row r="10" customFormat="false" ht="28.35" hidden="false" customHeight="false" outlineLevel="0" collapsed="false">
      <c r="A10" s="23" t="s">
        <v>60</v>
      </c>
      <c r="B10" s="23" t="s">
        <v>70</v>
      </c>
      <c r="C10" s="24" t="s">
        <v>71</v>
      </c>
      <c r="D10" s="24" t="s">
        <v>48</v>
      </c>
      <c r="E10" s="25" t="n">
        <v>-542.7</v>
      </c>
      <c r="F10" s="25" t="n">
        <v>540.69</v>
      </c>
      <c r="G10" s="26" t="n">
        <v>1083.39</v>
      </c>
      <c r="H10" s="24" t="s">
        <v>49</v>
      </c>
      <c r="I10" s="27" t="s">
        <v>64</v>
      </c>
      <c r="J10" s="27" t="s">
        <v>65</v>
      </c>
      <c r="K10" s="24" t="s">
        <v>66</v>
      </c>
    </row>
    <row r="11" customFormat="false" ht="28.35" hidden="false" customHeight="false" outlineLevel="0" collapsed="false">
      <c r="A11" s="23" t="s">
        <v>60</v>
      </c>
      <c r="B11" s="23" t="s">
        <v>72</v>
      </c>
      <c r="C11" s="24" t="s">
        <v>73</v>
      </c>
      <c r="D11" s="24" t="s">
        <v>74</v>
      </c>
      <c r="E11" s="25" t="n">
        <v>732</v>
      </c>
      <c r="F11" s="25" t="n">
        <v>1272</v>
      </c>
      <c r="G11" s="26" t="n">
        <v>540</v>
      </c>
      <c r="H11" s="24" t="s">
        <v>49</v>
      </c>
      <c r="I11" s="27" t="s">
        <v>64</v>
      </c>
      <c r="J11" s="27" t="s">
        <v>65</v>
      </c>
      <c r="K11" s="24" t="s">
        <v>66</v>
      </c>
    </row>
    <row r="12" customFormat="false" ht="28.35" hidden="false" customHeight="false" outlineLevel="0" collapsed="false">
      <c r="A12" s="23" t="s">
        <v>45</v>
      </c>
      <c r="B12" s="23" t="s">
        <v>75</v>
      </c>
      <c r="C12" s="24" t="s">
        <v>76</v>
      </c>
      <c r="D12" s="24" t="s">
        <v>77</v>
      </c>
      <c r="E12" s="25" t="n">
        <v>30</v>
      </c>
      <c r="F12" s="25" t="n">
        <v>4.219</v>
      </c>
      <c r="G12" s="26" t="n">
        <v>-25.78</v>
      </c>
      <c r="H12" s="24" t="s">
        <v>78</v>
      </c>
      <c r="I12" s="27" t="s">
        <v>50</v>
      </c>
      <c r="J12" s="27" t="s">
        <v>51</v>
      </c>
      <c r="K12" s="24" t="s">
        <v>66</v>
      </c>
    </row>
    <row r="13" customFormat="false" ht="28.35" hidden="false" customHeight="false" outlineLevel="0" collapsed="false">
      <c r="A13" s="23" t="s">
        <v>60</v>
      </c>
      <c r="B13" s="23" t="s">
        <v>79</v>
      </c>
      <c r="C13" s="24" t="s">
        <v>80</v>
      </c>
      <c r="D13" s="24" t="s">
        <v>69</v>
      </c>
      <c r="E13" s="25" t="n">
        <v>-224</v>
      </c>
      <c r="F13" s="25" t="n">
        <v>5513.2</v>
      </c>
      <c r="G13" s="26" t="n">
        <v>5737.2</v>
      </c>
      <c r="H13" s="24" t="s">
        <v>49</v>
      </c>
      <c r="I13" s="27" t="s">
        <v>64</v>
      </c>
      <c r="J13" s="27" t="s">
        <v>65</v>
      </c>
      <c r="K13" s="24" t="s">
        <v>81</v>
      </c>
    </row>
    <row r="14" customFormat="false" ht="28.35" hidden="false" customHeight="false" outlineLevel="0" collapsed="false">
      <c r="A14" s="23" t="s">
        <v>60</v>
      </c>
      <c r="B14" s="23" t="s">
        <v>82</v>
      </c>
      <c r="C14" s="24" t="s">
        <v>83</v>
      </c>
      <c r="D14" s="24" t="s">
        <v>84</v>
      </c>
      <c r="E14" s="25" t="n">
        <v>234</v>
      </c>
      <c r="F14" s="25" t="n">
        <v>3432</v>
      </c>
      <c r="G14" s="26" t="n">
        <v>3198</v>
      </c>
      <c r="H14" s="24" t="s">
        <v>49</v>
      </c>
      <c r="I14" s="27" t="s">
        <v>64</v>
      </c>
      <c r="J14" s="27" t="s">
        <v>65</v>
      </c>
      <c r="K14" s="24" t="s">
        <v>81</v>
      </c>
    </row>
    <row r="15" customFormat="false" ht="15" hidden="false" customHeight="false" outlineLevel="0" collapsed="false">
      <c r="A15" s="23" t="s">
        <v>60</v>
      </c>
      <c r="B15" s="23" t="s">
        <v>85</v>
      </c>
      <c r="C15" s="24" t="s">
        <v>86</v>
      </c>
      <c r="D15" s="24" t="s">
        <v>87</v>
      </c>
      <c r="E15" s="25" t="n">
        <v>784</v>
      </c>
      <c r="F15" s="25" t="n">
        <v>1032</v>
      </c>
      <c r="G15" s="26" t="n">
        <v>248</v>
      </c>
      <c r="H15" s="24" t="s">
        <v>49</v>
      </c>
      <c r="I15" s="27" t="s">
        <v>88</v>
      </c>
      <c r="J15" s="27" t="s">
        <v>65</v>
      </c>
      <c r="K15" s="24" t="s">
        <v>81</v>
      </c>
    </row>
    <row r="16" customFormat="false" ht="28.35" hidden="false" customHeight="false" outlineLevel="0" collapsed="false">
      <c r="A16" s="23" t="s">
        <v>60</v>
      </c>
      <c r="B16" s="23" t="s">
        <v>89</v>
      </c>
      <c r="C16" s="24" t="s">
        <v>90</v>
      </c>
      <c r="D16" s="24" t="s">
        <v>48</v>
      </c>
      <c r="E16" s="25" t="n">
        <v>1708.5</v>
      </c>
      <c r="F16" s="25" t="n">
        <v>1829.1</v>
      </c>
      <c r="G16" s="26" t="n">
        <v>120.6</v>
      </c>
      <c r="H16" s="24" t="s">
        <v>49</v>
      </c>
      <c r="I16" s="27" t="s">
        <v>64</v>
      </c>
      <c r="J16" s="27" t="s">
        <v>65</v>
      </c>
      <c r="K16" s="24" t="s">
        <v>81</v>
      </c>
    </row>
    <row r="17" customFormat="false" ht="15" hidden="false" customHeight="false" outlineLevel="0" collapsed="false">
      <c r="A17" s="23" t="s">
        <v>60</v>
      </c>
      <c r="B17" s="23" t="s">
        <v>75</v>
      </c>
      <c r="C17" s="24" t="s">
        <v>91</v>
      </c>
      <c r="D17" s="24" t="s">
        <v>77</v>
      </c>
      <c r="E17" s="25" t="n">
        <v>990</v>
      </c>
      <c r="F17" s="25" t="n">
        <v>1020</v>
      </c>
      <c r="G17" s="26" t="n">
        <v>30</v>
      </c>
      <c r="H17" s="24" t="s">
        <v>78</v>
      </c>
      <c r="I17" s="27" t="s">
        <v>88</v>
      </c>
      <c r="J17" s="27" t="s">
        <v>65</v>
      </c>
      <c r="K17" s="24" t="s">
        <v>81</v>
      </c>
    </row>
    <row r="18" customFormat="false" ht="28.35" hidden="false" customHeight="false" outlineLevel="0" collapsed="false">
      <c r="A18" s="23" t="s">
        <v>60</v>
      </c>
      <c r="B18" s="23" t="s">
        <v>92</v>
      </c>
      <c r="C18" s="24" t="s">
        <v>93</v>
      </c>
      <c r="D18" s="24" t="s">
        <v>69</v>
      </c>
      <c r="E18" s="25" t="n">
        <v>92.4</v>
      </c>
      <c r="F18" s="25" t="n">
        <v>1360.8</v>
      </c>
      <c r="G18" s="26" t="n">
        <v>1268.4</v>
      </c>
      <c r="H18" s="24" t="s">
        <v>49</v>
      </c>
      <c r="I18" s="27" t="s">
        <v>94</v>
      </c>
      <c r="J18" s="27" t="s">
        <v>95</v>
      </c>
      <c r="K18" s="24" t="s">
        <v>96</v>
      </c>
    </row>
    <row r="19" customFormat="false" ht="28.35" hidden="false" customHeight="false" outlineLevel="0" collapsed="false">
      <c r="A19" s="23" t="s">
        <v>60</v>
      </c>
      <c r="B19" s="23" t="s">
        <v>89</v>
      </c>
      <c r="C19" s="24" t="s">
        <v>97</v>
      </c>
      <c r="D19" s="24" t="s">
        <v>48</v>
      </c>
      <c r="E19" s="25" t="n">
        <v>-160.8</v>
      </c>
      <c r="F19" s="25" t="n">
        <v>763.8</v>
      </c>
      <c r="G19" s="26" t="n">
        <v>924.6</v>
      </c>
      <c r="H19" s="24" t="s">
        <v>49</v>
      </c>
      <c r="I19" s="27" t="s">
        <v>94</v>
      </c>
      <c r="J19" s="27" t="s">
        <v>95</v>
      </c>
      <c r="K19" s="24" t="s">
        <v>96</v>
      </c>
    </row>
    <row r="20" customFormat="false" ht="28.35" hidden="false" customHeight="false" outlineLevel="0" collapsed="false">
      <c r="A20" s="23" t="s">
        <v>60</v>
      </c>
      <c r="B20" s="23" t="s">
        <v>98</v>
      </c>
      <c r="C20" s="24" t="s">
        <v>99</v>
      </c>
      <c r="D20" s="24" t="s">
        <v>48</v>
      </c>
      <c r="E20" s="25" t="n">
        <v>281.4</v>
      </c>
      <c r="F20" s="25" t="n">
        <v>623.1</v>
      </c>
      <c r="G20" s="26" t="n">
        <v>341.7</v>
      </c>
      <c r="H20" s="24" t="s">
        <v>49</v>
      </c>
      <c r="I20" s="27" t="s">
        <v>94</v>
      </c>
      <c r="J20" s="27" t="s">
        <v>95</v>
      </c>
      <c r="K20" s="24" t="s">
        <v>96</v>
      </c>
    </row>
    <row r="21" customFormat="false" ht="28.35" hidden="false" customHeight="false" outlineLevel="0" collapsed="false">
      <c r="A21" s="23" t="s">
        <v>60</v>
      </c>
      <c r="B21" s="23" t="s">
        <v>100</v>
      </c>
      <c r="C21" s="24" t="s">
        <v>101</v>
      </c>
      <c r="D21" s="24" t="s">
        <v>48</v>
      </c>
      <c r="E21" s="25" t="n">
        <v>0</v>
      </c>
      <c r="F21" s="25" t="n">
        <v>273.36</v>
      </c>
      <c r="G21" s="26" t="n">
        <v>273.36</v>
      </c>
      <c r="H21" s="24" t="s">
        <v>49</v>
      </c>
      <c r="I21" s="27" t="s">
        <v>102</v>
      </c>
      <c r="J21" s="27" t="s">
        <v>103</v>
      </c>
      <c r="K21" s="24" t="s">
        <v>96</v>
      </c>
    </row>
    <row r="22" customFormat="false" ht="28.35" hidden="false" customHeight="false" outlineLevel="0" collapsed="false">
      <c r="A22" s="23" t="s">
        <v>60</v>
      </c>
      <c r="B22" s="23" t="s">
        <v>104</v>
      </c>
      <c r="C22" s="24" t="s">
        <v>105</v>
      </c>
      <c r="D22" s="24" t="s">
        <v>69</v>
      </c>
      <c r="E22" s="25" t="n">
        <v>159.6</v>
      </c>
      <c r="F22" s="25" t="n">
        <v>333.2</v>
      </c>
      <c r="G22" s="26" t="n">
        <v>173.6</v>
      </c>
      <c r="H22" s="24" t="s">
        <v>49</v>
      </c>
      <c r="I22" s="27" t="s">
        <v>94</v>
      </c>
      <c r="J22" s="27" t="s">
        <v>95</v>
      </c>
      <c r="K22" s="24" t="s">
        <v>96</v>
      </c>
    </row>
    <row r="23" customFormat="false" ht="28.35" hidden="false" customHeight="false" outlineLevel="0" collapsed="false">
      <c r="A23" s="23" t="s">
        <v>60</v>
      </c>
      <c r="B23" s="23" t="s">
        <v>106</v>
      </c>
      <c r="C23" s="24" t="s">
        <v>107</v>
      </c>
      <c r="D23" s="24" t="s">
        <v>108</v>
      </c>
      <c r="E23" s="25" t="n">
        <v>-120</v>
      </c>
      <c r="F23" s="25" t="n">
        <v>0</v>
      </c>
      <c r="G23" s="26" t="n">
        <v>120</v>
      </c>
      <c r="H23" s="24" t="s">
        <v>109</v>
      </c>
      <c r="I23" s="27" t="s">
        <v>110</v>
      </c>
      <c r="J23" s="27" t="s">
        <v>111</v>
      </c>
      <c r="K23" s="24" t="s">
        <v>96</v>
      </c>
    </row>
    <row r="24" customFormat="false" ht="28.35" hidden="false" customHeight="false" outlineLevel="0" collapsed="false">
      <c r="A24" s="23" t="s">
        <v>45</v>
      </c>
      <c r="B24" s="23" t="s">
        <v>106</v>
      </c>
      <c r="C24" s="24" t="s">
        <v>112</v>
      </c>
      <c r="D24" s="24" t="s">
        <v>108</v>
      </c>
      <c r="E24" s="25" t="n">
        <v>487</v>
      </c>
      <c r="F24" s="25" t="n">
        <v>367</v>
      </c>
      <c r="G24" s="26" t="n">
        <v>-120</v>
      </c>
      <c r="H24" s="24" t="s">
        <v>109</v>
      </c>
      <c r="I24" s="27" t="s">
        <v>110</v>
      </c>
      <c r="J24" s="27" t="s">
        <v>111</v>
      </c>
      <c r="K24" s="24" t="s">
        <v>96</v>
      </c>
    </row>
    <row r="25" customFormat="false" ht="28.35" hidden="false" customHeight="false" outlineLevel="0" collapsed="false">
      <c r="A25" s="23" t="s">
        <v>60</v>
      </c>
      <c r="B25" s="23" t="s">
        <v>46</v>
      </c>
      <c r="C25" s="24" t="s">
        <v>113</v>
      </c>
      <c r="D25" s="24" t="s">
        <v>48</v>
      </c>
      <c r="E25" s="25" t="n">
        <v>0</v>
      </c>
      <c r="F25" s="25" t="n">
        <v>116.58</v>
      </c>
      <c r="G25" s="26" t="n">
        <v>116.58</v>
      </c>
      <c r="H25" s="24" t="s">
        <v>49</v>
      </c>
      <c r="I25" s="27" t="s">
        <v>102</v>
      </c>
      <c r="J25" s="27" t="s">
        <v>103</v>
      </c>
      <c r="K25" s="24" t="s">
        <v>96</v>
      </c>
    </row>
    <row r="26" customFormat="false" ht="28.35" hidden="false" customHeight="false" outlineLevel="0" collapsed="false">
      <c r="A26" s="23" t="s">
        <v>60</v>
      </c>
      <c r="B26" s="23" t="s">
        <v>114</v>
      </c>
      <c r="C26" s="24" t="s">
        <v>115</v>
      </c>
      <c r="D26" s="24" t="s">
        <v>48</v>
      </c>
      <c r="E26" s="25" t="n">
        <v>3531.6</v>
      </c>
      <c r="F26" s="25" t="n">
        <v>3612</v>
      </c>
      <c r="G26" s="26" t="n">
        <v>80.4</v>
      </c>
      <c r="H26" s="24" t="s">
        <v>49</v>
      </c>
      <c r="I26" s="27" t="s">
        <v>94</v>
      </c>
      <c r="J26" s="27" t="s">
        <v>95</v>
      </c>
      <c r="K26" s="24" t="s">
        <v>96</v>
      </c>
    </row>
    <row r="27" customFormat="false" ht="28.35" hidden="false" customHeight="false" outlineLevel="0" collapsed="false">
      <c r="A27" s="23" t="s">
        <v>60</v>
      </c>
      <c r="B27" s="23" t="s">
        <v>116</v>
      </c>
      <c r="C27" s="24" t="s">
        <v>117</v>
      </c>
      <c r="D27" s="24" t="s">
        <v>118</v>
      </c>
      <c r="E27" s="25" t="n">
        <v>753.2</v>
      </c>
      <c r="F27" s="25" t="n">
        <v>825.999</v>
      </c>
      <c r="G27" s="26" t="n">
        <v>72.8</v>
      </c>
      <c r="H27" s="24" t="s">
        <v>49</v>
      </c>
      <c r="I27" s="27" t="s">
        <v>94</v>
      </c>
      <c r="J27" s="27" t="s">
        <v>95</v>
      </c>
      <c r="K27" s="24" t="s">
        <v>96</v>
      </c>
    </row>
    <row r="28" customFormat="false" ht="28.35" hidden="false" customHeight="false" outlineLevel="0" collapsed="false">
      <c r="A28" s="23" t="s">
        <v>60</v>
      </c>
      <c r="B28" s="23" t="s">
        <v>75</v>
      </c>
      <c r="C28" s="24" t="s">
        <v>119</v>
      </c>
      <c r="D28" s="24" t="s">
        <v>77</v>
      </c>
      <c r="E28" s="25" t="n">
        <v>-60</v>
      </c>
      <c r="F28" s="25" t="n">
        <v>0</v>
      </c>
      <c r="G28" s="26" t="n">
        <v>60</v>
      </c>
      <c r="H28" s="24" t="s">
        <v>78</v>
      </c>
      <c r="I28" s="27" t="s">
        <v>94</v>
      </c>
      <c r="J28" s="27" t="s">
        <v>95</v>
      </c>
      <c r="K28" s="24" t="s">
        <v>96</v>
      </c>
    </row>
    <row r="29" customFormat="false" ht="28.35" hidden="false" customHeight="false" outlineLevel="0" collapsed="false">
      <c r="A29" s="23" t="s">
        <v>60</v>
      </c>
      <c r="B29" s="23" t="s">
        <v>120</v>
      </c>
      <c r="C29" s="24" t="s">
        <v>121</v>
      </c>
      <c r="D29" s="24" t="s">
        <v>122</v>
      </c>
      <c r="E29" s="25" t="n">
        <v>-50</v>
      </c>
      <c r="F29" s="25" t="n">
        <v>10</v>
      </c>
      <c r="G29" s="26" t="n">
        <v>60</v>
      </c>
      <c r="H29" s="24" t="s">
        <v>49</v>
      </c>
      <c r="I29" s="27" t="s">
        <v>94</v>
      </c>
      <c r="J29" s="27" t="s">
        <v>95</v>
      </c>
      <c r="K29" s="24" t="s">
        <v>96</v>
      </c>
    </row>
    <row r="30" customFormat="false" ht="28.35" hidden="false" customHeight="false" outlineLevel="0" collapsed="false">
      <c r="A30" s="23" t="s">
        <v>60</v>
      </c>
      <c r="B30" s="23" t="s">
        <v>100</v>
      </c>
      <c r="C30" s="24" t="s">
        <v>123</v>
      </c>
      <c r="D30" s="24" t="s">
        <v>48</v>
      </c>
      <c r="E30" s="25" t="n">
        <v>1527.6</v>
      </c>
      <c r="F30" s="25" t="n">
        <v>1547.7</v>
      </c>
      <c r="G30" s="26" t="n">
        <v>20.1</v>
      </c>
      <c r="H30" s="24" t="s">
        <v>49</v>
      </c>
      <c r="I30" s="27" t="s">
        <v>102</v>
      </c>
      <c r="J30" s="27" t="s">
        <v>103</v>
      </c>
      <c r="K30" s="24" t="s">
        <v>96</v>
      </c>
    </row>
    <row r="31" customFormat="false" ht="15" hidden="false" customHeight="false" outlineLevel="0" collapsed="false">
      <c r="A31" s="23" t="s">
        <v>60</v>
      </c>
      <c r="B31" s="23" t="s">
        <v>89</v>
      </c>
      <c r="C31" s="24" t="s">
        <v>124</v>
      </c>
      <c r="D31" s="24" t="s">
        <v>48</v>
      </c>
      <c r="E31" s="25" t="n">
        <v>301.4</v>
      </c>
      <c r="F31" s="25" t="n">
        <v>321.5</v>
      </c>
      <c r="G31" s="26" t="n">
        <v>20.1</v>
      </c>
      <c r="H31" s="24" t="s">
        <v>49</v>
      </c>
      <c r="I31" s="27" t="s">
        <v>125</v>
      </c>
      <c r="J31" s="27" t="s">
        <v>126</v>
      </c>
      <c r="K31" s="24" t="s">
        <v>96</v>
      </c>
    </row>
    <row r="32" customFormat="false" ht="28.35" hidden="false" customHeight="false" outlineLevel="0" collapsed="false">
      <c r="A32" s="23" t="s">
        <v>60</v>
      </c>
      <c r="B32" s="23" t="s">
        <v>70</v>
      </c>
      <c r="C32" s="24" t="s">
        <v>127</v>
      </c>
      <c r="D32" s="24" t="s">
        <v>48</v>
      </c>
      <c r="E32" s="25" t="n">
        <v>1658.9</v>
      </c>
      <c r="F32" s="25" t="n">
        <v>1679</v>
      </c>
      <c r="G32" s="26" t="n">
        <v>20.1</v>
      </c>
      <c r="H32" s="24" t="s">
        <v>49</v>
      </c>
      <c r="I32" s="27" t="s">
        <v>94</v>
      </c>
      <c r="J32" s="27" t="s">
        <v>95</v>
      </c>
      <c r="K32" s="24" t="s">
        <v>96</v>
      </c>
    </row>
    <row r="33" customFormat="false" ht="15" hidden="false" customHeight="false" outlineLevel="0" collapsed="false">
      <c r="A33" s="23" t="s">
        <v>128</v>
      </c>
      <c r="B33" s="23" t="s">
        <v>129</v>
      </c>
      <c r="C33" s="24" t="s">
        <v>130</v>
      </c>
      <c r="D33" s="24"/>
      <c r="E33" s="25" t="n">
        <v>1200</v>
      </c>
      <c r="F33" s="25" t="n">
        <v>1200</v>
      </c>
      <c r="G33" s="26" t="n">
        <v>0</v>
      </c>
      <c r="H33" s="24" t="s">
        <v>49</v>
      </c>
      <c r="I33" s="27" t="s">
        <v>131</v>
      </c>
      <c r="J33" s="27" t="s">
        <v>132</v>
      </c>
      <c r="K33" s="24"/>
    </row>
    <row r="34" customFormat="false" ht="15" hidden="false" customHeight="false" outlineLevel="0" collapsed="false">
      <c r="A34" s="23" t="s">
        <v>128</v>
      </c>
      <c r="B34" s="23" t="s">
        <v>98</v>
      </c>
      <c r="C34" s="24" t="s">
        <v>133</v>
      </c>
      <c r="D34" s="24" t="s">
        <v>48</v>
      </c>
      <c r="E34" s="25" t="n">
        <v>341.7</v>
      </c>
      <c r="F34" s="25" t="n">
        <v>341.7</v>
      </c>
      <c r="G34" s="26" t="n">
        <v>0</v>
      </c>
      <c r="H34" s="24" t="s">
        <v>49</v>
      </c>
      <c r="I34" s="27" t="s">
        <v>131</v>
      </c>
      <c r="J34" s="27" t="s">
        <v>132</v>
      </c>
      <c r="K34" s="24"/>
    </row>
    <row r="35" customFormat="false" ht="15" hidden="false" customHeight="false" outlineLevel="0" collapsed="false">
      <c r="A35" s="23" t="s">
        <v>128</v>
      </c>
      <c r="B35" s="23" t="s">
        <v>92</v>
      </c>
      <c r="C35" s="24" t="s">
        <v>134</v>
      </c>
      <c r="D35" s="24" t="s">
        <v>69</v>
      </c>
      <c r="E35" s="25" t="n">
        <v>142.8</v>
      </c>
      <c r="F35" s="25" t="n">
        <v>142.8</v>
      </c>
      <c r="G35" s="26" t="n">
        <v>0</v>
      </c>
      <c r="H35" s="24" t="s">
        <v>49</v>
      </c>
      <c r="I35" s="27" t="s">
        <v>131</v>
      </c>
      <c r="J35" s="27" t="s">
        <v>132</v>
      </c>
      <c r="K35" s="24"/>
    </row>
    <row r="36" customFormat="false" ht="15" hidden="false" customHeight="false" outlineLevel="0" collapsed="false">
      <c r="A36" s="23" t="s">
        <v>128</v>
      </c>
      <c r="B36" s="23" t="s">
        <v>135</v>
      </c>
      <c r="C36" s="24" t="s">
        <v>136</v>
      </c>
      <c r="D36" s="24" t="s">
        <v>137</v>
      </c>
      <c r="E36" s="25" t="n">
        <v>1500</v>
      </c>
      <c r="F36" s="25" t="n">
        <v>1500</v>
      </c>
      <c r="G36" s="26" t="n">
        <v>0</v>
      </c>
      <c r="H36" s="24" t="s">
        <v>49</v>
      </c>
      <c r="I36" s="27" t="s">
        <v>131</v>
      </c>
      <c r="J36" s="27" t="s">
        <v>132</v>
      </c>
      <c r="K36" s="24"/>
    </row>
    <row r="37" customFormat="false" ht="15" hidden="false" customHeight="false" outlineLevel="0" collapsed="false">
      <c r="A37" s="23" t="s">
        <v>128</v>
      </c>
      <c r="B37" s="23" t="s">
        <v>135</v>
      </c>
      <c r="C37" s="24" t="s">
        <v>138</v>
      </c>
      <c r="D37" s="24" t="s">
        <v>137</v>
      </c>
      <c r="E37" s="25" t="n">
        <v>950</v>
      </c>
      <c r="F37" s="25" t="n">
        <v>950</v>
      </c>
      <c r="G37" s="26" t="n">
        <v>0</v>
      </c>
      <c r="H37" s="24" t="s">
        <v>49</v>
      </c>
      <c r="I37" s="27" t="s">
        <v>131</v>
      </c>
      <c r="J37" s="27" t="s">
        <v>132</v>
      </c>
      <c r="K37" s="24"/>
    </row>
    <row r="38" customFormat="false" ht="15" hidden="false" customHeight="false" outlineLevel="0" collapsed="false">
      <c r="A38" s="23" t="s">
        <v>128</v>
      </c>
      <c r="B38" s="23" t="s">
        <v>139</v>
      </c>
      <c r="C38" s="24" t="s">
        <v>140</v>
      </c>
      <c r="D38" s="24" t="s">
        <v>141</v>
      </c>
      <c r="E38" s="25" t="n">
        <v>20</v>
      </c>
      <c r="F38" s="25" t="n">
        <v>20</v>
      </c>
      <c r="G38" s="26" t="n">
        <v>0</v>
      </c>
      <c r="H38" s="24" t="s">
        <v>49</v>
      </c>
      <c r="I38" s="27" t="s">
        <v>131</v>
      </c>
      <c r="J38" s="27" t="s">
        <v>132</v>
      </c>
      <c r="K38" s="24"/>
    </row>
    <row r="39" customFormat="false" ht="15" hidden="false" customHeight="false" outlineLevel="0" collapsed="false">
      <c r="A39" s="23" t="s">
        <v>128</v>
      </c>
      <c r="B39" s="23" t="s">
        <v>139</v>
      </c>
      <c r="C39" s="24" t="s">
        <v>142</v>
      </c>
      <c r="D39" s="24" t="s">
        <v>141</v>
      </c>
      <c r="E39" s="25" t="n">
        <v>600</v>
      </c>
      <c r="F39" s="25" t="n">
        <v>600</v>
      </c>
      <c r="G39" s="26" t="n">
        <v>0</v>
      </c>
      <c r="H39" s="24" t="s">
        <v>49</v>
      </c>
      <c r="I39" s="27" t="s">
        <v>131</v>
      </c>
      <c r="J39" s="27" t="s">
        <v>132</v>
      </c>
      <c r="K39" s="24"/>
    </row>
    <row r="40" customFormat="false" ht="15" hidden="false" customHeight="false" outlineLevel="0" collapsed="false">
      <c r="A40" s="23" t="s">
        <v>128</v>
      </c>
      <c r="B40" s="23" t="s">
        <v>139</v>
      </c>
      <c r="C40" s="24" t="s">
        <v>143</v>
      </c>
      <c r="D40" s="24" t="s">
        <v>141</v>
      </c>
      <c r="E40" s="25" t="n">
        <v>20</v>
      </c>
      <c r="F40" s="25" t="n">
        <v>20</v>
      </c>
      <c r="G40" s="26" t="n">
        <v>0</v>
      </c>
      <c r="H40" s="24" t="s">
        <v>49</v>
      </c>
      <c r="I40" s="27" t="s">
        <v>131</v>
      </c>
      <c r="J40" s="27" t="s">
        <v>132</v>
      </c>
      <c r="K40" s="24"/>
    </row>
    <row r="41" customFormat="false" ht="15" hidden="false" customHeight="false" outlineLevel="0" collapsed="false">
      <c r="A41" s="23" t="s">
        <v>128</v>
      </c>
      <c r="B41" s="23" t="s">
        <v>139</v>
      </c>
      <c r="C41" s="24" t="s">
        <v>144</v>
      </c>
      <c r="D41" s="24" t="s">
        <v>141</v>
      </c>
      <c r="E41" s="25" t="n">
        <v>1080</v>
      </c>
      <c r="F41" s="25" t="n">
        <v>1080</v>
      </c>
      <c r="G41" s="26" t="n">
        <v>0</v>
      </c>
      <c r="H41" s="24" t="s">
        <v>49</v>
      </c>
      <c r="I41" s="27" t="s">
        <v>131</v>
      </c>
      <c r="J41" s="27" t="s">
        <v>132</v>
      </c>
      <c r="K41" s="24"/>
    </row>
    <row r="42" customFormat="false" ht="15" hidden="false" customHeight="false" outlineLevel="0" collapsed="false">
      <c r="A42" s="23" t="s">
        <v>128</v>
      </c>
      <c r="B42" s="23" t="s">
        <v>114</v>
      </c>
      <c r="C42" s="24" t="s">
        <v>145</v>
      </c>
      <c r="D42" s="24" t="s">
        <v>48</v>
      </c>
      <c r="E42" s="25" t="n">
        <v>19.7</v>
      </c>
      <c r="F42" s="25" t="n">
        <v>19.7</v>
      </c>
      <c r="G42" s="26" t="n">
        <v>0</v>
      </c>
      <c r="H42" s="24" t="s">
        <v>49</v>
      </c>
      <c r="I42" s="27" t="s">
        <v>131</v>
      </c>
      <c r="J42" s="27" t="s">
        <v>132</v>
      </c>
      <c r="K42" s="24"/>
    </row>
    <row r="43" customFormat="false" ht="15" hidden="false" customHeight="false" outlineLevel="0" collapsed="false">
      <c r="A43" s="23" t="s">
        <v>128</v>
      </c>
      <c r="B43" s="23" t="s">
        <v>114</v>
      </c>
      <c r="C43" s="24" t="s">
        <v>146</v>
      </c>
      <c r="D43" s="24" t="s">
        <v>48</v>
      </c>
      <c r="E43" s="25" t="n">
        <v>783.9</v>
      </c>
      <c r="F43" s="25" t="n">
        <v>783.9</v>
      </c>
      <c r="G43" s="26" t="n">
        <v>0</v>
      </c>
      <c r="H43" s="24" t="s">
        <v>49</v>
      </c>
      <c r="I43" s="27" t="s">
        <v>131</v>
      </c>
      <c r="J43" s="27" t="s">
        <v>132</v>
      </c>
      <c r="K43" s="24"/>
    </row>
    <row r="44" customFormat="false" ht="15" hidden="false" customHeight="false" outlineLevel="0" collapsed="false">
      <c r="A44" s="23" t="s">
        <v>128</v>
      </c>
      <c r="B44" s="23" t="s">
        <v>147</v>
      </c>
      <c r="C44" s="24" t="s">
        <v>148</v>
      </c>
      <c r="D44" s="24"/>
      <c r="E44" s="25" t="n">
        <v>1000</v>
      </c>
      <c r="F44" s="25" t="n">
        <v>1000</v>
      </c>
      <c r="G44" s="26" t="n">
        <v>0</v>
      </c>
      <c r="H44" s="24" t="s">
        <v>49</v>
      </c>
      <c r="I44" s="27" t="s">
        <v>131</v>
      </c>
      <c r="J44" s="27" t="s">
        <v>132</v>
      </c>
      <c r="K44" s="24"/>
    </row>
    <row r="45" customFormat="false" ht="15" hidden="false" customHeight="false" outlineLevel="0" collapsed="false">
      <c r="A45" s="23" t="s">
        <v>128</v>
      </c>
      <c r="B45" s="23" t="s">
        <v>149</v>
      </c>
      <c r="C45" s="24" t="s">
        <v>150</v>
      </c>
      <c r="D45" s="24" t="s">
        <v>141</v>
      </c>
      <c r="E45" s="25" t="n">
        <v>1800</v>
      </c>
      <c r="F45" s="25" t="n">
        <v>1800</v>
      </c>
      <c r="G45" s="26" t="n">
        <v>0</v>
      </c>
      <c r="H45" s="24" t="s">
        <v>49</v>
      </c>
      <c r="I45" s="27" t="s">
        <v>131</v>
      </c>
      <c r="J45" s="27" t="s">
        <v>132</v>
      </c>
      <c r="K45" s="24"/>
    </row>
    <row r="46" customFormat="false" ht="15" hidden="false" customHeight="false" outlineLevel="0" collapsed="false">
      <c r="A46" s="23" t="s">
        <v>128</v>
      </c>
      <c r="B46" s="23" t="s">
        <v>149</v>
      </c>
      <c r="C46" s="24" t="s">
        <v>151</v>
      </c>
      <c r="D46" s="24" t="s">
        <v>141</v>
      </c>
      <c r="E46" s="25" t="n">
        <v>1000</v>
      </c>
      <c r="F46" s="25" t="n">
        <v>1000</v>
      </c>
      <c r="G46" s="26" t="n">
        <v>0</v>
      </c>
      <c r="H46" s="24" t="s">
        <v>49</v>
      </c>
      <c r="I46" s="27" t="s">
        <v>131</v>
      </c>
      <c r="J46" s="27" t="s">
        <v>132</v>
      </c>
      <c r="K46" s="24"/>
    </row>
    <row r="47" customFormat="false" ht="15" hidden="false" customHeight="false" outlineLevel="0" collapsed="false">
      <c r="A47" s="23" t="s">
        <v>128</v>
      </c>
      <c r="B47" s="23" t="s">
        <v>57</v>
      </c>
      <c r="C47" s="24" t="s">
        <v>152</v>
      </c>
      <c r="D47" s="24" t="s">
        <v>59</v>
      </c>
      <c r="E47" s="25" t="n">
        <v>480</v>
      </c>
      <c r="F47" s="25" t="n">
        <v>480</v>
      </c>
      <c r="G47" s="26" t="n">
        <v>0</v>
      </c>
      <c r="H47" s="24" t="s">
        <v>49</v>
      </c>
      <c r="I47" s="27" t="s">
        <v>131</v>
      </c>
      <c r="J47" s="27" t="s">
        <v>132</v>
      </c>
      <c r="K47" s="24"/>
    </row>
    <row r="48" customFormat="false" ht="15" hidden="false" customHeight="false" outlineLevel="0" collapsed="false">
      <c r="A48" s="23" t="s">
        <v>128</v>
      </c>
      <c r="B48" s="23" t="s">
        <v>57</v>
      </c>
      <c r="C48" s="24" t="s">
        <v>153</v>
      </c>
      <c r="D48" s="24" t="s">
        <v>59</v>
      </c>
      <c r="E48" s="25" t="n">
        <v>40</v>
      </c>
      <c r="F48" s="25" t="n">
        <v>40</v>
      </c>
      <c r="G48" s="26" t="n">
        <v>0</v>
      </c>
      <c r="H48" s="24" t="s">
        <v>49</v>
      </c>
      <c r="I48" s="27" t="s">
        <v>131</v>
      </c>
      <c r="J48" s="27" t="s">
        <v>132</v>
      </c>
      <c r="K48" s="24"/>
    </row>
    <row r="49" customFormat="false" ht="15" hidden="false" customHeight="false" outlineLevel="0" collapsed="false">
      <c r="A49" s="23" t="s">
        <v>128</v>
      </c>
      <c r="B49" s="23" t="s">
        <v>75</v>
      </c>
      <c r="C49" s="24" t="s">
        <v>154</v>
      </c>
      <c r="D49" s="24" t="s">
        <v>77</v>
      </c>
      <c r="E49" s="25" t="n">
        <v>1365</v>
      </c>
      <c r="F49" s="25" t="n">
        <v>1365</v>
      </c>
      <c r="G49" s="26" t="n">
        <v>0</v>
      </c>
      <c r="H49" s="24" t="s">
        <v>78</v>
      </c>
      <c r="I49" s="27" t="s">
        <v>131</v>
      </c>
      <c r="J49" s="27" t="s">
        <v>132</v>
      </c>
      <c r="K49" s="24"/>
    </row>
    <row r="50" customFormat="false" ht="15" hidden="false" customHeight="false" outlineLevel="0" collapsed="false">
      <c r="A50" s="23" t="s">
        <v>128</v>
      </c>
      <c r="B50" s="23" t="s">
        <v>75</v>
      </c>
      <c r="C50" s="24" t="s">
        <v>155</v>
      </c>
      <c r="D50" s="24" t="s">
        <v>77</v>
      </c>
      <c r="E50" s="25" t="n">
        <v>0</v>
      </c>
      <c r="F50" s="25" t="n">
        <v>0</v>
      </c>
      <c r="G50" s="26" t="n">
        <v>0</v>
      </c>
      <c r="H50" s="24" t="s">
        <v>78</v>
      </c>
      <c r="I50" s="27" t="s">
        <v>131</v>
      </c>
      <c r="J50" s="27" t="s">
        <v>132</v>
      </c>
      <c r="K50" s="24"/>
    </row>
    <row r="51" customFormat="false" ht="15" hidden="false" customHeight="false" outlineLevel="0" collapsed="false">
      <c r="A51" s="23" t="s">
        <v>128</v>
      </c>
      <c r="B51" s="23" t="s">
        <v>75</v>
      </c>
      <c r="C51" s="24" t="s">
        <v>156</v>
      </c>
      <c r="D51" s="24" t="s">
        <v>77</v>
      </c>
      <c r="E51" s="25" t="n">
        <v>60</v>
      </c>
      <c r="F51" s="25" t="n">
        <v>60</v>
      </c>
      <c r="G51" s="26" t="n">
        <v>0</v>
      </c>
      <c r="H51" s="24" t="s">
        <v>78</v>
      </c>
      <c r="I51" s="27" t="s">
        <v>131</v>
      </c>
      <c r="J51" s="27" t="s">
        <v>132</v>
      </c>
      <c r="K51" s="24"/>
    </row>
    <row r="52" customFormat="false" ht="15" hidden="false" customHeight="false" outlineLevel="0" collapsed="false">
      <c r="A52" s="23" t="s">
        <v>128</v>
      </c>
      <c r="B52" s="23" t="s">
        <v>157</v>
      </c>
      <c r="C52" s="24" t="s">
        <v>158</v>
      </c>
      <c r="D52" s="24" t="s">
        <v>159</v>
      </c>
      <c r="E52" s="25" t="n">
        <v>594</v>
      </c>
      <c r="F52" s="25" t="n">
        <v>594</v>
      </c>
      <c r="G52" s="26" t="n">
        <v>0</v>
      </c>
      <c r="H52" s="24" t="s">
        <v>49</v>
      </c>
      <c r="I52" s="27" t="s">
        <v>131</v>
      </c>
      <c r="J52" s="27" t="s">
        <v>132</v>
      </c>
      <c r="K52" s="24"/>
    </row>
    <row r="53" customFormat="false" ht="15" hidden="false" customHeight="false" outlineLevel="0" collapsed="false">
      <c r="A53" s="23" t="s">
        <v>128</v>
      </c>
      <c r="B53" s="23" t="s">
        <v>160</v>
      </c>
      <c r="C53" s="24" t="s">
        <v>161</v>
      </c>
      <c r="D53" s="24"/>
      <c r="E53" s="25" t="n">
        <v>0</v>
      </c>
      <c r="F53" s="25" t="n">
        <v>0</v>
      </c>
      <c r="G53" s="26" t="n">
        <v>0</v>
      </c>
      <c r="H53" s="24" t="s">
        <v>49</v>
      </c>
      <c r="I53" s="27" t="s">
        <v>131</v>
      </c>
      <c r="J53" s="27" t="s">
        <v>132</v>
      </c>
      <c r="K53" s="24"/>
    </row>
    <row r="54" customFormat="false" ht="15" hidden="false" customHeight="false" outlineLevel="0" collapsed="false">
      <c r="A54" s="23" t="s">
        <v>128</v>
      </c>
      <c r="B54" s="23" t="s">
        <v>162</v>
      </c>
      <c r="C54" s="24" t="s">
        <v>163</v>
      </c>
      <c r="D54" s="24"/>
      <c r="E54" s="25" t="n">
        <v>0</v>
      </c>
      <c r="F54" s="25" t="n">
        <v>0</v>
      </c>
      <c r="G54" s="26" t="n">
        <v>0</v>
      </c>
      <c r="H54" s="24" t="s">
        <v>49</v>
      </c>
      <c r="I54" s="27" t="s">
        <v>131</v>
      </c>
      <c r="J54" s="27" t="s">
        <v>132</v>
      </c>
      <c r="K54" s="24"/>
    </row>
    <row r="55" customFormat="false" ht="15" hidden="false" customHeight="false" outlineLevel="0" collapsed="false">
      <c r="A55" s="23" t="s">
        <v>128</v>
      </c>
      <c r="B55" s="23" t="s">
        <v>162</v>
      </c>
      <c r="C55" s="24" t="s">
        <v>164</v>
      </c>
      <c r="D55" s="24"/>
      <c r="E55" s="25" t="n">
        <v>0</v>
      </c>
      <c r="F55" s="25" t="n">
        <v>0</v>
      </c>
      <c r="G55" s="26" t="n">
        <v>0</v>
      </c>
      <c r="H55" s="24" t="s">
        <v>49</v>
      </c>
      <c r="I55" s="27" t="s">
        <v>131</v>
      </c>
      <c r="J55" s="27" t="s">
        <v>132</v>
      </c>
      <c r="K55" s="24"/>
    </row>
    <row r="56" customFormat="false" ht="15" hidden="false" customHeight="false" outlineLevel="0" collapsed="false">
      <c r="A56" s="23" t="s">
        <v>128</v>
      </c>
      <c r="B56" s="23" t="s">
        <v>165</v>
      </c>
      <c r="C56" s="24" t="s">
        <v>166</v>
      </c>
      <c r="D56" s="24"/>
      <c r="E56" s="25" t="n">
        <v>81.6</v>
      </c>
      <c r="F56" s="25" t="n">
        <v>81.6</v>
      </c>
      <c r="G56" s="26" t="n">
        <v>0</v>
      </c>
      <c r="H56" s="24" t="s">
        <v>49</v>
      </c>
      <c r="I56" s="27" t="s">
        <v>131</v>
      </c>
      <c r="J56" s="27" t="s">
        <v>132</v>
      </c>
      <c r="K56" s="24"/>
    </row>
    <row r="57" customFormat="false" ht="15" hidden="false" customHeight="false" outlineLevel="0" collapsed="false">
      <c r="A57" s="23" t="s">
        <v>128</v>
      </c>
      <c r="B57" s="23" t="s">
        <v>167</v>
      </c>
      <c r="C57" s="24" t="s">
        <v>168</v>
      </c>
      <c r="D57" s="24"/>
      <c r="E57" s="25" t="n">
        <v>0</v>
      </c>
      <c r="F57" s="25" t="n">
        <v>0</v>
      </c>
      <c r="G57" s="26" t="n">
        <v>0</v>
      </c>
      <c r="H57" s="24" t="s">
        <v>49</v>
      </c>
      <c r="I57" s="27" t="s">
        <v>131</v>
      </c>
      <c r="J57" s="27" t="s">
        <v>132</v>
      </c>
      <c r="K57" s="24"/>
    </row>
    <row r="58" customFormat="false" ht="15" hidden="false" customHeight="false" outlineLevel="0" collapsed="false">
      <c r="A58" s="23" t="s">
        <v>128</v>
      </c>
      <c r="B58" s="23" t="s">
        <v>169</v>
      </c>
      <c r="C58" s="24" t="s">
        <v>170</v>
      </c>
      <c r="D58" s="24"/>
      <c r="E58" s="25" t="n">
        <v>0</v>
      </c>
      <c r="F58" s="25" t="n">
        <v>0</v>
      </c>
      <c r="G58" s="26" t="n">
        <v>0</v>
      </c>
      <c r="H58" s="24" t="s">
        <v>49</v>
      </c>
      <c r="I58" s="27" t="s">
        <v>131</v>
      </c>
      <c r="J58" s="27" t="s">
        <v>132</v>
      </c>
      <c r="K58" s="24"/>
    </row>
    <row r="59" customFormat="false" ht="15" hidden="false" customHeight="false" outlineLevel="0" collapsed="false">
      <c r="A59" s="23" t="s">
        <v>128</v>
      </c>
      <c r="B59" s="23" t="s">
        <v>46</v>
      </c>
      <c r="C59" s="24" t="s">
        <v>171</v>
      </c>
      <c r="D59" s="24" t="s">
        <v>48</v>
      </c>
      <c r="E59" s="25" t="n">
        <v>0</v>
      </c>
      <c r="F59" s="25" t="n">
        <v>0</v>
      </c>
      <c r="G59" s="26" t="n">
        <v>0</v>
      </c>
      <c r="H59" s="24" t="s">
        <v>49</v>
      </c>
      <c r="I59" s="27" t="s">
        <v>131</v>
      </c>
      <c r="J59" s="27" t="s">
        <v>132</v>
      </c>
      <c r="K59" s="24"/>
    </row>
    <row r="60" customFormat="false" ht="15" hidden="false" customHeight="false" outlineLevel="0" collapsed="false">
      <c r="A60" s="23" t="s">
        <v>128</v>
      </c>
      <c r="B60" s="23" t="s">
        <v>172</v>
      </c>
      <c r="C60" s="24" t="s">
        <v>173</v>
      </c>
      <c r="D60" s="24"/>
      <c r="E60" s="25" t="n">
        <v>0</v>
      </c>
      <c r="F60" s="25" t="n">
        <v>0</v>
      </c>
      <c r="G60" s="26" t="n">
        <v>0</v>
      </c>
      <c r="H60" s="24" t="s">
        <v>49</v>
      </c>
      <c r="I60" s="27" t="s">
        <v>131</v>
      </c>
      <c r="J60" s="27" t="s">
        <v>132</v>
      </c>
      <c r="K60" s="24"/>
    </row>
    <row r="61" customFormat="false" ht="15" hidden="false" customHeight="false" outlineLevel="0" collapsed="false">
      <c r="A61" s="23" t="s">
        <v>128</v>
      </c>
      <c r="B61" s="23" t="s">
        <v>174</v>
      </c>
      <c r="C61" s="24" t="s">
        <v>175</v>
      </c>
      <c r="D61" s="24"/>
      <c r="E61" s="25" t="n">
        <v>0</v>
      </c>
      <c r="F61" s="25" t="n">
        <v>0</v>
      </c>
      <c r="G61" s="26" t="n">
        <v>0</v>
      </c>
      <c r="H61" s="24" t="s">
        <v>49</v>
      </c>
      <c r="I61" s="27" t="s">
        <v>131</v>
      </c>
      <c r="J61" s="27" t="s">
        <v>132</v>
      </c>
      <c r="K61" s="24"/>
    </row>
    <row r="62" customFormat="false" ht="15" hidden="false" customHeight="false" outlineLevel="0" collapsed="false">
      <c r="A62" s="23" t="s">
        <v>128</v>
      </c>
      <c r="B62" s="23" t="s">
        <v>61</v>
      </c>
      <c r="C62" s="24" t="s">
        <v>101</v>
      </c>
      <c r="D62" s="24" t="s">
        <v>63</v>
      </c>
      <c r="E62" s="25" t="n">
        <v>288</v>
      </c>
      <c r="F62" s="25" t="n">
        <v>288</v>
      </c>
      <c r="G62" s="26" t="n">
        <v>0</v>
      </c>
      <c r="H62" s="24" t="s">
        <v>49</v>
      </c>
      <c r="I62" s="27" t="s">
        <v>131</v>
      </c>
      <c r="J62" s="27" t="s">
        <v>132</v>
      </c>
      <c r="K62" s="24"/>
    </row>
    <row r="63" customFormat="false" ht="15" hidden="false" customHeight="false" outlineLevel="0" collapsed="false">
      <c r="A63" s="23" t="s">
        <v>128</v>
      </c>
      <c r="B63" s="23" t="s">
        <v>176</v>
      </c>
      <c r="C63" s="24" t="s">
        <v>177</v>
      </c>
      <c r="D63" s="24"/>
      <c r="E63" s="25" t="n">
        <v>0</v>
      </c>
      <c r="F63" s="25" t="n">
        <v>0</v>
      </c>
      <c r="G63" s="26" t="n">
        <v>0</v>
      </c>
      <c r="H63" s="24" t="s">
        <v>49</v>
      </c>
      <c r="I63" s="27" t="s">
        <v>131</v>
      </c>
      <c r="J63" s="27" t="s">
        <v>132</v>
      </c>
      <c r="K63" s="24"/>
    </row>
    <row r="64" customFormat="false" ht="15" hidden="false" customHeight="false" outlineLevel="0" collapsed="false">
      <c r="A64" s="23" t="s">
        <v>128</v>
      </c>
      <c r="B64" s="23" t="s">
        <v>176</v>
      </c>
      <c r="C64" s="24" t="s">
        <v>178</v>
      </c>
      <c r="D64" s="24"/>
      <c r="E64" s="25" t="n">
        <v>0</v>
      </c>
      <c r="F64" s="25" t="n">
        <v>0</v>
      </c>
      <c r="G64" s="26" t="n">
        <v>0</v>
      </c>
      <c r="H64" s="24" t="s">
        <v>49</v>
      </c>
      <c r="I64" s="27" t="s">
        <v>131</v>
      </c>
      <c r="J64" s="27" t="s">
        <v>132</v>
      </c>
      <c r="K64" s="24"/>
    </row>
    <row r="65" customFormat="false" ht="15" hidden="false" customHeight="false" outlineLevel="0" collapsed="false">
      <c r="A65" s="23" t="s">
        <v>128</v>
      </c>
      <c r="B65" s="23" t="s">
        <v>179</v>
      </c>
      <c r="C65" s="24" t="s">
        <v>180</v>
      </c>
      <c r="D65" s="24"/>
      <c r="E65" s="25" t="n">
        <v>108.8</v>
      </c>
      <c r="F65" s="25" t="n">
        <v>108.8</v>
      </c>
      <c r="G65" s="26" t="n">
        <v>0</v>
      </c>
      <c r="H65" s="24" t="s">
        <v>49</v>
      </c>
      <c r="I65" s="27" t="s">
        <v>131</v>
      </c>
      <c r="J65" s="27" t="s">
        <v>132</v>
      </c>
      <c r="K65" s="24"/>
    </row>
    <row r="66" customFormat="false" ht="15" hidden="false" customHeight="false" outlineLevel="0" collapsed="false">
      <c r="A66" s="23" t="s">
        <v>128</v>
      </c>
      <c r="B66" s="23" t="s">
        <v>179</v>
      </c>
      <c r="C66" s="24" t="s">
        <v>181</v>
      </c>
      <c r="D66" s="24"/>
      <c r="E66" s="25" t="n">
        <v>195.84</v>
      </c>
      <c r="F66" s="25" t="n">
        <v>195.84</v>
      </c>
      <c r="G66" s="26" t="n">
        <v>0</v>
      </c>
      <c r="H66" s="24" t="s">
        <v>49</v>
      </c>
      <c r="I66" s="27" t="s">
        <v>131</v>
      </c>
      <c r="J66" s="27" t="s">
        <v>132</v>
      </c>
      <c r="K66" s="24"/>
    </row>
    <row r="67" customFormat="false" ht="15" hidden="false" customHeight="false" outlineLevel="0" collapsed="false">
      <c r="A67" s="23" t="s">
        <v>128</v>
      </c>
      <c r="B67" s="23" t="s">
        <v>179</v>
      </c>
      <c r="C67" s="24" t="s">
        <v>182</v>
      </c>
      <c r="D67" s="24"/>
      <c r="E67" s="25" t="n">
        <v>295.12</v>
      </c>
      <c r="F67" s="25" t="n">
        <v>295.12</v>
      </c>
      <c r="G67" s="26" t="n">
        <v>0</v>
      </c>
      <c r="H67" s="24" t="s">
        <v>49</v>
      </c>
      <c r="I67" s="27" t="s">
        <v>131</v>
      </c>
      <c r="J67" s="27" t="s">
        <v>132</v>
      </c>
      <c r="K67" s="24"/>
    </row>
    <row r="68" customFormat="false" ht="15" hidden="false" customHeight="false" outlineLevel="0" collapsed="false">
      <c r="A68" s="23" t="s">
        <v>128</v>
      </c>
      <c r="B68" s="23" t="s">
        <v>183</v>
      </c>
      <c r="C68" s="24" t="s">
        <v>184</v>
      </c>
      <c r="D68" s="24"/>
      <c r="E68" s="25" t="n">
        <v>432</v>
      </c>
      <c r="F68" s="25" t="n">
        <v>432</v>
      </c>
      <c r="G68" s="26" t="n">
        <v>0</v>
      </c>
      <c r="H68" s="24" t="s">
        <v>49</v>
      </c>
      <c r="I68" s="27" t="s">
        <v>131</v>
      </c>
      <c r="J68" s="27" t="s">
        <v>132</v>
      </c>
      <c r="K68" s="24"/>
    </row>
    <row r="69" customFormat="false" ht="15" hidden="false" customHeight="false" outlineLevel="0" collapsed="false">
      <c r="A69" s="23" t="s">
        <v>128</v>
      </c>
      <c r="B69" s="23" t="s">
        <v>185</v>
      </c>
      <c r="C69" s="24" t="s">
        <v>186</v>
      </c>
      <c r="D69" s="24"/>
      <c r="E69" s="25" t="n">
        <v>0</v>
      </c>
      <c r="F69" s="25" t="n">
        <v>0</v>
      </c>
      <c r="G69" s="26" t="n">
        <v>0</v>
      </c>
      <c r="H69" s="24" t="s">
        <v>49</v>
      </c>
      <c r="I69" s="27" t="s">
        <v>131</v>
      </c>
      <c r="J69" s="27" t="s">
        <v>132</v>
      </c>
      <c r="K69" s="24"/>
    </row>
    <row r="70" customFormat="false" ht="15" hidden="false" customHeight="false" outlineLevel="0" collapsed="false">
      <c r="A70" s="23" t="s">
        <v>128</v>
      </c>
      <c r="B70" s="23" t="s">
        <v>187</v>
      </c>
      <c r="C70" s="24" t="s">
        <v>188</v>
      </c>
      <c r="D70" s="24" t="s">
        <v>189</v>
      </c>
      <c r="E70" s="25" t="n">
        <v>1090</v>
      </c>
      <c r="F70" s="25" t="n">
        <v>1090</v>
      </c>
      <c r="G70" s="26" t="n">
        <v>0</v>
      </c>
      <c r="H70" s="24" t="s">
        <v>49</v>
      </c>
      <c r="I70" s="27" t="s">
        <v>131</v>
      </c>
      <c r="J70" s="27" t="s">
        <v>132</v>
      </c>
      <c r="K70" s="24"/>
    </row>
    <row r="71" customFormat="false" ht="15" hidden="false" customHeight="false" outlineLevel="0" collapsed="false">
      <c r="A71" s="23" t="s">
        <v>128</v>
      </c>
      <c r="B71" s="23" t="s">
        <v>187</v>
      </c>
      <c r="C71" s="24" t="s">
        <v>190</v>
      </c>
      <c r="D71" s="24" t="s">
        <v>189</v>
      </c>
      <c r="E71" s="25" t="n">
        <v>1200</v>
      </c>
      <c r="F71" s="25" t="n">
        <v>1200</v>
      </c>
      <c r="G71" s="26" t="n">
        <v>0</v>
      </c>
      <c r="H71" s="24" t="s">
        <v>49</v>
      </c>
      <c r="I71" s="27" t="s">
        <v>131</v>
      </c>
      <c r="J71" s="27" t="s">
        <v>132</v>
      </c>
      <c r="K71" s="24"/>
    </row>
    <row r="72" customFormat="false" ht="15" hidden="false" customHeight="false" outlineLevel="0" collapsed="false">
      <c r="A72" s="23" t="s">
        <v>128</v>
      </c>
      <c r="B72" s="23" t="s">
        <v>191</v>
      </c>
      <c r="C72" s="24" t="s">
        <v>192</v>
      </c>
      <c r="D72" s="24"/>
      <c r="E72" s="25" t="n">
        <v>313.6</v>
      </c>
      <c r="F72" s="25" t="n">
        <v>313.6</v>
      </c>
      <c r="G72" s="26" t="n">
        <v>0</v>
      </c>
      <c r="H72" s="24" t="s">
        <v>49</v>
      </c>
      <c r="I72" s="27" t="s">
        <v>131</v>
      </c>
      <c r="J72" s="27" t="s">
        <v>132</v>
      </c>
      <c r="K72" s="24"/>
    </row>
    <row r="73" customFormat="false" ht="15" hidden="false" customHeight="false" outlineLevel="0" collapsed="false">
      <c r="A73" s="23" t="s">
        <v>128</v>
      </c>
      <c r="B73" s="23" t="s">
        <v>89</v>
      </c>
      <c r="C73" s="24" t="s">
        <v>193</v>
      </c>
      <c r="D73" s="24" t="s">
        <v>48</v>
      </c>
      <c r="E73" s="25" t="n">
        <v>603</v>
      </c>
      <c r="F73" s="25" t="n">
        <v>603</v>
      </c>
      <c r="G73" s="26" t="n">
        <v>0</v>
      </c>
      <c r="H73" s="24" t="s">
        <v>49</v>
      </c>
      <c r="I73" s="27" t="s">
        <v>131</v>
      </c>
      <c r="J73" s="27" t="s">
        <v>132</v>
      </c>
      <c r="K73" s="24"/>
    </row>
    <row r="74" customFormat="false" ht="15" hidden="false" customHeight="false" outlineLevel="0" collapsed="false">
      <c r="A74" s="23" t="s">
        <v>128</v>
      </c>
      <c r="B74" s="23" t="s">
        <v>89</v>
      </c>
      <c r="C74" s="24" t="s">
        <v>194</v>
      </c>
      <c r="D74" s="24" t="s">
        <v>48</v>
      </c>
      <c r="E74" s="25" t="n">
        <v>180.9</v>
      </c>
      <c r="F74" s="25" t="n">
        <v>180.9</v>
      </c>
      <c r="G74" s="26" t="n">
        <v>0</v>
      </c>
      <c r="H74" s="24" t="s">
        <v>49</v>
      </c>
      <c r="I74" s="27" t="s">
        <v>131</v>
      </c>
      <c r="J74" s="27" t="s">
        <v>132</v>
      </c>
      <c r="K74" s="24"/>
    </row>
    <row r="75" customFormat="false" ht="15" hidden="false" customHeight="false" outlineLevel="0" collapsed="false">
      <c r="A75" s="23" t="s">
        <v>128</v>
      </c>
      <c r="B75" s="23" t="s">
        <v>195</v>
      </c>
      <c r="C75" s="24" t="s">
        <v>196</v>
      </c>
      <c r="D75" s="24"/>
      <c r="E75" s="25" t="n">
        <v>1200</v>
      </c>
      <c r="F75" s="25" t="n">
        <v>1200</v>
      </c>
      <c r="G75" s="26" t="n">
        <v>0</v>
      </c>
      <c r="H75" s="24" t="s">
        <v>49</v>
      </c>
      <c r="I75" s="27" t="s">
        <v>131</v>
      </c>
      <c r="J75" s="27" t="s">
        <v>132</v>
      </c>
      <c r="K75" s="24"/>
    </row>
    <row r="76" customFormat="false" ht="15" hidden="false" customHeight="false" outlineLevel="0" collapsed="false">
      <c r="A76" s="23" t="s">
        <v>128</v>
      </c>
      <c r="B76" s="23" t="s">
        <v>195</v>
      </c>
      <c r="C76" s="24" t="s">
        <v>197</v>
      </c>
      <c r="D76" s="24"/>
      <c r="E76" s="25" t="n">
        <v>0</v>
      </c>
      <c r="F76" s="25" t="n">
        <v>0</v>
      </c>
      <c r="G76" s="26" t="n">
        <v>0</v>
      </c>
      <c r="H76" s="24" t="s">
        <v>49</v>
      </c>
      <c r="I76" s="27" t="s">
        <v>131</v>
      </c>
      <c r="J76" s="27" t="s">
        <v>132</v>
      </c>
      <c r="K76" s="24"/>
    </row>
    <row r="77" customFormat="false" ht="15" hidden="false" customHeight="false" outlineLevel="0" collapsed="false">
      <c r="A77" s="23" t="s">
        <v>128</v>
      </c>
      <c r="B77" s="23" t="s">
        <v>198</v>
      </c>
      <c r="C77" s="24" t="s">
        <v>199</v>
      </c>
      <c r="D77" s="24" t="s">
        <v>200</v>
      </c>
      <c r="E77" s="25" t="n">
        <v>558</v>
      </c>
      <c r="F77" s="25" t="n">
        <v>558</v>
      </c>
      <c r="G77" s="26" t="n">
        <v>0</v>
      </c>
      <c r="H77" s="24" t="s">
        <v>49</v>
      </c>
      <c r="I77" s="27" t="s">
        <v>131</v>
      </c>
      <c r="J77" s="27" t="s">
        <v>132</v>
      </c>
      <c r="K77" s="24"/>
    </row>
    <row r="78" customFormat="false" ht="15" hidden="false" customHeight="false" outlineLevel="0" collapsed="false">
      <c r="A78" s="23" t="s">
        <v>128</v>
      </c>
      <c r="B78" s="23" t="s">
        <v>201</v>
      </c>
      <c r="C78" s="24" t="s">
        <v>202</v>
      </c>
      <c r="D78" s="24"/>
      <c r="E78" s="25" t="n">
        <v>0</v>
      </c>
      <c r="F78" s="25" t="n">
        <v>0</v>
      </c>
      <c r="G78" s="26" t="n">
        <v>0</v>
      </c>
      <c r="H78" s="24" t="s">
        <v>49</v>
      </c>
      <c r="I78" s="27" t="s">
        <v>131</v>
      </c>
      <c r="J78" s="27" t="s">
        <v>132</v>
      </c>
      <c r="K78" s="24"/>
    </row>
    <row r="79" customFormat="false" ht="15" hidden="false" customHeight="false" outlineLevel="0" collapsed="false">
      <c r="A79" s="23" t="s">
        <v>128</v>
      </c>
      <c r="B79" s="23" t="s">
        <v>203</v>
      </c>
      <c r="C79" s="24" t="s">
        <v>204</v>
      </c>
      <c r="D79" s="24"/>
      <c r="E79" s="25" t="n">
        <v>0</v>
      </c>
      <c r="F79" s="25" t="n">
        <v>0</v>
      </c>
      <c r="G79" s="26" t="n">
        <v>0</v>
      </c>
      <c r="H79" s="24" t="s">
        <v>49</v>
      </c>
      <c r="I79" s="27" t="s">
        <v>131</v>
      </c>
      <c r="J79" s="27" t="s">
        <v>132</v>
      </c>
      <c r="K79" s="24"/>
    </row>
    <row r="80" customFormat="false" ht="15" hidden="false" customHeight="false" outlineLevel="0" collapsed="false">
      <c r="A80" s="23" t="s">
        <v>128</v>
      </c>
      <c r="B80" s="23" t="s">
        <v>203</v>
      </c>
      <c r="C80" s="24" t="s">
        <v>205</v>
      </c>
      <c r="D80" s="24"/>
      <c r="E80" s="25" t="n">
        <v>0</v>
      </c>
      <c r="F80" s="25" t="n">
        <v>0</v>
      </c>
      <c r="G80" s="26" t="n">
        <v>0</v>
      </c>
      <c r="H80" s="24" t="s">
        <v>49</v>
      </c>
      <c r="I80" s="27" t="s">
        <v>131</v>
      </c>
      <c r="J80" s="27" t="s">
        <v>132</v>
      </c>
      <c r="K80" s="24"/>
    </row>
    <row r="81" customFormat="false" ht="15" hidden="false" customHeight="false" outlineLevel="0" collapsed="false">
      <c r="A81" s="23" t="s">
        <v>128</v>
      </c>
      <c r="B81" s="23" t="s">
        <v>206</v>
      </c>
      <c r="C81" s="24" t="s">
        <v>207</v>
      </c>
      <c r="D81" s="24" t="s">
        <v>208</v>
      </c>
      <c r="E81" s="25" t="n">
        <v>800</v>
      </c>
      <c r="F81" s="25" t="n">
        <v>800</v>
      </c>
      <c r="G81" s="26" t="n">
        <v>0</v>
      </c>
      <c r="H81" s="24" t="s">
        <v>49</v>
      </c>
      <c r="I81" s="27" t="s">
        <v>131</v>
      </c>
      <c r="J81" s="27" t="s">
        <v>132</v>
      </c>
      <c r="K81" s="24"/>
    </row>
    <row r="82" customFormat="false" ht="15" hidden="false" customHeight="false" outlineLevel="0" collapsed="false">
      <c r="A82" s="23" t="s">
        <v>128</v>
      </c>
      <c r="B82" s="23" t="s">
        <v>209</v>
      </c>
      <c r="C82" s="24" t="s">
        <v>210</v>
      </c>
      <c r="D82" s="24"/>
      <c r="E82" s="25" t="n">
        <v>1000</v>
      </c>
      <c r="F82" s="25" t="n">
        <v>1000</v>
      </c>
      <c r="G82" s="26" t="n">
        <v>0</v>
      </c>
      <c r="H82" s="24" t="s">
        <v>49</v>
      </c>
      <c r="I82" s="27" t="s">
        <v>131</v>
      </c>
      <c r="J82" s="27" t="s">
        <v>132</v>
      </c>
      <c r="K82" s="24"/>
    </row>
    <row r="83" customFormat="false" ht="15" hidden="false" customHeight="false" outlineLevel="0" collapsed="false">
      <c r="A83" s="23" t="s">
        <v>128</v>
      </c>
      <c r="B83" s="23" t="s">
        <v>106</v>
      </c>
      <c r="C83" s="24" t="s">
        <v>211</v>
      </c>
      <c r="D83" s="24" t="s">
        <v>108</v>
      </c>
      <c r="E83" s="25" t="n">
        <v>405</v>
      </c>
      <c r="F83" s="25" t="n">
        <v>405</v>
      </c>
      <c r="G83" s="26" t="n">
        <v>0</v>
      </c>
      <c r="H83" s="24" t="s">
        <v>109</v>
      </c>
      <c r="I83" s="27" t="s">
        <v>131</v>
      </c>
      <c r="J83" s="27" t="s">
        <v>132</v>
      </c>
      <c r="K83" s="24"/>
    </row>
    <row r="84" customFormat="false" ht="15" hidden="false" customHeight="false" outlineLevel="0" collapsed="false">
      <c r="A84" s="23" t="s">
        <v>128</v>
      </c>
      <c r="B84" s="23" t="s">
        <v>106</v>
      </c>
      <c r="C84" s="24" t="s">
        <v>212</v>
      </c>
      <c r="D84" s="24" t="s">
        <v>108</v>
      </c>
      <c r="E84" s="25" t="n">
        <v>524.75</v>
      </c>
      <c r="F84" s="25" t="n">
        <v>524.75</v>
      </c>
      <c r="G84" s="26" t="n">
        <v>0</v>
      </c>
      <c r="H84" s="24" t="s">
        <v>109</v>
      </c>
      <c r="I84" s="27" t="s">
        <v>131</v>
      </c>
      <c r="J84" s="27" t="s">
        <v>132</v>
      </c>
      <c r="K84" s="24"/>
    </row>
    <row r="85" customFormat="false" ht="15" hidden="false" customHeight="false" outlineLevel="0" collapsed="false">
      <c r="A85" s="23" t="s">
        <v>128</v>
      </c>
      <c r="B85" s="23" t="s">
        <v>106</v>
      </c>
      <c r="C85" s="24" t="s">
        <v>213</v>
      </c>
      <c r="D85" s="24" t="s">
        <v>108</v>
      </c>
      <c r="E85" s="25" t="n">
        <v>0</v>
      </c>
      <c r="F85" s="25" t="n">
        <v>0</v>
      </c>
      <c r="G85" s="26" t="n">
        <v>0</v>
      </c>
      <c r="H85" s="24" t="s">
        <v>109</v>
      </c>
      <c r="I85" s="27" t="s">
        <v>131</v>
      </c>
      <c r="J85" s="27" t="s">
        <v>132</v>
      </c>
      <c r="K85" s="24"/>
    </row>
    <row r="86" customFormat="false" ht="15" hidden="false" customHeight="false" outlineLevel="0" collapsed="false">
      <c r="A86" s="23" t="s">
        <v>128</v>
      </c>
      <c r="B86" s="23" t="s">
        <v>106</v>
      </c>
      <c r="C86" s="24" t="s">
        <v>214</v>
      </c>
      <c r="D86" s="24" t="s">
        <v>108</v>
      </c>
      <c r="E86" s="25" t="n">
        <v>0</v>
      </c>
      <c r="F86" s="25" t="n">
        <v>0</v>
      </c>
      <c r="G86" s="26" t="n">
        <v>0</v>
      </c>
      <c r="H86" s="24" t="s">
        <v>109</v>
      </c>
      <c r="I86" s="27" t="s">
        <v>131</v>
      </c>
      <c r="J86" s="27" t="s">
        <v>132</v>
      </c>
      <c r="K86" s="24"/>
    </row>
    <row r="87" customFormat="false" ht="15" hidden="false" customHeight="false" outlineLevel="0" collapsed="false">
      <c r="A87" s="23" t="s">
        <v>128</v>
      </c>
      <c r="B87" s="23" t="s">
        <v>106</v>
      </c>
      <c r="C87" s="24" t="s">
        <v>215</v>
      </c>
      <c r="D87" s="24" t="s">
        <v>108</v>
      </c>
      <c r="E87" s="25" t="n">
        <v>240</v>
      </c>
      <c r="F87" s="25" t="n">
        <v>240</v>
      </c>
      <c r="G87" s="26" t="n">
        <v>0</v>
      </c>
      <c r="H87" s="24" t="s">
        <v>109</v>
      </c>
      <c r="I87" s="27" t="s">
        <v>131</v>
      </c>
      <c r="J87" s="27" t="s">
        <v>132</v>
      </c>
      <c r="K87" s="24"/>
    </row>
    <row r="88" customFormat="false" ht="15" hidden="false" customHeight="false" outlineLevel="0" collapsed="false">
      <c r="A88" s="23" t="s">
        <v>128</v>
      </c>
      <c r="B88" s="23" t="s">
        <v>216</v>
      </c>
      <c r="C88" s="24" t="s">
        <v>217</v>
      </c>
      <c r="D88" s="24" t="s">
        <v>218</v>
      </c>
      <c r="E88" s="25" t="n">
        <v>0</v>
      </c>
      <c r="F88" s="25" t="n">
        <v>0</v>
      </c>
      <c r="G88" s="26" t="n">
        <v>0</v>
      </c>
      <c r="H88" s="24" t="s">
        <v>49</v>
      </c>
      <c r="I88" s="27" t="s">
        <v>131</v>
      </c>
      <c r="J88" s="27" t="s">
        <v>132</v>
      </c>
      <c r="K88" s="24"/>
    </row>
    <row r="89" customFormat="false" ht="15" hidden="false" customHeight="false" outlineLevel="0" collapsed="false">
      <c r="A89" s="23" t="s">
        <v>128</v>
      </c>
      <c r="B89" s="23" t="s">
        <v>216</v>
      </c>
      <c r="C89" s="24" t="s">
        <v>219</v>
      </c>
      <c r="D89" s="24" t="s">
        <v>218</v>
      </c>
      <c r="E89" s="25" t="n">
        <v>5280</v>
      </c>
      <c r="F89" s="25" t="n">
        <v>5280</v>
      </c>
      <c r="G89" s="26" t="n">
        <v>0</v>
      </c>
      <c r="H89" s="24" t="s">
        <v>49</v>
      </c>
      <c r="I89" s="27" t="s">
        <v>131</v>
      </c>
      <c r="J89" s="27" t="s">
        <v>132</v>
      </c>
      <c r="K89" s="24"/>
    </row>
    <row r="90" customFormat="false" ht="15" hidden="false" customHeight="false" outlineLevel="0" collapsed="false">
      <c r="A90" s="23" t="s">
        <v>128</v>
      </c>
      <c r="B90" s="23" t="s">
        <v>220</v>
      </c>
      <c r="C90" s="24" t="s">
        <v>221</v>
      </c>
      <c r="D90" s="24" t="s">
        <v>218</v>
      </c>
      <c r="E90" s="25" t="n">
        <v>0</v>
      </c>
      <c r="F90" s="25" t="n">
        <v>0</v>
      </c>
      <c r="G90" s="26" t="n">
        <v>0</v>
      </c>
      <c r="H90" s="24" t="s">
        <v>49</v>
      </c>
      <c r="I90" s="27" t="s">
        <v>131</v>
      </c>
      <c r="J90" s="27" t="s">
        <v>132</v>
      </c>
      <c r="K90" s="24"/>
    </row>
    <row r="91" customFormat="false" ht="15" hidden="false" customHeight="false" outlineLevel="0" collapsed="false">
      <c r="A91" s="23" t="s">
        <v>128</v>
      </c>
      <c r="B91" s="23" t="s">
        <v>220</v>
      </c>
      <c r="C91" s="24" t="s">
        <v>222</v>
      </c>
      <c r="D91" s="24" t="s">
        <v>218</v>
      </c>
      <c r="E91" s="25" t="n">
        <v>280</v>
      </c>
      <c r="F91" s="25" t="n">
        <v>280</v>
      </c>
      <c r="G91" s="26" t="n">
        <v>0</v>
      </c>
      <c r="H91" s="24" t="s">
        <v>49</v>
      </c>
      <c r="I91" s="27" t="s">
        <v>131</v>
      </c>
      <c r="J91" s="27" t="s">
        <v>132</v>
      </c>
      <c r="K91" s="24"/>
    </row>
    <row r="92" customFormat="false" ht="15" hidden="false" customHeight="false" outlineLevel="0" collapsed="false">
      <c r="A92" s="23" t="s">
        <v>128</v>
      </c>
      <c r="B92" s="23" t="s">
        <v>223</v>
      </c>
      <c r="C92" s="24" t="s">
        <v>224</v>
      </c>
      <c r="D92" s="24"/>
      <c r="E92" s="25" t="n">
        <v>0</v>
      </c>
      <c r="F92" s="25" t="n">
        <v>0</v>
      </c>
      <c r="G92" s="26" t="n">
        <v>0</v>
      </c>
      <c r="H92" s="24" t="s">
        <v>49</v>
      </c>
      <c r="I92" s="27" t="s">
        <v>131</v>
      </c>
      <c r="J92" s="27" t="s">
        <v>132</v>
      </c>
      <c r="K92" s="24"/>
    </row>
    <row r="93" customFormat="false" ht="15" hidden="false" customHeight="false" outlineLevel="0" collapsed="false">
      <c r="A93" s="23" t="s">
        <v>128</v>
      </c>
      <c r="B93" s="23" t="s">
        <v>225</v>
      </c>
      <c r="C93" s="24" t="s">
        <v>226</v>
      </c>
      <c r="D93" s="24"/>
      <c r="E93" s="25" t="n">
        <v>1000</v>
      </c>
      <c r="F93" s="25" t="n">
        <v>1000</v>
      </c>
      <c r="G93" s="26" t="n">
        <v>0</v>
      </c>
      <c r="H93" s="24" t="s">
        <v>49</v>
      </c>
      <c r="I93" s="27" t="s">
        <v>131</v>
      </c>
      <c r="J93" s="27" t="s">
        <v>132</v>
      </c>
      <c r="K93" s="24"/>
    </row>
    <row r="94" customFormat="false" ht="15" hidden="false" customHeight="false" outlineLevel="0" collapsed="false">
      <c r="A94" s="23" t="s">
        <v>128</v>
      </c>
      <c r="B94" s="23" t="s">
        <v>227</v>
      </c>
      <c r="C94" s="24" t="s">
        <v>228</v>
      </c>
      <c r="D94" s="24" t="s">
        <v>118</v>
      </c>
      <c r="E94" s="25" t="n">
        <v>33.6</v>
      </c>
      <c r="F94" s="25" t="n">
        <v>33.6</v>
      </c>
      <c r="G94" s="26" t="n">
        <v>0</v>
      </c>
      <c r="H94" s="24" t="s">
        <v>49</v>
      </c>
      <c r="I94" s="27" t="s">
        <v>131</v>
      </c>
      <c r="J94" s="27" t="s">
        <v>132</v>
      </c>
      <c r="K94" s="24"/>
    </row>
    <row r="95" customFormat="false" ht="15" hidden="false" customHeight="false" outlineLevel="0" collapsed="false">
      <c r="A95" s="23" t="s">
        <v>128</v>
      </c>
      <c r="B95" s="23" t="s">
        <v>227</v>
      </c>
      <c r="C95" s="24" t="s">
        <v>229</v>
      </c>
      <c r="D95" s="24" t="s">
        <v>118</v>
      </c>
      <c r="E95" s="25" t="n">
        <v>627.2</v>
      </c>
      <c r="F95" s="25" t="n">
        <v>627.2</v>
      </c>
      <c r="G95" s="26" t="n">
        <v>0</v>
      </c>
      <c r="H95" s="24" t="s">
        <v>49</v>
      </c>
      <c r="I95" s="27" t="s">
        <v>131</v>
      </c>
      <c r="J95" s="27" t="s">
        <v>132</v>
      </c>
      <c r="K95" s="24"/>
    </row>
    <row r="96" customFormat="false" ht="15" hidden="false" customHeight="false" outlineLevel="0" collapsed="false">
      <c r="A96" s="23" t="s">
        <v>128</v>
      </c>
      <c r="B96" s="23" t="s">
        <v>227</v>
      </c>
      <c r="C96" s="24" t="s">
        <v>230</v>
      </c>
      <c r="D96" s="24" t="s">
        <v>118</v>
      </c>
      <c r="E96" s="25" t="n">
        <v>0</v>
      </c>
      <c r="F96" s="25" t="n">
        <v>0</v>
      </c>
      <c r="G96" s="26" t="n">
        <v>0</v>
      </c>
      <c r="H96" s="24" t="s">
        <v>49</v>
      </c>
      <c r="I96" s="27" t="s">
        <v>131</v>
      </c>
      <c r="J96" s="27" t="s">
        <v>132</v>
      </c>
      <c r="K96" s="24"/>
    </row>
    <row r="97" customFormat="false" ht="15" hidden="false" customHeight="false" outlineLevel="0" collapsed="false">
      <c r="A97" s="23" t="s">
        <v>128</v>
      </c>
      <c r="B97" s="23" t="s">
        <v>227</v>
      </c>
      <c r="C97" s="24" t="s">
        <v>231</v>
      </c>
      <c r="D97" s="24" t="s">
        <v>118</v>
      </c>
      <c r="E97" s="25" t="n">
        <v>0</v>
      </c>
      <c r="F97" s="25" t="n">
        <v>0</v>
      </c>
      <c r="G97" s="26" t="n">
        <v>0</v>
      </c>
      <c r="H97" s="24" t="s">
        <v>49</v>
      </c>
      <c r="I97" s="27" t="s">
        <v>131</v>
      </c>
      <c r="J97" s="27" t="s">
        <v>132</v>
      </c>
      <c r="K97" s="24"/>
    </row>
    <row r="98" customFormat="false" ht="15" hidden="false" customHeight="false" outlineLevel="0" collapsed="false">
      <c r="A98" s="23" t="s">
        <v>128</v>
      </c>
      <c r="B98" s="23" t="s">
        <v>227</v>
      </c>
      <c r="C98" s="24" t="s">
        <v>232</v>
      </c>
      <c r="D98" s="24" t="s">
        <v>118</v>
      </c>
      <c r="E98" s="25" t="n">
        <v>0</v>
      </c>
      <c r="F98" s="25" t="n">
        <v>0</v>
      </c>
      <c r="G98" s="26" t="n">
        <v>0</v>
      </c>
      <c r="H98" s="24" t="s">
        <v>49</v>
      </c>
      <c r="I98" s="27" t="s">
        <v>131</v>
      </c>
      <c r="J98" s="27" t="s">
        <v>132</v>
      </c>
      <c r="K98" s="24"/>
    </row>
  </sheetData>
  <conditionalFormatting sqref="A5:A98">
    <cfRule type="expression" priority="2" aboveAverage="0" equalAverage="0" bottom="0" percent="0" rank="0" text="" dxfId="11">
      <formula>$A5="✔ Certo"</formula>
    </cfRule>
    <cfRule type="expression" priority="3" aboveAverage="0" equalAverage="0" bottom="0" percent="0" rank="0" text="" dxfId="12">
      <formula>$A5="▲ Sobrando"</formula>
    </cfRule>
    <cfRule type="expression" priority="4" aboveAverage="0" equalAverage="0" bottom="0" percent="0" rank="0" text="" dxfId="13">
      <formula>$A5="▼ Faltando"</formula>
    </cfRule>
  </conditionalFormatting>
  <conditionalFormatting sqref="K5:K98">
    <cfRule type="expression" priority="5" aboveAverage="0" equalAverage="0" bottom="0" percent="0" rank="0" text="" dxfId="13">
      <formula>$K5="Urgente"</formula>
    </cfRule>
    <cfRule type="expression" priority="6" aboveAverage="0" equalAverage="0" bottom="0" percent="0" rank="0" text="" dxfId="12">
      <formula>$K5="Alta"</formula>
    </cfRule>
  </conditionalFormatting>
  <conditionalFormatting sqref="A5:K98">
    <cfRule type="expression" priority="7" aboveAverage="0" equalAverage="0" bottom="0" percent="0" rank="0" text="" dxfId="14">
      <formula>MOD(ROW(),2)=0</formula>
    </cfRule>
  </conditionalFormatting>
  <hyperlinks>
    <hyperlink ref="J1" r:id="rId1" location="'Comece%20Aqui'!A1" display="◄ Voltar ao início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52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26.8" hidden="false" customHeight="false" outlineLevel="0" collapsed="false">
      <c r="A1" s="19" t="s">
        <v>43</v>
      </c>
      <c r="I1" s="20" t="s">
        <v>32</v>
      </c>
    </row>
    <row r="2" customFormat="false" ht="15" hidden="false" customHeight="false" outlineLevel="0" collapsed="false">
      <c r="A2" s="21" t="s">
        <v>233</v>
      </c>
    </row>
    <row r="4" customFormat="false" ht="33.75" hidden="false" customHeight="true" outlineLevel="0" collapsed="false">
      <c r="A4" s="22" t="s">
        <v>234</v>
      </c>
      <c r="B4" s="22" t="s">
        <v>44</v>
      </c>
      <c r="C4" s="22" t="s">
        <v>35</v>
      </c>
      <c r="D4" s="22" t="s">
        <v>36</v>
      </c>
      <c r="E4" s="22" t="s">
        <v>235</v>
      </c>
      <c r="F4" s="22" t="s">
        <v>43</v>
      </c>
      <c r="G4" s="28" t="s">
        <v>236</v>
      </c>
      <c r="H4" s="28" t="s">
        <v>237</v>
      </c>
      <c r="I4" s="28" t="s">
        <v>238</v>
      </c>
    </row>
    <row r="5" customFormat="false" ht="31.5" hidden="false" customHeight="true" outlineLevel="0" collapsed="false">
      <c r="A5" s="24" t="n">
        <v>1</v>
      </c>
      <c r="B5" s="23" t="s">
        <v>52</v>
      </c>
      <c r="C5" s="23" t="s">
        <v>46</v>
      </c>
      <c r="D5" s="24" t="s">
        <v>47</v>
      </c>
      <c r="E5" s="27" t="s">
        <v>239</v>
      </c>
      <c r="F5" s="27" t="s">
        <v>51</v>
      </c>
      <c r="G5" s="29"/>
      <c r="H5" s="30"/>
      <c r="I5" s="29" t="s">
        <v>240</v>
      </c>
    </row>
    <row r="6" customFormat="false" ht="31.5" hidden="false" customHeight="true" outlineLevel="0" collapsed="false">
      <c r="A6" s="24" t="n">
        <v>2</v>
      </c>
      <c r="B6" s="23" t="s">
        <v>52</v>
      </c>
      <c r="C6" s="23" t="s">
        <v>53</v>
      </c>
      <c r="D6" s="24" t="s">
        <v>54</v>
      </c>
      <c r="E6" s="27" t="s">
        <v>241</v>
      </c>
      <c r="F6" s="27" t="s">
        <v>56</v>
      </c>
      <c r="G6" s="29"/>
      <c r="H6" s="30"/>
      <c r="I6" s="29" t="s">
        <v>240</v>
      </c>
    </row>
    <row r="7" customFormat="false" ht="31.5" hidden="false" customHeight="true" outlineLevel="0" collapsed="false">
      <c r="A7" s="24" t="n">
        <v>3</v>
      </c>
      <c r="B7" s="23" t="s">
        <v>52</v>
      </c>
      <c r="C7" s="23" t="s">
        <v>57</v>
      </c>
      <c r="D7" s="24" t="s">
        <v>58</v>
      </c>
      <c r="E7" s="27" t="s">
        <v>242</v>
      </c>
      <c r="F7" s="27" t="s">
        <v>51</v>
      </c>
      <c r="G7" s="29"/>
      <c r="H7" s="30"/>
      <c r="I7" s="29" t="s">
        <v>240</v>
      </c>
    </row>
    <row r="8" customFormat="false" ht="31.5" hidden="false" customHeight="true" outlineLevel="0" collapsed="false">
      <c r="A8" s="24" t="n">
        <v>4</v>
      </c>
      <c r="B8" s="23" t="s">
        <v>66</v>
      </c>
      <c r="C8" s="23" t="s">
        <v>61</v>
      </c>
      <c r="D8" s="24" t="s">
        <v>62</v>
      </c>
      <c r="E8" s="27" t="s">
        <v>243</v>
      </c>
      <c r="F8" s="27" t="s">
        <v>65</v>
      </c>
      <c r="G8" s="29"/>
      <c r="H8" s="30"/>
      <c r="I8" s="29" t="s">
        <v>240</v>
      </c>
    </row>
    <row r="9" customFormat="false" ht="31.5" hidden="false" customHeight="true" outlineLevel="0" collapsed="false">
      <c r="A9" s="24" t="n">
        <v>5</v>
      </c>
      <c r="B9" s="23" t="s">
        <v>66</v>
      </c>
      <c r="C9" s="23" t="s">
        <v>67</v>
      </c>
      <c r="D9" s="24" t="s">
        <v>68</v>
      </c>
      <c r="E9" s="27" t="s">
        <v>244</v>
      </c>
      <c r="F9" s="27" t="s">
        <v>65</v>
      </c>
      <c r="G9" s="29"/>
      <c r="H9" s="30"/>
      <c r="I9" s="29" t="s">
        <v>240</v>
      </c>
    </row>
    <row r="10" customFormat="false" ht="31.5" hidden="false" customHeight="true" outlineLevel="0" collapsed="false">
      <c r="A10" s="24" t="n">
        <v>6</v>
      </c>
      <c r="B10" s="23" t="s">
        <v>66</v>
      </c>
      <c r="C10" s="23" t="s">
        <v>70</v>
      </c>
      <c r="D10" s="24" t="s">
        <v>71</v>
      </c>
      <c r="E10" s="27" t="s">
        <v>245</v>
      </c>
      <c r="F10" s="27" t="s">
        <v>65</v>
      </c>
      <c r="G10" s="29"/>
      <c r="H10" s="30"/>
      <c r="I10" s="29" t="s">
        <v>240</v>
      </c>
    </row>
    <row r="11" customFormat="false" ht="31.5" hidden="false" customHeight="true" outlineLevel="0" collapsed="false">
      <c r="A11" s="24" t="n">
        <v>7</v>
      </c>
      <c r="B11" s="23" t="s">
        <v>66</v>
      </c>
      <c r="C11" s="23" t="s">
        <v>72</v>
      </c>
      <c r="D11" s="24" t="s">
        <v>73</v>
      </c>
      <c r="E11" s="27" t="s">
        <v>246</v>
      </c>
      <c r="F11" s="27" t="s">
        <v>65</v>
      </c>
      <c r="G11" s="29"/>
      <c r="H11" s="30"/>
      <c r="I11" s="29" t="s">
        <v>240</v>
      </c>
    </row>
    <row r="12" customFormat="false" ht="31.5" hidden="false" customHeight="true" outlineLevel="0" collapsed="false">
      <c r="A12" s="24" t="n">
        <v>8</v>
      </c>
      <c r="B12" s="23" t="s">
        <v>66</v>
      </c>
      <c r="C12" s="23" t="s">
        <v>75</v>
      </c>
      <c r="D12" s="24" t="s">
        <v>76</v>
      </c>
      <c r="E12" s="27" t="s">
        <v>247</v>
      </c>
      <c r="F12" s="27" t="s">
        <v>51</v>
      </c>
      <c r="G12" s="29"/>
      <c r="H12" s="30"/>
      <c r="I12" s="29" t="s">
        <v>240</v>
      </c>
    </row>
    <row r="13" customFormat="false" ht="31.5" hidden="false" customHeight="true" outlineLevel="0" collapsed="false">
      <c r="A13" s="24" t="n">
        <v>9</v>
      </c>
      <c r="B13" s="23" t="s">
        <v>81</v>
      </c>
      <c r="C13" s="23" t="s">
        <v>79</v>
      </c>
      <c r="D13" s="24" t="s">
        <v>80</v>
      </c>
      <c r="E13" s="27" t="s">
        <v>248</v>
      </c>
      <c r="F13" s="27" t="s">
        <v>65</v>
      </c>
      <c r="G13" s="29"/>
      <c r="H13" s="30"/>
      <c r="I13" s="29" t="s">
        <v>240</v>
      </c>
    </row>
    <row r="14" customFormat="false" ht="31.5" hidden="false" customHeight="true" outlineLevel="0" collapsed="false">
      <c r="A14" s="24" t="n">
        <v>10</v>
      </c>
      <c r="B14" s="23" t="s">
        <v>81</v>
      </c>
      <c r="C14" s="23" t="s">
        <v>82</v>
      </c>
      <c r="D14" s="24" t="s">
        <v>83</v>
      </c>
      <c r="E14" s="27" t="s">
        <v>249</v>
      </c>
      <c r="F14" s="27" t="s">
        <v>65</v>
      </c>
      <c r="G14" s="29"/>
      <c r="H14" s="30"/>
      <c r="I14" s="29" t="s">
        <v>240</v>
      </c>
    </row>
    <row r="15" customFormat="false" ht="31.5" hidden="false" customHeight="true" outlineLevel="0" collapsed="false">
      <c r="A15" s="24" t="n">
        <v>11</v>
      </c>
      <c r="B15" s="23" t="s">
        <v>81</v>
      </c>
      <c r="C15" s="23" t="s">
        <v>85</v>
      </c>
      <c r="D15" s="24" t="s">
        <v>86</v>
      </c>
      <c r="E15" s="27" t="s">
        <v>250</v>
      </c>
      <c r="F15" s="27" t="s">
        <v>65</v>
      </c>
      <c r="G15" s="29"/>
      <c r="H15" s="30"/>
      <c r="I15" s="29" t="s">
        <v>240</v>
      </c>
    </row>
    <row r="16" customFormat="false" ht="31.5" hidden="false" customHeight="true" outlineLevel="0" collapsed="false">
      <c r="A16" s="24" t="n">
        <v>12</v>
      </c>
      <c r="B16" s="23" t="s">
        <v>81</v>
      </c>
      <c r="C16" s="23" t="s">
        <v>89</v>
      </c>
      <c r="D16" s="24" t="s">
        <v>90</v>
      </c>
      <c r="E16" s="27" t="s">
        <v>251</v>
      </c>
      <c r="F16" s="27" t="s">
        <v>65</v>
      </c>
      <c r="G16" s="29"/>
      <c r="H16" s="30"/>
      <c r="I16" s="29" t="s">
        <v>240</v>
      </c>
    </row>
    <row r="17" customFormat="false" ht="31.5" hidden="false" customHeight="true" outlineLevel="0" collapsed="false">
      <c r="A17" s="24" t="n">
        <v>13</v>
      </c>
      <c r="B17" s="23" t="s">
        <v>81</v>
      </c>
      <c r="C17" s="23" t="s">
        <v>75</v>
      </c>
      <c r="D17" s="24" t="s">
        <v>91</v>
      </c>
      <c r="E17" s="27" t="s">
        <v>252</v>
      </c>
      <c r="F17" s="27" t="s">
        <v>65</v>
      </c>
      <c r="G17" s="29"/>
      <c r="H17" s="30"/>
      <c r="I17" s="29" t="s">
        <v>240</v>
      </c>
    </row>
    <row r="18" customFormat="false" ht="31.5" hidden="false" customHeight="true" outlineLevel="0" collapsed="false">
      <c r="A18" s="24" t="n">
        <v>14</v>
      </c>
      <c r="B18" s="23" t="s">
        <v>96</v>
      </c>
      <c r="C18" s="23" t="s">
        <v>92</v>
      </c>
      <c r="D18" s="24" t="s">
        <v>93</v>
      </c>
      <c r="E18" s="27" t="s">
        <v>253</v>
      </c>
      <c r="F18" s="27" t="s">
        <v>95</v>
      </c>
      <c r="G18" s="29"/>
      <c r="H18" s="30"/>
      <c r="I18" s="29" t="s">
        <v>240</v>
      </c>
    </row>
    <row r="19" customFormat="false" ht="31.5" hidden="false" customHeight="true" outlineLevel="0" collapsed="false">
      <c r="A19" s="24" t="n">
        <v>15</v>
      </c>
      <c r="B19" s="23" t="s">
        <v>96</v>
      </c>
      <c r="C19" s="23" t="s">
        <v>89</v>
      </c>
      <c r="D19" s="24" t="s">
        <v>97</v>
      </c>
      <c r="E19" s="27" t="s">
        <v>254</v>
      </c>
      <c r="F19" s="27" t="s">
        <v>95</v>
      </c>
      <c r="G19" s="29"/>
      <c r="H19" s="30"/>
      <c r="I19" s="29" t="s">
        <v>240</v>
      </c>
    </row>
    <row r="20" customFormat="false" ht="31.5" hidden="false" customHeight="true" outlineLevel="0" collapsed="false">
      <c r="A20" s="24" t="n">
        <v>16</v>
      </c>
      <c r="B20" s="23" t="s">
        <v>96</v>
      </c>
      <c r="C20" s="23" t="s">
        <v>98</v>
      </c>
      <c r="D20" s="24" t="s">
        <v>99</v>
      </c>
      <c r="E20" s="27" t="s">
        <v>255</v>
      </c>
      <c r="F20" s="27" t="s">
        <v>95</v>
      </c>
      <c r="G20" s="29"/>
      <c r="H20" s="30"/>
      <c r="I20" s="29" t="s">
        <v>240</v>
      </c>
    </row>
    <row r="21" customFormat="false" ht="31.5" hidden="false" customHeight="true" outlineLevel="0" collapsed="false">
      <c r="A21" s="24" t="n">
        <v>17</v>
      </c>
      <c r="B21" s="23" t="s">
        <v>96</v>
      </c>
      <c r="C21" s="23" t="s">
        <v>100</v>
      </c>
      <c r="D21" s="24" t="s">
        <v>101</v>
      </c>
      <c r="E21" s="27" t="s">
        <v>256</v>
      </c>
      <c r="F21" s="27" t="s">
        <v>103</v>
      </c>
      <c r="G21" s="29"/>
      <c r="H21" s="30"/>
      <c r="I21" s="29" t="s">
        <v>240</v>
      </c>
    </row>
    <row r="22" customFormat="false" ht="31.5" hidden="false" customHeight="true" outlineLevel="0" collapsed="false">
      <c r="A22" s="24" t="n">
        <v>18</v>
      </c>
      <c r="B22" s="23" t="s">
        <v>96</v>
      </c>
      <c r="C22" s="23" t="s">
        <v>104</v>
      </c>
      <c r="D22" s="24" t="s">
        <v>105</v>
      </c>
      <c r="E22" s="27" t="s">
        <v>257</v>
      </c>
      <c r="F22" s="27" t="s">
        <v>95</v>
      </c>
      <c r="G22" s="29"/>
      <c r="H22" s="30"/>
      <c r="I22" s="29" t="s">
        <v>240</v>
      </c>
    </row>
    <row r="23" customFormat="false" ht="31.5" hidden="false" customHeight="true" outlineLevel="0" collapsed="false">
      <c r="A23" s="24" t="n">
        <v>19</v>
      </c>
      <c r="B23" s="23" t="s">
        <v>96</v>
      </c>
      <c r="C23" s="23" t="s">
        <v>106</v>
      </c>
      <c r="D23" s="24" t="s">
        <v>107</v>
      </c>
      <c r="E23" s="27" t="s">
        <v>258</v>
      </c>
      <c r="F23" s="27" t="s">
        <v>111</v>
      </c>
      <c r="G23" s="29"/>
      <c r="H23" s="30"/>
      <c r="I23" s="29" t="s">
        <v>240</v>
      </c>
    </row>
    <row r="24" customFormat="false" ht="31.5" hidden="false" customHeight="true" outlineLevel="0" collapsed="false">
      <c r="A24" s="24" t="n">
        <v>20</v>
      </c>
      <c r="B24" s="23" t="s">
        <v>96</v>
      </c>
      <c r="C24" s="23" t="s">
        <v>106</v>
      </c>
      <c r="D24" s="24" t="s">
        <v>112</v>
      </c>
      <c r="E24" s="27" t="s">
        <v>259</v>
      </c>
      <c r="F24" s="27" t="s">
        <v>111</v>
      </c>
      <c r="G24" s="29"/>
      <c r="H24" s="30"/>
      <c r="I24" s="29" t="s">
        <v>240</v>
      </c>
    </row>
    <row r="25" customFormat="false" ht="31.5" hidden="false" customHeight="true" outlineLevel="0" collapsed="false">
      <c r="A25" s="24" t="n">
        <v>21</v>
      </c>
      <c r="B25" s="23" t="s">
        <v>96</v>
      </c>
      <c r="C25" s="23" t="s">
        <v>46</v>
      </c>
      <c r="D25" s="24" t="s">
        <v>113</v>
      </c>
      <c r="E25" s="27" t="s">
        <v>260</v>
      </c>
      <c r="F25" s="27" t="s">
        <v>103</v>
      </c>
      <c r="G25" s="29"/>
      <c r="H25" s="30"/>
      <c r="I25" s="29" t="s">
        <v>240</v>
      </c>
    </row>
    <row r="26" customFormat="false" ht="31.5" hidden="false" customHeight="true" outlineLevel="0" collapsed="false">
      <c r="A26" s="24" t="n">
        <v>22</v>
      </c>
      <c r="B26" s="23" t="s">
        <v>96</v>
      </c>
      <c r="C26" s="23" t="s">
        <v>114</v>
      </c>
      <c r="D26" s="24" t="s">
        <v>115</v>
      </c>
      <c r="E26" s="27" t="s">
        <v>261</v>
      </c>
      <c r="F26" s="27" t="s">
        <v>95</v>
      </c>
      <c r="G26" s="29"/>
      <c r="H26" s="30"/>
      <c r="I26" s="29" t="s">
        <v>240</v>
      </c>
    </row>
    <row r="27" customFormat="false" ht="31.5" hidden="false" customHeight="true" outlineLevel="0" collapsed="false">
      <c r="A27" s="24" t="n">
        <v>23</v>
      </c>
      <c r="B27" s="23" t="s">
        <v>96</v>
      </c>
      <c r="C27" s="23" t="s">
        <v>116</v>
      </c>
      <c r="D27" s="24" t="s">
        <v>117</v>
      </c>
      <c r="E27" s="27" t="s">
        <v>262</v>
      </c>
      <c r="F27" s="27" t="s">
        <v>95</v>
      </c>
      <c r="G27" s="29"/>
      <c r="H27" s="30"/>
      <c r="I27" s="29" t="s">
        <v>240</v>
      </c>
    </row>
    <row r="28" customFormat="false" ht="31.5" hidden="false" customHeight="true" outlineLevel="0" collapsed="false">
      <c r="A28" s="24" t="n">
        <v>24</v>
      </c>
      <c r="B28" s="23" t="s">
        <v>96</v>
      </c>
      <c r="C28" s="23" t="s">
        <v>75</v>
      </c>
      <c r="D28" s="24" t="s">
        <v>119</v>
      </c>
      <c r="E28" s="27" t="s">
        <v>263</v>
      </c>
      <c r="F28" s="27" t="s">
        <v>95</v>
      </c>
      <c r="G28" s="29"/>
      <c r="H28" s="30"/>
      <c r="I28" s="29" t="s">
        <v>240</v>
      </c>
    </row>
    <row r="29" customFormat="false" ht="31.5" hidden="false" customHeight="true" outlineLevel="0" collapsed="false">
      <c r="A29" s="24" t="n">
        <v>25</v>
      </c>
      <c r="B29" s="23" t="s">
        <v>96</v>
      </c>
      <c r="C29" s="23" t="s">
        <v>120</v>
      </c>
      <c r="D29" s="24" t="s">
        <v>121</v>
      </c>
      <c r="E29" s="27" t="s">
        <v>264</v>
      </c>
      <c r="F29" s="27" t="s">
        <v>95</v>
      </c>
      <c r="G29" s="29"/>
      <c r="H29" s="30"/>
      <c r="I29" s="29" t="s">
        <v>240</v>
      </c>
    </row>
    <row r="30" customFormat="false" ht="31.5" hidden="false" customHeight="true" outlineLevel="0" collapsed="false">
      <c r="A30" s="24" t="n">
        <v>26</v>
      </c>
      <c r="B30" s="23" t="s">
        <v>96</v>
      </c>
      <c r="C30" s="23" t="s">
        <v>100</v>
      </c>
      <c r="D30" s="24" t="s">
        <v>123</v>
      </c>
      <c r="E30" s="27" t="s">
        <v>265</v>
      </c>
      <c r="F30" s="27" t="s">
        <v>103</v>
      </c>
      <c r="G30" s="29"/>
      <c r="H30" s="30"/>
      <c r="I30" s="29" t="s">
        <v>240</v>
      </c>
    </row>
    <row r="31" customFormat="false" ht="31.5" hidden="false" customHeight="true" outlineLevel="0" collapsed="false">
      <c r="A31" s="24" t="n">
        <v>27</v>
      </c>
      <c r="B31" s="23" t="s">
        <v>96</v>
      </c>
      <c r="C31" s="23" t="s">
        <v>89</v>
      </c>
      <c r="D31" s="24" t="s">
        <v>124</v>
      </c>
      <c r="E31" s="27" t="s">
        <v>266</v>
      </c>
      <c r="F31" s="27" t="s">
        <v>126</v>
      </c>
      <c r="G31" s="29"/>
      <c r="H31" s="30"/>
      <c r="I31" s="29" t="s">
        <v>240</v>
      </c>
    </row>
    <row r="32" customFormat="false" ht="31.5" hidden="false" customHeight="true" outlineLevel="0" collapsed="false">
      <c r="A32" s="24" t="n">
        <v>28</v>
      </c>
      <c r="B32" s="23" t="s">
        <v>96</v>
      </c>
      <c r="C32" s="23" t="s">
        <v>70</v>
      </c>
      <c r="D32" s="24" t="s">
        <v>127</v>
      </c>
      <c r="E32" s="27" t="s">
        <v>267</v>
      </c>
      <c r="F32" s="27" t="s">
        <v>95</v>
      </c>
      <c r="G32" s="29"/>
      <c r="H32" s="30"/>
      <c r="I32" s="29" t="s">
        <v>240</v>
      </c>
    </row>
    <row r="34" customFormat="false" ht="16.15" hidden="false" customHeight="false" outlineLevel="0" collapsed="false">
      <c r="A34" s="31" t="str">
        <f aca="false">COUNTIF(I5:I32,"Sim")&amp;" de "&amp;COUNTA(C5:C32)&amp;" já resolvidos"</f>
        <v>0 de 28 já resolvidos</v>
      </c>
    </row>
  </sheetData>
  <conditionalFormatting sqref="A5:I32">
    <cfRule type="expression" priority="2" aboveAverage="0" equalAverage="0" bottom="0" percent="0" rank="0" text="" dxfId="17">
      <formula>$I5="Sim"</formula>
    </cfRule>
  </conditionalFormatting>
  <conditionalFormatting sqref="B5:B32">
    <cfRule type="expression" priority="3" aboveAverage="0" equalAverage="0" bottom="0" percent="0" rank="0" text="" dxfId="13">
      <formula>$B5="Urgente"</formula>
    </cfRule>
    <cfRule type="expression" priority="4" aboveAverage="0" equalAverage="0" bottom="0" percent="0" rank="0" text="" dxfId="12">
      <formula>$B5="Alta"</formula>
    </cfRule>
  </conditionalFormatting>
  <dataValidations count="1">
    <dataValidation allowBlank="false" errorStyle="stop" operator="between" showDropDown="false" showErrorMessage="false" showInputMessage="false" sqref="I5:I232" type="list">
      <formula1>"Não,Sim"</formula1>
      <formula2>0</formula2>
    </dataValidation>
  </dataValidations>
  <hyperlinks>
    <hyperlink ref="I1" r:id="rId1" location="'Comece%20Aqui'!A1" display="◄ Voltar ao início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26.8" hidden="false" customHeight="false" outlineLevel="0" collapsed="false">
      <c r="A1" s="19" t="s">
        <v>268</v>
      </c>
      <c r="H1" s="20" t="s">
        <v>32</v>
      </c>
    </row>
    <row r="2" customFormat="false" ht="15" hidden="false" customHeight="false" outlineLevel="0" collapsed="false">
      <c r="A2" s="21" t="s">
        <v>269</v>
      </c>
    </row>
    <row r="4" customFormat="false" ht="33.75" hidden="false" customHeight="true" outlineLevel="0" collapsed="false">
      <c r="A4" s="22" t="s">
        <v>35</v>
      </c>
      <c r="B4" s="22" t="s">
        <v>36</v>
      </c>
      <c r="C4" s="22" t="s">
        <v>37</v>
      </c>
      <c r="D4" s="22" t="s">
        <v>270</v>
      </c>
      <c r="E4" s="22" t="s">
        <v>271</v>
      </c>
      <c r="F4" s="22" t="s">
        <v>272</v>
      </c>
      <c r="G4" s="22" t="s">
        <v>41</v>
      </c>
      <c r="H4" s="22" t="s">
        <v>43</v>
      </c>
    </row>
    <row r="5" customFormat="false" ht="15" hidden="false" customHeight="false" outlineLevel="0" collapsed="false">
      <c r="A5" s="32" t="s">
        <v>203</v>
      </c>
      <c r="B5" s="33" t="s">
        <v>205</v>
      </c>
      <c r="C5" s="33"/>
      <c r="D5" s="34" t="n">
        <v>6912</v>
      </c>
      <c r="E5" s="34" t="n">
        <v>0</v>
      </c>
      <c r="F5" s="35" t="n">
        <v>6912</v>
      </c>
      <c r="G5" s="33" t="s">
        <v>49</v>
      </c>
      <c r="H5" s="33" t="s">
        <v>273</v>
      </c>
    </row>
    <row r="6" customFormat="false" ht="15" hidden="false" customHeight="false" outlineLevel="0" collapsed="false">
      <c r="A6" s="32" t="s">
        <v>98</v>
      </c>
      <c r="B6" s="33" t="s">
        <v>99</v>
      </c>
      <c r="C6" s="33" t="s">
        <v>48</v>
      </c>
      <c r="D6" s="34" t="n">
        <v>6633</v>
      </c>
      <c r="E6" s="34" t="n">
        <v>603</v>
      </c>
      <c r="F6" s="35" t="n">
        <v>6030</v>
      </c>
      <c r="G6" s="33" t="s">
        <v>49</v>
      </c>
      <c r="H6" s="33" t="s">
        <v>273</v>
      </c>
    </row>
    <row r="7" customFormat="false" ht="15" hidden="false" customHeight="false" outlineLevel="0" collapsed="false">
      <c r="A7" s="32" t="s">
        <v>203</v>
      </c>
      <c r="B7" s="33" t="s">
        <v>204</v>
      </c>
      <c r="C7" s="33"/>
      <c r="D7" s="34" t="n">
        <v>4296</v>
      </c>
      <c r="E7" s="34" t="n">
        <v>0</v>
      </c>
      <c r="F7" s="35" t="n">
        <v>4296</v>
      </c>
      <c r="G7" s="33" t="s">
        <v>49</v>
      </c>
      <c r="H7" s="33" t="s">
        <v>273</v>
      </c>
    </row>
    <row r="8" customFormat="false" ht="15" hidden="false" customHeight="false" outlineLevel="0" collapsed="false">
      <c r="A8" s="32" t="s">
        <v>139</v>
      </c>
      <c r="B8" s="33" t="s">
        <v>144</v>
      </c>
      <c r="C8" s="33" t="s">
        <v>141</v>
      </c>
      <c r="D8" s="34" t="n">
        <v>5240</v>
      </c>
      <c r="E8" s="34" t="n">
        <v>1660</v>
      </c>
      <c r="F8" s="35" t="n">
        <v>3580</v>
      </c>
      <c r="G8" s="33" t="s">
        <v>49</v>
      </c>
      <c r="H8" s="33" t="s">
        <v>273</v>
      </c>
    </row>
    <row r="9" customFormat="false" ht="15" hidden="false" customHeight="false" outlineLevel="0" collapsed="false">
      <c r="A9" s="32" t="s">
        <v>139</v>
      </c>
      <c r="B9" s="33" t="s">
        <v>143</v>
      </c>
      <c r="C9" s="33" t="s">
        <v>141</v>
      </c>
      <c r="D9" s="34" t="n">
        <v>4360</v>
      </c>
      <c r="E9" s="34" t="n">
        <v>1180</v>
      </c>
      <c r="F9" s="35" t="n">
        <v>3180</v>
      </c>
      <c r="G9" s="33" t="s">
        <v>49</v>
      </c>
      <c r="H9" s="33" t="s">
        <v>273</v>
      </c>
    </row>
    <row r="10" customFormat="false" ht="15" hidden="false" customHeight="false" outlineLevel="0" collapsed="false">
      <c r="A10" s="32" t="s">
        <v>176</v>
      </c>
      <c r="B10" s="33" t="s">
        <v>178</v>
      </c>
      <c r="C10" s="33"/>
      <c r="D10" s="34" t="n">
        <v>2900</v>
      </c>
      <c r="E10" s="34" t="n">
        <v>0</v>
      </c>
      <c r="F10" s="35" t="n">
        <v>2900</v>
      </c>
      <c r="G10" s="33" t="s">
        <v>49</v>
      </c>
      <c r="H10" s="33" t="s">
        <v>273</v>
      </c>
    </row>
    <row r="11" customFormat="false" ht="15" hidden="false" customHeight="false" outlineLevel="0" collapsed="false">
      <c r="A11" s="32" t="s">
        <v>225</v>
      </c>
      <c r="B11" s="33" t="s">
        <v>226</v>
      </c>
      <c r="C11" s="33"/>
      <c r="D11" s="34" t="n">
        <v>3840</v>
      </c>
      <c r="E11" s="34" t="n">
        <v>1000</v>
      </c>
      <c r="F11" s="35" t="n">
        <v>2840</v>
      </c>
      <c r="G11" s="33" t="s">
        <v>49</v>
      </c>
      <c r="H11" s="33" t="s">
        <v>273</v>
      </c>
    </row>
    <row r="12" customFormat="false" ht="15" hidden="false" customHeight="false" outlineLevel="0" collapsed="false">
      <c r="A12" s="32" t="s">
        <v>57</v>
      </c>
      <c r="B12" s="33" t="s">
        <v>153</v>
      </c>
      <c r="C12" s="33" t="s">
        <v>59</v>
      </c>
      <c r="D12" s="34" t="n">
        <v>2880</v>
      </c>
      <c r="E12" s="34" t="n">
        <v>40</v>
      </c>
      <c r="F12" s="35" t="n">
        <v>2840</v>
      </c>
      <c r="G12" s="33" t="s">
        <v>49</v>
      </c>
      <c r="H12" s="33" t="s">
        <v>273</v>
      </c>
    </row>
    <row r="13" customFormat="false" ht="15" hidden="false" customHeight="false" outlineLevel="0" collapsed="false">
      <c r="A13" s="32" t="s">
        <v>160</v>
      </c>
      <c r="B13" s="33" t="s">
        <v>161</v>
      </c>
      <c r="C13" s="33"/>
      <c r="D13" s="34" t="n">
        <v>2400</v>
      </c>
      <c r="E13" s="34" t="n">
        <v>0</v>
      </c>
      <c r="F13" s="35" t="n">
        <v>2400</v>
      </c>
      <c r="G13" s="33" t="s">
        <v>49</v>
      </c>
      <c r="H13" s="33" t="s">
        <v>273</v>
      </c>
    </row>
    <row r="14" customFormat="false" ht="15" hidden="false" customHeight="false" outlineLevel="0" collapsed="false">
      <c r="A14" s="32" t="s">
        <v>195</v>
      </c>
      <c r="B14" s="33" t="s">
        <v>197</v>
      </c>
      <c r="C14" s="33"/>
      <c r="D14" s="34" t="n">
        <v>2400</v>
      </c>
      <c r="E14" s="34" t="n">
        <v>0</v>
      </c>
      <c r="F14" s="35" t="n">
        <v>2400</v>
      </c>
      <c r="G14" s="33" t="s">
        <v>49</v>
      </c>
      <c r="H14" s="33" t="s">
        <v>273</v>
      </c>
    </row>
    <row r="15" customFormat="false" ht="15" hidden="false" customHeight="false" outlineLevel="0" collapsed="false">
      <c r="A15" s="32" t="s">
        <v>227</v>
      </c>
      <c r="B15" s="33" t="s">
        <v>232</v>
      </c>
      <c r="C15" s="33" t="s">
        <v>118</v>
      </c>
      <c r="D15" s="34" t="n">
        <v>1979.6</v>
      </c>
      <c r="E15" s="34" t="n">
        <v>0</v>
      </c>
      <c r="F15" s="35" t="n">
        <v>1979.6</v>
      </c>
      <c r="G15" s="33" t="s">
        <v>49</v>
      </c>
      <c r="H15" s="33" t="s">
        <v>273</v>
      </c>
    </row>
    <row r="16" customFormat="false" ht="15" hidden="false" customHeight="false" outlineLevel="0" collapsed="false">
      <c r="A16" s="32" t="s">
        <v>223</v>
      </c>
      <c r="B16" s="33" t="s">
        <v>224</v>
      </c>
      <c r="C16" s="33"/>
      <c r="D16" s="34" t="n">
        <v>1920</v>
      </c>
      <c r="E16" s="34" t="n">
        <v>0</v>
      </c>
      <c r="F16" s="35" t="n">
        <v>1920</v>
      </c>
      <c r="G16" s="33" t="s">
        <v>49</v>
      </c>
      <c r="H16" s="33" t="s">
        <v>273</v>
      </c>
    </row>
    <row r="17" customFormat="false" ht="15" hidden="false" customHeight="false" outlineLevel="0" collapsed="false">
      <c r="A17" s="32" t="s">
        <v>191</v>
      </c>
      <c r="B17" s="33" t="s">
        <v>192</v>
      </c>
      <c r="C17" s="33"/>
      <c r="D17" s="34" t="n">
        <v>1873.2</v>
      </c>
      <c r="E17" s="34" t="n">
        <v>313.6</v>
      </c>
      <c r="F17" s="35" t="n">
        <v>1559.6</v>
      </c>
      <c r="G17" s="33" t="s">
        <v>49</v>
      </c>
      <c r="H17" s="33" t="s">
        <v>273</v>
      </c>
    </row>
    <row r="18" customFormat="false" ht="15" hidden="false" customHeight="false" outlineLevel="0" collapsed="false">
      <c r="A18" s="32" t="s">
        <v>176</v>
      </c>
      <c r="B18" s="33" t="s">
        <v>177</v>
      </c>
      <c r="C18" s="33"/>
      <c r="D18" s="34" t="n">
        <v>1300</v>
      </c>
      <c r="E18" s="34" t="n">
        <v>0</v>
      </c>
      <c r="F18" s="35" t="n">
        <v>1300</v>
      </c>
      <c r="G18" s="33" t="s">
        <v>49</v>
      </c>
      <c r="H18" s="33" t="s">
        <v>273</v>
      </c>
    </row>
    <row r="19" customFormat="false" ht="15" hidden="false" customHeight="false" outlineLevel="0" collapsed="false">
      <c r="A19" s="32" t="s">
        <v>167</v>
      </c>
      <c r="B19" s="33" t="s">
        <v>168</v>
      </c>
      <c r="C19" s="33"/>
      <c r="D19" s="34" t="n">
        <v>1296</v>
      </c>
      <c r="E19" s="34" t="n">
        <v>0</v>
      </c>
      <c r="F19" s="35" t="n">
        <v>1296</v>
      </c>
      <c r="G19" s="33" t="s">
        <v>49</v>
      </c>
      <c r="H19" s="33" t="s">
        <v>273</v>
      </c>
    </row>
    <row r="20" customFormat="false" ht="15" hidden="false" customHeight="false" outlineLevel="0" collapsed="false">
      <c r="A20" s="32" t="s">
        <v>169</v>
      </c>
      <c r="B20" s="33" t="s">
        <v>170</v>
      </c>
      <c r="C20" s="33"/>
      <c r="D20" s="34" t="n">
        <v>1280</v>
      </c>
      <c r="E20" s="34" t="n">
        <v>0</v>
      </c>
      <c r="F20" s="35" t="n">
        <v>1280</v>
      </c>
      <c r="G20" s="33" t="s">
        <v>49</v>
      </c>
      <c r="H20" s="33" t="s">
        <v>273</v>
      </c>
    </row>
    <row r="21" customFormat="false" ht="15" hidden="false" customHeight="false" outlineLevel="0" collapsed="false">
      <c r="A21" s="32" t="s">
        <v>185</v>
      </c>
      <c r="B21" s="33" t="s">
        <v>186</v>
      </c>
      <c r="C21" s="33"/>
      <c r="D21" s="34" t="n">
        <v>1200</v>
      </c>
      <c r="E21" s="34" t="n">
        <v>0</v>
      </c>
      <c r="F21" s="35" t="n">
        <v>1200</v>
      </c>
      <c r="G21" s="33" t="s">
        <v>49</v>
      </c>
      <c r="H21" s="33" t="s">
        <v>273</v>
      </c>
    </row>
    <row r="22" customFormat="false" ht="15" hidden="false" customHeight="false" outlineLevel="0" collapsed="false">
      <c r="A22" s="32" t="s">
        <v>162</v>
      </c>
      <c r="B22" s="33" t="s">
        <v>164</v>
      </c>
      <c r="C22" s="33"/>
      <c r="D22" s="34" t="n">
        <v>1122</v>
      </c>
      <c r="E22" s="34" t="n">
        <v>0</v>
      </c>
      <c r="F22" s="35" t="n">
        <v>1122</v>
      </c>
      <c r="G22" s="33" t="s">
        <v>49</v>
      </c>
      <c r="H22" s="33" t="s">
        <v>273</v>
      </c>
    </row>
    <row r="23" customFormat="false" ht="15" hidden="false" customHeight="false" outlineLevel="0" collapsed="false">
      <c r="A23" s="32" t="s">
        <v>85</v>
      </c>
      <c r="B23" s="33" t="s">
        <v>86</v>
      </c>
      <c r="C23" s="33" t="s">
        <v>87</v>
      </c>
      <c r="D23" s="34" t="n">
        <v>1920</v>
      </c>
      <c r="E23" s="34" t="n">
        <v>960</v>
      </c>
      <c r="F23" s="35" t="n">
        <v>960</v>
      </c>
      <c r="G23" s="33" t="s">
        <v>49</v>
      </c>
      <c r="H23" s="33" t="s">
        <v>273</v>
      </c>
    </row>
    <row r="24" customFormat="false" ht="15" hidden="false" customHeight="false" outlineLevel="0" collapsed="false">
      <c r="A24" s="32" t="s">
        <v>106</v>
      </c>
      <c r="B24" s="33" t="s">
        <v>213</v>
      </c>
      <c r="C24" s="33" t="s">
        <v>108</v>
      </c>
      <c r="D24" s="34" t="n">
        <v>900</v>
      </c>
      <c r="E24" s="34" t="n">
        <v>0</v>
      </c>
      <c r="F24" s="35" t="n">
        <v>900</v>
      </c>
      <c r="G24" s="33" t="s">
        <v>109</v>
      </c>
      <c r="H24" s="33" t="s">
        <v>273</v>
      </c>
    </row>
    <row r="25" customFormat="false" ht="15" hidden="false" customHeight="false" outlineLevel="0" collapsed="false">
      <c r="A25" s="32" t="s">
        <v>162</v>
      </c>
      <c r="B25" s="33" t="s">
        <v>163</v>
      </c>
      <c r="C25" s="33"/>
      <c r="D25" s="34" t="n">
        <v>798</v>
      </c>
      <c r="E25" s="34" t="n">
        <v>0</v>
      </c>
      <c r="F25" s="35" t="n">
        <v>798</v>
      </c>
      <c r="G25" s="33" t="s">
        <v>49</v>
      </c>
      <c r="H25" s="33" t="s">
        <v>273</v>
      </c>
    </row>
    <row r="26" customFormat="false" ht="15" hidden="false" customHeight="false" outlineLevel="0" collapsed="false">
      <c r="A26" s="32" t="s">
        <v>172</v>
      </c>
      <c r="B26" s="33" t="s">
        <v>173</v>
      </c>
      <c r="C26" s="33"/>
      <c r="D26" s="34" t="n">
        <v>640</v>
      </c>
      <c r="E26" s="34" t="n">
        <v>0</v>
      </c>
      <c r="F26" s="35" t="n">
        <v>640</v>
      </c>
      <c r="G26" s="33" t="s">
        <v>49</v>
      </c>
      <c r="H26" s="33" t="s">
        <v>273</v>
      </c>
    </row>
    <row r="27" customFormat="false" ht="15" hidden="false" customHeight="false" outlineLevel="0" collapsed="false">
      <c r="A27" s="32" t="s">
        <v>227</v>
      </c>
      <c r="B27" s="33" t="s">
        <v>231</v>
      </c>
      <c r="C27" s="33" t="s">
        <v>118</v>
      </c>
      <c r="D27" s="34" t="n">
        <v>638.4</v>
      </c>
      <c r="E27" s="34" t="n">
        <v>0</v>
      </c>
      <c r="F27" s="35" t="n">
        <v>638.4</v>
      </c>
      <c r="G27" s="33" t="s">
        <v>49</v>
      </c>
      <c r="H27" s="33" t="s">
        <v>273</v>
      </c>
    </row>
    <row r="28" customFormat="false" ht="15" hidden="false" customHeight="false" outlineLevel="0" collapsed="false">
      <c r="A28" s="32" t="s">
        <v>89</v>
      </c>
      <c r="B28" s="33" t="s">
        <v>194</v>
      </c>
      <c r="C28" s="33" t="s">
        <v>48</v>
      </c>
      <c r="D28" s="34" t="n">
        <v>1166</v>
      </c>
      <c r="E28" s="34" t="n">
        <v>603</v>
      </c>
      <c r="F28" s="35" t="n">
        <v>563</v>
      </c>
      <c r="G28" s="33" t="s">
        <v>49</v>
      </c>
      <c r="H28" s="33" t="s">
        <v>273</v>
      </c>
    </row>
    <row r="29" customFormat="false" ht="15" hidden="false" customHeight="false" outlineLevel="0" collapsed="false">
      <c r="A29" s="32" t="s">
        <v>201</v>
      </c>
      <c r="B29" s="33" t="s">
        <v>202</v>
      </c>
      <c r="C29" s="33"/>
      <c r="D29" s="34" t="n">
        <v>432</v>
      </c>
      <c r="E29" s="34" t="n">
        <v>0</v>
      </c>
      <c r="F29" s="35" t="n">
        <v>432</v>
      </c>
      <c r="G29" s="33" t="s">
        <v>49</v>
      </c>
      <c r="H29" s="33" t="s">
        <v>273</v>
      </c>
    </row>
    <row r="30" customFormat="false" ht="15" hidden="false" customHeight="false" outlineLevel="0" collapsed="false">
      <c r="A30" s="32" t="s">
        <v>220</v>
      </c>
      <c r="B30" s="33" t="s">
        <v>221</v>
      </c>
      <c r="C30" s="33" t="s">
        <v>218</v>
      </c>
      <c r="D30" s="34" t="n">
        <v>400</v>
      </c>
      <c r="E30" s="34" t="n">
        <v>0</v>
      </c>
      <c r="F30" s="35" t="n">
        <v>400</v>
      </c>
      <c r="G30" s="33" t="s">
        <v>49</v>
      </c>
      <c r="H30" s="33" t="s">
        <v>273</v>
      </c>
    </row>
    <row r="31" customFormat="false" ht="15" hidden="false" customHeight="false" outlineLevel="0" collapsed="false">
      <c r="A31" s="32" t="s">
        <v>174</v>
      </c>
      <c r="B31" s="33" t="s">
        <v>175</v>
      </c>
      <c r="C31" s="33"/>
      <c r="D31" s="34" t="n">
        <v>384</v>
      </c>
      <c r="E31" s="34" t="n">
        <v>0</v>
      </c>
      <c r="F31" s="35" t="n">
        <v>384</v>
      </c>
      <c r="G31" s="33" t="s">
        <v>49</v>
      </c>
      <c r="H31" s="33" t="s">
        <v>273</v>
      </c>
    </row>
    <row r="32" customFormat="false" ht="15" hidden="false" customHeight="false" outlineLevel="0" collapsed="false">
      <c r="A32" s="32" t="s">
        <v>106</v>
      </c>
      <c r="B32" s="33" t="s">
        <v>214</v>
      </c>
      <c r="C32" s="33" t="s">
        <v>108</v>
      </c>
      <c r="D32" s="34" t="n">
        <v>300</v>
      </c>
      <c r="E32" s="34" t="n">
        <v>0</v>
      </c>
      <c r="F32" s="35" t="n">
        <v>300</v>
      </c>
      <c r="G32" s="33" t="s">
        <v>109</v>
      </c>
      <c r="H32" s="33" t="s">
        <v>273</v>
      </c>
    </row>
    <row r="33" customFormat="false" ht="15" hidden="false" customHeight="false" outlineLevel="0" collapsed="false">
      <c r="A33" s="32" t="s">
        <v>227</v>
      </c>
      <c r="B33" s="33" t="s">
        <v>230</v>
      </c>
      <c r="C33" s="33" t="s">
        <v>118</v>
      </c>
      <c r="D33" s="34" t="n">
        <v>204.4</v>
      </c>
      <c r="E33" s="34" t="n">
        <v>0</v>
      </c>
      <c r="F33" s="35" t="n">
        <v>204.4</v>
      </c>
      <c r="G33" s="33" t="s">
        <v>49</v>
      </c>
      <c r="H33" s="33" t="s">
        <v>273</v>
      </c>
    </row>
    <row r="34" customFormat="false" ht="15" hidden="false" customHeight="false" outlineLevel="0" collapsed="false">
      <c r="A34" s="32" t="s">
        <v>46</v>
      </c>
      <c r="B34" s="33" t="s">
        <v>171</v>
      </c>
      <c r="C34" s="33" t="s">
        <v>48</v>
      </c>
      <c r="D34" s="34" t="n">
        <v>160.8</v>
      </c>
      <c r="E34" s="34" t="n">
        <v>0</v>
      </c>
      <c r="F34" s="35" t="n">
        <v>160.8</v>
      </c>
      <c r="G34" s="33" t="s">
        <v>49</v>
      </c>
      <c r="H34" s="33" t="s">
        <v>273</v>
      </c>
    </row>
    <row r="35" customFormat="false" ht="15" hidden="false" customHeight="false" outlineLevel="0" collapsed="false">
      <c r="A35" s="32" t="s">
        <v>106</v>
      </c>
      <c r="B35" s="33" t="s">
        <v>107</v>
      </c>
      <c r="C35" s="33" t="s">
        <v>108</v>
      </c>
      <c r="D35" s="34" t="n">
        <v>0</v>
      </c>
      <c r="E35" s="34" t="n">
        <v>-120</v>
      </c>
      <c r="F35" s="35" t="n">
        <v>120</v>
      </c>
      <c r="G35" s="33" t="s">
        <v>109</v>
      </c>
      <c r="H35" s="33" t="s">
        <v>273</v>
      </c>
    </row>
    <row r="36" customFormat="false" ht="15" hidden="false" customHeight="false" outlineLevel="0" collapsed="false">
      <c r="A36" s="32" t="s">
        <v>149</v>
      </c>
      <c r="B36" s="33" t="s">
        <v>151</v>
      </c>
      <c r="C36" s="33" t="s">
        <v>141</v>
      </c>
      <c r="D36" s="34" t="n">
        <v>6000</v>
      </c>
      <c r="E36" s="34" t="n">
        <v>5940</v>
      </c>
      <c r="F36" s="35" t="n">
        <v>60</v>
      </c>
      <c r="G36" s="33" t="s">
        <v>49</v>
      </c>
      <c r="H36" s="33" t="s">
        <v>273</v>
      </c>
    </row>
    <row r="37" customFormat="false" ht="15" hidden="false" customHeight="false" outlineLevel="0" collapsed="false">
      <c r="A37" s="32" t="s">
        <v>70</v>
      </c>
      <c r="B37" s="33" t="s">
        <v>71</v>
      </c>
      <c r="C37" s="33" t="s">
        <v>48</v>
      </c>
      <c r="D37" s="34" t="n">
        <v>20</v>
      </c>
      <c r="E37" s="34" t="n">
        <v>0</v>
      </c>
      <c r="F37" s="35" t="n">
        <v>20</v>
      </c>
      <c r="G37" s="33" t="s">
        <v>49</v>
      </c>
      <c r="H37" s="33" t="s">
        <v>273</v>
      </c>
    </row>
    <row r="39" customFormat="false" ht="16.15" hidden="false" customHeight="false" outlineLevel="0" collapsed="false">
      <c r="A39" s="31" t="s">
        <v>274</v>
      </c>
      <c r="F39" s="36" t="n">
        <f aca="false">SUMIFS(F5:F37,G5:G37,"kg")</f>
        <v>54295.8</v>
      </c>
    </row>
  </sheetData>
  <conditionalFormatting sqref="A5:H37">
    <cfRule type="expression" priority="2" aboveAverage="0" equalAverage="0" bottom="0" percent="0" rank="0" text="" dxfId="14">
      <formula>MOD(ROW(),2)=0</formula>
    </cfRule>
  </conditionalFormatting>
  <conditionalFormatting sqref="F5:F37">
    <cfRule type="expression" priority="3" aboveAverage="0" equalAverage="0" bottom="0" percent="0" rank="0" text="" dxfId="12">
      <formula>$F5&gt;0</formula>
    </cfRule>
  </conditionalFormatting>
  <hyperlinks>
    <hyperlink ref="H1" r:id="rId1" location="'Comece%20Aqui'!A1" display="◄ Voltar ao início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480"/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6.8" hidden="false" customHeight="false" outlineLevel="0" collapsed="false">
      <c r="A1" s="19" t="s">
        <v>275</v>
      </c>
      <c r="C1" s="20" t="s">
        <v>32</v>
      </c>
    </row>
    <row r="3" customFormat="false" ht="33.75" hidden="false" customHeight="true" outlineLevel="0" collapsed="false">
      <c r="A3" s="22" t="s">
        <v>276</v>
      </c>
      <c r="B3" s="22" t="s">
        <v>277</v>
      </c>
    </row>
    <row r="4" customFormat="false" ht="15" hidden="false" customHeight="false" outlineLevel="0" collapsed="false">
      <c r="A4" s="37" t="s">
        <v>278</v>
      </c>
      <c r="B4" s="38" t="s">
        <v>279</v>
      </c>
    </row>
    <row r="5" customFormat="false" ht="15" hidden="false" customHeight="false" outlineLevel="0" collapsed="false">
      <c r="A5" s="39" t="s">
        <v>36</v>
      </c>
      <c r="B5" s="40" t="s">
        <v>280</v>
      </c>
    </row>
    <row r="6" customFormat="false" ht="15" hidden="false" customHeight="false" outlineLevel="0" collapsed="false">
      <c r="A6" s="37" t="s">
        <v>281</v>
      </c>
      <c r="B6" s="38" t="s">
        <v>282</v>
      </c>
    </row>
    <row r="7" customFormat="false" ht="15" hidden="false" customHeight="false" outlineLevel="0" collapsed="false">
      <c r="A7" s="39" t="s">
        <v>283</v>
      </c>
      <c r="B7" s="40" t="s">
        <v>284</v>
      </c>
    </row>
    <row r="8" customFormat="false" ht="15" hidden="false" customHeight="false" outlineLevel="0" collapsed="false">
      <c r="A8" s="37" t="s">
        <v>38</v>
      </c>
      <c r="B8" s="38" t="s">
        <v>285</v>
      </c>
    </row>
    <row r="9" customFormat="false" ht="15" hidden="false" customHeight="false" outlineLevel="0" collapsed="false">
      <c r="A9" s="39" t="s">
        <v>39</v>
      </c>
      <c r="B9" s="40" t="s">
        <v>286</v>
      </c>
    </row>
    <row r="10" customFormat="false" ht="15" hidden="false" customHeight="false" outlineLevel="0" collapsed="false">
      <c r="A10" s="37" t="s">
        <v>40</v>
      </c>
      <c r="B10" s="38" t="s">
        <v>287</v>
      </c>
    </row>
    <row r="11" customFormat="false" ht="15" hidden="false" customHeight="false" outlineLevel="0" collapsed="false">
      <c r="A11" s="39" t="s">
        <v>288</v>
      </c>
      <c r="B11" s="40" t="s">
        <v>289</v>
      </c>
    </row>
    <row r="12" customFormat="false" ht="15" hidden="false" customHeight="false" outlineLevel="0" collapsed="false">
      <c r="A12" s="37" t="s">
        <v>290</v>
      </c>
      <c r="B12" s="38" t="s">
        <v>291</v>
      </c>
    </row>
    <row r="13" customFormat="false" ht="15" hidden="false" customHeight="false" outlineLevel="0" collapsed="false">
      <c r="A13" s="39" t="s">
        <v>292</v>
      </c>
      <c r="B13" s="40" t="s">
        <v>293</v>
      </c>
    </row>
    <row r="14" customFormat="false" ht="15" hidden="false" customHeight="false" outlineLevel="0" collapsed="false">
      <c r="A14" s="37" t="s">
        <v>294</v>
      </c>
      <c r="B14" s="38" t="s">
        <v>295</v>
      </c>
    </row>
    <row r="15" customFormat="false" ht="15" hidden="false" customHeight="false" outlineLevel="0" collapsed="false">
      <c r="A15" s="39" t="s">
        <v>296</v>
      </c>
      <c r="B15" s="40" t="s">
        <v>297</v>
      </c>
    </row>
  </sheetData>
  <hyperlinks>
    <hyperlink ref="C1" r:id="rId1" location="'Comece%20Aqui'!A1" display="◄ Voltar ao início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2026-10-02T02:45:05Z</dcterms:created>
  <dc:creator>openpyxl</dc:creator>
  <dc:description/>
  <dc:language>en-US</dc:language>
  <cp:lastModifiedBy/>
  <dcterms:modified xsi:type="dcterms:W3CDTF">2026-10-02T02:45:05Z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